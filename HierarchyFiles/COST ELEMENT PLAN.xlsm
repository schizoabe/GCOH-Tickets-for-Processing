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ustomProperty2.bin" ContentType="application/vnd.openxmlformats-officedocument.spreadsheetml.customProperty"/>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rre\Documents\WORK\GCOH\GCOH-Tickets-for-Processing\HierarchyFiles\"/>
    </mc:Choice>
  </mc:AlternateContent>
  <xr:revisionPtr revIDLastSave="0" documentId="13_ncr:1_{4B82CA27-443B-44E4-B661-E185D210257E}" xr6:coauthVersionLast="47" xr6:coauthVersionMax="47" xr10:uidLastSave="{00000000-0000-0000-0000-000000000000}"/>
  <bookViews>
    <workbookView xWindow="-120" yWindow="-120" windowWidth="38640" windowHeight="21120" xr2:uid="{F2F3FDAA-515F-425B-8E75-D86885F2C4BB}"/>
  </bookViews>
  <sheets>
    <sheet name="GCOH" sheetId="1" r:id="rId1"/>
    <sheet name="Sheet1" sheetId="5" r:id="rId2"/>
    <sheet name="Sheet2" sheetId="6" r:id="rId3"/>
    <sheet name="Names" sheetId="3" r:id="rId4"/>
    <sheet name="Parent" sheetId="4" r:id="rId5"/>
    <sheet name="Instructions" sheetId="2" r:id="rId6"/>
  </sheets>
  <functionGroups builtInGroupCount="19"/>
  <definedNames>
    <definedName name="_xlnm._FilterDatabase" localSheetId="0" hidden="1">GCOH!$W$1:$AF$5</definedName>
    <definedName name="_xlnm._FilterDatabase" localSheetId="3" hidden="1">Names!$A$1:$C$1</definedName>
    <definedName name="_xlnm._FilterDatabase" localSheetId="4" hidden="1">Parent!$A$1:$B$4</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837" i="1" l="1"/>
  <c r="C2836" i="1"/>
  <c r="C2835" i="1"/>
  <c r="C2834" i="1"/>
  <c r="C2833" i="1"/>
  <c r="C2832" i="1"/>
  <c r="C2831" i="1"/>
  <c r="C2830" i="1"/>
  <c r="C2829" i="1"/>
  <c r="C2828" i="1"/>
  <c r="C2827" i="1"/>
  <c r="C2826" i="1"/>
  <c r="C2825" i="1"/>
  <c r="C2824" i="1"/>
  <c r="C2823" i="1"/>
  <c r="C2822" i="1"/>
  <c r="C2821" i="1"/>
  <c r="C2820" i="1"/>
  <c r="C2819" i="1"/>
  <c r="C2818" i="1"/>
  <c r="C2817" i="1"/>
  <c r="C2816" i="1"/>
  <c r="C2815" i="1"/>
  <c r="C2814" i="1"/>
  <c r="C2813" i="1"/>
  <c r="C2812" i="1"/>
  <c r="C2811" i="1"/>
  <c r="C2810" i="1"/>
  <c r="C2809" i="1"/>
  <c r="C2808" i="1"/>
  <c r="C2807" i="1"/>
  <c r="C2806" i="1"/>
  <c r="C2805" i="1"/>
  <c r="C2804" i="1"/>
  <c r="C2803" i="1"/>
  <c r="C2802" i="1"/>
  <c r="C2801" i="1"/>
  <c r="C2800" i="1"/>
  <c r="C2799" i="1"/>
  <c r="C2798" i="1"/>
  <c r="C2797" i="1"/>
  <c r="C2796" i="1"/>
  <c r="C2795" i="1"/>
  <c r="C2794" i="1"/>
  <c r="C2793" i="1"/>
  <c r="C2792" i="1"/>
  <c r="C2791" i="1"/>
  <c r="C2790" i="1"/>
  <c r="C2789" i="1"/>
  <c r="C2788" i="1"/>
  <c r="C2787" i="1"/>
  <c r="C2786" i="1"/>
  <c r="C2785" i="1"/>
  <c r="C2784" i="1"/>
  <c r="C2783" i="1"/>
  <c r="C2782" i="1"/>
  <c r="C2781" i="1"/>
  <c r="C2780" i="1"/>
  <c r="C2779" i="1"/>
  <c r="C2778" i="1"/>
  <c r="C2777" i="1"/>
  <c r="C2776" i="1"/>
  <c r="C2775" i="1"/>
  <c r="C2774" i="1"/>
  <c r="C2773" i="1"/>
  <c r="C2772" i="1"/>
  <c r="C2771" i="1"/>
  <c r="C2770" i="1"/>
  <c r="C2769" i="1"/>
  <c r="C2768" i="1"/>
  <c r="C2767" i="1"/>
  <c r="C2766" i="1"/>
  <c r="C2765" i="1"/>
  <c r="C2764" i="1"/>
  <c r="C2763" i="1"/>
  <c r="C2762" i="1"/>
  <c r="C2761" i="1"/>
  <c r="C2760" i="1"/>
  <c r="C2759" i="1"/>
  <c r="C2758" i="1"/>
  <c r="C2757" i="1"/>
  <c r="C2756" i="1"/>
  <c r="C2755" i="1"/>
  <c r="C2754" i="1"/>
  <c r="C2753" i="1"/>
  <c r="C2752" i="1"/>
  <c r="C2751" i="1"/>
  <c r="C2750" i="1"/>
  <c r="C2749" i="1"/>
  <c r="C2748" i="1"/>
  <c r="C2747" i="1"/>
  <c r="C2746" i="1"/>
  <c r="C2745" i="1"/>
  <c r="C2744" i="1"/>
  <c r="C2743" i="1"/>
  <c r="C2742" i="1"/>
  <c r="C2741" i="1"/>
  <c r="C2740" i="1"/>
  <c r="C2739" i="1"/>
  <c r="C2738" i="1"/>
  <c r="C2737" i="1"/>
  <c r="C2736" i="1"/>
  <c r="C2735" i="1"/>
  <c r="C2734" i="1"/>
  <c r="C2733" i="1"/>
  <c r="C2732" i="1"/>
  <c r="C2731" i="1"/>
  <c r="C2730" i="1"/>
  <c r="C2729" i="1"/>
  <c r="C2728" i="1"/>
  <c r="C2727" i="1"/>
  <c r="C2726" i="1"/>
  <c r="C2725" i="1"/>
  <c r="C2724" i="1"/>
  <c r="C2723" i="1"/>
  <c r="C2722" i="1"/>
  <c r="C2721" i="1"/>
  <c r="C2720" i="1"/>
  <c r="C2719" i="1"/>
  <c r="C2718" i="1"/>
  <c r="C2717" i="1"/>
  <c r="C2716" i="1"/>
  <c r="C2715" i="1"/>
  <c r="C2714" i="1"/>
  <c r="C2713" i="1"/>
  <c r="C2712" i="1"/>
  <c r="C2711" i="1"/>
  <c r="C2710" i="1"/>
  <c r="C2709" i="1"/>
  <c r="C2708" i="1"/>
  <c r="C2707" i="1"/>
  <c r="C2706" i="1"/>
  <c r="C2705" i="1"/>
  <c r="C2704" i="1"/>
  <c r="C2703" i="1"/>
  <c r="C2702" i="1"/>
  <c r="C2701" i="1"/>
  <c r="C2700" i="1"/>
  <c r="C2699" i="1"/>
  <c r="C2698" i="1"/>
  <c r="C2697" i="1"/>
  <c r="C2696" i="1"/>
  <c r="C2695" i="1"/>
  <c r="C2694" i="1"/>
  <c r="C2693" i="1"/>
  <c r="C2692" i="1"/>
  <c r="C2691" i="1"/>
  <c r="C2690" i="1"/>
  <c r="C2689" i="1"/>
  <c r="C2688" i="1"/>
  <c r="C2687" i="1"/>
  <c r="C2686" i="1"/>
  <c r="C2685" i="1"/>
  <c r="C2684" i="1"/>
  <c r="C2683" i="1"/>
  <c r="C2682" i="1"/>
  <c r="C2681" i="1"/>
  <c r="C2680" i="1"/>
  <c r="C2679" i="1"/>
  <c r="C2678" i="1"/>
  <c r="C2677" i="1"/>
  <c r="C2676" i="1"/>
  <c r="C2675" i="1"/>
  <c r="C2674" i="1"/>
  <c r="C2673" i="1"/>
  <c r="C2672" i="1"/>
  <c r="C2671" i="1"/>
  <c r="C2670" i="1"/>
  <c r="C2669" i="1"/>
  <c r="C2668" i="1"/>
  <c r="C2667" i="1"/>
  <c r="C2666" i="1"/>
  <c r="C2665" i="1"/>
  <c r="C2664" i="1"/>
  <c r="C2663" i="1"/>
  <c r="C2662" i="1"/>
  <c r="C2661" i="1"/>
  <c r="C2660" i="1"/>
  <c r="C2659" i="1"/>
  <c r="C2658" i="1"/>
  <c r="C2657" i="1"/>
  <c r="C2656" i="1"/>
  <c r="C2655" i="1"/>
  <c r="C2654" i="1"/>
  <c r="C2653" i="1"/>
  <c r="C2652" i="1"/>
  <c r="C2651" i="1"/>
  <c r="C2650" i="1"/>
  <c r="C2649" i="1"/>
  <c r="C2648" i="1"/>
  <c r="C2647" i="1"/>
  <c r="C2646" i="1"/>
  <c r="C2645" i="1"/>
  <c r="C2644" i="1"/>
  <c r="C2643" i="1"/>
  <c r="C2642" i="1"/>
  <c r="C2641" i="1"/>
  <c r="C2640" i="1"/>
  <c r="C2639" i="1"/>
  <c r="C2638" i="1"/>
  <c r="C2637" i="1"/>
  <c r="C2636" i="1"/>
  <c r="C2635" i="1"/>
  <c r="C2634" i="1"/>
  <c r="C2633" i="1"/>
  <c r="C2632" i="1"/>
  <c r="C2631" i="1"/>
  <c r="C2630" i="1"/>
  <c r="C2629" i="1"/>
  <c r="C2628" i="1"/>
  <c r="C2627" i="1"/>
  <c r="C2626" i="1"/>
  <c r="C2625" i="1"/>
  <c r="C2624" i="1"/>
  <c r="C2623" i="1"/>
  <c r="C2622" i="1"/>
  <c r="C2621" i="1"/>
  <c r="C2620" i="1"/>
  <c r="C2619" i="1"/>
  <c r="C2618" i="1"/>
  <c r="C2617" i="1"/>
  <c r="C2616" i="1"/>
  <c r="C2615" i="1"/>
  <c r="C2614" i="1"/>
  <c r="C2613" i="1"/>
  <c r="C2612" i="1"/>
  <c r="C2611" i="1"/>
  <c r="C2610" i="1"/>
  <c r="C2609" i="1"/>
  <c r="C2608" i="1"/>
  <c r="C2607" i="1"/>
  <c r="C2606" i="1"/>
  <c r="C2605" i="1"/>
  <c r="C2604" i="1"/>
  <c r="C2603" i="1"/>
  <c r="C2602" i="1"/>
  <c r="C2601" i="1"/>
  <c r="C2600" i="1"/>
  <c r="C2599" i="1"/>
  <c r="C2598" i="1"/>
  <c r="C2597" i="1"/>
  <c r="C2596" i="1"/>
  <c r="C2595" i="1"/>
  <c r="C2594" i="1"/>
  <c r="C2593" i="1"/>
  <c r="C2592" i="1"/>
  <c r="C2591" i="1"/>
  <c r="C2590" i="1"/>
  <c r="C2589" i="1"/>
  <c r="C2588" i="1"/>
  <c r="C2587" i="1"/>
  <c r="C2586" i="1"/>
  <c r="C2585" i="1"/>
  <c r="C2584" i="1"/>
  <c r="C2583" i="1"/>
  <c r="C2582" i="1"/>
  <c r="C2581" i="1"/>
  <c r="C2580" i="1"/>
  <c r="C2579" i="1"/>
  <c r="C2578" i="1"/>
  <c r="C2577" i="1"/>
  <c r="C2576" i="1"/>
  <c r="C2575" i="1"/>
  <c r="C2574" i="1"/>
  <c r="C2573" i="1"/>
  <c r="C2572" i="1"/>
  <c r="C2571" i="1"/>
  <c r="C2570" i="1"/>
  <c r="C2569" i="1"/>
  <c r="C2568" i="1"/>
  <c r="C2567" i="1"/>
  <c r="C2566" i="1"/>
  <c r="C2565" i="1"/>
  <c r="C2564" i="1"/>
  <c r="C2563" i="1"/>
  <c r="C2562" i="1"/>
  <c r="C2561" i="1"/>
  <c r="C2560" i="1"/>
  <c r="C2559" i="1"/>
  <c r="C2558" i="1"/>
  <c r="C2557" i="1"/>
  <c r="C2556" i="1"/>
  <c r="C2555" i="1"/>
  <c r="C2554" i="1"/>
  <c r="C2553" i="1"/>
  <c r="C2552" i="1"/>
  <c r="C2551" i="1"/>
  <c r="C2550" i="1"/>
  <c r="C2549" i="1"/>
  <c r="C2548" i="1"/>
  <c r="C2547" i="1"/>
  <c r="C2546" i="1"/>
  <c r="C2545" i="1"/>
  <c r="C2544" i="1"/>
  <c r="C2543" i="1"/>
  <c r="C2542" i="1"/>
  <c r="C2541" i="1"/>
  <c r="C2540" i="1"/>
  <c r="C2539" i="1"/>
  <c r="C2538" i="1"/>
  <c r="C2537" i="1"/>
  <c r="C2536" i="1"/>
  <c r="C2535" i="1"/>
  <c r="C2534" i="1"/>
  <c r="C2533" i="1"/>
  <c r="C2532" i="1"/>
  <c r="C2531" i="1"/>
  <c r="C2530" i="1"/>
  <c r="C2529" i="1"/>
  <c r="C2528" i="1"/>
  <c r="C2527" i="1"/>
  <c r="C2526" i="1"/>
  <c r="C2525" i="1"/>
  <c r="C2524" i="1"/>
  <c r="C2523" i="1"/>
  <c r="C2522" i="1"/>
  <c r="C2521" i="1"/>
  <c r="C2520" i="1"/>
  <c r="C2519" i="1"/>
  <c r="C2518" i="1"/>
  <c r="C2517" i="1"/>
  <c r="C2516" i="1"/>
  <c r="C2515" i="1"/>
  <c r="C2514" i="1"/>
  <c r="C2513" i="1"/>
  <c r="C2512" i="1"/>
  <c r="C2511" i="1"/>
  <c r="C2510" i="1"/>
  <c r="C2509" i="1"/>
  <c r="C2508" i="1"/>
  <c r="C2507" i="1"/>
  <c r="C2506" i="1"/>
  <c r="C2505" i="1"/>
  <c r="C2504" i="1"/>
  <c r="C2503" i="1"/>
  <c r="C2502" i="1"/>
  <c r="C2501" i="1"/>
  <c r="C2500" i="1"/>
  <c r="C2499" i="1"/>
  <c r="C2498" i="1"/>
  <c r="C2497" i="1"/>
  <c r="C2496" i="1"/>
  <c r="C2495" i="1"/>
  <c r="C2494" i="1"/>
  <c r="C2493" i="1"/>
  <c r="C2492" i="1"/>
  <c r="C2491" i="1"/>
  <c r="C2490" i="1"/>
  <c r="C2489" i="1"/>
  <c r="C2488" i="1"/>
  <c r="C2487" i="1"/>
  <c r="C2486" i="1"/>
  <c r="C2485" i="1"/>
  <c r="C2484" i="1"/>
  <c r="C2483" i="1"/>
  <c r="C2482" i="1"/>
  <c r="C2481" i="1"/>
  <c r="C2480" i="1"/>
  <c r="C2479" i="1"/>
  <c r="C2478" i="1"/>
  <c r="C2477" i="1"/>
  <c r="C2476" i="1"/>
  <c r="C2475" i="1"/>
  <c r="C2474" i="1"/>
  <c r="C2473" i="1"/>
  <c r="C2472" i="1"/>
  <c r="C2471" i="1"/>
  <c r="C2470" i="1"/>
  <c r="C2469" i="1"/>
  <c r="C2468" i="1"/>
  <c r="C2467" i="1"/>
  <c r="C2466" i="1"/>
  <c r="C2465" i="1"/>
  <c r="C2464" i="1"/>
  <c r="C2463" i="1"/>
  <c r="C2462" i="1"/>
  <c r="C2461" i="1"/>
  <c r="C2460" i="1"/>
  <c r="C2459" i="1"/>
  <c r="C2458" i="1"/>
  <c r="C2457" i="1"/>
  <c r="C2456" i="1"/>
  <c r="C2455" i="1"/>
  <c r="C2454" i="1"/>
  <c r="C2453" i="1"/>
  <c r="C2452" i="1"/>
  <c r="C2451" i="1"/>
  <c r="C2450" i="1"/>
  <c r="C2449" i="1"/>
  <c r="C2448" i="1"/>
  <c r="C2447" i="1"/>
  <c r="C2446" i="1"/>
  <c r="C2445" i="1"/>
  <c r="C2444" i="1"/>
  <c r="C2443" i="1"/>
  <c r="C2442" i="1"/>
  <c r="C2441" i="1"/>
  <c r="C2440" i="1"/>
  <c r="C2439" i="1"/>
  <c r="C2438" i="1"/>
  <c r="C2437" i="1"/>
  <c r="C2436" i="1"/>
  <c r="C2435" i="1"/>
  <c r="C2434" i="1"/>
  <c r="C2433" i="1"/>
  <c r="C2432" i="1"/>
  <c r="C2431" i="1"/>
  <c r="C2430" i="1"/>
  <c r="C2429" i="1"/>
  <c r="C2428" i="1"/>
  <c r="C2427" i="1"/>
  <c r="C2426" i="1"/>
  <c r="C2425" i="1"/>
  <c r="C2424" i="1"/>
  <c r="C2423" i="1"/>
  <c r="C2422" i="1"/>
  <c r="C2421" i="1"/>
  <c r="C2420" i="1"/>
  <c r="C2419" i="1"/>
  <c r="C2418" i="1"/>
  <c r="C2417" i="1"/>
  <c r="C2416" i="1"/>
  <c r="C2415" i="1"/>
  <c r="C2414" i="1"/>
  <c r="C2413" i="1"/>
  <c r="C2412" i="1"/>
  <c r="C2411" i="1"/>
  <c r="C2410" i="1"/>
  <c r="C2409" i="1"/>
  <c r="C2408" i="1"/>
  <c r="C2407" i="1"/>
  <c r="C2406" i="1"/>
  <c r="C2405" i="1"/>
  <c r="C2404" i="1"/>
  <c r="C2403" i="1"/>
  <c r="C2402" i="1"/>
  <c r="C2401" i="1"/>
  <c r="C2400" i="1"/>
  <c r="C2399" i="1"/>
  <c r="C2398" i="1"/>
  <c r="C2397" i="1"/>
  <c r="C2396" i="1"/>
  <c r="C2395" i="1"/>
  <c r="C2394" i="1"/>
  <c r="C2393" i="1"/>
  <c r="C2392" i="1"/>
  <c r="C2391" i="1"/>
  <c r="C2390" i="1"/>
  <c r="C2389" i="1"/>
  <c r="C2388" i="1"/>
  <c r="C2387" i="1"/>
  <c r="C2386" i="1"/>
  <c r="C2385" i="1"/>
  <c r="C2384" i="1"/>
  <c r="C2383" i="1"/>
  <c r="C2382" i="1"/>
  <c r="C2381" i="1"/>
  <c r="C2380" i="1"/>
  <c r="C2379" i="1"/>
  <c r="C2378" i="1"/>
  <c r="C2377" i="1"/>
  <c r="C2376" i="1"/>
  <c r="C2375" i="1"/>
  <c r="C2374" i="1"/>
  <c r="C2373" i="1"/>
  <c r="C2372" i="1"/>
  <c r="C2371" i="1"/>
  <c r="C2370" i="1"/>
  <c r="C2369" i="1"/>
  <c r="C2368" i="1"/>
  <c r="C2367" i="1"/>
  <c r="C2366" i="1"/>
  <c r="C2365" i="1"/>
  <c r="C2364" i="1"/>
  <c r="C2363" i="1"/>
  <c r="C2362" i="1"/>
  <c r="C2361" i="1"/>
  <c r="C2360" i="1"/>
  <c r="C2359" i="1"/>
  <c r="C2358" i="1"/>
  <c r="C2357" i="1"/>
  <c r="C2356" i="1"/>
  <c r="C2355" i="1"/>
  <c r="C2354" i="1"/>
  <c r="C2353" i="1"/>
  <c r="C2352" i="1"/>
  <c r="C2351" i="1"/>
  <c r="C2350" i="1"/>
  <c r="C2349" i="1"/>
  <c r="C2348" i="1"/>
  <c r="C2347" i="1"/>
  <c r="C2346" i="1"/>
  <c r="C2345" i="1"/>
  <c r="C2344" i="1"/>
  <c r="C2343" i="1"/>
  <c r="C2342" i="1"/>
  <c r="C2341" i="1"/>
  <c r="C2340" i="1"/>
  <c r="C2339" i="1"/>
  <c r="C2338" i="1"/>
  <c r="C2337" i="1"/>
  <c r="C2336" i="1"/>
  <c r="C2335" i="1"/>
  <c r="C2334" i="1"/>
  <c r="C2333" i="1"/>
  <c r="C2332" i="1"/>
  <c r="C2331" i="1"/>
  <c r="C2330" i="1"/>
  <c r="C2329" i="1"/>
  <c r="C2328" i="1"/>
  <c r="C2327" i="1"/>
  <c r="C2326" i="1"/>
  <c r="C2325" i="1"/>
  <c r="C2324" i="1"/>
  <c r="C2323" i="1"/>
  <c r="C2322" i="1"/>
  <c r="C2321" i="1"/>
  <c r="C2320" i="1"/>
  <c r="C2319" i="1"/>
  <c r="C2318" i="1"/>
  <c r="C2317" i="1"/>
  <c r="C2316" i="1"/>
  <c r="C2315" i="1"/>
  <c r="C2314" i="1"/>
  <c r="C2313" i="1"/>
  <c r="C2312" i="1"/>
  <c r="C2311" i="1"/>
  <c r="C2310" i="1"/>
  <c r="C2309" i="1"/>
  <c r="C2308" i="1"/>
  <c r="C2307" i="1"/>
  <c r="C2306" i="1"/>
  <c r="C2305" i="1"/>
  <c r="C2304" i="1"/>
  <c r="C2303" i="1"/>
  <c r="C2302" i="1"/>
  <c r="C2301" i="1"/>
  <c r="C2300" i="1"/>
  <c r="C2299" i="1"/>
  <c r="C2298" i="1"/>
  <c r="C2297" i="1"/>
  <c r="C2296" i="1"/>
  <c r="C2295" i="1"/>
  <c r="C2294" i="1"/>
  <c r="C2293" i="1"/>
  <c r="C2292" i="1"/>
  <c r="C2291" i="1"/>
  <c r="C2290" i="1"/>
  <c r="C2289" i="1"/>
  <c r="C2288" i="1"/>
  <c r="C2287" i="1"/>
  <c r="C2286" i="1"/>
  <c r="C2285" i="1"/>
  <c r="C2284" i="1"/>
  <c r="C2283" i="1"/>
  <c r="C2282" i="1"/>
  <c r="C2281" i="1"/>
  <c r="C2280" i="1"/>
  <c r="C2279" i="1"/>
  <c r="C2278" i="1"/>
  <c r="C2277" i="1"/>
  <c r="C2276" i="1"/>
  <c r="C2275" i="1"/>
  <c r="C2274" i="1"/>
  <c r="C2273" i="1"/>
  <c r="C2272" i="1"/>
  <c r="C2271" i="1"/>
  <c r="C2270" i="1"/>
  <c r="C2269" i="1"/>
  <c r="C2268" i="1"/>
  <c r="C2267" i="1"/>
  <c r="C2266" i="1"/>
  <c r="C2265" i="1"/>
  <c r="C2264" i="1"/>
  <c r="C2263" i="1"/>
  <c r="C2262" i="1"/>
  <c r="C2261" i="1"/>
  <c r="C2260" i="1"/>
  <c r="C2259" i="1"/>
  <c r="C2258" i="1"/>
  <c r="C2257" i="1"/>
  <c r="C2256" i="1"/>
  <c r="C2255" i="1"/>
  <c r="C2254" i="1"/>
  <c r="C2253" i="1"/>
  <c r="C2252" i="1"/>
  <c r="C2251" i="1"/>
  <c r="C2250" i="1"/>
  <c r="C2249" i="1"/>
  <c r="C2248" i="1"/>
  <c r="C2247" i="1"/>
  <c r="C2246" i="1"/>
  <c r="C2245" i="1"/>
  <c r="C2244" i="1"/>
  <c r="C2243" i="1"/>
  <c r="C2242" i="1"/>
  <c r="C2241" i="1"/>
  <c r="C2240" i="1"/>
  <c r="C2239" i="1"/>
  <c r="C2238" i="1"/>
  <c r="C2237" i="1"/>
  <c r="C2236" i="1"/>
  <c r="C2235" i="1"/>
  <c r="C2234" i="1"/>
  <c r="C2233" i="1"/>
  <c r="C2232" i="1"/>
  <c r="C2231" i="1"/>
  <c r="C2230" i="1"/>
  <c r="C2229" i="1"/>
  <c r="C2228" i="1"/>
  <c r="C2227" i="1"/>
  <c r="C2226" i="1"/>
  <c r="C2225" i="1"/>
  <c r="C2224" i="1"/>
  <c r="C2223" i="1"/>
  <c r="C2222" i="1"/>
  <c r="C2221" i="1"/>
  <c r="C2220" i="1"/>
  <c r="C2219" i="1"/>
  <c r="C2218" i="1"/>
  <c r="C2217" i="1"/>
  <c r="C2216" i="1"/>
  <c r="C2215" i="1"/>
  <c r="C2214" i="1"/>
  <c r="C2213" i="1"/>
  <c r="C2212" i="1"/>
  <c r="C2211" i="1"/>
  <c r="C2210" i="1"/>
  <c r="C2209" i="1"/>
  <c r="C2208" i="1"/>
  <c r="C2207" i="1"/>
  <c r="C2206" i="1"/>
  <c r="C2205" i="1"/>
  <c r="C2204" i="1"/>
  <c r="C2203" i="1"/>
  <c r="C2202" i="1"/>
  <c r="C2201" i="1"/>
  <c r="C2200" i="1"/>
  <c r="C2199" i="1"/>
  <c r="C2198" i="1"/>
  <c r="C2197" i="1"/>
  <c r="C2196" i="1"/>
  <c r="C2195" i="1"/>
  <c r="C2194" i="1"/>
  <c r="C2193" i="1"/>
  <c r="C2192" i="1"/>
  <c r="C2191" i="1"/>
  <c r="C2190" i="1"/>
  <c r="C2189" i="1"/>
  <c r="C2188" i="1"/>
  <c r="C2187" i="1"/>
  <c r="C2186" i="1"/>
  <c r="C2185" i="1"/>
  <c r="C2184" i="1"/>
  <c r="C2183" i="1"/>
  <c r="C2182" i="1"/>
  <c r="C2181" i="1"/>
  <c r="C2180" i="1"/>
  <c r="C2179" i="1"/>
  <c r="C2178" i="1"/>
  <c r="C2177" i="1"/>
  <c r="C2176" i="1"/>
  <c r="C2175" i="1"/>
  <c r="C2174" i="1"/>
  <c r="C2173" i="1"/>
  <c r="C2172" i="1"/>
  <c r="C2171" i="1"/>
  <c r="C2170" i="1"/>
  <c r="C2169" i="1"/>
  <c r="C2168" i="1"/>
  <c r="C2167" i="1"/>
  <c r="C2166" i="1"/>
  <c r="C2165" i="1"/>
  <c r="C2164" i="1"/>
  <c r="C2163" i="1"/>
  <c r="C2162" i="1"/>
  <c r="C2161" i="1"/>
  <c r="C2160" i="1"/>
  <c r="C2159" i="1"/>
  <c r="C2158" i="1"/>
  <c r="C2157" i="1"/>
  <c r="C2156" i="1"/>
  <c r="C2155" i="1"/>
  <c r="C2154" i="1"/>
  <c r="C2153" i="1"/>
  <c r="C2152" i="1"/>
  <c r="C2151" i="1"/>
  <c r="C2150" i="1"/>
  <c r="C2149" i="1"/>
  <c r="C2148" i="1"/>
  <c r="C2147" i="1"/>
  <c r="C2146" i="1"/>
  <c r="C2145" i="1"/>
  <c r="C2144" i="1"/>
  <c r="C2143" i="1"/>
  <c r="C2142" i="1"/>
  <c r="C2141" i="1"/>
  <c r="C2140" i="1"/>
  <c r="C2139" i="1"/>
  <c r="C2138" i="1"/>
  <c r="C2137" i="1"/>
  <c r="C2136" i="1"/>
  <c r="C2135" i="1"/>
  <c r="C2134" i="1"/>
  <c r="C2133" i="1"/>
  <c r="C2132" i="1"/>
  <c r="C2131" i="1"/>
  <c r="C2130" i="1"/>
  <c r="C2129" i="1"/>
  <c r="C2128" i="1"/>
  <c r="C2127" i="1"/>
  <c r="C2126" i="1"/>
  <c r="C2125" i="1"/>
  <c r="C2124" i="1"/>
  <c r="C2123" i="1"/>
  <c r="C2122" i="1"/>
  <c r="C2121" i="1"/>
  <c r="C2120" i="1"/>
  <c r="C2119" i="1"/>
  <c r="C2118" i="1"/>
  <c r="C2117" i="1"/>
  <c r="C2116" i="1"/>
  <c r="C2115" i="1"/>
  <c r="C2114" i="1"/>
  <c r="C2113" i="1"/>
  <c r="C2112" i="1"/>
  <c r="C2111" i="1"/>
  <c r="C2110" i="1"/>
  <c r="C2109" i="1"/>
  <c r="C2108" i="1"/>
  <c r="C2107" i="1"/>
  <c r="C2106" i="1"/>
  <c r="C2105" i="1"/>
  <c r="C2104" i="1"/>
  <c r="C2103" i="1"/>
  <c r="C2102" i="1"/>
  <c r="C2101" i="1"/>
  <c r="C2100" i="1"/>
  <c r="C2099" i="1"/>
  <c r="C2098" i="1"/>
  <c r="C2097" i="1"/>
  <c r="C2096" i="1"/>
  <c r="C2095" i="1"/>
  <c r="C2094" i="1"/>
  <c r="C2093" i="1"/>
  <c r="C2092" i="1"/>
  <c r="C2091" i="1"/>
  <c r="C2090" i="1"/>
  <c r="C2089" i="1"/>
  <c r="C2088" i="1"/>
  <c r="C2087" i="1"/>
  <c r="C2086" i="1"/>
  <c r="C2085" i="1"/>
  <c r="C2084" i="1"/>
  <c r="C2083" i="1"/>
  <c r="C2082" i="1"/>
  <c r="C2081" i="1"/>
  <c r="C2080" i="1"/>
  <c r="C2079" i="1"/>
  <c r="C2078" i="1"/>
  <c r="C2077" i="1"/>
  <c r="C2076" i="1"/>
  <c r="C2075" i="1"/>
  <c r="C2074" i="1"/>
  <c r="C2073" i="1"/>
  <c r="C2072" i="1"/>
  <c r="C2071" i="1"/>
  <c r="C2070" i="1"/>
  <c r="C2069" i="1"/>
  <c r="C2068" i="1"/>
  <c r="C2067" i="1"/>
  <c r="C2066" i="1"/>
  <c r="C2065" i="1"/>
  <c r="C2064" i="1"/>
  <c r="C2063" i="1"/>
  <c r="C2062" i="1"/>
  <c r="C2061" i="1"/>
  <c r="C2060" i="1"/>
  <c r="C2059" i="1"/>
  <c r="C2058" i="1"/>
  <c r="C2057" i="1"/>
  <c r="C2056" i="1"/>
  <c r="C2055" i="1"/>
  <c r="C2054" i="1"/>
  <c r="C2053" i="1"/>
  <c r="C2052" i="1"/>
  <c r="C2051" i="1"/>
  <c r="C2050" i="1"/>
  <c r="C2049" i="1"/>
  <c r="C2048" i="1"/>
  <c r="C2047" i="1"/>
  <c r="C2046" i="1"/>
  <c r="C2045" i="1"/>
  <c r="C2044" i="1"/>
  <c r="C2043" i="1"/>
  <c r="C2042" i="1"/>
  <c r="C2041" i="1"/>
  <c r="C2040" i="1"/>
  <c r="C2039" i="1"/>
  <c r="C2038" i="1"/>
  <c r="C2037" i="1"/>
  <c r="C2036" i="1"/>
  <c r="C2035" i="1"/>
  <c r="C2034" i="1"/>
  <c r="C2033" i="1"/>
  <c r="C2032" i="1"/>
  <c r="C2031" i="1"/>
  <c r="C2030" i="1"/>
  <c r="C2029" i="1"/>
  <c r="C2028" i="1"/>
  <c r="C2027" i="1"/>
  <c r="C2026" i="1"/>
  <c r="C2025" i="1"/>
  <c r="C2024" i="1"/>
  <c r="C2023" i="1"/>
  <c r="C2022" i="1"/>
  <c r="C2021" i="1"/>
  <c r="C2020" i="1"/>
  <c r="C2019" i="1"/>
  <c r="C2018" i="1"/>
  <c r="C2017" i="1"/>
  <c r="C2016" i="1"/>
  <c r="C2015" i="1"/>
  <c r="C2014" i="1"/>
  <c r="C2013" i="1"/>
  <c r="C2012" i="1"/>
  <c r="C2011" i="1"/>
  <c r="C2010" i="1"/>
  <c r="C2009" i="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67" i="1"/>
  <c r="C1966" i="1"/>
  <c r="C1965" i="1"/>
  <c r="C1964" i="1"/>
  <c r="C1963" i="1"/>
  <c r="C1962" i="1"/>
  <c r="C1961" i="1"/>
  <c r="C1960" i="1"/>
  <c r="C1959" i="1"/>
  <c r="C1958" i="1"/>
  <c r="C1957" i="1"/>
  <c r="C1956" i="1"/>
  <c r="C1955" i="1"/>
  <c r="C1954" i="1"/>
  <c r="C1953" i="1"/>
  <c r="C1952" i="1"/>
  <c r="C1951" i="1"/>
  <c r="C1950" i="1"/>
  <c r="C1949" i="1"/>
  <c r="C1948" i="1"/>
  <c r="C1947" i="1"/>
  <c r="C1946" i="1"/>
  <c r="C1945" i="1"/>
  <c r="C1944" i="1"/>
  <c r="C1943" i="1"/>
  <c r="C1942" i="1"/>
  <c r="C1941" i="1"/>
  <c r="C1940" i="1"/>
  <c r="C1939"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3" i="1"/>
  <c r="C1872" i="1"/>
  <c r="C1871" i="1"/>
  <c r="C1870" i="1"/>
  <c r="C1869" i="1"/>
  <c r="C1868"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4"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57" i="1"/>
  <c r="C1756" i="1"/>
  <c r="C1755" i="1"/>
  <c r="C1754" i="1"/>
  <c r="C1753" i="1"/>
  <c r="C1752" i="1"/>
  <c r="C1751" i="1"/>
  <c r="C1750" i="1"/>
  <c r="C1749" i="1"/>
  <c r="C1748" i="1"/>
  <c r="C1747" i="1"/>
  <c r="C1746" i="1"/>
  <c r="C1745" i="1"/>
  <c r="C1744" i="1"/>
  <c r="C1743" i="1"/>
  <c r="C1742" i="1"/>
  <c r="C1741" i="1"/>
  <c r="C1740" i="1"/>
  <c r="C1739" i="1"/>
  <c r="C1738" i="1"/>
  <c r="C1737" i="1"/>
  <c r="C1736" i="1"/>
  <c r="C1735" i="1"/>
  <c r="C1734" i="1"/>
  <c r="C1733" i="1"/>
  <c r="C1732" i="1"/>
  <c r="C1731" i="1"/>
  <c r="C1730" i="1"/>
  <c r="C1729" i="1"/>
  <c r="C172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9" i="1"/>
  <c r="C1678" i="1"/>
  <c r="C1677" i="1"/>
  <c r="C1676" i="1"/>
  <c r="C1675" i="1"/>
  <c r="C1674" i="1"/>
  <c r="C1673" i="1"/>
  <c r="C1672" i="1"/>
  <c r="C1671" i="1"/>
  <c r="C1670" i="1"/>
  <c r="C1669" i="1"/>
  <c r="C1668" i="1"/>
  <c r="C1667" i="1"/>
  <c r="C1666" i="1"/>
  <c r="C1665" i="1"/>
  <c r="C1664" i="1"/>
  <c r="C1663" i="1"/>
  <c r="C1662" i="1"/>
  <c r="C1661" i="1"/>
  <c r="C1660" i="1"/>
  <c r="C1659" i="1"/>
  <c r="C1658" i="1"/>
  <c r="C1657" i="1"/>
  <c r="C1656" i="1"/>
  <c r="C1655" i="1"/>
  <c r="C1654" i="1"/>
  <c r="C1653" i="1"/>
  <c r="C1652" i="1"/>
  <c r="C1651" i="1"/>
  <c r="C1650" i="1"/>
  <c r="C1649" i="1"/>
  <c r="C1648" i="1"/>
  <c r="C1647" i="1"/>
  <c r="C1646" i="1"/>
  <c r="C1645" i="1"/>
  <c r="C1644" i="1"/>
  <c r="C1643" i="1"/>
  <c r="C1642" i="1"/>
  <c r="C1641" i="1"/>
  <c r="C1640" i="1"/>
  <c r="C1639" i="1"/>
  <c r="C1638" i="1"/>
  <c r="C1637" i="1"/>
  <c r="C1636" i="1"/>
  <c r="C1635" i="1"/>
  <c r="C1634" i="1"/>
  <c r="C1633" i="1"/>
  <c r="C1632" i="1"/>
  <c r="C1631" i="1"/>
  <c r="C1630" i="1"/>
  <c r="C1629" i="1"/>
  <c r="C1628" i="1"/>
  <c r="C1627" i="1"/>
  <c r="C1626" i="1"/>
  <c r="C1625" i="1"/>
  <c r="C1624" i="1"/>
  <c r="C1623" i="1"/>
  <c r="C1622" i="1"/>
  <c r="C1621" i="1"/>
  <c r="C1620" i="1"/>
  <c r="C1619" i="1"/>
  <c r="C1618" i="1"/>
  <c r="C1617" i="1"/>
  <c r="C1616" i="1"/>
  <c r="C1615" i="1"/>
  <c r="C1614" i="1"/>
  <c r="C1613" i="1"/>
  <c r="C1612" i="1"/>
  <c r="C1611" i="1"/>
  <c r="C1610" i="1"/>
  <c r="C1609" i="1"/>
  <c r="C1608" i="1"/>
  <c r="C1607" i="1"/>
  <c r="C1606" i="1"/>
  <c r="C1605" i="1"/>
  <c r="C1604" i="1"/>
  <c r="C1603" i="1"/>
  <c r="C1602"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2"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28" i="1"/>
  <c r="C1527" i="1"/>
  <c r="C1526" i="1"/>
  <c r="C1525" i="1"/>
  <c r="C1524" i="1"/>
  <c r="C1523" i="1"/>
  <c r="C1522" i="1"/>
  <c r="C1521" i="1"/>
  <c r="C1520" i="1"/>
  <c r="C1519" i="1"/>
  <c r="C1518" i="1"/>
  <c r="C1517" i="1"/>
  <c r="C1516" i="1"/>
  <c r="C1515" i="1"/>
  <c r="C1514" i="1"/>
  <c r="C1513" i="1"/>
  <c r="C1512" i="1"/>
  <c r="C1511" i="1"/>
  <c r="C1510" i="1"/>
  <c r="C1509" i="1"/>
  <c r="C1508" i="1"/>
  <c r="C1507" i="1"/>
  <c r="C1506" i="1"/>
  <c r="C1505" i="1"/>
  <c r="C1504" i="1"/>
  <c r="C1503" i="1"/>
  <c r="C1502" i="1"/>
  <c r="C1501" i="1"/>
  <c r="C1500" i="1"/>
  <c r="C1499" i="1"/>
  <c r="C1498" i="1"/>
  <c r="C1497" i="1"/>
  <c r="C1496" i="1"/>
  <c r="C1495" i="1"/>
  <c r="C1494" i="1"/>
  <c r="C1493" i="1"/>
  <c r="C1492" i="1"/>
  <c r="C1491" i="1"/>
  <c r="C1490" i="1"/>
  <c r="C1489" i="1"/>
  <c r="C1488" i="1"/>
  <c r="C1487" i="1"/>
  <c r="C1486"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9" i="1"/>
  <c r="C1358" i="1"/>
  <c r="C1357" i="1"/>
  <c r="C1356" i="1"/>
  <c r="C1355" i="1"/>
  <c r="C1354" i="1"/>
  <c r="C1353" i="1"/>
  <c r="C1352" i="1"/>
  <c r="C1351" i="1"/>
  <c r="C1350" i="1"/>
  <c r="C1349" i="1"/>
  <c r="C1348" i="1"/>
  <c r="C1347" i="1"/>
  <c r="C1346" i="1"/>
  <c r="C1345" i="1"/>
  <c r="C1344" i="1"/>
  <c r="C1343" i="1"/>
  <c r="C1342" i="1"/>
  <c r="C1341" i="1"/>
  <c r="C1340" i="1"/>
  <c r="C1339" i="1"/>
  <c r="C1338"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8"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W2837" i="1"/>
  <c r="W2836" i="1"/>
  <c r="W2835" i="1"/>
  <c r="W2834" i="1"/>
  <c r="W2833" i="1"/>
  <c r="W2832" i="1"/>
  <c r="W2831" i="1"/>
  <c r="W2830" i="1"/>
  <c r="W2829" i="1"/>
  <c r="W2828" i="1"/>
  <c r="W2827" i="1"/>
  <c r="W2826" i="1"/>
  <c r="W2825" i="1"/>
  <c r="W2824" i="1"/>
  <c r="W2823" i="1"/>
  <c r="W2822" i="1"/>
  <c r="W2821" i="1"/>
  <c r="W2820" i="1"/>
  <c r="W2819" i="1"/>
  <c r="W2818" i="1"/>
  <c r="W2817" i="1"/>
  <c r="W2816" i="1"/>
  <c r="W2815" i="1"/>
  <c r="W2814" i="1"/>
  <c r="W2813" i="1"/>
  <c r="W2812" i="1"/>
  <c r="W2811" i="1"/>
  <c r="W2810" i="1"/>
  <c r="W2809" i="1"/>
  <c r="W2808" i="1"/>
  <c r="W2807" i="1"/>
  <c r="W2806" i="1"/>
  <c r="W2805" i="1"/>
  <c r="W2804" i="1"/>
  <c r="W2803" i="1"/>
  <c r="W2802" i="1"/>
  <c r="W2801" i="1"/>
  <c r="W2800" i="1"/>
  <c r="W2799" i="1"/>
  <c r="W2798" i="1"/>
  <c r="W2797" i="1"/>
  <c r="W2796" i="1"/>
  <c r="W2795" i="1"/>
  <c r="W2794" i="1"/>
  <c r="W2793" i="1"/>
  <c r="W2792" i="1"/>
  <c r="W2791" i="1"/>
  <c r="W2790" i="1"/>
  <c r="W2789" i="1"/>
  <c r="W2788" i="1"/>
  <c r="W2787" i="1"/>
  <c r="W2786" i="1"/>
  <c r="W2785" i="1"/>
  <c r="W2784" i="1"/>
  <c r="W2783" i="1"/>
  <c r="W2782" i="1"/>
  <c r="W2781" i="1"/>
  <c r="W2780" i="1"/>
  <c r="W2779" i="1"/>
  <c r="W2778" i="1"/>
  <c r="W2777" i="1"/>
  <c r="W2776" i="1"/>
  <c r="W2775" i="1"/>
  <c r="W2774" i="1"/>
  <c r="W2773" i="1"/>
  <c r="W2772" i="1"/>
  <c r="W2771" i="1"/>
  <c r="W2770" i="1"/>
  <c r="W2769" i="1"/>
  <c r="W2768" i="1"/>
  <c r="W2767" i="1"/>
  <c r="W2766" i="1"/>
  <c r="W2765" i="1"/>
  <c r="W2764" i="1"/>
  <c r="W2763" i="1"/>
  <c r="W2762" i="1"/>
  <c r="W2761" i="1"/>
  <c r="W2760" i="1"/>
  <c r="W2759" i="1"/>
  <c r="W2758" i="1"/>
  <c r="W2757" i="1"/>
  <c r="W2756" i="1"/>
  <c r="W2755" i="1"/>
  <c r="W2754" i="1"/>
  <c r="W2753" i="1"/>
  <c r="W2752" i="1"/>
  <c r="W2751" i="1"/>
  <c r="W2750" i="1"/>
  <c r="W2749" i="1"/>
  <c r="W2748" i="1"/>
  <c r="W2747" i="1"/>
  <c r="W2746" i="1"/>
  <c r="W2745" i="1"/>
  <c r="W2744" i="1"/>
  <c r="W2743" i="1"/>
  <c r="W2742" i="1"/>
  <c r="W2741" i="1"/>
  <c r="W2740" i="1"/>
  <c r="W2739" i="1"/>
  <c r="W2738" i="1"/>
  <c r="W2737" i="1"/>
  <c r="W2736" i="1"/>
  <c r="W2735" i="1"/>
  <c r="W2734" i="1"/>
  <c r="W2733" i="1"/>
  <c r="W2732" i="1"/>
  <c r="W2731" i="1"/>
  <c r="W2730" i="1"/>
  <c r="W2729" i="1"/>
  <c r="W2728" i="1"/>
  <c r="W2727" i="1"/>
  <c r="W2726" i="1"/>
  <c r="W2725" i="1"/>
  <c r="W2724" i="1"/>
  <c r="W2723" i="1"/>
  <c r="W2722" i="1"/>
  <c r="W2721" i="1"/>
  <c r="W2720" i="1"/>
  <c r="W2719" i="1"/>
  <c r="W2718" i="1"/>
  <c r="W2717" i="1"/>
  <c r="W2716" i="1"/>
  <c r="W2715" i="1"/>
  <c r="W2714" i="1"/>
  <c r="W2713" i="1"/>
  <c r="W2712" i="1"/>
  <c r="W2711" i="1"/>
  <c r="W2710" i="1"/>
  <c r="W2709" i="1"/>
  <c r="W2708" i="1"/>
  <c r="W2707" i="1"/>
  <c r="W2706" i="1"/>
  <c r="W2705" i="1"/>
  <c r="W2704" i="1"/>
  <c r="W2703" i="1"/>
  <c r="W2702" i="1"/>
  <c r="W2701" i="1"/>
  <c r="W2700" i="1"/>
  <c r="W2699" i="1"/>
  <c r="W2698" i="1"/>
  <c r="W2697" i="1"/>
  <c r="W2696" i="1"/>
  <c r="W2695" i="1"/>
  <c r="W2694" i="1"/>
  <c r="W2693" i="1"/>
  <c r="W2692" i="1"/>
  <c r="W2691" i="1"/>
  <c r="W2690" i="1"/>
  <c r="W2689" i="1"/>
  <c r="W2688" i="1"/>
  <c r="W2687" i="1"/>
  <c r="W2686" i="1"/>
  <c r="W2685" i="1"/>
  <c r="W2684" i="1"/>
  <c r="W2683" i="1"/>
  <c r="W2682" i="1"/>
  <c r="W2681" i="1"/>
  <c r="W2680" i="1"/>
  <c r="W2679" i="1"/>
  <c r="W2678" i="1"/>
  <c r="W2677" i="1"/>
  <c r="W2676" i="1"/>
  <c r="W2675" i="1"/>
  <c r="W2674" i="1"/>
  <c r="W2673" i="1"/>
  <c r="W2672" i="1"/>
  <c r="W2671" i="1"/>
  <c r="W2670" i="1"/>
  <c r="W2669" i="1"/>
  <c r="W2668" i="1"/>
  <c r="W2667" i="1"/>
  <c r="W2666" i="1"/>
  <c r="W2665" i="1"/>
  <c r="W2664" i="1"/>
  <c r="W2663" i="1"/>
  <c r="W2662" i="1"/>
  <c r="W2661" i="1"/>
  <c r="W2660" i="1"/>
  <c r="W2659" i="1"/>
  <c r="W2658" i="1"/>
  <c r="W2657" i="1"/>
  <c r="W2656" i="1"/>
  <c r="W2655" i="1"/>
  <c r="W2654" i="1"/>
  <c r="W2653" i="1"/>
  <c r="W2652" i="1"/>
  <c r="W2651" i="1"/>
  <c r="W2650" i="1"/>
  <c r="W2649" i="1"/>
  <c r="W2648" i="1"/>
  <c r="W2647" i="1"/>
  <c r="W2646" i="1"/>
  <c r="W2645" i="1"/>
  <c r="W2644" i="1"/>
  <c r="W2643" i="1"/>
  <c r="W2642" i="1"/>
  <c r="W2641" i="1"/>
  <c r="W2640" i="1"/>
  <c r="W2639" i="1"/>
  <c r="W2638" i="1"/>
  <c r="W2637" i="1"/>
  <c r="W2636" i="1"/>
  <c r="W2635" i="1"/>
  <c r="W2634" i="1"/>
  <c r="W2633" i="1"/>
  <c r="W2632" i="1"/>
  <c r="W2631" i="1"/>
  <c r="W2630" i="1"/>
  <c r="W2629" i="1"/>
  <c r="W2628" i="1"/>
  <c r="W2627" i="1"/>
  <c r="W2626" i="1"/>
  <c r="W2625" i="1"/>
  <c r="W2624" i="1"/>
  <c r="W2623" i="1"/>
  <c r="W2622" i="1"/>
  <c r="W2621" i="1"/>
  <c r="W2620" i="1"/>
  <c r="W2619" i="1"/>
  <c r="W2618" i="1"/>
  <c r="W2617" i="1"/>
  <c r="W2616" i="1"/>
  <c r="W2615" i="1"/>
  <c r="W2614" i="1"/>
  <c r="W2613" i="1"/>
  <c r="W2612" i="1"/>
  <c r="W2611" i="1"/>
  <c r="W2610" i="1"/>
  <c r="W2609" i="1"/>
  <c r="W2608" i="1"/>
  <c r="W2607" i="1"/>
  <c r="W2606" i="1"/>
  <c r="W2605" i="1"/>
  <c r="W2604" i="1"/>
  <c r="W2603" i="1"/>
  <c r="W2602" i="1"/>
  <c r="W2601" i="1"/>
  <c r="W2600" i="1"/>
  <c r="W2599" i="1"/>
  <c r="W2598" i="1"/>
  <c r="W2597" i="1"/>
  <c r="W2596" i="1"/>
  <c r="W2595" i="1"/>
  <c r="W2594" i="1"/>
  <c r="W2593" i="1"/>
  <c r="W2592" i="1"/>
  <c r="W2591" i="1"/>
  <c r="W2590" i="1"/>
  <c r="W2589" i="1"/>
  <c r="W2588" i="1"/>
  <c r="W2587" i="1"/>
  <c r="W2586" i="1"/>
  <c r="W2585" i="1"/>
  <c r="W2584" i="1"/>
  <c r="W2583" i="1"/>
  <c r="W2582" i="1"/>
  <c r="W2581" i="1"/>
  <c r="W2580" i="1"/>
  <c r="W2579" i="1"/>
  <c r="W2578" i="1"/>
  <c r="W2577" i="1"/>
  <c r="W2576" i="1"/>
  <c r="W2575" i="1"/>
  <c r="W2574" i="1"/>
  <c r="W2573" i="1"/>
  <c r="W2572" i="1"/>
  <c r="W2571" i="1"/>
  <c r="W2570" i="1"/>
  <c r="W2569" i="1"/>
  <c r="W2568" i="1"/>
  <c r="W2567" i="1"/>
  <c r="W2566" i="1"/>
  <c r="W2565" i="1"/>
  <c r="W2564" i="1"/>
  <c r="W2563" i="1"/>
  <c r="W2562" i="1"/>
  <c r="W2561" i="1"/>
  <c r="W2560" i="1"/>
  <c r="W2559" i="1"/>
  <c r="W2558" i="1"/>
  <c r="W2557" i="1"/>
  <c r="W2556" i="1"/>
  <c r="W2555" i="1"/>
  <c r="W2554" i="1"/>
  <c r="W2553" i="1"/>
  <c r="W2552" i="1"/>
  <c r="W2551" i="1"/>
  <c r="W2550" i="1"/>
  <c r="W2549" i="1"/>
  <c r="W2548" i="1"/>
  <c r="W2547" i="1"/>
  <c r="W2546" i="1"/>
  <c r="W2545" i="1"/>
  <c r="W2544" i="1"/>
  <c r="W2543" i="1"/>
  <c r="W2542" i="1"/>
  <c r="W2541" i="1"/>
  <c r="W2540" i="1"/>
  <c r="W2539" i="1"/>
  <c r="W2538" i="1"/>
  <c r="W2537" i="1"/>
  <c r="W2536" i="1"/>
  <c r="W2535" i="1"/>
  <c r="W2534" i="1"/>
  <c r="W2533" i="1"/>
  <c r="W2532" i="1"/>
  <c r="W2531" i="1"/>
  <c r="W2530" i="1"/>
  <c r="W2529" i="1"/>
  <c r="W2528" i="1"/>
  <c r="W2527" i="1"/>
  <c r="W2526" i="1"/>
  <c r="W2525" i="1"/>
  <c r="W2524" i="1"/>
  <c r="W2523" i="1"/>
  <c r="W2522" i="1"/>
  <c r="W2521" i="1"/>
  <c r="W2520" i="1"/>
  <c r="W2519" i="1"/>
  <c r="W2518" i="1"/>
  <c r="W2517" i="1"/>
  <c r="W2516" i="1"/>
  <c r="W2515" i="1"/>
  <c r="W2514" i="1"/>
  <c r="W2513" i="1"/>
  <c r="W2512" i="1"/>
  <c r="W2511" i="1"/>
  <c r="W2510" i="1"/>
  <c r="W2509" i="1"/>
  <c r="W2508" i="1"/>
  <c r="W2507" i="1"/>
  <c r="W2506" i="1"/>
  <c r="W2505" i="1"/>
  <c r="W2504" i="1"/>
  <c r="W2503" i="1"/>
  <c r="W2502" i="1"/>
  <c r="W2501" i="1"/>
  <c r="W2500" i="1"/>
  <c r="W2499" i="1"/>
  <c r="W2498" i="1"/>
  <c r="W2497" i="1"/>
  <c r="W2496" i="1"/>
  <c r="W2495" i="1"/>
  <c r="W2494" i="1"/>
  <c r="W2493" i="1"/>
  <c r="W2492" i="1"/>
  <c r="W2491" i="1"/>
  <c r="W2490" i="1"/>
  <c r="W2489" i="1"/>
  <c r="W2488" i="1"/>
  <c r="W2487" i="1"/>
  <c r="W2486" i="1"/>
  <c r="W2485" i="1"/>
  <c r="W2484" i="1"/>
  <c r="W2483" i="1"/>
  <c r="W2482" i="1"/>
  <c r="W2481" i="1"/>
  <c r="W2480" i="1"/>
  <c r="W2479" i="1"/>
  <c r="W2478" i="1"/>
  <c r="W2477" i="1"/>
  <c r="W2476" i="1"/>
  <c r="W2475" i="1"/>
  <c r="W2474" i="1"/>
  <c r="W2473" i="1"/>
  <c r="W2472" i="1"/>
  <c r="W2471" i="1"/>
  <c r="W2470" i="1"/>
  <c r="W2469" i="1"/>
  <c r="W2468" i="1"/>
  <c r="W2467" i="1"/>
  <c r="W2466" i="1"/>
  <c r="W2465" i="1"/>
  <c r="W2464" i="1"/>
  <c r="W2463" i="1"/>
  <c r="W2462" i="1"/>
  <c r="W2461" i="1"/>
  <c r="W2460" i="1"/>
  <c r="W2459" i="1"/>
  <c r="W2458" i="1"/>
  <c r="W2457" i="1"/>
  <c r="W2456" i="1"/>
  <c r="W2455" i="1"/>
  <c r="W2454" i="1"/>
  <c r="W2453" i="1"/>
  <c r="W2452" i="1"/>
  <c r="W2451" i="1"/>
  <c r="W2450" i="1"/>
  <c r="W2449" i="1"/>
  <c r="W2448" i="1"/>
  <c r="W2447" i="1"/>
  <c r="W2446" i="1"/>
  <c r="W2445" i="1"/>
  <c r="W2444" i="1"/>
  <c r="W2443" i="1"/>
  <c r="W2442" i="1"/>
  <c r="W2441" i="1"/>
  <c r="W2440" i="1"/>
  <c r="W2439" i="1"/>
  <c r="W2438" i="1"/>
  <c r="W2437" i="1"/>
  <c r="W2436" i="1"/>
  <c r="W2435" i="1"/>
  <c r="W2434" i="1"/>
  <c r="W2433" i="1"/>
  <c r="W2432" i="1"/>
  <c r="W2431" i="1"/>
  <c r="W2430" i="1"/>
  <c r="W2429" i="1"/>
  <c r="W2428" i="1"/>
  <c r="W2427" i="1"/>
  <c r="W2426" i="1"/>
  <c r="W2425" i="1"/>
  <c r="W2424" i="1"/>
  <c r="W2423" i="1"/>
  <c r="W2422" i="1"/>
  <c r="W2421" i="1"/>
  <c r="W2420" i="1"/>
  <c r="W2419" i="1"/>
  <c r="W2418" i="1"/>
  <c r="W2417" i="1"/>
  <c r="W2416" i="1"/>
  <c r="W2415" i="1"/>
  <c r="W2414" i="1"/>
  <c r="W2413" i="1"/>
  <c r="W2412" i="1"/>
  <c r="W2411" i="1"/>
  <c r="W2410" i="1"/>
  <c r="W2409" i="1"/>
  <c r="W2408" i="1"/>
  <c r="W2407" i="1"/>
  <c r="W2406" i="1"/>
  <c r="W2405" i="1"/>
  <c r="W2404" i="1"/>
  <c r="W2403" i="1"/>
  <c r="W2402" i="1"/>
  <c r="W2401" i="1"/>
  <c r="W2400" i="1"/>
  <c r="W2399" i="1"/>
  <c r="W2398" i="1"/>
  <c r="W2397" i="1"/>
  <c r="W2396" i="1"/>
  <c r="W2395" i="1"/>
  <c r="W2394" i="1"/>
  <c r="W2393" i="1"/>
  <c r="W2392" i="1"/>
  <c r="W2391" i="1"/>
  <c r="W2390" i="1"/>
  <c r="W2389" i="1"/>
  <c r="W2388" i="1"/>
  <c r="W2387" i="1"/>
  <c r="W2386" i="1"/>
  <c r="W2385" i="1"/>
  <c r="W2384" i="1"/>
  <c r="W2383" i="1"/>
  <c r="W2382" i="1"/>
  <c r="W2381" i="1"/>
  <c r="W2380" i="1"/>
  <c r="W2379" i="1"/>
  <c r="W2378" i="1"/>
  <c r="W2377" i="1"/>
  <c r="W2376" i="1"/>
  <c r="W2375" i="1"/>
  <c r="W2374" i="1"/>
  <c r="W2373" i="1"/>
  <c r="W2372" i="1"/>
  <c r="W2371" i="1"/>
  <c r="W2370" i="1"/>
  <c r="W2369" i="1"/>
  <c r="W2368" i="1"/>
  <c r="W2367" i="1"/>
  <c r="W2366" i="1"/>
  <c r="W2365" i="1"/>
  <c r="W2364" i="1"/>
  <c r="W2363" i="1"/>
  <c r="W2362" i="1"/>
  <c r="W2361" i="1"/>
  <c r="W2360" i="1"/>
  <c r="W2359" i="1"/>
  <c r="W2358" i="1"/>
  <c r="W2357" i="1"/>
  <c r="W2356" i="1"/>
  <c r="W2355" i="1"/>
  <c r="W2354" i="1"/>
  <c r="W2353" i="1"/>
  <c r="W2352" i="1"/>
  <c r="W2351" i="1"/>
  <c r="W2350" i="1"/>
  <c r="W2349" i="1"/>
  <c r="W2348" i="1"/>
  <c r="W2347" i="1"/>
  <c r="W2346" i="1"/>
  <c r="W2345" i="1"/>
  <c r="W2344" i="1"/>
  <c r="W2343" i="1"/>
  <c r="W2342" i="1"/>
  <c r="W2341" i="1"/>
  <c r="W2340" i="1"/>
  <c r="W2339" i="1"/>
  <c r="W2338" i="1"/>
  <c r="W2337" i="1"/>
  <c r="W2336" i="1"/>
  <c r="W2335" i="1"/>
  <c r="W2334" i="1"/>
  <c r="W2333" i="1"/>
  <c r="W2332" i="1"/>
  <c r="W2331" i="1"/>
  <c r="W2330" i="1"/>
  <c r="W2329" i="1"/>
  <c r="W2328" i="1"/>
  <c r="W2327" i="1"/>
  <c r="W2326" i="1"/>
  <c r="W2325" i="1"/>
  <c r="W2324" i="1"/>
  <c r="W2323" i="1"/>
  <c r="W2322" i="1"/>
  <c r="W2321" i="1"/>
  <c r="W2320" i="1"/>
  <c r="W2319" i="1"/>
  <c r="W2318" i="1"/>
  <c r="W2317" i="1"/>
  <c r="W2316" i="1"/>
  <c r="W2315" i="1"/>
  <c r="W2314" i="1"/>
  <c r="W2313" i="1"/>
  <c r="W2312" i="1"/>
  <c r="W2311" i="1"/>
  <c r="W2310" i="1"/>
  <c r="W2309" i="1"/>
  <c r="W2308" i="1"/>
  <c r="W2307" i="1"/>
  <c r="W2306" i="1"/>
  <c r="W2305" i="1"/>
  <c r="W2304" i="1"/>
  <c r="W2303" i="1"/>
  <c r="W2302" i="1"/>
  <c r="W2301" i="1"/>
  <c r="W2300" i="1"/>
  <c r="W2299" i="1"/>
  <c r="W2298" i="1"/>
  <c r="W2297" i="1"/>
  <c r="W2296" i="1"/>
  <c r="W2295" i="1"/>
  <c r="W2294" i="1"/>
  <c r="W2293" i="1"/>
  <c r="W2292" i="1"/>
  <c r="W2291" i="1"/>
  <c r="W2290" i="1"/>
  <c r="W2289" i="1"/>
  <c r="W2288" i="1"/>
  <c r="W2287" i="1"/>
  <c r="W2286" i="1"/>
  <c r="W2285" i="1"/>
  <c r="W2284" i="1"/>
  <c r="W2283" i="1"/>
  <c r="W2282" i="1"/>
  <c r="W2281" i="1"/>
  <c r="W2280" i="1"/>
  <c r="W2279" i="1"/>
  <c r="W2278" i="1"/>
  <c r="W2277" i="1"/>
  <c r="W2276" i="1"/>
  <c r="W2275" i="1"/>
  <c r="W2274" i="1"/>
  <c r="W2273" i="1"/>
  <c r="W2272" i="1"/>
  <c r="W2271" i="1"/>
  <c r="W2270" i="1"/>
  <c r="W2269" i="1"/>
  <c r="W2268" i="1"/>
  <c r="W2267" i="1"/>
  <c r="W2266" i="1"/>
  <c r="W2265" i="1"/>
  <c r="W2264" i="1"/>
  <c r="W2263" i="1"/>
  <c r="W2262" i="1"/>
  <c r="W2261" i="1"/>
  <c r="W2260" i="1"/>
  <c r="W2259" i="1"/>
  <c r="W2258" i="1"/>
  <c r="W2257" i="1"/>
  <c r="W2256" i="1"/>
  <c r="W2255" i="1"/>
  <c r="W2254" i="1"/>
  <c r="W2253" i="1"/>
  <c r="W2252" i="1"/>
  <c r="W2251" i="1"/>
  <c r="W2250" i="1"/>
  <c r="W2249" i="1"/>
  <c r="W2248" i="1"/>
  <c r="W2247" i="1"/>
  <c r="W2246" i="1"/>
  <c r="W2245" i="1"/>
  <c r="W2244" i="1"/>
  <c r="W2243" i="1"/>
  <c r="W2242" i="1"/>
  <c r="W2241" i="1"/>
  <c r="W2240" i="1"/>
  <c r="W2239" i="1"/>
  <c r="W2238" i="1"/>
  <c r="W2237" i="1"/>
  <c r="W2236" i="1"/>
  <c r="W2235" i="1"/>
  <c r="W2234" i="1"/>
  <c r="W2233" i="1"/>
  <c r="W2232" i="1"/>
  <c r="W2231" i="1"/>
  <c r="W2230" i="1"/>
  <c r="W2229" i="1"/>
  <c r="W2228" i="1"/>
  <c r="W2227" i="1"/>
  <c r="W2226" i="1"/>
  <c r="W2225" i="1"/>
  <c r="W2224" i="1"/>
  <c r="W2223" i="1"/>
  <c r="W2222" i="1"/>
  <c r="W2221" i="1"/>
  <c r="W2220" i="1"/>
  <c r="W2219" i="1"/>
  <c r="W2218" i="1"/>
  <c r="W2217" i="1"/>
  <c r="W2216" i="1"/>
  <c r="W2215" i="1"/>
  <c r="W2214" i="1"/>
  <c r="W2213" i="1"/>
  <c r="W2212" i="1"/>
  <c r="W2211" i="1"/>
  <c r="W2210" i="1"/>
  <c r="W2209" i="1"/>
  <c r="W2208" i="1"/>
  <c r="W2207" i="1"/>
  <c r="W2206" i="1"/>
  <c r="W2205" i="1"/>
  <c r="W2204" i="1"/>
  <c r="W2203" i="1"/>
  <c r="W2202" i="1"/>
  <c r="W2201" i="1"/>
  <c r="W2200" i="1"/>
  <c r="W2199" i="1"/>
  <c r="W2198" i="1"/>
  <c r="W2197" i="1"/>
  <c r="W2196" i="1"/>
  <c r="W2195" i="1"/>
  <c r="W2194" i="1"/>
  <c r="W2193" i="1"/>
  <c r="W2192" i="1"/>
  <c r="W2191" i="1"/>
  <c r="W2190" i="1"/>
  <c r="W2189" i="1"/>
  <c r="W2188" i="1"/>
  <c r="W2187" i="1"/>
  <c r="W2186" i="1"/>
  <c r="W2185" i="1"/>
  <c r="W2184" i="1"/>
  <c r="W2183" i="1"/>
  <c r="W2182" i="1"/>
  <c r="W2181" i="1"/>
  <c r="W2180" i="1"/>
  <c r="W2179" i="1"/>
  <c r="W2178" i="1"/>
  <c r="W2177" i="1"/>
  <c r="W2176" i="1"/>
  <c r="W2175" i="1"/>
  <c r="W2174" i="1"/>
  <c r="W2173" i="1"/>
  <c r="W2172" i="1"/>
  <c r="W2171" i="1"/>
  <c r="W2170" i="1"/>
  <c r="W2169" i="1"/>
  <c r="W2168" i="1"/>
  <c r="W2167" i="1"/>
  <c r="W2166" i="1"/>
  <c r="W2165" i="1"/>
  <c r="W2164" i="1"/>
  <c r="W2163" i="1"/>
  <c r="W2162" i="1"/>
  <c r="W2161" i="1"/>
  <c r="W2160" i="1"/>
  <c r="W2159" i="1"/>
  <c r="W2158" i="1"/>
  <c r="W2157" i="1"/>
  <c r="W2156" i="1"/>
  <c r="W2155" i="1"/>
  <c r="W2154" i="1"/>
  <c r="W2153" i="1"/>
  <c r="W2152" i="1"/>
  <c r="W2151" i="1"/>
  <c r="W2150" i="1"/>
  <c r="W2149" i="1"/>
  <c r="W2148" i="1"/>
  <c r="W2147" i="1"/>
  <c r="W2146" i="1"/>
  <c r="W2145" i="1"/>
  <c r="W2144" i="1"/>
  <c r="W2143" i="1"/>
  <c r="W2142" i="1"/>
  <c r="W2141" i="1"/>
  <c r="W2140" i="1"/>
  <c r="W2139" i="1"/>
  <c r="W2138" i="1"/>
  <c r="W2137" i="1"/>
  <c r="W2136" i="1"/>
  <c r="W2135" i="1"/>
  <c r="W2134" i="1"/>
  <c r="W2133" i="1"/>
  <c r="W2132" i="1"/>
  <c r="W2131" i="1"/>
  <c r="W2130" i="1"/>
  <c r="W2129" i="1"/>
  <c r="W2128" i="1"/>
  <c r="W2127" i="1"/>
  <c r="W2126" i="1"/>
  <c r="W2125" i="1"/>
  <c r="W2124" i="1"/>
  <c r="W2123" i="1"/>
  <c r="W2122" i="1"/>
  <c r="W2121" i="1"/>
  <c r="W2120" i="1"/>
  <c r="W2119" i="1"/>
  <c r="W2118" i="1"/>
  <c r="W2117" i="1"/>
  <c r="W2116" i="1"/>
  <c r="W2115" i="1"/>
  <c r="W2114" i="1"/>
  <c r="W2113" i="1"/>
  <c r="W2112" i="1"/>
  <c r="W2111" i="1"/>
  <c r="W2110" i="1"/>
  <c r="W2109" i="1"/>
  <c r="W2108" i="1"/>
  <c r="W2107" i="1"/>
  <c r="W2106" i="1"/>
  <c r="W2105" i="1"/>
  <c r="W2104" i="1"/>
  <c r="W2103" i="1"/>
  <c r="W2102" i="1"/>
  <c r="W2101" i="1"/>
  <c r="W2100" i="1"/>
  <c r="W2099" i="1"/>
  <c r="W2098" i="1"/>
  <c r="W2097" i="1"/>
  <c r="W2096" i="1"/>
  <c r="W2095" i="1"/>
  <c r="W2094" i="1"/>
  <c r="W2093" i="1"/>
  <c r="W2092" i="1"/>
  <c r="W2091" i="1"/>
  <c r="W2090" i="1"/>
  <c r="W2089" i="1"/>
  <c r="W2088" i="1"/>
  <c r="W2087" i="1"/>
  <c r="W2086" i="1"/>
  <c r="W2085" i="1"/>
  <c r="W2084" i="1"/>
  <c r="W2083" i="1"/>
  <c r="W2082" i="1"/>
  <c r="W2081" i="1"/>
  <c r="W2080" i="1"/>
  <c r="W2079" i="1"/>
  <c r="W2078" i="1"/>
  <c r="W2077" i="1"/>
  <c r="W2076" i="1"/>
  <c r="W2075" i="1"/>
  <c r="W2074" i="1"/>
  <c r="W2073" i="1"/>
  <c r="W2072" i="1"/>
  <c r="W2071" i="1"/>
  <c r="W2070" i="1"/>
  <c r="W2069" i="1"/>
  <c r="W2068" i="1"/>
  <c r="W2067" i="1"/>
  <c r="W2066" i="1"/>
  <c r="W2065" i="1"/>
  <c r="W2064" i="1"/>
  <c r="W2063" i="1"/>
  <c r="W2062" i="1"/>
  <c r="W2061" i="1"/>
  <c r="W2060" i="1"/>
  <c r="W2059" i="1"/>
  <c r="W2058" i="1"/>
  <c r="W2057" i="1"/>
  <c r="W2056" i="1"/>
  <c r="W2055" i="1"/>
  <c r="W2054" i="1"/>
  <c r="W2053" i="1"/>
  <c r="W2052" i="1"/>
  <c r="W2051" i="1"/>
  <c r="W2050" i="1"/>
  <c r="W2049" i="1"/>
  <c r="W2048" i="1"/>
  <c r="W2047" i="1"/>
  <c r="W2046" i="1"/>
  <c r="W2045" i="1"/>
  <c r="W2044" i="1"/>
  <c r="W2043" i="1"/>
  <c r="W2042" i="1"/>
  <c r="W2041" i="1"/>
  <c r="W2040" i="1"/>
  <c r="W2039" i="1"/>
  <c r="W2038" i="1"/>
  <c r="W2037" i="1"/>
  <c r="W2036" i="1"/>
  <c r="W2035" i="1"/>
  <c r="W2034" i="1"/>
  <c r="W2033" i="1"/>
  <c r="W2032" i="1"/>
  <c r="W2031" i="1"/>
  <c r="W2030" i="1"/>
  <c r="W2029" i="1"/>
  <c r="W2028" i="1"/>
  <c r="W2027" i="1"/>
  <c r="W2026" i="1"/>
  <c r="W2025" i="1"/>
  <c r="W2024" i="1"/>
  <c r="W2023" i="1"/>
  <c r="W2022" i="1"/>
  <c r="W2021" i="1"/>
  <c r="W2020" i="1"/>
  <c r="W2019" i="1"/>
  <c r="W2018" i="1"/>
  <c r="W2017" i="1"/>
  <c r="W2016" i="1"/>
  <c r="W2015" i="1"/>
  <c r="W2014" i="1"/>
  <c r="W2013" i="1"/>
  <c r="W2012" i="1"/>
  <c r="W2011" i="1"/>
  <c r="W2010" i="1"/>
  <c r="W2009" i="1"/>
  <c r="W2008" i="1"/>
  <c r="W2007" i="1"/>
  <c r="W2006" i="1"/>
  <c r="W2005" i="1"/>
  <c r="W2004" i="1"/>
  <c r="W2003" i="1"/>
  <c r="W2002" i="1"/>
  <c r="W2001" i="1"/>
  <c r="W2000" i="1"/>
  <c r="W1999" i="1"/>
  <c r="W1998" i="1"/>
  <c r="W1997" i="1"/>
  <c r="W1996" i="1"/>
  <c r="W1995" i="1"/>
  <c r="W1994" i="1"/>
  <c r="W1993" i="1"/>
  <c r="W1992" i="1"/>
  <c r="W1991" i="1"/>
  <c r="W1990" i="1"/>
  <c r="W1989" i="1"/>
  <c r="W1988" i="1"/>
  <c r="W1987" i="1"/>
  <c r="W1986" i="1"/>
  <c r="W1985" i="1"/>
  <c r="W1984" i="1"/>
  <c r="W1983" i="1"/>
  <c r="W1982" i="1"/>
  <c r="W1981" i="1"/>
  <c r="W1980" i="1"/>
  <c r="W1979" i="1"/>
  <c r="W1978" i="1"/>
  <c r="W1977" i="1"/>
  <c r="W1976" i="1"/>
  <c r="W1975" i="1"/>
  <c r="W1974" i="1"/>
  <c r="W1973" i="1"/>
  <c r="W1972" i="1"/>
  <c r="W1971" i="1"/>
  <c r="W1970" i="1"/>
  <c r="W1969" i="1"/>
  <c r="W1968" i="1"/>
  <c r="W1967" i="1"/>
  <c r="W1966" i="1"/>
  <c r="W1965" i="1"/>
  <c r="W1964" i="1"/>
  <c r="W1963" i="1"/>
  <c r="W1962" i="1"/>
  <c r="W1961" i="1"/>
  <c r="W1960" i="1"/>
  <c r="W1959" i="1"/>
  <c r="W1958" i="1"/>
  <c r="W1957" i="1"/>
  <c r="W1956" i="1"/>
  <c r="W1955" i="1"/>
  <c r="W1954" i="1"/>
  <c r="W1953" i="1"/>
  <c r="W1952" i="1"/>
  <c r="W1951" i="1"/>
  <c r="W1950" i="1"/>
  <c r="W1949" i="1"/>
  <c r="W1948" i="1"/>
  <c r="W1947" i="1"/>
  <c r="W1946" i="1"/>
  <c r="W1945" i="1"/>
  <c r="W1944" i="1"/>
  <c r="W1943" i="1"/>
  <c r="W1942" i="1"/>
  <c r="W1941" i="1"/>
  <c r="W1940" i="1"/>
  <c r="W1939" i="1"/>
  <c r="W1938" i="1"/>
  <c r="W1937" i="1"/>
  <c r="W1936" i="1"/>
  <c r="W1935" i="1"/>
  <c r="W1934" i="1"/>
  <c r="W1933" i="1"/>
  <c r="W1932" i="1"/>
  <c r="W1931" i="1"/>
  <c r="W1930" i="1"/>
  <c r="W1929" i="1"/>
  <c r="W1928" i="1"/>
  <c r="W1927" i="1"/>
  <c r="W1926" i="1"/>
  <c r="W1925" i="1"/>
  <c r="W1924" i="1"/>
  <c r="W1923" i="1"/>
  <c r="W1922" i="1"/>
  <c r="W1921" i="1"/>
  <c r="W1920" i="1"/>
  <c r="W1919" i="1"/>
  <c r="W1918" i="1"/>
  <c r="W1917" i="1"/>
  <c r="W1916" i="1"/>
  <c r="W1915" i="1"/>
  <c r="W1914" i="1"/>
  <c r="W1913" i="1"/>
  <c r="W1912" i="1"/>
  <c r="W1911" i="1"/>
  <c r="W1910" i="1"/>
  <c r="W1909" i="1"/>
  <c r="W1908" i="1"/>
  <c r="W1907" i="1"/>
  <c r="W1906" i="1"/>
  <c r="W1905" i="1"/>
  <c r="W1904" i="1"/>
  <c r="W1903" i="1"/>
  <c r="W1902" i="1"/>
  <c r="W1901" i="1"/>
  <c r="W1900" i="1"/>
  <c r="W1899" i="1"/>
  <c r="W1898" i="1"/>
  <c r="W1897" i="1"/>
  <c r="W1896" i="1"/>
  <c r="W1895" i="1"/>
  <c r="W1894" i="1"/>
  <c r="W1893" i="1"/>
  <c r="W1892" i="1"/>
  <c r="W1891" i="1"/>
  <c r="W1890" i="1"/>
  <c r="W1889" i="1"/>
  <c r="W1888" i="1"/>
  <c r="W1887" i="1"/>
  <c r="W1886" i="1"/>
  <c r="W1885" i="1"/>
  <c r="W1884" i="1"/>
  <c r="W1883" i="1"/>
  <c r="W1882" i="1"/>
  <c r="W1881" i="1"/>
  <c r="W1880" i="1"/>
  <c r="W1879" i="1"/>
  <c r="W1878" i="1"/>
  <c r="W1877" i="1"/>
  <c r="W1876" i="1"/>
  <c r="W1875" i="1"/>
  <c r="W1874" i="1"/>
  <c r="W1873" i="1"/>
  <c r="W1872" i="1"/>
  <c r="W1871" i="1"/>
  <c r="W1870" i="1"/>
  <c r="W1869" i="1"/>
  <c r="W1868" i="1"/>
  <c r="W1867" i="1"/>
  <c r="W1866" i="1"/>
  <c r="W1865" i="1"/>
  <c r="W1864" i="1"/>
  <c r="W1863" i="1"/>
  <c r="W1862" i="1"/>
  <c r="W1861" i="1"/>
  <c r="W1860" i="1"/>
  <c r="W1859" i="1"/>
  <c r="W1858" i="1"/>
  <c r="W1857" i="1"/>
  <c r="W1856" i="1"/>
  <c r="W1855" i="1"/>
  <c r="W1854" i="1"/>
  <c r="W1853" i="1"/>
  <c r="W1852" i="1"/>
  <c r="W1851" i="1"/>
  <c r="W1850" i="1"/>
  <c r="W1849" i="1"/>
  <c r="W1848" i="1"/>
  <c r="W1847" i="1"/>
  <c r="W1846" i="1"/>
  <c r="W1845" i="1"/>
  <c r="W1844" i="1"/>
  <c r="W1843" i="1"/>
  <c r="W1842" i="1"/>
  <c r="W1841" i="1"/>
  <c r="W1840" i="1"/>
  <c r="W1839" i="1"/>
  <c r="W1838" i="1"/>
  <c r="W1837" i="1"/>
  <c r="W1836" i="1"/>
  <c r="W1835" i="1"/>
  <c r="W1834" i="1"/>
  <c r="W1833" i="1"/>
  <c r="W1832" i="1"/>
  <c r="W1831" i="1"/>
  <c r="W1830" i="1"/>
  <c r="W1829" i="1"/>
  <c r="W1828" i="1"/>
  <c r="W1827" i="1"/>
  <c r="W1826" i="1"/>
  <c r="W1825" i="1"/>
  <c r="W1824" i="1"/>
  <c r="W1823" i="1"/>
  <c r="W1822" i="1"/>
  <c r="W1821" i="1"/>
  <c r="W1820" i="1"/>
  <c r="W1819" i="1"/>
  <c r="W1818" i="1"/>
  <c r="W1817" i="1"/>
  <c r="W1816" i="1"/>
  <c r="W1815" i="1"/>
  <c r="W1814" i="1"/>
  <c r="W1813" i="1"/>
  <c r="W1812" i="1"/>
  <c r="W1811" i="1"/>
  <c r="W1810" i="1"/>
  <c r="W1809" i="1"/>
  <c r="W1808" i="1"/>
  <c r="W1807" i="1"/>
  <c r="W1806" i="1"/>
  <c r="W1805" i="1"/>
  <c r="W1804" i="1"/>
  <c r="W1803" i="1"/>
  <c r="W1802" i="1"/>
  <c r="W1801" i="1"/>
  <c r="W1800" i="1"/>
  <c r="W1799" i="1"/>
  <c r="W1798" i="1"/>
  <c r="W1797" i="1"/>
  <c r="W1796" i="1"/>
  <c r="W1795" i="1"/>
  <c r="W1794" i="1"/>
  <c r="W1793" i="1"/>
  <c r="W1792" i="1"/>
  <c r="W1791" i="1"/>
  <c r="W1790" i="1"/>
  <c r="W1789" i="1"/>
  <c r="W1788" i="1"/>
  <c r="W1787" i="1"/>
  <c r="W1786" i="1"/>
  <c r="W1785" i="1"/>
  <c r="W1784" i="1"/>
  <c r="W1783" i="1"/>
  <c r="W1782" i="1"/>
  <c r="W1781" i="1"/>
  <c r="W1780" i="1"/>
  <c r="W1779" i="1"/>
  <c r="W1778" i="1"/>
  <c r="W1777" i="1"/>
  <c r="W1776" i="1"/>
  <c r="W1775" i="1"/>
  <c r="W1774" i="1"/>
  <c r="W1773" i="1"/>
  <c r="W1772" i="1"/>
  <c r="W1771" i="1"/>
  <c r="W1770" i="1"/>
  <c r="W1769" i="1"/>
  <c r="W1768" i="1"/>
  <c r="W1767" i="1"/>
  <c r="W1766" i="1"/>
  <c r="W1765" i="1"/>
  <c r="W1764" i="1"/>
  <c r="W1763" i="1"/>
  <c r="W1762" i="1"/>
  <c r="W1761" i="1"/>
  <c r="W1760" i="1"/>
  <c r="W1759" i="1"/>
  <c r="W1758" i="1"/>
  <c r="W1757" i="1"/>
  <c r="W1756" i="1"/>
  <c r="W1755" i="1"/>
  <c r="W1754" i="1"/>
  <c r="W1753" i="1"/>
  <c r="W1752" i="1"/>
  <c r="W1751" i="1"/>
  <c r="W1750" i="1"/>
  <c r="W1749" i="1"/>
  <c r="W1748" i="1"/>
  <c r="W1747" i="1"/>
  <c r="W1746" i="1"/>
  <c r="W1745" i="1"/>
  <c r="W1744" i="1"/>
  <c r="W1743" i="1"/>
  <c r="W1742" i="1"/>
  <c r="W1741" i="1"/>
  <c r="W1740" i="1"/>
  <c r="W1739" i="1"/>
  <c r="W1738" i="1"/>
  <c r="W1737" i="1"/>
  <c r="W1736" i="1"/>
  <c r="W1735" i="1"/>
  <c r="W1734" i="1"/>
  <c r="W1733" i="1"/>
  <c r="W1732" i="1"/>
  <c r="W1731" i="1"/>
  <c r="W1730" i="1"/>
  <c r="W1729" i="1"/>
  <c r="W1728" i="1"/>
  <c r="W1727" i="1"/>
  <c r="W1726" i="1"/>
  <c r="W1725" i="1"/>
  <c r="W1724" i="1"/>
  <c r="W1723" i="1"/>
  <c r="W1722" i="1"/>
  <c r="W1721" i="1"/>
  <c r="W1720" i="1"/>
  <c r="W1719" i="1"/>
  <c r="W1718" i="1"/>
  <c r="W1717" i="1"/>
  <c r="W1716" i="1"/>
  <c r="W1715" i="1"/>
  <c r="W1714" i="1"/>
  <c r="W1713" i="1"/>
  <c r="W1712" i="1"/>
  <c r="W1711" i="1"/>
  <c r="W1710" i="1"/>
  <c r="W1709" i="1"/>
  <c r="W1708" i="1"/>
  <c r="W1707" i="1"/>
  <c r="W1706" i="1"/>
  <c r="W1705" i="1"/>
  <c r="W1704" i="1"/>
  <c r="W1703" i="1"/>
  <c r="W1702" i="1"/>
  <c r="W1701" i="1"/>
  <c r="W1700" i="1"/>
  <c r="W1699" i="1"/>
  <c r="W1698" i="1"/>
  <c r="W1697" i="1"/>
  <c r="W1696" i="1"/>
  <c r="W1695" i="1"/>
  <c r="W1694" i="1"/>
  <c r="W1693" i="1"/>
  <c r="W1692" i="1"/>
  <c r="W1691" i="1"/>
  <c r="W1690" i="1"/>
  <c r="W1689" i="1"/>
  <c r="W1688" i="1"/>
  <c r="W1687" i="1"/>
  <c r="W1686" i="1"/>
  <c r="W1685" i="1"/>
  <c r="W1684" i="1"/>
  <c r="W1683" i="1"/>
  <c r="W1682" i="1"/>
  <c r="W1681" i="1"/>
  <c r="W1680" i="1"/>
  <c r="W1679" i="1"/>
  <c r="W1678" i="1"/>
  <c r="W1677" i="1"/>
  <c r="W1676" i="1"/>
  <c r="W1675" i="1"/>
  <c r="W1674" i="1"/>
  <c r="W1673" i="1"/>
  <c r="W1672" i="1"/>
  <c r="W1671" i="1"/>
  <c r="W1670" i="1"/>
  <c r="W1669" i="1"/>
  <c r="W1668" i="1"/>
  <c r="W1667" i="1"/>
  <c r="W1666" i="1"/>
  <c r="W1665" i="1"/>
  <c r="W1664" i="1"/>
  <c r="W1663" i="1"/>
  <c r="W1662" i="1"/>
  <c r="W1661" i="1"/>
  <c r="W1660" i="1"/>
  <c r="W1659" i="1"/>
  <c r="W1658" i="1"/>
  <c r="W1657" i="1"/>
  <c r="W1656" i="1"/>
  <c r="W1655" i="1"/>
  <c r="W1654" i="1"/>
  <c r="W1653" i="1"/>
  <c r="W1652" i="1"/>
  <c r="W1651" i="1"/>
  <c r="W1650" i="1"/>
  <c r="W1649" i="1"/>
  <c r="W1648" i="1"/>
  <c r="W1647" i="1"/>
  <c r="W1646" i="1"/>
  <c r="W1645" i="1"/>
  <c r="W1644" i="1"/>
  <c r="W1643" i="1"/>
  <c r="W1642" i="1"/>
  <c r="W1641" i="1"/>
  <c r="W1640" i="1"/>
  <c r="W1639" i="1"/>
  <c r="W1638" i="1"/>
  <c r="W1637" i="1"/>
  <c r="W1636" i="1"/>
  <c r="W1635" i="1"/>
  <c r="W1634" i="1"/>
  <c r="W1633" i="1"/>
  <c r="W1632" i="1"/>
  <c r="W1631" i="1"/>
  <c r="W1630" i="1"/>
  <c r="W1629" i="1"/>
  <c r="W1628" i="1"/>
  <c r="W1627" i="1"/>
  <c r="W1626" i="1"/>
  <c r="W1625" i="1"/>
  <c r="W1624" i="1"/>
  <c r="W1623" i="1"/>
  <c r="W1622" i="1"/>
  <c r="W1621" i="1"/>
  <c r="W1620" i="1"/>
  <c r="W1619" i="1"/>
  <c r="W1618" i="1"/>
  <c r="W1617" i="1"/>
  <c r="W1616" i="1"/>
  <c r="W1615" i="1"/>
  <c r="W1614" i="1"/>
  <c r="W1613" i="1"/>
  <c r="W1612" i="1"/>
  <c r="W1611" i="1"/>
  <c r="W1610" i="1"/>
  <c r="W1609" i="1"/>
  <c r="W1608" i="1"/>
  <c r="W1607" i="1"/>
  <c r="W1606" i="1"/>
  <c r="W1605" i="1"/>
  <c r="W1604" i="1"/>
  <c r="W1603" i="1"/>
  <c r="W1602" i="1"/>
  <c r="W1601" i="1"/>
  <c r="W1600" i="1"/>
  <c r="W1599" i="1"/>
  <c r="W1598" i="1"/>
  <c r="W1597" i="1"/>
  <c r="W1596" i="1"/>
  <c r="W1595" i="1"/>
  <c r="W1594" i="1"/>
  <c r="W1593" i="1"/>
  <c r="W1592" i="1"/>
  <c r="W1591" i="1"/>
  <c r="W1590" i="1"/>
  <c r="W1589" i="1"/>
  <c r="W1588" i="1"/>
  <c r="W1587" i="1"/>
  <c r="W1586" i="1"/>
  <c r="W1585" i="1"/>
  <c r="W1584" i="1"/>
  <c r="W1583" i="1"/>
  <c r="W1582" i="1"/>
  <c r="W1581" i="1"/>
  <c r="W1580" i="1"/>
  <c r="W1579" i="1"/>
  <c r="W1578" i="1"/>
  <c r="W1577" i="1"/>
  <c r="W1576" i="1"/>
  <c r="W1575" i="1"/>
  <c r="W1574" i="1"/>
  <c r="W1573" i="1"/>
  <c r="W1572" i="1"/>
  <c r="W1571" i="1"/>
  <c r="W1570" i="1"/>
  <c r="W1569" i="1"/>
  <c r="W1568" i="1"/>
  <c r="W1567" i="1"/>
  <c r="W1566" i="1"/>
  <c r="W1565" i="1"/>
  <c r="W1564" i="1"/>
  <c r="W1563" i="1"/>
  <c r="W1562" i="1"/>
  <c r="W1561" i="1"/>
  <c r="W1560" i="1"/>
  <c r="W1559" i="1"/>
  <c r="W1558" i="1"/>
  <c r="W1557" i="1"/>
  <c r="W1556" i="1"/>
  <c r="W1555" i="1"/>
  <c r="W1554" i="1"/>
  <c r="W1553" i="1"/>
  <c r="W1552" i="1"/>
  <c r="W1551" i="1"/>
  <c r="W1550" i="1"/>
  <c r="W1549" i="1"/>
  <c r="W1548" i="1"/>
  <c r="W1547" i="1"/>
  <c r="W1546" i="1"/>
  <c r="W1545" i="1"/>
  <c r="W1544" i="1"/>
  <c r="W1543" i="1"/>
  <c r="W1542" i="1"/>
  <c r="W1541" i="1"/>
  <c r="W1540" i="1"/>
  <c r="W1539" i="1"/>
  <c r="W1538" i="1"/>
  <c r="W1537" i="1"/>
  <c r="W1536" i="1"/>
  <c r="W1535" i="1"/>
  <c r="W1534" i="1"/>
  <c r="W1533" i="1"/>
  <c r="W1532" i="1"/>
  <c r="W1531" i="1"/>
  <c r="W1530" i="1"/>
  <c r="W1529" i="1"/>
  <c r="W1528" i="1"/>
  <c r="W1527" i="1"/>
  <c r="W1526" i="1"/>
  <c r="W1525" i="1"/>
  <c r="W1524" i="1"/>
  <c r="W1523" i="1"/>
  <c r="W1522" i="1"/>
  <c r="W1521" i="1"/>
  <c r="W1520" i="1"/>
  <c r="W1519" i="1"/>
  <c r="W1518" i="1"/>
  <c r="W1517" i="1"/>
  <c r="W1516" i="1"/>
  <c r="W1515" i="1"/>
  <c r="W1514" i="1"/>
  <c r="W1513" i="1"/>
  <c r="W1512" i="1"/>
  <c r="W1511" i="1"/>
  <c r="W1510" i="1"/>
  <c r="W1509" i="1"/>
  <c r="W1508" i="1"/>
  <c r="W1507" i="1"/>
  <c r="W1506" i="1"/>
  <c r="W1505" i="1"/>
  <c r="W1504" i="1"/>
  <c r="W1503" i="1"/>
  <c r="W1502" i="1"/>
  <c r="W1501" i="1"/>
  <c r="W1500" i="1"/>
  <c r="W1499" i="1"/>
  <c r="W1498" i="1"/>
  <c r="W1497" i="1"/>
  <c r="W1496" i="1"/>
  <c r="W1495" i="1"/>
  <c r="W1494" i="1"/>
  <c r="W1493" i="1"/>
  <c r="W1492" i="1"/>
  <c r="W1491" i="1"/>
  <c r="W1490" i="1"/>
  <c r="W1489" i="1"/>
  <c r="W1488" i="1"/>
  <c r="W1487" i="1"/>
  <c r="W1486" i="1"/>
  <c r="W1485" i="1"/>
  <c r="W1484" i="1"/>
  <c r="W1483" i="1"/>
  <c r="W1482" i="1"/>
  <c r="W1481" i="1"/>
  <c r="W1480" i="1"/>
  <c r="W1479" i="1"/>
  <c r="W1478" i="1"/>
  <c r="W1477" i="1"/>
  <c r="W1476" i="1"/>
  <c r="W1475" i="1"/>
  <c r="W1474" i="1"/>
  <c r="W1473" i="1"/>
  <c r="W1472" i="1"/>
  <c r="W1471" i="1"/>
  <c r="W1470" i="1"/>
  <c r="W1469" i="1"/>
  <c r="W1468" i="1"/>
  <c r="W1467" i="1"/>
  <c r="W1466" i="1"/>
  <c r="W1465" i="1"/>
  <c r="W1464" i="1"/>
  <c r="W1463" i="1"/>
  <c r="W1462" i="1"/>
  <c r="W1461" i="1"/>
  <c r="W1460" i="1"/>
  <c r="W1459" i="1"/>
  <c r="W1458" i="1"/>
  <c r="W1457" i="1"/>
  <c r="W1456" i="1"/>
  <c r="W1455" i="1"/>
  <c r="W1454" i="1"/>
  <c r="W1453" i="1"/>
  <c r="W1452" i="1"/>
  <c r="W1451" i="1"/>
  <c r="W1450" i="1"/>
  <c r="W1449" i="1"/>
  <c r="W1448" i="1"/>
  <c r="W1447" i="1"/>
  <c r="W1446" i="1"/>
  <c r="W1445" i="1"/>
  <c r="W1444" i="1"/>
  <c r="W1443" i="1"/>
  <c r="W1442" i="1"/>
  <c r="W1441" i="1"/>
  <c r="W1440" i="1"/>
  <c r="W1439" i="1"/>
  <c r="W1438" i="1"/>
  <c r="W1437" i="1"/>
  <c r="W1436" i="1"/>
  <c r="W1435" i="1"/>
  <c r="W1434" i="1"/>
  <c r="W1433" i="1"/>
  <c r="W1432" i="1"/>
  <c r="W1431" i="1"/>
  <c r="W1430" i="1"/>
  <c r="W1429" i="1"/>
  <c r="W1428" i="1"/>
  <c r="W1427" i="1"/>
  <c r="W1426" i="1"/>
  <c r="W1425" i="1"/>
  <c r="W1424" i="1"/>
  <c r="W1423" i="1"/>
  <c r="W1422" i="1"/>
  <c r="W1421" i="1"/>
  <c r="W1420" i="1"/>
  <c r="W1419" i="1"/>
  <c r="W1418" i="1"/>
  <c r="W1417" i="1"/>
  <c r="W1416" i="1"/>
  <c r="W1415" i="1"/>
  <c r="W1414" i="1"/>
  <c r="W1413" i="1"/>
  <c r="W1412" i="1"/>
  <c r="W1411" i="1"/>
  <c r="W1410" i="1"/>
  <c r="W1409" i="1"/>
  <c r="W1408" i="1"/>
  <c r="W1407" i="1"/>
  <c r="W1406" i="1"/>
  <c r="W1405" i="1"/>
  <c r="W1404" i="1"/>
  <c r="W1403" i="1"/>
  <c r="W1402" i="1"/>
  <c r="W1401" i="1"/>
  <c r="W1400" i="1"/>
  <c r="W1399" i="1"/>
  <c r="W1398" i="1"/>
  <c r="W1397" i="1"/>
  <c r="W1396" i="1"/>
  <c r="W1395" i="1"/>
  <c r="W1394" i="1"/>
  <c r="W1393" i="1"/>
  <c r="W1392" i="1"/>
  <c r="W1391" i="1"/>
  <c r="W1390" i="1"/>
  <c r="W1389" i="1"/>
  <c r="W1388" i="1"/>
  <c r="W1387" i="1"/>
  <c r="W1386" i="1"/>
  <c r="W1385" i="1"/>
  <c r="W1384" i="1"/>
  <c r="W1383" i="1"/>
  <c r="W1382" i="1"/>
  <c r="W1381" i="1"/>
  <c r="W1380" i="1"/>
  <c r="W1379" i="1"/>
  <c r="W1378" i="1"/>
  <c r="W1377" i="1"/>
  <c r="W1376" i="1"/>
  <c r="W1375" i="1"/>
  <c r="W1374" i="1"/>
  <c r="W1373" i="1"/>
  <c r="W1372" i="1"/>
  <c r="W1371" i="1"/>
  <c r="W1370" i="1"/>
  <c r="W1369" i="1"/>
  <c r="W1368" i="1"/>
  <c r="W1367" i="1"/>
  <c r="W1366" i="1"/>
  <c r="W1365" i="1"/>
  <c r="W1364" i="1"/>
  <c r="W1363" i="1"/>
  <c r="W1362" i="1"/>
  <c r="W1361" i="1"/>
  <c r="W1360" i="1"/>
  <c r="W1359" i="1"/>
  <c r="W1358" i="1"/>
  <c r="W1357" i="1"/>
  <c r="W1356" i="1"/>
  <c r="W1355" i="1"/>
  <c r="W1354" i="1"/>
  <c r="W1353" i="1"/>
  <c r="W1352" i="1"/>
  <c r="W1351" i="1"/>
  <c r="W1350" i="1"/>
  <c r="W1349" i="1"/>
  <c r="W1348" i="1"/>
  <c r="W1347" i="1"/>
  <c r="W1346" i="1"/>
  <c r="W1345" i="1"/>
  <c r="W1344" i="1"/>
  <c r="W1343" i="1"/>
  <c r="W1342" i="1"/>
  <c r="W1341" i="1"/>
  <c r="W1340" i="1"/>
  <c r="W1339" i="1"/>
  <c r="W1338" i="1"/>
  <c r="W1337" i="1"/>
  <c r="W1336" i="1"/>
  <c r="W1335" i="1"/>
  <c r="W1334" i="1"/>
  <c r="W1333" i="1"/>
  <c r="W1332" i="1"/>
  <c r="W1331" i="1"/>
  <c r="W1330" i="1"/>
  <c r="W1329" i="1"/>
  <c r="W1328" i="1"/>
  <c r="W1327" i="1"/>
  <c r="W1326" i="1"/>
  <c r="W1325" i="1"/>
  <c r="W1324" i="1"/>
  <c r="W1323" i="1"/>
  <c r="W1322" i="1"/>
  <c r="W1321" i="1"/>
  <c r="W1320" i="1"/>
  <c r="W1319" i="1"/>
  <c r="W1318" i="1"/>
  <c r="W1317" i="1"/>
  <c r="W1316" i="1"/>
  <c r="W1315" i="1"/>
  <c r="W1314" i="1"/>
  <c r="W1313" i="1"/>
  <c r="W1312" i="1"/>
  <c r="W1311" i="1"/>
  <c r="W1310" i="1"/>
  <c r="W1309" i="1"/>
  <c r="W1308" i="1"/>
  <c r="W1307" i="1"/>
  <c r="W1306" i="1"/>
  <c r="W1305" i="1"/>
  <c r="W1304" i="1"/>
  <c r="W1303" i="1"/>
  <c r="W1302" i="1"/>
  <c r="W1301" i="1"/>
  <c r="W1300" i="1"/>
  <c r="W1299" i="1"/>
  <c r="W1298" i="1"/>
  <c r="W1297" i="1"/>
  <c r="W1296" i="1"/>
  <c r="W1295" i="1"/>
  <c r="W1294" i="1"/>
  <c r="W1293" i="1"/>
  <c r="W1292" i="1"/>
  <c r="W1291" i="1"/>
  <c r="W1290" i="1"/>
  <c r="W1289" i="1"/>
  <c r="W1288" i="1"/>
  <c r="W1287" i="1"/>
  <c r="W1286" i="1"/>
  <c r="W1285" i="1"/>
  <c r="W1284" i="1"/>
  <c r="W1283" i="1"/>
  <c r="W1282" i="1"/>
  <c r="W1281" i="1"/>
  <c r="W1280" i="1"/>
  <c r="W1279" i="1"/>
  <c r="W1278" i="1"/>
  <c r="W1277" i="1"/>
  <c r="W1276" i="1"/>
  <c r="W1275" i="1"/>
  <c r="W1274" i="1"/>
  <c r="W1273" i="1"/>
  <c r="W1272" i="1"/>
  <c r="W1271" i="1"/>
  <c r="W1270" i="1"/>
  <c r="W1269" i="1"/>
  <c r="W1268" i="1"/>
  <c r="W1267" i="1"/>
  <c r="W1266" i="1"/>
  <c r="W1265" i="1"/>
  <c r="W1264" i="1"/>
  <c r="W1263" i="1"/>
  <c r="W1262" i="1"/>
  <c r="W1261" i="1"/>
  <c r="W1260" i="1"/>
  <c r="W1259" i="1"/>
  <c r="W1258" i="1"/>
  <c r="W1257" i="1"/>
  <c r="W1256" i="1"/>
  <c r="W1255" i="1"/>
  <c r="W1254" i="1"/>
  <c r="W1253" i="1"/>
  <c r="W1252" i="1"/>
  <c r="W1251" i="1"/>
  <c r="W1250" i="1"/>
  <c r="W1249" i="1"/>
  <c r="W1248" i="1"/>
  <c r="W1247" i="1"/>
  <c r="W1246" i="1"/>
  <c r="W1245" i="1"/>
  <c r="W1244" i="1"/>
  <c r="W1243" i="1"/>
  <c r="W1242" i="1"/>
  <c r="W1241" i="1"/>
  <c r="W1240" i="1"/>
  <c r="W1239" i="1"/>
  <c r="W1238" i="1"/>
  <c r="W1237" i="1"/>
  <c r="W1236" i="1"/>
  <c r="W1235" i="1"/>
  <c r="W1234" i="1"/>
  <c r="W1233" i="1"/>
  <c r="W1232" i="1"/>
  <c r="W1231" i="1"/>
  <c r="W1230" i="1"/>
  <c r="W1229" i="1"/>
  <c r="W1228" i="1"/>
  <c r="W1227" i="1"/>
  <c r="W1226" i="1"/>
  <c r="W1225" i="1"/>
  <c r="W1224" i="1"/>
  <c r="W1223" i="1"/>
  <c r="W1222" i="1"/>
  <c r="W1221" i="1"/>
  <c r="W1220" i="1"/>
  <c r="W1219" i="1"/>
  <c r="W1218" i="1"/>
  <c r="W1217" i="1"/>
  <c r="W1216" i="1"/>
  <c r="W1215" i="1"/>
  <c r="W1214" i="1"/>
  <c r="W1213" i="1"/>
  <c r="W1212" i="1"/>
  <c r="W1211" i="1"/>
  <c r="W1210" i="1"/>
  <c r="W1209" i="1"/>
  <c r="W1208" i="1"/>
  <c r="W1207" i="1"/>
  <c r="W1206" i="1"/>
  <c r="W1205" i="1"/>
  <c r="W1204" i="1"/>
  <c r="W1203" i="1"/>
  <c r="W1202" i="1"/>
  <c r="W1201" i="1"/>
  <c r="W1200" i="1"/>
  <c r="W1199" i="1"/>
  <c r="W1198" i="1"/>
  <c r="W1197" i="1"/>
  <c r="W1196" i="1"/>
  <c r="W1195" i="1"/>
  <c r="W1194" i="1"/>
  <c r="W1193" i="1"/>
  <c r="W1192" i="1"/>
  <c r="W1191" i="1"/>
  <c r="W1190" i="1"/>
  <c r="W1189" i="1"/>
  <c r="W1188" i="1"/>
  <c r="W1187" i="1"/>
  <c r="W1186" i="1"/>
  <c r="W1185" i="1"/>
  <c r="W1184" i="1"/>
  <c r="W1183" i="1"/>
  <c r="W1182" i="1"/>
  <c r="W1181" i="1"/>
  <c r="W1180" i="1"/>
  <c r="W1179" i="1"/>
  <c r="W1178" i="1"/>
  <c r="W1177" i="1"/>
  <c r="W1176" i="1"/>
  <c r="W1175" i="1"/>
  <c r="W1174" i="1"/>
  <c r="W1173" i="1"/>
  <c r="W1172" i="1"/>
  <c r="W1171" i="1"/>
  <c r="W1170" i="1"/>
  <c r="W1169" i="1"/>
  <c r="W1168" i="1"/>
  <c r="W1167" i="1"/>
  <c r="W1166" i="1"/>
  <c r="W1165" i="1"/>
  <c r="W1164" i="1"/>
  <c r="W1163" i="1"/>
  <c r="W1162" i="1"/>
  <c r="W1161" i="1"/>
  <c r="W1160" i="1"/>
  <c r="W1159" i="1"/>
  <c r="W1158" i="1"/>
  <c r="W1157" i="1"/>
  <c r="W1156" i="1"/>
  <c r="W1155" i="1"/>
  <c r="W1154" i="1"/>
  <c r="W1153" i="1"/>
  <c r="W1152" i="1"/>
  <c r="W1151" i="1"/>
  <c r="W1150" i="1"/>
  <c r="W1149" i="1"/>
  <c r="W1148" i="1"/>
  <c r="W1147" i="1"/>
  <c r="W1146" i="1"/>
  <c r="W1145" i="1"/>
  <c r="W1144" i="1"/>
  <c r="W1143" i="1"/>
  <c r="W1142" i="1"/>
  <c r="W1141" i="1"/>
  <c r="W1140" i="1"/>
  <c r="W1139" i="1"/>
  <c r="W1138" i="1"/>
  <c r="W1137" i="1"/>
  <c r="W1136" i="1"/>
  <c r="W1135" i="1"/>
  <c r="W1134" i="1"/>
  <c r="W1133" i="1"/>
  <c r="W1132" i="1"/>
  <c r="W1131" i="1"/>
  <c r="W1130" i="1"/>
  <c r="W1129" i="1"/>
  <c r="W1128" i="1"/>
  <c r="W1127" i="1"/>
  <c r="W1126" i="1"/>
  <c r="W1125" i="1"/>
  <c r="W1124" i="1"/>
  <c r="W1123" i="1"/>
  <c r="W1122" i="1"/>
  <c r="W1121" i="1"/>
  <c r="W1120" i="1"/>
  <c r="W1119" i="1"/>
  <c r="W1118" i="1"/>
  <c r="W1117" i="1"/>
  <c r="W1116" i="1"/>
  <c r="W1115" i="1"/>
  <c r="W1114" i="1"/>
  <c r="W1113" i="1"/>
  <c r="W1112" i="1"/>
  <c r="W1111" i="1"/>
  <c r="W1110" i="1"/>
  <c r="W1109" i="1"/>
  <c r="W1108" i="1"/>
  <c r="W1107" i="1"/>
  <c r="W1106" i="1"/>
  <c r="W1105" i="1"/>
  <c r="W1104" i="1"/>
  <c r="W1103" i="1"/>
  <c r="W1102" i="1"/>
  <c r="W1101" i="1"/>
  <c r="W1100" i="1"/>
  <c r="W1099" i="1"/>
  <c r="W1098" i="1"/>
  <c r="W1097" i="1"/>
  <c r="W1096" i="1"/>
  <c r="W1095" i="1"/>
  <c r="W1094" i="1"/>
  <c r="W1093" i="1"/>
  <c r="W1092" i="1"/>
  <c r="W1091" i="1"/>
  <c r="W1090" i="1"/>
  <c r="W1089" i="1"/>
  <c r="W1088" i="1"/>
  <c r="W1087" i="1"/>
  <c r="W1086" i="1"/>
  <c r="W1085" i="1"/>
  <c r="W1084" i="1"/>
  <c r="W1083" i="1"/>
  <c r="W1082" i="1"/>
  <c r="W1081" i="1"/>
  <c r="W1080" i="1"/>
  <c r="W1079" i="1"/>
  <c r="W1078" i="1"/>
  <c r="W1077" i="1"/>
  <c r="W1076" i="1"/>
  <c r="W1075" i="1"/>
  <c r="W1074" i="1"/>
  <c r="W1073" i="1"/>
  <c r="W1072" i="1"/>
  <c r="W1071" i="1"/>
  <c r="W1070" i="1"/>
  <c r="W1069" i="1"/>
  <c r="W1068" i="1"/>
  <c r="W1067" i="1"/>
  <c r="W1066" i="1"/>
  <c r="W1065" i="1"/>
  <c r="W1064" i="1"/>
  <c r="W1063" i="1"/>
  <c r="W1062" i="1"/>
  <c r="W1061" i="1"/>
  <c r="W1060" i="1"/>
  <c r="W1059" i="1"/>
  <c r="W1058" i="1"/>
  <c r="W1057" i="1"/>
  <c r="W1056" i="1"/>
  <c r="W1055" i="1"/>
  <c r="W1054" i="1"/>
  <c r="W1053" i="1"/>
  <c r="W1052" i="1"/>
  <c r="W1051" i="1"/>
  <c r="W1050" i="1"/>
  <c r="W1049" i="1"/>
  <c r="W1048" i="1"/>
  <c r="W1047" i="1"/>
  <c r="W1046" i="1"/>
  <c r="W1045" i="1"/>
  <c r="W1044" i="1"/>
  <c r="W1043" i="1"/>
  <c r="W1042" i="1"/>
  <c r="W1041" i="1"/>
  <c r="W1040" i="1"/>
  <c r="W1039" i="1"/>
  <c r="W1038" i="1"/>
  <c r="W1037" i="1"/>
  <c r="W1036" i="1"/>
  <c r="W1035" i="1"/>
  <c r="W1034" i="1"/>
  <c r="W1033" i="1"/>
  <c r="W1032" i="1"/>
  <c r="W1031" i="1"/>
  <c r="W1030" i="1"/>
  <c r="W1029" i="1"/>
  <c r="W1028" i="1"/>
  <c r="W1027" i="1"/>
  <c r="W1026" i="1"/>
  <c r="W1025" i="1"/>
  <c r="W1024" i="1"/>
  <c r="W1023" i="1"/>
  <c r="W1022" i="1"/>
  <c r="W1021" i="1"/>
  <c r="W1020" i="1"/>
  <c r="W1019" i="1"/>
  <c r="W1018" i="1"/>
  <c r="W1017" i="1"/>
  <c r="W1016" i="1"/>
  <c r="W1015" i="1"/>
  <c r="W1014" i="1"/>
  <c r="W1013" i="1"/>
  <c r="W1012" i="1"/>
  <c r="W1011" i="1"/>
  <c r="W1010" i="1"/>
  <c r="W1009" i="1"/>
  <c r="W1008" i="1"/>
  <c r="W1007" i="1"/>
  <c r="W1006" i="1"/>
  <c r="W1005" i="1"/>
  <c r="W1004" i="1"/>
  <c r="W1003" i="1"/>
  <c r="W1002" i="1"/>
  <c r="W1001" i="1"/>
  <c r="W1000" i="1"/>
  <c r="W999" i="1"/>
  <c r="W998" i="1"/>
  <c r="W997" i="1"/>
  <c r="W996" i="1"/>
  <c r="W995" i="1"/>
  <c r="W994" i="1"/>
  <c r="W993" i="1"/>
  <c r="W992" i="1"/>
  <c r="W991" i="1"/>
  <c r="W990" i="1"/>
  <c r="W989" i="1"/>
  <c r="W988" i="1"/>
  <c r="W987" i="1"/>
  <c r="W986" i="1"/>
  <c r="W985" i="1"/>
  <c r="W984" i="1"/>
  <c r="W983" i="1"/>
  <c r="W982" i="1"/>
  <c r="W981" i="1"/>
  <c r="W980" i="1"/>
  <c r="W979" i="1"/>
  <c r="W978" i="1"/>
  <c r="W977" i="1"/>
  <c r="W976" i="1"/>
  <c r="W975" i="1"/>
  <c r="W974" i="1"/>
  <c r="W973" i="1"/>
  <c r="W972" i="1"/>
  <c r="W971" i="1"/>
  <c r="W970" i="1"/>
  <c r="W969" i="1"/>
  <c r="W968" i="1"/>
  <c r="W967" i="1"/>
  <c r="W966" i="1"/>
  <c r="W965" i="1"/>
  <c r="W964" i="1"/>
  <c r="W963" i="1"/>
  <c r="W962" i="1"/>
  <c r="W961" i="1"/>
  <c r="W960" i="1"/>
  <c r="W959" i="1"/>
  <c r="W958" i="1"/>
  <c r="W957" i="1"/>
  <c r="W956" i="1"/>
  <c r="W955" i="1"/>
  <c r="W954" i="1"/>
  <c r="W953" i="1"/>
  <c r="W952" i="1"/>
  <c r="W951" i="1"/>
  <c r="W950" i="1"/>
  <c r="W949" i="1"/>
  <c r="W948" i="1"/>
  <c r="W947" i="1"/>
  <c r="W946" i="1"/>
  <c r="W945" i="1"/>
  <c r="W944" i="1"/>
  <c r="W943" i="1"/>
  <c r="W942" i="1"/>
  <c r="W941" i="1"/>
  <c r="W940" i="1"/>
  <c r="W939" i="1"/>
  <c r="W938" i="1"/>
  <c r="W937" i="1"/>
  <c r="W936" i="1"/>
  <c r="W935" i="1"/>
  <c r="W934" i="1"/>
  <c r="W933" i="1"/>
  <c r="W932" i="1"/>
  <c r="W931" i="1"/>
  <c r="W930" i="1"/>
  <c r="W929" i="1"/>
  <c r="W928" i="1"/>
  <c r="W927" i="1"/>
  <c r="W926" i="1"/>
  <c r="W925" i="1"/>
  <c r="W924" i="1"/>
  <c r="W923" i="1"/>
  <c r="W922" i="1"/>
  <c r="W921" i="1"/>
  <c r="W920" i="1"/>
  <c r="W919" i="1"/>
  <c r="W918" i="1"/>
  <c r="W917" i="1"/>
  <c r="W916" i="1"/>
  <c r="W915" i="1"/>
  <c r="W914" i="1"/>
  <c r="W913" i="1"/>
  <c r="W912" i="1"/>
  <c r="W911" i="1"/>
  <c r="W910" i="1"/>
  <c r="W909" i="1"/>
  <c r="W908" i="1"/>
  <c r="W907" i="1"/>
  <c r="W906" i="1"/>
  <c r="W905" i="1"/>
  <c r="W904" i="1"/>
  <c r="W903" i="1"/>
  <c r="W902" i="1"/>
  <c r="W901" i="1"/>
  <c r="W900" i="1"/>
  <c r="W899" i="1"/>
  <c r="W898" i="1"/>
  <c r="W897" i="1"/>
  <c r="W896" i="1"/>
  <c r="W895" i="1"/>
  <c r="W894" i="1"/>
  <c r="W893" i="1"/>
  <c r="W892" i="1"/>
  <c r="W891" i="1"/>
  <c r="W890" i="1"/>
  <c r="W889" i="1"/>
  <c r="W888" i="1"/>
  <c r="W887" i="1"/>
  <c r="W886" i="1"/>
  <c r="W885" i="1"/>
  <c r="W884" i="1"/>
  <c r="W883" i="1"/>
  <c r="W882" i="1"/>
  <c r="W881" i="1"/>
  <c r="W880" i="1"/>
  <c r="W879" i="1"/>
  <c r="W878" i="1"/>
  <c r="W877" i="1"/>
  <c r="W876" i="1"/>
  <c r="W875" i="1"/>
  <c r="W874" i="1"/>
  <c r="W873" i="1"/>
  <c r="W872" i="1"/>
  <c r="W871" i="1"/>
  <c r="W870" i="1"/>
  <c r="W869" i="1"/>
  <c r="W868" i="1"/>
  <c r="W867" i="1"/>
  <c r="W866" i="1"/>
  <c r="W865" i="1"/>
  <c r="W864" i="1"/>
  <c r="W863" i="1"/>
  <c r="W862" i="1"/>
  <c r="W861" i="1"/>
  <c r="W860" i="1"/>
  <c r="W859" i="1"/>
  <c r="W858" i="1"/>
  <c r="W857" i="1"/>
  <c r="W856" i="1"/>
  <c r="W855" i="1"/>
  <c r="W854" i="1"/>
  <c r="W853" i="1"/>
  <c r="W852" i="1"/>
  <c r="W851" i="1"/>
  <c r="W850" i="1"/>
  <c r="W849" i="1"/>
  <c r="W848" i="1"/>
  <c r="W847" i="1"/>
  <c r="W846" i="1"/>
  <c r="W845" i="1"/>
  <c r="W844" i="1"/>
  <c r="W843" i="1"/>
  <c r="W842" i="1"/>
  <c r="W841" i="1"/>
  <c r="W840" i="1"/>
  <c r="W839" i="1"/>
  <c r="W838" i="1"/>
  <c r="W837" i="1"/>
  <c r="W836" i="1"/>
  <c r="W835" i="1"/>
  <c r="W834" i="1"/>
  <c r="W833" i="1"/>
  <c r="W832" i="1"/>
  <c r="W831" i="1"/>
  <c r="W830" i="1"/>
  <c r="W829" i="1"/>
  <c r="W828" i="1"/>
  <c r="W827" i="1"/>
  <c r="W826" i="1"/>
  <c r="W825" i="1"/>
  <c r="W824" i="1"/>
  <c r="W823" i="1"/>
  <c r="W822" i="1"/>
  <c r="W821" i="1"/>
  <c r="W820" i="1"/>
  <c r="W819" i="1"/>
  <c r="W818" i="1"/>
  <c r="W817" i="1"/>
  <c r="W816" i="1"/>
  <c r="W815" i="1"/>
  <c r="W814" i="1"/>
  <c r="W813" i="1"/>
  <c r="W812" i="1"/>
  <c r="W811" i="1"/>
  <c r="W810" i="1"/>
  <c r="W809" i="1"/>
  <c r="W808" i="1"/>
  <c r="W807" i="1"/>
  <c r="W806" i="1"/>
  <c r="W805" i="1"/>
  <c r="W804" i="1"/>
  <c r="W803" i="1"/>
  <c r="W802" i="1"/>
  <c r="W801" i="1"/>
  <c r="W800" i="1"/>
  <c r="W799" i="1"/>
  <c r="W798" i="1"/>
  <c r="W797" i="1"/>
  <c r="W796" i="1"/>
  <c r="W795" i="1"/>
  <c r="W794" i="1"/>
  <c r="W793" i="1"/>
  <c r="W792" i="1"/>
  <c r="W791" i="1"/>
  <c r="W790" i="1"/>
  <c r="W789" i="1"/>
  <c r="W788" i="1"/>
  <c r="W787" i="1"/>
  <c r="W786" i="1"/>
  <c r="W785" i="1"/>
  <c r="W784" i="1"/>
  <c r="W783" i="1"/>
  <c r="W782" i="1"/>
  <c r="W781" i="1"/>
  <c r="W780" i="1"/>
  <c r="W779" i="1"/>
  <c r="W778" i="1"/>
  <c r="W777" i="1"/>
  <c r="W776" i="1"/>
  <c r="W775" i="1"/>
  <c r="W774" i="1"/>
  <c r="W773" i="1"/>
  <c r="W772" i="1"/>
  <c r="W771" i="1"/>
  <c r="W770" i="1"/>
  <c r="W769" i="1"/>
  <c r="W768" i="1"/>
  <c r="W767" i="1"/>
  <c r="W766" i="1"/>
  <c r="W765" i="1"/>
  <c r="W764" i="1"/>
  <c r="W763" i="1"/>
  <c r="W762" i="1"/>
  <c r="W761" i="1"/>
  <c r="W760" i="1"/>
  <c r="W759" i="1"/>
  <c r="W758" i="1"/>
  <c r="W757" i="1"/>
  <c r="W756" i="1"/>
  <c r="W755" i="1"/>
  <c r="W754" i="1"/>
  <c r="W753" i="1"/>
  <c r="W752" i="1"/>
  <c r="W751" i="1"/>
  <c r="W750" i="1"/>
  <c r="W749" i="1"/>
  <c r="W748" i="1"/>
  <c r="W747" i="1"/>
  <c r="W746" i="1"/>
  <c r="W745" i="1"/>
  <c r="W744" i="1"/>
  <c r="W743" i="1"/>
  <c r="W742" i="1"/>
  <c r="W741" i="1"/>
  <c r="W740" i="1"/>
  <c r="W739" i="1"/>
  <c r="W738" i="1"/>
  <c r="W737" i="1"/>
  <c r="W736" i="1"/>
  <c r="W735" i="1"/>
  <c r="W734" i="1"/>
  <c r="W733" i="1"/>
  <c r="W732" i="1"/>
  <c r="W731" i="1"/>
  <c r="W730" i="1"/>
  <c r="W729" i="1"/>
  <c r="W728" i="1"/>
  <c r="W727" i="1"/>
  <c r="W726" i="1"/>
  <c r="W725" i="1"/>
  <c r="W724" i="1"/>
  <c r="W723" i="1"/>
  <c r="W722" i="1"/>
  <c r="W721" i="1"/>
  <c r="W720" i="1"/>
  <c r="W719" i="1"/>
  <c r="W718" i="1"/>
  <c r="W717" i="1"/>
  <c r="W716" i="1"/>
  <c r="W715" i="1"/>
  <c r="W714" i="1"/>
  <c r="W713" i="1"/>
  <c r="W712" i="1"/>
  <c r="W711" i="1"/>
  <c r="W710" i="1"/>
  <c r="W709" i="1"/>
  <c r="W708" i="1"/>
  <c r="W707" i="1"/>
  <c r="W706" i="1"/>
  <c r="W705" i="1"/>
  <c r="W704" i="1"/>
  <c r="W703" i="1"/>
  <c r="W702" i="1"/>
  <c r="W701" i="1"/>
  <c r="W700" i="1"/>
  <c r="W699" i="1"/>
  <c r="W698" i="1"/>
  <c r="W697" i="1"/>
  <c r="W696" i="1"/>
  <c r="W695" i="1"/>
  <c r="W694" i="1"/>
  <c r="W693" i="1"/>
  <c r="W692" i="1"/>
  <c r="W691" i="1"/>
  <c r="W690" i="1"/>
  <c r="W689" i="1"/>
  <c r="W688" i="1"/>
  <c r="W687" i="1"/>
  <c r="W686" i="1"/>
  <c r="W685" i="1"/>
  <c r="W684" i="1"/>
  <c r="W683" i="1"/>
  <c r="W682" i="1"/>
  <c r="W681" i="1"/>
  <c r="W680" i="1"/>
  <c r="W679" i="1"/>
  <c r="W678" i="1"/>
  <c r="W677" i="1"/>
  <c r="W676" i="1"/>
  <c r="W675" i="1"/>
  <c r="W674" i="1"/>
  <c r="W673" i="1"/>
  <c r="W672" i="1"/>
  <c r="W671" i="1"/>
  <c r="W670" i="1"/>
  <c r="W669" i="1"/>
  <c r="W668" i="1"/>
  <c r="W667" i="1"/>
  <c r="W666" i="1"/>
  <c r="W665" i="1"/>
  <c r="W664" i="1"/>
  <c r="W663" i="1"/>
  <c r="W662" i="1"/>
  <c r="W661" i="1"/>
  <c r="W660" i="1"/>
  <c r="W659" i="1"/>
  <c r="W658" i="1"/>
  <c r="W657" i="1"/>
  <c r="W656" i="1"/>
  <c r="W655" i="1"/>
  <c r="W654" i="1"/>
  <c r="W653" i="1"/>
  <c r="W652" i="1"/>
  <c r="W651" i="1"/>
  <c r="W650" i="1"/>
  <c r="W649" i="1"/>
  <c r="W648" i="1"/>
  <c r="W647" i="1"/>
  <c r="W646" i="1"/>
  <c r="W645" i="1"/>
  <c r="W644" i="1"/>
  <c r="W643" i="1"/>
  <c r="W642" i="1"/>
  <c r="W641" i="1"/>
  <c r="W640" i="1"/>
  <c r="W639" i="1"/>
  <c r="W638" i="1"/>
  <c r="W637" i="1"/>
  <c r="W636" i="1"/>
  <c r="W635" i="1"/>
  <c r="W634" i="1"/>
  <c r="W633" i="1"/>
  <c r="W632" i="1"/>
  <c r="W631" i="1"/>
  <c r="W630" i="1"/>
  <c r="W629" i="1"/>
  <c r="W628" i="1"/>
  <c r="W627" i="1"/>
  <c r="W626" i="1"/>
  <c r="W625" i="1"/>
  <c r="W624" i="1"/>
  <c r="W623" i="1"/>
  <c r="W622" i="1"/>
  <c r="W621" i="1"/>
  <c r="W620" i="1"/>
  <c r="W619" i="1"/>
  <c r="W618" i="1"/>
  <c r="W617" i="1"/>
  <c r="W616" i="1"/>
  <c r="W615" i="1"/>
  <c r="W614" i="1"/>
  <c r="W613" i="1"/>
  <c r="W612" i="1"/>
  <c r="W611" i="1"/>
  <c r="W610" i="1"/>
  <c r="W609" i="1"/>
  <c r="W608" i="1"/>
  <c r="W607" i="1"/>
  <c r="W606" i="1"/>
  <c r="W605" i="1"/>
  <c r="W604" i="1"/>
  <c r="W603" i="1"/>
  <c r="W602" i="1"/>
  <c r="W601" i="1"/>
  <c r="W600" i="1"/>
  <c r="W599" i="1"/>
  <c r="W598" i="1"/>
  <c r="W597" i="1"/>
  <c r="W596" i="1"/>
  <c r="W595" i="1"/>
  <c r="W594" i="1"/>
  <c r="W593" i="1"/>
  <c r="W592" i="1"/>
  <c r="W591" i="1"/>
  <c r="W590" i="1"/>
  <c r="W589" i="1"/>
  <c r="W588" i="1"/>
  <c r="W587" i="1"/>
  <c r="W586" i="1"/>
  <c r="W585" i="1"/>
  <c r="W584" i="1"/>
  <c r="W583" i="1"/>
  <c r="W582" i="1"/>
  <c r="W581" i="1"/>
  <c r="W580" i="1"/>
  <c r="W579" i="1"/>
  <c r="W578" i="1"/>
  <c r="W577" i="1"/>
  <c r="W576" i="1"/>
  <c r="W575" i="1"/>
  <c r="W574" i="1"/>
  <c r="W573" i="1"/>
  <c r="W572" i="1"/>
  <c r="W571" i="1"/>
  <c r="W570" i="1"/>
  <c r="W569" i="1"/>
  <c r="W568" i="1"/>
  <c r="W567" i="1"/>
  <c r="W566" i="1"/>
  <c r="W565" i="1"/>
  <c r="W564" i="1"/>
  <c r="W563" i="1"/>
  <c r="W562" i="1"/>
  <c r="W561" i="1"/>
  <c r="W560" i="1"/>
  <c r="W559" i="1"/>
  <c r="W558" i="1"/>
  <c r="W557" i="1"/>
  <c r="W556" i="1"/>
  <c r="W555" i="1"/>
  <c r="W554" i="1"/>
  <c r="W553" i="1"/>
  <c r="W552" i="1"/>
  <c r="W551" i="1"/>
  <c r="W550" i="1"/>
  <c r="W549" i="1"/>
  <c r="W548" i="1"/>
  <c r="W547" i="1"/>
  <c r="W546" i="1"/>
  <c r="W545" i="1"/>
  <c r="W544" i="1"/>
  <c r="W543" i="1"/>
  <c r="W542" i="1"/>
  <c r="W541" i="1"/>
  <c r="W540" i="1"/>
  <c r="W539" i="1"/>
  <c r="W538" i="1"/>
  <c r="W537" i="1"/>
  <c r="W536" i="1"/>
  <c r="W535" i="1"/>
  <c r="W534" i="1"/>
  <c r="W533" i="1"/>
  <c r="W532" i="1"/>
  <c r="W531" i="1"/>
  <c r="W530" i="1"/>
  <c r="W529" i="1"/>
  <c r="W528" i="1"/>
  <c r="W527" i="1"/>
  <c r="W526" i="1"/>
  <c r="W525" i="1"/>
  <c r="W524" i="1"/>
  <c r="W523" i="1"/>
  <c r="W522" i="1"/>
  <c r="W521" i="1"/>
  <c r="W520" i="1"/>
  <c r="W519" i="1"/>
  <c r="W518" i="1"/>
  <c r="W517" i="1"/>
  <c r="W516" i="1"/>
  <c r="W515" i="1"/>
  <c r="W514" i="1"/>
  <c r="W513" i="1"/>
  <c r="W512" i="1"/>
  <c r="W511" i="1"/>
  <c r="W510" i="1"/>
  <c r="W509" i="1"/>
  <c r="W508" i="1"/>
  <c r="W507" i="1"/>
  <c r="W506" i="1"/>
  <c r="W505" i="1"/>
  <c r="W504" i="1"/>
  <c r="W503" i="1"/>
  <c r="W502" i="1"/>
  <c r="W501" i="1"/>
  <c r="W500" i="1"/>
  <c r="W499" i="1"/>
  <c r="W498" i="1"/>
  <c r="W497" i="1"/>
  <c r="W496" i="1"/>
  <c r="W495" i="1"/>
  <c r="W494" i="1"/>
  <c r="W493" i="1"/>
  <c r="W492" i="1"/>
  <c r="W491" i="1"/>
  <c r="W490" i="1"/>
  <c r="W489" i="1"/>
  <c r="W488" i="1"/>
  <c r="W487" i="1"/>
  <c r="W486" i="1"/>
  <c r="W485" i="1"/>
  <c r="W484" i="1"/>
  <c r="W483" i="1"/>
  <c r="W482" i="1"/>
  <c r="W481" i="1"/>
  <c r="W480" i="1"/>
  <c r="W479" i="1"/>
  <c r="W478" i="1"/>
  <c r="W477" i="1"/>
  <c r="W476" i="1"/>
  <c r="W475" i="1"/>
  <c r="W474" i="1"/>
  <c r="W473" i="1"/>
  <c r="W472" i="1"/>
  <c r="W471" i="1"/>
  <c r="W470" i="1"/>
  <c r="W469" i="1"/>
  <c r="W468" i="1"/>
  <c r="W467" i="1"/>
  <c r="W466" i="1"/>
  <c r="W465" i="1"/>
  <c r="W464" i="1"/>
  <c r="W463" i="1"/>
  <c r="W462" i="1"/>
  <c r="W461" i="1"/>
  <c r="W460" i="1"/>
  <c r="W459" i="1"/>
  <c r="W458" i="1"/>
  <c r="W457" i="1"/>
  <c r="W456" i="1"/>
  <c r="W455" i="1"/>
  <c r="W454" i="1"/>
  <c r="W453" i="1"/>
  <c r="W452" i="1"/>
  <c r="W451" i="1"/>
  <c r="W450" i="1"/>
  <c r="W449" i="1"/>
  <c r="W448" i="1"/>
  <c r="W447" i="1"/>
  <c r="W446" i="1"/>
  <c r="W445" i="1"/>
  <c r="W444" i="1"/>
  <c r="W443" i="1"/>
  <c r="W442" i="1"/>
  <c r="W441" i="1"/>
  <c r="W440" i="1"/>
  <c r="W439" i="1"/>
  <c r="W438" i="1"/>
  <c r="W437" i="1"/>
  <c r="W436" i="1"/>
  <c r="W435" i="1"/>
  <c r="W434" i="1"/>
  <c r="W433" i="1"/>
  <c r="W432" i="1"/>
  <c r="W431" i="1"/>
  <c r="W430" i="1"/>
  <c r="W429" i="1"/>
  <c r="W428" i="1"/>
  <c r="W427" i="1"/>
  <c r="W426" i="1"/>
  <c r="W425" i="1"/>
  <c r="W424" i="1"/>
  <c r="W423" i="1"/>
  <c r="W422" i="1"/>
  <c r="W421" i="1"/>
  <c r="W420" i="1"/>
  <c r="W419" i="1"/>
  <c r="W418" i="1"/>
  <c r="W417" i="1"/>
  <c r="W416" i="1"/>
  <c r="W415" i="1"/>
  <c r="W414" i="1"/>
  <c r="W413" i="1"/>
  <c r="W412" i="1"/>
  <c r="W411" i="1"/>
  <c r="W410" i="1"/>
  <c r="W409" i="1"/>
  <c r="W408" i="1"/>
  <c r="W407" i="1"/>
  <c r="W406" i="1"/>
  <c r="W405" i="1"/>
  <c r="W404" i="1"/>
  <c r="W403" i="1"/>
  <c r="W402" i="1"/>
  <c r="W401" i="1"/>
  <c r="W400" i="1"/>
  <c r="W399" i="1"/>
  <c r="W398" i="1"/>
  <c r="W397" i="1"/>
  <c r="W396" i="1"/>
  <c r="W395" i="1"/>
  <c r="W394" i="1"/>
  <c r="W393" i="1"/>
  <c r="W392" i="1"/>
  <c r="W391" i="1"/>
  <c r="W390" i="1"/>
  <c r="W389" i="1"/>
  <c r="W388" i="1"/>
  <c r="W387" i="1"/>
  <c r="W386" i="1"/>
  <c r="W385" i="1"/>
  <c r="W384" i="1"/>
  <c r="W383" i="1"/>
  <c r="W382" i="1"/>
  <c r="W381" i="1"/>
  <c r="W380" i="1"/>
  <c r="W379" i="1"/>
  <c r="W378" i="1"/>
  <c r="W377" i="1"/>
  <c r="W376" i="1"/>
  <c r="W375" i="1"/>
  <c r="W374" i="1"/>
  <c r="W373" i="1"/>
  <c r="W372" i="1"/>
  <c r="W371" i="1"/>
  <c r="W370" i="1"/>
  <c r="W369" i="1"/>
  <c r="W368" i="1"/>
  <c r="W367" i="1"/>
  <c r="W366" i="1"/>
  <c r="W365" i="1"/>
  <c r="W364" i="1"/>
  <c r="W363" i="1"/>
  <c r="W362" i="1"/>
  <c r="W361" i="1"/>
  <c r="W360" i="1"/>
  <c r="W359" i="1"/>
  <c r="W358" i="1"/>
  <c r="W357" i="1"/>
  <c r="W356" i="1"/>
  <c r="W355" i="1"/>
  <c r="W354" i="1"/>
  <c r="W353" i="1"/>
  <c r="W352" i="1"/>
  <c r="W351" i="1"/>
  <c r="W350" i="1"/>
  <c r="W349" i="1"/>
  <c r="W348" i="1"/>
  <c r="W347" i="1"/>
  <c r="W346" i="1"/>
  <c r="W345" i="1"/>
  <c r="W344" i="1"/>
  <c r="W343" i="1"/>
  <c r="W342" i="1"/>
  <c r="W341" i="1"/>
  <c r="W340" i="1"/>
  <c r="W339" i="1"/>
  <c r="W338" i="1"/>
  <c r="W337" i="1"/>
  <c r="W336" i="1"/>
  <c r="W335" i="1"/>
  <c r="W334" i="1"/>
  <c r="W333" i="1"/>
  <c r="W332" i="1"/>
  <c r="W331" i="1"/>
  <c r="W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W302" i="1"/>
  <c r="W301" i="1"/>
  <c r="W300" i="1"/>
  <c r="W299" i="1"/>
  <c r="W298" i="1"/>
  <c r="W297" i="1"/>
  <c r="W296"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W268" i="1"/>
  <c r="W267" i="1"/>
  <c r="W266" i="1"/>
  <c r="W265" i="1"/>
  <c r="W264" i="1"/>
  <c r="W263" i="1"/>
  <c r="W262" i="1"/>
  <c r="W261" i="1"/>
  <c r="W260" i="1"/>
  <c r="W259" i="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5" i="1"/>
  <c r="W134" i="1"/>
  <c r="W133" i="1"/>
  <c r="W132" i="1"/>
  <c r="W131" i="1"/>
  <c r="W130" i="1"/>
  <c r="W129" i="1"/>
  <c r="W128" i="1"/>
  <c r="W127" i="1"/>
  <c r="W126" i="1"/>
  <c r="W125" i="1"/>
  <c r="W124" i="1"/>
  <c r="W123" i="1"/>
  <c r="W122" i="1"/>
  <c r="W121" i="1"/>
  <c r="W120" i="1"/>
  <c r="W119" i="1"/>
  <c r="W118" i="1"/>
  <c r="W117" i="1"/>
  <c r="W116" i="1"/>
  <c r="W115" i="1"/>
  <c r="W114" i="1"/>
  <c r="W113" i="1"/>
  <c r="W112" i="1"/>
  <c r="W111" i="1"/>
  <c r="W110" i="1"/>
  <c r="W109" i="1"/>
  <c r="W108" i="1"/>
  <c r="W107" i="1"/>
  <c r="W106" i="1"/>
  <c r="W105" i="1"/>
  <c r="W104" i="1"/>
  <c r="W103" i="1"/>
  <c r="W102" i="1"/>
  <c r="W101" i="1"/>
  <c r="W100" i="1"/>
  <c r="W99" i="1"/>
  <c r="W98" i="1"/>
  <c r="W97" i="1"/>
  <c r="W96" i="1"/>
  <c r="W95" i="1"/>
  <c r="W94" i="1"/>
  <c r="W93" i="1"/>
  <c r="W92" i="1"/>
  <c r="W91" i="1"/>
  <c r="W90" i="1"/>
  <c r="W89" i="1"/>
  <c r="W88" i="1"/>
  <c r="W87" i="1"/>
  <c r="W86" i="1"/>
  <c r="W85" i="1"/>
  <c r="W84" i="1"/>
  <c r="W83" i="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W51" i="1"/>
  <c r="W50" i="1"/>
  <c r="W49" i="1"/>
  <c r="W48" i="1"/>
  <c r="W47" i="1"/>
  <c r="W46" i="1"/>
  <c r="W45" i="1"/>
  <c r="W44" i="1"/>
  <c r="W43" i="1"/>
  <c r="W4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W13" i="1"/>
  <c r="W12" i="1"/>
  <c r="W11" i="1"/>
  <c r="W10" i="1"/>
  <c r="W9" i="1"/>
  <c r="W8"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7" i="1"/>
  <c r="W7" i="1"/>
  <c r="Z7" i="1" s="1"/>
  <c r="W6" i="1"/>
  <c r="Z6" i="1" s="1"/>
  <c r="AC6" i="1"/>
  <c r="T6" i="1" l="1"/>
  <c r="C6" i="1" l="1"/>
  <c r="X6" i="1" s="1"/>
</calcChain>
</file>

<file path=xl/sharedStrings.xml><?xml version="1.0" encoding="utf-8"?>
<sst xmlns="http://schemas.openxmlformats.org/spreadsheetml/2006/main" count="54386" uniqueCount="22108">
  <si>
    <t>Move &amp; Rename</t>
  </si>
  <si>
    <t>delete</t>
  </si>
  <si>
    <t>new</t>
  </si>
  <si>
    <t>MDG-F Hierarchy</t>
  </si>
  <si>
    <r>
      <rPr>
        <sz val="11"/>
        <rFont val="Calibri"/>
        <family val="2"/>
        <scheme val="minor"/>
      </rPr>
      <t>relevant if</t>
    </r>
    <r>
      <rPr>
        <b/>
        <sz val="11"/>
        <color rgb="FFFF0000"/>
        <rFont val="Calibri"/>
        <family val="2"/>
        <scheme val="minor"/>
      </rPr>
      <t xml:space="preserve"> "move"</t>
    </r>
  </si>
  <si>
    <r>
      <rPr>
        <sz val="11"/>
        <rFont val="Calibri"/>
        <family val="2"/>
        <scheme val="minor"/>
      </rPr>
      <t>relevant if</t>
    </r>
    <r>
      <rPr>
        <b/>
        <sz val="11"/>
        <color rgb="FFFF0000"/>
        <rFont val="Calibri"/>
        <family val="2"/>
        <scheme val="minor"/>
      </rPr>
      <t xml:space="preserve"> "move" or "new"</t>
    </r>
  </si>
  <si>
    <r>
      <rPr>
        <sz val="11"/>
        <rFont val="Calibri"/>
        <family val="2"/>
        <scheme val="minor"/>
      </rPr>
      <t xml:space="preserve">relevant if </t>
    </r>
    <r>
      <rPr>
        <b/>
        <sz val="11"/>
        <color rgb="FFFF0000"/>
        <rFont val="Calibri"/>
        <family val="2"/>
        <scheme val="minor"/>
      </rPr>
      <t xml:space="preserve">"rename"
</t>
    </r>
    <r>
      <rPr>
        <b/>
        <sz val="11"/>
        <rFont val="Calibri"/>
        <family val="2"/>
        <scheme val="minor"/>
      </rPr>
      <t>! Naming limited to 40 digits !</t>
    </r>
  </si>
  <si>
    <t>move</t>
  </si>
  <si>
    <t>Responsible person</t>
  </si>
  <si>
    <t>Node</t>
  </si>
  <si>
    <t>Object Name</t>
  </si>
  <si>
    <t>Immediate Parent Node</t>
  </si>
  <si>
    <t>Level_0</t>
  </si>
  <si>
    <t>Level_1</t>
  </si>
  <si>
    <t>Level_2</t>
  </si>
  <si>
    <t>Level_3</t>
  </si>
  <si>
    <t>Level_4</t>
  </si>
  <si>
    <t>Level_5</t>
  </si>
  <si>
    <t>Level_6</t>
  </si>
  <si>
    <t>Level_7</t>
  </si>
  <si>
    <t>Level_8</t>
  </si>
  <si>
    <t>Level_9</t>
  </si>
  <si>
    <t>Level_10</t>
  </si>
  <si>
    <t>Level_11</t>
  </si>
  <si>
    <t>Level 12</t>
  </si>
  <si>
    <t>Level 13</t>
  </si>
  <si>
    <t>Level 14</t>
  </si>
  <si>
    <t>Level 15</t>
  </si>
  <si>
    <t xml:space="preserve">Node </t>
  </si>
  <si>
    <t>Technical Hierarchy Nodes</t>
  </si>
  <si>
    <t>Parent Node</t>
  </si>
  <si>
    <t>Type of change</t>
  </si>
  <si>
    <t>Previous parent node</t>
  </si>
  <si>
    <t>New parent node</t>
  </si>
  <si>
    <t>New
Naming</t>
  </si>
  <si>
    <t>Length</t>
  </si>
  <si>
    <t>rename</t>
  </si>
  <si>
    <t>Name</t>
  </si>
  <si>
    <t>MUID</t>
  </si>
  <si>
    <t>GCOH</t>
  </si>
  <si>
    <t>G000000008</t>
  </si>
  <si>
    <t>G000000054</t>
  </si>
  <si>
    <t>G000000055</t>
  </si>
  <si>
    <t>G000000057</t>
  </si>
  <si>
    <t>G000000102</t>
  </si>
  <si>
    <t>G000000145</t>
  </si>
  <si>
    <t>G000000150</t>
  </si>
  <si>
    <t>G000000172</t>
  </si>
  <si>
    <t>G000000177</t>
  </si>
  <si>
    <t>G000000200</t>
  </si>
  <si>
    <t>G000000275</t>
  </si>
  <si>
    <t>G000000474</t>
  </si>
  <si>
    <t>G000000475</t>
  </si>
  <si>
    <t>G000000479</t>
  </si>
  <si>
    <t>G000000482</t>
  </si>
  <si>
    <t>G000000505</t>
  </si>
  <si>
    <t>G000000507</t>
  </si>
  <si>
    <t>G000000639</t>
  </si>
  <si>
    <t>G000000648</t>
  </si>
  <si>
    <t>G000000649</t>
  </si>
  <si>
    <t>G000000685</t>
  </si>
  <si>
    <t>G000000698</t>
  </si>
  <si>
    <t>G000000707</t>
  </si>
  <si>
    <t>G000000758</t>
  </si>
  <si>
    <t>G000000849</t>
  </si>
  <si>
    <t>G000000926</t>
  </si>
  <si>
    <t>G000000929</t>
  </si>
  <si>
    <t>G000000930</t>
  </si>
  <si>
    <t>G000001003</t>
  </si>
  <si>
    <t>H000000175</t>
  </si>
  <si>
    <t>H000000358</t>
  </si>
  <si>
    <t>H000000657</t>
  </si>
  <si>
    <t>H000000665</t>
  </si>
  <si>
    <t>H000000676</t>
  </si>
  <si>
    <t>H000000718</t>
  </si>
  <si>
    <t>H000000737</t>
  </si>
  <si>
    <t>H000000870</t>
  </si>
  <si>
    <t>H000000908</t>
  </si>
  <si>
    <t>H000001057</t>
  </si>
  <si>
    <t>H000001058</t>
  </si>
  <si>
    <t>H000001068</t>
  </si>
  <si>
    <t>H000001075</t>
  </si>
  <si>
    <t>H000001076</t>
  </si>
  <si>
    <t>H000002631</t>
  </si>
  <si>
    <t>H000002638</t>
  </si>
  <si>
    <t>H000002639</t>
  </si>
  <si>
    <t>H000002644</t>
  </si>
  <si>
    <t>H000002876</t>
  </si>
  <si>
    <t>H000003499</t>
  </si>
  <si>
    <t>H000003675</t>
  </si>
  <si>
    <t>H000003837</t>
  </si>
  <si>
    <t>H000003844</t>
  </si>
  <si>
    <t>H000004183</t>
  </si>
  <si>
    <t>H000004188</t>
  </si>
  <si>
    <t>H000004308</t>
  </si>
  <si>
    <t>IT06040200</t>
  </si>
  <si>
    <t>L000005452</t>
  </si>
  <si>
    <t>L000005471</t>
  </si>
  <si>
    <t>L000005485</t>
  </si>
  <si>
    <t>L000005954</t>
  </si>
  <si>
    <t>L000005968</t>
  </si>
  <si>
    <t>L000005969</t>
  </si>
  <si>
    <t>L000005970</t>
  </si>
  <si>
    <t>L000005981</t>
  </si>
  <si>
    <t>L000005984</t>
  </si>
  <si>
    <t>L000006113</t>
  </si>
  <si>
    <t>L000006468</t>
  </si>
  <si>
    <t>L000006586</t>
  </si>
  <si>
    <t>L000007028</t>
  </si>
  <si>
    <t>L000007690</t>
  </si>
  <si>
    <t>L000007718</t>
  </si>
  <si>
    <t>L000007763</t>
  </si>
  <si>
    <t>L000009045</t>
  </si>
  <si>
    <t>L000009402</t>
  </si>
  <si>
    <t>L000009822</t>
  </si>
  <si>
    <t>L000009833</t>
  </si>
  <si>
    <t>L000009835</t>
  </si>
  <si>
    <t>L000009843</t>
  </si>
  <si>
    <t>L000009901</t>
  </si>
  <si>
    <t>L000009921</t>
  </si>
  <si>
    <t>L000010230</t>
  </si>
  <si>
    <t>L000010556</t>
  </si>
  <si>
    <t>L000010590</t>
  </si>
  <si>
    <t>L000011123</t>
  </si>
  <si>
    <t>L000011129</t>
  </si>
  <si>
    <t>L000011353</t>
  </si>
  <si>
    <t>L000011355</t>
  </si>
  <si>
    <t>L000011412</t>
  </si>
  <si>
    <t>L000011458</t>
  </si>
  <si>
    <t>L000011619</t>
  </si>
  <si>
    <t>L000011673</t>
  </si>
  <si>
    <t>L000012078</t>
  </si>
  <si>
    <t>L000012210</t>
  </si>
  <si>
    <t>L000012211</t>
  </si>
  <si>
    <t>L000012345</t>
  </si>
  <si>
    <t>L000012425</t>
  </si>
  <si>
    <t>L000012452</t>
  </si>
  <si>
    <t>L000013103</t>
  </si>
  <si>
    <t>L000013120</t>
  </si>
  <si>
    <t>L000013225</t>
  </si>
  <si>
    <t>L000013265</t>
  </si>
  <si>
    <t>L000013266</t>
  </si>
  <si>
    <t>L000013299</t>
  </si>
  <si>
    <t>L000013303</t>
  </si>
  <si>
    <t>L000013304</t>
  </si>
  <si>
    <t>L000013305</t>
  </si>
  <si>
    <t>L000013308</t>
  </si>
  <si>
    <t>L000013310</t>
  </si>
  <si>
    <t>L000013462</t>
  </si>
  <si>
    <t>P000000026</t>
  </si>
  <si>
    <t>P000000037</t>
  </si>
  <si>
    <t>P000000076</t>
  </si>
  <si>
    <t>P000000078</t>
  </si>
  <si>
    <t>P000000080</t>
  </si>
  <si>
    <t>P000000081</t>
  </si>
  <si>
    <t>P000000083</t>
  </si>
  <si>
    <t>P000000092</t>
  </si>
  <si>
    <t>P000000093</t>
  </si>
  <si>
    <t>P000000095</t>
  </si>
  <si>
    <t>P000000100</t>
  </si>
  <si>
    <t>P000000102</t>
  </si>
  <si>
    <t>P000000103</t>
  </si>
  <si>
    <t>P000000105</t>
  </si>
  <si>
    <t>P000000112</t>
  </si>
  <si>
    <t>P000000113</t>
  </si>
  <si>
    <t>P000000115</t>
  </si>
  <si>
    <t>P000000122</t>
  </si>
  <si>
    <t>P000000123</t>
  </si>
  <si>
    <t>P000000125</t>
  </si>
  <si>
    <t>P000000132</t>
  </si>
  <si>
    <t>P000000133</t>
  </si>
  <si>
    <t>P000000135</t>
  </si>
  <si>
    <t>P000000142</t>
  </si>
  <si>
    <t>P000000143</t>
  </si>
  <si>
    <t>P000000145</t>
  </si>
  <si>
    <t>P000000147</t>
  </si>
  <si>
    <t>P000000148</t>
  </si>
  <si>
    <t>P000000152</t>
  </si>
  <si>
    <t>P000000154</t>
  </si>
  <si>
    <t>P000000155</t>
  </si>
  <si>
    <t>P000000157</t>
  </si>
  <si>
    <t>P000000164</t>
  </si>
  <si>
    <t>P000000165</t>
  </si>
  <si>
    <t>P000000167</t>
  </si>
  <si>
    <t>P000000174</t>
  </si>
  <si>
    <t>P000000175</t>
  </si>
  <si>
    <t>P000000177</t>
  </si>
  <si>
    <t>P000000202</t>
  </si>
  <si>
    <t>P000000203</t>
  </si>
  <si>
    <t>P000000205</t>
  </si>
  <si>
    <t>P000000212</t>
  </si>
  <si>
    <t>P000000214</t>
  </si>
  <si>
    <t>P000000215</t>
  </si>
  <si>
    <t>P000000217</t>
  </si>
  <si>
    <t>P000000223</t>
  </si>
  <si>
    <t>P000000224</t>
  </si>
  <si>
    <t>P000000225</t>
  </si>
  <si>
    <t>P000000227</t>
  </si>
  <si>
    <t>P000000234</t>
  </si>
  <si>
    <t>P000000235</t>
  </si>
  <si>
    <t>P000000237</t>
  </si>
  <si>
    <t>P000000242</t>
  </si>
  <si>
    <t>P000000244</t>
  </si>
  <si>
    <t>P000000245</t>
  </si>
  <si>
    <t>P000000253</t>
  </si>
  <si>
    <t>P000000254</t>
  </si>
  <si>
    <t>P000000255</t>
  </si>
  <si>
    <t>P000000257</t>
  </si>
  <si>
    <t>P000000264</t>
  </si>
  <si>
    <t>P000000265</t>
  </si>
  <si>
    <t>P000000267</t>
  </si>
  <si>
    <t>P000000274</t>
  </si>
  <si>
    <t>P000000275</t>
  </si>
  <si>
    <t>P000000277</t>
  </si>
  <si>
    <t>P000000284</t>
  </si>
  <si>
    <t>P000000285</t>
  </si>
  <si>
    <t>P000000287</t>
  </si>
  <si>
    <t>P000000411</t>
  </si>
  <si>
    <t>P000000413</t>
  </si>
  <si>
    <t>P000000447</t>
  </si>
  <si>
    <t>P000000489</t>
  </si>
  <si>
    <t>P000000500</t>
  </si>
  <si>
    <t>P000000501</t>
  </si>
  <si>
    <t>P000000600</t>
  </si>
  <si>
    <t>P000000706</t>
  </si>
  <si>
    <t>P000000727</t>
  </si>
  <si>
    <t>P000000828</t>
  </si>
  <si>
    <t>P000000832</t>
  </si>
  <si>
    <t>P000000833</t>
  </si>
  <si>
    <t>P000000874</t>
  </si>
  <si>
    <t>P000000900</t>
  </si>
  <si>
    <t>PL_E1_CNAA</t>
  </si>
  <si>
    <t>PL_E2_ES52</t>
  </si>
  <si>
    <t>PL_E5_FR42</t>
  </si>
  <si>
    <t>PL_E8_BR01</t>
  </si>
  <si>
    <t>PL_ED_USD6</t>
  </si>
  <si>
    <t>G000000066</t>
  </si>
  <si>
    <t>G000000099</t>
  </si>
  <si>
    <t>G000000105</t>
  </si>
  <si>
    <t>G000000121</t>
  </si>
  <si>
    <t>G000000191</t>
  </si>
  <si>
    <t>G000000480</t>
  </si>
  <si>
    <t>G000000483</t>
  </si>
  <si>
    <t>G000000506</t>
  </si>
  <si>
    <t>G000000545</t>
  </si>
  <si>
    <t>G000000712</t>
  </si>
  <si>
    <t>G000000764</t>
  </si>
  <si>
    <t>G000000931</t>
  </si>
  <si>
    <t>G000000959</t>
  </si>
  <si>
    <t>G000001037</t>
  </si>
  <si>
    <t>H000000160</t>
  </si>
  <si>
    <t>H000000441</t>
  </si>
  <si>
    <t>H000000468</t>
  </si>
  <si>
    <t>H000000477</t>
  </si>
  <si>
    <t>H000000486</t>
  </si>
  <si>
    <t>H000000489</t>
  </si>
  <si>
    <t>H000000495</t>
  </si>
  <si>
    <t>H000000504</t>
  </si>
  <si>
    <t>H000000514</t>
  </si>
  <si>
    <t>H000000523</t>
  </si>
  <si>
    <t>H000000532</t>
  </si>
  <si>
    <t>H000000541</t>
  </si>
  <si>
    <t>H000000550</t>
  </si>
  <si>
    <t>H000000559</t>
  </si>
  <si>
    <t>H000000568</t>
  </si>
  <si>
    <t>H000000577</t>
  </si>
  <si>
    <t>H000000586</t>
  </si>
  <si>
    <t>H000000595</t>
  </si>
  <si>
    <t>H000000604</t>
  </si>
  <si>
    <t>H000000613</t>
  </si>
  <si>
    <t>H000000632</t>
  </si>
  <si>
    <t>H000000741</t>
  </si>
  <si>
    <t>H000000848</t>
  </si>
  <si>
    <t>H000000857</t>
  </si>
  <si>
    <t>H000000869</t>
  </si>
  <si>
    <t>H000000877</t>
  </si>
  <si>
    <t>H000000891</t>
  </si>
  <si>
    <t>H000001006</t>
  </si>
  <si>
    <t>H000001015</t>
  </si>
  <si>
    <t>H000001024</t>
  </si>
  <si>
    <t>H000001033</t>
  </si>
  <si>
    <t>H000001042</t>
  </si>
  <si>
    <t>H000001902</t>
  </si>
  <si>
    <t>H000002182</t>
  </si>
  <si>
    <t>H000002217</t>
  </si>
  <si>
    <t>H000002252</t>
  </si>
  <si>
    <t>H000002291</t>
  </si>
  <si>
    <t>H000002326</t>
  </si>
  <si>
    <t>H000002361</t>
  </si>
  <si>
    <t>H000002396</t>
  </si>
  <si>
    <t>H000002431</t>
  </si>
  <si>
    <t>H000002643</t>
  </si>
  <si>
    <t>H000003498</t>
  </si>
  <si>
    <t>H000003664</t>
  </si>
  <si>
    <t>H000003681</t>
  </si>
  <si>
    <t>H000003704</t>
  </si>
  <si>
    <t>H000003725</t>
  </si>
  <si>
    <t>H000003855</t>
  </si>
  <si>
    <t>H000003861</t>
  </si>
  <si>
    <t>H000004185</t>
  </si>
  <si>
    <t>IT06030500</t>
  </si>
  <si>
    <t>L000005078</t>
  </si>
  <si>
    <t>L000005079</t>
  </si>
  <si>
    <t>L000005265</t>
  </si>
  <si>
    <t>L000005659</t>
  </si>
  <si>
    <t>L000005830</t>
  </si>
  <si>
    <t>L000005971</t>
  </si>
  <si>
    <t>L000006004</t>
  </si>
  <si>
    <t>L000006017</t>
  </si>
  <si>
    <t>L000006131</t>
  </si>
  <si>
    <t>L000006190</t>
  </si>
  <si>
    <t>L000006402</t>
  </si>
  <si>
    <t>L000006404</t>
  </si>
  <si>
    <t>L000006602</t>
  </si>
  <si>
    <t>L000006942</t>
  </si>
  <si>
    <t>L000007239</t>
  </si>
  <si>
    <t>L000008031</t>
  </si>
  <si>
    <t>L000008355</t>
  </si>
  <si>
    <t>L000008471</t>
  </si>
  <si>
    <t>L000008500</t>
  </si>
  <si>
    <t>L000008985</t>
  </si>
  <si>
    <t>L000008994</t>
  </si>
  <si>
    <t>L000009432</t>
  </si>
  <si>
    <t>L000009546</t>
  </si>
  <si>
    <t>L000009712</t>
  </si>
  <si>
    <t>L000009897</t>
  </si>
  <si>
    <t>L000010171</t>
  </si>
  <si>
    <t>L000011103</t>
  </si>
  <si>
    <t>L000011120</t>
  </si>
  <si>
    <t>L000011133</t>
  </si>
  <si>
    <t>L000011139</t>
  </si>
  <si>
    <t>L000011338</t>
  </si>
  <si>
    <t>L000011495</t>
  </si>
  <si>
    <t>L000011888</t>
  </si>
  <si>
    <t>L000012163</t>
  </si>
  <si>
    <t>L000012165</t>
  </si>
  <si>
    <t>L000012348</t>
  </si>
  <si>
    <t>L000012378</t>
  </si>
  <si>
    <t>L000012996</t>
  </si>
  <si>
    <t>L000013004</t>
  </si>
  <si>
    <t>L000013110</t>
  </si>
  <si>
    <t>L000013170</t>
  </si>
  <si>
    <t>L000013263</t>
  </si>
  <si>
    <t>L000013323</t>
  </si>
  <si>
    <t>L000013417</t>
  </si>
  <si>
    <t>P000000082</t>
  </si>
  <si>
    <t>P000000090</t>
  </si>
  <si>
    <t>P000000094</t>
  </si>
  <si>
    <t>P000000104</t>
  </si>
  <si>
    <t>P000000110</t>
  </si>
  <si>
    <t>P000000114</t>
  </si>
  <si>
    <t>P000000120</t>
  </si>
  <si>
    <t>P000000124</t>
  </si>
  <si>
    <t>P000000130</t>
  </si>
  <si>
    <t>P000000134</t>
  </si>
  <si>
    <t>P000000140</t>
  </si>
  <si>
    <t>P000000144</t>
  </si>
  <si>
    <t>P000000156</t>
  </si>
  <si>
    <t>P000000162</t>
  </si>
  <si>
    <t>P000000166</t>
  </si>
  <si>
    <t>P000000172</t>
  </si>
  <si>
    <t>P000000176</t>
  </si>
  <si>
    <t>P000000192</t>
  </si>
  <si>
    <t>P000000200</t>
  </si>
  <si>
    <t>P000000204</t>
  </si>
  <si>
    <t>P000000216</t>
  </si>
  <si>
    <t>P000000222</t>
  </si>
  <si>
    <t>P000000226</t>
  </si>
  <si>
    <t>P000000232</t>
  </si>
  <si>
    <t>P000000236</t>
  </si>
  <si>
    <t>P000000246</t>
  </si>
  <si>
    <t>P000000252</t>
  </si>
  <si>
    <t>P000000256</t>
  </si>
  <si>
    <t>P000000262</t>
  </si>
  <si>
    <t>P000000266</t>
  </si>
  <si>
    <t>P000000272</t>
  </si>
  <si>
    <t>P000000276</t>
  </si>
  <si>
    <t>P000000282</t>
  </si>
  <si>
    <t>P000000286</t>
  </si>
  <si>
    <t>P000000483</t>
  </si>
  <si>
    <t>P000000484</t>
  </si>
  <si>
    <t>P000000502</t>
  </si>
  <si>
    <t>P000000775</t>
  </si>
  <si>
    <t>P000000797</t>
  </si>
  <si>
    <t>P000000807</t>
  </si>
  <si>
    <t>P000000847</t>
  </si>
  <si>
    <t>P000000854</t>
  </si>
  <si>
    <t>P000000870</t>
  </si>
  <si>
    <t>P000000871</t>
  </si>
  <si>
    <t>PL_B2_DE02</t>
  </si>
  <si>
    <t>PL_E5_IT12</t>
  </si>
  <si>
    <t>PL_E8_MX01</t>
  </si>
  <si>
    <t>IT06030700</t>
  </si>
  <si>
    <t>G000000006</t>
  </si>
  <si>
    <t>G000000107</t>
  </si>
  <si>
    <t>G000000126</t>
  </si>
  <si>
    <t>G000000128</t>
  </si>
  <si>
    <t>G000000189</t>
  </si>
  <si>
    <t>G000000190</t>
  </si>
  <si>
    <t>G000000218</t>
  </si>
  <si>
    <t>G000000461</t>
  </si>
  <si>
    <t>G000000462</t>
  </si>
  <si>
    <t>G000000701</t>
  </si>
  <si>
    <t>G000000720</t>
  </si>
  <si>
    <t>G000000832</t>
  </si>
  <si>
    <t>H000000008</t>
  </si>
  <si>
    <t>H000000653</t>
  </si>
  <si>
    <t>H000000656</t>
  </si>
  <si>
    <t>H000000705</t>
  </si>
  <si>
    <t>H000000723</t>
  </si>
  <si>
    <t>H000000768</t>
  </si>
  <si>
    <t>H000000798</t>
  </si>
  <si>
    <t>H000000897</t>
  </si>
  <si>
    <t>H000001138</t>
  </si>
  <si>
    <t>H000001158</t>
  </si>
  <si>
    <t>H000001192</t>
  </si>
  <si>
    <t>H000001203</t>
  </si>
  <si>
    <t>H000001206</t>
  </si>
  <si>
    <t>H000001326</t>
  </si>
  <si>
    <t>H000001467</t>
  </si>
  <si>
    <t>H000001769</t>
  </si>
  <si>
    <t>H000001777</t>
  </si>
  <si>
    <t>H000001906</t>
  </si>
  <si>
    <t>H000001910</t>
  </si>
  <si>
    <t>H000001969</t>
  </si>
  <si>
    <t>H000002498</t>
  </si>
  <si>
    <t>H000002610</t>
  </si>
  <si>
    <t>H000002630</t>
  </si>
  <si>
    <t>H000002704</t>
  </si>
  <si>
    <t>H000002709</t>
  </si>
  <si>
    <t>H000002798</t>
  </si>
  <si>
    <t>H000004092</t>
  </si>
  <si>
    <t>H000004099</t>
  </si>
  <si>
    <t>IT06070710</t>
  </si>
  <si>
    <t>L000005162</t>
  </si>
  <si>
    <t>L000005192</t>
  </si>
  <si>
    <t>L000005348</t>
  </si>
  <si>
    <t>L000005635</t>
  </si>
  <si>
    <t>L000005908</t>
  </si>
  <si>
    <t>L000005987</t>
  </si>
  <si>
    <t>L000005994</t>
  </si>
  <si>
    <t>L000006082</t>
  </si>
  <si>
    <t>L000006111</t>
  </si>
  <si>
    <t>L000006298</t>
  </si>
  <si>
    <t>L000006487</t>
  </si>
  <si>
    <t>L000007417</t>
  </si>
  <si>
    <t>L000007493</t>
  </si>
  <si>
    <t>L000008343</t>
  </si>
  <si>
    <t>L000008420</t>
  </si>
  <si>
    <t>L000008568</t>
  </si>
  <si>
    <t>L000009143</t>
  </si>
  <si>
    <t>L000009331</t>
  </si>
  <si>
    <t>L000009885</t>
  </si>
  <si>
    <t>L000009889</t>
  </si>
  <si>
    <t>L000009893</t>
  </si>
  <si>
    <t>L000009939</t>
  </si>
  <si>
    <t>L000010485</t>
  </si>
  <si>
    <t>L000010574</t>
  </si>
  <si>
    <t>L000011037</t>
  </si>
  <si>
    <t>L000011128</t>
  </si>
  <si>
    <t>L000011507</t>
  </si>
  <si>
    <t>L000011663</t>
  </si>
  <si>
    <t>L000011863</t>
  </si>
  <si>
    <t>L000011996</t>
  </si>
  <si>
    <t>L000012147</t>
  </si>
  <si>
    <t>L000012161</t>
  </si>
  <si>
    <t>L000012242</t>
  </si>
  <si>
    <t>L000012424</t>
  </si>
  <si>
    <t>L000012719</t>
  </si>
  <si>
    <t>L000012884</t>
  </si>
  <si>
    <t>L000013173</t>
  </si>
  <si>
    <t>L000013295</t>
  </si>
  <si>
    <t>L000013311</t>
  </si>
  <si>
    <t>L000013386</t>
  </si>
  <si>
    <t>L000013474</t>
  </si>
  <si>
    <t>P000000030</t>
  </si>
  <si>
    <t>P000000476</t>
  </si>
  <si>
    <t>P000000498</t>
  </si>
  <si>
    <t>P000000504</t>
  </si>
  <si>
    <t>P000000566</t>
  </si>
  <si>
    <t>P000000708</t>
  </si>
  <si>
    <t>P000000731</t>
  </si>
  <si>
    <t>P000000756</t>
  </si>
  <si>
    <t>P000000785</t>
  </si>
  <si>
    <t>P000000812</t>
  </si>
  <si>
    <t>P000000820</t>
  </si>
  <si>
    <t>P000000849</t>
  </si>
  <si>
    <t>P000000861</t>
  </si>
  <si>
    <t>P000000902</t>
  </si>
  <si>
    <t>P000000990</t>
  </si>
  <si>
    <t>P000000992</t>
  </si>
  <si>
    <t>PL_E5_FR44</t>
  </si>
  <si>
    <t>PL_ED_KRB2</t>
  </si>
  <si>
    <t>RDC0000130</t>
  </si>
  <si>
    <t>G000000160</t>
  </si>
  <si>
    <t>G000000215</t>
  </si>
  <si>
    <t>G000000233</t>
  </si>
  <si>
    <t>G000000504</t>
  </si>
  <si>
    <t>G000000647</t>
  </si>
  <si>
    <t>G000000829</t>
  </si>
  <si>
    <t>G000000838</t>
  </si>
  <si>
    <t>H000000173</t>
  </si>
  <si>
    <t>H000000255</t>
  </si>
  <si>
    <t>H000000517</t>
  </si>
  <si>
    <t>H000000623</t>
  </si>
  <si>
    <t>H000000684</t>
  </si>
  <si>
    <t>H000000910</t>
  </si>
  <si>
    <t>H000001155</t>
  </si>
  <si>
    <t>H000001249</t>
  </si>
  <si>
    <t>H000001285</t>
  </si>
  <si>
    <t>H000001425</t>
  </si>
  <si>
    <t>H000001445</t>
  </si>
  <si>
    <t>H000001476</t>
  </si>
  <si>
    <t>H000001483</t>
  </si>
  <si>
    <t>H000001503</t>
  </si>
  <si>
    <t>H000001515</t>
  </si>
  <si>
    <t>H000001520</t>
  </si>
  <si>
    <t>H000001535</t>
  </si>
  <si>
    <t>H000001598</t>
  </si>
  <si>
    <t>H000001605</t>
  </si>
  <si>
    <t>H000001684</t>
  </si>
  <si>
    <t>H000001773</t>
  </si>
  <si>
    <t>H000001819</t>
  </si>
  <si>
    <t>H000001858</t>
  </si>
  <si>
    <t>H000001894</t>
  </si>
  <si>
    <t>H000001898</t>
  </si>
  <si>
    <t>H000002044</t>
  </si>
  <si>
    <t>H000002104</t>
  </si>
  <si>
    <t>H000002656</t>
  </si>
  <si>
    <t>H000002664</t>
  </si>
  <si>
    <t>H000002705</t>
  </si>
  <si>
    <t>H000002706</t>
  </si>
  <si>
    <t>H000003502</t>
  </si>
  <si>
    <t>H000003503</t>
  </si>
  <si>
    <t>H000003685</t>
  </si>
  <si>
    <t>H000003973</t>
  </si>
  <si>
    <t>H000003982</t>
  </si>
  <si>
    <t>H000004095</t>
  </si>
  <si>
    <t>H000004096</t>
  </si>
  <si>
    <t>H000004118</t>
  </si>
  <si>
    <t>H000004161</t>
  </si>
  <si>
    <t>IT06140400</t>
  </si>
  <si>
    <t>L000005075</t>
  </si>
  <si>
    <t>L000005109</t>
  </si>
  <si>
    <t>L000005120</t>
  </si>
  <si>
    <t>L000005127</t>
  </si>
  <si>
    <t>L000005131</t>
  </si>
  <si>
    <t>L000005132</t>
  </si>
  <si>
    <t>L000005133</t>
  </si>
  <si>
    <t>L000005140</t>
  </si>
  <si>
    <t>L000005141</t>
  </si>
  <si>
    <t>L000005142</t>
  </si>
  <si>
    <t>L000005181</t>
  </si>
  <si>
    <t>L000005211</t>
  </si>
  <si>
    <t>L000005212</t>
  </si>
  <si>
    <t>L000005214</t>
  </si>
  <si>
    <t>L000005215</t>
  </si>
  <si>
    <t>L000005231</t>
  </si>
  <si>
    <t>L000005242</t>
  </si>
  <si>
    <t>L000005244</t>
  </si>
  <si>
    <t>L000005267</t>
  </si>
  <si>
    <t>L000005273</t>
  </si>
  <si>
    <t>L000005274</t>
  </si>
  <si>
    <t>L000005287</t>
  </si>
  <si>
    <t>L000005351</t>
  </si>
  <si>
    <t>L000005355</t>
  </si>
  <si>
    <t>L000005356</t>
  </si>
  <si>
    <t>L000005357</t>
  </si>
  <si>
    <t>L000005359</t>
  </si>
  <si>
    <t>L000005418</t>
  </si>
  <si>
    <t>L000005419</t>
  </si>
  <si>
    <t>L000005447</t>
  </si>
  <si>
    <t>L000005456</t>
  </si>
  <si>
    <t>L000005473</t>
  </si>
  <si>
    <t>L000005660</t>
  </si>
  <si>
    <t>L000005666</t>
  </si>
  <si>
    <t>L000005681</t>
  </si>
  <si>
    <t>L000005734</t>
  </si>
  <si>
    <t>L000005797</t>
  </si>
  <si>
    <t>L000005834</t>
  </si>
  <si>
    <t>L000005974</t>
  </si>
  <si>
    <t>L000005976</t>
  </si>
  <si>
    <t>L000005977</t>
  </si>
  <si>
    <t>L000005996</t>
  </si>
  <si>
    <t>L000006019</t>
  </si>
  <si>
    <t>L000006020</t>
  </si>
  <si>
    <t>L000006021</t>
  </si>
  <si>
    <t>L000006022</t>
  </si>
  <si>
    <t>L000006024</t>
  </si>
  <si>
    <t>L000006025</t>
  </si>
  <si>
    <t>L000006026</t>
  </si>
  <si>
    <t>L000006029</t>
  </si>
  <si>
    <t>L000006030</t>
  </si>
  <si>
    <t>L000006031</t>
  </si>
  <si>
    <t>L000006033</t>
  </si>
  <si>
    <t>L000006036</t>
  </si>
  <si>
    <t>L000006041</t>
  </si>
  <si>
    <t>L000006042</t>
  </si>
  <si>
    <t>L000006043</t>
  </si>
  <si>
    <t>L000006044</t>
  </si>
  <si>
    <t>L000006045</t>
  </si>
  <si>
    <t>L000006046</t>
  </si>
  <si>
    <t>L000006047</t>
  </si>
  <si>
    <t>L000006050</t>
  </si>
  <si>
    <t>L000006057</t>
  </si>
  <si>
    <t>L000006058</t>
  </si>
  <si>
    <t>L000006067</t>
  </si>
  <si>
    <t>L000006073</t>
  </si>
  <si>
    <t>L000006087</t>
  </si>
  <si>
    <t>L000006088</t>
  </si>
  <si>
    <t>L000006090</t>
  </si>
  <si>
    <t>L000006096</t>
  </si>
  <si>
    <t>L000006117</t>
  </si>
  <si>
    <t>L000006154</t>
  </si>
  <si>
    <t>L000006160</t>
  </si>
  <si>
    <t>L000006176</t>
  </si>
  <si>
    <t>L000006191</t>
  </si>
  <si>
    <t>L000006193</t>
  </si>
  <si>
    <t>L000006198</t>
  </si>
  <si>
    <t>L000006202</t>
  </si>
  <si>
    <t>L000006208</t>
  </si>
  <si>
    <t>L000006297</t>
  </si>
  <si>
    <t>L000006300</t>
  </si>
  <si>
    <t>L000006301</t>
  </si>
  <si>
    <t>L000006302</t>
  </si>
  <si>
    <t>L000006303</t>
  </si>
  <si>
    <t>L000006305</t>
  </si>
  <si>
    <t>L000006308</t>
  </si>
  <si>
    <t>L000006309</t>
  </si>
  <si>
    <t>L000006310</t>
  </si>
  <si>
    <t>L000006312</t>
  </si>
  <si>
    <t>L000006313</t>
  </si>
  <si>
    <t>L000006314</t>
  </si>
  <si>
    <t>L000006316</t>
  </si>
  <si>
    <t>L000006327</t>
  </si>
  <si>
    <t>L000006328</t>
  </si>
  <si>
    <t>L000006329</t>
  </si>
  <si>
    <t>L000006331</t>
  </si>
  <si>
    <t>L000006333</t>
  </si>
  <si>
    <t>L000006334</t>
  </si>
  <si>
    <t>L000006335</t>
  </si>
  <si>
    <t>L000006339</t>
  </si>
  <si>
    <t>L000006341</t>
  </si>
  <si>
    <t>L000006342</t>
  </si>
  <si>
    <t>L000006347</t>
  </si>
  <si>
    <t>L000006351</t>
  </si>
  <si>
    <t>L000006353</t>
  </si>
  <si>
    <t>L000006354</t>
  </si>
  <si>
    <t>L000006355</t>
  </si>
  <si>
    <t>L000006356</t>
  </si>
  <si>
    <t>L000006357</t>
  </si>
  <si>
    <t>L000006359</t>
  </si>
  <si>
    <t>L000006360</t>
  </si>
  <si>
    <t>L000006361</t>
  </si>
  <si>
    <t>L000006363</t>
  </si>
  <si>
    <t>L000006364</t>
  </si>
  <si>
    <t>L000006366</t>
  </si>
  <si>
    <t>L000006367</t>
  </si>
  <si>
    <t>L000006368</t>
  </si>
  <si>
    <t>L000006370</t>
  </si>
  <si>
    <t>L000006373</t>
  </si>
  <si>
    <t>L000006375</t>
  </si>
  <si>
    <t>L000006376</t>
  </si>
  <si>
    <t>L000006377</t>
  </si>
  <si>
    <t>L000006381</t>
  </si>
  <si>
    <t>L000006382</t>
  </si>
  <si>
    <t>L000006383</t>
  </si>
  <si>
    <t>L000006384</t>
  </si>
  <si>
    <t>L000006385</t>
  </si>
  <si>
    <t>L000006386</t>
  </si>
  <si>
    <t>L000006389</t>
  </si>
  <si>
    <t>L000006406</t>
  </si>
  <si>
    <t>L000006409</t>
  </si>
  <si>
    <t>L000006415</t>
  </si>
  <si>
    <t>L000006416</t>
  </si>
  <si>
    <t>L000006417</t>
  </si>
  <si>
    <t>L000006427</t>
  </si>
  <si>
    <t>L000006441</t>
  </si>
  <si>
    <t>L000006454</t>
  </si>
  <si>
    <t>L000006455</t>
  </si>
  <si>
    <t>L000006457</t>
  </si>
  <si>
    <t>L000006458</t>
  </si>
  <si>
    <t>L000006467</t>
  </si>
  <si>
    <t>L000006469</t>
  </si>
  <si>
    <t>L000006472</t>
  </si>
  <si>
    <t>L000006474</t>
  </si>
  <si>
    <t>L000006475</t>
  </si>
  <si>
    <t>L000006477</t>
  </si>
  <si>
    <t>L000006478</t>
  </si>
  <si>
    <t>L000006479</t>
  </si>
  <si>
    <t>L000006483</t>
  </si>
  <si>
    <t>L000006484</t>
  </si>
  <si>
    <t>L000006488</t>
  </si>
  <si>
    <t>L000006490</t>
  </si>
  <si>
    <t>L000006492</t>
  </si>
  <si>
    <t>L000006499</t>
  </si>
  <si>
    <t>L000006501</t>
  </si>
  <si>
    <t>L000006502</t>
  </si>
  <si>
    <t>L000006503</t>
  </si>
  <si>
    <t>L000006505</t>
  </si>
  <si>
    <t>L000006506</t>
  </si>
  <si>
    <t>L000006507</t>
  </si>
  <si>
    <t>L000006508</t>
  </si>
  <si>
    <t>L000006509</t>
  </si>
  <si>
    <t>L000006510</t>
  </si>
  <si>
    <t>L000006511</t>
  </si>
  <si>
    <t>L000006512</t>
  </si>
  <si>
    <t>L000006513</t>
  </si>
  <si>
    <t>L000006514</t>
  </si>
  <si>
    <t>L000006516</t>
  </si>
  <si>
    <t>L000006517</t>
  </si>
  <si>
    <t>L000006521</t>
  </si>
  <si>
    <t>L000006522</t>
  </si>
  <si>
    <t>L000006523</t>
  </si>
  <si>
    <t>L000006525</t>
  </si>
  <si>
    <t>L000006528</t>
  </si>
  <si>
    <t>L000006530</t>
  </si>
  <si>
    <t>L000006531</t>
  </si>
  <si>
    <t>L000006532</t>
  </si>
  <si>
    <t>L000006535</t>
  </si>
  <si>
    <t>L000006537</t>
  </si>
  <si>
    <t>L000006538</t>
  </si>
  <si>
    <t>L000006540</t>
  </si>
  <si>
    <t>L000006541</t>
  </si>
  <si>
    <t>L000006542</t>
  </si>
  <si>
    <t>L000006550</t>
  </si>
  <si>
    <t>L000006551</t>
  </si>
  <si>
    <t>L000006560</t>
  </si>
  <si>
    <t>L000006561</t>
  </si>
  <si>
    <t>L000006563</t>
  </si>
  <si>
    <t>L000006569</t>
  </si>
  <si>
    <t>L000006570</t>
  </si>
  <si>
    <t>L000006571</t>
  </si>
  <si>
    <t>L000006572</t>
  </si>
  <si>
    <t>L000006575</t>
  </si>
  <si>
    <t>L000006578</t>
  </si>
  <si>
    <t>L000006579</t>
  </si>
  <si>
    <t>L000006580</t>
  </si>
  <si>
    <t>L000006581</t>
  </si>
  <si>
    <t>L000006584</t>
  </si>
  <si>
    <t>L000006588</t>
  </si>
  <si>
    <t>L000006589</t>
  </si>
  <si>
    <t>L000006590</t>
  </si>
  <si>
    <t>L000006591</t>
  </si>
  <si>
    <t>L000006594</t>
  </si>
  <si>
    <t>L000006596</t>
  </si>
  <si>
    <t>L000006597</t>
  </si>
  <si>
    <t>L000006600</t>
  </si>
  <si>
    <t>L000006604</t>
  </si>
  <si>
    <t>L000006605</t>
  </si>
  <si>
    <t>L000006606</t>
  </si>
  <si>
    <t>L000006607</t>
  </si>
  <si>
    <t>L000006618</t>
  </si>
  <si>
    <t>L000006619</t>
  </si>
  <si>
    <t>L000006621</t>
  </si>
  <si>
    <t>L000006623</t>
  </si>
  <si>
    <t>L000006624</t>
  </si>
  <si>
    <t>L000006625</t>
  </si>
  <si>
    <t>L000006626</t>
  </si>
  <si>
    <t>L000006627</t>
  </si>
  <si>
    <t>L000006628</t>
  </si>
  <si>
    <t>L000006629</t>
  </si>
  <si>
    <t>L000006630</t>
  </si>
  <si>
    <t>L000006634</t>
  </si>
  <si>
    <t>L000006635</t>
  </si>
  <si>
    <t>L000006640</t>
  </si>
  <si>
    <t>L000006644</t>
  </si>
  <si>
    <t>L000006645</t>
  </si>
  <si>
    <t>L000006648</t>
  </si>
  <si>
    <t>L000006649</t>
  </si>
  <si>
    <t>L000006650</t>
  </si>
  <si>
    <t>L000006651</t>
  </si>
  <si>
    <t>L000006652</t>
  </si>
  <si>
    <t>L000006653</t>
  </si>
  <si>
    <t>L000006657</t>
  </si>
  <si>
    <t>L000006658</t>
  </si>
  <si>
    <t>L000006659</t>
  </si>
  <si>
    <t>L000006660</t>
  </si>
  <si>
    <t>L000006662</t>
  </si>
  <si>
    <t>L000006664</t>
  </si>
  <si>
    <t>L000006665</t>
  </si>
  <si>
    <t>L000006668</t>
  </si>
  <si>
    <t>L000006669</t>
  </si>
  <si>
    <t>L000006671</t>
  </si>
  <si>
    <t>L000006672</t>
  </si>
  <si>
    <t>L000006675</t>
  </si>
  <si>
    <t>L000006677</t>
  </si>
  <si>
    <t>L000006678</t>
  </si>
  <si>
    <t>L000006681</t>
  </si>
  <si>
    <t>L000006682</t>
  </si>
  <si>
    <t>L000006691</t>
  </si>
  <si>
    <t>L000006697</t>
  </si>
  <si>
    <t>L000006703</t>
  </si>
  <si>
    <t>L000006704</t>
  </si>
  <si>
    <t>L000006706</t>
  </si>
  <si>
    <t>L000006707</t>
  </si>
  <si>
    <t>L000006709</t>
  </si>
  <si>
    <t>L000006710</t>
  </si>
  <si>
    <t>L000006711</t>
  </si>
  <si>
    <t>L000006714</t>
  </si>
  <si>
    <t>L000006721</t>
  </si>
  <si>
    <t>L000006722</t>
  </si>
  <si>
    <t>L000006723</t>
  </si>
  <si>
    <t>L000006725</t>
  </si>
  <si>
    <t>L000006726</t>
  </si>
  <si>
    <t>L000006727</t>
  </si>
  <si>
    <t>L000006730</t>
  </si>
  <si>
    <t>L000006731</t>
  </si>
  <si>
    <t>L000006732</t>
  </si>
  <si>
    <t>L000006734</t>
  </si>
  <si>
    <t>L000006743</t>
  </si>
  <si>
    <t>L000006744</t>
  </si>
  <si>
    <t>L000006748</t>
  </si>
  <si>
    <t>L000006750</t>
  </si>
  <si>
    <t>L000006751</t>
  </si>
  <si>
    <t>L000006752</t>
  </si>
  <si>
    <t>L000006753</t>
  </si>
  <si>
    <t>L000006756</t>
  </si>
  <si>
    <t>L000006757</t>
  </si>
  <si>
    <t>L000006758</t>
  </si>
  <si>
    <t>L000006759</t>
  </si>
  <si>
    <t>L000006762</t>
  </si>
  <si>
    <t>L000006763</t>
  </si>
  <si>
    <t>L000006764</t>
  </si>
  <si>
    <t>L000006766</t>
  </si>
  <si>
    <t>L000006767</t>
  </si>
  <si>
    <t>L000006768</t>
  </si>
  <si>
    <t>L000006770</t>
  </si>
  <si>
    <t>L000006776</t>
  </si>
  <si>
    <t>L000006777</t>
  </si>
  <si>
    <t>L000006779</t>
  </si>
  <si>
    <t>L000006781</t>
  </si>
  <si>
    <t>L000006782</t>
  </si>
  <si>
    <t>L000006785</t>
  </si>
  <si>
    <t>L000006786</t>
  </si>
  <si>
    <t>L000006793</t>
  </si>
  <si>
    <t>L000006795</t>
  </si>
  <si>
    <t>L000006796</t>
  </si>
  <si>
    <t>L000006797</t>
  </si>
  <si>
    <t>L000006798</t>
  </si>
  <si>
    <t>L000006799</t>
  </si>
  <si>
    <t>L000006800</t>
  </si>
  <si>
    <t>L000006802</t>
  </si>
  <si>
    <t>L000006803</t>
  </si>
  <si>
    <t>L000006804</t>
  </si>
  <si>
    <t>L000006805</t>
  </si>
  <si>
    <t>L000006806</t>
  </si>
  <si>
    <t>L000006809</t>
  </si>
  <si>
    <t>L000006810</t>
  </si>
  <si>
    <t>L000006812</t>
  </si>
  <si>
    <t>L000006815</t>
  </si>
  <si>
    <t>L000006816</t>
  </si>
  <si>
    <t>L000006820</t>
  </si>
  <si>
    <t>L000006822</t>
  </si>
  <si>
    <t>L000006827</t>
  </si>
  <si>
    <t>L000006834</t>
  </si>
  <si>
    <t>L000006835</t>
  </si>
  <si>
    <t>L000006836</t>
  </si>
  <si>
    <t>L000006843</t>
  </si>
  <si>
    <t>L000006847</t>
  </si>
  <si>
    <t>L000006851</t>
  </si>
  <si>
    <t>L000006861</t>
  </si>
  <si>
    <t>L000006866</t>
  </si>
  <si>
    <t>L000006877</t>
  </si>
  <si>
    <t>L000006884</t>
  </si>
  <si>
    <t>L000006886</t>
  </si>
  <si>
    <t>L000006887</t>
  </si>
  <si>
    <t>L000006893</t>
  </si>
  <si>
    <t>L000006907</t>
  </si>
  <si>
    <t>L000006910</t>
  </si>
  <si>
    <t>L000006918</t>
  </si>
  <si>
    <t>L000006919</t>
  </si>
  <si>
    <t>L000006920</t>
  </si>
  <si>
    <t>L000006925</t>
  </si>
  <si>
    <t>L000006929</t>
  </si>
  <si>
    <t>L000006932</t>
  </si>
  <si>
    <t>L000006939</t>
  </si>
  <si>
    <t>L000006943</t>
  </si>
  <si>
    <t>L000006945</t>
  </si>
  <si>
    <t>L000006948</t>
  </si>
  <si>
    <t>L000006951</t>
  </si>
  <si>
    <t>L000006956</t>
  </si>
  <si>
    <t>L000006957</t>
  </si>
  <si>
    <t>L000006958</t>
  </si>
  <si>
    <t>L000006959</t>
  </si>
  <si>
    <t>L000006964</t>
  </si>
  <si>
    <t>L000006971</t>
  </si>
  <si>
    <t>L000006972</t>
  </si>
  <si>
    <t>L000006973</t>
  </si>
  <si>
    <t>L000006977</t>
  </si>
  <si>
    <t>L000006981</t>
  </si>
  <si>
    <t>L000006982</t>
  </si>
  <si>
    <t>L000006985</t>
  </si>
  <si>
    <t>L000006986</t>
  </si>
  <si>
    <t>L000006989</t>
  </si>
  <si>
    <t>L000006991</t>
  </si>
  <si>
    <t>L000006996</t>
  </si>
  <si>
    <t>L000006997</t>
  </si>
  <si>
    <t>L000007002</t>
  </si>
  <si>
    <t>L000007003</t>
  </si>
  <si>
    <t>L000007005</t>
  </si>
  <si>
    <t>L000007020</t>
  </si>
  <si>
    <t>L000007035</t>
  </si>
  <si>
    <t>L000007041</t>
  </si>
  <si>
    <t>L000007054</t>
  </si>
  <si>
    <t>L000007058</t>
  </si>
  <si>
    <t>L000007065</t>
  </si>
  <si>
    <t>L000007084</t>
  </si>
  <si>
    <t>L000007118</t>
  </si>
  <si>
    <t>L000007119</t>
  </si>
  <si>
    <t>L000007120</t>
  </si>
  <si>
    <t>L000007125</t>
  </si>
  <si>
    <t>L000007126</t>
  </si>
  <si>
    <t>L000007127</t>
  </si>
  <si>
    <t>L000007130</t>
  </si>
  <si>
    <t>L000007132</t>
  </si>
  <si>
    <t>L000007133</t>
  </si>
  <si>
    <t>L000007134</t>
  </si>
  <si>
    <t>L000007139</t>
  </si>
  <si>
    <t>L000007140</t>
  </si>
  <si>
    <t>L000007143</t>
  </si>
  <si>
    <t>L000007145</t>
  </si>
  <si>
    <t>L000007146</t>
  </si>
  <si>
    <t>L000007147</t>
  </si>
  <si>
    <t>L000007148</t>
  </si>
  <si>
    <t>L000007149</t>
  </si>
  <si>
    <t>L000007150</t>
  </si>
  <si>
    <t>L000007151</t>
  </si>
  <si>
    <t>L000007152</t>
  </si>
  <si>
    <t>L000007154</t>
  </si>
  <si>
    <t>L000007156</t>
  </si>
  <si>
    <t>L000007157</t>
  </si>
  <si>
    <t>L000007158</t>
  </si>
  <si>
    <t>L000007159</t>
  </si>
  <si>
    <t>L000007160</t>
  </si>
  <si>
    <t>L000007161</t>
  </si>
  <si>
    <t>L000007162</t>
  </si>
  <si>
    <t>L000007163</t>
  </si>
  <si>
    <t>L000007166</t>
  </si>
  <si>
    <t>L000007169</t>
  </si>
  <si>
    <t>L000007172</t>
  </si>
  <si>
    <t>L000007175</t>
  </si>
  <si>
    <t>L000007176</t>
  </si>
  <si>
    <t>L000007178</t>
  </si>
  <si>
    <t>L000007179</t>
  </si>
  <si>
    <t>L000007180</t>
  </si>
  <si>
    <t>L000007181</t>
  </si>
  <si>
    <t>L000007182</t>
  </si>
  <si>
    <t>L000007183</t>
  </si>
  <si>
    <t>L000007184</t>
  </si>
  <si>
    <t>L000007185</t>
  </si>
  <si>
    <t>L000007186</t>
  </si>
  <si>
    <t>L000007187</t>
  </si>
  <si>
    <t>L000007188</t>
  </si>
  <si>
    <t>L000007189</t>
  </si>
  <si>
    <t>L000007190</t>
  </si>
  <si>
    <t>L000007191</t>
  </si>
  <si>
    <t>L000007193</t>
  </si>
  <si>
    <t>L000007194</t>
  </si>
  <si>
    <t>L000007196</t>
  </si>
  <si>
    <t>L000007198</t>
  </si>
  <si>
    <t>L000007201</t>
  </si>
  <si>
    <t>L000007202</t>
  </si>
  <si>
    <t>L000007203</t>
  </si>
  <si>
    <t>L000007204</t>
  </si>
  <si>
    <t>L000007205</t>
  </si>
  <si>
    <t>L000007212</t>
  </si>
  <si>
    <t>L000007215</t>
  </si>
  <si>
    <t>L000007216</t>
  </si>
  <si>
    <t>L000007218</t>
  </si>
  <si>
    <t>L000007221</t>
  </si>
  <si>
    <t>L000007222</t>
  </si>
  <si>
    <t>L000007225</t>
  </si>
  <si>
    <t>L000007227</t>
  </si>
  <si>
    <t>L000007231</t>
  </si>
  <si>
    <t>L000007233</t>
  </si>
  <si>
    <t>L000007234</t>
  </si>
  <si>
    <t>L000007238</t>
  </si>
  <si>
    <t>L000007241</t>
  </si>
  <si>
    <t>L000007243</t>
  </si>
  <si>
    <t>L000007246</t>
  </si>
  <si>
    <t>L000007251</t>
  </si>
  <si>
    <t>L000007252</t>
  </si>
  <si>
    <t>L000007253</t>
  </si>
  <si>
    <t>L000007254</t>
  </si>
  <si>
    <t>L000007262</t>
  </si>
  <si>
    <t>L000007264</t>
  </si>
  <si>
    <t>L000007266</t>
  </si>
  <si>
    <t>L000007268</t>
  </si>
  <si>
    <t>L000007269</t>
  </si>
  <si>
    <t>L000007270</t>
  </si>
  <si>
    <t>L000007271</t>
  </si>
  <si>
    <t>L000007272</t>
  </si>
  <si>
    <t>L000007273</t>
  </si>
  <si>
    <t>L000007274</t>
  </si>
  <si>
    <t>L000007277</t>
  </si>
  <si>
    <t>L000007278</t>
  </si>
  <si>
    <t>L000007279</t>
  </si>
  <si>
    <t>L000007285</t>
  </si>
  <si>
    <t>L000007286</t>
  </si>
  <si>
    <t>L000007287</t>
  </si>
  <si>
    <t>L000007291</t>
  </si>
  <si>
    <t>L000007294</t>
  </si>
  <si>
    <t>L000007297</t>
  </si>
  <si>
    <t>L000007299</t>
  </si>
  <si>
    <t>L000007300</t>
  </si>
  <si>
    <t>L000007301</t>
  </si>
  <si>
    <t>L000007302</t>
  </si>
  <si>
    <t>L000007303</t>
  </si>
  <si>
    <t>L000007306</t>
  </si>
  <si>
    <t>L000007307</t>
  </si>
  <si>
    <t>L000007308</t>
  </si>
  <si>
    <t>L000007310</t>
  </si>
  <si>
    <t>L000007311</t>
  </si>
  <si>
    <t>L000007315</t>
  </si>
  <si>
    <t>L000007317</t>
  </si>
  <si>
    <t>L000007320</t>
  </si>
  <si>
    <t>L000007321</t>
  </si>
  <si>
    <t>L000007324</t>
  </si>
  <si>
    <t>L000007328</t>
  </si>
  <si>
    <t>L000007330</t>
  </si>
  <si>
    <t>L000007331</t>
  </si>
  <si>
    <t>L000007332</t>
  </si>
  <si>
    <t>L000007335</t>
  </si>
  <si>
    <t>L000007337</t>
  </si>
  <si>
    <t>L000007338</t>
  </si>
  <si>
    <t>L000007339</t>
  </si>
  <si>
    <t>L000007343</t>
  </si>
  <si>
    <t>L000007344</t>
  </si>
  <si>
    <t>L000007354</t>
  </si>
  <si>
    <t>L000007383</t>
  </si>
  <si>
    <t>L000007387</t>
  </si>
  <si>
    <t>L000007397</t>
  </si>
  <si>
    <t>L000007401</t>
  </si>
  <si>
    <t>L000007403</t>
  </si>
  <si>
    <t>L000007421</t>
  </si>
  <si>
    <t>L000007424</t>
  </si>
  <si>
    <t>L000007427</t>
  </si>
  <si>
    <t>L000007431</t>
  </si>
  <si>
    <t>L000007432</t>
  </si>
  <si>
    <t>L000007445</t>
  </si>
  <si>
    <t>L000007456</t>
  </si>
  <si>
    <t>L000007459</t>
  </si>
  <si>
    <t>L000007460</t>
  </si>
  <si>
    <t>L000007463</t>
  </si>
  <si>
    <t>L000007464</t>
  </si>
  <si>
    <t>L000007465</t>
  </si>
  <si>
    <t>L000007467</t>
  </si>
  <si>
    <t>L000007469</t>
  </si>
  <si>
    <t>L000007470</t>
  </si>
  <si>
    <t>L000007471</t>
  </si>
  <si>
    <t>L000007472</t>
  </si>
  <si>
    <t>L000007475</t>
  </si>
  <si>
    <t>L000007477</t>
  </si>
  <si>
    <t>L000007479</t>
  </si>
  <si>
    <t>L000007483</t>
  </si>
  <si>
    <t>L000007485</t>
  </si>
  <si>
    <t>L000007496</t>
  </si>
  <si>
    <t>L000007504</t>
  </si>
  <si>
    <t>L000007508</t>
  </si>
  <si>
    <t>L000007510</t>
  </si>
  <si>
    <t>L000007511</t>
  </si>
  <si>
    <t>L000007512</t>
  </si>
  <si>
    <t>L000007513</t>
  </si>
  <si>
    <t>L000007514</t>
  </si>
  <si>
    <t>L000007516</t>
  </si>
  <si>
    <t>L000007522</t>
  </si>
  <si>
    <t>L000007523</t>
  </si>
  <si>
    <t>L000007524</t>
  </si>
  <si>
    <t>L000007527</t>
  </si>
  <si>
    <t>L000007528</t>
  </si>
  <si>
    <t>L000007529</t>
  </si>
  <si>
    <t>L000007533</t>
  </si>
  <si>
    <t>L000007535</t>
  </si>
  <si>
    <t>L000007536</t>
  </si>
  <si>
    <t>L000007537</t>
  </si>
  <si>
    <t>L000007539</t>
  </si>
  <si>
    <t>L000007543</t>
  </si>
  <si>
    <t>L000007544</t>
  </si>
  <si>
    <t>L000007555</t>
  </si>
  <si>
    <t>L000007557</t>
  </si>
  <si>
    <t>L000007559</t>
  </si>
  <si>
    <t>L000007567</t>
  </si>
  <si>
    <t>L000007568</t>
  </si>
  <si>
    <t>L000007572</t>
  </si>
  <si>
    <t>L000007573</t>
  </si>
  <si>
    <t>L000007579</t>
  </si>
  <si>
    <t>L000007583</t>
  </si>
  <si>
    <t>L000007584</t>
  </si>
  <si>
    <t>L000007595</t>
  </si>
  <si>
    <t>L000007716</t>
  </si>
  <si>
    <t>L000007729</t>
  </si>
  <si>
    <t>L000007738</t>
  </si>
  <si>
    <t>L000007747</t>
  </si>
  <si>
    <t>L000008013</t>
  </si>
  <si>
    <t>L000008018</t>
  </si>
  <si>
    <t>L000008022</t>
  </si>
  <si>
    <t>L000008025</t>
  </si>
  <si>
    <t>L000008036</t>
  </si>
  <si>
    <t>L000008050</t>
  </si>
  <si>
    <t>L000008080</t>
  </si>
  <si>
    <t>L000008098</t>
  </si>
  <si>
    <t>L000008100</t>
  </si>
  <si>
    <t>L000008124</t>
  </si>
  <si>
    <t>L000008151</t>
  </si>
  <si>
    <t>L000008162</t>
  </si>
  <si>
    <t>L000008165</t>
  </si>
  <si>
    <t>L000008171</t>
  </si>
  <si>
    <t>L000008202</t>
  </si>
  <si>
    <t>L000008301</t>
  </si>
  <si>
    <t>L000008308</t>
  </si>
  <si>
    <t>L000008314</t>
  </si>
  <si>
    <t>L000008321</t>
  </si>
  <si>
    <t>L000008344</t>
  </si>
  <si>
    <t>L000008350</t>
  </si>
  <si>
    <t>L000008360</t>
  </si>
  <si>
    <t>L000008384</t>
  </si>
  <si>
    <t>L000008390</t>
  </si>
  <si>
    <t>L000008391</t>
  </si>
  <si>
    <t>L000008447</t>
  </si>
  <si>
    <t>L000008451</t>
  </si>
  <si>
    <t>L000008465</t>
  </si>
  <si>
    <t>L000008468</t>
  </si>
  <si>
    <t>L000008469</t>
  </si>
  <si>
    <t>L000008470</t>
  </si>
  <si>
    <t>L000008472</t>
  </si>
  <si>
    <t>L000008482</t>
  </si>
  <si>
    <t>L000008484</t>
  </si>
  <si>
    <t>L000008485</t>
  </si>
  <si>
    <t>L000008486</t>
  </si>
  <si>
    <t>L000008495</t>
  </si>
  <si>
    <t>L000008496</t>
  </si>
  <si>
    <t>L000008499</t>
  </si>
  <si>
    <t>L000008508</t>
  </si>
  <si>
    <t>L000008509</t>
  </si>
  <si>
    <t>L000008511</t>
  </si>
  <si>
    <t>L000008514</t>
  </si>
  <si>
    <t>L000008517</t>
  </si>
  <si>
    <t>L000008519</t>
  </si>
  <si>
    <t>L000008520</t>
  </si>
  <si>
    <t>L000008524</t>
  </si>
  <si>
    <t>L000008525</t>
  </si>
  <si>
    <t>L000008531</t>
  </si>
  <si>
    <t>L000008534</t>
  </si>
  <si>
    <t>L000008536</t>
  </si>
  <si>
    <t>L000008556</t>
  </si>
  <si>
    <t>L000008565</t>
  </si>
  <si>
    <t>L000008613</t>
  </si>
  <si>
    <t>L000008808</t>
  </si>
  <si>
    <t>L000008822</t>
  </si>
  <si>
    <t>L000008829</t>
  </si>
  <si>
    <t>L000008833</t>
  </si>
  <si>
    <t>L000008853</t>
  </si>
  <si>
    <t>L000009182</t>
  </si>
  <si>
    <t>L000009192</t>
  </si>
  <si>
    <t>L000009194</t>
  </si>
  <si>
    <t>L000009201</t>
  </si>
  <si>
    <t>L000009206</t>
  </si>
  <si>
    <t>L000009210</t>
  </si>
  <si>
    <t>L000009216</t>
  </si>
  <si>
    <t>L000009340</t>
  </si>
  <si>
    <t>L000009353</t>
  </si>
  <si>
    <t>L000009358</t>
  </si>
  <si>
    <t>L000009408</t>
  </si>
  <si>
    <t>L000009447</t>
  </si>
  <si>
    <t>L000009449</t>
  </si>
  <si>
    <t>L000009453</t>
  </si>
  <si>
    <t>L000009457</t>
  </si>
  <si>
    <t>L000009462</t>
  </si>
  <si>
    <t>L000009471</t>
  </si>
  <si>
    <t>L000009473</t>
  </si>
  <si>
    <t>L000009474</t>
  </si>
  <si>
    <t>L000009481</t>
  </si>
  <si>
    <t>L000009509</t>
  </si>
  <si>
    <t>L000009512</t>
  </si>
  <si>
    <t>L000009513</t>
  </si>
  <si>
    <t>L000009517</t>
  </si>
  <si>
    <t>L000009518</t>
  </si>
  <si>
    <t>L000009520</t>
  </si>
  <si>
    <t>L000009541</t>
  </si>
  <si>
    <t>L000009543</t>
  </si>
  <si>
    <t>L000009544</t>
  </si>
  <si>
    <t>L000009550</t>
  </si>
  <si>
    <t>L000009559</t>
  </si>
  <si>
    <t>L000009565</t>
  </si>
  <si>
    <t>L000009566</t>
  </si>
  <si>
    <t>L000009568</t>
  </si>
  <si>
    <t>L000009573</t>
  </si>
  <si>
    <t>L000009578</t>
  </si>
  <si>
    <t>L000009579</t>
  </si>
  <si>
    <t>L000009582</t>
  </si>
  <si>
    <t>L000009584</t>
  </si>
  <si>
    <t>L000009588</t>
  </si>
  <si>
    <t>L000009589</t>
  </si>
  <si>
    <t>L000009590</t>
  </si>
  <si>
    <t>L000009592</t>
  </si>
  <si>
    <t>L000009597</t>
  </si>
  <si>
    <t>L000009616</t>
  </si>
  <si>
    <t>L000009630</t>
  </si>
  <si>
    <t>L000009632</t>
  </si>
  <si>
    <t>L000009647</t>
  </si>
  <si>
    <t>L000009671</t>
  </si>
  <si>
    <t>L000009681</t>
  </si>
  <si>
    <t>L000009683</t>
  </si>
  <si>
    <t>L000009684</t>
  </si>
  <si>
    <t>L000009687</t>
  </si>
  <si>
    <t>L000009692</t>
  </si>
  <si>
    <t>L000009699</t>
  </si>
  <si>
    <t>L000009700</t>
  </si>
  <si>
    <t>L000009704</t>
  </si>
  <si>
    <t>L000009708</t>
  </si>
  <si>
    <t>L000009709</t>
  </si>
  <si>
    <t>L000009710</t>
  </si>
  <si>
    <t>L000009715</t>
  </si>
  <si>
    <t>L000009733</t>
  </si>
  <si>
    <t>L000009739</t>
  </si>
  <si>
    <t>L000009742</t>
  </si>
  <si>
    <t>L000009743</t>
  </si>
  <si>
    <t>L000009744</t>
  </si>
  <si>
    <t>L000009753</t>
  </si>
  <si>
    <t>L000009754</t>
  </si>
  <si>
    <t>L000009756</t>
  </si>
  <si>
    <t>L000009758</t>
  </si>
  <si>
    <t>L000009765</t>
  </si>
  <si>
    <t>L000009766</t>
  </si>
  <si>
    <t>L000009767</t>
  </si>
  <si>
    <t>L000009769</t>
  </si>
  <si>
    <t>L000009770</t>
  </si>
  <si>
    <t>L000009771</t>
  </si>
  <si>
    <t>L000009780</t>
  </si>
  <si>
    <t>L000009781</t>
  </si>
  <si>
    <t>L000009782</t>
  </si>
  <si>
    <t>L000009791</t>
  </si>
  <si>
    <t>L000009824</t>
  </si>
  <si>
    <t>L000009826</t>
  </si>
  <si>
    <t>L000009828</t>
  </si>
  <si>
    <t>L000009832</t>
  </si>
  <si>
    <t>L000009834</t>
  </si>
  <si>
    <t>L000009836</t>
  </si>
  <si>
    <t>L000009838</t>
  </si>
  <si>
    <t>L000009842</t>
  </si>
  <si>
    <t>L000009844</t>
  </si>
  <si>
    <t>L000009846</t>
  </si>
  <si>
    <t>L000009847</t>
  </si>
  <si>
    <t>L000009848</t>
  </si>
  <si>
    <t>L000009852</t>
  </si>
  <si>
    <t>L000009857</t>
  </si>
  <si>
    <t>L000009858</t>
  </si>
  <si>
    <t>L000009860</t>
  </si>
  <si>
    <t>L000009864</t>
  </si>
  <si>
    <t>L000009866</t>
  </si>
  <si>
    <t>L000009868</t>
  </si>
  <si>
    <t>L000009870</t>
  </si>
  <si>
    <t>L000009874</t>
  </si>
  <si>
    <t>L000009876</t>
  </si>
  <si>
    <t>L000009880</t>
  </si>
  <si>
    <t>L000009882</t>
  </si>
  <si>
    <t>L000009886</t>
  </si>
  <si>
    <t>L000009888</t>
  </si>
  <si>
    <t>L000009902</t>
  </si>
  <si>
    <t>L000009906</t>
  </si>
  <si>
    <t>L000009908</t>
  </si>
  <si>
    <t>L000009910</t>
  </si>
  <si>
    <t>L000009914</t>
  </si>
  <si>
    <t>L000009930</t>
  </si>
  <si>
    <t>L000010032</t>
  </si>
  <si>
    <t>L000010033</t>
  </si>
  <si>
    <t>L000010034</t>
  </si>
  <si>
    <t>L000010035</t>
  </si>
  <si>
    <t>L000010052</t>
  </si>
  <si>
    <t>L000010076</t>
  </si>
  <si>
    <t>L000010103</t>
  </si>
  <si>
    <t>L000010104</t>
  </si>
  <si>
    <t>L000010111</t>
  </si>
  <si>
    <t>L000010113</t>
  </si>
  <si>
    <t>L000010114</t>
  </si>
  <si>
    <t>L000010115</t>
  </si>
  <si>
    <t>L000010116</t>
  </si>
  <si>
    <t>L000010117</t>
  </si>
  <si>
    <t>L000010121</t>
  </si>
  <si>
    <t>L000010123</t>
  </si>
  <si>
    <t>L000010124</t>
  </si>
  <si>
    <t>L000010137</t>
  </si>
  <si>
    <t>L000010164</t>
  </si>
  <si>
    <t>L000010172</t>
  </si>
  <si>
    <t>L000010217</t>
  </si>
  <si>
    <t>L000010232</t>
  </si>
  <si>
    <t>L000010236</t>
  </si>
  <si>
    <t>L000010239</t>
  </si>
  <si>
    <t>L000010241</t>
  </si>
  <si>
    <t>L000010243</t>
  </si>
  <si>
    <t>L000010253</t>
  </si>
  <si>
    <t>L000010278</t>
  </si>
  <si>
    <t>L000010281</t>
  </si>
  <si>
    <t>L000010282</t>
  </si>
  <si>
    <t>L000010284</t>
  </si>
  <si>
    <t>L000010306</t>
  </si>
  <si>
    <t>L000010310</t>
  </si>
  <si>
    <t>L000010311</t>
  </si>
  <si>
    <t>L000010314</t>
  </si>
  <si>
    <t>L000010315</t>
  </si>
  <si>
    <t>L000010335</t>
  </si>
  <si>
    <t>L000010337</t>
  </si>
  <si>
    <t>L000010341</t>
  </si>
  <si>
    <t>L000010342</t>
  </si>
  <si>
    <t>L000010346</t>
  </si>
  <si>
    <t>L000010366</t>
  </si>
  <si>
    <t>L000010373</t>
  </si>
  <si>
    <t>L000010376</t>
  </si>
  <si>
    <t>L000010377</t>
  </si>
  <si>
    <t>L000010378</t>
  </si>
  <si>
    <t>L000010381</t>
  </si>
  <si>
    <t>L000010384</t>
  </si>
  <si>
    <t>L000010406</t>
  </si>
  <si>
    <t>L000010407</t>
  </si>
  <si>
    <t>L000010408</t>
  </si>
  <si>
    <t>L000010415</t>
  </si>
  <si>
    <t>L000010422</t>
  </si>
  <si>
    <t>L000010423</t>
  </si>
  <si>
    <t>L000010424</t>
  </si>
  <si>
    <t>L000010425</t>
  </si>
  <si>
    <t>L000010427</t>
  </si>
  <si>
    <t>L000010428</t>
  </si>
  <si>
    <t>L000010434</t>
  </si>
  <si>
    <t>L000010439</t>
  </si>
  <si>
    <t>L000010444</t>
  </si>
  <si>
    <t>L000010445</t>
  </si>
  <si>
    <t>L000010446</t>
  </si>
  <si>
    <t>L000010447</t>
  </si>
  <si>
    <t>L000010449</t>
  </si>
  <si>
    <t>L000010454</t>
  </si>
  <si>
    <t>L000010462</t>
  </si>
  <si>
    <t>L000010467</t>
  </si>
  <si>
    <t>L000010474</t>
  </si>
  <si>
    <t>L000010495</t>
  </si>
  <si>
    <t>L000010499</t>
  </si>
  <si>
    <t>L000010502</t>
  </si>
  <si>
    <t>L000010509</t>
  </si>
  <si>
    <t>L000010513</t>
  </si>
  <si>
    <t>L000010524</t>
  </si>
  <si>
    <t>L000010525</t>
  </si>
  <si>
    <t>L000010526</t>
  </si>
  <si>
    <t>L000010528</t>
  </si>
  <si>
    <t>L000010530</t>
  </si>
  <si>
    <t>L000010533</t>
  </si>
  <si>
    <t>L000010537</t>
  </si>
  <si>
    <t>L000010539</t>
  </si>
  <si>
    <t>L000010542</t>
  </si>
  <si>
    <t>L000010543</t>
  </si>
  <si>
    <t>L000010546</t>
  </si>
  <si>
    <t>L000010549</t>
  </si>
  <si>
    <t>L000010557</t>
  </si>
  <si>
    <t>L000010565</t>
  </si>
  <si>
    <t>L000010566</t>
  </si>
  <si>
    <t>L000010567</t>
  </si>
  <si>
    <t>L000010570</t>
  </si>
  <si>
    <t>L000010571</t>
  </si>
  <si>
    <t>L000010577</t>
  </si>
  <si>
    <t>L000010578</t>
  </si>
  <si>
    <t>L000010579</t>
  </si>
  <si>
    <t>L000010584</t>
  </si>
  <si>
    <t>L000010591</t>
  </si>
  <si>
    <t>L000010598</t>
  </si>
  <si>
    <t>L000010600</t>
  </si>
  <si>
    <t>L000010610</t>
  </si>
  <si>
    <t>L000010613</t>
  </si>
  <si>
    <t>L000010614</t>
  </si>
  <si>
    <t>L000010620</t>
  </si>
  <si>
    <t>L000011114</t>
  </si>
  <si>
    <t>L000011117</t>
  </si>
  <si>
    <t>L000011126</t>
  </si>
  <si>
    <t>L000011127</t>
  </si>
  <si>
    <t>L000011156</t>
  </si>
  <si>
    <t>L000011209</t>
  </si>
  <si>
    <t>L000011247</t>
  </si>
  <si>
    <t>L000011248</t>
  </si>
  <si>
    <t>L000011249</t>
  </si>
  <si>
    <t>L000011252</t>
  </si>
  <si>
    <t>L000011254</t>
  </si>
  <si>
    <t>L000011255</t>
  </si>
  <si>
    <t>L000011260</t>
  </si>
  <si>
    <t>L000011270</t>
  </si>
  <si>
    <t>L000011273</t>
  </si>
  <si>
    <t>L000011275</t>
  </si>
  <si>
    <t>L000011284</t>
  </si>
  <si>
    <t>L000011291</t>
  </si>
  <si>
    <t>L000011292</t>
  </si>
  <si>
    <t>L000011293</t>
  </si>
  <si>
    <t>L000011294</t>
  </si>
  <si>
    <t>L000011321</t>
  </si>
  <si>
    <t>L000011343</t>
  </si>
  <si>
    <t>L000011359</t>
  </si>
  <si>
    <t>L000011365</t>
  </si>
  <si>
    <t>L000011402</t>
  </si>
  <si>
    <t>L000011403</t>
  </si>
  <si>
    <t>L000011405</t>
  </si>
  <si>
    <t>L000011407</t>
  </si>
  <si>
    <t>L000011408</t>
  </si>
  <si>
    <t>L000011410</t>
  </si>
  <si>
    <t>L000011413</t>
  </si>
  <si>
    <t>L000011416</t>
  </si>
  <si>
    <t>L000011421</t>
  </si>
  <si>
    <t>L000011422</t>
  </si>
  <si>
    <t>L000011423</t>
  </si>
  <si>
    <t>L000011424</t>
  </si>
  <si>
    <t>L000011425</t>
  </si>
  <si>
    <t>L000011426</t>
  </si>
  <si>
    <t>L000011427</t>
  </si>
  <si>
    <t>L000011428</t>
  </si>
  <si>
    <t>L000011434</t>
  </si>
  <si>
    <t>L000011437</t>
  </si>
  <si>
    <t>L000011438</t>
  </si>
  <si>
    <t>L000011439</t>
  </si>
  <si>
    <t>L000011441</t>
  </si>
  <si>
    <t>L000011443</t>
  </si>
  <si>
    <t>L000011445</t>
  </si>
  <si>
    <t>L000011449</t>
  </si>
  <si>
    <t>L000011450</t>
  </si>
  <si>
    <t>L000011453</t>
  </si>
  <si>
    <t>L000011454</t>
  </si>
  <si>
    <t>L000011457</t>
  </si>
  <si>
    <t>L000011459</t>
  </si>
  <si>
    <t>L000011460</t>
  </si>
  <si>
    <t>L000011462</t>
  </si>
  <si>
    <t>L000011464</t>
  </si>
  <si>
    <t>L000011473</t>
  </si>
  <si>
    <t>L000011475</t>
  </si>
  <si>
    <t>L000011476</t>
  </si>
  <si>
    <t>L000011477</t>
  </si>
  <si>
    <t>L000011478</t>
  </si>
  <si>
    <t>L000011486</t>
  </si>
  <si>
    <t>L000011487</t>
  </si>
  <si>
    <t>L000011489</t>
  </si>
  <si>
    <t>L000011514</t>
  </si>
  <si>
    <t>L000011528</t>
  </si>
  <si>
    <t>L000011535</t>
  </si>
  <si>
    <t>L000011537</t>
  </si>
  <si>
    <t>L000011550</t>
  </si>
  <si>
    <t>L000011552</t>
  </si>
  <si>
    <t>L000011582</t>
  </si>
  <si>
    <t>L000011590</t>
  </si>
  <si>
    <t>L000011596</t>
  </si>
  <si>
    <t>L000011597</t>
  </si>
  <si>
    <t>L000011598</t>
  </si>
  <si>
    <t>L000011599</t>
  </si>
  <si>
    <t>L000011600</t>
  </si>
  <si>
    <t>L000011601</t>
  </si>
  <si>
    <t>L000011602</t>
  </si>
  <si>
    <t>L000011603</t>
  </si>
  <si>
    <t>L000011605</t>
  </si>
  <si>
    <t>L000011616</t>
  </si>
  <si>
    <t>L000011617</t>
  </si>
  <si>
    <t>L000011618</t>
  </si>
  <si>
    <t>L000011623</t>
  </si>
  <si>
    <t>L000011629</t>
  </si>
  <si>
    <t>L000011630</t>
  </si>
  <si>
    <t>L000011636</t>
  </si>
  <si>
    <t>L000011642</t>
  </si>
  <si>
    <t>L000011643</t>
  </si>
  <si>
    <t>L000011651</t>
  </si>
  <si>
    <t>L000011652</t>
  </si>
  <si>
    <t>L000011653</t>
  </si>
  <si>
    <t>L000011655</t>
  </si>
  <si>
    <t>L000011657</t>
  </si>
  <si>
    <t>L000011660</t>
  </si>
  <si>
    <t>L000011666</t>
  </si>
  <si>
    <t>L000011668</t>
  </si>
  <si>
    <t>L000011671</t>
  </si>
  <si>
    <t>L000011672</t>
  </si>
  <si>
    <t>L000011674</t>
  </si>
  <si>
    <t>L000011676</t>
  </si>
  <si>
    <t>L000011688</t>
  </si>
  <si>
    <t>L000011692</t>
  </si>
  <si>
    <t>L000011697</t>
  </si>
  <si>
    <t>L000011698</t>
  </si>
  <si>
    <t>L000011699</t>
  </si>
  <si>
    <t>L000011707</t>
  </si>
  <si>
    <t>L000011708</t>
  </si>
  <si>
    <t>L000011709</t>
  </si>
  <si>
    <t>L000011712</t>
  </si>
  <si>
    <t>L000011720</t>
  </si>
  <si>
    <t>L000011721</t>
  </si>
  <si>
    <t>L000011722</t>
  </si>
  <si>
    <t>L000011723</t>
  </si>
  <si>
    <t>L000011724</t>
  </si>
  <si>
    <t>L000011735</t>
  </si>
  <si>
    <t>L000011811</t>
  </si>
  <si>
    <t>L000011851</t>
  </si>
  <si>
    <t>L000012006</t>
  </si>
  <si>
    <t>L000012010</t>
  </si>
  <si>
    <t>L000012011</t>
  </si>
  <si>
    <t>L000012034</t>
  </si>
  <si>
    <t>L000012099</t>
  </si>
  <si>
    <t>L000012102</t>
  </si>
  <si>
    <t>L000012107</t>
  </si>
  <si>
    <t>L000012137</t>
  </si>
  <si>
    <t>L000012138</t>
  </si>
  <si>
    <t>L000012142</t>
  </si>
  <si>
    <t>L000012149</t>
  </si>
  <si>
    <t>L000012150</t>
  </si>
  <si>
    <t>L000012238</t>
  </si>
  <si>
    <t>L000012252</t>
  </si>
  <si>
    <t>L000012319</t>
  </si>
  <si>
    <t>L000012332</t>
  </si>
  <si>
    <t>L000012437</t>
  </si>
  <si>
    <t>L000012463</t>
  </si>
  <si>
    <t>L000012469</t>
  </si>
  <si>
    <t>L000012515</t>
  </si>
  <si>
    <t>L000012529</t>
  </si>
  <si>
    <t>L000012540</t>
  </si>
  <si>
    <t>L000012541</t>
  </si>
  <si>
    <t>L000012542</t>
  </si>
  <si>
    <t>L000012543</t>
  </si>
  <si>
    <t>L000012545</t>
  </si>
  <si>
    <t>L000012546</t>
  </si>
  <si>
    <t>L000012548</t>
  </si>
  <si>
    <t>L000012549</t>
  </si>
  <si>
    <t>L000012554</t>
  </si>
  <si>
    <t>L000012555</t>
  </si>
  <si>
    <t>L000012557</t>
  </si>
  <si>
    <t>L000012558</t>
  </si>
  <si>
    <t>L000012559</t>
  </si>
  <si>
    <t>L000012560</t>
  </si>
  <si>
    <t>L000012561</t>
  </si>
  <si>
    <t>L000012567</t>
  </si>
  <si>
    <t>L000012569</t>
  </si>
  <si>
    <t>L000012571</t>
  </si>
  <si>
    <t>L000012572</t>
  </si>
  <si>
    <t>L000012573</t>
  </si>
  <si>
    <t>L000012574</t>
  </si>
  <si>
    <t>L000012575</t>
  </si>
  <si>
    <t>L000012577</t>
  </si>
  <si>
    <t>L000012579</t>
  </si>
  <si>
    <t>L000012581</t>
  </si>
  <si>
    <t>L000012582</t>
  </si>
  <si>
    <t>L000012584</t>
  </si>
  <si>
    <t>L000012585</t>
  </si>
  <si>
    <t>L000012586</t>
  </si>
  <si>
    <t>L000012587</t>
  </si>
  <si>
    <t>L000012588</t>
  </si>
  <si>
    <t>L000012589</t>
  </si>
  <si>
    <t>L000012590</t>
  </si>
  <si>
    <t>L000012591</t>
  </si>
  <si>
    <t>L000012595</t>
  </si>
  <si>
    <t>L000012596</t>
  </si>
  <si>
    <t>L000012598</t>
  </si>
  <si>
    <t>L000012605</t>
  </si>
  <si>
    <t>L000012608</t>
  </si>
  <si>
    <t>L000012609</t>
  </si>
  <si>
    <t>L000012610</t>
  </si>
  <si>
    <t>L000012611</t>
  </si>
  <si>
    <t>L000012612</t>
  </si>
  <si>
    <t>L000012613</t>
  </si>
  <si>
    <t>L000012614</t>
  </si>
  <si>
    <t>L000012615</t>
  </si>
  <si>
    <t>L000012616</t>
  </si>
  <si>
    <t>L000012618</t>
  </si>
  <si>
    <t>L000012619</t>
  </si>
  <si>
    <t>L000012620</t>
  </si>
  <si>
    <t>L000012627</t>
  </si>
  <si>
    <t>L000012632</t>
  </si>
  <si>
    <t>L000012639</t>
  </si>
  <si>
    <t>L000012640</t>
  </si>
  <si>
    <t>L000012641</t>
  </si>
  <si>
    <t>L000012642</t>
  </si>
  <si>
    <t>L000012643</t>
  </si>
  <si>
    <t>L000012645</t>
  </si>
  <si>
    <t>L000012646</t>
  </si>
  <si>
    <t>L000012647</t>
  </si>
  <si>
    <t>L000012648</t>
  </si>
  <si>
    <t>L000012649</t>
  </si>
  <si>
    <t>L000012650</t>
  </si>
  <si>
    <t>L000012651</t>
  </si>
  <si>
    <t>L000012654</t>
  </si>
  <si>
    <t>L000012657</t>
  </si>
  <si>
    <t>L000012661</t>
  </si>
  <si>
    <t>L000012662</t>
  </si>
  <si>
    <t>L000012663</t>
  </si>
  <si>
    <t>L000012664</t>
  </si>
  <si>
    <t>L000012666</t>
  </si>
  <si>
    <t>L000012667</t>
  </si>
  <si>
    <t>L000012668</t>
  </si>
  <si>
    <t>L000012674</t>
  </si>
  <si>
    <t>L000012678</t>
  </si>
  <si>
    <t>L000012679</t>
  </si>
  <si>
    <t>L000012681</t>
  </si>
  <si>
    <t>L000012684</t>
  </si>
  <si>
    <t>L000012685</t>
  </si>
  <si>
    <t>L000012686</t>
  </si>
  <si>
    <t>L000012688</t>
  </si>
  <si>
    <t>L000012690</t>
  </si>
  <si>
    <t>L000012691</t>
  </si>
  <si>
    <t>L000012695</t>
  </si>
  <si>
    <t>L000012697</t>
  </si>
  <si>
    <t>L000012704</t>
  </si>
  <si>
    <t>L000012706</t>
  </si>
  <si>
    <t>L000012707</t>
  </si>
  <si>
    <t>L000012714</t>
  </si>
  <si>
    <t>L000012715</t>
  </si>
  <si>
    <t>L000012717</t>
  </si>
  <si>
    <t>L000012718</t>
  </si>
  <si>
    <t>L000012721</t>
  </si>
  <si>
    <t>L000012723</t>
  </si>
  <si>
    <t>L000012724</t>
  </si>
  <si>
    <t>L000012728</t>
  </si>
  <si>
    <t>L000012733</t>
  </si>
  <si>
    <t>L000012736</t>
  </si>
  <si>
    <t>L000012748</t>
  </si>
  <si>
    <t>L000012749</t>
  </si>
  <si>
    <t>L000012755</t>
  </si>
  <si>
    <t>L000012763</t>
  </si>
  <si>
    <t>L000012769</t>
  </si>
  <si>
    <t>L000012775</t>
  </si>
  <si>
    <t>L000012788</t>
  </si>
  <si>
    <t>L000012796</t>
  </si>
  <si>
    <t>L000012829</t>
  </si>
  <si>
    <t>L000012830</t>
  </si>
  <si>
    <t>L000012831</t>
  </si>
  <si>
    <t>L000012848</t>
  </si>
  <si>
    <t>L000012863</t>
  </si>
  <si>
    <t>L000012869</t>
  </si>
  <si>
    <t>L000012883</t>
  </si>
  <si>
    <t>L000012941</t>
  </si>
  <si>
    <t>L000012995</t>
  </si>
  <si>
    <t>L000013051</t>
  </si>
  <si>
    <t>L000013072</t>
  </si>
  <si>
    <t>L000013093</t>
  </si>
  <si>
    <t>L000013094</t>
  </si>
  <si>
    <t>L000013095</t>
  </si>
  <si>
    <t>L000013096</t>
  </si>
  <si>
    <t>L000013109</t>
  </si>
  <si>
    <t>L000013113</t>
  </si>
  <si>
    <t>L000013125</t>
  </si>
  <si>
    <t>L000013178</t>
  </si>
  <si>
    <t>L000013269</t>
  </si>
  <si>
    <t>L000013293</t>
  </si>
  <si>
    <t>L000013300</t>
  </si>
  <si>
    <t>L000013302</t>
  </si>
  <si>
    <t>L000013318</t>
  </si>
  <si>
    <t>L000013416</t>
  </si>
  <si>
    <t>L000013421</t>
  </si>
  <si>
    <t>L000013425</t>
  </si>
  <si>
    <t>P000000031</t>
  </si>
  <si>
    <t>P000000187</t>
  </si>
  <si>
    <t>P000000552</t>
  </si>
  <si>
    <t>P000000604</t>
  </si>
  <si>
    <t>P000000609</t>
  </si>
  <si>
    <t>P000000751</t>
  </si>
  <si>
    <t>P000000831</t>
  </si>
  <si>
    <t>P000000865</t>
  </si>
  <si>
    <t>P000000893</t>
  </si>
  <si>
    <t>PL_ED_CNC1</t>
  </si>
  <si>
    <t>G000000341</t>
  </si>
  <si>
    <t>G000000477</t>
  </si>
  <si>
    <t>G000000550</t>
  </si>
  <si>
    <t>G000000932</t>
  </si>
  <si>
    <t>G000000958</t>
  </si>
  <si>
    <t>G000000966</t>
  </si>
  <si>
    <t>G000001036</t>
  </si>
  <si>
    <t>G000001044</t>
  </si>
  <si>
    <t>H000000409</t>
  </si>
  <si>
    <t>H000000467</t>
  </si>
  <si>
    <t>H000000469</t>
  </si>
  <si>
    <t>H000000476</t>
  </si>
  <si>
    <t>H000000478</t>
  </si>
  <si>
    <t>H000000485</t>
  </si>
  <si>
    <t>H000000487</t>
  </si>
  <si>
    <t>H000000494</t>
  </si>
  <si>
    <t>H000000496</t>
  </si>
  <si>
    <t>H000000503</t>
  </si>
  <si>
    <t>H000000505</t>
  </si>
  <si>
    <t>H000000513</t>
  </si>
  <si>
    <t>H000000515</t>
  </si>
  <si>
    <t>H000000522</t>
  </si>
  <si>
    <t>H000000524</t>
  </si>
  <si>
    <t>H000000531</t>
  </si>
  <si>
    <t>H000000533</t>
  </si>
  <si>
    <t>H000000540</t>
  </si>
  <si>
    <t>H000000542</t>
  </si>
  <si>
    <t>H000000549</t>
  </si>
  <si>
    <t>H000000551</t>
  </si>
  <si>
    <t>H000000558</t>
  </si>
  <si>
    <t>H000000560</t>
  </si>
  <si>
    <t>H000000567</t>
  </si>
  <si>
    <t>H000000569</t>
  </si>
  <si>
    <t>H000000576</t>
  </si>
  <si>
    <t>H000000578</t>
  </si>
  <si>
    <t>H000000585</t>
  </si>
  <si>
    <t>H000000587</t>
  </si>
  <si>
    <t>H000000594</t>
  </si>
  <si>
    <t>H000000596</t>
  </si>
  <si>
    <t>H000000603</t>
  </si>
  <si>
    <t>H000000605</t>
  </si>
  <si>
    <t>H000000612</t>
  </si>
  <si>
    <t>H000000614</t>
  </si>
  <si>
    <t>H000000617</t>
  </si>
  <si>
    <t>H000000622</t>
  </si>
  <si>
    <t>H000000624</t>
  </si>
  <si>
    <t>H000000631</t>
  </si>
  <si>
    <t>H000000633</t>
  </si>
  <si>
    <t>H000001005</t>
  </si>
  <si>
    <t>H000001007</t>
  </si>
  <si>
    <t>H000001014</t>
  </si>
  <si>
    <t>H000001016</t>
  </si>
  <si>
    <t>H000001023</t>
  </si>
  <si>
    <t>H000001025</t>
  </si>
  <si>
    <t>H000001032</t>
  </si>
  <si>
    <t>H000001034</t>
  </si>
  <si>
    <t>H000001041</t>
  </si>
  <si>
    <t>H000001157</t>
  </si>
  <si>
    <t>H000001161</t>
  </si>
  <si>
    <t>H000001313</t>
  </si>
  <si>
    <t>H000001332</t>
  </si>
  <si>
    <t>H000001426</t>
  </si>
  <si>
    <t>H000001516</t>
  </si>
  <si>
    <t>H000001519</t>
  </si>
  <si>
    <t>H000001521</t>
  </si>
  <si>
    <t>H000001561</t>
  </si>
  <si>
    <t>H000001587</t>
  </si>
  <si>
    <t>H000001597</t>
  </si>
  <si>
    <t>H000001604</t>
  </si>
  <si>
    <t>H000001970</t>
  </si>
  <si>
    <t>H000002502</t>
  </si>
  <si>
    <t>H000002618</t>
  </si>
  <si>
    <t>H000002685</t>
  </si>
  <si>
    <t>H000002710</t>
  </si>
  <si>
    <t>H000002872</t>
  </si>
  <si>
    <t>H000003495</t>
  </si>
  <si>
    <t>H000003663</t>
  </si>
  <si>
    <t>H000003678</t>
  </si>
  <si>
    <t>H000003702</t>
  </si>
  <si>
    <t>H000003723</t>
  </si>
  <si>
    <t>H000003841</t>
  </si>
  <si>
    <t>H000003848</t>
  </si>
  <si>
    <t>H000004100</t>
  </si>
  <si>
    <t>H000004119</t>
  </si>
  <si>
    <t>H000004175</t>
  </si>
  <si>
    <t>L000005080</t>
  </si>
  <si>
    <t>L000005113</t>
  </si>
  <si>
    <t>L000005125</t>
  </si>
  <si>
    <t>L000005128</t>
  </si>
  <si>
    <t>L000005129</t>
  </si>
  <si>
    <t>L000005136</t>
  </si>
  <si>
    <t>L000005137</t>
  </si>
  <si>
    <t>L000005143</t>
  </si>
  <si>
    <t>L000005238</t>
  </si>
  <si>
    <t>L000005255</t>
  </si>
  <si>
    <t>L000005257</t>
  </si>
  <si>
    <t>L000005262</t>
  </si>
  <si>
    <t>L000005268</t>
  </si>
  <si>
    <t>L000005275</t>
  </si>
  <si>
    <t>L000005283</t>
  </si>
  <si>
    <t>L000005297</t>
  </si>
  <si>
    <t>L000005319</t>
  </si>
  <si>
    <t>L000005353</t>
  </si>
  <si>
    <t>L000005403</t>
  </si>
  <si>
    <t>L000005422</t>
  </si>
  <si>
    <t>L000005424</t>
  </si>
  <si>
    <t>L000005448</t>
  </si>
  <si>
    <t>L000005482</t>
  </si>
  <si>
    <t>L000005487</t>
  </si>
  <si>
    <t>L000005619</t>
  </si>
  <si>
    <t>L000005680</t>
  </si>
  <si>
    <t>L000005685</t>
  </si>
  <si>
    <t>L000005731</t>
  </si>
  <si>
    <t>L000005745</t>
  </si>
  <si>
    <t>L000005762</t>
  </si>
  <si>
    <t>L000005833</t>
  </si>
  <si>
    <t>L000005842</t>
  </si>
  <si>
    <t>L000005846</t>
  </si>
  <si>
    <t>L000005903</t>
  </si>
  <si>
    <t>L000005941</t>
  </si>
  <si>
    <t>L000005950</t>
  </si>
  <si>
    <t>L000005958</t>
  </si>
  <si>
    <t>L000005960</t>
  </si>
  <si>
    <t>L000005975</t>
  </si>
  <si>
    <t>L000005980</t>
  </si>
  <si>
    <t>L000005988</t>
  </si>
  <si>
    <t>L000005997</t>
  </si>
  <si>
    <t>L000006000</t>
  </si>
  <si>
    <t>L000006015</t>
  </si>
  <si>
    <t>L000006016</t>
  </si>
  <si>
    <t>L000006023</t>
  </si>
  <si>
    <t>L000006032</t>
  </si>
  <si>
    <t>L000006037</t>
  </si>
  <si>
    <t>L000006048</t>
  </si>
  <si>
    <t>L000006049</t>
  </si>
  <si>
    <t>L000006052</t>
  </si>
  <si>
    <t>L000006060</t>
  </si>
  <si>
    <t>L000006063</t>
  </si>
  <si>
    <t>L000006065</t>
  </si>
  <si>
    <t>L000006070</t>
  </si>
  <si>
    <t>L000006083</t>
  </si>
  <si>
    <t>L000006094</t>
  </si>
  <si>
    <t>L000006203</t>
  </si>
  <si>
    <t>L000006210</t>
  </si>
  <si>
    <t>L000006317</t>
  </si>
  <si>
    <t>L000006320</t>
  </si>
  <si>
    <t>L000006326</t>
  </si>
  <si>
    <t>L000006330</t>
  </si>
  <si>
    <t>L000006337</t>
  </si>
  <si>
    <t>L000006340</t>
  </si>
  <si>
    <t>L000006345</t>
  </si>
  <si>
    <t>L000006349</t>
  </si>
  <si>
    <t>L000006350</t>
  </si>
  <si>
    <t>L000006352</t>
  </si>
  <si>
    <t>L000006372</t>
  </si>
  <si>
    <t>L000006379</t>
  </si>
  <si>
    <t>L000006388</t>
  </si>
  <si>
    <t>L000006390</t>
  </si>
  <si>
    <t>L000006394</t>
  </si>
  <si>
    <t>L000006395</t>
  </si>
  <si>
    <t>L000006461</t>
  </si>
  <si>
    <t>L000006466</t>
  </si>
  <si>
    <t>L000006473</t>
  </si>
  <si>
    <t>L000006480</t>
  </si>
  <si>
    <t>L000006481</t>
  </si>
  <si>
    <t>L000006482</t>
  </si>
  <si>
    <t>L000006485</t>
  </si>
  <si>
    <t>L000006489</t>
  </si>
  <si>
    <t>L000006526</t>
  </si>
  <si>
    <t>L000006529</t>
  </si>
  <si>
    <t>L000006546</t>
  </si>
  <si>
    <t>L000006548</t>
  </si>
  <si>
    <t>L000006553</t>
  </si>
  <si>
    <t>L000006559</t>
  </si>
  <si>
    <t>L000006565</t>
  </si>
  <si>
    <t>L000006592</t>
  </si>
  <si>
    <t>L000006599</t>
  </si>
  <si>
    <t>L000006612</t>
  </si>
  <si>
    <t>L000006613</t>
  </si>
  <si>
    <t>L000006667</t>
  </si>
  <si>
    <t>L000006673</t>
  </si>
  <si>
    <t>L000006679</t>
  </si>
  <si>
    <t>L000006685</t>
  </si>
  <si>
    <t>L000006686</t>
  </si>
  <si>
    <t>L000006688</t>
  </si>
  <si>
    <t>L000006694</t>
  </si>
  <si>
    <t>L000006695</t>
  </si>
  <si>
    <t>L000006700</t>
  </si>
  <si>
    <t>L000006701</t>
  </si>
  <si>
    <t>L000006708</t>
  </si>
  <si>
    <t>L000006719</t>
  </si>
  <si>
    <t>L000006733</t>
  </si>
  <si>
    <t>L000006740</t>
  </si>
  <si>
    <t>L000006741</t>
  </si>
  <si>
    <t>L000006755</t>
  </si>
  <si>
    <t>L000006760</t>
  </si>
  <si>
    <t>L000006761</t>
  </si>
  <si>
    <t>L000006778</t>
  </si>
  <si>
    <t>L000006792</t>
  </si>
  <si>
    <t>L000006807</t>
  </si>
  <si>
    <t>L000006808</t>
  </si>
  <si>
    <t>L000006817</t>
  </si>
  <si>
    <t>L000006846</t>
  </si>
  <si>
    <t>L000006849</t>
  </si>
  <si>
    <t>L000006870</t>
  </si>
  <si>
    <t>L000006872</t>
  </si>
  <si>
    <t>L000006874</t>
  </si>
  <si>
    <t>L000006876</t>
  </si>
  <si>
    <t>L000006880</t>
  </si>
  <si>
    <t>L000006883</t>
  </si>
  <si>
    <t>L000006908</t>
  </si>
  <si>
    <t>L000006911</t>
  </si>
  <si>
    <t>L000006912</t>
  </si>
  <si>
    <t>L000006926</t>
  </si>
  <si>
    <t>L000006930</t>
  </si>
  <si>
    <t>L000006940</t>
  </si>
  <si>
    <t>L000006970</t>
  </si>
  <si>
    <t>L000006979</t>
  </si>
  <si>
    <t>L000006990</t>
  </si>
  <si>
    <t>L000006994</t>
  </si>
  <si>
    <t>L000007013</t>
  </si>
  <si>
    <t>L000007073</t>
  </si>
  <si>
    <t>L000007079</t>
  </si>
  <si>
    <t>L000007129</t>
  </si>
  <si>
    <t>L000007153</t>
  </si>
  <si>
    <t>L000007155</t>
  </si>
  <si>
    <t>L000007164</t>
  </si>
  <si>
    <t>L000007197</t>
  </si>
  <si>
    <t>L000007206</t>
  </si>
  <si>
    <t>L000007207</t>
  </si>
  <si>
    <t>L000007224</t>
  </si>
  <si>
    <t>L000007226</t>
  </si>
  <si>
    <t>L000007230</t>
  </si>
  <si>
    <t>L000007232</t>
  </si>
  <si>
    <t>L000007235</t>
  </si>
  <si>
    <t>L000007258</t>
  </si>
  <si>
    <t>L000007259</t>
  </si>
  <si>
    <t>L000007265</t>
  </si>
  <si>
    <t>L000007275</t>
  </si>
  <si>
    <t>L000007281</t>
  </si>
  <si>
    <t>L000007292</t>
  </si>
  <si>
    <t>L000007326</t>
  </si>
  <si>
    <t>L000007327</t>
  </si>
  <si>
    <t>L000007340</t>
  </si>
  <si>
    <t>L000007346</t>
  </si>
  <si>
    <t>L000007379</t>
  </si>
  <si>
    <t>L000007384</t>
  </si>
  <si>
    <t>L000007468</t>
  </si>
  <si>
    <t>L000007505</t>
  </si>
  <si>
    <t>L000007563</t>
  </si>
  <si>
    <t>L000007570</t>
  </si>
  <si>
    <t>L000007720</t>
  </si>
  <si>
    <t>L000007741</t>
  </si>
  <si>
    <t>L000007959</t>
  </si>
  <si>
    <t>L000008020</t>
  </si>
  <si>
    <t>L000008030</t>
  </si>
  <si>
    <t>L000008032</t>
  </si>
  <si>
    <t>L000008035</t>
  </si>
  <si>
    <t>L000008042</t>
  </si>
  <si>
    <t>L000008077</t>
  </si>
  <si>
    <t>L000008087</t>
  </si>
  <si>
    <t>L000008096</t>
  </si>
  <si>
    <t>L000008099</t>
  </si>
  <si>
    <t>L000008107</t>
  </si>
  <si>
    <t>L000008112</t>
  </si>
  <si>
    <t>L000008116</t>
  </si>
  <si>
    <t>L000008120</t>
  </si>
  <si>
    <t>L000008128</t>
  </si>
  <si>
    <t>L000008134</t>
  </si>
  <si>
    <t>L000008137</t>
  </si>
  <si>
    <t>L000008154</t>
  </si>
  <si>
    <t>L000008167</t>
  </si>
  <si>
    <t>L000008169</t>
  </si>
  <si>
    <t>L000008172</t>
  </si>
  <si>
    <t>L000008173</t>
  </si>
  <si>
    <t>L000008178</t>
  </si>
  <si>
    <t>L000008181</t>
  </si>
  <si>
    <t>L000008182</t>
  </si>
  <si>
    <t>L000008209</t>
  </si>
  <si>
    <t>L000008214</t>
  </si>
  <si>
    <t>L000008237</t>
  </si>
  <si>
    <t>L000008241</t>
  </si>
  <si>
    <t>L000008255</t>
  </si>
  <si>
    <t>L000008269</t>
  </si>
  <si>
    <t>L000008276</t>
  </si>
  <si>
    <t>L000008304</t>
  </si>
  <si>
    <t>L000008327</t>
  </si>
  <si>
    <t>L000008328</t>
  </si>
  <si>
    <t>L000008353</t>
  </si>
  <si>
    <t>L000008354</t>
  </si>
  <si>
    <t>L000008377</t>
  </si>
  <si>
    <t>L000008378</t>
  </si>
  <si>
    <t>L000008387</t>
  </si>
  <si>
    <t>L000008426</t>
  </si>
  <si>
    <t>L000008449</t>
  </si>
  <si>
    <t>L000008450</t>
  </si>
  <si>
    <t>L000008452</t>
  </si>
  <si>
    <t>L000008460</t>
  </si>
  <si>
    <t>L000008461</t>
  </si>
  <si>
    <t>L000008466</t>
  </si>
  <si>
    <t>L000008467</t>
  </si>
  <si>
    <t>L000008474</t>
  </si>
  <si>
    <t>L000008475</t>
  </si>
  <si>
    <t>L000008476</t>
  </si>
  <si>
    <t>L000008480</t>
  </si>
  <si>
    <t>L000008488</t>
  </si>
  <si>
    <t>L000008489</t>
  </si>
  <si>
    <t>L000008493</t>
  </si>
  <si>
    <t>L000008494</t>
  </si>
  <si>
    <t>L000008497</t>
  </si>
  <si>
    <t>L000008498</t>
  </si>
  <si>
    <t>L000008501</t>
  </si>
  <si>
    <t>L000008506</t>
  </si>
  <si>
    <t>L000008510</t>
  </si>
  <si>
    <t>L000008512</t>
  </si>
  <si>
    <t>L000008518</t>
  </si>
  <si>
    <t>L000008522</t>
  </si>
  <si>
    <t>L000008523</t>
  </si>
  <si>
    <t>L000008526</t>
  </si>
  <si>
    <t>L000008530</t>
  </si>
  <si>
    <t>L000008535</t>
  </si>
  <si>
    <t>L000008638</t>
  </si>
  <si>
    <t>L000008831</t>
  </si>
  <si>
    <t>L000008837</t>
  </si>
  <si>
    <t>L000008838</t>
  </si>
  <si>
    <t>L000009171</t>
  </si>
  <si>
    <t>L000009203</t>
  </si>
  <si>
    <t>L000009204</t>
  </si>
  <si>
    <t>L000009205</t>
  </si>
  <si>
    <t>L000009208</t>
  </si>
  <si>
    <t>L000009209</t>
  </si>
  <si>
    <t>L000009364</t>
  </si>
  <si>
    <t>L000009409</t>
  </si>
  <si>
    <t>L000009425</t>
  </si>
  <si>
    <t>L000009430</t>
  </si>
  <si>
    <t>L000009443</t>
  </si>
  <si>
    <t>L000009454</t>
  </si>
  <si>
    <t>L000009459</t>
  </si>
  <si>
    <t>L000009464</t>
  </si>
  <si>
    <t>L000009476</t>
  </si>
  <si>
    <t>L000009540</t>
  </si>
  <si>
    <t>L000009548</t>
  </si>
  <si>
    <t>L000009557</t>
  </si>
  <si>
    <t>L000009574</t>
  </si>
  <si>
    <t>L000009577</t>
  </si>
  <si>
    <t>L000009598</t>
  </si>
  <si>
    <t>L000009600</t>
  </si>
  <si>
    <t>L000009602</t>
  </si>
  <si>
    <t>L000009605</t>
  </si>
  <si>
    <t>L000009607</t>
  </si>
  <si>
    <t>L000009614</t>
  </si>
  <si>
    <t>L000009620</t>
  </si>
  <si>
    <t>L000009631</t>
  </si>
  <si>
    <t>L000009633</t>
  </si>
  <si>
    <t>L000009650</t>
  </si>
  <si>
    <t>L000009672</t>
  </si>
  <si>
    <t>L000009679</t>
  </si>
  <si>
    <t>L000009680</t>
  </si>
  <si>
    <t>L000009689</t>
  </si>
  <si>
    <t>L000009691</t>
  </si>
  <si>
    <t>L000009697</t>
  </si>
  <si>
    <t>L000009698</t>
  </si>
  <si>
    <t>L000009702</t>
  </si>
  <si>
    <t>L000009703</t>
  </si>
  <si>
    <t>L000009707</t>
  </si>
  <si>
    <t>L000009711</t>
  </si>
  <si>
    <t>L000009714</t>
  </si>
  <si>
    <t>L000009722</t>
  </si>
  <si>
    <t>L000009724</t>
  </si>
  <si>
    <t>L000009725</t>
  </si>
  <si>
    <t>L000009726</t>
  </si>
  <si>
    <t>L000009737</t>
  </si>
  <si>
    <t>L000009747</t>
  </si>
  <si>
    <t>L000009752</t>
  </si>
  <si>
    <t>L000009760</t>
  </si>
  <si>
    <t>L000009787</t>
  </si>
  <si>
    <t>L000009823</t>
  </si>
  <si>
    <t>L000009825</t>
  </si>
  <si>
    <t>L000009829</t>
  </si>
  <si>
    <t>L000009840</t>
  </si>
  <si>
    <t>L000009850</t>
  </si>
  <si>
    <t>L000009854</t>
  </si>
  <si>
    <t>L000009856</t>
  </si>
  <si>
    <t>L000009861</t>
  </si>
  <si>
    <t>L000009862</t>
  </si>
  <si>
    <t>L000009872</t>
  </si>
  <si>
    <t>L000009883</t>
  </si>
  <si>
    <t>L000009884</t>
  </si>
  <si>
    <t>L000009891</t>
  </si>
  <si>
    <t>L000009892</t>
  </si>
  <si>
    <t>L000009895</t>
  </si>
  <si>
    <t>L000009896</t>
  </si>
  <si>
    <t>L000009898</t>
  </si>
  <si>
    <t>L000009899</t>
  </si>
  <si>
    <t>L000009900</t>
  </si>
  <si>
    <t>L000009904</t>
  </si>
  <si>
    <t>L000009911</t>
  </si>
  <si>
    <t>L000009913</t>
  </si>
  <si>
    <t>L000010065</t>
  </si>
  <si>
    <t>L000010077</t>
  </si>
  <si>
    <t>L000010078</t>
  </si>
  <si>
    <t>L000010108</t>
  </si>
  <si>
    <t>L000010158</t>
  </si>
  <si>
    <t>L000010189</t>
  </si>
  <si>
    <t>L000010215</t>
  </si>
  <si>
    <t>L000010218</t>
  </si>
  <si>
    <t>L000010234</t>
  </si>
  <si>
    <t>L000010237</t>
  </si>
  <si>
    <t>L000010240</t>
  </si>
  <si>
    <t>L000010255</t>
  </si>
  <si>
    <t>L000010264</t>
  </si>
  <si>
    <t>L000010275</t>
  </si>
  <si>
    <t>L000010286</t>
  </si>
  <si>
    <t>L000010291</t>
  </si>
  <si>
    <t>L000010295</t>
  </si>
  <si>
    <t>L000010308</t>
  </si>
  <si>
    <t>L000010317</t>
  </si>
  <si>
    <t>L000010330</t>
  </si>
  <si>
    <t>L000010332</t>
  </si>
  <si>
    <t>L000010350</t>
  </si>
  <si>
    <t>L000010353</t>
  </si>
  <si>
    <t>L000010360</t>
  </si>
  <si>
    <t>L000010365</t>
  </si>
  <si>
    <t>L000010368</t>
  </si>
  <si>
    <t>L000010389</t>
  </si>
  <si>
    <t>L000010394</t>
  </si>
  <si>
    <t>L000010395</t>
  </si>
  <si>
    <t>L000010397</t>
  </si>
  <si>
    <t>L000010398</t>
  </si>
  <si>
    <t>L000010400</t>
  </si>
  <si>
    <t>L000010405</t>
  </si>
  <si>
    <t>L000010414</t>
  </si>
  <si>
    <t>L000010417</t>
  </si>
  <si>
    <t>L000010431</t>
  </si>
  <si>
    <t>L000010433</t>
  </si>
  <si>
    <t>L000010436</t>
  </si>
  <si>
    <t>L000010456</t>
  </si>
  <si>
    <t>L000010459</t>
  </si>
  <si>
    <t>L000010463</t>
  </si>
  <si>
    <t>L000010464</t>
  </si>
  <si>
    <t>L000010473</t>
  </si>
  <si>
    <t>L000010480</t>
  </si>
  <si>
    <t>L000010497</t>
  </si>
  <si>
    <t>L000010503</t>
  </si>
  <si>
    <t>L000010504</t>
  </si>
  <si>
    <t>L000010505</t>
  </si>
  <si>
    <t>L000010517</t>
  </si>
  <si>
    <t>L000010529</t>
  </si>
  <si>
    <t>L000010531</t>
  </si>
  <si>
    <t>L000010534</t>
  </si>
  <si>
    <t>L000010555</t>
  </si>
  <si>
    <t>L000010564</t>
  </si>
  <si>
    <t>L000010576</t>
  </si>
  <si>
    <t>L000010612</t>
  </si>
  <si>
    <t>L000010616</t>
  </si>
  <si>
    <t>L000010617</t>
  </si>
  <si>
    <t>L000010661</t>
  </si>
  <si>
    <t>L000010761</t>
  </si>
  <si>
    <t>L000011040</t>
  </si>
  <si>
    <t>L000011104</t>
  </si>
  <si>
    <t>L000011106</t>
  </si>
  <si>
    <t>L000011108</t>
  </si>
  <si>
    <t>L000011203</t>
  </si>
  <si>
    <t>L000011205</t>
  </si>
  <si>
    <t>L000011241</t>
  </si>
  <si>
    <t>L000011243</t>
  </si>
  <si>
    <t>L000011245</t>
  </si>
  <si>
    <t>L000011246</t>
  </si>
  <si>
    <t>L000011257</t>
  </si>
  <si>
    <t>L000011272</t>
  </si>
  <si>
    <t>L000011279</t>
  </si>
  <si>
    <t>L000011285</t>
  </si>
  <si>
    <t>L000011287</t>
  </si>
  <si>
    <t>L000011340</t>
  </si>
  <si>
    <t>L000011342</t>
  </si>
  <si>
    <t>L000011354</t>
  </si>
  <si>
    <t>L000011357</t>
  </si>
  <si>
    <t>L000011389</t>
  </si>
  <si>
    <t>L000011431</t>
  </si>
  <si>
    <t>L000011447</t>
  </si>
  <si>
    <t>L000011448</t>
  </si>
  <si>
    <t>L000011467</t>
  </si>
  <si>
    <t>L000011485</t>
  </si>
  <si>
    <t>L000011508</t>
  </si>
  <si>
    <t>L000011517</t>
  </si>
  <si>
    <t>L000011520</t>
  </si>
  <si>
    <t>L000011529</t>
  </si>
  <si>
    <t>L000011530</t>
  </si>
  <si>
    <t>L000011532</t>
  </si>
  <si>
    <t>L000011549</t>
  </si>
  <si>
    <t>L000011576</t>
  </si>
  <si>
    <t>L000011607</t>
  </si>
  <si>
    <t>L000011608</t>
  </si>
  <si>
    <t>L000011609</t>
  </si>
  <si>
    <t>L000011613</t>
  </si>
  <si>
    <t>L000011637</t>
  </si>
  <si>
    <t>L000011644</t>
  </si>
  <si>
    <t>L000011647</t>
  </si>
  <si>
    <t>L000011658</t>
  </si>
  <si>
    <t>L000011659</t>
  </si>
  <si>
    <t>L000011686</t>
  </si>
  <si>
    <t>L000011693</t>
  </si>
  <si>
    <t>L000011743</t>
  </si>
  <si>
    <t>L000011756</t>
  </si>
  <si>
    <t>L000011797</t>
  </si>
  <si>
    <t>L000011807</t>
  </si>
  <si>
    <t>L000011813</t>
  </si>
  <si>
    <t>L000011954</t>
  </si>
  <si>
    <t>L000011961</t>
  </si>
  <si>
    <t>L000011962</t>
  </si>
  <si>
    <t>L000011966</t>
  </si>
  <si>
    <t>L000012005</t>
  </si>
  <si>
    <t>L000012008</t>
  </si>
  <si>
    <t>L000012009</t>
  </si>
  <si>
    <t>L000012100</t>
  </si>
  <si>
    <t>L000012135</t>
  </si>
  <si>
    <t>L000012139</t>
  </si>
  <si>
    <t>L000012141</t>
  </si>
  <si>
    <t>L000012144</t>
  </si>
  <si>
    <t>L000012158</t>
  </si>
  <si>
    <t>L000012159</t>
  </si>
  <si>
    <t>L000012160</t>
  </si>
  <si>
    <t>L000012178</t>
  </si>
  <si>
    <t>L000012212</t>
  </si>
  <si>
    <t>L000012213</t>
  </si>
  <si>
    <t>L000012237</t>
  </si>
  <si>
    <t>L000012249</t>
  </si>
  <si>
    <t>L000012265</t>
  </si>
  <si>
    <t>L000012289</t>
  </si>
  <si>
    <t>L000012313</t>
  </si>
  <si>
    <t>L000012344</t>
  </si>
  <si>
    <t>L000012353</t>
  </si>
  <si>
    <t>L000012359</t>
  </si>
  <si>
    <t>L000012446</t>
  </si>
  <si>
    <t>L000012447</t>
  </si>
  <si>
    <t>L000012477</t>
  </si>
  <si>
    <t>L000012516</t>
  </si>
  <si>
    <t>L000012547</t>
  </si>
  <si>
    <t>L000012562</t>
  </si>
  <si>
    <t>L000012583</t>
  </si>
  <si>
    <t>L000012597</t>
  </si>
  <si>
    <t>L000012600</t>
  </si>
  <si>
    <t>L000012604</t>
  </si>
  <si>
    <t>L000012621</t>
  </si>
  <si>
    <t>L000012628</t>
  </si>
  <si>
    <t>L000012630</t>
  </si>
  <si>
    <t>L000012636</t>
  </si>
  <si>
    <t>L000012638</t>
  </si>
  <si>
    <t>L000012656</t>
  </si>
  <si>
    <t>L000012665</t>
  </si>
  <si>
    <t>L000012669</t>
  </si>
  <si>
    <t>L000012670</t>
  </si>
  <si>
    <t>L000012671</t>
  </si>
  <si>
    <t>L000012672</t>
  </si>
  <si>
    <t>L000012673</t>
  </si>
  <si>
    <t>L000012677</t>
  </si>
  <si>
    <t>L000012680</t>
  </si>
  <si>
    <t>L000012683</t>
  </si>
  <si>
    <t>L000012687</t>
  </si>
  <si>
    <t>L000012689</t>
  </si>
  <si>
    <t>L000012694</t>
  </si>
  <si>
    <t>L000012696</t>
  </si>
  <si>
    <t>L000012699</t>
  </si>
  <si>
    <t>L000012700</t>
  </si>
  <si>
    <t>L000012710</t>
  </si>
  <si>
    <t>L000012716</t>
  </si>
  <si>
    <t>L000012720</t>
  </si>
  <si>
    <t>L000012726</t>
  </si>
  <si>
    <t>L000012727</t>
  </si>
  <si>
    <t>L000012747</t>
  </si>
  <si>
    <t>L000012754</t>
  </si>
  <si>
    <t>L000012756</t>
  </si>
  <si>
    <t>L000012795</t>
  </si>
  <si>
    <t>L000012828</t>
  </si>
  <si>
    <t>L000012835</t>
  </si>
  <si>
    <t>L000012870</t>
  </si>
  <si>
    <t>L000012881</t>
  </si>
  <si>
    <t>L000012882</t>
  </si>
  <si>
    <t>L000012905</t>
  </si>
  <si>
    <t>L000012942</t>
  </si>
  <si>
    <t>L000013014</t>
  </si>
  <si>
    <t>L000013056</t>
  </si>
  <si>
    <t>L000013063</t>
  </si>
  <si>
    <t>L000013070</t>
  </si>
  <si>
    <t>L000013088</t>
  </si>
  <si>
    <t>L000013092</t>
  </si>
  <si>
    <t>L000013124</t>
  </si>
  <si>
    <t>L000013270</t>
  </si>
  <si>
    <t>L000013306</t>
  </si>
  <si>
    <t>L000013336</t>
  </si>
  <si>
    <t>L000013467</t>
  </si>
  <si>
    <t>P000000032</t>
  </si>
  <si>
    <t>P000000485</t>
  </si>
  <si>
    <t>P000000503</t>
  </si>
  <si>
    <t>P000000509</t>
  </si>
  <si>
    <t>P000000562</t>
  </si>
  <si>
    <t>P000000607</t>
  </si>
  <si>
    <t>P000000781</t>
  </si>
  <si>
    <t>P000000783</t>
  </si>
  <si>
    <t>P000000787</t>
  </si>
  <si>
    <t>P000000843</t>
  </si>
  <si>
    <t>P000000845</t>
  </si>
  <si>
    <t>P000000872</t>
  </si>
  <si>
    <t>P000000878</t>
  </si>
  <si>
    <t>P000000916</t>
  </si>
  <si>
    <t>P000000925</t>
  </si>
  <si>
    <t>P000000985</t>
  </si>
  <si>
    <t>P000000998</t>
  </si>
  <si>
    <t>P000001001</t>
  </si>
  <si>
    <t>G000000090</t>
  </si>
  <si>
    <t>G000000147</t>
  </si>
  <si>
    <t>G000000213</t>
  </si>
  <si>
    <t>G000000216</t>
  </si>
  <si>
    <t>G000000711</t>
  </si>
  <si>
    <t>G000000794</t>
  </si>
  <si>
    <t>G000000795</t>
  </si>
  <si>
    <t>G000000796</t>
  </si>
  <si>
    <t>G000000797</t>
  </si>
  <si>
    <t>G000000961</t>
  </si>
  <si>
    <t>G000001039</t>
  </si>
  <si>
    <t>H000000375</t>
  </si>
  <si>
    <t>H000000670</t>
  </si>
  <si>
    <t>H000000736</t>
  </si>
  <si>
    <t>H000001043</t>
  </si>
  <si>
    <t>H000001184</t>
  </si>
  <si>
    <t>H000001252</t>
  </si>
  <si>
    <t>H000001288</t>
  </si>
  <si>
    <t>H000001419</t>
  </si>
  <si>
    <t>H000001462</t>
  </si>
  <si>
    <t>H000001543</t>
  </si>
  <si>
    <t>H000001582</t>
  </si>
  <si>
    <t>H000001589</t>
  </si>
  <si>
    <t>H000001592</t>
  </si>
  <si>
    <t>H000001595</t>
  </si>
  <si>
    <t>H000001659</t>
  </si>
  <si>
    <t>H000001842</t>
  </si>
  <si>
    <t>H000001913</t>
  </si>
  <si>
    <t>H000002128</t>
  </si>
  <si>
    <t>H000002579</t>
  </si>
  <si>
    <t>H000002588</t>
  </si>
  <si>
    <t>H000002623</t>
  </si>
  <si>
    <t>H000002781</t>
  </si>
  <si>
    <t>H000002841</t>
  </si>
  <si>
    <t>H000002870</t>
  </si>
  <si>
    <t>H000002966</t>
  </si>
  <si>
    <t>H000002969</t>
  </si>
  <si>
    <t>H000003313</t>
  </si>
  <si>
    <t>H000003317</t>
  </si>
  <si>
    <t>H000003355</t>
  </si>
  <si>
    <t>H000003359</t>
  </si>
  <si>
    <t>H000003399</t>
  </si>
  <si>
    <t>H000003544</t>
  </si>
  <si>
    <t>H000003652</t>
  </si>
  <si>
    <t>H000003656</t>
  </si>
  <si>
    <t>H000003682</t>
  </si>
  <si>
    <t>H000003699</t>
  </si>
  <si>
    <t>H000003705</t>
  </si>
  <si>
    <t>H000003720</t>
  </si>
  <si>
    <t>H000003726</t>
  </si>
  <si>
    <t>H000003839</t>
  </si>
  <si>
    <t>H000003846</t>
  </si>
  <si>
    <t>H000003851</t>
  </si>
  <si>
    <t>H000003852</t>
  </si>
  <si>
    <t>H000003857</t>
  </si>
  <si>
    <t>H000003858</t>
  </si>
  <si>
    <t>H000004182</t>
  </si>
  <si>
    <t>H000004189</t>
  </si>
  <si>
    <t>IT06030400</t>
  </si>
  <si>
    <t>L000005083</t>
  </si>
  <si>
    <t>L000005110</t>
  </si>
  <si>
    <t>L000005111</t>
  </si>
  <si>
    <t>L000005112</t>
  </si>
  <si>
    <t>L000005139</t>
  </si>
  <si>
    <t>L000005155</t>
  </si>
  <si>
    <t>L000005171</t>
  </si>
  <si>
    <t>L000005172</t>
  </si>
  <si>
    <t>L000005191</t>
  </si>
  <si>
    <t>L000005193</t>
  </si>
  <si>
    <t>L000005208</t>
  </si>
  <si>
    <t>L000005234</t>
  </si>
  <si>
    <t>L000005250</t>
  </si>
  <si>
    <t>L000005251</t>
  </si>
  <si>
    <t>L000005253</t>
  </si>
  <si>
    <t>L000005259</t>
  </si>
  <si>
    <t>L000005260</t>
  </si>
  <si>
    <t>L000005276</t>
  </si>
  <si>
    <t>L000005296</t>
  </si>
  <si>
    <t>L000005395</t>
  </si>
  <si>
    <t>L000005453</t>
  </si>
  <si>
    <t>L000005486</t>
  </si>
  <si>
    <t>L000005651</t>
  </si>
  <si>
    <t>L000005653</t>
  </si>
  <si>
    <t>L000005689</t>
  </si>
  <si>
    <t>L000005690</t>
  </si>
  <si>
    <t>L000005701</t>
  </si>
  <si>
    <t>L000005749</t>
  </si>
  <si>
    <t>L000005775</t>
  </si>
  <si>
    <t>L000005840</t>
  </si>
  <si>
    <t>L000005891</t>
  </si>
  <si>
    <t>L000005901</t>
  </si>
  <si>
    <t>L000005904</t>
  </si>
  <si>
    <t>L000005942</t>
  </si>
  <si>
    <t>L000005979</t>
  </si>
  <si>
    <t>L000005983</t>
  </si>
  <si>
    <t>L000005998</t>
  </si>
  <si>
    <t>L000005999</t>
  </si>
  <si>
    <t>L000006008</t>
  </si>
  <si>
    <t>L000006027</t>
  </si>
  <si>
    <t>L000006059</t>
  </si>
  <si>
    <t>L000006062</t>
  </si>
  <si>
    <t>L000006115</t>
  </si>
  <si>
    <t>L000006156</t>
  </si>
  <si>
    <t>L000006158</t>
  </si>
  <si>
    <t>L000006179</t>
  </si>
  <si>
    <t>L000006180</t>
  </si>
  <si>
    <t>L000006199</t>
  </si>
  <si>
    <t>L000006201</t>
  </si>
  <si>
    <t>L000006209</t>
  </si>
  <si>
    <t>L000006319</t>
  </si>
  <si>
    <t>L000006332</t>
  </si>
  <si>
    <t>L000006396</t>
  </si>
  <si>
    <t>L000006428</t>
  </si>
  <si>
    <t>L000006446</t>
  </si>
  <si>
    <t>L000006463</t>
  </si>
  <si>
    <t>L000006476</t>
  </si>
  <si>
    <t>L000006515</t>
  </si>
  <si>
    <t>L000006582</t>
  </si>
  <si>
    <t>L000006587</t>
  </si>
  <si>
    <t>L000006598</t>
  </si>
  <si>
    <t>L000006642</t>
  </si>
  <si>
    <t>L000006643</t>
  </si>
  <si>
    <t>L000006773</t>
  </si>
  <si>
    <t>L000006862</t>
  </si>
  <si>
    <t>L000006867</t>
  </si>
  <si>
    <t>L000006900</t>
  </si>
  <si>
    <t>L000006931</t>
  </si>
  <si>
    <t>L000006935</t>
  </si>
  <si>
    <t>L000006968</t>
  </si>
  <si>
    <t>L000007000</t>
  </si>
  <si>
    <t>L000007027</t>
  </si>
  <si>
    <t>L000007038</t>
  </si>
  <si>
    <t>L000007044</t>
  </si>
  <si>
    <t>L000007080</t>
  </si>
  <si>
    <t>L000007141</t>
  </si>
  <si>
    <t>L000007171</t>
  </si>
  <si>
    <t>L000007177</t>
  </si>
  <si>
    <t>L000007200</t>
  </si>
  <si>
    <t>L000007219</t>
  </si>
  <si>
    <t>L000007220</t>
  </si>
  <si>
    <t>L000007244</t>
  </si>
  <si>
    <t>L000007309</t>
  </si>
  <si>
    <t>L000007312</t>
  </si>
  <si>
    <t>L000007371</t>
  </si>
  <si>
    <t>L000007410</t>
  </si>
  <si>
    <t>L000007487</t>
  </si>
  <si>
    <t>L000007534</t>
  </si>
  <si>
    <t>L000007575</t>
  </si>
  <si>
    <t>L000007717</t>
  </si>
  <si>
    <t>L000007721</t>
  </si>
  <si>
    <t>L000007730</t>
  </si>
  <si>
    <t>L000007736</t>
  </si>
  <si>
    <t>L000007771</t>
  </si>
  <si>
    <t>L000007962</t>
  </si>
  <si>
    <t>L000007993</t>
  </si>
  <si>
    <t>L000008012</t>
  </si>
  <si>
    <t>L000008024</t>
  </si>
  <si>
    <t>L000008033</t>
  </si>
  <si>
    <t>L000008038</t>
  </si>
  <si>
    <t>L000008044</t>
  </si>
  <si>
    <t>L000008045</t>
  </si>
  <si>
    <t>L000008047</t>
  </si>
  <si>
    <t>L000008049</t>
  </si>
  <si>
    <t>L000008051</t>
  </si>
  <si>
    <t>L000008085</t>
  </si>
  <si>
    <t>L000008093</t>
  </si>
  <si>
    <t>L000008094</t>
  </si>
  <si>
    <t>L000008114</t>
  </si>
  <si>
    <t>L000008123</t>
  </si>
  <si>
    <t>L000008126</t>
  </si>
  <si>
    <t>L000008130</t>
  </si>
  <si>
    <t>L000008187</t>
  </si>
  <si>
    <t>L000008191</t>
  </si>
  <si>
    <t>L000008192</t>
  </si>
  <si>
    <t>L000008195</t>
  </si>
  <si>
    <t>L000008196</t>
  </si>
  <si>
    <t>L000008201</t>
  </si>
  <si>
    <t>L000008225</t>
  </si>
  <si>
    <t>L000008227</t>
  </si>
  <si>
    <t>L000008232</t>
  </si>
  <si>
    <t>L000008234</t>
  </si>
  <si>
    <t>L000008245</t>
  </si>
  <si>
    <t>L000008253</t>
  </si>
  <si>
    <t>L000008278</t>
  </si>
  <si>
    <t>L000008281</t>
  </si>
  <si>
    <t>L000008356</t>
  </si>
  <si>
    <t>L000008363</t>
  </si>
  <si>
    <t>L000008365</t>
  </si>
  <si>
    <t>L000008375</t>
  </si>
  <si>
    <t>L000008376</t>
  </si>
  <si>
    <t>L000008382</t>
  </si>
  <si>
    <t>L000008430</t>
  </si>
  <si>
    <t>L000008455</t>
  </si>
  <si>
    <t>L000008457</t>
  </si>
  <si>
    <t>L000008458</t>
  </si>
  <si>
    <t>L000008483</t>
  </si>
  <si>
    <t>L000008487</t>
  </si>
  <si>
    <t>L000008503</t>
  </si>
  <si>
    <t>L000008552</t>
  </si>
  <si>
    <t>L000008807</t>
  </si>
  <si>
    <t>L000008821</t>
  </si>
  <si>
    <t>L000008832</t>
  </si>
  <si>
    <t>L000008834</t>
  </si>
  <si>
    <t>L000008845</t>
  </si>
  <si>
    <t>L000008852</t>
  </si>
  <si>
    <t>L000008975</t>
  </si>
  <si>
    <t>L000009001</t>
  </si>
  <si>
    <t>L000009046</t>
  </si>
  <si>
    <t>L000009121</t>
  </si>
  <si>
    <t>L000009180</t>
  </si>
  <si>
    <t>L000009213</t>
  </si>
  <si>
    <t>L000009218</t>
  </si>
  <si>
    <t>L000009242</t>
  </si>
  <si>
    <t>L000009360</t>
  </si>
  <si>
    <t>L000009428</t>
  </si>
  <si>
    <t>L000009435</t>
  </si>
  <si>
    <t>L000009446</t>
  </si>
  <si>
    <t>L000009455</t>
  </si>
  <si>
    <t>L000009472</t>
  </si>
  <si>
    <t>L000009519</t>
  </si>
  <si>
    <t>L000009549</t>
  </si>
  <si>
    <t>L000009560</t>
  </si>
  <si>
    <t>L000009562</t>
  </si>
  <si>
    <t>L000009576</t>
  </si>
  <si>
    <t>L000009596</t>
  </si>
  <si>
    <t>L000009612</t>
  </si>
  <si>
    <t>L000009621</t>
  </si>
  <si>
    <t>L000009663</t>
  </si>
  <si>
    <t>L000009678</t>
  </si>
  <si>
    <t>L000009696</t>
  </si>
  <si>
    <t>L000009727</t>
  </si>
  <si>
    <t>L000009729</t>
  </si>
  <si>
    <t>L000009732</t>
  </si>
  <si>
    <t>L000009746</t>
  </si>
  <si>
    <t>L000009757</t>
  </si>
  <si>
    <t>L000009845</t>
  </si>
  <si>
    <t>L000009851</t>
  </si>
  <si>
    <t>L000009859</t>
  </si>
  <si>
    <t>L000009863</t>
  </si>
  <si>
    <t>L000009873</t>
  </si>
  <si>
    <t>L000009878</t>
  </si>
  <si>
    <t>L000009879</t>
  </si>
  <si>
    <t>L000009890</t>
  </si>
  <si>
    <t>L000009907</t>
  </si>
  <si>
    <t>L000009909</t>
  </si>
  <si>
    <t>L000010066</t>
  </si>
  <si>
    <t>L000010119</t>
  </si>
  <si>
    <t>L000010139</t>
  </si>
  <si>
    <t>L000010154</t>
  </si>
  <si>
    <t>L000010162</t>
  </si>
  <si>
    <t>L000010192</t>
  </si>
  <si>
    <t>L000010233</t>
  </si>
  <si>
    <t>L000010242</t>
  </si>
  <si>
    <t>L000010265</t>
  </si>
  <si>
    <t>L000010267</t>
  </si>
  <si>
    <t>L000010271</t>
  </si>
  <si>
    <t>L000010292</t>
  </si>
  <si>
    <t>L000010303</t>
  </si>
  <si>
    <t>L000010305</t>
  </si>
  <si>
    <t>L000010309</t>
  </si>
  <si>
    <t>L000010349</t>
  </si>
  <si>
    <t>L000010355</t>
  </si>
  <si>
    <t>L000010357</t>
  </si>
  <si>
    <t>L000010359</t>
  </si>
  <si>
    <t>L000010361</t>
  </si>
  <si>
    <t>L000010369</t>
  </si>
  <si>
    <t>L000010380</t>
  </si>
  <si>
    <t>L000010402</t>
  </si>
  <si>
    <t>L000010404</t>
  </si>
  <si>
    <t>L000010429</t>
  </si>
  <si>
    <t>L000010432</t>
  </si>
  <si>
    <t>L000010437</t>
  </si>
  <si>
    <t>L000010441</t>
  </si>
  <si>
    <t>L000010457</t>
  </si>
  <si>
    <t>L000010460</t>
  </si>
  <si>
    <t>L000010470</t>
  </si>
  <si>
    <t>L000010471</t>
  </si>
  <si>
    <t>L000010479</t>
  </si>
  <si>
    <t>L000010482</t>
  </si>
  <si>
    <t>L000010491</t>
  </si>
  <si>
    <t>L000010500</t>
  </si>
  <si>
    <t>L000010510</t>
  </si>
  <si>
    <t>L000010512</t>
  </si>
  <si>
    <t>L000010520</t>
  </si>
  <si>
    <t>L000010521</t>
  </si>
  <si>
    <t>L000010540</t>
  </si>
  <si>
    <t>L000010545</t>
  </si>
  <si>
    <t>L000010547</t>
  </si>
  <si>
    <t>L000010550</t>
  </si>
  <si>
    <t>L000010599</t>
  </si>
  <si>
    <t>L000010603</t>
  </si>
  <si>
    <t>L000010611</t>
  </si>
  <si>
    <t>L000010615</t>
  </si>
  <si>
    <t>L000010754</t>
  </si>
  <si>
    <t>L000010757</t>
  </si>
  <si>
    <t>L000010758</t>
  </si>
  <si>
    <t>L000010762</t>
  </si>
  <si>
    <t>L000010763</t>
  </si>
  <si>
    <t>L000010765</t>
  </si>
  <si>
    <t>L000010768</t>
  </si>
  <si>
    <t>L000010772</t>
  </si>
  <si>
    <t>L000010782</t>
  </si>
  <si>
    <t>L000011101</t>
  </si>
  <si>
    <t>L000011105</t>
  </si>
  <si>
    <t>L000011135</t>
  </si>
  <si>
    <t>L000011253</t>
  </si>
  <si>
    <t>L000011258</t>
  </si>
  <si>
    <t>L000011259</t>
  </si>
  <si>
    <t>L000011374</t>
  </si>
  <si>
    <t>L000011470</t>
  </si>
  <si>
    <t>L000011510</t>
  </si>
  <si>
    <t>L000011512</t>
  </si>
  <si>
    <t>L000011614</t>
  </si>
  <si>
    <t>L000011710</t>
  </si>
  <si>
    <t>L000011759</t>
  </si>
  <si>
    <t>L000011760</t>
  </si>
  <si>
    <t>L000011798</t>
  </si>
  <si>
    <t>L000011802</t>
  </si>
  <si>
    <t>L000011880</t>
  </si>
  <si>
    <t>L000012007</t>
  </si>
  <si>
    <t>L000012071</t>
  </si>
  <si>
    <t>L000012121</t>
  </si>
  <si>
    <t>L000012131</t>
  </si>
  <si>
    <t>L000012151</t>
  </si>
  <si>
    <t>L000012152</t>
  </si>
  <si>
    <t>L000012153</t>
  </si>
  <si>
    <t>L000012186</t>
  </si>
  <si>
    <t>L000012260</t>
  </si>
  <si>
    <t>L000012261</t>
  </si>
  <si>
    <t>L000012266</t>
  </si>
  <si>
    <t>L000012273</t>
  </si>
  <si>
    <t>L000012276</t>
  </si>
  <si>
    <t>L000012287</t>
  </si>
  <si>
    <t>L000012312</t>
  </si>
  <si>
    <t>L000012342</t>
  </si>
  <si>
    <t>L000012347</t>
  </si>
  <si>
    <t>L000012367</t>
  </si>
  <si>
    <t>L000012369</t>
  </si>
  <si>
    <t>L000012383</t>
  </si>
  <si>
    <t>L000012384</t>
  </si>
  <si>
    <t>L000012385</t>
  </si>
  <si>
    <t>L000012456</t>
  </si>
  <si>
    <t>L000012459</t>
  </si>
  <si>
    <t>L000012464</t>
  </si>
  <si>
    <t>L000012506</t>
  </si>
  <si>
    <t>L000012507</t>
  </si>
  <si>
    <t>L000012535</t>
  </si>
  <si>
    <t>L000012556</t>
  </si>
  <si>
    <t>L000012592</t>
  </si>
  <si>
    <t>L000012599</t>
  </si>
  <si>
    <t>L000012606</t>
  </si>
  <si>
    <t>L000012617</t>
  </si>
  <si>
    <t>L000012644</t>
  </si>
  <si>
    <t>L000012675</t>
  </si>
  <si>
    <t>L000012676</t>
  </si>
  <si>
    <t>L000012693</t>
  </si>
  <si>
    <t>L000012701</t>
  </si>
  <si>
    <t>L000012702</t>
  </si>
  <si>
    <t>L000012703</t>
  </si>
  <si>
    <t>L000012732</t>
  </si>
  <si>
    <t>L000012809</t>
  </si>
  <si>
    <t>L000012832</t>
  </si>
  <si>
    <t>L000012833</t>
  </si>
  <si>
    <t>L000012861</t>
  </si>
  <si>
    <t>L000012931</t>
  </si>
  <si>
    <t>L000013052</t>
  </si>
  <si>
    <t>L000013059</t>
  </si>
  <si>
    <t>L000013142</t>
  </si>
  <si>
    <t>L000013146</t>
  </si>
  <si>
    <t>L000013294</t>
  </si>
  <si>
    <t>L000013347</t>
  </si>
  <si>
    <t>L000013391</t>
  </si>
  <si>
    <t>L000013424</t>
  </si>
  <si>
    <t>P000000029</t>
  </si>
  <si>
    <t>P000000079</t>
  </si>
  <si>
    <t>P000000101</t>
  </si>
  <si>
    <t>P000000153</t>
  </si>
  <si>
    <t>P000000213</t>
  </si>
  <si>
    <t>P000000243</t>
  </si>
  <si>
    <t>P000000340</t>
  </si>
  <si>
    <t>P000000448</t>
  </si>
  <si>
    <t>P000000561</t>
  </si>
  <si>
    <t>P000000749</t>
  </si>
  <si>
    <t>P000000774</t>
  </si>
  <si>
    <t>P000000790</t>
  </si>
  <si>
    <t>P000000794</t>
  </si>
  <si>
    <t>P000000796</t>
  </si>
  <si>
    <t>P000000806</t>
  </si>
  <si>
    <t>P000000810</t>
  </si>
  <si>
    <t>P000000840</t>
  </si>
  <si>
    <t>P000000846</t>
  </si>
  <si>
    <t>P000000860</t>
  </si>
  <si>
    <t>P000000868</t>
  </si>
  <si>
    <t>P000000971</t>
  </si>
  <si>
    <t>PL_B2_SL01</t>
  </si>
  <si>
    <t>IT06031100</t>
  </si>
  <si>
    <t>G000000091</t>
  </si>
  <si>
    <t>G000000092</t>
  </si>
  <si>
    <t>G000000093</t>
  </si>
  <si>
    <t>G000000198</t>
  </si>
  <si>
    <t>G000000234</t>
  </si>
  <si>
    <t>G000000253</t>
  </si>
  <si>
    <t>G000000279</t>
  </si>
  <si>
    <t>G000000340</t>
  </si>
  <si>
    <t>G000000432</t>
  </si>
  <si>
    <t>G000000476</t>
  </si>
  <si>
    <t>G000000526</t>
  </si>
  <si>
    <t>G000000703</t>
  </si>
  <si>
    <t>G000000709</t>
  </si>
  <si>
    <t>G000000736</t>
  </si>
  <si>
    <t>G000000755</t>
  </si>
  <si>
    <t>G000000828</t>
  </si>
  <si>
    <t>G000000851</t>
  </si>
  <si>
    <t>G000000852</t>
  </si>
  <si>
    <t>G000000933</t>
  </si>
  <si>
    <t>G000000957</t>
  </si>
  <si>
    <t>G000000962</t>
  </si>
  <si>
    <t>G000001035</t>
  </si>
  <si>
    <t>G000001040</t>
  </si>
  <si>
    <t>H000000508</t>
  </si>
  <si>
    <t>H000000662</t>
  </si>
  <si>
    <t>H000000702</t>
  </si>
  <si>
    <t>H000000706</t>
  </si>
  <si>
    <t>H000000707</t>
  </si>
  <si>
    <t>H000000711</t>
  </si>
  <si>
    <t>H000000749</t>
  </si>
  <si>
    <t>H000000906</t>
  </si>
  <si>
    <t>H000000907</t>
  </si>
  <si>
    <t>H000001074</t>
  </si>
  <si>
    <t>H000001094</t>
  </si>
  <si>
    <t>H000001324</t>
  </si>
  <si>
    <t>H000001347</t>
  </si>
  <si>
    <t>H000001348</t>
  </si>
  <si>
    <t>H000001349</t>
  </si>
  <si>
    <t>H000001350</t>
  </si>
  <si>
    <t>H000001420</t>
  </si>
  <si>
    <t>H000001432</t>
  </si>
  <si>
    <t>H000001492</t>
  </si>
  <si>
    <t>H000001537</t>
  </si>
  <si>
    <t>H000001540</t>
  </si>
  <si>
    <t>H000001546</t>
  </si>
  <si>
    <t>H000001564</t>
  </si>
  <si>
    <t>H000001588</t>
  </si>
  <si>
    <t>H000001656</t>
  </si>
  <si>
    <t>H000001716</t>
  </si>
  <si>
    <t>H000001912</t>
  </si>
  <si>
    <t>H000001971</t>
  </si>
  <si>
    <t>H000002024</t>
  </si>
  <si>
    <t>H000002050</t>
  </si>
  <si>
    <t>H000002608</t>
  </si>
  <si>
    <t>H000002853</t>
  </si>
  <si>
    <t>H000002960</t>
  </si>
  <si>
    <t>H000003062</t>
  </si>
  <si>
    <t>H000003305</t>
  </si>
  <si>
    <t>H000003346</t>
  </si>
  <si>
    <t>H000003661</t>
  </si>
  <si>
    <t>H000003838</t>
  </si>
  <si>
    <t>H000003840</t>
  </si>
  <si>
    <t>H000003847</t>
  </si>
  <si>
    <t>H000003907</t>
  </si>
  <si>
    <t>H000003913</t>
  </si>
  <si>
    <t>H000003920</t>
  </si>
  <si>
    <t>H000003989</t>
  </si>
  <si>
    <t>H000003996</t>
  </si>
  <si>
    <t>H000004005</t>
  </si>
  <si>
    <t>IT06020600</t>
  </si>
  <si>
    <t>IT06021200</t>
  </si>
  <si>
    <t>IT06041000</t>
  </si>
  <si>
    <t>IT06050200</t>
  </si>
  <si>
    <t>IT06100000</t>
  </si>
  <si>
    <t>L000005056</t>
  </si>
  <si>
    <t>L000005072</t>
  </si>
  <si>
    <t>L000005089</t>
  </si>
  <si>
    <t>L000005095</t>
  </si>
  <si>
    <t>L000005098</t>
  </si>
  <si>
    <t>L000005123</t>
  </si>
  <si>
    <t>L000005124</t>
  </si>
  <si>
    <t>L000005154</t>
  </si>
  <si>
    <t>L000005157</t>
  </si>
  <si>
    <t>L000005170</t>
  </si>
  <si>
    <t>L000005180</t>
  </si>
  <si>
    <t>L000005188</t>
  </si>
  <si>
    <t>L000005189</t>
  </si>
  <si>
    <t>L000005190</t>
  </si>
  <si>
    <t>L000005194</t>
  </si>
  <si>
    <t>L000005195</t>
  </si>
  <si>
    <t>L000005203</t>
  </si>
  <si>
    <t>L000005207</t>
  </si>
  <si>
    <t>L000005209</t>
  </si>
  <si>
    <t>L000005210</t>
  </si>
  <si>
    <t>L000005213</t>
  </si>
  <si>
    <t>L000005216</t>
  </si>
  <si>
    <t>L000005217</t>
  </si>
  <si>
    <t>L000005218</t>
  </si>
  <si>
    <t>L000005227</t>
  </si>
  <si>
    <t>L000005243</t>
  </si>
  <si>
    <t>L000005282</t>
  </si>
  <si>
    <t>L000005291</t>
  </si>
  <si>
    <t>L000005293</t>
  </si>
  <si>
    <t>L000005380</t>
  </si>
  <si>
    <t>L000005383</t>
  </si>
  <si>
    <t>L000005404</t>
  </si>
  <si>
    <t>L000005483</t>
  </si>
  <si>
    <t>L000005484</t>
  </si>
  <si>
    <t>L000005489</t>
  </si>
  <si>
    <t>L000005628</t>
  </si>
  <si>
    <t>L000005636</t>
  </si>
  <si>
    <t>L000005640</t>
  </si>
  <si>
    <t>L000005687</t>
  </si>
  <si>
    <t>L000005730</t>
  </si>
  <si>
    <t>L000005741</t>
  </si>
  <si>
    <t>L000005750</t>
  </si>
  <si>
    <t>L000005751</t>
  </si>
  <si>
    <t>L000005761</t>
  </si>
  <si>
    <t>L000005763</t>
  </si>
  <si>
    <t>L000005764</t>
  </si>
  <si>
    <t>L000005776</t>
  </si>
  <si>
    <t>L000005782</t>
  </si>
  <si>
    <t>L000005783</t>
  </si>
  <si>
    <t>L000005785</t>
  </si>
  <si>
    <t>L000005822</t>
  </si>
  <si>
    <t>L000005839</t>
  </si>
  <si>
    <t>L000005931</t>
  </si>
  <si>
    <t>L000005972</t>
  </si>
  <si>
    <t>L000005978</t>
  </si>
  <si>
    <t>L000005989</t>
  </si>
  <si>
    <t>L000005990</t>
  </si>
  <si>
    <t>L000005995</t>
  </si>
  <si>
    <t>L000006003</t>
  </si>
  <si>
    <t>L000006011</t>
  </si>
  <si>
    <t>L000006018</t>
  </si>
  <si>
    <t>L000006028</t>
  </si>
  <si>
    <t>L000006034</t>
  </si>
  <si>
    <t>L000006035</t>
  </si>
  <si>
    <t>L000006068</t>
  </si>
  <si>
    <t>L000006069</t>
  </si>
  <si>
    <t>L000006085</t>
  </si>
  <si>
    <t>L000006086</t>
  </si>
  <si>
    <t>L000006101</t>
  </si>
  <si>
    <t>L000006105</t>
  </si>
  <si>
    <t>L000006107</t>
  </si>
  <si>
    <t>L000006109</t>
  </si>
  <si>
    <t>L000006143</t>
  </si>
  <si>
    <t>L000006157</t>
  </si>
  <si>
    <t>L000006178</t>
  </si>
  <si>
    <t>L000006196</t>
  </si>
  <si>
    <t>L000006304</t>
  </si>
  <si>
    <t>L000006315</t>
  </si>
  <si>
    <t>L000006343</t>
  </si>
  <si>
    <t>L000006362</t>
  </si>
  <si>
    <t>L000006365</t>
  </si>
  <si>
    <t>L000006398</t>
  </si>
  <si>
    <t>L000006400</t>
  </si>
  <si>
    <t>L000006401</t>
  </si>
  <si>
    <t>L000006403</t>
  </si>
  <si>
    <t>L000006405</t>
  </si>
  <si>
    <t>L000006414</t>
  </si>
  <si>
    <t>L000006418</t>
  </si>
  <si>
    <t>L000006426</t>
  </si>
  <si>
    <t>L000006436</t>
  </si>
  <si>
    <t>L000006451</t>
  </si>
  <si>
    <t>L000006459</t>
  </si>
  <si>
    <t>L000006471</t>
  </si>
  <si>
    <t>L000006486</t>
  </si>
  <si>
    <t>L000006494</t>
  </si>
  <si>
    <t>L000006577</t>
  </si>
  <si>
    <t>L000006666</t>
  </si>
  <si>
    <t>L000006775</t>
  </si>
  <si>
    <t>L000006784</t>
  </si>
  <si>
    <t>L000006791</t>
  </si>
  <si>
    <t>L000006905</t>
  </si>
  <si>
    <t>L000006922</t>
  </si>
  <si>
    <t>L000006933</t>
  </si>
  <si>
    <t>L000006946</t>
  </si>
  <si>
    <t>L000006983</t>
  </si>
  <si>
    <t>L000007029</t>
  </si>
  <si>
    <t>L000007039</t>
  </si>
  <si>
    <t>L000007052</t>
  </si>
  <si>
    <t>L000007074</t>
  </si>
  <si>
    <t>L000007116</t>
  </si>
  <si>
    <t>L000007123</t>
  </si>
  <si>
    <t>L000007137</t>
  </si>
  <si>
    <t>L000007144</t>
  </si>
  <si>
    <t>L000007167</t>
  </si>
  <si>
    <t>L000007170</t>
  </si>
  <si>
    <t>L000007209</t>
  </si>
  <si>
    <t>L000007248</t>
  </si>
  <si>
    <t>L000007280</t>
  </si>
  <si>
    <t>L000007282</t>
  </si>
  <si>
    <t>L000007368</t>
  </si>
  <si>
    <t>L000007481</t>
  </si>
  <si>
    <t>L000007560</t>
  </si>
  <si>
    <t>L000007582</t>
  </si>
  <si>
    <t>L000007588</t>
  </si>
  <si>
    <t>L000007735</t>
  </si>
  <si>
    <t>L000007737</t>
  </si>
  <si>
    <t>L000007793</t>
  </si>
  <si>
    <t>L000007844</t>
  </si>
  <si>
    <t>L000007859</t>
  </si>
  <si>
    <t>L000008034</t>
  </si>
  <si>
    <t>L000008041</t>
  </si>
  <si>
    <t>L000008043</t>
  </si>
  <si>
    <t>L000008076</t>
  </si>
  <si>
    <t>L000008092</t>
  </si>
  <si>
    <t>L000008109</t>
  </si>
  <si>
    <t>L000008132</t>
  </si>
  <si>
    <t>L000008136</t>
  </si>
  <si>
    <t>L000008139</t>
  </si>
  <si>
    <t>L000008145</t>
  </si>
  <si>
    <t>L000008180</t>
  </si>
  <si>
    <t>L000008186</t>
  </si>
  <si>
    <t>L000008194</t>
  </si>
  <si>
    <t>L000008200</t>
  </si>
  <si>
    <t>L000008205</t>
  </si>
  <si>
    <t>L000008207</t>
  </si>
  <si>
    <t>L000008212</t>
  </si>
  <si>
    <t>L000008213</t>
  </si>
  <si>
    <t>L000008215</t>
  </si>
  <si>
    <t>L000008221</t>
  </si>
  <si>
    <t>L000008224</t>
  </si>
  <si>
    <t>L000008240</t>
  </si>
  <si>
    <t>L000008244</t>
  </si>
  <si>
    <t>L000008257</t>
  </si>
  <si>
    <t>L000008258</t>
  </si>
  <si>
    <t>L000008264</t>
  </si>
  <si>
    <t>L000008271</t>
  </si>
  <si>
    <t>L000008274</t>
  </si>
  <si>
    <t>L000008279</t>
  </si>
  <si>
    <t>L000008313</t>
  </si>
  <si>
    <t>L000008351</t>
  </si>
  <si>
    <t>L000008357</t>
  </si>
  <si>
    <t>L000008371</t>
  </si>
  <si>
    <t>L000008374</t>
  </si>
  <si>
    <t>L000008385</t>
  </si>
  <si>
    <t>L000008388</t>
  </si>
  <si>
    <t>L000008389</t>
  </si>
  <si>
    <t>L000008422</t>
  </si>
  <si>
    <t>L000008448</t>
  </si>
  <si>
    <t>L000008481</t>
  </si>
  <si>
    <t>L000008492</t>
  </si>
  <si>
    <t>L000008505</t>
  </si>
  <si>
    <t>L000008507</t>
  </si>
  <si>
    <t>L000008513</t>
  </si>
  <si>
    <t>L000008529</t>
  </si>
  <si>
    <t>L000008533</t>
  </si>
  <si>
    <t>L000008548</t>
  </si>
  <si>
    <t>L000008886</t>
  </si>
  <si>
    <t>L000009144</t>
  </si>
  <si>
    <t>L000009186</t>
  </si>
  <si>
    <t>L000009199</t>
  </si>
  <si>
    <t>L000009212</t>
  </si>
  <si>
    <t>L000009463</t>
  </si>
  <si>
    <t>L000009470</t>
  </si>
  <si>
    <t>L000009477</t>
  </si>
  <si>
    <t>L000009515</t>
  </si>
  <si>
    <t>L000009542</t>
  </si>
  <si>
    <t>L000009545</t>
  </si>
  <si>
    <t>L000009555</t>
  </si>
  <si>
    <t>L000009563</t>
  </si>
  <si>
    <t>L000009593</t>
  </si>
  <si>
    <t>L000009601</t>
  </si>
  <si>
    <t>L000009604</t>
  </si>
  <si>
    <t>L000009615</t>
  </si>
  <si>
    <t>L000009730</t>
  </si>
  <si>
    <t>L000009748</t>
  </si>
  <si>
    <t>L000009759</t>
  </si>
  <si>
    <t>L000009784</t>
  </si>
  <si>
    <t>L000009796</t>
  </si>
  <si>
    <t>L000009831</t>
  </si>
  <si>
    <t>L000009853</t>
  </si>
  <si>
    <t>L000009855</t>
  </si>
  <si>
    <t>L000009894</t>
  </si>
  <si>
    <t>L000009903</t>
  </si>
  <si>
    <t>L000009940</t>
  </si>
  <si>
    <t>L000010010</t>
  </si>
  <si>
    <t>L000010092</t>
  </si>
  <si>
    <t>L000010100</t>
  </si>
  <si>
    <t>L000010187</t>
  </si>
  <si>
    <t>L000010188</t>
  </si>
  <si>
    <t>L000010213</t>
  </si>
  <si>
    <t>L000010235</t>
  </si>
  <si>
    <t>L000010277</t>
  </si>
  <si>
    <t>L000010280</t>
  </si>
  <si>
    <t>L000010298</t>
  </si>
  <si>
    <t>L000010324</t>
  </si>
  <si>
    <t>L000010334</t>
  </si>
  <si>
    <t>L000010340</t>
  </si>
  <si>
    <t>L000010344</t>
  </si>
  <si>
    <t>L000010345</t>
  </si>
  <si>
    <t>L000010354</t>
  </si>
  <si>
    <t>L000010358</t>
  </si>
  <si>
    <t>L000010362</t>
  </si>
  <si>
    <t>L000010363</t>
  </si>
  <si>
    <t>L000010379</t>
  </si>
  <si>
    <t>L000010392</t>
  </si>
  <si>
    <t>L000010393</t>
  </si>
  <si>
    <t>L000010399</t>
  </si>
  <si>
    <t>L000010403</t>
  </si>
  <si>
    <t>L000010413</t>
  </si>
  <si>
    <t>L000010426</t>
  </si>
  <si>
    <t>L000010435</t>
  </si>
  <si>
    <t>L000010442</t>
  </si>
  <si>
    <t>L000010448</t>
  </si>
  <si>
    <t>L000010450</t>
  </si>
  <si>
    <t>L000010452</t>
  </si>
  <si>
    <t>L000010476</t>
  </si>
  <si>
    <t>L000010478</t>
  </si>
  <si>
    <t>L000010490</t>
  </si>
  <si>
    <t>L000010494</t>
  </si>
  <si>
    <t>L000010508</t>
  </si>
  <si>
    <t>L000010514</t>
  </si>
  <si>
    <t>L000010515</t>
  </si>
  <si>
    <t>L000010518</t>
  </si>
  <si>
    <t>L000010523</t>
  </si>
  <si>
    <t>L000010538</t>
  </si>
  <si>
    <t>L000010553</t>
  </si>
  <si>
    <t>L000010753</t>
  </si>
  <si>
    <t>L000010764</t>
  </si>
  <si>
    <t>L000010766</t>
  </si>
  <si>
    <t>L000010769</t>
  </si>
  <si>
    <t>L000010781</t>
  </si>
  <si>
    <t>L000010812</t>
  </si>
  <si>
    <t>L000010970</t>
  </si>
  <si>
    <t>L000010976</t>
  </si>
  <si>
    <t>L000010978</t>
  </si>
  <si>
    <t>L000010986</t>
  </si>
  <si>
    <t>L000010988</t>
  </si>
  <si>
    <t>L000011002</t>
  </si>
  <si>
    <t>L000011007</t>
  </si>
  <si>
    <t>L000011016</t>
  </si>
  <si>
    <t>L000011102</t>
  </si>
  <si>
    <t>L000011130</t>
  </si>
  <si>
    <t>L000011232</t>
  </si>
  <si>
    <t>L000011240</t>
  </si>
  <si>
    <t>L000011251</t>
  </si>
  <si>
    <t>L000011333</t>
  </si>
  <si>
    <t>L000011419</t>
  </si>
  <si>
    <t>L000011455</t>
  </si>
  <si>
    <t>L000011466</t>
  </si>
  <si>
    <t>L000011468</t>
  </si>
  <si>
    <t>L000011519</t>
  </si>
  <si>
    <t>L000011531</t>
  </si>
  <si>
    <t>L000011539</t>
  </si>
  <si>
    <t>L000011547</t>
  </si>
  <si>
    <t>L000011661</t>
  </si>
  <si>
    <t>L000011662</t>
  </si>
  <si>
    <t>L000011667</t>
  </si>
  <si>
    <t>L000011713</t>
  </si>
  <si>
    <t>L000011730</t>
  </si>
  <si>
    <t>L000011757</t>
  </si>
  <si>
    <t>L000011772</t>
  </si>
  <si>
    <t>L000011792</t>
  </si>
  <si>
    <t>L000011824</t>
  </si>
  <si>
    <t>L000011855</t>
  </si>
  <si>
    <t>L000011861</t>
  </si>
  <si>
    <t>L000011870</t>
  </si>
  <si>
    <t>L000011871</t>
  </si>
  <si>
    <t>L000012014</t>
  </si>
  <si>
    <t>L000012020</t>
  </si>
  <si>
    <t>L000012021</t>
  </si>
  <si>
    <t>L000012023</t>
  </si>
  <si>
    <t>L000012054</t>
  </si>
  <si>
    <t>L000012069</t>
  </si>
  <si>
    <t>L000012073</t>
  </si>
  <si>
    <t>L000012133</t>
  </si>
  <si>
    <t>L000012134</t>
  </si>
  <si>
    <t>L000012136</t>
  </si>
  <si>
    <t>L000012145</t>
  </si>
  <si>
    <t>L000012166</t>
  </si>
  <si>
    <t>L000012262</t>
  </si>
  <si>
    <t>L000012277</t>
  </si>
  <si>
    <t>L000012315</t>
  </si>
  <si>
    <t>L000012322</t>
  </si>
  <si>
    <t>L000012328</t>
  </si>
  <si>
    <t>L000012329</t>
  </si>
  <si>
    <t>L000012330</t>
  </si>
  <si>
    <t>L000012331</t>
  </si>
  <si>
    <t>L000012343</t>
  </si>
  <si>
    <t>L000012405</t>
  </si>
  <si>
    <t>L000012453</t>
  </si>
  <si>
    <t>L000012454</t>
  </si>
  <si>
    <t>L000012460</t>
  </si>
  <si>
    <t>L000012498</t>
  </si>
  <si>
    <t>L000012565</t>
  </si>
  <si>
    <t>L000012568</t>
  </si>
  <si>
    <t>L000012570</t>
  </si>
  <si>
    <t>L000012731</t>
  </si>
  <si>
    <t>L000012759</t>
  </si>
  <si>
    <t>L000012761</t>
  </si>
  <si>
    <t>L000012814</t>
  </si>
  <si>
    <t>L000012834</t>
  </si>
  <si>
    <t>L000012924</t>
  </si>
  <si>
    <t>L000012925</t>
  </si>
  <si>
    <t>L000012926</t>
  </si>
  <si>
    <t>L000012927</t>
  </si>
  <si>
    <t>L000012928</t>
  </si>
  <si>
    <t>L000012929</t>
  </si>
  <si>
    <t>L000012930</t>
  </si>
  <si>
    <t>L000013042</t>
  </si>
  <si>
    <t>L000013047</t>
  </si>
  <si>
    <t>L000013129</t>
  </si>
  <si>
    <t>L000013130</t>
  </si>
  <si>
    <t>L000013166</t>
  </si>
  <si>
    <t>L000013218</t>
  </si>
  <si>
    <t>L000013260</t>
  </si>
  <si>
    <t>L000013395</t>
  </si>
  <si>
    <t>L000013464</t>
  </si>
  <si>
    <t>L000013468</t>
  </si>
  <si>
    <t>L000013469</t>
  </si>
  <si>
    <t>P000000091</t>
  </si>
  <si>
    <t>P000000111</t>
  </si>
  <si>
    <t>P000000121</t>
  </si>
  <si>
    <t>P000000131</t>
  </si>
  <si>
    <t>P000000141</t>
  </si>
  <si>
    <t>P000000163</t>
  </si>
  <si>
    <t>P000000173</t>
  </si>
  <si>
    <t>P000000201</t>
  </si>
  <si>
    <t>P000000233</t>
  </si>
  <si>
    <t>P000000263</t>
  </si>
  <si>
    <t>P000000273</t>
  </si>
  <si>
    <t>P000000283</t>
  </si>
  <si>
    <t>P000000314</t>
  </si>
  <si>
    <t>P000000326</t>
  </si>
  <si>
    <t>P000000328</t>
  </si>
  <si>
    <t>P000000330</t>
  </si>
  <si>
    <t>P000000342</t>
  </si>
  <si>
    <t>P000000468</t>
  </si>
  <si>
    <t>P000000469</t>
  </si>
  <si>
    <t>P000000470</t>
  </si>
  <si>
    <t>P000000472</t>
  </si>
  <si>
    <t>P000000497</t>
  </si>
  <si>
    <t>P000000567</t>
  </si>
  <si>
    <t>P000000665</t>
  </si>
  <si>
    <t>P000000712</t>
  </si>
  <si>
    <t>P000000755</t>
  </si>
  <si>
    <t>P000000777</t>
  </si>
  <si>
    <t>P000000779</t>
  </si>
  <si>
    <t>P000000784</t>
  </si>
  <si>
    <t>P000000792</t>
  </si>
  <si>
    <t>P000000803</t>
  </si>
  <si>
    <t>P000000811</t>
  </si>
  <si>
    <t>P000000819</t>
  </si>
  <si>
    <t>P000000834</t>
  </si>
  <si>
    <t>P000000837</t>
  </si>
  <si>
    <t>P000000848</t>
  </si>
  <si>
    <t>P000000856</t>
  </si>
  <si>
    <t>P000000863</t>
  </si>
  <si>
    <t>P000000903</t>
  </si>
  <si>
    <t>P000000904</t>
  </si>
  <si>
    <t>P000000907</t>
  </si>
  <si>
    <t>P000000936</t>
  </si>
  <si>
    <t>P000000945</t>
  </si>
  <si>
    <t>P000000976</t>
  </si>
  <si>
    <t>P000000987</t>
  </si>
  <si>
    <t>PL_E601011</t>
  </si>
  <si>
    <t>PL_E601012</t>
  </si>
  <si>
    <t>PL_E601013</t>
  </si>
  <si>
    <t>RDC0000220</t>
  </si>
  <si>
    <t>G000000088</t>
  </si>
  <si>
    <t>G000000199</t>
  </si>
  <si>
    <t>G000000292</t>
  </si>
  <si>
    <t>G000000617</t>
  </si>
  <si>
    <t>G000000700</t>
  </si>
  <si>
    <t>G000000727</t>
  </si>
  <si>
    <t>G000000789</t>
  </si>
  <si>
    <t>G000000790</t>
  </si>
  <si>
    <t>G000000791</t>
  </si>
  <si>
    <t>G000000792</t>
  </si>
  <si>
    <t>G000000793</t>
  </si>
  <si>
    <t>G000000798</t>
  </si>
  <si>
    <t>G000000800</t>
  </si>
  <si>
    <t>G000000802</t>
  </si>
  <si>
    <t>G000000803</t>
  </si>
  <si>
    <t>G000000804</t>
  </si>
  <si>
    <t>G000000854</t>
  </si>
  <si>
    <t>G000000964</t>
  </si>
  <si>
    <t>G000001002</t>
  </si>
  <si>
    <t>G000001029</t>
  </si>
  <si>
    <t>G000001042</t>
  </si>
  <si>
    <t>H000000001</t>
  </si>
  <si>
    <t>H000000159</t>
  </si>
  <si>
    <t>H000000412</t>
  </si>
  <si>
    <t>H000000553</t>
  </si>
  <si>
    <t>H000000589</t>
  </si>
  <si>
    <t>H000000701</t>
  </si>
  <si>
    <t>H000000829</t>
  </si>
  <si>
    <t>H000000833</t>
  </si>
  <si>
    <t>H000000841</t>
  </si>
  <si>
    <t>H000000866</t>
  </si>
  <si>
    <t>H000000889</t>
  </si>
  <si>
    <t>H000000945</t>
  </si>
  <si>
    <t>H000000949</t>
  </si>
  <si>
    <t>H000000971</t>
  </si>
  <si>
    <t>H000001144</t>
  </si>
  <si>
    <t>H000001207</t>
  </si>
  <si>
    <t>H000001212</t>
  </si>
  <si>
    <t>H000001307</t>
  </si>
  <si>
    <t>H000001384</t>
  </si>
  <si>
    <t>H000001422</t>
  </si>
  <si>
    <t>H000001424</t>
  </si>
  <si>
    <t>H000001441</t>
  </si>
  <si>
    <t>H000001554</t>
  </si>
  <si>
    <t>H000001722</t>
  </si>
  <si>
    <t>H000001723</t>
  </si>
  <si>
    <t>H000001770</t>
  </si>
  <si>
    <t>H000001900</t>
  </si>
  <si>
    <t>H000002056</t>
  </si>
  <si>
    <t>H000002057</t>
  </si>
  <si>
    <t>H000002181</t>
  </si>
  <si>
    <t>H000002216</t>
  </si>
  <si>
    <t>H000002251</t>
  </si>
  <si>
    <t>H000002325</t>
  </si>
  <si>
    <t>H000002360</t>
  </si>
  <si>
    <t>H000002395</t>
  </si>
  <si>
    <t>H000002430</t>
  </si>
  <si>
    <t>H000002456</t>
  </si>
  <si>
    <t>H000002467</t>
  </si>
  <si>
    <t>H000002491</t>
  </si>
  <si>
    <t>H000002512</t>
  </si>
  <si>
    <t>H000002513</t>
  </si>
  <si>
    <t>H000002514</t>
  </si>
  <si>
    <t>H000002637</t>
  </si>
  <si>
    <t>H000002657</t>
  </si>
  <si>
    <t>H000002676</t>
  </si>
  <si>
    <t>H000002773</t>
  </si>
  <si>
    <t>H000002790</t>
  </si>
  <si>
    <t>H000002791</t>
  </si>
  <si>
    <t>H000002796</t>
  </si>
  <si>
    <t>H000002866</t>
  </si>
  <si>
    <t>H000002948</t>
  </si>
  <si>
    <t>H000003546</t>
  </si>
  <si>
    <t>H000003550</t>
  </si>
  <si>
    <t>H000003552</t>
  </si>
  <si>
    <t>H000003665</t>
  </si>
  <si>
    <t>H000003680</t>
  </si>
  <si>
    <t>H000003703</t>
  </si>
  <si>
    <t>H000003724</t>
  </si>
  <si>
    <t>H000003853</t>
  </si>
  <si>
    <t>H000003859</t>
  </si>
  <si>
    <t>H000003937</t>
  </si>
  <si>
    <t>H000004042</t>
  </si>
  <si>
    <t>H000004117</t>
  </si>
  <si>
    <t>H000004211</t>
  </si>
  <si>
    <t>H000004311</t>
  </si>
  <si>
    <t>IT06042280</t>
  </si>
  <si>
    <t>IT06140000</t>
  </si>
  <si>
    <t>L000005052</t>
  </si>
  <si>
    <t>L000005066</t>
  </si>
  <si>
    <t>L000005091</t>
  </si>
  <si>
    <t>L000005108</t>
  </si>
  <si>
    <t>L000005118</t>
  </si>
  <si>
    <t>L000005119</t>
  </si>
  <si>
    <t>L000005148</t>
  </si>
  <si>
    <t>L000005163</t>
  </si>
  <si>
    <t>L000005164</t>
  </si>
  <si>
    <t>L000005165</t>
  </si>
  <si>
    <t>L000005166</t>
  </si>
  <si>
    <t>L000005167</t>
  </si>
  <si>
    <t>L000005168</t>
  </si>
  <si>
    <t>L000005169</t>
  </si>
  <si>
    <t>L000005174</t>
  </si>
  <si>
    <t>L000005175</t>
  </si>
  <si>
    <t>L000005176</t>
  </si>
  <si>
    <t>L000005184</t>
  </si>
  <si>
    <t>L000005186</t>
  </si>
  <si>
    <t>L000005187</t>
  </si>
  <si>
    <t>L000005197</t>
  </si>
  <si>
    <t>L000005198</t>
  </si>
  <si>
    <t>L000005200</t>
  </si>
  <si>
    <t>L000005290</t>
  </si>
  <si>
    <t>L000005451</t>
  </si>
  <si>
    <t>L000005478</t>
  </si>
  <si>
    <t>L000005479</t>
  </si>
  <si>
    <t>L000005481</t>
  </si>
  <si>
    <t>L000005491</t>
  </si>
  <si>
    <t>L000005492</t>
  </si>
  <si>
    <t>L000005627</t>
  </si>
  <si>
    <t>L000005698</t>
  </si>
  <si>
    <t>L000005743</t>
  </si>
  <si>
    <t>L000005752</t>
  </si>
  <si>
    <t>L000005756</t>
  </si>
  <si>
    <t>L000005757</t>
  </si>
  <si>
    <t>L000005758</t>
  </si>
  <si>
    <t>L000005800</t>
  </si>
  <si>
    <t>L000005826</t>
  </si>
  <si>
    <t>L000005844</t>
  </si>
  <si>
    <t>L000005863</t>
  </si>
  <si>
    <t>L000005869</t>
  </si>
  <si>
    <t>L000005957</t>
  </si>
  <si>
    <t>L000006002</t>
  </si>
  <si>
    <t>L000006005</t>
  </si>
  <si>
    <t>L000006013</t>
  </si>
  <si>
    <t>L000006051</t>
  </si>
  <si>
    <t>L000006053</t>
  </si>
  <si>
    <t>L000006071</t>
  </si>
  <si>
    <t>L000006097</t>
  </si>
  <si>
    <t>L000006127</t>
  </si>
  <si>
    <t>L000006175</t>
  </si>
  <si>
    <t>L000006177</t>
  </si>
  <si>
    <t>L000006185</t>
  </si>
  <si>
    <t>L000006186</t>
  </si>
  <si>
    <t>L000006206</t>
  </si>
  <si>
    <t>L000006211</t>
  </si>
  <si>
    <t>L000006306</t>
  </si>
  <si>
    <t>L000006324</t>
  </si>
  <si>
    <t>L000006387</t>
  </si>
  <si>
    <t>L000006391</t>
  </si>
  <si>
    <t>L000006432</t>
  </si>
  <si>
    <t>L000006453</t>
  </si>
  <si>
    <t>L000006500</t>
  </si>
  <si>
    <t>L000006717</t>
  </si>
  <si>
    <t>L000006824</t>
  </si>
  <si>
    <t>L000006830</t>
  </si>
  <si>
    <t>L000006860</t>
  </si>
  <si>
    <t>L000007042</t>
  </si>
  <si>
    <t>L000007070</t>
  </si>
  <si>
    <t>L000007090</t>
  </si>
  <si>
    <t>L000007108</t>
  </si>
  <si>
    <t>L000007124</t>
  </si>
  <si>
    <t>L000007131</t>
  </si>
  <si>
    <t>L000007192</t>
  </si>
  <si>
    <t>L000007208</t>
  </si>
  <si>
    <t>L000007249</t>
  </si>
  <si>
    <t>L000007263</t>
  </si>
  <si>
    <t>L000007358</t>
  </si>
  <si>
    <t>L000007359</t>
  </si>
  <si>
    <t>L000007362</t>
  </si>
  <si>
    <t>L000007372</t>
  </si>
  <si>
    <t>L000007462</t>
  </si>
  <si>
    <t>L000007480</t>
  </si>
  <si>
    <t>L000007549</t>
  </si>
  <si>
    <t>L000007734</t>
  </si>
  <si>
    <t>L000007817</t>
  </si>
  <si>
    <t>L000007958</t>
  </si>
  <si>
    <t>L000008021</t>
  </si>
  <si>
    <t>L000008039</t>
  </si>
  <si>
    <t>L000008040</t>
  </si>
  <si>
    <t>L000008048</t>
  </si>
  <si>
    <t>L000008079</t>
  </si>
  <si>
    <t>L000008082</t>
  </si>
  <si>
    <t>L000008095</t>
  </si>
  <si>
    <t>L000008101</t>
  </si>
  <si>
    <t>L000008105</t>
  </si>
  <si>
    <t>L000008147</t>
  </si>
  <si>
    <t>L000008149</t>
  </si>
  <si>
    <t>L000008153</t>
  </si>
  <si>
    <t>L000008179</t>
  </si>
  <si>
    <t>L000008193</t>
  </si>
  <si>
    <t>L000008199</t>
  </si>
  <si>
    <t>L000008208</t>
  </si>
  <si>
    <t>L000008211</t>
  </si>
  <si>
    <t>L000008222</t>
  </si>
  <si>
    <t>L000008238</t>
  </si>
  <si>
    <t>L000008239</t>
  </si>
  <si>
    <t>L000008242</t>
  </si>
  <si>
    <t>L000008243</t>
  </si>
  <si>
    <t>L000008250</t>
  </si>
  <si>
    <t>L000008262</t>
  </si>
  <si>
    <t>L000008266</t>
  </si>
  <si>
    <t>L000008277</t>
  </si>
  <si>
    <t>L000008358</t>
  </si>
  <si>
    <t>L000008364</t>
  </si>
  <si>
    <t>L000008445</t>
  </si>
  <si>
    <t>L000008521</t>
  </si>
  <si>
    <t>L000008532</t>
  </si>
  <si>
    <t>L000008564</t>
  </si>
  <si>
    <t>L000008786</t>
  </si>
  <si>
    <t>L000008895</t>
  </si>
  <si>
    <t>L000008983</t>
  </si>
  <si>
    <t>L000009002</t>
  </si>
  <si>
    <t>L000009086</t>
  </si>
  <si>
    <t>L000009238</t>
  </si>
  <si>
    <t>L000009357</t>
  </si>
  <si>
    <t>L000009445</t>
  </si>
  <si>
    <t>L000009456</t>
  </si>
  <si>
    <t>L000009461</t>
  </si>
  <si>
    <t>L000009486</t>
  </si>
  <si>
    <t>L000009561</t>
  </si>
  <si>
    <t>L000009567</t>
  </si>
  <si>
    <t>L000009571</t>
  </si>
  <si>
    <t>L000009585</t>
  </si>
  <si>
    <t>L000009594</t>
  </si>
  <si>
    <t>L000009610</t>
  </si>
  <si>
    <t>L000009636</t>
  </si>
  <si>
    <t>L000009639</t>
  </si>
  <si>
    <t>L000009644</t>
  </si>
  <si>
    <t>L000009653</t>
  </si>
  <si>
    <t>L000009654</t>
  </si>
  <si>
    <t>L000009694</t>
  </si>
  <si>
    <t>L000009701</t>
  </si>
  <si>
    <t>L000009705</t>
  </si>
  <si>
    <t>L000009706</t>
  </si>
  <si>
    <t>L000009713</t>
  </si>
  <si>
    <t>L000009728</t>
  </si>
  <si>
    <t>L000009734</t>
  </si>
  <si>
    <t>L000009735</t>
  </si>
  <si>
    <t>L000009745</t>
  </si>
  <si>
    <t>L000009764</t>
  </si>
  <si>
    <t>L000009827</t>
  </si>
  <si>
    <t>L000009837</t>
  </si>
  <si>
    <t>L000009841</t>
  </si>
  <si>
    <t>L000009865</t>
  </si>
  <si>
    <t>L000009867</t>
  </si>
  <si>
    <t>L000009869</t>
  </si>
  <si>
    <t>L000009875</t>
  </si>
  <si>
    <t>L000009881</t>
  </si>
  <si>
    <t>L000009887</t>
  </si>
  <si>
    <t>L000009905</t>
  </si>
  <si>
    <t>L000009931</t>
  </si>
  <si>
    <t>L000010017</t>
  </si>
  <si>
    <t>L000010069</t>
  </si>
  <si>
    <t>L000010086</t>
  </si>
  <si>
    <t>L000010122</t>
  </si>
  <si>
    <t>L000010182</t>
  </si>
  <si>
    <t>L000010256</t>
  </si>
  <si>
    <t>L000010260</t>
  </si>
  <si>
    <t>L000010266</t>
  </si>
  <si>
    <t>L000010290</t>
  </si>
  <si>
    <t>L000010297</t>
  </si>
  <si>
    <t>L000010307</t>
  </si>
  <si>
    <t>L000010316</t>
  </si>
  <si>
    <t>L000010328</t>
  </si>
  <si>
    <t>L000010338</t>
  </si>
  <si>
    <t>L000010339</t>
  </si>
  <si>
    <t>L000010343</t>
  </si>
  <si>
    <t>L000010374</t>
  </si>
  <si>
    <t>L000010386</t>
  </si>
  <si>
    <t>L000010387</t>
  </si>
  <si>
    <t>L000010391</t>
  </si>
  <si>
    <t>L000010401</t>
  </si>
  <si>
    <t>L000010419</t>
  </si>
  <si>
    <t>L000010469</t>
  </si>
  <si>
    <t>L000010477</t>
  </si>
  <si>
    <t>L000010483</t>
  </si>
  <si>
    <t>L000010489</t>
  </si>
  <si>
    <t>L000010496</t>
  </si>
  <si>
    <t>L000010516</t>
  </si>
  <si>
    <t>L000010519</t>
  </si>
  <si>
    <t>L000010535</t>
  </si>
  <si>
    <t>L000010551</t>
  </si>
  <si>
    <t>L000010552</t>
  </si>
  <si>
    <t>L000010625</t>
  </si>
  <si>
    <t>L000010627</t>
  </si>
  <si>
    <t>L000010631</t>
  </si>
  <si>
    <t>L000010632</t>
  </si>
  <si>
    <t>L000010637</t>
  </si>
  <si>
    <t>L000010643</t>
  </si>
  <si>
    <t>L000010647</t>
  </si>
  <si>
    <t>L000010651</t>
  </si>
  <si>
    <t>L000010655</t>
  </si>
  <si>
    <t>L000010659</t>
  </si>
  <si>
    <t>L000010666</t>
  </si>
  <si>
    <t>L000010670</t>
  </si>
  <si>
    <t>L000010673</t>
  </si>
  <si>
    <t>L000010674</t>
  </si>
  <si>
    <t>L000010678</t>
  </si>
  <si>
    <t>L000010683</t>
  </si>
  <si>
    <t>L000010687</t>
  </si>
  <si>
    <t>L000010692</t>
  </si>
  <si>
    <t>L000010696</t>
  </si>
  <si>
    <t>L000010700</t>
  </si>
  <si>
    <t>L000010702</t>
  </si>
  <si>
    <t>L000010706</t>
  </si>
  <si>
    <t>L000010710</t>
  </si>
  <si>
    <t>L000010715</t>
  </si>
  <si>
    <t>L000010717</t>
  </si>
  <si>
    <t>L000010720</t>
  </si>
  <si>
    <t>L000010724</t>
  </si>
  <si>
    <t>L000010728</t>
  </si>
  <si>
    <t>L000010732</t>
  </si>
  <si>
    <t>L000010736</t>
  </si>
  <si>
    <t>L000010740</t>
  </si>
  <si>
    <t>L000010745</t>
  </si>
  <si>
    <t>L000010748</t>
  </si>
  <si>
    <t>L000010751</t>
  </si>
  <si>
    <t>L000010756</t>
  </si>
  <si>
    <t>L000010767</t>
  </si>
  <si>
    <t>L000010770</t>
  </si>
  <si>
    <t>L000010775</t>
  </si>
  <si>
    <t>L000010783</t>
  </si>
  <si>
    <t>L000010799</t>
  </si>
  <si>
    <t>L000011118</t>
  </si>
  <si>
    <t>L000011119</t>
  </si>
  <si>
    <t>L000011132</t>
  </si>
  <si>
    <t>L000011199</t>
  </si>
  <si>
    <t>L000011219</t>
  </si>
  <si>
    <t>L000011224</t>
  </si>
  <si>
    <t>L000011226</t>
  </si>
  <si>
    <t>L000011228</t>
  </si>
  <si>
    <t>L000011256</t>
  </si>
  <si>
    <t>L000011336</t>
  </si>
  <si>
    <t>L000011351</t>
  </si>
  <si>
    <t>L000011436</t>
  </si>
  <si>
    <t>L000011479</t>
  </si>
  <si>
    <t>L000011551</t>
  </si>
  <si>
    <t>L000011553</t>
  </si>
  <si>
    <t>L000011580</t>
  </si>
  <si>
    <t>L000011585</t>
  </si>
  <si>
    <t>L000011589</t>
  </si>
  <si>
    <t>L000011633</t>
  </si>
  <si>
    <t>L000011734</t>
  </si>
  <si>
    <t>L000011749</t>
  </si>
  <si>
    <t>L000011754</t>
  </si>
  <si>
    <t>L000011770</t>
  </si>
  <si>
    <t>L000011852</t>
  </si>
  <si>
    <t>L000011854</t>
  </si>
  <si>
    <t>L000011909</t>
  </si>
  <si>
    <t>L000011951</t>
  </si>
  <si>
    <t>L000011965</t>
  </si>
  <si>
    <t>L000012013</t>
  </si>
  <si>
    <t>L000012029</t>
  </si>
  <si>
    <t>L000012036</t>
  </si>
  <si>
    <t>L000012055</t>
  </si>
  <si>
    <t>L000012065</t>
  </si>
  <si>
    <t>L000012067</t>
  </si>
  <si>
    <t>L000012075</t>
  </si>
  <si>
    <t>L000012077</t>
  </si>
  <si>
    <t>L000012169</t>
  </si>
  <si>
    <t>L000012177</t>
  </si>
  <si>
    <t>L000012305</t>
  </si>
  <si>
    <t>L000012357</t>
  </si>
  <si>
    <t>L000012360</t>
  </si>
  <si>
    <t>L000012364</t>
  </si>
  <si>
    <t>L000012382</t>
  </si>
  <si>
    <t>L000012449</t>
  </si>
  <si>
    <t>L000012455</t>
  </si>
  <si>
    <t>L000012457</t>
  </si>
  <si>
    <t>L000012458</t>
  </si>
  <si>
    <t>L000012502</t>
  </si>
  <si>
    <t>L000012508</t>
  </si>
  <si>
    <t>L000012509</t>
  </si>
  <si>
    <t>L000012544</t>
  </si>
  <si>
    <t>L000012580</t>
  </si>
  <si>
    <t>L000012593</t>
  </si>
  <si>
    <t>L000012594</t>
  </si>
  <si>
    <t>L000012633</t>
  </si>
  <si>
    <t>L000012637</t>
  </si>
  <si>
    <t>L000012705</t>
  </si>
  <si>
    <t>L000012709</t>
  </si>
  <si>
    <t>L000012713</t>
  </si>
  <si>
    <t>L000012745</t>
  </si>
  <si>
    <t>L000012791</t>
  </si>
  <si>
    <t>L000012880</t>
  </si>
  <si>
    <t>L000012895</t>
  </si>
  <si>
    <t>L000012961</t>
  </si>
  <si>
    <t>L000012963</t>
  </si>
  <si>
    <t>L000013055</t>
  </si>
  <si>
    <t>L000013062</t>
  </si>
  <si>
    <t>L000013104</t>
  </si>
  <si>
    <t>L000013105</t>
  </si>
  <si>
    <t>L000013111</t>
  </si>
  <si>
    <t>L000013262</t>
  </si>
  <si>
    <t>L000013375</t>
  </si>
  <si>
    <t>L000013384</t>
  </si>
  <si>
    <t>P000000049</t>
  </si>
  <si>
    <t>P000000195</t>
  </si>
  <si>
    <t>P000000304</t>
  </si>
  <si>
    <t>P000000310</t>
  </si>
  <si>
    <t>P000000318</t>
  </si>
  <si>
    <t>P000000338</t>
  </si>
  <si>
    <t>P000000457</t>
  </si>
  <si>
    <t>P000000495</t>
  </si>
  <si>
    <t>P000000603</t>
  </si>
  <si>
    <t>P000000608</t>
  </si>
  <si>
    <t>P000000667</t>
  </si>
  <si>
    <t>P000000748</t>
  </si>
  <si>
    <t>P000000757</t>
  </si>
  <si>
    <t>P000000800</t>
  </si>
  <si>
    <t>P000000815</t>
  </si>
  <si>
    <t>P000000824</t>
  </si>
  <si>
    <t>P000000836</t>
  </si>
  <si>
    <t>P000000883</t>
  </si>
  <si>
    <t>P000000889</t>
  </si>
  <si>
    <t>P000000897</t>
  </si>
  <si>
    <t>P000000912</t>
  </si>
  <si>
    <t>P000000921</t>
  </si>
  <si>
    <t>P000000930</t>
  </si>
  <si>
    <t>P000000941</t>
  </si>
  <si>
    <t>P000000950</t>
  </si>
  <si>
    <t>P000000953</t>
  </si>
  <si>
    <t>P000000970</t>
  </si>
  <si>
    <t>P000000975</t>
  </si>
  <si>
    <t>P000000984</t>
  </si>
  <si>
    <t>P000000989</t>
  </si>
  <si>
    <t>P000000997</t>
  </si>
  <si>
    <t>PL_B2_SLPC</t>
  </si>
  <si>
    <t>PL_E1_CNAC</t>
  </si>
  <si>
    <t>PL_E1_KRAC</t>
  </si>
  <si>
    <t>PL_E1_KRAD</t>
  </si>
  <si>
    <t>PL_E1_USAN</t>
  </si>
  <si>
    <t>PL_E1_USAW</t>
  </si>
  <si>
    <t>PL_E2_ES50</t>
  </si>
  <si>
    <t>PL_E4_IL02</t>
  </si>
  <si>
    <t>PL_E4_IL03</t>
  </si>
  <si>
    <t>PL_E4_IN03</t>
  </si>
  <si>
    <t>PL_E5_DE91</t>
  </si>
  <si>
    <t>G000000115</t>
  </si>
  <si>
    <t>G000000139</t>
  </si>
  <si>
    <t>G000000158</t>
  </si>
  <si>
    <t>G000000184</t>
  </si>
  <si>
    <t>G000000194</t>
  </si>
  <si>
    <t>G000000273</t>
  </si>
  <si>
    <t>G000000324</t>
  </si>
  <si>
    <t>G000000528</t>
  </si>
  <si>
    <t>G000000614</t>
  </si>
  <si>
    <t>G000000618</t>
  </si>
  <si>
    <t>G000000638</t>
  </si>
  <si>
    <t>G000000697</t>
  </si>
  <si>
    <t>G000000719</t>
  </si>
  <si>
    <t>G000000757</t>
  </si>
  <si>
    <t>G000000763</t>
  </si>
  <si>
    <t>G000000771</t>
  </si>
  <si>
    <t>G000000831</t>
  </si>
  <si>
    <t>G000001078</t>
  </si>
  <si>
    <t>G000001097</t>
  </si>
  <si>
    <t>H000000454</t>
  </si>
  <si>
    <t>H000000462</t>
  </si>
  <si>
    <t>H000000471</t>
  </si>
  <si>
    <t>H000000535</t>
  </si>
  <si>
    <t>H000000580</t>
  </si>
  <si>
    <t>H000000598</t>
  </si>
  <si>
    <t>H000000635</t>
  </si>
  <si>
    <t>H000000652</t>
  </si>
  <si>
    <t>H000000687</t>
  </si>
  <si>
    <t>H000000713</t>
  </si>
  <si>
    <t>H000000816</t>
  </si>
  <si>
    <t>H000000871</t>
  </si>
  <si>
    <t>H000000944</t>
  </si>
  <si>
    <t>H000000975</t>
  </si>
  <si>
    <t>H000001132</t>
  </si>
  <si>
    <t>H000001199</t>
  </si>
  <si>
    <t>H000001204</t>
  </si>
  <si>
    <t>H000001211</t>
  </si>
  <si>
    <t>H000001305</t>
  </si>
  <si>
    <t>H000001325</t>
  </si>
  <si>
    <t>H000001345</t>
  </si>
  <si>
    <t>H000001361</t>
  </si>
  <si>
    <t>H000001407</t>
  </si>
  <si>
    <t>H000001423</t>
  </si>
  <si>
    <t>H000001474</t>
  </si>
  <si>
    <t>H000001506</t>
  </si>
  <si>
    <t>H000001542</t>
  </si>
  <si>
    <t>H000001602</t>
  </si>
  <si>
    <t>H000001663</t>
  </si>
  <si>
    <t>H000001708</t>
  </si>
  <si>
    <t>H000001721</t>
  </si>
  <si>
    <t>H000001904</t>
  </si>
  <si>
    <t>H000001908</t>
  </si>
  <si>
    <t>H000001962</t>
  </si>
  <si>
    <t>H000002039</t>
  </si>
  <si>
    <t>H000002055</t>
  </si>
  <si>
    <t>H000002168</t>
  </si>
  <si>
    <t>H000002174</t>
  </si>
  <si>
    <t>H000002189</t>
  </si>
  <si>
    <t>H000002203</t>
  </si>
  <si>
    <t>H000002209</t>
  </si>
  <si>
    <t>H000002224</t>
  </si>
  <si>
    <t>H000002238</t>
  </si>
  <si>
    <t>H000002244</t>
  </si>
  <si>
    <t>H000002259</t>
  </si>
  <si>
    <t>H000002279</t>
  </si>
  <si>
    <t>H000002285</t>
  </si>
  <si>
    <t>H000002298</t>
  </si>
  <si>
    <t>H000002312</t>
  </si>
  <si>
    <t>H000002318</t>
  </si>
  <si>
    <t>H000002333</t>
  </si>
  <si>
    <t>H000002347</t>
  </si>
  <si>
    <t>H000002353</t>
  </si>
  <si>
    <t>H000002368</t>
  </si>
  <si>
    <t>H000002382</t>
  </si>
  <si>
    <t>H000002388</t>
  </si>
  <si>
    <t>H000002403</t>
  </si>
  <si>
    <t>H000002417</t>
  </si>
  <si>
    <t>H000002423</t>
  </si>
  <si>
    <t>H000002438</t>
  </si>
  <si>
    <t>H000002446</t>
  </si>
  <si>
    <t>H000002483</t>
  </si>
  <si>
    <t>H000002489</t>
  </si>
  <si>
    <t>H000002506</t>
  </si>
  <si>
    <t>H000002508</t>
  </si>
  <si>
    <t>H000002509</t>
  </si>
  <si>
    <t>H000002659</t>
  </si>
  <si>
    <t>H000002679</t>
  </si>
  <si>
    <t>H000002727</t>
  </si>
  <si>
    <t>H000002788</t>
  </si>
  <si>
    <t>H000002793</t>
  </si>
  <si>
    <t>H000002794</t>
  </si>
  <si>
    <t>H000002814</t>
  </si>
  <si>
    <t>H000002864</t>
  </si>
  <si>
    <t>H000002978</t>
  </si>
  <si>
    <t>H000002985</t>
  </si>
  <si>
    <t>H000002989</t>
  </si>
  <si>
    <t>H000002993</t>
  </si>
  <si>
    <t>H000002997</t>
  </si>
  <si>
    <t>H000003003</t>
  </si>
  <si>
    <t>H000003007</t>
  </si>
  <si>
    <t>H000003011</t>
  </si>
  <si>
    <t>H000003015</t>
  </si>
  <si>
    <t>H000003024</t>
  </si>
  <si>
    <t>H000003028</t>
  </si>
  <si>
    <t>H000003032</t>
  </si>
  <si>
    <t>H000003035</t>
  </si>
  <si>
    <t>H000003040</t>
  </si>
  <si>
    <t>H000003044</t>
  </si>
  <si>
    <t>H000003048</t>
  </si>
  <si>
    <t>H000003052</t>
  </si>
  <si>
    <t>H000003079</t>
  </si>
  <si>
    <t>H000003083</t>
  </si>
  <si>
    <t>H000003086</t>
  </si>
  <si>
    <t>H000003089</t>
  </si>
  <si>
    <t>H000003094</t>
  </si>
  <si>
    <t>H000003098</t>
  </si>
  <si>
    <t>H000003102</t>
  </si>
  <si>
    <t>H000003106</t>
  </si>
  <si>
    <t>H000003137</t>
  </si>
  <si>
    <t>H000003140</t>
  </si>
  <si>
    <t>H000003143</t>
  </si>
  <si>
    <t>H000003146</t>
  </si>
  <si>
    <t>H000003151</t>
  </si>
  <si>
    <t>H000003155</t>
  </si>
  <si>
    <t>H000003159</t>
  </si>
  <si>
    <t>H000003163</t>
  </si>
  <si>
    <t>H000003233</t>
  </si>
  <si>
    <t>H000003257</t>
  </si>
  <si>
    <t>H000003260</t>
  </si>
  <si>
    <t>H000003263</t>
  </si>
  <si>
    <t>H000003266</t>
  </si>
  <si>
    <t>H000003271</t>
  </si>
  <si>
    <t>H000003275</t>
  </si>
  <si>
    <t>H000003279</t>
  </si>
  <si>
    <t>H000003283</t>
  </si>
  <si>
    <t>H000003379</t>
  </si>
  <si>
    <t>H000003407</t>
  </si>
  <si>
    <t>H000003411</t>
  </si>
  <si>
    <t>H000003414</t>
  </si>
  <si>
    <t>H000003418</t>
  </si>
  <si>
    <t>H000003423</t>
  </si>
  <si>
    <t>H000003427</t>
  </si>
  <si>
    <t>H000003431</t>
  </si>
  <si>
    <t>H000003435</t>
  </si>
  <si>
    <t>H000003489</t>
  </si>
  <si>
    <t>H000003548</t>
  </si>
  <si>
    <t>H000003627</t>
  </si>
  <si>
    <t>H000003635</t>
  </si>
  <si>
    <t>H000003854</t>
  </si>
  <si>
    <t>H000003860</t>
  </si>
  <si>
    <t>H000003983</t>
  </si>
  <si>
    <t>H000003997</t>
  </si>
  <si>
    <t>H000004193</t>
  </si>
  <si>
    <t>H000004194</t>
  </si>
  <si>
    <t>H000004201</t>
  </si>
  <si>
    <t>H000004202</t>
  </si>
  <si>
    <t>H000004208</t>
  </si>
  <si>
    <t>H000004307</t>
  </si>
  <si>
    <t>H000004310</t>
  </si>
  <si>
    <t>IT06050300</t>
  </si>
  <si>
    <t>IT06070600</t>
  </si>
  <si>
    <t>L000005116</t>
  </si>
  <si>
    <t>L000005126</t>
  </si>
  <si>
    <t>L000005150</t>
  </si>
  <si>
    <t>L000005151</t>
  </si>
  <si>
    <t>L000005202</t>
  </si>
  <si>
    <t>L000005320</t>
  </si>
  <si>
    <t>L000005344</t>
  </si>
  <si>
    <t>L000005345</t>
  </si>
  <si>
    <t>L000005436</t>
  </si>
  <si>
    <t>L000005469</t>
  </si>
  <si>
    <t>L000005472</t>
  </si>
  <si>
    <t>L000005476</t>
  </si>
  <si>
    <t>L000005488</t>
  </si>
  <si>
    <t>L000005643</t>
  </si>
  <si>
    <t>L000005647</t>
  </si>
  <si>
    <t>L000005672</t>
  </si>
  <si>
    <t>L000005679</t>
  </si>
  <si>
    <t>L000005692</t>
  </si>
  <si>
    <t>L000005724</t>
  </si>
  <si>
    <t>L000005733</t>
  </si>
  <si>
    <t>L000005746</t>
  </si>
  <si>
    <t>L000005765</t>
  </si>
  <si>
    <t>L000005768</t>
  </si>
  <si>
    <t>L000005777</t>
  </si>
  <si>
    <t>L000005778</t>
  </si>
  <si>
    <t>L000005780</t>
  </si>
  <si>
    <t>L000005795</t>
  </si>
  <si>
    <t>L000005823</t>
  </si>
  <si>
    <t>L000005828</t>
  </si>
  <si>
    <t>L000005832</t>
  </si>
  <si>
    <t>L000005858</t>
  </si>
  <si>
    <t>L000005898</t>
  </si>
  <si>
    <t>L000005915</t>
  </si>
  <si>
    <t>L000005928</t>
  </si>
  <si>
    <t>L000005956</t>
  </si>
  <si>
    <t>L000005973</t>
  </si>
  <si>
    <t>L000006040</t>
  </si>
  <si>
    <t>L000006056</t>
  </si>
  <si>
    <t>L000006061</t>
  </si>
  <si>
    <t>L000006064</t>
  </si>
  <si>
    <t>L000006095</t>
  </si>
  <si>
    <t>L000006103</t>
  </si>
  <si>
    <t>L000006114</t>
  </si>
  <si>
    <t>L000006139</t>
  </si>
  <si>
    <t>L000006142</t>
  </si>
  <si>
    <t>L000006147</t>
  </si>
  <si>
    <t>L000006162</t>
  </si>
  <si>
    <t>L000006167</t>
  </si>
  <si>
    <t>L000006187</t>
  </si>
  <si>
    <t>L000006188</t>
  </si>
  <si>
    <t>L000006200</t>
  </si>
  <si>
    <t>L000006204</t>
  </si>
  <si>
    <t>L000006374</t>
  </si>
  <si>
    <t>L000006437</t>
  </si>
  <si>
    <t>L000006450</t>
  </si>
  <si>
    <t>L000006716</t>
  </si>
  <si>
    <t>L000006813</t>
  </si>
  <si>
    <t>L000006960</t>
  </si>
  <si>
    <t>L000006992</t>
  </si>
  <si>
    <t>L000006998</t>
  </si>
  <si>
    <t>L000007036</t>
  </si>
  <si>
    <t>L000007051</t>
  </si>
  <si>
    <t>L000007060</t>
  </si>
  <si>
    <t>L000007062</t>
  </si>
  <si>
    <t>L000007077</t>
  </si>
  <si>
    <t>L000007095</t>
  </si>
  <si>
    <t>L000007109</t>
  </si>
  <si>
    <t>L000007117</t>
  </si>
  <si>
    <t>L000007122</t>
  </si>
  <si>
    <t>L000007135</t>
  </si>
  <si>
    <t>L000007136</t>
  </si>
  <si>
    <t>L000007142</t>
  </si>
  <si>
    <t>L000007173</t>
  </si>
  <si>
    <t>L000007174</t>
  </si>
  <si>
    <t>L000007531</t>
  </si>
  <si>
    <t>L000007571</t>
  </si>
  <si>
    <t>L000007574</t>
  </si>
  <si>
    <t>L000007723</t>
  </si>
  <si>
    <t>L000007733</t>
  </si>
  <si>
    <t>L000007743</t>
  </si>
  <si>
    <t>L000007847</t>
  </si>
  <si>
    <t>L000007964</t>
  </si>
  <si>
    <t>L000007988</t>
  </si>
  <si>
    <t>L000008028</t>
  </si>
  <si>
    <t>L000008055</t>
  </si>
  <si>
    <t>L000008058</t>
  </si>
  <si>
    <t>L000008060</t>
  </si>
  <si>
    <t>L000008061</t>
  </si>
  <si>
    <t>L000008066</t>
  </si>
  <si>
    <t>L000008067</t>
  </si>
  <si>
    <t>L000008071</t>
  </si>
  <si>
    <t>L000008091</t>
  </si>
  <si>
    <t>L000008108</t>
  </si>
  <si>
    <t>L000008133</t>
  </si>
  <si>
    <t>L000008163</t>
  </si>
  <si>
    <t>L000008166</t>
  </si>
  <si>
    <t>L000008170</t>
  </si>
  <si>
    <t>L000008175</t>
  </si>
  <si>
    <t>L000008177</t>
  </si>
  <si>
    <t>L000008188</t>
  </si>
  <si>
    <t>L000008210</t>
  </si>
  <si>
    <t>L000008220</t>
  </si>
  <si>
    <t>L000008272</t>
  </si>
  <si>
    <t>L000008305</t>
  </si>
  <si>
    <t>L000008309</t>
  </si>
  <si>
    <t>L000008340</t>
  </si>
  <si>
    <t>L000008341</t>
  </si>
  <si>
    <t>L000008342</t>
  </si>
  <si>
    <t>L000008428</t>
  </si>
  <si>
    <t>L000008435</t>
  </si>
  <si>
    <t>L000008444</t>
  </si>
  <si>
    <t>L000008446</t>
  </si>
  <si>
    <t>L000008463</t>
  </si>
  <si>
    <t>L000008478</t>
  </si>
  <si>
    <t>L000008515</t>
  </si>
  <si>
    <t>L000008614</t>
  </si>
  <si>
    <t>L000008753</t>
  </si>
  <si>
    <t>L000008799</t>
  </si>
  <si>
    <t>L000008803</t>
  </si>
  <si>
    <t>L000008811</t>
  </si>
  <si>
    <t>L000008820</t>
  </si>
  <si>
    <t>L000009093</t>
  </si>
  <si>
    <t>L000009217</t>
  </si>
  <si>
    <t>L000009222</t>
  </si>
  <si>
    <t>L000009240</t>
  </si>
  <si>
    <t>L000009243</t>
  </si>
  <si>
    <t>L000009276</t>
  </si>
  <si>
    <t>L000009339</t>
  </si>
  <si>
    <t>L000009359</t>
  </si>
  <si>
    <t>L000009414</t>
  </si>
  <si>
    <t>L000009422</t>
  </si>
  <si>
    <t>L000009482</t>
  </si>
  <si>
    <t>L000009507</t>
  </si>
  <si>
    <t>L000009508</t>
  </si>
  <si>
    <t>L000009587</t>
  </si>
  <si>
    <t>L000009595</t>
  </si>
  <si>
    <t>L000009608</t>
  </si>
  <si>
    <t>L000009638</t>
  </si>
  <si>
    <t>L000009649</t>
  </si>
  <si>
    <t>L000009661</t>
  </si>
  <si>
    <t>L000009662</t>
  </si>
  <si>
    <t>L000009665</t>
  </si>
  <si>
    <t>L000009670</t>
  </si>
  <si>
    <t>L000009677</t>
  </si>
  <si>
    <t>L000009686</t>
  </si>
  <si>
    <t>L000009720</t>
  </si>
  <si>
    <t>L000009768</t>
  </si>
  <si>
    <t>L000009774</t>
  </si>
  <si>
    <t>L000009775</t>
  </si>
  <si>
    <t>L000009776</t>
  </si>
  <si>
    <t>L000009778</t>
  </si>
  <si>
    <t>L000009779</t>
  </si>
  <si>
    <t>L000009785</t>
  </si>
  <si>
    <t>L000009786</t>
  </si>
  <si>
    <t>L000009830</t>
  </si>
  <si>
    <t>L000009839</t>
  </si>
  <si>
    <t>L000009849</t>
  </si>
  <si>
    <t>L000009871</t>
  </si>
  <si>
    <t>L000009959</t>
  </si>
  <si>
    <t>L000009969</t>
  </si>
  <si>
    <t>L000009988</t>
  </si>
  <si>
    <t>L000010082</t>
  </si>
  <si>
    <t>L000010101</t>
  </si>
  <si>
    <t>L000010118</t>
  </si>
  <si>
    <t>L000010174</t>
  </si>
  <si>
    <t>L000010180</t>
  </si>
  <si>
    <t>L000010246</t>
  </si>
  <si>
    <t>L000010273</t>
  </si>
  <si>
    <t>L000010301</t>
  </si>
  <si>
    <t>L000010302</t>
  </si>
  <si>
    <t>L000010304</t>
  </si>
  <si>
    <t>L000010320</t>
  </si>
  <si>
    <t>L000010321</t>
  </si>
  <si>
    <t>L000010326</t>
  </si>
  <si>
    <t>L000010333</t>
  </si>
  <si>
    <t>L000010336</t>
  </si>
  <si>
    <t>L000010347</t>
  </si>
  <si>
    <t>L000010352</t>
  </si>
  <si>
    <t>L000010371</t>
  </si>
  <si>
    <t>L000010372</t>
  </si>
  <si>
    <t>L000010440</t>
  </si>
  <si>
    <t>L000010458</t>
  </si>
  <si>
    <t>L000010532</t>
  </si>
  <si>
    <t>L000010536</t>
  </si>
  <si>
    <t>L000010541</t>
  </si>
  <si>
    <t>L000010544</t>
  </si>
  <si>
    <t>L000010548</t>
  </si>
  <si>
    <t>L000010558</t>
  </si>
  <si>
    <t>L000010561</t>
  </si>
  <si>
    <t>L000010562</t>
  </si>
  <si>
    <t>L000010601</t>
  </si>
  <si>
    <t>L000010629</t>
  </si>
  <si>
    <t>L000010634</t>
  </si>
  <si>
    <t>L000010641</t>
  </si>
  <si>
    <t>L000010645</t>
  </si>
  <si>
    <t>L000010649</t>
  </si>
  <si>
    <t>L000010653</t>
  </si>
  <si>
    <t>L000010664</t>
  </si>
  <si>
    <t>L000010668</t>
  </si>
  <si>
    <t>L000010676</t>
  </si>
  <si>
    <t>L000010681</t>
  </si>
  <si>
    <t>L000010685</t>
  </si>
  <si>
    <t>L000010689</t>
  </si>
  <si>
    <t>L000010694</t>
  </si>
  <si>
    <t>L000010698</t>
  </si>
  <si>
    <t>L000010704</t>
  </si>
  <si>
    <t>L000010708</t>
  </si>
  <si>
    <t>L000010712</t>
  </si>
  <si>
    <t>L000010719</t>
  </si>
  <si>
    <t>L000010722</t>
  </si>
  <si>
    <t>L000010730</t>
  </si>
  <si>
    <t>L000010734</t>
  </si>
  <si>
    <t>L000010738</t>
  </si>
  <si>
    <t>L000010742</t>
  </si>
  <si>
    <t>L000010811</t>
  </si>
  <si>
    <t>L000011021</t>
  </si>
  <si>
    <t>L000011109</t>
  </si>
  <si>
    <t>L000011111</t>
  </si>
  <si>
    <t>L000011169</t>
  </si>
  <si>
    <t>L000011172</t>
  </si>
  <si>
    <t>L000011175</t>
  </si>
  <si>
    <t>L000011178</t>
  </si>
  <si>
    <t>L000011181</t>
  </si>
  <si>
    <t>L000011185</t>
  </si>
  <si>
    <t>L000011220</t>
  </si>
  <si>
    <t>L000011281</t>
  </si>
  <si>
    <t>L000011295</t>
  </si>
  <si>
    <t>L000011304</t>
  </si>
  <si>
    <t>L000011346</t>
  </si>
  <si>
    <t>L000011451</t>
  </si>
  <si>
    <t>L000011538</t>
  </si>
  <si>
    <t>L000011541</t>
  </si>
  <si>
    <t>L000011624</t>
  </si>
  <si>
    <t>L000011641</t>
  </si>
  <si>
    <t>L000011696</t>
  </si>
  <si>
    <t>L000011714</t>
  </si>
  <si>
    <t>L000011715</t>
  </si>
  <si>
    <t>L000011716</t>
  </si>
  <si>
    <t>L000011718</t>
  </si>
  <si>
    <t>L000011846</t>
  </si>
  <si>
    <t>L000011867</t>
  </si>
  <si>
    <t>L000011955</t>
  </si>
  <si>
    <t>L000012022</t>
  </si>
  <si>
    <t>L000012057</t>
  </si>
  <si>
    <t>L000012058</t>
  </si>
  <si>
    <t>L000012068</t>
  </si>
  <si>
    <t>L000012076</t>
  </si>
  <si>
    <t>L000012154</t>
  </si>
  <si>
    <t>L000012174</t>
  </si>
  <si>
    <t>L000012175</t>
  </si>
  <si>
    <t>L000012176</t>
  </si>
  <si>
    <t>L000012281</t>
  </si>
  <si>
    <t>L000012285</t>
  </si>
  <si>
    <t>L000012307</t>
  </si>
  <si>
    <t>L000012314</t>
  </si>
  <si>
    <t>L000012355</t>
  </si>
  <si>
    <t>L000012358</t>
  </si>
  <si>
    <t>L000012362</t>
  </si>
  <si>
    <t>L000012379</t>
  </si>
  <si>
    <t>L000012380</t>
  </si>
  <si>
    <t>L000012381</t>
  </si>
  <si>
    <t>L000012412</t>
  </si>
  <si>
    <t>L000012439</t>
  </si>
  <si>
    <t>L000012550</t>
  </si>
  <si>
    <t>L000012563</t>
  </si>
  <si>
    <t>L000012576</t>
  </si>
  <si>
    <t>L000012603</t>
  </si>
  <si>
    <t>L000012682</t>
  </si>
  <si>
    <t>L000012744</t>
  </si>
  <si>
    <t>L000012793</t>
  </si>
  <si>
    <t>L000012851</t>
  </si>
  <si>
    <t>L000012865</t>
  </si>
  <si>
    <t>L000012866</t>
  </si>
  <si>
    <t>L000012894</t>
  </si>
  <si>
    <t>L000012896</t>
  </si>
  <si>
    <t>L000012964</t>
  </si>
  <si>
    <t>L000013023</t>
  </si>
  <si>
    <t>L000013024</t>
  </si>
  <si>
    <t>L000013030</t>
  </si>
  <si>
    <t>L000013031</t>
  </si>
  <si>
    <t>L000013065</t>
  </si>
  <si>
    <t>L000013071</t>
  </si>
  <si>
    <t>L000013089</t>
  </si>
  <si>
    <t>L000013141</t>
  </si>
  <si>
    <t>L000013157</t>
  </si>
  <si>
    <t>L000013243</t>
  </si>
  <si>
    <t>L000013245</t>
  </si>
  <si>
    <t>L000013301</t>
  </si>
  <si>
    <t>L000013307</t>
  </si>
  <si>
    <t>L000013335</t>
  </si>
  <si>
    <t>L000013362</t>
  </si>
  <si>
    <t>L000013378</t>
  </si>
  <si>
    <t>L000013379</t>
  </si>
  <si>
    <t>L000013390</t>
  </si>
  <si>
    <t>L000013418</t>
  </si>
  <si>
    <t>L000013443</t>
  </si>
  <si>
    <t>P000000308</t>
  </si>
  <si>
    <t>P000000312</t>
  </si>
  <si>
    <t>P000000316</t>
  </si>
  <si>
    <t>P000000320</t>
  </si>
  <si>
    <t>P000000322</t>
  </si>
  <si>
    <t>P000000324</t>
  </si>
  <si>
    <t>P000000332</t>
  </si>
  <si>
    <t>P000000334</t>
  </si>
  <si>
    <t>P000000336</t>
  </si>
  <si>
    <t>P000000473</t>
  </si>
  <si>
    <t>P000000477</t>
  </si>
  <si>
    <t>P000000569</t>
  </si>
  <si>
    <t>P000000666</t>
  </si>
  <si>
    <t>P000000724</t>
  </si>
  <si>
    <t>P000000725</t>
  </si>
  <si>
    <t>P000000726</t>
  </si>
  <si>
    <t>P000000732</t>
  </si>
  <si>
    <t>P000000733</t>
  </si>
  <si>
    <t>P000000736</t>
  </si>
  <si>
    <t>P000000780</t>
  </si>
  <si>
    <t>P000000782</t>
  </si>
  <si>
    <t>P000000786</t>
  </si>
  <si>
    <t>P000000842</t>
  </si>
  <si>
    <t>P000000844</t>
  </si>
  <si>
    <t>P000000852</t>
  </si>
  <si>
    <t>P000000853</t>
  </si>
  <si>
    <t>P000000876</t>
  </si>
  <si>
    <t>P000000877</t>
  </si>
  <si>
    <t>P000000886</t>
  </si>
  <si>
    <t>P000000910</t>
  </si>
  <si>
    <t>P000000917</t>
  </si>
  <si>
    <t>P000000931</t>
  </si>
  <si>
    <t>P000000933</t>
  </si>
  <si>
    <t>P000000958</t>
  </si>
  <si>
    <t>P000000978</t>
  </si>
  <si>
    <t>P000000979</t>
  </si>
  <si>
    <t>P000000982</t>
  </si>
  <si>
    <t>P000000995</t>
  </si>
  <si>
    <t>PL_B2_MW02</t>
  </si>
  <si>
    <t>PL_E5_FR40</t>
  </si>
  <si>
    <t>G000000037</t>
  </si>
  <si>
    <t>G000000038</t>
  </si>
  <si>
    <t>G000000039</t>
  </si>
  <si>
    <t>G000000073</t>
  </si>
  <si>
    <t>G000000109</t>
  </si>
  <si>
    <t>G000000110</t>
  </si>
  <si>
    <t>G000000174</t>
  </si>
  <si>
    <t>G000000383</t>
  </si>
  <si>
    <t>G000000473</t>
  </si>
  <si>
    <t>G000000530</t>
  </si>
  <si>
    <t>G000000561</t>
  </si>
  <si>
    <t>G000000562</t>
  </si>
  <si>
    <t>G000000640</t>
  </si>
  <si>
    <t>G000000705</t>
  </si>
  <si>
    <t>G000000706</t>
  </si>
  <si>
    <t>G000000715</t>
  </si>
  <si>
    <t>G000000726</t>
  </si>
  <si>
    <t>G000000768</t>
  </si>
  <si>
    <t>G000000837</t>
  </si>
  <si>
    <t>G000000840</t>
  </si>
  <si>
    <t>G000000947</t>
  </si>
  <si>
    <t>G000001021</t>
  </si>
  <si>
    <t>H000000459</t>
  </si>
  <si>
    <t>H000000466</t>
  </si>
  <si>
    <t>H000000475</t>
  </si>
  <si>
    <t>H000000484</t>
  </si>
  <si>
    <t>H000000493</t>
  </si>
  <si>
    <t>H000000502</t>
  </si>
  <si>
    <t>H000000512</t>
  </si>
  <si>
    <t>H000000521</t>
  </si>
  <si>
    <t>H000000530</t>
  </si>
  <si>
    <t>H000000539</t>
  </si>
  <si>
    <t>H000000548</t>
  </si>
  <si>
    <t>H000000557</t>
  </si>
  <si>
    <t>H000000566</t>
  </si>
  <si>
    <t>H000000575</t>
  </si>
  <si>
    <t>H000000584</t>
  </si>
  <si>
    <t>H000000593</t>
  </si>
  <si>
    <t>H000000602</t>
  </si>
  <si>
    <t>H000000611</t>
  </si>
  <si>
    <t>H000000621</t>
  </si>
  <si>
    <t>H000000630</t>
  </si>
  <si>
    <t>H000000649</t>
  </si>
  <si>
    <t>H000000941</t>
  </si>
  <si>
    <t>H000000948</t>
  </si>
  <si>
    <t>H000000965</t>
  </si>
  <si>
    <t>H000001004</t>
  </si>
  <si>
    <t>H000001013</t>
  </si>
  <si>
    <t>H000001022</t>
  </si>
  <si>
    <t>H000001031</t>
  </si>
  <si>
    <t>H000001040</t>
  </si>
  <si>
    <t>H000001045</t>
  </si>
  <si>
    <t>H000001130</t>
  </si>
  <si>
    <t>H000001154</t>
  </si>
  <si>
    <t>H000001205</t>
  </si>
  <si>
    <t>H000001208</t>
  </si>
  <si>
    <t>H000001250</t>
  </si>
  <si>
    <t>H000001254</t>
  </si>
  <si>
    <t>H000001286</t>
  </si>
  <si>
    <t>H000001290</t>
  </si>
  <si>
    <t>H000001303</t>
  </si>
  <si>
    <t>H000001309</t>
  </si>
  <si>
    <t>H000001346</t>
  </si>
  <si>
    <t>H000001351</t>
  </si>
  <si>
    <t>H000001352</t>
  </si>
  <si>
    <t>H000001375</t>
  </si>
  <si>
    <t>H000001383</t>
  </si>
  <si>
    <t>H000001388</t>
  </si>
  <si>
    <t>H000001418</t>
  </si>
  <si>
    <t>H000001478</t>
  </si>
  <si>
    <t>H000001504</t>
  </si>
  <si>
    <t>H000001505</t>
  </si>
  <si>
    <t>H000001507</t>
  </si>
  <si>
    <t>H000001513</t>
  </si>
  <si>
    <t>H000001517</t>
  </si>
  <si>
    <t>H000001523</t>
  </si>
  <si>
    <t>H000001536</t>
  </si>
  <si>
    <t>H000001539</t>
  </si>
  <si>
    <t>H000001545</t>
  </si>
  <si>
    <t>H000001580</t>
  </si>
  <si>
    <t>H000001591</t>
  </si>
  <si>
    <t>H000001594</t>
  </si>
  <si>
    <t>H000001599</t>
  </si>
  <si>
    <t>H000001648</t>
  </si>
  <si>
    <t>H000001658</t>
  </si>
  <si>
    <t>H000001702</t>
  </si>
  <si>
    <t>H000001768</t>
  </si>
  <si>
    <t>H000001776</t>
  </si>
  <si>
    <t>H000001805</t>
  </si>
  <si>
    <t>H000001814</t>
  </si>
  <si>
    <t>H000001824</t>
  </si>
  <si>
    <t>H000001892</t>
  </si>
  <si>
    <t>H000001896</t>
  </si>
  <si>
    <t>H000002033</t>
  </si>
  <si>
    <t>H000002090</t>
  </si>
  <si>
    <t>H000002099</t>
  </si>
  <si>
    <t>H000002109</t>
  </si>
  <si>
    <t>H000002162</t>
  </si>
  <si>
    <t>H000002166</t>
  </si>
  <si>
    <t>H000002170</t>
  </si>
  <si>
    <t>H000002180</t>
  </si>
  <si>
    <t>H000002197</t>
  </si>
  <si>
    <t>H000002201</t>
  </si>
  <si>
    <t>H000002205</t>
  </si>
  <si>
    <t>H000002215</t>
  </si>
  <si>
    <t>H000002232</t>
  </si>
  <si>
    <t>H000002236</t>
  </si>
  <si>
    <t>H000002240</t>
  </si>
  <si>
    <t>H000002250</t>
  </si>
  <si>
    <t>H000002273</t>
  </si>
  <si>
    <t>H000002277</t>
  </si>
  <si>
    <t>H000002281</t>
  </si>
  <si>
    <t>H000002290</t>
  </si>
  <si>
    <t>H000002306</t>
  </si>
  <si>
    <t>H000002310</t>
  </si>
  <si>
    <t>H000002314</t>
  </si>
  <si>
    <t>H000002324</t>
  </si>
  <si>
    <t>H000002341</t>
  </si>
  <si>
    <t>H000002345</t>
  </si>
  <si>
    <t>H000002349</t>
  </si>
  <si>
    <t>H000002359</t>
  </si>
  <si>
    <t>H000002376</t>
  </si>
  <si>
    <t>H000002380</t>
  </si>
  <si>
    <t>H000002384</t>
  </si>
  <si>
    <t>H000002394</t>
  </si>
  <si>
    <t>H000002411</t>
  </si>
  <si>
    <t>H000002415</t>
  </si>
  <si>
    <t>H000002419</t>
  </si>
  <si>
    <t>H000002429</t>
  </si>
  <si>
    <t>H000002451</t>
  </si>
  <si>
    <t>H000002497</t>
  </si>
  <si>
    <t>H000002507</t>
  </si>
  <si>
    <t>H000002520</t>
  </si>
  <si>
    <t>H000002578</t>
  </si>
  <si>
    <t>H000002587</t>
  </si>
  <si>
    <t>H000002772</t>
  </si>
  <si>
    <t>H000002787</t>
  </si>
  <si>
    <t>H000002855</t>
  </si>
  <si>
    <t>H000002873</t>
  </si>
  <si>
    <t>H000002875</t>
  </si>
  <si>
    <t>H000002893</t>
  </si>
  <si>
    <t>H000002935</t>
  </si>
  <si>
    <t>H000002974</t>
  </si>
  <si>
    <t>H000003060</t>
  </si>
  <si>
    <t>H000003070</t>
  </si>
  <si>
    <t>H000003072</t>
  </si>
  <si>
    <t>H000003181</t>
  </si>
  <si>
    <t>H000003229</t>
  </si>
  <si>
    <t>H000003236</t>
  </si>
  <si>
    <t>H000003238</t>
  </si>
  <si>
    <t>H000003324</t>
  </si>
  <si>
    <t>H000003327</t>
  </si>
  <si>
    <t>H000003330</t>
  </si>
  <si>
    <t>H000003333</t>
  </si>
  <si>
    <t>H000003366</t>
  </si>
  <si>
    <t>H000003369</t>
  </si>
  <si>
    <t>H000003372</t>
  </si>
  <si>
    <t>H000003375</t>
  </si>
  <si>
    <t>H000003621</t>
  </si>
  <si>
    <t>H000003651</t>
  </si>
  <si>
    <t>H000003700</t>
  </si>
  <si>
    <t>H000003721</t>
  </si>
  <si>
    <t>H000003871</t>
  </si>
  <si>
    <t>H000003969</t>
  </si>
  <si>
    <t>H000004088</t>
  </si>
  <si>
    <t>H000004115</t>
  </si>
  <si>
    <t>H000004165</t>
  </si>
  <si>
    <t>H000004207</t>
  </si>
  <si>
    <t>IT06130000</t>
  </si>
  <si>
    <t>IT06140300</t>
  </si>
  <si>
    <t>L000005047</t>
  </si>
  <si>
    <t>L000005076</t>
  </si>
  <si>
    <t>L000005104</t>
  </si>
  <si>
    <t>L000005393</t>
  </si>
  <si>
    <t>L000005421</t>
  </si>
  <si>
    <t>L000005428</t>
  </si>
  <si>
    <t>L000005429</t>
  </si>
  <si>
    <t>L000005432</t>
  </si>
  <si>
    <t>L000005442</t>
  </si>
  <si>
    <t>L000005468</t>
  </si>
  <si>
    <t>L000005624</t>
  </si>
  <si>
    <t>L000005646</t>
  </si>
  <si>
    <t>L000005648</t>
  </si>
  <si>
    <t>L000005691</t>
  </si>
  <si>
    <t>L000005706</t>
  </si>
  <si>
    <t>L000005708</t>
  </si>
  <si>
    <t>L000005710</t>
  </si>
  <si>
    <t>L000005716</t>
  </si>
  <si>
    <t>L000005727</t>
  </si>
  <si>
    <t>L000005744</t>
  </si>
  <si>
    <t>L000005766</t>
  </si>
  <si>
    <t>L000005796</t>
  </si>
  <si>
    <t>L000005899</t>
  </si>
  <si>
    <t>L000005991</t>
  </si>
  <si>
    <t>L000006009</t>
  </si>
  <si>
    <t>L000006038</t>
  </si>
  <si>
    <t>L000006066</t>
  </si>
  <si>
    <t>L000006089</t>
  </si>
  <si>
    <t>L000006100</t>
  </si>
  <si>
    <t>L000006102</t>
  </si>
  <si>
    <t>L000006118</t>
  </si>
  <si>
    <t>L000006164</t>
  </si>
  <si>
    <t>L000006182</t>
  </si>
  <si>
    <t>L000006194</t>
  </si>
  <si>
    <t>L000006195</t>
  </si>
  <si>
    <t>L000006296</t>
  </si>
  <si>
    <t>L000006410</t>
  </si>
  <si>
    <t>L000006411</t>
  </si>
  <si>
    <t>L000006429</t>
  </si>
  <si>
    <t>L000006534</t>
  </si>
  <si>
    <t>L000006611</t>
  </si>
  <si>
    <t>L000006638</t>
  </si>
  <si>
    <t>L000006639</t>
  </si>
  <si>
    <t>L000006718</t>
  </si>
  <si>
    <t>L000006745</t>
  </si>
  <si>
    <t>L000006774</t>
  </si>
  <si>
    <t>L000006783</t>
  </si>
  <si>
    <t>L000006845</t>
  </si>
  <si>
    <t>L000006881</t>
  </si>
  <si>
    <t>L000006999</t>
  </si>
  <si>
    <t>L000007046</t>
  </si>
  <si>
    <t>L000007103</t>
  </si>
  <si>
    <t>L000007106</t>
  </si>
  <si>
    <t>L000007138</t>
  </si>
  <si>
    <t>L000007245</t>
  </si>
  <si>
    <t>L000007250</t>
  </si>
  <si>
    <t>L000007411</t>
  </si>
  <si>
    <t>L000007433</t>
  </si>
  <si>
    <t>L000007482</t>
  </si>
  <si>
    <t>L000007540</t>
  </si>
  <si>
    <t>L000007711</t>
  </si>
  <si>
    <t>L000007930</t>
  </si>
  <si>
    <t>L000007977</t>
  </si>
  <si>
    <t>L000007989</t>
  </si>
  <si>
    <t>L000007992</t>
  </si>
  <si>
    <t>L000008090</t>
  </si>
  <si>
    <t>L000008102</t>
  </si>
  <si>
    <t>L000008189</t>
  </si>
  <si>
    <t>L000008218</t>
  </si>
  <si>
    <t>L000008229</t>
  </si>
  <si>
    <t>L000008230</t>
  </si>
  <si>
    <t>L000008246</t>
  </si>
  <si>
    <t>L000008251</t>
  </si>
  <si>
    <t>L000008322</t>
  </si>
  <si>
    <t>L000008431</t>
  </si>
  <si>
    <t>L000008432</t>
  </si>
  <si>
    <t>L000008560</t>
  </si>
  <si>
    <t>L000008578</t>
  </si>
  <si>
    <t>L000008611</t>
  </si>
  <si>
    <t>L000008698</t>
  </si>
  <si>
    <t>L000008712</t>
  </si>
  <si>
    <t>L000008739</t>
  </si>
  <si>
    <t>L000008766</t>
  </si>
  <si>
    <t>L000008782</t>
  </si>
  <si>
    <t>L000008784</t>
  </si>
  <si>
    <t>L000008804</t>
  </si>
  <si>
    <t>L000008810</t>
  </si>
  <si>
    <t>L000008908</t>
  </si>
  <si>
    <t>L000008984</t>
  </si>
  <si>
    <t>L000009207</t>
  </si>
  <si>
    <t>L000009343</t>
  </si>
  <si>
    <t>L000009344</t>
  </si>
  <si>
    <t>L000009362</t>
  </si>
  <si>
    <t>L000009372</t>
  </si>
  <si>
    <t>L000009373</t>
  </si>
  <si>
    <t>L000009410</t>
  </si>
  <si>
    <t>L000009434</t>
  </si>
  <si>
    <t>L000009439</t>
  </si>
  <si>
    <t>L000009440</t>
  </si>
  <si>
    <t>L000009441</t>
  </si>
  <si>
    <t>L000009553</t>
  </si>
  <si>
    <t>L000009564</t>
  </si>
  <si>
    <t>L000009591</t>
  </si>
  <si>
    <t>L000009622</t>
  </si>
  <si>
    <t>L000009646</t>
  </si>
  <si>
    <t>L000009648</t>
  </si>
  <si>
    <t>L000009685</t>
  </si>
  <si>
    <t>L000009788</t>
  </si>
  <si>
    <t>L000009793</t>
  </si>
  <si>
    <t>L000009813</t>
  </si>
  <si>
    <t>L000009877</t>
  </si>
  <si>
    <t>L000009932</t>
  </si>
  <si>
    <t>L000009963</t>
  </si>
  <si>
    <t>L000009967</t>
  </si>
  <si>
    <t>L000009986</t>
  </si>
  <si>
    <t>L000009989</t>
  </si>
  <si>
    <t>L000010056</t>
  </si>
  <si>
    <t>L000010110</t>
  </si>
  <si>
    <t>L000010152</t>
  </si>
  <si>
    <t>L000010168</t>
  </si>
  <si>
    <t>L000010203</t>
  </si>
  <si>
    <t>L000010250</t>
  </si>
  <si>
    <t>L000010251</t>
  </si>
  <si>
    <t>L000010269</t>
  </si>
  <si>
    <t>L000010270</t>
  </si>
  <si>
    <t>L000010272</t>
  </si>
  <si>
    <t>L000010285</t>
  </si>
  <si>
    <t>L000010293</t>
  </si>
  <si>
    <t>L000010323</t>
  </si>
  <si>
    <t>L000010327</t>
  </si>
  <si>
    <t>L000010351</t>
  </si>
  <si>
    <t>L000010356</t>
  </si>
  <si>
    <t>L000010375</t>
  </si>
  <si>
    <t>L000010385</t>
  </si>
  <si>
    <t>L000010390</t>
  </si>
  <si>
    <t>L000010396</t>
  </si>
  <si>
    <t>L000010411</t>
  </si>
  <si>
    <t>L000010420</t>
  </si>
  <si>
    <t>L000010430</t>
  </si>
  <si>
    <t>L000010438</t>
  </si>
  <si>
    <t>L000010443</t>
  </si>
  <si>
    <t>L000010455</t>
  </si>
  <si>
    <t>L000010465</t>
  </si>
  <si>
    <t>L000010472</t>
  </si>
  <si>
    <t>L000010481</t>
  </si>
  <si>
    <t>L000010488</t>
  </si>
  <si>
    <t>L000010493</t>
  </si>
  <si>
    <t>L000010498</t>
  </si>
  <si>
    <t>L000010511</t>
  </si>
  <si>
    <t>L000010522</t>
  </si>
  <si>
    <t>L000010575</t>
  </si>
  <si>
    <t>L000010624</t>
  </si>
  <si>
    <t>L000010626</t>
  </si>
  <si>
    <t>L000010628</t>
  </si>
  <si>
    <t>L000010630</t>
  </si>
  <si>
    <t>L000010633</t>
  </si>
  <si>
    <t>L000010635</t>
  </si>
  <si>
    <t>L000010638</t>
  </si>
  <si>
    <t>L000010640</t>
  </si>
  <si>
    <t>L000010642</t>
  </si>
  <si>
    <t>L000010644</t>
  </si>
  <si>
    <t>L000010648</t>
  </si>
  <si>
    <t>L000010650</t>
  </si>
  <si>
    <t>L000010652</t>
  </si>
  <si>
    <t>L000010654</t>
  </si>
  <si>
    <t>L000010656</t>
  </si>
  <si>
    <t>L000010660</t>
  </si>
  <si>
    <t>L000010662</t>
  </si>
  <si>
    <t>L000010663</t>
  </si>
  <si>
    <t>L000010665</t>
  </si>
  <si>
    <t>L000010667</t>
  </si>
  <si>
    <t>L000010669</t>
  </si>
  <si>
    <t>L000010671</t>
  </si>
  <si>
    <t>L000010672</t>
  </si>
  <si>
    <t>L000010675</t>
  </si>
  <si>
    <t>L000010677</t>
  </si>
  <si>
    <t>L000010679</t>
  </si>
  <si>
    <t>L000010680</t>
  </si>
  <si>
    <t>L000010682</t>
  </si>
  <si>
    <t>L000010684</t>
  </si>
  <si>
    <t>L000010686</t>
  </si>
  <si>
    <t>L000010688</t>
  </si>
  <si>
    <t>L000010690</t>
  </si>
  <si>
    <t>L000010693</t>
  </si>
  <si>
    <t>L000010695</t>
  </si>
  <si>
    <t>L000010697</t>
  </si>
  <si>
    <t>L000010699</t>
  </si>
  <si>
    <t>L000010701</t>
  </si>
  <si>
    <t>L000010703</t>
  </si>
  <si>
    <t>L000010705</t>
  </si>
  <si>
    <t>L000010707</t>
  </si>
  <si>
    <t>L000010709</t>
  </si>
  <si>
    <t>L000010711</t>
  </si>
  <si>
    <t>L000010713</t>
  </si>
  <si>
    <t>L000010714</t>
  </si>
  <si>
    <t>L000010716</t>
  </si>
  <si>
    <t>L000010718</t>
  </si>
  <si>
    <t>L000010721</t>
  </si>
  <si>
    <t>L000010723</t>
  </si>
  <si>
    <t>L000010725</t>
  </si>
  <si>
    <t>L000010729</t>
  </si>
  <si>
    <t>L000010731</t>
  </si>
  <si>
    <t>L000010733</t>
  </si>
  <si>
    <t>L000010735</t>
  </si>
  <si>
    <t>L000010737</t>
  </si>
  <si>
    <t>L000010739</t>
  </si>
  <si>
    <t>L000010741</t>
  </si>
  <si>
    <t>L000010743</t>
  </si>
  <si>
    <t>L000010749</t>
  </si>
  <si>
    <t>L000010750</t>
  </si>
  <si>
    <t>L000010776</t>
  </si>
  <si>
    <t>L000010800</t>
  </si>
  <si>
    <t>L000011116</t>
  </si>
  <si>
    <t>L000011159</t>
  </si>
  <si>
    <t>L000011161</t>
  </si>
  <si>
    <t>L000011163</t>
  </si>
  <si>
    <t>L000011166</t>
  </si>
  <si>
    <t>L000011167</t>
  </si>
  <si>
    <t>L000011170</t>
  </si>
  <si>
    <t>L000011173</t>
  </si>
  <si>
    <t>L000011176</t>
  </si>
  <si>
    <t>L000011179</t>
  </si>
  <si>
    <t>L000011182</t>
  </si>
  <si>
    <t>L000011186</t>
  </si>
  <si>
    <t>L000011192</t>
  </si>
  <si>
    <t>L000011194</t>
  </si>
  <si>
    <t>L000011211</t>
  </si>
  <si>
    <t>L000011212</t>
  </si>
  <si>
    <t>L000011214</t>
  </si>
  <si>
    <t>L000011223</t>
  </si>
  <si>
    <t>L000011234</t>
  </si>
  <si>
    <t>L000011267</t>
  </si>
  <si>
    <t>L000011269</t>
  </si>
  <si>
    <t>L000011282</t>
  </si>
  <si>
    <t>L000011286</t>
  </si>
  <si>
    <t>L000011325</t>
  </si>
  <si>
    <t>L000011465</t>
  </si>
  <si>
    <t>L000011511</t>
  </si>
  <si>
    <t>L000011579</t>
  </si>
  <si>
    <t>L000011627</t>
  </si>
  <si>
    <t>L000011745</t>
  </si>
  <si>
    <t>L000011806</t>
  </si>
  <si>
    <t>L000011862</t>
  </si>
  <si>
    <t>L000011956</t>
  </si>
  <si>
    <t>L000012031</t>
  </si>
  <si>
    <t>L000012042</t>
  </si>
  <si>
    <t>L000012082</t>
  </si>
  <si>
    <t>L000012083</t>
  </si>
  <si>
    <t>L000012093</t>
  </si>
  <si>
    <t>L000012112</t>
  </si>
  <si>
    <t>L000012167</t>
  </si>
  <si>
    <t>L000012288</t>
  </si>
  <si>
    <t>L000012308</t>
  </si>
  <si>
    <t>L000012310</t>
  </si>
  <si>
    <t>L000012311</t>
  </si>
  <si>
    <t>L000012341</t>
  </si>
  <si>
    <t>L000012366</t>
  </si>
  <si>
    <t>L000012429</t>
  </si>
  <si>
    <t>L000012441</t>
  </si>
  <si>
    <t>L000012448</t>
  </si>
  <si>
    <t>L000012462</t>
  </si>
  <si>
    <t>L000012466</t>
  </si>
  <si>
    <t>L000012476</t>
  </si>
  <si>
    <t>L000012495</t>
  </si>
  <si>
    <t>L000012522</t>
  </si>
  <si>
    <t>L000012551</t>
  </si>
  <si>
    <t>L000012553</t>
  </si>
  <si>
    <t>L000012564</t>
  </si>
  <si>
    <t>L000012602</t>
  </si>
  <si>
    <t>L000012607</t>
  </si>
  <si>
    <t>L000012653</t>
  </si>
  <si>
    <t>L000012778</t>
  </si>
  <si>
    <t>L000012779</t>
  </si>
  <si>
    <t>L000012794</t>
  </si>
  <si>
    <t>L000012823</t>
  </si>
  <si>
    <t>L000012827</t>
  </si>
  <si>
    <t>L000012857</t>
  </si>
  <si>
    <t>L000012858</t>
  </si>
  <si>
    <t>L000012909</t>
  </si>
  <si>
    <t>L000012965</t>
  </si>
  <si>
    <t>L000013005</t>
  </si>
  <si>
    <t>L000013016</t>
  </si>
  <si>
    <t>L000013017</t>
  </si>
  <si>
    <t>L000013037</t>
  </si>
  <si>
    <t>L000013038</t>
  </si>
  <si>
    <t>L000013048</t>
  </si>
  <si>
    <t>L000013066</t>
  </si>
  <si>
    <t>L000013163</t>
  </si>
  <si>
    <t>L000013184</t>
  </si>
  <si>
    <t>L000013203</t>
  </si>
  <si>
    <t>L000013208</t>
  </si>
  <si>
    <t>L000013221</t>
  </si>
  <si>
    <t>L000013224</t>
  </si>
  <si>
    <t>L000013247</t>
  </si>
  <si>
    <t>L000013258</t>
  </si>
  <si>
    <t>L000013276</t>
  </si>
  <si>
    <t>L000013322</t>
  </si>
  <si>
    <t>L000013387</t>
  </si>
  <si>
    <t>L000013419</t>
  </si>
  <si>
    <t>L000013435</t>
  </si>
  <si>
    <t>P000000068</t>
  </si>
  <si>
    <t>P000000247</t>
  </si>
  <si>
    <t>P000000306</t>
  </si>
  <si>
    <t>P000000455</t>
  </si>
  <si>
    <t>P000000525</t>
  </si>
  <si>
    <t>P000000559</t>
  </si>
  <si>
    <t>P000000627</t>
  </si>
  <si>
    <t>P000000720</t>
  </si>
  <si>
    <t>P000000744</t>
  </si>
  <si>
    <t>P000000789</t>
  </si>
  <si>
    <t>P000000793</t>
  </si>
  <si>
    <t>P000000809</t>
  </si>
  <si>
    <t>P000000814</t>
  </si>
  <si>
    <t>P000000821</t>
  </si>
  <si>
    <t>P000000830</t>
  </si>
  <si>
    <t>P000000857</t>
  </si>
  <si>
    <t>P000000873</t>
  </si>
  <si>
    <t>P000000880</t>
  </si>
  <si>
    <t>P000000888</t>
  </si>
  <si>
    <t>P000000892</t>
  </si>
  <si>
    <t>P000000894</t>
  </si>
  <si>
    <t>P000000911</t>
  </si>
  <si>
    <t>P000000918</t>
  </si>
  <si>
    <t>P000000927</t>
  </si>
  <si>
    <t>P000000938</t>
  </si>
  <si>
    <t>P000000947</t>
  </si>
  <si>
    <t>P000000955</t>
  </si>
  <si>
    <t>P000000968</t>
  </si>
  <si>
    <t>P000000969</t>
  </si>
  <si>
    <t>P000000974</t>
  </si>
  <si>
    <t>P000000983</t>
  </si>
  <si>
    <t>P000000988</t>
  </si>
  <si>
    <t>P000000996</t>
  </si>
  <si>
    <t>PL_E1_CNAD</t>
  </si>
  <si>
    <t>PL_E1_JPAD</t>
  </si>
  <si>
    <t>PL_E2_ES60</t>
  </si>
  <si>
    <t>PL_E4_US21</t>
  </si>
  <si>
    <t>PL_E5_CH71</t>
  </si>
  <si>
    <t>PL_E6_0102</t>
  </si>
  <si>
    <t>PL_E8_UY01</t>
  </si>
  <si>
    <t>RDC0000110</t>
  </si>
  <si>
    <t>G000000046</t>
  </si>
  <si>
    <t>G000000098</t>
  </si>
  <si>
    <t>G000000113</t>
  </si>
  <si>
    <t>G000000122</t>
  </si>
  <si>
    <t>G000000196</t>
  </si>
  <si>
    <t>G000000229</t>
  </si>
  <si>
    <t>G000000258</t>
  </si>
  <si>
    <t>G000000272</t>
  </si>
  <si>
    <t>G000000540</t>
  </si>
  <si>
    <t>G000000708</t>
  </si>
  <si>
    <t>G000000927</t>
  </si>
  <si>
    <t>G000000960</t>
  </si>
  <si>
    <t>G000000969</t>
  </si>
  <si>
    <t>G000001025</t>
  </si>
  <si>
    <t>G000001026</t>
  </si>
  <si>
    <t>G000001028</t>
  </si>
  <si>
    <t>G000001038</t>
  </si>
  <si>
    <t>G000001047</t>
  </si>
  <si>
    <t>H000000164</t>
  </si>
  <si>
    <t>H000000435</t>
  </si>
  <si>
    <t>H000000464</t>
  </si>
  <si>
    <t>H000000473</t>
  </si>
  <si>
    <t>H000000482</t>
  </si>
  <si>
    <t>H000000491</t>
  </si>
  <si>
    <t>H000000500</t>
  </si>
  <si>
    <t>H000000510</t>
  </si>
  <si>
    <t>H000000519</t>
  </si>
  <si>
    <t>H000000528</t>
  </si>
  <si>
    <t>H000000537</t>
  </si>
  <si>
    <t>H000000546</t>
  </si>
  <si>
    <t>H000000555</t>
  </si>
  <si>
    <t>H000000564</t>
  </si>
  <si>
    <t>H000000573</t>
  </si>
  <si>
    <t>H000000582</t>
  </si>
  <si>
    <t>H000000591</t>
  </si>
  <si>
    <t>H000000600</t>
  </si>
  <si>
    <t>H000000609</t>
  </si>
  <si>
    <t>H000000619</t>
  </si>
  <si>
    <t>H000000628</t>
  </si>
  <si>
    <t>H000000735</t>
  </si>
  <si>
    <t>H000000746</t>
  </si>
  <si>
    <t>H000000763</t>
  </si>
  <si>
    <t>H000000774</t>
  </si>
  <si>
    <t>H000000776</t>
  </si>
  <si>
    <t>H000000814</t>
  </si>
  <si>
    <t>H000000827</t>
  </si>
  <si>
    <t>H000000832</t>
  </si>
  <si>
    <t>H000000862</t>
  </si>
  <si>
    <t>H000000939</t>
  </si>
  <si>
    <t>H000001002</t>
  </si>
  <si>
    <t>H000001011</t>
  </si>
  <si>
    <t>H000001020</t>
  </si>
  <si>
    <t>H000001029</t>
  </si>
  <si>
    <t>H000001038</t>
  </si>
  <si>
    <t>H000001063</t>
  </si>
  <si>
    <t>H000001189</t>
  </si>
  <si>
    <t>H000001193</t>
  </si>
  <si>
    <t>H000001198</t>
  </si>
  <si>
    <t>H000001201</t>
  </si>
  <si>
    <t>H000001229</t>
  </si>
  <si>
    <t>H000001266</t>
  </si>
  <si>
    <t>H000001271</t>
  </si>
  <si>
    <t>H000001316</t>
  </si>
  <si>
    <t>H000001330</t>
  </si>
  <si>
    <t>H000001398</t>
  </si>
  <si>
    <t>H000001415</t>
  </si>
  <si>
    <t>H000001466</t>
  </si>
  <si>
    <t>H000001512</t>
  </si>
  <si>
    <t>H000001514</t>
  </si>
  <si>
    <t>H000001544</t>
  </si>
  <si>
    <t>H000001606</t>
  </si>
  <si>
    <t>H000001621</t>
  </si>
  <si>
    <t>H000001628</t>
  </si>
  <si>
    <t>H000001640</t>
  </si>
  <si>
    <t>H000001646</t>
  </si>
  <si>
    <t>H000001655</t>
  </si>
  <si>
    <t>H000001678</t>
  </si>
  <si>
    <t>H000001697</t>
  </si>
  <si>
    <t>H000001715</t>
  </si>
  <si>
    <t>H000001729</t>
  </si>
  <si>
    <t>H000001772</t>
  </si>
  <si>
    <t>H000001835</t>
  </si>
  <si>
    <t>H000001837</t>
  </si>
  <si>
    <t>H000001951</t>
  </si>
  <si>
    <t>H000002028</t>
  </si>
  <si>
    <t>H000002049</t>
  </si>
  <si>
    <t>H000002063</t>
  </si>
  <si>
    <t>H000002120</t>
  </si>
  <si>
    <t>H000002122</t>
  </si>
  <si>
    <t>H000002169</t>
  </si>
  <si>
    <t>H000002204</t>
  </si>
  <si>
    <t>H000002239</t>
  </si>
  <si>
    <t>H000002280</t>
  </si>
  <si>
    <t>H000002313</t>
  </si>
  <si>
    <t>H000002348</t>
  </si>
  <si>
    <t>H000002383</t>
  </si>
  <si>
    <t>H000002418</t>
  </si>
  <si>
    <t>H000002457</t>
  </si>
  <si>
    <t>H000002493</t>
  </si>
  <si>
    <t>H000002499</t>
  </si>
  <si>
    <t>H000002516</t>
  </si>
  <si>
    <t>H000002556</t>
  </si>
  <si>
    <t>H000002563</t>
  </si>
  <si>
    <t>H000002573</t>
  </si>
  <si>
    <t>H000002580</t>
  </si>
  <si>
    <t>H000002590</t>
  </si>
  <si>
    <t>H000002598</t>
  </si>
  <si>
    <t>H000002655</t>
  </si>
  <si>
    <t>H000002669</t>
  </si>
  <si>
    <t>H000002759</t>
  </si>
  <si>
    <t>H000002765</t>
  </si>
  <si>
    <t>H000002779</t>
  </si>
  <si>
    <t>H000002795</t>
  </si>
  <si>
    <t>H000002854</t>
  </si>
  <si>
    <t>H000002871</t>
  </si>
  <si>
    <t>H000002877</t>
  </si>
  <si>
    <t>H000002879</t>
  </si>
  <si>
    <t>H000002892</t>
  </si>
  <si>
    <t>H000002896</t>
  </si>
  <si>
    <t>H000002910</t>
  </si>
  <si>
    <t>H000002924</t>
  </si>
  <si>
    <t>H000002957</t>
  </si>
  <si>
    <t>H000002963</t>
  </si>
  <si>
    <t>H000003125</t>
  </si>
  <si>
    <t>H000003188</t>
  </si>
  <si>
    <t>H000003192</t>
  </si>
  <si>
    <t>H000003245</t>
  </si>
  <si>
    <t>H000003292</t>
  </si>
  <si>
    <t>H000003309</t>
  </si>
  <si>
    <t>H000003347</t>
  </si>
  <si>
    <t>H000003351</t>
  </si>
  <si>
    <t>H000003361</t>
  </si>
  <si>
    <t>H000003447</t>
  </si>
  <si>
    <t>H000003448</t>
  </si>
  <si>
    <t>H000003471</t>
  </si>
  <si>
    <t>H000003487</t>
  </si>
  <si>
    <t>H000003505</t>
  </si>
  <si>
    <t>H000003516</t>
  </si>
  <si>
    <t>H000003557</t>
  </si>
  <si>
    <t>H000003577</t>
  </si>
  <si>
    <t>H000003624</t>
  </si>
  <si>
    <t>H000003972</t>
  </si>
  <si>
    <t>H000003977</t>
  </si>
  <si>
    <t>H000003992</t>
  </si>
  <si>
    <t>H000004002</t>
  </si>
  <si>
    <t>H000004111</t>
  </si>
  <si>
    <t>H000004113</t>
  </si>
  <si>
    <t>IT06021100</t>
  </si>
  <si>
    <t>IT06050100</t>
  </si>
  <si>
    <t>L000005061</t>
  </si>
  <si>
    <t>L000005138</t>
  </si>
  <si>
    <t>L000005254</t>
  </si>
  <si>
    <t>L000005266</t>
  </si>
  <si>
    <t>L000005299</t>
  </si>
  <si>
    <t>L000005329</t>
  </si>
  <si>
    <t>L000005330</t>
  </si>
  <si>
    <t>L000005434</t>
  </si>
  <si>
    <t>L000005454</t>
  </si>
  <si>
    <t>L000005623</t>
  </si>
  <si>
    <t>L000005645</t>
  </si>
  <si>
    <t>L000005658</t>
  </si>
  <si>
    <t>L000005673</t>
  </si>
  <si>
    <t>L000005675</t>
  </si>
  <si>
    <t>L000005682</t>
  </si>
  <si>
    <t>L000005700</t>
  </si>
  <si>
    <t>L000005705</t>
  </si>
  <si>
    <t>L000005711</t>
  </si>
  <si>
    <t>L000005837</t>
  </si>
  <si>
    <t>L000005841</t>
  </si>
  <si>
    <t>L000005859</t>
  </si>
  <si>
    <t>L000005861</t>
  </si>
  <si>
    <t>L000005906</t>
  </si>
  <si>
    <t>L000005927</t>
  </si>
  <si>
    <t>L000005943</t>
  </si>
  <si>
    <t>L000005992</t>
  </si>
  <si>
    <t>L000006006</t>
  </si>
  <si>
    <t>L000006012</t>
  </si>
  <si>
    <t>L000006039</t>
  </si>
  <si>
    <t>L000006079</t>
  </si>
  <si>
    <t>L000006084</t>
  </si>
  <si>
    <t>L000006098</t>
  </si>
  <si>
    <t>L000006099</t>
  </si>
  <si>
    <t>L000006104</t>
  </si>
  <si>
    <t>L000006112</t>
  </si>
  <si>
    <t>L000006145</t>
  </si>
  <si>
    <t>L000006336</t>
  </si>
  <si>
    <t>L000006380</t>
  </si>
  <si>
    <t>L000006420</t>
  </si>
  <si>
    <t>L000006558</t>
  </si>
  <si>
    <t>L000006632</t>
  </si>
  <si>
    <t>L000006633</t>
  </si>
  <si>
    <t>L000006654</t>
  </si>
  <si>
    <t>L000006692</t>
  </si>
  <si>
    <t>L000006790</t>
  </si>
  <si>
    <t>L000006818</t>
  </si>
  <si>
    <t>L000006831</t>
  </si>
  <si>
    <t>L000006878</t>
  </si>
  <si>
    <t>L000007018</t>
  </si>
  <si>
    <t>L000007050</t>
  </si>
  <si>
    <t>L000007057</t>
  </si>
  <si>
    <t>L000007067</t>
  </si>
  <si>
    <t>L000007100</t>
  </si>
  <si>
    <t>L000007111</t>
  </si>
  <si>
    <t>L000007165</t>
  </si>
  <si>
    <t>L000007213</t>
  </si>
  <si>
    <t>L000007223</t>
  </si>
  <si>
    <t>L000007369</t>
  </si>
  <si>
    <t>L000007405</t>
  </si>
  <si>
    <t>L000007452</t>
  </si>
  <si>
    <t>L000007466</t>
  </si>
  <si>
    <t>L000007521</t>
  </si>
  <si>
    <t>L000007547</t>
  </si>
  <si>
    <t>L000007651</t>
  </si>
  <si>
    <t>L000007713</t>
  </si>
  <si>
    <t>L000007748</t>
  </si>
  <si>
    <t>L000007927</t>
  </si>
  <si>
    <t>L000007928</t>
  </si>
  <si>
    <t>L000007996</t>
  </si>
  <si>
    <t>L000008070</t>
  </si>
  <si>
    <t>L000008089</t>
  </si>
  <si>
    <t>L000008157</t>
  </si>
  <si>
    <t>L000008185</t>
  </si>
  <si>
    <t>L000008190</t>
  </si>
  <si>
    <t>L000008198</t>
  </si>
  <si>
    <t>L000008233</t>
  </si>
  <si>
    <t>L000008247</t>
  </si>
  <si>
    <t>L000008267</t>
  </si>
  <si>
    <t>L000008284</t>
  </si>
  <si>
    <t>L000008300</t>
  </si>
  <si>
    <t>L000008303</t>
  </si>
  <si>
    <t>L000008330</t>
  </si>
  <si>
    <t>L000008370</t>
  </si>
  <si>
    <t>L000008372</t>
  </si>
  <si>
    <t>L000008381</t>
  </si>
  <si>
    <t>L000008399</t>
  </si>
  <si>
    <t>L000008400</t>
  </si>
  <si>
    <t>L000008402</t>
  </si>
  <si>
    <t>L000008419</t>
  </si>
  <si>
    <t>L000008424</t>
  </si>
  <si>
    <t>L000008439</t>
  </si>
  <si>
    <t>L000008441</t>
  </si>
  <si>
    <t>L000008453</t>
  </si>
  <si>
    <t>L000008479</t>
  </si>
  <si>
    <t>L000008566</t>
  </si>
  <si>
    <t>L000008610</t>
  </si>
  <si>
    <t>L000008710</t>
  </si>
  <si>
    <t>L000008729</t>
  </si>
  <si>
    <t>L000008749</t>
  </si>
  <si>
    <t>L000008797</t>
  </si>
  <si>
    <t>L000008809</t>
  </si>
  <si>
    <t>L000008816</t>
  </si>
  <si>
    <t>L000008854</t>
  </si>
  <si>
    <t>L000008996</t>
  </si>
  <si>
    <t>L000009044</t>
  </si>
  <si>
    <t>L000009061</t>
  </si>
  <si>
    <t>L000009119</t>
  </si>
  <si>
    <t>L000009126</t>
  </si>
  <si>
    <t>L000009214</t>
  </si>
  <si>
    <t>L000009215</t>
  </si>
  <si>
    <t>L000009221</t>
  </si>
  <si>
    <t>L000009225</t>
  </si>
  <si>
    <t>L000009274</t>
  </si>
  <si>
    <t>L000009330</t>
  </si>
  <si>
    <t>L000009514</t>
  </si>
  <si>
    <t>L000009521</t>
  </si>
  <si>
    <t>L000009570</t>
  </si>
  <si>
    <t>L000009619</t>
  </si>
  <si>
    <t>L000009640</t>
  </si>
  <si>
    <t>L000009676</t>
  </si>
  <si>
    <t>L000009794</t>
  </si>
  <si>
    <t>L000009809</t>
  </si>
  <si>
    <t>L000009915</t>
  </si>
  <si>
    <t>L000009920</t>
  </si>
  <si>
    <t>L000009961</t>
  </si>
  <si>
    <t>L000009966</t>
  </si>
  <si>
    <t>L000009995</t>
  </si>
  <si>
    <t>L000009999</t>
  </si>
  <si>
    <t>L000010019</t>
  </si>
  <si>
    <t>L000010054</t>
  </si>
  <si>
    <t>L000010055</t>
  </si>
  <si>
    <t>L000010112</t>
  </si>
  <si>
    <t>L000010136</t>
  </si>
  <si>
    <t>L000010183</t>
  </si>
  <si>
    <t>L000010238</t>
  </si>
  <si>
    <t>L000010268</t>
  </si>
  <si>
    <t>L000010289</t>
  </si>
  <si>
    <t>L000010296</t>
  </si>
  <si>
    <t>L000010318</t>
  </si>
  <si>
    <t>L000010370</t>
  </si>
  <si>
    <t>L000010388</t>
  </si>
  <si>
    <t>L000010409</t>
  </si>
  <si>
    <t>L000010461</t>
  </si>
  <si>
    <t>L000010466</t>
  </si>
  <si>
    <t>L000010468</t>
  </si>
  <si>
    <t>L000010507</t>
  </si>
  <si>
    <t>L000010559</t>
  </si>
  <si>
    <t>L000010563</t>
  </si>
  <si>
    <t>L000010569</t>
  </si>
  <si>
    <t>L000010573</t>
  </si>
  <si>
    <t>L000010583</t>
  </si>
  <si>
    <t>L000010605</t>
  </si>
  <si>
    <t>L000010619</t>
  </si>
  <si>
    <t>L000010755</t>
  </si>
  <si>
    <t>L000010809</t>
  </si>
  <si>
    <t>L000010956</t>
  </si>
  <si>
    <t>L000011046</t>
  </si>
  <si>
    <t>L000011115</t>
  </si>
  <si>
    <t>L000011122</t>
  </si>
  <si>
    <t>L000011196</t>
  </si>
  <si>
    <t>L000011202</t>
  </si>
  <si>
    <t>L000011222</t>
  </si>
  <si>
    <t>L000011230</t>
  </si>
  <si>
    <t>L000011235</t>
  </si>
  <si>
    <t>L000011323</t>
  </si>
  <si>
    <t>L000011324</t>
  </si>
  <si>
    <t>L000011331</t>
  </si>
  <si>
    <t>L000011348</t>
  </si>
  <si>
    <t>L000011386</t>
  </si>
  <si>
    <t>L000011390</t>
  </si>
  <si>
    <t>L000011414</t>
  </si>
  <si>
    <t>L000011505</t>
  </si>
  <si>
    <t>L000011544</t>
  </si>
  <si>
    <t>L000011545</t>
  </si>
  <si>
    <t>L000011675</t>
  </si>
  <si>
    <t>L000011706</t>
  </si>
  <si>
    <t>L000011752</t>
  </si>
  <si>
    <t>L000011763</t>
  </si>
  <si>
    <t>L000011764</t>
  </si>
  <si>
    <t>L000011831</t>
  </si>
  <si>
    <t>L000011850</t>
  </si>
  <si>
    <t>L000012030</t>
  </si>
  <si>
    <t>L000012035</t>
  </si>
  <si>
    <t>L000012162</t>
  </si>
  <si>
    <t>L000012229</t>
  </si>
  <si>
    <t>L000012245</t>
  </si>
  <si>
    <t>L000012284</t>
  </si>
  <si>
    <t>L000012323</t>
  </si>
  <si>
    <t>L000012351</t>
  </si>
  <si>
    <t>L000012411</t>
  </si>
  <si>
    <t>L000012414</t>
  </si>
  <si>
    <t>L000012538</t>
  </si>
  <si>
    <t>L000012552</t>
  </si>
  <si>
    <t>L000012622</t>
  </si>
  <si>
    <t>L000012658</t>
  </si>
  <si>
    <t>L000012730</t>
  </si>
  <si>
    <t>L000012813</t>
  </si>
  <si>
    <t>L000012844</t>
  </si>
  <si>
    <t>L000012875</t>
  </si>
  <si>
    <t>L000012879</t>
  </si>
  <si>
    <t>L000013058</t>
  </si>
  <si>
    <t>L000013073</t>
  </si>
  <si>
    <t>L000013098</t>
  </si>
  <si>
    <t>L000013138</t>
  </si>
  <si>
    <t>L000013145</t>
  </si>
  <si>
    <t>L000013194</t>
  </si>
  <si>
    <t>L000013230</t>
  </si>
  <si>
    <t>L000013261</t>
  </si>
  <si>
    <t>L000013296</t>
  </si>
  <si>
    <t>L000013298</t>
  </si>
  <si>
    <t>L000013315</t>
  </si>
  <si>
    <t>L000013385</t>
  </si>
  <si>
    <t>L000013396</t>
  </si>
  <si>
    <t>L000013436</t>
  </si>
  <si>
    <t>L000013499</t>
  </si>
  <si>
    <t>P000000028</t>
  </si>
  <si>
    <t>P000000038</t>
  </si>
  <si>
    <t>P000000182</t>
  </si>
  <si>
    <t>P000000475</t>
  </si>
  <si>
    <t>P000000506</t>
  </si>
  <si>
    <t>P000000572</t>
  </si>
  <si>
    <t>P000000573</t>
  </si>
  <si>
    <t>P000000628</t>
  </si>
  <si>
    <t>P000000673</t>
  </si>
  <si>
    <t>P000000776</t>
  </si>
  <si>
    <t>P000000778</t>
  </si>
  <si>
    <t>P000000791</t>
  </si>
  <si>
    <t>P000000813</t>
  </si>
  <si>
    <t>P000000822</t>
  </si>
  <si>
    <t>P000000823</t>
  </si>
  <si>
    <t>P000000869</t>
  </si>
  <si>
    <t>P000000909</t>
  </si>
  <si>
    <t>P000000919</t>
  </si>
  <si>
    <t>P000000920</t>
  </si>
  <si>
    <t>P000000926</t>
  </si>
  <si>
    <t>P000000928</t>
  </si>
  <si>
    <t>P000000929</t>
  </si>
  <si>
    <t>P000000937</t>
  </si>
  <si>
    <t>P000000939</t>
  </si>
  <si>
    <t>P000000940</t>
  </si>
  <si>
    <t>P000000948</t>
  </si>
  <si>
    <t>P000000949</t>
  </si>
  <si>
    <t>P000000973</t>
  </si>
  <si>
    <t>P000001043</t>
  </si>
  <si>
    <t>PL_B2_DE05</t>
  </si>
  <si>
    <t>PL_E1_JPAA</t>
  </si>
  <si>
    <t>PL_E1_JPAI</t>
  </si>
  <si>
    <t>PL_E1_TWAF</t>
  </si>
  <si>
    <t>PL_E1_USAX</t>
  </si>
  <si>
    <t>PL_E2_CN58</t>
  </si>
  <si>
    <t>PL_E4_US43</t>
  </si>
  <si>
    <t>IT06040000</t>
  </si>
  <si>
    <t>G000000007</t>
  </si>
  <si>
    <t>G000000045</t>
  </si>
  <si>
    <t>G000000049</t>
  </si>
  <si>
    <t>G000000056</t>
  </si>
  <si>
    <t>G000000061</t>
  </si>
  <si>
    <t>G000000067</t>
  </si>
  <si>
    <t>G000000089</t>
  </si>
  <si>
    <t>G000000103</t>
  </si>
  <si>
    <t>G000000114</t>
  </si>
  <si>
    <t>G000000123</t>
  </si>
  <si>
    <t>G000000129</t>
  </si>
  <si>
    <t>G000000133</t>
  </si>
  <si>
    <t>G000000138</t>
  </si>
  <si>
    <t>G000000142</t>
  </si>
  <si>
    <t>G000000148</t>
  </si>
  <si>
    <t>G000000159</t>
  </si>
  <si>
    <t>G000000163</t>
  </si>
  <si>
    <t>G000000168</t>
  </si>
  <si>
    <t>G000000173</t>
  </si>
  <si>
    <t>G000000178</t>
  </si>
  <si>
    <t>G000000228</t>
  </si>
  <si>
    <t>G000000232</t>
  </si>
  <si>
    <t>G000000247</t>
  </si>
  <si>
    <t>G000000377</t>
  </si>
  <si>
    <t>G000000386</t>
  </si>
  <si>
    <t>G000000389</t>
  </si>
  <si>
    <t>G000000395</t>
  </si>
  <si>
    <t>G000000398</t>
  </si>
  <si>
    <t>G000000416</t>
  </si>
  <si>
    <t>G000000426</t>
  </si>
  <si>
    <t>G000000439</t>
  </si>
  <si>
    <t>G000000467</t>
  </si>
  <si>
    <t>G000000484</t>
  </si>
  <si>
    <t>G000000509</t>
  </si>
  <si>
    <t>G000000515</t>
  </si>
  <si>
    <t>G000000523</t>
  </si>
  <si>
    <t>G000000527</t>
  </si>
  <si>
    <t>G000000681</t>
  </si>
  <si>
    <t>G000000683</t>
  </si>
  <si>
    <t>G000000686</t>
  </si>
  <si>
    <t>G000000777</t>
  </si>
  <si>
    <t>G000000783</t>
  </si>
  <si>
    <t>G000000833</t>
  </si>
  <si>
    <t>G000000835</t>
  </si>
  <si>
    <t>G000000863</t>
  </si>
  <si>
    <t>G000000883</t>
  </si>
  <si>
    <t>G000000887</t>
  </si>
  <si>
    <t>G000000921</t>
  </si>
  <si>
    <t>G000000923</t>
  </si>
  <si>
    <t>G000000951</t>
  </si>
  <si>
    <t>G000000952</t>
  </si>
  <si>
    <t>G000000954</t>
  </si>
  <si>
    <t>G000000972</t>
  </si>
  <si>
    <t>G000000992</t>
  </si>
  <si>
    <t>G000001050</t>
  </si>
  <si>
    <t>G000001074</t>
  </si>
  <si>
    <t>G000001082</t>
  </si>
  <si>
    <t>H000000156</t>
  </si>
  <si>
    <t>H000000167</t>
  </si>
  <si>
    <t>H000000193</t>
  </si>
  <si>
    <t>H000000332</t>
  </si>
  <si>
    <t>H000000669</t>
  </si>
  <si>
    <t>H000000677</t>
  </si>
  <si>
    <t>H000000766</t>
  </si>
  <si>
    <t>H000000815</t>
  </si>
  <si>
    <t>H000000817</t>
  </si>
  <si>
    <t>H000000859</t>
  </si>
  <si>
    <t>H000000988</t>
  </si>
  <si>
    <t>H000001059</t>
  </si>
  <si>
    <t>H000001061</t>
  </si>
  <si>
    <t>H000001064</t>
  </si>
  <si>
    <t>H000001073</t>
  </si>
  <si>
    <t>H000001185</t>
  </si>
  <si>
    <t>H000001187</t>
  </si>
  <si>
    <t>H000001197</t>
  </si>
  <si>
    <t>H000001210</t>
  </si>
  <si>
    <t>H000001225</t>
  </si>
  <si>
    <t>H000001251</t>
  </si>
  <si>
    <t>H000001270</t>
  </si>
  <si>
    <t>H000001279</t>
  </si>
  <si>
    <t>H000001287</t>
  </si>
  <si>
    <t>H000001382</t>
  </si>
  <si>
    <t>H000001391</t>
  </si>
  <si>
    <t>H000001394</t>
  </si>
  <si>
    <t>H000001396</t>
  </si>
  <si>
    <t>H000001416</t>
  </si>
  <si>
    <t>H000001421</t>
  </si>
  <si>
    <t>H000001530</t>
  </si>
  <si>
    <t>H000001538</t>
  </si>
  <si>
    <t>H000001541</t>
  </si>
  <si>
    <t>H000001547</t>
  </si>
  <si>
    <t>H000001550</t>
  </si>
  <si>
    <t>H000001558</t>
  </si>
  <si>
    <t>H000001614</t>
  </si>
  <si>
    <t>H000001638</t>
  </si>
  <si>
    <t>H000001641</t>
  </si>
  <si>
    <t>H000001669</t>
  </si>
  <si>
    <t>H000001730</t>
  </si>
  <si>
    <t>H000001778</t>
  </si>
  <si>
    <t>H000001833</t>
  </si>
  <si>
    <t>H000001834</t>
  </si>
  <si>
    <t>H000001927</t>
  </si>
  <si>
    <t>H000001945</t>
  </si>
  <si>
    <t>H000001946</t>
  </si>
  <si>
    <t>H000001956</t>
  </si>
  <si>
    <t>H000001958</t>
  </si>
  <si>
    <t>H000002045</t>
  </si>
  <si>
    <t>H000002064</t>
  </si>
  <si>
    <t>H000002118</t>
  </si>
  <si>
    <t>H000002119</t>
  </si>
  <si>
    <t>H000002447</t>
  </si>
  <si>
    <t>H000002485</t>
  </si>
  <si>
    <t>H000002486</t>
  </si>
  <si>
    <t>H000002511</t>
  </si>
  <si>
    <t>H000002549</t>
  </si>
  <si>
    <t>H000002551</t>
  </si>
  <si>
    <t>H000002552</t>
  </si>
  <si>
    <t>H000002576</t>
  </si>
  <si>
    <t>H000002577</t>
  </si>
  <si>
    <t>H000002585</t>
  </si>
  <si>
    <t>H000002586</t>
  </si>
  <si>
    <t>H000002592</t>
  </si>
  <si>
    <t>H000002594</t>
  </si>
  <si>
    <t>H000002595</t>
  </si>
  <si>
    <t>H000002642</t>
  </si>
  <si>
    <t>H000002698</t>
  </si>
  <si>
    <t>H000002744</t>
  </si>
  <si>
    <t>H000002776</t>
  </si>
  <si>
    <t>H000002778</t>
  </si>
  <si>
    <t>H000002782</t>
  </si>
  <si>
    <t>H000002789</t>
  </si>
  <si>
    <t>H000002838</t>
  </si>
  <si>
    <t>H000002878</t>
  </si>
  <si>
    <t>H000002881</t>
  </si>
  <si>
    <t>H000002891</t>
  </si>
  <si>
    <t>H000002906</t>
  </si>
  <si>
    <t>H000002936</t>
  </si>
  <si>
    <t>H000002941</t>
  </si>
  <si>
    <t>H000003071</t>
  </si>
  <si>
    <t>H000003187</t>
  </si>
  <si>
    <t>H000003203</t>
  </si>
  <si>
    <t>H000003237</t>
  </si>
  <si>
    <t>H000003446</t>
  </si>
  <si>
    <t>H000003458</t>
  </si>
  <si>
    <t>H000003467</t>
  </si>
  <si>
    <t>H000003475</t>
  </si>
  <si>
    <t>H000003506</t>
  </si>
  <si>
    <t>H000003609</t>
  </si>
  <si>
    <t>H000003655</t>
  </si>
  <si>
    <t>H000003684</t>
  </si>
  <si>
    <t>H000003707</t>
  </si>
  <si>
    <t>H000003728</t>
  </si>
  <si>
    <t>H000003738</t>
  </si>
  <si>
    <t>H000003758</t>
  </si>
  <si>
    <t>H000003779</t>
  </si>
  <si>
    <t>H000003799</t>
  </si>
  <si>
    <t>H000003819</t>
  </si>
  <si>
    <t>H000003872</t>
  </si>
  <si>
    <t>H000003873</t>
  </si>
  <si>
    <t>H000003964</t>
  </si>
  <si>
    <t>H000003979</t>
  </si>
  <si>
    <t>H000003980</t>
  </si>
  <si>
    <t>H000003986</t>
  </si>
  <si>
    <t>H000003994</t>
  </si>
  <si>
    <t>H000003995</t>
  </si>
  <si>
    <t>H000004000</t>
  </si>
  <si>
    <t>H000004004</t>
  </si>
  <si>
    <t>H000004012</t>
  </si>
  <si>
    <t>H000004172</t>
  </si>
  <si>
    <t>H000004176</t>
  </si>
  <si>
    <t>H000004259</t>
  </si>
  <si>
    <t>H000004265</t>
  </si>
  <si>
    <t>IT06020200</t>
  </si>
  <si>
    <t>IT06021300</t>
  </si>
  <si>
    <t>IT06070720</t>
  </si>
  <si>
    <t>IT06140100</t>
  </si>
  <si>
    <t>L000005114</t>
  </si>
  <si>
    <t>L000005130</t>
  </si>
  <si>
    <t>L000005145</t>
  </si>
  <si>
    <t>L000005177</t>
  </si>
  <si>
    <t>L000005178</t>
  </si>
  <si>
    <t>L000005179</t>
  </si>
  <si>
    <t>L000005182</t>
  </si>
  <si>
    <t>L000005185</t>
  </si>
  <si>
    <t>L000005199</t>
  </si>
  <si>
    <t>L000005204</t>
  </si>
  <si>
    <t>L000005205</t>
  </si>
  <si>
    <t>L000005206</t>
  </si>
  <si>
    <t>L000005241</t>
  </si>
  <si>
    <t>L000005258</t>
  </si>
  <si>
    <t>L000005284</t>
  </si>
  <si>
    <t>L000005288</t>
  </si>
  <si>
    <t>L000005327</t>
  </si>
  <si>
    <t>L000005335</t>
  </si>
  <si>
    <t>L000005341</t>
  </si>
  <si>
    <t>L000005386</t>
  </si>
  <si>
    <t>L000005441</t>
  </si>
  <si>
    <t>L000005466</t>
  </si>
  <si>
    <t>L000005474</t>
  </si>
  <si>
    <t>L000005477</t>
  </si>
  <si>
    <t>L000005620</t>
  </si>
  <si>
    <t>L000005626</t>
  </si>
  <si>
    <t>L000005631</t>
  </si>
  <si>
    <t>L000005649</t>
  </si>
  <si>
    <t>L000005654</t>
  </si>
  <si>
    <t>L000005670</t>
  </si>
  <si>
    <t>L000005709</t>
  </si>
  <si>
    <t>L000005759</t>
  </si>
  <si>
    <t>L000005772</t>
  </si>
  <si>
    <t>L000005773</t>
  </si>
  <si>
    <t>L000005774</t>
  </si>
  <si>
    <t>L000005781</t>
  </si>
  <si>
    <t>L000005798</t>
  </si>
  <si>
    <t>L000005799</t>
  </si>
  <si>
    <t>L000005802</t>
  </si>
  <si>
    <t>L000005804</t>
  </si>
  <si>
    <t>L000005805</t>
  </si>
  <si>
    <t>L000005807</t>
  </si>
  <si>
    <t>L000005809</t>
  </si>
  <si>
    <t>L000005810</t>
  </si>
  <si>
    <t>L000005811</t>
  </si>
  <si>
    <t>L000005937</t>
  </si>
  <si>
    <t>L000005939</t>
  </si>
  <si>
    <t>L000005952</t>
  </si>
  <si>
    <t>L000005985</t>
  </si>
  <si>
    <t>L000005986</t>
  </si>
  <si>
    <t>L000006054</t>
  </si>
  <si>
    <t>L000006055</t>
  </si>
  <si>
    <t>L000006072</t>
  </si>
  <si>
    <t>L000006119</t>
  </si>
  <si>
    <t>L000006122</t>
  </si>
  <si>
    <t>L000006144</t>
  </si>
  <si>
    <t>L000006165</t>
  </si>
  <si>
    <t>L000006181</t>
  </si>
  <si>
    <t>L000006393</t>
  </si>
  <si>
    <t>L000006728</t>
  </si>
  <si>
    <t>L000006729</t>
  </si>
  <si>
    <t>L000006821</t>
  </si>
  <si>
    <t>L000007021</t>
  </si>
  <si>
    <t>L000007023</t>
  </si>
  <si>
    <t>L000007045</t>
  </si>
  <si>
    <t>L000007059</t>
  </si>
  <si>
    <t>L000007061</t>
  </si>
  <si>
    <t>L000007063</t>
  </si>
  <si>
    <t>L000007088</t>
  </si>
  <si>
    <t>L000007098</t>
  </si>
  <si>
    <t>L000007168</t>
  </si>
  <si>
    <t>L000007236</t>
  </si>
  <si>
    <t>L000007260</t>
  </si>
  <si>
    <t>L000007276</t>
  </si>
  <si>
    <t>L000007298</t>
  </si>
  <si>
    <t>L000007486</t>
  </si>
  <si>
    <t>L000007548</t>
  </si>
  <si>
    <t>L000007577</t>
  </si>
  <si>
    <t>L000007598</t>
  </si>
  <si>
    <t>L000007725</t>
  </si>
  <si>
    <t>L000007732</t>
  </si>
  <si>
    <t>L000007756</t>
  </si>
  <si>
    <t>L000007892</t>
  </si>
  <si>
    <t>L000008084</t>
  </si>
  <si>
    <t>L000008156</t>
  </si>
  <si>
    <t>L000008183</t>
  </si>
  <si>
    <t>L000008204</t>
  </si>
  <si>
    <t>L000008228</t>
  </si>
  <si>
    <t>L000008236</t>
  </si>
  <si>
    <t>L000008334</t>
  </si>
  <si>
    <t>L000008345</t>
  </si>
  <si>
    <t>L000008346</t>
  </si>
  <si>
    <t>L000008348</t>
  </si>
  <si>
    <t>L000008397</t>
  </si>
  <si>
    <t>L000008407</t>
  </si>
  <si>
    <t>L000008414</t>
  </si>
  <si>
    <t>L000008429</t>
  </si>
  <si>
    <t>L000008436</t>
  </si>
  <si>
    <t>L000008502</t>
  </si>
  <si>
    <t>L000008537</t>
  </si>
  <si>
    <t>L000008547</t>
  </si>
  <si>
    <t>L000008562</t>
  </si>
  <si>
    <t>L000008650</t>
  </si>
  <si>
    <t>L000008793</t>
  </si>
  <si>
    <t>L000008942</t>
  </si>
  <si>
    <t>L000008967</t>
  </si>
  <si>
    <t>L000009007</t>
  </si>
  <si>
    <t>L000009015</t>
  </si>
  <si>
    <t>L000009018</t>
  </si>
  <si>
    <t>L000009019</t>
  </si>
  <si>
    <t>L000009023</t>
  </si>
  <si>
    <t>L000009025</t>
  </si>
  <si>
    <t>L000009026</t>
  </si>
  <si>
    <t>L000009027</t>
  </si>
  <si>
    <t>L000009047</t>
  </si>
  <si>
    <t>L000009188</t>
  </si>
  <si>
    <t>L000009305</t>
  </si>
  <si>
    <t>L000009361</t>
  </si>
  <si>
    <t>L000009412</t>
  </si>
  <si>
    <t>L000009418</t>
  </si>
  <si>
    <t>L000009420</t>
  </si>
  <si>
    <t>L000009433</t>
  </si>
  <si>
    <t>L000009458</t>
  </si>
  <si>
    <t>L000009478</t>
  </si>
  <si>
    <t>L000009516</t>
  </si>
  <si>
    <t>L000009583</t>
  </si>
  <si>
    <t>L000009664</t>
  </si>
  <si>
    <t>L000009755</t>
  </si>
  <si>
    <t>L000009912</t>
  </si>
  <si>
    <t>L000009938</t>
  </si>
  <si>
    <t>L000009948</t>
  </si>
  <si>
    <t>L000009993</t>
  </si>
  <si>
    <t>L000009997</t>
  </si>
  <si>
    <t>L000010000</t>
  </si>
  <si>
    <t>L000010049</t>
  </si>
  <si>
    <t>L000010063</t>
  </si>
  <si>
    <t>L000010084</t>
  </si>
  <si>
    <t>L000010093</t>
  </si>
  <si>
    <t>L000010106</t>
  </si>
  <si>
    <t>L000010151</t>
  </si>
  <si>
    <t>L000010153</t>
  </si>
  <si>
    <t>L000010155</t>
  </si>
  <si>
    <t>L000010156</t>
  </si>
  <si>
    <t>L000010157</t>
  </si>
  <si>
    <t>L000010261</t>
  </si>
  <si>
    <t>L000010279</t>
  </si>
  <si>
    <t>L000010294</t>
  </si>
  <si>
    <t>L000010299</t>
  </si>
  <si>
    <t>L000010300</t>
  </si>
  <si>
    <t>L000010312</t>
  </si>
  <si>
    <t>L000010319</t>
  </si>
  <si>
    <t>L000010325</t>
  </si>
  <si>
    <t>L000010329</t>
  </si>
  <si>
    <t>L000010331</t>
  </si>
  <si>
    <t>L000010348</t>
  </si>
  <si>
    <t>L000010367</t>
  </si>
  <si>
    <t>L000010383</t>
  </si>
  <si>
    <t>L000010410</t>
  </si>
  <si>
    <t>L000010453</t>
  </si>
  <si>
    <t>L000010475</t>
  </si>
  <si>
    <t>L000010527</t>
  </si>
  <si>
    <t>L000010560</t>
  </si>
  <si>
    <t>L000010568</t>
  </si>
  <si>
    <t>L000010572</t>
  </si>
  <si>
    <t>L000010585</t>
  </si>
  <si>
    <t>L000010609</t>
  </si>
  <si>
    <t>L000010784</t>
  </si>
  <si>
    <t>L000010801</t>
  </si>
  <si>
    <t>L000010813</t>
  </si>
  <si>
    <t>L000011155</t>
  </si>
  <si>
    <t>L000011193</t>
  </si>
  <si>
    <t>L000011195</t>
  </si>
  <si>
    <t>L000011204</t>
  </si>
  <si>
    <t>L000011206</t>
  </si>
  <si>
    <t>L000011213</t>
  </si>
  <si>
    <t>L000011215</t>
  </si>
  <si>
    <t>L000011231</t>
  </si>
  <si>
    <t>L000011238</t>
  </si>
  <si>
    <t>L000011262</t>
  </si>
  <si>
    <t>L000011277</t>
  </si>
  <si>
    <t>L000011278</t>
  </si>
  <si>
    <t>L000011326</t>
  </si>
  <si>
    <t>L000011615</t>
  </si>
  <si>
    <t>L000011638</t>
  </si>
  <si>
    <t>L000011656</t>
  </si>
  <si>
    <t>L000011682</t>
  </si>
  <si>
    <t>L000011687</t>
  </si>
  <si>
    <t>L000011702</t>
  </si>
  <si>
    <t>L000011753</t>
  </si>
  <si>
    <t>L000011773</t>
  </si>
  <si>
    <t>L000011800</t>
  </si>
  <si>
    <t>L000011819</t>
  </si>
  <si>
    <t>L000011848</t>
  </si>
  <si>
    <t>L000011872</t>
  </si>
  <si>
    <t>L000011874</t>
  </si>
  <si>
    <t>L000011920</t>
  </si>
  <si>
    <t>L000011967</t>
  </si>
  <si>
    <t>L000011995</t>
  </si>
  <si>
    <t>L000011997</t>
  </si>
  <si>
    <t>L000012001</t>
  </si>
  <si>
    <t>L000012003</t>
  </si>
  <si>
    <t>L000012004</t>
  </si>
  <si>
    <t>L000012024</t>
  </si>
  <si>
    <t>L000012043</t>
  </si>
  <si>
    <t>L000012080</t>
  </si>
  <si>
    <t>L000012096</t>
  </si>
  <si>
    <t>L000012119</t>
  </si>
  <si>
    <t>L000012168</t>
  </si>
  <si>
    <t>L000012185</t>
  </si>
  <si>
    <t>L000012286</t>
  </si>
  <si>
    <t>L000012422</t>
  </si>
  <si>
    <t>L000012451</t>
  </si>
  <si>
    <t>L000012505</t>
  </si>
  <si>
    <t>L000012523</t>
  </si>
  <si>
    <t>L000012524</t>
  </si>
  <si>
    <t>L000012525</t>
  </si>
  <si>
    <t>L000012533</t>
  </si>
  <si>
    <t>L000012635</t>
  </si>
  <si>
    <t>L000012760</t>
  </si>
  <si>
    <t>L000012889</t>
  </si>
  <si>
    <t>L000012892</t>
  </si>
  <si>
    <t>L000012901</t>
  </si>
  <si>
    <t>L000012920</t>
  </si>
  <si>
    <t>L000012921</t>
  </si>
  <si>
    <t>L000012955</t>
  </si>
  <si>
    <t>L000012976</t>
  </si>
  <si>
    <t>L000013046</t>
  </si>
  <si>
    <t>L000013057</t>
  </si>
  <si>
    <t>L000013085</t>
  </si>
  <si>
    <t>L000013090</t>
  </si>
  <si>
    <t>L000013099</t>
  </si>
  <si>
    <t>L000013112</t>
  </si>
  <si>
    <t>L000013168</t>
  </si>
  <si>
    <t>L000013193</t>
  </si>
  <si>
    <t>L000013195</t>
  </si>
  <si>
    <t>L000013240</t>
  </si>
  <si>
    <t>L000013316</t>
  </si>
  <si>
    <t>L000013325</t>
  </si>
  <si>
    <t>L000013330</t>
  </si>
  <si>
    <t>L000013382</t>
  </si>
  <si>
    <t>L000013420</t>
  </si>
  <si>
    <t>L000013477</t>
  </si>
  <si>
    <t>O000000002</t>
  </si>
  <si>
    <t>P000000050</t>
  </si>
  <si>
    <t>P000000056</t>
  </si>
  <si>
    <t>P000000062</t>
  </si>
  <si>
    <t>P000000065</t>
  </si>
  <si>
    <t>P000000072</t>
  </si>
  <si>
    <t>P000000086</t>
  </si>
  <si>
    <t>P000000189</t>
  </si>
  <si>
    <t>P000000207</t>
  </si>
  <si>
    <t>P000000239</t>
  </si>
  <si>
    <t>P000000300</t>
  </si>
  <si>
    <t>P000000379</t>
  </si>
  <si>
    <t>P000000454</t>
  </si>
  <si>
    <t>P000000458</t>
  </si>
  <si>
    <t>P000000466</t>
  </si>
  <si>
    <t>P000000478</t>
  </si>
  <si>
    <t>P000000490</t>
  </si>
  <si>
    <t>P000000513</t>
  </si>
  <si>
    <t>P000000557</t>
  </si>
  <si>
    <t>P000000558</t>
  </si>
  <si>
    <t>P000000664</t>
  </si>
  <si>
    <t>P000000753</t>
  </si>
  <si>
    <t>P000000805</t>
  </si>
  <si>
    <t>P000000825</t>
  </si>
  <si>
    <t>P000000862</t>
  </si>
  <si>
    <t>P000000913</t>
  </si>
  <si>
    <t>P000000922</t>
  </si>
  <si>
    <t>P000000942</t>
  </si>
  <si>
    <t>P000000946</t>
  </si>
  <si>
    <t>P000000951</t>
  </si>
  <si>
    <t>P000000959</t>
  </si>
  <si>
    <t>P000000966</t>
  </si>
  <si>
    <t>P000000980</t>
  </si>
  <si>
    <t>P000000993</t>
  </si>
  <si>
    <t>PL_E1_TWAA</t>
  </si>
  <si>
    <t>PL_E1_TWAD</t>
  </si>
  <si>
    <t>PL_E2_DE50</t>
  </si>
  <si>
    <t>PL_E4_IE02</t>
  </si>
  <si>
    <t>RDC0000136</t>
  </si>
  <si>
    <t>G000000050</t>
  </si>
  <si>
    <t>G000000095</t>
  </si>
  <si>
    <t>G000000106</t>
  </si>
  <si>
    <t>G000000111</t>
  </si>
  <si>
    <t>G000000134</t>
  </si>
  <si>
    <t>G000000169</t>
  </si>
  <si>
    <t>G000000235</t>
  </si>
  <si>
    <t>G000000289</t>
  </si>
  <si>
    <t>G000000351</t>
  </si>
  <si>
    <t>G000000363</t>
  </si>
  <si>
    <t>G000000378</t>
  </si>
  <si>
    <t>G000000394</t>
  </si>
  <si>
    <t>G000000411</t>
  </si>
  <si>
    <t>G000000413</t>
  </si>
  <si>
    <t>G000000427</t>
  </si>
  <si>
    <t>G000000428</t>
  </si>
  <si>
    <t>G000000433</t>
  </si>
  <si>
    <t>G000000435</t>
  </si>
  <si>
    <t>G000000436</t>
  </si>
  <si>
    <t>G000000437</t>
  </si>
  <si>
    <t>G000000438</t>
  </si>
  <si>
    <t>G000000495</t>
  </si>
  <si>
    <t>G000000497</t>
  </si>
  <si>
    <t>G000000499</t>
  </si>
  <si>
    <t>G000000537</t>
  </si>
  <si>
    <t>G000000555</t>
  </si>
  <si>
    <t>G000000631</t>
  </si>
  <si>
    <t>G000000652</t>
  </si>
  <si>
    <t>G000000730</t>
  </si>
  <si>
    <t>G000000765</t>
  </si>
  <si>
    <t>G000000769</t>
  </si>
  <si>
    <t>G000000868</t>
  </si>
  <si>
    <t>G000000888</t>
  </si>
  <si>
    <t>G000000980</t>
  </si>
  <si>
    <t>G000000984</t>
  </si>
  <si>
    <t>G000000989</t>
  </si>
  <si>
    <t>G000000998</t>
  </si>
  <si>
    <t>G000001032</t>
  </si>
  <si>
    <t>G000001045</t>
  </si>
  <si>
    <t>G000001048</t>
  </si>
  <si>
    <t>G000001058</t>
  </si>
  <si>
    <t>G000001062</t>
  </si>
  <si>
    <t>G000001072</t>
  </si>
  <si>
    <t>G000001092</t>
  </si>
  <si>
    <t>H000000011</t>
  </si>
  <si>
    <t>H000000194</t>
  </si>
  <si>
    <t>H000000372</t>
  </si>
  <si>
    <t>H000000461</t>
  </si>
  <si>
    <t>H000000562</t>
  </si>
  <si>
    <t>H000000647</t>
  </si>
  <si>
    <t>H000000650</t>
  </si>
  <si>
    <t>H000000663</t>
  </si>
  <si>
    <t>H000000674</t>
  </si>
  <si>
    <t>H000000703</t>
  </si>
  <si>
    <t>H000000710</t>
  </si>
  <si>
    <t>H000000720</t>
  </si>
  <si>
    <t>H000000750</t>
  </si>
  <si>
    <t>H000000882</t>
  </si>
  <si>
    <t>H000000886</t>
  </si>
  <si>
    <t>H000000920</t>
  </si>
  <si>
    <t>H000000985</t>
  </si>
  <si>
    <t>H000001142</t>
  </si>
  <si>
    <t>H000001186</t>
  </si>
  <si>
    <t>H000001194</t>
  </si>
  <si>
    <t>H000001209</t>
  </si>
  <si>
    <t>H000001392</t>
  </si>
  <si>
    <t>H000001393</t>
  </si>
  <si>
    <t>H000001395</t>
  </si>
  <si>
    <t>H000001397</t>
  </si>
  <si>
    <t>H000001401</t>
  </si>
  <si>
    <t>H000001404</t>
  </si>
  <si>
    <t>H000001406</t>
  </si>
  <si>
    <t>H000001439</t>
  </si>
  <si>
    <t>H000001484</t>
  </si>
  <si>
    <t>H000001522</t>
  </si>
  <si>
    <t>H000001527</t>
  </si>
  <si>
    <t>H000001533</t>
  </si>
  <si>
    <t>H000001560</t>
  </si>
  <si>
    <t>H000001581</t>
  </si>
  <si>
    <t>H000001613</t>
  </si>
  <si>
    <t>H000001639</t>
  </si>
  <si>
    <t>H000001693</t>
  </si>
  <si>
    <t>H000001718</t>
  </si>
  <si>
    <t>H000001727</t>
  </si>
  <si>
    <t>H000001774</t>
  </si>
  <si>
    <t>H000001793</t>
  </si>
  <si>
    <t>H000001832</t>
  </si>
  <si>
    <t>H000001921</t>
  </si>
  <si>
    <t>H000001925</t>
  </si>
  <si>
    <t>H000001944</t>
  </si>
  <si>
    <t>H000001948</t>
  </si>
  <si>
    <t>H000001961</t>
  </si>
  <si>
    <t>H000001972</t>
  </si>
  <si>
    <t>H000001973</t>
  </si>
  <si>
    <t>H000001976</t>
  </si>
  <si>
    <t>H000001998</t>
  </si>
  <si>
    <t>H000002052</t>
  </si>
  <si>
    <t>H000002061</t>
  </si>
  <si>
    <t>H000002117</t>
  </si>
  <si>
    <t>H000002186</t>
  </si>
  <si>
    <t>H000002221</t>
  </si>
  <si>
    <t>H000002256</t>
  </si>
  <si>
    <t>H000002295</t>
  </si>
  <si>
    <t>H000002330</t>
  </si>
  <si>
    <t>H000002365</t>
  </si>
  <si>
    <t>H000002400</t>
  </si>
  <si>
    <t>H000002435</t>
  </si>
  <si>
    <t>H000002452</t>
  </si>
  <si>
    <t>H000002469</t>
  </si>
  <si>
    <t>H000002484</t>
  </si>
  <si>
    <t>H000002503</t>
  </si>
  <si>
    <t>H000002515</t>
  </si>
  <si>
    <t>H000002527</t>
  </si>
  <si>
    <t>H000002528</t>
  </si>
  <si>
    <t>H000002529</t>
  </si>
  <si>
    <t>H000002550</t>
  </si>
  <si>
    <t>H000002593</t>
  </si>
  <si>
    <t>H000002625</t>
  </si>
  <si>
    <t>H000002646</t>
  </si>
  <si>
    <t>H000002675</t>
  </si>
  <si>
    <t>H000002743</t>
  </si>
  <si>
    <t>H000002754</t>
  </si>
  <si>
    <t>H000002770</t>
  </si>
  <si>
    <t>H000002792</t>
  </si>
  <si>
    <t>H000002867</t>
  </si>
  <si>
    <t>H000002951</t>
  </si>
  <si>
    <t>H000003224</t>
  </si>
  <si>
    <t>H000003402</t>
  </si>
  <si>
    <t>H000003466</t>
  </si>
  <si>
    <t>H000003481</t>
  </si>
  <si>
    <t>H000003511</t>
  </si>
  <si>
    <t>H000003657</t>
  </si>
  <si>
    <t>H000003679</t>
  </si>
  <si>
    <t>H000003701</t>
  </si>
  <si>
    <t>H000003722</t>
  </si>
  <si>
    <t>H000003845</t>
  </si>
  <si>
    <t>H000003886</t>
  </si>
  <si>
    <t>H000003888</t>
  </si>
  <si>
    <t>H000003897</t>
  </si>
  <si>
    <t>H000003943</t>
  </si>
  <si>
    <t>H000003966</t>
  </si>
  <si>
    <t>H000003970</t>
  </si>
  <si>
    <t>H000003978</t>
  </si>
  <si>
    <t>H000003993</t>
  </si>
  <si>
    <t>H000004003</t>
  </si>
  <si>
    <t>H000004007</t>
  </si>
  <si>
    <t>H000004011</t>
  </si>
  <si>
    <t>H000004109</t>
  </si>
  <si>
    <t>H000004174</t>
  </si>
  <si>
    <t>H000004266</t>
  </si>
  <si>
    <t>IT06042250</t>
  </si>
  <si>
    <t>IT06050900</t>
  </si>
  <si>
    <t>IT06130200</t>
  </si>
  <si>
    <t>IT06900104</t>
  </si>
  <si>
    <t>L000005054</t>
  </si>
  <si>
    <t>L000005063</t>
  </si>
  <si>
    <t>L000005117</t>
  </si>
  <si>
    <t>L000005146</t>
  </si>
  <si>
    <t>L000005152</t>
  </si>
  <si>
    <t>L000005240</t>
  </si>
  <si>
    <t>L000005272</t>
  </si>
  <si>
    <t>L000005289</t>
  </si>
  <si>
    <t>L000005295</t>
  </si>
  <si>
    <t>L000005308</t>
  </si>
  <si>
    <t>L000005311</t>
  </si>
  <si>
    <t>L000005337</t>
  </si>
  <si>
    <t>L000005338</t>
  </si>
  <si>
    <t>L000005340</t>
  </si>
  <si>
    <t>L000005342</t>
  </si>
  <si>
    <t>L000005364</t>
  </si>
  <si>
    <t>L000005373</t>
  </si>
  <si>
    <t>L000005420</t>
  </si>
  <si>
    <t>L000005425</t>
  </si>
  <si>
    <t>L000005426</t>
  </si>
  <si>
    <t>L000005437</t>
  </si>
  <si>
    <t>L000005443</t>
  </si>
  <si>
    <t>L000005444</t>
  </si>
  <si>
    <t>L000005639</t>
  </si>
  <si>
    <t>L000005642</t>
  </si>
  <si>
    <t>L000005674</t>
  </si>
  <si>
    <t>L000005684</t>
  </si>
  <si>
    <t>L000005693</t>
  </si>
  <si>
    <t>L000005721</t>
  </si>
  <si>
    <t>L000005723</t>
  </si>
  <si>
    <t>L000005742</t>
  </si>
  <si>
    <t>L000005760</t>
  </si>
  <si>
    <t>L000005769</t>
  </si>
  <si>
    <t>L000005779</t>
  </si>
  <si>
    <t>L000005784</t>
  </si>
  <si>
    <t>L000005813</t>
  </si>
  <si>
    <t>L000005825</t>
  </si>
  <si>
    <t>L000005843</t>
  </si>
  <si>
    <t>L000005894</t>
  </si>
  <si>
    <t>L000005946</t>
  </si>
  <si>
    <t>L000005965</t>
  </si>
  <si>
    <t>L000005967</t>
  </si>
  <si>
    <t>L000006135</t>
  </si>
  <si>
    <t>L000006140</t>
  </si>
  <si>
    <t>L000006141</t>
  </si>
  <si>
    <t>L000006155</t>
  </si>
  <si>
    <t>L000006163</t>
  </si>
  <si>
    <t>L000006166</t>
  </si>
  <si>
    <t>L000006184</t>
  </si>
  <si>
    <t>L000006189</t>
  </si>
  <si>
    <t>L000006197</t>
  </si>
  <si>
    <t>L000006207</t>
  </si>
  <si>
    <t>L000007025</t>
  </si>
  <si>
    <t>L000007078</t>
  </si>
  <si>
    <t>L000007094</t>
  </si>
  <si>
    <t>L000007099</t>
  </si>
  <si>
    <t>L000007121</t>
  </si>
  <si>
    <t>L000007484</t>
  </si>
  <si>
    <t>L000007491</t>
  </si>
  <si>
    <t>L000007503</t>
  </si>
  <si>
    <t>L000007515</t>
  </si>
  <si>
    <t>L000007745</t>
  </si>
  <si>
    <t>L000007746</t>
  </si>
  <si>
    <t>L000007749</t>
  </si>
  <si>
    <t>L000007751</t>
  </si>
  <si>
    <t>L000007752</t>
  </si>
  <si>
    <t>L000007753</t>
  </si>
  <si>
    <t>L000007803</t>
  </si>
  <si>
    <t>L000008160</t>
  </si>
  <si>
    <t>L000008203</t>
  </si>
  <si>
    <t>L000008226</t>
  </si>
  <si>
    <t>L000008231</t>
  </si>
  <si>
    <t>L000008324</t>
  </si>
  <si>
    <t>L000008325</t>
  </si>
  <si>
    <t>L000008362</t>
  </si>
  <si>
    <t>L000008383</t>
  </si>
  <si>
    <t>L000008396</t>
  </si>
  <si>
    <t>L000008405</t>
  </si>
  <si>
    <t>L000008406</t>
  </si>
  <si>
    <t>L000008427</t>
  </si>
  <si>
    <t>L000008443</t>
  </si>
  <si>
    <t>L000008538</t>
  </si>
  <si>
    <t>L000008669</t>
  </si>
  <si>
    <t>L000008798</t>
  </si>
  <si>
    <t>L000008835</t>
  </si>
  <si>
    <t>L000008862</t>
  </si>
  <si>
    <t>L000008958</t>
  </si>
  <si>
    <t>L000009084</t>
  </si>
  <si>
    <t>L000009183</t>
  </si>
  <si>
    <t>L000009193</t>
  </si>
  <si>
    <t>L000009280</t>
  </si>
  <si>
    <t>L000009287</t>
  </si>
  <si>
    <t>L000009288</t>
  </si>
  <si>
    <t>L000009304</t>
  </si>
  <si>
    <t>L000009341</t>
  </si>
  <si>
    <t>L000009342</t>
  </si>
  <si>
    <t>L000009387</t>
  </si>
  <si>
    <t>L000009405</t>
  </si>
  <si>
    <t>L000009442</t>
  </si>
  <si>
    <t>L000009586</t>
  </si>
  <si>
    <t>L000009657</t>
  </si>
  <si>
    <t>L000009740</t>
  </si>
  <si>
    <t>L000009763</t>
  </si>
  <si>
    <t>L000009777</t>
  </si>
  <si>
    <t>L000009789</t>
  </si>
  <si>
    <t>L000009792</t>
  </si>
  <si>
    <t>L000009916</t>
  </si>
  <si>
    <t>L000009941</t>
  </si>
  <si>
    <t>L000009942</t>
  </si>
  <si>
    <t>L000009946</t>
  </si>
  <si>
    <t>L000009953</t>
  </si>
  <si>
    <t>L000009965</t>
  </si>
  <si>
    <t>L000009973</t>
  </si>
  <si>
    <t>L000010031</t>
  </si>
  <si>
    <t>L000010073</t>
  </si>
  <si>
    <t>L000010075</t>
  </si>
  <si>
    <t>L000010085</t>
  </si>
  <si>
    <t>L000010140</t>
  </si>
  <si>
    <t>L000010161</t>
  </si>
  <si>
    <t>L000010163</t>
  </si>
  <si>
    <t>L000010166</t>
  </si>
  <si>
    <t>L000010170</t>
  </si>
  <si>
    <t>L000010173</t>
  </si>
  <si>
    <t>L000010176</t>
  </si>
  <si>
    <t>L000010249</t>
  </si>
  <si>
    <t>L000010263</t>
  </si>
  <si>
    <t>L000010451</t>
  </si>
  <si>
    <t>L000010487</t>
  </si>
  <si>
    <t>L000010492</t>
  </si>
  <si>
    <t>L000010501</t>
  </si>
  <si>
    <t>L000010580</t>
  </si>
  <si>
    <t>L000010582</t>
  </si>
  <si>
    <t>L000010622</t>
  </si>
  <si>
    <t>L000010802</t>
  </si>
  <si>
    <t>L000010805</t>
  </si>
  <si>
    <t>L000011121</t>
  </si>
  <si>
    <t>L000011197</t>
  </si>
  <si>
    <t>L000011198</t>
  </si>
  <si>
    <t>L000011208</t>
  </si>
  <si>
    <t>L000011210</t>
  </si>
  <si>
    <t>L000011221</t>
  </si>
  <si>
    <t>L000011225</t>
  </si>
  <si>
    <t>L000011229</t>
  </si>
  <si>
    <t>L000011233</t>
  </si>
  <si>
    <t>L000011236</t>
  </si>
  <si>
    <t>L000011265</t>
  </si>
  <si>
    <t>L000011345</t>
  </si>
  <si>
    <t>L000011646</t>
  </si>
  <si>
    <t>L000011700</t>
  </si>
  <si>
    <t>L000011758</t>
  </si>
  <si>
    <t>L000011769</t>
  </si>
  <si>
    <t>L000011779</t>
  </si>
  <si>
    <t>L000011840</t>
  </si>
  <si>
    <t>L000011860</t>
  </si>
  <si>
    <t>L000011873</t>
  </si>
  <si>
    <t>L000011875</t>
  </si>
  <si>
    <t>L000011969</t>
  </si>
  <si>
    <t>L000012012</t>
  </si>
  <si>
    <t>L000012044</t>
  </si>
  <si>
    <t>L000012095</t>
  </si>
  <si>
    <t>L000012111</t>
  </si>
  <si>
    <t>L000012117</t>
  </si>
  <si>
    <t>L000012123</t>
  </si>
  <si>
    <t>L000012164</t>
  </si>
  <si>
    <t>L000012179</t>
  </si>
  <si>
    <t>L000012216</t>
  </si>
  <si>
    <t>L000012244</t>
  </si>
  <si>
    <t>L000012263</t>
  </si>
  <si>
    <t>L000012264</t>
  </si>
  <si>
    <t>L000012271</t>
  </si>
  <si>
    <t>L000012303</t>
  </si>
  <si>
    <t>L000012304</t>
  </si>
  <si>
    <t>L000012415</t>
  </si>
  <si>
    <t>L000012444</t>
  </si>
  <si>
    <t>L000012445</t>
  </si>
  <si>
    <t>L000012486</t>
  </si>
  <si>
    <t>L000012492</t>
  </si>
  <si>
    <t>L000012496</t>
  </si>
  <si>
    <t>L000012746</t>
  </si>
  <si>
    <t>L000012753</t>
  </si>
  <si>
    <t>L000012798</t>
  </si>
  <si>
    <t>L000012811</t>
  </si>
  <si>
    <t>L000012845</t>
  </si>
  <si>
    <t>L000012874</t>
  </si>
  <si>
    <t>L000012876</t>
  </si>
  <si>
    <t>L000012887</t>
  </si>
  <si>
    <t>L000012911</t>
  </si>
  <si>
    <t>L000012916</t>
  </si>
  <si>
    <t>L000012962</t>
  </si>
  <si>
    <t>L000012982</t>
  </si>
  <si>
    <t>L000013049</t>
  </si>
  <si>
    <t>L000013064</t>
  </si>
  <si>
    <t>L000013100</t>
  </si>
  <si>
    <t>L000013191</t>
  </si>
  <si>
    <t>L000013196</t>
  </si>
  <si>
    <t>L000013253</t>
  </si>
  <si>
    <t>L000013264</t>
  </si>
  <si>
    <t>L000013272</t>
  </si>
  <si>
    <t>L000013292</t>
  </si>
  <si>
    <t>L000013309</t>
  </si>
  <si>
    <t>L000013394</t>
  </si>
  <si>
    <t>L000013450</t>
  </si>
  <si>
    <t>L000013478</t>
  </si>
  <si>
    <t>P000000043</t>
  </si>
  <si>
    <t>P000000048</t>
  </si>
  <si>
    <t>P000000127</t>
  </si>
  <si>
    <t>P000000180</t>
  </si>
  <si>
    <t>P000000191</t>
  </si>
  <si>
    <t>P000000249</t>
  </si>
  <si>
    <t>P000000279</t>
  </si>
  <si>
    <t>P000000391</t>
  </si>
  <si>
    <t>P000000420</t>
  </si>
  <si>
    <t>P000000424</t>
  </si>
  <si>
    <t>P000000456</t>
  </si>
  <si>
    <t>P000000467</t>
  </si>
  <si>
    <t>P000000486</t>
  </si>
  <si>
    <t>P000000568</t>
  </si>
  <si>
    <t>P000000571</t>
  </si>
  <si>
    <t>P000000605</t>
  </si>
  <si>
    <t>P000000606</t>
  </si>
  <si>
    <t>P000000734</t>
  </si>
  <si>
    <t>P000000808</t>
  </si>
  <si>
    <t>P000000864</t>
  </si>
  <si>
    <t>P000000875</t>
  </si>
  <si>
    <t>P000000879</t>
  </si>
  <si>
    <t>P000000932</t>
  </si>
  <si>
    <t>P000000934</t>
  </si>
  <si>
    <t>P000000956</t>
  </si>
  <si>
    <t>P000000986</t>
  </si>
  <si>
    <t>G000000072</t>
  </si>
  <si>
    <t>G000000132</t>
  </si>
  <si>
    <t>G000000137</t>
  </si>
  <si>
    <t>G000000162</t>
  </si>
  <si>
    <t>G000000181</t>
  </si>
  <si>
    <t>G000000244</t>
  </si>
  <si>
    <t>G000000246</t>
  </si>
  <si>
    <t>G000000276</t>
  </si>
  <si>
    <t>G000000348</t>
  </si>
  <si>
    <t>G000000373</t>
  </si>
  <si>
    <t>G000000385</t>
  </si>
  <si>
    <t>G000000393</t>
  </si>
  <si>
    <t>G000000422</t>
  </si>
  <si>
    <t>G000000440</t>
  </si>
  <si>
    <t>G000000446</t>
  </si>
  <si>
    <t>G000000466</t>
  </si>
  <si>
    <t>G000000468</t>
  </si>
  <si>
    <t>G000000469</t>
  </si>
  <si>
    <t>G000000481</t>
  </si>
  <si>
    <t>G000000491</t>
  </si>
  <si>
    <t>G000000502</t>
  </si>
  <si>
    <t>G000000510</t>
  </si>
  <si>
    <t>G000000525</t>
  </si>
  <si>
    <t>G000000650</t>
  </si>
  <si>
    <t>G000000699</t>
  </si>
  <si>
    <t>G000000704</t>
  </si>
  <si>
    <t>G000000714</t>
  </si>
  <si>
    <t>G000000762</t>
  </si>
  <si>
    <t>G000000770</t>
  </si>
  <si>
    <t>G000000884</t>
  </si>
  <si>
    <t>G000000894</t>
  </si>
  <si>
    <t>G000000896</t>
  </si>
  <si>
    <t>G000000967</t>
  </si>
  <si>
    <t>G000000970</t>
  </si>
  <si>
    <t>G000000997</t>
  </si>
  <si>
    <t>G000001015</t>
  </si>
  <si>
    <t>G000001024</t>
  </si>
  <si>
    <t>G000001030</t>
  </si>
  <si>
    <t>G000001075</t>
  </si>
  <si>
    <t>G000001093</t>
  </si>
  <si>
    <t>H000000004</t>
  </si>
  <si>
    <t>H000000256</t>
  </si>
  <si>
    <t>H000000373</t>
  </si>
  <si>
    <t>H000000376</t>
  </si>
  <si>
    <t>H000000421</t>
  </si>
  <si>
    <t>H000000507</t>
  </si>
  <si>
    <t>H000000607</t>
  </si>
  <si>
    <t>H000000616</t>
  </si>
  <si>
    <t>H000000672</t>
  </si>
  <si>
    <t>H000000747</t>
  </si>
  <si>
    <t>H000000810</t>
  </si>
  <si>
    <t>H000000860</t>
  </si>
  <si>
    <t>H000000865</t>
  </si>
  <si>
    <t>H000000929</t>
  </si>
  <si>
    <t>H000000938</t>
  </si>
  <si>
    <t>H000000947</t>
  </si>
  <si>
    <t>H000001065</t>
  </si>
  <si>
    <t>H000001160</t>
  </si>
  <si>
    <t>H000001172</t>
  </si>
  <si>
    <t>H000001298</t>
  </si>
  <si>
    <t>H000001374</t>
  </si>
  <si>
    <t>H000001402</t>
  </si>
  <si>
    <t>H000001403</t>
  </si>
  <si>
    <t>H000001405</t>
  </si>
  <si>
    <t>H000001485</t>
  </si>
  <si>
    <t>H000001494</t>
  </si>
  <si>
    <t>H000001511</t>
  </si>
  <si>
    <t>H000001563</t>
  </si>
  <si>
    <t>H000001649</t>
  </si>
  <si>
    <t>H000001690</t>
  </si>
  <si>
    <t>H000001725</t>
  </si>
  <si>
    <t>H000001726</t>
  </si>
  <si>
    <t>H000001734</t>
  </si>
  <si>
    <t>H000001941</t>
  </si>
  <si>
    <t>H000001957</t>
  </si>
  <si>
    <t>H000001974</t>
  </si>
  <si>
    <t>H000001986</t>
  </si>
  <si>
    <t>H000002059</t>
  </si>
  <si>
    <t>H000002060</t>
  </si>
  <si>
    <t>H000002068</t>
  </si>
  <si>
    <t>H000002175</t>
  </si>
  <si>
    <t>H000002178</t>
  </si>
  <si>
    <t>H000002210</t>
  </si>
  <si>
    <t>H000002213</t>
  </si>
  <si>
    <t>H000002245</t>
  </si>
  <si>
    <t>H000002248</t>
  </si>
  <si>
    <t>H000002286</t>
  </si>
  <si>
    <t>H000002288</t>
  </si>
  <si>
    <t>H000002319</t>
  </si>
  <si>
    <t>H000002322</t>
  </si>
  <si>
    <t>H000002354</t>
  </si>
  <si>
    <t>H000002357</t>
  </si>
  <si>
    <t>H000002389</t>
  </si>
  <si>
    <t>H000002392</t>
  </si>
  <si>
    <t>H000002424</t>
  </si>
  <si>
    <t>H000002427</t>
  </si>
  <si>
    <t>H000002466</t>
  </si>
  <si>
    <t>H000002494</t>
  </si>
  <si>
    <t>H000002510</t>
  </si>
  <si>
    <t>H000002521</t>
  </si>
  <si>
    <t>H000002523</t>
  </si>
  <si>
    <t>H000002524</t>
  </si>
  <si>
    <t>H000002533</t>
  </si>
  <si>
    <t>H000002544</t>
  </si>
  <si>
    <t>H000002574</t>
  </si>
  <si>
    <t>H000002575</t>
  </si>
  <si>
    <t>H000002619</t>
  </si>
  <si>
    <t>H000002641</t>
  </si>
  <si>
    <t>H000002658</t>
  </si>
  <si>
    <t>H000002677</t>
  </si>
  <si>
    <t>H000002678</t>
  </si>
  <si>
    <t>H000002722</t>
  </si>
  <si>
    <t>H000002771</t>
  </si>
  <si>
    <t>H000002777</t>
  </si>
  <si>
    <t>H000002809</t>
  </si>
  <si>
    <t>H000002865</t>
  </si>
  <si>
    <t>H000002868</t>
  </si>
  <si>
    <t>H000002915</t>
  </si>
  <si>
    <t>H000002918</t>
  </si>
  <si>
    <t>H000002942</t>
  </si>
  <si>
    <t>H000002944</t>
  </si>
  <si>
    <t>H000002986</t>
  </si>
  <si>
    <t>H000002990</t>
  </si>
  <si>
    <t>H000002994</t>
  </si>
  <si>
    <t>H000002998</t>
  </si>
  <si>
    <t>H000003023</t>
  </si>
  <si>
    <t>H000003027</t>
  </si>
  <si>
    <t>H000003031</t>
  </si>
  <si>
    <t>H000003034</t>
  </si>
  <si>
    <t>H000003078</t>
  </si>
  <si>
    <t>H000003082</t>
  </si>
  <si>
    <t>H000003085</t>
  </si>
  <si>
    <t>H000003088</t>
  </si>
  <si>
    <t>H000003116</t>
  </si>
  <si>
    <t>H000003136</t>
  </si>
  <si>
    <t>H000003139</t>
  </si>
  <si>
    <t>H000003142</t>
  </si>
  <si>
    <t>H000003145</t>
  </si>
  <si>
    <t>H000003173</t>
  </si>
  <si>
    <t>H000003189</t>
  </si>
  <si>
    <t>H000003256</t>
  </si>
  <si>
    <t>H000003259</t>
  </si>
  <si>
    <t>H000003262</t>
  </si>
  <si>
    <t>H000003265</t>
  </si>
  <si>
    <t>H000003395</t>
  </si>
  <si>
    <t>H000003406</t>
  </si>
  <si>
    <t>H000003410</t>
  </si>
  <si>
    <t>H000003413</t>
  </si>
  <si>
    <t>H000003417</t>
  </si>
  <si>
    <t>H000003479</t>
  </si>
  <si>
    <t>H000003535</t>
  </si>
  <si>
    <t>H000003538</t>
  </si>
  <si>
    <t>H000003636</t>
  </si>
  <si>
    <t>H000003654</t>
  </si>
  <si>
    <t>H000003696</t>
  </si>
  <si>
    <t>H000003717</t>
  </si>
  <si>
    <t>H000003743</t>
  </si>
  <si>
    <t>H000003763</t>
  </si>
  <si>
    <t>H000003784</t>
  </si>
  <si>
    <t>H000003804</t>
  </si>
  <si>
    <t>H000003824</t>
  </si>
  <si>
    <t>H000003967</t>
  </si>
  <si>
    <t>H000003985</t>
  </si>
  <si>
    <t>H000003999</t>
  </si>
  <si>
    <t>H000004013</t>
  </si>
  <si>
    <t>H000004014</t>
  </si>
  <si>
    <t>H000004016</t>
  </si>
  <si>
    <t>H000004162</t>
  </si>
  <si>
    <t>H000004264</t>
  </si>
  <si>
    <t>H000004279</t>
  </si>
  <si>
    <t>H000004280</t>
  </si>
  <si>
    <t>H000004281</t>
  </si>
  <si>
    <t>H000004282</t>
  </si>
  <si>
    <t>H000004287</t>
  </si>
  <si>
    <t>H000004288</t>
  </si>
  <si>
    <t>H000004289</t>
  </si>
  <si>
    <t>H000004294</t>
  </si>
  <si>
    <t>H000004295</t>
  </si>
  <si>
    <t>IT06020000</t>
  </si>
  <si>
    <t>IT06040300</t>
  </si>
  <si>
    <t>IT06060800</t>
  </si>
  <si>
    <t>IT06130700</t>
  </si>
  <si>
    <t>IT06900101</t>
  </si>
  <si>
    <t>L000005070</t>
  </si>
  <si>
    <t>L000005071</t>
  </si>
  <si>
    <t>L000005103</t>
  </si>
  <si>
    <t>L000005122</t>
  </si>
  <si>
    <t>L000005135</t>
  </si>
  <si>
    <t>L000005149</t>
  </si>
  <si>
    <t>L000005196</t>
  </si>
  <si>
    <t>L000005271</t>
  </si>
  <si>
    <t>L000005310</t>
  </si>
  <si>
    <t>L000005350</t>
  </si>
  <si>
    <t>L000005365</t>
  </si>
  <si>
    <t>L000005414</t>
  </si>
  <si>
    <t>L000005417</t>
  </si>
  <si>
    <t>L000005435</t>
  </si>
  <si>
    <t>L000005446</t>
  </si>
  <si>
    <t>L000005634</t>
  </si>
  <si>
    <t>L000005650</t>
  </si>
  <si>
    <t>L000005652</t>
  </si>
  <si>
    <t>L000005686</t>
  </si>
  <si>
    <t>L000005696</t>
  </si>
  <si>
    <t>L000005703</t>
  </si>
  <si>
    <t>L000005713</t>
  </si>
  <si>
    <t>L000005725</t>
  </si>
  <si>
    <t>L000005729</t>
  </si>
  <si>
    <t>L000005770</t>
  </si>
  <si>
    <t>L000005788</t>
  </si>
  <si>
    <t>L000005791</t>
  </si>
  <si>
    <t>L000005793</t>
  </si>
  <si>
    <t>L000005806</t>
  </si>
  <si>
    <t>L000005835</t>
  </si>
  <si>
    <t>L000005856</t>
  </si>
  <si>
    <t>L000005857</t>
  </si>
  <si>
    <t>L000005872</t>
  </si>
  <si>
    <t>L000005881</t>
  </si>
  <si>
    <t>L000005896</t>
  </si>
  <si>
    <t>L000005900</t>
  </si>
  <si>
    <t>L000006077</t>
  </si>
  <si>
    <t>L000006116</t>
  </si>
  <si>
    <t>L000006149</t>
  </si>
  <si>
    <t>L000006153</t>
  </si>
  <si>
    <t>L000006173</t>
  </si>
  <si>
    <t>L000006299</t>
  </si>
  <si>
    <t>L000006321</t>
  </si>
  <si>
    <t>L000006322</t>
  </si>
  <si>
    <t>L000006323</t>
  </si>
  <si>
    <t>L000006431</t>
  </si>
  <si>
    <t>L000006568</t>
  </si>
  <si>
    <t>L000006583</t>
  </si>
  <si>
    <t>L000006647</t>
  </si>
  <si>
    <t>L000006823</t>
  </si>
  <si>
    <t>L000006936</t>
  </si>
  <si>
    <t>L000007082</t>
  </si>
  <si>
    <t>L000007105</t>
  </si>
  <si>
    <t>L000007114</t>
  </si>
  <si>
    <t>L000007532</t>
  </si>
  <si>
    <t>L000007553</t>
  </si>
  <si>
    <t>L000007715</t>
  </si>
  <si>
    <t>L000007731</t>
  </si>
  <si>
    <t>L000007961</t>
  </si>
  <si>
    <t>L000007983</t>
  </si>
  <si>
    <t>L000007997</t>
  </si>
  <si>
    <t>L000007998</t>
  </si>
  <si>
    <t>L000008016</t>
  </si>
  <si>
    <t>L000008065</t>
  </si>
  <si>
    <t>L000008110</t>
  </si>
  <si>
    <t>L000008287</t>
  </si>
  <si>
    <t>L000008294</t>
  </si>
  <si>
    <t>L000008306</t>
  </si>
  <si>
    <t>L000008315</t>
  </si>
  <si>
    <t>L000008359</t>
  </si>
  <si>
    <t>L000008373</t>
  </si>
  <si>
    <t>L000008415</t>
  </si>
  <si>
    <t>L000008416</t>
  </si>
  <si>
    <t>L000008421</t>
  </si>
  <si>
    <t>L000008442</t>
  </si>
  <si>
    <t>L000008553</t>
  </si>
  <si>
    <t>L000008626</t>
  </si>
  <si>
    <t>L000008812</t>
  </si>
  <si>
    <t>L000008850</t>
  </si>
  <si>
    <t>L000008851</t>
  </si>
  <si>
    <t>L000008940</t>
  </si>
  <si>
    <t>L000008961</t>
  </si>
  <si>
    <t>L000008969</t>
  </si>
  <si>
    <t>L000009076</t>
  </si>
  <si>
    <t>L000009079</t>
  </si>
  <si>
    <t>L000009083</t>
  </si>
  <si>
    <t>L000009122</t>
  </si>
  <si>
    <t>L000009184</t>
  </si>
  <si>
    <t>L000009224</t>
  </si>
  <si>
    <t>L000009258</t>
  </si>
  <si>
    <t>L000009267</t>
  </si>
  <si>
    <t>L000009309</t>
  </si>
  <si>
    <t>L000009338</t>
  </si>
  <si>
    <t>L000009382</t>
  </si>
  <si>
    <t>L000009384</t>
  </si>
  <si>
    <t>L000009388</t>
  </si>
  <si>
    <t>L000009393</t>
  </si>
  <si>
    <t>L000009406</t>
  </si>
  <si>
    <t>L000009427</t>
  </si>
  <si>
    <t>L000009448</t>
  </si>
  <si>
    <t>L000009460</t>
  </si>
  <si>
    <t>L000009475</t>
  </si>
  <si>
    <t>L000009480</t>
  </si>
  <si>
    <t>L000009511</t>
  </si>
  <si>
    <t>L000009554</t>
  </si>
  <si>
    <t>L000009603</t>
  </si>
  <si>
    <t>L000009606</t>
  </si>
  <si>
    <t>L000009693</t>
  </si>
  <si>
    <t>L000009721</t>
  </si>
  <si>
    <t>L000009958</t>
  </si>
  <si>
    <t>L000010004</t>
  </si>
  <si>
    <t>L000010081</t>
  </si>
  <si>
    <t>L000010105</t>
  </si>
  <si>
    <t>L000010107</t>
  </si>
  <si>
    <t>L000010109</t>
  </si>
  <si>
    <t>L000010120</t>
  </si>
  <si>
    <t>L000010138</t>
  </si>
  <si>
    <t>L000010177</t>
  </si>
  <si>
    <t>L000010210</t>
  </si>
  <si>
    <t>L000010245</t>
  </si>
  <si>
    <t>L000010254</t>
  </si>
  <si>
    <t>L000010258</t>
  </si>
  <si>
    <t>L000010288</t>
  </si>
  <si>
    <t>L000010416</t>
  </si>
  <si>
    <t>L000010592</t>
  </si>
  <si>
    <t>L000010777</t>
  </si>
  <si>
    <t>L000010778</t>
  </si>
  <si>
    <t>L000010779</t>
  </si>
  <si>
    <t>L000010797</t>
  </si>
  <si>
    <t>L000010798</t>
  </si>
  <si>
    <t>L000011146</t>
  </si>
  <si>
    <t>L000011200</t>
  </si>
  <si>
    <t>L000011201</t>
  </si>
  <si>
    <t>L000011207</t>
  </si>
  <si>
    <t>L000011216</t>
  </si>
  <si>
    <t>L000011217</t>
  </si>
  <si>
    <t>L000011218</t>
  </si>
  <si>
    <t>L000011283</t>
  </si>
  <si>
    <t>L000011288</t>
  </si>
  <si>
    <t>L000011290</t>
  </si>
  <si>
    <t>L000011312</t>
  </si>
  <si>
    <t>L000011313</t>
  </si>
  <si>
    <t>L000011314</t>
  </si>
  <si>
    <t>L000011358</t>
  </si>
  <si>
    <t>L000011368</t>
  </si>
  <si>
    <t>L000011379</t>
  </si>
  <si>
    <t>L000011387</t>
  </si>
  <si>
    <t>L000011399</t>
  </si>
  <si>
    <t>L000011415</t>
  </si>
  <si>
    <t>L000011446</t>
  </si>
  <si>
    <t>L000011506</t>
  </si>
  <si>
    <t>L000011669</t>
  </si>
  <si>
    <t>L000011670</t>
  </si>
  <si>
    <t>L000011746</t>
  </si>
  <si>
    <t>L000011747</t>
  </si>
  <si>
    <t>L000011748</t>
  </si>
  <si>
    <t>L000011762</t>
  </si>
  <si>
    <t>L000011766</t>
  </si>
  <si>
    <t>L000011767</t>
  </si>
  <si>
    <t>L000011768</t>
  </si>
  <si>
    <t>L000011823</t>
  </si>
  <si>
    <t>L000011845</t>
  </si>
  <si>
    <t>L000011849</t>
  </si>
  <si>
    <t>L000011882</t>
  </si>
  <si>
    <t>L000011925</t>
  </si>
  <si>
    <t>L000011963</t>
  </si>
  <si>
    <t>L000011964</t>
  </si>
  <si>
    <t>L000012000</t>
  </si>
  <si>
    <t>L000012015</t>
  </si>
  <si>
    <t>L000012018</t>
  </si>
  <si>
    <t>L000012026</t>
  </si>
  <si>
    <t>L000012041</t>
  </si>
  <si>
    <t>L000012052</t>
  </si>
  <si>
    <t>L000012087</t>
  </si>
  <si>
    <t>L000012120</t>
  </si>
  <si>
    <t>L000012146</t>
  </si>
  <si>
    <t>L000012156</t>
  </si>
  <si>
    <t>L000012171</t>
  </si>
  <si>
    <t>L000012274</t>
  </si>
  <si>
    <t>L000012292</t>
  </si>
  <si>
    <t>L000012324</t>
  </si>
  <si>
    <t>L000012335</t>
  </si>
  <si>
    <t>L000012450</t>
  </si>
  <si>
    <t>L000012482</t>
  </si>
  <si>
    <t>L000012504</t>
  </si>
  <si>
    <t>L000012526</t>
  </si>
  <si>
    <t>L000012527</t>
  </si>
  <si>
    <t>L000012536</t>
  </si>
  <si>
    <t>L000012537</t>
  </si>
  <si>
    <t>L000012539</t>
  </si>
  <si>
    <t>L000012854</t>
  </si>
  <si>
    <t>L000012877</t>
  </si>
  <si>
    <t>L000012893</t>
  </si>
  <si>
    <t>L000012910</t>
  </si>
  <si>
    <t>L000012913</t>
  </si>
  <si>
    <t>L000012923</t>
  </si>
  <si>
    <t>L000012943</t>
  </si>
  <si>
    <t>L000012966</t>
  </si>
  <si>
    <t>L000012977</t>
  </si>
  <si>
    <t>L000012978</t>
  </si>
  <si>
    <t>L000013013</t>
  </si>
  <si>
    <t>L000013025</t>
  </si>
  <si>
    <t>L000013026</t>
  </si>
  <si>
    <t>L000013032</t>
  </si>
  <si>
    <t>L000013033</t>
  </si>
  <si>
    <t>L000013045</t>
  </si>
  <si>
    <t>L000013086</t>
  </si>
  <si>
    <t>L000013087</t>
  </si>
  <si>
    <t>L000013119</t>
  </si>
  <si>
    <t>L000013143</t>
  </si>
  <si>
    <t>L000013162</t>
  </si>
  <si>
    <t>L000013257</t>
  </si>
  <si>
    <t>L000013290</t>
  </si>
  <si>
    <t>L000013333</t>
  </si>
  <si>
    <t>L000013334</t>
  </si>
  <si>
    <t>L000013339</t>
  </si>
  <si>
    <t>L000013343</t>
  </si>
  <si>
    <t>L000013356</t>
  </si>
  <si>
    <t>L000013364</t>
  </si>
  <si>
    <t>L000013373</t>
  </si>
  <si>
    <t>L000013409</t>
  </si>
  <si>
    <t>L000013423</t>
  </si>
  <si>
    <t>L000013470</t>
  </si>
  <si>
    <t>L000013479</t>
  </si>
  <si>
    <t>L000013484</t>
  </si>
  <si>
    <t>L000013485</t>
  </si>
  <si>
    <t>L000013487</t>
  </si>
  <si>
    <t>O000000004</t>
  </si>
  <si>
    <t>P000000027</t>
  </si>
  <si>
    <t>P000000035</t>
  </si>
  <si>
    <t>P000000044</t>
  </si>
  <si>
    <t>P000000052</t>
  </si>
  <si>
    <t>P000000070</t>
  </si>
  <si>
    <t>P000000071</t>
  </si>
  <si>
    <t>P000000077</t>
  </si>
  <si>
    <t>P000000099</t>
  </si>
  <si>
    <t>P000000151</t>
  </si>
  <si>
    <t>P000000211</t>
  </si>
  <si>
    <t>P000000241</t>
  </si>
  <si>
    <t>P000000453</t>
  </si>
  <si>
    <t>P000000488</t>
  </si>
  <si>
    <t>P000000494</t>
  </si>
  <si>
    <t>P000000522</t>
  </si>
  <si>
    <t>P000000528</t>
  </si>
  <si>
    <t>P000000579</t>
  </si>
  <si>
    <t>P000000735</t>
  </si>
  <si>
    <t>P000000764</t>
  </si>
  <si>
    <t>P000000798</t>
  </si>
  <si>
    <t>P000000841</t>
  </si>
  <si>
    <t>P000000887</t>
  </si>
  <si>
    <t>P000000908</t>
  </si>
  <si>
    <t>PL_E1_INAA</t>
  </si>
  <si>
    <t>PL_E1_TWAC</t>
  </si>
  <si>
    <t>PL_E4_IE03</t>
  </si>
  <si>
    <t>PL_E5_CH21</t>
  </si>
  <si>
    <t>PL_E7_6301</t>
  </si>
  <si>
    <t>RDC0000133</t>
  </si>
  <si>
    <t>RDC0000135</t>
  </si>
  <si>
    <t>G000000048</t>
  </si>
  <si>
    <t>G000000108</t>
  </si>
  <si>
    <t>G000000143</t>
  </si>
  <si>
    <t>G000000240</t>
  </si>
  <si>
    <t>G000000242</t>
  </si>
  <si>
    <t>G000000252</t>
  </si>
  <si>
    <t>G000000288</t>
  </si>
  <si>
    <t>G000000359</t>
  </si>
  <si>
    <t>G000000366</t>
  </si>
  <si>
    <t>G000000382</t>
  </si>
  <si>
    <t>G000000421</t>
  </si>
  <si>
    <t>G000000425</t>
  </si>
  <si>
    <t>G000000445</t>
  </si>
  <si>
    <t>G000000451</t>
  </si>
  <si>
    <t>G000000464</t>
  </si>
  <si>
    <t>G000000478</t>
  </si>
  <si>
    <t>G000000496</t>
  </si>
  <si>
    <t>G000000538</t>
  </si>
  <si>
    <t>G000000554</t>
  </si>
  <si>
    <t>G000000680</t>
  </si>
  <si>
    <t>G000000753</t>
  </si>
  <si>
    <t>G000000760</t>
  </si>
  <si>
    <t>G000000880</t>
  </si>
  <si>
    <t>G000000882</t>
  </si>
  <si>
    <t>G000000924</t>
  </si>
  <si>
    <t>G000000934</t>
  </si>
  <si>
    <t>G000000939</t>
  </si>
  <si>
    <t>G000000941</t>
  </si>
  <si>
    <t>G000000950</t>
  </si>
  <si>
    <t>G000000953</t>
  </si>
  <si>
    <t>G000000956</t>
  </si>
  <si>
    <t>G000000965</t>
  </si>
  <si>
    <t>G000000993</t>
  </si>
  <si>
    <t>G000001013</t>
  </si>
  <si>
    <t>G000001034</t>
  </si>
  <si>
    <t>G000001043</t>
  </si>
  <si>
    <t>G000001052</t>
  </si>
  <si>
    <t>G000001055</t>
  </si>
  <si>
    <t>G000001059</t>
  </si>
  <si>
    <t>G000001080</t>
  </si>
  <si>
    <t>G000001083</t>
  </si>
  <si>
    <t>H000000378</t>
  </si>
  <si>
    <t>H000000385</t>
  </si>
  <si>
    <t>H000000638</t>
  </si>
  <si>
    <t>H000000661</t>
  </si>
  <si>
    <t>H000000678</t>
  </si>
  <si>
    <t>H000000772</t>
  </si>
  <si>
    <t>H000000777</t>
  </si>
  <si>
    <t>H000000854</t>
  </si>
  <si>
    <t>H000000858</t>
  </si>
  <si>
    <t>H000000861</t>
  </si>
  <si>
    <t>H000000911</t>
  </si>
  <si>
    <t>H000000943</t>
  </si>
  <si>
    <t>H000000954</t>
  </si>
  <si>
    <t>H000000986</t>
  </si>
  <si>
    <t>H000000995</t>
  </si>
  <si>
    <t>H000001152</t>
  </si>
  <si>
    <t>H000001175</t>
  </si>
  <si>
    <t>H000001176</t>
  </si>
  <si>
    <t>H000001191</t>
  </si>
  <si>
    <t>H000001196</t>
  </si>
  <si>
    <t>H000001227</t>
  </si>
  <si>
    <t>H000001237</t>
  </si>
  <si>
    <t>H000001241</t>
  </si>
  <si>
    <t>H000001260</t>
  </si>
  <si>
    <t>H000001294</t>
  </si>
  <si>
    <t>H000001297</t>
  </si>
  <si>
    <t>H000001338</t>
  </si>
  <si>
    <t>H000001389</t>
  </si>
  <si>
    <t>H000001390</t>
  </si>
  <si>
    <t>H000001414</t>
  </si>
  <si>
    <t>H000001431</t>
  </si>
  <si>
    <t>H000001480</t>
  </si>
  <si>
    <t>H000001501</t>
  </si>
  <si>
    <t>H000001509</t>
  </si>
  <si>
    <t>H000001529</t>
  </si>
  <si>
    <t>H000001549</t>
  </si>
  <si>
    <t>H000001559</t>
  </si>
  <si>
    <t>H000001620</t>
  </si>
  <si>
    <t>H000001624</t>
  </si>
  <si>
    <t>H000001636</t>
  </si>
  <si>
    <t>H000001647</t>
  </si>
  <si>
    <t>H000001700</t>
  </si>
  <si>
    <t>H000001724</t>
  </si>
  <si>
    <t>H000001742</t>
  </si>
  <si>
    <t>H000001806</t>
  </si>
  <si>
    <t>H000001836</t>
  </si>
  <si>
    <t>H000001862</t>
  </si>
  <si>
    <t>H000001870</t>
  </si>
  <si>
    <t>H000001875</t>
  </si>
  <si>
    <t>H000001903</t>
  </si>
  <si>
    <t>H000001919</t>
  </si>
  <si>
    <t>H000001939</t>
  </si>
  <si>
    <t>H000001947</t>
  </si>
  <si>
    <t>H000001949</t>
  </si>
  <si>
    <t>H000001992</t>
  </si>
  <si>
    <t>H000002016</t>
  </si>
  <si>
    <t>H000002031</t>
  </si>
  <si>
    <t>H000002058</t>
  </si>
  <si>
    <t>H000002076</t>
  </si>
  <si>
    <t>H000002091</t>
  </si>
  <si>
    <t>H000002121</t>
  </si>
  <si>
    <t>H000002157</t>
  </si>
  <si>
    <t>H000002173</t>
  </si>
  <si>
    <t>H000002185</t>
  </si>
  <si>
    <t>H000002208</t>
  </si>
  <si>
    <t>H000002220</t>
  </si>
  <si>
    <t>H000002243</t>
  </si>
  <si>
    <t>H000002255</t>
  </si>
  <si>
    <t>H000002294</t>
  </si>
  <si>
    <t>H000002317</t>
  </si>
  <si>
    <t>H000002329</t>
  </si>
  <si>
    <t>H000002352</t>
  </si>
  <si>
    <t>H000002364</t>
  </si>
  <si>
    <t>H000002387</t>
  </si>
  <si>
    <t>H000002399</t>
  </si>
  <si>
    <t>H000002422</t>
  </si>
  <si>
    <t>H000002434</t>
  </si>
  <si>
    <t>H000002463</t>
  </si>
  <si>
    <t>H000002477</t>
  </si>
  <si>
    <t>H000002492</t>
  </si>
  <si>
    <t>H000002496</t>
  </si>
  <si>
    <t>H000002522</t>
  </si>
  <si>
    <t>H000002538</t>
  </si>
  <si>
    <t>H000002554</t>
  </si>
  <si>
    <t>H000002564</t>
  </si>
  <si>
    <t>H000002597</t>
  </si>
  <si>
    <t>H000002649</t>
  </si>
  <si>
    <t>H000002672</t>
  </si>
  <si>
    <t>H000002681</t>
  </si>
  <si>
    <t>H000002684</t>
  </si>
  <si>
    <t>H000002686</t>
  </si>
  <si>
    <t>H000002728</t>
  </si>
  <si>
    <t>H000002747</t>
  </si>
  <si>
    <t>H000002758</t>
  </si>
  <si>
    <t>H000002763</t>
  </si>
  <si>
    <t>H000002797</t>
  </si>
  <si>
    <t>H000002815</t>
  </si>
  <si>
    <t>H000002833</t>
  </si>
  <si>
    <t>H000002840</t>
  </si>
  <si>
    <t>H000002844</t>
  </si>
  <si>
    <t>H000002869</t>
  </si>
  <si>
    <t>H000002890</t>
  </si>
  <si>
    <t>H000002895</t>
  </si>
  <si>
    <t>H000002928</t>
  </si>
  <si>
    <t>H000002930</t>
  </si>
  <si>
    <t>H000002952</t>
  </si>
  <si>
    <t>H000003075</t>
  </si>
  <si>
    <t>H000003121</t>
  </si>
  <si>
    <t>H000003129</t>
  </si>
  <si>
    <t>H000003131</t>
  </si>
  <si>
    <t>H000003175</t>
  </si>
  <si>
    <t>H000003186</t>
  </si>
  <si>
    <t>H000003191</t>
  </si>
  <si>
    <t>H000003220</t>
  </si>
  <si>
    <t>H000003241</t>
  </si>
  <si>
    <t>H000003249</t>
  </si>
  <si>
    <t>H000003251</t>
  </si>
  <si>
    <t>H000003296</t>
  </si>
  <si>
    <t>H000003298</t>
  </si>
  <si>
    <t>H000003311</t>
  </si>
  <si>
    <t>H000003315</t>
  </si>
  <si>
    <t>H000003353</t>
  </si>
  <si>
    <t>H000003357</t>
  </si>
  <si>
    <t>H000003388</t>
  </si>
  <si>
    <t>H000003403</t>
  </si>
  <si>
    <t>H000003444</t>
  </si>
  <si>
    <t>H000003445</t>
  </si>
  <si>
    <t>H000003469</t>
  </si>
  <si>
    <t>H000003478</t>
  </si>
  <si>
    <t>H000003482</t>
  </si>
  <si>
    <t>H000003484</t>
  </si>
  <si>
    <t>H000003486</t>
  </si>
  <si>
    <t>H000003510</t>
  </si>
  <si>
    <t>H000003520</t>
  </si>
  <si>
    <t>H000003522</t>
  </si>
  <si>
    <t>H000003532</t>
  </si>
  <si>
    <t>H000003561</t>
  </si>
  <si>
    <t>H000003563</t>
  </si>
  <si>
    <t>H000003628</t>
  </si>
  <si>
    <t>H000003843</t>
  </si>
  <si>
    <t>H000003958</t>
  </si>
  <si>
    <t>H000003976</t>
  </si>
  <si>
    <t>H000003988</t>
  </si>
  <si>
    <t>H000003990</t>
  </si>
  <si>
    <t>H000003991</t>
  </si>
  <si>
    <t>H000004001</t>
  </si>
  <si>
    <t>H000004055</t>
  </si>
  <si>
    <t>H000004063</t>
  </si>
  <si>
    <t>H000004064</t>
  </si>
  <si>
    <t>H000004067</t>
  </si>
  <si>
    <t>H000004108</t>
  </si>
  <si>
    <t>H000004116</t>
  </si>
  <si>
    <t>H000004121</t>
  </si>
  <si>
    <t>H000004186</t>
  </si>
  <si>
    <t>H000004195</t>
  </si>
  <si>
    <t>H000004196</t>
  </si>
  <si>
    <t>H000004198</t>
  </si>
  <si>
    <t>H000004214</t>
  </si>
  <si>
    <t>H000004216</t>
  </si>
  <si>
    <t>H000004217</t>
  </si>
  <si>
    <t>H000004283</t>
  </si>
  <si>
    <t>H000004284</t>
  </si>
  <si>
    <t>H000004285</t>
  </si>
  <si>
    <t>H000004286</t>
  </si>
  <si>
    <t>H000004290</t>
  </si>
  <si>
    <t>H000004291</t>
  </si>
  <si>
    <t>H000004292</t>
  </si>
  <si>
    <t>H000004293</t>
  </si>
  <si>
    <t>H000004297</t>
  </si>
  <si>
    <t>H000004298</t>
  </si>
  <si>
    <t>H000004303</t>
  </si>
  <si>
    <t>IT06042240</t>
  </si>
  <si>
    <t>IT06060100</t>
  </si>
  <si>
    <t>IT06060700</t>
  </si>
  <si>
    <t>L000005065</t>
  </si>
  <si>
    <t>L000005067</t>
  </si>
  <si>
    <t>L000005068</t>
  </si>
  <si>
    <t>L000005069</t>
  </si>
  <si>
    <t>L000005073</t>
  </si>
  <si>
    <t>L000005077</t>
  </si>
  <si>
    <t>L000005088</t>
  </si>
  <si>
    <t>L000005201</t>
  </si>
  <si>
    <t>L000005223</t>
  </si>
  <si>
    <t>L000005224</t>
  </si>
  <si>
    <t>L000005281</t>
  </si>
  <si>
    <t>L000005303</t>
  </si>
  <si>
    <t>L000005322</t>
  </si>
  <si>
    <t>L000005326</t>
  </si>
  <si>
    <t>L000005360</t>
  </si>
  <si>
    <t>L000005398</t>
  </si>
  <si>
    <t>L000005438</t>
  </si>
  <si>
    <t>L000005439</t>
  </si>
  <si>
    <t>L000005440</t>
  </si>
  <si>
    <t>L000005445</t>
  </si>
  <si>
    <t>L000005465</t>
  </si>
  <si>
    <t>L000005490</t>
  </si>
  <si>
    <t>L000005637</t>
  </si>
  <si>
    <t>L000005638</t>
  </si>
  <si>
    <t>L000005641</t>
  </si>
  <si>
    <t>L000005656</t>
  </si>
  <si>
    <t>L000005657</t>
  </si>
  <si>
    <t>L000005662</t>
  </si>
  <si>
    <t>L000005677</t>
  </si>
  <si>
    <t>L000005702</t>
  </si>
  <si>
    <t>L000005704</t>
  </si>
  <si>
    <t>L000005707</t>
  </si>
  <si>
    <t>L000005712</t>
  </si>
  <si>
    <t>L000005720</t>
  </si>
  <si>
    <t>L000005732</t>
  </si>
  <si>
    <t>L000005747</t>
  </si>
  <si>
    <t>L000005767</t>
  </si>
  <si>
    <t>L000005771</t>
  </si>
  <si>
    <t>L000005815</t>
  </si>
  <si>
    <t>L000005827</t>
  </si>
  <si>
    <t>L000005864</t>
  </si>
  <si>
    <t>L000005866</t>
  </si>
  <si>
    <t>L000005867</t>
  </si>
  <si>
    <t>L000005874</t>
  </si>
  <si>
    <t>L000005882</t>
  </si>
  <si>
    <t>L000005884</t>
  </si>
  <si>
    <t>L000005893</t>
  </si>
  <si>
    <t>L000005902</t>
  </si>
  <si>
    <t>L000005926</t>
  </si>
  <si>
    <t>L000005949</t>
  </si>
  <si>
    <t>L000005951</t>
  </si>
  <si>
    <t>L000005962</t>
  </si>
  <si>
    <t>L000006080</t>
  </si>
  <si>
    <t>L000006081</t>
  </si>
  <si>
    <t>L000006106</t>
  </si>
  <si>
    <t>L000006108</t>
  </si>
  <si>
    <t>L000006110</t>
  </si>
  <si>
    <t>L000006123</t>
  </si>
  <si>
    <t>L000006126</t>
  </si>
  <si>
    <t>L000006129</t>
  </si>
  <si>
    <t>L000006151</t>
  </si>
  <si>
    <t>L000006159</t>
  </si>
  <si>
    <t>L000006169</t>
  </si>
  <si>
    <t>L000006174</t>
  </si>
  <si>
    <t>L000006311</t>
  </si>
  <si>
    <t>L000006318</t>
  </si>
  <si>
    <t>L000006408</t>
  </si>
  <si>
    <t>L000006557</t>
  </si>
  <si>
    <t>L000006562</t>
  </si>
  <si>
    <t>L000006663</t>
  </si>
  <si>
    <t>L000006944</t>
  </si>
  <si>
    <t>L000007007</t>
  </si>
  <si>
    <t>L000007085</t>
  </si>
  <si>
    <t>L000007086</t>
  </si>
  <si>
    <t>L000007113</t>
  </si>
  <si>
    <t>L000007361</t>
  </si>
  <si>
    <t>L000007365</t>
  </si>
  <si>
    <t>L000007366</t>
  </si>
  <si>
    <t>L000007378</t>
  </si>
  <si>
    <t>L000007596</t>
  </si>
  <si>
    <t>L000007628</t>
  </si>
  <si>
    <t>L000007719</t>
  </si>
  <si>
    <t>L000007724</t>
  </si>
  <si>
    <t>L000007789</t>
  </si>
  <si>
    <t>L000007925</t>
  </si>
  <si>
    <t>L000007979</t>
  </si>
  <si>
    <t>L000008027</t>
  </si>
  <si>
    <t>L000008260</t>
  </si>
  <si>
    <t>L000008286</t>
  </si>
  <si>
    <t>L000008299</t>
  </si>
  <si>
    <t>L000008307</t>
  </si>
  <si>
    <t>L000008329</t>
  </si>
  <si>
    <t>L000008335</t>
  </si>
  <si>
    <t>L000008386</t>
  </si>
  <si>
    <t>L000008401</t>
  </si>
  <si>
    <t>L000008408</t>
  </si>
  <si>
    <t>L000008437</t>
  </si>
  <si>
    <t>L000008454</t>
  </si>
  <si>
    <t>L000008558</t>
  </si>
  <si>
    <t>L000008783</t>
  </si>
  <si>
    <t>L000008785</t>
  </si>
  <si>
    <t>L000008801</t>
  </si>
  <si>
    <t>L000008915</t>
  </si>
  <si>
    <t>L000008945</t>
  </si>
  <si>
    <t>L000008963</t>
  </si>
  <si>
    <t>L000008964</t>
  </si>
  <si>
    <t>L000009006</t>
  </si>
  <si>
    <t>L000009028</t>
  </si>
  <si>
    <t>L000009070</t>
  </si>
  <si>
    <t>L000009226</t>
  </si>
  <si>
    <t>L000009328</t>
  </si>
  <si>
    <t>L000009334</t>
  </si>
  <si>
    <t>L000009451</t>
  </si>
  <si>
    <t>L000009492</t>
  </si>
  <si>
    <t>L000009572</t>
  </si>
  <si>
    <t>L000009575</t>
  </si>
  <si>
    <t>L000009624</t>
  </si>
  <si>
    <t>L000009625</t>
  </si>
  <si>
    <t>L000009627</t>
  </si>
  <si>
    <t>L000009641</t>
  </si>
  <si>
    <t>L000009736</t>
  </si>
  <si>
    <t>L000009741</t>
  </si>
  <si>
    <t>L000009772</t>
  </si>
  <si>
    <t>L000009773</t>
  </si>
  <si>
    <t>L000009783</t>
  </si>
  <si>
    <t>L000009803</t>
  </si>
  <si>
    <t>L000009815</t>
  </si>
  <si>
    <t>L000009818</t>
  </si>
  <si>
    <t>L000009954</t>
  </si>
  <si>
    <t>L000009970</t>
  </si>
  <si>
    <t>L000009972</t>
  </si>
  <si>
    <t>L000010059</t>
  </si>
  <si>
    <t>L000010070</t>
  </si>
  <si>
    <t>L000010071</t>
  </si>
  <si>
    <t>L000010090</t>
  </si>
  <si>
    <t>L000010178</t>
  </si>
  <si>
    <t>L000010181</t>
  </si>
  <si>
    <t>L000010208</t>
  </si>
  <si>
    <t>L000010209</t>
  </si>
  <si>
    <t>L000010283</t>
  </si>
  <si>
    <t>L000010322</t>
  </si>
  <si>
    <t>L000010554</t>
  </si>
  <si>
    <t>L000010606</t>
  </si>
  <si>
    <t>L000010774</t>
  </si>
  <si>
    <t>L000010780</t>
  </si>
  <si>
    <t>L000010785</t>
  </si>
  <si>
    <t>L000010804</t>
  </si>
  <si>
    <t>L000010806</t>
  </si>
  <si>
    <t>L000010807</t>
  </si>
  <si>
    <t>L000011044</t>
  </si>
  <si>
    <t>L000011045</t>
  </si>
  <si>
    <t>L000011107</t>
  </si>
  <si>
    <t>L000011154</t>
  </si>
  <si>
    <t>L000011227</t>
  </si>
  <si>
    <t>L000011261</t>
  </si>
  <si>
    <t>L000011274</t>
  </si>
  <si>
    <t>L000011310</t>
  </si>
  <si>
    <t>L000011322</t>
  </si>
  <si>
    <t>L000011397</t>
  </si>
  <si>
    <t>L000011540</t>
  </si>
  <si>
    <t>L000011732</t>
  </si>
  <si>
    <t>L000011751</t>
  </si>
  <si>
    <t>L000011812</t>
  </si>
  <si>
    <t>L000011856</t>
  </si>
  <si>
    <t>L000011859</t>
  </si>
  <si>
    <t>L000011881</t>
  </si>
  <si>
    <t>L000011998</t>
  </si>
  <si>
    <t>L000012032</t>
  </si>
  <si>
    <t>L000012086</t>
  </si>
  <si>
    <t>L000012109</t>
  </si>
  <si>
    <t>L000012116</t>
  </si>
  <si>
    <t>L000012132</t>
  </si>
  <si>
    <t>L000012157</t>
  </si>
  <si>
    <t>L000012173</t>
  </si>
  <si>
    <t>L000012187</t>
  </si>
  <si>
    <t>L000012272</t>
  </si>
  <si>
    <t>L000012316</t>
  </si>
  <si>
    <t>L000012354</t>
  </si>
  <si>
    <t>L000012363</t>
  </si>
  <si>
    <t>L000012374</t>
  </si>
  <si>
    <t>L000012434</t>
  </si>
  <si>
    <t>L000012465</t>
  </si>
  <si>
    <t>L000012484</t>
  </si>
  <si>
    <t>L000012489</t>
  </si>
  <si>
    <t>L000012528</t>
  </si>
  <si>
    <t>L000012534</t>
  </si>
  <si>
    <t>L000012629</t>
  </si>
  <si>
    <t>L000012757</t>
  </si>
  <si>
    <t>L000012873</t>
  </si>
  <si>
    <t>L000012885</t>
  </si>
  <si>
    <t>L000012952</t>
  </si>
  <si>
    <t>L000012960</t>
  </si>
  <si>
    <t>L000013010</t>
  </si>
  <si>
    <t>L000013011</t>
  </si>
  <si>
    <t>L000013018</t>
  </si>
  <si>
    <t>L000013019</t>
  </si>
  <si>
    <t>L000013039</t>
  </si>
  <si>
    <t>L000013040</t>
  </si>
  <si>
    <t>L000013122</t>
  </si>
  <si>
    <t>L000013126</t>
  </si>
  <si>
    <t>L000013131</t>
  </si>
  <si>
    <t>L000013152</t>
  </si>
  <si>
    <t>L000013190</t>
  </si>
  <si>
    <t>L000013219</t>
  </si>
  <si>
    <t>L000013242</t>
  </si>
  <si>
    <t>L000013271</t>
  </si>
  <si>
    <t>L000013332</t>
  </si>
  <si>
    <t>L000013342</t>
  </si>
  <si>
    <t>L000013354</t>
  </si>
  <si>
    <t>L000013355</t>
  </si>
  <si>
    <t>L000013401</t>
  </si>
  <si>
    <t>L000013407</t>
  </si>
  <si>
    <t>L000013440</t>
  </si>
  <si>
    <t>L000013441</t>
  </si>
  <si>
    <t>L000013442</t>
  </si>
  <si>
    <t>L000013480</t>
  </si>
  <si>
    <t>L000013481</t>
  </si>
  <si>
    <t>P000000033</t>
  </si>
  <si>
    <t>P000000036</t>
  </si>
  <si>
    <t>P000000045</t>
  </si>
  <si>
    <t>P000000051</t>
  </si>
  <si>
    <t>P000000055</t>
  </si>
  <si>
    <t>P000000057</t>
  </si>
  <si>
    <t>P000000059</t>
  </si>
  <si>
    <t>P000000088</t>
  </si>
  <si>
    <t>P000000089</t>
  </si>
  <si>
    <t>P000000098</t>
  </si>
  <si>
    <t>P000000107</t>
  </si>
  <si>
    <t>P000000108</t>
  </si>
  <si>
    <t>P000000109</t>
  </si>
  <si>
    <t>P000000117</t>
  </si>
  <si>
    <t>P000000118</t>
  </si>
  <si>
    <t>P000000119</t>
  </si>
  <si>
    <t>P000000128</t>
  </si>
  <si>
    <t>P000000129</t>
  </si>
  <si>
    <t>P000000137</t>
  </si>
  <si>
    <t>P000000138</t>
  </si>
  <si>
    <t>P000000139</t>
  </si>
  <si>
    <t>P000000150</t>
  </si>
  <si>
    <t>P000000160</t>
  </si>
  <si>
    <t>P000000161</t>
  </si>
  <si>
    <t>P000000170</t>
  </si>
  <si>
    <t>P000000171</t>
  </si>
  <si>
    <t>P000000190</t>
  </si>
  <si>
    <t>P000000199</t>
  </si>
  <si>
    <t>P000000209</t>
  </si>
  <si>
    <t>P000000210</t>
  </si>
  <si>
    <t>P000000220</t>
  </si>
  <si>
    <t>P000000221</t>
  </si>
  <si>
    <t>P000000229</t>
  </si>
  <si>
    <t>P000000230</t>
  </si>
  <si>
    <t>P000000231</t>
  </si>
  <si>
    <t>P000000240</t>
  </si>
  <si>
    <t>P000000250</t>
  </si>
  <si>
    <t>P000000251</t>
  </si>
  <si>
    <t>P000000260</t>
  </si>
  <si>
    <t>P000000261</t>
  </si>
  <si>
    <t>P000000269</t>
  </si>
  <si>
    <t>P000000270</t>
  </si>
  <si>
    <t>P000000271</t>
  </si>
  <si>
    <t>P000000280</t>
  </si>
  <si>
    <t>P000000281</t>
  </si>
  <si>
    <t>P000000436</t>
  </si>
  <si>
    <t>P000000459</t>
  </si>
  <si>
    <t>P000000514</t>
  </si>
  <si>
    <t>P000000515</t>
  </si>
  <si>
    <t>P000000536</t>
  </si>
  <si>
    <t>P000000542</t>
  </si>
  <si>
    <t>P000000565</t>
  </si>
  <si>
    <t>P000000574</t>
  </si>
  <si>
    <t>P000000635</t>
  </si>
  <si>
    <t>P000000696</t>
  </si>
  <si>
    <t>P000000742</t>
  </si>
  <si>
    <t>P000000760</t>
  </si>
  <si>
    <t>P000000763</t>
  </si>
  <si>
    <t>P000000804</t>
  </si>
  <si>
    <t>P000000816</t>
  </si>
  <si>
    <t>P000000859</t>
  </si>
  <si>
    <t>P000000866</t>
  </si>
  <si>
    <t>P000000977</t>
  </si>
  <si>
    <t>P000000981</t>
  </si>
  <si>
    <t>P000000991</t>
  </si>
  <si>
    <t>P000000994</t>
  </si>
  <si>
    <t>P000000999</t>
  </si>
  <si>
    <t>PL_E1_JPAB</t>
  </si>
  <si>
    <t>PL_E1_JPAJ</t>
  </si>
  <si>
    <t>PL_E5_CH72</t>
  </si>
  <si>
    <t>PL_E7_6451</t>
  </si>
  <si>
    <t>RDC0000131</t>
  </si>
  <si>
    <t>RDC0000970</t>
  </si>
  <si>
    <t>G000000044</t>
  </si>
  <si>
    <t>G000000064</t>
  </si>
  <si>
    <t>G000000094</t>
  </si>
  <si>
    <t>G000000096</t>
  </si>
  <si>
    <t>G000000135</t>
  </si>
  <si>
    <t>G000000227</t>
  </si>
  <si>
    <t>G000000243</t>
  </si>
  <si>
    <t>G000000284</t>
  </si>
  <si>
    <t>G000000293</t>
  </si>
  <si>
    <t>G000000352</t>
  </si>
  <si>
    <t>G000000353</t>
  </si>
  <si>
    <t>G000000372</t>
  </si>
  <si>
    <t>G000000390</t>
  </si>
  <si>
    <t>G000000404</t>
  </si>
  <si>
    <t>G000000414</t>
  </si>
  <si>
    <t>G000000415</t>
  </si>
  <si>
    <t>G000000418</t>
  </si>
  <si>
    <t>G000000441</t>
  </si>
  <si>
    <t>G000000463</t>
  </si>
  <si>
    <t>G000000529</t>
  </si>
  <si>
    <t>G000000544</t>
  </si>
  <si>
    <t>G000000553</t>
  </si>
  <si>
    <t>G000000627</t>
  </si>
  <si>
    <t>G000000785</t>
  </si>
  <si>
    <t>G000000886</t>
  </si>
  <si>
    <t>G000000915</t>
  </si>
  <si>
    <t>G000000919</t>
  </si>
  <si>
    <t>G000000973</t>
  </si>
  <si>
    <t>G000000974</t>
  </si>
  <si>
    <t>G000000976</t>
  </si>
  <si>
    <t>G000000977</t>
  </si>
  <si>
    <t>G000000981</t>
  </si>
  <si>
    <t>G000001018</t>
  </si>
  <si>
    <t>G000001023</t>
  </si>
  <si>
    <t>G000001051</t>
  </si>
  <si>
    <t>G000001054</t>
  </si>
  <si>
    <t>H000000212</t>
  </si>
  <si>
    <t>H000000240</t>
  </si>
  <si>
    <t>H000000457</t>
  </si>
  <si>
    <t>H000000544</t>
  </si>
  <si>
    <t>H000000675</t>
  </si>
  <si>
    <t>H000000729</t>
  </si>
  <si>
    <t>H000000881</t>
  </si>
  <si>
    <t>H000001055</t>
  </si>
  <si>
    <t>H000001116</t>
  </si>
  <si>
    <t>H000001190</t>
  </si>
  <si>
    <t>H000001195</t>
  </si>
  <si>
    <t>H000001216</t>
  </si>
  <si>
    <t>H000001221</t>
  </si>
  <si>
    <t>H000001223</t>
  </si>
  <si>
    <t>H000001243</t>
  </si>
  <si>
    <t>H000001248</t>
  </si>
  <si>
    <t>H000001265</t>
  </si>
  <si>
    <t>H000001284</t>
  </si>
  <si>
    <t>H000001299</t>
  </si>
  <si>
    <t>H000001323</t>
  </si>
  <si>
    <t>H000001328</t>
  </si>
  <si>
    <t>H000001381</t>
  </si>
  <si>
    <t>H000001399</t>
  </si>
  <si>
    <t>H000001400</t>
  </si>
  <si>
    <t>H000001409</t>
  </si>
  <si>
    <t>H000001417</t>
  </si>
  <si>
    <t>H000001452</t>
  </si>
  <si>
    <t>H000001460</t>
  </si>
  <si>
    <t>H000001461</t>
  </si>
  <si>
    <t>H000001500</t>
  </si>
  <si>
    <t>H000001502</t>
  </si>
  <si>
    <t>H000001526</t>
  </si>
  <si>
    <t>H000001532</t>
  </si>
  <si>
    <t>H000001610</t>
  </si>
  <si>
    <t>H000001705</t>
  </si>
  <si>
    <t>H000001706</t>
  </si>
  <si>
    <t>H000001728</t>
  </si>
  <si>
    <t>H000001749</t>
  </si>
  <si>
    <t>H000001762</t>
  </si>
  <si>
    <t>H000001848</t>
  </si>
  <si>
    <t>H000001849</t>
  </si>
  <si>
    <t>H000001856</t>
  </si>
  <si>
    <t>H000001857</t>
  </si>
  <si>
    <t>H000001879</t>
  </si>
  <si>
    <t>H000001883</t>
  </si>
  <si>
    <t>H000001887</t>
  </si>
  <si>
    <t>H000001889</t>
  </si>
  <si>
    <t>H000001922</t>
  </si>
  <si>
    <t>H000001942</t>
  </si>
  <si>
    <t>H000001955</t>
  </si>
  <si>
    <t>H000002006</t>
  </si>
  <si>
    <t>H000002014</t>
  </si>
  <si>
    <t>H000002036</t>
  </si>
  <si>
    <t>H000002037</t>
  </si>
  <si>
    <t>H000002062</t>
  </si>
  <si>
    <t>H000002160</t>
  </si>
  <si>
    <t>H000002191</t>
  </si>
  <si>
    <t>H000002195</t>
  </si>
  <si>
    <t>H000002226</t>
  </si>
  <si>
    <t>H000002230</t>
  </si>
  <si>
    <t>H000002261</t>
  </si>
  <si>
    <t>H000002271</t>
  </si>
  <si>
    <t>H000002300</t>
  </si>
  <si>
    <t>H000002304</t>
  </si>
  <si>
    <t>H000002335</t>
  </si>
  <si>
    <t>H000002339</t>
  </si>
  <si>
    <t>H000002370</t>
  </si>
  <si>
    <t>H000002374</t>
  </si>
  <si>
    <t>H000002405</t>
  </si>
  <si>
    <t>H000002409</t>
  </si>
  <si>
    <t>H000002440</t>
  </si>
  <si>
    <t>H000002531</t>
  </si>
  <si>
    <t>H000002536</t>
  </si>
  <si>
    <t>H000002547</t>
  </si>
  <si>
    <t>H000002565</t>
  </si>
  <si>
    <t>H000002566</t>
  </si>
  <si>
    <t>H000002568</t>
  </si>
  <si>
    <t>H000002591</t>
  </si>
  <si>
    <t>H000002633</t>
  </si>
  <si>
    <t>H000002635</t>
  </si>
  <si>
    <t>H000002670</t>
  </si>
  <si>
    <t>H000002690</t>
  </si>
  <si>
    <t>H000002694</t>
  </si>
  <si>
    <t>H000002695</t>
  </si>
  <si>
    <t>H000002697</t>
  </si>
  <si>
    <t>H000002741</t>
  </si>
  <si>
    <t>H000002751</t>
  </si>
  <si>
    <t>H000002802</t>
  </si>
  <si>
    <t>H000002845</t>
  </si>
  <si>
    <t>H000002880</t>
  </si>
  <si>
    <t>H000002889</t>
  </si>
  <si>
    <t>H000002905</t>
  </si>
  <si>
    <t>H000002909</t>
  </si>
  <si>
    <t>H000002917</t>
  </si>
  <si>
    <t>H000002923</t>
  </si>
  <si>
    <t>H000003124</t>
  </si>
  <si>
    <t>H000003185</t>
  </si>
  <si>
    <t>H000003202</t>
  </si>
  <si>
    <t>H000003206</t>
  </si>
  <si>
    <t>H000003211</t>
  </si>
  <si>
    <t>H000003244</t>
  </si>
  <si>
    <t>H000003291</t>
  </si>
  <si>
    <t>H000003303</t>
  </si>
  <si>
    <t>H000003344</t>
  </si>
  <si>
    <t>H000003390</t>
  </si>
  <si>
    <t>H000003443</t>
  </si>
  <si>
    <t>H000003457</t>
  </si>
  <si>
    <t>H000003461</t>
  </si>
  <si>
    <t>H000003464</t>
  </si>
  <si>
    <t>H000003512</t>
  </si>
  <si>
    <t>H000003515</t>
  </si>
  <si>
    <t>H000003556</t>
  </si>
  <si>
    <t>H000003596</t>
  </si>
  <si>
    <t>H000003597</t>
  </si>
  <si>
    <t>H000003598</t>
  </si>
  <si>
    <t>H000003622</t>
  </si>
  <si>
    <t>H000003631</t>
  </si>
  <si>
    <t>H000003633</t>
  </si>
  <si>
    <t>H000003659</t>
  </si>
  <si>
    <t>H000003773</t>
  </si>
  <si>
    <t>H000003816</t>
  </si>
  <si>
    <t>H000003960</t>
  </si>
  <si>
    <t>H000003984</t>
  </si>
  <si>
    <t>H000003998</t>
  </si>
  <si>
    <t>H000004006</t>
  </si>
  <si>
    <t>H000004057</t>
  </si>
  <si>
    <t>H000004059</t>
  </si>
  <si>
    <t>H000004075</t>
  </si>
  <si>
    <t>H000004077</t>
  </si>
  <si>
    <t>H000004089</t>
  </si>
  <si>
    <t>H000004112</t>
  </si>
  <si>
    <t>H000004135</t>
  </si>
  <si>
    <t>H000004148</t>
  </si>
  <si>
    <t>H000004199</t>
  </si>
  <si>
    <t>H000004267</t>
  </si>
  <si>
    <t>H000004296</t>
  </si>
  <si>
    <t>H000004300</t>
  </si>
  <si>
    <t>IT06042300</t>
  </si>
  <si>
    <t>IT06060500</t>
  </si>
  <si>
    <t>IT06130600</t>
  </si>
  <si>
    <t>L000005049</t>
  </si>
  <si>
    <t>L000005090</t>
  </si>
  <si>
    <t>L000005144</t>
  </si>
  <si>
    <t>L000005229</t>
  </si>
  <si>
    <t>L000005246</t>
  </si>
  <si>
    <t>L000005269</t>
  </si>
  <si>
    <t>L000005278</t>
  </si>
  <si>
    <t>L000005279</t>
  </si>
  <si>
    <t>L000005304</t>
  </si>
  <si>
    <t>L000005313</t>
  </si>
  <si>
    <t>L000005388</t>
  </si>
  <si>
    <t>L000005396</t>
  </si>
  <si>
    <t>L000005430</t>
  </si>
  <si>
    <t>L000005461</t>
  </si>
  <si>
    <t>L000005462</t>
  </si>
  <si>
    <t>L000005463</t>
  </si>
  <si>
    <t>L000005464</t>
  </si>
  <si>
    <t>L000005625</t>
  </si>
  <si>
    <t>L000005630</t>
  </si>
  <si>
    <t>L000005633</t>
  </si>
  <si>
    <t>L000005663</t>
  </si>
  <si>
    <t>L000005664</t>
  </si>
  <si>
    <t>L000005668</t>
  </si>
  <si>
    <t>L000005715</t>
  </si>
  <si>
    <t>L000005728</t>
  </si>
  <si>
    <t>L000005790</t>
  </si>
  <si>
    <t>L000005831</t>
  </si>
  <si>
    <t>L000005847</t>
  </si>
  <si>
    <t>L000005870</t>
  </si>
  <si>
    <t>L000005932</t>
  </si>
  <si>
    <t>L000005936</t>
  </si>
  <si>
    <t>L000005940</t>
  </si>
  <si>
    <t>L000005961</t>
  </si>
  <si>
    <t>L000005982</t>
  </si>
  <si>
    <t>L000006014</t>
  </si>
  <si>
    <t>L000006371</t>
  </si>
  <si>
    <t>L000006460</t>
  </si>
  <si>
    <t>L000006555</t>
  </si>
  <si>
    <t>L000006556</t>
  </si>
  <si>
    <t>L000006593</t>
  </si>
  <si>
    <t>L000006676</t>
  </si>
  <si>
    <t>L000007092</t>
  </si>
  <si>
    <t>L000007104</t>
  </si>
  <si>
    <t>L000007370</t>
  </si>
  <si>
    <t>L000007604</t>
  </si>
  <si>
    <t>L000007605</t>
  </si>
  <si>
    <t>L000007606</t>
  </si>
  <si>
    <t>L000007607</t>
  </si>
  <si>
    <t>L000007609</t>
  </si>
  <si>
    <t>L000007610</t>
  </si>
  <si>
    <t>L000007611</t>
  </si>
  <si>
    <t>L000007612</t>
  </si>
  <si>
    <t>L000007613</t>
  </si>
  <si>
    <t>L000007618</t>
  </si>
  <si>
    <t>L000007619</t>
  </si>
  <si>
    <t>L000007620</t>
  </si>
  <si>
    <t>L000007621</t>
  </si>
  <si>
    <t>L000007622</t>
  </si>
  <si>
    <t>L000007623</t>
  </si>
  <si>
    <t>L000007624</t>
  </si>
  <si>
    <t>L000007625</t>
  </si>
  <si>
    <t>L000007627</t>
  </si>
  <si>
    <t>L000007629</t>
  </si>
  <si>
    <t>L000007633</t>
  </si>
  <si>
    <t>L000007634</t>
  </si>
  <si>
    <t>L000007635</t>
  </si>
  <si>
    <t>L000007636</t>
  </si>
  <si>
    <t>L000007637</t>
  </si>
  <si>
    <t>L000007638</t>
  </si>
  <si>
    <t>L000007639</t>
  </si>
  <si>
    <t>L000007640</t>
  </si>
  <si>
    <t>L000007641</t>
  </si>
  <si>
    <t>L000007645</t>
  </si>
  <si>
    <t>L000007647</t>
  </si>
  <si>
    <t>L000007649</t>
  </si>
  <si>
    <t>L000007656</t>
  </si>
  <si>
    <t>L000007657</t>
  </si>
  <si>
    <t>L000007658</t>
  </si>
  <si>
    <t>L000007659</t>
  </si>
  <si>
    <t>L000007663</t>
  </si>
  <si>
    <t>L000007664</t>
  </si>
  <si>
    <t>L000007665</t>
  </si>
  <si>
    <t>L000007666</t>
  </si>
  <si>
    <t>L000007669</t>
  </si>
  <si>
    <t>L000007670</t>
  </si>
  <si>
    <t>L000007672</t>
  </si>
  <si>
    <t>L000007675</t>
  </si>
  <si>
    <t>L000007676</t>
  </si>
  <si>
    <t>L000007683</t>
  </si>
  <si>
    <t>L000007685</t>
  </si>
  <si>
    <t>L000007686</t>
  </si>
  <si>
    <t>L000007688</t>
  </si>
  <si>
    <t>L000007692</t>
  </si>
  <si>
    <t>L000007693</t>
  </si>
  <si>
    <t>L000007694</t>
  </si>
  <si>
    <t>L000007699</t>
  </si>
  <si>
    <t>L000007700</t>
  </si>
  <si>
    <t>L000007701</t>
  </si>
  <si>
    <t>L000007702</t>
  </si>
  <si>
    <t>L000007704</t>
  </si>
  <si>
    <t>L000007705</t>
  </si>
  <si>
    <t>L000007706</t>
  </si>
  <si>
    <t>L000007707</t>
  </si>
  <si>
    <t>L000007712</t>
  </si>
  <si>
    <t>L000007760</t>
  </si>
  <si>
    <t>L000007761</t>
  </si>
  <si>
    <t>L000007762</t>
  </si>
  <si>
    <t>L000007766</t>
  </si>
  <si>
    <t>L000007767</t>
  </si>
  <si>
    <t>L000007769</t>
  </si>
  <si>
    <t>L000007772</t>
  </si>
  <si>
    <t>L000007773</t>
  </si>
  <si>
    <t>L000007774</t>
  </si>
  <si>
    <t>L000007775</t>
  </si>
  <si>
    <t>L000007776</t>
  </si>
  <si>
    <t>L000007777</t>
  </si>
  <si>
    <t>L000007782</t>
  </si>
  <si>
    <t>L000007784</t>
  </si>
  <si>
    <t>L000007785</t>
  </si>
  <si>
    <t>L000007786</t>
  </si>
  <si>
    <t>L000007787</t>
  </si>
  <si>
    <t>L000007788</t>
  </si>
  <si>
    <t>L000007790</t>
  </si>
  <si>
    <t>L000007791</t>
  </si>
  <si>
    <t>L000007792</t>
  </si>
  <si>
    <t>L000007794</t>
  </si>
  <si>
    <t>L000007795</t>
  </si>
  <si>
    <t>L000007798</t>
  </si>
  <si>
    <t>L000007799</t>
  </si>
  <si>
    <t>L000007800</t>
  </si>
  <si>
    <t>L000007804</t>
  </si>
  <si>
    <t>L000007805</t>
  </si>
  <si>
    <t>L000007807</t>
  </si>
  <si>
    <t>L000007808</t>
  </si>
  <si>
    <t>L000007809</t>
  </si>
  <si>
    <t>L000007810</t>
  </si>
  <si>
    <t>L000007813</t>
  </si>
  <si>
    <t>L000007815</t>
  </si>
  <si>
    <t>L000007816</t>
  </si>
  <si>
    <t>L000007821</t>
  </si>
  <si>
    <t>L000007822</t>
  </si>
  <si>
    <t>L000007823</t>
  </si>
  <si>
    <t>L000007824</t>
  </si>
  <si>
    <t>L000007825</t>
  </si>
  <si>
    <t>L000007826</t>
  </si>
  <si>
    <t>L000007827</t>
  </si>
  <si>
    <t>L000007828</t>
  </si>
  <si>
    <t>L000007829</t>
  </si>
  <si>
    <t>L000007830</t>
  </si>
  <si>
    <t>L000007832</t>
  </si>
  <si>
    <t>L000007833</t>
  </si>
  <si>
    <t>L000007839</t>
  </si>
  <si>
    <t>L000007840</t>
  </si>
  <si>
    <t>L000007846</t>
  </si>
  <si>
    <t>L000007852</t>
  </si>
  <si>
    <t>L000007853</t>
  </si>
  <si>
    <t>L000007854</t>
  </si>
  <si>
    <t>L000007868</t>
  </si>
  <si>
    <t>L000007869</t>
  </si>
  <si>
    <t>L000007873</t>
  </si>
  <si>
    <t>L000007874</t>
  </si>
  <si>
    <t>L000007875</t>
  </si>
  <si>
    <t>L000007876</t>
  </si>
  <si>
    <t>L000007877</t>
  </si>
  <si>
    <t>L000007878</t>
  </si>
  <si>
    <t>L000007880</t>
  </si>
  <si>
    <t>L000007881</t>
  </si>
  <si>
    <t>L000007886</t>
  </si>
  <si>
    <t>L000007887</t>
  </si>
  <si>
    <t>L000007889</t>
  </si>
  <si>
    <t>L000007894</t>
  </si>
  <si>
    <t>L000007895</t>
  </si>
  <si>
    <t>L000007896</t>
  </si>
  <si>
    <t>L000007897</t>
  </si>
  <si>
    <t>L000007898</t>
  </si>
  <si>
    <t>L000007901</t>
  </si>
  <si>
    <t>L000007903</t>
  </si>
  <si>
    <t>L000007907</t>
  </si>
  <si>
    <t>L000007908</t>
  </si>
  <si>
    <t>L000007909</t>
  </si>
  <si>
    <t>L000007910</t>
  </si>
  <si>
    <t>L000007911</t>
  </si>
  <si>
    <t>L000007912</t>
  </si>
  <si>
    <t>L000007921</t>
  </si>
  <si>
    <t>L000007922</t>
  </si>
  <si>
    <t>L000007923</t>
  </si>
  <si>
    <t>L000007924</t>
  </si>
  <si>
    <t>L000007937</t>
  </si>
  <si>
    <t>L000007960</t>
  </si>
  <si>
    <t>L000007974</t>
  </si>
  <si>
    <t>L000007991</t>
  </si>
  <si>
    <t>L000008007</t>
  </si>
  <si>
    <t>L000008008</t>
  </si>
  <si>
    <t>L000008086</t>
  </si>
  <si>
    <t>L000008297</t>
  </si>
  <si>
    <t>L000008302</t>
  </si>
  <si>
    <t>L000008326</t>
  </si>
  <si>
    <t>L000008336</t>
  </si>
  <si>
    <t>L000008352</t>
  </si>
  <si>
    <t>L000008404</t>
  </si>
  <si>
    <t>L000008549</t>
  </si>
  <si>
    <t>L000008788</t>
  </si>
  <si>
    <t>L000008795</t>
  </si>
  <si>
    <t>L000008939</t>
  </si>
  <si>
    <t>L000008946</t>
  </si>
  <si>
    <t>L000008966</t>
  </si>
  <si>
    <t>L000008972</t>
  </si>
  <si>
    <t>L000009139</t>
  </si>
  <si>
    <t>L000009167</t>
  </si>
  <si>
    <t>L000009168</t>
  </si>
  <si>
    <t>L000009281</t>
  </si>
  <si>
    <t>L000009327</t>
  </si>
  <si>
    <t>L000009352</t>
  </si>
  <si>
    <t>L000009363</t>
  </si>
  <si>
    <t>L000009374</t>
  </si>
  <si>
    <t>L000009389</t>
  </si>
  <si>
    <t>L000009468</t>
  </si>
  <si>
    <t>L000009569</t>
  </si>
  <si>
    <t>L000009623</t>
  </si>
  <si>
    <t>L000009628</t>
  </si>
  <si>
    <t>L000009629</t>
  </si>
  <si>
    <t>L000009643</t>
  </si>
  <si>
    <t>L000009651</t>
  </si>
  <si>
    <t>L000009652</t>
  </si>
  <si>
    <t>L000009716</t>
  </si>
  <si>
    <t>L000009749</t>
  </si>
  <si>
    <t>L000009808</t>
  </si>
  <si>
    <t>L000009929</t>
  </si>
  <si>
    <t>L000009933</t>
  </si>
  <si>
    <t>L000010011</t>
  </si>
  <si>
    <t>L000010041</t>
  </si>
  <si>
    <t>L000010080</t>
  </si>
  <si>
    <t>L000010091</t>
  </si>
  <si>
    <t>L000010094</t>
  </si>
  <si>
    <t>L000010142</t>
  </si>
  <si>
    <t>L000010149</t>
  </si>
  <si>
    <t>L000010206</t>
  </si>
  <si>
    <t>L000010214</t>
  </si>
  <si>
    <t>L000010219</t>
  </si>
  <si>
    <t>L000010486</t>
  </si>
  <si>
    <t>L000010506</t>
  </si>
  <si>
    <t>L000010602</t>
  </si>
  <si>
    <t>L000010607</t>
  </si>
  <si>
    <t>L000010636</t>
  </si>
  <si>
    <t>L000010818</t>
  </si>
  <si>
    <t>L000010819</t>
  </si>
  <si>
    <t>L000010820</t>
  </si>
  <si>
    <t>L000010821</t>
  </si>
  <si>
    <t>L000010825</t>
  </si>
  <si>
    <t>L000010827</t>
  </si>
  <si>
    <t>L000010828</t>
  </si>
  <si>
    <t>L000010830</t>
  </si>
  <si>
    <t>L000010831</t>
  </si>
  <si>
    <t>L000010834</t>
  </si>
  <si>
    <t>L000010837</t>
  </si>
  <si>
    <t>L000010839</t>
  </si>
  <si>
    <t>L000010841</t>
  </si>
  <si>
    <t>L000010842</t>
  </si>
  <si>
    <t>L000010844</t>
  </si>
  <si>
    <t>L000010846</t>
  </si>
  <si>
    <t>L000010847</t>
  </si>
  <si>
    <t>L000010849</t>
  </si>
  <si>
    <t>L000010851</t>
  </si>
  <si>
    <t>L000010853</t>
  </si>
  <si>
    <t>L000010855</t>
  </si>
  <si>
    <t>L000010857</t>
  </si>
  <si>
    <t>L000010858</t>
  </si>
  <si>
    <t>L000010859</t>
  </si>
  <si>
    <t>L000010861</t>
  </si>
  <si>
    <t>L000010865</t>
  </si>
  <si>
    <t>L000010867</t>
  </si>
  <si>
    <t>L000010869</t>
  </si>
  <si>
    <t>L000010871</t>
  </si>
  <si>
    <t>L000010873</t>
  </si>
  <si>
    <t>L000011023</t>
  </si>
  <si>
    <t>L000011024</t>
  </si>
  <si>
    <t>L000011025</t>
  </si>
  <si>
    <t>L000011027</t>
  </si>
  <si>
    <t>L000011029</t>
  </si>
  <si>
    <t>L000011030</t>
  </si>
  <si>
    <t>L000011031</t>
  </si>
  <si>
    <t>L000011032</t>
  </si>
  <si>
    <t>L000011033</t>
  </si>
  <si>
    <t>L000011034</t>
  </si>
  <si>
    <t>L000011036</t>
  </si>
  <si>
    <t>L000011147</t>
  </si>
  <si>
    <t>L000011150</t>
  </si>
  <si>
    <t>L000011237</t>
  </si>
  <si>
    <t>L000011244</t>
  </si>
  <si>
    <t>L000011271</t>
  </si>
  <si>
    <t>L000011328</t>
  </si>
  <si>
    <t>L000011383</t>
  </si>
  <si>
    <t>L000011587</t>
  </si>
  <si>
    <t>L000011742</t>
  </si>
  <si>
    <t>L000011795</t>
  </si>
  <si>
    <t>L000011830</t>
  </si>
  <si>
    <t>L000011868</t>
  </si>
  <si>
    <t>L000011899</t>
  </si>
  <si>
    <t>L000011900</t>
  </si>
  <si>
    <t>L000011901</t>
  </si>
  <si>
    <t>L000011902</t>
  </si>
  <si>
    <t>L000011904</t>
  </si>
  <si>
    <t>L000011905</t>
  </si>
  <si>
    <t>L000011906</t>
  </si>
  <si>
    <t>L000011907</t>
  </si>
  <si>
    <t>L000011912</t>
  </si>
  <si>
    <t>L000011913</t>
  </si>
  <si>
    <t>L000011914</t>
  </si>
  <si>
    <t>L000011915</t>
  </si>
  <si>
    <t>L000011918</t>
  </si>
  <si>
    <t>L000011921</t>
  </si>
  <si>
    <t>L000011923</t>
  </si>
  <si>
    <t>L000011924</t>
  </si>
  <si>
    <t>L000011930</t>
  </si>
  <si>
    <t>L000011931</t>
  </si>
  <si>
    <t>L000011932</t>
  </si>
  <si>
    <t>L000011935</t>
  </si>
  <si>
    <t>L000011937</t>
  </si>
  <si>
    <t>L000011941</t>
  </si>
  <si>
    <t>L000011942</t>
  </si>
  <si>
    <t>L000011943</t>
  </si>
  <si>
    <t>L000011945</t>
  </si>
  <si>
    <t>L000011953</t>
  </si>
  <si>
    <t>L000012045</t>
  </si>
  <si>
    <t>L000012046</t>
  </si>
  <si>
    <t>L000012085</t>
  </si>
  <si>
    <t>L000012090</t>
  </si>
  <si>
    <t>L000012097</t>
  </si>
  <si>
    <t>L000012104</t>
  </si>
  <si>
    <t>L000012105</t>
  </si>
  <si>
    <t>L000012108</t>
  </si>
  <si>
    <t>L000012113</t>
  </si>
  <si>
    <t>L000012118</t>
  </si>
  <si>
    <t>L000012126</t>
  </si>
  <si>
    <t>L000012190</t>
  </si>
  <si>
    <t>L000012193</t>
  </si>
  <si>
    <t>L000012194</t>
  </si>
  <si>
    <t>L000012196</t>
  </si>
  <si>
    <t>L000012199</t>
  </si>
  <si>
    <t>L000012253</t>
  </si>
  <si>
    <t>L000012279</t>
  </si>
  <si>
    <t>L000012361</t>
  </si>
  <si>
    <t>L000012368</t>
  </si>
  <si>
    <t>L000012375</t>
  </si>
  <si>
    <t>L000012377</t>
  </si>
  <si>
    <t>L000012432</t>
  </si>
  <si>
    <t>L000012468</t>
  </si>
  <si>
    <t>L000012501</t>
  </si>
  <si>
    <t>L000012764</t>
  </si>
  <si>
    <t>L000012765</t>
  </si>
  <si>
    <t>L000012766</t>
  </si>
  <si>
    <t>L000012767</t>
  </si>
  <si>
    <t>L000012768</t>
  </si>
  <si>
    <t>L000012770</t>
  </si>
  <si>
    <t>L000012771</t>
  </si>
  <si>
    <t>L000012772</t>
  </si>
  <si>
    <t>L000012773</t>
  </si>
  <si>
    <t>L000012774</t>
  </si>
  <si>
    <t>L000012780</t>
  </si>
  <si>
    <t>L000012781</t>
  </si>
  <si>
    <t>L000012782</t>
  </si>
  <si>
    <t>L000012783</t>
  </si>
  <si>
    <t>L000012803</t>
  </si>
  <si>
    <t>L000012805</t>
  </si>
  <si>
    <t>L000012806</t>
  </si>
  <si>
    <t>L000012807</t>
  </si>
  <si>
    <t>L000012815</t>
  </si>
  <si>
    <t>L000012843</t>
  </si>
  <si>
    <t>L000012846</t>
  </si>
  <si>
    <t>L000012888</t>
  </si>
  <si>
    <t>L000012890</t>
  </si>
  <si>
    <t>L000012891</t>
  </si>
  <si>
    <t>L000012899</t>
  </si>
  <si>
    <t>L000012908</t>
  </si>
  <si>
    <t>L000012915</t>
  </si>
  <si>
    <t>L000013006</t>
  </si>
  <si>
    <t>L000013009</t>
  </si>
  <si>
    <t>L000013022</t>
  </si>
  <si>
    <t>L000013027</t>
  </si>
  <si>
    <t>L000013034</t>
  </si>
  <si>
    <t>L000013053</t>
  </si>
  <si>
    <t>L000013054</t>
  </si>
  <si>
    <t>L000013060</t>
  </si>
  <si>
    <t>L000013061</t>
  </si>
  <si>
    <t>L000013069</t>
  </si>
  <si>
    <t>L000013091</t>
  </si>
  <si>
    <t>L000013161</t>
  </si>
  <si>
    <t>L000013236</t>
  </si>
  <si>
    <t>L000013237</t>
  </si>
  <si>
    <t>L000013274</t>
  </si>
  <si>
    <t>L000013326</t>
  </si>
  <si>
    <t>L000013359</t>
  </si>
  <si>
    <t>L000013371</t>
  </si>
  <si>
    <t>L000013433</t>
  </si>
  <si>
    <t>L000013471</t>
  </si>
  <si>
    <t>L000013473</t>
  </si>
  <si>
    <t>L000013483</t>
  </si>
  <si>
    <t>P000000149</t>
  </si>
  <si>
    <t>P000000169</t>
  </si>
  <si>
    <t>P000000219</t>
  </si>
  <si>
    <t>P000000419</t>
  </si>
  <si>
    <t>P000000450</t>
  </si>
  <si>
    <t>P000000460</t>
  </si>
  <si>
    <t>P000000463</t>
  </si>
  <si>
    <t>P000000465</t>
  </si>
  <si>
    <t>P000000499</t>
  </si>
  <si>
    <t>P000000511</t>
  </si>
  <si>
    <t>P000000582</t>
  </si>
  <si>
    <t>P000000602</t>
  </si>
  <si>
    <t>P000000610</t>
  </si>
  <si>
    <t>P000000629</t>
  </si>
  <si>
    <t>P000000695</t>
  </si>
  <si>
    <t>P000000762</t>
  </si>
  <si>
    <t>P000000818</t>
  </si>
  <si>
    <t>P000000826</t>
  </si>
  <si>
    <t>P000000835</t>
  </si>
  <si>
    <t>P000000850</t>
  </si>
  <si>
    <t>P000000901</t>
  </si>
  <si>
    <t>P000000914</t>
  </si>
  <si>
    <t>P000000923</t>
  </si>
  <si>
    <t>P000000943</t>
  </si>
  <si>
    <t>P000000967</t>
  </si>
  <si>
    <t>PL_E1_DEAA</t>
  </si>
  <si>
    <t>PL_E2_CH51</t>
  </si>
  <si>
    <t>PL_E2_CH52</t>
  </si>
  <si>
    <t>PL_E5_CH22</t>
  </si>
  <si>
    <t>RDC0000068</t>
  </si>
  <si>
    <t>RDC0000150</t>
  </si>
  <si>
    <t>G000000097</t>
  </si>
  <si>
    <t>G000000141</t>
  </si>
  <si>
    <t>G000000144</t>
  </si>
  <si>
    <t>G000000187</t>
  </si>
  <si>
    <t>G000000277</t>
  </si>
  <si>
    <t>G000000349</t>
  </si>
  <si>
    <t>G000000365</t>
  </si>
  <si>
    <t>G000000369</t>
  </si>
  <si>
    <t>G000000379</t>
  </si>
  <si>
    <t>G000000381</t>
  </si>
  <si>
    <t>G000000384</t>
  </si>
  <si>
    <t>G000000392</t>
  </si>
  <si>
    <t>G000000430</t>
  </si>
  <si>
    <t>G000000431</t>
  </si>
  <si>
    <t>G000000442</t>
  </si>
  <si>
    <t>G000000443</t>
  </si>
  <si>
    <t>G000000470</t>
  </si>
  <si>
    <t>G000000471</t>
  </si>
  <si>
    <t>G000000488</t>
  </si>
  <si>
    <t>G000000500</t>
  </si>
  <si>
    <t>G000000503</t>
  </si>
  <si>
    <t>G000000516</t>
  </si>
  <si>
    <t>G000000546</t>
  </si>
  <si>
    <t>G000000549</t>
  </si>
  <si>
    <t>G000000573</t>
  </si>
  <si>
    <t>G000000609</t>
  </si>
  <si>
    <t>G000000611</t>
  </si>
  <si>
    <t>G000000613</t>
  </si>
  <si>
    <t>G000000619</t>
  </si>
  <si>
    <t>G000000633</t>
  </si>
  <si>
    <t>G000000634</t>
  </si>
  <si>
    <t>G000000636</t>
  </si>
  <si>
    <t>G000000722</t>
  </si>
  <si>
    <t>G000000744</t>
  </si>
  <si>
    <t>G000000918</t>
  </si>
  <si>
    <t>G000000944</t>
  </si>
  <si>
    <t>G000000949</t>
  </si>
  <si>
    <t>G000000982</t>
  </si>
  <si>
    <t>G000001031</t>
  </si>
  <si>
    <t>G000001060</t>
  </si>
  <si>
    <t>G000001070</t>
  </si>
  <si>
    <t>G000001076</t>
  </si>
  <si>
    <t>H000000172</t>
  </si>
  <si>
    <t>H000000177</t>
  </si>
  <si>
    <t>H000000311</t>
  </si>
  <si>
    <t>H000000364</t>
  </si>
  <si>
    <t>H000000377</t>
  </si>
  <si>
    <t>H000000498</t>
  </si>
  <si>
    <t>H000000646</t>
  </si>
  <si>
    <t>H000000651</t>
  </si>
  <si>
    <t>H000000659</t>
  </si>
  <si>
    <t>H000000664</t>
  </si>
  <si>
    <t>H000000667</t>
  </si>
  <si>
    <t>H000000691</t>
  </si>
  <si>
    <t>H000000727</t>
  </si>
  <si>
    <t>H000000756</t>
  </si>
  <si>
    <t>H000000771</t>
  </si>
  <si>
    <t>H000000778</t>
  </si>
  <si>
    <t>H000000782</t>
  </si>
  <si>
    <t>H000000847</t>
  </si>
  <si>
    <t>H000000924</t>
  </si>
  <si>
    <t>H000000960</t>
  </si>
  <si>
    <t>H000000987</t>
  </si>
  <si>
    <t>H000000998</t>
  </si>
  <si>
    <t>H000001036</t>
  </si>
  <si>
    <t>H000001067</t>
  </si>
  <si>
    <t>H000001069</t>
  </si>
  <si>
    <t>H000001070</t>
  </si>
  <si>
    <t>H000001115</t>
  </si>
  <si>
    <t>H000001122</t>
  </si>
  <si>
    <t>H000001131</t>
  </si>
  <si>
    <t>H000001143</t>
  </si>
  <si>
    <t>H000001156</t>
  </si>
  <si>
    <t>H000001167</t>
  </si>
  <si>
    <t>H000001183</t>
  </si>
  <si>
    <t>H000001200</t>
  </si>
  <si>
    <t>H000001202</t>
  </si>
  <si>
    <t>H000001228</t>
  </si>
  <si>
    <t>H000001232</t>
  </si>
  <si>
    <t>H000001233</t>
  </si>
  <si>
    <t>H000001253</t>
  </si>
  <si>
    <t>H000001272</t>
  </si>
  <si>
    <t>H000001275</t>
  </si>
  <si>
    <t>H000001289</t>
  </si>
  <si>
    <t>H000001310</t>
  </si>
  <si>
    <t>H000001319</t>
  </si>
  <si>
    <t>H000001329</t>
  </si>
  <si>
    <t>H000001331</t>
  </si>
  <si>
    <t>H000001367</t>
  </si>
  <si>
    <t>H000001410</t>
  </si>
  <si>
    <t>H000001412</t>
  </si>
  <si>
    <t>H000001490</t>
  </si>
  <si>
    <t>H000001491</t>
  </si>
  <si>
    <t>H000001496</t>
  </si>
  <si>
    <t>H000001497</t>
  </si>
  <si>
    <t>H000001518</t>
  </si>
  <si>
    <t>H000001531</t>
  </si>
  <si>
    <t>H000001551</t>
  </si>
  <si>
    <t>H000001603</t>
  </si>
  <si>
    <t>H000001629</t>
  </si>
  <si>
    <t>H000001633</t>
  </si>
  <si>
    <t>H000001657</t>
  </si>
  <si>
    <t>H000001704</t>
  </si>
  <si>
    <t>H000001709</t>
  </si>
  <si>
    <t>H000001712</t>
  </si>
  <si>
    <t>H000001717</t>
  </si>
  <si>
    <t>H000001720</t>
  </si>
  <si>
    <t>H000001731</t>
  </si>
  <si>
    <t>H000001752</t>
  </si>
  <si>
    <t>H000001756</t>
  </si>
  <si>
    <t>H000001765</t>
  </si>
  <si>
    <t>H000001825</t>
  </si>
  <si>
    <t>H000001838</t>
  </si>
  <si>
    <t>H000001847</t>
  </si>
  <si>
    <t>H000001854</t>
  </si>
  <si>
    <t>H000001855</t>
  </si>
  <si>
    <t>H000001868</t>
  </si>
  <si>
    <t>H000001890</t>
  </si>
  <si>
    <t>H000001901</t>
  </si>
  <si>
    <t>H000001924</t>
  </si>
  <si>
    <t>H000001940</t>
  </si>
  <si>
    <t>H000001959</t>
  </si>
  <si>
    <t>H000001977</t>
  </si>
  <si>
    <t>H000001978</t>
  </si>
  <si>
    <t>H000002015</t>
  </si>
  <si>
    <t>H000002035</t>
  </si>
  <si>
    <t>H000002040</t>
  </si>
  <si>
    <t>H000002046</t>
  </si>
  <si>
    <t>H000002051</t>
  </si>
  <si>
    <t>H000002054</t>
  </si>
  <si>
    <t>H000002065</t>
  </si>
  <si>
    <t>H000002110</t>
  </si>
  <si>
    <t>H000002123</t>
  </si>
  <si>
    <t>H000002136</t>
  </si>
  <si>
    <t>H000002139</t>
  </si>
  <si>
    <t>H000002142</t>
  </si>
  <si>
    <t>H000002145</t>
  </si>
  <si>
    <t>H000002148</t>
  </si>
  <si>
    <t>H000002151</t>
  </si>
  <si>
    <t>H000002154</t>
  </si>
  <si>
    <t>H000002171</t>
  </si>
  <si>
    <t>H000002172</t>
  </si>
  <si>
    <t>H000002206</t>
  </si>
  <si>
    <t>H000002207</t>
  </si>
  <si>
    <t>H000002241</t>
  </si>
  <si>
    <t>H000002242</t>
  </si>
  <si>
    <t>H000002282</t>
  </si>
  <si>
    <t>H000002284</t>
  </si>
  <si>
    <t>H000002315</t>
  </si>
  <si>
    <t>H000002316</t>
  </si>
  <si>
    <t>H000002350</t>
  </si>
  <si>
    <t>H000002351</t>
  </si>
  <si>
    <t>H000002385</t>
  </si>
  <si>
    <t>H000002386</t>
  </si>
  <si>
    <t>H000002420</t>
  </si>
  <si>
    <t>H000002421</t>
  </si>
  <si>
    <t>H000002458</t>
  </si>
  <si>
    <t>H000002465</t>
  </si>
  <si>
    <t>H000002500</t>
  </si>
  <si>
    <t>H000002526</t>
  </si>
  <si>
    <t>H000002541</t>
  </si>
  <si>
    <t>H000002555</t>
  </si>
  <si>
    <t>H000002562</t>
  </si>
  <si>
    <t>H000002581</t>
  </si>
  <si>
    <t>H000002596</t>
  </si>
  <si>
    <t>H000002624</t>
  </si>
  <si>
    <t>H000002645</t>
  </si>
  <si>
    <t>H000002683</t>
  </si>
  <si>
    <t>H000002699</t>
  </si>
  <si>
    <t>H000002729</t>
  </si>
  <si>
    <t>H000002736</t>
  </si>
  <si>
    <t>H000002761</t>
  </si>
  <si>
    <t>H000002764</t>
  </si>
  <si>
    <t>H000002766</t>
  </si>
  <si>
    <t>H000002816</t>
  </si>
  <si>
    <t>H000002823</t>
  </si>
  <si>
    <t>H000002824</t>
  </si>
  <si>
    <t>H000002835</t>
  </si>
  <si>
    <t>H000002848</t>
  </si>
  <si>
    <t>H000002883</t>
  </si>
  <si>
    <t>H000002884</t>
  </si>
  <si>
    <t>H000002888</t>
  </si>
  <si>
    <t>H000002897</t>
  </si>
  <si>
    <t>H000002900</t>
  </si>
  <si>
    <t>H000002902</t>
  </si>
  <si>
    <t>H000002904</t>
  </si>
  <si>
    <t>H000002919</t>
  </si>
  <si>
    <t>H000002931</t>
  </si>
  <si>
    <t>H000002946</t>
  </si>
  <si>
    <t>H000002947</t>
  </si>
  <si>
    <t>H000002965</t>
  </si>
  <si>
    <t>H000002968</t>
  </si>
  <si>
    <t>H000002970</t>
  </si>
  <si>
    <t>H000002999</t>
  </si>
  <si>
    <t>H000003036</t>
  </si>
  <si>
    <t>H000003061</t>
  </si>
  <si>
    <t>H000003066</t>
  </si>
  <si>
    <t>H000003090</t>
  </si>
  <si>
    <t>H000003117</t>
  </si>
  <si>
    <t>H000003132</t>
  </si>
  <si>
    <t>H000003147</t>
  </si>
  <si>
    <t>H000003179</t>
  </si>
  <si>
    <t>H000003193</t>
  </si>
  <si>
    <t>H000003196</t>
  </si>
  <si>
    <t>H000003197</t>
  </si>
  <si>
    <t>H000003201</t>
  </si>
  <si>
    <t>H000003216</t>
  </si>
  <si>
    <t>H000003234</t>
  </si>
  <si>
    <t>H000003252</t>
  </si>
  <si>
    <t>H000003267</t>
  </si>
  <si>
    <t>H000003299</t>
  </si>
  <si>
    <t>H000003312</t>
  </si>
  <si>
    <t>H000003316</t>
  </si>
  <si>
    <t>H000003320</t>
  </si>
  <si>
    <t>H000003354</t>
  </si>
  <si>
    <t>H000003358</t>
  </si>
  <si>
    <t>H000003362</t>
  </si>
  <si>
    <t>H000003396</t>
  </si>
  <si>
    <t>H000003397</t>
  </si>
  <si>
    <t>H000003419</t>
  </si>
  <si>
    <t>H000003454</t>
  </si>
  <si>
    <t>H000003456</t>
  </si>
  <si>
    <t>H000003470</t>
  </si>
  <si>
    <t>H000003473</t>
  </si>
  <si>
    <t>H000003485</t>
  </si>
  <si>
    <t>H000003490</t>
  </si>
  <si>
    <t>H000003523</t>
  </si>
  <si>
    <t>H000003542</t>
  </si>
  <si>
    <t>H000003564</t>
  </si>
  <si>
    <t>H000003567</t>
  </si>
  <si>
    <t>H000003570</t>
  </si>
  <si>
    <t>H000003592</t>
  </si>
  <si>
    <t>H000003599</t>
  </si>
  <si>
    <t>H000003614</t>
  </si>
  <si>
    <t>H000003617</t>
  </si>
  <si>
    <t>H000003625</t>
  </si>
  <si>
    <t>H000003629</t>
  </si>
  <si>
    <t>H000003632</t>
  </si>
  <si>
    <t>H000003638</t>
  </si>
  <si>
    <t>H000003641</t>
  </si>
  <si>
    <t>H000003662</t>
  </si>
  <si>
    <t>H000003677</t>
  </si>
  <si>
    <t>H000003698</t>
  </si>
  <si>
    <t>H000003719</t>
  </si>
  <si>
    <t>H000003732</t>
  </si>
  <si>
    <t>H000003849</t>
  </si>
  <si>
    <t>H000003884</t>
  </si>
  <si>
    <t>H000003921</t>
  </si>
  <si>
    <t>H000003947</t>
  </si>
  <si>
    <t>H000003949</t>
  </si>
  <si>
    <t>H000003954</t>
  </si>
  <si>
    <t>H000004009</t>
  </si>
  <si>
    <t>H000004017</t>
  </si>
  <si>
    <t>H000004018</t>
  </si>
  <si>
    <t>H000004027</t>
  </si>
  <si>
    <t>H000004040</t>
  </si>
  <si>
    <t>H000004058</t>
  </si>
  <si>
    <t>H000004083</t>
  </si>
  <si>
    <t>H000004087</t>
  </si>
  <si>
    <t>H000004187</t>
  </si>
  <si>
    <t>H000004197</t>
  </si>
  <si>
    <t>H000004269</t>
  </si>
  <si>
    <t>H000004270</t>
  </si>
  <si>
    <t>H000004271</t>
  </si>
  <si>
    <t>H000004272</t>
  </si>
  <si>
    <t>H000004273</t>
  </si>
  <si>
    <t>H000004274</t>
  </si>
  <si>
    <t>H000004275</t>
  </si>
  <si>
    <t>H000004277</t>
  </si>
  <si>
    <t>H000004278</t>
  </si>
  <si>
    <t>H000004301</t>
  </si>
  <si>
    <t>IT06040500</t>
  </si>
  <si>
    <t>IT06900102</t>
  </si>
  <si>
    <t>L000005062</t>
  </si>
  <si>
    <t>L000005222</t>
  </si>
  <si>
    <t>L000005225</t>
  </si>
  <si>
    <t>L000005228</t>
  </si>
  <si>
    <t>L000005230</t>
  </si>
  <si>
    <t>L000005237</t>
  </si>
  <si>
    <t>L000005247</t>
  </si>
  <si>
    <t>L000005302</t>
  </si>
  <si>
    <t>L000005470</t>
  </si>
  <si>
    <t>L000005618</t>
  </si>
  <si>
    <t>L000005644</t>
  </si>
  <si>
    <t>L000005667</t>
  </si>
  <si>
    <t>L000005694</t>
  </si>
  <si>
    <t>L000005695</t>
  </si>
  <si>
    <t>L000005714</t>
  </si>
  <si>
    <t>L000005740</t>
  </si>
  <si>
    <t>L000005787</t>
  </si>
  <si>
    <t>L000005801</t>
  </si>
  <si>
    <t>L000005808</t>
  </si>
  <si>
    <t>L000005829</t>
  </si>
  <si>
    <t>L000005947</t>
  </si>
  <si>
    <t>L000005955</t>
  </si>
  <si>
    <t>L000006007</t>
  </si>
  <si>
    <t>L000006120</t>
  </si>
  <si>
    <t>L000006148</t>
  </si>
  <si>
    <t>L000006183</t>
  </si>
  <si>
    <t>L000006192</t>
  </si>
  <si>
    <t>L000006369</t>
  </si>
  <si>
    <t>L000006601</t>
  </si>
  <si>
    <t>L000006603</t>
  </si>
  <si>
    <t>L000006631</t>
  </si>
  <si>
    <t>L000006754</t>
  </si>
  <si>
    <t>L000006949</t>
  </si>
  <si>
    <t>L000007026</t>
  </si>
  <si>
    <t>L000007030</t>
  </si>
  <si>
    <t>L000007115</t>
  </si>
  <si>
    <t>L000007228</t>
  </si>
  <si>
    <t>L000007257</t>
  </si>
  <si>
    <t>L000007318</t>
  </si>
  <si>
    <t>L000007351</t>
  </si>
  <si>
    <t>L000007367</t>
  </si>
  <si>
    <t>L000007600</t>
  </si>
  <si>
    <t>L000007601</t>
  </si>
  <si>
    <t>L000007603</t>
  </si>
  <si>
    <t>L000007615</t>
  </si>
  <si>
    <t>L000007617</t>
  </si>
  <si>
    <t>L000007632</t>
  </si>
  <si>
    <t>L000007653</t>
  </si>
  <si>
    <t>L000007654</t>
  </si>
  <si>
    <t>L000007661</t>
  </si>
  <si>
    <t>L000007662</t>
  </si>
  <si>
    <t>L000007679</t>
  </si>
  <si>
    <t>L000007682</t>
  </si>
  <si>
    <t>L000007695</t>
  </si>
  <si>
    <t>L000007696</t>
  </si>
  <si>
    <t>L000007697</t>
  </si>
  <si>
    <t>L000007698</t>
  </si>
  <si>
    <t>L000007750</t>
  </si>
  <si>
    <t>L000007759</t>
  </si>
  <si>
    <t>L000007764</t>
  </si>
  <si>
    <t>L000007779</t>
  </si>
  <si>
    <t>L000007780</t>
  </si>
  <si>
    <t>L000007781</t>
  </si>
  <si>
    <t>L000007797</t>
  </si>
  <si>
    <t>L000007801</t>
  </si>
  <si>
    <t>L000007811</t>
  </si>
  <si>
    <t>L000007812</t>
  </si>
  <si>
    <t>L000007819</t>
  </si>
  <si>
    <t>L000007820</t>
  </si>
  <si>
    <t>L000007836</t>
  </si>
  <si>
    <t>L000007837</t>
  </si>
  <si>
    <t>L000007838</t>
  </si>
  <si>
    <t>L000007843</t>
  </si>
  <si>
    <t>L000007848</t>
  </si>
  <si>
    <t>L000007849</t>
  </si>
  <si>
    <t>L000007857</t>
  </si>
  <si>
    <t>L000007860</t>
  </si>
  <si>
    <t>L000007862</t>
  </si>
  <si>
    <t>L000007863</t>
  </si>
  <si>
    <t>L000007867</t>
  </si>
  <si>
    <t>L000007871</t>
  </si>
  <si>
    <t>L000007872</t>
  </si>
  <si>
    <t>L000007884</t>
  </si>
  <si>
    <t>L000007885</t>
  </si>
  <si>
    <t>L000007893</t>
  </si>
  <si>
    <t>L000007900</t>
  </si>
  <si>
    <t>L000007906</t>
  </si>
  <si>
    <t>L000007920</t>
  </si>
  <si>
    <t>L000007963</t>
  </si>
  <si>
    <t>L000007986</t>
  </si>
  <si>
    <t>L000008004</t>
  </si>
  <si>
    <t>L000008006</t>
  </si>
  <si>
    <t>L000008074</t>
  </si>
  <si>
    <t>L000008140</t>
  </si>
  <si>
    <t>L000008143</t>
  </si>
  <si>
    <t>L000008283</t>
  </si>
  <si>
    <t>L000008291</t>
  </si>
  <si>
    <t>L000008298</t>
  </si>
  <si>
    <t>L000008320</t>
  </si>
  <si>
    <t>L000008379</t>
  </si>
  <si>
    <t>L000008380</t>
  </si>
  <si>
    <t>L000008393</t>
  </si>
  <si>
    <t>L000008403</t>
  </si>
  <si>
    <t>L000008411</t>
  </si>
  <si>
    <t>L000008433</t>
  </si>
  <si>
    <t>L000008459</t>
  </si>
  <si>
    <t>L000008545</t>
  </si>
  <si>
    <t>L000008546</t>
  </si>
  <si>
    <t>L000008649</t>
  </si>
  <si>
    <t>L000008768</t>
  </si>
  <si>
    <t>L000008781</t>
  </si>
  <si>
    <t>L000008787</t>
  </si>
  <si>
    <t>L000008839</t>
  </si>
  <si>
    <t>L000008917</t>
  </si>
  <si>
    <t>L000008941</t>
  </si>
  <si>
    <t>L000009013</t>
  </si>
  <si>
    <t>L000009014</t>
  </si>
  <si>
    <t>L000009016</t>
  </si>
  <si>
    <t>L000009017</t>
  </si>
  <si>
    <t>L000009020</t>
  </si>
  <si>
    <t>L000009034</t>
  </si>
  <si>
    <t>L000009036</t>
  </si>
  <si>
    <t>L000009037</t>
  </si>
  <si>
    <t>L000009038</t>
  </si>
  <si>
    <t>L000009039</t>
  </si>
  <si>
    <t>L000009049</t>
  </si>
  <si>
    <t>L000009052</t>
  </si>
  <si>
    <t>L000009055</t>
  </si>
  <si>
    <t>L000009060</t>
  </si>
  <si>
    <t>L000009096</t>
  </si>
  <si>
    <t>L000009146</t>
  </si>
  <si>
    <t>L000009147</t>
  </si>
  <si>
    <t>L000009148</t>
  </si>
  <si>
    <t>L000009185</t>
  </si>
  <si>
    <t>L000009195</t>
  </si>
  <si>
    <t>L000009299</t>
  </si>
  <si>
    <t>L000009301</t>
  </si>
  <si>
    <t>L000009310</t>
  </si>
  <si>
    <t>L000009365</t>
  </si>
  <si>
    <t>L000009366</t>
  </si>
  <si>
    <t>L000009368</t>
  </si>
  <si>
    <t>L000009370</t>
  </si>
  <si>
    <t>L000009375</t>
  </si>
  <si>
    <t>L000009376</t>
  </si>
  <si>
    <t>L000009378</t>
  </si>
  <si>
    <t>L000009379</t>
  </si>
  <si>
    <t>L000009380</t>
  </si>
  <si>
    <t>L000009381</t>
  </si>
  <si>
    <t>L000009383</t>
  </si>
  <si>
    <t>L000009385</t>
  </si>
  <si>
    <t>L000009386</t>
  </si>
  <si>
    <t>L000009391</t>
  </si>
  <si>
    <t>L000009392</t>
  </si>
  <si>
    <t>L000009394</t>
  </si>
  <si>
    <t>L000009395</t>
  </si>
  <si>
    <t>L000009397</t>
  </si>
  <si>
    <t>L000009398</t>
  </si>
  <si>
    <t>L000009399</t>
  </si>
  <si>
    <t>L000009401</t>
  </si>
  <si>
    <t>L000009411</t>
  </si>
  <si>
    <t>L000009417</t>
  </si>
  <si>
    <t>L000009419</t>
  </si>
  <si>
    <t>L000009424</t>
  </si>
  <si>
    <t>L000009467</t>
  </si>
  <si>
    <t>L000009479</t>
  </si>
  <si>
    <t>L000009556</t>
  </si>
  <si>
    <t>L000009558</t>
  </si>
  <si>
    <t>L000009617</t>
  </si>
  <si>
    <t>L000009626</t>
  </si>
  <si>
    <t>L000009637</t>
  </si>
  <si>
    <t>L000009645</t>
  </si>
  <si>
    <t>L000009655</t>
  </si>
  <si>
    <t>L000009666</t>
  </si>
  <si>
    <t>L000009695</t>
  </si>
  <si>
    <t>L000009718</t>
  </si>
  <si>
    <t>L000009751</t>
  </si>
  <si>
    <t>L000009821</t>
  </si>
  <si>
    <t>L000009926</t>
  </si>
  <si>
    <t>L000009947</t>
  </si>
  <si>
    <t>L000009964</t>
  </si>
  <si>
    <t>L000009971</t>
  </si>
  <si>
    <t>L000010007</t>
  </si>
  <si>
    <t>L000010014</t>
  </si>
  <si>
    <t>L000010018</t>
  </si>
  <si>
    <t>L000010023</t>
  </si>
  <si>
    <t>L000010042</t>
  </si>
  <si>
    <t>L000010102</t>
  </si>
  <si>
    <t>L000010144</t>
  </si>
  <si>
    <t>L000010160</t>
  </si>
  <si>
    <t>L000010167</t>
  </si>
  <si>
    <t>L000010179</t>
  </si>
  <si>
    <t>L000010184</t>
  </si>
  <si>
    <t>L000010193</t>
  </si>
  <si>
    <t>L000010199</t>
  </si>
  <si>
    <t>L000010211</t>
  </si>
  <si>
    <t>L000010248</t>
  </si>
  <si>
    <t>L000010252</t>
  </si>
  <si>
    <t>L000010257</t>
  </si>
  <si>
    <t>L000010276</t>
  </si>
  <si>
    <t>L000010313</t>
  </si>
  <si>
    <t>L000010639</t>
  </si>
  <si>
    <t>L000010657</t>
  </si>
  <si>
    <t>L000010786</t>
  </si>
  <si>
    <t>L000010817</t>
  </si>
  <si>
    <t>L000010823</t>
  </si>
  <si>
    <t>L000010832</t>
  </si>
  <si>
    <t>L000010833</t>
  </si>
  <si>
    <t>L000010856</t>
  </si>
  <si>
    <t>L000010862</t>
  </si>
  <si>
    <t>L000010863</t>
  </si>
  <si>
    <t>L000010868</t>
  </si>
  <si>
    <t>L000011022</t>
  </si>
  <si>
    <t>L000011026</t>
  </si>
  <si>
    <t>L000011028</t>
  </si>
  <si>
    <t>L000011035</t>
  </si>
  <si>
    <t>L000011162</t>
  </si>
  <si>
    <t>L000011264</t>
  </si>
  <si>
    <t>L000011280</t>
  </si>
  <si>
    <t>L000011360</t>
  </si>
  <si>
    <t>L000011361</t>
  </si>
  <si>
    <t>L000011362</t>
  </si>
  <si>
    <t>L000011363</t>
  </si>
  <si>
    <t>L000011444</t>
  </si>
  <si>
    <t>L000011527</t>
  </si>
  <si>
    <t>L000011645</t>
  </si>
  <si>
    <t>L000011726</t>
  </si>
  <si>
    <t>L000011727</t>
  </si>
  <si>
    <t>L000011728</t>
  </si>
  <si>
    <t>L000011801</t>
  </si>
  <si>
    <t>L000011817</t>
  </si>
  <si>
    <t>L000011818</t>
  </si>
  <si>
    <t>L000011820</t>
  </si>
  <si>
    <t>L000011832</t>
  </si>
  <si>
    <t>L000011839</t>
  </si>
  <si>
    <t>L000011841</t>
  </si>
  <si>
    <t>L000011877</t>
  </si>
  <si>
    <t>L000011898</t>
  </si>
  <si>
    <t>L000011903</t>
  </si>
  <si>
    <t>L000011919</t>
  </si>
  <si>
    <t>L000011929</t>
  </si>
  <si>
    <t>L000011933</t>
  </si>
  <si>
    <t>L000011936</t>
  </si>
  <si>
    <t>L000011947</t>
  </si>
  <si>
    <t>L000011949</t>
  </si>
  <si>
    <t>L000011952</t>
  </si>
  <si>
    <t>L000012028</t>
  </si>
  <si>
    <t>L000012033</t>
  </si>
  <si>
    <t>L000012094</t>
  </si>
  <si>
    <t>L000012106</t>
  </si>
  <si>
    <t>L000012110</t>
  </si>
  <si>
    <t>L000012182</t>
  </si>
  <si>
    <t>L000012195</t>
  </si>
  <si>
    <t>L000012198</t>
  </si>
  <si>
    <t>L000012241</t>
  </si>
  <si>
    <t>L000012246</t>
  </si>
  <si>
    <t>L000012247</t>
  </si>
  <si>
    <t>L000012290</t>
  </si>
  <si>
    <t>L000012291</t>
  </si>
  <si>
    <t>L000012306</t>
  </si>
  <si>
    <t>L000012318</t>
  </si>
  <si>
    <t>L000012373</t>
  </si>
  <si>
    <t>L000012404</t>
  </si>
  <si>
    <t>L000012438</t>
  </si>
  <si>
    <t>L000012440</t>
  </si>
  <si>
    <t>L000012480</t>
  </si>
  <si>
    <t>L000012488</t>
  </si>
  <si>
    <t>L000012491</t>
  </si>
  <si>
    <t>L000012493</t>
  </si>
  <si>
    <t>L000012494</t>
  </si>
  <si>
    <t>L000012511</t>
  </si>
  <si>
    <t>L000012631</t>
  </si>
  <si>
    <t>L000012729</t>
  </si>
  <si>
    <t>L000012735</t>
  </si>
  <si>
    <t>L000012762</t>
  </si>
  <si>
    <t>L000012777</t>
  </si>
  <si>
    <t>L000012786</t>
  </si>
  <si>
    <t>L000012801</t>
  </si>
  <si>
    <t>L000012812</t>
  </si>
  <si>
    <t>L000012957</t>
  </si>
  <si>
    <t>L000012959</t>
  </si>
  <si>
    <t>L000012975</t>
  </si>
  <si>
    <t>L000012979</t>
  </si>
  <si>
    <t>L000012998</t>
  </si>
  <si>
    <t>L000013007</t>
  </si>
  <si>
    <t>L000013008</t>
  </si>
  <si>
    <t>L000013012</t>
  </si>
  <si>
    <t>L000013020</t>
  </si>
  <si>
    <t>L000013021</t>
  </si>
  <si>
    <t>L000013028</t>
  </si>
  <si>
    <t>L000013029</t>
  </si>
  <si>
    <t>L000013041</t>
  </si>
  <si>
    <t>L000013050</t>
  </si>
  <si>
    <t>L000013067</t>
  </si>
  <si>
    <t>L000013128</t>
  </si>
  <si>
    <t>L000013137</t>
  </si>
  <si>
    <t>L000013140</t>
  </si>
  <si>
    <t>L000013192</t>
  </si>
  <si>
    <t>L000013205</t>
  </si>
  <si>
    <t>L000013206</t>
  </si>
  <si>
    <t>L000013207</t>
  </si>
  <si>
    <t>L000013220</t>
  </si>
  <si>
    <t>L000013228</t>
  </si>
  <si>
    <t>L000013246</t>
  </si>
  <si>
    <t>L000013277</t>
  </si>
  <si>
    <t>L000013313</t>
  </si>
  <si>
    <t>L000013319</t>
  </si>
  <si>
    <t>L000013327</t>
  </si>
  <si>
    <t>L000013340</t>
  </si>
  <si>
    <t>L000013351</t>
  </si>
  <si>
    <t>L000013353</t>
  </si>
  <si>
    <t>L000013357</t>
  </si>
  <si>
    <t>L000013358</t>
  </si>
  <si>
    <t>L000013360</t>
  </si>
  <si>
    <t>L000013363</t>
  </si>
  <si>
    <t>L000013370</t>
  </si>
  <si>
    <t>L000013405</t>
  </si>
  <si>
    <t>L000013430</t>
  </si>
  <si>
    <t>L000013452</t>
  </si>
  <si>
    <t>L000013465</t>
  </si>
  <si>
    <t>L000013495</t>
  </si>
  <si>
    <t>P000000047</t>
  </si>
  <si>
    <t>P000000087</t>
  </si>
  <si>
    <t>P000000097</t>
  </si>
  <si>
    <t>P000000159</t>
  </si>
  <si>
    <t>P000000305</t>
  </si>
  <si>
    <t>P000000461</t>
  </si>
  <si>
    <t>P000000464</t>
  </si>
  <si>
    <t>P000000505</t>
  </si>
  <si>
    <t>P000000508</t>
  </si>
  <si>
    <t>P000000516</t>
  </si>
  <si>
    <t>P000000517</t>
  </si>
  <si>
    <t>P000000520</t>
  </si>
  <si>
    <t>P000000527</t>
  </si>
  <si>
    <t>P000000535</t>
  </si>
  <si>
    <t>P000000570</t>
  </si>
  <si>
    <t>P000000601</t>
  </si>
  <si>
    <t>P000000679</t>
  </si>
  <si>
    <t>P000000680</t>
  </si>
  <si>
    <t>P000000737</t>
  </si>
  <si>
    <t>P000000788</t>
  </si>
  <si>
    <t>P000000829</t>
  </si>
  <si>
    <t>P000000954</t>
  </si>
  <si>
    <t>P000000972</t>
  </si>
  <si>
    <t>PL_E4_US45</t>
  </si>
  <si>
    <t>G000000043</t>
  </si>
  <si>
    <t>G000000062</t>
  </si>
  <si>
    <t>G000000086</t>
  </si>
  <si>
    <t>G000000100</t>
  </si>
  <si>
    <t>G000000149</t>
  </si>
  <si>
    <t>G000000167</t>
  </si>
  <si>
    <t>G000000170</t>
  </si>
  <si>
    <t>G000000193</t>
  </si>
  <si>
    <t>G000000201</t>
  </si>
  <si>
    <t>G000000219</t>
  </si>
  <si>
    <t>G000000245</t>
  </si>
  <si>
    <t>G000000282</t>
  </si>
  <si>
    <t>G000000283</t>
  </si>
  <si>
    <t>G000000376</t>
  </si>
  <si>
    <t>G000000429</t>
  </si>
  <si>
    <t>G000000487</t>
  </si>
  <si>
    <t>G000000531</t>
  </si>
  <si>
    <t>G000000532</t>
  </si>
  <si>
    <t>G000000641</t>
  </si>
  <si>
    <t>G000000675</t>
  </si>
  <si>
    <t>G000000756</t>
  </si>
  <si>
    <t>G000000885</t>
  </si>
  <si>
    <t>G000000895</t>
  </si>
  <si>
    <t>G000000897</t>
  </si>
  <si>
    <t>G000000913</t>
  </si>
  <si>
    <t>G000000916</t>
  </si>
  <si>
    <t>G000000928</t>
  </si>
  <si>
    <t>G000000937</t>
  </si>
  <si>
    <t>G000000938</t>
  </si>
  <si>
    <t>G000000985</t>
  </si>
  <si>
    <t>G000000987</t>
  </si>
  <si>
    <t>G000000988</t>
  </si>
  <si>
    <t>G000000990</t>
  </si>
  <si>
    <t>G000001008</t>
  </si>
  <si>
    <t>G000001016</t>
  </si>
  <si>
    <t>G000001063</t>
  </si>
  <si>
    <t>G000001066</t>
  </si>
  <si>
    <t>G000001071</t>
  </si>
  <si>
    <t>G000001073</t>
  </si>
  <si>
    <t>G000001079</t>
  </si>
  <si>
    <t>H000000005</t>
  </si>
  <si>
    <t>H000000153</t>
  </si>
  <si>
    <t>H000000245</t>
  </si>
  <si>
    <t>H000000465</t>
  </si>
  <si>
    <t>H000000474</t>
  </si>
  <si>
    <t>H000000483</t>
  </si>
  <si>
    <t>H000000492</t>
  </si>
  <si>
    <t>H000000501</t>
  </si>
  <si>
    <t>H000000511</t>
  </si>
  <si>
    <t>H000000520</t>
  </si>
  <si>
    <t>H000000529</t>
  </si>
  <si>
    <t>H000000538</t>
  </si>
  <si>
    <t>H000000547</t>
  </si>
  <si>
    <t>H000000556</t>
  </si>
  <si>
    <t>H000000565</t>
  </si>
  <si>
    <t>H000000574</t>
  </si>
  <si>
    <t>H000000583</t>
  </si>
  <si>
    <t>H000000592</t>
  </si>
  <si>
    <t>H000000601</t>
  </si>
  <si>
    <t>H000000610</t>
  </si>
  <si>
    <t>H000000620</t>
  </si>
  <si>
    <t>H000000629</t>
  </si>
  <si>
    <t>H000000666</t>
  </si>
  <si>
    <t>H000000673</t>
  </si>
  <si>
    <t>H000000680</t>
  </si>
  <si>
    <t>H000000683</t>
  </si>
  <si>
    <t>H000000725</t>
  </si>
  <si>
    <t>H000000726</t>
  </si>
  <si>
    <t>H000000902</t>
  </si>
  <si>
    <t>H000000917</t>
  </si>
  <si>
    <t>H000000957</t>
  </si>
  <si>
    <t>H000000966</t>
  </si>
  <si>
    <t>H000000967</t>
  </si>
  <si>
    <t>H000000968</t>
  </si>
  <si>
    <t>H000000981</t>
  </si>
  <si>
    <t>H000000984</t>
  </si>
  <si>
    <t>H000000989</t>
  </si>
  <si>
    <t>H000000994</t>
  </si>
  <si>
    <t>H000001003</t>
  </si>
  <si>
    <t>H000001012</t>
  </si>
  <si>
    <t>H000001021</t>
  </si>
  <si>
    <t>H000001030</t>
  </si>
  <si>
    <t>H000001039</t>
  </si>
  <si>
    <t>H000001126</t>
  </si>
  <si>
    <t>H000001224</t>
  </si>
  <si>
    <t>H000001226</t>
  </si>
  <si>
    <t>H000001234</t>
  </si>
  <si>
    <t>H000001242</t>
  </si>
  <si>
    <t>H000001322</t>
  </si>
  <si>
    <t>H000001363</t>
  </si>
  <si>
    <t>H000001413</t>
  </si>
  <si>
    <t>H000001428</t>
  </si>
  <si>
    <t>H000001442</t>
  </si>
  <si>
    <t>H000001451</t>
  </si>
  <si>
    <t>H000001457</t>
  </si>
  <si>
    <t>H000001458</t>
  </si>
  <si>
    <t>H000001459</t>
  </si>
  <si>
    <t>H000001477</t>
  </si>
  <si>
    <t>H000001508</t>
  </si>
  <si>
    <t>H000001528</t>
  </si>
  <si>
    <t>H000001534</t>
  </si>
  <si>
    <t>H000001548</t>
  </si>
  <si>
    <t>H000001573</t>
  </si>
  <si>
    <t>H000001630</t>
  </si>
  <si>
    <t>H000001654</t>
  </si>
  <si>
    <t>H000001668</t>
  </si>
  <si>
    <t>H000001703</t>
  </si>
  <si>
    <t>H000001714</t>
  </si>
  <si>
    <t>H000001732</t>
  </si>
  <si>
    <t>H000001736</t>
  </si>
  <si>
    <t>H000001780</t>
  </si>
  <si>
    <t>H000001783</t>
  </si>
  <si>
    <t>H000001882</t>
  </si>
  <si>
    <t>H000001888</t>
  </si>
  <si>
    <t>H000001905</t>
  </si>
  <si>
    <t>H000001909</t>
  </si>
  <si>
    <t>H000001915</t>
  </si>
  <si>
    <t>H000001916</t>
  </si>
  <si>
    <t>H000001952</t>
  </si>
  <si>
    <t>H000001967</t>
  </si>
  <si>
    <t>H000001968</t>
  </si>
  <si>
    <t>H000002019</t>
  </si>
  <si>
    <t>H000002034</t>
  </si>
  <si>
    <t>H000002048</t>
  </si>
  <si>
    <t>H000002066</t>
  </si>
  <si>
    <t>H000002070</t>
  </si>
  <si>
    <t>H000002161</t>
  </si>
  <si>
    <t>H000002167</t>
  </si>
  <si>
    <t>H000002184</t>
  </si>
  <si>
    <t>H000002187</t>
  </si>
  <si>
    <t>H000002196</t>
  </si>
  <si>
    <t>H000002202</t>
  </si>
  <si>
    <t>H000002219</t>
  </si>
  <si>
    <t>H000002222</t>
  </si>
  <si>
    <t>H000002231</t>
  </si>
  <si>
    <t>H000002237</t>
  </si>
  <si>
    <t>H000002254</t>
  </si>
  <si>
    <t>H000002257</t>
  </si>
  <si>
    <t>H000002272</t>
  </si>
  <si>
    <t>H000002278</t>
  </si>
  <si>
    <t>H000002293</t>
  </si>
  <si>
    <t>H000002296</t>
  </si>
  <si>
    <t>H000002305</t>
  </si>
  <si>
    <t>H000002311</t>
  </si>
  <si>
    <t>H000002328</t>
  </si>
  <si>
    <t>H000002331</t>
  </si>
  <si>
    <t>H000002340</t>
  </si>
  <si>
    <t>H000002346</t>
  </si>
  <si>
    <t>H000002363</t>
  </si>
  <si>
    <t>H000002366</t>
  </si>
  <si>
    <t>H000002375</t>
  </si>
  <si>
    <t>H000002381</t>
  </si>
  <si>
    <t>H000002398</t>
  </si>
  <si>
    <t>H000002401</t>
  </si>
  <si>
    <t>H000002410</t>
  </si>
  <si>
    <t>H000002416</t>
  </si>
  <si>
    <t>H000002433</t>
  </si>
  <si>
    <t>H000002436</t>
  </si>
  <si>
    <t>H000002453</t>
  </si>
  <si>
    <t>H000002460</t>
  </si>
  <si>
    <t>H000002476</t>
  </si>
  <si>
    <t>H000002505</t>
  </si>
  <si>
    <t>H000002530</t>
  </si>
  <si>
    <t>H000002548</t>
  </si>
  <si>
    <t>H000002569</t>
  </si>
  <si>
    <t>H000002570</t>
  </si>
  <si>
    <t>H000002571</t>
  </si>
  <si>
    <t>H000002584</t>
  </si>
  <si>
    <t>H000002604</t>
  </si>
  <si>
    <t>H000002607</t>
  </si>
  <si>
    <t>H000002615</t>
  </si>
  <si>
    <t>H000002622</t>
  </si>
  <si>
    <t>H000002627</t>
  </si>
  <si>
    <t>H000002636</t>
  </si>
  <si>
    <t>H000002654</t>
  </si>
  <si>
    <t>H000002662</t>
  </si>
  <si>
    <t>H000002674</t>
  </si>
  <si>
    <t>H000002682</t>
  </si>
  <si>
    <t>H000002691</t>
  </si>
  <si>
    <t>H000002693</t>
  </si>
  <si>
    <t>H000002696</t>
  </si>
  <si>
    <t>H000002703</t>
  </si>
  <si>
    <t>H000002738</t>
  </si>
  <si>
    <t>H000002739</t>
  </si>
  <si>
    <t>H000002742</t>
  </si>
  <si>
    <t>H000002746</t>
  </si>
  <si>
    <t>H000002753</t>
  </si>
  <si>
    <t>H000002775</t>
  </si>
  <si>
    <t>H000002780</t>
  </si>
  <si>
    <t>H000002786</t>
  </si>
  <si>
    <t>H000002829</t>
  </si>
  <si>
    <t>H000002836</t>
  </si>
  <si>
    <t>H000002842</t>
  </si>
  <si>
    <t>H000002852</t>
  </si>
  <si>
    <t>H000002860</t>
  </si>
  <si>
    <t>H000002863</t>
  </si>
  <si>
    <t>H000002903</t>
  </si>
  <si>
    <t>H000002907</t>
  </si>
  <si>
    <t>H000002934</t>
  </si>
  <si>
    <t>H000002955</t>
  </si>
  <si>
    <t>H000002959</t>
  </si>
  <si>
    <t>H000003005</t>
  </si>
  <si>
    <t>H000003009</t>
  </si>
  <si>
    <t>H000003013</t>
  </si>
  <si>
    <t>H000003017</t>
  </si>
  <si>
    <t>H000003025</t>
  </si>
  <si>
    <t>H000003029</t>
  </si>
  <si>
    <t>H000003042</t>
  </si>
  <si>
    <t>H000003046</t>
  </si>
  <si>
    <t>H000003050</t>
  </si>
  <si>
    <t>H000003054</t>
  </si>
  <si>
    <t>H000003074</t>
  </si>
  <si>
    <t>H000003080</t>
  </si>
  <si>
    <t>H000003096</t>
  </si>
  <si>
    <t>H000003100</t>
  </si>
  <si>
    <t>H000003104</t>
  </si>
  <si>
    <t>H000003108</t>
  </si>
  <si>
    <t>H000003120</t>
  </si>
  <si>
    <t>H000003153</t>
  </si>
  <si>
    <t>H000003157</t>
  </si>
  <si>
    <t>H000003161</t>
  </si>
  <si>
    <t>H000003165</t>
  </si>
  <si>
    <t>H000003200</t>
  </si>
  <si>
    <t>H000003204</t>
  </si>
  <si>
    <t>H000003207</t>
  </si>
  <si>
    <t>H000003240</t>
  </si>
  <si>
    <t>H000003273</t>
  </si>
  <si>
    <t>H000003277</t>
  </si>
  <si>
    <t>H000003281</t>
  </si>
  <si>
    <t>H000003285</t>
  </si>
  <si>
    <t>H000003304</t>
  </si>
  <si>
    <t>H000003338</t>
  </si>
  <si>
    <t>H000003345</t>
  </si>
  <si>
    <t>H000003408</t>
  </si>
  <si>
    <t>H000003415</t>
  </si>
  <si>
    <t>H000003425</t>
  </si>
  <si>
    <t>H000003429</t>
  </si>
  <si>
    <t>H000003433</t>
  </si>
  <si>
    <t>H000003437</t>
  </si>
  <si>
    <t>H000003455</t>
  </si>
  <si>
    <t>H000003459</t>
  </si>
  <si>
    <t>H000003465</t>
  </si>
  <si>
    <t>H000003508</t>
  </si>
  <si>
    <t>H000003612</t>
  </si>
  <si>
    <t>H000003796</t>
  </si>
  <si>
    <t>H000003862</t>
  </si>
  <si>
    <t>H000003864</t>
  </si>
  <si>
    <t>H000003866</t>
  </si>
  <si>
    <t>H000003867</t>
  </si>
  <si>
    <t>H000003869</t>
  </si>
  <si>
    <t>H000003896</t>
  </si>
  <si>
    <t>H000003939</t>
  </si>
  <si>
    <t>H000003955</t>
  </si>
  <si>
    <t>H000004034</t>
  </si>
  <si>
    <t>H000004070</t>
  </si>
  <si>
    <t>H000004078</t>
  </si>
  <si>
    <t>H000004079</t>
  </si>
  <si>
    <t>H000004081</t>
  </si>
  <si>
    <t>H000004086</t>
  </si>
  <si>
    <t>H000004091</t>
  </si>
  <si>
    <t>H000004149</t>
  </si>
  <si>
    <t>H000004154</t>
  </si>
  <si>
    <t>H000004181</t>
  </si>
  <si>
    <t>H000004200</t>
  </si>
  <si>
    <t>H000004260</t>
  </si>
  <si>
    <t>H000004262</t>
  </si>
  <si>
    <t>H000004276</t>
  </si>
  <si>
    <t>H000004304</t>
  </si>
  <si>
    <t>IT06042100</t>
  </si>
  <si>
    <t>IT06042200</t>
  </si>
  <si>
    <t>IT06042400</t>
  </si>
  <si>
    <t>IT06050600</t>
  </si>
  <si>
    <t>L000005058</t>
  </si>
  <si>
    <t>L000005121</t>
  </si>
  <si>
    <t>L000005226</t>
  </si>
  <si>
    <t>L000005232</t>
  </si>
  <si>
    <t>L000005236</t>
  </si>
  <si>
    <t>L000005248</t>
  </si>
  <si>
    <t>L000005264</t>
  </si>
  <si>
    <t>L000005312</t>
  </si>
  <si>
    <t>L000005321</t>
  </si>
  <si>
    <t>L000005375</t>
  </si>
  <si>
    <t>L000005377</t>
  </si>
  <si>
    <t>L000005390</t>
  </si>
  <si>
    <t>L000005405</t>
  </si>
  <si>
    <t>L000005621</t>
  </si>
  <si>
    <t>L000005676</t>
  </si>
  <si>
    <t>L000005718</t>
  </si>
  <si>
    <t>L000005719</t>
  </si>
  <si>
    <t>L000005722</t>
  </si>
  <si>
    <t>L000005736</t>
  </si>
  <si>
    <t>L000005748</t>
  </si>
  <si>
    <t>L000005753</t>
  </si>
  <si>
    <t>L000005803</t>
  </si>
  <si>
    <t>L000005812</t>
  </si>
  <si>
    <t>L000005916</t>
  </si>
  <si>
    <t>L000005933</t>
  </si>
  <si>
    <t>L000005934</t>
  </si>
  <si>
    <t>L000006136</t>
  </si>
  <si>
    <t>L000006168</t>
  </si>
  <si>
    <t>L000006205</t>
  </si>
  <si>
    <t>L000006295</t>
  </si>
  <si>
    <t>L000006307</t>
  </si>
  <si>
    <t>L000006338</t>
  </si>
  <si>
    <t>L000006378</t>
  </si>
  <si>
    <t>L000006399</t>
  </si>
  <si>
    <t>L000006440</t>
  </si>
  <si>
    <t>L000006493</t>
  </si>
  <si>
    <t>L000006987</t>
  </si>
  <si>
    <t>L000007541</t>
  </si>
  <si>
    <t>L000007678</t>
  </si>
  <si>
    <t>L000007703</t>
  </si>
  <si>
    <t>L000007742</t>
  </si>
  <si>
    <t>L000007744</t>
  </si>
  <si>
    <t>L000007796</t>
  </si>
  <si>
    <t>L000007835</t>
  </si>
  <si>
    <t>L000007981</t>
  </si>
  <si>
    <t>L000007985</t>
  </si>
  <si>
    <t>L000008073</t>
  </si>
  <si>
    <t>L000008142</t>
  </si>
  <si>
    <t>L000008282</t>
  </si>
  <si>
    <t>L000008319</t>
  </si>
  <si>
    <t>L000008333</t>
  </si>
  <si>
    <t>L000008366</t>
  </si>
  <si>
    <t>L000008367</t>
  </si>
  <si>
    <t>L000008394</t>
  </si>
  <si>
    <t>L000008395</t>
  </si>
  <si>
    <t>L000008417</t>
  </si>
  <si>
    <t>L000008423</t>
  </si>
  <si>
    <t>L000008769</t>
  </si>
  <si>
    <t>L000008778</t>
  </si>
  <si>
    <t>L000008818</t>
  </si>
  <si>
    <t>L000008824</t>
  </si>
  <si>
    <t>L000008826</t>
  </si>
  <si>
    <t>L000008827</t>
  </si>
  <si>
    <t>L000008841</t>
  </si>
  <si>
    <t>L000008877</t>
  </si>
  <si>
    <t>L000008878</t>
  </si>
  <si>
    <t>L000008904</t>
  </si>
  <si>
    <t>L000008906</t>
  </si>
  <si>
    <t>L000008990</t>
  </si>
  <si>
    <t>L000008998</t>
  </si>
  <si>
    <t>L000009024</t>
  </si>
  <si>
    <t>L000009030</t>
  </si>
  <si>
    <t>L000009091</t>
  </si>
  <si>
    <t>L000009145</t>
  </si>
  <si>
    <t>L000009227</t>
  </si>
  <si>
    <t>L000009326</t>
  </si>
  <si>
    <t>L000009390</t>
  </si>
  <si>
    <t>L000009400</t>
  </si>
  <si>
    <t>L000009416</t>
  </si>
  <si>
    <t>L000009487</t>
  </si>
  <si>
    <t>L000009506</t>
  </si>
  <si>
    <t>L000009510</t>
  </si>
  <si>
    <t>L000009618</t>
  </si>
  <si>
    <t>L000009659</t>
  </si>
  <si>
    <t>L000009675</t>
  </si>
  <si>
    <t>L000009731</t>
  </si>
  <si>
    <t>L000009750</t>
  </si>
  <si>
    <t>L000009811</t>
  </si>
  <si>
    <t>L000009918</t>
  </si>
  <si>
    <t>L000009922</t>
  </si>
  <si>
    <t>L000010057</t>
  </si>
  <si>
    <t>L000010083</t>
  </si>
  <si>
    <t>L000010089</t>
  </si>
  <si>
    <t>L000010148</t>
  </si>
  <si>
    <t>L000010159</t>
  </si>
  <si>
    <t>L000010186</t>
  </si>
  <si>
    <t>L000010190</t>
  </si>
  <si>
    <t>L000010207</t>
  </si>
  <si>
    <t>L000010212</t>
  </si>
  <si>
    <t>L000010216</t>
  </si>
  <si>
    <t>L000010247</t>
  </si>
  <si>
    <t>L000010382</t>
  </si>
  <si>
    <t>L000010594</t>
  </si>
  <si>
    <t>L000010726</t>
  </si>
  <si>
    <t>L000010744</t>
  </si>
  <si>
    <t>L000010796</t>
  </si>
  <si>
    <t>L000011064</t>
  </si>
  <si>
    <t>L000011124</t>
  </si>
  <si>
    <t>L000011149</t>
  </si>
  <si>
    <t>L000011160</t>
  </si>
  <si>
    <t>L000011164</t>
  </si>
  <si>
    <t>L000011165</t>
  </si>
  <si>
    <t>L000011168</t>
  </si>
  <si>
    <t>L000011171</t>
  </si>
  <si>
    <t>L000011174</t>
  </si>
  <si>
    <t>L000011177</t>
  </si>
  <si>
    <t>L000011180</t>
  </si>
  <si>
    <t>L000011183</t>
  </si>
  <si>
    <t>L000011184</t>
  </si>
  <si>
    <t>L000011187</t>
  </si>
  <si>
    <t>L000011188</t>
  </si>
  <si>
    <t>L000011189</t>
  </si>
  <si>
    <t>L000011190</t>
  </si>
  <si>
    <t>L000011263</t>
  </si>
  <si>
    <t>L000011266</t>
  </si>
  <si>
    <t>L000011289</t>
  </si>
  <si>
    <t>L000011311</t>
  </si>
  <si>
    <t>L000011330</t>
  </si>
  <si>
    <t>L000011349</t>
  </si>
  <si>
    <t>L000011352</t>
  </si>
  <si>
    <t>L000011371</t>
  </si>
  <si>
    <t>L000011384</t>
  </si>
  <si>
    <t>L000011396</t>
  </si>
  <si>
    <t>L000011503</t>
  </si>
  <si>
    <t>L000011744</t>
  </si>
  <si>
    <t>L000011781</t>
  </si>
  <si>
    <t>L000011866</t>
  </si>
  <si>
    <t>L000011885</t>
  </si>
  <si>
    <t>L000011928</t>
  </si>
  <si>
    <t>L000011957</t>
  </si>
  <si>
    <t>L000011992</t>
  </si>
  <si>
    <t>L000012125</t>
  </si>
  <si>
    <t>L000012189</t>
  </si>
  <si>
    <t>L000012349</t>
  </si>
  <si>
    <t>L000012350</t>
  </si>
  <si>
    <t>L000012352</t>
  </si>
  <si>
    <t>L000012365</t>
  </si>
  <si>
    <t>L000012387</t>
  </si>
  <si>
    <t>L000012388</t>
  </si>
  <si>
    <t>L000012475</t>
  </si>
  <si>
    <t>L000012497</t>
  </si>
  <si>
    <t>L000012499</t>
  </si>
  <si>
    <t>L000012500</t>
  </si>
  <si>
    <t>L000012737</t>
  </si>
  <si>
    <t>L000012738</t>
  </si>
  <si>
    <t>L000012740</t>
  </si>
  <si>
    <t>L000012742</t>
  </si>
  <si>
    <t>L000012776</t>
  </si>
  <si>
    <t>L000012785</t>
  </si>
  <si>
    <t>L000012797</t>
  </si>
  <si>
    <t>L000012819</t>
  </si>
  <si>
    <t>L000012821</t>
  </si>
  <si>
    <t>L000012852</t>
  </si>
  <si>
    <t>L000012922</t>
  </si>
  <si>
    <t>L000012958</t>
  </si>
  <si>
    <t>L000013000</t>
  </si>
  <si>
    <t>L000013002</t>
  </si>
  <si>
    <t>L000013015</t>
  </si>
  <si>
    <t>L000013035</t>
  </si>
  <si>
    <t>L000013036</t>
  </si>
  <si>
    <t>L000013097</t>
  </si>
  <si>
    <t>L000013107</t>
  </si>
  <si>
    <t>L000013108</t>
  </si>
  <si>
    <t>L000013159</t>
  </si>
  <si>
    <t>L000013169</t>
  </si>
  <si>
    <t>L000013213</t>
  </si>
  <si>
    <t>L000013235</t>
  </si>
  <si>
    <t>L000013251</t>
  </si>
  <si>
    <t>L000013267</t>
  </si>
  <si>
    <t>L000013288</t>
  </si>
  <si>
    <t>L000013314</t>
  </si>
  <si>
    <t>L000013320</t>
  </si>
  <si>
    <t>L000013348</t>
  </si>
  <si>
    <t>L000013352</t>
  </si>
  <si>
    <t>L000013374</t>
  </si>
  <si>
    <t>L000013397</t>
  </si>
  <si>
    <t>L000013463</t>
  </si>
  <si>
    <t>L000013489</t>
  </si>
  <si>
    <t>P000000042</t>
  </si>
  <si>
    <t>P000000058</t>
  </si>
  <si>
    <t>P000000063</t>
  </si>
  <si>
    <t>P000000064</t>
  </si>
  <si>
    <t>P000000067</t>
  </si>
  <si>
    <t>P000000069</t>
  </si>
  <si>
    <t>P000000075</t>
  </si>
  <si>
    <t>P000000181</t>
  </si>
  <si>
    <t>P000000193</t>
  </si>
  <si>
    <t>P000000194</t>
  </si>
  <si>
    <t>P000000196</t>
  </si>
  <si>
    <t>P000000197</t>
  </si>
  <si>
    <t>P000000198</t>
  </si>
  <si>
    <t>P000000307</t>
  </si>
  <si>
    <t>P000000309</t>
  </si>
  <si>
    <t>P000000311</t>
  </si>
  <si>
    <t>P000000313</t>
  </si>
  <si>
    <t>P000000315</t>
  </si>
  <si>
    <t>P000000317</t>
  </si>
  <si>
    <t>P000000319</t>
  </si>
  <si>
    <t>P000000321</t>
  </si>
  <si>
    <t>P000000323</t>
  </si>
  <si>
    <t>P000000325</t>
  </si>
  <si>
    <t>P000000327</t>
  </si>
  <si>
    <t>P000000329</t>
  </si>
  <si>
    <t>P000000331</t>
  </si>
  <si>
    <t>P000000333</t>
  </si>
  <si>
    <t>P000000335</t>
  </si>
  <si>
    <t>P000000337</t>
  </si>
  <si>
    <t>P000000339</t>
  </si>
  <si>
    <t>P000000341</t>
  </si>
  <si>
    <t>P000000343</t>
  </si>
  <si>
    <t>P000000512</t>
  </si>
  <si>
    <t>P000000518</t>
  </si>
  <si>
    <t>P000000526</t>
  </si>
  <si>
    <t>P000000549</t>
  </si>
  <si>
    <t>P000000556</t>
  </si>
  <si>
    <t>P000000560</t>
  </si>
  <si>
    <t>P000000575</t>
  </si>
  <si>
    <t>P000000690</t>
  </si>
  <si>
    <t>P000000838</t>
  </si>
  <si>
    <t>P000000855</t>
  </si>
  <si>
    <t>P000000905</t>
  </si>
  <si>
    <t>P000001000</t>
  </si>
  <si>
    <t>P000001002</t>
  </si>
  <si>
    <t>PL_B2_OHMI</t>
  </si>
  <si>
    <t>PL_E1_FRAA</t>
  </si>
  <si>
    <t>PL_E1_JPAC</t>
  </si>
  <si>
    <t>PL_E7_6136</t>
  </si>
  <si>
    <t>RDC0000062</t>
  </si>
  <si>
    <t>RDC0000092</t>
  </si>
  <si>
    <t>RDC0000184</t>
  </si>
  <si>
    <t>RDC0000490</t>
  </si>
  <si>
    <t>RDC0000690</t>
  </si>
  <si>
    <t>RDC0000810</t>
  </si>
  <si>
    <t>G000000119</t>
  </si>
  <si>
    <t>G000000131</t>
  </si>
  <si>
    <t>G000000185</t>
  </si>
  <si>
    <t>G000000248</t>
  </si>
  <si>
    <t>G000000336</t>
  </si>
  <si>
    <t>G000000345</t>
  </si>
  <si>
    <t>G000000358</t>
  </si>
  <si>
    <t>G000000362</t>
  </si>
  <si>
    <t>G000000364</t>
  </si>
  <si>
    <t>G000000465</t>
  </si>
  <si>
    <t>G000000508</t>
  </si>
  <si>
    <t>G000000539</t>
  </si>
  <si>
    <t>G000000543</t>
  </si>
  <si>
    <t>G000000565</t>
  </si>
  <si>
    <t>G000000575</t>
  </si>
  <si>
    <t>G000000577</t>
  </si>
  <si>
    <t>G000000579</t>
  </si>
  <si>
    <t>G000000581</t>
  </si>
  <si>
    <t>G000000585</t>
  </si>
  <si>
    <t>G000000587</t>
  </si>
  <si>
    <t>G000000589</t>
  </si>
  <si>
    <t>G000000591</t>
  </si>
  <si>
    <t>G000000593</t>
  </si>
  <si>
    <t>G000000595</t>
  </si>
  <si>
    <t>G000000597</t>
  </si>
  <si>
    <t>G000000599</t>
  </si>
  <si>
    <t>G000000601</t>
  </si>
  <si>
    <t>G000000603</t>
  </si>
  <si>
    <t>G000000605</t>
  </si>
  <si>
    <t>G000000607</t>
  </si>
  <si>
    <t>G000000621</t>
  </si>
  <si>
    <t>G000000623</t>
  </si>
  <si>
    <t>G000000676</t>
  </si>
  <si>
    <t>G000000682</t>
  </si>
  <si>
    <t>G000000827</t>
  </si>
  <si>
    <t>G000000830</t>
  </si>
  <si>
    <t>G000000839</t>
  </si>
  <si>
    <t>G000000848</t>
  </si>
  <si>
    <t>G000000909</t>
  </si>
  <si>
    <t>G000000942</t>
  </si>
  <si>
    <t>G000000968</t>
  </si>
  <si>
    <t>G000000975</t>
  </si>
  <si>
    <t>G000001046</t>
  </si>
  <si>
    <t>G000001053</t>
  </si>
  <si>
    <t>G000001065</t>
  </si>
  <si>
    <t>G000001069</t>
  </si>
  <si>
    <t>G000001090</t>
  </si>
  <si>
    <t>G000001099</t>
  </si>
  <si>
    <t>H000000006</t>
  </si>
  <si>
    <t>H000000299</t>
  </si>
  <si>
    <t>H000000342</t>
  </si>
  <si>
    <t>H000000460</t>
  </si>
  <si>
    <t>H000000639</t>
  </si>
  <si>
    <t>H000000660</t>
  </si>
  <si>
    <t>H000000668</t>
  </si>
  <si>
    <t>H000000671</t>
  </si>
  <si>
    <t>H000000754</t>
  </si>
  <si>
    <t>H000000864</t>
  </si>
  <si>
    <t>H000000873</t>
  </si>
  <si>
    <t>H000000874</t>
  </si>
  <si>
    <t>H000000970</t>
  </si>
  <si>
    <t>H000000977</t>
  </si>
  <si>
    <t>H000000980</t>
  </si>
  <si>
    <t>H000000996</t>
  </si>
  <si>
    <t>H000001091</t>
  </si>
  <si>
    <t>H000001104</t>
  </si>
  <si>
    <t>H000001135</t>
  </si>
  <si>
    <t>H000001145</t>
  </si>
  <si>
    <t>H000001169</t>
  </si>
  <si>
    <t>H000001273</t>
  </si>
  <si>
    <t>H000001311</t>
  </si>
  <si>
    <t>H000001342</t>
  </si>
  <si>
    <t>H000001364</t>
  </si>
  <si>
    <t>H000001366</t>
  </si>
  <si>
    <t>H000001429</t>
  </si>
  <si>
    <t>H000001434</t>
  </si>
  <si>
    <t>H000001435</t>
  </si>
  <si>
    <t>H000001469</t>
  </si>
  <si>
    <t>H000001470</t>
  </si>
  <si>
    <t>H000001487</t>
  </si>
  <si>
    <t>H000001488</t>
  </si>
  <si>
    <t>H000001489</t>
  </si>
  <si>
    <t>H000001499</t>
  </si>
  <si>
    <t>H000001510</t>
  </si>
  <si>
    <t>H000001525</t>
  </si>
  <si>
    <t>H000001579</t>
  </si>
  <si>
    <t>H000001584</t>
  </si>
  <si>
    <t>H000001586</t>
  </si>
  <si>
    <t>H000001652</t>
  </si>
  <si>
    <t>H000001662</t>
  </si>
  <si>
    <t>H000001688</t>
  </si>
  <si>
    <t>H000001698</t>
  </si>
  <si>
    <t>H000001699</t>
  </si>
  <si>
    <t>H000001710</t>
  </si>
  <si>
    <t>H000001785</t>
  </si>
  <si>
    <t>H000001788</t>
  </si>
  <si>
    <t>H000001861</t>
  </si>
  <si>
    <t>H000001869</t>
  </si>
  <si>
    <t>H000001873</t>
  </si>
  <si>
    <t>H000001893</t>
  </si>
  <si>
    <t>H000001897</t>
  </si>
  <si>
    <t>H000001899</t>
  </si>
  <si>
    <t>H000001936</t>
  </si>
  <si>
    <t>H000001987</t>
  </si>
  <si>
    <t>H000002025</t>
  </si>
  <si>
    <t>H000002029</t>
  </si>
  <si>
    <t>H000002030</t>
  </si>
  <si>
    <t>H000002041</t>
  </si>
  <si>
    <t>H000002133</t>
  </si>
  <si>
    <t>H000002134</t>
  </si>
  <si>
    <t>H000002179</t>
  </si>
  <si>
    <t>H000002190</t>
  </si>
  <si>
    <t>H000002192</t>
  </si>
  <si>
    <t>H000002214</t>
  </si>
  <si>
    <t>H000002225</t>
  </si>
  <si>
    <t>H000002227</t>
  </si>
  <si>
    <t>H000002249</t>
  </si>
  <si>
    <t>H000002260</t>
  </si>
  <si>
    <t>H000002262</t>
  </si>
  <si>
    <t>H000002289</t>
  </si>
  <si>
    <t>H000002299</t>
  </si>
  <si>
    <t>H000002301</t>
  </si>
  <si>
    <t>H000002323</t>
  </si>
  <si>
    <t>H000002334</t>
  </si>
  <si>
    <t>H000002336</t>
  </si>
  <si>
    <t>H000002358</t>
  </si>
  <si>
    <t>H000002369</t>
  </si>
  <si>
    <t>H000002371</t>
  </si>
  <si>
    <t>H000002393</t>
  </si>
  <si>
    <t>H000002404</t>
  </si>
  <si>
    <t>H000002406</t>
  </si>
  <si>
    <t>H000002428</t>
  </si>
  <si>
    <t>H000002439</t>
  </si>
  <si>
    <t>H000002441</t>
  </si>
  <si>
    <t>H000002443</t>
  </si>
  <si>
    <t>H000002468</t>
  </si>
  <si>
    <t>H000002525</t>
  </si>
  <si>
    <t>H000002537</t>
  </si>
  <si>
    <t>H000002640</t>
  </si>
  <si>
    <t>H000002650</t>
  </si>
  <si>
    <t>H000002680</t>
  </si>
  <si>
    <t>H000002689</t>
  </si>
  <si>
    <t>H000002708</t>
  </si>
  <si>
    <t>H000002745</t>
  </si>
  <si>
    <t>H000002945</t>
  </si>
  <si>
    <t>H000003329</t>
  </si>
  <si>
    <t>H000003332</t>
  </si>
  <si>
    <t>H000003337</t>
  </si>
  <si>
    <t>H000003371</t>
  </si>
  <si>
    <t>H000003374</t>
  </si>
  <si>
    <t>H000003398</t>
  </si>
  <si>
    <t>H000003474</t>
  </si>
  <si>
    <t>H000003480</t>
  </si>
  <si>
    <t>H000003493</t>
  </si>
  <si>
    <t>H000003541</t>
  </si>
  <si>
    <t>H000003547</t>
  </si>
  <si>
    <t>H000003549</t>
  </si>
  <si>
    <t>H000003611</t>
  </si>
  <si>
    <t>H000003737</t>
  </si>
  <si>
    <t>H000003745</t>
  </si>
  <si>
    <t>H000003757</t>
  </si>
  <si>
    <t>H000003765</t>
  </si>
  <si>
    <t>H000003778</t>
  </si>
  <si>
    <t>H000003786</t>
  </si>
  <si>
    <t>H000003798</t>
  </si>
  <si>
    <t>H000003806</t>
  </si>
  <si>
    <t>H000003818</t>
  </si>
  <si>
    <t>H000003826</t>
  </si>
  <si>
    <t>H000003924</t>
  </si>
  <si>
    <t>H000003929</t>
  </si>
  <si>
    <t>H000003934</t>
  </si>
  <si>
    <t>H000003941</t>
  </si>
  <si>
    <t>H000003951</t>
  </si>
  <si>
    <t>H000003952</t>
  </si>
  <si>
    <t>H000003961</t>
  </si>
  <si>
    <t>H000004010</t>
  </si>
  <si>
    <t>H000004047</t>
  </si>
  <si>
    <t>H000004049</t>
  </si>
  <si>
    <t>H000004051</t>
  </si>
  <si>
    <t>H000004066</t>
  </si>
  <si>
    <t>H000004098</t>
  </si>
  <si>
    <t>H000004169</t>
  </si>
  <si>
    <t>H000004171</t>
  </si>
  <si>
    <t>H000004248</t>
  </si>
  <si>
    <t>H000004249</t>
  </si>
  <si>
    <t>H000004261</t>
  </si>
  <si>
    <t>H000004299</t>
  </si>
  <si>
    <t>IT06020100</t>
  </si>
  <si>
    <t>IT06021500</t>
  </si>
  <si>
    <t>IT06050500</t>
  </si>
  <si>
    <t>IT06060200</t>
  </si>
  <si>
    <t>IT06090000</t>
  </si>
  <si>
    <t>IT06100400</t>
  </si>
  <si>
    <t>IT06140500</t>
  </si>
  <si>
    <t>L000005134</t>
  </si>
  <si>
    <t>L000005239</t>
  </si>
  <si>
    <t>L000005256</t>
  </si>
  <si>
    <t>L000005306</t>
  </si>
  <si>
    <t>L000005315</t>
  </si>
  <si>
    <t>L000005317</t>
  </si>
  <si>
    <t>L000005372</t>
  </si>
  <si>
    <t>L000005376</t>
  </si>
  <si>
    <t>L000005384</t>
  </si>
  <si>
    <t>L000005392</t>
  </si>
  <si>
    <t>L000005394</t>
  </si>
  <si>
    <t>L000005399</t>
  </si>
  <si>
    <t>L000005401</t>
  </si>
  <si>
    <t>L000005408</t>
  </si>
  <si>
    <t>L000005410</t>
  </si>
  <si>
    <t>L000005412</t>
  </si>
  <si>
    <t>L000005431</t>
  </si>
  <si>
    <t>L000005697</t>
  </si>
  <si>
    <t>L000005735</t>
  </si>
  <si>
    <t>L000005738</t>
  </si>
  <si>
    <t>L000005786</t>
  </si>
  <si>
    <t>L000005814</t>
  </si>
  <si>
    <t>L000005868</t>
  </si>
  <si>
    <t>L000005907</t>
  </si>
  <si>
    <t>L000005911</t>
  </si>
  <si>
    <t>L000006121</t>
  </si>
  <si>
    <t>L000006125</t>
  </si>
  <si>
    <t>L000006132</t>
  </si>
  <si>
    <t>L000006133</t>
  </si>
  <si>
    <t>L000006134</t>
  </si>
  <si>
    <t>L000006138</t>
  </si>
  <si>
    <t>L000006146</t>
  </si>
  <si>
    <t>L000006438</t>
  </si>
  <si>
    <t>L000006825</t>
  </si>
  <si>
    <t>L000007267</t>
  </si>
  <si>
    <t>L000007671</t>
  </si>
  <si>
    <t>L000007673</t>
  </si>
  <si>
    <t>L000007722</t>
  </si>
  <si>
    <t>L000007726</t>
  </si>
  <si>
    <t>L000007727</t>
  </si>
  <si>
    <t>L000007975</t>
  </si>
  <si>
    <t>L000007987</t>
  </si>
  <si>
    <t>L000008003</t>
  </si>
  <si>
    <t>L000008015</t>
  </si>
  <si>
    <t>L000008293</t>
  </si>
  <si>
    <t>L000008312</t>
  </si>
  <si>
    <t>L000008332</t>
  </si>
  <si>
    <t>L000008368</t>
  </si>
  <si>
    <t>L000008369</t>
  </si>
  <si>
    <t>L000008456</t>
  </si>
  <si>
    <t>L000008462</t>
  </si>
  <si>
    <t>L000008490</t>
  </si>
  <si>
    <t>L000008561</t>
  </si>
  <si>
    <t>L000008563</t>
  </si>
  <si>
    <t>L000008770</t>
  </si>
  <si>
    <t>L000008780</t>
  </si>
  <si>
    <t>L000008836</t>
  </si>
  <si>
    <t>L000008847</t>
  </si>
  <si>
    <t>L000008907</t>
  </si>
  <si>
    <t>L000008918</t>
  </si>
  <si>
    <t>L000008986</t>
  </si>
  <si>
    <t>L000009071</t>
  </si>
  <si>
    <t>L000009072</t>
  </si>
  <si>
    <t>L000009073</t>
  </si>
  <si>
    <t>L000009075</t>
  </si>
  <si>
    <t>L000009078</t>
  </si>
  <si>
    <t>L000009081</t>
  </si>
  <si>
    <t>L000009082</t>
  </si>
  <si>
    <t>L000009087</t>
  </si>
  <si>
    <t>L000009088</t>
  </si>
  <si>
    <t>L000009089</t>
  </si>
  <si>
    <t>L000009090</t>
  </si>
  <si>
    <t>L000009092</t>
  </si>
  <si>
    <t>L000009174</t>
  </si>
  <si>
    <t>L000009190</t>
  </si>
  <si>
    <t>L000009229</t>
  </si>
  <si>
    <t>L000009253</t>
  </si>
  <si>
    <t>L000009256</t>
  </si>
  <si>
    <t>L000009262</t>
  </si>
  <si>
    <t>L000009272</t>
  </si>
  <si>
    <t>L000009289</t>
  </si>
  <si>
    <t>L000009306</t>
  </si>
  <si>
    <t>L000009336</t>
  </si>
  <si>
    <t>L000009345</t>
  </si>
  <si>
    <t>L000009350</t>
  </si>
  <si>
    <t>L000009351</t>
  </si>
  <si>
    <t>L000009396</t>
  </si>
  <si>
    <t>L000009438</t>
  </si>
  <si>
    <t>L000009444</t>
  </si>
  <si>
    <t>L000009488</t>
  </si>
  <si>
    <t>L000009580</t>
  </si>
  <si>
    <t>L000009611</t>
  </si>
  <si>
    <t>L000009613</t>
  </si>
  <si>
    <t>L000009673</t>
  </si>
  <si>
    <t>L000009738</t>
  </si>
  <si>
    <t>L000009917</t>
  </si>
  <si>
    <t>L000009923</t>
  </si>
  <si>
    <t>L000009928</t>
  </si>
  <si>
    <t>L000009944</t>
  </si>
  <si>
    <t>L000009977</t>
  </si>
  <si>
    <t>L000010012</t>
  </si>
  <si>
    <t>L000010038</t>
  </si>
  <si>
    <t>L000010045</t>
  </si>
  <si>
    <t>L000010198</t>
  </si>
  <si>
    <t>L000010262</t>
  </si>
  <si>
    <t>L000010274</t>
  </si>
  <si>
    <t>L000010484</t>
  </si>
  <si>
    <t>L000010646</t>
  </si>
  <si>
    <t>L000010658</t>
  </si>
  <si>
    <t>L000010691</t>
  </si>
  <si>
    <t>L000010727</t>
  </si>
  <si>
    <t>L000010746</t>
  </si>
  <si>
    <t>L000010747</t>
  </si>
  <si>
    <t>L000010803</t>
  </si>
  <si>
    <t>L000010810</t>
  </si>
  <si>
    <t>L000011299</t>
  </si>
  <si>
    <t>L000011300</t>
  </si>
  <si>
    <t>L000011301</t>
  </si>
  <si>
    <t>L000011337</t>
  </si>
  <si>
    <t>L000011366</t>
  </si>
  <si>
    <t>L000011494</t>
  </si>
  <si>
    <t>L000011559</t>
  </si>
  <si>
    <t>L000011570</t>
  </si>
  <si>
    <t>L000011572</t>
  </si>
  <si>
    <t>L000011690</t>
  </si>
  <si>
    <t>L000011701</t>
  </si>
  <si>
    <t>L000011703</t>
  </si>
  <si>
    <t>L000011704</t>
  </si>
  <si>
    <t>L000011729</t>
  </si>
  <si>
    <t>L000011765</t>
  </si>
  <si>
    <t>L000011775</t>
  </si>
  <si>
    <t>L000011829</t>
  </si>
  <si>
    <t>L000011857</t>
  </si>
  <si>
    <t>L000011878</t>
  </si>
  <si>
    <t>L000011944</t>
  </si>
  <si>
    <t>L000012019</t>
  </si>
  <si>
    <t>L000012060</t>
  </si>
  <si>
    <t>L000012061</t>
  </si>
  <si>
    <t>L000012148</t>
  </si>
  <si>
    <t>L000012214</t>
  </si>
  <si>
    <t>L000012309</t>
  </si>
  <si>
    <t>L000012317</t>
  </si>
  <si>
    <t>L000012321</t>
  </si>
  <si>
    <t>L000012325</t>
  </si>
  <si>
    <t>L000012326</t>
  </si>
  <si>
    <t>L000012327</t>
  </si>
  <si>
    <t>L000012407</t>
  </si>
  <si>
    <t>L000012427</t>
  </si>
  <si>
    <t>L000012490</t>
  </si>
  <si>
    <t>L000012521</t>
  </si>
  <si>
    <t>L000012816</t>
  </si>
  <si>
    <t>L000012820</t>
  </si>
  <si>
    <t>L000012822</t>
  </si>
  <si>
    <t>L000012872</t>
  </si>
  <si>
    <t>L000012886</t>
  </si>
  <si>
    <t>L000012935</t>
  </si>
  <si>
    <t>L000012945</t>
  </si>
  <si>
    <t>L000012956</t>
  </si>
  <si>
    <t>L000012967</t>
  </si>
  <si>
    <t>L000012980</t>
  </si>
  <si>
    <t>L000013068</t>
  </si>
  <si>
    <t>L000013135</t>
  </si>
  <si>
    <t>L000013150</t>
  </si>
  <si>
    <t>L000013179</t>
  </si>
  <si>
    <t>L000013185</t>
  </si>
  <si>
    <t>L000013186</t>
  </si>
  <si>
    <t>L000013216</t>
  </si>
  <si>
    <t>L000013229</t>
  </si>
  <si>
    <t>L000013238</t>
  </si>
  <si>
    <t>L000013248</t>
  </si>
  <si>
    <t>L000013321</t>
  </si>
  <si>
    <t>L000013328</t>
  </si>
  <si>
    <t>L000013381</t>
  </si>
  <si>
    <t>L000013392</t>
  </si>
  <si>
    <t>L000013422</t>
  </si>
  <si>
    <t>O000000006</t>
  </si>
  <si>
    <t>O000000008</t>
  </si>
  <si>
    <t>P000000001</t>
  </si>
  <si>
    <t>P000000024</t>
  </si>
  <si>
    <t>P000000179</t>
  </si>
  <si>
    <t>P000000186</t>
  </si>
  <si>
    <t>P000000259</t>
  </si>
  <si>
    <t>P000000510</t>
  </si>
  <si>
    <t>P000000523</t>
  </si>
  <si>
    <t>P000000581</t>
  </si>
  <si>
    <t>P000000655</t>
  </si>
  <si>
    <t>P000000670</t>
  </si>
  <si>
    <t>P000000677</t>
  </si>
  <si>
    <t>P000000687</t>
  </si>
  <si>
    <t>P000000697</t>
  </si>
  <si>
    <t>P000000743</t>
  </si>
  <si>
    <t>P000000752</t>
  </si>
  <si>
    <t>P000000758</t>
  </si>
  <si>
    <t>P000000766</t>
  </si>
  <si>
    <t>P000000773</t>
  </si>
  <si>
    <t>P000000801</t>
  </si>
  <si>
    <t>P000000839</t>
  </si>
  <si>
    <t>P000001048</t>
  </si>
  <si>
    <t>PL_B2_SF01</t>
  </si>
  <si>
    <t>PL_B2_US25</t>
  </si>
  <si>
    <t>PL_E1_JPAK</t>
  </si>
  <si>
    <t>RDC0000060</t>
  </si>
  <si>
    <t>RDC0000132</t>
  </si>
  <si>
    <t>RDC0000820</t>
  </si>
  <si>
    <t>G000000001</t>
  </si>
  <si>
    <t>G000000010</t>
  </si>
  <si>
    <t>G000000047</t>
  </si>
  <si>
    <t>G000000059</t>
  </si>
  <si>
    <t>G000000065</t>
  </si>
  <si>
    <t>G000000074</t>
  </si>
  <si>
    <t>G000000101</t>
  </si>
  <si>
    <t>G000000112</t>
  </si>
  <si>
    <t>G000000127</t>
  </si>
  <si>
    <t>G000000136</t>
  </si>
  <si>
    <t>G000000140</t>
  </si>
  <si>
    <t>G000000146</t>
  </si>
  <si>
    <t>G000000157</t>
  </si>
  <si>
    <t>G000000161</t>
  </si>
  <si>
    <t>G000000166</t>
  </si>
  <si>
    <t>G000000171</t>
  </si>
  <si>
    <t>G000000175</t>
  </si>
  <si>
    <t>G000000176</t>
  </si>
  <si>
    <t>G000000183</t>
  </si>
  <si>
    <t>G000000230</t>
  </si>
  <si>
    <t>G000000231</t>
  </si>
  <si>
    <t>G000000237</t>
  </si>
  <si>
    <t>G000000286</t>
  </si>
  <si>
    <t>G000000357</t>
  </si>
  <si>
    <t>G000000375</t>
  </si>
  <si>
    <t>G000000388</t>
  </si>
  <si>
    <t>G000000400</t>
  </si>
  <si>
    <t>G000000434</t>
  </si>
  <si>
    <t>G000000472</t>
  </si>
  <si>
    <t>G000000498</t>
  </si>
  <si>
    <t>G000000511</t>
  </si>
  <si>
    <t>G000000512</t>
  </si>
  <si>
    <t>G000000514</t>
  </si>
  <si>
    <t>G000000684</t>
  </si>
  <si>
    <t>G000000702</t>
  </si>
  <si>
    <t>G000000710</t>
  </si>
  <si>
    <t>G000000713</t>
  </si>
  <si>
    <t>G000000917</t>
  </si>
  <si>
    <t>G000000925</t>
  </si>
  <si>
    <t>G000000971</t>
  </si>
  <si>
    <t>G000000995</t>
  </si>
  <si>
    <t>G000001007</t>
  </si>
  <si>
    <t>G000001011</t>
  </si>
  <si>
    <t>G000001049</t>
  </si>
  <si>
    <t>G000001068</t>
  </si>
  <si>
    <t>G000001085</t>
  </si>
  <si>
    <t>H000000002</t>
  </si>
  <si>
    <t>H000000007</t>
  </si>
  <si>
    <t>H000000161</t>
  </si>
  <si>
    <t>H000000163</t>
  </si>
  <si>
    <t>H000000398</t>
  </si>
  <si>
    <t>H000000571</t>
  </si>
  <si>
    <t>H000000658</t>
  </si>
  <si>
    <t>H000000681</t>
  </si>
  <si>
    <t>H000000694</t>
  </si>
  <si>
    <t>H000000797</t>
  </si>
  <si>
    <t>H000000863</t>
  </si>
  <si>
    <t>H000000878</t>
  </si>
  <si>
    <t>H000000885</t>
  </si>
  <si>
    <t>H000000982</t>
  </si>
  <si>
    <t>H000000990</t>
  </si>
  <si>
    <t>H000001071</t>
  </si>
  <si>
    <t>H000001083</t>
  </si>
  <si>
    <t>H000001090</t>
  </si>
  <si>
    <t>H000001149</t>
  </si>
  <si>
    <t>H000001168</t>
  </si>
  <si>
    <t>H000001219</t>
  </si>
  <si>
    <t>H000001236</t>
  </si>
  <si>
    <t>H000001246</t>
  </si>
  <si>
    <t>H000001282</t>
  </si>
  <si>
    <t>H000001341</t>
  </si>
  <si>
    <t>H000001362</t>
  </si>
  <si>
    <t>H000001368</t>
  </si>
  <si>
    <t>H000001369</t>
  </si>
  <si>
    <t>H000001387</t>
  </si>
  <si>
    <t>H000001408</t>
  </si>
  <si>
    <t>H000001433</t>
  </si>
  <si>
    <t>H000001436</t>
  </si>
  <si>
    <t>H000001437</t>
  </si>
  <si>
    <t>H000001468</t>
  </si>
  <si>
    <t>H000001471</t>
  </si>
  <si>
    <t>H000001472</t>
  </si>
  <si>
    <t>H000001524</t>
  </si>
  <si>
    <t>H000001583</t>
  </si>
  <si>
    <t>H000001585</t>
  </si>
  <si>
    <t>H000001611</t>
  </si>
  <si>
    <t>H000001618</t>
  </si>
  <si>
    <t>H000001626</t>
  </si>
  <si>
    <t>H000001634</t>
  </si>
  <si>
    <t>H000001644</t>
  </si>
  <si>
    <t>H000001711</t>
  </si>
  <si>
    <t>H000001747</t>
  </si>
  <si>
    <t>H000001760</t>
  </si>
  <si>
    <t>H000001766</t>
  </si>
  <si>
    <t>H000001767</t>
  </si>
  <si>
    <t>H000001786</t>
  </si>
  <si>
    <t>H000001789</t>
  </si>
  <si>
    <t>H000001791</t>
  </si>
  <si>
    <t>H000001876</t>
  </si>
  <si>
    <t>H000001877</t>
  </si>
  <si>
    <t>H000001881</t>
  </si>
  <si>
    <t>H000001891</t>
  </si>
  <si>
    <t>H000001953</t>
  </si>
  <si>
    <t>H000002042</t>
  </si>
  <si>
    <t>H000002177</t>
  </si>
  <si>
    <t>H000002212</t>
  </si>
  <si>
    <t>H000002247</t>
  </si>
  <si>
    <t>H000002321</t>
  </si>
  <si>
    <t>H000002356</t>
  </si>
  <si>
    <t>H000002391</t>
  </si>
  <si>
    <t>H000002426</t>
  </si>
  <si>
    <t>H000002448</t>
  </si>
  <si>
    <t>H000002454</t>
  </si>
  <si>
    <t>H000002472</t>
  </si>
  <si>
    <t>H000002490</t>
  </si>
  <si>
    <t>H000002561</t>
  </si>
  <si>
    <t>H000002629</t>
  </si>
  <si>
    <t>H000002651</t>
  </si>
  <si>
    <t>H000002653</t>
  </si>
  <si>
    <t>H000002663</t>
  </si>
  <si>
    <t>H000002726</t>
  </si>
  <si>
    <t>H000002731</t>
  </si>
  <si>
    <t>H000002749</t>
  </si>
  <si>
    <t>H000002813</t>
  </si>
  <si>
    <t>H000002817</t>
  </si>
  <si>
    <t>H000002862</t>
  </si>
  <si>
    <t>H000002926</t>
  </si>
  <si>
    <t>H000002956</t>
  </si>
  <si>
    <t>H000003127</t>
  </si>
  <si>
    <t>H000003199</t>
  </si>
  <si>
    <t>H000003231</t>
  </si>
  <si>
    <t>H000003247</t>
  </si>
  <si>
    <t>H000003294</t>
  </si>
  <si>
    <t>H000003307</t>
  </si>
  <si>
    <t>H000003326</t>
  </si>
  <si>
    <t>H000003349</t>
  </si>
  <si>
    <t>H000003368</t>
  </si>
  <si>
    <t>H000003394</t>
  </si>
  <si>
    <t>H000003449</t>
  </si>
  <si>
    <t>H000003477</t>
  </si>
  <si>
    <t>H000003492</t>
  </si>
  <si>
    <t>H000003496</t>
  </si>
  <si>
    <t>H000003518</t>
  </si>
  <si>
    <t>H000003545</t>
  </si>
  <si>
    <t>H000003559</t>
  </si>
  <si>
    <t>H000003574</t>
  </si>
  <si>
    <t>H000003576</t>
  </si>
  <si>
    <t>H000003585</t>
  </si>
  <si>
    <t>H000003589</t>
  </si>
  <si>
    <t>H000003607</t>
  </si>
  <si>
    <t>H000003660</t>
  </si>
  <si>
    <t>H000003747</t>
  </si>
  <si>
    <t>H000003767</t>
  </si>
  <si>
    <t>H000003788</t>
  </si>
  <si>
    <t>H000003808</t>
  </si>
  <si>
    <t>H000003828</t>
  </si>
  <si>
    <t>H000003874</t>
  </si>
  <si>
    <t>H000003876</t>
  </si>
  <si>
    <t>H000003878</t>
  </si>
  <si>
    <t>H000004071</t>
  </si>
  <si>
    <t>H000004085</t>
  </si>
  <si>
    <t>H000004094</t>
  </si>
  <si>
    <t>H000004141</t>
  </si>
  <si>
    <t>H000004173</t>
  </si>
  <si>
    <t>H000004203</t>
  </si>
  <si>
    <t>H000004205</t>
  </si>
  <si>
    <t>H000004209</t>
  </si>
  <si>
    <t>H000004221</t>
  </si>
  <si>
    <t>H000004222</t>
  </si>
  <si>
    <t>H000004230</t>
  </si>
  <si>
    <t>H000004237</t>
  </si>
  <si>
    <t>H000004245</t>
  </si>
  <si>
    <t>H000004246</t>
  </si>
  <si>
    <t>H000004251</t>
  </si>
  <si>
    <t>H000004252</t>
  </si>
  <si>
    <t>IT06042220</t>
  </si>
  <si>
    <t>IT06060300</t>
  </si>
  <si>
    <t>IT06060900</t>
  </si>
  <si>
    <t>L000005081</t>
  </si>
  <si>
    <t>L000005285</t>
  </si>
  <si>
    <t>L000005294</t>
  </si>
  <si>
    <t>L000005300</t>
  </si>
  <si>
    <t>L000005314</t>
  </si>
  <si>
    <t>L000005316</t>
  </si>
  <si>
    <t>L000005368</t>
  </si>
  <si>
    <t>L000005374</t>
  </si>
  <si>
    <t>L000005407</t>
  </si>
  <si>
    <t>L000005413</t>
  </si>
  <si>
    <t>L000005415</t>
  </si>
  <si>
    <t>L000005449</t>
  </si>
  <si>
    <t>L000005458</t>
  </si>
  <si>
    <t>L000005467</t>
  </si>
  <si>
    <t>L000005622</t>
  </si>
  <si>
    <t>L000005665</t>
  </si>
  <si>
    <t>L000005678</t>
  </si>
  <si>
    <t>L000005683</t>
  </si>
  <si>
    <t>L000005717</t>
  </si>
  <si>
    <t>L000005726</t>
  </si>
  <si>
    <t>L000005755</t>
  </si>
  <si>
    <t>L000005792</t>
  </si>
  <si>
    <t>L000005817</t>
  </si>
  <si>
    <t>L000005821</t>
  </si>
  <si>
    <t>L000005848</t>
  </si>
  <si>
    <t>L000005879</t>
  </si>
  <si>
    <t>L000005887</t>
  </si>
  <si>
    <t>L000005895</t>
  </si>
  <si>
    <t>L000005917</t>
  </si>
  <si>
    <t>L000005925</t>
  </si>
  <si>
    <t>L000005929</t>
  </si>
  <si>
    <t>L000005938</t>
  </si>
  <si>
    <t>L000005948</t>
  </si>
  <si>
    <t>L000005953</t>
  </si>
  <si>
    <t>L000006358</t>
  </si>
  <si>
    <t>L000006497</t>
  </si>
  <si>
    <t>L000006552</t>
  </si>
  <si>
    <t>L000006947</t>
  </si>
  <si>
    <t>L000007087</t>
  </si>
  <si>
    <t>L000007214</t>
  </si>
  <si>
    <t>L000007356</t>
  </si>
  <si>
    <t>L000007965</t>
  </si>
  <si>
    <t>L000007967</t>
  </si>
  <si>
    <t>L000007968</t>
  </si>
  <si>
    <t>L000007969</t>
  </si>
  <si>
    <t>L000007970</t>
  </si>
  <si>
    <t>L000007972</t>
  </si>
  <si>
    <t>L000007990</t>
  </si>
  <si>
    <t>L000008005</t>
  </si>
  <si>
    <t>L000008292</t>
  </si>
  <si>
    <t>L000008295</t>
  </si>
  <si>
    <t>L000008311</t>
  </si>
  <si>
    <t>L000008338</t>
  </si>
  <si>
    <t>L000008412</t>
  </si>
  <si>
    <t>L000008413</t>
  </si>
  <si>
    <t>L000008434</t>
  </si>
  <si>
    <t>L000008473</t>
  </si>
  <si>
    <t>L000008550</t>
  </si>
  <si>
    <t>L000008815</t>
  </si>
  <si>
    <t>L000008828</t>
  </si>
  <si>
    <t>L000008843</t>
  </si>
  <si>
    <t>L000008880</t>
  </si>
  <si>
    <t>L000008936</t>
  </si>
  <si>
    <t>L000008968</t>
  </si>
  <si>
    <t>L000009118</t>
  </si>
  <si>
    <t>L000009187</t>
  </si>
  <si>
    <t>L000009228</t>
  </si>
  <si>
    <t>L000009273</t>
  </si>
  <si>
    <t>L000009275</t>
  </si>
  <si>
    <t>L000009277</t>
  </si>
  <si>
    <t>L000009279</t>
  </si>
  <si>
    <t>L000009282</t>
  </si>
  <si>
    <t>L000009283</t>
  </si>
  <si>
    <t>L000009284</t>
  </si>
  <si>
    <t>L000009285</t>
  </si>
  <si>
    <t>L000009290</t>
  </si>
  <si>
    <t>L000009291</t>
  </si>
  <si>
    <t>L000009293</t>
  </si>
  <si>
    <t>L000009294</t>
  </si>
  <si>
    <t>L000009295</t>
  </si>
  <si>
    <t>L000009296</t>
  </si>
  <si>
    <t>L000009297</t>
  </si>
  <si>
    <t>L000009298</t>
  </si>
  <si>
    <t>L000009300</t>
  </si>
  <si>
    <t>L000009302</t>
  </si>
  <si>
    <t>L000009303</t>
  </si>
  <si>
    <t>L000009307</t>
  </si>
  <si>
    <t>L000009308</t>
  </si>
  <si>
    <t>L000009311</t>
  </si>
  <si>
    <t>L000009313</t>
  </si>
  <si>
    <t>L000009320</t>
  </si>
  <si>
    <t>L000009322</t>
  </si>
  <si>
    <t>L000009323</t>
  </si>
  <si>
    <t>L000009325</t>
  </si>
  <si>
    <t>L000009337</t>
  </si>
  <si>
    <t>L000009346</t>
  </si>
  <si>
    <t>L000009347</t>
  </si>
  <si>
    <t>L000009348</t>
  </si>
  <si>
    <t>L000009367</t>
  </si>
  <si>
    <t>L000009371</t>
  </si>
  <si>
    <t>L000009377</t>
  </si>
  <si>
    <t>L000009407</t>
  </si>
  <si>
    <t>L000009415</t>
  </si>
  <si>
    <t>L000009634</t>
  </si>
  <si>
    <t>L000009635</t>
  </si>
  <si>
    <t>L000009667</t>
  </si>
  <si>
    <t>L000009669</t>
  </si>
  <si>
    <t>L000009723</t>
  </si>
  <si>
    <t>L000009919</t>
  </si>
  <si>
    <t>L000009945</t>
  </si>
  <si>
    <t>L000009951</t>
  </si>
  <si>
    <t>L000009957</t>
  </si>
  <si>
    <t>L000009974</t>
  </si>
  <si>
    <t>L000009979</t>
  </si>
  <si>
    <t>L000009984</t>
  </si>
  <si>
    <t>L000010001</t>
  </si>
  <si>
    <t>L000010021</t>
  </si>
  <si>
    <t>L000010087</t>
  </si>
  <si>
    <t>L000010088</t>
  </si>
  <si>
    <t>L000010095</t>
  </si>
  <si>
    <t>L000010096</t>
  </si>
  <si>
    <t>L000010097</t>
  </si>
  <si>
    <t>L000010098</t>
  </si>
  <si>
    <t>L000010143</t>
  </si>
  <si>
    <t>L000010147</t>
  </si>
  <si>
    <t>L000010150</t>
  </si>
  <si>
    <t>L000010165</t>
  </si>
  <si>
    <t>L000010169</t>
  </si>
  <si>
    <t>L000010185</t>
  </si>
  <si>
    <t>L000010244</t>
  </si>
  <si>
    <t>L000010364</t>
  </si>
  <si>
    <t>L000010418</t>
  </si>
  <si>
    <t>L000010421</t>
  </si>
  <si>
    <t>L000010581</t>
  </si>
  <si>
    <t>L000010790</t>
  </si>
  <si>
    <t>L000010816</t>
  </si>
  <si>
    <t>L000011138</t>
  </si>
  <si>
    <t>L000011276</t>
  </si>
  <si>
    <t>L000011350</t>
  </si>
  <si>
    <t>L000011369</t>
  </si>
  <si>
    <t>L000011370</t>
  </si>
  <si>
    <t>L000011373</t>
  </si>
  <si>
    <t>L000011808</t>
  </si>
  <si>
    <t>L000011869</t>
  </si>
  <si>
    <t>L000011916</t>
  </si>
  <si>
    <t>L000011939</t>
  </si>
  <si>
    <t>L000011950</t>
  </si>
  <si>
    <t>L000011999</t>
  </si>
  <si>
    <t>L000012101</t>
  </si>
  <si>
    <t>L000012103</t>
  </si>
  <si>
    <t>L000012129</t>
  </si>
  <si>
    <t>L000012130</t>
  </si>
  <si>
    <t>L000012140</t>
  </si>
  <si>
    <t>L000012143</t>
  </si>
  <si>
    <t>L000012183</t>
  </si>
  <si>
    <t>L000012191</t>
  </si>
  <si>
    <t>L000012192</t>
  </si>
  <si>
    <t>L000012220</t>
  </si>
  <si>
    <t>L000012275</t>
  </si>
  <si>
    <t>L000012294</t>
  </si>
  <si>
    <t>L000012297</t>
  </si>
  <si>
    <t>L000012299</t>
  </si>
  <si>
    <t>L000012337</t>
  </si>
  <si>
    <t>L000012376</t>
  </si>
  <si>
    <t>L000012410</t>
  </si>
  <si>
    <t>L000012478</t>
  </si>
  <si>
    <t>L000012483</t>
  </si>
  <si>
    <t>L000012510</t>
  </si>
  <si>
    <t>L000012518</t>
  </si>
  <si>
    <t>L000012810</t>
  </si>
  <si>
    <t>L000012817</t>
  </si>
  <si>
    <t>L000012818</t>
  </si>
  <si>
    <t>L000012837</t>
  </si>
  <si>
    <t>L000012856</t>
  </si>
  <si>
    <t>L000012862</t>
  </si>
  <si>
    <t>L000012897</t>
  </si>
  <si>
    <t>L000012898</t>
  </si>
  <si>
    <t>L000012904</t>
  </si>
  <si>
    <t>L000012919</t>
  </si>
  <si>
    <t>L000012936</t>
  </si>
  <si>
    <t>L000012993</t>
  </si>
  <si>
    <t>L000013074</t>
  </si>
  <si>
    <t>L000013075</t>
  </si>
  <si>
    <t>L000013076</t>
  </si>
  <si>
    <t>L000013132</t>
  </si>
  <si>
    <t>L000013198</t>
  </si>
  <si>
    <t>L000013232</t>
  </si>
  <si>
    <t>L000013244</t>
  </si>
  <si>
    <t>L000013259</t>
  </si>
  <si>
    <t>L000013289</t>
  </si>
  <si>
    <t>L000013297</t>
  </si>
  <si>
    <t>L000013317</t>
  </si>
  <si>
    <t>L000013383</t>
  </si>
  <si>
    <t>L000013398</t>
  </si>
  <si>
    <t>L000013415</t>
  </si>
  <si>
    <t>L000013437</t>
  </si>
  <si>
    <t>L000013458</t>
  </si>
  <si>
    <t>L000013482</t>
  </si>
  <si>
    <t>P000000073</t>
  </si>
  <si>
    <t>P000000185</t>
  </si>
  <si>
    <t>P000000412</t>
  </si>
  <si>
    <t>P000000423</t>
  </si>
  <si>
    <t>P000000428</t>
  </si>
  <si>
    <t>P000000437</t>
  </si>
  <si>
    <t>P000000439</t>
  </si>
  <si>
    <t>P000000487</t>
  </si>
  <si>
    <t>P000000524</t>
  </si>
  <si>
    <t>P000000534</t>
  </si>
  <si>
    <t>P000000681</t>
  </si>
  <si>
    <t>P000000705</t>
  </si>
  <si>
    <t>P000000754</t>
  </si>
  <si>
    <t>P000000761</t>
  </si>
  <si>
    <t>P000000765</t>
  </si>
  <si>
    <t>P000000802</t>
  </si>
  <si>
    <t>P000000851</t>
  </si>
  <si>
    <t>P000000906</t>
  </si>
  <si>
    <t>PL_E1_USAT</t>
  </si>
  <si>
    <t>RDC0000950</t>
  </si>
  <si>
    <t>G000000164</t>
  </si>
  <si>
    <t>G000000287</t>
  </si>
  <si>
    <t>G000000325</t>
  </si>
  <si>
    <t>G000000343</t>
  </si>
  <si>
    <t>G000000344</t>
  </si>
  <si>
    <t>G000000356</t>
  </si>
  <si>
    <t>G000000361</t>
  </si>
  <si>
    <t>G000000380</t>
  </si>
  <si>
    <t>G000000387</t>
  </si>
  <si>
    <t>G000000391</t>
  </si>
  <si>
    <t>G000000396</t>
  </si>
  <si>
    <t>G000000399</t>
  </si>
  <si>
    <t>G000000444</t>
  </si>
  <si>
    <t>G000000486</t>
  </si>
  <si>
    <t>G000000490</t>
  </si>
  <si>
    <t>G000000501</t>
  </si>
  <si>
    <t>G000000518</t>
  </si>
  <si>
    <t>G000000535</t>
  </si>
  <si>
    <t>G000000572</t>
  </si>
  <si>
    <t>G000000608</t>
  </si>
  <si>
    <t>G000000610</t>
  </si>
  <si>
    <t>G000000612</t>
  </si>
  <si>
    <t>G000000615</t>
  </si>
  <si>
    <t>G000000625</t>
  </si>
  <si>
    <t>G000000723</t>
  </si>
  <si>
    <t>G000000751</t>
  </si>
  <si>
    <t>G000000787</t>
  </si>
  <si>
    <t>G000000810</t>
  </si>
  <si>
    <t>G000000815</t>
  </si>
  <si>
    <t>G000000820</t>
  </si>
  <si>
    <t>G000000825</t>
  </si>
  <si>
    <t>G000000881</t>
  </si>
  <si>
    <t>G000000945</t>
  </si>
  <si>
    <t>G000000963</t>
  </si>
  <si>
    <t>G000000978</t>
  </si>
  <si>
    <t>G000000994</t>
  </si>
  <si>
    <t>G000001005</t>
  </si>
  <si>
    <t>G000001006</t>
  </si>
  <si>
    <t>G000001041</t>
  </si>
  <si>
    <t>G000001056</t>
  </si>
  <si>
    <t>G000001067</t>
  </si>
  <si>
    <t>G000001084</t>
  </si>
  <si>
    <t>H000000196</t>
  </si>
  <si>
    <t>H000000272</t>
  </si>
  <si>
    <t>H000000347</t>
  </si>
  <si>
    <t>H000000402</t>
  </si>
  <si>
    <t>H000000690</t>
  </si>
  <si>
    <t>H000000699</t>
  </si>
  <si>
    <t>H000000714</t>
  </si>
  <si>
    <t>H000000722</t>
  </si>
  <si>
    <t>H000000724</t>
  </si>
  <si>
    <t>H000000728</t>
  </si>
  <si>
    <t>H000000748</t>
  </si>
  <si>
    <t>H000000753</t>
  </si>
  <si>
    <t>H000000838</t>
  </si>
  <si>
    <t>H000000884</t>
  </si>
  <si>
    <t>H000000893</t>
  </si>
  <si>
    <t>H000000895</t>
  </si>
  <si>
    <t>H000000936</t>
  </si>
  <si>
    <t>H000000976</t>
  </si>
  <si>
    <t>H000000978</t>
  </si>
  <si>
    <t>H000001062</t>
  </si>
  <si>
    <t>H000001066</t>
  </si>
  <si>
    <t>H000001093</t>
  </si>
  <si>
    <t>H000001096</t>
  </si>
  <si>
    <t>H000001106</t>
  </si>
  <si>
    <t>H000001117</t>
  </si>
  <si>
    <t>H000001137</t>
  </si>
  <si>
    <t>H000001148</t>
  </si>
  <si>
    <t>H000001174</t>
  </si>
  <si>
    <t>H000001214</t>
  </si>
  <si>
    <t>H000001215</t>
  </si>
  <si>
    <t>H000001230</t>
  </si>
  <si>
    <t>H000001235</t>
  </si>
  <si>
    <t>H000001239</t>
  </si>
  <si>
    <t>H000001255</t>
  </si>
  <si>
    <t>H000001257</t>
  </si>
  <si>
    <t>H000001274</t>
  </si>
  <si>
    <t>H000001277</t>
  </si>
  <si>
    <t>H000001291</t>
  </si>
  <si>
    <t>H000001293</t>
  </si>
  <si>
    <t>H000001302</t>
  </si>
  <si>
    <t>H000001312</t>
  </si>
  <si>
    <t>H000001315</t>
  </si>
  <si>
    <t>H000001333</t>
  </si>
  <si>
    <t>H000001335</t>
  </si>
  <si>
    <t>H000001370</t>
  </si>
  <si>
    <t>H000001371</t>
  </si>
  <si>
    <t>H000001372</t>
  </si>
  <si>
    <t>H000001373</t>
  </si>
  <si>
    <t>H000001377</t>
  </si>
  <si>
    <t>H000001380</t>
  </si>
  <si>
    <t>H000001411</t>
  </si>
  <si>
    <t>H000001438</t>
  </si>
  <si>
    <t>H000001449</t>
  </si>
  <si>
    <t>H000001456</t>
  </si>
  <si>
    <t>H000001465</t>
  </si>
  <si>
    <t>H000001473</t>
  </si>
  <si>
    <t>H000001552</t>
  </si>
  <si>
    <t>H000001566</t>
  </si>
  <si>
    <t>H000001569</t>
  </si>
  <si>
    <t>H000001571</t>
  </si>
  <si>
    <t>H000001574</t>
  </si>
  <si>
    <t>H000001575</t>
  </si>
  <si>
    <t>H000001576</t>
  </si>
  <si>
    <t>H000001577</t>
  </si>
  <si>
    <t>H000001578</t>
  </si>
  <si>
    <t>H000001601</t>
  </si>
  <si>
    <t>H000001617</t>
  </si>
  <si>
    <t>H000001625</t>
  </si>
  <si>
    <t>H000001660</t>
  </si>
  <si>
    <t>H000001707</t>
  </si>
  <si>
    <t>H000001719</t>
  </si>
  <si>
    <t>H000001733</t>
  </si>
  <si>
    <t>H000001737</t>
  </si>
  <si>
    <t>H000001743</t>
  </si>
  <si>
    <t>H000001754</t>
  </si>
  <si>
    <t>H000001792</t>
  </si>
  <si>
    <t>H000001831</t>
  </si>
  <si>
    <t>H000001846</t>
  </si>
  <si>
    <t>H000001863</t>
  </si>
  <si>
    <t>H000001871</t>
  </si>
  <si>
    <t>H000001911</t>
  </si>
  <si>
    <t>H000001937</t>
  </si>
  <si>
    <t>H000001960</t>
  </si>
  <si>
    <t>H000001964</t>
  </si>
  <si>
    <t>H000001965</t>
  </si>
  <si>
    <t>H000002013</t>
  </si>
  <si>
    <t>H000002022</t>
  </si>
  <si>
    <t>H000002038</t>
  </si>
  <si>
    <t>H000002053</t>
  </si>
  <si>
    <t>H000002067</t>
  </si>
  <si>
    <t>H000002071</t>
  </si>
  <si>
    <t>H000002077</t>
  </si>
  <si>
    <t>H000002116</t>
  </si>
  <si>
    <t>H000002125</t>
  </si>
  <si>
    <t>H000002164</t>
  </si>
  <si>
    <t>H000002199</t>
  </si>
  <si>
    <t>H000002234</t>
  </si>
  <si>
    <t>H000002275</t>
  </si>
  <si>
    <t>H000002308</t>
  </si>
  <si>
    <t>H000002343</t>
  </si>
  <si>
    <t>H000002378</t>
  </si>
  <si>
    <t>H000002413</t>
  </si>
  <si>
    <t>H000002444</t>
  </si>
  <si>
    <t>H000002459</t>
  </si>
  <si>
    <t>H000002482</t>
  </si>
  <si>
    <t>H000002488</t>
  </si>
  <si>
    <t>H000002501</t>
  </si>
  <si>
    <t>H000002517</t>
  </si>
  <si>
    <t>H000002535</t>
  </si>
  <si>
    <t>H000002560</t>
  </si>
  <si>
    <t>H000002572</t>
  </si>
  <si>
    <t>H000002582</t>
  </si>
  <si>
    <t>H000002606</t>
  </si>
  <si>
    <t>H000002611</t>
  </si>
  <si>
    <t>H000002616</t>
  </si>
  <si>
    <t>H000002632</t>
  </si>
  <si>
    <t>H000002634</t>
  </si>
  <si>
    <t>H000002661</t>
  </si>
  <si>
    <t>H000002692</t>
  </si>
  <si>
    <t>H000002700</t>
  </si>
  <si>
    <t>H000002713</t>
  </si>
  <si>
    <t>H000002725</t>
  </si>
  <si>
    <t>H000002734</t>
  </si>
  <si>
    <t>H000002756</t>
  </si>
  <si>
    <t>H000002760</t>
  </si>
  <si>
    <t>H000002800</t>
  </si>
  <si>
    <t>H000002812</t>
  </si>
  <si>
    <t>H000002819</t>
  </si>
  <si>
    <t>H000002839</t>
  </si>
  <si>
    <t>H000002857</t>
  </si>
  <si>
    <t>H000002899</t>
  </si>
  <si>
    <t>H000002913</t>
  </si>
  <si>
    <t>H000002938</t>
  </si>
  <si>
    <t>H000002940</t>
  </si>
  <si>
    <t>H000002950</t>
  </si>
  <si>
    <t>H000002977</t>
  </si>
  <si>
    <t>H000003067</t>
  </si>
  <si>
    <t>H000003114</t>
  </si>
  <si>
    <t>H000003195</t>
  </si>
  <si>
    <t>H000003208</t>
  </si>
  <si>
    <t>H000003221</t>
  </si>
  <si>
    <t>H000003227</t>
  </si>
  <si>
    <t>H000003321</t>
  </si>
  <si>
    <t>H000003336</t>
  </si>
  <si>
    <t>H000003363</t>
  </si>
  <si>
    <t>H000003378</t>
  </si>
  <si>
    <t>H000003385</t>
  </si>
  <si>
    <t>H000003392</t>
  </si>
  <si>
    <t>H000003401</t>
  </si>
  <si>
    <t>H000003451</t>
  </si>
  <si>
    <t>H000003452</t>
  </si>
  <si>
    <t>H000003491</t>
  </si>
  <si>
    <t>H000003534</t>
  </si>
  <si>
    <t>H000003537</t>
  </si>
  <si>
    <t>H000003579</t>
  </si>
  <si>
    <t>H000003581</t>
  </si>
  <si>
    <t>H000003591</t>
  </si>
  <si>
    <t>H000003595</t>
  </si>
  <si>
    <t>H000003600</t>
  </si>
  <si>
    <t>H000003605</t>
  </si>
  <si>
    <t>H000003658</t>
  </si>
  <si>
    <t>H000003666</t>
  </si>
  <si>
    <t>H000003674</t>
  </si>
  <si>
    <t>H000003676</t>
  </si>
  <si>
    <t>H000003697</t>
  </si>
  <si>
    <t>H000003718</t>
  </si>
  <si>
    <t>H000003814</t>
  </si>
  <si>
    <t>H000003900</t>
  </si>
  <si>
    <t>H000003926</t>
  </si>
  <si>
    <t>H000003931</t>
  </si>
  <si>
    <t>H000003936</t>
  </si>
  <si>
    <t>H000003974</t>
  </si>
  <si>
    <t>H000003987</t>
  </si>
  <si>
    <t>H000004068</t>
  </si>
  <si>
    <t>H000004084</t>
  </si>
  <si>
    <t>H000004090</t>
  </si>
  <si>
    <t>H000004093</t>
  </si>
  <si>
    <t>H000004103</t>
  </si>
  <si>
    <t>H000004155</t>
  </si>
  <si>
    <t>H000004179</t>
  </si>
  <si>
    <t>H000004184</t>
  </si>
  <si>
    <t>H000004204</t>
  </si>
  <si>
    <t>H000004206</t>
  </si>
  <si>
    <t>H000004255</t>
  </si>
  <si>
    <t>IT06030100</t>
  </si>
  <si>
    <t>IT06030600</t>
  </si>
  <si>
    <t>IT06042230</t>
  </si>
  <si>
    <t>IT06070700</t>
  </si>
  <si>
    <t>IT06071200</t>
  </si>
  <si>
    <t>IT06100200</t>
  </si>
  <si>
    <t>IT06100300</t>
  </si>
  <si>
    <t>L000005046</t>
  </si>
  <si>
    <t>L000005074</t>
  </si>
  <si>
    <t>L000005086</t>
  </si>
  <si>
    <t>L000005087</t>
  </si>
  <si>
    <t>L000005096</t>
  </si>
  <si>
    <t>L000005221</t>
  </si>
  <si>
    <t>L000005252</t>
  </si>
  <si>
    <t>L000005298</t>
  </si>
  <si>
    <t>L000005307</t>
  </si>
  <si>
    <t>L000005339</t>
  </si>
  <si>
    <t>L000005370</t>
  </si>
  <si>
    <t>L000005371</t>
  </si>
  <si>
    <t>L000005385</t>
  </si>
  <si>
    <t>L000005387</t>
  </si>
  <si>
    <t>L000005409</t>
  </si>
  <si>
    <t>L000005459</t>
  </si>
  <si>
    <t>L000005460</t>
  </si>
  <si>
    <t>L000005629</t>
  </si>
  <si>
    <t>L000005739</t>
  </si>
  <si>
    <t>L000005820</t>
  </si>
  <si>
    <t>L000005845</t>
  </si>
  <si>
    <t>L000005862</t>
  </si>
  <si>
    <t>L000005871</t>
  </si>
  <si>
    <t>L000005873</t>
  </si>
  <si>
    <t>L000005892</t>
  </si>
  <si>
    <t>L000005920</t>
  </si>
  <si>
    <t>L000005935</t>
  </si>
  <si>
    <t>L000005944</t>
  </si>
  <si>
    <t>L000005959</t>
  </si>
  <si>
    <t>L000006001</t>
  </si>
  <si>
    <t>L000006075</t>
  </si>
  <si>
    <t>L000006093</t>
  </si>
  <si>
    <t>L000006294</t>
  </si>
  <si>
    <t>L000006392</t>
  </si>
  <si>
    <t>L000006447</t>
  </si>
  <si>
    <t>L000006448</t>
  </si>
  <si>
    <t>L000006495</t>
  </si>
  <si>
    <t>L000007053</t>
  </si>
  <si>
    <t>L000007107</t>
  </si>
  <si>
    <t>L000007478</t>
  </si>
  <si>
    <t>L000007710</t>
  </si>
  <si>
    <t>L000007879</t>
  </si>
  <si>
    <t>L000007939</t>
  </si>
  <si>
    <t>L000008001</t>
  </si>
  <si>
    <t>L000008296</t>
  </si>
  <si>
    <t>L000008310</t>
  </si>
  <si>
    <t>L000008682</t>
  </si>
  <si>
    <t>L000008693</t>
  </si>
  <si>
    <t>L000008790</t>
  </si>
  <si>
    <t>L000008791</t>
  </si>
  <si>
    <t>L000008897</t>
  </si>
  <si>
    <t>L000008913</t>
  </si>
  <si>
    <t>L000008944</t>
  </si>
  <si>
    <t>L000008955</t>
  </si>
  <si>
    <t>L000008960</t>
  </si>
  <si>
    <t>L000009057</t>
  </si>
  <si>
    <t>L000009099</t>
  </si>
  <si>
    <t>L000009230</t>
  </si>
  <si>
    <t>L000009244</t>
  </si>
  <si>
    <t>L000009259</t>
  </si>
  <si>
    <t>L000009324</t>
  </si>
  <si>
    <t>L000009335</t>
  </si>
  <si>
    <t>L000009349</t>
  </si>
  <si>
    <t>L000009421</t>
  </si>
  <si>
    <t>L000009437</t>
  </si>
  <si>
    <t>L000009452</t>
  </si>
  <si>
    <t>L000009469</t>
  </si>
  <si>
    <t>L000009485</t>
  </si>
  <si>
    <t>L000009581</t>
  </si>
  <si>
    <t>L000009609</t>
  </si>
  <si>
    <t>L000009717</t>
  </si>
  <si>
    <t>L000009719</t>
  </si>
  <si>
    <t>L000009798</t>
  </si>
  <si>
    <t>L000009804</t>
  </si>
  <si>
    <t>L000009806</t>
  </si>
  <si>
    <t>L000009817</t>
  </si>
  <si>
    <t>L000009950</t>
  </si>
  <si>
    <t>L000009952</t>
  </si>
  <si>
    <t>L000009955</t>
  </si>
  <si>
    <t>L000009956</t>
  </si>
  <si>
    <t>L000009978</t>
  </si>
  <si>
    <t>L000009990</t>
  </si>
  <si>
    <t>L000010002</t>
  </si>
  <si>
    <t>L000010046</t>
  </si>
  <si>
    <t>L000010072</t>
  </si>
  <si>
    <t>L000010099</t>
  </si>
  <si>
    <t>L000010127</t>
  </si>
  <si>
    <t>L000010129</t>
  </si>
  <si>
    <t>L000010131</t>
  </si>
  <si>
    <t>L000010133</t>
  </si>
  <si>
    <t>L000010135</t>
  </si>
  <si>
    <t>L000010201</t>
  </si>
  <si>
    <t>L000010412</t>
  </si>
  <si>
    <t>L000011137</t>
  </si>
  <si>
    <t>L000011153</t>
  </si>
  <si>
    <t>L000011268</t>
  </si>
  <si>
    <t>L000011303</t>
  </si>
  <si>
    <t>L000011315</t>
  </si>
  <si>
    <t>L000011385</t>
  </si>
  <si>
    <t>L000011388</t>
  </si>
  <si>
    <t>L000011525</t>
  </si>
  <si>
    <t>L000011719</t>
  </si>
  <si>
    <t>L000011780</t>
  </si>
  <si>
    <t>L000011816</t>
  </si>
  <si>
    <t>L000011842</t>
  </si>
  <si>
    <t>L000011926</t>
  </si>
  <si>
    <t>L000011934</t>
  </si>
  <si>
    <t>L000011993</t>
  </si>
  <si>
    <t>L000012215</t>
  </si>
  <si>
    <t>L000012243</t>
  </si>
  <si>
    <t>L000012269</t>
  </si>
  <si>
    <t>L000012333</t>
  </si>
  <si>
    <t>L000012334</t>
  </si>
  <si>
    <t>L000012336</t>
  </si>
  <si>
    <t>L000012338</t>
  </si>
  <si>
    <t>L000012409</t>
  </si>
  <si>
    <t>L000012416</t>
  </si>
  <si>
    <t>L000012417</t>
  </si>
  <si>
    <t>L000012467</t>
  </si>
  <si>
    <t>L000012471</t>
  </si>
  <si>
    <t>L000012474</t>
  </si>
  <si>
    <t>L000012481</t>
  </si>
  <si>
    <t>L000012503</t>
  </si>
  <si>
    <t>L000012512</t>
  </si>
  <si>
    <t>L000012659</t>
  </si>
  <si>
    <t>L000012734</t>
  </si>
  <si>
    <t>L000012739</t>
  </si>
  <si>
    <t>L000012741</t>
  </si>
  <si>
    <t>L000012743</t>
  </si>
  <si>
    <t>L000012792</t>
  </si>
  <si>
    <t>L000012825</t>
  </si>
  <si>
    <t>L000012836</t>
  </si>
  <si>
    <t>L000012839</t>
  </si>
  <si>
    <t>L000012867</t>
  </si>
  <si>
    <t>L000012878</t>
  </si>
  <si>
    <t>L000012918</t>
  </si>
  <si>
    <t>L000012932</t>
  </si>
  <si>
    <t>L000012933</t>
  </si>
  <si>
    <t>L000012934</t>
  </si>
  <si>
    <t>L000012939</t>
  </si>
  <si>
    <t>L000012949</t>
  </si>
  <si>
    <t>L000012950</t>
  </si>
  <si>
    <t>L000012951</t>
  </si>
  <si>
    <t>L000012953</t>
  </si>
  <si>
    <t>L000012984</t>
  </si>
  <si>
    <t>L000012989</t>
  </si>
  <si>
    <t>L000012990</t>
  </si>
  <si>
    <t>L000012997</t>
  </si>
  <si>
    <t>L000012999</t>
  </si>
  <si>
    <t>L000013115</t>
  </si>
  <si>
    <t>L000013197</t>
  </si>
  <si>
    <t>L000013212</t>
  </si>
  <si>
    <t>L000013215</t>
  </si>
  <si>
    <t>L000013275</t>
  </si>
  <si>
    <t>L000013324</t>
  </si>
  <si>
    <t>L000013329</t>
  </si>
  <si>
    <t>L000013331</t>
  </si>
  <si>
    <t>L000013372</t>
  </si>
  <si>
    <t>L000013408</t>
  </si>
  <si>
    <t>L000013460</t>
  </si>
  <si>
    <t>O000000005</t>
  </si>
  <si>
    <t>P000000002</t>
  </si>
  <si>
    <t>P000000060</t>
  </si>
  <si>
    <t>P000000066</t>
  </si>
  <si>
    <t>P000000074</t>
  </si>
  <si>
    <t>P000000183</t>
  </si>
  <si>
    <t>P000000422</t>
  </si>
  <si>
    <t>P000000462</t>
  </si>
  <si>
    <t>P000000577</t>
  </si>
  <si>
    <t>P000000583</t>
  </si>
  <si>
    <t>P000000584</t>
  </si>
  <si>
    <t>P000000659</t>
  </si>
  <si>
    <t>P000000674</t>
  </si>
  <si>
    <t>P000000689</t>
  </si>
  <si>
    <t>P000000738</t>
  </si>
  <si>
    <t>P000000739</t>
  </si>
  <si>
    <t>P000000799</t>
  </si>
  <si>
    <t>P000000858</t>
  </si>
  <si>
    <t>P000000957</t>
  </si>
  <si>
    <t>P000001014</t>
  </si>
  <si>
    <t>P000001017</t>
  </si>
  <si>
    <t>PL_B2_DE09</t>
  </si>
  <si>
    <t>PL_E1_DEAB</t>
  </si>
  <si>
    <t>PL_E7_62A1</t>
  </si>
  <si>
    <t>PL_E7_62A3</t>
  </si>
  <si>
    <t>PL_E7_62B2</t>
  </si>
  <si>
    <t>PL_E7_62C6</t>
  </si>
  <si>
    <t>PL_E9_US04</t>
  </si>
  <si>
    <t>RDC0000085</t>
  </si>
  <si>
    <t>RDC0000210</t>
  </si>
  <si>
    <t>G000000290</t>
  </si>
  <si>
    <t>G000000342</t>
  </si>
  <si>
    <t>G000000374</t>
  </si>
  <si>
    <t>G000000513</t>
  </si>
  <si>
    <t>G000000559</t>
  </si>
  <si>
    <t>G000000750</t>
  </si>
  <si>
    <t>G000000776</t>
  </si>
  <si>
    <t>G000000808</t>
  </si>
  <si>
    <t>G000000813</t>
  </si>
  <si>
    <t>G000000818</t>
  </si>
  <si>
    <t>G000000823</t>
  </si>
  <si>
    <t>G000000834</t>
  </si>
  <si>
    <t>G000000893</t>
  </si>
  <si>
    <t>G000000905</t>
  </si>
  <si>
    <t>G000000908</t>
  </si>
  <si>
    <t>G000000936</t>
  </si>
  <si>
    <t>G000000940</t>
  </si>
  <si>
    <t>G000001017</t>
  </si>
  <si>
    <t>H000000009</t>
  </si>
  <si>
    <t>H000000154</t>
  </si>
  <si>
    <t>H000000192</t>
  </si>
  <si>
    <t>H000000202</t>
  </si>
  <si>
    <t>H000000343</t>
  </si>
  <si>
    <t>H000000428</t>
  </si>
  <si>
    <t>H000000526</t>
  </si>
  <si>
    <t>H000000626</t>
  </si>
  <si>
    <t>H000000648</t>
  </si>
  <si>
    <t>H000000695</t>
  </si>
  <si>
    <t>H000000769</t>
  </si>
  <si>
    <t>H000000820</t>
  </si>
  <si>
    <t>H000000835</t>
  </si>
  <si>
    <t>H000000901</t>
  </si>
  <si>
    <t>H000000912</t>
  </si>
  <si>
    <t>H000000963</t>
  </si>
  <si>
    <t>H000000969</t>
  </si>
  <si>
    <t>H000000983</t>
  </si>
  <si>
    <t>H000000991</t>
  </si>
  <si>
    <t>H000001107</t>
  </si>
  <si>
    <t>H000001129</t>
  </si>
  <si>
    <t>H000001177</t>
  </si>
  <si>
    <t>H000001220</t>
  </si>
  <si>
    <t>H000001247</t>
  </si>
  <si>
    <t>H000001283</t>
  </si>
  <si>
    <t>H000001301</t>
  </si>
  <si>
    <t>H000001308</t>
  </si>
  <si>
    <t>H000001320</t>
  </si>
  <si>
    <t>H000001385</t>
  </si>
  <si>
    <t>H000001427</t>
  </si>
  <si>
    <t>H000001443</t>
  </si>
  <si>
    <t>H000001446</t>
  </si>
  <si>
    <t>H000001463</t>
  </si>
  <si>
    <t>H000001486</t>
  </si>
  <si>
    <t>H000001495</t>
  </si>
  <si>
    <t>H000001557</t>
  </si>
  <si>
    <t>H000001568</t>
  </si>
  <si>
    <t>H000001570</t>
  </si>
  <si>
    <t>H000001596</t>
  </si>
  <si>
    <t>H000001609</t>
  </si>
  <si>
    <t>H000001612</t>
  </si>
  <si>
    <t>H000001616</t>
  </si>
  <si>
    <t>H000001619</t>
  </si>
  <si>
    <t>H000001623</t>
  </si>
  <si>
    <t>H000001627</t>
  </si>
  <si>
    <t>H000001631</t>
  </si>
  <si>
    <t>H000001632</t>
  </si>
  <si>
    <t>H000001635</t>
  </si>
  <si>
    <t>H000001637</t>
  </si>
  <si>
    <t>H000001643</t>
  </si>
  <si>
    <t>H000001645</t>
  </si>
  <si>
    <t>H000001651</t>
  </si>
  <si>
    <t>H000001653</t>
  </si>
  <si>
    <t>H000001661</t>
  </si>
  <si>
    <t>H000001664</t>
  </si>
  <si>
    <t>H000001667</t>
  </si>
  <si>
    <t>H000001671</t>
  </si>
  <si>
    <t>H000001673</t>
  </si>
  <si>
    <t>H000001674</t>
  </si>
  <si>
    <t>H000001675</t>
  </si>
  <si>
    <t>H000001677</t>
  </si>
  <si>
    <t>H000001679</t>
  </si>
  <si>
    <t>H000001681</t>
  </si>
  <si>
    <t>H000001683</t>
  </si>
  <si>
    <t>H000001685</t>
  </si>
  <si>
    <t>H000001687</t>
  </si>
  <si>
    <t>H000001689</t>
  </si>
  <si>
    <t>H000001692</t>
  </si>
  <si>
    <t>H000001694</t>
  </si>
  <si>
    <t>H000001713</t>
  </si>
  <si>
    <t>H000001738</t>
  </si>
  <si>
    <t>H000001741</t>
  </si>
  <si>
    <t>H000001744</t>
  </si>
  <si>
    <t>H000001748</t>
  </si>
  <si>
    <t>H000001761</t>
  </si>
  <si>
    <t>H000001860</t>
  </si>
  <si>
    <t>H000001917</t>
  </si>
  <si>
    <t>H000002047</t>
  </si>
  <si>
    <t>H000002072</t>
  </si>
  <si>
    <t>H000002075</t>
  </si>
  <si>
    <t>H000002078</t>
  </si>
  <si>
    <t>H000002132</t>
  </si>
  <si>
    <t>H000002176</t>
  </si>
  <si>
    <t>H000002211</t>
  </si>
  <si>
    <t>H000002246</t>
  </si>
  <si>
    <t>H000002287</t>
  </si>
  <si>
    <t>H000002320</t>
  </si>
  <si>
    <t>H000002355</t>
  </si>
  <si>
    <t>H000002390</t>
  </si>
  <si>
    <t>H000002425</t>
  </si>
  <si>
    <t>H000002449</t>
  </si>
  <si>
    <t>H000002455</t>
  </si>
  <si>
    <t>H000002559</t>
  </si>
  <si>
    <t>H000002628</t>
  </si>
  <si>
    <t>H000002648</t>
  </si>
  <si>
    <t>H000002665</t>
  </si>
  <si>
    <t>H000002668</t>
  </si>
  <si>
    <t>H000002688</t>
  </si>
  <si>
    <t>H000002750</t>
  </si>
  <si>
    <t>H000002752</t>
  </si>
  <si>
    <t>H000002769</t>
  </si>
  <si>
    <t>H000002861</t>
  </si>
  <si>
    <t>H000002962</t>
  </si>
  <si>
    <t>H000002973</t>
  </si>
  <si>
    <t>H000003000</t>
  </si>
  <si>
    <t>H000003037</t>
  </si>
  <si>
    <t>H000003091</t>
  </si>
  <si>
    <t>H000003148</t>
  </si>
  <si>
    <t>H000003180</t>
  </si>
  <si>
    <t>H000003213</t>
  </si>
  <si>
    <t>H000003217</t>
  </si>
  <si>
    <t>H000003232</t>
  </si>
  <si>
    <t>H000003268</t>
  </si>
  <si>
    <t>H000003308</t>
  </si>
  <si>
    <t>H000003350</t>
  </si>
  <si>
    <t>H000003420</t>
  </si>
  <si>
    <t>H000003531</t>
  </si>
  <si>
    <t>H000003543</t>
  </si>
  <si>
    <t>H000003608</t>
  </si>
  <si>
    <t>H000003649</t>
  </si>
  <si>
    <t>H000003650</t>
  </si>
  <si>
    <t>H000003683</t>
  </si>
  <si>
    <t>H000003686</t>
  </si>
  <si>
    <t>H000003706</t>
  </si>
  <si>
    <t>H000003708</t>
  </si>
  <si>
    <t>H000003727</t>
  </si>
  <si>
    <t>H000003729</t>
  </si>
  <si>
    <t>H000003776</t>
  </si>
  <si>
    <t>H000003879</t>
  </si>
  <si>
    <t>H000003881</t>
  </si>
  <si>
    <t>H000003883</t>
  </si>
  <si>
    <t>H000003962</t>
  </si>
  <si>
    <t>H000004041</t>
  </si>
  <si>
    <t>H000004046</t>
  </si>
  <si>
    <t>H000004053</t>
  </si>
  <si>
    <t>H000004080</t>
  </si>
  <si>
    <t>H000004140</t>
  </si>
  <si>
    <t>H000004143</t>
  </si>
  <si>
    <t>H000004167</t>
  </si>
  <si>
    <t>H000004191</t>
  </si>
  <si>
    <t>H000004210</t>
  </si>
  <si>
    <t>H000004229</t>
  </si>
  <si>
    <t>H000004234</t>
  </si>
  <si>
    <t>H000004253</t>
  </si>
  <si>
    <t>H000004263</t>
  </si>
  <si>
    <t>H000004302</t>
  </si>
  <si>
    <t>IT06021400</t>
  </si>
  <si>
    <t>IT06042260</t>
  </si>
  <si>
    <t>IT06050700</t>
  </si>
  <si>
    <t>IT06070730</t>
  </si>
  <si>
    <t>IT06100100</t>
  </si>
  <si>
    <t>L000005085</t>
  </si>
  <si>
    <t>L000005097</t>
  </si>
  <si>
    <t>L000005183</t>
  </si>
  <si>
    <t>L000005245</t>
  </si>
  <si>
    <t>L000005280</t>
  </si>
  <si>
    <t>L000005301</t>
  </si>
  <si>
    <t>L000005318</t>
  </si>
  <si>
    <t>L000005363</t>
  </si>
  <si>
    <t>L000005369</t>
  </si>
  <si>
    <t>L000005389</t>
  </si>
  <si>
    <t>L000005402</t>
  </si>
  <si>
    <t>L000005455</t>
  </si>
  <si>
    <t>L000005754</t>
  </si>
  <si>
    <t>L000005818</t>
  </si>
  <si>
    <t>L000005865</t>
  </si>
  <si>
    <t>L000005888</t>
  </si>
  <si>
    <t>L000005993</t>
  </si>
  <si>
    <t>L000006150</t>
  </si>
  <si>
    <t>L000006641</t>
  </si>
  <si>
    <t>L000006819</t>
  </si>
  <si>
    <t>L000006952</t>
  </si>
  <si>
    <t>L000007055</t>
  </si>
  <si>
    <t>L000007110</t>
  </si>
  <si>
    <t>L000007740</t>
  </si>
  <si>
    <t>L000007806</t>
  </si>
  <si>
    <t>L000007814</t>
  </si>
  <si>
    <t>L000007858</t>
  </si>
  <si>
    <t>L000007904</t>
  </si>
  <si>
    <t>L000008103</t>
  </si>
  <si>
    <t>L000008438</t>
  </si>
  <si>
    <t>L000008440</t>
  </si>
  <si>
    <t>L000008527</t>
  </si>
  <si>
    <t>L000008557</t>
  </si>
  <si>
    <t>L000008648</t>
  </si>
  <si>
    <t>L000008689</t>
  </si>
  <si>
    <t>L000008694</t>
  </si>
  <si>
    <t>L000008789</t>
  </si>
  <si>
    <t>L000008800</t>
  </si>
  <si>
    <t>L000008806</t>
  </si>
  <si>
    <t>L000008814</t>
  </si>
  <si>
    <t>L000008954</t>
  </si>
  <si>
    <t>L000008988</t>
  </si>
  <si>
    <t>L000008992</t>
  </si>
  <si>
    <t>L000008993</t>
  </si>
  <si>
    <t>L000008995</t>
  </si>
  <si>
    <t>L000009000</t>
  </si>
  <si>
    <t>L000009004</t>
  </si>
  <si>
    <t>L000009005</t>
  </si>
  <si>
    <t>L000009011</t>
  </si>
  <si>
    <t>L000009050</t>
  </si>
  <si>
    <t>L000009097</t>
  </si>
  <si>
    <t>L000009129</t>
  </si>
  <si>
    <t>L000009141</t>
  </si>
  <si>
    <t>L000009176</t>
  </si>
  <si>
    <t>L000009177</t>
  </si>
  <si>
    <t>L000009179</t>
  </si>
  <si>
    <t>L000009197</t>
  </si>
  <si>
    <t>L000009231</t>
  </si>
  <si>
    <t>L000009232</t>
  </si>
  <si>
    <t>L000009233</t>
  </si>
  <si>
    <t>L000009235</t>
  </si>
  <si>
    <t>L000009236</t>
  </si>
  <si>
    <t>L000009239</t>
  </si>
  <si>
    <t>L000009245</t>
  </si>
  <si>
    <t>L000009246</t>
  </si>
  <si>
    <t>L000009248</t>
  </si>
  <si>
    <t>L000009249</t>
  </si>
  <si>
    <t>L000009250</t>
  </si>
  <si>
    <t>L000009251</t>
  </si>
  <si>
    <t>L000009252</t>
  </si>
  <si>
    <t>L000009254</t>
  </si>
  <si>
    <t>L000009255</t>
  </si>
  <si>
    <t>L000009257</t>
  </si>
  <si>
    <t>L000009260</t>
  </si>
  <si>
    <t>L000009261</t>
  </si>
  <si>
    <t>L000009263</t>
  </si>
  <si>
    <t>L000009264</t>
  </si>
  <si>
    <t>L000009266</t>
  </si>
  <si>
    <t>L000009268</t>
  </si>
  <si>
    <t>L000009269</t>
  </si>
  <si>
    <t>L000009271</t>
  </si>
  <si>
    <t>L000009319</t>
  </si>
  <si>
    <t>L000009333</t>
  </si>
  <si>
    <t>L000009413</t>
  </si>
  <si>
    <t>L000009465</t>
  </si>
  <si>
    <t>L000009539</t>
  </si>
  <si>
    <t>L000009599</t>
  </si>
  <si>
    <t>L000009761</t>
  </si>
  <si>
    <t>L000009800</t>
  </si>
  <si>
    <t>L000009819</t>
  </si>
  <si>
    <t>L000009820</t>
  </si>
  <si>
    <t>L000009934</t>
  </si>
  <si>
    <t>L000009943</t>
  </si>
  <si>
    <t>L000009949</t>
  </si>
  <si>
    <t>L000009968</t>
  </si>
  <si>
    <t>L000009996</t>
  </si>
  <si>
    <t>L000010050</t>
  </si>
  <si>
    <t>L000010068</t>
  </si>
  <si>
    <t>L000010141</t>
  </si>
  <si>
    <t>L000010175</t>
  </si>
  <si>
    <t>L000010259</t>
  </si>
  <si>
    <t>L000010595</t>
  </si>
  <si>
    <t>L000010759</t>
  </si>
  <si>
    <t>L000010788</t>
  </si>
  <si>
    <t>L000010789</t>
  </si>
  <si>
    <t>L000010792</t>
  </si>
  <si>
    <t>L000010794</t>
  </si>
  <si>
    <t>L000010795</t>
  </si>
  <si>
    <t>L000010815</t>
  </si>
  <si>
    <t>L000010822</t>
  </si>
  <si>
    <t>L000010824</t>
  </si>
  <si>
    <t>L000010826</t>
  </si>
  <si>
    <t>L000010829</t>
  </si>
  <si>
    <t>L000010835</t>
  </si>
  <si>
    <t>L000010838</t>
  </si>
  <si>
    <t>L000010840</t>
  </si>
  <si>
    <t>L000010843</t>
  </si>
  <si>
    <t>L000010848</t>
  </si>
  <si>
    <t>L000010850</t>
  </si>
  <si>
    <t>L000010852</t>
  </si>
  <si>
    <t>L000010854</t>
  </si>
  <si>
    <t>L000010860</t>
  </si>
  <si>
    <t>L000010870</t>
  </si>
  <si>
    <t>L000010872</t>
  </si>
  <si>
    <t>L000010879</t>
  </si>
  <si>
    <t>L000010880</t>
  </si>
  <si>
    <t>L000010881</t>
  </si>
  <si>
    <t>L000010882</t>
  </si>
  <si>
    <t>L000010883</t>
  </si>
  <si>
    <t>L000010884</t>
  </si>
  <si>
    <t>L000010885</t>
  </si>
  <si>
    <t>L000010886</t>
  </si>
  <si>
    <t>L000010887</t>
  </si>
  <si>
    <t>L000010888</t>
  </si>
  <si>
    <t>L000010889</t>
  </si>
  <si>
    <t>L000010890</t>
  </si>
  <si>
    <t>L000010891</t>
  </si>
  <si>
    <t>L000010893</t>
  </si>
  <si>
    <t>L000010894</t>
  </si>
  <si>
    <t>L000010895</t>
  </si>
  <si>
    <t>L000010896</t>
  </si>
  <si>
    <t>L000010898</t>
  </si>
  <si>
    <t>L000010900</t>
  </si>
  <si>
    <t>L000010901</t>
  </si>
  <si>
    <t>L000010903</t>
  </si>
  <si>
    <t>L000010904</t>
  </si>
  <si>
    <t>L000010905</t>
  </si>
  <si>
    <t>L000010906</t>
  </si>
  <si>
    <t>L000010907</t>
  </si>
  <si>
    <t>L000010908</t>
  </si>
  <si>
    <t>L000010909</t>
  </si>
  <si>
    <t>L000010910</t>
  </si>
  <si>
    <t>L000010911</t>
  </si>
  <si>
    <t>L000010912</t>
  </si>
  <si>
    <t>L000010913</t>
  </si>
  <si>
    <t>L000010914</t>
  </si>
  <si>
    <t>L000010915</t>
  </si>
  <si>
    <t>L000010916</t>
  </si>
  <si>
    <t>L000010917</t>
  </si>
  <si>
    <t>L000010918</t>
  </si>
  <si>
    <t>L000010919</t>
  </si>
  <si>
    <t>L000010921</t>
  </si>
  <si>
    <t>L000010922</t>
  </si>
  <si>
    <t>L000010923</t>
  </si>
  <si>
    <t>L000010924</t>
  </si>
  <si>
    <t>L000010925</t>
  </si>
  <si>
    <t>L000010926</t>
  </si>
  <si>
    <t>L000010928</t>
  </si>
  <si>
    <t>L000010929</t>
  </si>
  <si>
    <t>L000010930</t>
  </si>
  <si>
    <t>L000010931</t>
  </si>
  <si>
    <t>L000010932</t>
  </si>
  <si>
    <t>L000010933</t>
  </si>
  <si>
    <t>L000010934</t>
  </si>
  <si>
    <t>L000010935</t>
  </si>
  <si>
    <t>L000010936</t>
  </si>
  <si>
    <t>L000010937</t>
  </si>
  <si>
    <t>L000010942</t>
  </si>
  <si>
    <t>L000010943</t>
  </si>
  <si>
    <t>L000010944</t>
  </si>
  <si>
    <t>L000010945</t>
  </si>
  <si>
    <t>L000010946</t>
  </si>
  <si>
    <t>L000010950</t>
  </si>
  <si>
    <t>L000010951</t>
  </si>
  <si>
    <t>L000010952</t>
  </si>
  <si>
    <t>L000010953</t>
  </si>
  <si>
    <t>L000010954</t>
  </si>
  <si>
    <t>L000010955</t>
  </si>
  <si>
    <t>L000010959</t>
  </si>
  <si>
    <t>L000010960</t>
  </si>
  <si>
    <t>L000010961</t>
  </si>
  <si>
    <t>L000010962</t>
  </si>
  <si>
    <t>L000010963</t>
  </si>
  <si>
    <t>L000010964</t>
  </si>
  <si>
    <t>L000010965</t>
  </si>
  <si>
    <t>L000010966</t>
  </si>
  <si>
    <t>L000010967</t>
  </si>
  <si>
    <t>L000010968</t>
  </si>
  <si>
    <t>L000010969</t>
  </si>
  <si>
    <t>L000010971</t>
  </si>
  <si>
    <t>L000010972</t>
  </si>
  <si>
    <t>L000010973</t>
  </si>
  <si>
    <t>L000010974</t>
  </si>
  <si>
    <t>L000010977</t>
  </si>
  <si>
    <t>L000010979</t>
  </si>
  <si>
    <t>L000010980</t>
  </si>
  <si>
    <t>L000010981</t>
  </si>
  <si>
    <t>L000010982</t>
  </si>
  <si>
    <t>L000010983</t>
  </si>
  <si>
    <t>L000010984</t>
  </si>
  <si>
    <t>L000010985</t>
  </si>
  <si>
    <t>L000010987</t>
  </si>
  <si>
    <t>L000010989</t>
  </si>
  <si>
    <t>L000010991</t>
  </si>
  <si>
    <t>L000010992</t>
  </si>
  <si>
    <t>L000010993</t>
  </si>
  <si>
    <t>L000010994</t>
  </si>
  <si>
    <t>L000010995</t>
  </si>
  <si>
    <t>L000010996</t>
  </si>
  <si>
    <t>L000010997</t>
  </si>
  <si>
    <t>L000010998</t>
  </si>
  <si>
    <t>L000010999</t>
  </si>
  <si>
    <t>L000011000</t>
  </si>
  <si>
    <t>L000011001</t>
  </si>
  <si>
    <t>L000011003</t>
  </si>
  <si>
    <t>L000011006</t>
  </si>
  <si>
    <t>L000011008</t>
  </si>
  <si>
    <t>L000011009</t>
  </si>
  <si>
    <t>L000011010</t>
  </si>
  <si>
    <t>L000011014</t>
  </si>
  <si>
    <t>L000011015</t>
  </si>
  <si>
    <t>L000011017</t>
  </si>
  <si>
    <t>L000011018</t>
  </si>
  <si>
    <t>L000011019</t>
  </si>
  <si>
    <t>L000011020</t>
  </si>
  <si>
    <t>L000011038</t>
  </si>
  <si>
    <t>L000011039</t>
  </si>
  <si>
    <t>L000011041</t>
  </si>
  <si>
    <t>L000011042</t>
  </si>
  <si>
    <t>L000011043</t>
  </si>
  <si>
    <t>L000011049</t>
  </si>
  <si>
    <t>L000011050</t>
  </si>
  <si>
    <t>L000011051</t>
  </si>
  <si>
    <t>L000011052</t>
  </si>
  <si>
    <t>L000011053</t>
  </si>
  <si>
    <t>L000011054</t>
  </si>
  <si>
    <t>L000011055</t>
  </si>
  <si>
    <t>L000011056</t>
  </si>
  <si>
    <t>L000011057</t>
  </si>
  <si>
    <t>L000011058</t>
  </si>
  <si>
    <t>L000011059</t>
  </si>
  <si>
    <t>L000011060</t>
  </si>
  <si>
    <t>L000011061</t>
  </si>
  <si>
    <t>L000011062</t>
  </si>
  <si>
    <t>L000011063</t>
  </si>
  <si>
    <t>L000011145</t>
  </si>
  <si>
    <t>L000011158</t>
  </si>
  <si>
    <t>L000011302</t>
  </si>
  <si>
    <t>L000011317</t>
  </si>
  <si>
    <t>L000011319</t>
  </si>
  <si>
    <t>L000011327</t>
  </si>
  <si>
    <t>L000011347</t>
  </si>
  <si>
    <t>L000011783</t>
  </si>
  <si>
    <t>L000011815</t>
  </si>
  <si>
    <t>L000011827</t>
  </si>
  <si>
    <t>L000011968</t>
  </si>
  <si>
    <t>L000011970</t>
  </si>
  <si>
    <t>L000012002</t>
  </si>
  <si>
    <t>L000012064</t>
  </si>
  <si>
    <t>L000012197</t>
  </si>
  <si>
    <t>L000012200</t>
  </si>
  <si>
    <t>L000012209</t>
  </si>
  <si>
    <t>L000012225</t>
  </si>
  <si>
    <t>L000012278</t>
  </si>
  <si>
    <t>L000012386</t>
  </si>
  <si>
    <t>L000012426</t>
  </si>
  <si>
    <t>L000012485</t>
  </si>
  <si>
    <t>L000012513</t>
  </si>
  <si>
    <t>L000012711</t>
  </si>
  <si>
    <t>L000012855</t>
  </si>
  <si>
    <t>L000012902</t>
  </si>
  <si>
    <t>L000012954</t>
  </si>
  <si>
    <t>L000012983</t>
  </si>
  <si>
    <t>L000013003</t>
  </si>
  <si>
    <t>L000013077</t>
  </si>
  <si>
    <t>L000013082</t>
  </si>
  <si>
    <t>L000013121</t>
  </si>
  <si>
    <t>L000013127</t>
  </si>
  <si>
    <t>L000013175</t>
  </si>
  <si>
    <t>L000013188</t>
  </si>
  <si>
    <t>L000013202</t>
  </si>
  <si>
    <t>L000013349</t>
  </si>
  <si>
    <t>L000013377</t>
  </si>
  <si>
    <t>L000013389</t>
  </si>
  <si>
    <t>L000013393</t>
  </si>
  <si>
    <t>L000013434</t>
  </si>
  <si>
    <t>L000013439</t>
  </si>
  <si>
    <t>L000013456</t>
  </si>
  <si>
    <t>O000000007</t>
  </si>
  <si>
    <t>P000000022</t>
  </si>
  <si>
    <t>P000000061</t>
  </si>
  <si>
    <t>P000000533</t>
  </si>
  <si>
    <t>P000000543</t>
  </si>
  <si>
    <t>P000000547</t>
  </si>
  <si>
    <t>P000000554</t>
  </si>
  <si>
    <t>P000000616</t>
  </si>
  <si>
    <t>P000000618</t>
  </si>
  <si>
    <t>P000000620</t>
  </si>
  <si>
    <t>P000000622</t>
  </si>
  <si>
    <t>P000000624</t>
  </si>
  <si>
    <t>P000000626</t>
  </si>
  <si>
    <t>P000000631</t>
  </si>
  <si>
    <t>P000000652</t>
  </si>
  <si>
    <t>P000000660</t>
  </si>
  <si>
    <t>P000000964</t>
  </si>
  <si>
    <t>P000001011</t>
  </si>
  <si>
    <t>P000001020</t>
  </si>
  <si>
    <t>PL_B2_GB03</t>
  </si>
  <si>
    <t>RDC0000091</t>
  </si>
  <si>
    <t>RDC0000112</t>
  </si>
  <si>
    <t>RDC0000613</t>
  </si>
  <si>
    <t>G000000042</t>
  </si>
  <si>
    <t>G000000060</t>
  </si>
  <si>
    <t>G000000165</t>
  </si>
  <si>
    <t>G000000347</t>
  </si>
  <si>
    <t>G000000350</t>
  </si>
  <si>
    <t>G000000355</t>
  </si>
  <si>
    <t>G000000542</t>
  </si>
  <si>
    <t>G000000548</t>
  </si>
  <si>
    <t>G000000552</t>
  </si>
  <si>
    <t>G000000560</t>
  </si>
  <si>
    <t>G000000564</t>
  </si>
  <si>
    <t>G000000574</t>
  </si>
  <si>
    <t>G000000576</t>
  </si>
  <si>
    <t>G000000578</t>
  </si>
  <si>
    <t>G000000580</t>
  </si>
  <si>
    <t>G000000584</t>
  </si>
  <si>
    <t>G000000586</t>
  </si>
  <si>
    <t>G000000588</t>
  </si>
  <si>
    <t>G000000590</t>
  </si>
  <si>
    <t>G000000592</t>
  </si>
  <si>
    <t>G000000594</t>
  </si>
  <si>
    <t>G000000596</t>
  </si>
  <si>
    <t>G000000598</t>
  </si>
  <si>
    <t>G000000600</t>
  </si>
  <si>
    <t>G000000602</t>
  </si>
  <si>
    <t>G000000604</t>
  </si>
  <si>
    <t>G000000606</t>
  </si>
  <si>
    <t>G000000616</t>
  </si>
  <si>
    <t>G000000620</t>
  </si>
  <si>
    <t>G000000622</t>
  </si>
  <si>
    <t>G000000679</t>
  </si>
  <si>
    <t>G000000806</t>
  </si>
  <si>
    <t>G000000809</t>
  </si>
  <si>
    <t>G000000811</t>
  </si>
  <si>
    <t>G000000814</t>
  </si>
  <si>
    <t>G000000816</t>
  </si>
  <si>
    <t>G000000819</t>
  </si>
  <si>
    <t>G000000824</t>
  </si>
  <si>
    <t>G000000826</t>
  </si>
  <si>
    <t>G000000864</t>
  </si>
  <si>
    <t>G000000878</t>
  </si>
  <si>
    <t>G000000879</t>
  </si>
  <si>
    <t>G000000943</t>
  </si>
  <si>
    <t>G000000991</t>
  </si>
  <si>
    <t>G000000996</t>
  </si>
  <si>
    <t>G000001081</t>
  </si>
  <si>
    <t>H000000356</t>
  </si>
  <si>
    <t>H000000374</t>
  </si>
  <si>
    <t>H000000389</t>
  </si>
  <si>
    <t>H000000418</t>
  </si>
  <si>
    <t>H000000424</t>
  </si>
  <si>
    <t>H000000431</t>
  </si>
  <si>
    <t>H000000433</t>
  </si>
  <si>
    <t>H000000437</t>
  </si>
  <si>
    <t>H000000456</t>
  </si>
  <si>
    <t>H000000636</t>
  </si>
  <si>
    <t>H000000637</t>
  </si>
  <si>
    <t>H000000700</t>
  </si>
  <si>
    <t>H000000704</t>
  </si>
  <si>
    <t>H000000755</t>
  </si>
  <si>
    <t>H000000836</t>
  </si>
  <si>
    <t>H000000879</t>
  </si>
  <si>
    <t>H000000892</t>
  </si>
  <si>
    <t>H000000934</t>
  </si>
  <si>
    <t>H000000935</t>
  </si>
  <si>
    <t>H000000979</t>
  </si>
  <si>
    <t>H000000997</t>
  </si>
  <si>
    <t>H000001000</t>
  </si>
  <si>
    <t>H000001018</t>
  </si>
  <si>
    <t>H000001109</t>
  </si>
  <si>
    <t>H000001118</t>
  </si>
  <si>
    <t>H000001127</t>
  </si>
  <si>
    <t>H000001128</t>
  </si>
  <si>
    <t>H000001133</t>
  </si>
  <si>
    <t>H000001140</t>
  </si>
  <si>
    <t>H000001150</t>
  </si>
  <si>
    <t>H000001153</t>
  </si>
  <si>
    <t>H000001162</t>
  </si>
  <si>
    <t>H000001179</t>
  </si>
  <si>
    <t>H000001188</t>
  </si>
  <si>
    <t>H000001217</t>
  </si>
  <si>
    <t>H000001231</t>
  </si>
  <si>
    <t>H000001240</t>
  </si>
  <si>
    <t>H000001244</t>
  </si>
  <si>
    <t>H000001258</t>
  </si>
  <si>
    <t>H000001261</t>
  </si>
  <si>
    <t>H000001269</t>
  </si>
  <si>
    <t>H000001278</t>
  </si>
  <si>
    <t>H000001280</t>
  </si>
  <si>
    <t>H000001295</t>
  </si>
  <si>
    <t>H000001306</t>
  </si>
  <si>
    <t>H000001317</t>
  </si>
  <si>
    <t>H000001318</t>
  </si>
  <si>
    <t>H000001336</t>
  </si>
  <si>
    <t>H000001337</t>
  </si>
  <si>
    <t>H000001339</t>
  </si>
  <si>
    <t>H000001343</t>
  </si>
  <si>
    <t>H000001344</t>
  </si>
  <si>
    <t>H000001440</t>
  </si>
  <si>
    <t>H000001447</t>
  </si>
  <si>
    <t>H000001450</t>
  </si>
  <si>
    <t>H000001454</t>
  </si>
  <si>
    <t>H000001475</t>
  </si>
  <si>
    <t>H000001479</t>
  </si>
  <si>
    <t>H000001481</t>
  </si>
  <si>
    <t>H000001493</t>
  </si>
  <si>
    <t>H000001562</t>
  </si>
  <si>
    <t>H000001572</t>
  </si>
  <si>
    <t>H000001607</t>
  </si>
  <si>
    <t>H000001695</t>
  </si>
  <si>
    <t>H000001740</t>
  </si>
  <si>
    <t>H000001745</t>
  </si>
  <si>
    <t>H000001755</t>
  </si>
  <si>
    <t>H000001781</t>
  </si>
  <si>
    <t>H000001794</t>
  </si>
  <si>
    <t>H000001810</t>
  </si>
  <si>
    <t>H000001817</t>
  </si>
  <si>
    <t>H000001827</t>
  </si>
  <si>
    <t>H000001828</t>
  </si>
  <si>
    <t>H000001830</t>
  </si>
  <si>
    <t>H000001844</t>
  </si>
  <si>
    <t>H000001866</t>
  </si>
  <si>
    <t>H000001950</t>
  </si>
  <si>
    <t>H000001975</t>
  </si>
  <si>
    <t>H000002023</t>
  </si>
  <si>
    <t>H000002026</t>
  </si>
  <si>
    <t>H000002043</t>
  </si>
  <si>
    <t>H000002074</t>
  </si>
  <si>
    <t>H000002079</t>
  </si>
  <si>
    <t>H000002095</t>
  </si>
  <si>
    <t>H000002102</t>
  </si>
  <si>
    <t>H000002112</t>
  </si>
  <si>
    <t>H000002113</t>
  </si>
  <si>
    <t>H000002115</t>
  </si>
  <si>
    <t>H000002135</t>
  </si>
  <si>
    <t>H000002138</t>
  </si>
  <si>
    <t>H000002141</t>
  </si>
  <si>
    <t>H000002144</t>
  </si>
  <si>
    <t>H000002147</t>
  </si>
  <si>
    <t>H000002150</t>
  </si>
  <si>
    <t>H000002153</t>
  </si>
  <si>
    <t>H000002158</t>
  </si>
  <si>
    <t>H000002165</t>
  </si>
  <si>
    <t>H000002188</t>
  </si>
  <si>
    <t>H000002193</t>
  </si>
  <si>
    <t>H000002200</t>
  </si>
  <si>
    <t>H000002223</t>
  </si>
  <si>
    <t>H000002228</t>
  </si>
  <si>
    <t>H000002235</t>
  </si>
  <si>
    <t>H000002258</t>
  </si>
  <si>
    <t>H000002269</t>
  </si>
  <si>
    <t>H000002276</t>
  </si>
  <si>
    <t>H000002297</t>
  </si>
  <si>
    <t>H000002302</t>
  </si>
  <si>
    <t>H000002309</t>
  </si>
  <si>
    <t>H000002332</t>
  </si>
  <si>
    <t>H000002337</t>
  </si>
  <si>
    <t>H000002344</t>
  </si>
  <si>
    <t>H000002367</t>
  </si>
  <si>
    <t>H000002372</t>
  </si>
  <si>
    <t>H000002379</t>
  </si>
  <si>
    <t>H000002402</t>
  </si>
  <si>
    <t>H000002407</t>
  </si>
  <si>
    <t>H000002414</t>
  </si>
  <si>
    <t>H000002437</t>
  </si>
  <si>
    <t>H000002442</t>
  </si>
  <si>
    <t>H000002445</t>
  </si>
  <si>
    <t>H000002464</t>
  </si>
  <si>
    <t>H000002480</t>
  </si>
  <si>
    <t>H000002487</t>
  </si>
  <si>
    <t>H000002539</t>
  </si>
  <si>
    <t>H000002545</t>
  </si>
  <si>
    <t>H000002557</t>
  </si>
  <si>
    <t>H000002558</t>
  </si>
  <si>
    <t>H000002583</t>
  </si>
  <si>
    <t>H000002626</t>
  </si>
  <si>
    <t>H000002667</t>
  </si>
  <si>
    <t>H000002673</t>
  </si>
  <si>
    <t>H000002707</t>
  </si>
  <si>
    <t>H000002717</t>
  </si>
  <si>
    <t>H000002724</t>
  </si>
  <si>
    <t>H000002737</t>
  </si>
  <si>
    <t>H000002757</t>
  </si>
  <si>
    <t>H000002804</t>
  </si>
  <si>
    <t>H000002811</t>
  </si>
  <si>
    <t>H000002822</t>
  </si>
  <si>
    <t>H000002827</t>
  </si>
  <si>
    <t>H000002850</t>
  </si>
  <si>
    <t>H000002882</t>
  </si>
  <si>
    <t>H000002887</t>
  </si>
  <si>
    <t>H000002901</t>
  </si>
  <si>
    <t>H000002911</t>
  </si>
  <si>
    <t>H000002914</t>
  </si>
  <si>
    <t>H000002921</t>
  </si>
  <si>
    <t>H000002933</t>
  </si>
  <si>
    <t>H000002939</t>
  </si>
  <si>
    <t>H000002953</t>
  </si>
  <si>
    <t>H000002975</t>
  </si>
  <si>
    <t>H000002979</t>
  </si>
  <si>
    <t>H000002982</t>
  </si>
  <si>
    <t>H000003004</t>
  </si>
  <si>
    <t>H000003008</t>
  </si>
  <si>
    <t>H000003012</t>
  </si>
  <si>
    <t>H000003016</t>
  </si>
  <si>
    <t>H000003021</t>
  </si>
  <si>
    <t>H000003041</t>
  </si>
  <si>
    <t>H000003045</t>
  </si>
  <si>
    <t>H000003049</t>
  </si>
  <si>
    <t>H000003053</t>
  </si>
  <si>
    <t>H000003058</t>
  </si>
  <si>
    <t>H000003076</t>
  </si>
  <si>
    <t>H000003095</t>
  </si>
  <si>
    <t>H000003099</t>
  </si>
  <si>
    <t>H000003103</t>
  </si>
  <si>
    <t>H000003107</t>
  </si>
  <si>
    <t>H000003112</t>
  </si>
  <si>
    <t>H000003115</t>
  </si>
  <si>
    <t>H000003122</t>
  </si>
  <si>
    <t>H000003134</t>
  </si>
  <si>
    <t>H000003152</t>
  </si>
  <si>
    <t>H000003156</t>
  </si>
  <si>
    <t>H000003160</t>
  </si>
  <si>
    <t>H000003164</t>
  </si>
  <si>
    <t>H000003169</t>
  </si>
  <si>
    <t>H000003183</t>
  </si>
  <si>
    <t>H000003184</t>
  </si>
  <si>
    <t>H000003209</t>
  </si>
  <si>
    <t>H000003210</t>
  </si>
  <si>
    <t>H000003215</t>
  </si>
  <si>
    <t>H000003225</t>
  </si>
  <si>
    <t>H000003228</t>
  </si>
  <si>
    <t>H000003242</t>
  </si>
  <si>
    <t>H000003254</t>
  </si>
  <si>
    <t>H000003272</t>
  </si>
  <si>
    <t>H000003276</t>
  </si>
  <si>
    <t>H000003280</t>
  </si>
  <si>
    <t>H000003284</t>
  </si>
  <si>
    <t>H000003289</t>
  </si>
  <si>
    <t>H000003301</t>
  </si>
  <si>
    <t>H000003325</t>
  </si>
  <si>
    <t>H000003328</t>
  </si>
  <si>
    <t>H000003331</t>
  </si>
  <si>
    <t>H000003334</t>
  </si>
  <si>
    <t>H000003339</t>
  </si>
  <si>
    <t>H000003342</t>
  </si>
  <si>
    <t>H000003367</t>
  </si>
  <si>
    <t>H000003370</t>
  </si>
  <si>
    <t>H000003373</t>
  </si>
  <si>
    <t>H000003376</t>
  </si>
  <si>
    <t>H000003380</t>
  </si>
  <si>
    <t>H000003383</t>
  </si>
  <si>
    <t>H000003386</t>
  </si>
  <si>
    <t>H000003404</t>
  </si>
  <si>
    <t>H000003424</t>
  </si>
  <si>
    <t>H000003428</t>
  </si>
  <si>
    <t>H000003432</t>
  </si>
  <si>
    <t>H000003436</t>
  </si>
  <si>
    <t>H000003441</t>
  </si>
  <si>
    <t>H000003462</t>
  </si>
  <si>
    <t>H000003513</t>
  </si>
  <si>
    <t>H000003525</t>
  </si>
  <si>
    <t>H000003554</t>
  </si>
  <si>
    <t>H000003566</t>
  </si>
  <si>
    <t>H000003569</t>
  </si>
  <si>
    <t>H000003572</t>
  </si>
  <si>
    <t>H000003606</t>
  </si>
  <si>
    <t>H000003613</t>
  </si>
  <si>
    <t>H000003616</t>
  </si>
  <si>
    <t>H000003619</t>
  </si>
  <si>
    <t>H000003637</t>
  </si>
  <si>
    <t>H000003640</t>
  </si>
  <si>
    <t>H000003643</t>
  </si>
  <si>
    <t>H000003647</t>
  </si>
  <si>
    <t>H000003653</t>
  </si>
  <si>
    <t>H000003671</t>
  </si>
  <si>
    <t>H000003673</t>
  </si>
  <si>
    <t>H000003693</t>
  </si>
  <si>
    <t>H000003695</t>
  </si>
  <si>
    <t>H000003711</t>
  </si>
  <si>
    <t>H000003714</t>
  </si>
  <si>
    <t>H000003716</t>
  </si>
  <si>
    <t>H000003749</t>
  </si>
  <si>
    <t>H000003755</t>
  </si>
  <si>
    <t>H000003769</t>
  </si>
  <si>
    <t>H000003790</t>
  </si>
  <si>
    <t>H000003794</t>
  </si>
  <si>
    <t>H000003810</t>
  </si>
  <si>
    <t>H000003830</t>
  </si>
  <si>
    <t>H000003901</t>
  </si>
  <si>
    <t>H000003905</t>
  </si>
  <si>
    <t>H000003911</t>
  </si>
  <si>
    <t>H000003918</t>
  </si>
  <si>
    <t>H000003945</t>
  </si>
  <si>
    <t>H000003975</t>
  </si>
  <si>
    <t>H000004008</t>
  </si>
  <si>
    <t>H000004022</t>
  </si>
  <si>
    <t>H000004035</t>
  </si>
  <si>
    <t>H000004036</t>
  </si>
  <si>
    <t>H000004054</t>
  </si>
  <si>
    <t>H000004062</t>
  </si>
  <si>
    <t>H000004065</t>
  </si>
  <si>
    <t>H000004082</t>
  </si>
  <si>
    <t>H000004097</t>
  </si>
  <si>
    <t>H000004166</t>
  </si>
  <si>
    <t>H000004241</t>
  </si>
  <si>
    <t>IT06900100</t>
  </si>
  <si>
    <t>L000005059</t>
  </si>
  <si>
    <t>L000005249</t>
  </si>
  <si>
    <t>L000005286</t>
  </si>
  <si>
    <t>L000005323</t>
  </si>
  <si>
    <t>L000005324</t>
  </si>
  <si>
    <t>L000005325</t>
  </si>
  <si>
    <t>L000005336</t>
  </si>
  <si>
    <t>L000005362</t>
  </si>
  <si>
    <t>L000005382</t>
  </si>
  <si>
    <t>L000005495</t>
  </si>
  <si>
    <t>L000005688</t>
  </si>
  <si>
    <t>L000005699</t>
  </si>
  <si>
    <t>L000005816</t>
  </si>
  <si>
    <t>L000005852</t>
  </si>
  <si>
    <t>L000005912</t>
  </si>
  <si>
    <t>L000005913</t>
  </si>
  <si>
    <t>L000005914</t>
  </si>
  <si>
    <t>L000005918</t>
  </si>
  <si>
    <t>L000005919</t>
  </si>
  <si>
    <t>L000005945</t>
  </si>
  <si>
    <t>L000006076</t>
  </si>
  <si>
    <t>L000006124</t>
  </si>
  <si>
    <t>L000006128</t>
  </si>
  <si>
    <t>L000006130</t>
  </si>
  <si>
    <t>L000006172</t>
  </si>
  <si>
    <t>L000007449</t>
  </si>
  <si>
    <t>L000007971</t>
  </si>
  <si>
    <t>L000007973</t>
  </si>
  <si>
    <t>L000008052</t>
  </si>
  <si>
    <t>L000008053</t>
  </si>
  <si>
    <t>L000008331</t>
  </si>
  <si>
    <t>L000008410</t>
  </si>
  <si>
    <t>L000008569</t>
  </si>
  <si>
    <t>L000008779</t>
  </si>
  <si>
    <t>L000008813</t>
  </si>
  <si>
    <t>L000008830</t>
  </si>
  <si>
    <t>L000008899</t>
  </si>
  <si>
    <t>L000008902</t>
  </si>
  <si>
    <t>L000008910</t>
  </si>
  <si>
    <t>L000008987</t>
  </si>
  <si>
    <t>L000009094</t>
  </si>
  <si>
    <t>L000009142</t>
  </si>
  <si>
    <t>L000009219</t>
  </si>
  <si>
    <t>L000009270</t>
  </si>
  <si>
    <t>L000009278</t>
  </si>
  <si>
    <t>L000009286</t>
  </si>
  <si>
    <t>L000009292</t>
  </si>
  <si>
    <t>L000009321</t>
  </si>
  <si>
    <t>L000009356</t>
  </si>
  <si>
    <t>L000009369</t>
  </si>
  <si>
    <t>L000009426</t>
  </si>
  <si>
    <t>L000009538</t>
  </si>
  <si>
    <t>L000009547</t>
  </si>
  <si>
    <t>L000009642</t>
  </si>
  <si>
    <t>L000009790</t>
  </si>
  <si>
    <t>L000009795</t>
  </si>
  <si>
    <t>L000009927</t>
  </si>
  <si>
    <t>L000009992</t>
  </si>
  <si>
    <t>L000009994</t>
  </si>
  <si>
    <t>L000010005</t>
  </si>
  <si>
    <t>L000010047</t>
  </si>
  <si>
    <t>L000010125</t>
  </si>
  <si>
    <t>L000010287</t>
  </si>
  <si>
    <t>L000010586</t>
  </si>
  <si>
    <t>L000010588</t>
  </si>
  <si>
    <t>L000010597</t>
  </si>
  <si>
    <t>L000010787</t>
  </si>
  <si>
    <t>L000010791</t>
  </si>
  <si>
    <t>L000010793</t>
  </si>
  <si>
    <t>L000010836</t>
  </si>
  <si>
    <t>L000010845</t>
  </si>
  <si>
    <t>L000010864</t>
  </si>
  <si>
    <t>L000010866</t>
  </si>
  <si>
    <t>L000010874</t>
  </si>
  <si>
    <t>L000010877</t>
  </si>
  <si>
    <t>L000010878</t>
  </si>
  <si>
    <t>L000010892</t>
  </si>
  <si>
    <t>L000010897</t>
  </si>
  <si>
    <t>L000010899</t>
  </si>
  <si>
    <t>L000010920</t>
  </si>
  <si>
    <t>L000010927</t>
  </si>
  <si>
    <t>L000010938</t>
  </si>
  <si>
    <t>L000010939</t>
  </si>
  <si>
    <t>L000010940</t>
  </si>
  <si>
    <t>L000010941</t>
  </si>
  <si>
    <t>L000010947</t>
  </si>
  <si>
    <t>L000010948</t>
  </si>
  <si>
    <t>L000010949</t>
  </si>
  <si>
    <t>L000010957</t>
  </si>
  <si>
    <t>L000010958</t>
  </si>
  <si>
    <t>L000010975</t>
  </si>
  <si>
    <t>L000010990</t>
  </si>
  <si>
    <t>L000011004</t>
  </si>
  <si>
    <t>L000011005</t>
  </si>
  <si>
    <t>L000011011</t>
  </si>
  <si>
    <t>L000011012</t>
  </si>
  <si>
    <t>L000011013</t>
  </si>
  <si>
    <t>L000011112</t>
  </si>
  <si>
    <t>L000011151</t>
  </si>
  <si>
    <t>L000011152</t>
  </si>
  <si>
    <t>L000011191</t>
  </si>
  <si>
    <t>L000011298</t>
  </si>
  <si>
    <t>L000011316</t>
  </si>
  <si>
    <t>L000011318</t>
  </si>
  <si>
    <t>L000011332</t>
  </si>
  <si>
    <t>L000011372</t>
  </si>
  <si>
    <t>L000011524</t>
  </si>
  <si>
    <t>L000011571</t>
  </si>
  <si>
    <t>L000011594</t>
  </si>
  <si>
    <t>L000011664</t>
  </si>
  <si>
    <t>L000011778</t>
  </si>
  <si>
    <t>L000011785</t>
  </si>
  <si>
    <t>L000011794</t>
  </si>
  <si>
    <t>L000011804</t>
  </si>
  <si>
    <t>L000011838</t>
  </si>
  <si>
    <t>L000011843</t>
  </si>
  <si>
    <t>L000011910</t>
  </si>
  <si>
    <t>L000011917</t>
  </si>
  <si>
    <t>L000011971</t>
  </si>
  <si>
    <t>L000012091</t>
  </si>
  <si>
    <t>L000012155</t>
  </si>
  <si>
    <t>L000012184</t>
  </si>
  <si>
    <t>L000012201</t>
  </si>
  <si>
    <t>L000012202</t>
  </si>
  <si>
    <t>L000012203</t>
  </si>
  <si>
    <t>L000012204</t>
  </si>
  <si>
    <t>L000012205</t>
  </si>
  <si>
    <t>L000012206</t>
  </si>
  <si>
    <t>L000012259</t>
  </si>
  <si>
    <t>L000012293</t>
  </si>
  <si>
    <t>L000012295</t>
  </si>
  <si>
    <t>L000012296</t>
  </si>
  <si>
    <t>L000012298</t>
  </si>
  <si>
    <t>L000012302</t>
  </si>
  <si>
    <t>L000012339</t>
  </si>
  <si>
    <t>L000012371</t>
  </si>
  <si>
    <t>L000012390</t>
  </si>
  <si>
    <t>L000012391</t>
  </si>
  <si>
    <t>L000012398</t>
  </si>
  <si>
    <t>L000012443</t>
  </si>
  <si>
    <t>L000012461</t>
  </si>
  <si>
    <t>L000012472</t>
  </si>
  <si>
    <t>L000012473</t>
  </si>
  <si>
    <t>L000012722</t>
  </si>
  <si>
    <t>L000012802</t>
  </si>
  <si>
    <t>L000012824</t>
  </si>
  <si>
    <t>L000012826</t>
  </si>
  <si>
    <t>L000012900</t>
  </si>
  <si>
    <t>L000012917</t>
  </si>
  <si>
    <t>L000012938</t>
  </si>
  <si>
    <t>L000012971</t>
  </si>
  <si>
    <t>L000012973</t>
  </si>
  <si>
    <t>L000012974</t>
  </si>
  <si>
    <t>L000012986</t>
  </si>
  <si>
    <t>L000012987</t>
  </si>
  <si>
    <t>L000012988</t>
  </si>
  <si>
    <t>L000012991</t>
  </si>
  <si>
    <t>L000012992</t>
  </si>
  <si>
    <t>L000013044</t>
  </si>
  <si>
    <t>L000013080</t>
  </si>
  <si>
    <t>L000013084</t>
  </si>
  <si>
    <t>L000013118</t>
  </si>
  <si>
    <t>L000013139</t>
  </si>
  <si>
    <t>L000013155</t>
  </si>
  <si>
    <t>L000013156</t>
  </si>
  <si>
    <t>L000013158</t>
  </si>
  <si>
    <t>L000013167</t>
  </si>
  <si>
    <t>L000013171</t>
  </si>
  <si>
    <t>L000013174</t>
  </si>
  <si>
    <t>L000013222</t>
  </si>
  <si>
    <t>L000013234</t>
  </si>
  <si>
    <t>L000013239</t>
  </si>
  <si>
    <t>L000013252</t>
  </si>
  <si>
    <t>L000013255</t>
  </si>
  <si>
    <t>L000013345</t>
  </si>
  <si>
    <t>L000013367</t>
  </si>
  <si>
    <t>L000013376</t>
  </si>
  <si>
    <t>L000013466</t>
  </si>
  <si>
    <t>L000013490</t>
  </si>
  <si>
    <t>O000000003</t>
  </si>
  <si>
    <t>O000000009</t>
  </si>
  <si>
    <t>P000000085</t>
  </si>
  <si>
    <t>P000000414</t>
  </si>
  <si>
    <t>P000000417</t>
  </si>
  <si>
    <t>P000000614</t>
  </si>
  <si>
    <t>P000000651</t>
  </si>
  <si>
    <t>P000000653</t>
  </si>
  <si>
    <t>P000000654</t>
  </si>
  <si>
    <t>P000000658</t>
  </si>
  <si>
    <t>P000000750</t>
  </si>
  <si>
    <t>P000000759</t>
  </si>
  <si>
    <t>P000000769</t>
  </si>
  <si>
    <t>P000000817</t>
  </si>
  <si>
    <t>P000000827</t>
  </si>
  <si>
    <t>P000000915</t>
  </si>
  <si>
    <t>P000000924</t>
  </si>
  <si>
    <t>P000000935</t>
  </si>
  <si>
    <t>P000000944</t>
  </si>
  <si>
    <t>P000000952</t>
  </si>
  <si>
    <t>PL_B2_CH02</t>
  </si>
  <si>
    <t>RDC0000086</t>
  </si>
  <si>
    <t>RDC0000991</t>
  </si>
  <si>
    <t>G000000152</t>
  </si>
  <si>
    <t>G000000338</t>
  </si>
  <si>
    <t>G000000346</t>
  </si>
  <si>
    <t>G000000402</t>
  </si>
  <si>
    <t>G000000452</t>
  </si>
  <si>
    <t>G000000453</t>
  </si>
  <si>
    <t>G000000455</t>
  </si>
  <si>
    <t>G000000456</t>
  </si>
  <si>
    <t>G000000457</t>
  </si>
  <si>
    <t>G000000459</t>
  </si>
  <si>
    <t>G000000460</t>
  </si>
  <si>
    <t>G000000630</t>
  </si>
  <si>
    <t>G000000637</t>
  </si>
  <si>
    <t>G000000678</t>
  </si>
  <si>
    <t>G000000754</t>
  </si>
  <si>
    <t>G000000821</t>
  </si>
  <si>
    <t>G000000865</t>
  </si>
  <si>
    <t>G000000935</t>
  </si>
  <si>
    <t>G000000955</t>
  </si>
  <si>
    <t>G000000979</t>
  </si>
  <si>
    <t>G000000983</t>
  </si>
  <si>
    <t>G000000986</t>
  </si>
  <si>
    <t>G000001010</t>
  </si>
  <si>
    <t>G000001033</t>
  </si>
  <si>
    <t>G000001057</t>
  </si>
  <si>
    <t>G000001061</t>
  </si>
  <si>
    <t>G000001064</t>
  </si>
  <si>
    <t>G000001086</t>
  </si>
  <si>
    <t>H000000003</t>
  </si>
  <si>
    <t>H000000203</t>
  </si>
  <si>
    <t>H000000217</t>
  </si>
  <si>
    <t>H000000264</t>
  </si>
  <si>
    <t>H000000355</t>
  </si>
  <si>
    <t>H000000365</t>
  </si>
  <si>
    <t>H000000400</t>
  </si>
  <si>
    <t>H000000447</t>
  </si>
  <si>
    <t>H000000463</t>
  </si>
  <si>
    <t>H000000472</t>
  </si>
  <si>
    <t>H000000481</t>
  </si>
  <si>
    <t>H000000490</t>
  </si>
  <si>
    <t>H000000499</t>
  </si>
  <si>
    <t>H000000509</t>
  </si>
  <si>
    <t>H000000518</t>
  </si>
  <si>
    <t>H000000527</t>
  </si>
  <si>
    <t>H000000536</t>
  </si>
  <si>
    <t>H000000545</t>
  </si>
  <si>
    <t>H000000554</t>
  </si>
  <si>
    <t>H000000563</t>
  </si>
  <si>
    <t>H000000572</t>
  </si>
  <si>
    <t>H000000581</t>
  </si>
  <si>
    <t>H000000590</t>
  </si>
  <si>
    <t>H000000599</t>
  </si>
  <si>
    <t>H000000608</t>
  </si>
  <si>
    <t>H000000618</t>
  </si>
  <si>
    <t>H000000627</t>
  </si>
  <si>
    <t>H000000679</t>
  </si>
  <si>
    <t>H000000709</t>
  </si>
  <si>
    <t>H000000743</t>
  </si>
  <si>
    <t>H000000767</t>
  </si>
  <si>
    <t>H000000773</t>
  </si>
  <si>
    <t>H000000784</t>
  </si>
  <si>
    <t>H000000807</t>
  </si>
  <si>
    <t>H000000813</t>
  </si>
  <si>
    <t>H000000819</t>
  </si>
  <si>
    <t>H000000876</t>
  </si>
  <si>
    <t>H000000899</t>
  </si>
  <si>
    <t>H000000918</t>
  </si>
  <si>
    <t>H000001001</t>
  </si>
  <si>
    <t>H000001010</t>
  </si>
  <si>
    <t>H000001019</t>
  </si>
  <si>
    <t>H000001028</t>
  </si>
  <si>
    <t>H000001037</t>
  </si>
  <si>
    <t>H000001054</t>
  </si>
  <si>
    <t>H000001098</t>
  </si>
  <si>
    <t>H000001108</t>
  </si>
  <si>
    <t>H000001123</t>
  </si>
  <si>
    <t>H000001164</t>
  </si>
  <si>
    <t>H000001170</t>
  </si>
  <si>
    <t>H000001268</t>
  </si>
  <si>
    <t>H000001300</t>
  </si>
  <si>
    <t>H000001304</t>
  </si>
  <si>
    <t>H000001321</t>
  </si>
  <si>
    <t>H000001327</t>
  </si>
  <si>
    <t>H000001355</t>
  </si>
  <si>
    <t>H000001356</t>
  </si>
  <si>
    <t>H000001358</t>
  </si>
  <si>
    <t>H000001359</t>
  </si>
  <si>
    <t>H000001360</t>
  </si>
  <si>
    <t>H000001365</t>
  </si>
  <si>
    <t>H000001379</t>
  </si>
  <si>
    <t>H000001430</t>
  </si>
  <si>
    <t>H000001482</t>
  </si>
  <si>
    <t>H000001498</t>
  </si>
  <si>
    <t>H000001553</t>
  </si>
  <si>
    <t>H000001650</t>
  </si>
  <si>
    <t>H000001775</t>
  </si>
  <si>
    <t>H000001800</t>
  </si>
  <si>
    <t>H000001801</t>
  </si>
  <si>
    <t>H000001808</t>
  </si>
  <si>
    <t>H000001812</t>
  </si>
  <si>
    <t>H000001815</t>
  </si>
  <si>
    <t>H000001816</t>
  </si>
  <si>
    <t>H000001818</t>
  </si>
  <si>
    <t>H000001852</t>
  </si>
  <si>
    <t>H000001853</t>
  </si>
  <si>
    <t>H000001872</t>
  </si>
  <si>
    <t>H000001886</t>
  </si>
  <si>
    <t>H000001907</t>
  </si>
  <si>
    <t>H000001926</t>
  </si>
  <si>
    <t>H000001943</t>
  </si>
  <si>
    <t>H000002008</t>
  </si>
  <si>
    <t>H000002085</t>
  </si>
  <si>
    <t>H000002086</t>
  </si>
  <si>
    <t>H000002093</t>
  </si>
  <si>
    <t>H000002097</t>
  </si>
  <si>
    <t>H000002100</t>
  </si>
  <si>
    <t>H000002101</t>
  </si>
  <si>
    <t>H000002103</t>
  </si>
  <si>
    <t>H000002283</t>
  </si>
  <si>
    <t>H000002450</t>
  </si>
  <si>
    <t>H000002495</t>
  </si>
  <si>
    <t>H000002553</t>
  </si>
  <si>
    <t>H000002567</t>
  </si>
  <si>
    <t>H000002599</t>
  </si>
  <si>
    <t>H000002620</t>
  </si>
  <si>
    <t>H000002711</t>
  </si>
  <si>
    <t>H000002762</t>
  </si>
  <si>
    <t>H000002774</t>
  </si>
  <si>
    <t>H000002783</t>
  </si>
  <si>
    <t>H000002785</t>
  </si>
  <si>
    <t>H000002894</t>
  </si>
  <si>
    <t>H000002927</t>
  </si>
  <si>
    <t>H000002929</t>
  </si>
  <si>
    <t>H000002964</t>
  </si>
  <si>
    <t>H000002967</t>
  </si>
  <si>
    <t>H000002972</t>
  </si>
  <si>
    <t>H000003001</t>
  </si>
  <si>
    <t>H000003010</t>
  </si>
  <si>
    <t>H000003038</t>
  </si>
  <si>
    <t>H000003047</t>
  </si>
  <si>
    <t>H000003068</t>
  </si>
  <si>
    <t>H000003092</t>
  </si>
  <si>
    <t>H000003101</t>
  </si>
  <si>
    <t>H000003118</t>
  </si>
  <si>
    <t>H000003128</t>
  </si>
  <si>
    <t>H000003130</t>
  </si>
  <si>
    <t>H000003149</t>
  </si>
  <si>
    <t>H000003158</t>
  </si>
  <si>
    <t>H000003190</t>
  </si>
  <si>
    <t>H000003198</t>
  </si>
  <si>
    <t>H000003218</t>
  </si>
  <si>
    <t>H000003230</t>
  </si>
  <si>
    <t>H000003248</t>
  </si>
  <si>
    <t>H000003250</t>
  </si>
  <si>
    <t>H000003269</t>
  </si>
  <si>
    <t>H000003278</t>
  </si>
  <si>
    <t>H000003295</t>
  </si>
  <si>
    <t>H000003297</t>
  </si>
  <si>
    <t>H000003310</t>
  </si>
  <si>
    <t>H000003314</t>
  </si>
  <si>
    <t>H000003319</t>
  </si>
  <si>
    <t>H000003322</t>
  </si>
  <si>
    <t>H000003323</t>
  </si>
  <si>
    <t>H000003352</t>
  </si>
  <si>
    <t>H000003356</t>
  </si>
  <si>
    <t>H000003364</t>
  </si>
  <si>
    <t>H000003365</t>
  </si>
  <si>
    <t>H000003387</t>
  </si>
  <si>
    <t>H000003421</t>
  </si>
  <si>
    <t>H000003430</t>
  </si>
  <si>
    <t>H000003453</t>
  </si>
  <si>
    <t>H000003468</t>
  </si>
  <si>
    <t>H000003483</t>
  </si>
  <si>
    <t>H000003494</t>
  </si>
  <si>
    <t>H000003497</t>
  </si>
  <si>
    <t>H000003501</t>
  </si>
  <si>
    <t>H000003504</t>
  </si>
  <si>
    <t>H000003519</t>
  </si>
  <si>
    <t>H000003521</t>
  </si>
  <si>
    <t>H000003529</t>
  </si>
  <si>
    <t>H000003533</t>
  </si>
  <si>
    <t>H000003536</t>
  </si>
  <si>
    <t>H000003551</t>
  </si>
  <si>
    <t>H000003560</t>
  </si>
  <si>
    <t>H000003562</t>
  </si>
  <si>
    <t>H000003593</t>
  </si>
  <si>
    <t>H000003603</t>
  </si>
  <si>
    <t>H000003689</t>
  </si>
  <si>
    <t>H000003739</t>
  </si>
  <si>
    <t>H000003740</t>
  </si>
  <si>
    <t>H000003744</t>
  </si>
  <si>
    <t>H000003759</t>
  </si>
  <si>
    <t>H000003760</t>
  </si>
  <si>
    <t>H000003764</t>
  </si>
  <si>
    <t>H000003780</t>
  </si>
  <si>
    <t>H000003781</t>
  </si>
  <si>
    <t>H000003785</t>
  </si>
  <si>
    <t>H000003800</t>
  </si>
  <si>
    <t>H000003801</t>
  </si>
  <si>
    <t>H000003805</t>
  </si>
  <si>
    <t>H000003820</t>
  </si>
  <si>
    <t>H000003821</t>
  </si>
  <si>
    <t>H000003825</t>
  </si>
  <si>
    <t>H000003914</t>
  </si>
  <si>
    <t>H000003981</t>
  </si>
  <si>
    <t>H000004033</t>
  </si>
  <si>
    <t>H000004052</t>
  </si>
  <si>
    <t>H000004060</t>
  </si>
  <si>
    <t>H000004074</t>
  </si>
  <si>
    <t>H000004076</t>
  </si>
  <si>
    <t>H000004101</t>
  </si>
  <si>
    <t>H000004158</t>
  </si>
  <si>
    <t>H000004178</t>
  </si>
  <si>
    <t>H000004192</t>
  </si>
  <si>
    <t>H000004232</t>
  </si>
  <si>
    <t>H000004254</t>
  </si>
  <si>
    <t>IT06050000</t>
  </si>
  <si>
    <t>IT06090200</t>
  </si>
  <si>
    <t>L000005115</t>
  </si>
  <si>
    <t>L000005147</t>
  </si>
  <si>
    <t>L000005173</t>
  </si>
  <si>
    <t>L000005219</t>
  </si>
  <si>
    <t>L000005305</t>
  </si>
  <si>
    <t>L000005849</t>
  </si>
  <si>
    <t>L000005886</t>
  </si>
  <si>
    <t>L000005963</t>
  </si>
  <si>
    <t>L000006078</t>
  </si>
  <si>
    <t>L000006152</t>
  </si>
  <si>
    <t>L000006171</t>
  </si>
  <si>
    <t>L000006346</t>
  </si>
  <si>
    <t>L000006422</t>
  </si>
  <si>
    <t>L000006622</t>
  </si>
  <si>
    <t>L000006934</t>
  </si>
  <si>
    <t>L000007089</t>
  </si>
  <si>
    <t>L000007229</t>
  </si>
  <si>
    <t>L000007247</t>
  </si>
  <si>
    <t>L000007436</t>
  </si>
  <si>
    <t>L000007708</t>
  </si>
  <si>
    <t>L000007926</t>
  </si>
  <si>
    <t>L000007994</t>
  </si>
  <si>
    <t>L000008010</t>
  </si>
  <si>
    <t>L000008068</t>
  </si>
  <si>
    <t>L000008392</t>
  </si>
  <si>
    <t>L000008409</t>
  </si>
  <si>
    <t>L000008491</t>
  </si>
  <si>
    <t>L000008504</t>
  </si>
  <si>
    <t>L000008516</t>
  </si>
  <si>
    <t>L000008528</t>
  </si>
  <si>
    <t>L000008555</t>
  </si>
  <si>
    <t>L000008898</t>
  </si>
  <si>
    <t>L000008943</t>
  </si>
  <si>
    <t>L000009003</t>
  </si>
  <si>
    <t>L000009033</t>
  </si>
  <si>
    <t>L000009098</t>
  </si>
  <si>
    <t>L000009175</t>
  </si>
  <si>
    <t>L000009181</t>
  </si>
  <si>
    <t>L000009265</t>
  </si>
  <si>
    <t>L000009329</t>
  </si>
  <si>
    <t>L000009924</t>
  </si>
  <si>
    <t>L000009962</t>
  </si>
  <si>
    <t>L000010037</t>
  </si>
  <si>
    <t>L000010040</t>
  </si>
  <si>
    <t>L000010048</t>
  </si>
  <si>
    <t>L000010051</t>
  </si>
  <si>
    <t>L000010053</t>
  </si>
  <si>
    <t>L000010205</t>
  </si>
  <si>
    <t>L000010593</t>
  </si>
  <si>
    <t>L000010608</t>
  </si>
  <si>
    <t>L000010808</t>
  </si>
  <si>
    <t>L000011144</t>
  </si>
  <si>
    <t>L000011239</t>
  </si>
  <si>
    <t>L000011305</t>
  </si>
  <si>
    <t>L000011306</t>
  </si>
  <si>
    <t>L000011307</t>
  </si>
  <si>
    <t>L000011308</t>
  </si>
  <si>
    <t>L000011309</t>
  </si>
  <si>
    <t>L000011356</t>
  </si>
  <si>
    <t>L000011364</t>
  </si>
  <si>
    <t>L000011367</t>
  </si>
  <si>
    <t>L000011554</t>
  </si>
  <si>
    <t>L000011789</t>
  </si>
  <si>
    <t>L000011803</t>
  </si>
  <si>
    <t>L000011821</t>
  </si>
  <si>
    <t>L000011826</t>
  </si>
  <si>
    <t>L000012181</t>
  </si>
  <si>
    <t>L000012223</t>
  </si>
  <si>
    <t>L000012226</t>
  </si>
  <si>
    <t>L000012231</t>
  </si>
  <si>
    <t>L000012234</t>
  </si>
  <si>
    <t>L000012248</t>
  </si>
  <si>
    <t>L000012250</t>
  </si>
  <si>
    <t>L000012251</t>
  </si>
  <si>
    <t>L000012258</t>
  </si>
  <si>
    <t>L000012340</t>
  </si>
  <si>
    <t>L000012356</t>
  </si>
  <si>
    <t>L000012394</t>
  </si>
  <si>
    <t>L000012400</t>
  </si>
  <si>
    <t>L000012401</t>
  </si>
  <si>
    <t>L000012402</t>
  </si>
  <si>
    <t>L000012487</t>
  </si>
  <si>
    <t>L000012514</t>
  </si>
  <si>
    <t>L000012530</t>
  </si>
  <si>
    <t>L000012789</t>
  </si>
  <si>
    <t>L000012799</t>
  </si>
  <si>
    <t>L000012860</t>
  </si>
  <si>
    <t>L000012907</t>
  </si>
  <si>
    <t>L000012937</t>
  </si>
  <si>
    <t>L000013083</t>
  </si>
  <si>
    <t>L000013151</t>
  </si>
  <si>
    <t>L000013154</t>
  </si>
  <si>
    <t>L000013172</t>
  </si>
  <si>
    <t>L000013176</t>
  </si>
  <si>
    <t>L000013177</t>
  </si>
  <si>
    <t>L000013182</t>
  </si>
  <si>
    <t>L000013183</t>
  </si>
  <si>
    <t>L000013200</t>
  </si>
  <si>
    <t>L000013210</t>
  </si>
  <si>
    <t>L000013217</t>
  </si>
  <si>
    <t>L000013268</t>
  </si>
  <si>
    <t>L000013337</t>
  </si>
  <si>
    <t>L000013388</t>
  </si>
  <si>
    <t>L000013403</t>
  </si>
  <si>
    <t>L000013449</t>
  </si>
  <si>
    <t>P000000507</t>
  </si>
  <si>
    <t>P000000546</t>
  </si>
  <si>
    <t>P000000578</t>
  </si>
  <si>
    <t>P000000649</t>
  </si>
  <si>
    <t>P000000669</t>
  </si>
  <si>
    <t>P000000676</t>
  </si>
  <si>
    <t>PL_B2_CN04</t>
  </si>
  <si>
    <t>PL_E1_DEAC</t>
  </si>
  <si>
    <t>PL_E2_IT50</t>
  </si>
  <si>
    <t>PL_ED_KRA6</t>
  </si>
  <si>
    <t>PL_ED_KRA7</t>
  </si>
  <si>
    <t>PL_ED_KRB4</t>
  </si>
  <si>
    <t>PL_ED_KRB6</t>
  </si>
  <si>
    <t>PL_ED_KRB8</t>
  </si>
  <si>
    <t>PL_ED_KRC1</t>
  </si>
  <si>
    <t>PL_ED_TWA3</t>
  </si>
  <si>
    <t>PL_ED_TWA4</t>
  </si>
  <si>
    <t>PL_ED_TWC3</t>
  </si>
  <si>
    <t>PL_ED_TWC4</t>
  </si>
  <si>
    <t>PL_ED_USA2</t>
  </si>
  <si>
    <t>PL_ED_USA3</t>
  </si>
  <si>
    <t>PL_ED_USA6</t>
  </si>
  <si>
    <t>PL_ED_USD4</t>
  </si>
  <si>
    <t>PL_ED_USD7</t>
  </si>
  <si>
    <t>RDC0000940</t>
  </si>
  <si>
    <t>G000000180</t>
  </si>
  <si>
    <t>G000000305</t>
  </si>
  <si>
    <t>G000000337</t>
  </si>
  <si>
    <t>G000000397</t>
  </si>
  <si>
    <t>G000000417</t>
  </si>
  <si>
    <t>G000000448</t>
  </si>
  <si>
    <t>G000000449</t>
  </si>
  <si>
    <t>G000000450</t>
  </si>
  <si>
    <t>G000000454</t>
  </si>
  <si>
    <t>G000000458</t>
  </si>
  <si>
    <t>G000000489</t>
  </si>
  <si>
    <t>G000000558</t>
  </si>
  <si>
    <t>G000000629</t>
  </si>
  <si>
    <t>G000000759</t>
  </si>
  <si>
    <t>G000000775</t>
  </si>
  <si>
    <t>G000000781</t>
  </si>
  <si>
    <t>G000000786</t>
  </si>
  <si>
    <t>G000000805</t>
  </si>
  <si>
    <t>G000000889</t>
  </si>
  <si>
    <t>G000000899</t>
  </si>
  <si>
    <t>G000000914</t>
  </si>
  <si>
    <t>G000000922</t>
  </si>
  <si>
    <t>G000001098</t>
  </si>
  <si>
    <t>H000000166</t>
  </si>
  <si>
    <t>H000000187</t>
  </si>
  <si>
    <t>H000000191</t>
  </si>
  <si>
    <t>H000000226</t>
  </si>
  <si>
    <t>H000000258</t>
  </si>
  <si>
    <t>H000000273</t>
  </si>
  <si>
    <t>H000000334</t>
  </si>
  <si>
    <t>H000000404</t>
  </si>
  <si>
    <t>H000000641</t>
  </si>
  <si>
    <t>H000000688</t>
  </si>
  <si>
    <t>H000000717</t>
  </si>
  <si>
    <t>H000000825</t>
  </si>
  <si>
    <t>H000000868</t>
  </si>
  <si>
    <t>H000000955</t>
  </si>
  <si>
    <t>H000000964</t>
  </si>
  <si>
    <t>H000000999</t>
  </si>
  <si>
    <t>H000001086</t>
  </si>
  <si>
    <t>H000001087</t>
  </si>
  <si>
    <t>H000001088</t>
  </si>
  <si>
    <t>H000001103</t>
  </si>
  <si>
    <t>H000001119</t>
  </si>
  <si>
    <t>H000001141</t>
  </si>
  <si>
    <t>H000001163</t>
  </si>
  <si>
    <t>H000001171</t>
  </si>
  <si>
    <t>H000001222</t>
  </si>
  <si>
    <t>H000001354</t>
  </si>
  <si>
    <t>H000001376</t>
  </si>
  <si>
    <t>H000001378</t>
  </si>
  <si>
    <t>H000001386</t>
  </si>
  <si>
    <t>H000001608</t>
  </si>
  <si>
    <t>H000001642</t>
  </si>
  <si>
    <t>H000001686</t>
  </si>
  <si>
    <t>H000001746</t>
  </si>
  <si>
    <t>H000001771</t>
  </si>
  <si>
    <t>H000001795</t>
  </si>
  <si>
    <t>H000001797</t>
  </si>
  <si>
    <t>H000001798</t>
  </si>
  <si>
    <t>H000001799</t>
  </si>
  <si>
    <t>H000001803</t>
  </si>
  <si>
    <t>H000001804</t>
  </si>
  <si>
    <t>H000001845</t>
  </si>
  <si>
    <t>H000001851</t>
  </si>
  <si>
    <t>H000001895</t>
  </si>
  <si>
    <t>H000001920</t>
  </si>
  <si>
    <t>H000001929</t>
  </si>
  <si>
    <t>H000001982</t>
  </si>
  <si>
    <t>H000001997</t>
  </si>
  <si>
    <t>H000002080</t>
  </si>
  <si>
    <t>H000002082</t>
  </si>
  <si>
    <t>H000002083</t>
  </si>
  <si>
    <t>H000002084</t>
  </si>
  <si>
    <t>H000002088</t>
  </si>
  <si>
    <t>H000002089</t>
  </si>
  <si>
    <t>H000002159</t>
  </si>
  <si>
    <t>H000002194</t>
  </si>
  <si>
    <t>H000002229</t>
  </si>
  <si>
    <t>H000002270</t>
  </si>
  <si>
    <t>H000002303</t>
  </si>
  <si>
    <t>H000002338</t>
  </si>
  <si>
    <t>H000002373</t>
  </si>
  <si>
    <t>H000002408</t>
  </si>
  <si>
    <t>H000002473</t>
  </si>
  <si>
    <t>H000002540</t>
  </si>
  <si>
    <t>H000002546</t>
  </si>
  <si>
    <t>H000002589</t>
  </si>
  <si>
    <t>H000002617</t>
  </si>
  <si>
    <t>H000002652</t>
  </si>
  <si>
    <t>H000002687</t>
  </si>
  <si>
    <t>H000002721</t>
  </si>
  <si>
    <t>H000002723</t>
  </si>
  <si>
    <t>H000002740</t>
  </si>
  <si>
    <t>H000002808</t>
  </si>
  <si>
    <t>H000002810</t>
  </si>
  <si>
    <t>H000002837</t>
  </si>
  <si>
    <t>H000002843</t>
  </si>
  <si>
    <t>H000002916</t>
  </si>
  <si>
    <t>H000002922</t>
  </si>
  <si>
    <t>H000002958</t>
  </si>
  <si>
    <t>H000002984</t>
  </si>
  <si>
    <t>H000002988</t>
  </si>
  <si>
    <t>H000002992</t>
  </si>
  <si>
    <t>H000002996</t>
  </si>
  <si>
    <t>H000003002</t>
  </si>
  <si>
    <t>H000003006</t>
  </si>
  <si>
    <t>H000003014</t>
  </si>
  <si>
    <t>H000003020</t>
  </si>
  <si>
    <t>H000003039</t>
  </si>
  <si>
    <t>H000003043</t>
  </si>
  <si>
    <t>H000003051</t>
  </si>
  <si>
    <t>H000003057</t>
  </si>
  <si>
    <t>H000003064</t>
  </si>
  <si>
    <t>H000003069</t>
  </si>
  <si>
    <t>H000003093</t>
  </si>
  <si>
    <t>H000003097</t>
  </si>
  <si>
    <t>H000003105</t>
  </si>
  <si>
    <t>H000003111</t>
  </si>
  <si>
    <t>H000003123</t>
  </si>
  <si>
    <t>H000003150</t>
  </si>
  <si>
    <t>H000003154</t>
  </si>
  <si>
    <t>H000003162</t>
  </si>
  <si>
    <t>H000003168</t>
  </si>
  <si>
    <t>H000003171</t>
  </si>
  <si>
    <t>H000003177</t>
  </si>
  <si>
    <t>H000003235</t>
  </si>
  <si>
    <t>H000003243</t>
  </si>
  <si>
    <t>H000003270</t>
  </si>
  <si>
    <t>H000003274</t>
  </si>
  <si>
    <t>H000003282</t>
  </si>
  <si>
    <t>H000003288</t>
  </si>
  <si>
    <t>H000003290</t>
  </si>
  <si>
    <t>H000003302</t>
  </si>
  <si>
    <t>H000003343</t>
  </si>
  <si>
    <t>H000003389</t>
  </si>
  <si>
    <t>H000003422</t>
  </si>
  <si>
    <t>H000003426</t>
  </si>
  <si>
    <t>H000003434</t>
  </si>
  <si>
    <t>H000003440</t>
  </si>
  <si>
    <t>H000003463</t>
  </si>
  <si>
    <t>H000003500</t>
  </si>
  <si>
    <t>H000003509</t>
  </si>
  <si>
    <t>H000003514</t>
  </si>
  <si>
    <t>H000003530</t>
  </si>
  <si>
    <t>H000003555</t>
  </si>
  <si>
    <t>H000003573</t>
  </si>
  <si>
    <t>H000003590</t>
  </si>
  <si>
    <t>H000003610</t>
  </si>
  <si>
    <t>H000003687</t>
  </si>
  <si>
    <t>H000003709</t>
  </si>
  <si>
    <t>H000003730</t>
  </si>
  <si>
    <t>H000003904</t>
  </si>
  <si>
    <t>H000003910</t>
  </si>
  <si>
    <t>H000003915</t>
  </si>
  <si>
    <t>H000003917</t>
  </si>
  <si>
    <t>H000003932</t>
  </si>
  <si>
    <t>H000004028</t>
  </si>
  <si>
    <t>H000004050</t>
  </si>
  <si>
    <t>H000004114</t>
  </si>
  <si>
    <t>H000004129</t>
  </si>
  <si>
    <t>H000004131</t>
  </si>
  <si>
    <t>H000004147</t>
  </si>
  <si>
    <t>H000004170</t>
  </si>
  <si>
    <t>H000004215</t>
  </si>
  <si>
    <t>H000004220</t>
  </si>
  <si>
    <t>H000004257</t>
  </si>
  <si>
    <t>H000004258</t>
  </si>
  <si>
    <t>IT06042290</t>
  </si>
  <si>
    <t>IT06060000</t>
  </si>
  <si>
    <t>IT06060600</t>
  </si>
  <si>
    <t>IT06071100</t>
  </si>
  <si>
    <t>IT06090100</t>
  </si>
  <si>
    <t>L000005101</t>
  </si>
  <si>
    <t>L000005277</t>
  </si>
  <si>
    <t>L000005617</t>
  </si>
  <si>
    <t>L000005855</t>
  </si>
  <si>
    <t>L000005890</t>
  </si>
  <si>
    <t>L000006074</t>
  </si>
  <si>
    <t>L000006170</t>
  </si>
  <si>
    <t>L000006435</t>
  </si>
  <si>
    <t>L000006496</t>
  </si>
  <si>
    <t>L000006518</t>
  </si>
  <si>
    <t>L000007345</t>
  </si>
  <si>
    <t>L000007931</t>
  </si>
  <si>
    <t>L000007932</t>
  </si>
  <si>
    <t>L000007933</t>
  </si>
  <si>
    <t>L000007934</t>
  </si>
  <si>
    <t>L000007935</t>
  </si>
  <si>
    <t>L000007936</t>
  </si>
  <si>
    <t>L000008318</t>
  </si>
  <si>
    <t>L000008464</t>
  </si>
  <si>
    <t>L000008802</t>
  </si>
  <si>
    <t>L000008962</t>
  </si>
  <si>
    <t>L000008970</t>
  </si>
  <si>
    <t>L000009074</t>
  </si>
  <si>
    <t>L000009080</t>
  </si>
  <si>
    <t>L000009120</t>
  </si>
  <si>
    <t>L000009170</t>
  </si>
  <si>
    <t>L000009234</t>
  </si>
  <si>
    <t>L000009241</t>
  </si>
  <si>
    <t>L000009247</t>
  </si>
  <si>
    <t>L000009332</t>
  </si>
  <si>
    <t>L000009935</t>
  </si>
  <si>
    <t>L000009937</t>
  </si>
  <si>
    <t>L000009987</t>
  </si>
  <si>
    <t>L000010020</t>
  </si>
  <si>
    <t>L000010043</t>
  </si>
  <si>
    <t>L000010060</t>
  </si>
  <si>
    <t>L000010079</t>
  </si>
  <si>
    <t>L000010194</t>
  </si>
  <si>
    <t>L000010195</t>
  </si>
  <si>
    <t>L000010196</t>
  </si>
  <si>
    <t>L000010200</t>
  </si>
  <si>
    <t>L000010202</t>
  </si>
  <si>
    <t>L000010596</t>
  </si>
  <si>
    <t>L000010875</t>
  </si>
  <si>
    <t>L000011065</t>
  </si>
  <si>
    <t>L000011067</t>
  </si>
  <si>
    <t>L000011068</t>
  </si>
  <si>
    <t>L000011069</t>
  </si>
  <si>
    <t>L000011070</t>
  </si>
  <si>
    <t>L000011071</t>
  </si>
  <si>
    <t>L000011072</t>
  </si>
  <si>
    <t>L000011073</t>
  </si>
  <si>
    <t>L000011074</t>
  </si>
  <si>
    <t>L000011076</t>
  </si>
  <si>
    <t>L000011077</t>
  </si>
  <si>
    <t>L000011078</t>
  </si>
  <si>
    <t>L000011080</t>
  </si>
  <si>
    <t>L000011081</t>
  </si>
  <si>
    <t>L000011082</t>
  </si>
  <si>
    <t>L000011083</t>
  </si>
  <si>
    <t>L000011084</t>
  </si>
  <si>
    <t>L000011085</t>
  </si>
  <si>
    <t>L000011087</t>
  </si>
  <si>
    <t>L000011088</t>
  </si>
  <si>
    <t>L000011089</t>
  </si>
  <si>
    <t>L000011090</t>
  </si>
  <si>
    <t>L000011093</t>
  </si>
  <si>
    <t>L000011094</t>
  </si>
  <si>
    <t>L000011097</t>
  </si>
  <si>
    <t>L000011098</t>
  </si>
  <si>
    <t>L000011099</t>
  </si>
  <si>
    <t>L000011100</t>
  </si>
  <si>
    <t>L000011136</t>
  </si>
  <si>
    <t>L000011391</t>
  </si>
  <si>
    <t>L000011393</t>
  </si>
  <si>
    <t>L000011648</t>
  </si>
  <si>
    <t>L000011786</t>
  </si>
  <si>
    <t>L000011790</t>
  </si>
  <si>
    <t>L000011791</t>
  </si>
  <si>
    <t>L000011793</t>
  </si>
  <si>
    <t>L000011814</t>
  </si>
  <si>
    <t>L000011908</t>
  </si>
  <si>
    <t>L000012122</t>
  </si>
  <si>
    <t>L000012124</t>
  </si>
  <si>
    <t>L000012230</t>
  </si>
  <si>
    <t>L000012233</t>
  </si>
  <si>
    <t>L000012396</t>
  </si>
  <si>
    <t>L000012397</t>
  </si>
  <si>
    <t>L000012408</t>
  </si>
  <si>
    <t>L000012442</t>
  </si>
  <si>
    <t>L000012531</t>
  </si>
  <si>
    <t>L000012532</t>
  </si>
  <si>
    <t>L000012566</t>
  </si>
  <si>
    <t>L000012712</t>
  </si>
  <si>
    <t>L000012751</t>
  </si>
  <si>
    <t>L000012800</t>
  </si>
  <si>
    <t>L000012849</t>
  </si>
  <si>
    <t>L000012850</t>
  </si>
  <si>
    <t>L000012853</t>
  </si>
  <si>
    <t>L000012944</t>
  </si>
  <si>
    <t>L000012946</t>
  </si>
  <si>
    <t>L000012947</t>
  </si>
  <si>
    <t>L000012948</t>
  </si>
  <si>
    <t>L000012968</t>
  </si>
  <si>
    <t>L000013078</t>
  </si>
  <si>
    <t>L000013187</t>
  </si>
  <si>
    <t>L000013211</t>
  </si>
  <si>
    <t>L000013214</t>
  </si>
  <si>
    <t>L000013227</t>
  </si>
  <si>
    <t>L000013254</t>
  </si>
  <si>
    <t>L000013256</t>
  </si>
  <si>
    <t>L000013341</t>
  </si>
  <si>
    <t>L000013380</t>
  </si>
  <si>
    <t>L000013399</t>
  </si>
  <si>
    <t>L000013402</t>
  </si>
  <si>
    <t>L000013426</t>
  </si>
  <si>
    <t>L000013427</t>
  </si>
  <si>
    <t>L000013428</t>
  </si>
  <si>
    <t>L000013429</t>
  </si>
  <si>
    <t>L000013461</t>
  </si>
  <si>
    <t>L000013475</t>
  </si>
  <si>
    <t>L000013496</t>
  </si>
  <si>
    <t>P000000084</t>
  </si>
  <si>
    <t>P000000096</t>
  </si>
  <si>
    <t>P000000106</t>
  </si>
  <si>
    <t>P000000116</t>
  </si>
  <si>
    <t>P000000126</t>
  </si>
  <si>
    <t>P000000136</t>
  </si>
  <si>
    <t>P000000146</t>
  </si>
  <si>
    <t>P000000158</t>
  </si>
  <si>
    <t>P000000168</t>
  </si>
  <si>
    <t>P000000178</t>
  </si>
  <si>
    <t>P000000188</t>
  </si>
  <si>
    <t>P000000206</t>
  </si>
  <si>
    <t>P000000218</t>
  </si>
  <si>
    <t>P000000228</t>
  </si>
  <si>
    <t>P000000238</t>
  </si>
  <si>
    <t>P000000248</t>
  </si>
  <si>
    <t>P000000258</t>
  </si>
  <si>
    <t>P000000268</t>
  </si>
  <si>
    <t>P000000278</t>
  </si>
  <si>
    <t>P000000288</t>
  </si>
  <si>
    <t>P000000438</t>
  </si>
  <si>
    <t>P000000550</t>
  </si>
  <si>
    <t>P000000613</t>
  </si>
  <si>
    <t>P000000645</t>
  </si>
  <si>
    <t>P000000662</t>
  </si>
  <si>
    <t>P000000678</t>
  </si>
  <si>
    <t>P000000768</t>
  </si>
  <si>
    <t>P000001013</t>
  </si>
  <si>
    <t>P000001016</t>
  </si>
  <si>
    <t>P000001045</t>
  </si>
  <si>
    <t>RDC0000076</t>
  </si>
  <si>
    <t>RDC0000093</t>
  </si>
  <si>
    <t>RDC0000134</t>
  </si>
  <si>
    <t>RDC0000980</t>
  </si>
  <si>
    <t>G000000285</t>
  </si>
  <si>
    <t>G000000291</t>
  </si>
  <si>
    <t>G000000370</t>
  </si>
  <si>
    <t>G000000401</t>
  </si>
  <si>
    <t>G000000556</t>
  </si>
  <si>
    <t>G000000635</t>
  </si>
  <si>
    <t>G000000846</t>
  </si>
  <si>
    <t>G000000855</t>
  </si>
  <si>
    <t>G000000856</t>
  </si>
  <si>
    <t>G000000857</t>
  </si>
  <si>
    <t>G000000858</t>
  </si>
  <si>
    <t>G000000859</t>
  </si>
  <si>
    <t>G000000901</t>
  </si>
  <si>
    <t>G000000910</t>
  </si>
  <si>
    <t>G000000911</t>
  </si>
  <si>
    <t>G000000912</t>
  </si>
  <si>
    <t>G000000920</t>
  </si>
  <si>
    <t>G000000946</t>
  </si>
  <si>
    <t>G000001020</t>
  </si>
  <si>
    <t>H000000012</t>
  </si>
  <si>
    <t>H000000249</t>
  </si>
  <si>
    <t>H000000303</t>
  </si>
  <si>
    <t>H000000306</t>
  </si>
  <si>
    <t>H000000307</t>
  </si>
  <si>
    <t>H000000317</t>
  </si>
  <si>
    <t>H000000325</t>
  </si>
  <si>
    <t>H000000405</t>
  </si>
  <si>
    <t>H000000427</t>
  </si>
  <si>
    <t>H000000642</t>
  </si>
  <si>
    <t>H000000655</t>
  </si>
  <si>
    <t>H000000697</t>
  </si>
  <si>
    <t>H000000708</t>
  </si>
  <si>
    <t>H000000712</t>
  </si>
  <si>
    <t>H000000744</t>
  </si>
  <si>
    <t>H000000843</t>
  </si>
  <si>
    <t>H000000880</t>
  </si>
  <si>
    <t>H000000887</t>
  </si>
  <si>
    <t>H000000888</t>
  </si>
  <si>
    <t>H000000896</t>
  </si>
  <si>
    <t>H000000930</t>
  </si>
  <si>
    <t>H000000940</t>
  </si>
  <si>
    <t>H000000961</t>
  </si>
  <si>
    <t>H000001027</t>
  </si>
  <si>
    <t>H000001053</t>
  </si>
  <si>
    <t>H000001072</t>
  </si>
  <si>
    <t>H000001077</t>
  </si>
  <si>
    <t>H000001078</t>
  </si>
  <si>
    <t>H000001079</t>
  </si>
  <si>
    <t>H000001080</t>
  </si>
  <si>
    <t>H000001081</t>
  </si>
  <si>
    <t>H000001082</t>
  </si>
  <si>
    <t>H000001085</t>
  </si>
  <si>
    <t>H000001089</t>
  </si>
  <si>
    <t>H000001146</t>
  </si>
  <si>
    <t>H000001267</t>
  </si>
  <si>
    <t>H000001353</t>
  </si>
  <si>
    <t>H000001357</t>
  </si>
  <si>
    <t>H000001448</t>
  </si>
  <si>
    <t>H000001453</t>
  </si>
  <si>
    <t>H000001455</t>
  </si>
  <si>
    <t>H000001464</t>
  </si>
  <si>
    <t>H000001796</t>
  </si>
  <si>
    <t>H000001802</t>
  </si>
  <si>
    <t>H000001885</t>
  </si>
  <si>
    <t>H000001928</t>
  </si>
  <si>
    <t>H000001934</t>
  </si>
  <si>
    <t>H000001935</t>
  </si>
  <si>
    <t>H000001981</t>
  </si>
  <si>
    <t>H000001985</t>
  </si>
  <si>
    <t>H000002021</t>
  </si>
  <si>
    <t>H000002081</t>
  </si>
  <si>
    <t>H000002087</t>
  </si>
  <si>
    <t>H000002263</t>
  </si>
  <si>
    <t>H000002534</t>
  </si>
  <si>
    <t>H000002543</t>
  </si>
  <si>
    <t>H000002612</t>
  </si>
  <si>
    <t>H000002720</t>
  </si>
  <si>
    <t>H000002768</t>
  </si>
  <si>
    <t>H000002807</t>
  </si>
  <si>
    <t>H000002826</t>
  </si>
  <si>
    <t>H000002846</t>
  </si>
  <si>
    <t>H000002874</t>
  </si>
  <si>
    <t>H000002886</t>
  </si>
  <si>
    <t>H000002971</t>
  </si>
  <si>
    <t>H000003442</t>
  </si>
  <si>
    <t>H000003472</t>
  </si>
  <si>
    <t>H000003540</t>
  </si>
  <si>
    <t>H000003601</t>
  </si>
  <si>
    <t>H000003741</t>
  </si>
  <si>
    <t>H000003742</t>
  </si>
  <si>
    <t>H000003761</t>
  </si>
  <si>
    <t>H000003762</t>
  </si>
  <si>
    <t>H000003782</t>
  </si>
  <si>
    <t>H000003783</t>
  </si>
  <si>
    <t>H000003802</t>
  </si>
  <si>
    <t>H000003803</t>
  </si>
  <si>
    <t>H000003822</t>
  </si>
  <si>
    <t>H000003823</t>
  </si>
  <si>
    <t>H000003889</t>
  </si>
  <si>
    <t>H000003956</t>
  </si>
  <si>
    <t>H000003957</t>
  </si>
  <si>
    <t>H000004015</t>
  </si>
  <si>
    <t>H000004030</t>
  </si>
  <si>
    <t>H000004044</t>
  </si>
  <si>
    <t>H000004110</t>
  </si>
  <si>
    <t>H000004150</t>
  </si>
  <si>
    <t>H000004156</t>
  </si>
  <si>
    <t>H000004164</t>
  </si>
  <si>
    <t>H000004177</t>
  </si>
  <si>
    <t>H000004240</t>
  </si>
  <si>
    <t>H000004268</t>
  </si>
  <si>
    <t>IT06010000</t>
  </si>
  <si>
    <t>IT06030000</t>
  </si>
  <si>
    <t>IT06042210</t>
  </si>
  <si>
    <t>IT06042270</t>
  </si>
  <si>
    <t>L000005044</t>
  </si>
  <si>
    <t>L000005092</t>
  </si>
  <si>
    <t>L000005093</t>
  </si>
  <si>
    <t>L000005860</t>
  </si>
  <si>
    <t>L000005876</t>
  </si>
  <si>
    <t>L000005877</t>
  </si>
  <si>
    <t>L000006456</t>
  </si>
  <si>
    <t>L000006519</t>
  </si>
  <si>
    <t>L000006661</t>
  </si>
  <si>
    <t>L000007614</t>
  </si>
  <si>
    <t>L000007677</t>
  </si>
  <si>
    <t>L000007728</t>
  </si>
  <si>
    <t>L000007739</t>
  </si>
  <si>
    <t>L000007758</t>
  </si>
  <si>
    <t>L000008317</t>
  </si>
  <si>
    <t>L000008347</t>
  </si>
  <si>
    <t>L000008349</t>
  </si>
  <si>
    <t>L000008425</t>
  </si>
  <si>
    <t>L000008544</t>
  </si>
  <si>
    <t>L000008643</t>
  </si>
  <si>
    <t>L000008909</t>
  </si>
  <si>
    <t>L000008957</t>
  </si>
  <si>
    <t>L000008965</t>
  </si>
  <si>
    <t>L000008971</t>
  </si>
  <si>
    <t>L000009077</t>
  </si>
  <si>
    <t>L000009196</t>
  </si>
  <si>
    <t>L000009656</t>
  </si>
  <si>
    <t>L000009674</t>
  </si>
  <si>
    <t>L000009762</t>
  </si>
  <si>
    <t>L000009801</t>
  </si>
  <si>
    <t>L000009936</t>
  </si>
  <si>
    <t>L000009983</t>
  </si>
  <si>
    <t>L000009985</t>
  </si>
  <si>
    <t>L000010008</t>
  </si>
  <si>
    <t>L000010015</t>
  </si>
  <si>
    <t>L000010024</t>
  </si>
  <si>
    <t>L000010039</t>
  </si>
  <si>
    <t>L000010044</t>
  </si>
  <si>
    <t>L000010061</t>
  </si>
  <si>
    <t>L000010876</t>
  </si>
  <si>
    <t>L000011048</t>
  </si>
  <si>
    <t>L000011066</t>
  </si>
  <si>
    <t>L000011075</t>
  </si>
  <si>
    <t>L000011079</t>
  </si>
  <si>
    <t>L000011086</t>
  </si>
  <si>
    <t>L000011091</t>
  </si>
  <si>
    <t>L000011092</t>
  </si>
  <si>
    <t>L000011095</t>
  </si>
  <si>
    <t>L000011096</t>
  </si>
  <si>
    <t>L000011148</t>
  </si>
  <si>
    <t>L000011157</t>
  </si>
  <si>
    <t>L000011320</t>
  </si>
  <si>
    <t>L000011440</t>
  </si>
  <si>
    <t>L000011581</t>
  </si>
  <si>
    <t>L000011737</t>
  </si>
  <si>
    <t>L000011738</t>
  </si>
  <si>
    <t>L000011771</t>
  </si>
  <si>
    <t>L000011774</t>
  </si>
  <si>
    <t>L000011784</t>
  </si>
  <si>
    <t>L000011787</t>
  </si>
  <si>
    <t>L000011788</t>
  </si>
  <si>
    <t>L000011886</t>
  </si>
  <si>
    <t>L000011948</t>
  </si>
  <si>
    <t>L000012081</t>
  </si>
  <si>
    <t>L000012170</t>
  </si>
  <si>
    <t>L000012219</t>
  </si>
  <si>
    <t>L000012257</t>
  </si>
  <si>
    <t>L000012268</t>
  </si>
  <si>
    <t>L000012270</t>
  </si>
  <si>
    <t>L000012280</t>
  </si>
  <si>
    <t>L000012300</t>
  </si>
  <si>
    <t>L000012301</t>
  </si>
  <si>
    <t>L000012399</t>
  </si>
  <si>
    <t>L000012421</t>
  </si>
  <si>
    <t>L000012626</t>
  </si>
  <si>
    <t>L000012847</t>
  </si>
  <si>
    <t>L000012859</t>
  </si>
  <si>
    <t>L000012912</t>
  </si>
  <si>
    <t>L000013133</t>
  </si>
  <si>
    <t>L000013134</t>
  </si>
  <si>
    <t>L000013231</t>
  </si>
  <si>
    <t>L000013250</t>
  </si>
  <si>
    <t>L000013291</t>
  </si>
  <si>
    <t>L000013344</t>
  </si>
  <si>
    <t>L000013350</t>
  </si>
  <si>
    <t>L000013365</t>
  </si>
  <si>
    <t>L000013368</t>
  </si>
  <si>
    <t>L000013404</t>
  </si>
  <si>
    <t>L000013410</t>
  </si>
  <si>
    <t>L000013411</t>
  </si>
  <si>
    <t>L000013454</t>
  </si>
  <si>
    <t>L000013493</t>
  </si>
  <si>
    <t>L000013494</t>
  </si>
  <si>
    <t>P000000418</t>
  </si>
  <si>
    <t>P000000426</t>
  </si>
  <si>
    <t>P000000427</t>
  </si>
  <si>
    <t>P000000538</t>
  </si>
  <si>
    <t>P000000617</t>
  </si>
  <si>
    <t>P000000619</t>
  </si>
  <si>
    <t>P000000621</t>
  </si>
  <si>
    <t>P000000623</t>
  </si>
  <si>
    <t>P000000625</t>
  </si>
  <si>
    <t>P000000644</t>
  </si>
  <si>
    <t>P000000656</t>
  </si>
  <si>
    <t>P000000661</t>
  </si>
  <si>
    <t>P000001010</t>
  </si>
  <si>
    <t>P000001019</t>
  </si>
  <si>
    <t>P000001052</t>
  </si>
  <si>
    <t>P000001057</t>
  </si>
  <si>
    <t>RDC0000137</t>
  </si>
  <si>
    <t>RDC0000180</t>
  </si>
  <si>
    <t>RDC0000183</t>
  </si>
  <si>
    <t>G000000000</t>
  </si>
  <si>
    <t>G000000250</t>
  </si>
  <si>
    <t>G000000255</t>
  </si>
  <si>
    <t>G000000256</t>
  </si>
  <si>
    <t>G000000371</t>
  </si>
  <si>
    <t>G000000447</t>
  </si>
  <si>
    <t>G000000563</t>
  </si>
  <si>
    <t>G000000807</t>
  </si>
  <si>
    <t>G000000812</t>
  </si>
  <si>
    <t>G000000817</t>
  </si>
  <si>
    <t>G000000822</t>
  </si>
  <si>
    <t>G000000845</t>
  </si>
  <si>
    <t>G000000948</t>
  </si>
  <si>
    <t>G000001001</t>
  </si>
  <si>
    <t>G000001022</t>
  </si>
  <si>
    <t>H000000170</t>
  </si>
  <si>
    <t>H000000206</t>
  </si>
  <si>
    <t>H000000215</t>
  </si>
  <si>
    <t>H000000232</t>
  </si>
  <si>
    <t>H000000310</t>
  </si>
  <si>
    <t>H000000371</t>
  </si>
  <si>
    <t>H000000395</t>
  </si>
  <si>
    <t>H000000396</t>
  </si>
  <si>
    <t>H000000399</t>
  </si>
  <si>
    <t>H000000415</t>
  </si>
  <si>
    <t>H000000429</t>
  </si>
  <si>
    <t>H000000438</t>
  </si>
  <si>
    <t>H000000480</t>
  </si>
  <si>
    <t>H000000692</t>
  </si>
  <si>
    <t>H000000698</t>
  </si>
  <si>
    <t>H000000740</t>
  </si>
  <si>
    <t>H000000761</t>
  </si>
  <si>
    <t>H000000800</t>
  </si>
  <si>
    <t>H000000805</t>
  </si>
  <si>
    <t>H000000830</t>
  </si>
  <si>
    <t>H000000831</t>
  </si>
  <si>
    <t>H000000933</t>
  </si>
  <si>
    <t>H000001009</t>
  </si>
  <si>
    <t>H000001056</t>
  </si>
  <si>
    <t>H000001084</t>
  </si>
  <si>
    <t>H000001097</t>
  </si>
  <si>
    <t>H000001264</t>
  </si>
  <si>
    <t>H000001567</t>
  </si>
  <si>
    <t>H000001691</t>
  </si>
  <si>
    <t>H000001811</t>
  </si>
  <si>
    <t>H000001826</t>
  </si>
  <si>
    <t>H000001865</t>
  </si>
  <si>
    <t>H000001874</t>
  </si>
  <si>
    <t>H000001930</t>
  </si>
  <si>
    <t>H000001963</t>
  </si>
  <si>
    <t>H000001991</t>
  </si>
  <si>
    <t>H000001996</t>
  </si>
  <si>
    <t>H000002096</t>
  </si>
  <si>
    <t>H000002111</t>
  </si>
  <si>
    <t>H000002265</t>
  </si>
  <si>
    <t>H000002470</t>
  </si>
  <si>
    <t>H000002479</t>
  </si>
  <si>
    <t>H000002613</t>
  </si>
  <si>
    <t>H000002719</t>
  </si>
  <si>
    <t>H000002730</t>
  </si>
  <si>
    <t>H000002735</t>
  </si>
  <si>
    <t>H000002784</t>
  </si>
  <si>
    <t>H000002821</t>
  </si>
  <si>
    <t>H000002830</t>
  </si>
  <si>
    <t>H000002847</t>
  </si>
  <si>
    <t>H000002849</t>
  </si>
  <si>
    <t>H000002943</t>
  </si>
  <si>
    <t>H000002954</t>
  </si>
  <si>
    <t>H000003063</t>
  </si>
  <si>
    <t>H000003065</t>
  </si>
  <si>
    <t>H000003170</t>
  </si>
  <si>
    <t>H000003172</t>
  </si>
  <si>
    <t>H000003176</t>
  </si>
  <si>
    <t>H000003178</t>
  </si>
  <si>
    <t>H000003318</t>
  </si>
  <si>
    <t>H000003360</t>
  </si>
  <si>
    <t>H000003393</t>
  </si>
  <si>
    <t>H000003488</t>
  </si>
  <si>
    <t>H000003526</t>
  </si>
  <si>
    <t>H000003527</t>
  </si>
  <si>
    <t>H000003594</t>
  </si>
  <si>
    <t>H000003630</t>
  </si>
  <si>
    <t>H000003645</t>
  </si>
  <si>
    <t>H000003669</t>
  </si>
  <si>
    <t>H000003690</t>
  </si>
  <si>
    <t>H000003691</t>
  </si>
  <si>
    <t>H000003712</t>
  </si>
  <si>
    <t>H000003734</t>
  </si>
  <si>
    <t>H000003746</t>
  </si>
  <si>
    <t>H000003748</t>
  </si>
  <si>
    <t>H000003754</t>
  </si>
  <si>
    <t>H000003766</t>
  </si>
  <si>
    <t>H000003768</t>
  </si>
  <si>
    <t>H000003774</t>
  </si>
  <si>
    <t>H000003775</t>
  </si>
  <si>
    <t>H000003787</t>
  </si>
  <si>
    <t>H000003789</t>
  </si>
  <si>
    <t>H000003795</t>
  </si>
  <si>
    <t>H000003807</t>
  </si>
  <si>
    <t>H000003809</t>
  </si>
  <si>
    <t>H000003815</t>
  </si>
  <si>
    <t>H000003827</t>
  </si>
  <si>
    <t>H000003829</t>
  </si>
  <si>
    <t>H000003836</t>
  </si>
  <si>
    <t>H000003850</t>
  </si>
  <si>
    <t>H000003863</t>
  </si>
  <si>
    <t>H000003868</t>
  </si>
  <si>
    <t>H000003875</t>
  </si>
  <si>
    <t>H000003880</t>
  </si>
  <si>
    <t>H000003885</t>
  </si>
  <si>
    <t>H000003890</t>
  </si>
  <si>
    <t>H000003892</t>
  </si>
  <si>
    <t>H000003893</t>
  </si>
  <si>
    <t>H000003903</t>
  </si>
  <si>
    <t>H000003909</t>
  </si>
  <si>
    <t>H000003916</t>
  </si>
  <si>
    <t>H000003923</t>
  </si>
  <si>
    <t>H000003928</t>
  </si>
  <si>
    <t>H000003933</t>
  </si>
  <si>
    <t>H000003938</t>
  </si>
  <si>
    <t>H000003942</t>
  </si>
  <si>
    <t>H000003950</t>
  </si>
  <si>
    <t>H000003959</t>
  </si>
  <si>
    <t>H000003963</t>
  </si>
  <si>
    <t>H000004019</t>
  </si>
  <si>
    <t>H000004020</t>
  </si>
  <si>
    <t>H000004021</t>
  </si>
  <si>
    <t>H000004061</t>
  </si>
  <si>
    <t>H000004106</t>
  </si>
  <si>
    <t>H000004120</t>
  </si>
  <si>
    <t>H000004125</t>
  </si>
  <si>
    <t>H000004126</t>
  </si>
  <si>
    <t>H000004146</t>
  </si>
  <si>
    <t>H000004231</t>
  </si>
  <si>
    <t>H000004233</t>
  </si>
  <si>
    <t>H000004305</t>
  </si>
  <si>
    <t>IT06020300</t>
  </si>
  <si>
    <t>IT06020800</t>
  </si>
  <si>
    <t>IT06020900</t>
  </si>
  <si>
    <t>L000000000</t>
  </si>
  <si>
    <t>L000005270</t>
  </si>
  <si>
    <t>L000006161</t>
  </si>
  <si>
    <t>L000007953</t>
  </si>
  <si>
    <t>L000008290</t>
  </si>
  <si>
    <t>L000008316</t>
  </si>
  <si>
    <t>L000008551</t>
  </si>
  <si>
    <t>L000008819</t>
  </si>
  <si>
    <t>L000008916</t>
  </si>
  <si>
    <t>L000008938</t>
  </si>
  <si>
    <t>L000008959</t>
  </si>
  <si>
    <t>L000009095</t>
  </si>
  <si>
    <t>L000009173</t>
  </si>
  <si>
    <t>L000009450</t>
  </si>
  <si>
    <t>L000009504</t>
  </si>
  <si>
    <t>L000009802</t>
  </si>
  <si>
    <t>L000009980</t>
  </si>
  <si>
    <t>L000009982</t>
  </si>
  <si>
    <t>L000010058</t>
  </si>
  <si>
    <t>L000010062</t>
  </si>
  <si>
    <t>L000010126</t>
  </si>
  <si>
    <t>L000010128</t>
  </si>
  <si>
    <t>L000010130</t>
  </si>
  <si>
    <t>L000010132</t>
  </si>
  <si>
    <t>L000010134</t>
  </si>
  <si>
    <t>L000010146</t>
  </si>
  <si>
    <t>L000010752</t>
  </si>
  <si>
    <t>L000011110</t>
  </si>
  <si>
    <t>L000011344</t>
  </si>
  <si>
    <t>L000011394</t>
  </si>
  <si>
    <t>L000011395</t>
  </si>
  <si>
    <t>L000011442</t>
  </si>
  <si>
    <t>L000011461</t>
  </si>
  <si>
    <t>L000011577</t>
  </si>
  <si>
    <t>L000011739</t>
  </si>
  <si>
    <t>L000011776</t>
  </si>
  <si>
    <t>L000011777</t>
  </si>
  <si>
    <t>L000011796</t>
  </si>
  <si>
    <t>L000011809</t>
  </si>
  <si>
    <t>L000011834</t>
  </si>
  <si>
    <t>L000011922</t>
  </si>
  <si>
    <t>L000011927</t>
  </si>
  <si>
    <t>L000011940</t>
  </si>
  <si>
    <t>L000012059</t>
  </si>
  <si>
    <t>L000012114</t>
  </si>
  <si>
    <t>L000012127</t>
  </si>
  <si>
    <t>L000012128</t>
  </si>
  <si>
    <t>L000012267</t>
  </si>
  <si>
    <t>L000012430</t>
  </si>
  <si>
    <t>L000012517</t>
  </si>
  <si>
    <t>L000012758</t>
  </si>
  <si>
    <t>L000012808</t>
  </si>
  <si>
    <t>L000012972</t>
  </si>
  <si>
    <t>L000013081</t>
  </si>
  <si>
    <t>L000013136</t>
  </si>
  <si>
    <t>L000013153</t>
  </si>
  <si>
    <t>L000013201</t>
  </si>
  <si>
    <t>L000013204</t>
  </si>
  <si>
    <t>L000013233</t>
  </si>
  <si>
    <t>L000013312</t>
  </si>
  <si>
    <t>L000013338</t>
  </si>
  <si>
    <t>L000013346</t>
  </si>
  <si>
    <t>L000013412</t>
  </si>
  <si>
    <t>L000013451</t>
  </si>
  <si>
    <t>P000000425</t>
  </si>
  <si>
    <t>P000000435</t>
  </si>
  <si>
    <t>P000000540</t>
  </si>
  <si>
    <t>P000000545</t>
  </si>
  <si>
    <t>P000000585</t>
  </si>
  <si>
    <t>P000000586</t>
  </si>
  <si>
    <t>P000000615</t>
  </si>
  <si>
    <t>P000000663</t>
  </si>
  <si>
    <t>P000000795</t>
  </si>
  <si>
    <t>P000000961</t>
  </si>
  <si>
    <t>P000000965</t>
  </si>
  <si>
    <t>P000001055</t>
  </si>
  <si>
    <t>RDC0000070</t>
  </si>
  <si>
    <t>RDC0000120</t>
  </si>
  <si>
    <t>RDC0000612</t>
  </si>
  <si>
    <t>G000000179</t>
  </si>
  <si>
    <t>G000000182</t>
  </si>
  <si>
    <t>G000000339</t>
  </si>
  <si>
    <t>G000000725</t>
  </si>
  <si>
    <t>Miscellaneous</t>
  </si>
  <si>
    <t>G000000752</t>
  </si>
  <si>
    <t>G000000761</t>
  </si>
  <si>
    <t>G000000841</t>
  </si>
  <si>
    <t>G000000907</t>
  </si>
  <si>
    <t>G000001094</t>
  </si>
  <si>
    <t>G000001096</t>
  </si>
  <si>
    <t>H000000176</t>
  </si>
  <si>
    <t>H000000183</t>
  </si>
  <si>
    <t>H000000188</t>
  </si>
  <si>
    <t>H000000190</t>
  </si>
  <si>
    <t>H000000228</t>
  </si>
  <si>
    <t>H000000230</t>
  </si>
  <si>
    <t>H000000248</t>
  </si>
  <si>
    <t>H000000260</t>
  </si>
  <si>
    <t>H000000278</t>
  </si>
  <si>
    <t>H000000281</t>
  </si>
  <si>
    <t>H000000288</t>
  </si>
  <si>
    <t>H000000291</t>
  </si>
  <si>
    <t>H000000294</t>
  </si>
  <si>
    <t>H000000304</t>
  </si>
  <si>
    <t>H000000316</t>
  </si>
  <si>
    <t>H000000323</t>
  </si>
  <si>
    <t>H000000351</t>
  </si>
  <si>
    <t>H000000367</t>
  </si>
  <si>
    <t>H000000401</t>
  </si>
  <si>
    <t>H000000407</t>
  </si>
  <si>
    <t>H000000449</t>
  </si>
  <si>
    <t>H000000689</t>
  </si>
  <si>
    <t>H000000818</t>
  </si>
  <si>
    <t>H000000909</t>
  </si>
  <si>
    <t>H000001110</t>
  </si>
  <si>
    <t>H000001114</t>
  </si>
  <si>
    <t>H000001263</t>
  </si>
  <si>
    <t>H000001682</t>
  </si>
  <si>
    <t>H000001809</t>
  </si>
  <si>
    <t>H000001813</t>
  </si>
  <si>
    <t>H000001878</t>
  </si>
  <si>
    <t>H000001884</t>
  </si>
  <si>
    <t>H000001918</t>
  </si>
  <si>
    <t>H000001933</t>
  </si>
  <si>
    <t>H000001954</t>
  </si>
  <si>
    <t>H000001984</t>
  </si>
  <si>
    <t>H000001994</t>
  </si>
  <si>
    <t>H000001995</t>
  </si>
  <si>
    <t>H000002094</t>
  </si>
  <si>
    <t>H000002098</t>
  </si>
  <si>
    <t>H000002131</t>
  </si>
  <si>
    <t>H000002267</t>
  </si>
  <si>
    <t>H000002474</t>
  </si>
  <si>
    <t>H000002602</t>
  </si>
  <si>
    <t>H000002605</t>
  </si>
  <si>
    <t>H000002701</t>
  </si>
  <si>
    <t>H000002834</t>
  </si>
  <si>
    <t>H000003575</t>
  </si>
  <si>
    <t>H000003602</t>
  </si>
  <si>
    <t>H000003626</t>
  </si>
  <si>
    <t>H000003668</t>
  </si>
  <si>
    <t>H000003735</t>
  </si>
  <si>
    <t>H000003753</t>
  </si>
  <si>
    <t>H000003908</t>
  </si>
  <si>
    <t>H000003927</t>
  </si>
  <si>
    <t>H000004048</t>
  </si>
  <si>
    <t>H000004056</t>
  </si>
  <si>
    <t>H000004072</t>
  </si>
  <si>
    <t>H000004127</t>
  </si>
  <si>
    <t>H000004142</t>
  </si>
  <si>
    <t>H000004226</t>
  </si>
  <si>
    <t>H000004227</t>
  </si>
  <si>
    <t>H000004235</t>
  </si>
  <si>
    <t>IT06060400</t>
  </si>
  <si>
    <t>IT06090300</t>
  </si>
  <si>
    <t>IT06100500</t>
  </si>
  <si>
    <t>L000005082</t>
  </si>
  <si>
    <t>L000005263</t>
  </si>
  <si>
    <t>L000005309</t>
  </si>
  <si>
    <t>L000005366</t>
  </si>
  <si>
    <t>L000005819</t>
  </si>
  <si>
    <t>L000006425</t>
  </si>
  <si>
    <t>L000006504</t>
  </si>
  <si>
    <t>L000007043</t>
  </si>
  <si>
    <t>L000007211</t>
  </si>
  <si>
    <t>L000007929</t>
  </si>
  <si>
    <t>L000007995</t>
  </si>
  <si>
    <t>L000008029</t>
  </si>
  <si>
    <t>L000008037</t>
  </si>
  <si>
    <t>L000008083</t>
  </si>
  <si>
    <t>L000008088</t>
  </si>
  <si>
    <t>L000008361</t>
  </si>
  <si>
    <t>L000008796</t>
  </si>
  <si>
    <t>L000008912</t>
  </si>
  <si>
    <t>L000008934</t>
  </si>
  <si>
    <t>L000008947</t>
  </si>
  <si>
    <t>L000009220</t>
  </si>
  <si>
    <t>L000009537</t>
  </si>
  <si>
    <t>L000009807</t>
  </si>
  <si>
    <t>L000009816</t>
  </si>
  <si>
    <t>L000009981</t>
  </si>
  <si>
    <t>L000010814</t>
  </si>
  <si>
    <t>L000011329</t>
  </si>
  <si>
    <t>L000011377</t>
  </si>
  <si>
    <t>L000011392</t>
  </si>
  <si>
    <t>L000011665</t>
  </si>
  <si>
    <t>L000011678</t>
  </si>
  <si>
    <t>L000011750</t>
  </si>
  <si>
    <t>L000011822</t>
  </si>
  <si>
    <t>L000011825</t>
  </si>
  <si>
    <t>L000011844</t>
  </si>
  <si>
    <t>L000012016</t>
  </si>
  <si>
    <t>L000012056</t>
  </si>
  <si>
    <t>L000012098</t>
  </si>
  <si>
    <t>L000012222</t>
  </si>
  <si>
    <t>L000012256</t>
  </si>
  <si>
    <t>L000012392</t>
  </si>
  <si>
    <t>L000012393</t>
  </si>
  <si>
    <t>L000012395</t>
  </si>
  <si>
    <t>L000012428</t>
  </si>
  <si>
    <t>L000012750</t>
  </si>
  <si>
    <t>L000012838</t>
  </si>
  <si>
    <t>L000012868</t>
  </si>
  <si>
    <t>L000012906</t>
  </si>
  <si>
    <t>L000012970</t>
  </si>
  <si>
    <t>L000012994</t>
  </si>
  <si>
    <t>L000013079</t>
  </si>
  <si>
    <t>L000013241</t>
  </si>
  <si>
    <t>L000013445</t>
  </si>
  <si>
    <t>L000013492</t>
  </si>
  <si>
    <t>L000013497</t>
  </si>
  <si>
    <t>P000000184</t>
  </si>
  <si>
    <t>P000000544</t>
  </si>
  <si>
    <t>P000000591</t>
  </si>
  <si>
    <t>P000000643</t>
  </si>
  <si>
    <t>P000000691</t>
  </si>
  <si>
    <t>P000000707</t>
  </si>
  <si>
    <t>P000000721</t>
  </si>
  <si>
    <t>P000000728</t>
  </si>
  <si>
    <t>P000000767</t>
  </si>
  <si>
    <t>P000000963</t>
  </si>
  <si>
    <t>P000001015</t>
  </si>
  <si>
    <t>P000001018</t>
  </si>
  <si>
    <t>RDC0000540</t>
  </si>
  <si>
    <t>RDC0000611</t>
  </si>
  <si>
    <t>RDC0000920</t>
  </si>
  <si>
    <t>RDC0000930</t>
  </si>
  <si>
    <t>RDC0000990</t>
  </si>
  <si>
    <t>G000000360</t>
  </si>
  <si>
    <t>G000000485</t>
  </si>
  <si>
    <t>G000000517</t>
  </si>
  <si>
    <t>G000000541</t>
  </si>
  <si>
    <t>G000000547</t>
  </si>
  <si>
    <t>G000000788</t>
  </si>
  <si>
    <t>G000000842</t>
  </si>
  <si>
    <t>G000000843</t>
  </si>
  <si>
    <t>G000000844</t>
  </si>
  <si>
    <t>G000000850</t>
  </si>
  <si>
    <t>G000000860</t>
  </si>
  <si>
    <t>G000000861</t>
  </si>
  <si>
    <t>G000000862</t>
  </si>
  <si>
    <t>G000000866</t>
  </si>
  <si>
    <t>G000000867</t>
  </si>
  <si>
    <t>G000000869</t>
  </si>
  <si>
    <t>G000000870</t>
  </si>
  <si>
    <t>G000000871</t>
  </si>
  <si>
    <t>G000000872</t>
  </si>
  <si>
    <t>G000000874</t>
  </si>
  <si>
    <t>G000000875</t>
  </si>
  <si>
    <t>G000000876</t>
  </si>
  <si>
    <t>G000000877</t>
  </si>
  <si>
    <t>G000000890</t>
  </si>
  <si>
    <t>G000000891</t>
  </si>
  <si>
    <t>G000000892</t>
  </si>
  <si>
    <t>G000000898</t>
  </si>
  <si>
    <t>G000000906</t>
  </si>
  <si>
    <t>H000000010</t>
  </si>
  <si>
    <t>H000000185</t>
  </si>
  <si>
    <t>H000000204</t>
  </si>
  <si>
    <t>H000000227</t>
  </si>
  <si>
    <t>H000000231</t>
  </si>
  <si>
    <t>H000000292</t>
  </si>
  <si>
    <t>H000000341</t>
  </si>
  <si>
    <t>H000000359</t>
  </si>
  <si>
    <t>H000000366</t>
  </si>
  <si>
    <t>H000000368</t>
  </si>
  <si>
    <t>H000000379</t>
  </si>
  <si>
    <t>H000000393</t>
  </si>
  <si>
    <t>H000000394</t>
  </si>
  <si>
    <t>H000000410</t>
  </si>
  <si>
    <t>H000000417</t>
  </si>
  <si>
    <t>H000000434</t>
  </si>
  <si>
    <t>H000000470</t>
  </si>
  <si>
    <t>H000000479</t>
  </si>
  <si>
    <t>H000000488</t>
  </si>
  <si>
    <t>H000000497</t>
  </si>
  <si>
    <t>H000000506</t>
  </si>
  <si>
    <t>H000000516</t>
  </si>
  <si>
    <t>H000000525</t>
  </si>
  <si>
    <t>H000000534</t>
  </si>
  <si>
    <t>H000000543</t>
  </si>
  <si>
    <t>H000000552</t>
  </si>
  <si>
    <t>H000000561</t>
  </si>
  <si>
    <t>H000000570</t>
  </si>
  <si>
    <t>H000000579</t>
  </si>
  <si>
    <t>H000000588</t>
  </si>
  <si>
    <t>H000000597</t>
  </si>
  <si>
    <t>H000000606</t>
  </si>
  <si>
    <t>H000000615</t>
  </si>
  <si>
    <t>H000000625</t>
  </si>
  <si>
    <t>H000000634</t>
  </si>
  <si>
    <t>H000000685</t>
  </si>
  <si>
    <t>H000000686</t>
  </si>
  <si>
    <t>H000000696</t>
  </si>
  <si>
    <t>H000000745</t>
  </si>
  <si>
    <t>H000000775</t>
  </si>
  <si>
    <t>H000000806</t>
  </si>
  <si>
    <t>H000000890</t>
  </si>
  <si>
    <t>H000000913</t>
  </si>
  <si>
    <t>H000000916</t>
  </si>
  <si>
    <t>H000000923</t>
  </si>
  <si>
    <t>H000000993</t>
  </si>
  <si>
    <t>H000001008</t>
  </si>
  <si>
    <t>H000001017</t>
  </si>
  <si>
    <t>H000001026</t>
  </si>
  <si>
    <t>H000001035</t>
  </si>
  <si>
    <t>H000001044</t>
  </si>
  <si>
    <t>H000001111</t>
  </si>
  <si>
    <t>H000001121</t>
  </si>
  <si>
    <t>H000001134</t>
  </si>
  <si>
    <t>H000001136</t>
  </si>
  <si>
    <t>H000001147</t>
  </si>
  <si>
    <t>H000001159</t>
  </si>
  <si>
    <t>H000001165</t>
  </si>
  <si>
    <t>H000001173</t>
  </si>
  <si>
    <t>H000001178</t>
  </si>
  <si>
    <t>H000001182</t>
  </si>
  <si>
    <t>H000001213</t>
  </si>
  <si>
    <t>H000001218</t>
  </si>
  <si>
    <t>H000001238</t>
  </si>
  <si>
    <t>H000001245</t>
  </si>
  <si>
    <t>H000001256</t>
  </si>
  <si>
    <t>H000001276</t>
  </si>
  <si>
    <t>H000001281</t>
  </si>
  <si>
    <t>H000001292</t>
  </si>
  <si>
    <t>H000001314</t>
  </si>
  <si>
    <t>H000001334</t>
  </si>
  <si>
    <t>H000001340</t>
  </si>
  <si>
    <t>H000001555</t>
  </si>
  <si>
    <t>H000001622</t>
  </si>
  <si>
    <t>H000001665</t>
  </si>
  <si>
    <t>H000001701</t>
  </si>
  <si>
    <t>H000001735</t>
  </si>
  <si>
    <t>H000001739</t>
  </si>
  <si>
    <t>H000001759</t>
  </si>
  <si>
    <t>H000001779</t>
  </si>
  <si>
    <t>H000001822</t>
  </si>
  <si>
    <t>H000001829</t>
  </si>
  <si>
    <t>H000001839</t>
  </si>
  <si>
    <t>H000001850</t>
  </si>
  <si>
    <t>H000001864</t>
  </si>
  <si>
    <t>H000001867</t>
  </si>
  <si>
    <t>H000001880</t>
  </si>
  <si>
    <t>H000001914</t>
  </si>
  <si>
    <t>H000001923</t>
  </si>
  <si>
    <t>H000001938</t>
  </si>
  <si>
    <t>H000001966</t>
  </si>
  <si>
    <t>H000001983</t>
  </si>
  <si>
    <t>H000001990</t>
  </si>
  <si>
    <t>H000002007</t>
  </si>
  <si>
    <t>H000002018</t>
  </si>
  <si>
    <t>H000002020</t>
  </si>
  <si>
    <t>H000002032</t>
  </si>
  <si>
    <t>H000002069</t>
  </si>
  <si>
    <t>H000002073</t>
  </si>
  <si>
    <t>H000002107</t>
  </si>
  <si>
    <t>H000002114</t>
  </si>
  <si>
    <t>H000002124</t>
  </si>
  <si>
    <t>H000002137</t>
  </si>
  <si>
    <t>H000002140</t>
  </si>
  <si>
    <t>H000002143</t>
  </si>
  <si>
    <t>H000002146</t>
  </si>
  <si>
    <t>H000002149</t>
  </si>
  <si>
    <t>H000002152</t>
  </si>
  <si>
    <t>H000002155</t>
  </si>
  <si>
    <t>H000002156</t>
  </si>
  <si>
    <t>H000002183</t>
  </si>
  <si>
    <t>H000002218</t>
  </si>
  <si>
    <t>H000002253</t>
  </si>
  <si>
    <t>H000002292</t>
  </si>
  <si>
    <t>H000002327</t>
  </si>
  <si>
    <t>H000002362</t>
  </si>
  <si>
    <t>H000002397</t>
  </si>
  <si>
    <t>H000002432</t>
  </si>
  <si>
    <t>H000002471</t>
  </si>
  <si>
    <t>H000002475</t>
  </si>
  <si>
    <t>H000002518</t>
  </si>
  <si>
    <t>H000002542</t>
  </si>
  <si>
    <t>H000002600</t>
  </si>
  <si>
    <t>H000002603</t>
  </si>
  <si>
    <t>H000002609</t>
  </si>
  <si>
    <t>H000002614</t>
  </si>
  <si>
    <t>H000002660</t>
  </si>
  <si>
    <t>H000002702</t>
  </si>
  <si>
    <t>H000002712</t>
  </si>
  <si>
    <t>H000002733</t>
  </si>
  <si>
    <t>H000002748</t>
  </si>
  <si>
    <t>H000002799</t>
  </si>
  <si>
    <t>H000002801</t>
  </si>
  <si>
    <t>H000002806</t>
  </si>
  <si>
    <t>H000002818</t>
  </si>
  <si>
    <t>H000002825</t>
  </si>
  <si>
    <t>H000002831</t>
  </si>
  <si>
    <t>H000002832</t>
  </si>
  <si>
    <t>H000002856</t>
  </si>
  <si>
    <t>H000002885</t>
  </si>
  <si>
    <t>H000002908</t>
  </si>
  <si>
    <t>H000002920</t>
  </si>
  <si>
    <t>H000002925</t>
  </si>
  <si>
    <t>H000002932</t>
  </si>
  <si>
    <t>H000002949</t>
  </si>
  <si>
    <t>H000002961</t>
  </si>
  <si>
    <t>H000002976</t>
  </si>
  <si>
    <t>H000002991</t>
  </si>
  <si>
    <t>H000003018</t>
  </si>
  <si>
    <t>H000003030</t>
  </si>
  <si>
    <t>H000003055</t>
  </si>
  <si>
    <t>H000003073</t>
  </si>
  <si>
    <t>H000003084</t>
  </si>
  <si>
    <t>H000003109</t>
  </si>
  <si>
    <t>H000003119</t>
  </si>
  <si>
    <t>H000003126</t>
  </si>
  <si>
    <t>H000003133</t>
  </si>
  <si>
    <t>H000003141</t>
  </si>
  <si>
    <t>H000003166</t>
  </si>
  <si>
    <t>H000003182</t>
  </si>
  <si>
    <t>H000003205</t>
  </si>
  <si>
    <t>H000003212</t>
  </si>
  <si>
    <t>H000003219</t>
  </si>
  <si>
    <t>H000003222</t>
  </si>
  <si>
    <t>H000003239</t>
  </si>
  <si>
    <t>H000003246</t>
  </si>
  <si>
    <t>H000003253</t>
  </si>
  <si>
    <t>H000003261</t>
  </si>
  <si>
    <t>H000003286</t>
  </si>
  <si>
    <t>H000003293</t>
  </si>
  <si>
    <t>H000003300</t>
  </si>
  <si>
    <t>H000003306</t>
  </si>
  <si>
    <t>H000003335</t>
  </si>
  <si>
    <t>H000003340</t>
  </si>
  <si>
    <t>H000003348</t>
  </si>
  <si>
    <t>H000003377</t>
  </si>
  <si>
    <t>H000003400</t>
  </si>
  <si>
    <t>H000003412</t>
  </si>
  <si>
    <t>H000003438</t>
  </si>
  <si>
    <t>H000003460</t>
  </si>
  <si>
    <t>H000003476</t>
  </si>
  <si>
    <t>H000003507</t>
  </si>
  <si>
    <t>H000003517</t>
  </si>
  <si>
    <t>H000003524</t>
  </si>
  <si>
    <t>H000003539</t>
  </si>
  <si>
    <t>H000003553</t>
  </si>
  <si>
    <t>H000003558</t>
  </si>
  <si>
    <t>H000003565</t>
  </si>
  <si>
    <t>H000003568</t>
  </si>
  <si>
    <t>H000003571</t>
  </si>
  <si>
    <t>H000003580</t>
  </si>
  <si>
    <t>H000003604</t>
  </si>
  <si>
    <t>H000003615</t>
  </si>
  <si>
    <t>H000003618</t>
  </si>
  <si>
    <t>H000003620</t>
  </si>
  <si>
    <t>H000003634</t>
  </si>
  <si>
    <t>H000003639</t>
  </si>
  <si>
    <t>H000003642</t>
  </si>
  <si>
    <t>H000003648</t>
  </si>
  <si>
    <t>H000003672</t>
  </si>
  <si>
    <t>H000003694</t>
  </si>
  <si>
    <t>H000003715</t>
  </si>
  <si>
    <t>H000003736</t>
  </si>
  <si>
    <t>H000003750</t>
  </si>
  <si>
    <t>H000003751</t>
  </si>
  <si>
    <t>H000003756</t>
  </si>
  <si>
    <t>H000003770</t>
  </si>
  <si>
    <t>H000003771</t>
  </si>
  <si>
    <t>H000003777</t>
  </si>
  <si>
    <t>H000003791</t>
  </si>
  <si>
    <t>H000003792</t>
  </si>
  <si>
    <t>H000003797</t>
  </si>
  <si>
    <t>H000003811</t>
  </si>
  <si>
    <t>H000003812</t>
  </si>
  <si>
    <t>H000003817</t>
  </si>
  <si>
    <t>H000003831</t>
  </si>
  <si>
    <t>H000003832</t>
  </si>
  <si>
    <t>H000003834</t>
  </si>
  <si>
    <t>H000003842</t>
  </si>
  <si>
    <t>H000003856</t>
  </si>
  <si>
    <t>H000003865</t>
  </si>
  <si>
    <t>H000003870</t>
  </si>
  <si>
    <t>H000003877</t>
  </si>
  <si>
    <t>H000003882</t>
  </si>
  <si>
    <t>H000003887</t>
  </si>
  <si>
    <t>H000003891</t>
  </si>
  <si>
    <t>H000003895</t>
  </si>
  <si>
    <t>H000003899</t>
  </si>
  <si>
    <t>H000003906</t>
  </si>
  <si>
    <t>H000003912</t>
  </si>
  <si>
    <t>H000003919</t>
  </si>
  <si>
    <t>H000003925</t>
  </si>
  <si>
    <t>H000003930</t>
  </si>
  <si>
    <t>H000003935</t>
  </si>
  <si>
    <t>H000003940</t>
  </si>
  <si>
    <t>H000003944</t>
  </si>
  <si>
    <t>H000003946</t>
  </si>
  <si>
    <t>H000003948</t>
  </si>
  <si>
    <t>H000003953</t>
  </si>
  <si>
    <t>H000003965</t>
  </si>
  <si>
    <t>H000003968</t>
  </si>
  <si>
    <t>H000003971</t>
  </si>
  <si>
    <t>H000004023</t>
  </si>
  <si>
    <t>H000004029</t>
  </si>
  <si>
    <t>H000004037</t>
  </si>
  <si>
    <t>H000004043</t>
  </si>
  <si>
    <t>H000004069</t>
  </si>
  <si>
    <t>H000004102</t>
  </si>
  <si>
    <t>H000004122</t>
  </si>
  <si>
    <t>H000004128</t>
  </si>
  <si>
    <t>H000004137</t>
  </si>
  <si>
    <t>H000004144</t>
  </si>
  <si>
    <t>H000004145</t>
  </si>
  <si>
    <t>H000004157</t>
  </si>
  <si>
    <t>H000004163</t>
  </si>
  <si>
    <t>H000004168</t>
  </si>
  <si>
    <t>H000004250</t>
  </si>
  <si>
    <t>H000004306</t>
  </si>
  <si>
    <t>IT06071300</t>
  </si>
  <si>
    <t>L000005850</t>
  </si>
  <si>
    <t>L000005851</t>
  </si>
  <si>
    <t>L000005854</t>
  </si>
  <si>
    <t>L000005964</t>
  </si>
  <si>
    <t>L000006137</t>
  </si>
  <si>
    <t>L000006470</t>
  </si>
  <si>
    <t>L000007597</t>
  </si>
  <si>
    <t>L000007757</t>
  </si>
  <si>
    <t>L000007850</t>
  </si>
  <si>
    <t>L000008288</t>
  </si>
  <si>
    <t>L000008289</t>
  </si>
  <si>
    <t>L000008323</t>
  </si>
  <si>
    <t>L000008792</t>
  </si>
  <si>
    <t>L000008794</t>
  </si>
  <si>
    <t>L000009123</t>
  </si>
  <si>
    <t>L000009178</t>
  </si>
  <si>
    <t>L000009198</t>
  </si>
  <si>
    <t>L000009403</t>
  </si>
  <si>
    <t>L000009431</t>
  </si>
  <si>
    <t>L000009466</t>
  </si>
  <si>
    <t>L000009483</t>
  </si>
  <si>
    <t>L000009658</t>
  </si>
  <si>
    <t>L000009660</t>
  </si>
  <si>
    <t>L000009668</t>
  </si>
  <si>
    <t>L000009797</t>
  </si>
  <si>
    <t>L000009805</t>
  </si>
  <si>
    <t>L000009975</t>
  </si>
  <si>
    <t>L000010003</t>
  </si>
  <si>
    <t>L000010067</t>
  </si>
  <si>
    <t>L000010074</t>
  </si>
  <si>
    <t>L000010231</t>
  </si>
  <si>
    <t>L000010587</t>
  </si>
  <si>
    <t>L000010902</t>
  </si>
  <si>
    <t>L000011297</t>
  </si>
  <si>
    <t>L000011375</t>
  </si>
  <si>
    <t>L000011380</t>
  </si>
  <si>
    <t>L000011761</t>
  </si>
  <si>
    <t>L000011833</t>
  </si>
  <si>
    <t>L000011879</t>
  </si>
  <si>
    <t>L000012017</t>
  </si>
  <si>
    <t>L000012088</t>
  </si>
  <si>
    <t>L000012180</t>
  </si>
  <si>
    <t>L000012208</t>
  </si>
  <si>
    <t>L000012221</t>
  </si>
  <si>
    <t>L000012254</t>
  </si>
  <si>
    <t>L000012255</t>
  </si>
  <si>
    <t>L000012470</t>
  </si>
  <si>
    <t>L000012840</t>
  </si>
  <si>
    <t>L000012969</t>
  </si>
  <si>
    <t>L000012981</t>
  </si>
  <si>
    <t>L000013043</t>
  </si>
  <si>
    <t>L000013209</t>
  </si>
  <si>
    <t>L000013249</t>
  </si>
  <si>
    <t>L000013400</t>
  </si>
  <si>
    <t>L000013406</t>
  </si>
  <si>
    <t>L000013438</t>
  </si>
  <si>
    <t>L000013459</t>
  </si>
  <si>
    <t>P000000025</t>
  </si>
  <si>
    <t>P000000592</t>
  </si>
  <si>
    <t>P000000647</t>
  </si>
  <si>
    <t>P000000671</t>
  </si>
  <si>
    <t>P000001012</t>
  </si>
  <si>
    <t>P000001021</t>
  </si>
  <si>
    <t>P000001053</t>
  </si>
  <si>
    <t>P000001054</t>
  </si>
  <si>
    <t>RDC0000100</t>
  </si>
  <si>
    <t>RDC0000111</t>
  </si>
  <si>
    <t>RDC0000182</t>
  </si>
  <si>
    <t>RDC0000410</t>
  </si>
  <si>
    <t>RDC0000580</t>
  </si>
  <si>
    <t>G000000316</t>
  </si>
  <si>
    <t>G000000724</t>
  </si>
  <si>
    <t>G000000767</t>
  </si>
  <si>
    <t>G000000873</t>
  </si>
  <si>
    <t>G000000900</t>
  </si>
  <si>
    <t>G000000902</t>
  </si>
  <si>
    <t>G000000904</t>
  </si>
  <si>
    <t>G000001095</t>
  </si>
  <si>
    <t>H000000180</t>
  </si>
  <si>
    <t>H000000184</t>
  </si>
  <si>
    <t>H000000199</t>
  </si>
  <si>
    <t>H000000205</t>
  </si>
  <si>
    <t>H000000214</t>
  </si>
  <si>
    <t>H000000235</t>
  </si>
  <si>
    <t>H000000239</t>
  </si>
  <si>
    <t>H000000241</t>
  </si>
  <si>
    <t>H000000253</t>
  </si>
  <si>
    <t>H000000259</t>
  </si>
  <si>
    <t>H000000261</t>
  </si>
  <si>
    <t>H000000266</t>
  </si>
  <si>
    <t>H000000290</t>
  </si>
  <si>
    <t>H000000313</t>
  </si>
  <si>
    <t>H000000320</t>
  </si>
  <si>
    <t>H000000327</t>
  </si>
  <si>
    <t>H000000337</t>
  </si>
  <si>
    <t>H000000344</t>
  </si>
  <si>
    <t>H000000346</t>
  </si>
  <si>
    <t>H000000354</t>
  </si>
  <si>
    <t>H000000361</t>
  </si>
  <si>
    <t>H000000370</t>
  </si>
  <si>
    <t>H000000380</t>
  </si>
  <si>
    <t>H000000413</t>
  </si>
  <si>
    <t>H000000414</t>
  </si>
  <si>
    <t>H000000422</t>
  </si>
  <si>
    <t>H000000423</t>
  </si>
  <si>
    <t>H000000430</t>
  </si>
  <si>
    <t>H000000436</t>
  </si>
  <si>
    <t>H000000643</t>
  </si>
  <si>
    <t>H000000719</t>
  </si>
  <si>
    <t>H000000781</t>
  </si>
  <si>
    <t>H000000801</t>
  </si>
  <si>
    <t>H000000950</t>
  </si>
  <si>
    <t>H000000959</t>
  </si>
  <si>
    <t>H000001101</t>
  </si>
  <si>
    <t>H000001102</t>
  </si>
  <si>
    <t>H000001120</t>
  </si>
  <si>
    <t>H000001125</t>
  </si>
  <si>
    <t>H000001166</t>
  </si>
  <si>
    <t>H000001180</t>
  </si>
  <si>
    <t>H000001181</t>
  </si>
  <si>
    <t>H000001262</t>
  </si>
  <si>
    <t>H000001296</t>
  </si>
  <si>
    <t>H000001615</t>
  </si>
  <si>
    <t>H000001696</t>
  </si>
  <si>
    <t>H000001753</t>
  </si>
  <si>
    <t>H000001807</t>
  </si>
  <si>
    <t>H000001820</t>
  </si>
  <si>
    <t>H000001821</t>
  </si>
  <si>
    <t>H000001823</t>
  </si>
  <si>
    <t>H000001841</t>
  </si>
  <si>
    <t>H000001859</t>
  </si>
  <si>
    <t>H000001988</t>
  </si>
  <si>
    <t>H000001989</t>
  </si>
  <si>
    <t>H000002027</t>
  </si>
  <si>
    <t>H000002092</t>
  </si>
  <si>
    <t>H000002105</t>
  </si>
  <si>
    <t>H000002106</t>
  </si>
  <si>
    <t>H000002108</t>
  </si>
  <si>
    <t>H000002127</t>
  </si>
  <si>
    <t>H000002163</t>
  </si>
  <si>
    <t>H000002198</t>
  </si>
  <si>
    <t>H000002233</t>
  </si>
  <si>
    <t>H000002268</t>
  </si>
  <si>
    <t>H000002274</t>
  </si>
  <si>
    <t>H000002307</t>
  </si>
  <si>
    <t>H000002342</t>
  </si>
  <si>
    <t>H000002377</t>
  </si>
  <si>
    <t>H000002412</t>
  </si>
  <si>
    <t>H000002481</t>
  </si>
  <si>
    <t>H000002621</t>
  </si>
  <si>
    <t>H000002671</t>
  </si>
  <si>
    <t>H000002716</t>
  </si>
  <si>
    <t>H000002718</t>
  </si>
  <si>
    <t>H000002755</t>
  </si>
  <si>
    <t>H000002805</t>
  </si>
  <si>
    <t>H000002820</t>
  </si>
  <si>
    <t>H000002898</t>
  </si>
  <si>
    <t>H000002912</t>
  </si>
  <si>
    <t>H000002937</t>
  </si>
  <si>
    <t>H000002980</t>
  </si>
  <si>
    <t>H000002983</t>
  </si>
  <si>
    <t>H000002987</t>
  </si>
  <si>
    <t>H000002995</t>
  </si>
  <si>
    <t>H000003022</t>
  </si>
  <si>
    <t>H000003026</t>
  </si>
  <si>
    <t>H000003033</t>
  </si>
  <si>
    <t>H000003059</t>
  </si>
  <si>
    <t>H000003077</t>
  </si>
  <si>
    <t>H000003081</t>
  </si>
  <si>
    <t>H000003087</t>
  </si>
  <si>
    <t>H000003113</t>
  </si>
  <si>
    <t>H000003135</t>
  </si>
  <si>
    <t>H000003138</t>
  </si>
  <si>
    <t>H000003144</t>
  </si>
  <si>
    <t>H000003174</t>
  </si>
  <si>
    <t>H000003194</t>
  </si>
  <si>
    <t>H000003214</t>
  </si>
  <si>
    <t>H000003226</t>
  </si>
  <si>
    <t>H000003255</t>
  </si>
  <si>
    <t>H000003258</t>
  </si>
  <si>
    <t>H000003264</t>
  </si>
  <si>
    <t>H000003341</t>
  </si>
  <si>
    <t>H000003381</t>
  </si>
  <si>
    <t>H000003384</t>
  </si>
  <si>
    <t>H000003391</t>
  </si>
  <si>
    <t>H000003405</t>
  </si>
  <si>
    <t>H000003409</t>
  </si>
  <si>
    <t>H000003416</t>
  </si>
  <si>
    <t>H000003450</t>
  </si>
  <si>
    <t>H000003578</t>
  </si>
  <si>
    <t>H000003623</t>
  </si>
  <si>
    <t>H000004026</t>
  </si>
  <si>
    <t>H000004031</t>
  </si>
  <si>
    <t>H000004045</t>
  </si>
  <si>
    <t>H000004073</t>
  </si>
  <si>
    <t>H000004107</t>
  </si>
  <si>
    <t>H000004160</t>
  </si>
  <si>
    <t>H000004180</t>
  </si>
  <si>
    <t>H000004223</t>
  </si>
  <si>
    <t>H000004225</t>
  </si>
  <si>
    <t>H000004228</t>
  </si>
  <si>
    <t>H000004236</t>
  </si>
  <si>
    <t>H000004238</t>
  </si>
  <si>
    <t>H000004247</t>
  </si>
  <si>
    <t>H000004256</t>
  </si>
  <si>
    <t>H000004309</t>
  </si>
  <si>
    <t>IT06061000</t>
  </si>
  <si>
    <t>L000005084</t>
  </si>
  <si>
    <t>L000005233</t>
  </si>
  <si>
    <t>L000005737</t>
  </si>
  <si>
    <t>L000006010</t>
  </si>
  <si>
    <t>L000006092</t>
  </si>
  <si>
    <t>L000007755</t>
  </si>
  <si>
    <t>L000007938</t>
  </si>
  <si>
    <t>L000007954</t>
  </si>
  <si>
    <t>L000007955</t>
  </si>
  <si>
    <t>L000008285</t>
  </si>
  <si>
    <t>L000008805</t>
  </si>
  <si>
    <t>L000008817</t>
  </si>
  <si>
    <t>L000008823</t>
  </si>
  <si>
    <t>L000008825</t>
  </si>
  <si>
    <t>L000008840</t>
  </si>
  <si>
    <t>L000008842</t>
  </si>
  <si>
    <t>L000008844</t>
  </si>
  <si>
    <t>L000008846</t>
  </si>
  <si>
    <t>L000008849</t>
  </si>
  <si>
    <t>L000008914</t>
  </si>
  <si>
    <t>L000009799</t>
  </si>
  <si>
    <t>L000009810</t>
  </si>
  <si>
    <t>L000009960</t>
  </si>
  <si>
    <t>L000010016</t>
  </si>
  <si>
    <t>L000010030</t>
  </si>
  <si>
    <t>L000010145</t>
  </si>
  <si>
    <t>L000010760</t>
  </si>
  <si>
    <t>L000011140</t>
  </si>
  <si>
    <t>L000011741</t>
  </si>
  <si>
    <t>L000011782</t>
  </si>
  <si>
    <t>L000011805</t>
  </si>
  <si>
    <t>L000012217</t>
  </si>
  <si>
    <t>L000012232</t>
  </si>
  <si>
    <t>L000012235</t>
  </si>
  <si>
    <t>L000012403</t>
  </si>
  <si>
    <t>L000012419</t>
  </si>
  <si>
    <t>L000012787</t>
  </si>
  <si>
    <t>L000012790</t>
  </si>
  <si>
    <t>L000012864</t>
  </si>
  <si>
    <t>L000012985</t>
  </si>
  <si>
    <t>L000013199</t>
  </si>
  <si>
    <t>L000013226</t>
  </si>
  <si>
    <t>L000013447</t>
  </si>
  <si>
    <t>L000013472</t>
  </si>
  <si>
    <t>P000000000</t>
  </si>
  <si>
    <t>P000000590</t>
  </si>
  <si>
    <t>P000000593</t>
  </si>
  <si>
    <t>P000000611</t>
  </si>
  <si>
    <t>P000000612</t>
  </si>
  <si>
    <t>P000001047</t>
  </si>
  <si>
    <t>P000001049</t>
  </si>
  <si>
    <t>P000001050</t>
  </si>
  <si>
    <t>RDC0000066</t>
  </si>
  <si>
    <t>RDC0000099</t>
  </si>
  <si>
    <t>RDC0000390</t>
  </si>
  <si>
    <t>RDC0000510</t>
  </si>
  <si>
    <t>RDC0000960</t>
  </si>
  <si>
    <t>IT06031200</t>
  </si>
  <si>
    <t>G000000318</t>
  </si>
  <si>
    <t>G000000847</t>
  </si>
  <si>
    <t>G000000903</t>
  </si>
  <si>
    <t>H000000000</t>
  </si>
  <si>
    <t>H000000195</t>
  </si>
  <si>
    <t>H000000197</t>
  </si>
  <si>
    <t>H000000198</t>
  </si>
  <si>
    <t>H000000201</t>
  </si>
  <si>
    <t>H000000208</t>
  </si>
  <si>
    <t>H000000209</t>
  </si>
  <si>
    <t>H000000210</t>
  </si>
  <si>
    <t>H000000211</t>
  </si>
  <si>
    <t>H000000213</t>
  </si>
  <si>
    <t>H000000218</t>
  </si>
  <si>
    <t>H000000219</t>
  </si>
  <si>
    <t>H000000220</t>
  </si>
  <si>
    <t>H000000222</t>
  </si>
  <si>
    <t>H000000223</t>
  </si>
  <si>
    <t>H000000225</t>
  </si>
  <si>
    <t>H000000236</t>
  </si>
  <si>
    <t>H000000246</t>
  </si>
  <si>
    <t>H000000250</t>
  </si>
  <si>
    <t>H000000251</t>
  </si>
  <si>
    <t>H000000254</t>
  </si>
  <si>
    <t>H000000262</t>
  </si>
  <si>
    <t>H000000265</t>
  </si>
  <si>
    <t>H000000268</t>
  </si>
  <si>
    <t>H000000279</t>
  </si>
  <si>
    <t>H000000282</t>
  </si>
  <si>
    <t>H000000283</t>
  </si>
  <si>
    <t>H000000284</t>
  </si>
  <si>
    <t>H000000286</t>
  </si>
  <si>
    <t>H000000287</t>
  </si>
  <si>
    <t>H000000295</t>
  </si>
  <si>
    <t>H000000297</t>
  </si>
  <si>
    <t>H000000308</t>
  </si>
  <si>
    <t>H000000309</t>
  </si>
  <si>
    <t>H000000318</t>
  </si>
  <si>
    <t>H000000321</t>
  </si>
  <si>
    <t>H000000338</t>
  </si>
  <si>
    <t>H000000348</t>
  </si>
  <si>
    <t>H000000349</t>
  </si>
  <si>
    <t>H000000353</t>
  </si>
  <si>
    <t>H000000357</t>
  </si>
  <si>
    <t>H000000363</t>
  </si>
  <si>
    <t>H000000381</t>
  </si>
  <si>
    <t>H000000382</t>
  </si>
  <si>
    <t>H000000387</t>
  </si>
  <si>
    <t>H000000419</t>
  </si>
  <si>
    <t>H000000442</t>
  </si>
  <si>
    <t>H000000443</t>
  </si>
  <si>
    <t>H000000448</t>
  </si>
  <si>
    <t>H000000640</t>
  </si>
  <si>
    <t>H000000682</t>
  </si>
  <si>
    <t>H000000693</t>
  </si>
  <si>
    <t>H000000715</t>
  </si>
  <si>
    <t>H000000751</t>
  </si>
  <si>
    <t>H000000883</t>
  </si>
  <si>
    <t>H000001124</t>
  </si>
  <si>
    <t>H000001444</t>
  </si>
  <si>
    <t>H000001666</t>
  </si>
  <si>
    <t>H000001840</t>
  </si>
  <si>
    <t>H000001931</t>
  </si>
  <si>
    <t>H000001932</t>
  </si>
  <si>
    <t>H000002000</t>
  </si>
  <si>
    <t>H000002126</t>
  </si>
  <si>
    <t>H000002504</t>
  </si>
  <si>
    <t>H000002715</t>
  </si>
  <si>
    <t>H000002767</t>
  </si>
  <si>
    <t>H000002803</t>
  </si>
  <si>
    <t>H000002828</t>
  </si>
  <si>
    <t>H000002981</t>
  </si>
  <si>
    <t>H000003382</t>
  </si>
  <si>
    <t>H000003528</t>
  </si>
  <si>
    <t>H000003646</t>
  </si>
  <si>
    <t>H000003667</t>
  </si>
  <si>
    <t>H000003670</t>
  </si>
  <si>
    <t>H000003688</t>
  </si>
  <si>
    <t>H000003692</t>
  </si>
  <si>
    <t>H000003710</t>
  </si>
  <si>
    <t>H000003713</t>
  </si>
  <si>
    <t>H000003731</t>
  </si>
  <si>
    <t>H000003894</t>
  </si>
  <si>
    <t>H000004105</t>
  </si>
  <si>
    <t>H000004136</t>
  </si>
  <si>
    <t>H000004139</t>
  </si>
  <si>
    <t>H000004159</t>
  </si>
  <si>
    <t>H000004190</t>
  </si>
  <si>
    <t>H000004218</t>
  </si>
  <si>
    <t>L000005433</t>
  </si>
  <si>
    <t>L000007091</t>
  </si>
  <si>
    <t>L000007709</t>
  </si>
  <si>
    <t>L000008876</t>
  </si>
  <si>
    <t>L000008949</t>
  </si>
  <si>
    <t>L000008950</t>
  </si>
  <si>
    <t>L000008951</t>
  </si>
  <si>
    <t>L000009135</t>
  </si>
  <si>
    <t>L000009223</t>
  </si>
  <si>
    <t>L000009812</t>
  </si>
  <si>
    <t>L000009814</t>
  </si>
  <si>
    <t>L000010022</t>
  </si>
  <si>
    <t>L000010036</t>
  </si>
  <si>
    <t>L000011142</t>
  </si>
  <si>
    <t>L000011376</t>
  </si>
  <si>
    <t>L000011378</t>
  </si>
  <si>
    <t>L000011381</t>
  </si>
  <si>
    <t>L000011382</t>
  </si>
  <si>
    <t>L000011835</t>
  </si>
  <si>
    <t>L000011883</t>
  </si>
  <si>
    <t>L000011911</t>
  </si>
  <si>
    <t>L000012207</t>
  </si>
  <si>
    <t>L000012431</t>
  </si>
  <si>
    <t>L000013361</t>
  </si>
  <si>
    <t>L000013366</t>
  </si>
  <si>
    <t>L000013369</t>
  </si>
  <si>
    <t>L000013431</t>
  </si>
  <si>
    <t>L000013453</t>
  </si>
  <si>
    <t>P000000041</t>
  </si>
  <si>
    <t>P000000421</t>
  </si>
  <si>
    <t>P000000642</t>
  </si>
  <si>
    <t>P000000698</t>
  </si>
  <si>
    <t>P000001051</t>
  </si>
  <si>
    <t>RDC0000320</t>
  </si>
  <si>
    <t>RDC0000370</t>
  </si>
  <si>
    <t>RDC0000430</t>
  </si>
  <si>
    <t>RDC0000600</t>
  </si>
  <si>
    <t>RDC0000992</t>
  </si>
  <si>
    <t>H000000171</t>
  </si>
  <si>
    <t>H000000186</t>
  </si>
  <si>
    <t>H000000189</t>
  </si>
  <si>
    <t>H000000207</t>
  </si>
  <si>
    <t>H000000216</t>
  </si>
  <si>
    <t>H000000221</t>
  </si>
  <si>
    <t>H000000224</t>
  </si>
  <si>
    <t>H000000229</t>
  </si>
  <si>
    <t>H000000233</t>
  </si>
  <si>
    <t>H000000234</t>
  </si>
  <si>
    <t>H000000237</t>
  </si>
  <si>
    <t>H000000238</t>
  </si>
  <si>
    <t>H000000242</t>
  </si>
  <si>
    <t>H000000247</t>
  </si>
  <si>
    <t>H000000270</t>
  </si>
  <si>
    <t>H000000271</t>
  </si>
  <si>
    <t>H000000276</t>
  </si>
  <si>
    <t>H000000280</t>
  </si>
  <si>
    <t>H000000293</t>
  </si>
  <si>
    <t>H000000301</t>
  </si>
  <si>
    <t>H000000302</t>
  </si>
  <si>
    <t>H000000319</t>
  </si>
  <si>
    <t>H000000322</t>
  </si>
  <si>
    <t>H000000326</t>
  </si>
  <si>
    <t>H000000335</t>
  </si>
  <si>
    <t>H000000339</t>
  </si>
  <si>
    <t>H000000350</t>
  </si>
  <si>
    <t>H000000360</t>
  </si>
  <si>
    <t>H000000369</t>
  </si>
  <si>
    <t>H000000390</t>
  </si>
  <si>
    <t>H000000397</t>
  </si>
  <si>
    <t>H000000403</t>
  </si>
  <si>
    <t>H000000440</t>
  </si>
  <si>
    <t>H000000762</t>
  </si>
  <si>
    <t>H000000822</t>
  </si>
  <si>
    <t>H000000915</t>
  </si>
  <si>
    <t>H000000974</t>
  </si>
  <si>
    <t>H000001092</t>
  </si>
  <si>
    <t>H000001095</t>
  </si>
  <si>
    <t>H000001670</t>
  </si>
  <si>
    <t>H000001782</t>
  </si>
  <si>
    <t>H000001979</t>
  </si>
  <si>
    <t>H000001980</t>
  </si>
  <si>
    <t>H000003752</t>
  </si>
  <si>
    <t>H000003772</t>
  </si>
  <si>
    <t>H000003793</t>
  </si>
  <si>
    <t>H000003813</t>
  </si>
  <si>
    <t>H000003833</t>
  </si>
  <si>
    <t>H000003835</t>
  </si>
  <si>
    <t>H000004039</t>
  </si>
  <si>
    <t>H000004123</t>
  </si>
  <si>
    <t>H000004124</t>
  </si>
  <si>
    <t>H000004130</t>
  </si>
  <si>
    <t>H000004132</t>
  </si>
  <si>
    <t>H000004133</t>
  </si>
  <si>
    <t>H000004134</t>
  </si>
  <si>
    <t>H000004138</t>
  </si>
  <si>
    <t>H000004151</t>
  </si>
  <si>
    <t>H000004152</t>
  </si>
  <si>
    <t>H000004153</t>
  </si>
  <si>
    <t>H000004224</t>
  </si>
  <si>
    <t>H000004239</t>
  </si>
  <si>
    <t>IT06050400</t>
  </si>
  <si>
    <t>L000005292</t>
  </si>
  <si>
    <t>L000008697</t>
  </si>
  <si>
    <t>L000008935</t>
  </si>
  <si>
    <t>L000008982</t>
  </si>
  <si>
    <t>L000009998</t>
  </si>
  <si>
    <t>L000010006</t>
  </si>
  <si>
    <t>L000010009</t>
  </si>
  <si>
    <t>L000010013</t>
  </si>
  <si>
    <t>L000010621</t>
  </si>
  <si>
    <t>L000011141</t>
  </si>
  <si>
    <t>L000011143</t>
  </si>
  <si>
    <t>L000011296</t>
  </si>
  <si>
    <t>L000011837</t>
  </si>
  <si>
    <t>L000011847</t>
  </si>
  <si>
    <t>L000013455</t>
  </si>
  <si>
    <t>L000013486</t>
  </si>
  <si>
    <t>P000000555</t>
  </si>
  <si>
    <t>P000000641</t>
  </si>
  <si>
    <t>P000000646</t>
  </si>
  <si>
    <t>P000000688</t>
  </si>
  <si>
    <t>P000001056</t>
  </si>
  <si>
    <t>RDC0000061</t>
  </si>
  <si>
    <t>RDC0000520</t>
  </si>
  <si>
    <t>RDC0000530</t>
  </si>
  <si>
    <t>G000000317</t>
  </si>
  <si>
    <t>G000000354</t>
  </si>
  <si>
    <t>H000000162</t>
  </si>
  <si>
    <t>H000000181</t>
  </si>
  <si>
    <t>H000000182</t>
  </si>
  <si>
    <t>H000000200</t>
  </si>
  <si>
    <t>H000000252</t>
  </si>
  <si>
    <t>H000000257</t>
  </si>
  <si>
    <t>H000000263</t>
  </si>
  <si>
    <t>H000000267</t>
  </si>
  <si>
    <t>H000000269</t>
  </si>
  <si>
    <t>H000000277</t>
  </si>
  <si>
    <t>H000000285</t>
  </si>
  <si>
    <t>H000000296</t>
  </si>
  <si>
    <t>H000000300</t>
  </si>
  <si>
    <t>H000000305</t>
  </si>
  <si>
    <t>H000000312</t>
  </si>
  <si>
    <t>H000000324</t>
  </si>
  <si>
    <t>H000000336</t>
  </si>
  <si>
    <t>H000000345</t>
  </si>
  <si>
    <t>H000000362</t>
  </si>
  <si>
    <t>H000000388</t>
  </si>
  <si>
    <t>H000000391</t>
  </si>
  <si>
    <t>H000000411</t>
  </si>
  <si>
    <t>H000000420</t>
  </si>
  <si>
    <t>H000000425</t>
  </si>
  <si>
    <t>H000000426</t>
  </si>
  <si>
    <t>H000000432</t>
  </si>
  <si>
    <t>H000000439</t>
  </si>
  <si>
    <t>H000000444</t>
  </si>
  <si>
    <t>H000000758</t>
  </si>
  <si>
    <t>H000000759</t>
  </si>
  <si>
    <t>H000000780</t>
  </si>
  <si>
    <t>H000000802</t>
  </si>
  <si>
    <t>H000000803</t>
  </si>
  <si>
    <t>H000000804</t>
  </si>
  <si>
    <t>H000000867</t>
  </si>
  <si>
    <t>H000000875</t>
  </si>
  <si>
    <t>H000000894</t>
  </si>
  <si>
    <t>H000000932</t>
  </si>
  <si>
    <t>H000000962</t>
  </si>
  <si>
    <t>H000001139</t>
  </si>
  <si>
    <t>H000001151</t>
  </si>
  <si>
    <t>H000001259</t>
  </si>
  <si>
    <t>H000001565</t>
  </si>
  <si>
    <t>H000001590</t>
  </si>
  <si>
    <t>H000001593</t>
  </si>
  <si>
    <t>H000001672</t>
  </si>
  <si>
    <t>H000001676</t>
  </si>
  <si>
    <t>H000001680</t>
  </si>
  <si>
    <t>H000001784</t>
  </si>
  <si>
    <t>H000001787</t>
  </si>
  <si>
    <t>H000001843</t>
  </si>
  <si>
    <t>H000002130</t>
  </si>
  <si>
    <t>H000002264</t>
  </si>
  <si>
    <t>H000002266</t>
  </si>
  <si>
    <t>H000002461</t>
  </si>
  <si>
    <t>H000002462</t>
  </si>
  <si>
    <t>H000002478</t>
  </si>
  <si>
    <t>H000002519</t>
  </si>
  <si>
    <t>H000002532</t>
  </si>
  <si>
    <t>H000002601</t>
  </si>
  <si>
    <t>H000002647</t>
  </si>
  <si>
    <t>H000002666</t>
  </si>
  <si>
    <t>H000002714</t>
  </si>
  <si>
    <t>H000002732</t>
  </si>
  <si>
    <t>H000002851</t>
  </si>
  <si>
    <t>H000002858</t>
  </si>
  <si>
    <t>H000003019</t>
  </si>
  <si>
    <t>H000003056</t>
  </si>
  <si>
    <t>H000003110</t>
  </si>
  <si>
    <t>H000003167</t>
  </si>
  <si>
    <t>H000003223</t>
  </si>
  <si>
    <t>H000003287</t>
  </si>
  <si>
    <t>H000003439</t>
  </si>
  <si>
    <t>H000003644</t>
  </si>
  <si>
    <t>H000003733</t>
  </si>
  <si>
    <t>H000003898</t>
  </si>
  <si>
    <t>H000003902</t>
  </si>
  <si>
    <t>H000003922</t>
  </si>
  <si>
    <t>H000004032</t>
  </si>
  <si>
    <t>H000004104</t>
  </si>
  <si>
    <t>IT06070000</t>
  </si>
  <si>
    <t>L000007714</t>
  </si>
  <si>
    <t>L000007851</t>
  </si>
  <si>
    <t>L000007956</t>
  </si>
  <si>
    <t>L000007957</t>
  </si>
  <si>
    <t>L000010623</t>
  </si>
  <si>
    <t>L000011242</t>
  </si>
  <si>
    <t>L000011884</t>
  </si>
  <si>
    <t>P000000657</t>
  </si>
  <si>
    <t>P000000745</t>
  </si>
  <si>
    <t>P000000962</t>
  </si>
  <si>
    <t>RDC0000065</t>
  </si>
  <si>
    <t>RDC0000310</t>
  </si>
  <si>
    <t>RDC0000380</t>
  </si>
  <si>
    <t>G000000412</t>
  </si>
  <si>
    <t>G000000853</t>
  </si>
  <si>
    <t>H000000274</t>
  </si>
  <si>
    <t>H000000275</t>
  </si>
  <si>
    <t>H000000289</t>
  </si>
  <si>
    <t>H000000298</t>
  </si>
  <si>
    <t>H000000314</t>
  </si>
  <si>
    <t>H000000315</t>
  </si>
  <si>
    <t>H000000340</t>
  </si>
  <si>
    <t>H000000352</t>
  </si>
  <si>
    <t>H000000406</t>
  </si>
  <si>
    <t>H000000408</t>
  </si>
  <si>
    <t>H000000416</t>
  </si>
  <si>
    <t>H000000644</t>
  </si>
  <si>
    <t>H000000654</t>
  </si>
  <si>
    <t>H000000927</t>
  </si>
  <si>
    <t>H000000931</t>
  </si>
  <si>
    <t>H000000958</t>
  </si>
  <si>
    <t>H000001099</t>
  </si>
  <si>
    <t>H000001556</t>
  </si>
  <si>
    <t>H000001600</t>
  </si>
  <si>
    <t>H000001790</t>
  </si>
  <si>
    <t>H000002129</t>
  </si>
  <si>
    <t>H000002859</t>
  </si>
  <si>
    <t>L000008911</t>
  </si>
  <si>
    <t>L000008933</t>
  </si>
  <si>
    <t>L000012406</t>
  </si>
  <si>
    <t>L000012418</t>
  </si>
  <si>
    <t>L000013446</t>
  </si>
  <si>
    <t>L000013448</t>
  </si>
  <si>
    <t>L000013491</t>
  </si>
  <si>
    <t>P000000040</t>
  </si>
  <si>
    <t>P000000521</t>
  </si>
  <si>
    <t>P000000594</t>
  </si>
  <si>
    <t>P000000648</t>
  </si>
  <si>
    <t>P000001059</t>
  </si>
  <si>
    <t>RDC0000431</t>
  </si>
  <si>
    <t>RDC0000910</t>
  </si>
  <si>
    <t>H000000169</t>
  </si>
  <si>
    <t>H000000757</t>
  </si>
  <si>
    <t>H000004024</t>
  </si>
  <si>
    <t>H000004025</t>
  </si>
  <si>
    <t>H000004038</t>
  </si>
  <si>
    <t>L000005064</t>
  </si>
  <si>
    <t>L000008956</t>
  </si>
  <si>
    <t>L000008991</t>
  </si>
  <si>
    <t>L000010773</t>
  </si>
  <si>
    <t>L000011810</t>
  </si>
  <si>
    <t>L000013432</t>
  </si>
  <si>
    <t>L000013444</t>
  </si>
  <si>
    <t>P000000675</t>
  </si>
  <si>
    <t>P000000682</t>
  </si>
  <si>
    <t>P000001058</t>
  </si>
  <si>
    <t>RDC0000993</t>
  </si>
  <si>
    <t>G000000721</t>
  </si>
  <si>
    <t>H000000783</t>
  </si>
  <si>
    <t>H000004219</t>
  </si>
  <si>
    <t>L000010771</t>
  </si>
  <si>
    <t>L000011799</t>
  </si>
  <si>
    <t>L000013488</t>
  </si>
  <si>
    <t>L000013498</t>
  </si>
  <si>
    <t>O000000000</t>
  </si>
  <si>
    <t>P000000541</t>
  </si>
  <si>
    <t>P000000587</t>
  </si>
  <si>
    <t>RDC0000080</t>
  </si>
  <si>
    <t>G000000410</t>
  </si>
  <si>
    <t>H000000244</t>
  </si>
  <si>
    <t>H000000914</t>
  </si>
  <si>
    <t>H000001060</t>
  </si>
  <si>
    <t>L000013457</t>
  </si>
  <si>
    <t>P000000683</t>
  </si>
  <si>
    <t>H000000392</t>
  </si>
  <si>
    <t>H000000837</t>
  </si>
  <si>
    <t>H000000928</t>
  </si>
  <si>
    <t>H000001100</t>
  </si>
  <si>
    <t>H000001105</t>
  </si>
  <si>
    <t>L000013413</t>
  </si>
  <si>
    <t>L000013414</t>
  </si>
  <si>
    <t>P000000672</t>
  </si>
  <si>
    <t>RDC0000075</t>
  </si>
  <si>
    <t>RDC0000181</t>
  </si>
  <si>
    <t>H000000178</t>
  </si>
  <si>
    <t>Parent</t>
  </si>
  <si>
    <t>How do I use this tool?</t>
  </si>
  <si>
    <t>1. Click on the magnifying glass</t>
  </si>
  <si>
    <t>2. Type on the textbox below the word "Node" words that would be in the node name of the node you'd like to focus on, i.e. Buildings etc.</t>
  </si>
  <si>
    <t>Clicking on Go! Would fill up the listbox on the right with the possible matches for the word you entered. Select the node that you wish to focus on. If you can't find it there, that means</t>
  </si>
  <si>
    <t>it is using another name. Try another word.</t>
  </si>
  <si>
    <t>3. Once you select a node on the listbox, the tool will automatically filter the table to focus on that specific node, giving you info such as:</t>
  </si>
  <si>
    <t>1. Immediate parent</t>
  </si>
  <si>
    <t>2. Members (Children, grandchildren)</t>
  </si>
  <si>
    <t>3. Level</t>
  </si>
  <si>
    <t>Use these information to plan the hierarchy changes you would desire to request.</t>
  </si>
  <si>
    <t>The process will be the same, input your changes per line on the right part of the worksheet</t>
  </si>
  <si>
    <t>If you are to add a new node, just add in an aditional row in between the new node and its parent.</t>
  </si>
  <si>
    <t>4. Once you're done with the changes, send the file back to MBS CO - Ronald Pierre Collado so we can communicate it to ZBB.</t>
  </si>
  <si>
    <t>G000001101</t>
  </si>
  <si>
    <t>G000001102</t>
  </si>
  <si>
    <t>G000001103</t>
  </si>
  <si>
    <t>G000001104</t>
  </si>
  <si>
    <t>G000001105</t>
  </si>
  <si>
    <t>G000001106</t>
  </si>
  <si>
    <t>G000001107</t>
  </si>
  <si>
    <t>G000001108</t>
  </si>
  <si>
    <t>G000001109</t>
  </si>
  <si>
    <t>G000001110</t>
  </si>
  <si>
    <t>P000001060</t>
  </si>
  <si>
    <t>P000001061</t>
  </si>
  <si>
    <t>P000001062</t>
  </si>
  <si>
    <t>P000001063</t>
  </si>
  <si>
    <t>P000001064</t>
  </si>
  <si>
    <t>P000001065</t>
  </si>
  <si>
    <t>P000001066</t>
  </si>
  <si>
    <t>P000001067</t>
  </si>
  <si>
    <t>P000001068</t>
  </si>
  <si>
    <t>P000001069</t>
  </si>
  <si>
    <t>L000013513</t>
  </si>
  <si>
    <t>L000013517</t>
  </si>
  <si>
    <t>L000013564</t>
  </si>
  <si>
    <t>L000013526</t>
  </si>
  <si>
    <t>L000013524</t>
  </si>
  <si>
    <t>L000013525</t>
  </si>
  <si>
    <t>L000013520</t>
  </si>
  <si>
    <t>L000013521</t>
  </si>
  <si>
    <t>L000013522</t>
  </si>
  <si>
    <t>L000013523</t>
  </si>
  <si>
    <t>L000013519</t>
  </si>
  <si>
    <t>L000013553</t>
  </si>
  <si>
    <t>L000013563</t>
  </si>
  <si>
    <t>L000013554</t>
  </si>
  <si>
    <t>L000013555</t>
  </si>
  <si>
    <t>L000013556</t>
  </si>
  <si>
    <t>L000013557</t>
  </si>
  <si>
    <t>L000013558</t>
  </si>
  <si>
    <t>L000013559</t>
  </si>
  <si>
    <t>L000013560</t>
  </si>
  <si>
    <t>L000013561</t>
  </si>
  <si>
    <t>L000013562</t>
  </si>
  <si>
    <t>L000013529</t>
  </si>
  <si>
    <t>L000013530</t>
  </si>
  <si>
    <t>L000013534</t>
  </si>
  <si>
    <t>L000013535</t>
  </si>
  <si>
    <t>L000013536</t>
  </si>
  <si>
    <t>L000013537</t>
  </si>
  <si>
    <t>L000013538</t>
  </si>
  <si>
    <t>L000013531</t>
  </si>
  <si>
    <t>L000013539</t>
  </si>
  <si>
    <t>L000013540</t>
  </si>
  <si>
    <t>L000013541</t>
  </si>
  <si>
    <t>L000013542</t>
  </si>
  <si>
    <t>L000013532</t>
  </si>
  <si>
    <t>L000013547</t>
  </si>
  <si>
    <t>L000013548</t>
  </si>
  <si>
    <t>L000013549</t>
  </si>
  <si>
    <t>L000013533</t>
  </si>
  <si>
    <t>L000013550</t>
  </si>
  <si>
    <t>L000013551</t>
  </si>
  <si>
    <t>L000013552</t>
  </si>
  <si>
    <t>L000013543</t>
  </si>
  <si>
    <t>L000013544</t>
  </si>
  <si>
    <t>L000013545</t>
  </si>
  <si>
    <t>L000013546</t>
  </si>
  <si>
    <t>L000013509</t>
  </si>
  <si>
    <t>L000013510</t>
  </si>
  <si>
    <t>L000013511</t>
  </si>
  <si>
    <t>L000013512</t>
  </si>
  <si>
    <t>L000013514</t>
  </si>
  <si>
    <t>L000013515</t>
  </si>
  <si>
    <t>L000013516</t>
  </si>
  <si>
    <t>L000013518</t>
  </si>
  <si>
    <t>L000013527</t>
  </si>
  <si>
    <t>L000013565</t>
  </si>
  <si>
    <t>L000013566</t>
  </si>
  <si>
    <t>L000013567</t>
  </si>
  <si>
    <t>L000013568</t>
  </si>
  <si>
    <t>L000013528</t>
  </si>
  <si>
    <t>L000013569</t>
  </si>
  <si>
    <t>L000013570</t>
  </si>
  <si>
    <t>L000013571</t>
  </si>
  <si>
    <t>L000013572</t>
  </si>
  <si>
    <t>L000013573</t>
  </si>
  <si>
    <t>L000013574</t>
  </si>
  <si>
    <t>L000013575</t>
  </si>
  <si>
    <t>L000013576</t>
  </si>
  <si>
    <t>L000013577</t>
  </si>
  <si>
    <t>L000013578</t>
  </si>
  <si>
    <t>L000013579</t>
  </si>
  <si>
    <t>L000013580</t>
  </si>
  <si>
    <t>L000013581</t>
  </si>
  <si>
    <t>L000013582</t>
  </si>
  <si>
    <t>L000013583</t>
  </si>
  <si>
    <t>L000013584</t>
  </si>
  <si>
    <t>L000013585</t>
  </si>
  <si>
    <t>L000013586</t>
  </si>
  <si>
    <t>L000013587</t>
  </si>
  <si>
    <t>L000013588</t>
  </si>
  <si>
    <t>L000013589</t>
  </si>
  <si>
    <t>L000013590</t>
  </si>
  <si>
    <t>L000013591</t>
  </si>
  <si>
    <t>L000013592</t>
  </si>
  <si>
    <t>L000013593</t>
  </si>
  <si>
    <t>L000013504</t>
  </si>
  <si>
    <t>L000013503</t>
  </si>
  <si>
    <t>L000013505</t>
  </si>
  <si>
    <t>L000013502</t>
  </si>
  <si>
    <t>L000013506</t>
  </si>
  <si>
    <t>L000013507</t>
  </si>
  <si>
    <t>L000013508</t>
  </si>
  <si>
    <t>L000013500</t>
  </si>
  <si>
    <t>L000013501</t>
  </si>
  <si>
    <t>L000013594</t>
  </si>
  <si>
    <t>L000013596</t>
  </si>
  <si>
    <t>L000013597</t>
  </si>
  <si>
    <t>L000013598</t>
  </si>
  <si>
    <t>L000013595</t>
  </si>
  <si>
    <t>P000001089</t>
  </si>
  <si>
    <t>P000001090</t>
  </si>
  <si>
    <t>P000001091</t>
  </si>
  <si>
    <t>P000001092</t>
  </si>
  <si>
    <t>P000001093</t>
  </si>
  <si>
    <t>P000001104</t>
  </si>
  <si>
    <t>P000001105</t>
  </si>
  <si>
    <t>P000001106</t>
  </si>
  <si>
    <t>P000001107</t>
  </si>
  <si>
    <t>P000001108</t>
  </si>
  <si>
    <t>P000001094</t>
  </si>
  <si>
    <t>P000001095</t>
  </si>
  <si>
    <t>P000001096</t>
  </si>
  <si>
    <t>P000001097</t>
  </si>
  <si>
    <t>P000001098</t>
  </si>
  <si>
    <t>P000001099</t>
  </si>
  <si>
    <t>P000001100</t>
  </si>
  <si>
    <t>P000001101</t>
  </si>
  <si>
    <t>P000001102</t>
  </si>
  <si>
    <t>P000001103</t>
  </si>
  <si>
    <t>P000001073</t>
  </si>
  <si>
    <t>P000001074</t>
  </si>
  <si>
    <t>P000001071</t>
  </si>
  <si>
    <t>P000001072</t>
  </si>
  <si>
    <t>P000001075</t>
  </si>
  <si>
    <t>P000001076</t>
  </si>
  <si>
    <t>P000001077</t>
  </si>
  <si>
    <t>P000001078</t>
  </si>
  <si>
    <t>P000001079</t>
  </si>
  <si>
    <t>P000001080</t>
  </si>
  <si>
    <t>P000001087</t>
  </si>
  <si>
    <t>P000001088</t>
  </si>
  <si>
    <t>P000001081</t>
  </si>
  <si>
    <t>P000001082</t>
  </si>
  <si>
    <t>P000001083</t>
  </si>
  <si>
    <t>P000001084</t>
  </si>
  <si>
    <t>P000001085</t>
  </si>
  <si>
    <t>P000001086</t>
  </si>
  <si>
    <t>IT06000000</t>
  </si>
  <si>
    <t>G000001116</t>
  </si>
  <si>
    <t>IT06021600</t>
  </si>
  <si>
    <t>G000001117</t>
  </si>
  <si>
    <t>IT06021700</t>
  </si>
  <si>
    <t>IT06041200</t>
  </si>
  <si>
    <t>IT06900103</t>
  </si>
  <si>
    <t>IT06900000</t>
  </si>
  <si>
    <t>IT06110460</t>
  </si>
  <si>
    <t>G000001118</t>
  </si>
  <si>
    <t>G000001119</t>
  </si>
  <si>
    <t>G000001120</t>
  </si>
  <si>
    <t>IT07010100</t>
  </si>
  <si>
    <t>G000001121</t>
  </si>
  <si>
    <t>IT07010200</t>
  </si>
  <si>
    <t>IT07010000</t>
  </si>
  <si>
    <t>IT07000000</t>
  </si>
  <si>
    <t>IT06030300</t>
  </si>
  <si>
    <t>IT06030800</t>
  </si>
  <si>
    <t>IT06030900</t>
  </si>
  <si>
    <t>IT06031000</t>
  </si>
  <si>
    <t>IT06030200</t>
  </si>
  <si>
    <t>H000004339</t>
  </si>
  <si>
    <t>H000004340</t>
  </si>
  <si>
    <t>H000004341</t>
  </si>
  <si>
    <t>H000004342</t>
  </si>
  <si>
    <t>H000004343</t>
  </si>
  <si>
    <t>H000004344</t>
  </si>
  <si>
    <t>H000004345</t>
  </si>
  <si>
    <t>H000004346</t>
  </si>
  <si>
    <t>H000004333</t>
  </si>
  <si>
    <t>H000004334</t>
  </si>
  <si>
    <t>H000004335</t>
  </si>
  <si>
    <t>H000004336</t>
  </si>
  <si>
    <t>H000004323</t>
  </si>
  <si>
    <t>H000004324</t>
  </si>
  <si>
    <t>H000004326</t>
  </si>
  <si>
    <t>H000004325</t>
  </si>
  <si>
    <t>H000004327</t>
  </si>
  <si>
    <t>H000004328</t>
  </si>
  <si>
    <t>H000004329</t>
  </si>
  <si>
    <t>H000004331</t>
  </si>
  <si>
    <t>H000004330</t>
  </si>
  <si>
    <t>H000004332</t>
  </si>
  <si>
    <t>H000004338</t>
  </si>
  <si>
    <t>H000004337</t>
  </si>
  <si>
    <t>H000004312</t>
  </si>
  <si>
    <t>H000004313</t>
  </si>
  <si>
    <t>H000004314</t>
  </si>
  <si>
    <t>H000004315</t>
  </si>
  <si>
    <t>H000004316</t>
  </si>
  <si>
    <t>H000004317</t>
  </si>
  <si>
    <t>H000004318</t>
  </si>
  <si>
    <t>H000004319</t>
  </si>
  <si>
    <t>H000004320</t>
  </si>
  <si>
    <t>H000004321</t>
  </si>
  <si>
    <t>H000004322</t>
  </si>
  <si>
    <t>G000001133</t>
  </si>
  <si>
    <t>G000001141</t>
  </si>
  <si>
    <t>G000001134</t>
  </si>
  <si>
    <t>G000001142</t>
  </si>
  <si>
    <t>G000001135</t>
  </si>
  <si>
    <t>G000001143</t>
  </si>
  <si>
    <t>G000001136</t>
  </si>
  <si>
    <t>G000001144</t>
  </si>
  <si>
    <t>G000001137</t>
  </si>
  <si>
    <t>G000001145</t>
  </si>
  <si>
    <t>G000001138</t>
  </si>
  <si>
    <t>G000001146</t>
  </si>
  <si>
    <t>G000001139</t>
  </si>
  <si>
    <t>G000001147</t>
  </si>
  <si>
    <t>G000001140</t>
  </si>
  <si>
    <t>G000001148</t>
  </si>
  <si>
    <t>G000001123</t>
  </si>
  <si>
    <t>G000001124</t>
  </si>
  <si>
    <t>G000001125</t>
  </si>
  <si>
    <t>G000001126</t>
  </si>
  <si>
    <t>G000001233</t>
  </si>
  <si>
    <t>G000001234</t>
  </si>
  <si>
    <t>G000001235</t>
  </si>
  <si>
    <t>G000001236</t>
  </si>
  <si>
    <t>G000001237</t>
  </si>
  <si>
    <t>G000001228</t>
  </si>
  <si>
    <t>G000001229</t>
  </si>
  <si>
    <t>H000004350</t>
  </si>
  <si>
    <t>H000004371</t>
  </si>
  <si>
    <t>H000004372</t>
  </si>
  <si>
    <t>H000004376</t>
  </si>
  <si>
    <t>L000013629</t>
  </si>
  <si>
    <t>L000013630</t>
  </si>
  <si>
    <t>L000013631</t>
  </si>
  <si>
    <t>L000013632</t>
  </si>
  <si>
    <t>L000013633</t>
  </si>
  <si>
    <t>L000013634</t>
  </si>
  <si>
    <t>L000013635</t>
  </si>
  <si>
    <t>L000013636</t>
  </si>
  <si>
    <t>L000013637</t>
  </si>
  <si>
    <t>L000013638</t>
  </si>
  <si>
    <t>L000013639</t>
  </si>
  <si>
    <t>L000013672</t>
  </si>
  <si>
    <t>L000013608</t>
  </si>
  <si>
    <t>L000013609</t>
  </si>
  <si>
    <t>L000013610</t>
  </si>
  <si>
    <t>L000013611</t>
  </si>
  <si>
    <t>L000013606</t>
  </si>
  <si>
    <t>L000013675</t>
  </si>
  <si>
    <t>L000013674</t>
  </si>
  <si>
    <t>L000013676</t>
  </si>
  <si>
    <t>L000013619</t>
  </si>
  <si>
    <t>L000013662</t>
  </si>
  <si>
    <t>L000013663</t>
  </si>
  <si>
    <t>L000013671</t>
  </si>
  <si>
    <t>L000013680</t>
  </si>
  <si>
    <t>L000013655</t>
  </si>
  <si>
    <t>L000013656</t>
  </si>
  <si>
    <t>L000013669</t>
  </si>
  <si>
    <t>L000013670</t>
  </si>
  <si>
    <t>L000013666</t>
  </si>
  <si>
    <t>L000013685</t>
  </si>
  <si>
    <t>L000013620</t>
  </si>
  <si>
    <t>L000013599</t>
  </si>
  <si>
    <t>L000013623</t>
  </si>
  <si>
    <t>L000013665</t>
  </si>
  <si>
    <t>P000001143</t>
  </si>
  <si>
    <t>P000001109</t>
  </si>
  <si>
    <t>P000001112</t>
  </si>
  <si>
    <t>P000001118</t>
  </si>
  <si>
    <t>P000001121</t>
  </si>
  <si>
    <t>P000001127</t>
  </si>
  <si>
    <t>P000001128</t>
  </si>
  <si>
    <t>P000001159</t>
  </si>
  <si>
    <t>G000001130</t>
  </si>
  <si>
    <t>G000001131</t>
  </si>
  <si>
    <t>G000001129</t>
  </si>
  <si>
    <t>G000001132</t>
  </si>
  <si>
    <t>G000001128</t>
  </si>
  <si>
    <t>G000001227</t>
  </si>
  <si>
    <t>G000001158</t>
  </si>
  <si>
    <t>G000001159</t>
  </si>
  <si>
    <t>G000001160</t>
  </si>
  <si>
    <t>G000001194</t>
  </si>
  <si>
    <t>G000001195</t>
  </si>
  <si>
    <t>G000001196</t>
  </si>
  <si>
    <t>G000001197</t>
  </si>
  <si>
    <t>G000001198</t>
  </si>
  <si>
    <t>G000001199</t>
  </si>
  <si>
    <t>G000001214</t>
  </si>
  <si>
    <t>G000001215</t>
  </si>
  <si>
    <t>G000001216</t>
  </si>
  <si>
    <t>G000001217</t>
  </si>
  <si>
    <t>G000001209</t>
  </si>
  <si>
    <t>G000001210</t>
  </si>
  <si>
    <t>G000001211</t>
  </si>
  <si>
    <t>G000001212</t>
  </si>
  <si>
    <t>G000001213</t>
  </si>
  <si>
    <t>G000001157</t>
  </si>
  <si>
    <t>G000001149</t>
  </si>
  <si>
    <t>G000001161</t>
  </si>
  <si>
    <t>G000001162</t>
  </si>
  <si>
    <t>G000001163</t>
  </si>
  <si>
    <t>G000001164</t>
  </si>
  <si>
    <t>G000001165</t>
  </si>
  <si>
    <t>G000001166</t>
  </si>
  <si>
    <t>G000001167</t>
  </si>
  <si>
    <t>G000001168</t>
  </si>
  <si>
    <t>G000001169</t>
  </si>
  <si>
    <t>G000001150</t>
  </si>
  <si>
    <t>G000001232</t>
  </si>
  <si>
    <t>G000001170</t>
  </si>
  <si>
    <t>G000001171</t>
  </si>
  <si>
    <t>G000001172</t>
  </si>
  <si>
    <t>G000001173</t>
  </si>
  <si>
    <t>G000001174</t>
  </si>
  <si>
    <t>G000001175</t>
  </si>
  <si>
    <t>G000001176</t>
  </si>
  <si>
    <t>G000001177</t>
  </si>
  <si>
    <t>G000001178</t>
  </si>
  <si>
    <t>G000001151</t>
  </si>
  <si>
    <t>G000001179</t>
  </si>
  <si>
    <t>G000001180</t>
  </si>
  <si>
    <t>G000001181</t>
  </si>
  <si>
    <t>G000001152</t>
  </si>
  <si>
    <t>G000001182</t>
  </si>
  <si>
    <t>G000001183</t>
  </si>
  <si>
    <t>G000001153</t>
  </si>
  <si>
    <t>G000001184</t>
  </si>
  <si>
    <t>G000001185</t>
  </si>
  <si>
    <t>G000001186</t>
  </si>
  <si>
    <t>G000001187</t>
  </si>
  <si>
    <t>G000001188</t>
  </si>
  <si>
    <t>G000001189</t>
  </si>
  <si>
    <t>G000001190</t>
  </si>
  <si>
    <t>G000001191</t>
  </si>
  <si>
    <t>G000001192</t>
  </si>
  <si>
    <t>G000001193</t>
  </si>
  <si>
    <t>G000001154</t>
  </si>
  <si>
    <t>G000001200</t>
  </si>
  <si>
    <t>G000001201</t>
  </si>
  <si>
    <t>G000001202</t>
  </si>
  <si>
    <t>G000001203</t>
  </si>
  <si>
    <t>G000001204</t>
  </si>
  <si>
    <t>G000001205</t>
  </si>
  <si>
    <t>G000001206</t>
  </si>
  <si>
    <t>G000001207</t>
  </si>
  <si>
    <t>G000001208</t>
  </si>
  <si>
    <t>G000001155</t>
  </si>
  <si>
    <t>G000001218</t>
  </si>
  <si>
    <t>G000001219</t>
  </si>
  <si>
    <t>G000001220</t>
  </si>
  <si>
    <t>G000001221</t>
  </si>
  <si>
    <t>G000001222</t>
  </si>
  <si>
    <t>G000001156</t>
  </si>
  <si>
    <t>IT06071400</t>
  </si>
  <si>
    <t>IT06071500</t>
  </si>
  <si>
    <t>IT06071600</t>
  </si>
  <si>
    <t>IT06071700</t>
  </si>
  <si>
    <t>IT06071800</t>
  </si>
  <si>
    <t>IT06071900</t>
  </si>
  <si>
    <t>IT06100600</t>
  </si>
  <si>
    <t>G000001127</t>
  </si>
  <si>
    <t>G000001223</t>
  </si>
  <si>
    <t>G000001224</t>
  </si>
  <si>
    <t>G000001225</t>
  </si>
  <si>
    <t>G000001226</t>
  </si>
  <si>
    <t>IT07010300</t>
  </si>
  <si>
    <t>IT07010400</t>
  </si>
  <si>
    <t>G000001231</t>
  </si>
  <si>
    <t>G000001230</t>
  </si>
  <si>
    <t>IT06031300</t>
  </si>
  <si>
    <t>H000004359</t>
  </si>
  <si>
    <t>H000004360</t>
  </si>
  <si>
    <t>H000004369</t>
  </si>
  <si>
    <t>H000004370</t>
  </si>
  <si>
    <t>H000004361</t>
  </si>
  <si>
    <t>H000004362</t>
  </si>
  <si>
    <t>H000004363</t>
  </si>
  <si>
    <t>H000004375</t>
  </si>
  <si>
    <t>H000004374</t>
  </si>
  <si>
    <t>H000004373</t>
  </si>
  <si>
    <t>H000004351</t>
  </si>
  <si>
    <t>H000004352</t>
  </si>
  <si>
    <t>H000004354</t>
  </si>
  <si>
    <t>H000004367</t>
  </si>
  <si>
    <t>H000004347</t>
  </si>
  <si>
    <t>H000004348</t>
  </si>
  <si>
    <t>H000004366</t>
  </si>
  <si>
    <t>H000004353</t>
  </si>
  <si>
    <t>H000004365</t>
  </si>
  <si>
    <t>H000004357</t>
  </si>
  <si>
    <t>H000004368</t>
  </si>
  <si>
    <t>H000004355</t>
  </si>
  <si>
    <t>H000004349</t>
  </si>
  <si>
    <t>H000004356</t>
  </si>
  <si>
    <t>PL_E2_CH56</t>
  </si>
  <si>
    <t>H000004378</t>
  </si>
  <si>
    <t>H000004364</t>
  </si>
  <si>
    <t>H000004380</t>
  </si>
  <si>
    <t>H000004377</t>
  </si>
  <si>
    <t>RDC0000432</t>
  </si>
  <si>
    <t>H000004379</t>
  </si>
  <si>
    <t>L000013688</t>
  </si>
  <si>
    <t>L000013677</t>
  </si>
  <si>
    <t>L000013654</t>
  </si>
  <si>
    <t>L000013646</t>
  </si>
  <si>
    <t>L000013647</t>
  </si>
  <si>
    <t>L000013648</t>
  </si>
  <si>
    <t>L000013649</t>
  </si>
  <si>
    <t>L000013650</t>
  </si>
  <si>
    <t>L000013640</t>
  </si>
  <si>
    <t>L000013641</t>
  </si>
  <si>
    <t>L000013642</t>
  </si>
  <si>
    <t>L000013643</t>
  </si>
  <si>
    <t>L000013644</t>
  </si>
  <si>
    <t>L000013645</t>
  </si>
  <si>
    <t>L000013651</t>
  </si>
  <si>
    <t>L000013652</t>
  </si>
  <si>
    <t>L000013653</t>
  </si>
  <si>
    <t>L000013679</t>
  </si>
  <si>
    <t>L000013605</t>
  </si>
  <si>
    <t>L000013657</t>
  </si>
  <si>
    <t>L000013658</t>
  </si>
  <si>
    <t>L000013659</t>
  </si>
  <si>
    <t>L000013660</t>
  </si>
  <si>
    <t>L000013661</t>
  </si>
  <si>
    <t>L000013607</t>
  </si>
  <si>
    <t>L000013673</t>
  </si>
  <si>
    <t>L000013603</t>
  </si>
  <si>
    <t>L000013604</t>
  </si>
  <si>
    <t>L000013664</t>
  </si>
  <si>
    <t>PL_E4_ZA02</t>
  </si>
  <si>
    <t>L000013600</t>
  </si>
  <si>
    <t>L000013601</t>
  </si>
  <si>
    <t>L000013602</t>
  </si>
  <si>
    <t>PL_E4_US05</t>
  </si>
  <si>
    <t>L000013678</t>
  </si>
  <si>
    <t>PL_E6_0101</t>
  </si>
  <si>
    <t>L000013612</t>
  </si>
  <si>
    <t>L000013613</t>
  </si>
  <si>
    <t>L000013614</t>
  </si>
  <si>
    <t>L000013615</t>
  </si>
  <si>
    <t>L000013616</t>
  </si>
  <si>
    <t>L000013617</t>
  </si>
  <si>
    <t>L000013618</t>
  </si>
  <si>
    <t>L000013681</t>
  </si>
  <si>
    <t>L000013682</t>
  </si>
  <si>
    <t>L000013683</t>
  </si>
  <si>
    <t>L000013684</t>
  </si>
  <si>
    <t>L000013667</t>
  </si>
  <si>
    <t>L000013668</t>
  </si>
  <si>
    <t>L000013621</t>
  </si>
  <si>
    <t>IT06051000</t>
  </si>
  <si>
    <t>L000013686</t>
  </si>
  <si>
    <t>L000013622</t>
  </si>
  <si>
    <t>L000013626</t>
  </si>
  <si>
    <t>L000013627</t>
  </si>
  <si>
    <t>L000013628</t>
  </si>
  <si>
    <t>L000013624</t>
  </si>
  <si>
    <t>L000013625</t>
  </si>
  <si>
    <t>L000013687</t>
  </si>
  <si>
    <t>P000001169</t>
  </si>
  <si>
    <t>P000001170</t>
  </si>
  <si>
    <t>P000001165</t>
  </si>
  <si>
    <t>P000001171</t>
  </si>
  <si>
    <t>P000001167</t>
  </si>
  <si>
    <t>P000001168</t>
  </si>
  <si>
    <t>P000001110</t>
  </si>
  <si>
    <t>P000001111</t>
  </si>
  <si>
    <t>P000001113</t>
  </si>
  <si>
    <t>P000001114</t>
  </si>
  <si>
    <t>P000001115</t>
  </si>
  <si>
    <t>P000001116</t>
  </si>
  <si>
    <t>P000001117</t>
  </si>
  <si>
    <t>P000001119</t>
  </si>
  <si>
    <t>P000001120</t>
  </si>
  <si>
    <t>P000001122</t>
  </si>
  <si>
    <t>P000001123</t>
  </si>
  <si>
    <t>P000001124</t>
  </si>
  <si>
    <t>P000001125</t>
  </si>
  <si>
    <t>P000001126</t>
  </si>
  <si>
    <t>P000001129</t>
  </si>
  <si>
    <t>P000001130</t>
  </si>
  <si>
    <t>P000001131</t>
  </si>
  <si>
    <t>P000001132</t>
  </si>
  <si>
    <t>P000001133</t>
  </si>
  <si>
    <t>P000001134</t>
  </si>
  <si>
    <t>P000001135</t>
  </si>
  <si>
    <t>P000001136</t>
  </si>
  <si>
    <t>P000001137</t>
  </si>
  <si>
    <t>P000001160</t>
  </si>
  <si>
    <t>PL_E4_US44</t>
  </si>
  <si>
    <t>P000001140</t>
  </si>
  <si>
    <t>P000001144</t>
  </si>
  <si>
    <t>P000001145</t>
  </si>
  <si>
    <t>P000001146</t>
  </si>
  <si>
    <t>P000001147</t>
  </si>
  <si>
    <t>P000001156</t>
  </si>
  <si>
    <t>P000001148</t>
  </si>
  <si>
    <t>P000001149</t>
  </si>
  <si>
    <t>P000001150</t>
  </si>
  <si>
    <t>P000001151</t>
  </si>
  <si>
    <t>P000001157</t>
  </si>
  <si>
    <t>P000001152</t>
  </si>
  <si>
    <t>P000001153</t>
  </si>
  <si>
    <t>P000001154</t>
  </si>
  <si>
    <t>P000001155</t>
  </si>
  <si>
    <t>P000001158</t>
  </si>
  <si>
    <t>P000001161</t>
  </si>
  <si>
    <t>P000001162</t>
  </si>
  <si>
    <t>P000001163</t>
  </si>
  <si>
    <t>P000001164</t>
  </si>
  <si>
    <t>P000001166</t>
  </si>
  <si>
    <t>P000001138</t>
  </si>
  <si>
    <t>P000001141</t>
  </si>
  <si>
    <t>P000001142</t>
  </si>
  <si>
    <t>*CCTRG</t>
  </si>
  <si>
    <t>TXTMI</t>
  </si>
  <si>
    <t>G000001238</t>
  </si>
  <si>
    <t>G000001239</t>
  </si>
  <si>
    <t>G000001240</t>
  </si>
  <si>
    <t>G000001241</t>
  </si>
  <si>
    <t>G000001242</t>
  </si>
  <si>
    <t>G000001243</t>
  </si>
  <si>
    <t>G000001244</t>
  </si>
  <si>
    <t>G000001245</t>
  </si>
  <si>
    <t>G000001246</t>
  </si>
  <si>
    <t>G000001247</t>
  </si>
  <si>
    <t>G000001248</t>
  </si>
  <si>
    <t>G000001249</t>
  </si>
  <si>
    <t>G000001250</t>
  </si>
  <si>
    <t>G000001251</t>
  </si>
  <si>
    <t>G000001252</t>
  </si>
  <si>
    <t>G000001253</t>
  </si>
  <si>
    <t>G000001254</t>
  </si>
  <si>
    <t>G000001255</t>
  </si>
  <si>
    <t>G000001256</t>
  </si>
  <si>
    <t>G000001257</t>
  </si>
  <si>
    <t>G000001258</t>
  </si>
  <si>
    <t>G000001259</t>
  </si>
  <si>
    <t>G000001260</t>
  </si>
  <si>
    <t>G000001261</t>
  </si>
  <si>
    <t>G000001262</t>
  </si>
  <si>
    <t>H000004381</t>
  </si>
  <si>
    <t>H000004382</t>
  </si>
  <si>
    <t>IT06042500</t>
  </si>
  <si>
    <t>IT06100700</t>
  </si>
  <si>
    <t>IT06100800</t>
  </si>
  <si>
    <t>L000013689</t>
  </si>
  <si>
    <t>L000013690</t>
  </si>
  <si>
    <t>L000013691</t>
  </si>
  <si>
    <t>L000013692</t>
  </si>
  <si>
    <t>L000013693</t>
  </si>
  <si>
    <t>L000013694</t>
  </si>
  <si>
    <t>L000013695</t>
  </si>
  <si>
    <t>L000013696</t>
  </si>
  <si>
    <t>L000013697</t>
  </si>
  <si>
    <t>L000013698</t>
  </si>
  <si>
    <t>L000013699</t>
  </si>
  <si>
    <t>L000013700</t>
  </si>
  <si>
    <t>L000013701</t>
  </si>
  <si>
    <t>L000013702</t>
  </si>
  <si>
    <t>L000013703</t>
  </si>
  <si>
    <t>L000013704</t>
  </si>
  <si>
    <t>L000013705</t>
  </si>
  <si>
    <t>L000013706</t>
  </si>
  <si>
    <t>L000013707</t>
  </si>
  <si>
    <t>L000013708</t>
  </si>
  <si>
    <t>L000013709</t>
  </si>
  <si>
    <t>L000013710</t>
  </si>
  <si>
    <t>L000013711</t>
  </si>
  <si>
    <t>L000013712</t>
  </si>
  <si>
    <t>L000013713</t>
  </si>
  <si>
    <t>L000013714</t>
  </si>
  <si>
    <t>L000013715</t>
  </si>
  <si>
    <t>L000013716</t>
  </si>
  <si>
    <t>L000013717</t>
  </si>
  <si>
    <t>L000013718</t>
  </si>
  <si>
    <t>L000013719</t>
  </si>
  <si>
    <t>L000013720</t>
  </si>
  <si>
    <t>L000013721</t>
  </si>
  <si>
    <t>L000013722</t>
  </si>
  <si>
    <t>L000013723</t>
  </si>
  <si>
    <t>L000013724</t>
  </si>
  <si>
    <t>L000013725</t>
  </si>
  <si>
    <t>L000013726</t>
  </si>
  <si>
    <t>L000013727</t>
  </si>
  <si>
    <t>L000013728</t>
  </si>
  <si>
    <t>L000013729</t>
  </si>
  <si>
    <t>L000013730</t>
  </si>
  <si>
    <t>L000013731</t>
  </si>
  <si>
    <t>L000013732</t>
  </si>
  <si>
    <t>L000013733</t>
  </si>
  <si>
    <t>L000013734</t>
  </si>
  <si>
    <t>L000013735</t>
  </si>
  <si>
    <t>L000013736</t>
  </si>
  <si>
    <t>L000013737</t>
  </si>
  <si>
    <t>L000013738</t>
  </si>
  <si>
    <t>L000013739</t>
  </si>
  <si>
    <t>L000013740</t>
  </si>
  <si>
    <t>L000013741</t>
  </si>
  <si>
    <t>L000013742</t>
  </si>
  <si>
    <t>L000013743</t>
  </si>
  <si>
    <t>L000013744</t>
  </si>
  <si>
    <t>L000013745</t>
  </si>
  <si>
    <t>L000013746</t>
  </si>
  <si>
    <t>L000013747</t>
  </si>
  <si>
    <t>L000013748</t>
  </si>
  <si>
    <t>L000013749</t>
  </si>
  <si>
    <t>L000013750</t>
  </si>
  <si>
    <t>L000013751</t>
  </si>
  <si>
    <t>L000013752</t>
  </si>
  <si>
    <t>L000013753</t>
  </si>
  <si>
    <t>L000013754</t>
  </si>
  <si>
    <t>L000013755</t>
  </si>
  <si>
    <t>L000013756</t>
  </si>
  <si>
    <t>L000013757</t>
  </si>
  <si>
    <t>L000013758</t>
  </si>
  <si>
    <t>L000013759</t>
  </si>
  <si>
    <t>L000013760</t>
  </si>
  <si>
    <t>L000013761</t>
  </si>
  <si>
    <t>L000013762</t>
  </si>
  <si>
    <t>L000013763</t>
  </si>
  <si>
    <t>L000013764</t>
  </si>
  <si>
    <t>L000013765</t>
  </si>
  <si>
    <t>L000013766</t>
  </si>
  <si>
    <t>L000013767</t>
  </si>
  <si>
    <t>L000013768</t>
  </si>
  <si>
    <t>L000013769</t>
  </si>
  <si>
    <t>P000001172</t>
  </si>
  <si>
    <t>P000001173</t>
  </si>
  <si>
    <t>P000001174</t>
  </si>
  <si>
    <t>P000001175</t>
  </si>
  <si>
    <t>P000001176</t>
  </si>
  <si>
    <t>P000001177</t>
  </si>
  <si>
    <t>P000001178</t>
  </si>
  <si>
    <t>P000001179</t>
  </si>
  <si>
    <t>P000001180</t>
  </si>
  <si>
    <t>P000001181</t>
  </si>
  <si>
    <t>P000001182</t>
  </si>
  <si>
    <t>P000001183</t>
  </si>
  <si>
    <t>P000001184</t>
  </si>
  <si>
    <t>P000001185</t>
  </si>
  <si>
    <t>P000001186</t>
  </si>
  <si>
    <t>index</t>
  </si>
  <si>
    <t>G000001272</t>
  </si>
  <si>
    <t>G000001263</t>
  </si>
  <si>
    <t>G000001264</t>
  </si>
  <si>
    <t>G000001265</t>
  </si>
  <si>
    <t>G000001276</t>
  </si>
  <si>
    <t>IT06072000</t>
  </si>
  <si>
    <t>G000001277</t>
  </si>
  <si>
    <t>IT06072100</t>
  </si>
  <si>
    <t>G000001278</t>
  </si>
  <si>
    <t>IT06072200</t>
  </si>
  <si>
    <t>G000001266</t>
  </si>
  <si>
    <t>G000001267</t>
  </si>
  <si>
    <t>G000001269</t>
  </si>
  <si>
    <t>G000001268</t>
  </si>
  <si>
    <t>G000001270</t>
  </si>
  <si>
    <t>G000001271</t>
  </si>
  <si>
    <t>H000004386</t>
  </si>
  <si>
    <t>IT06031400</t>
  </si>
  <si>
    <t>H000004387</t>
  </si>
  <si>
    <t>IT06031500</t>
  </si>
  <si>
    <t>H000004385</t>
  </si>
  <si>
    <t>H000004384</t>
  </si>
  <si>
    <t>H000004383</t>
  </si>
  <si>
    <t>L000013780</t>
  </si>
  <si>
    <t>L000013781</t>
  </si>
  <si>
    <t>L000013782</t>
  </si>
  <si>
    <t>L000013772</t>
  </si>
  <si>
    <t>L000013770</t>
  </si>
  <si>
    <t>L000013771</t>
  </si>
  <si>
    <t>L000013779</t>
  </si>
  <si>
    <t>L000013783</t>
  </si>
  <si>
    <t>L000013784</t>
  </si>
  <si>
    <t>L000013785</t>
  </si>
  <si>
    <t>L000013786</t>
  </si>
  <si>
    <t>L000013787</t>
  </si>
  <si>
    <t>L000013788</t>
  </si>
  <si>
    <t>L000013789</t>
  </si>
  <si>
    <t>L000013776</t>
  </si>
  <si>
    <t>L000013777</t>
  </si>
  <si>
    <t>L000013778</t>
  </si>
  <si>
    <t>L000013773</t>
  </si>
  <si>
    <t>L000013774</t>
  </si>
  <si>
    <t>L000013775</t>
  </si>
  <si>
    <t>P000001199</t>
  </si>
  <si>
    <t>P000001197</t>
  </si>
  <si>
    <t>P000001198</t>
  </si>
  <si>
    <t>P000001187</t>
  </si>
  <si>
    <t>P000001188</t>
  </si>
  <si>
    <t>P000001189</t>
  </si>
  <si>
    <t>P000001190</t>
  </si>
  <si>
    <t>P000001191</t>
  </si>
  <si>
    <t>P000001194</t>
  </si>
  <si>
    <t>P000001192</t>
  </si>
  <si>
    <t>P000001193</t>
  </si>
  <si>
    <t>P000001195</t>
  </si>
  <si>
    <t>P000001196</t>
  </si>
  <si>
    <t>O000000010</t>
  </si>
  <si>
    <t>G000001279</t>
  </si>
  <si>
    <t>G000001280</t>
  </si>
  <si>
    <t>G000001281</t>
  </si>
  <si>
    <t>G000001282</t>
  </si>
  <si>
    <t>G000001283</t>
  </si>
  <si>
    <t>G000001284</t>
  </si>
  <si>
    <t>G000001285</t>
  </si>
  <si>
    <t>G000001286</t>
  </si>
  <si>
    <t>G000001287</t>
  </si>
  <si>
    <t>G000001288</t>
  </si>
  <si>
    <t>G000001289</t>
  </si>
  <si>
    <t>G000001290</t>
  </si>
  <si>
    <t>G000001291</t>
  </si>
  <si>
    <t>G000001292</t>
  </si>
  <si>
    <t>G000001293</t>
  </si>
  <si>
    <t>G000001294</t>
  </si>
  <si>
    <t>G000001295</t>
  </si>
  <si>
    <t>G000001296</t>
  </si>
  <si>
    <t>G000001297</t>
  </si>
  <si>
    <t>G000001298</t>
  </si>
  <si>
    <t>G000001299</t>
  </si>
  <si>
    <t>G000001300</t>
  </si>
  <si>
    <t>G000001301</t>
  </si>
  <si>
    <t>G000001302</t>
  </si>
  <si>
    <t>G000001303</t>
  </si>
  <si>
    <t>G000001304</t>
  </si>
  <si>
    <t>G000001305</t>
  </si>
  <si>
    <t>G000001306</t>
  </si>
  <si>
    <t>G000001307</t>
  </si>
  <si>
    <t>G000001308</t>
  </si>
  <si>
    <t>G000001309</t>
  </si>
  <si>
    <t>G000001310</t>
  </si>
  <si>
    <t>G000001311</t>
  </si>
  <si>
    <t>G000001312</t>
  </si>
  <si>
    <t>G000001313</t>
  </si>
  <si>
    <t>G000001314</t>
  </si>
  <si>
    <t>G000001315</t>
  </si>
  <si>
    <t>G000001316</t>
  </si>
  <si>
    <t>G000001317</t>
  </si>
  <si>
    <t>G000001318</t>
  </si>
  <si>
    <t>G000001319</t>
  </si>
  <si>
    <t>G000001320</t>
  </si>
  <si>
    <t>G000001321</t>
  </si>
  <si>
    <t>G000001322</t>
  </si>
  <si>
    <t>G000001323</t>
  </si>
  <si>
    <t>G000001324</t>
  </si>
  <si>
    <t>G000001325</t>
  </si>
  <si>
    <t>G000001326</t>
  </si>
  <si>
    <t>G000001327</t>
  </si>
  <si>
    <t>G000001328</t>
  </si>
  <si>
    <t>G000001329</t>
  </si>
  <si>
    <t>G000001330</t>
  </si>
  <si>
    <t>G000001331</t>
  </si>
  <si>
    <t>G000001332</t>
  </si>
  <si>
    <t>G000001333</t>
  </si>
  <si>
    <t>G000001334</t>
  </si>
  <si>
    <t>G000001335</t>
  </si>
  <si>
    <t>G000001336</t>
  </si>
  <si>
    <t>G000001337</t>
  </si>
  <si>
    <t>G000001338</t>
  </si>
  <si>
    <t>G000001339</t>
  </si>
  <si>
    <t>G000001340</t>
  </si>
  <si>
    <t>G000001341</t>
  </si>
  <si>
    <t>G000001342</t>
  </si>
  <si>
    <t>G000001343</t>
  </si>
  <si>
    <t>G000001344</t>
  </si>
  <si>
    <t>G000001345</t>
  </si>
  <si>
    <t>G000001346</t>
  </si>
  <si>
    <t>G000001347</t>
  </si>
  <si>
    <t>G000001348</t>
  </si>
  <si>
    <t>G000001349</t>
  </si>
  <si>
    <t>G000001350</t>
  </si>
  <si>
    <t>G000001351</t>
  </si>
  <si>
    <t>G000001352</t>
  </si>
  <si>
    <t>G000001353</t>
  </si>
  <si>
    <t>G000001354</t>
  </si>
  <si>
    <t>G000001355</t>
  </si>
  <si>
    <t>H000004388</t>
  </si>
  <si>
    <t>H000004389</t>
  </si>
  <si>
    <t>H000004390</t>
  </si>
  <si>
    <t>H000004391</t>
  </si>
  <si>
    <t>H000004392</t>
  </si>
  <si>
    <t>H000004393</t>
  </si>
  <si>
    <t>L000013790</t>
  </si>
  <si>
    <t>L000013791</t>
  </si>
  <si>
    <t>L000013792</t>
  </si>
  <si>
    <t>L000013793</t>
  </si>
  <si>
    <t>L000013794</t>
  </si>
  <si>
    <t>L000013795</t>
  </si>
  <si>
    <t>L000013796</t>
  </si>
  <si>
    <t>L000013797</t>
  </si>
  <si>
    <t>L000013798</t>
  </si>
  <si>
    <t>L000013799</t>
  </si>
  <si>
    <t>L000013800</t>
  </si>
  <si>
    <t>L000013801</t>
  </si>
  <si>
    <t>L000013802</t>
  </si>
  <si>
    <t>L000013803</t>
  </si>
  <si>
    <t>L000013804</t>
  </si>
  <si>
    <t>L000013805</t>
  </si>
  <si>
    <t>L000013806</t>
  </si>
  <si>
    <t>L000013807</t>
  </si>
  <si>
    <t>L000013808</t>
  </si>
  <si>
    <t>L000013809</t>
  </si>
  <si>
    <t>L000013810</t>
  </si>
  <si>
    <t>L000013811</t>
  </si>
  <si>
    <t>L000013812</t>
  </si>
  <si>
    <t>L000013813</t>
  </si>
  <si>
    <t>L000013814</t>
  </si>
  <si>
    <t>L000013815</t>
  </si>
  <si>
    <t>L000013816</t>
  </si>
  <si>
    <t>P000001200</t>
  </si>
  <si>
    <t>P000001201</t>
  </si>
  <si>
    <t>P000001202</t>
  </si>
  <si>
    <t>P000001203</t>
  </si>
  <si>
    <t>P000001204</t>
  </si>
  <si>
    <t>P000001205</t>
  </si>
  <si>
    <t>P000001206</t>
  </si>
  <si>
    <t>P000001207</t>
  </si>
  <si>
    <t>P000001208</t>
  </si>
  <si>
    <t>P000001209</t>
  </si>
  <si>
    <t>P000001210</t>
  </si>
  <si>
    <t>P000001211</t>
  </si>
  <si>
    <t>P000001212</t>
  </si>
  <si>
    <t>P000001213</t>
  </si>
  <si>
    <t>P000001214</t>
  </si>
  <si>
    <t>P000001215</t>
  </si>
  <si>
    <t>P000001216</t>
  </si>
  <si>
    <t>P000001217</t>
  </si>
  <si>
    <t>P000001218</t>
  </si>
  <si>
    <t>P000001219</t>
  </si>
  <si>
    <t>P000001220</t>
  </si>
  <si>
    <t>P000001221</t>
  </si>
  <si>
    <t>P000001222</t>
  </si>
  <si>
    <t>P000001223</t>
  </si>
  <si>
    <t>P000001224</t>
  </si>
  <si>
    <t>P000001225</t>
  </si>
  <si>
    <t>P000001226</t>
  </si>
  <si>
    <t>P000001227</t>
  </si>
  <si>
    <t>P000001228</t>
  </si>
  <si>
    <t>P000001229</t>
  </si>
  <si>
    <t>P000001230</t>
  </si>
  <si>
    <t>P000001231</t>
  </si>
  <si>
    <t>P000001232</t>
  </si>
  <si>
    <t>P000001233</t>
  </si>
  <si>
    <t>P000001234</t>
  </si>
  <si>
    <t>P000001235</t>
  </si>
  <si>
    <t>P000001236</t>
  </si>
  <si>
    <t>P000001237</t>
  </si>
  <si>
    <t>P000001238</t>
  </si>
  <si>
    <t>P000001239</t>
  </si>
  <si>
    <t>P000001240</t>
  </si>
  <si>
    <t>P000001241</t>
  </si>
  <si>
    <t>P000001242</t>
  </si>
  <si>
    <t>P000001243</t>
  </si>
  <si>
    <t>P000001244</t>
  </si>
  <si>
    <t>P000001245</t>
  </si>
  <si>
    <t>P000001246</t>
  </si>
  <si>
    <t>P000001247</t>
  </si>
  <si>
    <t>P000001248</t>
  </si>
  <si>
    <t>P000001249</t>
  </si>
  <si>
    <t>P000001250</t>
  </si>
  <si>
    <t>P000001251</t>
  </si>
  <si>
    <t>P000001252</t>
  </si>
  <si>
    <t>P000001253</t>
  </si>
  <si>
    <t>G000001358</t>
  </si>
  <si>
    <t>G000001357</t>
  </si>
  <si>
    <t>G000001356</t>
  </si>
  <si>
    <t>IT06100900</t>
  </si>
  <si>
    <t>L000006865</t>
  </si>
  <si>
    <t>L000013824</t>
  </si>
  <si>
    <t>L000013825</t>
  </si>
  <si>
    <t>L000013818</t>
  </si>
  <si>
    <t>L000013817</t>
  </si>
  <si>
    <t>L000013819</t>
  </si>
  <si>
    <t>L000013820</t>
  </si>
  <si>
    <t>L000013821</t>
  </si>
  <si>
    <t>L000013822</t>
  </si>
  <si>
    <t>L000013823</t>
  </si>
  <si>
    <t>P000001267</t>
  </si>
  <si>
    <t>P000001265</t>
  </si>
  <si>
    <t>P000001266</t>
  </si>
  <si>
    <t>P000001254</t>
  </si>
  <si>
    <t>P000001255</t>
  </si>
  <si>
    <t>P000001256</t>
  </si>
  <si>
    <t>P000001257</t>
  </si>
  <si>
    <t>P000001258</t>
  </si>
  <si>
    <t>P000001259</t>
  </si>
  <si>
    <t>P000001260</t>
  </si>
  <si>
    <t>P000001261</t>
  </si>
  <si>
    <t>P000001262</t>
  </si>
  <si>
    <t>P000001263</t>
  </si>
  <si>
    <t>P000001264</t>
  </si>
  <si>
    <t>G000001359</t>
  </si>
  <si>
    <t>P000001277</t>
  </si>
  <si>
    <t>L000013858</t>
  </si>
  <si>
    <t>P000001311</t>
  </si>
  <si>
    <t>L000013838</t>
  </si>
  <si>
    <t>L000013850</t>
  </si>
  <si>
    <t>L000013852</t>
  </si>
  <si>
    <t>L000013856</t>
  </si>
  <si>
    <t>P000001322</t>
  </si>
  <si>
    <t>G000001381</t>
  </si>
  <si>
    <t>L000013837</t>
  </si>
  <si>
    <t>L000013874</t>
  </si>
  <si>
    <t>G000001362</t>
  </si>
  <si>
    <t>G000001363</t>
  </si>
  <si>
    <t>P000001310</t>
  </si>
  <si>
    <t>G000001364</t>
  </si>
  <si>
    <t>P000001318</t>
  </si>
  <si>
    <t>L000013853</t>
  </si>
  <si>
    <t>L000013870</t>
  </si>
  <si>
    <t>L000013871</t>
  </si>
  <si>
    <t>P000001309</t>
  </si>
  <si>
    <t>P000001316</t>
  </si>
  <si>
    <t>G000001361</t>
  </si>
  <si>
    <t>H000004395</t>
  </si>
  <si>
    <t>L000013851</t>
  </si>
  <si>
    <t>L000013859</t>
  </si>
  <si>
    <t>P000001285</t>
  </si>
  <si>
    <t>G000001371</t>
  </si>
  <si>
    <t>L000013844</t>
  </si>
  <si>
    <t>L000013846</t>
  </si>
  <si>
    <t>P000001287</t>
  </si>
  <si>
    <t>G000001379</t>
  </si>
  <si>
    <t>L000013830</t>
  </si>
  <si>
    <t>L000013832</t>
  </si>
  <si>
    <t>L000013860</t>
  </si>
  <si>
    <t>P000001301</t>
  </si>
  <si>
    <t>L000013849</t>
  </si>
  <si>
    <t>P000001315</t>
  </si>
  <si>
    <t>G000001374</t>
  </si>
  <si>
    <t>L000013843</t>
  </si>
  <si>
    <t>L000013855</t>
  </si>
  <si>
    <t>L000013861</t>
  </si>
  <si>
    <t>P000001281</t>
  </si>
  <si>
    <t>P000001317</t>
  </si>
  <si>
    <t>L000013836</t>
  </si>
  <si>
    <t>L000013842</t>
  </si>
  <si>
    <t>P000001300</t>
  </si>
  <si>
    <t>L000013826</t>
  </si>
  <si>
    <t>L000013840</t>
  </si>
  <si>
    <t>L000013868</t>
  </si>
  <si>
    <t>P000001280</t>
  </si>
  <si>
    <t>G000001373</t>
  </si>
  <si>
    <t>L000013827</t>
  </si>
  <si>
    <t>L000013829</t>
  </si>
  <si>
    <t>L000013863</t>
  </si>
  <si>
    <t>P000001307</t>
  </si>
  <si>
    <t>G000001367</t>
  </si>
  <si>
    <t>G000001369</t>
  </si>
  <si>
    <t>G000001370</t>
  </si>
  <si>
    <t>L000013847</t>
  </si>
  <si>
    <t>P000001273</t>
  </si>
  <si>
    <t>P000001284</t>
  </si>
  <si>
    <t>P000001293</t>
  </si>
  <si>
    <t>P000001313</t>
  </si>
  <si>
    <t>G000001365</t>
  </si>
  <si>
    <t>G000001372</t>
  </si>
  <si>
    <t>G000001377</t>
  </si>
  <si>
    <t>G000001378</t>
  </si>
  <si>
    <t>L000013862</t>
  </si>
  <si>
    <t>P000001292</t>
  </si>
  <si>
    <t>P000001302</t>
  </si>
  <si>
    <t>G000001360</t>
  </si>
  <si>
    <t>G000001380</t>
  </si>
  <si>
    <t>L000013857</t>
  </si>
  <si>
    <t>L000013873</t>
  </si>
  <si>
    <t>P000001274</t>
  </si>
  <si>
    <t>P000001276</t>
  </si>
  <si>
    <t>P000001278</t>
  </si>
  <si>
    <t>P000001286</t>
  </si>
  <si>
    <t>P000001290</t>
  </si>
  <si>
    <t>P000001306</t>
  </si>
  <si>
    <t>L000013828</t>
  </si>
  <si>
    <t>L000013833</t>
  </si>
  <si>
    <t>L000013839</t>
  </si>
  <si>
    <t>L000013872</t>
  </si>
  <si>
    <t>P000001270</t>
  </si>
  <si>
    <t>P000001275</t>
  </si>
  <si>
    <t>P000001295</t>
  </si>
  <si>
    <t>G000001368</t>
  </si>
  <si>
    <t>L000013854</t>
  </si>
  <si>
    <t>P000001279</t>
  </si>
  <si>
    <t>P000001289</t>
  </si>
  <si>
    <t>P000001304</t>
  </si>
  <si>
    <t>P000001312</t>
  </si>
  <si>
    <t>G000001376</t>
  </si>
  <si>
    <t>P000001282</t>
  </si>
  <si>
    <t>P000001283</t>
  </si>
  <si>
    <t>P000001291</t>
  </si>
  <si>
    <t>P000001314</t>
  </si>
  <si>
    <t>G000001375</t>
  </si>
  <si>
    <t>L000013848</t>
  </si>
  <si>
    <t>L000013866</t>
  </si>
  <si>
    <t>L000013867</t>
  </si>
  <si>
    <t>P000001268</t>
  </si>
  <si>
    <t>P000001294</t>
  </si>
  <si>
    <t>P000001308</t>
  </si>
  <si>
    <t>P000001323</t>
  </si>
  <si>
    <t>L000013841</t>
  </si>
  <si>
    <t>P000001298</t>
  </si>
  <si>
    <t>P000001303</t>
  </si>
  <si>
    <t>P000001324</t>
  </si>
  <si>
    <t>RDC0000141</t>
  </si>
  <si>
    <t>L000013834</t>
  </si>
  <si>
    <t>L000013835</t>
  </si>
  <si>
    <t>L000013864</t>
  </si>
  <si>
    <t>L000013869</t>
  </si>
  <si>
    <t>P000001269</t>
  </si>
  <si>
    <t>L000013845</t>
  </si>
  <si>
    <t>P000001288</t>
  </si>
  <si>
    <t>P000001321</t>
  </si>
  <si>
    <t>H000004394</t>
  </si>
  <si>
    <t>L000013831</t>
  </si>
  <si>
    <t>P000001272</t>
  </si>
  <si>
    <t>P000001296</t>
  </si>
  <si>
    <t>P000001297</t>
  </si>
  <si>
    <t>P000001305</t>
  </si>
  <si>
    <t>P000001320</t>
  </si>
  <si>
    <t>P000001319</t>
  </si>
  <si>
    <t>P000001299</t>
  </si>
  <si>
    <t>G000001366</t>
  </si>
  <si>
    <t>P000001271</t>
  </si>
  <si>
    <t>RDC0000138</t>
  </si>
  <si>
    <t>RDC0000139</t>
  </si>
  <si>
    <t>L000013865</t>
  </si>
  <si>
    <t>GNMI000010</t>
  </si>
  <si>
    <t>GNMI000020</t>
  </si>
  <si>
    <t>GNMI000030</t>
  </si>
  <si>
    <t>GNMI000040</t>
  </si>
  <si>
    <t>GNMI000041</t>
  </si>
  <si>
    <t>GNMI000042</t>
  </si>
  <si>
    <t>GNMI000050</t>
  </si>
  <si>
    <t>GNMI000060</t>
  </si>
  <si>
    <t>GNMI000070</t>
  </si>
  <si>
    <t>GNMI000080</t>
  </si>
  <si>
    <t>GNMI000081</t>
  </si>
  <si>
    <t>GNMI000082</t>
  </si>
  <si>
    <t>GNMI000083</t>
  </si>
  <si>
    <t>GNMI000084</t>
  </si>
  <si>
    <t>GNMI000090</t>
  </si>
  <si>
    <t>GNMI000091</t>
  </si>
  <si>
    <t>GNMI000210</t>
  </si>
  <si>
    <t>GNMI000220</t>
  </si>
  <si>
    <t>GNMI000230</t>
  </si>
  <si>
    <t>GNMI000300</t>
  </si>
  <si>
    <t>GNMI000310</t>
  </si>
  <si>
    <t>GNMI000320</t>
  </si>
  <si>
    <t>GNMI000330</t>
  </si>
  <si>
    <t>GNMI000340</t>
  </si>
  <si>
    <t>GNMI000350</t>
  </si>
  <si>
    <t>GNMI000360</t>
  </si>
  <si>
    <t>GNMI000370</t>
  </si>
  <si>
    <t>GNMI000380</t>
  </si>
  <si>
    <t>GNMI000390</t>
  </si>
  <si>
    <t>GNMI000401</t>
  </si>
  <si>
    <t>GNMI000402</t>
  </si>
  <si>
    <t>GNMI000403</t>
  </si>
  <si>
    <t>GNMI000404</t>
  </si>
  <si>
    <t>GNMI000405</t>
  </si>
  <si>
    <t>GNMI000406</t>
  </si>
  <si>
    <t>GNMI000411</t>
  </si>
  <si>
    <t>GNMI000412</t>
  </si>
  <si>
    <t>GNMI000413</t>
  </si>
  <si>
    <t>GNMI000414</t>
  </si>
  <si>
    <t>GNMI000415</t>
  </si>
  <si>
    <t>GNMI000416</t>
  </si>
  <si>
    <t>GNMI000417</t>
  </si>
  <si>
    <t>GNMI000418</t>
  </si>
  <si>
    <t>GNMI000421</t>
  </si>
  <si>
    <t>GNMI000422</t>
  </si>
  <si>
    <t>GNMI000423</t>
  </si>
  <si>
    <t>GNMI000424</t>
  </si>
  <si>
    <t>GNMI000425</t>
  </si>
  <si>
    <t>GNMI000426</t>
  </si>
  <si>
    <t>GNMI000427</t>
  </si>
  <si>
    <t>GNMI000428</t>
  </si>
  <si>
    <t>GNMI000510</t>
  </si>
  <si>
    <t>GNMI000520</t>
  </si>
  <si>
    <t>GNMI000530</t>
  </si>
  <si>
    <t>GNMI000540</t>
  </si>
  <si>
    <t>GNMI000610</t>
  </si>
  <si>
    <t>GNMI000620</t>
  </si>
  <si>
    <t>GNMI000630</t>
  </si>
  <si>
    <t>GNMI000640</t>
  </si>
  <si>
    <t>GNMI000650</t>
  </si>
  <si>
    <t>GNMI000660</t>
  </si>
  <si>
    <t>GNMI000670</t>
  </si>
  <si>
    <t>GNMI000680</t>
  </si>
  <si>
    <t>GNMI000710</t>
  </si>
  <si>
    <t>GNMI000720</t>
  </si>
  <si>
    <t>GNMI000721</t>
  </si>
  <si>
    <t>GNMI000730</t>
  </si>
  <si>
    <t>GNMI003010</t>
  </si>
  <si>
    <t>GNMI003020</t>
  </si>
  <si>
    <t>GNMI003110</t>
  </si>
  <si>
    <t>GNMI003120</t>
  </si>
  <si>
    <t>GNMI003210</t>
  </si>
  <si>
    <t>GNMI003220</t>
  </si>
  <si>
    <t>GNMI003310</t>
  </si>
  <si>
    <t>GNMI003320</t>
  </si>
  <si>
    <t>GNMI003410</t>
  </si>
  <si>
    <t>GNMI003420</t>
  </si>
  <si>
    <t>GNMI003510</t>
  </si>
  <si>
    <t>GNMI003520</t>
  </si>
  <si>
    <t>GNMI003610</t>
  </si>
  <si>
    <t>GNMI003620</t>
  </si>
  <si>
    <t>GNMI003710</t>
  </si>
  <si>
    <t>GNMI003720</t>
  </si>
  <si>
    <t>GNMI003730</t>
  </si>
  <si>
    <t>GNMI003810</t>
  </si>
  <si>
    <t>GNMI003820</t>
  </si>
  <si>
    <t>GNMI004020</t>
  </si>
  <si>
    <t>GNMI004021</t>
  </si>
  <si>
    <t>GNMI004131</t>
  </si>
  <si>
    <t>GNMI004132</t>
  </si>
  <si>
    <t>GNMI004140</t>
  </si>
  <si>
    <t>GNMI004141</t>
  </si>
  <si>
    <t>GNMI004280</t>
  </si>
  <si>
    <t>GNMI004281</t>
  </si>
  <si>
    <t>GNMI005410</t>
  </si>
  <si>
    <t>GNMI005420</t>
  </si>
  <si>
    <t>GNMI005430</t>
  </si>
  <si>
    <t>GNMI006210</t>
  </si>
  <si>
    <t>GNMI006220</t>
  </si>
  <si>
    <t>GNMI006230</t>
  </si>
  <si>
    <t>GNMI006310</t>
  </si>
  <si>
    <t>GNMI006320</t>
  </si>
  <si>
    <t>GNMI006330</t>
  </si>
  <si>
    <t>GNMI006410</t>
  </si>
  <si>
    <t>GNMI006420</t>
  </si>
  <si>
    <t>GNMI006430</t>
  </si>
  <si>
    <t>GNMI054110</t>
  </si>
  <si>
    <t>GNMI054111</t>
  </si>
  <si>
    <t>GNMI054112</t>
  </si>
  <si>
    <t>GNMI054113</t>
  </si>
  <si>
    <t>GNMI054114</t>
  </si>
  <si>
    <t>GNMI054115</t>
  </si>
  <si>
    <t>GNMI054116</t>
  </si>
  <si>
    <t>GNMI054117</t>
  </si>
  <si>
    <t>GNMI054118</t>
  </si>
  <si>
    <t>GNMI054119</t>
  </si>
  <si>
    <t>GNMI054120</t>
  </si>
  <si>
    <t>GNMI054210</t>
  </si>
  <si>
    <t>GNMI054211</t>
  </si>
  <si>
    <t>GNMI054212</t>
  </si>
  <si>
    <t>GNMI054213</t>
  </si>
  <si>
    <t>GNMI054214</t>
  </si>
  <si>
    <t>GNMI054215</t>
  </si>
  <si>
    <t>GNMI054216</t>
  </si>
  <si>
    <t>GNMI054217</t>
  </si>
  <si>
    <t>GNMI054218</t>
  </si>
  <si>
    <t>GNMI054219</t>
  </si>
  <si>
    <t>GNMI054220</t>
  </si>
  <si>
    <t>GNMI054310</t>
  </si>
  <si>
    <t>GNMI054311</t>
  </si>
  <si>
    <t>GNMI054312</t>
  </si>
  <si>
    <t>GNMI054313</t>
  </si>
  <si>
    <t>GNMI054314</t>
  </si>
  <si>
    <t>GNMI054315</t>
  </si>
  <si>
    <t>GNMI054316</t>
  </si>
  <si>
    <t>GNMI054317</t>
  </si>
  <si>
    <t>GNMI054318</t>
  </si>
  <si>
    <t>GNMI054319</t>
  </si>
  <si>
    <t>GNMI054320</t>
  </si>
  <si>
    <t>GNMICOH</t>
  </si>
  <si>
    <t>H000004396</t>
  </si>
  <si>
    <t>H000004397</t>
  </si>
  <si>
    <t>G000001394</t>
  </si>
  <si>
    <t>G000001401</t>
  </si>
  <si>
    <t>G000001410</t>
  </si>
  <si>
    <t>G000001411</t>
  </si>
  <si>
    <t>G000001417</t>
  </si>
  <si>
    <t>G000001419</t>
  </si>
  <si>
    <t>G000001420</t>
  </si>
  <si>
    <t>G000001422</t>
  </si>
  <si>
    <t>IT06051200</t>
  </si>
  <si>
    <t>IT07030200</t>
  </si>
  <si>
    <t>IT07040500</t>
  </si>
  <si>
    <t>IT07070300</t>
  </si>
  <si>
    <t>IT07070400</t>
  </si>
  <si>
    <t>IT09020200</t>
  </si>
  <si>
    <t>IT09020500</t>
  </si>
  <si>
    <t>IT09030000</t>
  </si>
  <si>
    <t>IT09030100</t>
  </si>
  <si>
    <t>IT09040100</t>
  </si>
  <si>
    <t>IT09050000</t>
  </si>
  <si>
    <t>L000013894</t>
  </si>
  <si>
    <t>G000001400</t>
  </si>
  <si>
    <t>G000001402</t>
  </si>
  <si>
    <t>G000001403</t>
  </si>
  <si>
    <t>G000001408</t>
  </si>
  <si>
    <t>IT07040400</t>
  </si>
  <si>
    <t>IT07040600</t>
  </si>
  <si>
    <t>IT07040700</t>
  </si>
  <si>
    <t>IT07070100</t>
  </si>
  <si>
    <t>G000001398</t>
  </si>
  <si>
    <t>G000001416</t>
  </si>
  <si>
    <t>IT07040200</t>
  </si>
  <si>
    <t>IT09010000</t>
  </si>
  <si>
    <t>IT09040000</t>
  </si>
  <si>
    <t>G000001395</t>
  </si>
  <si>
    <t>G000001415</t>
  </si>
  <si>
    <t>IT07030300</t>
  </si>
  <si>
    <t>IT07090100</t>
  </si>
  <si>
    <t>IT09000000</t>
  </si>
  <si>
    <t>IT09010300</t>
  </si>
  <si>
    <t>P000001332</t>
  </si>
  <si>
    <t>P000000007</t>
  </si>
  <si>
    <t>G000001399</t>
  </si>
  <si>
    <t>G000001428</t>
  </si>
  <si>
    <t>IT07040300</t>
  </si>
  <si>
    <t>G000001414</t>
  </si>
  <si>
    <t>G000001418</t>
  </si>
  <si>
    <t>IT07090000</t>
  </si>
  <si>
    <t>IT09020300</t>
  </si>
  <si>
    <t>P000001328</t>
  </si>
  <si>
    <t>G000001409</t>
  </si>
  <si>
    <t>G000001412</t>
  </si>
  <si>
    <t>IT07070200</t>
  </si>
  <si>
    <t>IT07070500</t>
  </si>
  <si>
    <t>G000001387</t>
  </si>
  <si>
    <t>G000001393</t>
  </si>
  <si>
    <t>G000001431</t>
  </si>
  <si>
    <t>IT06021800</t>
  </si>
  <si>
    <t>IT07030100</t>
  </si>
  <si>
    <t>IT09010200</t>
  </si>
  <si>
    <t>G000001392</t>
  </si>
  <si>
    <t>IT07030000</t>
  </si>
  <si>
    <t>IT09020400</t>
  </si>
  <si>
    <t>P000001326</t>
  </si>
  <si>
    <t>G000001425</t>
  </si>
  <si>
    <t>IT07030400</t>
  </si>
  <si>
    <t>L000013882</t>
  </si>
  <si>
    <t>G000001391</t>
  </si>
  <si>
    <t>G000001404</t>
  </si>
  <si>
    <t>G000001421</t>
  </si>
  <si>
    <t>G000001429</t>
  </si>
  <si>
    <t>G000001439</t>
  </si>
  <si>
    <t>IT07020200</t>
  </si>
  <si>
    <t>IT07050000</t>
  </si>
  <si>
    <t>IT09010100</t>
  </si>
  <si>
    <t>IT09040300</t>
  </si>
  <si>
    <t>L000013881</t>
  </si>
  <si>
    <t>P000001325</t>
  </si>
  <si>
    <t>G000001396</t>
  </si>
  <si>
    <t>G000001423</t>
  </si>
  <si>
    <t>IT06090400</t>
  </si>
  <si>
    <t>IT07040000</t>
  </si>
  <si>
    <t>L000013884</t>
  </si>
  <si>
    <t>P000001330</t>
  </si>
  <si>
    <t>G000001388</t>
  </si>
  <si>
    <t>G000001407</t>
  </si>
  <si>
    <t>G000001413</t>
  </si>
  <si>
    <t>IT06101000</t>
  </si>
  <si>
    <t>IT07070000</t>
  </si>
  <si>
    <t>IT07080000</t>
  </si>
  <si>
    <t>IT09040200</t>
  </si>
  <si>
    <t>L000013879</t>
  </si>
  <si>
    <t>P000001327</t>
  </si>
  <si>
    <t>G000001389</t>
  </si>
  <si>
    <t>IT07020000</t>
  </si>
  <si>
    <t>L000013885</t>
  </si>
  <si>
    <t>G000001397</t>
  </si>
  <si>
    <t>G000001438</t>
  </si>
  <si>
    <t>IT07040100</t>
  </si>
  <si>
    <t>G000001427</t>
  </si>
  <si>
    <t>G000001433</t>
  </si>
  <si>
    <t>G000001436</t>
  </si>
  <si>
    <t>L000013891</t>
  </si>
  <si>
    <t>G000001390</t>
  </si>
  <si>
    <t>G000001405</t>
  </si>
  <si>
    <t>G000001430</t>
  </si>
  <si>
    <t>G000001434</t>
  </si>
  <si>
    <t>G000001435</t>
  </si>
  <si>
    <t>G000001437</t>
  </si>
  <si>
    <t>G000001440</t>
  </si>
  <si>
    <t>IT07020100</t>
  </si>
  <si>
    <t>IT07060000</t>
  </si>
  <si>
    <t>L000013875</t>
  </si>
  <si>
    <t>L000013878</t>
  </si>
  <si>
    <t>L000013876</t>
  </si>
  <si>
    <t>L000013883</t>
  </si>
  <si>
    <t>P000001331</t>
  </si>
  <si>
    <t>P000001334</t>
  </si>
  <si>
    <t>L000013880</t>
  </si>
  <si>
    <t>L000013886</t>
  </si>
  <si>
    <t>G000001426</t>
  </si>
  <si>
    <t>G000001432</t>
  </si>
  <si>
    <t>L000013877</t>
  </si>
  <si>
    <t>L000013887</t>
  </si>
  <si>
    <t>G000001424</t>
  </si>
  <si>
    <t>H000004399</t>
  </si>
  <si>
    <t>H000004400</t>
  </si>
  <si>
    <t>H000004401</t>
  </si>
  <si>
    <t>IT06051100</t>
  </si>
  <si>
    <t>P000001333</t>
  </si>
  <si>
    <t>H000004398</t>
  </si>
  <si>
    <t>H000004402</t>
  </si>
  <si>
    <t>L000013899</t>
  </si>
  <si>
    <t>L000013888</t>
  </si>
  <si>
    <t>L000013889</t>
  </si>
  <si>
    <t>L000013890</t>
  </si>
  <si>
    <t>P000001329</t>
  </si>
  <si>
    <t>G000001406</t>
  </si>
  <si>
    <t>IT07060100</t>
  </si>
  <si>
    <t>L000013892</t>
  </si>
  <si>
    <t>L000013893</t>
  </si>
  <si>
    <t>G000001444</t>
  </si>
  <si>
    <t>G000001445</t>
  </si>
  <si>
    <t>IT01000100</t>
  </si>
  <si>
    <t>G000001446</t>
  </si>
  <si>
    <t>IT01000200</t>
  </si>
  <si>
    <t>G000001447</t>
  </si>
  <si>
    <t>IT01000300</t>
  </si>
  <si>
    <t>G000001448</t>
  </si>
  <si>
    <t>IT01000400</t>
  </si>
  <si>
    <t>G000001449</t>
  </si>
  <si>
    <t>IT01000500</t>
  </si>
  <si>
    <t>IT01000000</t>
  </si>
  <si>
    <t>G000001441</t>
  </si>
  <si>
    <t>G000001442</t>
  </si>
  <si>
    <t>G000001443</t>
  </si>
  <si>
    <t>H000004431</t>
  </si>
  <si>
    <t>IT08010000</t>
  </si>
  <si>
    <t>H000004404</t>
  </si>
  <si>
    <t>H000004405</t>
  </si>
  <si>
    <t>H000004406</t>
  </si>
  <si>
    <t>H000004403</t>
  </si>
  <si>
    <t>H000004407</t>
  </si>
  <si>
    <t>H000004408</t>
  </si>
  <si>
    <t>H000004411</t>
  </si>
  <si>
    <t>H000004412</t>
  </si>
  <si>
    <t>H000004413</t>
  </si>
  <si>
    <t>H000004414</t>
  </si>
  <si>
    <t>H000004415</t>
  </si>
  <si>
    <t>H000004416</t>
  </si>
  <si>
    <t>H000004417</t>
  </si>
  <si>
    <t>H000004418</t>
  </si>
  <si>
    <t>H000004419</t>
  </si>
  <si>
    <t>H000004420</t>
  </si>
  <si>
    <t>H000004421</t>
  </si>
  <si>
    <t>H000004422</t>
  </si>
  <si>
    <t>H000004432</t>
  </si>
  <si>
    <t>H000004433</t>
  </si>
  <si>
    <t>H000004434</t>
  </si>
  <si>
    <t>H000004435</t>
  </si>
  <si>
    <t>H000004436</t>
  </si>
  <si>
    <t>H000004437</t>
  </si>
  <si>
    <t>H000004438</t>
  </si>
  <si>
    <t>H000004439</t>
  </si>
  <si>
    <t>H000004440</t>
  </si>
  <si>
    <t>H000004441</t>
  </si>
  <si>
    <t>H000004442</t>
  </si>
  <si>
    <t>H000004443</t>
  </si>
  <si>
    <t>H000004452</t>
  </si>
  <si>
    <t>H000004453</t>
  </si>
  <si>
    <t>H000004454</t>
  </si>
  <si>
    <t>H000004455</t>
  </si>
  <si>
    <t>H000004456</t>
  </si>
  <si>
    <t>H000004457</t>
  </si>
  <si>
    <t>H000004458</t>
  </si>
  <si>
    <t>H000004459</t>
  </si>
  <si>
    <t>H000004460</t>
  </si>
  <si>
    <t>H000004461</t>
  </si>
  <si>
    <t>H000004462</t>
  </si>
  <si>
    <t>H000004463</t>
  </si>
  <si>
    <t>H000004472</t>
  </si>
  <si>
    <t>H000004473</t>
  </si>
  <si>
    <t>H000004474</t>
  </si>
  <si>
    <t>H000004475</t>
  </si>
  <si>
    <t>H000004476</t>
  </si>
  <si>
    <t>H000004477</t>
  </si>
  <si>
    <t>H000004478</t>
  </si>
  <si>
    <t>H000004479</t>
  </si>
  <si>
    <t>H000004480</t>
  </si>
  <si>
    <t>H000004481</t>
  </si>
  <si>
    <t>H000004482</t>
  </si>
  <si>
    <t>H000004483</t>
  </si>
  <si>
    <t>H000004492</t>
  </si>
  <si>
    <t>H000004493</t>
  </si>
  <si>
    <t>H000004494</t>
  </si>
  <si>
    <t>H000004495</t>
  </si>
  <si>
    <t>H000004496</t>
  </si>
  <si>
    <t>H000004497</t>
  </si>
  <si>
    <t>H000004498</t>
  </si>
  <si>
    <t>H000004499</t>
  </si>
  <si>
    <t>H000004500</t>
  </si>
  <si>
    <t>H000004501</t>
  </si>
  <si>
    <t>H000004502</t>
  </si>
  <si>
    <t>H000004503</t>
  </si>
  <si>
    <t>H000004512</t>
  </si>
  <si>
    <t>H000004513</t>
  </si>
  <si>
    <t>H000004514</t>
  </si>
  <si>
    <t>H000004515</t>
  </si>
  <si>
    <t>H000004516</t>
  </si>
  <si>
    <t>H000004517</t>
  </si>
  <si>
    <t>H000004518</t>
  </si>
  <si>
    <t>H000004519</t>
  </si>
  <si>
    <t>H000004520</t>
  </si>
  <si>
    <t>H000004521</t>
  </si>
  <si>
    <t>H000004522</t>
  </si>
  <si>
    <t>H000004523</t>
  </si>
  <si>
    <t>H000004532</t>
  </si>
  <si>
    <t>H000004533</t>
  </si>
  <si>
    <t>H000004534</t>
  </si>
  <si>
    <t>H000004535</t>
  </si>
  <si>
    <t>H000004536</t>
  </si>
  <si>
    <t>H000004537</t>
  </si>
  <si>
    <t>H000004538</t>
  </si>
  <si>
    <t>H000004539</t>
  </si>
  <si>
    <t>H000004540</t>
  </si>
  <si>
    <t>H000004541</t>
  </si>
  <si>
    <t>H000004542</t>
  </si>
  <si>
    <t>H000004543</t>
  </si>
  <si>
    <t>H000004552</t>
  </si>
  <si>
    <t>H000004553</t>
  </si>
  <si>
    <t>H000004554</t>
  </si>
  <si>
    <t>H000004555</t>
  </si>
  <si>
    <t>H000004556</t>
  </si>
  <si>
    <t>H000004557</t>
  </si>
  <si>
    <t>H000004558</t>
  </si>
  <si>
    <t>H000004559</t>
  </si>
  <si>
    <t>H000004560</t>
  </si>
  <si>
    <t>H000004561</t>
  </si>
  <si>
    <t>H000004562</t>
  </si>
  <si>
    <t>H000004563</t>
  </si>
  <si>
    <t>H000004572</t>
  </si>
  <si>
    <t>H000004573</t>
  </si>
  <si>
    <t>H000004574</t>
  </si>
  <si>
    <t>H000004575</t>
  </si>
  <si>
    <t>H000004576</t>
  </si>
  <si>
    <t>H000004577</t>
  </si>
  <si>
    <t>H000004578</t>
  </si>
  <si>
    <t>H000004579</t>
  </si>
  <si>
    <t>H000004580</t>
  </si>
  <si>
    <t>H000004581</t>
  </si>
  <si>
    <t>H000004582</t>
  </si>
  <si>
    <t>H000004583</t>
  </si>
  <si>
    <t>H000004592</t>
  </si>
  <si>
    <t>H000004593</t>
  </si>
  <si>
    <t>H000004594</t>
  </si>
  <si>
    <t>H000004595</t>
  </si>
  <si>
    <t>H000004596</t>
  </si>
  <si>
    <t>H000004597</t>
  </si>
  <si>
    <t>H000004598</t>
  </si>
  <si>
    <t>H000004599</t>
  </si>
  <si>
    <t>H000004600</t>
  </si>
  <si>
    <t>H000004601</t>
  </si>
  <si>
    <t>H000004602</t>
  </si>
  <si>
    <t>H000004603</t>
  </si>
  <si>
    <t>H000004612</t>
  </si>
  <si>
    <t>H000004613</t>
  </si>
  <si>
    <t>H000004614</t>
  </si>
  <si>
    <t>H000004615</t>
  </si>
  <si>
    <t>H000004616</t>
  </si>
  <si>
    <t>H000004617</t>
  </si>
  <si>
    <t>H000004618</t>
  </si>
  <si>
    <t>H000004619</t>
  </si>
  <si>
    <t>H000004620</t>
  </si>
  <si>
    <t>H000004621</t>
  </si>
  <si>
    <t>H000004622</t>
  </si>
  <si>
    <t>H000004623</t>
  </si>
  <si>
    <t>H000004632</t>
  </si>
  <si>
    <t>H000004633</t>
  </si>
  <si>
    <t>H000004634</t>
  </si>
  <si>
    <t>H000004635</t>
  </si>
  <si>
    <t>H000004636</t>
  </si>
  <si>
    <t>H000004637</t>
  </si>
  <si>
    <t>H000004638</t>
  </si>
  <si>
    <t>H000004639</t>
  </si>
  <si>
    <t>H000004640</t>
  </si>
  <si>
    <t>H000004641</t>
  </si>
  <si>
    <t>H000004642</t>
  </si>
  <si>
    <t>H000004643</t>
  </si>
  <si>
    <t>H000004652</t>
  </si>
  <si>
    <t>H000004653</t>
  </si>
  <si>
    <t>H000004654</t>
  </si>
  <si>
    <t>H000004655</t>
  </si>
  <si>
    <t>H000004656</t>
  </si>
  <si>
    <t>H000004657</t>
  </si>
  <si>
    <t>H000004658</t>
  </si>
  <si>
    <t>H000004659</t>
  </si>
  <si>
    <t>H000004660</t>
  </si>
  <si>
    <t>H000004661</t>
  </si>
  <si>
    <t>H000004662</t>
  </si>
  <si>
    <t>H000004663</t>
  </si>
  <si>
    <t>H000004672</t>
  </si>
  <si>
    <t>H000004673</t>
  </si>
  <si>
    <t>H000004674</t>
  </si>
  <si>
    <t>H000004675</t>
  </si>
  <si>
    <t>H000004676</t>
  </si>
  <si>
    <t>H000004677</t>
  </si>
  <si>
    <t>H000004678</t>
  </si>
  <si>
    <t>H000004679</t>
  </si>
  <si>
    <t>H000004680</t>
  </si>
  <si>
    <t>H000004681</t>
  </si>
  <si>
    <t>H000004682</t>
  </si>
  <si>
    <t>H000004683</t>
  </si>
  <si>
    <t>H000004692</t>
  </si>
  <si>
    <t>H000004693</t>
  </si>
  <si>
    <t>H000004694</t>
  </si>
  <si>
    <t>H000004695</t>
  </si>
  <si>
    <t>H000004696</t>
  </si>
  <si>
    <t>H000004697</t>
  </si>
  <si>
    <t>H000004698</t>
  </si>
  <si>
    <t>H000004699</t>
  </si>
  <si>
    <t>H000004700</t>
  </si>
  <si>
    <t>H000004701</t>
  </si>
  <si>
    <t>H000004702</t>
  </si>
  <si>
    <t>H000004703</t>
  </si>
  <si>
    <t>H000004712</t>
  </si>
  <si>
    <t>H000004713</t>
  </si>
  <si>
    <t>H000004714</t>
  </si>
  <si>
    <t>H000004715</t>
  </si>
  <si>
    <t>H000004716</t>
  </si>
  <si>
    <t>H000004717</t>
  </si>
  <si>
    <t>H000004718</t>
  </si>
  <si>
    <t>H000004719</t>
  </si>
  <si>
    <t>H000004720</t>
  </si>
  <si>
    <t>H000004721</t>
  </si>
  <si>
    <t>H000004722</t>
  </si>
  <si>
    <t>H000004723</t>
  </si>
  <si>
    <t>H000004732</t>
  </si>
  <si>
    <t>H000004733</t>
  </si>
  <si>
    <t>H000004734</t>
  </si>
  <si>
    <t>H000004735</t>
  </si>
  <si>
    <t>H000004736</t>
  </si>
  <si>
    <t>H000004737</t>
  </si>
  <si>
    <t>H000004738</t>
  </si>
  <si>
    <t>H000004739</t>
  </si>
  <si>
    <t>H000004740</t>
  </si>
  <si>
    <t>H000004741</t>
  </si>
  <si>
    <t>H000004742</t>
  </si>
  <si>
    <t>H000004743</t>
  </si>
  <si>
    <t>H000004752</t>
  </si>
  <si>
    <t>H000004753</t>
  </si>
  <si>
    <t>H000004754</t>
  </si>
  <si>
    <t>H000004755</t>
  </si>
  <si>
    <t>H000004756</t>
  </si>
  <si>
    <t>H000004757</t>
  </si>
  <si>
    <t>H000004758</t>
  </si>
  <si>
    <t>H000004759</t>
  </si>
  <si>
    <t>H000004760</t>
  </si>
  <si>
    <t>H000004761</t>
  </si>
  <si>
    <t>H000004762</t>
  </si>
  <si>
    <t>H000004763</t>
  </si>
  <si>
    <t>H000004772</t>
  </si>
  <si>
    <t>H000004773</t>
  </si>
  <si>
    <t>H000004774</t>
  </si>
  <si>
    <t>H000004775</t>
  </si>
  <si>
    <t>H000004776</t>
  </si>
  <si>
    <t>H000004777</t>
  </si>
  <si>
    <t>H000004778</t>
  </si>
  <si>
    <t>H000004779</t>
  </si>
  <si>
    <t>H000004780</t>
  </si>
  <si>
    <t>H000004781</t>
  </si>
  <si>
    <t>H000004782</t>
  </si>
  <si>
    <t>H000004783</t>
  </si>
  <si>
    <t>H000004792</t>
  </si>
  <si>
    <t>H000004793</t>
  </si>
  <si>
    <t>H000004794</t>
  </si>
  <si>
    <t>H000004795</t>
  </si>
  <si>
    <t>H000004796</t>
  </si>
  <si>
    <t>H000004797</t>
  </si>
  <si>
    <t>H000004798</t>
  </si>
  <si>
    <t>H000004799</t>
  </si>
  <si>
    <t>H000004800</t>
  </si>
  <si>
    <t>H000004801</t>
  </si>
  <si>
    <t>H000004802</t>
  </si>
  <si>
    <t>H000004803</t>
  </si>
  <si>
    <t>H000004812</t>
  </si>
  <si>
    <t>H000004813</t>
  </si>
  <si>
    <t>H000004814</t>
  </si>
  <si>
    <t>H000004815</t>
  </si>
  <si>
    <t>H000004816</t>
  </si>
  <si>
    <t>H000004817</t>
  </si>
  <si>
    <t>H000004818</t>
  </si>
  <si>
    <t>H000004819</t>
  </si>
  <si>
    <t>H000004820</t>
  </si>
  <si>
    <t>H000004821</t>
  </si>
  <si>
    <t>H000004822</t>
  </si>
  <si>
    <t>H000004823</t>
  </si>
  <si>
    <t>H000004832</t>
  </si>
  <si>
    <t>H000004833</t>
  </si>
  <si>
    <t>H000004834</t>
  </si>
  <si>
    <t>H000004835</t>
  </si>
  <si>
    <t>H000004836</t>
  </si>
  <si>
    <t>H000004837</t>
  </si>
  <si>
    <t>H000004838</t>
  </si>
  <si>
    <t>H000004839</t>
  </si>
  <si>
    <t>H000004840</t>
  </si>
  <si>
    <t>H000004841</t>
  </si>
  <si>
    <t>H000004842</t>
  </si>
  <si>
    <t>H000004843</t>
  </si>
  <si>
    <t>H000004409</t>
  </si>
  <si>
    <t>H000004410</t>
  </si>
  <si>
    <t>H000004423</t>
  </si>
  <si>
    <t>H000004424</t>
  </si>
  <si>
    <t>H000004425</t>
  </si>
  <si>
    <t>H000004426</t>
  </si>
  <si>
    <t>H000004427</t>
  </si>
  <si>
    <t>H000004428</t>
  </si>
  <si>
    <t>H000004429</t>
  </si>
  <si>
    <t>H000004430</t>
  </si>
  <si>
    <t>H000004444</t>
  </si>
  <si>
    <t>H000004445</t>
  </si>
  <si>
    <t>H000004446</t>
  </si>
  <si>
    <t>H000004447</t>
  </si>
  <si>
    <t>H000004448</t>
  </si>
  <si>
    <t>H000004449</t>
  </si>
  <si>
    <t>H000004450</t>
  </si>
  <si>
    <t>H000004451</t>
  </si>
  <si>
    <t>H000004464</t>
  </si>
  <si>
    <t>H000004465</t>
  </si>
  <si>
    <t>H000004466</t>
  </si>
  <si>
    <t>H000004467</t>
  </si>
  <si>
    <t>H000004468</t>
  </si>
  <si>
    <t>H000004469</t>
  </si>
  <si>
    <t>H000004470</t>
  </si>
  <si>
    <t>H000004471</t>
  </si>
  <si>
    <t>H000004484</t>
  </si>
  <si>
    <t>H000004485</t>
  </si>
  <si>
    <t>H000004486</t>
  </si>
  <si>
    <t>H000004487</t>
  </si>
  <si>
    <t>H000004488</t>
  </si>
  <si>
    <t>H000004489</t>
  </si>
  <si>
    <t>H000004490</t>
  </si>
  <si>
    <t>H000004491</t>
  </si>
  <si>
    <t>H000004504</t>
  </si>
  <si>
    <t>H000004505</t>
  </si>
  <si>
    <t>H000004506</t>
  </si>
  <si>
    <t>H000004507</t>
  </si>
  <si>
    <t>H000004508</t>
  </si>
  <si>
    <t>H000004509</t>
  </si>
  <si>
    <t>H000004510</t>
  </si>
  <si>
    <t>H000004511</t>
  </si>
  <si>
    <t>H000004524</t>
  </si>
  <si>
    <t>H000004525</t>
  </si>
  <si>
    <t>H000004526</t>
  </si>
  <si>
    <t>H000004527</t>
  </si>
  <si>
    <t>H000004528</t>
  </si>
  <si>
    <t>H000004529</t>
  </si>
  <si>
    <t>H000004530</t>
  </si>
  <si>
    <t>H000004531</t>
  </si>
  <si>
    <t>H000004544</t>
  </si>
  <si>
    <t>H000004545</t>
  </si>
  <si>
    <t>H000004546</t>
  </si>
  <si>
    <t>H000004547</t>
  </si>
  <si>
    <t>H000004548</t>
  </si>
  <si>
    <t>H000004549</t>
  </si>
  <si>
    <t>H000004550</t>
  </si>
  <si>
    <t>H000004551</t>
  </si>
  <si>
    <t>H000004564</t>
  </si>
  <si>
    <t>H000004565</t>
  </si>
  <si>
    <t>H000004566</t>
  </si>
  <si>
    <t>H000004567</t>
  </si>
  <si>
    <t>H000004568</t>
  </si>
  <si>
    <t>H000004569</t>
  </si>
  <si>
    <t>H000004570</t>
  </si>
  <si>
    <t>H000004571</t>
  </si>
  <si>
    <t>H000004584</t>
  </si>
  <si>
    <t>H000004585</t>
  </si>
  <si>
    <t>H000004586</t>
  </si>
  <si>
    <t>H000004587</t>
  </si>
  <si>
    <t>H000004588</t>
  </si>
  <si>
    <t>H000004589</t>
  </si>
  <si>
    <t>H000004590</t>
  </si>
  <si>
    <t>H000004591</t>
  </si>
  <si>
    <t>H000004604</t>
  </si>
  <si>
    <t>H000004605</t>
  </si>
  <si>
    <t>H000004606</t>
  </si>
  <si>
    <t>H000004607</t>
  </si>
  <si>
    <t>H000004608</t>
  </si>
  <si>
    <t>H000004609</t>
  </si>
  <si>
    <t>H000004610</t>
  </si>
  <si>
    <t>H000004611</t>
  </si>
  <si>
    <t>H000004624</t>
  </si>
  <si>
    <t>H000004625</t>
  </si>
  <si>
    <t>H000004626</t>
  </si>
  <si>
    <t>H000004627</t>
  </si>
  <si>
    <t>H000004628</t>
  </si>
  <si>
    <t>H000004629</t>
  </si>
  <si>
    <t>H000004630</t>
  </si>
  <si>
    <t>H000004631</t>
  </si>
  <si>
    <t>H000004644</t>
  </si>
  <si>
    <t>H000004645</t>
  </si>
  <si>
    <t>H000004646</t>
  </si>
  <si>
    <t>H000004647</t>
  </si>
  <si>
    <t>H000004648</t>
  </si>
  <si>
    <t>H000004649</t>
  </si>
  <si>
    <t>H000004650</t>
  </si>
  <si>
    <t>H000004651</t>
  </si>
  <si>
    <t>H000004664</t>
  </si>
  <si>
    <t>H000004665</t>
  </si>
  <si>
    <t>H000004666</t>
  </si>
  <si>
    <t>H000004667</t>
  </si>
  <si>
    <t>H000004668</t>
  </si>
  <si>
    <t>H000004669</t>
  </si>
  <si>
    <t>H000004670</t>
  </si>
  <si>
    <t>H000004671</t>
  </si>
  <si>
    <t>H000004684</t>
  </si>
  <si>
    <t>H000004685</t>
  </si>
  <si>
    <t>H000004686</t>
  </si>
  <si>
    <t>H000004687</t>
  </si>
  <si>
    <t>H000004688</t>
  </si>
  <si>
    <t>H000004689</t>
  </si>
  <si>
    <t>H000004690</t>
  </si>
  <si>
    <t>H000004691</t>
  </si>
  <si>
    <t>H000004704</t>
  </si>
  <si>
    <t>H000004705</t>
  </si>
  <si>
    <t>H000004706</t>
  </si>
  <si>
    <t>H000004707</t>
  </si>
  <si>
    <t>H000004708</t>
  </si>
  <si>
    <t>H000004709</t>
  </si>
  <si>
    <t>H000004710</t>
  </si>
  <si>
    <t>H000004711</t>
  </si>
  <si>
    <t>H000004724</t>
  </si>
  <si>
    <t>H000004725</t>
  </si>
  <si>
    <t>H000004726</t>
  </si>
  <si>
    <t>H000004727</t>
  </si>
  <si>
    <t>H000004728</t>
  </si>
  <si>
    <t>H000004729</t>
  </si>
  <si>
    <t>H000004730</t>
  </si>
  <si>
    <t>H000004731</t>
  </si>
  <si>
    <t>H000004744</t>
  </si>
  <si>
    <t>H000004745</t>
  </si>
  <si>
    <t>H000004746</t>
  </si>
  <si>
    <t>H000004747</t>
  </si>
  <si>
    <t>H000004748</t>
  </si>
  <si>
    <t>H000004749</t>
  </si>
  <si>
    <t>H000004750</t>
  </si>
  <si>
    <t>H000004751</t>
  </si>
  <si>
    <t>H000004764</t>
  </si>
  <si>
    <t>H000004765</t>
  </si>
  <si>
    <t>H000004766</t>
  </si>
  <si>
    <t>H000004767</t>
  </si>
  <si>
    <t>H000004768</t>
  </si>
  <si>
    <t>H000004769</t>
  </si>
  <si>
    <t>H000004770</t>
  </si>
  <si>
    <t>H000004771</t>
  </si>
  <si>
    <t>H000004784</t>
  </si>
  <si>
    <t>H000004785</t>
  </si>
  <si>
    <t>H000004786</t>
  </si>
  <si>
    <t>H000004787</t>
  </si>
  <si>
    <t>H000004788</t>
  </si>
  <si>
    <t>H000004789</t>
  </si>
  <si>
    <t>H000004790</t>
  </si>
  <si>
    <t>H000004791</t>
  </si>
  <si>
    <t>H000004804</t>
  </si>
  <si>
    <t>H000004805</t>
  </si>
  <si>
    <t>H000004806</t>
  </si>
  <si>
    <t>H000004807</t>
  </si>
  <si>
    <t>H000004808</t>
  </si>
  <si>
    <t>H000004809</t>
  </si>
  <si>
    <t>H000004810</t>
  </si>
  <si>
    <t>H000004811</t>
  </si>
  <si>
    <t>H000004824</t>
  </si>
  <si>
    <t>H000004825</t>
  </si>
  <si>
    <t>H000004826</t>
  </si>
  <si>
    <t>H000004827</t>
  </si>
  <si>
    <t>H000004828</t>
  </si>
  <si>
    <t>H000004829</t>
  </si>
  <si>
    <t>H000004830</t>
  </si>
  <si>
    <t>H000004831</t>
  </si>
  <si>
    <t>H000004844</t>
  </si>
  <si>
    <t>H000004845</t>
  </si>
  <si>
    <t>H000004846</t>
  </si>
  <si>
    <t>H000004847</t>
  </si>
  <si>
    <t>H000004848</t>
  </si>
  <si>
    <t>H000004849</t>
  </si>
  <si>
    <t>H000004850</t>
  </si>
  <si>
    <t>H000004851</t>
  </si>
  <si>
    <t>L000013900</t>
  </si>
  <si>
    <t>GNMI000051</t>
  </si>
  <si>
    <t>L000009211</t>
  </si>
  <si>
    <t>P000000576</t>
  </si>
  <si>
    <t>G000001451</t>
  </si>
  <si>
    <t>G000001452</t>
  </si>
  <si>
    <t>G000001453</t>
  </si>
  <si>
    <t>G000001454</t>
  </si>
  <si>
    <t>G000001455</t>
  </si>
  <si>
    <t>G000001456</t>
  </si>
  <si>
    <t>G000001450</t>
  </si>
  <si>
    <t>IT09020100</t>
  </si>
  <si>
    <t>G000001460</t>
  </si>
  <si>
    <t>IT09040400</t>
  </si>
  <si>
    <t>G000001457</t>
  </si>
  <si>
    <t>IT09030200</t>
  </si>
  <si>
    <t>G000001458</t>
  </si>
  <si>
    <t>IT09030300</t>
  </si>
  <si>
    <t>G000001459</t>
  </si>
  <si>
    <t>IT09030400</t>
  </si>
  <si>
    <t>H000004852</t>
  </si>
  <si>
    <t>H000004855</t>
  </si>
  <si>
    <t>H000004859</t>
  </si>
  <si>
    <t>H000004856</t>
  </si>
  <si>
    <t>H000004860</t>
  </si>
  <si>
    <t>H000004857</t>
  </si>
  <si>
    <t>H000004861</t>
  </si>
  <si>
    <t>H000004858</t>
  </si>
  <si>
    <t>H000004862</t>
  </si>
  <si>
    <t>H000004853</t>
  </si>
  <si>
    <t>H000004854</t>
  </si>
  <si>
    <t>L000013908</t>
  </si>
  <si>
    <t>L000013909</t>
  </si>
  <si>
    <t>L000013915</t>
  </si>
  <si>
    <t>L000013910</t>
  </si>
  <si>
    <t>L000013911</t>
  </si>
  <si>
    <t>L000013912</t>
  </si>
  <si>
    <t>L000013913</t>
  </si>
  <si>
    <t>L000013914</t>
  </si>
  <si>
    <t>L000013901</t>
  </si>
  <si>
    <t>L000013905</t>
  </si>
  <si>
    <t>L000013906</t>
  </si>
  <si>
    <t>L000013907</t>
  </si>
  <si>
    <t>L000013902</t>
  </si>
  <si>
    <t>L000013903</t>
  </si>
  <si>
    <t>L000013904</t>
  </si>
  <si>
    <t>P000001380</t>
  </si>
  <si>
    <t>P000001366</t>
  </si>
  <si>
    <t>P000001367</t>
  </si>
  <si>
    <t>P000001368</t>
  </si>
  <si>
    <t>P000001369</t>
  </si>
  <si>
    <t>P000001370</t>
  </si>
  <si>
    <t>P000001371</t>
  </si>
  <si>
    <t>P000001372</t>
  </si>
  <si>
    <t>P000001373</t>
  </si>
  <si>
    <t>P000001374</t>
  </si>
  <si>
    <t>P000001375</t>
  </si>
  <si>
    <t>P000001376</t>
  </si>
  <si>
    <t>P000001377</t>
  </si>
  <si>
    <t>P000001378</t>
  </si>
  <si>
    <t>P000001336</t>
  </si>
  <si>
    <t>P000001341</t>
  </si>
  <si>
    <t>P000001340</t>
  </si>
  <si>
    <t>P000001339</t>
  </si>
  <si>
    <t>P000001342</t>
  </si>
  <si>
    <t>P000001335</t>
  </si>
  <si>
    <t>P000001379</t>
  </si>
  <si>
    <t>P000001343</t>
  </si>
  <si>
    <t>P000001344</t>
  </si>
  <si>
    <t>P000001345</t>
  </si>
  <si>
    <t>P000001346</t>
  </si>
  <si>
    <t>P000001347</t>
  </si>
  <si>
    <t>P000001348</t>
  </si>
  <si>
    <t>P000001349</t>
  </si>
  <si>
    <t>P000001363</t>
  </si>
  <si>
    <t>P000001350</t>
  </si>
  <si>
    <t>P000001351</t>
  </si>
  <si>
    <t>P000001352</t>
  </si>
  <si>
    <t>P000001353</t>
  </si>
  <si>
    <t>P000001354</t>
  </si>
  <si>
    <t>P000001355</t>
  </si>
  <si>
    <t>P000001364</t>
  </si>
  <si>
    <t>P000001362</t>
  </si>
  <si>
    <t>P000001356</t>
  </si>
  <si>
    <t>P000001357</t>
  </si>
  <si>
    <t>P000001358</t>
  </si>
  <si>
    <t>P000001359</t>
  </si>
  <si>
    <t>P000001360</t>
  </si>
  <si>
    <t>P000001361</t>
  </si>
  <si>
    <t>P000001365</t>
  </si>
  <si>
    <t>P000001337</t>
  </si>
  <si>
    <t>P000001338</t>
  </si>
  <si>
    <t>G000001461</t>
  </si>
  <si>
    <t>H000004866</t>
  </si>
  <si>
    <t>H000004867</t>
  </si>
  <si>
    <t>H000004872</t>
  </si>
  <si>
    <t>H000004873</t>
  </si>
  <si>
    <t>H000004868</t>
  </si>
  <si>
    <t>H000004869</t>
  </si>
  <si>
    <t>P000001390</t>
  </si>
  <si>
    <t>P000001391</t>
  </si>
  <si>
    <t>P000001381</t>
  </si>
  <si>
    <t>P000001394</t>
  </si>
  <si>
    <t>P000001399</t>
  </si>
  <si>
    <t>P000001400</t>
  </si>
  <si>
    <t>P000001402</t>
  </si>
  <si>
    <t>P000001404</t>
  </si>
  <si>
    <t>P000001405</t>
  </si>
  <si>
    <t>P000001408</t>
  </si>
  <si>
    <t>P000001409</t>
  </si>
  <si>
    <t>P000001411</t>
  </si>
  <si>
    <t>P000001412</t>
  </si>
  <si>
    <t>P000001413</t>
  </si>
  <si>
    <t>P000001414</t>
  </si>
  <si>
    <t>P000001415</t>
  </si>
  <si>
    <t>IT08030000</t>
  </si>
  <si>
    <t>IT06042600</t>
  </si>
  <si>
    <t>H000004881</t>
  </si>
  <si>
    <t>H000004883</t>
  </si>
  <si>
    <t>H000004884</t>
  </si>
  <si>
    <t>H000004885</t>
  </si>
  <si>
    <t>H000004886</t>
  </si>
  <si>
    <t>H000004882</t>
  </si>
  <si>
    <t>H000004887</t>
  </si>
  <si>
    <t>H000004888</t>
  </si>
  <si>
    <t>H000004889</t>
  </si>
  <si>
    <t>H000004890</t>
  </si>
  <si>
    <t>H000004874</t>
  </si>
  <si>
    <t>H000004875</t>
  </si>
  <si>
    <t>H000004876</t>
  </si>
  <si>
    <t>H000004877</t>
  </si>
  <si>
    <t>H000004878</t>
  </si>
  <si>
    <t>H000004879</t>
  </si>
  <si>
    <t>H000004880</t>
  </si>
  <si>
    <t>H000004870</t>
  </si>
  <si>
    <t>H000004871</t>
  </si>
  <si>
    <t>H000004891</t>
  </si>
  <si>
    <t>H000004863</t>
  </si>
  <si>
    <t>H000004864</t>
  </si>
  <si>
    <t>H000004865</t>
  </si>
  <si>
    <t>RDC0000095</t>
  </si>
  <si>
    <t>P000001382</t>
  </si>
  <si>
    <t>P000001383</t>
  </si>
  <si>
    <t>P000001384</t>
  </si>
  <si>
    <t>P000001385</t>
  </si>
  <si>
    <t>P000001386</t>
  </si>
  <si>
    <t>P000001387</t>
  </si>
  <si>
    <t>P000001388</t>
  </si>
  <si>
    <t>P000001389</t>
  </si>
  <si>
    <t>P000001392</t>
  </si>
  <si>
    <t>P000001393</t>
  </si>
  <si>
    <t>P000001395</t>
  </si>
  <si>
    <t>P000001396</t>
  </si>
  <si>
    <t>P000001397</t>
  </si>
  <si>
    <t>P000001398</t>
  </si>
  <si>
    <t>P000001401</t>
  </si>
  <si>
    <t>P000001403</t>
  </si>
  <si>
    <t>P000001406</t>
  </si>
  <si>
    <t>P000001407</t>
  </si>
  <si>
    <t>P000001410</t>
  </si>
  <si>
    <t>G000001462</t>
  </si>
  <si>
    <t>H000004931</t>
  </si>
  <si>
    <t>H000004892</t>
  </si>
  <si>
    <t>H000004893</t>
  </si>
  <si>
    <t>H000004898</t>
  </si>
  <si>
    <t>H000004907</t>
  </si>
  <si>
    <t>H000004909</t>
  </si>
  <si>
    <t>H000004910</t>
  </si>
  <si>
    <t>H000004911</t>
  </si>
  <si>
    <t>H000004912</t>
  </si>
  <si>
    <t>H000004899</t>
  </si>
  <si>
    <t>H000004908</t>
  </si>
  <si>
    <t>H000004913</t>
  </si>
  <si>
    <t>H000004914</t>
  </si>
  <si>
    <t>H000004915</t>
  </si>
  <si>
    <t>H000004916</t>
  </si>
  <si>
    <t>H000004894</t>
  </si>
  <si>
    <t>H000004900</t>
  </si>
  <si>
    <t>H000004901</t>
  </si>
  <si>
    <t>H000004902</t>
  </si>
  <si>
    <t>H000004895</t>
  </si>
  <si>
    <t>H000004903</t>
  </si>
  <si>
    <t>H000004904</t>
  </si>
  <si>
    <t>H000004905</t>
  </si>
  <si>
    <t>H000004906</t>
  </si>
  <si>
    <t>H000004896</t>
  </si>
  <si>
    <t>H000004897</t>
  </si>
  <si>
    <t>RDC0000951</t>
  </si>
  <si>
    <t>RDC0000952</t>
  </si>
  <si>
    <t>RDC0000953</t>
  </si>
  <si>
    <t>H000004932</t>
  </si>
  <si>
    <t>H000004933</t>
  </si>
  <si>
    <t>H000004939</t>
  </si>
  <si>
    <t>H000004940</t>
  </si>
  <si>
    <t>H000004941</t>
  </si>
  <si>
    <t>H000004942</t>
  </si>
  <si>
    <t>H000004943</t>
  </si>
  <si>
    <t>H000004934</t>
  </si>
  <si>
    <t>H000004944</t>
  </si>
  <si>
    <t>H000004945</t>
  </si>
  <si>
    <t>H000004946</t>
  </si>
  <si>
    <t>H000004935</t>
  </si>
  <si>
    <t>H000004947</t>
  </si>
  <si>
    <t>H000004936</t>
  </si>
  <si>
    <t>H000004948</t>
  </si>
  <si>
    <t>H000004937</t>
  </si>
  <si>
    <t>H000004949</t>
  </si>
  <si>
    <t>H000004938</t>
  </si>
  <si>
    <t>H000004950</t>
  </si>
  <si>
    <t>H000004930</t>
  </si>
  <si>
    <t>H000004954</t>
  </si>
  <si>
    <t>H000004925</t>
  </si>
  <si>
    <t>H000004926</t>
  </si>
  <si>
    <t>H000004927</t>
  </si>
  <si>
    <t>H000004928</t>
  </si>
  <si>
    <t>H000004929</t>
  </si>
  <si>
    <t>H000004920</t>
  </si>
  <si>
    <t>H000004921</t>
  </si>
  <si>
    <t>H000004922</t>
  </si>
  <si>
    <t>H000004923</t>
  </si>
  <si>
    <t>H000004924</t>
  </si>
  <si>
    <t>H000004951</t>
  </si>
  <si>
    <t>H000004952</t>
  </si>
  <si>
    <t>H000004953</t>
  </si>
  <si>
    <t>H000004955</t>
  </si>
  <si>
    <t>H000004956</t>
  </si>
  <si>
    <t>L000014059</t>
  </si>
  <si>
    <t>L000014058</t>
  </si>
  <si>
    <t>L000014060</t>
  </si>
  <si>
    <t>L000014061</t>
  </si>
  <si>
    <t>L000014062</t>
  </si>
  <si>
    <t>L000014051</t>
  </si>
  <si>
    <t>L000014052</t>
  </si>
  <si>
    <t>L000014053</t>
  </si>
  <si>
    <t>L000014054</t>
  </si>
  <si>
    <t>L000014056</t>
  </si>
  <si>
    <t>L000014057</t>
  </si>
  <si>
    <t>L000014055</t>
  </si>
  <si>
    <t>L000014024</t>
  </si>
  <si>
    <t>L000014025</t>
  </si>
  <si>
    <t>L000014026</t>
  </si>
  <si>
    <t>L000014027</t>
  </si>
  <si>
    <t>L000014028</t>
  </si>
  <si>
    <t>L000014029</t>
  </si>
  <si>
    <t>L000014030</t>
  </si>
  <si>
    <t>L000014031</t>
  </si>
  <si>
    <t>L000014032</t>
  </si>
  <si>
    <t>L000014033</t>
  </si>
  <si>
    <t>L000014034</t>
  </si>
  <si>
    <t>L000014035</t>
  </si>
  <si>
    <t>L000014036</t>
  </si>
  <si>
    <t>L000014037</t>
  </si>
  <si>
    <t>L000014038</t>
  </si>
  <si>
    <t>L000014039</t>
  </si>
  <si>
    <t>L000014040</t>
  </si>
  <si>
    <t>L000014041</t>
  </si>
  <si>
    <t>L000014042</t>
  </si>
  <si>
    <t>L000014043</t>
  </si>
  <si>
    <t>L000014044</t>
  </si>
  <si>
    <t>L000014045</t>
  </si>
  <si>
    <t>L000014046</t>
  </si>
  <si>
    <t>L000014047</t>
  </si>
  <si>
    <t>L000014048</t>
  </si>
  <si>
    <t>L000014049</t>
  </si>
  <si>
    <t>L000014050</t>
  </si>
  <si>
    <t>L000014005</t>
  </si>
  <si>
    <t>L000014006</t>
  </si>
  <si>
    <t>L000014007</t>
  </si>
  <si>
    <t>L000014008</t>
  </si>
  <si>
    <t>L000014009</t>
  </si>
  <si>
    <t>L000014010</t>
  </si>
  <si>
    <t>L000014011</t>
  </si>
  <si>
    <t>L000014012</t>
  </si>
  <si>
    <t>L000014013</t>
  </si>
  <si>
    <t>L000014014</t>
  </si>
  <si>
    <t>L000014015</t>
  </si>
  <si>
    <t>L000014016</t>
  </si>
  <si>
    <t>L000014017</t>
  </si>
  <si>
    <t>L000014018</t>
  </si>
  <si>
    <t>L000014019</t>
  </si>
  <si>
    <t>L000014020</t>
  </si>
  <si>
    <t>L000014021</t>
  </si>
  <si>
    <t>L000014022</t>
  </si>
  <si>
    <t>L000014023</t>
  </si>
  <si>
    <t>L000013929</t>
  </si>
  <si>
    <t>L000013930</t>
  </si>
  <si>
    <t>L000013918</t>
  </si>
  <si>
    <t>L000013919</t>
  </si>
  <si>
    <t>L000013920</t>
  </si>
  <si>
    <t>L000013921</t>
  </si>
  <si>
    <t>L000013922</t>
  </si>
  <si>
    <t>L000013923</t>
  </si>
  <si>
    <t>L000013932</t>
  </si>
  <si>
    <t>L000013928</t>
  </si>
  <si>
    <t>L000013916</t>
  </si>
  <si>
    <t>L000013924</t>
  </si>
  <si>
    <t>L000013925</t>
  </si>
  <si>
    <t>L000013926</t>
  </si>
  <si>
    <t>L000013927</t>
  </si>
  <si>
    <t>L000013917</t>
  </si>
  <si>
    <t>L000013931</t>
  </si>
  <si>
    <t>L000013983</t>
  </si>
  <si>
    <t>L000013996</t>
  </si>
  <si>
    <t>L000013997</t>
  </si>
  <si>
    <t>L000013998</t>
  </si>
  <si>
    <t>L000013999</t>
  </si>
  <si>
    <t>L000014000</t>
  </si>
  <si>
    <t>L000014001</t>
  </si>
  <si>
    <t>L000014002</t>
  </si>
  <si>
    <t>L000014003</t>
  </si>
  <si>
    <t>L000014004</t>
  </si>
  <si>
    <t>L000013984</t>
  </si>
  <si>
    <t>L000013985</t>
  </si>
  <si>
    <t>L000013986</t>
  </si>
  <si>
    <t>L000013987</t>
  </si>
  <si>
    <t>L000013988</t>
  </si>
  <si>
    <t>L000013989</t>
  </si>
  <si>
    <t>L000013990</t>
  </si>
  <si>
    <t>L000013991</t>
  </si>
  <si>
    <t>L000013992</t>
  </si>
  <si>
    <t>L000013993</t>
  </si>
  <si>
    <t>L000013994</t>
  </si>
  <si>
    <t>L000013995</t>
  </si>
  <si>
    <t>L000013933</t>
  </si>
  <si>
    <t>L000013934</t>
  </si>
  <si>
    <t>L000013935</t>
  </si>
  <si>
    <t>L000013936</t>
  </si>
  <si>
    <t>L000013937</t>
  </si>
  <si>
    <t>L000013938</t>
  </si>
  <si>
    <t>L000013939</t>
  </si>
  <si>
    <t>L000013940</t>
  </si>
  <si>
    <t>L000013958</t>
  </si>
  <si>
    <t>L000013952</t>
  </si>
  <si>
    <t>L000013953</t>
  </si>
  <si>
    <t>L000013954</t>
  </si>
  <si>
    <t>L000013955</t>
  </si>
  <si>
    <t>L000013956</t>
  </si>
  <si>
    <t>L000013957</t>
  </si>
  <si>
    <t>L000013942</t>
  </si>
  <si>
    <t>L000013943</t>
  </si>
  <si>
    <t>L000013944</t>
  </si>
  <si>
    <t>L000013945</t>
  </si>
  <si>
    <t>L000013946</t>
  </si>
  <si>
    <t>L000013947</t>
  </si>
  <si>
    <t>L000013948</t>
  </si>
  <si>
    <t>L000013949</t>
  </si>
  <si>
    <t>L000013950</t>
  </si>
  <si>
    <t>L000013951</t>
  </si>
  <si>
    <t>L000013941</t>
  </si>
  <si>
    <t>L000013959</t>
  </si>
  <si>
    <t>L000013968</t>
  </si>
  <si>
    <t>L000013969</t>
  </si>
  <si>
    <t>L000013960</t>
  </si>
  <si>
    <t>L000013977</t>
  </si>
  <si>
    <t>L000013978</t>
  </si>
  <si>
    <t>L000013979</t>
  </si>
  <si>
    <t>L000013980</t>
  </si>
  <si>
    <t>L000013981</t>
  </si>
  <si>
    <t>L000013982</t>
  </si>
  <si>
    <t>L000013961</t>
  </si>
  <si>
    <t>L000013962</t>
  </si>
  <si>
    <t>L000013963</t>
  </si>
  <si>
    <t>L000013964</t>
  </si>
  <si>
    <t>L000013965</t>
  </si>
  <si>
    <t>L000013966</t>
  </si>
  <si>
    <t>L000013967</t>
  </si>
  <si>
    <t>L000013970</t>
  </si>
  <si>
    <t>L000013971</t>
  </si>
  <si>
    <t>L000013972</t>
  </si>
  <si>
    <t>L000013973</t>
  </si>
  <si>
    <t>L000013974</t>
  </si>
  <si>
    <t>L000013975</t>
  </si>
  <si>
    <t>L000013976</t>
  </si>
  <si>
    <t>P000001441</t>
  </si>
  <si>
    <t>P000001429</t>
  </si>
  <si>
    <t>P000001430</t>
  </si>
  <si>
    <t>P000001431</t>
  </si>
  <si>
    <t>P000001432</t>
  </si>
  <si>
    <t>P000001433</t>
  </si>
  <si>
    <t>P000001434</t>
  </si>
  <si>
    <t>P000001435</t>
  </si>
  <si>
    <t>P000001436</t>
  </si>
  <si>
    <t>P000001437</t>
  </si>
  <si>
    <t>P000001438</t>
  </si>
  <si>
    <t>P000001439</t>
  </si>
  <si>
    <t>P000001440</t>
  </si>
  <si>
    <t>P000001428</t>
  </si>
  <si>
    <t>P000001426</t>
  </si>
  <si>
    <t>P000001427</t>
  </si>
  <si>
    <t>P000001425</t>
  </si>
  <si>
    <t>P000001457</t>
  </si>
  <si>
    <t>P000001459</t>
  </si>
  <si>
    <t>P000001454</t>
  </si>
  <si>
    <t>P000001456</t>
  </si>
  <si>
    <t>P000001460</t>
  </si>
  <si>
    <t>P000001455</t>
  </si>
  <si>
    <t>P000001458</t>
  </si>
  <si>
    <t>P000001420</t>
  </si>
  <si>
    <t>P000001421</t>
  </si>
  <si>
    <t>P000001422</t>
  </si>
  <si>
    <t>P000001423</t>
  </si>
  <si>
    <t>P000001424</t>
  </si>
  <si>
    <t>P000001461</t>
  </si>
  <si>
    <t>P000001474</t>
  </si>
  <si>
    <t>P000001462</t>
  </si>
  <si>
    <t>P000001475</t>
  </si>
  <si>
    <t>P000001463</t>
  </si>
  <si>
    <t>P000001476</t>
  </si>
  <si>
    <t>P000001464</t>
  </si>
  <si>
    <t>P000001477</t>
  </si>
  <si>
    <t>P000001465</t>
  </si>
  <si>
    <t>P000001478</t>
  </si>
  <si>
    <t>P000001466</t>
  </si>
  <si>
    <t>P000001479</t>
  </si>
  <si>
    <t>P000001467</t>
  </si>
  <si>
    <t>P000001480</t>
  </si>
  <si>
    <t>P000001468</t>
  </si>
  <si>
    <t>P000001481</t>
  </si>
  <si>
    <t>P000001470</t>
  </si>
  <si>
    <t>P000001483</t>
  </si>
  <si>
    <t>P000001484</t>
  </si>
  <si>
    <t>P000001471</t>
  </si>
  <si>
    <t>P000001472</t>
  </si>
  <si>
    <t>P000001473</t>
  </si>
  <si>
    <t>P000001469</t>
  </si>
  <si>
    <t>P000001482</t>
  </si>
  <si>
    <t>P000001485</t>
  </si>
  <si>
    <t>P000001416</t>
  </si>
  <si>
    <t>P000001446</t>
  </si>
  <si>
    <t>P000001444</t>
  </si>
  <si>
    <t>P000001445</t>
  </si>
  <si>
    <t>P000001442</t>
  </si>
  <si>
    <t>P000001443</t>
  </si>
  <si>
    <t>P000001447</t>
  </si>
  <si>
    <t>P000001448</t>
  </si>
  <si>
    <t>P000001449</t>
  </si>
  <si>
    <t>P000001451</t>
  </si>
  <si>
    <t>P000001453</t>
  </si>
  <si>
    <t>P000001450</t>
  </si>
  <si>
    <t>P000001452</t>
  </si>
  <si>
    <t>P000001418</t>
  </si>
  <si>
    <t>P000001419</t>
  </si>
  <si>
    <t>P000001486</t>
  </si>
  <si>
    <t>P000001417</t>
  </si>
  <si>
    <t>O000000011</t>
  </si>
  <si>
    <t>O000000012</t>
  </si>
  <si>
    <t>O000000013</t>
  </si>
  <si>
    <t>H000004917</t>
  </si>
  <si>
    <t>H000004919</t>
  </si>
  <si>
    <t>H000004918</t>
  </si>
  <si>
    <t>G000001660</t>
  </si>
  <si>
    <t>G000001672</t>
  </si>
  <si>
    <t>G000001673</t>
  </si>
  <si>
    <t>G000001674</t>
  </si>
  <si>
    <t>G000001669</t>
  </si>
  <si>
    <t>G000001495</t>
  </si>
  <si>
    <t>G000001496</t>
  </si>
  <si>
    <t>IT06B12000</t>
  </si>
  <si>
    <t>IT6B12000</t>
  </si>
  <si>
    <t>G000001497</t>
  </si>
  <si>
    <t>IT06B12001</t>
  </si>
  <si>
    <t>IT6B12001</t>
  </si>
  <si>
    <t>G000001498</t>
  </si>
  <si>
    <t>IT06B12002</t>
  </si>
  <si>
    <t>IT6B12002</t>
  </si>
  <si>
    <t>G000001499</t>
  </si>
  <si>
    <t>IT06B12003</t>
  </si>
  <si>
    <t>IT6B12003</t>
  </si>
  <si>
    <t>G000001500</t>
  </si>
  <si>
    <t>IT06B12004</t>
  </si>
  <si>
    <t>IT6B12004</t>
  </si>
  <si>
    <t>G000001501</t>
  </si>
  <si>
    <t>IT06B12005</t>
  </si>
  <si>
    <t>IT6B12005</t>
  </si>
  <si>
    <t>G000001502</t>
  </si>
  <si>
    <t>IT06B12006</t>
  </si>
  <si>
    <t>IT6B12006</t>
  </si>
  <si>
    <t>G000001503</t>
  </si>
  <si>
    <t>IT06B12007</t>
  </si>
  <si>
    <t>IT6B12007</t>
  </si>
  <si>
    <t>G000001504</t>
  </si>
  <si>
    <t>G000001505</t>
  </si>
  <si>
    <t>IT06B13000</t>
  </si>
  <si>
    <t>IT6B13000</t>
  </si>
  <si>
    <t>G000001506</t>
  </si>
  <si>
    <t>IT06B13001</t>
  </si>
  <si>
    <t>IT6B13001</t>
  </si>
  <si>
    <t>G000001507</t>
  </si>
  <si>
    <t>IT06B13002</t>
  </si>
  <si>
    <t>IT6B13002</t>
  </si>
  <si>
    <t>G000001508</t>
  </si>
  <si>
    <t>IT06B13003</t>
  </si>
  <si>
    <t>IT6B13003</t>
  </si>
  <si>
    <t>G000001509</t>
  </si>
  <si>
    <t>IT06B13004</t>
  </si>
  <si>
    <t>IT6B13004</t>
  </si>
  <si>
    <t>G000001510</t>
  </si>
  <si>
    <t>IT06B13005</t>
  </si>
  <si>
    <t>IT6B13005</t>
  </si>
  <si>
    <t>G000001511</t>
  </si>
  <si>
    <t>IT06B13006</t>
  </si>
  <si>
    <t>IT6B13006</t>
  </si>
  <si>
    <t>G000001512</t>
  </si>
  <si>
    <t>G000001513</t>
  </si>
  <si>
    <t>IT06B14000</t>
  </si>
  <si>
    <t>IT6B14000</t>
  </si>
  <si>
    <t>G000001514</t>
  </si>
  <si>
    <t>IT06B14001</t>
  </si>
  <si>
    <t>IT6B14001</t>
  </si>
  <si>
    <t>G000001515</t>
  </si>
  <si>
    <t>IT06B14002</t>
  </si>
  <si>
    <t>IT6B14002</t>
  </si>
  <si>
    <t>G000001516</t>
  </si>
  <si>
    <t>IT06B14003</t>
  </si>
  <si>
    <t>IT6B14003</t>
  </si>
  <si>
    <t>G000001517</t>
  </si>
  <si>
    <t>IT06B14004</t>
  </si>
  <si>
    <t>IT6B14004</t>
  </si>
  <si>
    <t>G000001518</t>
  </si>
  <si>
    <t>IT06B14005</t>
  </si>
  <si>
    <t>IT6B14005</t>
  </si>
  <si>
    <t>G000001519</t>
  </si>
  <si>
    <t>IT06B14006</t>
  </si>
  <si>
    <t>IT6B14006</t>
  </si>
  <si>
    <t>G000001520</t>
  </si>
  <si>
    <t>IT06B14007</t>
  </si>
  <si>
    <t>IT6B14007</t>
  </si>
  <si>
    <t>G000001521</t>
  </si>
  <si>
    <t>IT06B14008</t>
  </si>
  <si>
    <t>IT6B14008</t>
  </si>
  <si>
    <t>G000001522</t>
  </si>
  <si>
    <t>G000001523</t>
  </si>
  <si>
    <t>IT06B15000</t>
  </si>
  <si>
    <t>IT6B15000</t>
  </si>
  <si>
    <t>G000001524</t>
  </si>
  <si>
    <t>IT06B15001</t>
  </si>
  <si>
    <t>IT6B15001</t>
  </si>
  <si>
    <t>G000001525</t>
  </si>
  <si>
    <t>IT06B15002</t>
  </si>
  <si>
    <t>IT6B15002</t>
  </si>
  <si>
    <t>G000001526</t>
  </si>
  <si>
    <t>IT06B15003</t>
  </si>
  <si>
    <t>IT6B15003</t>
  </si>
  <si>
    <t>G000001527</t>
  </si>
  <si>
    <t>IT06B15004</t>
  </si>
  <si>
    <t>IT6B15004</t>
  </si>
  <si>
    <t>G000001528</t>
  </si>
  <si>
    <t>IT06B15005</t>
  </si>
  <si>
    <t>IT6B15005</t>
  </si>
  <si>
    <t>G000001529</t>
  </si>
  <si>
    <t>IT06B15006</t>
  </si>
  <si>
    <t>IT6B15006</t>
  </si>
  <si>
    <t>G000001530</t>
  </si>
  <si>
    <t>IT06B15007</t>
  </si>
  <si>
    <t>IT6B15007</t>
  </si>
  <si>
    <t>G000001531</t>
  </si>
  <si>
    <t>IT06B15008</t>
  </si>
  <si>
    <t>IT6B15008</t>
  </si>
  <si>
    <t>G000001532</t>
  </si>
  <si>
    <t>G000001533</t>
  </si>
  <si>
    <t>IT06B16000</t>
  </si>
  <si>
    <t>IT6B16000</t>
  </si>
  <si>
    <t>G000001534</t>
  </si>
  <si>
    <t>IT06B16001</t>
  </si>
  <si>
    <t>IT6B16001</t>
  </si>
  <si>
    <t>G000001535</t>
  </si>
  <si>
    <t>IT06B16002</t>
  </si>
  <si>
    <t>IT6B16002</t>
  </si>
  <si>
    <t>G000001536</t>
  </si>
  <si>
    <t>IT06B16003</t>
  </si>
  <si>
    <t>IT6B16003</t>
  </si>
  <si>
    <t>G000001537</t>
  </si>
  <si>
    <t>IT06B16004</t>
  </si>
  <si>
    <t>IT6B16004</t>
  </si>
  <si>
    <t>G000001538</t>
  </si>
  <si>
    <t>IT06B16005</t>
  </si>
  <si>
    <t>IT6B16005</t>
  </si>
  <si>
    <t>G000001539</t>
  </si>
  <si>
    <t>G000001540</t>
  </si>
  <si>
    <t>IT06B17000</t>
  </si>
  <si>
    <t>IT6B17000</t>
  </si>
  <si>
    <t>G000001541</t>
  </si>
  <si>
    <t>IT06B17001</t>
  </si>
  <si>
    <t>IT6B17001</t>
  </si>
  <si>
    <t>G000001542</t>
  </si>
  <si>
    <t>IT06B17002</t>
  </si>
  <si>
    <t>IT6B17002</t>
  </si>
  <si>
    <t>G000001543</t>
  </si>
  <si>
    <t>IT06B17003</t>
  </si>
  <si>
    <t>IT6B17003</t>
  </si>
  <si>
    <t>G000001544</t>
  </si>
  <si>
    <t>IT06B17004</t>
  </si>
  <si>
    <t>IT6B17004</t>
  </si>
  <si>
    <t>G000001545</t>
  </si>
  <si>
    <t>IT06B17005</t>
  </si>
  <si>
    <t>IT6B17005</t>
  </si>
  <si>
    <t>G000001546</t>
  </si>
  <si>
    <t>G000001547</t>
  </si>
  <si>
    <t>IT06B18000</t>
  </si>
  <si>
    <t>IT6B18000</t>
  </si>
  <si>
    <t>G000001548</t>
  </si>
  <si>
    <t>IT06B18001</t>
  </si>
  <si>
    <t>IT6B18001</t>
  </si>
  <si>
    <t>G000001549</t>
  </si>
  <si>
    <t>IT06B18002</t>
  </si>
  <si>
    <t>IT6B18002</t>
  </si>
  <si>
    <t>G000001550</t>
  </si>
  <si>
    <t>IT06B18003</t>
  </si>
  <si>
    <t>IT6B18003</t>
  </si>
  <si>
    <t>G000001551</t>
  </si>
  <si>
    <t>IT06B18004</t>
  </si>
  <si>
    <t>IT6B18004</t>
  </si>
  <si>
    <t>G000001667</t>
  </si>
  <si>
    <t>G000001552</t>
  </si>
  <si>
    <t>G000001553</t>
  </si>
  <si>
    <t>IT09060100</t>
  </si>
  <si>
    <t>G000001554</t>
  </si>
  <si>
    <t>IT09060200</t>
  </si>
  <si>
    <t>G000001555</t>
  </si>
  <si>
    <t>IT09060300</t>
  </si>
  <si>
    <t>IT09060000</t>
  </si>
  <si>
    <t>G000001666</t>
  </si>
  <si>
    <t>G000001556</t>
  </si>
  <si>
    <t>G000001557</t>
  </si>
  <si>
    <t>IT09070000</t>
  </si>
  <si>
    <t>G000001558</t>
  </si>
  <si>
    <t>G000001559</t>
  </si>
  <si>
    <t>IT09080000</t>
  </si>
  <si>
    <t>G000001561</t>
  </si>
  <si>
    <t>G000001560</t>
  </si>
  <si>
    <t>IT01000600</t>
  </si>
  <si>
    <t>G000001562</t>
  </si>
  <si>
    <t>G000001670</t>
  </si>
  <si>
    <t>G000001463</t>
  </si>
  <si>
    <t>G000001563</t>
  </si>
  <si>
    <t>G000001564</t>
  </si>
  <si>
    <t>G000001566</t>
  </si>
  <si>
    <t>G000001567</t>
  </si>
  <si>
    <t>G000001568</t>
  </si>
  <si>
    <t>G000001569</t>
  </si>
  <si>
    <t>G000001570</t>
  </si>
  <si>
    <t>G000001571</t>
  </si>
  <si>
    <t>G000001572</t>
  </si>
  <si>
    <t>G000001573</t>
  </si>
  <si>
    <t>G000001574</t>
  </si>
  <si>
    <t>G000001575</t>
  </si>
  <si>
    <t>G000001576</t>
  </si>
  <si>
    <t>G000001577</t>
  </si>
  <si>
    <t>G000001578</t>
  </si>
  <si>
    <t>G000001565</t>
  </si>
  <si>
    <t>G000001579</t>
  </si>
  <si>
    <t>G000001580</t>
  </si>
  <si>
    <t>G000001582</t>
  </si>
  <si>
    <t>G000001583</t>
  </si>
  <si>
    <t>G000001584</t>
  </si>
  <si>
    <t>G000001585</t>
  </si>
  <si>
    <t>G000001586</t>
  </si>
  <si>
    <t>G000001587</t>
  </si>
  <si>
    <t>G000001581</t>
  </si>
  <si>
    <t>G000001588</t>
  </si>
  <si>
    <t>G000001589</t>
  </si>
  <si>
    <t>G000001591</t>
  </si>
  <si>
    <t>G000001592</t>
  </si>
  <si>
    <t>G000001593</t>
  </si>
  <si>
    <t>G000001594</t>
  </si>
  <si>
    <t>G000001595</t>
  </si>
  <si>
    <t>G000001596</t>
  </si>
  <si>
    <t>G000001597</t>
  </si>
  <si>
    <t>G000001590</t>
  </si>
  <si>
    <t>G000001598</t>
  </si>
  <si>
    <t>G000001599</t>
  </si>
  <si>
    <t>G000001601</t>
  </si>
  <si>
    <t>G000001602</t>
  </si>
  <si>
    <t>G000001603</t>
  </si>
  <si>
    <t>G000001604</t>
  </si>
  <si>
    <t>G000001605</t>
  </si>
  <si>
    <t>G000001606</t>
  </si>
  <si>
    <t>G000001607</t>
  </si>
  <si>
    <t>G000001608</t>
  </si>
  <si>
    <t>G000001609</t>
  </si>
  <si>
    <t>G000001610</t>
  </si>
  <si>
    <t>G000001611</t>
  </si>
  <si>
    <t>G000001612</t>
  </si>
  <si>
    <t>G000001600</t>
  </si>
  <si>
    <t>G000001613</t>
  </si>
  <si>
    <t>G000001614</t>
  </si>
  <si>
    <t>G000001616</t>
  </si>
  <si>
    <t>G000001617</t>
  </si>
  <si>
    <t>G000001618</t>
  </si>
  <si>
    <t>G000001619</t>
  </si>
  <si>
    <t>G000001620</t>
  </si>
  <si>
    <t>G000001621</t>
  </si>
  <si>
    <t>G000001622</t>
  </si>
  <si>
    <t>G000001623</t>
  </si>
  <si>
    <t>G000001624</t>
  </si>
  <si>
    <t>G000001625</t>
  </si>
  <si>
    <t>G000001626</t>
  </si>
  <si>
    <t>G000001615</t>
  </si>
  <si>
    <t>G000001627</t>
  </si>
  <si>
    <t>G000001628</t>
  </si>
  <si>
    <t>G000001630</t>
  </si>
  <si>
    <t>G000001631</t>
  </si>
  <si>
    <t>G000001632</t>
  </si>
  <si>
    <t>G000001633</t>
  </si>
  <si>
    <t>G000001634</t>
  </si>
  <si>
    <t>G000001635</t>
  </si>
  <si>
    <t>G000001629</t>
  </si>
  <si>
    <t>G000001636</t>
  </si>
  <si>
    <t>G000001637</t>
  </si>
  <si>
    <t>G000001639</t>
  </si>
  <si>
    <t>G000001640</t>
  </si>
  <si>
    <t>G000001641</t>
  </si>
  <si>
    <t>G000001642</t>
  </si>
  <si>
    <t>G000001643</t>
  </si>
  <si>
    <t>G000001644</t>
  </si>
  <si>
    <t>G000001645</t>
  </si>
  <si>
    <t>G000001646</t>
  </si>
  <si>
    <t>G000001647</t>
  </si>
  <si>
    <t>G000001638</t>
  </si>
  <si>
    <t>G000001648</t>
  </si>
  <si>
    <t>G000001649</t>
  </si>
  <si>
    <t>G000001651</t>
  </si>
  <si>
    <t>G000001652</t>
  </si>
  <si>
    <t>G000001653</t>
  </si>
  <si>
    <t>G000001654</t>
  </si>
  <si>
    <t>G000001655</t>
  </si>
  <si>
    <t>G000001656</t>
  </si>
  <si>
    <t>G000001657</t>
  </si>
  <si>
    <t>G000001658</t>
  </si>
  <si>
    <t>G000001659</t>
  </si>
  <si>
    <t>G000001650</t>
  </si>
  <si>
    <t>G000001671</t>
  </si>
  <si>
    <t>G000001661</t>
  </si>
  <si>
    <t>G000001668</t>
  </si>
  <si>
    <t>G000001471</t>
  </si>
  <si>
    <t>G000001472</t>
  </si>
  <si>
    <t>G000001474</t>
  </si>
  <si>
    <t>G000001473</t>
  </si>
  <si>
    <t>G000001475</t>
  </si>
  <si>
    <t>G000001476</t>
  </si>
  <si>
    <t>G000001477</t>
  </si>
  <si>
    <t>G000001478</t>
  </si>
  <si>
    <t>G000001480</t>
  </si>
  <si>
    <t>G000001479</t>
  </si>
  <si>
    <t>G000001481</t>
  </si>
  <si>
    <t>G000001482</t>
  </si>
  <si>
    <t>G000001483</t>
  </si>
  <si>
    <t>G000001484</t>
  </si>
  <si>
    <t>G000001486</t>
  </si>
  <si>
    <t>G000001485</t>
  </si>
  <si>
    <t>G000001487</t>
  </si>
  <si>
    <t>G000001488</t>
  </si>
  <si>
    <t>G000001489</t>
  </si>
  <si>
    <t>G000001490</t>
  </si>
  <si>
    <t>G000001492</t>
  </si>
  <si>
    <t>G000001491</t>
  </si>
  <si>
    <t>G000001493</t>
  </si>
  <si>
    <t>G000001494</t>
  </si>
  <si>
    <t>G000001464</t>
  </si>
  <si>
    <t>G000001465</t>
  </si>
  <si>
    <t>G000001467</t>
  </si>
  <si>
    <t>G000001466</t>
  </si>
  <si>
    <t>G000001468</t>
  </si>
  <si>
    <t>G000001469</t>
  </si>
  <si>
    <t>G000001470</t>
  </si>
  <si>
    <t>G000001662</t>
  </si>
  <si>
    <t>G000001663</t>
  </si>
  <si>
    <t>G000001664</t>
  </si>
  <si>
    <t>G000001665</t>
  </si>
  <si>
    <t>G000001675</t>
  </si>
  <si>
    <t>G000001676</t>
  </si>
  <si>
    <t>H000005088</t>
  </si>
  <si>
    <t>H000005089</t>
  </si>
  <si>
    <t>H000005506</t>
  </si>
  <si>
    <t>IT06031600</t>
  </si>
  <si>
    <t>H000005507</t>
  </si>
  <si>
    <t>IT06031700</t>
  </si>
  <si>
    <t>H000005043</t>
  </si>
  <si>
    <t>H000005044</t>
  </si>
  <si>
    <t>H000005045</t>
  </si>
  <si>
    <t>H000005046</t>
  </si>
  <si>
    <t>H000005047</t>
  </si>
  <si>
    <t>H000005048</t>
  </si>
  <si>
    <t>H000005049</t>
  </si>
  <si>
    <t>H000005050</t>
  </si>
  <si>
    <t>H000005051</t>
  </si>
  <si>
    <t>H000005052</t>
  </si>
  <si>
    <t>H000005053</t>
  </si>
  <si>
    <t>H000005054</t>
  </si>
  <si>
    <t>H000005055</t>
  </si>
  <si>
    <t>H000005066</t>
  </si>
  <si>
    <t>H000005067</t>
  </si>
  <si>
    <t>H000005068</t>
  </si>
  <si>
    <t>H000005069</t>
  </si>
  <si>
    <t>H000005070</t>
  </si>
  <si>
    <t>H000005071</t>
  </si>
  <si>
    <t>H000005072</t>
  </si>
  <si>
    <t>H000005073</t>
  </si>
  <si>
    <t>H000005074</t>
  </si>
  <si>
    <t>H000005075</t>
  </si>
  <si>
    <t>H000005076</t>
  </si>
  <si>
    <t>H000005077</t>
  </si>
  <si>
    <t>H000005056</t>
  </si>
  <si>
    <t>H000005057</t>
  </si>
  <si>
    <t>H000005058</t>
  </si>
  <si>
    <t>H000005059</t>
  </si>
  <si>
    <t>H000005060</t>
  </si>
  <si>
    <t>H000005061</t>
  </si>
  <si>
    <t>H000005062</t>
  </si>
  <si>
    <t>H000005063</t>
  </si>
  <si>
    <t>H000005064</t>
  </si>
  <si>
    <t>H000005065</t>
  </si>
  <si>
    <t>H000005078</t>
  </si>
  <si>
    <t>H000005079</t>
  </si>
  <si>
    <t>H000005080</t>
  </si>
  <si>
    <t>H000005081</t>
  </si>
  <si>
    <t>H000005082</t>
  </si>
  <si>
    <t>H000005083</t>
  </si>
  <si>
    <t>H000005084</t>
  </si>
  <si>
    <t>H000005085</t>
  </si>
  <si>
    <t>H000005086</t>
  </si>
  <si>
    <t>H000005087</t>
  </si>
  <si>
    <t>H000005033</t>
  </si>
  <si>
    <t>H000005034</t>
  </si>
  <si>
    <t>H000005035</t>
  </si>
  <si>
    <t>H000005036</t>
  </si>
  <si>
    <t>H000005037</t>
  </si>
  <si>
    <t>H000005038</t>
  </si>
  <si>
    <t>H000005039</t>
  </si>
  <si>
    <t>H000005040</t>
  </si>
  <si>
    <t>H000005041</t>
  </si>
  <si>
    <t>H000005042</t>
  </si>
  <si>
    <t>H000005119</t>
  </si>
  <si>
    <t>H000005120</t>
  </si>
  <si>
    <t>H000005121</t>
  </si>
  <si>
    <t>H000005122</t>
  </si>
  <si>
    <t>H000005123</t>
  </si>
  <si>
    <t>H000005124</t>
  </si>
  <si>
    <t>H000005125</t>
  </si>
  <si>
    <t>H000005126</t>
  </si>
  <si>
    <t>H000005127</t>
  </si>
  <si>
    <t>H000005128</t>
  </si>
  <si>
    <t>H000005129</t>
  </si>
  <si>
    <t>H000005130</t>
  </si>
  <si>
    <t>H000005131</t>
  </si>
  <si>
    <t>H000005132</t>
  </si>
  <si>
    <t>H000005133</t>
  </si>
  <si>
    <t>H000005134</t>
  </si>
  <si>
    <t>H000005135</t>
  </si>
  <si>
    <t>H000005136</t>
  </si>
  <si>
    <t>H000005137</t>
  </si>
  <si>
    <t>H000005138</t>
  </si>
  <si>
    <t>H000005139</t>
  </si>
  <si>
    <t>H000005140</t>
  </si>
  <si>
    <t>H000005141</t>
  </si>
  <si>
    <t>H000005142</t>
  </si>
  <si>
    <t>H000005143</t>
  </si>
  <si>
    <t>H000005144</t>
  </si>
  <si>
    <t>H000005145</t>
  </si>
  <si>
    <t>H000005146</t>
  </si>
  <si>
    <t>H000005147</t>
  </si>
  <si>
    <t>H000005148</t>
  </si>
  <si>
    <t>H000005149</t>
  </si>
  <si>
    <t>H000005150</t>
  </si>
  <si>
    <t>H000005151</t>
  </si>
  <si>
    <t>H000005152</t>
  </si>
  <si>
    <t>H000005153</t>
  </si>
  <si>
    <t>H000005154</t>
  </si>
  <si>
    <t>H000005155</t>
  </si>
  <si>
    <t>H000005156</t>
  </si>
  <si>
    <t>H000005157</t>
  </si>
  <si>
    <t>H000005158</t>
  </si>
  <si>
    <t>H000005159</t>
  </si>
  <si>
    <t>H000005160</t>
  </si>
  <si>
    <t>H000005161</t>
  </si>
  <si>
    <t>H000005162</t>
  </si>
  <si>
    <t>H000005163</t>
  </si>
  <si>
    <t>H000005164</t>
  </si>
  <si>
    <t>H000005165</t>
  </si>
  <si>
    <t>H000005166</t>
  </si>
  <si>
    <t>H000005167</t>
  </si>
  <si>
    <t>H000005168</t>
  </si>
  <si>
    <t>H000005169</t>
  </si>
  <si>
    <t>H000005170</t>
  </si>
  <si>
    <t>H000005171</t>
  </si>
  <si>
    <t>H000005172</t>
  </si>
  <si>
    <t>H000005173</t>
  </si>
  <si>
    <t>H000005174</t>
  </si>
  <si>
    <t>H000005175</t>
  </si>
  <si>
    <t>H000005176</t>
  </si>
  <si>
    <t>H000005177</t>
  </si>
  <si>
    <t>H000005178</t>
  </si>
  <si>
    <t>H000005179</t>
  </si>
  <si>
    <t>H000005180</t>
  </si>
  <si>
    <t>H000005181</t>
  </si>
  <si>
    <t>H000005182</t>
  </si>
  <si>
    <t>H000005183</t>
  </si>
  <si>
    <t>H000005184</t>
  </si>
  <si>
    <t>H000005185</t>
  </si>
  <si>
    <t>H000005186</t>
  </si>
  <si>
    <t>H000005187</t>
  </si>
  <si>
    <t>H000005188</t>
  </si>
  <si>
    <t>H000005189</t>
  </si>
  <si>
    <t>H000005190</t>
  </si>
  <si>
    <t>H000005191</t>
  </si>
  <si>
    <t>H000005192</t>
  </si>
  <si>
    <t>H000005193</t>
  </si>
  <si>
    <t>H000005194</t>
  </si>
  <si>
    <t>H000005195</t>
  </si>
  <si>
    <t>H000005196</t>
  </si>
  <si>
    <t>H000005197</t>
  </si>
  <si>
    <t>H000005198</t>
  </si>
  <si>
    <t>H000005199</t>
  </si>
  <si>
    <t>H000005200</t>
  </si>
  <si>
    <t>H000005201</t>
  </si>
  <si>
    <t>H000005202</t>
  </si>
  <si>
    <t>H000005203</t>
  </si>
  <si>
    <t>H000005204</t>
  </si>
  <si>
    <t>H000005205</t>
  </si>
  <si>
    <t>H000005206</t>
  </si>
  <si>
    <t>H000005207</t>
  </si>
  <si>
    <t>H000005208</t>
  </si>
  <si>
    <t>H000005209</t>
  </si>
  <si>
    <t>H000005210</t>
  </si>
  <si>
    <t>H000005211</t>
  </si>
  <si>
    <t>H000005212</t>
  </si>
  <si>
    <t>H000005213</t>
  </si>
  <si>
    <t>H000005214</t>
  </si>
  <si>
    <t>H000005215</t>
  </si>
  <si>
    <t>H000005216</t>
  </si>
  <si>
    <t>H000005217</t>
  </si>
  <si>
    <t>H000005218</t>
  </si>
  <si>
    <t>H000005219</t>
  </si>
  <si>
    <t>H000005220</t>
  </si>
  <si>
    <t>H000005221</t>
  </si>
  <si>
    <t>H000005222</t>
  </si>
  <si>
    <t>H000005223</t>
  </si>
  <si>
    <t>H000005224</t>
  </si>
  <si>
    <t>H000005225</t>
  </si>
  <si>
    <t>H000005226</t>
  </si>
  <si>
    <t>H000005227</t>
  </si>
  <si>
    <t>H000005228</t>
  </si>
  <si>
    <t>H000005229</t>
  </si>
  <si>
    <t>H000005230</t>
  </si>
  <si>
    <t>H000005231</t>
  </si>
  <si>
    <t>H000005232</t>
  </si>
  <si>
    <t>H000005233</t>
  </si>
  <si>
    <t>H000005234</t>
  </si>
  <si>
    <t>H000005235</t>
  </si>
  <si>
    <t>H000005236</t>
  </si>
  <si>
    <t>H000005237</t>
  </si>
  <si>
    <t>H000005238</t>
  </si>
  <si>
    <t>H000005239</t>
  </si>
  <si>
    <t>H000005240</t>
  </si>
  <si>
    <t>H000005241</t>
  </si>
  <si>
    <t>H000005242</t>
  </si>
  <si>
    <t>H000005243</t>
  </si>
  <si>
    <t>H000005244</t>
  </si>
  <si>
    <t>H000005245</t>
  </si>
  <si>
    <t>H000005246</t>
  </si>
  <si>
    <t>H000005247</t>
  </si>
  <si>
    <t>H000005248</t>
  </si>
  <si>
    <t>H000005249</t>
  </si>
  <si>
    <t>H000005250</t>
  </si>
  <si>
    <t>H000005251</t>
  </si>
  <si>
    <t>H000005252</t>
  </si>
  <si>
    <t>H000005253</t>
  </si>
  <si>
    <t>H000005254</t>
  </si>
  <si>
    <t>H000005255</t>
  </si>
  <si>
    <t>H000005256</t>
  </si>
  <si>
    <t>H000005257</t>
  </si>
  <si>
    <t>H000005258</t>
  </si>
  <si>
    <t>H000005259</t>
  </si>
  <si>
    <t>H000005260</t>
  </si>
  <si>
    <t>H000005261</t>
  </si>
  <si>
    <t>H000005262</t>
  </si>
  <si>
    <t>H000005263</t>
  </si>
  <si>
    <t>H000005264</t>
  </si>
  <si>
    <t>H000005265</t>
  </si>
  <si>
    <t>H000005266</t>
  </si>
  <si>
    <t>H000005267</t>
  </si>
  <si>
    <t>H000005268</t>
  </si>
  <si>
    <t>H000005269</t>
  </si>
  <si>
    <t>H000005270</t>
  </si>
  <si>
    <t>H000005327</t>
  </si>
  <si>
    <t>H000005328</t>
  </si>
  <si>
    <t>H000005329</t>
  </si>
  <si>
    <t>H000005330</t>
  </si>
  <si>
    <t>H000005331</t>
  </si>
  <si>
    <t>H000005332</t>
  </si>
  <si>
    <t>H000005333</t>
  </si>
  <si>
    <t>H000005334</t>
  </si>
  <si>
    <t>H000005275</t>
  </si>
  <si>
    <t>H000005276</t>
  </si>
  <si>
    <t>H000005277</t>
  </si>
  <si>
    <t>H000005278</t>
  </si>
  <si>
    <t>H000005279</t>
  </si>
  <si>
    <t>H000005280</t>
  </si>
  <si>
    <t>H000005281</t>
  </si>
  <si>
    <t>H000005282</t>
  </si>
  <si>
    <t>H000005283</t>
  </si>
  <si>
    <t>H000005284</t>
  </si>
  <si>
    <t>H000005285</t>
  </si>
  <si>
    <t>H000005286</t>
  </si>
  <si>
    <t>H000005287</t>
  </si>
  <si>
    <t>H000005288</t>
  </si>
  <si>
    <t>H000005289</t>
  </si>
  <si>
    <t>H000005290</t>
  </si>
  <si>
    <t>H000005291</t>
  </si>
  <si>
    <t>H000005292</t>
  </si>
  <si>
    <t>H000005293</t>
  </si>
  <si>
    <t>H000005294</t>
  </si>
  <si>
    <t>H000005295</t>
  </si>
  <si>
    <t>H000005296</t>
  </si>
  <si>
    <t>H000005297</t>
  </si>
  <si>
    <t>H000005298</t>
  </si>
  <si>
    <t>H000005299</t>
  </si>
  <si>
    <t>H000005300</t>
  </si>
  <si>
    <t>H000005301</t>
  </si>
  <si>
    <t>H000005302</t>
  </si>
  <si>
    <t>H000005303</t>
  </si>
  <si>
    <t>H000005304</t>
  </si>
  <si>
    <t>H000005305</t>
  </si>
  <si>
    <t>H000005306</t>
  </si>
  <si>
    <t>H000005307</t>
  </si>
  <si>
    <t>H000005308</t>
  </si>
  <si>
    <t>H000005309</t>
  </si>
  <si>
    <t>H000005310</t>
  </si>
  <si>
    <t>H000005311</t>
  </si>
  <si>
    <t>H000005312</t>
  </si>
  <si>
    <t>H000005313</t>
  </si>
  <si>
    <t>H000005314</t>
  </si>
  <si>
    <t>H000005315</t>
  </si>
  <si>
    <t>H000005316</t>
  </si>
  <si>
    <t>H000005317</t>
  </si>
  <si>
    <t>H000005318</t>
  </si>
  <si>
    <t>H000005319</t>
  </si>
  <si>
    <t>H000005320</t>
  </si>
  <si>
    <t>H000005321</t>
  </si>
  <si>
    <t>H000005322</t>
  </si>
  <si>
    <t>H000005323</t>
  </si>
  <si>
    <t>H000005324</t>
  </si>
  <si>
    <t>H000005325</t>
  </si>
  <si>
    <t>H000005326</t>
  </si>
  <si>
    <t>H000005335</t>
  </si>
  <si>
    <t>H000005336</t>
  </si>
  <si>
    <t>H000005337</t>
  </si>
  <si>
    <t>H000005338</t>
  </si>
  <si>
    <t>H000005339</t>
  </si>
  <si>
    <t>H000005340</t>
  </si>
  <si>
    <t>H000005341</t>
  </si>
  <si>
    <t>H000005271</t>
  </si>
  <si>
    <t>H000005272</t>
  </si>
  <si>
    <t>H000005273</t>
  </si>
  <si>
    <t>H000005274</t>
  </si>
  <si>
    <t>H000005698</t>
  </si>
  <si>
    <t>H000005699</t>
  </si>
  <si>
    <t>H000005704</t>
  </si>
  <si>
    <t>H000005711</t>
  </si>
  <si>
    <t>H000005713</t>
  </si>
  <si>
    <t>H000005714</t>
  </si>
  <si>
    <t>H000005715</t>
  </si>
  <si>
    <t>H000005716</t>
  </si>
  <si>
    <t>H000005712</t>
  </si>
  <si>
    <t>H000005700</t>
  </si>
  <si>
    <t>H000005705</t>
  </si>
  <si>
    <t>H000005706</t>
  </si>
  <si>
    <t>H000005707</t>
  </si>
  <si>
    <t>H000005701</t>
  </si>
  <si>
    <t>H000005710</t>
  </si>
  <si>
    <t>H000005702</t>
  </si>
  <si>
    <t>H000005708</t>
  </si>
  <si>
    <t>H000005709</t>
  </si>
  <si>
    <t>H000005703</t>
  </si>
  <si>
    <t>H000005717</t>
  </si>
  <si>
    <t>H000005530</t>
  </si>
  <si>
    <t>H000005531</t>
  </si>
  <si>
    <t>H000005536</t>
  </si>
  <si>
    <t>H000005546</t>
  </si>
  <si>
    <t>H000005549</t>
  </si>
  <si>
    <t>H000005550</t>
  </si>
  <si>
    <t>H000005551</t>
  </si>
  <si>
    <t>H000005552</t>
  </si>
  <si>
    <t>H000005547</t>
  </si>
  <si>
    <t>H000005553</t>
  </si>
  <si>
    <t>H000005554</t>
  </si>
  <si>
    <t>H000005555</t>
  </si>
  <si>
    <t>H000005556</t>
  </si>
  <si>
    <t>H000005537</t>
  </si>
  <si>
    <t>H000005548</t>
  </si>
  <si>
    <t>H000005557</t>
  </si>
  <si>
    <t>H000005558</t>
  </si>
  <si>
    <t>H000005559</t>
  </si>
  <si>
    <t>H000005560</t>
  </si>
  <si>
    <t>H000005532</t>
  </si>
  <si>
    <t>H000005538</t>
  </si>
  <si>
    <t>H000005539</t>
  </si>
  <si>
    <t>H000005540</t>
  </si>
  <si>
    <t>H000005533</t>
  </si>
  <si>
    <t>H000005541</t>
  </si>
  <si>
    <t>H000005542</t>
  </si>
  <si>
    <t>H000005543</t>
  </si>
  <si>
    <t>H000005534</t>
  </si>
  <si>
    <t>H000005544</t>
  </si>
  <si>
    <t>H000005545</t>
  </si>
  <si>
    <t>H000005535</t>
  </si>
  <si>
    <t>H000005561</t>
  </si>
  <si>
    <t>H000005510</t>
  </si>
  <si>
    <t>H000005511</t>
  </si>
  <si>
    <t>H000005516</t>
  </si>
  <si>
    <t>H000005524</t>
  </si>
  <si>
    <t>H000005525</t>
  </si>
  <si>
    <t>H000005526</t>
  </si>
  <si>
    <t>H000005527</t>
  </si>
  <si>
    <t>H000005528</t>
  </si>
  <si>
    <t>H000005512</t>
  </si>
  <si>
    <t>H000005517</t>
  </si>
  <si>
    <t>H000005518</t>
  </si>
  <si>
    <t>H000005519</t>
  </si>
  <si>
    <t>H000005513</t>
  </si>
  <si>
    <t>H000005520</t>
  </si>
  <si>
    <t>H000005521</t>
  </si>
  <si>
    <t>H000005514</t>
  </si>
  <si>
    <t>H000005522</t>
  </si>
  <si>
    <t>H000005523</t>
  </si>
  <si>
    <t>H000005515</t>
  </si>
  <si>
    <t>H000005529</t>
  </si>
  <si>
    <t>H000005642</t>
  </si>
  <si>
    <t>H000005643</t>
  </si>
  <si>
    <t>H000005648</t>
  </si>
  <si>
    <t>H000005657</t>
  </si>
  <si>
    <t>H000005663</t>
  </si>
  <si>
    <t>H000005664</t>
  </si>
  <si>
    <t>H000005665</t>
  </si>
  <si>
    <t>H000005666</t>
  </si>
  <si>
    <t>H000005649</t>
  </si>
  <si>
    <t>H000005658</t>
  </si>
  <si>
    <t>H000005659</t>
  </si>
  <si>
    <t>H000005660</t>
  </si>
  <si>
    <t>H000005661</t>
  </si>
  <si>
    <t>H000005662</t>
  </si>
  <si>
    <t>H000005644</t>
  </si>
  <si>
    <t>H000005650</t>
  </si>
  <si>
    <t>H000005651</t>
  </si>
  <si>
    <t>H000005652</t>
  </si>
  <si>
    <t>H000005645</t>
  </si>
  <si>
    <t>H000005655</t>
  </si>
  <si>
    <t>H000005656</t>
  </si>
  <si>
    <t>H000005646</t>
  </si>
  <si>
    <t>H000005653</t>
  </si>
  <si>
    <t>H000005654</t>
  </si>
  <si>
    <t>H000005647</t>
  </si>
  <si>
    <t>H000005667</t>
  </si>
  <si>
    <t>H000005668</t>
  </si>
  <si>
    <t>H000005669</t>
  </si>
  <si>
    <t>H000005674</t>
  </si>
  <si>
    <t>H000005682</t>
  </si>
  <si>
    <t>H000005685</t>
  </si>
  <si>
    <t>H000005686</t>
  </si>
  <si>
    <t>H000005687</t>
  </si>
  <si>
    <t>H000005688</t>
  </si>
  <si>
    <t>H000005683</t>
  </si>
  <si>
    <t>H000005689</t>
  </si>
  <si>
    <t>H000005690</t>
  </si>
  <si>
    <t>H000005691</t>
  </si>
  <si>
    <t>H000005692</t>
  </si>
  <si>
    <t>H000005684</t>
  </si>
  <si>
    <t>H000005693</t>
  </si>
  <si>
    <t>H000005694</t>
  </si>
  <si>
    <t>H000005695</t>
  </si>
  <si>
    <t>H000005696</t>
  </si>
  <si>
    <t>H000005670</t>
  </si>
  <si>
    <t>H000005675</t>
  </si>
  <si>
    <t>H000005676</t>
  </si>
  <si>
    <t>H000005677</t>
  </si>
  <si>
    <t>H000005671</t>
  </si>
  <si>
    <t>H000005678</t>
  </si>
  <si>
    <t>H000005679</t>
  </si>
  <si>
    <t>H000005672</t>
  </si>
  <si>
    <t>H000005680</t>
  </si>
  <si>
    <t>H000005681</t>
  </si>
  <si>
    <t>H000005673</t>
  </si>
  <si>
    <t>H000005697</t>
  </si>
  <si>
    <t>H000004996</t>
  </si>
  <si>
    <t>H000004997</t>
  </si>
  <si>
    <t>H000004998</t>
  </si>
  <si>
    <t>H000004999</t>
  </si>
  <si>
    <t>H000005000</t>
  </si>
  <si>
    <t>H000005001</t>
  </si>
  <si>
    <t>H000005002</t>
  </si>
  <si>
    <t>H000005003</t>
  </si>
  <si>
    <t>H000005004</t>
  </si>
  <si>
    <t>H000005596</t>
  </si>
  <si>
    <t>H000005597</t>
  </si>
  <si>
    <t>H000005601</t>
  </si>
  <si>
    <t>H000005610</t>
  </si>
  <si>
    <t>H000005620</t>
  </si>
  <si>
    <t>H000005621</t>
  </si>
  <si>
    <t>H000005622</t>
  </si>
  <si>
    <t>H000005623</t>
  </si>
  <si>
    <t>H000005624</t>
  </si>
  <si>
    <t>H000005625</t>
  </si>
  <si>
    <t>H000005626</t>
  </si>
  <si>
    <t>H000005602</t>
  </si>
  <si>
    <t>H000005609</t>
  </si>
  <si>
    <t>H000005613</t>
  </si>
  <si>
    <t>H000005614</t>
  </si>
  <si>
    <t>H000005615</t>
  </si>
  <si>
    <t>H000005616</t>
  </si>
  <si>
    <t>H000005617</t>
  </si>
  <si>
    <t>H000005618</t>
  </si>
  <si>
    <t>H000005619</t>
  </si>
  <si>
    <t>H000005611</t>
  </si>
  <si>
    <t>H000005627</t>
  </si>
  <si>
    <t>H000005628</t>
  </si>
  <si>
    <t>H000005629</t>
  </si>
  <si>
    <t>H000005630</t>
  </si>
  <si>
    <t>H000005631</t>
  </si>
  <si>
    <t>H000005632</t>
  </si>
  <si>
    <t>H000005633</t>
  </si>
  <si>
    <t>H000005612</t>
  </si>
  <si>
    <t>H000005634</t>
  </si>
  <si>
    <t>H000005635</t>
  </si>
  <si>
    <t>H000005636</t>
  </si>
  <si>
    <t>H000005637</t>
  </si>
  <si>
    <t>H000005638</t>
  </si>
  <si>
    <t>H000005639</t>
  </si>
  <si>
    <t>H000005640</t>
  </si>
  <si>
    <t>H000005598</t>
  </si>
  <si>
    <t>H000005603</t>
  </si>
  <si>
    <t>H000005604</t>
  </si>
  <si>
    <t>H000005605</t>
  </si>
  <si>
    <t>H000005599</t>
  </si>
  <si>
    <t>H000005606</t>
  </si>
  <si>
    <t>H000005607</t>
  </si>
  <si>
    <t>H000005608</t>
  </si>
  <si>
    <t>H000005600</t>
  </si>
  <si>
    <t>H000005641</t>
  </si>
  <si>
    <t>H000005562</t>
  </si>
  <si>
    <t>H000005563</t>
  </si>
  <si>
    <t>H000005568</t>
  </si>
  <si>
    <t>H000005580</t>
  </si>
  <si>
    <t>H000005583</t>
  </si>
  <si>
    <t>H000005584</t>
  </si>
  <si>
    <t>H000005585</t>
  </si>
  <si>
    <t>H000005586</t>
  </si>
  <si>
    <t>H000005569</t>
  </si>
  <si>
    <t>H000005581</t>
  </si>
  <si>
    <t>H000005587</t>
  </si>
  <si>
    <t>H000005588</t>
  </si>
  <si>
    <t>H000005589</t>
  </si>
  <si>
    <t>H000005590</t>
  </si>
  <si>
    <t>H000005582</t>
  </si>
  <si>
    <t>H000005591</t>
  </si>
  <si>
    <t>H000005592</t>
  </si>
  <si>
    <t>H000005593</t>
  </si>
  <si>
    <t>H000005594</t>
  </si>
  <si>
    <t>H000005564</t>
  </si>
  <si>
    <t>H000005570</t>
  </si>
  <si>
    <t>H000005571</t>
  </si>
  <si>
    <t>H000005572</t>
  </si>
  <si>
    <t>H000005565</t>
  </si>
  <si>
    <t>H000005573</t>
  </si>
  <si>
    <t>H000005574</t>
  </si>
  <si>
    <t>H000005575</t>
  </si>
  <si>
    <t>H000005576</t>
  </si>
  <si>
    <t>H000005566</t>
  </si>
  <si>
    <t>H000005577</t>
  </si>
  <si>
    <t>H000005578</t>
  </si>
  <si>
    <t>H000005579</t>
  </si>
  <si>
    <t>H000005567</t>
  </si>
  <si>
    <t>H000005595</t>
  </si>
  <si>
    <t>H000004957</t>
  </si>
  <si>
    <t>H000004958</t>
  </si>
  <si>
    <t>H000004959</t>
  </si>
  <si>
    <t>H000004960</t>
  </si>
  <si>
    <t>H000004961</t>
  </si>
  <si>
    <t>H000004962</t>
  </si>
  <si>
    <t>H000004963</t>
  </si>
  <si>
    <t>H000004964</t>
  </si>
  <si>
    <t>H000004965</t>
  </si>
  <si>
    <t>H000004966</t>
  </si>
  <si>
    <t>H000004967</t>
  </si>
  <si>
    <t>H000004968</t>
  </si>
  <si>
    <t>H000004969</t>
  </si>
  <si>
    <t>H000004970</t>
  </si>
  <si>
    <t>H000004971</t>
  </si>
  <si>
    <t>H000004972</t>
  </si>
  <si>
    <t>H000004973</t>
  </si>
  <si>
    <t>H000004974</t>
  </si>
  <si>
    <t>H000004975</t>
  </si>
  <si>
    <t>H000005005</t>
  </si>
  <si>
    <t>H000004976</t>
  </si>
  <si>
    <t>H000004977</t>
  </si>
  <si>
    <t>H000004978</t>
  </si>
  <si>
    <t>H000004979</t>
  </si>
  <si>
    <t>H000004980</t>
  </si>
  <si>
    <t>H000004981</t>
  </si>
  <si>
    <t>H000004982</t>
  </si>
  <si>
    <t>H000004983</t>
  </si>
  <si>
    <t>H000004984</t>
  </si>
  <si>
    <t>H000004985</t>
  </si>
  <si>
    <t>H000004986</t>
  </si>
  <si>
    <t>H000004987</t>
  </si>
  <si>
    <t>H000004988</t>
  </si>
  <si>
    <t>H000004989</t>
  </si>
  <si>
    <t>H000004990</t>
  </si>
  <si>
    <t>H000004991</t>
  </si>
  <si>
    <t>H000004992</t>
  </si>
  <si>
    <t>H000004993</t>
  </si>
  <si>
    <t>H000004994</t>
  </si>
  <si>
    <t>H000005006</t>
  </si>
  <si>
    <t>H000005508</t>
  </si>
  <si>
    <t>RDC0000142</t>
  </si>
  <si>
    <t>H000005016</t>
  </si>
  <si>
    <t>H000005017</t>
  </si>
  <si>
    <t>H000005018</t>
  </si>
  <si>
    <t>H000005019</t>
  </si>
  <si>
    <t>H000005020</t>
  </si>
  <si>
    <t>H000005021</t>
  </si>
  <si>
    <t>H000005022</t>
  </si>
  <si>
    <t>H000005023</t>
  </si>
  <si>
    <t>H000005024</t>
  </si>
  <si>
    <t>H000005025</t>
  </si>
  <si>
    <t>H000005026</t>
  </si>
  <si>
    <t>H000004995</t>
  </si>
  <si>
    <t>H000005014</t>
  </si>
  <si>
    <t>H000005015</t>
  </si>
  <si>
    <t>H000005109</t>
  </si>
  <si>
    <t>H000005110</t>
  </si>
  <si>
    <t>H000005114</t>
  </si>
  <si>
    <t>H000005349</t>
  </si>
  <si>
    <t>H000005350</t>
  </si>
  <si>
    <t>H000005351</t>
  </si>
  <si>
    <t>H000005352</t>
  </si>
  <si>
    <t>H000005353</t>
  </si>
  <si>
    <t>H000005354</t>
  </si>
  <si>
    <t>H000005355</t>
  </si>
  <si>
    <t>H000005356</t>
  </si>
  <si>
    <t>H000005357</t>
  </si>
  <si>
    <t>H000005358</t>
  </si>
  <si>
    <t>H000005359</t>
  </si>
  <si>
    <t>H000005360</t>
  </si>
  <si>
    <t>H000005361</t>
  </si>
  <si>
    <t>H000005362</t>
  </si>
  <si>
    <t>H000005496</t>
  </si>
  <si>
    <t>H000005497</t>
  </si>
  <si>
    <t>H000005498</t>
  </si>
  <si>
    <t>H000005499</t>
  </si>
  <si>
    <t>H000005500</t>
  </si>
  <si>
    <t>H000005501</t>
  </si>
  <si>
    <t>H000005502</t>
  </si>
  <si>
    <t>H000005503</t>
  </si>
  <si>
    <t>H000005504</t>
  </si>
  <si>
    <t>H000005505</t>
  </si>
  <si>
    <t>H000005115</t>
  </si>
  <si>
    <t>H000005116</t>
  </si>
  <si>
    <t>H000005117</t>
  </si>
  <si>
    <t>H000005118</t>
  </si>
  <si>
    <t>H000005509</t>
  </si>
  <si>
    <t>H000005370</t>
  </si>
  <si>
    <t>H000005371</t>
  </si>
  <si>
    <t>H000005372</t>
  </si>
  <si>
    <t>H000005373</t>
  </si>
  <si>
    <t>H000005374</t>
  </si>
  <si>
    <t>H000005375</t>
  </si>
  <si>
    <t>H000005376</t>
  </si>
  <si>
    <t>H000005007</t>
  </si>
  <si>
    <t>H000005008</t>
  </si>
  <si>
    <t>H000005009</t>
  </si>
  <si>
    <t>H000005010</t>
  </si>
  <si>
    <t>H000005011</t>
  </si>
  <si>
    <t>H000005012</t>
  </si>
  <si>
    <t>H000005013</t>
  </si>
  <si>
    <t>H000005377</t>
  </si>
  <si>
    <t>H000005378</t>
  </si>
  <si>
    <t>H000005379</t>
  </si>
  <si>
    <t>H000005380</t>
  </si>
  <si>
    <t>H000005381</t>
  </si>
  <si>
    <t>H000005382</t>
  </si>
  <si>
    <t>H000005383</t>
  </si>
  <si>
    <t>H000005384</t>
  </si>
  <si>
    <t>H000005385</t>
  </si>
  <si>
    <t>H000005386</t>
  </si>
  <si>
    <t>H000005387</t>
  </si>
  <si>
    <t>H000005388</t>
  </si>
  <si>
    <t>H000005389</t>
  </si>
  <si>
    <t>H000005390</t>
  </si>
  <si>
    <t>H000005391</t>
  </si>
  <si>
    <t>H000005392</t>
  </si>
  <si>
    <t>H000005393</t>
  </si>
  <si>
    <t>H000005394</t>
  </si>
  <si>
    <t>H000005395</t>
  </si>
  <si>
    <t>H000005396</t>
  </si>
  <si>
    <t>H000005397</t>
  </si>
  <si>
    <t>H000005398</t>
  </si>
  <si>
    <t>H000005399</t>
  </si>
  <si>
    <t>H000005400</t>
  </si>
  <si>
    <t>H000005401</t>
  </si>
  <si>
    <t>H000005402</t>
  </si>
  <si>
    <t>H000005403</t>
  </si>
  <si>
    <t>H000005404</t>
  </si>
  <si>
    <t>H000005405</t>
  </si>
  <si>
    <t>H000005406</t>
  </si>
  <si>
    <t>H000005407</t>
  </si>
  <si>
    <t>H000005408</t>
  </si>
  <si>
    <t>H000005409</t>
  </si>
  <si>
    <t>H000005410</t>
  </si>
  <si>
    <t>H000005411</t>
  </si>
  <si>
    <t>H000005419</t>
  </si>
  <si>
    <t>H000005420</t>
  </si>
  <si>
    <t>H000005421</t>
  </si>
  <si>
    <t>H000005422</t>
  </si>
  <si>
    <t>H000005423</t>
  </si>
  <si>
    <t>H000005424</t>
  </si>
  <si>
    <t>H000005425</t>
  </si>
  <si>
    <t>H000005426</t>
  </si>
  <si>
    <t>H000005427</t>
  </si>
  <si>
    <t>H000005428</t>
  </si>
  <si>
    <t>H000005429</t>
  </si>
  <si>
    <t>H000005430</t>
  </si>
  <si>
    <t>H000005431</t>
  </si>
  <si>
    <t>H000005432</t>
  </si>
  <si>
    <t>H000005433</t>
  </si>
  <si>
    <t>H000005434</t>
  </si>
  <si>
    <t>H000005435</t>
  </si>
  <si>
    <t>H000005436</t>
  </si>
  <si>
    <t>H000005437</t>
  </si>
  <si>
    <t>H000005438</t>
  </si>
  <si>
    <t>H000005439</t>
  </si>
  <si>
    <t>H000005412</t>
  </si>
  <si>
    <t>H000005413</t>
  </si>
  <si>
    <t>H000005414</t>
  </si>
  <si>
    <t>H000005415</t>
  </si>
  <si>
    <t>H000005416</t>
  </si>
  <si>
    <t>H000005417</t>
  </si>
  <si>
    <t>H000005418</t>
  </si>
  <si>
    <t>H000005440</t>
  </si>
  <si>
    <t>H000005441</t>
  </si>
  <si>
    <t>H000005442</t>
  </si>
  <si>
    <t>H000005443</t>
  </si>
  <si>
    <t>H000005444</t>
  </si>
  <si>
    <t>H000005445</t>
  </si>
  <si>
    <t>H000005446</t>
  </si>
  <si>
    <t>H000005447</t>
  </si>
  <si>
    <t>H000005448</t>
  </si>
  <si>
    <t>H000005449</t>
  </si>
  <si>
    <t>H000005450</t>
  </si>
  <si>
    <t>H000005451</t>
  </si>
  <si>
    <t>H000005452</t>
  </si>
  <si>
    <t>H000005453</t>
  </si>
  <si>
    <t>H000005454</t>
  </si>
  <si>
    <t>H000005455</t>
  </si>
  <si>
    <t>H000005456</t>
  </si>
  <si>
    <t>H000005457</t>
  </si>
  <si>
    <t>H000005458</t>
  </si>
  <si>
    <t>H000005459</t>
  </si>
  <si>
    <t>H000005460</t>
  </si>
  <si>
    <t>H000005461</t>
  </si>
  <si>
    <t>H000005462</t>
  </si>
  <si>
    <t>H000005463</t>
  </si>
  <si>
    <t>H000005464</t>
  </si>
  <si>
    <t>H000005465</t>
  </si>
  <si>
    <t>H000005466</t>
  </si>
  <si>
    <t>H000005467</t>
  </si>
  <si>
    <t>H000005468</t>
  </si>
  <si>
    <t>H000005469</t>
  </si>
  <si>
    <t>H000005470</t>
  </si>
  <si>
    <t>H000005471</t>
  </si>
  <si>
    <t>H000005472</t>
  </si>
  <si>
    <t>H000005473</t>
  </si>
  <si>
    <t>H000005474</t>
  </si>
  <si>
    <t>H000005475</t>
  </si>
  <si>
    <t>H000005476</t>
  </si>
  <si>
    <t>H000005477</t>
  </si>
  <si>
    <t>H000005478</t>
  </si>
  <si>
    <t>H000005479</t>
  </si>
  <si>
    <t>H000005480</t>
  </si>
  <si>
    <t>H000005481</t>
  </si>
  <si>
    <t>H000005482</t>
  </si>
  <si>
    <t>H000005483</t>
  </si>
  <si>
    <t>H000005484</t>
  </si>
  <si>
    <t>H000005485</t>
  </si>
  <si>
    <t>H000005486</t>
  </si>
  <si>
    <t>H000005487</t>
  </si>
  <si>
    <t>H000005488</t>
  </si>
  <si>
    <t>H000005489</t>
  </si>
  <si>
    <t>H000005490</t>
  </si>
  <si>
    <t>H000005491</t>
  </si>
  <si>
    <t>H000005492</t>
  </si>
  <si>
    <t>H000005493</t>
  </si>
  <si>
    <t>H000005494</t>
  </si>
  <si>
    <t>H000005495</t>
  </si>
  <si>
    <t>H000005363</t>
  </si>
  <si>
    <t>H000005364</t>
  </si>
  <si>
    <t>H000005365</t>
  </si>
  <si>
    <t>H000005366</t>
  </si>
  <si>
    <t>H000005367</t>
  </si>
  <si>
    <t>H000005368</t>
  </si>
  <si>
    <t>H000005369</t>
  </si>
  <si>
    <t>H000005342</t>
  </si>
  <si>
    <t>H000005343</t>
  </si>
  <si>
    <t>H000005344</t>
  </si>
  <si>
    <t>H000005345</t>
  </si>
  <si>
    <t>H000005346</t>
  </si>
  <si>
    <t>H000005347</t>
  </si>
  <si>
    <t>H000005348</t>
  </si>
  <si>
    <t>H000005090</t>
  </si>
  <si>
    <t>H000005091</t>
  </si>
  <si>
    <t>H000005098</t>
  </si>
  <si>
    <t>H000005101</t>
  </si>
  <si>
    <t>H000005104</t>
  </si>
  <si>
    <t>H000005092</t>
  </si>
  <si>
    <t>H000005094</t>
  </si>
  <si>
    <t>H000005095</t>
  </si>
  <si>
    <t>H000005096</t>
  </si>
  <si>
    <t>H000005100</t>
  </si>
  <si>
    <t>H000005103</t>
  </si>
  <si>
    <t>H000005106</t>
  </si>
  <si>
    <t>H000005097</t>
  </si>
  <si>
    <t>H000005093</t>
  </si>
  <si>
    <t>H000005099</t>
  </si>
  <si>
    <t>H000005102</t>
  </si>
  <si>
    <t>H000005105</t>
  </si>
  <si>
    <t>H000005718</t>
  </si>
  <si>
    <t>H000005719</t>
  </si>
  <si>
    <t>H000005720</t>
  </si>
  <si>
    <t>H000005111</t>
  </si>
  <si>
    <t>H000005112</t>
  </si>
  <si>
    <t>H000005113</t>
  </si>
  <si>
    <t>H000005027</t>
  </si>
  <si>
    <t>H000005028</t>
  </si>
  <si>
    <t>H000005030</t>
  </si>
  <si>
    <t>H000005031</t>
  </si>
  <si>
    <t>H000005032</t>
  </si>
  <si>
    <t>H000005029</t>
  </si>
  <si>
    <t>L000014118</t>
  </si>
  <si>
    <t>L000014114</t>
  </si>
  <si>
    <t>L000014115</t>
  </si>
  <si>
    <t>L000014116</t>
  </si>
  <si>
    <t>L000014117</t>
  </si>
  <si>
    <t>L000014113</t>
  </si>
  <si>
    <t>L000014119</t>
  </si>
  <si>
    <t>L000014120</t>
  </si>
  <si>
    <t>L000014130</t>
  </si>
  <si>
    <t>L000014131</t>
  </si>
  <si>
    <t>L000014132</t>
  </si>
  <si>
    <t>L000014133</t>
  </si>
  <si>
    <t>L000014134</t>
  </si>
  <si>
    <t>L000014135</t>
  </si>
  <si>
    <t>L000014136</t>
  </si>
  <si>
    <t>L000014137</t>
  </si>
  <si>
    <t>L000014138</t>
  </si>
  <si>
    <t>L000014139</t>
  </si>
  <si>
    <t>L000014140</t>
  </si>
  <si>
    <t>L000014121</t>
  </si>
  <si>
    <t>L000014122</t>
  </si>
  <si>
    <t>L000014123</t>
  </si>
  <si>
    <t>L000014124</t>
  </si>
  <si>
    <t>L000014125</t>
  </si>
  <si>
    <t>L000014126</t>
  </si>
  <si>
    <t>L000014127</t>
  </si>
  <si>
    <t>L000014128</t>
  </si>
  <si>
    <t>L000014129</t>
  </si>
  <si>
    <t>L000014142</t>
  </si>
  <si>
    <t>PL_E4_US60</t>
  </si>
  <si>
    <t>PL_E4_CA03</t>
  </si>
  <si>
    <t>PL_E4_IE06</t>
  </si>
  <si>
    <t>L000014070</t>
  </si>
  <si>
    <t>L000014071</t>
  </si>
  <si>
    <t>L000014072</t>
  </si>
  <si>
    <t>L000014073</t>
  </si>
  <si>
    <t>L000014074</t>
  </si>
  <si>
    <t>L000014075</t>
  </si>
  <si>
    <t>L000014076</t>
  </si>
  <si>
    <t>L000014077</t>
  </si>
  <si>
    <t>L000014078</t>
  </si>
  <si>
    <t>L000014079</t>
  </si>
  <si>
    <t>L000014080</t>
  </si>
  <si>
    <t>L000014081</t>
  </si>
  <si>
    <t>L000014082</t>
  </si>
  <si>
    <t>L000014083</t>
  </si>
  <si>
    <t>L000014084</t>
  </si>
  <si>
    <t>L000014085</t>
  </si>
  <si>
    <t>L000014086</t>
  </si>
  <si>
    <t>L000014087</t>
  </si>
  <si>
    <t>L000014069</t>
  </si>
  <si>
    <t>L000014088</t>
  </si>
  <si>
    <t>L000014089</t>
  </si>
  <si>
    <t>L000014090</t>
  </si>
  <si>
    <t>L000014091</t>
  </si>
  <si>
    <t>L000014092</t>
  </si>
  <si>
    <t>L000014093</t>
  </si>
  <si>
    <t>L000014094</t>
  </si>
  <si>
    <t>L000014095</t>
  </si>
  <si>
    <t>L000014096</t>
  </si>
  <si>
    <t>L000014097</t>
  </si>
  <si>
    <t>L000014098</t>
  </si>
  <si>
    <t>L000014099</t>
  </si>
  <si>
    <t>L000014100</t>
  </si>
  <si>
    <t>L000014101</t>
  </si>
  <si>
    <t>L000014102</t>
  </si>
  <si>
    <t>L000014103</t>
  </si>
  <si>
    <t>L000014104</t>
  </si>
  <si>
    <t>L000014105</t>
  </si>
  <si>
    <t>L000014106</t>
  </si>
  <si>
    <t>L000014107</t>
  </si>
  <si>
    <t>L000014108</t>
  </si>
  <si>
    <t>L000014109</t>
  </si>
  <si>
    <t>L000014110</t>
  </si>
  <si>
    <t>L000014111</t>
  </si>
  <si>
    <t>L000014112</t>
  </si>
  <si>
    <t>L000014068</t>
  </si>
  <si>
    <t>L000014063</t>
  </si>
  <si>
    <t>L000014064</t>
  </si>
  <si>
    <t>L000014065</t>
  </si>
  <si>
    <t>L000014066</t>
  </si>
  <si>
    <t>L000014141</t>
  </si>
  <si>
    <t>L000014067</t>
  </si>
  <si>
    <t>P000001494</t>
  </si>
  <si>
    <t>P000001524</t>
  </si>
  <si>
    <t>P000001525</t>
  </si>
  <si>
    <t>P000001526</t>
  </si>
  <si>
    <t>P000001527</t>
  </si>
  <si>
    <t>P000001528</t>
  </si>
  <si>
    <t>P000001495</t>
  </si>
  <si>
    <t>P000001529</t>
  </si>
  <si>
    <t>P000001530</t>
  </si>
  <si>
    <t>P000001531</t>
  </si>
  <si>
    <t>P000001532</t>
  </si>
  <si>
    <t>P000001533</t>
  </si>
  <si>
    <t>P000001496</t>
  </si>
  <si>
    <t>P000001497</t>
  </si>
  <si>
    <t>P000001498</t>
  </si>
  <si>
    <t>P000001499</t>
  </si>
  <si>
    <t>P000001538</t>
  </si>
  <si>
    <t>P000001539</t>
  </si>
  <si>
    <t>P000001540</t>
  </si>
  <si>
    <t>P000001541</t>
  </si>
  <si>
    <t>P000001542</t>
  </si>
  <si>
    <t>P000001543</t>
  </si>
  <si>
    <t>P000001544</t>
  </si>
  <si>
    <t>P000001500</t>
  </si>
  <si>
    <t>P000001501</t>
  </si>
  <si>
    <t>P000001502</t>
  </si>
  <si>
    <t>P000001503</t>
  </si>
  <si>
    <t>PL_E6_0182</t>
  </si>
  <si>
    <t>P000001487</t>
  </si>
  <si>
    <t>P000001490</t>
  </si>
  <si>
    <t>P000001504</t>
  </si>
  <si>
    <t>P000001505</t>
  </si>
  <si>
    <t>P000001506</t>
  </si>
  <si>
    <t>P000001507</t>
  </si>
  <si>
    <t>P000001508</t>
  </si>
  <si>
    <t>P000001547</t>
  </si>
  <si>
    <t>P000001548</t>
  </si>
  <si>
    <t>P000001549</t>
  </si>
  <si>
    <t>P000001550</t>
  </si>
  <si>
    <t>P000001551</t>
  </si>
  <si>
    <t>P000001552</t>
  </si>
  <si>
    <t>P000001553</t>
  </si>
  <si>
    <t>P000001545</t>
  </si>
  <si>
    <t>P000001546</t>
  </si>
  <si>
    <t>P000001565</t>
  </si>
  <si>
    <t>P000001566</t>
  </si>
  <si>
    <t>P000001488</t>
  </si>
  <si>
    <t>P000001489</t>
  </si>
  <si>
    <t>P000001493</t>
  </si>
  <si>
    <t>P000001519</t>
  </si>
  <si>
    <t>P000001520</t>
  </si>
  <si>
    <t>P000001521</t>
  </si>
  <si>
    <t>P000001522</t>
  </si>
  <si>
    <t>P000001523</t>
  </si>
  <si>
    <t>P000001570</t>
  </si>
  <si>
    <t>P000001571</t>
  </si>
  <si>
    <t>P000001534</t>
  </si>
  <si>
    <t>P000001535</t>
  </si>
  <si>
    <t>P000001491</t>
  </si>
  <si>
    <t>P000001509</t>
  </si>
  <si>
    <t>P000001510</t>
  </si>
  <si>
    <t>P000001511</t>
  </si>
  <si>
    <t>P000001512</t>
  </si>
  <si>
    <t>P000001513</t>
  </si>
  <si>
    <t>P000001492</t>
  </si>
  <si>
    <t>P000001514</t>
  </si>
  <si>
    <t>P000001515</t>
  </si>
  <si>
    <t>P000001516</t>
  </si>
  <si>
    <t>P000001517</t>
  </si>
  <si>
    <t>P000001518</t>
  </si>
  <si>
    <t>P000001578</t>
  </si>
  <si>
    <t>P000001573</t>
  </si>
  <si>
    <t>P000001577</t>
  </si>
  <si>
    <t>P000001580</t>
  </si>
  <si>
    <t>PL_ED_KRC6</t>
  </si>
  <si>
    <t>P000001537</t>
  </si>
  <si>
    <t>P000001536</t>
  </si>
  <si>
    <t>P000001576</t>
  </si>
  <si>
    <t>P000001567</t>
  </si>
  <si>
    <t>PL_ED_USE9</t>
  </si>
  <si>
    <t>P000001568</t>
  </si>
  <si>
    <t>PL_ED_TWC5</t>
  </si>
  <si>
    <t>P000001554</t>
  </si>
  <si>
    <t>P000001555</t>
  </si>
  <si>
    <t>P000001556</t>
  </si>
  <si>
    <t>P000001557</t>
  </si>
  <si>
    <t>P000001558</t>
  </si>
  <si>
    <t>P000001559</t>
  </si>
  <si>
    <t>P000001560</t>
  </si>
  <si>
    <t>P000001561</t>
  </si>
  <si>
    <t>P000001562</t>
  </si>
  <si>
    <t>P000001563</t>
  </si>
  <si>
    <t>P000001564</t>
  </si>
  <si>
    <t>P000001572</t>
  </si>
  <si>
    <t>PL_ED_CND3</t>
  </si>
  <si>
    <t>P000001569</t>
  </si>
  <si>
    <t>PL_ED_KRC5</t>
  </si>
  <si>
    <t>P000001574</t>
  </si>
  <si>
    <t>P000001575</t>
  </si>
  <si>
    <t>PL_E1_USBA</t>
  </si>
  <si>
    <t>P000001579</t>
  </si>
  <si>
    <t>H000005107</t>
  </si>
  <si>
    <t>H000005108</t>
  </si>
  <si>
    <t>G000001677</t>
  </si>
  <si>
    <t>Research &amp; Development</t>
  </si>
  <si>
    <t>G000001678</t>
  </si>
  <si>
    <t>G000001679</t>
  </si>
  <si>
    <t>G000001680</t>
  </si>
  <si>
    <t>G000001681</t>
  </si>
  <si>
    <t>G000001682</t>
  </si>
  <si>
    <t>G000001683</t>
  </si>
  <si>
    <t>G000001684</t>
  </si>
  <si>
    <t>H000005721</t>
  </si>
  <si>
    <t>H000005722</t>
  </si>
  <si>
    <t>H000005723</t>
  </si>
  <si>
    <t>H000005724</t>
  </si>
  <si>
    <t>H000005725</t>
  </si>
  <si>
    <t>H000005726</t>
  </si>
  <si>
    <t>H000005727</t>
  </si>
  <si>
    <t>H000005728</t>
  </si>
  <si>
    <t>H000005729</t>
  </si>
  <si>
    <t>H000005730</t>
  </si>
  <si>
    <t>H000005731</t>
  </si>
  <si>
    <t>H000005732</t>
  </si>
  <si>
    <t>H000005733</t>
  </si>
  <si>
    <t>H000005734</t>
  </si>
  <si>
    <t>H000005735</t>
  </si>
  <si>
    <t>H000005736</t>
  </si>
  <si>
    <t>H000005737</t>
  </si>
  <si>
    <t>H000005738</t>
  </si>
  <si>
    <t>H000005739</t>
  </si>
  <si>
    <t>H000005740</t>
  </si>
  <si>
    <t>H000005741</t>
  </si>
  <si>
    <t>H000005742</t>
  </si>
  <si>
    <t>H000005743</t>
  </si>
  <si>
    <t>H000005744</t>
  </si>
  <si>
    <t>H000005745</t>
  </si>
  <si>
    <t>H000005746</t>
  </si>
  <si>
    <t>H000005747</t>
  </si>
  <si>
    <t>H000005748</t>
  </si>
  <si>
    <t>H000005749</t>
  </si>
  <si>
    <t>H000005750</t>
  </si>
  <si>
    <t>H000005751</t>
  </si>
  <si>
    <t>H000005752</t>
  </si>
  <si>
    <t>H000005753</t>
  </si>
  <si>
    <t>H000005754</t>
  </si>
  <si>
    <t>H000005755</t>
  </si>
  <si>
    <t>H000005756</t>
  </si>
  <si>
    <t>H000005757</t>
  </si>
  <si>
    <t>H000005758</t>
  </si>
  <si>
    <t>H000005759</t>
  </si>
  <si>
    <t>H000005760</t>
  </si>
  <si>
    <t>H000005761</t>
  </si>
  <si>
    <t>H000005762</t>
  </si>
  <si>
    <t>H000005763</t>
  </si>
  <si>
    <t>H000005764</t>
  </si>
  <si>
    <t>H000005765</t>
  </si>
  <si>
    <t>H000005766</t>
  </si>
  <si>
    <t>H000005767</t>
  </si>
  <si>
    <t>H000005768</t>
  </si>
  <si>
    <t>H000005769</t>
  </si>
  <si>
    <t>H000005770</t>
  </si>
  <si>
    <t>H000005771</t>
  </si>
  <si>
    <t>H000005772</t>
  </si>
  <si>
    <t>H000005773</t>
  </si>
  <si>
    <t>H000005774</t>
  </si>
  <si>
    <t>H000005775</t>
  </si>
  <si>
    <t>IT07070600</t>
  </si>
  <si>
    <t>IT6B19000</t>
  </si>
  <si>
    <t>IT6B19001</t>
  </si>
  <si>
    <t>IT6B20000</t>
  </si>
  <si>
    <t>IT6B21000</t>
  </si>
  <si>
    <t>IT6B22000</t>
  </si>
  <si>
    <t>IT6B23000</t>
  </si>
  <si>
    <t>190340 - [Other Intercompany Expenses (non-MGF)]</t>
  </si>
  <si>
    <t>7040000001 - [SOM Intercompany Charge Local Function]</t>
  </si>
  <si>
    <t>5769910000 - [Special Reimbursement Expenses - IC]</t>
  </si>
  <si>
    <t>5769902000 - [IC Cross-Charging - Reimb Exp - SIAL]</t>
  </si>
  <si>
    <t>5764510000 - [IC Expenses - Miscellaneous Others]</t>
  </si>
  <si>
    <t>5753916000 - [IC Expenses - Admin - Manual - CorrAcc]</t>
  </si>
  <si>
    <t>5752310000 - [IC Expenses - MD Activities]</t>
  </si>
  <si>
    <t>5201110000 - [IC Expenses - TechOps Related Services]</t>
  </si>
  <si>
    <t>5754710000 - [IC Exp - Site Services]</t>
  </si>
  <si>
    <t>190330 - [Other Intercompany Income (non-MGF)]</t>
  </si>
  <si>
    <t>7600304235 - [DAA_IC Exp - SMS - Contractor Mgt S]</t>
  </si>
  <si>
    <t>7560000001 - [AOM IC Other Miscellaneous Expenses]</t>
  </si>
  <si>
    <t>7320230002 - [AOM Intercompany charge Tech Ops]</t>
  </si>
  <si>
    <t>7220000009 - [AOM Patent and scientific IS]</t>
  </si>
  <si>
    <t>7220000008 - [AOM MD activities]</t>
  </si>
  <si>
    <t>7040000002 - [SOM Intercomp. Charge Management &amp; Oth.]</t>
  </si>
  <si>
    <t>7020000003 - [AOM General Affairs Charge Loc. Function]</t>
  </si>
  <si>
    <t>5984110000 - [Reimbursement IC - Other Administration]</t>
  </si>
  <si>
    <t>5981410000 - [Reimbursement IC - Other Miscellaneous]</t>
  </si>
  <si>
    <t>5980910000 - [Reimbursement IC - Pat&amp;Scien Inform Serv]</t>
  </si>
  <si>
    <t>5980310000 - [Reimbursement IC - Logistics Services]</t>
  </si>
  <si>
    <t>5980010000 - [Reimbursement IC - Field Force]</t>
  </si>
  <si>
    <t>5963510000 - [IC Expenses - Non-Operating TP Compensat]</t>
  </si>
  <si>
    <t>3959910000 - [Special Reimbursement Income - IC]</t>
  </si>
  <si>
    <t>3959902000 - [IC Cross-Charging - Reimb Inc - SIAL]</t>
  </si>
  <si>
    <t>3957106000 - [Oth Inc - Transfer Price Adjustments]</t>
  </si>
  <si>
    <t>3954910000 - [Rem Oth Inc IC - Logistics Serv]</t>
  </si>
  <si>
    <t>3954810000 - [Rem Oth Inc IC - Field Force]</t>
  </si>
  <si>
    <t>3953710000 - [Income from Non-Core Activities - IC]</t>
  </si>
  <si>
    <t>CES_STD - [Global Cost Element Hierarchy]</t>
  </si>
  <si>
    <t>300000 - []</t>
  </si>
  <si>
    <t>300100 - []</t>
  </si>
  <si>
    <t>7600304192 - [DAA_G75_Kran]</t>
  </si>
  <si>
    <t>5225710000 - [IC Exp - DIV - Materials investigation]</t>
  </si>
  <si>
    <t>5225610000 - [IC Exp - DIV - Hazard Evaluation]</t>
  </si>
  <si>
    <t>5225310000 - [IC Exp - DIV - Printing Services]</t>
  </si>
  <si>
    <t>7600304104 - [DAA General Infrastructure MRE GE]</t>
  </si>
  <si>
    <t>5223610000 - [IC Exp - SMS -  SetUp H Machinery]</t>
  </si>
  <si>
    <t>7300110019 - [PRO - DI Water (M3)]</t>
  </si>
  <si>
    <t>7300110015 - [DAA PRO - Waste Air Treatment]</t>
  </si>
  <si>
    <t>9155941000 - [KDV - ML - ExchRateDiff f. LowLev - TAcc]</t>
  </si>
  <si>
    <t>9155940000 - [KDY - ML - Exch Rate Differences - TAcc]</t>
  </si>
  <si>
    <t>9154301000 - [PRV - ML - Price Differ f. LowLev - TAcc]</t>
  </si>
  <si>
    <t>9154300000 - [PRY - ML - Price Differences - TAcc]</t>
  </si>
  <si>
    <t>9154230000 - [UMY - ML - Gain/Loss Revaluation - TAcc]</t>
  </si>
  <si>
    <t>9009200000 - [Advanced Payment - Stat Acc for IO/WBS]</t>
  </si>
  <si>
    <t>8750000000 - [Defr Tax on Planned Dividends]</t>
  </si>
  <si>
    <t>8720000000 - [Defr Tax Resul f. Use Unrec Tax Loss Cfw]</t>
  </si>
  <si>
    <t>8630000000 - [Curr Tax Resul f. Use Unrec Tax Credits]</t>
  </si>
  <si>
    <t>8620000000 - [Curr Tax Resul f. Use Unrec Tax Loss CFw]</t>
  </si>
  <si>
    <t>8610000000 - [Current Tax Resul f. Use Unrec Temp Diff]</t>
  </si>
  <si>
    <t>8582410000 - [FX Exp Settl-Fin-CurrOpt-IntrVal-Real-IC]</t>
  </si>
  <si>
    <t>8560110000 - [Premium-Operat-Zero-Cost CurrOpt-Real-IC]</t>
  </si>
  <si>
    <t>8536200000 - [Loss FairValChangesOthFinInstFVtPL-Unre]</t>
  </si>
  <si>
    <t>8536000000 - [Loss FairValChanges OthFinInstFVtPL-Re]</t>
  </si>
  <si>
    <t>8535000000 - [Loss FairValChanges Equity Inst FVtPL]</t>
  </si>
  <si>
    <t>8533000000 - [Loss FairValChanges Debt Inst FVtPL]</t>
  </si>
  <si>
    <t>8531000000 - [Loss FairValCha DebtInst FVOptFVtPL]</t>
  </si>
  <si>
    <t>8521000000 - [Inc f. Recycling Debt Inst FVOCI]</t>
  </si>
  <si>
    <t>8520000000 - [Inc f. FairValChanges Debt Inst FVtPL]</t>
  </si>
  <si>
    <t>8500100000 - [InterExp Result-Inter Rate Swap-CFH-Unrl]</t>
  </si>
  <si>
    <t>8500000000 - [Exp Chn in Value of Oth Inter Derivat]</t>
  </si>
  <si>
    <t>8470000999 - [Int Exp - Non-Act Borrow Costs-Loc(TAcc)]</t>
  </si>
  <si>
    <t>8420010000 - [Interest Exp-Interest Derivativ-Real-IC]</t>
  </si>
  <si>
    <t>8400010001 - [Interest Expenses Paid - IC - Account 1]</t>
  </si>
  <si>
    <t>8280210000 - [FX Inc Settl-Fin-CurrOpt-IntrVal-Real-IC]</t>
  </si>
  <si>
    <t>8233000000 - [Inc f. FairValChanges Debt Inst FVtPL]</t>
  </si>
  <si>
    <t>8231000000 - [Inc f. FairValCha DebtInst FVOpt FVtPL]</t>
  </si>
  <si>
    <t>8221000000 - [Inc f. Recycling Debt Inst FVOCI]</t>
  </si>
  <si>
    <t>8220000000 - [Inc f. FairValChanges Debt Inst FVtPL]</t>
  </si>
  <si>
    <t>8202000000 - [InterInc Result-InterRateSwap-CFH-Unreal]</t>
  </si>
  <si>
    <t>8200000000 - [Inc Change in Value of Inter Derivat]</t>
  </si>
  <si>
    <t>8170000000 - [Interest Income from Finance Lease]</t>
  </si>
  <si>
    <t>8130000000 - [Interest Income (Int Derivatives) Accrue]</t>
  </si>
  <si>
    <t>8100010001 - [Interest Income Paid - IC - Account 1]</t>
  </si>
  <si>
    <t>8100000002 - [Interest Income Paid]</t>
  </si>
  <si>
    <t>8000007777 - [DO NOT USE_NCI PnL dummy account]</t>
  </si>
  <si>
    <t>7920000004 - [AOM - SM DIV R&amp;D Support]</t>
  </si>
  <si>
    <t>7920000003 - [AOM - SM DIV Other Services]</t>
  </si>
  <si>
    <t>7920000002 - [AOM SM Analytics 5%]</t>
  </si>
  <si>
    <t>7920000001 - [AOM - SM DIV Quality &amp; Analytics]</t>
  </si>
  <si>
    <t>7824190000 - [APA Remaining other expense IC]</t>
  </si>
  <si>
    <t>7820140007 - [APA Other M&amp;S -7]</t>
  </si>
  <si>
    <t>7820140006 - [APA Other M&amp;S - 6]</t>
  </si>
  <si>
    <t>7820140005 - [APA Other M&amp;S - 5]</t>
  </si>
  <si>
    <t>7820140004 - [APA Other M&amp;S - 4]</t>
  </si>
  <si>
    <t>7820140003 - [APA Other M&amp;S - 3]</t>
  </si>
  <si>
    <t>7820140002 - [APA Other M&amp;S - 2]</t>
  </si>
  <si>
    <t>7811200000 - [APA Allocated MGF COGS]</t>
  </si>
  <si>
    <t>7721121400 - [SPA Application technology global]</t>
  </si>
  <si>
    <t>7720152100 - [SPA ICON WH &amp; Distrib.]</t>
  </si>
  <si>
    <t>7720140007 - [SPA Other M&amp;S -7]</t>
  </si>
  <si>
    <t>7720140006 - [SPA Other M&amp;S - 6]</t>
  </si>
  <si>
    <t>7720140005 - [SPA Other M&amp;S - 5]</t>
  </si>
  <si>
    <t>7720140004 - [SPA Other M&amp;S - 4]</t>
  </si>
  <si>
    <t>7720140003 - [SPA Other M&amp;S - 3]</t>
  </si>
  <si>
    <t>7720140002 - [SPA Other M&amp;S - 2]</t>
  </si>
  <si>
    <t>7720140001 - [SPA Other M&amp;S - 1]</t>
  </si>
  <si>
    <t>7720104008 - [SPA ICON Congresses &amp; events]</t>
  </si>
  <si>
    <t>7720103008 - [SPA ICON Advertising]</t>
  </si>
  <si>
    <t>7720101008 - [SPA ICON Promotion material]</t>
  </si>
  <si>
    <t>7720101007 - [SPA Promotion material -7]</t>
  </si>
  <si>
    <t>7720101006 - [SPA Promotion material - 6]</t>
  </si>
  <si>
    <t>7720101005 - [SPA Promotion material - 5]</t>
  </si>
  <si>
    <t>7720101004 - [SPA Promotion material - 4]</t>
  </si>
  <si>
    <t>7720101003 - [SPA Promotion material - 3]</t>
  </si>
  <si>
    <t>7720101002 - [SPA Promotion material - 2]</t>
  </si>
  <si>
    <t>7720101001 - [SPA Promotion material - 1]</t>
  </si>
  <si>
    <t>7711113003 - [SPA Returnable Package]</t>
  </si>
  <si>
    <t>7711111100 - [SPA MPV Component]</t>
  </si>
  <si>
    <t>7711101200 - [SPA Material Cost 4 IC-Inter Company]</t>
  </si>
  <si>
    <t>7600330101 - [DAA Process dev. &amp; process eng.serv._P]</t>
  </si>
  <si>
    <t>7600000011 - [DAA - Quality Setup Labor]</t>
  </si>
  <si>
    <t>7600000010 - [DAA - Quality Service]</t>
  </si>
  <si>
    <t>7600000009 - [DAA - Quality Machine Time]</t>
  </si>
  <si>
    <t>7600000008 - [DAA - Quality Labor Time]</t>
  </si>
  <si>
    <t>7600000007 - [DAA - Quality Duration]</t>
  </si>
  <si>
    <t>7600000006 - [DAA - QM Lab Dev. Activity]</t>
  </si>
  <si>
    <t>7600000005 - [DAA - QM Document Prep]</t>
  </si>
  <si>
    <t>7600000004 - [DAA - QM Administration]</t>
  </si>
  <si>
    <t>7600000003 - [DAA - Analytical Method Validation]</t>
  </si>
  <si>
    <t>7440000007 - [SOM R&amp;D local from Global 4Over-Governen]</t>
  </si>
  <si>
    <t>7401000003 - [PRO - R&amp;D Activities to PrO - Quality]</t>
  </si>
  <si>
    <t>7401000002 - [PRO - R&amp;D Activities to PrO - Equipment]</t>
  </si>
  <si>
    <t>7401000001 - [PRO - R&amp;D Activities to PrO - DirectLab]</t>
  </si>
  <si>
    <t>7350111038 - [RA-Cost of Sales COS/Rev]</t>
  </si>
  <si>
    <t>7350111037 - [RA-Cost of Sales Reserves]</t>
  </si>
  <si>
    <t>7350111036 - [RA-Cost of Sales WIP]</t>
  </si>
  <si>
    <t>7350111035 - [RA-Revenue COS/Reserves]</t>
  </si>
  <si>
    <t>7350111028 - [RA - Other Expenses COS/Revenue]</t>
  </si>
  <si>
    <t>7350111025 - [RA - Labour COS/Revenue]</t>
  </si>
  <si>
    <t>7350111024 - [RA - Labour Reserves]</t>
  </si>
  <si>
    <t>7350111023 - [RA - Labour WIP]</t>
  </si>
  <si>
    <t>7350111022 - [RA - Material COS/Revenue]</t>
  </si>
  <si>
    <t>7350111000 - [RA - Valuated Actual Cost]</t>
  </si>
  <si>
    <t>7330170009 - [OSU Transfer Price Markup-Cost4Receiving]</t>
  </si>
  <si>
    <t>7330170007 - [OSU Sterilization Surcharge 4 Subconchrg]</t>
  </si>
  <si>
    <t>7310140013 - [IAA - Hot Di Water]</t>
  </si>
  <si>
    <t>7310140012 - [IAA - C. Air regulation]</t>
  </si>
  <si>
    <t>7300120001 - [DAA-QC Internal DA/GH2 Reg Prod QM order]</t>
  </si>
  <si>
    <t>7300110027 - [DAA PRO - Part. DI Water (M3)]</t>
  </si>
  <si>
    <t>7300110024 - [DAA PRO - Hot Di Water]</t>
  </si>
  <si>
    <t>7300110023 - [DAA PRO - C. Air regulation]</t>
  </si>
  <si>
    <t>5960100001 - [Oth Miscell Exp - Rem Oth Exp - Damages]</t>
  </si>
  <si>
    <t>5950000004 - [Operating taxes - Account 4]</t>
  </si>
  <si>
    <t>5931200000 - [Impairment of FinAssets-DebtInstFVOCI]</t>
  </si>
  <si>
    <t>5925700000 - [Los f. FairValChangesOperDerivFVtPL-Re]</t>
  </si>
  <si>
    <t>5925520000 - [Los f. FairValChanges EquityInstFVtPL-UR]</t>
  </si>
  <si>
    <t>5925500000 - [Los f. FairValChanges EquityInstFVtPL-Re]</t>
  </si>
  <si>
    <t>5925300000 - [Los f. FairValChanges Debt Inst FVtPL-Re]</t>
  </si>
  <si>
    <t>5925220000 - [Los  FairValChanges Debt Inst FVtPL -UR]</t>
  </si>
  <si>
    <t>5925200000 - [Los FairValCha DebtInst (FVOpt)FVtPL-Re]</t>
  </si>
  <si>
    <t>5810000003 - [Entertainment Expenses ULL - Account 2]</t>
  </si>
  <si>
    <t>5559007777 - [DO NOT USE_R&amp;D expenses - Legacy Versum]</t>
  </si>
  <si>
    <t>5488000400 - [Train Freight Costs 4m TM]</t>
  </si>
  <si>
    <t>5484907777 - [Distribution costs legacy versum]</t>
  </si>
  <si>
    <t>5469000000 - [Not in use]</t>
  </si>
  <si>
    <t>5463000000 - [Not in use]</t>
  </si>
  <si>
    <t>5462000000 - [Not in use]</t>
  </si>
  <si>
    <t>5461000000 - [Primary Market research]</t>
  </si>
  <si>
    <t>5452000000 - [Not in use]</t>
  </si>
  <si>
    <t>5451000000 - [Not in use]</t>
  </si>
  <si>
    <t>5443100000 - [Commission Expenses - M&amp;S - SD]</t>
  </si>
  <si>
    <t>5443007777 - [DO NOT USE_SGA expenses - Legacy Versum]</t>
  </si>
  <si>
    <t>5415000000 - [Not in use]</t>
  </si>
  <si>
    <t>5413010000 - [Not in use]</t>
  </si>
  <si>
    <t>5410060000 - [Not in use]</t>
  </si>
  <si>
    <t>5410020000 - [Not in use]</t>
  </si>
  <si>
    <t>5407000000 - [Not in use]</t>
  </si>
  <si>
    <t>5405000000 - [Not in use]</t>
  </si>
  <si>
    <t>5404000000 - [Not in use]</t>
  </si>
  <si>
    <t>5403000000 - [Not in use]</t>
  </si>
  <si>
    <t>5391200001 - [R&amp;D Samples - Global - Acc1]</t>
  </si>
  <si>
    <t>5355100000 - [Consum f. Subc - Major Tech Materials]</t>
  </si>
  <si>
    <t>5102100000 - [AmoOthA - CapCo to Fulfill LT Contr]</t>
  </si>
  <si>
    <t>5102000000 - [AmoOthA - CapCo to Obtain LT Contr]</t>
  </si>
  <si>
    <t>5030090005 - [Oth Pers Exp - Employben - SZEP Card]</t>
  </si>
  <si>
    <t>5010002000 - [Not in use]</t>
  </si>
  <si>
    <t>5010000005 - [Payr - Soc Ins Contri -VTCaftreaFringLim]</t>
  </si>
  <si>
    <t>5010000004 - [Payr - Soc Ins Contri - VTCaftreaDefBen]</t>
  </si>
  <si>
    <t>5010000003 - [Payr - Soc Ins Contri - VTC on FringBen]</t>
  </si>
  <si>
    <t>4401200000 - [Oth Subcon Exp - Subcon Fee - Price Diff]</t>
  </si>
  <si>
    <t>4243010000 - [Cap Var - NMV - Finished Goods - IC]</t>
  </si>
  <si>
    <t>4243000000 - [Cap Var - NMV - Finished Goods - 3P]</t>
  </si>
  <si>
    <t>4233400000 - [Inv Reval - Finish Goods - Pot - Purch]</t>
  </si>
  <si>
    <t>4230400000 - [Inv Reval - Raw Mat - Pot - Purch]</t>
  </si>
  <si>
    <t>4230200000 - [Inv Reval - Raw Mat - Pot - Production]</t>
  </si>
  <si>
    <t>4200000020 - [Stock taking variance - negative]</t>
  </si>
  <si>
    <t>4200000010 - [Stock taking variance - positive]</t>
  </si>
  <si>
    <t>4103110000 - [POV - Samples - Material - IC]</t>
  </si>
  <si>
    <t>4103100000 - [POV - Samples - Material - 3P]</t>
  </si>
  <si>
    <t>4100300096 - [POV - Fin &amp; Unf Goods - Conv - Labor]</t>
  </si>
  <si>
    <t>4007000000 - [Returnsns - Merchandise - Non-Stock]</t>
  </si>
  <si>
    <t>4006200000 - [Returns - Merchandise - Landing Costs]</t>
  </si>
  <si>
    <t>4006110000 - [Returns - Merchandise - Material - IC]</t>
  </si>
  <si>
    <t>4006100000 - [Returns - Merchandise - Material - 3P]</t>
  </si>
  <si>
    <t>4005610000 - [Returns - Finish Goods - Subcon Fee - IC]</t>
  </si>
  <si>
    <t>4005600000 - [Returns - Finish Goods - Subcon Fee - 3P]</t>
  </si>
  <si>
    <t>4005500000 - [Returns - Finished Goods - Mat Overh Fix]</t>
  </si>
  <si>
    <t>4005400000 - [Returns - Finish Goods - Conver Cost Fix]</t>
  </si>
  <si>
    <t>4005300000 - [Returns - Finish Goods - Conver Cost Var]</t>
  </si>
  <si>
    <t>4005200000 - [Returns - Finished Goods - Landing Costs]</t>
  </si>
  <si>
    <t>4005110000 - [Returns - Finished Goods - Material - IC]</t>
  </si>
  <si>
    <t>4005100000 - [Returns - Finished Goods - Material - 3P]</t>
  </si>
  <si>
    <t>4003700000 - [Adjustments COGS - Hardware]</t>
  </si>
  <si>
    <t>4003000000 - [Correction COGS due to Finance Lease]</t>
  </si>
  <si>
    <t>4001100001 - [COGS - Merchan - Material - 3P - Acc 1]</t>
  </si>
  <si>
    <t>4000600001 - [COGS - Finished Goods - SubcFee - 3P Ac1]</t>
  </si>
  <si>
    <t>4000500001 - [COGS - Finished Goods - Mat OH - Fix Ac1]</t>
  </si>
  <si>
    <t>4000406002 - [COGS - FG - Conver - Overhead - CorAcc]</t>
  </si>
  <si>
    <t>4000406001 - [COGS - FG - Conver - Labor - CorAcc]</t>
  </si>
  <si>
    <t>4000007777 - [DO NOT USE_COGS - Legacy Versum]</t>
  </si>
  <si>
    <t>3970011000 - [Markup income - IC- Group valuation - V]</t>
  </si>
  <si>
    <t>3966000000 - [Gain from Termination Lessor OL]</t>
  </si>
  <si>
    <t>3965000000 - [Gain from Termination Lessor FL]</t>
  </si>
  <si>
    <t>3957700000 - [Oth Inc - From Other FV Changes]</t>
  </si>
  <si>
    <t>3953916000 - [Rem Oth Inc IC - Admin- Manual - CorrAcc]</t>
  </si>
  <si>
    <t>3952416000 - [Rem Oth Inc IC - R&amp;D - Manual - CorrAcc]</t>
  </si>
  <si>
    <t>3943000000 - [Inc fr FX Diff - Operativ Hedging - Real]</t>
  </si>
  <si>
    <t>3932006000 - [Non-CoreServOth - Free Charge - CorrAcc]</t>
  </si>
  <si>
    <t>3932000000 - [Non-Core Serv Others - Free of Charge]</t>
  </si>
  <si>
    <t>3931006000 - [Non-Core Serv Oth - CashDisc - CorrAcc]</t>
  </si>
  <si>
    <t>3931000000 - [Non-Core Serv Others - CashDisc]</t>
  </si>
  <si>
    <t>3925700000 - [Gain f. FairValChangesOperDerFVtPL-Re]</t>
  </si>
  <si>
    <t>3925620000 - [Gain f. FairValChangesOthFinInsFVtPL-UR]</t>
  </si>
  <si>
    <t>3925600000 - [Gain f. FairValChangesOthFinInsFVtPL-Re]</t>
  </si>
  <si>
    <t>3925520000 - [Gain f. FairValChangesEquityInstFVtPL-UR]</t>
  </si>
  <si>
    <t>3925500000 - [Gain f. FairValChangesEquityInstFVtPL-Re]</t>
  </si>
  <si>
    <t>3925400000 - [Gain f. Recycling Debt Inst FVOCI]</t>
  </si>
  <si>
    <t>3925220000 - [Gain  FairValChanges Debt Inst FVtPL -UR]</t>
  </si>
  <si>
    <t>3925200000 - [Gain FairValCha DebtInst (FVOpt)FVtPL-Re]</t>
  </si>
  <si>
    <t>3921006000 - [Invoiced Restocking Fee - FI]</t>
  </si>
  <si>
    <t>3920200000 - [Reimb - Freight &amp; Duties - 3P - Fuel SC]</t>
  </si>
  <si>
    <t>3920100000 - [Reimb- Freight &amp; Duties - 3P - Trans SC]</t>
  </si>
  <si>
    <t>3912100000 - [Rent &amp; Lease Inc N-Core Busin - Fi Lease]</t>
  </si>
  <si>
    <t>3912000000 - [Rent &amp; Lease Inc Core Busin - Fi Lease]</t>
  </si>
  <si>
    <t>3911000000 - [Rent &amp; Lease Inc Core Busin - Op Lease]</t>
  </si>
  <si>
    <t>3319500000 - [Cap - Post Capitalization of Fin Lease]</t>
  </si>
  <si>
    <t>3313200000 - [Revers of Impairment-FA-DebtInstrumFVOCI]</t>
  </si>
  <si>
    <t>3306008000 - [Asset HFS Disposal - Clearing Account]</t>
  </si>
  <si>
    <t>3306000000 - [Gains from Disposal - Assets HFS]</t>
  </si>
  <si>
    <t>3305000000 - [Gains from Sale - Financial Instruments]</t>
  </si>
  <si>
    <t>3221000000 - [Revenue - Profit Share Income]</t>
  </si>
  <si>
    <t>3214006000 - [Royalties - R&amp;D Related Local - FI]</t>
  </si>
  <si>
    <t>3214000000 - [Royalties - R&amp;D Related Local - SD]</t>
  </si>
  <si>
    <t>3213000000 - [Royalties - R&amp;D Related Global - SD]</t>
  </si>
  <si>
    <t>3212000000 - [Royalties - Marketing&amp;Selling Rela - SD]</t>
  </si>
  <si>
    <t>3211000000 - [Royalties  - Cost of Sales Related - SD]</t>
  </si>
  <si>
    <t>3203006000 - [Income f. Licen Agreem - R&amp;D Rel - FI]</t>
  </si>
  <si>
    <t>3203000000 - [Income f. License Agreem - R&amp;D Rel - SD]</t>
  </si>
  <si>
    <t>3202000000 - [Income f. License Agreem - M&amp;S Rel - SD]</t>
  </si>
  <si>
    <t>3201000000 - [Income f. License Agreem - COS Rel - SD]</t>
  </si>
  <si>
    <t>3151000000 - [Licenses - Cash Discount]</t>
  </si>
  <si>
    <t>3150000000 - [Licenses - Rebates]</t>
  </si>
  <si>
    <t>3141000000 - [Royalties - Cash Discount]</t>
  </si>
  <si>
    <t>3140000000 - [Royalties - Rebates]</t>
  </si>
  <si>
    <t>3135006000 - [Hardware - Sales Returns - CorrAcc]</t>
  </si>
  <si>
    <t>3135000000 - [Hardware - Sales Returns]</t>
  </si>
  <si>
    <t>3133006000 - [Hardware - Goods FOC - CorrAcc]</t>
  </si>
  <si>
    <t>3132006000 - [Hardware - Bonus - CorrAcc]</t>
  </si>
  <si>
    <t>3132000000 - [Hardware - Bonus]</t>
  </si>
  <si>
    <t>3131006000 - [Hardware - Cash Discount - CorrAcc]</t>
  </si>
  <si>
    <t>3131000000 - [Hardware - Cash Discount]</t>
  </si>
  <si>
    <t>3127006000 - [Cust Proj (WBS Rel) - SalesRe - CorrAcc]</t>
  </si>
  <si>
    <t>3127000000 - [Cust Proj (WBS Rel) - SalesRe]</t>
  </si>
  <si>
    <t>3126006000 - [Cust Proj (WBS Rel) - Rebates - CorrAcc]</t>
  </si>
  <si>
    <t>3126000000 - [Cust Proj (WBS Rel) - Rebates]</t>
  </si>
  <si>
    <t>3125006000 - [Cust Proj (WBS Rel) - CashDisc - CorrAcc]</t>
  </si>
  <si>
    <t>3125000000 - [Cust Proj (WBS Rel) - CashDisc]</t>
  </si>
  <si>
    <t>3123006000 - [Service - Goods FOC - CorrAcc]</t>
  </si>
  <si>
    <t>3123000000 - [Service - Goods FOC]</t>
  </si>
  <si>
    <t>3122006000 - [Service - Bonus - CorrAcc]</t>
  </si>
  <si>
    <t>3122000000 - [Service - Bonus]</t>
  </si>
  <si>
    <t>3121006000 - [Service - Cash Discount - CorrAcc]</t>
  </si>
  <si>
    <t>3117000000 - [Merchan - Expected Chrb f.Pay f.Perf-Sch]</t>
  </si>
  <si>
    <t>3116000020 - [Merchan - Compulsory Levies - Account 20]</t>
  </si>
  <si>
    <t>3115100000 - [Merchan - Sales Returns - Buy Back]</t>
  </si>
  <si>
    <t>3115000100 - [Merchan - Sales Returns - Export]</t>
  </si>
  <si>
    <t>3114006000 - [Merchan - Shelf Space Costs - CorrAcc]</t>
  </si>
  <si>
    <t>3114000000 - [Merchan - Shelf Space Costs]</t>
  </si>
  <si>
    <t>3112000100 - [Merchan - Bonus - Export]</t>
  </si>
  <si>
    <t>3111010100 - [Merchan - Cash Discount - IC - Export]</t>
  </si>
  <si>
    <t>3111010001 - [Merchan - Cash Discount - IC Export]</t>
  </si>
  <si>
    <t>3111000100 - [Merchan - Cash Discount - Export]</t>
  </si>
  <si>
    <t>3111000001 - [Merchan - Cash Discount - Export]</t>
  </si>
  <si>
    <t>3110000100 - [Merchan - Rebates - Export]</t>
  </si>
  <si>
    <t>3110000002 - [Merchan - Rebates - Account 2]</t>
  </si>
  <si>
    <t>3110000001 - [Merchan - Rebates - Account 1]</t>
  </si>
  <si>
    <t>3107000000 - [Goods - Expected Chrb f. Pay f. Perf-Sch]</t>
  </si>
  <si>
    <t>3106000020 - [Goods - Compulsory Levies - Account 20]</t>
  </si>
  <si>
    <t>3106000001 - [Goods - Compulsory Levies - Account 1]</t>
  </si>
  <si>
    <t>3105100000 - [Goods - Sales Returns - Buy Back]</t>
  </si>
  <si>
    <t>3104006000 - [Goods - Shelf Space Costs - CorrAcc]</t>
  </si>
  <si>
    <t>3104000000 - [Goods - Shelf Space Costs]</t>
  </si>
  <si>
    <t>3102000000 - [Goods - Bonus]</t>
  </si>
  <si>
    <t>3050000000 - [Sales Revenue - Licenses]</t>
  </si>
  <si>
    <t>3041000000 - [Not in use]</t>
  </si>
  <si>
    <t>3021000000 - [Sales Revenue - Customer Proj (WBS Rel)]</t>
  </si>
  <si>
    <t>3011000100 - [Sales Rev-Recog - Merchandise - Export]</t>
  </si>
  <si>
    <t>3011000001 - [Sales Revenue Recognition - Merch Export]</t>
  </si>
  <si>
    <t>3010300000 - [Sales Rev - Merch - Other Surcharge]</t>
  </si>
  <si>
    <t>3010200000 - [Sales Rev - Merch - Energy Surcharge]</t>
  </si>
  <si>
    <t>3010100000 - [Sales Rev - Merch - Product Surcharge]</t>
  </si>
  <si>
    <t>3010010100 - [Sales Revenue - Merchandise-IC-Export]</t>
  </si>
  <si>
    <t>3010010001 - [Sales Revenue - Merchandise - IC Export]</t>
  </si>
  <si>
    <t>3010010000 - [Sales Revenue - Merchandise-IC]</t>
  </si>
  <si>
    <t>3010000100 - [Sales Revenue - Merchandise - Export]</t>
  </si>
  <si>
    <t>3010000002 - [Sales Rev- Merchandise-By-Product Sales]</t>
  </si>
  <si>
    <t>3010000001 - [Sales Revenue - Merchandise - Export]</t>
  </si>
  <si>
    <t>3000300000 - [Sales Revenue Goods - Other Surcharge]</t>
  </si>
  <si>
    <t>3000200000 - [Sales Revenue Goods - Energy Surcharge]</t>
  </si>
  <si>
    <t>3000000004 - [Sales Revenue - Goods]</t>
  </si>
  <si>
    <t>1527000000 - [Cap Adv Payments for Tangible Assets]</t>
  </si>
  <si>
    <t>1507100000 - [Capitalized Adv Payments for Intangibles]</t>
  </si>
  <si>
    <t>1506100000 - [Capitalized Adv Payments for Intangibles]</t>
  </si>
  <si>
    <t>250000 - []</t>
  </si>
  <si>
    <t>250500 - []</t>
  </si>
  <si>
    <t>250502 - []</t>
  </si>
  <si>
    <t>8470000000 - [Capit Borrowing Costs - Qualified Assets]</t>
  </si>
  <si>
    <t>7831108000 - [APA Cap.Borrowing Cost-Qualified Assets]</t>
  </si>
  <si>
    <t>7350110034 - [WIP IC (negative) Usage PRO ORD]</t>
  </si>
  <si>
    <t>7350110033 - [WIP IC (positive) Usage PRO ORD]</t>
  </si>
  <si>
    <t>7350110032 - [WIP 3P (negative) Usage PRO ORD]</t>
  </si>
  <si>
    <t>7350110031 - [WIP 3P (positive) Usage PRO ORD]</t>
  </si>
  <si>
    <t>7350110030 - [WIP IC (negative) Usage CS]</t>
  </si>
  <si>
    <t>7350110029 - [WIP IC (positive) Usage CS]</t>
  </si>
  <si>
    <t>7350110028 - [WIP IC (negative) Usage PS]</t>
  </si>
  <si>
    <t>7350110027 - [WIP IC (positive) Usage PS]</t>
  </si>
  <si>
    <t>7350110026 - [WIP 3P (negative) Usage CS]</t>
  </si>
  <si>
    <t>7350110025 - [WIP 3P (positive) Usage CS]</t>
  </si>
  <si>
    <t>7350110024 - [WIP 3P (negative) Usage PS]</t>
  </si>
  <si>
    <t>7350110023 - [WIP 3P (positive) Usage PS]</t>
  </si>
  <si>
    <t>7350110022 - [WIP PoC - CS Revenue RA]</t>
  </si>
  <si>
    <t>7350110021 - [WIP PoC - PS Revenue RA]</t>
  </si>
  <si>
    <t>7350110020 - [WIP - IC (negative) PS]</t>
  </si>
  <si>
    <t>7350110019 - [WIP - IC (positive) PS]</t>
  </si>
  <si>
    <t>7350110018 - [WIP - 3P (negative) PS]</t>
  </si>
  <si>
    <t>7350110017 - [WIP - 3P (positive) PS]</t>
  </si>
  <si>
    <t>7350110016 - [WIP - IC (negative) CS]</t>
  </si>
  <si>
    <t>7350110015 - [WIP - IC (positive) CS]</t>
  </si>
  <si>
    <t>7350110014 - [WIP - 3P (negative) CS]</t>
  </si>
  <si>
    <t>7350110013 - [WIP - 3P (positive) CS]</t>
  </si>
  <si>
    <t>7350110012 - [WIP - MAT (negative)]</t>
  </si>
  <si>
    <t>7350110011 - [WIP - MAT (positive)]</t>
  </si>
  <si>
    <t>7350110010 - [WIP - PKG (negative)]</t>
  </si>
  <si>
    <t>7350110009 - [WIP - PKG (positive)]</t>
  </si>
  <si>
    <t>7350110008 - [ICON WIP  (Non-Core)]</t>
  </si>
  <si>
    <t>7350110007 - [WIP - 3P Service (positive)]</t>
  </si>
  <si>
    <t>7350110006 - [WIP - 3P Service (negative)]</t>
  </si>
  <si>
    <t>7350110005 - [WIP - IC (+positive) Process Orders]</t>
  </si>
  <si>
    <t>7350110004 - [WIP - IC (negative) Process Orders]</t>
  </si>
  <si>
    <t>7350110003 - [WIP - 3P (positive) Process Orders]</t>
  </si>
  <si>
    <t>7350110002 - [WIP - 3P (negative) Process Orders]</t>
  </si>
  <si>
    <t>7350110001 - [WIP - Technical]</t>
  </si>
  <si>
    <t>4512000000 - [Capitalized Other Cost]</t>
  </si>
  <si>
    <t>4511000000 - [Other Capex Capitalized for Fixed Assets]</t>
  </si>
  <si>
    <t>4510000000 - [Capitalized Material for Fixed Assets]</t>
  </si>
  <si>
    <t>4502008001 - [Asset Acquistion - Borrowing - ClearAcc1]</t>
  </si>
  <si>
    <t>4502008000 - [Asset Acquistion - Borrowing - ClearAcc]</t>
  </si>
  <si>
    <t>4502000001 - [Capitalized Borrowing Costs - Acc1]</t>
  </si>
  <si>
    <t>4502000000 - [Capitalized Borrowing Costs]</t>
  </si>
  <si>
    <t>4501000000 - [Cap External Services for Fixed Assets]</t>
  </si>
  <si>
    <t>4500000000 - [Cap Internal Services for Fixed Assets]</t>
  </si>
  <si>
    <t>4242000000 - [Cap Var - CCV - Finished &amp; Unf Goods]</t>
  </si>
  <si>
    <t>4241010000 - [Cap Var - POV - Fin &amp; Unf Goods - IC]</t>
  </si>
  <si>
    <t>4241000000 - [Cap Var - POV - Fin &amp; Unf Goods - 3P]</t>
  </si>
  <si>
    <t>250501 - []</t>
  </si>
  <si>
    <t>7831118000 - [APA Exp.Chn.TimeVal.ShareBased LTIP Prov]</t>
  </si>
  <si>
    <t>7831117000 - [APA Exp.Chn.TimeVal.Options]</t>
  </si>
  <si>
    <t>7831111000 - [APA Exp.Change in Value of Int.Derivat]</t>
  </si>
  <si>
    <t>7831109000 - [APA Interest expense on lease liability]</t>
  </si>
  <si>
    <t>7831106000 - [APA Int.exp.Discounting&amp;Revers.Discount.]</t>
  </si>
  <si>
    <t>7831105000 - [APA Int.exp.Amor.Prem/DiscInt.Bear.Instr]</t>
  </si>
  <si>
    <t>7830129000 - [APA FX Inc.Derivative-Financing-Realiz.]</t>
  </si>
  <si>
    <t>7830128000 - [APA Inc.Chn.TimeVal.ShareBased LTIP Prov]</t>
  </si>
  <si>
    <t>7830127000 - [APA Inc.Chn.TimeVal.Options]</t>
  </si>
  <si>
    <t>7830124000 - [APA Gain from Financial Instruments]</t>
  </si>
  <si>
    <t>7830122000 - [APA Inc.Change in Val.Emb.Int.Derivat]</t>
  </si>
  <si>
    <t>7830121100 - [APA FX Inc.Derivative-Financing-Unrealiz]</t>
  </si>
  <si>
    <t>7830121000 - [APA Inc.Change in Value of Int.Derivat]</t>
  </si>
  <si>
    <t>7830117000 - [APA Interest income - Plan Assets]</t>
  </si>
  <si>
    <t>7830116000 - [APA Int.inc.Discounting&amp;Revers.Discount.]</t>
  </si>
  <si>
    <t>7830115000 - [APA Int.inc.Amor.Prem/DiscInt.Bear.Instr]</t>
  </si>
  <si>
    <t>7830114000 - [APA Interest Inc.(int.derivatives)Accrue]</t>
  </si>
  <si>
    <t>7830113000 - [APA Interest inc.(int.derivatives)paid]</t>
  </si>
  <si>
    <t>7823452000 - [APA Income from fair value changes]</t>
  </si>
  <si>
    <t>7823301400 - [APA Cap. gains f. diss. of cont. consid.]</t>
  </si>
  <si>
    <t>7823301300 - [APA Cap. gains f. sale of financ. instr.]</t>
  </si>
  <si>
    <t>7831114000 - [APA Loss from Financial Instruments]</t>
  </si>
  <si>
    <t>7831112000 - [APA Exp.Change in Val.Emb.Int.Derivat]</t>
  </si>
  <si>
    <t>7831111100 - [APA FX Exp.Derivative-Financing-Unrealiz]</t>
  </si>
  <si>
    <t>7830100000 - [APA Dividend income]</t>
  </si>
  <si>
    <t>7824200000 - [APA Transfer price adjustment expense]</t>
  </si>
  <si>
    <t>7824177003 - [APA Environmental exp. for divested busi]</t>
  </si>
  <si>
    <t>7824177002 - [APA Non-allocable personnel expenses]</t>
  </si>
  <si>
    <t>7824176000 - [APA Exp. arising f. investment property]</t>
  </si>
  <si>
    <t>7824175000 - [APA Loss from hyperinflation]</t>
  </si>
  <si>
    <t>7824174000 - [APA Integration costs]</t>
  </si>
  <si>
    <t>7824173000 - [APA Corporate global IT and M&amp;A projects]</t>
  </si>
  <si>
    <t>7824172000 - [APA Loss from fair value changes]</t>
  </si>
  <si>
    <t>7824171000 - [APA Expenses from non-core activities]</t>
  </si>
  <si>
    <t>7824161000 - [APA FX expense cash flow hedges]</t>
  </si>
  <si>
    <t>7824150000 - [APA Profit share expense]</t>
  </si>
  <si>
    <t>7824140002 - [APA Prem/Contr./Fees]</t>
  </si>
  <si>
    <t>7824140000 - [APA Insurance Charge]</t>
  </si>
  <si>
    <t>7824131500 - [APA Cap. loss. (paym.) f. price adj.]</t>
  </si>
  <si>
    <t>7824131400 - [APA Cap. loss. (no paym.) f. price adj.]</t>
  </si>
  <si>
    <t>7824131300 - [APA Cap. loss. f. sale of financ. instr.]</t>
  </si>
  <si>
    <t>7824120000 - [APA Litigation expenses]</t>
  </si>
  <si>
    <t>7824100000 - [APA Receivable allowances]</t>
  </si>
  <si>
    <t>7823700000 - [APA Roy.&amp;Lic.Inc.Rec at Point in Time-3P]</t>
  </si>
  <si>
    <t>7823650000 - [APA Special Reimb Income]</t>
  </si>
  <si>
    <t>7823600000 - [APA Transfer price adjustment income]</t>
  </si>
  <si>
    <t>7823454000 - [APA Rental inc. f. investment property]</t>
  </si>
  <si>
    <t>7823453000 - [APA Gain from hyperinflation]</t>
  </si>
  <si>
    <t>7823451000 - [APA Income from non-core activities]</t>
  </si>
  <si>
    <t>7823350000 - [APA Inc. f. reversal litig. (operat.)]</t>
  </si>
  <si>
    <t>7823301500 - [APA Cap. gains (paym.) f. divestitures]</t>
  </si>
  <si>
    <t>7823250000 - [APA Income from A/R allowance reversals]</t>
  </si>
  <si>
    <t>7824165000 - [APA FX exp. operat. hedging,realized]</t>
  </si>
  <si>
    <t>7824164000 - [APA FX exp. operat. hedging,unrealized]</t>
  </si>
  <si>
    <t>7823405000 - [APA FX gains operat. hedging, realized]</t>
  </si>
  <si>
    <t>7823404000 - [APA FX gains operat. hedging, unrealize		X	X	X	X		]</t>
  </si>
  <si>
    <t>7831119000 - [APA FX Exp.Derivative-Financing-Realiz.]</t>
  </si>
  <si>
    <t>7831115000 - [APA FX Exp.Financing-Realized Other]</t>
  </si>
  <si>
    <t>7831109200 - [APA Interest ExpenseTax Liabilities Accr]</t>
  </si>
  <si>
    <t>7831109100 - [APA Interest ExpenseTax Liabilities Paid]</t>
  </si>
  <si>
    <t>7831104000 - [APA Interest exp.(int.derivatives)Accrue]</t>
  </si>
  <si>
    <t>7831103000 - [APA Interest exp.(int.derivatives)paid]</t>
  </si>
  <si>
    <t>7831102000 - [APA Interest expenses accrued]</t>
  </si>
  <si>
    <t>7831101000 - [APA Interest expenses paid]</t>
  </si>
  <si>
    <t>7830119100 - [APA Interest Income Tax Receivables Accr]</t>
  </si>
  <si>
    <t>7830119000 - [APA Interest Income Tax Receivables Rec]</t>
  </si>
  <si>
    <t>7830112000 - [APA Interest income accrued]</t>
  </si>
  <si>
    <t>7830111000 - [APA Interest income paid]</t>
  </si>
  <si>
    <t>7824177001 - [APA Non income related taxes]</t>
  </si>
  <si>
    <t>7820120004 - [APA Field force - IT &amp; Teleco.]</t>
  </si>
  <si>
    <t>7823101400 - [0]</t>
  </si>
  <si>
    <t>7823101300 - [0]</t>
  </si>
  <si>
    <t>7820120003 - [APA Field force - Prom.&amp;Advert.]</t>
  </si>
  <si>
    <t>7820106000 - [APA Promotion Material]</t>
  </si>
  <si>
    <t>7711142200 - [SPA DES Destruction cost]</t>
  </si>
  <si>
    <t>7820120005 - [APA Field force - Serv.&amp;Consult.]</t>
  </si>
  <si>
    <t>7840104000 - [APA Current Tax Resul.UseUnrec.Tax Cred.]</t>
  </si>
  <si>
    <t>7840103000 - [APA Curr Tax Resul.UseUnrec.Tax Loss CFw]</t>
  </si>
  <si>
    <t>7840102000 - [APA Current Tax Resul.UseUnrec.Temp Diff]</t>
  </si>
  <si>
    <t>7840101000 - [APA Current Tax]</t>
  </si>
  <si>
    <t>7720130008 - [SPA ICON Internal Mktg Exp]</t>
  </si>
  <si>
    <t>7722100001 - [SPA ICON HR]</t>
  </si>
  <si>
    <t>7720105008 - [SPA ICON Commercial donations]</t>
  </si>
  <si>
    <t>7711171100 - [SPA Gl.man.Gov.&amp;Cl.mgmt.]</t>
  </si>
  <si>
    <t>7724173000 - [SPA CorporateGlobal IT-M&amp;A Spcl projects]</t>
  </si>
  <si>
    <t>7722120001 - [SPA ICON Legal]</t>
  </si>
  <si>
    <t>7720120008 - [SPA ICON Field force]</t>
  </si>
  <si>
    <t>9009302000 - [SGL: OM Orders and WBS Elements]</t>
  </si>
  <si>
    <t>7831107000 - [APA Interest expenses-Pensions]</t>
  </si>
  <si>
    <t>7824177000 - [APA Sundry expenses]</t>
  </si>
  <si>
    <t>7823750000 - [APA Roy.&amp;Lic.Inc.Rec over Time-3P]</t>
  </si>
  <si>
    <t>7823455000 - [APA Sundry income]</t>
  </si>
  <si>
    <t>7831116000 - [APA FX Exp.Financing-Unrealized Other]</t>
  </si>
  <si>
    <t>7830126000 - [APA FX Inc.Financing-Unrealized Other]</t>
  </si>
  <si>
    <t>7830125000 - [APA FX Inc.Financing-Realized Other]</t>
  </si>
  <si>
    <t>7824163000 - [APA FX expense operative act., realized]</t>
  </si>
  <si>
    <t>7824162000 - [APA FX exp. operat. act., unrealized]</t>
  </si>
  <si>
    <t>7824140001 - [APA Banking Charge]</t>
  </si>
  <si>
    <t>7823403000 - [APA FX gains operat. act., realized]</t>
  </si>
  <si>
    <t>7711171300 - [SPA ProdProcDevelop]</t>
  </si>
  <si>
    <t>7711171200 - [SPA Global Qaulity]</t>
  </si>
  <si>
    <t>7840116000 - [APA Defr Tax on Planned Dividends]</t>
  </si>
  <si>
    <t>7840115000 - [APA Defr Tax Resul. Change in Tax Rates]</t>
  </si>
  <si>
    <t>7840114000 - [APA Defr Tax Resul. UseUnrec Tax Credits]</t>
  </si>
  <si>
    <t>7840113000 - [APA Defr Tax Resul. UseUnrecTax Loss CFw]</t>
  </si>
  <si>
    <t>7840112000 - [APA Defr Tax Resul. UseUnrec Temp Diff]</t>
  </si>
  <si>
    <t>7840111000 - [APA Defr Tax Resul. Changes in Temp Diff]</t>
  </si>
  <si>
    <t>7840105000 - [APA Current Tax for Prev. Periods]</t>
  </si>
  <si>
    <t>7823402000 - [APA FX gains operat. act., unrealized]</t>
  </si>
  <si>
    <t>7823401000 - [APA FX gains cash flow hedge]</t>
  </si>
  <si>
    <t>7823301200 - [APA Cap. gains f. sale of tang. assets]</t>
  </si>
  <si>
    <t>7823101200 - [APA Royalty, license, income rel. to M&amp;		X	X	X	X		]</t>
  </si>
  <si>
    <t>7823101100 - [APA Royalty, license, income rel. to Co		X	X	X	X		]</t>
  </si>
  <si>
    <t>7822150000 - [APA Amort. of int. assets Admin]</t>
  </si>
  <si>
    <t>7822140000 - [APA Other G&amp;A]</t>
  </si>
  <si>
    <t>7822130001 - [APA IT run cost]</t>
  </si>
  <si>
    <t>7822130000 - [APA Other MGF]</t>
  </si>
  <si>
    <t>7822120000 - [APA Legal &amp; Compliance]</t>
  </si>
  <si>
    <t>7822110000 - [APA Finance]</t>
  </si>
  <si>
    <t>7822100000 - [APA Human Resources]</t>
  </si>
  <si>
    <t>7821150000 - [APA Amort. of int. assets R&amp;D]</t>
  </si>
  <si>
    <t>7821121301 - [APA Pat. and Scientific Serv. GOV Charge]</t>
  </si>
  <si>
    <t>7821121300 - [APA Global R&amp;D Expenses]</t>
  </si>
  <si>
    <t>7821101307 - [APA R&amp;D local - Other]</t>
  </si>
  <si>
    <t>7821101306 - [APA R&amp;D local - T&amp;E]</t>
  </si>
  <si>
    <t>7821101305 - [APA R&amp;D local - Serv.&amp;Consult.]</t>
  </si>
  <si>
    <t>7821101304 - [APA R&amp;D local - IT &amp; Teleco.]</t>
  </si>
  <si>
    <t>7821101303 - [APA R&amp;D local - Prom.&amp;Advert.]</t>
  </si>
  <si>
    <t>7821101302 - [APA R&amp;D local - Depreciation]</t>
  </si>
  <si>
    <t>7821101301 - [APA R&amp;D local - Personnel]</t>
  </si>
  <si>
    <t>7821101300 - [APA Local R&amp;D Expenses]</t>
  </si>
  <si>
    <t>7820190000 - [APA AmoOA-CapCoObtLTCont]</t>
  </si>
  <si>
    <t>7820180000 - [APA Amort. of int. assets M&amp;S]</t>
  </si>
  <si>
    <t>7820170000 - [APA Commission expenses related to M&amp;S]</t>
  </si>
  <si>
    <t>7820160000 - [APA Royalty, license exp. related to M&amp;		X	X	X	X		]</t>
  </si>
  <si>
    <t>7820152200 - [APA 3P Logistic Provider]</t>
  </si>
  <si>
    <t>7820152100 - [APA Own operated Warehouses and Distrib.]</t>
  </si>
  <si>
    <t>7820151320 - [APA Transport Insurance]</t>
  </si>
  <si>
    <t>7820151210 - [APA IC Customer Freight &amp; Duties - exp.]</t>
  </si>
  <si>
    <t>7820151110 - [APA 3P Customer Freight &amp; Duties - exp.]</t>
  </si>
  <si>
    <t>7820140001 - [APA Other M&amp;S - 1]</t>
  </si>
  <si>
    <t>7820140000 - [APA Other marketing and selling expenses]</t>
  </si>
  <si>
    <t>7820130007 - [APA Internal marketing - Other]</t>
  </si>
  <si>
    <t>7820130006 - [APA Internal marketing - T&amp;E]</t>
  </si>
  <si>
    <t>7820130005 - [APA Internal marketing - Serv.&amp;Consult.]</t>
  </si>
  <si>
    <t>7820130004 - [APA Internal marketing - IT &amp; Teleco.]</t>
  </si>
  <si>
    <t>7820130003 - [APA Internal marketing - Prom.&amp;Advert.]</t>
  </si>
  <si>
    <t>7820130002 - [APA Internal marketing - Depreciation]</t>
  </si>
  <si>
    <t>7820130001 - [APA Internal marketing - Personnel]</t>
  </si>
  <si>
    <t>7820130000 - [APA Internal marketing]</t>
  </si>
  <si>
    <t>7820120007 - [APA Field force - Other]</t>
  </si>
  <si>
    <t>7820120001 - [APA Field force - Personnel]</t>
  </si>
  <si>
    <t>7820120000 - [APA Field force]</t>
  </si>
  <si>
    <t>7811190000 - [APA Amort. of int. assets CoS]</t>
  </si>
  <si>
    <t>7811180000 - [APA Roy., lic. exp. rel. to prod. techn		X	X	X	X		]</t>
  </si>
  <si>
    <t>7811173000 - [APA Allocated MGF COGS]</t>
  </si>
  <si>
    <t>7811172000 - [APA Gl. demand planning &amp; replenishm.]</t>
  </si>
  <si>
    <t>7811171400 - [APA Contract manuf. / supplier mgmnt.]</t>
  </si>
  <si>
    <t>7811171300 - [APA Product process development]</t>
  </si>
  <si>
    <t>7811171200 - [APA Global quality]</t>
  </si>
  <si>
    <t>7811171100 - [APA Gl.manuf. gov. and cluster mgmnt.]</t>
  </si>
  <si>
    <t>7811121000 - [APA Special Exp Selling]</t>
  </si>
  <si>
    <t>7811115001 - [APA Sterilization Process Varainces CCV]</t>
  </si>
  <si>
    <t>7811111300 - [APA Purch Price Diff - Landed Costs - 3P]</t>
  </si>
  <si>
    <t>7810180000 - [APA Rent&amp;Lease Inc Core Busin - Op Lease]</t>
  </si>
  <si>
    <t>7810130000 - [APA Profit share income]</t>
  </si>
  <si>
    <t>7724190000 - [SPA Remaining other expense IC]</t>
  </si>
  <si>
    <t>7724177000 - [SPA Remaining other expense 3rd party]</t>
  </si>
  <si>
    <t>7724171000 - [SPA Expenses from non-core activities]</t>
  </si>
  <si>
    <t>7724161100 - [SPA Curr. Differences operating – ICON]</t>
  </si>
  <si>
    <t>7724140000 - [SPA Insurance Charge]</t>
  </si>
  <si>
    <t>7723550000 - [SPA Remaining other income IC]</t>
  </si>
  <si>
    <t>7723500000 - [SPA Mark-up income IC]</t>
  </si>
  <si>
    <t>7723451000 - [SPA Income from non-core activities]</t>
  </si>
  <si>
    <t>7722140001 - [SPA Var.supply,  infra., ... - non prod		X	X	X	X		]</t>
  </si>
  <si>
    <t>7722140000 - [SPA Other G&amp;A]</t>
  </si>
  <si>
    <t>7722130004 - [XXX not to be used]</t>
  </si>
  <si>
    <t>7722130003 - [XXX not to be used]</t>
  </si>
  <si>
    <t>7722130002 - [XXX not to be used]</t>
  </si>
  <si>
    <t>7722130001 - [XXX not to be used]</t>
  </si>
  <si>
    <t>7722130000 - [SPA Other MGF]</t>
  </si>
  <si>
    <t>7722120000 - [SPA Admin Legal]</t>
  </si>
  <si>
    <t>7722110003 - [SPA ICON Finance]</t>
  </si>
  <si>
    <t>7722110002 - [SPA Admin Auditing]</t>
  </si>
  <si>
    <t>7722110001 - [SPA Admin Controlling]</t>
  </si>
  <si>
    <t>7722110000 - [SPA Admin Accounting]</t>
  </si>
  <si>
    <t>7722100000 - [SPA Admin HR]</t>
  </si>
  <si>
    <t>7721140000 - [SPA Global R&amp;D Accruals]</t>
  </si>
  <si>
    <t>7721130001 - [SPA G.R+D other income (VV700)]</t>
  </si>
  <si>
    <t>7721130000 - [SPA Global R+D 3rd Party  reimbursement]</t>
  </si>
  <si>
    <t>7721121302 - [SPA ICON Other global R&amp;D]</t>
  </si>
  <si>
    <t>7721121301 - [SPA Patent &amp; Scientific Serv.GOV Charge]</t>
  </si>
  <si>
    <t>7721121300 - [SPA Global R&amp;D Expenses]</t>
  </si>
  <si>
    <t>7721121200 - [SPA Samples.- global R&amp;D]</t>
  </si>
  <si>
    <t>7721121100 - [0]</t>
  </si>
  <si>
    <t>7721110000 - [SPA Local R+D 3rd Party reimbursement]</t>
  </si>
  <si>
    <t>7721101308 - [SPA Patent and Scientific Services]</t>
  </si>
  <si>
    <t>7721101307 - [SPA R&amp;D local - Other]</t>
  </si>
  <si>
    <t>7721101306 - [SPA R&amp;D local - T&amp;E]</t>
  </si>
  <si>
    <t>7721101305 - [SPA R&amp;D local - Serv.&amp;Consult.]</t>
  </si>
  <si>
    <t>7721101304 - [SPA R&amp;D local - IT &amp; Teleco.]</t>
  </si>
  <si>
    <t>7721101303 - [SPA R&amp;D local - Prom.&amp;Advert.]</t>
  </si>
  <si>
    <t>7721101302 - [SPA R&amp;D local - Depreciation]</t>
  </si>
  <si>
    <t>7721101301 - [SPA R&amp;D local - Personnel]</t>
  </si>
  <si>
    <t>7721101300 - [SPA R&amp;D Expenses (Local)]</t>
  </si>
  <si>
    <t>7721101100 - [SPA License and royalty exp. - local R&amp;D]</t>
  </si>
  <si>
    <t>7720140000 - [SPA Other M&amp;S]</t>
  </si>
  <si>
    <t>7720130007 - [SPA Internal marketing - Other]</t>
  </si>
  <si>
    <t>7720130006 - [SPA Internal marketing - T&amp;E]</t>
  </si>
  <si>
    <t>7720130005 - [SPA Internal marketing - Serv.&amp;Consult.]</t>
  </si>
  <si>
    <t>7720130004 - [SPA Internal marketing - IT &amp; Teleco.]</t>
  </si>
  <si>
    <t>7720130003 - [SPA Internal marketing - Prom.&amp;Advert.]</t>
  </si>
  <si>
    <t>7720130002 - [SPA Internal marketing - Depreciation]</t>
  </si>
  <si>
    <t>7720130001 - [SPA Internal marketing - Personnel]</t>
  </si>
  <si>
    <t>7720130000 - [SPA Internal marketing expenses]</t>
  </si>
  <si>
    <t>7720120007 - [SPA Field force - Other]</t>
  </si>
  <si>
    <t>7720120006 - [SPA Field force - T&amp;E]</t>
  </si>
  <si>
    <t>7720120005 - [SPA Field force - Serv.&amp;Consult.]</t>
  </si>
  <si>
    <t>7720120004 - [SPA Field force - IT &amp; Teleco.]</t>
  </si>
  <si>
    <t>7720120003 - [SPA Field force - Prom.&amp;Advert.]</t>
  </si>
  <si>
    <t>7720120002 - [SPA Field force - Depreciation]</t>
  </si>
  <si>
    <t>7720120001 - [SPA Field force - Personnel]</t>
  </si>
  <si>
    <t>7720120000 - [SPA Field force]</t>
  </si>
  <si>
    <t>7720115007 - [SPA Medical activ. oth. - Other]</t>
  </si>
  <si>
    <t>7720115006 - [SPA Medical activ. oth. - T&amp;E]</t>
  </si>
  <si>
    <t>7720115005 - [SPA Medical activ. oth. - Serv.&amp;Consult.]</t>
  </si>
  <si>
    <t>7720115004 - [SPA Medical activ. oth. - IT &amp; Teleco.]</t>
  </si>
  <si>
    <t>7720115003 - [SPA Medical activ. oth. - Prom.&amp;Advert.]</t>
  </si>
  <si>
    <t>7720115002 - [SPA Medical activ. oth. - Depreciation]</t>
  </si>
  <si>
    <t>7720115001 - [SPA Medical activity oth. - Personnel]</t>
  </si>
  <si>
    <t>7720115000 - [SPA Medical activities other]</t>
  </si>
  <si>
    <t>7720114007 - [SPA Medical consultants - Other]</t>
  </si>
  <si>
    <t>7720114006 - [SPA Medical consultants - T&amp;E]</t>
  </si>
  <si>
    <t>7720114005 - [SPA Medical consultants - Serv.&amp;Consult.]</t>
  </si>
  <si>
    <t>7720114004 - [SPA Medical consultants - IT &amp; Teleco.]</t>
  </si>
  <si>
    <t>7720114003 - [SPA Medical consultants - Prom.&amp;Advert.]</t>
  </si>
  <si>
    <t>7720114002 - [SPA Medical consultants - Depreciation]</t>
  </si>
  <si>
    <t>7720114001 - [SPA Medical consultants - Personnel]</t>
  </si>
  <si>
    <t>7720114000 - [SPA Medical consultants]</t>
  </si>
  <si>
    <t>7720113007 - [SPA Medical donations - Other]</t>
  </si>
  <si>
    <t>7720113006 - [SPA Medical donations - T&amp;E]</t>
  </si>
  <si>
    <t>7720113005 - [SPA Medical donations - Serv.&amp;Consult.]</t>
  </si>
  <si>
    <t>7720113004 - [SPA Medical donations - IT &amp; Teleco.]</t>
  </si>
  <si>
    <t>7720113003 - [SPA Medical donations - Prom.&amp;Advert.]</t>
  </si>
  <si>
    <t>7720113002 - [SPA Medical donations - Depreciation]</t>
  </si>
  <si>
    <t>7720113001 - [SPA Medical donations - Personnel]</t>
  </si>
  <si>
    <t>7720113000 - [SPA Medical donations]</t>
  </si>
  <si>
    <t>7720112007 - [SPA Medical education - Other]</t>
  </si>
  <si>
    <t>7720112006 - [SPA Medical education - T&amp;E]</t>
  </si>
  <si>
    <t>7720112005 - [SPA Medical education - Serv.&amp;Consult.]</t>
  </si>
  <si>
    <t>7720112004 - [SPA Medical education - IT &amp; Teleco.]</t>
  </si>
  <si>
    <t>7720112003 - [SPA Medical education - Prom.&amp;Advert.]</t>
  </si>
  <si>
    <t>7720112002 - [SPA Medical education - Depreciation]</t>
  </si>
  <si>
    <t>7720112001 - [SPA Medical education - Personnel]</t>
  </si>
  <si>
    <t>7720112000 - [SPA Medical education]</t>
  </si>
  <si>
    <t>7720106007 - [SPA Promo.&amp;advert. oth. - Other]</t>
  </si>
  <si>
    <t>7720106006 - [SPA Promo.&amp;advert. oth. - T&amp;E]</t>
  </si>
  <si>
    <t>7720106005 - [SPA Promo.&amp;advert. oth. - Serv.&amp;Consult.]</t>
  </si>
  <si>
    <t>7720106004 - [SPA Promo.&amp;advert. oth. - IT &amp; Teleco.]</t>
  </si>
  <si>
    <t>7720106003 - [SPA Promo.&amp;advert. oth. - Prom.&amp;Advert.]</t>
  </si>
  <si>
    <t>7720106002 - [SPA Promo.&amp;advert. oth. - Depreciation]</t>
  </si>
  <si>
    <t>7720106001 - [SPA Promo.&amp;advert. oth. - Personnel]</t>
  </si>
  <si>
    <t>7720106000 - [SPA Promotion and advertising other]</t>
  </si>
  <si>
    <t>7720105007 - [SPA Commercial donation - Other]</t>
  </si>
  <si>
    <t>7720105006 - [SPA Commercial donation - T&amp;E]</t>
  </si>
  <si>
    <t>7720105005 - [SPA Commercial donation - Serv.&amp;Consult]</t>
  </si>
  <si>
    <t>7720105004 - [SPA Commercial donation - IT &amp; Teleco.]</t>
  </si>
  <si>
    <t>7720105003 - [SPA Commercial donation - Prom.&amp;Advert.]</t>
  </si>
  <si>
    <t>7720105002 - [SPA Commercial donation - Depreciation]</t>
  </si>
  <si>
    <t>7720105001 - [SPA Commercial donation - Personnel]</t>
  </si>
  <si>
    <t>7720105000 - [SPA Commercial donations]</t>
  </si>
  <si>
    <t>7720104007 - [SPA Congresses &amp; events - Other]</t>
  </si>
  <si>
    <t>7720104006 - [SPA Congresses &amp; events - T&amp;E]</t>
  </si>
  <si>
    <t>7720104005 - [SPA Congresses &amp; events - Serv.&amp;Consult.]</t>
  </si>
  <si>
    <t>7720104004 - [SPA Congresses &amp; events - IT &amp; Teleco.]</t>
  </si>
  <si>
    <t>7720104003 - [SPA Congresses &amp; events - Prom.&amp;Advert.]</t>
  </si>
  <si>
    <t>7720104002 - [SPA Congresses &amp; events - Depreciation]</t>
  </si>
  <si>
    <t>7720104001 - [SPA Congresses &amp; events - Personnel]</t>
  </si>
  <si>
    <t>7720104000 - [SPA Congress &amp; events]</t>
  </si>
  <si>
    <t>7720103007 - [SPA Advertising - Other]</t>
  </si>
  <si>
    <t>7720103006 - [SPA Advertising - T&amp;E]</t>
  </si>
  <si>
    <t>7720103005 - [SPA Advertising - Serv.&amp;Consult.]</t>
  </si>
  <si>
    <t>7720103004 - [SPA Advertising - IT &amp; Teleco.]</t>
  </si>
  <si>
    <t>7720103003 - [SPA Advertising - Prom.&amp;Advert.]</t>
  </si>
  <si>
    <t>7720103002 - [SPA Advertising - Depreciation]</t>
  </si>
  <si>
    <t>7720103001 - [SPA Advertising - Personnel]</t>
  </si>
  <si>
    <t>7720103000 - [SPA Advertising]</t>
  </si>
  <si>
    <t>7720101000 - [SPA Promotion material]</t>
  </si>
  <si>
    <t>7711122000 - [SPA Other Expense &amp; Freight]</t>
  </si>
  <si>
    <t>7711121000 - [SPA Service business standard costs]</t>
  </si>
  <si>
    <t>7711113001 - [SPA Spending variances]</t>
  </si>
  <si>
    <t>7710190000 - [SPA Sales 4m Royalty &amp; Licenses]</t>
  </si>
  <si>
    <t>7710150001 - [SPA Hardware Revenue Correction]</t>
  </si>
  <si>
    <t>7710150000 - [SPA Goods Merchandize Revenue Correction]</t>
  </si>
  <si>
    <t>7710120004 - [SPA Services revenue Correction]</t>
  </si>
  <si>
    <t>7710100001 - [SPA Hardware Revenue]</t>
  </si>
  <si>
    <t>7710100000 - [SPA  Goodsmerchandize Revenue]</t>
  </si>
  <si>
    <t>7620304112 - [AOM_SC Bldg.Add.Cost]</t>
  </si>
  <si>
    <t>7620304110 - [AOM_LH_Add.Costs]</t>
  </si>
  <si>
    <t>7620304109 - [AOM_LH Bldg.Net rent]</t>
  </si>
  <si>
    <t>7600340099 - [DAA_Life Science True-up/Mark-up_L]</t>
  </si>
  <si>
    <t>7600340053 - [DAA_Label Printing for other GMGs_L]</t>
  </si>
  <si>
    <t>7600340052 - [DAA_Pack.Material design &amp; support_L]</t>
  </si>
  <si>
    <t>7600340051 - [DAA_Handling of Pass-through costs_L]</t>
  </si>
  <si>
    <t>7600340050 - [DAA_R&amp;D Project Service_L]</t>
  </si>
  <si>
    <t>7600340049 - [DAA_Material sampling at plant area_L]</t>
  </si>
  <si>
    <t>7600340045 - [DAA_Maint./coord. Shell&amp;Core Bldg._L]</t>
  </si>
  <si>
    <t>7600340024 - [DAA_Regulatory Project Support_L]</t>
  </si>
  <si>
    <t>7600340022 - [DAA_Raw Material QC-Testing_L]</t>
  </si>
  <si>
    <t>7600340021 - [DAA_On demand analytics_L]</t>
  </si>
  <si>
    <t>7600340020 - [DAA_Material sampling non GMP_L]</t>
  </si>
  <si>
    <t>7600340019 - [DAA_Material sampling accor. to GMP _L]</t>
  </si>
  <si>
    <t>7600340018 - [DAA_Material sampling_Dyestuffs_L]</t>
  </si>
  <si>
    <t>7600340017 - [DAA_Govern creat./maint. mat. Master_L]</t>
  </si>
  <si>
    <t>7600340016 - [DAA_Global Product Hierachies_L]</t>
  </si>
  <si>
    <t>7600340015 - [DAA_Manage creation/maint.Pack.modules_L]</t>
  </si>
  <si>
    <t>7600340014 - [DAA_Customer Returns_L]</t>
  </si>
  <si>
    <t>7600340013 - [DAA_Known Consignor Process_L]</t>
  </si>
  <si>
    <t>7600340012 - [DAA_K2 tool_gen item code_non-inv.item_L]</t>
  </si>
  <si>
    <t>7600340011 - [DAA_Outbound process for techn.mat._L]</t>
  </si>
  <si>
    <t>7600340010 - [DAA_Handling of Non-inventory items_L]</t>
  </si>
  <si>
    <t>7600340009 - [DAA_Parcel Service_L]</t>
  </si>
  <si>
    <t>7600340008 - [DAA_Transport Coordination 3rd party_L]</t>
  </si>
  <si>
    <t>7600340007 - [DAA_Warehousing_L]</t>
  </si>
  <si>
    <t>7600340006 - [DAA_Inbound Logistics_L]</t>
  </si>
  <si>
    <t>7600330122 - [DAA_PM-OT Project Service (external)_P]</t>
  </si>
  <si>
    <t>7600330118 - [DAA_UseTests FFL_resp. lab_raw mat._P]</t>
  </si>
  <si>
    <t>7600330117 - [DAA_Cat-solutions catalyst screening_P]</t>
  </si>
  <si>
    <t>7600330116 - [DAA_Gas reactions at pilot scale_P]</t>
  </si>
  <si>
    <t>7600330115 - [DAA_Hydr. reaction_highly toxic gas_P]</t>
  </si>
  <si>
    <t>7600330114 - [DAA_Hydr. reaction_react. other gas_P]</t>
  </si>
  <si>
    <t>7600330113 - [DAA_Hydrog. reaction_high pressure_P]</t>
  </si>
  <si>
    <t>7600330112 - [DAA_Hydrog. reaction_low pressure_P]</t>
  </si>
  <si>
    <t>7600330111 - [DAA_Consultancy for choice of mat. _P]</t>
  </si>
  <si>
    <t>7600330110 - [DAA_Metallographic investigations_P]</t>
  </si>
  <si>
    <t>7600330109 - [P_DAA_EL-OT Materials Investigation]</t>
  </si>
  <si>
    <t>7600330108 - [DAA_Corrosion testing_special cases_P]</t>
  </si>
  <si>
    <t>7600330107 - [DAA_Corrosion testing_std investig._P]</t>
  </si>
  <si>
    <t>7600330106 - [DAA_Con.Ext.Provider_safety assess._P]</t>
  </si>
  <si>
    <t>7600330105 - [DAA Online analytics_P]</t>
  </si>
  <si>
    <t>7600330104 - [DAA_Physic/chem. charact. Comp./mixt._P]</t>
  </si>
  <si>
    <t>7600330103 - [DAA_Safety charact. compounds/mixtures_P]</t>
  </si>
  <si>
    <t>7600330102 - [P_DAA_EL-OT Hazard Evaluation]</t>
  </si>
  <si>
    <t>7600330099 - [DAA_PM_True-up/Mark-up_P]</t>
  </si>
  <si>
    <t>7600330024 - [DAA_Maint.coord.for S&amp;C Bldgs_P]</t>
  </si>
  <si>
    <t>7600330023 - [DAA_Project Services (external)_P]</t>
  </si>
  <si>
    <t>7600330022 - [DAA_R&amp;D Project Service (internal)_P]</t>
  </si>
  <si>
    <t>7600330021 - [DAA_Off Steam supply (DD mandatory)_P]</t>
  </si>
  <si>
    <t>7600330016 - [DAA_Commissioning_P]</t>
  </si>
  <si>
    <t>7600330014 - [DAA_Vehicle Maintenance_P]</t>
  </si>
  <si>
    <t>7600330013 - [DAA_Corrective Maintenance_P]</t>
  </si>
  <si>
    <t>7600330012 - [DAA_Preventive Maintenance_P]</t>
  </si>
  <si>
    <t>7600330011 - [DAA_IT/Communication Support_P]</t>
  </si>
  <si>
    <t>7600330010 - [DAA_Installation &amp; Dismantling_P]</t>
  </si>
  <si>
    <t>7600330008 - [DAA_Documentation Services Loops_P]</t>
  </si>
  <si>
    <t>7600330007 - [DAA_Documentation Services PIDs_P]</t>
  </si>
  <si>
    <t>7600330006 - [DAA_Automation design_P]</t>
  </si>
  <si>
    <t>7600330005 - [DAA_Chemical engineering design_P]</t>
  </si>
  <si>
    <t>7600330004 - [DAA_Supplier Coord./Service cat. spec._P]</t>
  </si>
  <si>
    <t>7600330003 - [DAA_Sample drawing &amp; sample sending_P]</t>
  </si>
  <si>
    <t>7600309012 - [DAA_General Lease]</t>
  </si>
  <si>
    <t>7600309011 - [DAA_Overhead Allocation]</t>
  </si>
  <si>
    <t>7600309009 - [DAA Mark-up electricity]</t>
  </si>
  <si>
    <t>7600309008 - [DAA Mark-up 10%]</t>
  </si>
  <si>
    <t>7600309007 - [DAA Mark-up 5%]</t>
  </si>
  <si>
    <t>7600309006 - [DAA Mark-up 0%]</t>
  </si>
  <si>
    <t>7600309005 - [DAA True-up Others]</t>
  </si>
  <si>
    <t>7600309004 - [DAA True-up Engin.]</t>
  </si>
  <si>
    <t>7600309003 - [DAA True-up Analytics]</t>
  </si>
  <si>
    <t>7600309002 - [DAA Pass-through Others]</t>
  </si>
  <si>
    <t>7600309001 - [DAA Pass-through Engin.]</t>
  </si>
  <si>
    <t>7600309000 - [DAA Pass thru Anal]</t>
  </si>
  <si>
    <t>7600304180 - [DAA_Shell &amp; core buildings]</t>
  </si>
  <si>
    <t>7600304179 - [DAA_Full service Buildings]</t>
  </si>
  <si>
    <t>7600304178 - [DAA_Lease hold buildings]</t>
  </si>
  <si>
    <t>7600304175 - [DAA_Service Charge Rescue]</t>
  </si>
  <si>
    <t>7600304174 - [DAA_Patient Transport]</t>
  </si>
  <si>
    <t>7600304173 - [DAA Vehicle Entrance Mgt]</t>
  </si>
  <si>
    <t>7600304171 - [DAA Access Mgt]</t>
  </si>
  <si>
    <t>7600304166 - [DAA Emergency Rescue]</t>
  </si>
  <si>
    <t>7600304162 - [DAA Training Fire Brigade]</t>
  </si>
  <si>
    <t>7600304160 - [DAA Cleaning Hygiene Plan]</t>
  </si>
  <si>
    <t>7600304159 - [DAA Internal Placement Service]</t>
  </si>
  <si>
    <t>7600304158 - [DAA Catering Visitor]</t>
  </si>
  <si>
    <t>7600304156 - [DAA Bistros&amp;Cafes]</t>
  </si>
  <si>
    <t>7600304153 - [DAA Log. HR Contract]</t>
  </si>
  <si>
    <t>7600304152 - [DAA Digitization]</t>
  </si>
  <si>
    <t>7600304147 - [DAA Info Health Services]</t>
  </si>
  <si>
    <t>7600304143 - [DAA Health Campaigns Presentations]</t>
  </si>
  <si>
    <t>7600304142 - [DAA Health Campaigns]</t>
  </si>
  <si>
    <t>7600304140 - [DAA Transport Service to Physician]</t>
  </si>
  <si>
    <t>7600304139 - [DAA Specific Health Serv. (round tables)]</t>
  </si>
  <si>
    <t>7600304138 - [DAA Specific BEM Services]</t>
  </si>
  <si>
    <t>7600304137 - [DAA Emergency Medical Physician]</t>
  </si>
  <si>
    <t>7600304136 - [DAA Presentations on Health Topics]</t>
  </si>
  <si>
    <t>7600304135 - [DAA Basic DGUV V2 Service]</t>
  </si>
  <si>
    <t>7600304134 - [DAA Health Events]</t>
  </si>
  <si>
    <t>7600304133 - [DAA Social Counselling]</t>
  </si>
  <si>
    <t>7600304132 - [DAA Travel Medicine Consulting]</t>
  </si>
  <si>
    <t>7600304130 - [DAA Organization &amp; Execution of BEM]</t>
  </si>
  <si>
    <t>7600304129 - [DAA DGUVV2]</t>
  </si>
  <si>
    <t>7600304125 - [DAA Environmental Analytics R&amp;D]</t>
  </si>
  <si>
    <t>7600304122 - [DAA Assoc.Work&amp;Rep.Occup.health&amp;safety]</t>
  </si>
  <si>
    <t>7600304121 - [DAA Legal Prosecution Occup. Safety]</t>
  </si>
  <si>
    <t>7600304120 - [DAA IT Tool Occupational Safety: medus +]</t>
  </si>
  <si>
    <t>7600304119 - [DAA Management Security Managers]</t>
  </si>
  <si>
    <t>7600304118 - [DAA Accid. insur.&amp;interac.w/authorities]</t>
  </si>
  <si>
    <t>7600304117 - [DAA Extended Support Occup. Safety]</t>
  </si>
  <si>
    <t>7600304115 - [DAA Construction Serv. Plan. &amp; Realiz.]</t>
  </si>
  <si>
    <t>7600304114 - [DAA Building Maintenance]</t>
  </si>
  <si>
    <t>7600304113 - [DAA S&amp;C Bldg: User specific invest.]</t>
  </si>
  <si>
    <t>7600304112 - [DAA Shell &amp; Core Building: Add. Costs]</t>
  </si>
  <si>
    <t>7600304111 - [DAA Shell &amp; core: Net rent]</t>
  </si>
  <si>
    <t>7600304110 - [DAA Lease hold: Add. costs]</t>
  </si>
  <si>
    <t>7600304109 - [DAA Lease Hold Building: Net rent]</t>
  </si>
  <si>
    <t>7600304108 - [DAA Full service_Add. Costs]</t>
  </si>
  <si>
    <t>7600304107 - [DAA Full Service Building Add.Costs]</t>
  </si>
  <si>
    <t>7600304106 - [DAA Full Service Building Net Rent]</t>
  </si>
  <si>
    <t>7600304103 - [DAA General Infrastructure MRE DA]</t>
  </si>
  <si>
    <t>7600304102 - [DAA Accomodation Service]</t>
  </si>
  <si>
    <t>7600304098 - [DAA Site Development Service]</t>
  </si>
  <si>
    <t>7600304081 - [DAA Basic Support Occupational Safety]</t>
  </si>
  <si>
    <t>7600304080 - [DAA Occup. &amp; plant safety invest.Proj.]</t>
  </si>
  <si>
    <t>7600304077 - [DAA Reverse logistics]</t>
  </si>
  <si>
    <t>7600304072 - [DAA Therm. Air purification]</t>
  </si>
  <si>
    <t>7600304071 - [DAA Shared Use Energy Route]</t>
  </si>
  <si>
    <t>7600304069 - [DAA Remediation Water]</t>
  </si>
  <si>
    <t>7600304068 - [DAA Dem. Water special]</t>
  </si>
  <si>
    <t>7600304066 - [DAA Electricity supply-USV]</t>
  </si>
  <si>
    <t>7600304065 - [DAA Natural gas supply ibL]</t>
  </si>
  <si>
    <t>7600304064 - [DAA Part. Desalinated water]</t>
  </si>
  <si>
    <t>7600304062 - [DAA Demineralized water hot]</t>
  </si>
  <si>
    <t>7600304061 - [DAA Demineralized water Cold]</t>
  </si>
  <si>
    <t>7600304059 - [DAA Engineering Media Supply]</t>
  </si>
  <si>
    <t>7600304041 - [DAA GenDat Legal Obligations Compliance]</t>
  </si>
  <si>
    <t>7600304040 - [DAA Assoc./committee work]</t>
  </si>
  <si>
    <t>7600304039 - [DAA GenDat add. Provisions]</t>
  </si>
  <si>
    <t>7600304037 - [DAA Authorities Environm.]</t>
  </si>
  <si>
    <t>7600304008 - [DAA Classic docu.printing]</t>
  </si>
  <si>
    <t>7600301091 - [DAA_Site Affaires]</t>
  </si>
  <si>
    <t>7600301084 - [DAA_Inspect. safety sys. II]</t>
  </si>
  <si>
    <t>7600301080 - [DAA_Inspect. elect. equip.]</t>
  </si>
  <si>
    <t>7600301079 - [DAA_Inspection hoses_chemi.]</t>
  </si>
  <si>
    <t>7600301078 - [DAA_Equipment/Machine rent]</t>
  </si>
  <si>
    <t>7600301077 - [DAA_Shift work/call on duty]</t>
  </si>
  <si>
    <t>7600301076 - [DAA_Preventive maint.]</t>
  </si>
  <si>
    <t>7600301075 - [DAA Factory fence]</t>
  </si>
  <si>
    <t>7600301074 - [DAA Lightning protection]</t>
  </si>
  <si>
    <t>7600301073 - [DAA Personel emergency signal system]</t>
  </si>
  <si>
    <t>7600301072 - [DAA Video control system]</t>
  </si>
  <si>
    <t>7600301071 - [DAA Safety signal technol.]</t>
  </si>
  <si>
    <t>7600301070 - [DAA Fire alarm system]</t>
  </si>
  <si>
    <t>7600301069 - [DAA Install. for communic. &amp; security]</t>
  </si>
  <si>
    <t>7600301067 - [DAA GMP-Monitoring Systems]</t>
  </si>
  <si>
    <t>7600301066 - [DAA TGA Anlagen]</t>
  </si>
  <si>
    <t>7600301065 - [DAA Data network infra.]</t>
  </si>
  <si>
    <t>7600301064 - [DAA Security Infrastruct.]</t>
  </si>
  <si>
    <t>7600301062 - [DAA Inspection EX Facility]</t>
  </si>
  <si>
    <t>7600301061 - [DAA Inspection EX Facility]</t>
  </si>
  <si>
    <t>7600301060 - [DAA Inspect. elect. Equip_m]</t>
  </si>
  <si>
    <t>7600301059 - [DAA Inspect. elect. Equip_s]</t>
  </si>
  <si>
    <t>7600301058 - [DAA Technical applications]</t>
  </si>
  <si>
    <t>7600301057 - [DAA Inspect. pressure equip]</t>
  </si>
  <si>
    <t>7600301056 - [DAA E-Plan]</t>
  </si>
  <si>
    <t>7600301055 - [DAA Basic Engineering TP]</t>
  </si>
  <si>
    <t>7600301053 - [DAA Process Control &amp; Automation Systems]</t>
  </si>
  <si>
    <t>7600301052 - [DAA Lab./analytical Equip.]</t>
  </si>
  <si>
    <t>7600301048 - [DAA App. Mgmt/Mobile Maint.]</t>
  </si>
  <si>
    <t>7600301047 - [DAA Safety coordination]</t>
  </si>
  <si>
    <t>7600301046 - [DAA Training PM tech. Proj.]</t>
  </si>
  <si>
    <t>7600301045 - [DAA Plant documentation]</t>
  </si>
  <si>
    <t>7600301044 - [DAA Master Data Service SAP]</t>
  </si>
  <si>
    <t>7600301042 - [DAA Studies Techn. Projects]</t>
  </si>
  <si>
    <t>7600301041 - [DAA Techn. Project Develop.]</t>
  </si>
  <si>
    <t>7600301037 - [DAA CAE Comos]</t>
  </si>
  <si>
    <t>7600301035 - [DAA Inspection chem. hoses]</t>
  </si>
  <si>
    <t>7600301034 - [DAA Inspection chem. hoses]</t>
  </si>
  <si>
    <t>7600301033 - [DAA Copper network]</t>
  </si>
  <si>
    <t>7600301032 - [DAA Fiber optic network]</t>
  </si>
  <si>
    <t>7600301030 - [DAA Monitoring of climate]</t>
  </si>
  <si>
    <t>7600301028 - [DAA Inspection according to WRA (WHG)]</t>
  </si>
  <si>
    <t>7600301027 - [DAA Inspect. systems/equip.]</t>
  </si>
  <si>
    <t>7600301026 - [DAA CE Label Assessment]</t>
  </si>
  <si>
    <t>7600301024 - [DAA Manufact. of pipelines]</t>
  </si>
  <si>
    <t>7600301023 - [DAA Construction]</t>
  </si>
  <si>
    <t>7600301022 - [DAA Manufacturing of hoses]</t>
  </si>
  <si>
    <t>7600301021 - [DAA Parts and Compenents]</t>
  </si>
  <si>
    <t>7600301019 - [DAA Industrial assembly]</t>
  </si>
  <si>
    <t>7600301018 - [DAA 3-shift model]</t>
  </si>
  <si>
    <t>7600301017 - [DAA 4-shift model]</t>
  </si>
  <si>
    <t>7600301016 - [DAA 5-shift model]</t>
  </si>
  <si>
    <t>7600301013 - [DAA Equip./Machine rental 3]</t>
  </si>
  <si>
    <t>7600301012 - [DAA Equip./Machine rental 2]</t>
  </si>
  <si>
    <t>7600301010 - [DAA Calib. fixed vol. pipette w/ maint.]</t>
  </si>
  <si>
    <t>7600301009 - [DAA Calib. Multich. pipette (radio. 12)]</t>
  </si>
  <si>
    <t>7600301008 - [DAA Calibration multich. pipette (to 12)]</t>
  </si>
  <si>
    <t>7600301007 - [DAA Calibration var. pipette w/o maint.]</t>
  </si>
  <si>
    <t>7600301006 - [DAA Calibration var. pipette w/ maint.]</t>
  </si>
  <si>
    <t>7600301005 - [DAA Calib. fixed vol. pipette w/o maint.]</t>
  </si>
  <si>
    <t>7600301004 - [DAA Multichan. Pipette (16)]</t>
  </si>
  <si>
    <t>7600301000 - [DAA Automat. SW_Version doc]</t>
  </si>
  <si>
    <t>7600300022 - [DAA Validation Excel Applic]</t>
  </si>
  <si>
    <t>7600300017 - [DAA NMR exper. self service]</t>
  </si>
  <si>
    <t>7600300016 - [DAA NMR exper._sampling R&amp;D]</t>
  </si>
  <si>
    <t>7600300014 - [DAA NMR exper._sampling GMP]</t>
  </si>
  <si>
    <t>7600300012 - [DAA Sample shipment]</t>
  </si>
  <si>
    <t>7600300010 - [DAA NMR experiment complex]</t>
  </si>
  <si>
    <t>7600300008 - [DAA Lab automation projects]</t>
  </si>
  <si>
    <t>7600300007 - [DAA Custom. sup. instrum.PC]</t>
  </si>
  <si>
    <t>7600300005 - [DAA Consult Reg-Environment]</t>
  </si>
  <si>
    <t>7600300004 - [DAA Consulting study design]</t>
  </si>
  <si>
    <t>7600000099 - [DAA - of Core Service Inter CO]</t>
  </si>
  <si>
    <t>5961802000 - [Selling Exp 4m IO&amp;Proj Settlement]</t>
  </si>
  <si>
    <t>5909002000 - [G&amp;A Exp IO &amp; Project Settlement]</t>
  </si>
  <si>
    <t>4421000000 - [FI-CO Difference from Production Cost]</t>
  </si>
  <si>
    <t>7724140001 - [SPA ICON Prem/Contr/fees]</t>
  </si>
  <si>
    <t>7722140002 - [SPA ICON Other G&amp;A]</t>
  </si>
  <si>
    <t>7722130005 - [SPA ICON Other MGF]</t>
  </si>
  <si>
    <t>7721101309 - [SPA ICON Other local R&amp;D]</t>
  </si>
  <si>
    <t>7720140008 - [SPA ICON Other Mktg&amp;Sell]</t>
  </si>
  <si>
    <t>7824320000 - [APA Royalty Xpenses 4OtherOperating Xpen]</t>
  </si>
  <si>
    <t>7711172001 - [SPA ICON Global Dem.&amp;Plann.]</t>
  </si>
  <si>
    <t>250400 - []</t>
  </si>
  <si>
    <t>250402 - []</t>
  </si>
  <si>
    <t>5901710000 - [IC Expenses - Insurance Services]</t>
  </si>
  <si>
    <t>5754010000 - [Other MGF Charges IC (expense)]</t>
  </si>
  <si>
    <t>5752810000 - [IC Expenses - Tax Services]</t>
  </si>
  <si>
    <t>5752710000 - [IC Expenses - Communication Services]</t>
  </si>
  <si>
    <t>5752610000 - [IC Expenses - Procurem Services]</t>
  </si>
  <si>
    <t>5752110000 - [IC Expenses - L&amp;C Services]</t>
  </si>
  <si>
    <t>5751610000 - [IC Expenses - HR Services]</t>
  </si>
  <si>
    <t>5751510000 - [IC Expenses - Group Treasury]</t>
  </si>
  <si>
    <t>5751410000 - [IC Expenses - E&amp;Q Services]</t>
  </si>
  <si>
    <t>5751310000 - [IC Expenses - Controlling Services]</t>
  </si>
  <si>
    <t>5751210000 - [IC Expenses - Fin Auditing Services]</t>
  </si>
  <si>
    <t>5751010000 - [IC Expenses - Accounting Services]</t>
  </si>
  <si>
    <t>5752510000 - [IC Expenses - P&amp;S - Information Services]</t>
  </si>
  <si>
    <t>250401 - []</t>
  </si>
  <si>
    <t>5983110000 - [Reimbursement IC - Group Treasury]</t>
  </si>
  <si>
    <t>5983010000 - [Reimbursement IC - Legal &amp; Compl Serv]</t>
  </si>
  <si>
    <t>7240000013 - [SOM Rental Settlement]</t>
  </si>
  <si>
    <t>7620000010 - [AOM FBU Vers. CO]</t>
  </si>
  <si>
    <t>7620000008 - [AOM Abg.Standortvers.]</t>
  </si>
  <si>
    <t>7240000011 - [SOM Taxes Settlement]</t>
  </si>
  <si>
    <t>7240000007 - [SOM Incentive Comp Settlement]</t>
  </si>
  <si>
    <t>7240000005 - [SOM MGF Other exp.]</t>
  </si>
  <si>
    <t>7240000004 - [SOM MGF Legal exp.]</t>
  </si>
  <si>
    <t>7240000003 - [SOM MGF Finance exp.]</t>
  </si>
  <si>
    <t>7240000002 - [SOM MGF HR exp.]</t>
  </si>
  <si>
    <t>7240000001 - [SOM Corp Cost Settlement]</t>
  </si>
  <si>
    <t>7220000016 - [AOM Communication Service]</t>
  </si>
  <si>
    <t>7220000015 - [AOM Fin Auditing Services]</t>
  </si>
  <si>
    <t>7220000012 - [AOM Other MGF Charges IC (income)]</t>
  </si>
  <si>
    <t>7220000011 - [AOM Tax services]</t>
  </si>
  <si>
    <t>7220000010 - [AOM Procurement services]</t>
  </si>
  <si>
    <t>7220000007 - [AOM Legal and compliance services]</t>
  </si>
  <si>
    <t>7220000006 - [AOM Insurance services]</t>
  </si>
  <si>
    <t>7220000005 - [AOM HR Services]</t>
  </si>
  <si>
    <t>7220000004 - [AOM Group treasury]</t>
  </si>
  <si>
    <t>7220000003 - [AOM Environment and quality services]</t>
  </si>
  <si>
    <t>7220000002 - [AOM Controlling services]</t>
  </si>
  <si>
    <t>7220000001 - [AOM Accounting services]</t>
  </si>
  <si>
    <t>5983910000 - [Reimbursement IC - Accounting Services]</t>
  </si>
  <si>
    <t>5983810000 - [Reimbursement IC - Tax Services]</t>
  </si>
  <si>
    <t>5983710000 - [Reimbursement IC - Procurement Services]</t>
  </si>
  <si>
    <t>5983610000 - [Reimbursement IC - Controlling Services]</t>
  </si>
  <si>
    <t>5983510000 - [Reimbursement IC - Communic Services]</t>
  </si>
  <si>
    <t>5983210000 - [Reimbursement IC - HR Services]</t>
  </si>
  <si>
    <t>5981110000 - [Reimbursement IC - Financ Auditing Serv]</t>
  </si>
  <si>
    <t>5981010000 - [Reimbursement IC - Insurance Services]</t>
  </si>
  <si>
    <t>5980810000 - [Reimbursement IC - Managin Directr Activ]</t>
  </si>
  <si>
    <t>7220000018 - [AOM Patent&amp;Scinfic Inform'n Serv GlobR&amp;D]</t>
  </si>
  <si>
    <t>250300 - []</t>
  </si>
  <si>
    <t>8600000002 - [Current Tax - Local Direct Tax]</t>
  </si>
  <si>
    <t>8642000000 - [Trade Tax for Previous Periods]</t>
  </si>
  <si>
    <t>8641000000 - [Corporate Tax for Previous Periods]</t>
  </si>
  <si>
    <t>8604000000 - [Nondeductible Withholding Tax - Current]</t>
  </si>
  <si>
    <t>8603000000 - [Deductible Withholding  Tax - Current]</t>
  </si>
  <si>
    <t>8602000000 - [Trade Tax- Current]</t>
  </si>
  <si>
    <t>8601000000 - [Corporate Tax- Current]</t>
  </si>
  <si>
    <t>8760000000 - [Defr Tax on Previous periods]</t>
  </si>
  <si>
    <t>8740000000 - [Defr Tax Resul f. Change in Tax Rates]</t>
  </si>
  <si>
    <t>8730000000 - [Defr Tax Resul f. Use Unrec Tax Credits]</t>
  </si>
  <si>
    <t>8710000000 - [Defr Tax Resul f. Use Unrec Temp Diff]</t>
  </si>
  <si>
    <t>8700000000 - [Defr Tax Resul f. Changes in Temp Diff]</t>
  </si>
  <si>
    <t>8640000000 - [Current Tax for Previous Periods]</t>
  </si>
  <si>
    <t>250200 - []</t>
  </si>
  <si>
    <t>8532000000 - [Loss FairValCha DebtInst FVOptFVtPL]</t>
  </si>
  <si>
    <t>8441000000 - [Interest Exp-Compensation Fees-IHB]</t>
  </si>
  <si>
    <t>8232000000 - [Inc f. FairValCha DebtInst FVOpt FVtPL]</t>
  </si>
  <si>
    <t>8141000000 - [Interest Inc-Compensation Fees-IHB]</t>
  </si>
  <si>
    <t>8800200000 - [Profit&amp;Loss (Tech Acc)-ExpP&amp;LTransAgree]</t>
  </si>
  <si>
    <t>8250200000 - [FX Inc Settl-Fin-Underlyng Asset-Real-3P]</t>
  </si>
  <si>
    <t>8240000000 - [FX Inc - Financing - Realized Other]</t>
  </si>
  <si>
    <t>8102000000 - [Other Interest Income Received -  3P]</t>
  </si>
  <si>
    <t>8800100000 - [Profit&amp;Loss (Tech Acc)-InP&amp;LTransAgree]</t>
  </si>
  <si>
    <t>8582600000 - [Result FXRevl-Op-CurOpt-CFH-IntrVal-Unrl]</t>
  </si>
  <si>
    <t>8582500000 - [FX Exp Reval-Fin-CurOpt-CFH-TimeVal-Unrl]</t>
  </si>
  <si>
    <t>8582300000 - [FX Exp Reval-Fin-ZC-CO-CFH-TimeVal-Unrl]</t>
  </si>
  <si>
    <t>8582200000 - [FX Exp Reval-Op-ZC-CO-CFH-TimeVal-Unrl]</t>
  </si>
  <si>
    <t>8582100000 - [FX Exp Reval-Fin-ZC-CO-CFH-IntrVal-Unrl]</t>
  </si>
  <si>
    <t>8582000000 - [FX Exp Derivative - Financing-Unrealized]</t>
  </si>
  <si>
    <t>8580110000 - [FX Exp Settl-Financing-Derivativ-Real-IC]</t>
  </si>
  <si>
    <t>8580100000 - [FX Exp Revl-Fin-CurrOpt-CFH-Inval-Unrl]</t>
  </si>
  <si>
    <t>8560100000 - [Premium-Operat-Zero-Cost CurrOpt-Real-3P]</t>
  </si>
  <si>
    <t>8550210000 - [FX Exp Reval-Fin-Underlng Asset-Unrl-IC]</t>
  </si>
  <si>
    <t>8550100000 - [FX Exp-Fin-Exchange Rate Differen-Unreal]</t>
  </si>
  <si>
    <t>8540210000 - [FX Exp Settl-Fin-Underlng Assets-Real-IC]</t>
  </si>
  <si>
    <t>8540100000 - [FX Exp-Financing-Exchange Rate Diff-Real]</t>
  </si>
  <si>
    <t>8534000000 - [Loss Recycling Debt Inst FVOCI]</t>
  </si>
  <si>
    <t>8440900000 - [Interest Exp-Charg Fin Trans-Negat Inter]</t>
  </si>
  <si>
    <t>8440100000 - [InterExp-Amort Prem/Discount Secur Bonds]</t>
  </si>
  <si>
    <t>8420000000 - [Interest Expenses (Int Derivatives) Paid]</t>
  </si>
  <si>
    <t>8412000000 - [Other Interest Expenses Accr]</t>
  </si>
  <si>
    <t>8280310000 - [FXInc Revl-Fin-ZC-CO-CFH-IntrVal-Unrl-IC]</t>
  </si>
  <si>
    <t>8280110000 - [FXInc Setl-Fin-ZC-CurOpt-IntrVal-Real-IC]</t>
  </si>
  <si>
    <t>8280100000 - [FX Inc Revl-Fin-CurrOpt-CFH-Inval-Unrl]</t>
  </si>
  <si>
    <t>8280010000 - [FX Inc Settl-Financing-Derivativ-Real-IC]</t>
  </si>
  <si>
    <t>8280000000 - [FX Inc Derivative - Financing - Realized]</t>
  </si>
  <si>
    <t>8260200000 - [FXInc Revl-Op-ZC-CurOpt-CFH-TimeVal-Unrl]</t>
  </si>
  <si>
    <t>8260100000 - [FX Inc Revl-Fin-CurrOpt-CFH-TimeVal-Unrl]</t>
  </si>
  <si>
    <t>8260000000 - [Inc Chn TimeVal of Options]</t>
  </si>
  <si>
    <t>8250210000 - [FX Inc Settl-Fin-Underlyng Asset-Real-IC]</t>
  </si>
  <si>
    <t>8250110000 - [FX Inc Reval-Fin-Underlg Asset-Unreal-IC]</t>
  </si>
  <si>
    <t>8250100000 - [FX Inc Reval-Fin-Underlng Assets-Unrl-3P]</t>
  </si>
  <si>
    <t>8240908000 - [FX Inc-Revaluat-SAP-Quantum-Clearing Acc]</t>
  </si>
  <si>
    <t>8240100000 - [FX Inc-Financing-Exchange Rate Diff-Real]</t>
  </si>
  <si>
    <t>8235000000 - [Inc f. FairValChanges Equity Inst FVtPL]</t>
  </si>
  <si>
    <t>8234000000 - [Inc f. Recycling Debt Inst FVOCI]</t>
  </si>
  <si>
    <t>8112000000 - [Other Interest Income Accr -  3P]</t>
  </si>
  <si>
    <t>8110110000 - [Interest Income-Financial Investments-IC]</t>
  </si>
  <si>
    <t>8100010002 - [Interest Income Paid - IC - Account 2]</t>
  </si>
  <si>
    <t>8580000000 - [FX Exp Derivative - Financing - Realized]</t>
  </si>
  <si>
    <t>8570000000 - [Exp Chn TimeVal of Share Based LTIP Prov]</t>
  </si>
  <si>
    <t>8560000000 - [Exp Chn in TimeVal of Options]</t>
  </si>
  <si>
    <t>8550000000 - [FX Exp - Financing -  Unrealized Other]</t>
  </si>
  <si>
    <t>8540000000 - [FX Exp - Financing - Realized Other]</t>
  </si>
  <si>
    <t>8510000000 - [Exp Chn in Value of Emb Inter Derivat]</t>
  </si>
  <si>
    <t>8480000000 - [Int Exp on Leas Liab]</t>
  </si>
  <si>
    <t>8475000000 - [Capit Borrowing Costs - Intang Assets]</t>
  </si>
  <si>
    <t>8460000000 - [Interest Expenses - Pensions]</t>
  </si>
  <si>
    <t>8450000000 - [Interest Exp Discoun &amp; Reserval of Disc]</t>
  </si>
  <si>
    <t>8440000000 - [Int Exp Amor of Prem/Disc Int Bear Instr]</t>
  </si>
  <si>
    <t>8430000000 - [Interest Expenses (Int Deriv) Accrued]</t>
  </si>
  <si>
    <t>8282000000 - [FX Inc Derivative - Financing-Unrealized]</t>
  </si>
  <si>
    <t>8270000000 - [Inc Chn TimeVal of Share Based LTIP Prov]</t>
  </si>
  <si>
    <t>8250000000 - [FX Inc - Financing - Unrealized Other]</t>
  </si>
  <si>
    <t>8210000000 - [Inc Change in Val of Emb Int Derivative]</t>
  </si>
  <si>
    <t>8160000000 - [Interest Income - Plan Assets]</t>
  </si>
  <si>
    <t>8150000000 - [Interest Income f. Disc &amp; Revers of Disc]</t>
  </si>
  <si>
    <t>8140000000 - [Int Inc Amor of Prem/Disc Int Bear Instr]</t>
  </si>
  <si>
    <t>8120000000 - [Interest Income (Int Derivatives) Paid]</t>
  </si>
  <si>
    <t>8000000000 - [Dividend Income]</t>
  </si>
  <si>
    <t>5961400000 - [Oth Miscell Exp - Factoring Exp]</t>
  </si>
  <si>
    <t>5945000000 - [FX Exp Settl-Op-ZeroCostCurrOpt-CHF-Real]</t>
  </si>
  <si>
    <t>5944200000 - [Exp FX Val-Derivatives-Unrealized]</t>
  </si>
  <si>
    <t>5944000000 - [Exp FX Diff-Derivatives-Realized]</t>
  </si>
  <si>
    <t>5941300000 - [FX Exp Reval-Oper-Deriv-CFH-Result-Unrel]</t>
  </si>
  <si>
    <t>5941200000 - [Exp from FX Val - CF-Hedges - Unrealized]</t>
  </si>
  <si>
    <t>5941000000 - [Exp from FX Diff - CF-Hedges - Realized]</t>
  </si>
  <si>
    <t>5931100000 - [Impairment of FinAssets-DebtInstAC]</t>
  </si>
  <si>
    <t>5925720000 - [Los f. FairValChangesOperDerivtFVtPL-UR]</t>
  </si>
  <si>
    <t>5925320000 - [Los f. FairValChanges Debt Inst FVtPL-UR]</t>
  </si>
  <si>
    <t>5444000000 - [Profit Share Expenses]</t>
  </si>
  <si>
    <t>3945000000 - [FX Inc Settl-Op-ZeroCostCurrOpt-CFH-Real]</t>
  </si>
  <si>
    <t>3944200000 - [Inc fr FX Val - Derivatives- Unreal]</t>
  </si>
  <si>
    <t>3944000000 - [Inc fr FX Diff - Derivatives - Real]</t>
  </si>
  <si>
    <t>3941200000 - [Inc fr FX Val - CF-Hedges - Unrealized]</t>
  </si>
  <si>
    <t>3941000000 - [Inc fr FX Diff - CF-Hedges - Realized]</t>
  </si>
  <si>
    <t>3926000000 - [Income f. FairValChangesContCon-OP]</t>
  </si>
  <si>
    <t>3925720000 - [Gain f. FairValChangesOperDerFVtPL-UR]</t>
  </si>
  <si>
    <t>3925320000 - [Gain f. FairValChangesDebt Inst FVtPL-UR]</t>
  </si>
  <si>
    <t>3925300000 - [Gain f. FairValChangesDebt Inst FVtPL-Re]</t>
  </si>
  <si>
    <t>3318500000 - [Cap - Post Capitalization of Assets]</t>
  </si>
  <si>
    <t>3305100010 - [Gains from Sale-Financial Instruments AC]</t>
  </si>
  <si>
    <t>3304000000 - [Gains from PPAdj of Business Combination]</t>
  </si>
  <si>
    <t>3303000000 - [Gain Dissol Cont Consid/PPAdj/Barg Purch]</t>
  </si>
  <si>
    <t>250100 - []</t>
  </si>
  <si>
    <t>3121000000 - [Service - Cash Discount]</t>
  </si>
  <si>
    <t>4001800001 - [COGS– Merchandise - TP Markup]</t>
  </si>
  <si>
    <t>4001212000 - [COGS- Merch. - Reimb. internat. freight]</t>
  </si>
  <si>
    <t>4009000000 - [COGS - Adjustments for Returns]</t>
  </si>
  <si>
    <t>7340000022 - [SOM Revenue Settlement]</t>
  </si>
  <si>
    <t>4001000100 - [COGS - Merchandise - IDOC]</t>
  </si>
  <si>
    <t>4000006000 - [COGS - Finished goods - Correction]</t>
  </si>
  <si>
    <t>7711101100 - [SPA Material cost 4 3Party]</t>
  </si>
  <si>
    <t>4050100998 - [COGM - Finished goods Custom - Inv inc]</t>
  </si>
  <si>
    <t>4050000001 - [COGM - Finished Goods - Custom - Inv Inc]</t>
  </si>
  <si>
    <t>4010200000 - [COGS - Merchandise - DropShipment]</t>
  </si>
  <si>
    <t>4001106000 - [COGS - Merchan - Material - 3P - CorAcc]</t>
  </si>
  <si>
    <t>4000400002 - [COGS - Finished Goods - Conver - Overh]</t>
  </si>
  <si>
    <t>4000400001 - [COGS - Finished Goods - Conver - Labor]</t>
  </si>
  <si>
    <t>4000116000 - [COGS - Finished Goods - Mat - IC-CorAcc]</t>
  </si>
  <si>
    <t>3920000001 - [Reimburse-Freight&amp;Duties-3P-ExciseDuty]</t>
  </si>
  <si>
    <t>3130006000 - [Hardware - Rebates - CorrAcc]</t>
  </si>
  <si>
    <t>3120006000 - [Service - Rebates - CorrAcc]</t>
  </si>
  <si>
    <t>4001700000 - [Adjustments COGS - Merchandise]</t>
  </si>
  <si>
    <t>4001200000 - [COGS - Merchandise - Landing Costs]</t>
  </si>
  <si>
    <t>4001116000 - [COGS - Merchan - Material - IC - CorAcc]</t>
  </si>
  <si>
    <t>4001100000 - [COGS - Merchandise - Material - 3P]</t>
  </si>
  <si>
    <t>4000700000 - [Adjustments COGS - Finished Goods]</t>
  </si>
  <si>
    <t>4000616000 - [COGS - Finished Goods - SubconFee-IC-Cor]</t>
  </si>
  <si>
    <t>4000610000 - [COGS - Finished Goods - Subcon Fee - IC]</t>
  </si>
  <si>
    <t>4000600000 - [COGS - Finished Goods - Subcon Fee - 3P]</t>
  </si>
  <si>
    <t>4000500000 - [COGS - Finished Goods - Mat Overhead Fix]</t>
  </si>
  <si>
    <t>4000406000 - [COGS - Finished Goods - Con Co Fix Cor]</t>
  </si>
  <si>
    <t>4000400000 - [COGS - Finished Goods - Conver Cost Fix]</t>
  </si>
  <si>
    <t>4000306000 - [COGS - Finished Goods - Con Co Var Cor]</t>
  </si>
  <si>
    <t>4000000100 - [COGS - Finished Goods - IDOC]</t>
  </si>
  <si>
    <t>3000000002 - [Sales Revenue - Goods - Account 2]</t>
  </si>
  <si>
    <t>4005000000 - [Returns - Finished Goods]</t>
  </si>
  <si>
    <t>7811210000 - [APA AmoOthA - CapCo to Fulfill LT Contr]</t>
  </si>
  <si>
    <t>7810140000 - [APA Commission income]</t>
  </si>
  <si>
    <t>7711172000 - [SPA Order processing and logistics/ SCM]</t>
  </si>
  <si>
    <t>7710120003 - [SPA Service Bonus]</t>
  </si>
  <si>
    <t>7710120002 - [SPA Service Cash Discounts]</t>
  </si>
  <si>
    <t>7710120001 - [SPA Service Rebates (on-invoice)]</t>
  </si>
  <si>
    <t>7710120000 - [SPA Services revenue]</t>
  </si>
  <si>
    <t>7620000004 - [AOM Cross-Project Capitalized Other Cost]</t>
  </si>
  <si>
    <t>7620000003 - [AOM Cross-Proj OthCapexCapzed4FixedAssts]</t>
  </si>
  <si>
    <t>7620000002 - [AOM Cross-Proj Capex Material4FixedAssts]</t>
  </si>
  <si>
    <t>7620000001 - [AOM Cross-Proj Capex EXTServcs4FixdAssts]</t>
  </si>
  <si>
    <t>7620000000 - [AOM Cross-Proj Capex INTServcs4FixdAssts]</t>
  </si>
  <si>
    <t>5445000000 - [Royalty Expenses - COGS]</t>
  </si>
  <si>
    <t>4060000000 - [COGS - Adjustment - Manual]</t>
  </si>
  <si>
    <t>4009006000 - [COGS - Adjust for Returns-Correction Acc]</t>
  </si>
  <si>
    <t>4002000000 - [COGS - Merchandise - Non-Stock]</t>
  </si>
  <si>
    <t>4001110000 - [COGS - Merchandise - Material - IC]</t>
  </si>
  <si>
    <t>4001000000 - [COGS - Merchandise]</t>
  </si>
  <si>
    <t>4000800001 - [COGS â€“ Finished goods - IC mark up]</t>
  </si>
  <si>
    <t>4000700001 - [Adjustments COGS - Prod Mat]</t>
  </si>
  <si>
    <t>4000402300 - [COGS- Finished goods - fixed indir]</t>
  </si>
  <si>
    <t>4000402200 - [COGS - Finished goods - direct dep]</t>
  </si>
  <si>
    <t>4000402100 - [COGS - Finished goods - Conv. fix]</t>
  </si>
  <si>
    <t>4000300000 - [COGS - Finished Goods - Conver Cost Var]</t>
  </si>
  <si>
    <t>4000212000 - [COGS - FG - International reimb. frght]</t>
  </si>
  <si>
    <t>4000200000 - [COGS - Finished Goods - Landing Costs]</t>
  </si>
  <si>
    <t>4000110000 - [COGS - Finished Goods - Material - IC]</t>
  </si>
  <si>
    <t>4000106000 - [COGS - Finish Goods - Mat - 3P - CorAcc]</t>
  </si>
  <si>
    <t>4000100000 - [COGS - Finished Goods - Material - 3P]</t>
  </si>
  <si>
    <t>4000000000 - [COGS - Finished Goods]</t>
  </si>
  <si>
    <t>3930000000 - [Non-Core Serv Others - Rebates]</t>
  </si>
  <si>
    <t>3921000000 - [Invoiced Restocking Fee]</t>
  </si>
  <si>
    <t>3920010000 - [Reimbursement - Freight and Duties - IC]</t>
  </si>
  <si>
    <t>3920000000 - [Reimbursement - Freight and Duties - 3P]</t>
  </si>
  <si>
    <t>3313100000 - [Revers of Impairment-FA-DebtInstrum AC]</t>
  </si>
  <si>
    <t>3305100000 - [Gains from Sale-Financial Instruments AC]</t>
  </si>
  <si>
    <t>3220000000 - [Revenue - Commissions]</t>
  </si>
  <si>
    <t>3215100000 - [Royalties Recognized over Time - 3P]</t>
  </si>
  <si>
    <t>3215000000 - [Royalties Recogn at a Point in Time - 3P]</t>
  </si>
  <si>
    <t>3213006000 - [Royalties - R&amp;D Related Global - FI]</t>
  </si>
  <si>
    <t>3212006000 - [Royalties - Marke &amp; Sell Related - FI]</t>
  </si>
  <si>
    <t>3211006000 - [Royalties  - Cost of Sales Relat - FI]</t>
  </si>
  <si>
    <t>3205100000 - [Inc f. License Agr Recogn over Time - 3P]</t>
  </si>
  <si>
    <t>3205000000 - [Inc f. Lic Agr Rec at Point in Time - 3P]</t>
  </si>
  <si>
    <t>3202006000 - [Income f. Licen Agreem - M&amp;S Rel - FI]</t>
  </si>
  <si>
    <t>3133000000 - [Hardware - Goods FOC]</t>
  </si>
  <si>
    <t>3130000000 - [Hardware - Rebates]</t>
  </si>
  <si>
    <t>3120100000 - [Serv â€“ Reb â€“ Discount Cylinder Renta]</t>
  </si>
  <si>
    <t>3120000000 - [Service - Rebates]</t>
  </si>
  <si>
    <t>3116006000 - [Merchan - Compulsory Levies - CorrAcc]</t>
  </si>
  <si>
    <t>3116000010 - [Merchan - Compulsory Levies - Account 10]</t>
  </si>
  <si>
    <t>3116000002 - [Merchan - Compulsory Levies - Account 2]</t>
  </si>
  <si>
    <t>3116000001 - [Merchan - Compulsory Levies - Account 1]</t>
  </si>
  <si>
    <t>3116000000 - [Merchan - Compulsory Levies]</t>
  </si>
  <si>
    <t>3115006000 - [Merchan - Sales Returns - CorrAcc]</t>
  </si>
  <si>
    <t>3115000001 - [Merchan - Sales Returns-Acc1]</t>
  </si>
  <si>
    <t>3115000000 - [Merchan - Sales Returns]</t>
  </si>
  <si>
    <t>3113006000 - [Merchan - Goods FOC - CorrAcc]</t>
  </si>
  <si>
    <t>3113000000 - [Merchan - Goods FOC]</t>
  </si>
  <si>
    <t>3112006000 - [Merchan - Bonus - CorrAcc]</t>
  </si>
  <si>
    <t>3112000000 - [Merchan - Bonus]</t>
  </si>
  <si>
    <t>3111006000 - [Merchan - Cash Discount - CorrAcc]</t>
  </si>
  <si>
    <t>3111000000 - [Merchan - Cash Discount]</t>
  </si>
  <si>
    <t>3110006000 - [Merchan - Rebates - CorrAcc]</t>
  </si>
  <si>
    <t>3110000000 - [Merchan - Rebates]</t>
  </si>
  <si>
    <t>3106006000 - [Goods - Compulsory Levies - CorrAcc]</t>
  </si>
  <si>
    <t>3106000010 - [Goods - Compulsory Levies - Account 10]</t>
  </si>
  <si>
    <t>3106000002 - [Goods - Compulsory Levies - Account 2]</t>
  </si>
  <si>
    <t>3106000000 - [Goods - Compulsory Levies]</t>
  </si>
  <si>
    <t>3105006000 - [Goods - Sales Returns - CorrAcc]</t>
  </si>
  <si>
    <t>3105000000 - [Goods - Sales Returns]</t>
  </si>
  <si>
    <t>3103006000 - [Goods - Goods FOC - CorrAcc]</t>
  </si>
  <si>
    <t>3103000000 - [Goods - Goods FOC]</t>
  </si>
  <si>
    <t>3102006000 - [Goods - Bonus - CorrAcc]</t>
  </si>
  <si>
    <t>3101006000 - [Goods - Cash Discount - CorrAcc]</t>
  </si>
  <si>
    <t>3101000000 - [Goods - Cash Discount]</t>
  </si>
  <si>
    <t>3100006000 - [Goods - Rebates - CorrAcc]</t>
  </si>
  <si>
    <t>3100000000 - [Goods - Rebates]</t>
  </si>
  <si>
    <t>3060000000 - [Sales Revenues - Adjustment - Manual]</t>
  </si>
  <si>
    <t>3040000000 - [Sales Revenue - Royalties]</t>
  </si>
  <si>
    <t>3031000000 - [Sales Revenue Recognition - Hardware]</t>
  </si>
  <si>
    <t>3030006000 - [Sales Revenue - Hardware - CorrAcc]</t>
  </si>
  <si>
    <t>3030000000 - [Sales Revenue - Hardware]</t>
  </si>
  <si>
    <t>3029000000 - [Sales Revenue Recognition - Services]</t>
  </si>
  <si>
    <t>3020200000 - [Sales revenue â€“ Monthly Service Charge]</t>
  </si>
  <si>
    <t>3020100000 - [Sales revenue â€“ Cylinder Rental Income]</t>
  </si>
  <si>
    <t>3020006000 - [Sales Revenue - Services - CorrAcc]</t>
  </si>
  <si>
    <t>3020000000 - [Sales Revenue - Services]</t>
  </si>
  <si>
    <t>3011000000 - [Sales Revenue Recognition - Merchandise]</t>
  </si>
  <si>
    <t>3010006000 - [Sales Revenue - Merchandise - CorrAcc]</t>
  </si>
  <si>
    <t>3010000000 - [Sales Revenue - Merchandise]</t>
  </si>
  <si>
    <t>3001000000 - [Sales Revenue Recognition - Goods]</t>
  </si>
  <si>
    <t>3000100000 - [Sales Revenue Goods - Product Surcharge]</t>
  </si>
  <si>
    <t>3000007777 - [DO NOT USE_Sales Revenue - Legacy Versum]</t>
  </si>
  <si>
    <t>3000006000 - [Sales Revenue - Goods - CorrAcc]</t>
  </si>
  <si>
    <t>3000000001 - [Sales Revenue - Goods - Customs Duties]</t>
  </si>
  <si>
    <t>3000000000 - [Sales Revenue - Goods]</t>
  </si>
  <si>
    <t>3201006000 - [Income f. Licen Agreem - COS Rel - FI]</t>
  </si>
  <si>
    <t>4006000000 - [Returns - Merchandise]</t>
  </si>
  <si>
    <t>3929000000 - [Inv Freight&amp;Duties – IFRS15 Rev Recog]</t>
  </si>
  <si>
    <t>230000 - []</t>
  </si>
  <si>
    <t>232000 - []</t>
  </si>
  <si>
    <t>7711160000 - [SPA Start-up expenses]</t>
  </si>
  <si>
    <t>7300110020 - [DAA PRO Start-up expenses]</t>
  </si>
  <si>
    <t>231000 - []</t>
  </si>
  <si>
    <t>7711150000 - [SPA Idle capacity expenses]</t>
  </si>
  <si>
    <t>7320110015 - [AOM dle capacity expenses]</t>
  </si>
  <si>
    <t>220000 - [Operations Credit]</t>
  </si>
  <si>
    <t>225000 - []</t>
  </si>
  <si>
    <t>7811122000 - [APA Service business cost variance]</t>
  </si>
  <si>
    <t>7600000050 - [DAA - External contractor expense]</t>
  </si>
  <si>
    <t>7600000049 - [DAA - External product expense]</t>
  </si>
  <si>
    <t>7600000048 - [DAA - Travel expenses external]</t>
  </si>
  <si>
    <t>7600000047 - [DAA - Travel expenses internal]</t>
  </si>
  <si>
    <t>7600000046 - [DAA - Validation documentation]</t>
  </si>
  <si>
    <t>7600000045 - [DAA - Labour hours external]</t>
  </si>
  <si>
    <t>7600000044 - [DAA - Travel hours non-standard internal]</t>
  </si>
  <si>
    <t>7600000043 - [DAA - Labour hours non-standard internal]</t>
  </si>
  <si>
    <t>7600000042 - [DAA - Labour hours standard internal]</t>
  </si>
  <si>
    <t>7600000041 - [DAA - Travel hours external]</t>
  </si>
  <si>
    <t>7600000040 - [DAA - Travel hours internal]</t>
  </si>
  <si>
    <t>7600000038 - [DAA - Fees]</t>
  </si>
  <si>
    <t>7600000037 - [DAA - Consulting]</t>
  </si>
  <si>
    <t>7600000036 - [DAA - Nonconformance]</t>
  </si>
  <si>
    <t>7600000035 - [DAA - Compliance/Regulatory]</t>
  </si>
  <si>
    <t>7600000034 - [DAA - Qualification Run]</t>
  </si>
  <si>
    <t>7600000033 - [DAA - Process Validation]</t>
  </si>
  <si>
    <t>7600000032 - [DAA - Operations]</t>
  </si>
  <si>
    <t>7600000031 - [DAA - Manufacture]</t>
  </si>
  <si>
    <t>7600000030 - [DAA - Engineering Run]</t>
  </si>
  <si>
    <t>7600000029 - [DAA - Customer Equipment]</t>
  </si>
  <si>
    <t>7600000028 - [DAA - Project Management]</t>
  </si>
  <si>
    <t>7600000027 - [DAA - Initiate Project]</t>
  </si>
  <si>
    <t>7600000026 - [DAA - Down Payment Request]</t>
  </si>
  <si>
    <t>7600000025 - [DAA - Create Quote]</t>
  </si>
  <si>
    <t>7600000024 - [DAA - Technology Transfer]</t>
  </si>
  <si>
    <t>7600000023 - [DAA - System Service/Modification]</t>
  </si>
  <si>
    <t>7600000022 - [DAA - Supplier / Material Qualification]</t>
  </si>
  <si>
    <t>7600000021 - [DAA - Risk Assessment]</t>
  </si>
  <si>
    <t>7600000020 - [DAA - Process Development]</t>
  </si>
  <si>
    <t>7600000019 - [DAA - Material Procurement]</t>
  </si>
  <si>
    <t>7600000018 - [DAA - Hazard Evaluation]</t>
  </si>
  <si>
    <t>7600000017 - [DAA - Feasibility Assessment]</t>
  </si>
  <si>
    <t>7600000016 - [DAA - Documentation]</t>
  </si>
  <si>
    <t>7600000015 - [DAA - Design]</t>
  </si>
  <si>
    <t>7600000014 - [DAA - Cell Line Services]</t>
  </si>
  <si>
    <t>7600000013 - [DAA - Testing]</t>
  </si>
  <si>
    <t>7600000012 - [DAA - Stability]</t>
  </si>
  <si>
    <t>7600000002 - [DAA - Analytical Method Qualification]</t>
  </si>
  <si>
    <t>7600000001 - [DAA - Analytical Method Development]</t>
  </si>
  <si>
    <t>224000 - []</t>
  </si>
  <si>
    <t>9009300911 - [CAPVAR LY ProcessOrderVar IC Migration]</t>
  </si>
  <si>
    <t>9009300901 - [CAPVAR ProcessOrderVariance IC Migration]</t>
  </si>
  <si>
    <t>9009300912 - [CAPVAR LY ProcessOrderVar EX Migration]</t>
  </si>
  <si>
    <t>9009300902 - [CAPVAR ProcessOrderVariance EX Migration]</t>
  </si>
  <si>
    <t>7340000017 - [SOM Other Material Settlement]</t>
  </si>
  <si>
    <t>7811113005 - [APA Production part]</t>
  </si>
  <si>
    <t>7811113003 - [APA Spending Variance - Fix]</t>
  </si>
  <si>
    <t>7811113002 - [APA Spend. Variance - Var. Personnel]</t>
  </si>
  <si>
    <t>7811113001 - [APA Spending Variance - Variable]</t>
  </si>
  <si>
    <t>7711112000 - [SPA Volume Variances]</t>
  </si>
  <si>
    <t>7320110010 - [AOM Direct Personnel Pool Production]</t>
  </si>
  <si>
    <t>7300110003 - [DAA PRO Volume Variance]</t>
  </si>
  <si>
    <t>5929000000 - [Loss f. FairValChangesContCon-OP]</t>
  </si>
  <si>
    <t>4242200000 - [Cap var - ML Variance reclasses]</t>
  </si>
  <si>
    <t>4242100000 - [Cap Var - ML PPV &amp; Process order rev]</t>
  </si>
  <si>
    <t>4100302900 - [POV Remaining - Conversion *]</t>
  </si>
  <si>
    <t>4100302800 - [POV Lot Size - Conversion *]</t>
  </si>
  <si>
    <t>4100302700 - [POV Output Price - Conversion *]</t>
  </si>
  <si>
    <t>4100302600 - [POV Mixed Price - Conversion *]</t>
  </si>
  <si>
    <t>4100302500 - [POV Scrap - Conversion *]</t>
  </si>
  <si>
    <t>4100302400 - [POV Remaining Input - Conversion *]</t>
  </si>
  <si>
    <t>4100302300 - [POV Input Quantity - Conversion *]</t>
  </si>
  <si>
    <t>4100302200 - [POV Resource Usage - Conversion *]</t>
  </si>
  <si>
    <t>4100302100 - [POV Input Price - Conversion *]</t>
  </si>
  <si>
    <t>4100300097 - [POV - Fin &amp; Unf Goods - Conv - Overhead]</t>
  </si>
  <si>
    <t>4100300000 - [POV - Finished &amp; Unf Goods - Conversion]</t>
  </si>
  <si>
    <t>4100112900 - [POV Remaining - IC *]</t>
  </si>
  <si>
    <t>4100112800 - [POV Lot Size - IC *]</t>
  </si>
  <si>
    <t>4100112700 - [POV Output Price - IC *]</t>
  </si>
  <si>
    <t>4100112600 - [POV Mixed Price - IC *]</t>
  </si>
  <si>
    <t>4100112500 - [POV Scrap - IC *]</t>
  </si>
  <si>
    <t>4100112400 - [POV Remaining Input - IC *]</t>
  </si>
  <si>
    <t>4100112300 - [POV Input Quantity - IC *]</t>
  </si>
  <si>
    <t>4100112200 - [POV Resource Usage - IC *]</t>
  </si>
  <si>
    <t>4100112100 - [POV Input Price - IC *]</t>
  </si>
  <si>
    <t>4100110000 - [POV - Finished &amp; Unf Goods - Mat - IC]</t>
  </si>
  <si>
    <t>4100102900 - [POV Remaining - 3P]</t>
  </si>
  <si>
    <t>4100102800 - [POV Lot Size - 3P]</t>
  </si>
  <si>
    <t>4100102700 - [POV Output Price - 3P]</t>
  </si>
  <si>
    <t>4100102600 - [POV Mixed Price - 3P]</t>
  </si>
  <si>
    <t>4100102500 - [POV Scrap - 3P]</t>
  </si>
  <si>
    <t>4100102400 - [POV Remaining Input - 3P]</t>
  </si>
  <si>
    <t>4100102300 - [POV Input Quantity - 3P]</t>
  </si>
  <si>
    <t>4100102200 - [POV Resource Usage - 3P]</t>
  </si>
  <si>
    <t>4100102100 - [POV Input Price - 3P]</t>
  </si>
  <si>
    <t>4100100000 - [POV - Finished &amp; Unf Goods - Mat - 3P]</t>
  </si>
  <si>
    <t>4055000000 - [COGM - By-Product - Inventory Increase]</t>
  </si>
  <si>
    <t>4054000000 - [COGM - Other - Inventory Increase]</t>
  </si>
  <si>
    <t>4053000000 - [COGM - Unfinished Goods - SubContracting]</t>
  </si>
  <si>
    <t>4052000000 - [COGM - Unfinished Goods - Inv Increase]</t>
  </si>
  <si>
    <t>4051900000 - [CO P&amp;SM - Finished Goods - Inv Increase]</t>
  </si>
  <si>
    <t>4051000000 - [COGM - Finished Goods - SubContracting]</t>
  </si>
  <si>
    <t>4050000000 - [COGM - Finished Goods - Inv Increase]</t>
  </si>
  <si>
    <t>7811113009 - [APA CCV CAPVAR Migration History]</t>
  </si>
  <si>
    <t>7811113010 - [APA LY CCV CAPVARMigrationHistory]</t>
  </si>
  <si>
    <t>223300 - []</t>
  </si>
  <si>
    <t>7300110022 - [DAA PRO - Returnable Items (AU)]</t>
  </si>
  <si>
    <t>7300110018 - [PRO - Sole (kwh)]</t>
  </si>
  <si>
    <t>7300110017 - [PRO - water cooling (M3)]</t>
  </si>
  <si>
    <t>7300110016 - [DAA PRO - Other Environmental]</t>
  </si>
  <si>
    <t>7300110014 - [DAA PRO - Waste Solid Treatment]</t>
  </si>
  <si>
    <t>7300110013 - [DAA PRO - Waste Water Treatment]</t>
  </si>
  <si>
    <t>7300110012 - [DAA PRO - Other Utilities]</t>
  </si>
  <si>
    <t>7300110011 - [DAA PRO - Other Energies]</t>
  </si>
  <si>
    <t>7300110010 - [DAA PRO - Water]</t>
  </si>
  <si>
    <t>7300110009 - [DAA PRO - Compressed Air]</t>
  </si>
  <si>
    <t>7300110008 - [DAA PRO - Steam]</t>
  </si>
  <si>
    <t>7300110007 - [DAA PRO - Natural Gas]</t>
  </si>
  <si>
    <t>7300110006 - [DAA PRO - Electricity]</t>
  </si>
  <si>
    <t>223200 - []</t>
  </si>
  <si>
    <t>7300110041 - [DAA PRO DM Engineering Labor Activity]</t>
  </si>
  <si>
    <t>7300110040 - [DAA PRO DM Staff Labor Activity]</t>
  </si>
  <si>
    <t>7300110039 - [DAA PRO DM ShopLaborActivity]</t>
  </si>
  <si>
    <t>7300110038 - [DAA PRO Cylinder ContainerPrepSettlement]</t>
  </si>
  <si>
    <t>7300110037 - [DAA PRO Bulk Container Prep Settlement]</t>
  </si>
  <si>
    <t>7300110033 - [DAA PRO StainlessSteelContainerPrepSettl]</t>
  </si>
  <si>
    <t>7300110032 - [DAA PRO Quartz Container Prep Settlement]</t>
  </si>
  <si>
    <t>7300110005 - [DAA PRO Quality Control (Monitor.) Unit]</t>
  </si>
  <si>
    <t>7300110004 - [DAA PRO Quality Control (Monitor.) Hour]</t>
  </si>
  <si>
    <t>7300110001 - [DAA PRO - Direct Labour]</t>
  </si>
  <si>
    <t>223100 - []</t>
  </si>
  <si>
    <t>7300110036 - [DAA PRO FixedProcessingCostIndirectSettl]</t>
  </si>
  <si>
    <t>7300110035 - [DAA PRO Fixed ProcessingCostDepreciation]</t>
  </si>
  <si>
    <t>7300110034 - [DAA PRO FixedProcessingCostActivitySettl]</t>
  </si>
  <si>
    <t>7300110002 - [DAA PRO - Operating Hours Equipment]</t>
  </si>
  <si>
    <t>222000 - [Material Overhead Variances]</t>
  </si>
  <si>
    <t>7811113004 - [APA Variance Material Overh. Surcharge]</t>
  </si>
  <si>
    <t>7340000016 - [SOM ReMfg Settlement]</t>
  </si>
  <si>
    <t>7711110000 - [SPA MPV Variances]</t>
  </si>
  <si>
    <t>7330170005 - [OSU Resale Business Components]</t>
  </si>
  <si>
    <t>221000 - [Material Overhead Surcharges]</t>
  </si>
  <si>
    <t>7330170002 - [OSU Subcontracting Overhead Surcharge]</t>
  </si>
  <si>
    <t>7330170011 - [OSU Intercompany Freight-Rebilled Additi]</t>
  </si>
  <si>
    <t>7330170010 - [OSU Inbound Freight Additive Cost Settle]</t>
  </si>
  <si>
    <t>7330170008 - [OSU Mfg Admin Purch OverheadCostingSheet]</t>
  </si>
  <si>
    <t>7330170004 - [OSU RM Material Overhead  Surcharge]</t>
  </si>
  <si>
    <t>7330170003 - [OSU PM Packag. Material Overh. Surcharge]</t>
  </si>
  <si>
    <t>7330170001 - [OSU IC Outbound Freight Group Costing]</t>
  </si>
  <si>
    <t>7330170006 - [OSU Analytical Surcharge]</t>
  </si>
  <si>
    <t>210000 - [Miscellaneous]</t>
  </si>
  <si>
    <t>210500 - [IC Remain. Oth. Inc/Exp. and Mark up]</t>
  </si>
  <si>
    <t>3952110000 - [Rem Oth Inc IC - L&amp;C Services]</t>
  </si>
  <si>
    <t>3954116000 - [Rem Oth Inc IC - M&amp;S - Manual - CorrAcc]</t>
  </si>
  <si>
    <t>3951610000 - [Rem Oth Inc IC - HR Services]</t>
  </si>
  <si>
    <t>3970010000 - [Markup Income IC]</t>
  </si>
  <si>
    <t>3951410000 - [Rem Oth Inc IC - E&amp;Q Services]</t>
  </si>
  <si>
    <t>3951310000 - [Rem Oth Inc IC - Controlling Services]</t>
  </si>
  <si>
    <t>3951010000 - [Rem Oth Inc IC - Accounting Services]</t>
  </si>
  <si>
    <t>5392000000 - [Consumption of technical material - S2S]</t>
  </si>
  <si>
    <t>3953310000 - [Rem Oth Inc IC - R&amp;D - Local]</t>
  </si>
  <si>
    <t>3952710000 - [Rem Oth Inc IC - Communication Services]</t>
  </si>
  <si>
    <t>3952610000 - [Rem Oth Inc IC - Procurem Services]</t>
  </si>
  <si>
    <t>3952310000 - [Rem Oth Inc IC - MD Activities]</t>
  </si>
  <si>
    <t>3954610000 - [Rem Oth Inc IC - Internal Sales Service]</t>
  </si>
  <si>
    <t>3955010000 - [Rem Oth Inc IC - Site Services]</t>
  </si>
  <si>
    <t>3952810000 - [Rem Oth Inc IC - Tax Services]</t>
  </si>
  <si>
    <t>3952510000 - [Rem Oth Inc IC - P&amp;S IS]</t>
  </si>
  <si>
    <t>3951810000 - [Rem Oth Inc IC - Other Marketing&amp;Selling]</t>
  </si>
  <si>
    <t>3951710000 - [Rem Oth Inc IC - Insurance Services]</t>
  </si>
  <si>
    <t>3951510000 - [Rem Oth Inc IC - Group Treasury]</t>
  </si>
  <si>
    <t>3050000001 - [Sales Revenue - Licenses - Manual]</t>
  </si>
  <si>
    <t>7824220000 - [APA Special Reimb Expenses IC]</t>
  </si>
  <si>
    <t>7824180000 - [APA Mark-up expense IC]</t>
  </si>
  <si>
    <t>5970016000 - [Markup Expenses IC - Manual]</t>
  </si>
  <si>
    <t>5970010000 - [Markup Expenses IC]</t>
  </si>
  <si>
    <t>5960111000 - [IC Exp - Rem Other Exp - ICON Offset]</t>
  </si>
  <si>
    <t>5960110000 - [IC Expenses - Remaining Other Expenses]</t>
  </si>
  <si>
    <t>5940010000 - [Exp from FX Diff - Realized - IC]</t>
  </si>
  <si>
    <t>5763910000 - [IC Exp - Divisional - Other Services]</t>
  </si>
  <si>
    <t>3970016000 - [Markup Income IC - Manual]</t>
  </si>
  <si>
    <t>3954710000 - [Rem Oth Inc IC - Sales Promotion]</t>
  </si>
  <si>
    <t>3954510000 - [Rem Oth Inc IC - Other Miscellaneous]</t>
  </si>
  <si>
    <t>3954010000 - [Rem Oth Inc IC - Other Administration]</t>
  </si>
  <si>
    <t>3953610000 - [Rem Oth Inc IC - R&amp;D - Global]</t>
  </si>
  <si>
    <t>3951910000 - [Rem Oth Inc IC - IT Services]</t>
  </si>
  <si>
    <t>3950110000 - [Rem Oth Inc IC]</t>
  </si>
  <si>
    <t>7724177001 - [SPA ICON Sundry Rem.Oth.Exp.]</t>
  </si>
  <si>
    <t>210400 - [Fixed assets Gains/Losses]</t>
  </si>
  <si>
    <t>5921400010 - [Losses on Retire w/o Reven - TA- PPA]</t>
  </si>
  <si>
    <t>8530000000 - [Loss from Financial Instruments]</t>
  </si>
  <si>
    <t>8230000000 - [Gain from Financial Instruments]</t>
  </si>
  <si>
    <t>7824131200 - [APA Cap. loss. f. sale of tang. assets]</t>
  </si>
  <si>
    <t>7824131100 - [APA Cap. loss. f. sale of intang. assets]</t>
  </si>
  <si>
    <t>7823301100 - [APA Cap. gains f. sale of intang. assets]</t>
  </si>
  <si>
    <t>5967600000 - [Oth Exp - FV Changes of Emb Derivatives]</t>
  </si>
  <si>
    <t>5928400000 - [Loss on Retire w/o Reven - LeasOutAssets]</t>
  </si>
  <si>
    <t>5927400010 - [Loss on Retire w/oRev - Leased Assts PPA]</t>
  </si>
  <si>
    <t>5927400000 - [Loss on Retire w/o Reven - Leased Assets]</t>
  </si>
  <si>
    <t>5926400000 - [Loss on Retire w/o Reven - Asset HFS]</t>
  </si>
  <si>
    <t>5926000000 - [Losses from Disposal - Assets HFS]</t>
  </si>
  <si>
    <t>5925000000 - [Losses from Sale/Disposal of Fin Instr]</t>
  </si>
  <si>
    <t>5924000000 - [Loss from PPAdj of Business Combination]</t>
  </si>
  <si>
    <t>5923000000 - [Loss Dissol Cont Consid/PPAdj/Barg Purch]</t>
  </si>
  <si>
    <t>5921400001 - [Losses on Retire w/o Reven - Tang A-Acc1]</t>
  </si>
  <si>
    <t>5921400000 - [Losses on Retire w/o Reven - Tang Assets]</t>
  </si>
  <si>
    <t>5921000001 - [Losses from Disposal - Tang Assets-Acc1]</t>
  </si>
  <si>
    <t>5921000000 - [Losses from Disposal - Tangible Assets]</t>
  </si>
  <si>
    <t>5920400010 - [Loss on Ret w/oRev - Intang Assets PPA]</t>
  </si>
  <si>
    <t>5920400001 - [Loss on Retire w/o Reven-IntangAsset-Ac1]</t>
  </si>
  <si>
    <t>5920400000 - [Loss on Retire w/o Reven - Intang Assets]</t>
  </si>
  <si>
    <t>5920000001 - [Losses f. Disposal - Intang Assets-Acc1]</t>
  </si>
  <si>
    <t>5920000000 - [Losses from Disposal - Intangible Assets]</t>
  </si>
  <si>
    <t>3301000000 - [Gains from Disposal - Tangible Assets]</t>
  </si>
  <si>
    <t>3300018000 - [Asset Disposal - IC - Clearing Account]</t>
  </si>
  <si>
    <t>3300008000 - [Asset Disposal - 3P - Clearing Account]</t>
  </si>
  <si>
    <t>3300016000 - [Gains fr Dispos-Int Assets-IC-IFRS Corr]</t>
  </si>
  <si>
    <t>3300000001 - [Gains f. Disposal - Intang Assets-Acc1]</t>
  </si>
  <si>
    <t>3300000000 - [Gains from Disposal - Intangible Assets]</t>
  </si>
  <si>
    <t>210300 - [Other operating Income/Expense]</t>
  </si>
  <si>
    <t>7620301103 - [AOM_Maint. Other Costs]</t>
  </si>
  <si>
    <t>7340000005 - [SOM PM others]</t>
  </si>
  <si>
    <t>7340000018 - [SOM Other Operating Expense Settlement]</t>
  </si>
  <si>
    <t>8800000001 - [Profit and Loss (Technical Account)-Acc1]</t>
  </si>
  <si>
    <t>8799970000 - [Acc park items out of early scan]</t>
  </si>
  <si>
    <t>7620000009 - [AOM Verr.Fremdl. RST]</t>
  </si>
  <si>
    <t>7600304232 - [DAA_IC Exp - SMS - Contractor Mgt O]</t>
  </si>
  <si>
    <t>7600304157 - [DAA Catering Services]</t>
  </si>
  <si>
    <t>7220000020 - [AOM Special Projects]</t>
  </si>
  <si>
    <t>7100000013 - [DAA_BPDO-Projects]</t>
  </si>
  <si>
    <t>7100000012 - [DAA_BPDO Corporate]</t>
  </si>
  <si>
    <t>5966000000 - [Loss from Termin Lessor OL]</t>
  </si>
  <si>
    <t>5965000000 - [Loss from Termin Lessor FL]</t>
  </si>
  <si>
    <t>5964000000 - [Loss from Hyperinflation]</t>
  </si>
  <si>
    <t>5963000000 - [Expenses from Transfer Price Adjustments]</t>
  </si>
  <si>
    <t>5961800000 - [Oth Miscell Exp - Special Charges]</t>
  </si>
  <si>
    <t>5961200000 - [Oth Miscell Exp - Exp f. Supervis Board]</t>
  </si>
  <si>
    <t>5961000000 - [Oth Miscell Exp - Min Diff f. Postings]</t>
  </si>
  <si>
    <t>5960500000 - [Special items integration]</t>
  </si>
  <si>
    <t>5960400001 - [Oth Misc Exp - Special Cost - Recharge]</t>
  </si>
  <si>
    <t>5960400000 - [Oth Miscell Exp - Exceptional Costs]</t>
  </si>
  <si>
    <t>5960200000 - [Oth Miscell Exp - Prov f. Uncoll Receiv]</t>
  </si>
  <si>
    <t>5960100000 - [Oth Miscell Exp - Remaining Oth Expenses]</t>
  </si>
  <si>
    <t>5960000000 - [Oth Miscell Exp - Loss f. Uncoll Receiv]</t>
  </si>
  <si>
    <t>4420000000 - [Oth Op Exp - Retained Cash Discounts]</t>
  </si>
  <si>
    <t>3959000001 - [Other Income - Other Exceptional Income]</t>
  </si>
  <si>
    <t>3959000000 - [Oth Inc - Other Operating Income]</t>
  </si>
  <si>
    <t>3958800000 - [OthInc-Gains CashDisc-Underpay to Suppl]</t>
  </si>
  <si>
    <t>3957600000 - [Oth Inc - Fair Value Changes of Emb Der]</t>
  </si>
  <si>
    <t>3957500000 - [Oth Inc - Gain from Hyperinflation]</t>
  </si>
  <si>
    <t>3957230000 - [Oth Inc - Min Diff f. Postings (SD)]</t>
  </si>
  <si>
    <t>3957200000 - [Oth Inc - Min Diff f. Postings]</t>
  </si>
  <si>
    <t>3956300001 - [Oth Inc-ReverofLitigationProvision-Acc1]</t>
  </si>
  <si>
    <t>3956300000 - [Oth Inc - Rever of Litigation Provision]</t>
  </si>
  <si>
    <t>3956200000 - [Oth Inc - Rever of Written-off Receiv]</t>
  </si>
  <si>
    <t>3956100000 - [Oth Inc - Rever of Prov f. Uncoll Receiv]</t>
  </si>
  <si>
    <t>3956000000 - [Oth Inc - Rever Prov &amp; Accr Liabilities]</t>
  </si>
  <si>
    <t>3955600000 - [Oth Inc - ReFund of Emp Priv Use - TAcc]</t>
  </si>
  <si>
    <t>3955500003 - [Oth Inc - Rent paid by the employee]</t>
  </si>
  <si>
    <t>3955500002 - [Oth Inc - ReFund of EmployeePrivUse-Ac2]</t>
  </si>
  <si>
    <t>3955500001 - [Oth Inc - ReFund of EmployeePrivUse-Ac1]</t>
  </si>
  <si>
    <t>3955000001 - [Oth Inc - Canteen and Employee Sales-Ac1]</t>
  </si>
  <si>
    <t>3955000000 - [Oth Inc - Canteen and Employee Sales]</t>
  </si>
  <si>
    <t>3954502000 - [Rem Oth Inc 3P - Sundry]</t>
  </si>
  <si>
    <t>3954500010 - [Rem Oth Inc 3P - Sundry]</t>
  </si>
  <si>
    <t>3954500000 - [Rem Oth Inc 3P - Sundry]</t>
  </si>
  <si>
    <t>3953710001 - [Income from Non-Core Activities-IC-Acc1]</t>
  </si>
  <si>
    <t>3953700001 - [Income from Non-Core Activities-3P- Acc1]</t>
  </si>
  <si>
    <t>3953700000 - [Income from Non-Core Activities - 3P]</t>
  </si>
  <si>
    <t>3930006000 - [Non-Core Serv Others - Rebates - CorrAcc]</t>
  </si>
  <si>
    <t>3910000000 - [Rental Income from Investment Property]</t>
  </si>
  <si>
    <t>3953700002 - [Income Non-Core Act-3P-Electricity Sales]</t>
  </si>
  <si>
    <t>5961500000 - [Oth Miscell Exp - Min Diff f. Postings]</t>
  </si>
  <si>
    <t>3954500001 - [Tax Discount Income]</t>
  </si>
  <si>
    <t>210200 - [Operative FX, Tax, Interest inc/exp]</t>
  </si>
  <si>
    <t>210202 - [Operating taxes]</t>
  </si>
  <si>
    <t>5950000001 - [Operating Taxes - Account 1]</t>
  </si>
  <si>
    <t>5950000003 - [Operating taxes - Account 3]</t>
  </si>
  <si>
    <t>8600000001 - [Current Tax - Local Bus Tax]</t>
  </si>
  <si>
    <t>5953000000 - [Operating Taxes - Trade Capital Tax]</t>
  </si>
  <si>
    <t>5952000000 - [Operating Taxes - Real Estate Tax]</t>
  </si>
  <si>
    <t>5950200000 - [Operating Taxes - Non-Deductible]</t>
  </si>
  <si>
    <t>5950000300 - [Operating Taxes - Account 300]</t>
  </si>
  <si>
    <t>5950000200 - [Operating Taxes - Account 200]</t>
  </si>
  <si>
    <t>5950000100 - [Operating Taxes - Account 100]</t>
  </si>
  <si>
    <t>5950000008 - [Operating Taxes - Business tax OIE]</t>
  </si>
  <si>
    <t>5950000006 - [OperateTax - Rehabilitation Contribution]</t>
  </si>
  <si>
    <t>5950000007 - [OpTax - Urban Construction Tax - China]</t>
  </si>
  <si>
    <t>5950000014 - [Operating Tax - Local Tax for Tenders]</t>
  </si>
  <si>
    <t>5950000013 - [Operating Tax - Local Energy Prod Tax]</t>
  </si>
  <si>
    <t>5950000012 - [Operating Tax - Local Document Stamp Tax]</t>
  </si>
  <si>
    <t>5950000011 - [Operating Tax - Local Waste Tax]</t>
  </si>
  <si>
    <t>5950000015 - [Operating Tax - Local Book Stamp Tax]</t>
  </si>
  <si>
    <t>5950000005 - [Operating Taxes - Innovation Tax]</t>
  </si>
  <si>
    <t>5950000002 - [Operating taxes - Account 2]</t>
  </si>
  <si>
    <t>5950000000 - [Operating Taxes - Deductible]</t>
  </si>
  <si>
    <t>5701400000 - [L&amp;P Fees - Monetary Taxes]</t>
  </si>
  <si>
    <t>5221000000 - [Real Estate - Municip Co f. Real Estates]</t>
  </si>
  <si>
    <t>3957300000 - [Oth Inc - Recovery of Taxes/VAT]</t>
  </si>
  <si>
    <t>210201 - [Operative FX expenses, interest inc/exp]</t>
  </si>
  <si>
    <t>5925100000 - [Losses f Sale/Disp of FinInstr-DebInstAC]</t>
  </si>
  <si>
    <t>8411000000 - [Interest ExpensesTax Liabilities Accr]</t>
  </si>
  <si>
    <t>8410000000 - [Interest Expenses Accrued]</t>
  </si>
  <si>
    <t>8401000000 - [Interest ExpensesTax Liabilities Paid]</t>
  </si>
  <si>
    <t>8400010000 - [Interest Expenses Paid - IC]</t>
  </si>
  <si>
    <t>8400000000 - [Interest Expenses Paid]</t>
  </si>
  <si>
    <t>8111000000 - [Interest Income Tax Receivables Accr]</t>
  </si>
  <si>
    <t>8110100000 - [Interest Income-Financial Investments-3P]</t>
  </si>
  <si>
    <t>8110000000 - [Interest Income Accrued]</t>
  </si>
  <si>
    <t>8101000000 - [Interest Income Tax Receivables Rec]</t>
  </si>
  <si>
    <t>8100010000 - [Interest Income Paid - IC]</t>
  </si>
  <si>
    <t>8100000001 - [Interest Income Paid - Account 1]</t>
  </si>
  <si>
    <t>8100000000 - [Interest Income Paid]</t>
  </si>
  <si>
    <t>5943200000 - [Exp FX Val-Operative Hedging-Unrealized]</t>
  </si>
  <si>
    <t>5943000000 - [Exp FX Diff-Operative Hedging-Realized]</t>
  </si>
  <si>
    <t>5942200000 - [Exp from FX Val - Provisions- Unrealized]</t>
  </si>
  <si>
    <t>5942000000 - [Exp from FX Diff - Provisions - Realized]</t>
  </si>
  <si>
    <t>5940200000 - [Exp from FX Val - Unrealized]</t>
  </si>
  <si>
    <t>5940000000 - [Exp from FX Diff - Realized]</t>
  </si>
  <si>
    <t>3943200000 - [Inc fr FX Val - Operativ Hedging- Unreal]</t>
  </si>
  <si>
    <t>3942200000 - [Inc fr FX Val - Provisions - Unrealized]</t>
  </si>
  <si>
    <t>3942000000 - [Inc fr FX Diff - Provisions - Realized]</t>
  </si>
  <si>
    <t>3940200000 - [Income from FX Valuation - Unrealized]</t>
  </si>
  <si>
    <t>3940000000 - [Income from FX Differences - Realized]</t>
  </si>
  <si>
    <t>8400000003 - [Interest Expenses - MM Funds]</t>
  </si>
  <si>
    <t>8100000003 - [Interest Income - MM Funds]</t>
  </si>
  <si>
    <t>8402000000 - [Other Interest Expenses Paid]</t>
  </si>
  <si>
    <t>210100 - [Office supplies, Postage &amp; Admin. Exp]</t>
  </si>
  <si>
    <t>7620301110 - [AOM_Tech Proj Reimbursem.]</t>
  </si>
  <si>
    <t>7620301108 - [AOM_Tech Proj Other Costs]</t>
  </si>
  <si>
    <t>7620301107 - [AOM_Tech Proj. Capex]</t>
  </si>
  <si>
    <t>7620301106 - [AOM_Tech Proj. Material]</t>
  </si>
  <si>
    <t>7620301105 - [AOM_Tech Proj. internal]</t>
  </si>
  <si>
    <t>7620301104 - [AOM_Tech Proj. external]</t>
  </si>
  <si>
    <t>7600309010 - [DAA_Dummy]</t>
  </si>
  <si>
    <t>7600304258 - [DAA_Fuel External]</t>
  </si>
  <si>
    <t>7600304250 - [DAA_Wash. Kitchenw.]</t>
  </si>
  <si>
    <t>7600304227 - [DAA_Event Service]</t>
  </si>
  <si>
    <t>7600304226 - [DAA_Cleaning Kitchen]</t>
  </si>
  <si>
    <t>7600304224 - [DAA_Wash. Lab Equip.]</t>
  </si>
  <si>
    <t>7600304223 - [DAA_Estate Serv.]</t>
  </si>
  <si>
    <t>7600304220 - [DAA_Gen.Lab.Services]</t>
  </si>
  <si>
    <t>7600304218 - [DAA_Verkehrsflächen Mgt]</t>
  </si>
  <si>
    <t>7600304190 - [DAA_ZPR]</t>
  </si>
  <si>
    <t>7600304184 - [DAA_Strat.Con.Inv.]</t>
  </si>
  <si>
    <t>7600304183 - [DAA_SM_Service_Oth]</t>
  </si>
  <si>
    <t>7600304172 - [DAA Access Service]</t>
  </si>
  <si>
    <t>7600304165 - [DAA Safety Services]</t>
  </si>
  <si>
    <t>7600304161 - [DAA HQ Campus]</t>
  </si>
  <si>
    <t>7600304154 - [DAA Letter Processing]</t>
  </si>
  <si>
    <t>7600304146 - [DAA Preventive Health Services]</t>
  </si>
  <si>
    <t>7600304145 - [DAA Health Counselling]</t>
  </si>
  <si>
    <t>7600304141 - [DAA Support Health Projects]</t>
  </si>
  <si>
    <t>7600304128 - [DAA Ambulance]</t>
  </si>
  <si>
    <t>7600304127 - [DAA Enviro.Analyt.Ground]</t>
  </si>
  <si>
    <t>7600304123 - [DAA Supervision &amp; control work safety]</t>
  </si>
  <si>
    <t>7600304105 - [DAA Site Development]</t>
  </si>
  <si>
    <t>7600304101 - [DAA Commercial renting]</t>
  </si>
  <si>
    <t>7600304100 - [DAA Apartment rental]</t>
  </si>
  <si>
    <t>7600304096 - [DAA Add. Property services]</t>
  </si>
  <si>
    <t>7600304091 - [DAA Site Affairs]</t>
  </si>
  <si>
    <t>7600304079 - [DAA Supervision &amp; control work safety]</t>
  </si>
  <si>
    <t>7600304076 - [DAA Site waste services]</t>
  </si>
  <si>
    <t>7600304075 - [DAA Site waste services]</t>
  </si>
  <si>
    <t>7600304042 - [DAA Consulting Energy Mgt &amp; Efficiency]</t>
  </si>
  <si>
    <t>7600304026 - [DAA Idea management system]</t>
  </si>
  <si>
    <t>7600304018 - [DAA Packaging Mat. Handling]</t>
  </si>
  <si>
    <t>7600304017 - [DAA Mgmt of packaging mat.]</t>
  </si>
  <si>
    <t>7600304011 - [DAA Service Charging &amp; Catalog]</t>
  </si>
  <si>
    <t>7600304009 - [DAA Vehicles Support]</t>
  </si>
  <si>
    <t>7600304007 - [DAA_Container &amp; Packaging Mgmt]</t>
  </si>
  <si>
    <t>7600304006 - [DAA Communication Services]</t>
  </si>
  <si>
    <t>7600304001 - [DAA Document logistics]</t>
  </si>
  <si>
    <t>7600301085 - [DAA Plotting centre]</t>
  </si>
  <si>
    <t>7600301063 - [DAA Maint./inspect. Concept]</t>
  </si>
  <si>
    <t>7600301054 - [DAA Technical Project Exec.]</t>
  </si>
  <si>
    <t>7600301050 - [DAA Tech. project control]</t>
  </si>
  <si>
    <t>7600301039 - [DAA Detail Engin.Techn.Proj.]</t>
  </si>
  <si>
    <t>7600301036 - [DAA Inspect. safety sys.]</t>
  </si>
  <si>
    <t>7600301025 - [DAA Manufact. Vessel/equip.]</t>
  </si>
  <si>
    <t>7600301020 - [DAA Specialized assembly]</t>
  </si>
  <si>
    <t>7600301014 - [DAA Corrective maintenance]</t>
  </si>
  <si>
    <t>7600301003 - [DAA Engin./Techn. Consult.]</t>
  </si>
  <si>
    <t>7600301002 - [DAA CAD]</t>
  </si>
  <si>
    <t>7600301001 - [DAA Improvement of plant equipment]</t>
  </si>
  <si>
    <t>7320160001 - [AOM CCV Alloc. T-Function non production]</t>
  </si>
  <si>
    <t>7320140004 - [AOM Other CO Costs]</t>
  </si>
  <si>
    <t>7240000010 - [SOM Admin Settlement]</t>
  </si>
  <si>
    <t>7020000008 - [AOM Cost transfer Other Cost]</t>
  </si>
  <si>
    <t>5912000000 - [Other Consumables - Office Material]</t>
  </si>
  <si>
    <t>5909000008 - [Human resources (TBO)]</t>
  </si>
  <si>
    <t>5909000006 - [Legal (TBO)]</t>
  </si>
  <si>
    <t>5909000005 - [Human Resources (TBO)]</t>
  </si>
  <si>
    <t>5909000004 - [MBS Finance (TBO)]</t>
  </si>
  <si>
    <t>5909000003 - [Finance (TBO)]</t>
  </si>
  <si>
    <t>5909000002 - [General and Admin Procurement (TBO)]</t>
  </si>
  <si>
    <t>5909000001 - [General and Admin Exp IT]</t>
  </si>
  <si>
    <t>5909000000 - [Oth miscellaneous Exp - Oth Admin Exp]</t>
  </si>
  <si>
    <t>5900000000 - [Oth Admin Exp - Postage]</t>
  </si>
  <si>
    <t>5410110000 - [IC Exp - SMS - Printed Products]</t>
  </si>
  <si>
    <t>5334010000 - [IC Exp - SMS - PackagMaterialHandl&amp;Mgmnt]</t>
  </si>
  <si>
    <t>7620000029 - [AOM CC over-underabs]</t>
  </si>
  <si>
    <t>200000 - [Travel &amp; Entertainment]</t>
  </si>
  <si>
    <t>200200 - [Entertainment Expenses]</t>
  </si>
  <si>
    <t>5820010000 - [IC Exp - SMS - Restaurant&amp;ConferenceServ]</t>
  </si>
  <si>
    <t>7600304155 - [DAA Conference Center]</t>
  </si>
  <si>
    <t>7600304116 - [DAA Project Mgmt_Construct.]</t>
  </si>
  <si>
    <t>7600304016 - [DAA Restaurant &amp; Conference Services]</t>
  </si>
  <si>
    <t>7020000007 - [AOM Cost transfer Travelling &amp; Entertaim]</t>
  </si>
  <si>
    <t>5812000000 - [Entertainment Exp - Representation Exp]</t>
  </si>
  <si>
    <t>5810000010 - [Entertainment Expenses OLL - Account 1]</t>
  </si>
  <si>
    <t>5810000004 - [Entertainment Exp - 70% Deductible]</t>
  </si>
  <si>
    <t>5810000002 - [Entertainment Expenses ULL - Account 1]</t>
  </si>
  <si>
    <t>5810000001 - [Entertainment Expenses OLL]</t>
  </si>
  <si>
    <t>5810000000 - [Entertainment Expenses ULL]</t>
  </si>
  <si>
    <t>200100 - [Travel Costs]</t>
  </si>
  <si>
    <t>7820120006 - [APA Field force - T&amp;E]</t>
  </si>
  <si>
    <t>5809000000 - [Travel Exp - Other Travel Expenses]</t>
  </si>
  <si>
    <t>5806000000 - [Travel Exp - Other Fares]</t>
  </si>
  <si>
    <t>5805000000 - [Travel Exp - Rental Cars]</t>
  </si>
  <si>
    <t>5804000000 - [Travel Exp - Public Transportation]</t>
  </si>
  <si>
    <t>5803000001 - [Travel Exp - Flight 1]</t>
  </si>
  <si>
    <t>5803000000 - [Travel Exp - Flight]</t>
  </si>
  <si>
    <t>5802000001 - [Travel Exp - Hotel Accomodation Exp 1]</t>
  </si>
  <si>
    <t>5802000000 - [Travel Exp - Hotel and Accomodation Exp]</t>
  </si>
  <si>
    <t>5801000000 - [Travel Exp - Meal Allowance]</t>
  </si>
  <si>
    <t>190000 - [Consulting Services &amp; Fees]</t>
  </si>
  <si>
    <t>190300 - [Other IC Services non MGF (OX,RS)]</t>
  </si>
  <si>
    <t>190200 - [Management Consulting]</t>
  </si>
  <si>
    <t>190202 - [Internal Consulting costs IC (CS)]</t>
  </si>
  <si>
    <t>5981210000 - [Reimbursement IC - Consulting - Non-IT]</t>
  </si>
  <si>
    <t>7560000002 - [AOM IC Consulting Services]</t>
  </si>
  <si>
    <t>7200000001 - [DAA Consulting Inhouse]</t>
  </si>
  <si>
    <t>7100000004 - [DAA CONSULT INH.]</t>
  </si>
  <si>
    <t>5712410000 - [IC Expenses - Consult Serv - Non-IT]</t>
  </si>
  <si>
    <t>190201 - [Strategy,Innovation,Bus.Devel.consulting]</t>
  </si>
  <si>
    <t>5710000000 - [Consultancy Expenses]</t>
  </si>
  <si>
    <t>190100 - [Legal,Bank &amp; Professional fees]</t>
  </si>
  <si>
    <t>190105 - [Other charges and fees]</t>
  </si>
  <si>
    <t>190135 - [Penalties/Fines for tax and social ctrb.]</t>
  </si>
  <si>
    <t>5701600001 - [L&amp;P Fees - Commercial Penalties]</t>
  </si>
  <si>
    <t>5701600000 - [L&amp;P Fees - Pen &amp; Fines for Tax &amp; SocChr]</t>
  </si>
  <si>
    <t>5701500000 - [L&amp;P Fees - Penal &amp; Fine for Inc-Tax Only]</t>
  </si>
  <si>
    <t>190125 - [Membership &amp; Subscription fees]</t>
  </si>
  <si>
    <t>5914000000 - [Other Consumables - Publications]</t>
  </si>
  <si>
    <t>5913000000 - [Other Consumables - Literature]</t>
  </si>
  <si>
    <t>5700800000 - [L&amp;P Fees - Membership Fees]</t>
  </si>
  <si>
    <t>190115 - [Premiums Insurance Fees]</t>
  </si>
  <si>
    <t>5901900000 - [Oth Insur Exp - Other Insurances]</t>
  </si>
  <si>
    <t>5901400000 - [Oth Insur Exp - Machinery Insurance]</t>
  </si>
  <si>
    <t>5901200000 - [Oth Insur Exp - Product liability Insur]</t>
  </si>
  <si>
    <t>5901000000 - [Oth Insur Exp - Business Interrup Insur]</t>
  </si>
  <si>
    <t>5483000000 - [Transport Insurance]</t>
  </si>
  <si>
    <t>5201010000 - [Vehicle - Insurance]</t>
  </si>
  <si>
    <t>3957000000 - [Oth Inc - Insur ReFunds f. Claim Settlem]</t>
  </si>
  <si>
    <t>5901900001 - [Oth Insur Exp - Other Insurances 1]</t>
  </si>
  <si>
    <t>190104 - [Profession.Fees(collect,translat,milest)]</t>
  </si>
  <si>
    <t>5712000000 - [Accounting Services and Fin Consulting]</t>
  </si>
  <si>
    <t>7340000020 - [SOM Outside Services Settlement]</t>
  </si>
  <si>
    <t>5709000000 - [L&amp;P Fees - Other Charges and Fees]</t>
  </si>
  <si>
    <t>5702200000 - [L&amp;P Fees - Other External Services]</t>
  </si>
  <si>
    <t>5702000000 - [L&amp;P Fees - Translation Services]</t>
  </si>
  <si>
    <t>5700600000 - [L&amp;P Fees - Milestone Payments]</t>
  </si>
  <si>
    <t>190103 - [Legal &amp; Court expenses]</t>
  </si>
  <si>
    <t>5700040000 - [L&amp;P Fees - M&amp;A Legal Advice]</t>
  </si>
  <si>
    <t>5711000000 - [Legal Consulting]</t>
  </si>
  <si>
    <t>5701800000 - [L&amp;P Fees - Outsourced Services]</t>
  </si>
  <si>
    <t>5700300000 - [L&amp;P Fees - External Legal Fees]</t>
  </si>
  <si>
    <t>5700200000 - [L&amp;P Fees - External Legal Fees]</t>
  </si>
  <si>
    <t>5700050000 - [L&amp;P Fees - Patent Litigation]</t>
  </si>
  <si>
    <t>5700030000 - [L&amp;P Fees - Project Legal Advice]</t>
  </si>
  <si>
    <t>5700020000 - [L&amp;P Fees - Day 2 Day Legal Advice]</t>
  </si>
  <si>
    <t>5700010000 - [L&amp;P Fees - Litigation Advice]</t>
  </si>
  <si>
    <t>5700000000 - [L&amp;P Fees - Court Expenses]</t>
  </si>
  <si>
    <t>5530000000 - [R&amp;D - Patent Expenses External]</t>
  </si>
  <si>
    <t>5440000000 - [Trademark Expenses]</t>
  </si>
  <si>
    <t>190102 - [Bank charges]</t>
  </si>
  <si>
    <t>5701000001 - [L&amp;P Fees - Foreign Bank Charges]</t>
  </si>
  <si>
    <t>5701000000 - [L&amp;P Fees - Bank Charges]</t>
  </si>
  <si>
    <t>190101 - [Auditors &amp; Tax Consulting fees]</t>
  </si>
  <si>
    <t>5700430000 - [L&amp;P Fees - Aud Fees - Oth Exp f. AudServ]</t>
  </si>
  <si>
    <t>5700420000 - [L&amp;P Fees - Aud Fees - Tax Consult Serv]</t>
  </si>
  <si>
    <t>5700410000 - [L&amp;P Fees - Aud Fees - Oth aff or ValServ]</t>
  </si>
  <si>
    <t>5700400000 - [L&amp;P Fees - Aud Fees - Ann Aud incl. HC]</t>
  </si>
  <si>
    <t>180000 - [IT &amp; Telecommunication Costs]</t>
  </si>
  <si>
    <t>180400 - [Allocated internal &amp; external IT Project]</t>
  </si>
  <si>
    <t>180403 - [Allocated Other IT Project Costs]</t>
  </si>
  <si>
    <t>7140000007 - [SOM IT Projects Other Costs]</t>
  </si>
  <si>
    <t>7140000006 - [SOM IT Projects nonactiv. borrowing Cost]</t>
  </si>
  <si>
    <t>7140000005 - [SOM IT Projects Material Costs]</t>
  </si>
  <si>
    <t>180402 - [Alloc. IT Project Costs (ext. &amp; int.)]</t>
  </si>
  <si>
    <t>7140000003 - [SOM IT Projects Internal Services]</t>
  </si>
  <si>
    <t>7140000002 - [SOM IT Projects External Services]</t>
  </si>
  <si>
    <t>180401 - [Internal cost charging to projects]</t>
  </si>
  <si>
    <t>7100000024 - [DAA_IT Project Special]</t>
  </si>
  <si>
    <t>7100000021 - [DAA_IT Project Hours]</t>
  </si>
  <si>
    <t>7100000018 - [DAA_IT Project Plan]</t>
  </si>
  <si>
    <t>7100000016 - [DAA_IT Project Hours Stat.]</t>
  </si>
  <si>
    <t>7100000023 - [DAA_PPMC int. Costs]</t>
  </si>
  <si>
    <t>7600301068 - [DAA Building Mgmt Systems]</t>
  </si>
  <si>
    <t>7100000005 - [DAA PROJECT HRS IS]</t>
  </si>
  <si>
    <t>180300 - [Global IT Run Collection&amp;IT Proj.ICON-IS]</t>
  </si>
  <si>
    <t>7140000008 - [SOM Intercompany Charge IT Consulting]</t>
  </si>
  <si>
    <t>7140000001 - [SOM Intercompany Charge IT Services]</t>
  </si>
  <si>
    <t>7120000002 - [AOM  MGF IT COSTS]</t>
  </si>
  <si>
    <t>5983310000 - [Reimbursement IC - IT Services]</t>
  </si>
  <si>
    <t>5651910000 - [IC Expenses - IT Services and Materials]</t>
  </si>
  <si>
    <t>5622210000 - [IC Expenses -  IT Consulting]</t>
  </si>
  <si>
    <t>180200 - [Allocated IT Cost (not project related)]</t>
  </si>
  <si>
    <t>180203 - [Allocated Telecommunication services]</t>
  </si>
  <si>
    <t>7120000003 - [AOM TELECOMM. COSTS]</t>
  </si>
  <si>
    <t>7100000003 - [DAA Telco Services var.]</t>
  </si>
  <si>
    <t>7100000002 - [DAA Telco Services fix]</t>
  </si>
  <si>
    <t>180202 - [Other IT Costs]</t>
  </si>
  <si>
    <t>7600304230 - [DAA_Contractor Mgt I]</t>
  </si>
  <si>
    <t>7600304210 - [DAA_MRE_IT_Tools]</t>
  </si>
  <si>
    <t>7600301082 - [DAA_E&amp;M App.Mgt_oth.]</t>
  </si>
  <si>
    <t>7140000004 - [SOM IS Governance]</t>
  </si>
  <si>
    <t>7120000006 - [AOM Intercompany Charge IT Consulting]</t>
  </si>
  <si>
    <t>7120000005 - [AOM Intercompany Charge IT Services]</t>
  </si>
  <si>
    <t>7100000022 - [DAA_IT Products PC Desk]</t>
  </si>
  <si>
    <t>7100000019 - [DAA_IT Service Contracts]</t>
  </si>
  <si>
    <t>7100000015 - [DAA_IT Special Services]</t>
  </si>
  <si>
    <t>7100000011 - [DAA SPECIAL IT SER]</t>
  </si>
  <si>
    <t>7100000010 - [DAA LOC. IT SERV.]</t>
  </si>
  <si>
    <t>7100000007 - [DAA OTHER IT SERV.]</t>
  </si>
  <si>
    <t>180201 - [Allocated IT Application Service]</t>
  </si>
  <si>
    <t>7120000001 - [AOM IT Local Service]</t>
  </si>
  <si>
    <t>7100000017 - [DAA_IT Applic. Plan]</t>
  </si>
  <si>
    <t>7100000008 - [DAA MDA DESKT SERV]</t>
  </si>
  <si>
    <t>7100000006 - [DAA ERP SERVICES]</t>
  </si>
  <si>
    <t>7100000001 - [DAA EWORKPLACE GLO]</t>
  </si>
  <si>
    <t>180100 - [IT Costs 3rd party(Network,HW,SW,Lic.)]</t>
  </si>
  <si>
    <t>180105 - [IT Licenses]</t>
  </si>
  <si>
    <t>5640000000 - [Application Licenses]</t>
  </si>
  <si>
    <t>5631000000 - [IT Software Purchases]</t>
  </si>
  <si>
    <t>180104 - [External Service Contracts]</t>
  </si>
  <si>
    <t>5643000000 - [Printer Services]</t>
  </si>
  <si>
    <t>5642000000 - [IT Service Contracts]</t>
  </si>
  <si>
    <t>5641000000 - [Application Services]</t>
  </si>
  <si>
    <t>180103 - [Hard- and Software]</t>
  </si>
  <si>
    <t>5632000000 - [IT Hardware Rentals]</t>
  </si>
  <si>
    <t>5630000000 - [IT Hardware Purchases]</t>
  </si>
  <si>
    <t>180102 - [IT Contracting Services]</t>
  </si>
  <si>
    <t>5620000000 - [IT Consulting]</t>
  </si>
  <si>
    <t>180101 - [Network / Telecommunication]</t>
  </si>
  <si>
    <t>5610000000 - [Network Expenses]</t>
  </si>
  <si>
    <t>5600000001 - [Telecommunication Expenses - Mobile]</t>
  </si>
  <si>
    <t>5600000000 - [Telecommunication Expenses]</t>
  </si>
  <si>
    <t>170000 - [Research &amp; Development]</t>
  </si>
  <si>
    <t>170500 - [R&amp;D Intercompany Business]</t>
  </si>
  <si>
    <t>170502 - [R&amp;D Intra Group Services]</t>
  </si>
  <si>
    <t>7400000001 - [DAA R&amp;D Pha hours to non HC Business]</t>
  </si>
  <si>
    <t>5771360000 - [IC EXP - EL - Gas react._pilot scale]</t>
  </si>
  <si>
    <t>5771290000 - [IC EXP - EL - Invest. material fail.]</t>
  </si>
  <si>
    <t>5771210000 - [IC EXP - EL - OT Services]</t>
  </si>
  <si>
    <t>5771220000 - [IC EXP - EL - OT Pass-through]</t>
  </si>
  <si>
    <t>5772400000 - [IC EXP - HC - True-up/Mark-up]</t>
  </si>
  <si>
    <t>5772050000 - [IC EXP - HC - Application/Data Mgmnt]</t>
  </si>
  <si>
    <t>5772070000 - [IC EXP - HC - Toxicological R&amp;D (ext)]</t>
  </si>
  <si>
    <t>5772060000 - [IC Exp - HC - Toxicological R&amp;D]</t>
  </si>
  <si>
    <t>5772040000 - [IC EXP - HC - R&amp;D Project Service_ext]</t>
  </si>
  <si>
    <t>5772030000 - [IC EXP - HC - R&amp;D Project Service]</t>
  </si>
  <si>
    <t>5772020000 - [IC EXP - HC - Regulatory Project Sup.]</t>
  </si>
  <si>
    <t>5771280000 - [IC EXP - EL - Corrosion test_special]</t>
  </si>
  <si>
    <t>7440000002 - [SOM Intercompany Charge R&amp;D indirect]</t>
  </si>
  <si>
    <t>7420000004 - [AOM Intercompany Charge R&amp;D local]</t>
  </si>
  <si>
    <t>7200000005 - [DAA PS Translation Services]</t>
  </si>
  <si>
    <t>5981610000 - [Reimbursement IC - Local R&amp;D]</t>
  </si>
  <si>
    <t>5516910000 - [IC Exp - SMS - R&amp;D Blood Samples]</t>
  </si>
  <si>
    <t>5516710000 - [IC Exp - SMS - R&amp;D Blood Samples for GMS]</t>
  </si>
  <si>
    <t>5516610000 - [IC Exp - SMS - R&amp;D Blood Samples f.EXTIN]</t>
  </si>
  <si>
    <t>5516510000 - [IC Exp - SMS - R&amp;D Blood Samples for CPD]</t>
  </si>
  <si>
    <t>5516410000 - [IC Exp - SMS - R&amp;D Blood Samples for GED]</t>
  </si>
  <si>
    <t>5516310000 - [IC Exp - SMS - R&amp;D Blood Sampl- TIP iONC]</t>
  </si>
  <si>
    <t>5516210000 - [IC Exp - SMS - R&amp;D Blood Sampl f.TIP ONC]</t>
  </si>
  <si>
    <t>5516110000 - [IC Exp - SMS - R&amp;D Blood Samples-TIP IMM]</t>
  </si>
  <si>
    <t>5516010000 - [IC Exp - SMS - R&amp;D Blood Samples for DT]</t>
  </si>
  <si>
    <t>5515710000 - [IC Exp - SMS - R&amp;D Analytic-10% for GMS]</t>
  </si>
  <si>
    <t>5515610000 - [IC Exp - SMS - R&amp;D Analytic-10% forEXTIN]</t>
  </si>
  <si>
    <t>5515510000 - [IC Exp - SMS - R&amp;D Analytic-10% for CPD]</t>
  </si>
  <si>
    <t>5515410000 - [IC Exp - SMS - R&amp;D Analytic-10% for GED]</t>
  </si>
  <si>
    <t>5515310000 - [IC Exp - SMS - R&amp;D Analytic-10%-TIP iONC]</t>
  </si>
  <si>
    <t>5515210000 - [IC Exp - SMS - R&amp;D Analytic-10%- TIP ONC]</t>
  </si>
  <si>
    <t>5515110000 - [IC Exp - SMS - R&amp;D Analytic-10%- TIP IMM]</t>
  </si>
  <si>
    <t>5515010000 - [IC Exp - SMS - R&amp;D Analytic-10% for DT]</t>
  </si>
  <si>
    <t>5514410000 - [IC Exp - DIV - External R&amp;D costs]</t>
  </si>
  <si>
    <t>5514310000 - [IC Exp - DIV - R&amp;D Extend Toxiclgcl Serv]</t>
  </si>
  <si>
    <t>5514210000 - [IC Exp - DIV - R&amp;D Project Services]</t>
  </si>
  <si>
    <t>5514110000 - [IC Exp - DIV - R&amp;D Basic Toxiclgcl Serv]</t>
  </si>
  <si>
    <t>5514010000 - [IC Exp - DIV - R&amp;D Special Services]</t>
  </si>
  <si>
    <t>5513710000 - [IC Exp - SMS - R&amp;D Analytic-5% for GMS]</t>
  </si>
  <si>
    <t>5513610000 - [IC Exp - SMS - R&amp;D Analytic-5% for EXTIN]</t>
  </si>
  <si>
    <t>5513510000 - [IC Exp - SMS - R&amp;D Analytic-5% for CPD]</t>
  </si>
  <si>
    <t>5513410000 - [IC Exp - SMS - R&amp;D Analytic-5% for GED]</t>
  </si>
  <si>
    <t>5513310000 - [IC Exp - SMS - R&amp;D Analytic-5%- TIP iONC]</t>
  </si>
  <si>
    <t>5513210000 - [IC Exp - SMS - R&amp;D Analytic-5% - TIP ONC]</t>
  </si>
  <si>
    <t>5513110000 - [IC Exp - SMS - R&amp;D Analytic-5% - TIP IMM]</t>
  </si>
  <si>
    <t>5513010000 - [IC Exp - SMS - R&amp;D Analytic-5% for DT]</t>
  </si>
  <si>
    <t>5512416000 - [IC Expenses - R&amp;D - Manual - CorrAcc]</t>
  </si>
  <si>
    <t>5230020000 - [IC Exp - SMS - Analytics]</t>
  </si>
  <si>
    <t>7600320011 - [DAA_Regulatory Project Support_H]</t>
  </si>
  <si>
    <t>7600320006 - [DAA_Toxicological R&amp;D Services_H]</t>
  </si>
  <si>
    <t>170501 - [R&amp;D IPR Holder]</t>
  </si>
  <si>
    <t>7440000004 - [SOM R&amp;D and Other TechOps (local)]</t>
  </si>
  <si>
    <t>7440000001 - [SOM R&amp;D and Other TechOps]</t>
  </si>
  <si>
    <t>5981510000 - [Reimbursement IC - Global R&amp;D]</t>
  </si>
  <si>
    <t>5512410000 - [IC Expenses - R&amp;D - Cost Charges]</t>
  </si>
  <si>
    <t>5512210000 - [IC Expenses - R&amp;D - Service Charges]</t>
  </si>
  <si>
    <t>7420000002 - [AOM Intercompany Charge R&amp;D]</t>
  </si>
  <si>
    <t>7420000003 - [AOM Intercompany Charge R&amp;D direct]</t>
  </si>
  <si>
    <t>170400 - [Grants &amp; Reimbursements 3P]</t>
  </si>
  <si>
    <t>3925000000 - [Governmental Grants]</t>
  </si>
  <si>
    <t>3924000000 - [Grants and Incentives Received]</t>
  </si>
  <si>
    <t>3927000000 - [Reimbursement of R&amp;D expenses – 3P]</t>
  </si>
  <si>
    <t>170300 - [IPR Holder Accruals (HC)]</t>
  </si>
  <si>
    <t>5540000000 - [Ext R&amp;D Serv Costs - Accr IPR-Holder Exp]</t>
  </si>
  <si>
    <t>170200 - [Internal R&amp;D Services]</t>
  </si>
  <si>
    <t>7940000001 - [SOM - Analytics settlement]</t>
  </si>
  <si>
    <t>7920000013 - [AOM DIV R&amp;D ExtendToxicolServ]</t>
  </si>
  <si>
    <t>7920000012 - [AOM DIV R&amp;D BasicToxicologSer]</t>
  </si>
  <si>
    <t>7920000011 - [AOM DIV R&amp;D Project Services]</t>
  </si>
  <si>
    <t>7920000010 - [AOM DIV Central Sampling]</t>
  </si>
  <si>
    <t>7920000008 - [AOM DIV Special Analytics]</t>
  </si>
  <si>
    <t>7920000007 - [AOM SM R&amp;D Blood Sampl f. GMS]</t>
  </si>
  <si>
    <t>7620330122 - [AOM_P_PM-OT Project Service (ext)]</t>
  </si>
  <si>
    <t>7620330101 - [AOM_Process dev. &amp; process eng.serv._P]</t>
  </si>
  <si>
    <t>7620300109 - [AOM_EL-OT Pass-through]</t>
  </si>
  <si>
    <t>7620000027 - [AOM DIV R&amp;D Support]</t>
  </si>
  <si>
    <t>7620000022 - [AOM EL-OT Services]</t>
  </si>
  <si>
    <t>7600320007 - [DAA_Toxicological R&amp;D Services (ext.)_H]</t>
  </si>
  <si>
    <t>7600320003 - [DAA_R&amp;D Project Service (ext.)_H]</t>
  </si>
  <si>
    <t>7600320002 - [DAA_R&amp;D Project Service_H]</t>
  </si>
  <si>
    <t>7600304237 - [DAA_IC Exp - SMS - Contractor Mgt X]</t>
  </si>
  <si>
    <t>7600300019 - [DAA Troubleshooting analyt.]</t>
  </si>
  <si>
    <t>7600300009 - [DAA Measuring.Dev.Projects]</t>
  </si>
  <si>
    <t>7440000003 - [SOM Gl. R&amp;D Other Income]</t>
  </si>
  <si>
    <t>7420000005 - [AOM R&amp;D local from Global 4Over-Governen]</t>
  </si>
  <si>
    <t>7420000001 - [AOM Cost Center Variances R&amp;D]</t>
  </si>
  <si>
    <t>7400000005 - [DAA Process development &amp; eng. serv.]</t>
  </si>
  <si>
    <t>7400000004 - [DAA R&amp;D Innovative Hours]</t>
  </si>
  <si>
    <t>7400000003 - [DAA R&amp;D productive hour]</t>
  </si>
  <si>
    <t>7400000002 - [DAA R&amp;D GMS to Bios Projects]</t>
  </si>
  <si>
    <t>7340000008 - [SOM R&amp;D Other production costs]</t>
  </si>
  <si>
    <t>7340000007 - [SOM R&amp;D Material consumption]</t>
  </si>
  <si>
    <t>7340000006 - [SOM R&amp;D Manufacturing expences]</t>
  </si>
  <si>
    <t>7100000014 - [DAA_Scientific Inform.]</t>
  </si>
  <si>
    <t>170100 - [External R&amp;D Services]</t>
  </si>
  <si>
    <t>170103 - [Other External R&amp;D Services]</t>
  </si>
  <si>
    <t>5559000000 - [Oth External R&amp;D Costs - Other R&amp;D Exp]</t>
  </si>
  <si>
    <t>5512800000 - [Ext R&amp;D Serv Co - R&amp;D Consultancy]</t>
  </si>
  <si>
    <t>5512600000 - [Ext R&amp;D Serv Co - Clinical Trial supply]</t>
  </si>
  <si>
    <t>5510200000 - [Ext R&amp;D Serv Co - Investigator Fees]</t>
  </si>
  <si>
    <t>170102 - [Research Institutes]</t>
  </si>
  <si>
    <t>5511200000 - [Ext R&amp;D Serv Co - CRO Pass through Exp]</t>
  </si>
  <si>
    <t>5511000000 - [Ext R&amp;D Serv Co - CRO Fees]</t>
  </si>
  <si>
    <t>170101 - [R&amp;D Registration Costs]</t>
  </si>
  <si>
    <t>5510600000 - [Ext R&amp;D Serv Co - Authority Fees]</t>
  </si>
  <si>
    <t>5500000000 - [Registration Expenses]</t>
  </si>
  <si>
    <t>160000 - [Promo, Market Research &amp; Royalty]</t>
  </si>
  <si>
    <t>160300 - [Intercompany M&amp;S (FF/SI/SP/OM)]</t>
  </si>
  <si>
    <t>7540000001 - [SOM Intercompany Charge Commercials]</t>
  </si>
  <si>
    <t>7520000004 - [AOM IC Internal Sales Service]</t>
  </si>
  <si>
    <t>7520000003 - [AOM IC sales promotion]</t>
  </si>
  <si>
    <t>7520000002 - [AOM IC M&amp;S]</t>
  </si>
  <si>
    <t>7520000001 - [AOM IC field force]</t>
  </si>
  <si>
    <t>5980410000 - [Reimbursement IC - Other M&amp;S]</t>
  </si>
  <si>
    <t>5980210000 - [Reimbursement IC - Sales Promotion]</t>
  </si>
  <si>
    <t>5980110000 - [Reimbursement IC - Internal Sales Serv]</t>
  </si>
  <si>
    <t>5494810000 - [IC Expenses - Field Force]</t>
  </si>
  <si>
    <t>5494710000 - [IC Expenses - Sales Promotion]</t>
  </si>
  <si>
    <t>5494610000 - [IC Expenses - Internal Sales Service]</t>
  </si>
  <si>
    <t>5494116000 - [IC Expenses - Commerc - Manual - CorrAcc]</t>
  </si>
  <si>
    <t>5491810000 - [IC Expenses - Other Marketing &amp; Selling]</t>
  </si>
  <si>
    <t>160200 - [Congresses &amp; Events]</t>
  </si>
  <si>
    <t>5414000000 - [Public relations - Events]</t>
  </si>
  <si>
    <t>7240000014 - [SOM Global Event&amp;Managements]</t>
  </si>
  <si>
    <t>5424000000 - [Congress and Events - MeetLogHotel]</t>
  </si>
  <si>
    <t>5423500000 - [Congress and Events - MeetLogMangament]</t>
  </si>
  <si>
    <t>5423000000 - [Congress and Events - Booth&amp;Stage]</t>
  </si>
  <si>
    <t>7820104000 - [APA Congr. &amp; events]</t>
  </si>
  <si>
    <t>5429000000 - [Congress and Events - Other Event Costs]</t>
  </si>
  <si>
    <t>5425000000 - [Congress and Events - Trade Shows]</t>
  </si>
  <si>
    <t>5422500000 - [Congress and Events - Event Sponsorship]</t>
  </si>
  <si>
    <t>5422000000 - [Congress and Events - HCP Sponsorship]</t>
  </si>
  <si>
    <t>5421000000 - [Congress and Events - Speakers]</t>
  </si>
  <si>
    <t>160100 - [Promotion Costs &amp; Fees]</t>
  </si>
  <si>
    <t>160106 - [Market Access &amp; Pricing Costs]</t>
  </si>
  <si>
    <t>5479000000 - [MAP Co - Other Market Access &amp; Pricing]</t>
  </si>
  <si>
    <t>5472000000 - [MAP Co - Payer Communication Materials]</t>
  </si>
  <si>
    <t>5471000000 - [MAP Co - MAP Reports &amp; Databases]</t>
  </si>
  <si>
    <t>5470000000 - [MAP Co - Mark Acces, Pricing&amp;HE Studies]</t>
  </si>
  <si>
    <t>160105 - [Market Research / Bus. Intellig. Costs]</t>
  </si>
  <si>
    <t>5460000000 - [Market Research]</t>
  </si>
  <si>
    <t>160104 - [Grants &amp; Donations (expense)]</t>
  </si>
  <si>
    <t>5961300000 - [Donations to non-profit-organisations]</t>
  </si>
  <si>
    <t>5459000000 - [Grants &amp; Donat - Other Grants]</t>
  </si>
  <si>
    <t>5453000000 - [Grants &amp; Donat - Sponsoring]</t>
  </si>
  <si>
    <t>5452010000 - [Grants &amp; Donat - Med Donat of Own Prod]</t>
  </si>
  <si>
    <t>5450000000 - [Grants &amp; Donat - Med Education Funding]</t>
  </si>
  <si>
    <t>160103 - [License, Royalty &amp; 3P Sls Commission Exp]</t>
  </si>
  <si>
    <t>7440000005 - [SOM SOM Royality &amp; License  R&amp;D Global]</t>
  </si>
  <si>
    <t>7440000006 - [SOM SOM Royality &amp; License  R&amp;D local]</t>
  </si>
  <si>
    <t>5511900000 - [Ext R&amp;D Serv Co - R&amp;D Roy &amp; Licen Local]</t>
  </si>
  <si>
    <t>5511800000 - [Ext R&amp;D Serv Co - R&amp;D Roy &amp; Licen Global]</t>
  </si>
  <si>
    <t>5443000000 - [Commission Expenses - M&amp;S]</t>
  </si>
  <si>
    <t>5442000000 - [Royalty Expenses / License Fees - M&amp;S]</t>
  </si>
  <si>
    <t>160102 - [Advisory/Speaker fees]</t>
  </si>
  <si>
    <t>5432000000 - [Advis Costs - Consult Exp - HCP Consult]</t>
  </si>
  <si>
    <t>5431000000 - [Advis Costs - Consult Exp - Advis Board]</t>
  </si>
  <si>
    <t>160101 - [Promotion Costs &amp; Advertising]</t>
  </si>
  <si>
    <t>5909000007 - [Field Force (TBO)]</t>
  </si>
  <si>
    <t>7540000010 - [SOM Other Marketing and Selling]</t>
  </si>
  <si>
    <t>5962000000 - [Oth External Costs - Publications]</t>
  </si>
  <si>
    <t>5419000001 - [Other Advertisements - Non-Deductible]</t>
  </si>
  <si>
    <t>5419000000 - [Advertisements - Other Advertising]</t>
  </si>
  <si>
    <t>5414020000 - [Website Hosting]</t>
  </si>
  <si>
    <t>5413020000 - [Consumer Dir Mktng - Mob-Mktng/E-Mailing]</t>
  </si>
  <si>
    <t>5413000000 - [Consumer Dir Mktng - Direct Mailing]</t>
  </si>
  <si>
    <t>5412010000 - [Point of Sale - Merchandizer]</t>
  </si>
  <si>
    <t>5412000000 - [Point of Sale - Activitites and Mat]</t>
  </si>
  <si>
    <t>5411010000 - [Agency Production Costs]</t>
  </si>
  <si>
    <t>5411000000 - [Agency Fee - Creative Development]</t>
  </si>
  <si>
    <t>5410090000 - [Media Costs - Other]</t>
  </si>
  <si>
    <t>5410070000 - [Media Costs - Social Media]</t>
  </si>
  <si>
    <t>5410050000 - [Media Costs - InterNet]</t>
  </si>
  <si>
    <t>5410040000 - [Media Costs - Outdoor]</t>
  </si>
  <si>
    <t>5410010000 - [Media Costs - Print]</t>
  </si>
  <si>
    <t>5410000000 - [Media Costs - TV]</t>
  </si>
  <si>
    <t>5409000000 - [Promo - Other Promotion]</t>
  </si>
  <si>
    <t>5402000000 - [Promo - Catal, Prc Lists and Similar Mat]</t>
  </si>
  <si>
    <t>5401000002 - [Promo - Customer Gifts - &gt;35 E]</t>
  </si>
  <si>
    <t>5401000001 - [Promo - Customer Gifts - 10-35 E]</t>
  </si>
  <si>
    <t>5401000000 - [Promo - Promotional Items]</t>
  </si>
  <si>
    <t>5400000000 - [Promo - Samples]</t>
  </si>
  <si>
    <t>5401000003 - [0]</t>
  </si>
  <si>
    <t>5401000004 - [FOC Materials &gt; 50 E]</t>
  </si>
  <si>
    <t>5414010000 - [PR &amp; Institutional Advertising]</t>
  </si>
  <si>
    <t>150000 - [Material &amp; Inventory]</t>
  </si>
  <si>
    <t>150400 - [Subcontracting Fees]</t>
  </si>
  <si>
    <t>5720010000 - [Subcontracting Fees - IC]</t>
  </si>
  <si>
    <t>5720000100 - [External Operations Fees – OM]</t>
  </si>
  <si>
    <t>5720000000 - [Subcontracting Fees - 3P]</t>
  </si>
  <si>
    <t>4419000000 - [Other Ext Serv - Other Ext Manufact Serv]</t>
  </si>
  <si>
    <t>4401000000 - [Oth Subcon Exp - Subcon Fee - 3P]</t>
  </si>
  <si>
    <t>4401006000 - [Oth Subcon Exp - Subcon Fee - CorrAcc]</t>
  </si>
  <si>
    <t>7340000014 - [SOM CMO SubContracting Charges]</t>
  </si>
  <si>
    <t>150300 - [Price Variances]</t>
  </si>
  <si>
    <t>150302 - [Intercompany Price Variances]</t>
  </si>
  <si>
    <t>4300011000 - [Purch Price Diff - Inv - FX Diff - IC]</t>
  </si>
  <si>
    <t>4300010000 - [Purch Price Diff - Inventory - IC]</t>
  </si>
  <si>
    <t>9009300913 - [CAPVAR LY MaterialPriceVar IC Migratin]</t>
  </si>
  <si>
    <t>9009300903 - [CAPVAR MaterialPriceVariance IC Migratin]</t>
  </si>
  <si>
    <t>4300016000 - [Purch Price Diff - Inv - CorrAcc - IC]</t>
  </si>
  <si>
    <t>4240010000 - [Cap Var (PPV) - Inventory - IC]</t>
  </si>
  <si>
    <t>150301 - [3rd Party Price Variances]</t>
  </si>
  <si>
    <t>9009300914 - [CAPVAR LY MaterialPriceVar EX Migratin]</t>
  </si>
  <si>
    <t>9009300904 - [CAPVAR MaterialPriceVariance EX Migratin]</t>
  </si>
  <si>
    <t>4301006000 - [Purch Price Diff - LandCosts - Corr - 3P]</t>
  </si>
  <si>
    <t>4301000000 - [Purch Price Diff - Landed Costs - 3P]</t>
  </si>
  <si>
    <t>4300006000 - [Purch Price Diff - Invent - CorrAcc - 3P]</t>
  </si>
  <si>
    <t>4300001000 - [Purch Price Diff - Invent - FX Diff - 3P]</t>
  </si>
  <si>
    <t>4300000000 - [Purch Price Diff - Inventory - 3P]</t>
  </si>
  <si>
    <t>4240000000 - [Cap Var (PPV) - Inventory - 3P]</t>
  </si>
  <si>
    <t>150200 - [Inventory Adjustments]</t>
  </si>
  <si>
    <t>150203 - [Reserves]</t>
  </si>
  <si>
    <t>4234400000 - [Inv Reval - Unfinish Goods - Pot - Purch]</t>
  </si>
  <si>
    <t>4233200000 - [Inv Reval - Finish Goods - Pot - Prod]</t>
  </si>
  <si>
    <t>9009300910 - [CAPVAR LY Inventory RevalMigration]</t>
  </si>
  <si>
    <t>9009300900 - [CAPVAR Inventory Revaluation Migration]</t>
  </si>
  <si>
    <t>4242300000 - [Cap var - Inv ADj Material Ledger]</t>
  </si>
  <si>
    <t>4239500000 - [Inv Reval - Other - Stock Transfer]</t>
  </si>
  <si>
    <t>4239000000 - [Inv Reval - Other - Standard Price]</t>
  </si>
  <si>
    <t>4234200000 - [Inv Reval - Unfinish Goods - Pot - Prod]</t>
  </si>
  <si>
    <t>4234000000 - [Inv Reval - Unfinish Goods - Stand Price]</t>
  </si>
  <si>
    <t>4233006000 - [Inv Reval - Finish Goods - Stand Price]</t>
  </si>
  <si>
    <t>4233000000 - [Inv Reval - Finish Goods - Stand Price]</t>
  </si>
  <si>
    <t>4232000000 - [Inv Reval - Merchandise - Stand Price]</t>
  </si>
  <si>
    <t>4231000000 - [Inv Reval - Packaging - Stand Price]</t>
  </si>
  <si>
    <t>4230006000 - [Inv Reval - Raw Mat - Stand Price - Cor]</t>
  </si>
  <si>
    <t>4230000000 - [Inv Reval - Raw Mat - Stand Price]</t>
  </si>
  <si>
    <t>4229000000 - [Reserve valuation adjustment - Versum]</t>
  </si>
  <si>
    <t>4228000000 - [Reserve Val Adj - Net Realizable Value]</t>
  </si>
  <si>
    <t>4227000000 - [Reserve Val Adj - Slow Moving]</t>
  </si>
  <si>
    <t>4226000000 - [Reserve Val Adj - Shelf Live]</t>
  </si>
  <si>
    <t>4225000000 - [Reserve Val Adj - Quality]</t>
  </si>
  <si>
    <t>150202 - [Disposals]</t>
  </si>
  <si>
    <t>3301000001 - [Gains from Disposal - Tang Assets - Acc1]</t>
  </si>
  <si>
    <t>4250100000 - [Destruction Costs - Inventory]</t>
  </si>
  <si>
    <t>4250006000 - [Scrapping - Inventory - Cor]</t>
  </si>
  <si>
    <t>4250000000 - [Scrapping - Inventory]</t>
  </si>
  <si>
    <t>150201 - [Cycle Counts]</t>
  </si>
  <si>
    <t>4200000000 - [Stock Take Variances]</t>
  </si>
  <si>
    <t>150100 - [Material Consumption]</t>
  </si>
  <si>
    <t>150106 - [Consumption of other materials]</t>
  </si>
  <si>
    <t>5399010000 - [Other Production Materials - IC]</t>
  </si>
  <si>
    <t>7340000015 - [SOM Material Settlement]</t>
  </si>
  <si>
    <t>7600304231 - [DAA_Contractor Mgt M]</t>
  </si>
  <si>
    <t>7340000012 - [SOM Production costs]</t>
  </si>
  <si>
    <t>7320110005 - [AOM Alloc. Mat. Cons. Costs (Comp.Split)]</t>
  </si>
  <si>
    <t>5919000000 - [Oth Consumabl - Oth Non-Prod Consum Mat]</t>
  </si>
  <si>
    <t>5399000001 - [Other Production Materials -Acc1]</t>
  </si>
  <si>
    <t>5399000000 - [Other Production Materials]</t>
  </si>
  <si>
    <t>5391600000 - [R&amp;D Samples - Local]</t>
  </si>
  <si>
    <t>5391200000 - [R&amp;D Samples - Global]</t>
  </si>
  <si>
    <t>5202202200 - [Project Materials-Purchased Materials]</t>
  </si>
  <si>
    <t>150105 - [Consumption of goods from subcontracting]</t>
  </si>
  <si>
    <t>5355000000 - [Consum f. Subc - Minor Tech Materials]</t>
  </si>
  <si>
    <t>5359000000 - [Consum f. Subc - Other Produc Materials]</t>
  </si>
  <si>
    <t>5354010000 - [Consumption f. Subc - Merchandise - IC]</t>
  </si>
  <si>
    <t>5354000000 - [Consumption f. Subc - Merchandise]</t>
  </si>
  <si>
    <t>5353010000 - [Consum f. Subc - Packaging Material - IC]</t>
  </si>
  <si>
    <t>5353000000 - [Consumption f. Subc - Packaging Material]</t>
  </si>
  <si>
    <t>5352010000 - [Consum f. Subc - Unfinish Material - IC]</t>
  </si>
  <si>
    <t>5352000000 - [Consum f. Subc - Unfinished Material]</t>
  </si>
  <si>
    <t>5351010000 - [Consum f. Subc - Finished Materials - IC]</t>
  </si>
  <si>
    <t>5351000000 - [Consumption f. Subc - Finished Materials]</t>
  </si>
  <si>
    <t>5350010000 - [Consumption f. Subc - Raw Materials - IC]</t>
  </si>
  <si>
    <t>5350000000 - [Consumption f. Subc - Raw Materials]</t>
  </si>
  <si>
    <t>5341000000 - [Consignment Consumption - Merchandise]</t>
  </si>
  <si>
    <t>5331000000 - [Consignment Consumption - Packaging Mat]</t>
  </si>
  <si>
    <t>5321000000 - [Consignment Consumption - Unfinished Mat]</t>
  </si>
  <si>
    <t>5301000000 - [Consignment Consumption - Raw Materials]</t>
  </si>
  <si>
    <t>150104 - [Consumption of merchandise]</t>
  </si>
  <si>
    <t>5342010000 - [Consumption - Merchandise - IC]</t>
  </si>
  <si>
    <t>5342000000 - [Consumption - Merchandise]</t>
  </si>
  <si>
    <t>150103 - [Consumption of production materials]</t>
  </si>
  <si>
    <t>5322010000 - [Consumption - Unf Mat - QA Samples - IC]</t>
  </si>
  <si>
    <t>5322000000 - [Consumption - Unfinished Mat - QA Samp]</t>
  </si>
  <si>
    <t>5320010000 - [Consumption - Unfinished Material - IC]</t>
  </si>
  <si>
    <t>5320000000 - [Consumption - Unfinished Material]</t>
  </si>
  <si>
    <t>5312010000 - [Consumption - Finish Mat - QA Samp - IC]</t>
  </si>
  <si>
    <t>5312000000 - [Consumption - Finish Mat - QA Sample]</t>
  </si>
  <si>
    <t>5310010000 - [Consumption - Finished Materials - IC]</t>
  </si>
  <si>
    <t>5310000000 - [Consumption - Finished Materials]</t>
  </si>
  <si>
    <t>150102 - [Consumption of packaging materials]</t>
  </si>
  <si>
    <t>5339000000 - [Consumption - Packaging Materials - Oth]</t>
  </si>
  <si>
    <t>5330010000 - [Consumption - Packaging Material - IC]</t>
  </si>
  <si>
    <t>5330000000 - [Consumption - Packaging Material]</t>
  </si>
  <si>
    <t>150101 - [Consumption of raw materials]</t>
  </si>
  <si>
    <t>5309000000 - [Consumption - Other Raw Materials]</t>
  </si>
  <si>
    <t>5300010000 - [Consumption - Raw Materials - IC]</t>
  </si>
  <si>
    <t>5300000000 - [Consumption - Raw Materials]</t>
  </si>
  <si>
    <t>5202202400 - [Project Materials-Instruments&amp;Valves&amp;Oth]</t>
  </si>
  <si>
    <t>5202202300 - [Project Materials-Major Equipment]</t>
  </si>
  <si>
    <t>5202202100 - [Project Materials-Construction Bulk Mat]</t>
  </si>
  <si>
    <t>140000 - [Logistics]</t>
  </si>
  <si>
    <t>140400 - [Intercompany Logistics]</t>
  </si>
  <si>
    <t>7340000021 - [SOM Transportation Settlement]</t>
  </si>
  <si>
    <t>7220000017 - [AOM Logistic Services]</t>
  </si>
  <si>
    <t>5484910000 - [IC Expenses - Logistics Services]</t>
  </si>
  <si>
    <t>5484710000 - [IC Exp - DIV - Logistical Services]</t>
  </si>
  <si>
    <t>140300 - [External Logistic Services]</t>
  </si>
  <si>
    <t>7600304233 - [DAA_IC Exp - SMS - Contractor Mgt P]</t>
  </si>
  <si>
    <t>5486000000 - [Freight - Delta]</t>
  </si>
  <si>
    <t>5485000000 - [External Logistic Services]</t>
  </si>
  <si>
    <t>140200 - [Outbound Freight]</t>
  </si>
  <si>
    <t>140202 - [IC Outbound Freight]</t>
  </si>
  <si>
    <t>5489100000 - [Freight Costs Outbound-4m-TM-IC-COPA]</t>
  </si>
  <si>
    <t>5488100000 - [Freight Costs Outbound - IC - CC]</t>
  </si>
  <si>
    <t>5487100000 - [Freight Costs Outbound - IC - COPA]</t>
  </si>
  <si>
    <t>140201 - [3rd Party Outbound Freight]</t>
  </si>
  <si>
    <t>5489000000 - [Freight Costs Outbound- 4m-TM-3P-COPA]</t>
  </si>
  <si>
    <t>5488200000 - [Freight Costs Outbound - Actual - CC]</t>
  </si>
  <si>
    <t>5488000300 - [Sea Freight costs 4m TM]</t>
  </si>
  <si>
    <t>5488000200 - [Road Freight costs 4m TM]</t>
  </si>
  <si>
    <t>5488000100 - [Air Freight costs 4m TM]</t>
  </si>
  <si>
    <t>5488000000 - [Freight Costs Outbound - 3P - CC]</t>
  </si>
  <si>
    <t>5487000000 - [Freight Costs Outbound - 3P - COPA]</t>
  </si>
  <si>
    <t>5486000001 - [Freight - Delta - Account 1]</t>
  </si>
  <si>
    <t>140100 - [Inbound Freight]</t>
  </si>
  <si>
    <t>140102 - [3rd Party Inbound Freight]</t>
  </si>
  <si>
    <t>4020000000 - [Other COS - Inb Freight/Forwarding Costs]</t>
  </si>
  <si>
    <t>140101 - [Customs &amp; Duties]</t>
  </si>
  <si>
    <t>5484000000 - [Customs, Duties and Forwarding Costs]</t>
  </si>
  <si>
    <t>4021000000 - [Other COS - Duty on Imported Goods]</t>
  </si>
  <si>
    <t>120000 - [Technical, Infrastructure and Energy]</t>
  </si>
  <si>
    <t>120500 - [Environment protection costs]</t>
  </si>
  <si>
    <t>7600304150 - [DAA Container Rental]</t>
  </si>
  <si>
    <t>7340000019 - [SOM Waste Settlement]</t>
  </si>
  <si>
    <t>5222710000 - [IC Exp - SMS - Container Management]</t>
  </si>
  <si>
    <t>5222410000 - [IC Exp - SMS - WastWat Treatment]</t>
  </si>
  <si>
    <t>5222510000 - [IC Exp - SMS - Waste Management]</t>
  </si>
  <si>
    <t>5223310000 - [IC Exp - SMS - Occ and Pro Safety]</t>
  </si>
  <si>
    <t>5752210000 - [IC Exp - SMS -  Environmental Services]</t>
  </si>
  <si>
    <t>5752410000 - [IC Exp - SMS - Environmental Analysis]</t>
  </si>
  <si>
    <t>7620000014 - [AOM Environmental Protection]</t>
  </si>
  <si>
    <t>7600304149 - [DAA Container Service]</t>
  </si>
  <si>
    <t>7600304126 - [DAA Environm. Analyt.Air]</t>
  </si>
  <si>
    <t>7600304124 - [DAA Environmental Analytics]</t>
  </si>
  <si>
    <t>7600304084 - [DAA Sewer operation]</t>
  </si>
  <si>
    <t>7600304083 - [DAA Wastewater consultancy]</t>
  </si>
  <si>
    <t>7600304082 - [DAA Wastewater treatm. incl. Pre-Treatm.]</t>
  </si>
  <si>
    <t>7600304074 - [DAA Waste Disposal]</t>
  </si>
  <si>
    <t>7600304029 - [DAA Consult.: Environment]</t>
  </si>
  <si>
    <t>7600304028 - [DAA Enviro. Mgmnt ISO 14001]</t>
  </si>
  <si>
    <t>7320150007 - [AOM Cost transf. charg.  w-water treatm.]</t>
  </si>
  <si>
    <t>7320150006 - [AOM Var. waste water treatment]</t>
  </si>
  <si>
    <t>7320150005 - [AOM Cost transfer Charge Waste Air]</t>
  </si>
  <si>
    <t>7320150004 - [AOM Waste Air]</t>
  </si>
  <si>
    <t>7320150003 - [AOM Solid water]</t>
  </si>
  <si>
    <t>7320150002 - [AOM Solid waste]</t>
  </si>
  <si>
    <t>7320150001 - [AOM Other environmental costs]</t>
  </si>
  <si>
    <t>7320110004 - [AOM Alloc. Envir. Costs  (Comp. Split)]</t>
  </si>
  <si>
    <t>7310150004 - [IAA Waste - water]</t>
  </si>
  <si>
    <t>7310150003 - [IAA Waste - solid]</t>
  </si>
  <si>
    <t>7310150002 - [IAA Waste - air]</t>
  </si>
  <si>
    <t>7310150001 - [IAA Other environmental costs]</t>
  </si>
  <si>
    <t>7301150004 - [DAA Other environmental protection]</t>
  </si>
  <si>
    <t>7301150003 - [DAA Waste - water]</t>
  </si>
  <si>
    <t>7301150002 - [DAA Waste - solid]</t>
  </si>
  <si>
    <t>7301150001 - [DAA Waste - air]</t>
  </si>
  <si>
    <t>7200000002 - [DAA E, H, S]</t>
  </si>
  <si>
    <t>7020000002 - [AOM Environmental Department]</t>
  </si>
  <si>
    <t>5984010000 - [Reimbursement IC - Environm&amp;Quality Serv]</t>
  </si>
  <si>
    <t>5224010000 - [IC Exp - SMS - Environmental Analysis]</t>
  </si>
  <si>
    <t>5222600000 - [Site Serv - Disp Exp - Pub Chr for Disp]</t>
  </si>
  <si>
    <t>5222400000 - [Site Serv - Disp Exp]</t>
  </si>
  <si>
    <t>5221410000 - [IC Exp - DIV - Enviro Health&amp;Safety Serv]</t>
  </si>
  <si>
    <t>120400 - [Quality and Analytics costs]</t>
  </si>
  <si>
    <t>5771390000 - [IC EXP - EL - PM-OT Project (extern)]</t>
  </si>
  <si>
    <t>5230010000 - [IC Exp - SMS - Analytics 10%]</t>
  </si>
  <si>
    <t>7920000009 - [AOM DIV Design/creation of Testing Proce]</t>
  </si>
  <si>
    <t>7920000006 - [AOM SM Analytics Applict Mgmt]</t>
  </si>
  <si>
    <t>7920000005 - [AOM SM Analytics 10%]</t>
  </si>
  <si>
    <t>7620330116 - [AOM_P_Gas reactions at pilot scale]</t>
  </si>
  <si>
    <t>7620330109 - [AOM_Investigation of material failure_P]</t>
  </si>
  <si>
    <t>7620330108 - [AOM_P_Corrosion testing_special cases]</t>
  </si>
  <si>
    <t>7620330102 - [AOM_Process safety assessment_P]</t>
  </si>
  <si>
    <t>7620000025 - [AOM DIV Non-Clin.Saf.Serv]</t>
  </si>
  <si>
    <t>7620000024 - [AOM SM DIV Quality &amp; Analysis]</t>
  </si>
  <si>
    <t>7600330020 - [DAA_Quality Assur. GMP-regulated Prod._P]</t>
  </si>
  <si>
    <t>7600330019 - [DAA_Regulatory Project Support_P]</t>
  </si>
  <si>
    <t>7600330009 - [DAA_Master Data_P]</t>
  </si>
  <si>
    <t>7600330002 - [DAA_Quality Control On demand Analyt._P]</t>
  </si>
  <si>
    <t>7600330001 - [DAA Routine Analytics Quality Control_P]</t>
  </si>
  <si>
    <t>7600320099 - [DAA_Healthcare True-up/Mark-up_H]</t>
  </si>
  <si>
    <t>7600320012 - [DAA_On-demand analytics_H]</t>
  </si>
  <si>
    <t>7600320004 - [DAA_Application&amp;Data Management Serv._H]</t>
  </si>
  <si>
    <t>7600320001 - [DAA_Routine Analytics/Quality Control_H]</t>
  </si>
  <si>
    <t>7600304222 - [DAA_Fabrikwasser]</t>
  </si>
  <si>
    <t>7600304221 - [DAA_QA ISO&amp;GMP Env.]</t>
  </si>
  <si>
    <t>7600304219 - [DAA_Analyt.Services]</t>
  </si>
  <si>
    <t>7600304131 - [DAA Blood collection for R&amp;D labs]</t>
  </si>
  <si>
    <t>7600300021 - [DAA Partial sample mgmt]</t>
  </si>
  <si>
    <t>7600300020 - [DAA Sample stability study]</t>
  </si>
  <si>
    <t>7600300018 - [DAA Storage retained sampl.]</t>
  </si>
  <si>
    <t>7600300015 - [DAA Routine analytics R&amp;D]</t>
  </si>
  <si>
    <t>7600300013 - [DAA Routine analytics QC]</t>
  </si>
  <si>
    <t>7600300011 - [DAA Method development/validation]</t>
  </si>
  <si>
    <t>7600300006 - [DAA Customer support lab.SW]</t>
  </si>
  <si>
    <t>7600300003 - [DAA Analytics order mgmt]</t>
  </si>
  <si>
    <t>7600300002 - [DAA Analytic reporting for projects]</t>
  </si>
  <si>
    <t>7600300001 - [DAA Technology Scouting]</t>
  </si>
  <si>
    <t>7321120011 - [AOM Management of Quality department]</t>
  </si>
  <si>
    <t>7321120010 - [AOM Quality Other]</t>
  </si>
  <si>
    <t>7321120009 - [AOM QA Quality Assurance]</t>
  </si>
  <si>
    <t>7321120008 - [AOM QC Variances]</t>
  </si>
  <si>
    <t>7321120007 - [AOM QC Re-test of Finished goods]</t>
  </si>
  <si>
    <t>7321120006 - [AOM QC Re-test of components]</t>
  </si>
  <si>
    <t>7321120005 - [AOM QC Inprocess and Endprocess/Monit.]</t>
  </si>
  <si>
    <t>7321120004 - [AOM QC Q-Insp. Incoming Passive Subc.]</t>
  </si>
  <si>
    <t>7321120003 - [AOM QC Q-Insp. Inc. 3P Merchandising]</t>
  </si>
  <si>
    <t>7321120002 - [AOM QC Q-Insp. Inc. Mat. (RM, PM, comp.		X	X	X	X		]</t>
  </si>
  <si>
    <t>7321120001 - [AOM Global Quality Assurance]</t>
  </si>
  <si>
    <t>7320230001 - [AOM Global Tech Ops Governance Costs]</t>
  </si>
  <si>
    <t>7320120005 - [AOM Quality Department]</t>
  </si>
  <si>
    <t>7320120004 - [AOM QM to production cost coll.]</t>
  </si>
  <si>
    <t>7320120003 - [AOM QA to production cost coll.]</t>
  </si>
  <si>
    <t>7320120002 - [AOM Global Quality/Regulatory]</t>
  </si>
  <si>
    <t>7320120001 - [AOM CCV Alloc. T-Funct. prod. - Q-Contr.]</t>
  </si>
  <si>
    <t>7320110007 - [AOM Alloc.Quality Costs (Comp. Split)]</t>
  </si>
  <si>
    <t>7311120002 - [IAA Quality Control (Units)]</t>
  </si>
  <si>
    <t>7311120001 - [IAA Quality Control (Hours)]</t>
  </si>
  <si>
    <t>7301120002 - [DAA Quality Control (Units)]</t>
  </si>
  <si>
    <t>7301120001 - [DAA Quality Control (Hours)]</t>
  </si>
  <si>
    <t>7200000004 - [DAA EQ Safety Data Sheets]</t>
  </si>
  <si>
    <t>7200000003 - [DAA EQ REACH]</t>
  </si>
  <si>
    <t>5772010000 - [IC Exp - HC - On-demand analytics]</t>
  </si>
  <si>
    <t>5772000000 - [IC Exp - HC - Routine Analytics/QC]</t>
  </si>
  <si>
    <t>5771160000 - [IC EXP - EL - Quality Assur._GMP-reg.]</t>
  </si>
  <si>
    <t>5771150000 - [IC EXP - EL - Regulatory Project Sup.]</t>
  </si>
  <si>
    <t>5771080000 - [IC EXP - EL - Master Data]</t>
  </si>
  <si>
    <t>5771010000 - [IC Exp - EL- On-demand Analytics]</t>
  </si>
  <si>
    <t>5771000000 - [IC Exp - EL - Routine Analytik]</t>
  </si>
  <si>
    <t>5754610000 - [IC Exp - SMS - Analytics Tech Scouting]</t>
  </si>
  <si>
    <t>5754310000 - [IC Exp - SMS - Analytics ApplicationMgmt]</t>
  </si>
  <si>
    <t>5400210000 - [IC Exp - DIV - Central Sampling]</t>
  </si>
  <si>
    <t>5230210000 - [IC Exp - SMS - Routine Analytik]</t>
  </si>
  <si>
    <t>5230110000 - [IC Exp - SMS - Analytics 5%]</t>
  </si>
  <si>
    <t>5224510000 - [IC Exp - DIV - Design of Test Procedures]</t>
  </si>
  <si>
    <t>5224310000 - [IC Exp - DIV - Special Analytics]</t>
  </si>
  <si>
    <t>5224210000 - [IC Exp - DIV - Routine Analytics]</t>
  </si>
  <si>
    <t>5222300000 - [Quality Services - Quality Analytics]</t>
  </si>
  <si>
    <t>5221810000 - [IC Exp - DIV - Gas reaction services]</t>
  </si>
  <si>
    <t>5221710000 - [IC Exp - DIV - Chemicals Regulations]</t>
  </si>
  <si>
    <t>120300 - [Site &amp; Infrastructure]</t>
  </si>
  <si>
    <t>120303 - [Alloc. Production related site costs]</t>
  </si>
  <si>
    <t>5227010000 - [IC Exp - SMS - Plant Fire Brigade]</t>
  </si>
  <si>
    <t>7620000015 - [AOM Fire Security]</t>
  </si>
  <si>
    <t>7600304193 - [DAA_Fire Prot.Serv.]</t>
  </si>
  <si>
    <t>7600304191 - [DAA_Sercurity Alarm]</t>
  </si>
  <si>
    <t>7600304170 - [DAA Security Mgt]</t>
  </si>
  <si>
    <t>7600304169 - [DAA Security Service]</t>
  </si>
  <si>
    <t>7600304168 - [DAA Preventive Fire Protect]</t>
  </si>
  <si>
    <t>7600304167 - [DAA Emergency Control Centre]</t>
  </si>
  <si>
    <t>7600304164 - [DAA Fire Protect Inspection]</t>
  </si>
  <si>
    <t>7600304163 - [DAA Hazard Prevention]</t>
  </si>
  <si>
    <t>7600301031 - [DAA Access authorization]</t>
  </si>
  <si>
    <t>7340000009 - [SOM Intercompany Charge Tech Ops]</t>
  </si>
  <si>
    <t>7320170003 - [AOM Site Management Costs]</t>
  </si>
  <si>
    <t>7320160003 - [AOM Production specific Infrastructure]</t>
  </si>
  <si>
    <t>7320160002 - [AOM CCV Alloc. Prod. spec. infrastruct.]</t>
  </si>
  <si>
    <t>7320130002 - [AOM Site Management Costs]</t>
  </si>
  <si>
    <t>7320110011 - [AOM General Production Cost]</t>
  </si>
  <si>
    <t>7320110006 - [AOM Alloc. Oth. Site Costs  (Comp.Split)]</t>
  </si>
  <si>
    <t>7320110002 - [AOM Allocated  Other  (Component Split)]</t>
  </si>
  <si>
    <t>7301160002 - [DAA Production specific infrastructure]</t>
  </si>
  <si>
    <t>120302 - [Alloc. Gen'l Infrastructure Costs]</t>
  </si>
  <si>
    <t>7320170004 - [AOM Material overhead traded goods]</t>
  </si>
  <si>
    <t>7320170002 - [AOM Incoming Mat. Storage and Handling]</t>
  </si>
  <si>
    <t>5494510000 - [IC Exp - SMS - Transport]</t>
  </si>
  <si>
    <t>7600304004 - [DAA Transport 3rd Party]</t>
  </si>
  <si>
    <t>7600304003 - [DAA Transport]</t>
  </si>
  <si>
    <t>5225110000 - [IC Exp - DIV - Material Management]</t>
  </si>
  <si>
    <t>5228010000 - [IC Exp - SMS - SM Traffic Area]</t>
  </si>
  <si>
    <t>5200410000 - [IC Exp - SMS - MRE ConstructServ&amp;SiteDev]</t>
  </si>
  <si>
    <t>7940000003 - [SOM local Services  Stlmt]</t>
  </si>
  <si>
    <t>7920000019 - [AOM DIV Master Data Maintenan]</t>
  </si>
  <si>
    <t>7920000018 - [AOM DIV Logistical Services]</t>
  </si>
  <si>
    <t>7620304113 - [AOM SM Mgt. Costs rel.to Mgt]</t>
  </si>
  <si>
    <t>7620000028 - [AOM social overhead]</t>
  </si>
  <si>
    <t>7620000026 - [AOM DIV Other Services]</t>
  </si>
  <si>
    <t>7600304239 - [DAA_Quality Management]</t>
  </si>
  <si>
    <t>7600304238 - [DAA_IC Exp - SMS - Contractor Management]</t>
  </si>
  <si>
    <t>7360170031 - [ABC Storage hazardous goodt CP5]</t>
  </si>
  <si>
    <t>7360170030 - [ABC Storage harmless good GMP CP3]</t>
  </si>
  <si>
    <t>7360170029 - [ABC Storage harmless good CP3]</t>
  </si>
  <si>
    <t>7360170028 - [ABC Storage good refregerated CP3]</t>
  </si>
  <si>
    <t>7360170027 - [ABC Storage good refrigerated CP5]</t>
  </si>
  <si>
    <t>7360170026 - [ABC Storage hazardous goodt CP5]</t>
  </si>
  <si>
    <t>7360170025 - [ABC Storage harmless good GMP CP5]</t>
  </si>
  <si>
    <t>7360170024 - [ABC Storage harmless good CP5]</t>
  </si>
  <si>
    <t>7360170023 - [ABC Loading unit]</t>
  </si>
  <si>
    <t>7360170022 - [ABC Single colli ROW]</t>
  </si>
  <si>
    <t>7360170021 - [ABC Single colli domestic]</t>
  </si>
  <si>
    <t>7360170020 - [ABC Transport control ROW]</t>
  </si>
  <si>
    <t>7360170019 - [ABC Transport control Europe]</t>
  </si>
  <si>
    <t>7360170018 - [ABC Transport control small packages]</t>
  </si>
  <si>
    <t>7360170017 - [ABC Automatic order processing ROW]</t>
  </si>
  <si>
    <t>7360170016 - [ABC Automatic order processing Europe]</t>
  </si>
  <si>
    <t>7360170015 - [ABC Manual order processing ROW]</t>
  </si>
  <si>
    <t>7360170014 - [ABC Manual order processing Europe]</t>
  </si>
  <si>
    <t>7360170013 - [ABC Storage area production logistic]</t>
  </si>
  <si>
    <t>7360170012 - [ABC Hycon]</t>
  </si>
  <si>
    <t>7360170011 - [ABC Small packages]</t>
  </si>
  <si>
    <t>7360170010 - [ABC LIEFERSCH.POS.LF]</t>
  </si>
  <si>
    <t>7360170009 - [ABC Load ROW N.KLP]</t>
  </si>
  <si>
    <t>7360170008 - [ABC Load DILOG E]</t>
  </si>
  <si>
    <t>7360170007 - [ABC Order Entry ROW]</t>
  </si>
  <si>
    <t>7360170006 - [ABC Order Entry DILOG E]</t>
  </si>
  <si>
    <t>7360170005 - [ABC LIEF.-POS. KL.MENGEN]</t>
  </si>
  <si>
    <t>7360170004 - [ABC LIEF.-POS. PHA I]</t>
  </si>
  <si>
    <t>7360170003 - [ABC Movements production logistic]</t>
  </si>
  <si>
    <t>7360170002 - [ABC Picking distribution log]</t>
  </si>
  <si>
    <t>7360170001 - [ABC Stock movement]</t>
  </si>
  <si>
    <t>7320170001 - [AOM Incoming Mat. Disposition]</t>
  </si>
  <si>
    <t>7310160001 - [IAA Non-Office Build. (not production)]</t>
  </si>
  <si>
    <t>7020000004 - [AOM General Infrastructure Charge LF]</t>
  </si>
  <si>
    <t>7020000001 - [AOM Cost transfer Charge Local Function]</t>
  </si>
  <si>
    <t>7600304000 - [DAA Material Management]</t>
  </si>
  <si>
    <t>5337510000 - [IC Exp - SMS - Material Management]</t>
  </si>
  <si>
    <t>120301 - [General Site Services]</t>
  </si>
  <si>
    <t>5225510000 - [IC Exp - DIV - Contractor Management]</t>
  </si>
  <si>
    <t>7600304151 - [DAA Special Packag.]</t>
  </si>
  <si>
    <t>7600304002 - [DAA Parcel service]</t>
  </si>
  <si>
    <t>5200110000 - [IC Exp - SMS - Contractor Management]</t>
  </si>
  <si>
    <t>5231010000 - [IC Exp - SMS - HQ Campus]</t>
  </si>
  <si>
    <t>5223410000 - [IC Exp - SMS - Plant Security]</t>
  </si>
  <si>
    <t>5223210000 - [IC Exp - SMS - Health Services]</t>
  </si>
  <si>
    <t>5754110000 - [IC Exp - SMS -  Energy Management]</t>
  </si>
  <si>
    <t>5751710000 - [IC Exp - SMS -  Management of Ideas]</t>
  </si>
  <si>
    <t>5232010000 - [IC Exp - SMS - Process Optimization]</t>
  </si>
  <si>
    <t>5751810000 - [IC Exp - SMS - Communications Services]</t>
  </si>
  <si>
    <t>5754410000 - [IC Exp - SMS -  Document Logistics]</t>
  </si>
  <si>
    <t>5223110000 - [IC Exp - SMS - Security]</t>
  </si>
  <si>
    <t>5200310000 - [IC Exp - SMS - SM Strat.Contracting]</t>
  </si>
  <si>
    <t>5229010000 - [IC Exp - SMS - SM Services Other]</t>
  </si>
  <si>
    <t>7920000015 - [AOM DIV Applicat&amp;DataMgmtServ]</t>
  </si>
  <si>
    <t>7920000014 - [AOM DIV EHS Services]</t>
  </si>
  <si>
    <t>7620000021 - [AOM Hygiene Costs]</t>
  </si>
  <si>
    <t>7600304234 - [DAA_IC Exp - SMS - Contractor Mgt R]</t>
  </si>
  <si>
    <t>7600304217 - [DAA_Cleaning Special]</t>
  </si>
  <si>
    <t>7600304216 - [DAA_Cleaning Standard]</t>
  </si>
  <si>
    <t>7600304215 - [DAA_Outdoor Greening]</t>
  </si>
  <si>
    <t>7600304213 - [DAA_Pest Control]</t>
  </si>
  <si>
    <t>7600304212 - [DAA_Street Cleaning]</t>
  </si>
  <si>
    <t>7600304211 - [DAA_Winter Service]</t>
  </si>
  <si>
    <t>7600304092 - [DAA Cleaning on Demand]</t>
  </si>
  <si>
    <t>7600304089 - [DAA User-spec. green space]</t>
  </si>
  <si>
    <t>5981710000 - [Reimbursement IC - Site Services]</t>
  </si>
  <si>
    <t>5911000000 - [Oth Consumab - SelfServShop/Kitchen/Wine]</t>
  </si>
  <si>
    <t>5754510000 - [IC Exp - DIV - Applicatn&amp;Data Mgmnt Serv]</t>
  </si>
  <si>
    <t>5229000000 - [Site Serv - Other Site &amp; Plant Serv]</t>
  </si>
  <si>
    <t>5226210000 - [IC Exp - DIV - Support Services]</t>
  </si>
  <si>
    <t>5226110000 - [IC Exp - DIV - Use tests Raw materials]</t>
  </si>
  <si>
    <t>5225910000 - [IC Exp - DIV - Process Development]</t>
  </si>
  <si>
    <t>5224410000 - [IC Exp - SMS - Certified Mangmnt Systems]</t>
  </si>
  <si>
    <t>5223000000 - [Site Serv - Protective Clothing and Mat]</t>
  </si>
  <si>
    <t>5222800000 - [Site Serv - Security]</t>
  </si>
  <si>
    <t>5222200000 - [Site Serv - Cleaning Costs]</t>
  </si>
  <si>
    <t>5222000000 - [Site Serv - Canteen]</t>
  </si>
  <si>
    <t>5221900000 - [Real Estate - Other Exp f. Real Estates]</t>
  </si>
  <si>
    <t>5221610000 - [IC Exp - SMS - NDD General Affairs]</t>
  </si>
  <si>
    <t>5221310000 - [IC Exp - SMS - NDD Production Spec Infra]</t>
  </si>
  <si>
    <t>5221210000 - [IC Exp - SMS - NDD GeneralInfrastructure]</t>
  </si>
  <si>
    <t>5204010000 - [IC Exp - DIV - Master Data Maintenance]</t>
  </si>
  <si>
    <t>120200 - [Energy]</t>
  </si>
  <si>
    <t>120202 - [Allocated produced energies &amp; utilities]</t>
  </si>
  <si>
    <t>120270 - [Other Allocated Energies]</t>
  </si>
  <si>
    <t>5225810000 - [IC Exp - DIV - Media supply]</t>
  </si>
  <si>
    <t>5219010000 - [IC Exp - SMS - MedSup - OtherEnergies-AU]</t>
  </si>
  <si>
    <t>7240000012 - [SOM Utility Settlement]</t>
  </si>
  <si>
    <t>7620000016 - [AOM ESI Other Energies]</t>
  </si>
  <si>
    <t>7600304197 - [DAA_Stickstoff]</t>
  </si>
  <si>
    <t>7600304196 - [DAA_Kesselzusatzwasser]</t>
  </si>
  <si>
    <t>7600304195 - [DAA_Hot_water]</t>
  </si>
  <si>
    <t>7600304073 - [DAA EST (Electricity Tax)]</t>
  </si>
  <si>
    <t>7600304060 - [DAA Electricity divisions]</t>
  </si>
  <si>
    <t>7600304058 - [DAA Carbon dioxide]</t>
  </si>
  <si>
    <t>7600304057 - [DAA Liquid nitrogen]</t>
  </si>
  <si>
    <t>7600304056 - [DAA Hydrogen supply]</t>
  </si>
  <si>
    <t>7600304054 - [DAA Argon gas supply]</t>
  </si>
  <si>
    <t>7600304053 - [DAA Nitrogen gas supply]</t>
  </si>
  <si>
    <t>7600304050 - [DAA -22 °C refrigeration]</t>
  </si>
  <si>
    <t>7600304048 - [DAA Recooling water]</t>
  </si>
  <si>
    <t>7600304045 - [DAA Cold water cooling]</t>
  </si>
  <si>
    <t>7320140009 - [AOM Variances other energies/supplies]</t>
  </si>
  <si>
    <t>7320140005 - [AOM Other Energies/Supplies]</t>
  </si>
  <si>
    <t>7310140011 - [IAA - Returnable Items (AU)]</t>
  </si>
  <si>
    <t>7310140005 - [IAA Other Supplies]</t>
  </si>
  <si>
    <t>7310140004 - [IAA Other Energies]</t>
  </si>
  <si>
    <t>7301140007 - [DAA Other supplies]</t>
  </si>
  <si>
    <t>7301140004 - [DAA Other Energy costs]</t>
  </si>
  <si>
    <t>7300110021 - [DAA PRO - Direct labour/Overhead]</t>
  </si>
  <si>
    <t>5217410000 - [IC EXP - SMS - Cold brine]</t>
  </si>
  <si>
    <t>5216710000 - [IC Exp - SMS - MedSup - -22C Refrigratn]</t>
  </si>
  <si>
    <t>5212810000 - [IC EXP - SMS - MedSup - Liquid Gas]</t>
  </si>
  <si>
    <t>5212610000 - [IC Exp - SMS - MedSup - Hydrogen]</t>
  </si>
  <si>
    <t>5212510000 - [IC Exp - SMS - MedSup - Nitrogen Gas]</t>
  </si>
  <si>
    <t>5212410000 - [IC Exp - SMS - MedSup - Liquid Nitrogen]</t>
  </si>
  <si>
    <t>5212210000 - [IC Exp - SMS - MedSup - Carbon Dioxide]</t>
  </si>
  <si>
    <t>5212110000 - [IC Exp - SMS - MedSup - Argon Gas]</t>
  </si>
  <si>
    <t>120260 - [Alloc. Energy/Utility Costs (CompSplit)]</t>
  </si>
  <si>
    <t>7320110003 - [AOM Alloc. Energy/Ut.Costs (Comp. Split)]</t>
  </si>
  <si>
    <t>120250 - [Water]</t>
  </si>
  <si>
    <t>7600304251 - [DAA_Cold wat.cool.IC3]</t>
  </si>
  <si>
    <t>7600304199 - [DAA_Solekälte]</t>
  </si>
  <si>
    <t>7310140009 - [IAA - Sole (M3)]</t>
  </si>
  <si>
    <t>7320140019 - [AOM - Sole (KWH)]</t>
  </si>
  <si>
    <t>7301140009 - [DAA Sole (KWH)]</t>
  </si>
  <si>
    <t>5217310000 - [IC Exp - SMS - MedSup - TherWasAirPur-AU]</t>
  </si>
  <si>
    <t>5217110000 - [IC Exp - SMS - MedSup - PartDIWater-M3]</t>
  </si>
  <si>
    <t>5217010000 - [IC Exp - SMS - MedSup -  HotDiWater-M3]</t>
  </si>
  <si>
    <t>5216910000 - [IC Exp - SMS - MedSup - Sole-kwh]</t>
  </si>
  <si>
    <t>7600304097 - [DAA_wastewater very high load]</t>
  </si>
  <si>
    <t>7600304095 - [DAA_heavy metal wastewater silo]</t>
  </si>
  <si>
    <t>7600304094 - [DAA_heavy metal wastwater IBC]</t>
  </si>
  <si>
    <t>7600304090 - [DAA_wastewater with load and disruption]</t>
  </si>
  <si>
    <t>7600304087 - [DAA_wastewater with load]</t>
  </si>
  <si>
    <t>7600304086 - [DAA_wastewater with disruption potential]</t>
  </si>
  <si>
    <t>7600304099 - [DAA_wastewater basic]</t>
  </si>
  <si>
    <t>5216260000 - [IC Exp - SMS - SM Add.Water]</t>
  </si>
  <si>
    <t>5216010000 - [IC Exp - SMS - MedSup - Cooling Water]</t>
  </si>
  <si>
    <t>5216610000 - [IC Exp - SMS - MedSup - ColdWater Ref6C]</t>
  </si>
  <si>
    <t>5216110000 - [IC Exp - SMS - MedSup - RawWater]</t>
  </si>
  <si>
    <t>5216270000 - [IC Exp - SMS - SM Plant Water]</t>
  </si>
  <si>
    <t>7600304252 - [DAA_Drink.wat.Netz.]</t>
  </si>
  <si>
    <t>7600304229 - [DAA_factory water]</t>
  </si>
  <si>
    <t>7600304225 - [DAA_Raw water cool.]</t>
  </si>
  <si>
    <t>7600304063 - [DAA Plant water supply]</t>
  </si>
  <si>
    <t>7600304052 - [DAA Raw water supply]</t>
  </si>
  <si>
    <t>7600304049 - [DAA Drinking water]</t>
  </si>
  <si>
    <t>7600304046 - [DAA Demineralized water]</t>
  </si>
  <si>
    <t>7320140021 - [AOM - Partially Deionized Water (M3)]</t>
  </si>
  <si>
    <t>7320140020 - [AOM - Deionized Water (M3)]</t>
  </si>
  <si>
    <t>7320140018 - [AOM - Water Cooling (M3)]</t>
  </si>
  <si>
    <t>7320140017 - [AOM-Factory-Water]</t>
  </si>
  <si>
    <t>7320140016 - [AOM - Re-cooling Water]</t>
  </si>
  <si>
    <t>7320140015 - [AOM - Hot Di Water]</t>
  </si>
  <si>
    <t>7320140013 - [AOM Variances Water]</t>
  </si>
  <si>
    <t>7320140010 - [AOM Cost transfer Charge - Water]</t>
  </si>
  <si>
    <t>7310140010 - [IAA - DI Water (M3)]</t>
  </si>
  <si>
    <t>7310140008 - [IAA - Water Cooling]</t>
  </si>
  <si>
    <t>7310140007 - [IAA Water]</t>
  </si>
  <si>
    <t>7301140018 - [DAA Re-Cooling Water (M3)]</t>
  </si>
  <si>
    <t>7301140014 - [DAA Factory Water (M3)]</t>
  </si>
  <si>
    <t>7301140012 - [DAA Partially Deionized Water (M3)]</t>
  </si>
  <si>
    <t>7301140011 - [DAA HOT Deionized Water (M3)]</t>
  </si>
  <si>
    <t>7301140010 - [DAA Deionized Water (M3)]</t>
  </si>
  <si>
    <t>7301140008 - [DAA Chilled water (cold) (m3)]</t>
  </si>
  <si>
    <t>7301140006 - [DAA Water]</t>
  </si>
  <si>
    <t>5216810000 - [IC Exp - SMS - MedSup - Deion&amp;DeminWat]</t>
  </si>
  <si>
    <t>5216250000 - [IC Exp - SMS - SM Hot Water]</t>
  </si>
  <si>
    <t>5216210000 - [IC Exp - SMS - MedSup - Drinking Water]</t>
  </si>
  <si>
    <t>120240 - [Compressed Air]</t>
  </si>
  <si>
    <t>5217210000 - [IC Exp - SMS - MedSup - CAirRegulat-M3]</t>
  </si>
  <si>
    <t>7600304055 - [DAA Compressed dry air 3.5]</t>
  </si>
  <si>
    <t>7600304047 - [DAA Compressed dry air 7.0]</t>
  </si>
  <si>
    <t>7320140025 - [AOM - Compr. Air 7 bar (M3)]</t>
  </si>
  <si>
    <t>7320140014 - [AOM - C. Air regulation]</t>
  </si>
  <si>
    <t>7320140012 - [AOM Cost transfer Charge - Compr. Air]</t>
  </si>
  <si>
    <t>7320140011 - [AOM Variances Compressed Air]</t>
  </si>
  <si>
    <t>7310140001 - [IAA Compressed Air]</t>
  </si>
  <si>
    <t>7301140019 - [DAA Compressed Air 7 bar (M3)]</t>
  </si>
  <si>
    <t>7301140013 - [DAA Air Regulation (M3)]</t>
  </si>
  <si>
    <t>7301140001 - [DAA Compressed Air]</t>
  </si>
  <si>
    <t>5216410000 - [IC Exp - SMS - MedSup - CompDryAir 7bar]</t>
  </si>
  <si>
    <t>5216310000 - [IC Exp - SMS - MedSup - CompDryAir3.5bar]</t>
  </si>
  <si>
    <t>120230 - [Steam]</t>
  </si>
  <si>
    <t>7600304257 - [DAA_ThermAbluft Reinigung]</t>
  </si>
  <si>
    <t>7600304194 - [DAA_Urban dev. Planning_GE]</t>
  </si>
  <si>
    <t>7600304044 - [DAA Steam supply]</t>
  </si>
  <si>
    <t>7320140008 - [AOM Variances Steam]</t>
  </si>
  <si>
    <t>7320140002 - [AOM Cost transfer Charge - Steam]</t>
  </si>
  <si>
    <t>7310140006 - [IAA Steam]</t>
  </si>
  <si>
    <t>7301140005 - [DAA Steam]</t>
  </si>
  <si>
    <t>5216510000 - [IC Exp - SMS - MedSup - Steam Supply]</t>
  </si>
  <si>
    <t>120220 - [Natural gas]</t>
  </si>
  <si>
    <t>5212710000 - [IC Exp - SMS - SM Service Gas]</t>
  </si>
  <si>
    <t>7600304256 - [DAA_Liquid Gas]</t>
  </si>
  <si>
    <t>7600304253 - [DAA_Nat.gas sup. Ext.]</t>
  </si>
  <si>
    <t>7600304198 - [DAA_Gas]</t>
  </si>
  <si>
    <t>7620000011 - [AOM Gasabgrenzg.CO]</t>
  </si>
  <si>
    <t>7620000007 - [AOM Abgrenzung Gas Darmstadt]</t>
  </si>
  <si>
    <t>7600304051 - [DAA Natural gas supply]</t>
  </si>
  <si>
    <t>7320140024 - [AOM - Nitrogen LIQUID (M3)]</t>
  </si>
  <si>
    <t>7320140023 - [AOM - Nitrogen GAS (M3)]</t>
  </si>
  <si>
    <t>7320140022 - [AOM - Hydrogen (M3)]</t>
  </si>
  <si>
    <t>7320140007 - [AOM Variances Natural Gas]</t>
  </si>
  <si>
    <t>7320140003 - [AOM Cost transfer Charge - Gas]</t>
  </si>
  <si>
    <t>7310140003 - [IAA Natural gas]</t>
  </si>
  <si>
    <t>7301140020 - [DAA Argon]</t>
  </si>
  <si>
    <t>7301140017 - [DAA Nitrogen LIQUID (M3)]</t>
  </si>
  <si>
    <t>7301140016 - [DAA Nitrogen GAS (M3)]</t>
  </si>
  <si>
    <t>7301140015 - [DAA Hydrogen (M3)]</t>
  </si>
  <si>
    <t>7301140003 - [DAA Natural Gas]</t>
  </si>
  <si>
    <t>5212310000 - [IC Exp - SMS - MedSup - Natural Gas]</t>
  </si>
  <si>
    <t>120210 - [Electricity]</t>
  </si>
  <si>
    <t>5210110000 - [IC Exp - SMS - MedSup - Electricity]</t>
  </si>
  <si>
    <t>5210120000 - [IC Exp - SMS - EST - Electricity tax]</t>
  </si>
  <si>
    <t>7620300006 - [AOM Stromabgrenzg.CO]</t>
  </si>
  <si>
    <t>7620300005 - [AOM Abgrenzung Strom Darmstadt]</t>
  </si>
  <si>
    <t>7600304255 - [DAA_Electricity PV]</t>
  </si>
  <si>
    <t>7600304254 - [DAA_Electric. Supply Ext.]</t>
  </si>
  <si>
    <t>7600304228 - [DAA_Electric.own]</t>
  </si>
  <si>
    <t>7600304070 - [DAA S_EEG-Umlage]</t>
  </si>
  <si>
    <t>7600304043 - [DAA Electricity supply]</t>
  </si>
  <si>
    <t>7320140006 - [AOM Variances Electricity]</t>
  </si>
  <si>
    <t>7320140001 - [AOM Cost transfer Charge - Electricity]</t>
  </si>
  <si>
    <t>7310140002 - [IAA Electrical Power]</t>
  </si>
  <si>
    <t>7301140002 - [DAA Electrical Power]</t>
  </si>
  <si>
    <t>5215010000 - [IC Exp - SMS - MedSup - ElecRenew Energy]</t>
  </si>
  <si>
    <t>120201 - [Externally sourced energy costs]</t>
  </si>
  <si>
    <t>5219000000 - [Energy - Other Energy Expenses]</t>
  </si>
  <si>
    <t>5214000000 - [Energy - Water]</t>
  </si>
  <si>
    <t>5213000000 - [Energy - Heating Oil]</t>
  </si>
  <si>
    <t>5212000000 - [Energy - Gas]</t>
  </si>
  <si>
    <t>5211000000 - [Energy - Fuel]</t>
  </si>
  <si>
    <t>5210000000 - [Energy - Electricity]</t>
  </si>
  <si>
    <t>3920300000 - [Reimb - Excise Duties - Energy Taxes]</t>
  </si>
  <si>
    <t>120100 - [Maintenance &amp; Technical Service Costs]</t>
  </si>
  <si>
    <t>120105 - [Allocated Opex from investment projects]</t>
  </si>
  <si>
    <t>7620000012 - [AOM Technical Projects]</t>
  </si>
  <si>
    <t>7600304186 - [DAA_Plan_Maint.]</t>
  </si>
  <si>
    <t>7600304185 - [DAA_Plan_T-Proj.]</t>
  </si>
  <si>
    <t>7600301029 - [DAA Monitoring temperature]</t>
  </si>
  <si>
    <t>7340000010 - [SOM Investm project cost - techn. Inv.]</t>
  </si>
  <si>
    <t>5773100000 - [IC Exp - SMS - Tech Proj Reimbursem.]</t>
  </si>
  <si>
    <t>5773080000 - [IC Exp - SMS - Tech Proj Other Costs]</t>
  </si>
  <si>
    <t>5773070000 - [IC Exp - SMS - Tech Proj. CAPEX]</t>
  </si>
  <si>
    <t>5773060000 - [IC Exp - SMS - Tech Proj. Material]</t>
  </si>
  <si>
    <t>5773050000 - [IC Exp - SMS - Tech Proj. Int.]</t>
  </si>
  <si>
    <t>5773040000 - [IC Exp - SMS - Tech Proj. Ext.]</t>
  </si>
  <si>
    <t>120104 - [Allocated Ext. Maint. / Technical Svcs]</t>
  </si>
  <si>
    <t>7301130007 - [DAA - Maintenance Support]</t>
  </si>
  <si>
    <t>7940000002 - [SOM Engineering und tech. Services Stlmt]</t>
  </si>
  <si>
    <t>7920000017 - [AOM SM Engineer-Techn Investm]</t>
  </si>
  <si>
    <t>7920000016 - [AOM SM Engineering&amp;Tech. Serv]</t>
  </si>
  <si>
    <t>7620301111 - [AOM_Tech Service Center]</t>
  </si>
  <si>
    <t>7620301109 - [AOM_PM Reimbursem.]</t>
  </si>
  <si>
    <t>7620301101 - [AOM_Maint. internal]</t>
  </si>
  <si>
    <t>7620301100 - [AOM_Maint. external]</t>
  </si>
  <si>
    <t>7620000013 - [AOM Technical Costs]</t>
  </si>
  <si>
    <t>7600304236 - [DAA_IC Exp - SMS - Contractor Mgt T]</t>
  </si>
  <si>
    <t>7600304204 - [DAA_Correct.Mt.Oth.2]</t>
  </si>
  <si>
    <t>7600304203 - [DAA_Correct.Mt.Oth.1]</t>
  </si>
  <si>
    <t>7600304202 - [DAA_PM other activities]</t>
  </si>
  <si>
    <t>7600304201 - [DAA_Overhead Costs]</t>
  </si>
  <si>
    <t>7600304200 - [DAA_Overtime Coord.]</t>
  </si>
  <si>
    <t>7600301111 - [DAA_Tech Service Center]</t>
  </si>
  <si>
    <t>7600301100 - [DAA_Maint.external]</t>
  </si>
  <si>
    <t>7600301081 - [DAA_Corrective maint_other]</t>
  </si>
  <si>
    <t>7600301051 - [DAA Compet. Cent._Legal rep]</t>
  </si>
  <si>
    <t>7600301049 - [DAA Multi Discipline coord.]</t>
  </si>
  <si>
    <t>7600301040 - [DAA Techn. Project consult.]</t>
  </si>
  <si>
    <t>7600301015 - [DAA Standby services 24/7]</t>
  </si>
  <si>
    <t>7340000013 - [SOM Global Tech Ops]</t>
  </si>
  <si>
    <t>7340000011 - [SOM Technical Service]</t>
  </si>
  <si>
    <t>7340000003 - [SOM PM internal activities]</t>
  </si>
  <si>
    <t>7340000002 - [SOM PM external activities]</t>
  </si>
  <si>
    <t>7340000001 - [SOM Continous, preventive maintenance]</t>
  </si>
  <si>
    <t>7320130001 - [AOM CCV Alloc. T-Function prod. MEng.]</t>
  </si>
  <si>
    <t>7320110001 - [AOM Techn. Service Costs (Comp. Split)]</t>
  </si>
  <si>
    <t>7301130013 - [DAA - Engineering]</t>
  </si>
  <si>
    <t>7301130012 - [DAA - Maintenance]</t>
  </si>
  <si>
    <t>7301130011 - [DAA - Plan Major Repair]</t>
  </si>
  <si>
    <t>7301130010 - [DAA - overtime WTU]</t>
  </si>
  <si>
    <t>7301130009 - [DAA - overtime WST]</t>
  </si>
  <si>
    <t>7301130008 - [DAA - Man Machine MM1]</t>
  </si>
  <si>
    <t>7301130006 - [DAA - Tech OH]</t>
  </si>
  <si>
    <t>7301130005 - [DAA Technician  Services (internal)]</t>
  </si>
  <si>
    <t>7301130004 - [DAA Technician  Services (external)]</t>
  </si>
  <si>
    <t>7301130003 - [DAA Service Pauschale]</t>
  </si>
  <si>
    <t>7301130002 - [DAA Engineering / Maintenance Services]</t>
  </si>
  <si>
    <t>7301130001 - [DAA Engineering  Services]</t>
  </si>
  <si>
    <t>5773090000 - [IC Exp - SMS - PM Reimbursement]</t>
  </si>
  <si>
    <t>5773030000 - [IC Exp - SMS - Maint. Other Costs]</t>
  </si>
  <si>
    <t>5773010000 - [IC Exp - SMS - Maint. Int.]</t>
  </si>
  <si>
    <t>5203310000 - [IC Exp - SMS - Eng Plant Maintenance]</t>
  </si>
  <si>
    <t>5773000000 - [IC Exp - SMS - Maint. Ext.]</t>
  </si>
  <si>
    <t>5225410000 - [IC Exp - DIV - Assembly]</t>
  </si>
  <si>
    <t>5225210000 - [IC Exp - DIV - Plant Maintenance]</t>
  </si>
  <si>
    <t>5225010000 - [IC Exp - DIV - Engineering]</t>
  </si>
  <si>
    <t>5223150000 - [IC Exp - SMS - Work&amp;Contruction Security]</t>
  </si>
  <si>
    <t>5203110000 - [IC Exp - SMS - Eng Operating Functions]</t>
  </si>
  <si>
    <t>5203210000 - [IC Exp - SMS - Eng Manufact. f. Maint]</t>
  </si>
  <si>
    <t>5201210000 - [IC Exp - SMS - Engineering-Technical Inv]</t>
  </si>
  <si>
    <t>5203410000 - [IC Exp - SMS - Eng Assembly]</t>
  </si>
  <si>
    <t>5203010000 - [IC Exp - SMS - Engineering&amp;Techical Serv]</t>
  </si>
  <si>
    <t>120103 - [External Maintenance / Technical Service]</t>
  </si>
  <si>
    <t>5209000000 - [Ext Serv - Oth Exp f. Repair and Mainten]</t>
  </si>
  <si>
    <t>5200500000 - [Ext Sv-Infra ProjAcr]</t>
  </si>
  <si>
    <t>5200400000 - [Ext Serv - Engineering Serv]</t>
  </si>
  <si>
    <t>5200200000 - [Ext Serv - Contracted Work]</t>
  </si>
  <si>
    <t>5200000000 - [Ext Serv - Technical Serv]</t>
  </si>
  <si>
    <t>120102 - [Allocated Maintenance Material Costs]</t>
  </si>
  <si>
    <t>5202010000 - [Cons of Min TechMat / Min SpareParts IC]</t>
  </si>
  <si>
    <t>7620301102 - [AOM_Maint. Material]</t>
  </si>
  <si>
    <t>7340000004 - [SOM PM Material costs]</t>
  </si>
  <si>
    <t>7330130001 - [OSU TM Technical Material Surcharge]</t>
  </si>
  <si>
    <t>5773020000 - [IC Exp - SMS - Maint. Material]</t>
  </si>
  <si>
    <t>7620301112 - [AOM_Technical Material]</t>
  </si>
  <si>
    <t>120101 - [External Maintenance Material Costs]</t>
  </si>
  <si>
    <t>5202200000 - [Technical Supplies]</t>
  </si>
  <si>
    <t>5202106000 - [Consum of Maj Tech Mat / Maj SpPt - Cor]</t>
  </si>
  <si>
    <t>5202100000 - [Consum of Maj Tech Mat / Maj Spare Parts]</t>
  </si>
  <si>
    <t>5202000000 - [Consum of Min Tech Mat / Min Spare Parts]</t>
  </si>
  <si>
    <t>110000 - [D&amp;A, Rental / Lease &amp; Facility Costs]</t>
  </si>
  <si>
    <t>110200 - [Non Cap Rent/Lease, Fin Impair &amp; Facilty]</t>
  </si>
  <si>
    <t>110205 - [Impairments Financial Assets]</t>
  </si>
  <si>
    <t>5925400000 - [Los f. Recycling Debt Inst FVOCI]</t>
  </si>
  <si>
    <t>5932000000 - [Asset Imp - NRVM of Assets HFS/DispGr]</t>
  </si>
  <si>
    <t>5931000000 - [Impairment of Financial Assets]</t>
  </si>
  <si>
    <t>3313000000 - [Revers of Impairment - Financial Assets]</t>
  </si>
  <si>
    <t>110204 - [Other Rental &amp; Lease costs]</t>
  </si>
  <si>
    <t>5202300000 - [Expense - ARetiOblig - Leased]</t>
  </si>
  <si>
    <t>5173000000 - [Lease Expense  Subleasing - Employee]</t>
  </si>
  <si>
    <t>3911100000 - [Rent &amp; Lease Inc N-Core Busin - Op Lease]</t>
  </si>
  <si>
    <t>3317100000 - [Leased Assets - Incentives]</t>
  </si>
  <si>
    <t>110203 - [Vehicle Costs]</t>
  </si>
  <si>
    <t>5205210000 - [IC Exp - SMS - Garage]</t>
  </si>
  <si>
    <t>7600304005 - [DAA Garage]</t>
  </si>
  <si>
    <t>7600304036 - [DAA_Management car]</t>
  </si>
  <si>
    <t>7600304035 - [DAA_Forklift outdoor (diesel/elektric)]</t>
  </si>
  <si>
    <t>7600304034 - [DAA_Forklift drawbar guided explosion pr]</t>
  </si>
  <si>
    <t>7600304033 - [DAA_Forklift with driverseat explosion p]</t>
  </si>
  <si>
    <t>7600304032 - [DAA_Forklift drawbar guided]</t>
  </si>
  <si>
    <t>7600304031 - [DAA_Forklift with driverseat]</t>
  </si>
  <si>
    <t>7600304030 - [DAA_Transporter (small vehicles, trailer]</t>
  </si>
  <si>
    <t>7600304027 - [DAA_Truck (trailer truck, swap body truc]</t>
  </si>
  <si>
    <t>7600304021 - [DAA_Heavy duty  vehicle (container side]</t>
  </si>
  <si>
    <t>7600304013 - [DAA_Department vehicle (infrequent drive]</t>
  </si>
  <si>
    <t>5205110000 - [IC Exp - SMS - Vehicle Management]</t>
  </si>
  <si>
    <t>5203510000 - [IC Exp - SMS - SM Services Crane]</t>
  </si>
  <si>
    <t>5205310000 - [IC Exp - SMS - Vehicle Maintenance]</t>
  </si>
  <si>
    <t>7600304020 - [DAA Vehicles fuels/power]</t>
  </si>
  <si>
    <t>7600304019 - [DAA Company vehicles]</t>
  </si>
  <si>
    <t>7600304015 - [DAA_Bicycles]</t>
  </si>
  <si>
    <t>7600304014 - [DAA_Executive cars]</t>
  </si>
  <si>
    <t>7600304010 - [DAA_Department vehicle (frequent driver,]</t>
  </si>
  <si>
    <t>5201090000 - [Vehicle - Other Expenses]</t>
  </si>
  <si>
    <t>5201030000 - [Vehicle - Electricity]</t>
  </si>
  <si>
    <t>5201020000 - [Vehicle - Repair and Mainten]</t>
  </si>
  <si>
    <t>5201000000 - [Vehicle - Fuel]</t>
  </si>
  <si>
    <t>110202 - [Buildings, land &amp; facilities costs]</t>
  </si>
  <si>
    <t>110220 - [Allocated Building Costs/Room Charge]</t>
  </si>
  <si>
    <t>5220110000 - [IC Exp - SMS - MRE Rental Services]</t>
  </si>
  <si>
    <t>5221110000 - [IC Exp - SMS - MRE Property Management]</t>
  </si>
  <si>
    <t>5221510000 - [IC Exp-SMS-MRE ValueAdd Real Estate Serv]</t>
  </si>
  <si>
    <t>7620304224 - [AOM S_Space rental cost VB]</t>
  </si>
  <si>
    <t>7620304223 - [AOM S_Space rental cost_op VB]</t>
  </si>
  <si>
    <t>7620304222 - [AOM S_Space rental cost_add VB]</t>
  </si>
  <si>
    <t>7620000031 - [AOM Building add cost]</t>
  </si>
  <si>
    <t>7620000030 - [AOM Building net rent]</t>
  </si>
  <si>
    <t>7600304214 - [DAA_Central Locker Rental]</t>
  </si>
  <si>
    <t>7600304209 - [DAA_Space rental operat.]</t>
  </si>
  <si>
    <t>7600304208 - [DAA_Space rental]</t>
  </si>
  <si>
    <t>7600304207 - [DAA_Space rent.add.]</t>
  </si>
  <si>
    <t>7600304093 - [DAA Moving Service]</t>
  </si>
  <si>
    <t>7600304088 - [DAA Furniture]</t>
  </si>
  <si>
    <t>7320110008 - [AOM Building Charge Non Local Function]</t>
  </si>
  <si>
    <t>7301160001 - [DAA Building Charge Non Local Function]</t>
  </si>
  <si>
    <t>7020000005 - [AOM Cost transfer Buildings]</t>
  </si>
  <si>
    <t>7010000001 - [IAA  Building Charge LF (incl. energy)]</t>
  </si>
  <si>
    <t>110201 - [Machinery &amp; Equipment Cost]</t>
  </si>
  <si>
    <t>7620000020 - [AOM Rental Charges]</t>
  </si>
  <si>
    <t>7320110014 - [AOM P.Fix - Equipm. Rest  (Comp.Split)]</t>
  </si>
  <si>
    <t>7320110012 - [AOM General Production Equipment]</t>
  </si>
  <si>
    <t>7600301011 - [DAA Equip./Machine rental 1]</t>
  </si>
  <si>
    <t>110100 - [D&amp;A incl.Capitalz Leases/EBITDA pre rel.]</t>
  </si>
  <si>
    <t>110106 - [Elimination invoice Leasing Inc/Exp IFRS]</t>
  </si>
  <si>
    <t>110126 - [Elimination of Cap. leased invoices IFRS]</t>
  </si>
  <si>
    <t>4515400000 - [Recognized Expense - Carpool - RoU]</t>
  </si>
  <si>
    <t>4515200000 - [Recognized Expense - Building - RoU]</t>
  </si>
  <si>
    <t>4515100000 - [Recognized Expense - Land - RoU]</t>
  </si>
  <si>
    <t>5969008000 - [Oth Exp - RoU - Clearing]</t>
  </si>
  <si>
    <t>5172000001 - [Leasing Costs - Tech Machine &amp; Equipment]</t>
  </si>
  <si>
    <t>5172000000 - [Leasing Costs - Other Tangible Assets]</t>
  </si>
  <si>
    <t>5171000001 - [Leasing Costs - Land&amp;Build Add Prop Exp]</t>
  </si>
  <si>
    <t>5171000000 - [Leasing Costs - Land and Buildings]</t>
  </si>
  <si>
    <t>5170000000 - [Leasing Costs - Vehicles]</t>
  </si>
  <si>
    <t>5169000000 - [Rental Costs - Other Tangible Assets]</t>
  </si>
  <si>
    <t>5161000000 - [Rental Costs - Plants &amp; Mach/Fixt &amp; Fitt]</t>
  </si>
  <si>
    <t>5160000000 - [Rental Costs - Land and Buildings]</t>
  </si>
  <si>
    <t>4515600000 - [Recognized Expense - OthFixA - RoU]</t>
  </si>
  <si>
    <t>4515500000 - [Recognized Expense - ITEquipm - RoU]</t>
  </si>
  <si>
    <t>4515300000 - [Recognized Expense - TecEqMa - RoU]</t>
  </si>
  <si>
    <t>4515000000 - [Lease Payments Before Commencement Date]</t>
  </si>
  <si>
    <t>4514000000 - [Leased Assets - Initial Direct Costs]</t>
  </si>
  <si>
    <t>4513000000 - [Capitalized Finance Lease Lessee]</t>
  </si>
  <si>
    <t>5170000001 - [Leasing Costs - Vehicles - Tax]</t>
  </si>
  <si>
    <t>110116 - [Leased Invoices for Capitalization IFRS]</t>
  </si>
  <si>
    <t>5202400000 - [Finance Lease Lessee for Fixed Assets]</t>
  </si>
  <si>
    <t>110105 - [Vehicle depreciation &amp; impairm.]</t>
  </si>
  <si>
    <t>5113500400 - [Impairment - Carpool - RoU]</t>
  </si>
  <si>
    <t>5113500001 - [Impairment - Carpool - Acc1]</t>
  </si>
  <si>
    <t>5113500000 - [Impairment - Carpool]</t>
  </si>
  <si>
    <t>5113000300 - [Depreciation - Carpool - RoU]</t>
  </si>
  <si>
    <t>5113000001 - [Depreciation - Carpool - Acc1]</t>
  </si>
  <si>
    <t>5113000000 - [Depreciation - Carpool]</t>
  </si>
  <si>
    <t>5112500400 - [Impairment - Carpool - RoU]</t>
  </si>
  <si>
    <t>110104 - [Other Depreciation, Amort &amp; Imparim.]</t>
  </si>
  <si>
    <t>5119000000 - [Low Value Assets - Purchase]</t>
  </si>
  <si>
    <t>5115000010 - [Depreciation - Other Fixed Assets - PPA]</t>
  </si>
  <si>
    <t>7824210000 - [APA Amort. of int. assets Other]</t>
  </si>
  <si>
    <t>7824110000 - [APA Asset impairment]</t>
  </si>
  <si>
    <t>7823200000 - [APA Income from reversal of impairments]</t>
  </si>
  <si>
    <t>7820120002 - [APA Field force - Depreciation]</t>
  </si>
  <si>
    <t>7620000019 - [AOM Depreciation GWG]</t>
  </si>
  <si>
    <t>7600304012 - [DAA Contractor Mgmt]</t>
  </si>
  <si>
    <t>7320110009 - [AOM Depreciation]</t>
  </si>
  <si>
    <t>5119400000 - [Low Value Assets - Capitalization]</t>
  </si>
  <si>
    <t>5119200001 - [Low Value Assets - Depreciation - Acc1]</t>
  </si>
  <si>
    <t>5119200000 - [Low Value Assets - Depreciation]</t>
  </si>
  <si>
    <t>5115500400 - [Impairment - Other Fixed Assets - RoU]</t>
  </si>
  <si>
    <t>5115500001 - [Impairment - Other Fixed Assets - Acc1]</t>
  </si>
  <si>
    <t>5115500000 - [Impairment - Other Fixed Assets]</t>
  </si>
  <si>
    <t>5115000300 - [Depreciation - Other Fixed Assets - RoU]</t>
  </si>
  <si>
    <t>5115000001 - [Depreciation - Other Fixed Assets - Acc1]</t>
  </si>
  <si>
    <t>5115000000 - [Depreciation - Other Fixed Assets]</t>
  </si>
  <si>
    <t>3314000000 - [Revers of Imp-NRVM of Assets HFS/ DispGr]</t>
  </si>
  <si>
    <t>3311000400 - [Revers of Imp - Fixed Assets - RoU]</t>
  </si>
  <si>
    <t>3311000001 - [Revers of Imp - Tangible Fix Assets-Acc1]</t>
  </si>
  <si>
    <t>3311000000 - [Revers of Imp - Tangible Fixed Assets]</t>
  </si>
  <si>
    <t>110103 - [Intangible Asset amortization &amp; impairme]</t>
  </si>
  <si>
    <t>5100000011 - [Amor of Intangible Assets (without SW)]</t>
  </si>
  <si>
    <t>5100000010 - [Amor of Intangible Assets (w/o SW) - PPA]</t>
  </si>
  <si>
    <t>5101000010 - [Impairment of Intangible Assets - PPA]</t>
  </si>
  <si>
    <t>5101000001 - [Impairment of Intangible Assets-Acc1]</t>
  </si>
  <si>
    <t>5101000000 - [Impairment of Intangible Assets]</t>
  </si>
  <si>
    <t>5100010001 - [Amor of Intangible Assets - SW - Acc1]</t>
  </si>
  <si>
    <t>5100010000 - [Amor of Intangible Assets - SW]</t>
  </si>
  <si>
    <t>5100000001 - [Amor of Intang Assets (without SW)-Acc1]</t>
  </si>
  <si>
    <t>5100000000 - [Amor of Intangible Assets (without SW)]</t>
  </si>
  <si>
    <t>3310000001 - [Revers of Impairment - IntangAssets-Acc1]</t>
  </si>
  <si>
    <t>3310000000 - [Revers of Impairment - Intangible Assets]</t>
  </si>
  <si>
    <t>110102 - [Building, land &amp; facility Deprc &amp; Impair]</t>
  </si>
  <si>
    <t>7620000017 - [AOM Depreciation Buildings]</t>
  </si>
  <si>
    <t>5111500400 - [Impairment - Land &amp; Buildings - RoU]</t>
  </si>
  <si>
    <t>5111500010 - [Impairment - Land &amp; Buildings - PPA]</t>
  </si>
  <si>
    <t>5111500001 - [Impairment - Land &amp; Buildings-Account 1]</t>
  </si>
  <si>
    <t>5111500000 - [Impairment - Land &amp; Buildings]</t>
  </si>
  <si>
    <t>5111000300 - [Depreciation - Buildings - Right of Use]</t>
  </si>
  <si>
    <t>5111000010 - [Depreciation - Buildings - PPA]</t>
  </si>
  <si>
    <t>5111000001 - [Depreciation - Buildings-Account 1]</t>
  </si>
  <si>
    <t>5111000000 - [Depreciation - Buildings]</t>
  </si>
  <si>
    <t>110101 - [Machinery &amp; equipment Deprec. &amp; Impairm.]</t>
  </si>
  <si>
    <t>7620000018 - [AOM Depreciation Equipment]</t>
  </si>
  <si>
    <t>5114500400 - [Impairment - IT Equipment - RoU]</t>
  </si>
  <si>
    <t>5114500001 - [Impairment - IT Equipment - Acc1]</t>
  </si>
  <si>
    <t>5114500000 - [Impairment - IT Equipment]</t>
  </si>
  <si>
    <t>5114000300 - [Depreciation - IT Equipment - RoU]</t>
  </si>
  <si>
    <t>5114000001 - [Depreciation - IT Equipment - Acc1]</t>
  </si>
  <si>
    <t>5114000000 - [Depreciation - IT Equipment]</t>
  </si>
  <si>
    <t>5112500001 - [Impairment - Techn Equipment &amp; Mach]</t>
  </si>
  <si>
    <t>5112500000 - [Impairment - Techn Equipment &amp; Mach]</t>
  </si>
  <si>
    <t>5112000300 - [Depreciation - Techn Equip &amp; Mach - RoU]</t>
  </si>
  <si>
    <t>5112000010 - [Depreciation - Techn Equip. &amp; Mach - PPA]</t>
  </si>
  <si>
    <t>5112000001 - [Depreciation - Techn Equipm &amp; Mach-Acc1]</t>
  </si>
  <si>
    <t>5112000000 - [Depreciation - Techn Equipment &amp; Mach]</t>
  </si>
  <si>
    <t>100000 - [Personnel Costs]</t>
  </si>
  <si>
    <t>100500 - [Intercompany Persn'l Costs (excl. Expat)]</t>
  </si>
  <si>
    <t>7240000009 - [SOM Employee Related Settlement]</t>
  </si>
  <si>
    <t>5060010000 - [IC Expenses - External Training HR]</t>
  </si>
  <si>
    <t>5050010000 - [IC Expenses - External Recruiting HR]</t>
  </si>
  <si>
    <t>100400 - [Other staff related costs]</t>
  </si>
  <si>
    <t>100403 - [Severance &amp; Retention]</t>
  </si>
  <si>
    <t>100423 - [Severance]</t>
  </si>
  <si>
    <t>5020010000 - [Payr - Severance Pay]</t>
  </si>
  <si>
    <t>100413 - [Retention]</t>
  </si>
  <si>
    <t>5001003000 - [Bonuses - Retention Bonus]</t>
  </si>
  <si>
    <t>100402 - [Other Personnel Cost]</t>
  </si>
  <si>
    <t>7320110013 - [AOM Prod. Fix - Dir. Pers.  (Comp.Split)]</t>
  </si>
  <si>
    <t>7240000006 - [SOM Compensation Settlement]</t>
  </si>
  <si>
    <t>7200000010 - [DAA_MGF Absence hours]</t>
  </si>
  <si>
    <t>5030990000 - [Non-Allocable Personnel Exp]</t>
  </si>
  <si>
    <t>5030090007 - [Oth Pers Exp - Employben/KomplexScrTest]</t>
  </si>
  <si>
    <t>5030090006 - [Oth Pers Exp - Employben/Cash]</t>
  </si>
  <si>
    <t>5030090002 - [Oth Pers Exp - Employben/EDENRED Card]</t>
  </si>
  <si>
    <t>5030090001 - [Oth Pers Exp - Employben/OthPersCost]</t>
  </si>
  <si>
    <t>5030090000 - [Oth Pers Exp - Miscellaneous]</t>
  </si>
  <si>
    <t>5030010012 - [Oth Pers Exp - Allowances-Acc12]</t>
  </si>
  <si>
    <t>5030010011 - [Oth Pers Exp - Allowances-Acc11]</t>
  </si>
  <si>
    <t>5030010002 - [Oth Pers Exp - Allowances-Acc2]</t>
  </si>
  <si>
    <t>5030010001 - [Oth Pers Exp - Allowances-Acc1]</t>
  </si>
  <si>
    <t>5030009001 - [Oth Pers Exp - Gifts to Employee OLL]</t>
  </si>
  <si>
    <t>5030009000 - [Oth Pers Exp - Gifts to Employee ULL]</t>
  </si>
  <si>
    <t>5030007000 - [Oth Pers Exp - Lump-Sum Tax f. Bene Ik]</t>
  </si>
  <si>
    <t>5030006001 - [Oth Pers Exp - Events/Meals f. Empl OLL]</t>
  </si>
  <si>
    <t>5030006000 - [Oth Pers Exp - Events/Meals f. Empl ULL]</t>
  </si>
  <si>
    <t>5030004000 - [Oth Pers Exp - Rent Free Housing]</t>
  </si>
  <si>
    <t>5030003000 - [Oth Pers Exp - Subsid of Employee Meals]</t>
  </si>
  <si>
    <t>5000006000 - [Payroll - Gratuity Paid]</t>
  </si>
  <si>
    <t>3955500000 - [Oth Inc - ReFund of Employee Priv Use]</t>
  </si>
  <si>
    <t>100401 - [Recruitment Costs]</t>
  </si>
  <si>
    <t>7220000019 - [AOM ExternalRecruiting&amp;OtherPersonlCosts]</t>
  </si>
  <si>
    <t>7220000014 - [AOM Recruiting expenses]</t>
  </si>
  <si>
    <t>5981310000 - [Reimbursement IC - External Recruit HR]</t>
  </si>
  <si>
    <t>5050005000 - [Recruitment - Travel Exp for Candidates]</t>
  </si>
  <si>
    <t>5050004000 - [Recruitment  - Personnel Procurement Exp]</t>
  </si>
  <si>
    <t>5050003000 - [Recruitment - Ext Recruiting Supp Serv]</t>
  </si>
  <si>
    <t>5050002000 - [Recruitment - Headhunter Expenses]</t>
  </si>
  <si>
    <t>5050001000 - [Recruitment - Job Postings/Online Sourc]</t>
  </si>
  <si>
    <t>5050000000 - [Recruitment - Recruiting Expenses]</t>
  </si>
  <si>
    <t>5030002000 - [Oth Pers Exp - Referral Bonus]</t>
  </si>
  <si>
    <t>5030001000 - [Oth Pers Exp - Signing Bonus]</t>
  </si>
  <si>
    <t>5030000000 - [Oth Pers Exp - Moving Expenses]</t>
  </si>
  <si>
    <t>100300 - [Training &amp; Development Costs]</t>
  </si>
  <si>
    <t>7600304182 - [DAA_RTI other services]</t>
  </si>
  <si>
    <t>7600304148 - [DAA Social Counselling Trainings]</t>
  </si>
  <si>
    <t>7600304144 - [DAA Health Trainings]</t>
  </si>
  <si>
    <t>7600304067 - [DAA Training Occupational &amp; plant safety]</t>
  </si>
  <si>
    <t>7600304038 - [DAA Training Environm.]</t>
  </si>
  <si>
    <t>7560000003 - [AOM IC External Training]</t>
  </si>
  <si>
    <t>7200000011 - [DAA_MGF Charge Other]</t>
  </si>
  <si>
    <t>7200000009 - [DAA_MGF Training]</t>
  </si>
  <si>
    <t>7200000008 - [DAA Training Non HR personnel]</t>
  </si>
  <si>
    <t>7200000007 - [DAA Training HR personnel]</t>
  </si>
  <si>
    <t>7120000004 - [AOM IT TRAINING]</t>
  </si>
  <si>
    <t>7100000020 - [DAA_IT Training]</t>
  </si>
  <si>
    <t>7100000009 - [DAA IT TRAINING]</t>
  </si>
  <si>
    <t>5980610000 - [Reimbursement IC - External Training HR]</t>
  </si>
  <si>
    <t>5060000000 - [Training]</t>
  </si>
  <si>
    <t>100200 - [Temporary staff]</t>
  </si>
  <si>
    <t>100202 - [Internal Temporary Staff Costs]</t>
  </si>
  <si>
    <t>7600304188 - [DAA_LAT_Hours]</t>
  </si>
  <si>
    <t>7600304078 - [DAA Waste Avoidance / Off-Spec Sales]</t>
  </si>
  <si>
    <t>7600304025 - [DAA Interim Work./Integrat.]</t>
  </si>
  <si>
    <t>7600304024 - [DAA Interim Workf./N-Tariff]</t>
  </si>
  <si>
    <t>7600304023 - [DAA Interim Workf./Tariff]</t>
  </si>
  <si>
    <t>7600304022 - [DAA Interim Workf./Trainee]</t>
  </si>
  <si>
    <t>7310120001 - [IAA Personnel pool Direct Production]</t>
  </si>
  <si>
    <t>7300007000 - [DAA Service Core Business]</t>
  </si>
  <si>
    <t>7200000006 - [DAA Temporary Personnel]</t>
  </si>
  <si>
    <t>7020000006 - [AOM Cost transfer Personnel]</t>
  </si>
  <si>
    <t>7000000002 - [DAA-Without Tarif High Rate *prev. LAT]</t>
  </si>
  <si>
    <t>7000000001 - [DAA-With Tarif Low Rate *prev.LEI]</t>
  </si>
  <si>
    <t>5223510000 - [IC Exp - SMS – MyJob@Merck]</t>
  </si>
  <si>
    <t>5040000001 - [External Personnel costs-Acc1]</t>
  </si>
  <si>
    <t>100201 - [External Temporary Staff Costs]</t>
  </si>
  <si>
    <t>5040090000 - [Ext Pers - Oth Ext Staff Non-Project Rel]</t>
  </si>
  <si>
    <t>5040010000 - [External Personnel - Subcontractors]</t>
  </si>
  <si>
    <t>5040000000 - [External Personnel costs]</t>
  </si>
  <si>
    <t>100100 - [Personnel Costs w/o Temps]</t>
  </si>
  <si>
    <t>100105 - [Expatriate Costs]</t>
  </si>
  <si>
    <t>7240000008 - [SOM ExPat Cost Settlement]</t>
  </si>
  <si>
    <t>7220000013 - [AOM Expatriate expenses]</t>
  </si>
  <si>
    <t>5980710000 - [Reimbursement IC - Expat Compens &amp; Benef]</t>
  </si>
  <si>
    <t>5002010000 - [IC Expences - Expat Compensation &amp; Benef]</t>
  </si>
  <si>
    <t>5002003000 - [Expat Exp - Car Allowances]</t>
  </si>
  <si>
    <t>5002002000 - [Expat Exp - Non-Personnel Allowances]</t>
  </si>
  <si>
    <t>100104 - [Long Term Incentive Plan (LTIP)]</t>
  </si>
  <si>
    <t>5001002000 - [Bonu - Company Incentive Payment Schemes]</t>
  </si>
  <si>
    <t>100103 - [Bonuses]</t>
  </si>
  <si>
    <t>100133 - [Other Bonuses]</t>
  </si>
  <si>
    <t>5001000001 - [Bonuses - Bonus - Account 1]</t>
  </si>
  <si>
    <t>5001001000 - [Bonuses - Incentives]</t>
  </si>
  <si>
    <t>5001000003 - [Bonuses - Bonus provision related]</t>
  </si>
  <si>
    <t>5001000002 - [Bonuses - Bonus - Account 2]</t>
  </si>
  <si>
    <t>100123 - [Sales Incentive Plan (SIP)]</t>
  </si>
  <si>
    <t>5000007000 - [Payroll - Employee Commissions]</t>
  </si>
  <si>
    <t>100113 - [Annual Incentive Plan (AIP)]</t>
  </si>
  <si>
    <t>5001000000 - [Bonuses - Bonus - AIP]</t>
  </si>
  <si>
    <t>100102 - [Fringes]</t>
  </si>
  <si>
    <t>100132 - [Variable Salary Payments]</t>
  </si>
  <si>
    <t>5000091000 - [Payroll - Oth Pay - Special Tax Treatmen]</t>
  </si>
  <si>
    <t>5000090000 - [Payroll - Other Pay]</t>
  </si>
  <si>
    <t>5000004000 - [Payroll - Employee Leave Benefits]</t>
  </si>
  <si>
    <t>5000003002 - [Payroll - Holiday Pay - Account 2]</t>
  </si>
  <si>
    <t>5000003000 - [Payroll - Holiday Pay]</t>
  </si>
  <si>
    <t>5000002000 - [Payroll - Overtime Pay]</t>
  </si>
  <si>
    <t>5000001000 - [Payroll - Shift Pay]</t>
  </si>
  <si>
    <t>100122 - [Retirement/Pension Plans]</t>
  </si>
  <si>
    <t>5030090004 - [Oth Pers Exp - Employben Private Pension]</t>
  </si>
  <si>
    <t>5020002000 - [Pension Fund Contributions]</t>
  </si>
  <si>
    <t>5020001000 - [Stat Pension Insurance Contributions]</t>
  </si>
  <si>
    <t>5020000001 - [Pensions - Pension Plan Expenses - Acc1]</t>
  </si>
  <si>
    <t>5020000000 - [Pensions - Pension Plan Expenses]</t>
  </si>
  <si>
    <t>7020000011 - [AOM Pensionssicherungsverein pens. secur]</t>
  </si>
  <si>
    <t>7020000010 - [AOM Pensionsrueckstellung pension accrua]</t>
  </si>
  <si>
    <t>100112 - [Social Contributions]</t>
  </si>
  <si>
    <t>5030090003 - [Oth Pers Exp - Employben Priv HealthCare]</t>
  </si>
  <si>
    <t>5030008000 - [Oth Pers Exp - Contribution to Soc Funds]</t>
  </si>
  <si>
    <t>5030005000 - [Oth Pers Exp - Voluntary Social Exp]</t>
  </si>
  <si>
    <t>5010020000 - [Payr - Health Care]</t>
  </si>
  <si>
    <t>5010010000 - [Payr - Public &amp; Employee Liab Insurance]</t>
  </si>
  <si>
    <t>5010009000 - [Payr - Social Insurance Contrib - Oth]</t>
  </si>
  <si>
    <t>5010001000 - [Payr - Social Insurance - Unemployment]</t>
  </si>
  <si>
    <t>5010000002 - [Payr - Social Insurance Contrib - Acc 2]</t>
  </si>
  <si>
    <t>5010000001 - [Payr - Social Insurance Contrib - Acc 1]</t>
  </si>
  <si>
    <t>5010000000 - [Payr - Social Insurance Contribution]</t>
  </si>
  <si>
    <t>5002000000 - [Expat Exp - Remun &amp; Soc Contrib Co]</t>
  </si>
  <si>
    <t>5001000004 - [Bonuses - Social tax on prov rel bonus]</t>
  </si>
  <si>
    <t>5000093000 - [Payroll - Oth Payments - Not Tax Relev]</t>
  </si>
  <si>
    <t>5000092000 - [Payroll - Other Remuneration]</t>
  </si>
  <si>
    <t>7020000009 - [AOM Berufsgenossenschaft trade associati]</t>
  </si>
  <si>
    <t>100101 - [Base Salaries / Wages]</t>
  </si>
  <si>
    <t>5000005001 - [Payroll - Sick Pay - PaidSickFund]</t>
  </si>
  <si>
    <t>5000005000 - [Payroll - Sick Pay]</t>
  </si>
  <si>
    <t>5000000002 - [Payroll - Salaries and Wages - Account 2]</t>
  </si>
  <si>
    <t>5000000001 - [Payroll - Salaries and Wages - Account 1]</t>
  </si>
  <si>
    <t>5000000000 - [Payroll - Salaries and Wages]</t>
  </si>
  <si>
    <t>Root</t>
  </si>
  <si>
    <t>Logistics</t>
  </si>
  <si>
    <t>CES_STD</t>
  </si>
  <si>
    <t>Water</t>
  </si>
  <si>
    <t>Energy</t>
  </si>
  <si>
    <t>Steam</t>
  </si>
  <si>
    <t>Training</t>
  </si>
  <si>
    <t>Electricity</t>
  </si>
  <si>
    <t>Severance</t>
  </si>
  <si>
    <t>Retention</t>
  </si>
  <si>
    <t xml:space="preserve">CES_STD </t>
  </si>
  <si>
    <t>Global Cost Element Hierarchy</t>
  </si>
  <si>
    <t>Personnel Costs</t>
  </si>
  <si>
    <t>Personnel Costs w/o Temps</t>
  </si>
  <si>
    <t>Base Salaries / Wages</t>
  </si>
  <si>
    <t>Fringes</t>
  </si>
  <si>
    <t>Social Contributions</t>
  </si>
  <si>
    <t>Retirement/Pension Plans</t>
  </si>
  <si>
    <t>Variable Salary Payments</t>
  </si>
  <si>
    <t>Bonuses</t>
  </si>
  <si>
    <t>Annual Incentive Plan (AIP)</t>
  </si>
  <si>
    <t>Sales Incentive Plan (SIP)</t>
  </si>
  <si>
    <t>Other Bonuses</t>
  </si>
  <si>
    <t>Long Term Incentive Plan (LTIP)</t>
  </si>
  <si>
    <t>Expatriate Costs</t>
  </si>
  <si>
    <t>Temporary staff</t>
  </si>
  <si>
    <t>External Temporary Staff Costs</t>
  </si>
  <si>
    <t>Internal Temporary Staff Costs</t>
  </si>
  <si>
    <t>Training &amp; Development Costs</t>
  </si>
  <si>
    <t>Other staff related costs</t>
  </si>
  <si>
    <t>Recruitment Costs</t>
  </si>
  <si>
    <t>Other Personnel Cost</t>
  </si>
  <si>
    <t>Severance &amp; Retention</t>
  </si>
  <si>
    <t>Intercompany Persn'l Costs (excl. Expat)</t>
  </si>
  <si>
    <t>D&amp;A, Rental / Lease &amp; Facility Costs</t>
  </si>
  <si>
    <t>D&amp;A incl.Capitalz Leases/EBITDA pre rel.</t>
  </si>
  <si>
    <t>Machinery &amp; equipment Deprec. &amp; Impairm.</t>
  </si>
  <si>
    <t>Building, land &amp; facility Deprc &amp; Impair</t>
  </si>
  <si>
    <t>Intangible Asset amortization &amp; impairme</t>
  </si>
  <si>
    <t>Other Depreciation, Amort &amp; Imparim.</t>
  </si>
  <si>
    <t>Vehicle depreciation &amp; impairm.</t>
  </si>
  <si>
    <t>Elimination invoice Leasing Inc/Exp IFRS</t>
  </si>
  <si>
    <t>Leased Invoices for Capitalization IFRS</t>
  </si>
  <si>
    <t>Elimination of Cap. leased invoices IFRS</t>
  </si>
  <si>
    <t>Non Cap Rent/Lease, Fin Impair &amp; Facilty</t>
  </si>
  <si>
    <t>Machinery &amp; Equipment Cost</t>
  </si>
  <si>
    <t>Buildings, land &amp; facilities costs</t>
  </si>
  <si>
    <t>Allocated Building Costs/Room Charge</t>
  </si>
  <si>
    <t>Vehicle Costs</t>
  </si>
  <si>
    <t>Other Rental &amp; Lease costs</t>
  </si>
  <si>
    <t>Impairments Financial Assets</t>
  </si>
  <si>
    <t>Technical, Infrastructure and Energy</t>
  </si>
  <si>
    <t>Maintenance &amp; Technical Service Costs</t>
  </si>
  <si>
    <t>External Maintenance Material Costs</t>
  </si>
  <si>
    <t>Allocated Maintenance Material Costs</t>
  </si>
  <si>
    <t>External Maintenance / Technical Service</t>
  </si>
  <si>
    <t>Allocated Ext. Maint. / Technical Svcs</t>
  </si>
  <si>
    <t>Allocated Opex from investment projects</t>
  </si>
  <si>
    <t>Externally sourced energy costs</t>
  </si>
  <si>
    <t>Allocated produced energies &amp; utilities</t>
  </si>
  <si>
    <t>Natural gas</t>
  </si>
  <si>
    <t>Compressed Air</t>
  </si>
  <si>
    <t>Alloc. Energy/Utility Costs (CompSplit)</t>
  </si>
  <si>
    <t>Other Allocated Energies</t>
  </si>
  <si>
    <t>Site &amp; Infrastructure</t>
  </si>
  <si>
    <t>General Site Services</t>
  </si>
  <si>
    <t>Alloc. Gen'l Infrastructure Costs</t>
  </si>
  <si>
    <t>Alloc. Production related site costs</t>
  </si>
  <si>
    <t>Quality and Analytics costs</t>
  </si>
  <si>
    <t>Environment protection costs</t>
  </si>
  <si>
    <t>Inbound Freight</t>
  </si>
  <si>
    <t>Customs &amp; Duties</t>
  </si>
  <si>
    <t>3rd Party Inbound Freight</t>
  </si>
  <si>
    <t>Outbound Freight</t>
  </si>
  <si>
    <t>3rd Party Outbound Freight</t>
  </si>
  <si>
    <t>IC Outbound Freight</t>
  </si>
  <si>
    <t>External Logistic Services</t>
  </si>
  <si>
    <t>Intercompany Logistics</t>
  </si>
  <si>
    <t>Material &amp; Inventory</t>
  </si>
  <si>
    <t>Material Consumption</t>
  </si>
  <si>
    <t>Consumption of raw materials</t>
  </si>
  <si>
    <t>Consumption of packaging materials</t>
  </si>
  <si>
    <t>Consumption of production materials</t>
  </si>
  <si>
    <t>Consumption of merchandise</t>
  </si>
  <si>
    <t>Consumption of goods from subcontracting</t>
  </si>
  <si>
    <t>Consumption of other materials</t>
  </si>
  <si>
    <t>Inventory Adjustments</t>
  </si>
  <si>
    <t>Cycle Counts</t>
  </si>
  <si>
    <t>Disposals</t>
  </si>
  <si>
    <t>Reserves</t>
  </si>
  <si>
    <t>Price Variances</t>
  </si>
  <si>
    <t>3rd Party Price Variances</t>
  </si>
  <si>
    <t>Intercompany Price Variances</t>
  </si>
  <si>
    <t>Subcontracting Fees</t>
  </si>
  <si>
    <t>Promo, Market Research &amp; Royalty</t>
  </si>
  <si>
    <t>Promotion Costs &amp; Fees</t>
  </si>
  <si>
    <t>Promotion Costs &amp; Advertising</t>
  </si>
  <si>
    <t>Advisory/Speaker fees</t>
  </si>
  <si>
    <t>License, Royalty &amp; 3P Sls Commission Exp</t>
  </si>
  <si>
    <t>Grants &amp; Donations (expense)</t>
  </si>
  <si>
    <t>Market Research / Bus. Intellig. Costs</t>
  </si>
  <si>
    <t>Market Access &amp; Pricing Costs</t>
  </si>
  <si>
    <t>Congresses &amp; Events</t>
  </si>
  <si>
    <t>Intercompany M&amp;S (FF/SI/SP/OM)</t>
  </si>
  <si>
    <t>External R&amp;D Services</t>
  </si>
  <si>
    <t>R&amp;D Registration Costs</t>
  </si>
  <si>
    <t>Research Institutes</t>
  </si>
  <si>
    <t>Other External R&amp;D Services</t>
  </si>
  <si>
    <t>Internal R&amp;D Services</t>
  </si>
  <si>
    <t>IPR Holder Accruals (HC)</t>
  </si>
  <si>
    <t>Grants &amp; Reimbursements 3P</t>
  </si>
  <si>
    <t>R&amp;D Intercompany Business</t>
  </si>
  <si>
    <t>R&amp;D IPR Holder</t>
  </si>
  <si>
    <t>R&amp;D Intra Group Services</t>
  </si>
  <si>
    <t>IT &amp; Telecommunication Costs</t>
  </si>
  <si>
    <t>IT Costs 3rd party(Network,HW,SW,Lic.)</t>
  </si>
  <si>
    <t>Network / Telecommunication</t>
  </si>
  <si>
    <t>IT Contracting Services</t>
  </si>
  <si>
    <t>Hard- and Software</t>
  </si>
  <si>
    <t>External Service Contracts</t>
  </si>
  <si>
    <t>IT Licenses</t>
  </si>
  <si>
    <t>Allocated IT Cost (not project related)</t>
  </si>
  <si>
    <t>Allocated IT Application Service</t>
  </si>
  <si>
    <t>Other IT Costs</t>
  </si>
  <si>
    <t>Allocated Telecommunication services</t>
  </si>
  <si>
    <t>Global IT Run Collection&amp;IT Proj.ICON-IS</t>
  </si>
  <si>
    <t>Allocated internal &amp; external IT Project</t>
  </si>
  <si>
    <t>Internal cost charging to projects</t>
  </si>
  <si>
    <t>Alloc. IT Project Costs (ext. &amp; int.)</t>
  </si>
  <si>
    <t>Allocated Other IT Project Costs</t>
  </si>
  <si>
    <t>Consulting Services &amp; Fees</t>
  </si>
  <si>
    <t>Legal,Bank &amp; Professional fees</t>
  </si>
  <si>
    <t>Auditors &amp; Tax Consulting fees</t>
  </si>
  <si>
    <t>Bank charges</t>
  </si>
  <si>
    <t>Legal &amp; Court expenses</t>
  </si>
  <si>
    <t>Profession.Fees(collect,translat,milest)</t>
  </si>
  <si>
    <t>Other charges and fees</t>
  </si>
  <si>
    <t>Premiums Insurance Fees</t>
  </si>
  <si>
    <t>Membership &amp; Subscription fees</t>
  </si>
  <si>
    <t>Penalties/Fines for tax and social ctrb.</t>
  </si>
  <si>
    <t>Management Consulting</t>
  </si>
  <si>
    <t>Strategy,Innovation,Bus.Devel.consulting</t>
  </si>
  <si>
    <t>Internal Consulting costs IC (CS)</t>
  </si>
  <si>
    <t>Other IC Services non MGF (OX,RS)</t>
  </si>
  <si>
    <t>Other Intercompany Income (non-MGF)</t>
  </si>
  <si>
    <t>Other Intercompany Expenses (non-MGF)</t>
  </si>
  <si>
    <t>Travel &amp; Entertainment</t>
  </si>
  <si>
    <t>Travel Costs</t>
  </si>
  <si>
    <t>Entertainment Expenses</t>
  </si>
  <si>
    <t>Office supplies, Postage &amp; Admin. Exp</t>
  </si>
  <si>
    <t>Operative FX, Tax, Interest inc/exp</t>
  </si>
  <si>
    <t>Operative FX expenses, interest inc/exp</t>
  </si>
  <si>
    <t>Operating taxes</t>
  </si>
  <si>
    <t>Other operating Income/Expense</t>
  </si>
  <si>
    <t>Fixed assets Gains/Losses</t>
  </si>
  <si>
    <t>IC Remain. Oth. Inc/Exp. and Mark up</t>
  </si>
  <si>
    <t>Operations Credit</t>
  </si>
  <si>
    <t>Material Overhead Surcharges</t>
  </si>
  <si>
    <t>Material Overhead Variances</t>
  </si>
  <si>
    <t>Capitalized Adv Payments for Intangibles</t>
  </si>
  <si>
    <t>Cap Adv Payments for Tangible Assets</t>
  </si>
  <si>
    <t>Sales Revenue - Goods</t>
  </si>
  <si>
    <t>Sales Revenue - Goods - Customs Duties</t>
  </si>
  <si>
    <t>Sales Revenue - Goods - Account 2</t>
  </si>
  <si>
    <t>Sales Revenue - Goods - CorrAcc</t>
  </si>
  <si>
    <t>DO NOT USE_Sales Revenue - Legacy Versum</t>
  </si>
  <si>
    <t>Sales Revenue Goods - Product Surcharge</t>
  </si>
  <si>
    <t>Sales Revenue Goods - Energy Surcharge</t>
  </si>
  <si>
    <t>Sales Revenue Goods - Other Surcharge</t>
  </si>
  <si>
    <t>Sales Revenue Recognition - Goods</t>
  </si>
  <si>
    <t>Sales Revenue - Merchandise</t>
  </si>
  <si>
    <t>Sales Revenue - Merchandise - Export</t>
  </si>
  <si>
    <t>Sales Rev- Merchandise-By-Product Sales</t>
  </si>
  <si>
    <t>Sales Revenue - Merchandise - CorrAcc</t>
  </si>
  <si>
    <t>Sales Revenue - Merchandise-IC</t>
  </si>
  <si>
    <t>Sales Revenue - Merchandise - IC Export</t>
  </si>
  <si>
    <t>Sales Revenue - Merchandise-IC-Export</t>
  </si>
  <si>
    <t>Sales Rev - Merch - Product Surcharge</t>
  </si>
  <si>
    <t>Sales Rev - Merch - Energy Surcharge</t>
  </si>
  <si>
    <t>Sales Rev - Merch - Other Surcharge</t>
  </si>
  <si>
    <t>Sales Revenue Recognition - Merchandise</t>
  </si>
  <si>
    <t>Sales Revenue Recognition - Merch Export</t>
  </si>
  <si>
    <t>Sales Rev-Recog - Merchandise - Export</t>
  </si>
  <si>
    <t>Sales Revenue - Services</t>
  </si>
  <si>
    <t>Sales Revenue - Services - CorrAcc</t>
  </si>
  <si>
    <t>Sales revenue â€“ Cylinder Rental Income</t>
  </si>
  <si>
    <t>Sales revenue â€“ Monthly Service Charge</t>
  </si>
  <si>
    <t>Sales Revenue - Customer Proj (WBS Rel)</t>
  </si>
  <si>
    <t>Sales Revenue Recognition - Services</t>
  </si>
  <si>
    <t>Sales Revenue - Hardware</t>
  </si>
  <si>
    <t>Sales Revenue - Hardware - CorrAcc</t>
  </si>
  <si>
    <t>Sales Revenue Recognition - Hardware</t>
  </si>
  <si>
    <t>Sales Revenue - Royalties</t>
  </si>
  <si>
    <t>Not in use</t>
  </si>
  <si>
    <t>Sales Revenue - Licenses</t>
  </si>
  <si>
    <t>Sales Revenue - Licenses - Manual</t>
  </si>
  <si>
    <t>Sales Revenues - Adjustment - Manual</t>
  </si>
  <si>
    <t>Goods - Rebates</t>
  </si>
  <si>
    <t>Goods - Rebates - CorrAcc</t>
  </si>
  <si>
    <t>Goods - Cash Discount</t>
  </si>
  <si>
    <t>Goods - Cash Discount - CorrAcc</t>
  </si>
  <si>
    <t>Goods - Bonus</t>
  </si>
  <si>
    <t>Goods - Bonus - CorrAcc</t>
  </si>
  <si>
    <t>Goods - Goods FOC</t>
  </si>
  <si>
    <t>Goods - Goods FOC - CorrAcc</t>
  </si>
  <si>
    <t>Goods - Shelf Space Costs</t>
  </si>
  <si>
    <t>Goods - Shelf Space Costs - CorrAcc</t>
  </si>
  <si>
    <t>Goods - Sales Returns</t>
  </si>
  <si>
    <t>Goods - Sales Returns - CorrAcc</t>
  </si>
  <si>
    <t>Goods - Sales Returns - Buy Back</t>
  </si>
  <si>
    <t>Goods - Compulsory Levies</t>
  </si>
  <si>
    <t>Goods - Compulsory Levies - Account 1</t>
  </si>
  <si>
    <t>Goods - Compulsory Levies - Account 2</t>
  </si>
  <si>
    <t>Goods - Compulsory Levies - Account 10</t>
  </si>
  <si>
    <t>Goods - Compulsory Levies - Account 20</t>
  </si>
  <si>
    <t>Goods - Compulsory Levies - CorrAcc</t>
  </si>
  <si>
    <t>Goods - Expected Chrb f. Pay f. Perf-Sch</t>
  </si>
  <si>
    <t>Merchan - Rebates</t>
  </si>
  <si>
    <t>Merchan - Rebates - Account 1</t>
  </si>
  <si>
    <t>Merchan - Rebates - Account 2</t>
  </si>
  <si>
    <t>Merchan - Rebates - Export</t>
  </si>
  <si>
    <t>Merchan - Rebates - CorrAcc</t>
  </si>
  <si>
    <t>Merchan - Cash Discount</t>
  </si>
  <si>
    <t>Merchan - Cash Discount - Export</t>
  </si>
  <si>
    <t>Merchan - Cash Discount - CorrAcc</t>
  </si>
  <si>
    <t>Merchan - Cash Discount - IC Export</t>
  </si>
  <si>
    <t>Merchan - Cash Discount - IC - Export</t>
  </si>
  <si>
    <t>Merchan - Bonus</t>
  </si>
  <si>
    <t>Merchan - Bonus - Export</t>
  </si>
  <si>
    <t>Merchan - Bonus - CorrAcc</t>
  </si>
  <si>
    <t>Merchan - Goods FOC</t>
  </si>
  <si>
    <t>Merchan - Goods FOC - CorrAcc</t>
  </si>
  <si>
    <t>Merchan - Shelf Space Costs</t>
  </si>
  <si>
    <t>Merchan - Shelf Space Costs - CorrAcc</t>
  </si>
  <si>
    <t>Merchan - Sales Returns</t>
  </si>
  <si>
    <t>Merchan - Sales Returns-Acc1</t>
  </si>
  <si>
    <t>Merchan - Sales Returns - Export</t>
  </si>
  <si>
    <t>Merchan - Sales Returns - CorrAcc</t>
  </si>
  <si>
    <t>Merchan - Sales Returns - Buy Back</t>
  </si>
  <si>
    <t>Merchan - Compulsory Levies</t>
  </si>
  <si>
    <t>Merchan - Compulsory Levies - Account 1</t>
  </si>
  <si>
    <t>Merchan - Compulsory Levies - Account 2</t>
  </si>
  <si>
    <t>Merchan - Compulsory Levies - Account 10</t>
  </si>
  <si>
    <t>Merchan - Compulsory Levies - Account 20</t>
  </si>
  <si>
    <t>Merchan - Compulsory Levies - CorrAcc</t>
  </si>
  <si>
    <t>Merchan - Expected Chrb f.Pay f.Perf-Sch</t>
  </si>
  <si>
    <t>Service - Rebates</t>
  </si>
  <si>
    <t>Service - Rebates - CorrAcc</t>
  </si>
  <si>
    <t>Serv â€“ Reb â€“ Discount Cylinder Renta</t>
  </si>
  <si>
    <t>Service - Cash Discount</t>
  </si>
  <si>
    <t>Service - Cash Discount - CorrAcc</t>
  </si>
  <si>
    <t>Service - Bonus</t>
  </si>
  <si>
    <t>Service - Bonus - CorrAcc</t>
  </si>
  <si>
    <t>Service - Goods FOC</t>
  </si>
  <si>
    <t>Service - Goods FOC - CorrAcc</t>
  </si>
  <si>
    <t>Cust Proj (WBS Rel) - CashDisc</t>
  </si>
  <si>
    <t>Cust Proj (WBS Rel) - CashDisc - CorrAcc</t>
  </si>
  <si>
    <t>Cust Proj (WBS Rel) - Rebates</t>
  </si>
  <si>
    <t>Cust Proj (WBS Rel) - Rebates - CorrAcc</t>
  </si>
  <si>
    <t>Cust Proj (WBS Rel) - SalesRe</t>
  </si>
  <si>
    <t>Cust Proj (WBS Rel) - SalesRe - CorrAcc</t>
  </si>
  <si>
    <t>Hardware - Rebates</t>
  </si>
  <si>
    <t>Hardware - Rebates - CorrAcc</t>
  </si>
  <si>
    <t>Hardware - Cash Discount</t>
  </si>
  <si>
    <t>Hardware - Cash Discount - CorrAcc</t>
  </si>
  <si>
    <t>Hardware - Bonus</t>
  </si>
  <si>
    <t>Hardware - Bonus - CorrAcc</t>
  </si>
  <si>
    <t>Hardware - Goods FOC</t>
  </si>
  <si>
    <t>Hardware - Goods FOC - CorrAcc</t>
  </si>
  <si>
    <t>Hardware - Sales Returns</t>
  </si>
  <si>
    <t>Hardware - Sales Returns - CorrAcc</t>
  </si>
  <si>
    <t>Royalties - Rebates</t>
  </si>
  <si>
    <t>Royalties - Cash Discount</t>
  </si>
  <si>
    <t>Licenses - Rebates</t>
  </si>
  <si>
    <t>Licenses - Cash Discount</t>
  </si>
  <si>
    <t>Income f. License Agreem - COS Rel - SD</t>
  </si>
  <si>
    <t>Income f. Licen Agreem - COS Rel - FI</t>
  </si>
  <si>
    <t>Income f. License Agreem - M&amp;S Rel - SD</t>
  </si>
  <si>
    <t>Income f. Licen Agreem - M&amp;S Rel - FI</t>
  </si>
  <si>
    <t>Income f. License Agreem - R&amp;D Rel - SD</t>
  </si>
  <si>
    <t>Income f. Licen Agreem - R&amp;D Rel - FI</t>
  </si>
  <si>
    <t>Inc f. Lic Agr Rec at Point in Time - 3P</t>
  </si>
  <si>
    <t>Inc f. License Agr Recogn over Time - 3P</t>
  </si>
  <si>
    <t>Royalties  - Cost of Sales Related - SD</t>
  </si>
  <si>
    <t>Royalties  - Cost of Sales Relat - FI</t>
  </si>
  <si>
    <t>Royalties - Marketing&amp;Selling Rela - SD</t>
  </si>
  <si>
    <t>Royalties - Marke &amp; Sell Related - FI</t>
  </si>
  <si>
    <t>Royalties - R&amp;D Related Global - SD</t>
  </si>
  <si>
    <t>Royalties - R&amp;D Related Global - FI</t>
  </si>
  <si>
    <t>Royalties - R&amp;D Related Local - SD</t>
  </si>
  <si>
    <t>Royalties - R&amp;D Related Local - FI</t>
  </si>
  <si>
    <t>Royalties Recogn at a Point in Time - 3P</t>
  </si>
  <si>
    <t>Royalties Recognized over Time - 3P</t>
  </si>
  <si>
    <t>Revenue - Commissions</t>
  </si>
  <si>
    <t>Revenue - Profit Share Income</t>
  </si>
  <si>
    <t>Gains from Disposal - Intangible Assets</t>
  </si>
  <si>
    <t>Gains f. Disposal - Intang Assets-Acc1</t>
  </si>
  <si>
    <t>Asset Disposal - 3P - Clearing Account</t>
  </si>
  <si>
    <t>Gains fr Dispos-Int Assets-IC-IFRS Corr</t>
  </si>
  <si>
    <t>Asset Disposal - IC - Clearing Account</t>
  </si>
  <si>
    <t>Gains from Disposal - Tangible Assets</t>
  </si>
  <si>
    <t>Gains from Disposal - Tang Assets - Acc1</t>
  </si>
  <si>
    <t>Gain Dissol Cont Consid/PPAdj/Barg Purch</t>
  </si>
  <si>
    <t>Gains from PPAdj of Business Combination</t>
  </si>
  <si>
    <t>Gains from Sale - Financial Instruments</t>
  </si>
  <si>
    <t>Gains from Sale-Financial Instruments AC</t>
  </si>
  <si>
    <t>Gains from Disposal - Assets HFS</t>
  </si>
  <si>
    <t>Asset HFS Disposal - Clearing Account</t>
  </si>
  <si>
    <t>Revers of Impairment - Intangible Assets</t>
  </si>
  <si>
    <t>Revers of Impairment - IntangAssets-Acc1</t>
  </si>
  <si>
    <t>Revers of Imp - Tangible Fixed Assets</t>
  </si>
  <si>
    <t>Revers of Imp - Tangible Fix Assets-Acc1</t>
  </si>
  <si>
    <t>Revers of Imp - Fixed Assets - RoU</t>
  </si>
  <si>
    <t>Revers of Impairment - Financial Assets</t>
  </si>
  <si>
    <t>Revers of Impairment-FA-DebtInstrum AC</t>
  </si>
  <si>
    <t>Revers of Impairment-FA-DebtInstrumFVOCI</t>
  </si>
  <si>
    <t>Revers of Imp-NRVM of Assets HFS/ DispGr</t>
  </si>
  <si>
    <t>Leased Assets - Incentives</t>
  </si>
  <si>
    <t>Cap - Post Capitalization of Assets</t>
  </si>
  <si>
    <t>Cap - Post Capitalization of Fin Lease</t>
  </si>
  <si>
    <t>Rental Income from Investment Property</t>
  </si>
  <si>
    <t>Rent &amp; Lease Inc Core Busin - Op Lease</t>
  </si>
  <si>
    <t>Rent &amp; Lease Inc N-Core Busin - Op Lease</t>
  </si>
  <si>
    <t>Rent &amp; Lease Inc Core Busin - Fi Lease</t>
  </si>
  <si>
    <t>Rent &amp; Lease Inc N-Core Busin - Fi Lease</t>
  </si>
  <si>
    <t>Reimbursement - Freight and Duties - 3P</t>
  </si>
  <si>
    <t>Reimburse-Freight&amp;Duties-3P-ExciseDuty</t>
  </si>
  <si>
    <t>Reimbursement - Freight and Duties - IC</t>
  </si>
  <si>
    <t>Reimb- Freight &amp; Duties - 3P - Trans SC</t>
  </si>
  <si>
    <t>Reimb - Freight &amp; Duties - 3P - Fuel SC</t>
  </si>
  <si>
    <t>Reimb - Excise Duties - Energy Taxes</t>
  </si>
  <si>
    <t>Invoiced Restocking Fee</t>
  </si>
  <si>
    <t>Invoiced Restocking Fee - FI</t>
  </si>
  <si>
    <t>Grants and Incentives Received</t>
  </si>
  <si>
    <t>Governmental Grants</t>
  </si>
  <si>
    <t>Gain FairValCha DebtInst (FVOpt)FVtPL-Re</t>
  </si>
  <si>
    <t>Gain  FairValChanges Debt Inst FVtPL -UR</t>
  </si>
  <si>
    <t>Gain f. FairValChangesDebt Inst FVtPL-Re</t>
  </si>
  <si>
    <t>Gain f. FairValChangesDebt Inst FVtPL-UR</t>
  </si>
  <si>
    <t>Gain f. Recycling Debt Inst FVOCI</t>
  </si>
  <si>
    <t>Gain f. FairValChangesEquityInstFVtPL-Re</t>
  </si>
  <si>
    <t>Gain f. FairValChangesEquityInstFVtPL-UR</t>
  </si>
  <si>
    <t>Gain f. FairValChangesOthFinInsFVtPL-Re</t>
  </si>
  <si>
    <t>Gain f. FairValChangesOthFinInsFVtPL-UR</t>
  </si>
  <si>
    <t>Gain f. FairValChangesOperDerFVtPL-Re</t>
  </si>
  <si>
    <t>Gain f. FairValChangesOperDerFVtPL-UR</t>
  </si>
  <si>
    <t>Income f. FairValChangesContCon-OP</t>
  </si>
  <si>
    <t>Reimbursement of R&amp;D expenses – 3P</t>
  </si>
  <si>
    <t>Inv Freight&amp;Duties – IFRS15 Rev Recog</t>
  </si>
  <si>
    <t>Non-Core Serv Others - Rebates</t>
  </si>
  <si>
    <t>Non-Core Serv Others - Rebates - CorrAcc</t>
  </si>
  <si>
    <t>Non-Core Serv Others - CashDisc</t>
  </si>
  <si>
    <t>Non-Core Serv Oth - CashDisc - CorrAcc</t>
  </si>
  <si>
    <t>Non-Core Serv Others - Free of Charge</t>
  </si>
  <si>
    <t>Non-CoreServOth - Free Charge - CorrAcc</t>
  </si>
  <si>
    <t>Income from FX Differences - Realized</t>
  </si>
  <si>
    <t>Income from FX Valuation - Unrealized</t>
  </si>
  <si>
    <t>Inc fr FX Diff - CF-Hedges - Realized</t>
  </si>
  <si>
    <t>Inc fr FX Val - CF-Hedges - Unrealized</t>
  </si>
  <si>
    <t>Inc fr FX Diff - Provisions - Realized</t>
  </si>
  <si>
    <t>Inc fr FX Val - Provisions - Unrealized</t>
  </si>
  <si>
    <t>Inc fr FX Diff - Operativ Hedging - Real</t>
  </si>
  <si>
    <t>Inc fr FX Val - Operativ Hedging- Unreal</t>
  </si>
  <si>
    <t>Inc fr FX Diff - Derivatives - Real</t>
  </si>
  <si>
    <t>Inc fr FX Val - Derivatives- Unreal</t>
  </si>
  <si>
    <t>FX Inc Settl-Op-ZeroCostCurrOpt-CFH-Real</t>
  </si>
  <si>
    <t>Rem Oth Inc IC</t>
  </si>
  <si>
    <t>Rem Oth Inc IC - Accounting Services</t>
  </si>
  <si>
    <t>Rem Oth Inc IC - Controlling Services</t>
  </si>
  <si>
    <t>Rem Oth Inc IC - E&amp;Q Services</t>
  </si>
  <si>
    <t>Rem Oth Inc IC - Group Treasury</t>
  </si>
  <si>
    <t>Rem Oth Inc IC - HR Services</t>
  </si>
  <si>
    <t>Rem Oth Inc IC - Insurance Services</t>
  </si>
  <si>
    <t>Rem Oth Inc IC - Other Marketing&amp;Selling</t>
  </si>
  <si>
    <t>Rem Oth Inc IC - IT Services</t>
  </si>
  <si>
    <t>Rem Oth Inc IC - L&amp;C Services</t>
  </si>
  <si>
    <t>Rem Oth Inc IC - MD Activities</t>
  </si>
  <si>
    <t>Rem Oth Inc IC - R&amp;D - Manual - CorrAcc</t>
  </si>
  <si>
    <t>Rem Oth Inc IC - P&amp;S IS</t>
  </si>
  <si>
    <t>Rem Oth Inc IC - Procurem Services</t>
  </si>
  <si>
    <t>Rem Oth Inc IC - Communication Services</t>
  </si>
  <si>
    <t>Rem Oth Inc IC - Tax Services</t>
  </si>
  <si>
    <t>Rem Oth Inc IC - R&amp;D - Local</t>
  </si>
  <si>
    <t>Rem Oth Inc IC - R&amp;D - Global</t>
  </si>
  <si>
    <t>Income from Non-Core Activities - 3P</t>
  </si>
  <si>
    <t>Income from Non-Core Activities-3P- Acc1</t>
  </si>
  <si>
    <t>Income Non-Core Act-3P-Electricity Sales</t>
  </si>
  <si>
    <t>Income from Non-Core Activities - IC</t>
  </si>
  <si>
    <t>Income from Non-Core Activities-IC-Acc1</t>
  </si>
  <si>
    <t>Rem Oth Inc IC - Admin- Manual - CorrAcc</t>
  </si>
  <si>
    <t>Rem Oth Inc IC - Other Administration</t>
  </si>
  <si>
    <t>Rem Oth Inc IC - M&amp;S - Manual - CorrAcc</t>
  </si>
  <si>
    <t>Rem Oth Inc 3P - Sundry</t>
  </si>
  <si>
    <t>Tax Discount Income</t>
  </si>
  <si>
    <t>Rem Oth Inc IC - Other Miscellaneous</t>
  </si>
  <si>
    <t>Rem Oth Inc IC - Internal Sales Service</t>
  </si>
  <si>
    <t>Rem Oth Inc IC - Sales Promotion</t>
  </si>
  <si>
    <t>Rem Oth Inc IC - Field Force</t>
  </si>
  <si>
    <t>Rem Oth Inc IC - Logistics Serv</t>
  </si>
  <si>
    <t>Oth Inc - Canteen and Employee Sales</t>
  </si>
  <si>
    <t>Oth Inc - Canteen and Employee Sales-Ac1</t>
  </si>
  <si>
    <t>Rem Oth Inc IC - Site Services</t>
  </si>
  <si>
    <t>Oth Inc - ReFund of Employee Priv Use</t>
  </si>
  <si>
    <t>Oth Inc - ReFund of EmployeePrivUse-Ac1</t>
  </si>
  <si>
    <t>Oth Inc - ReFund of EmployeePrivUse-Ac2</t>
  </si>
  <si>
    <t>Oth Inc - Rent paid by the employee</t>
  </si>
  <si>
    <t>Oth Inc - ReFund of Emp Priv Use - TAcc</t>
  </si>
  <si>
    <t>Oth Inc - Rever Prov &amp; Accr Liabilities</t>
  </si>
  <si>
    <t>Oth Inc - Rever of Prov f. Uncoll Receiv</t>
  </si>
  <si>
    <t>Oth Inc - Rever of Written-off Receiv</t>
  </si>
  <si>
    <t>Oth Inc - Rever of Litigation Provision</t>
  </si>
  <si>
    <t>Oth Inc-ReverofLitigationProvision-Acc1</t>
  </si>
  <si>
    <t>Oth Inc - Insur ReFunds f. Claim Settlem</t>
  </si>
  <si>
    <t>Oth Inc - Transfer Price Adjustments</t>
  </si>
  <si>
    <t>Oth Inc - Min Diff f. Postings</t>
  </si>
  <si>
    <t>Oth Inc - Min Diff f. Postings (SD)</t>
  </si>
  <si>
    <t>Oth Inc - Recovery of Taxes/VAT</t>
  </si>
  <si>
    <t>Oth Inc - Gain from Hyperinflation</t>
  </si>
  <si>
    <t>Oth Inc - Fair Value Changes of Emb Der</t>
  </si>
  <si>
    <t>Oth Inc - From Other FV Changes</t>
  </si>
  <si>
    <t>OthInc-Gains CashDisc-Underpay to Suppl</t>
  </si>
  <si>
    <t>Oth Inc - Other Operating Income</t>
  </si>
  <si>
    <t>Other Income - Other Exceptional Income</t>
  </si>
  <si>
    <t>IC Cross-Charging - Reimb Inc - SIAL</t>
  </si>
  <si>
    <t>Special Reimbursement Income - IC</t>
  </si>
  <si>
    <t>Gain from Termination Lessor FL</t>
  </si>
  <si>
    <t>Gain from Termination Lessor OL</t>
  </si>
  <si>
    <t>Markup Income IC</t>
  </si>
  <si>
    <t>Markup income - IC- Group valuation - V</t>
  </si>
  <si>
    <t>Markup Income IC - Manual</t>
  </si>
  <si>
    <t>COGS - Finished Goods</t>
  </si>
  <si>
    <t>COGS - Finished Goods - IDOC</t>
  </si>
  <si>
    <t>COGS - Finished goods - Correction</t>
  </si>
  <si>
    <t>DO NOT USE_COGS - Legacy Versum</t>
  </si>
  <si>
    <t>COGS - Finished Goods - Material - 3P</t>
  </si>
  <si>
    <t>COGS - Finish Goods - Mat - 3P - CorAcc</t>
  </si>
  <si>
    <t>COGS - Finished Goods - Material - IC</t>
  </si>
  <si>
    <t>COGS - Finished Goods - Mat - IC-CorAcc</t>
  </si>
  <si>
    <t>COGS - Finished Goods - Landing Costs</t>
  </si>
  <si>
    <t>COGS - FG - International reimb. frght</t>
  </si>
  <si>
    <t>COGS - Finished Goods - Conver Cost Var</t>
  </si>
  <si>
    <t>COGS - Finished Goods - Con Co Var Cor</t>
  </si>
  <si>
    <t>COGS - Finished Goods - Conver Cost Fix</t>
  </si>
  <si>
    <t>COGS - Finished Goods - Conver - Labor</t>
  </si>
  <si>
    <t>COGS - Finished Goods - Conver - Overh</t>
  </si>
  <si>
    <t>COGS - Finished goods - Conv. fix</t>
  </si>
  <si>
    <t>COGS - Finished goods - direct dep</t>
  </si>
  <si>
    <t>COGS- Finished goods - fixed indir</t>
  </si>
  <si>
    <t>COGS - Finished Goods - Con Co Fix Cor</t>
  </si>
  <si>
    <t>COGS - FG - Conver - Labor - CorAcc</t>
  </si>
  <si>
    <t>COGS - FG - Conver - Overhead - CorAcc</t>
  </si>
  <si>
    <t>COGS - Finished Goods - Mat Overhead Fix</t>
  </si>
  <si>
    <t>COGS - Finished Goods - Mat OH - Fix Ac1</t>
  </si>
  <si>
    <t>COGS - Finished Goods - Subcon Fee - 3P</t>
  </si>
  <si>
    <t>COGS - Finished Goods - SubcFee - 3P Ac1</t>
  </si>
  <si>
    <t>COGS - Finished Goods - Subcon Fee - IC</t>
  </si>
  <si>
    <t>COGS - Finished Goods - SubconFee-IC-Cor</t>
  </si>
  <si>
    <t>Adjustments COGS - Finished Goods</t>
  </si>
  <si>
    <t>Adjustments COGS - Prod Mat</t>
  </si>
  <si>
    <t>COGS â€“ Finished goods - IC mark up</t>
  </si>
  <si>
    <t>COGS - Merchandise</t>
  </si>
  <si>
    <t>COGS - Merchandise - IDOC</t>
  </si>
  <si>
    <t>COGS - Merchandise - Material - 3P</t>
  </si>
  <si>
    <t>COGS - Merchan - Material - 3P - Acc 1</t>
  </si>
  <si>
    <t>COGS - Merchan - Material - 3P - CorAcc</t>
  </si>
  <si>
    <t>COGS - Merchandise - Material - IC</t>
  </si>
  <si>
    <t>COGS - Merchan - Material - IC - CorAcc</t>
  </si>
  <si>
    <t>COGS - Merchandise - Landing Costs</t>
  </si>
  <si>
    <t>COGS- Merch. - Reimb. internat. freight</t>
  </si>
  <si>
    <t>Adjustments COGS - Merchandise</t>
  </si>
  <si>
    <t>COGS– Merchandise - TP Markup</t>
  </si>
  <si>
    <t>COGS - Merchandise - Non-Stock</t>
  </si>
  <si>
    <t>Correction COGS due to Finance Lease</t>
  </si>
  <si>
    <t>Adjustments COGS - Hardware</t>
  </si>
  <si>
    <t>Returns - Finished Goods</t>
  </si>
  <si>
    <t>Returns - Finished Goods - Material - 3P</t>
  </si>
  <si>
    <t>Returns - Finished Goods - Material - IC</t>
  </si>
  <si>
    <t>Returns - Finished Goods - Landing Costs</t>
  </si>
  <si>
    <t>Returns - Finish Goods - Conver Cost Var</t>
  </si>
  <si>
    <t>Returns - Finish Goods - Conver Cost Fix</t>
  </si>
  <si>
    <t>Returns - Finished Goods - Mat Overh Fix</t>
  </si>
  <si>
    <t>Returns - Finish Goods - Subcon Fee - 3P</t>
  </si>
  <si>
    <t>Returns - Finish Goods - Subcon Fee - IC</t>
  </si>
  <si>
    <t>Returns - Merchandise</t>
  </si>
  <si>
    <t>Returns - Merchandise - Material - 3P</t>
  </si>
  <si>
    <t>Returns - Merchandise - Material - IC</t>
  </si>
  <si>
    <t>Returns - Merchandise - Landing Costs</t>
  </si>
  <si>
    <t>Returnsns - Merchandise - Non-Stock</t>
  </si>
  <si>
    <t>COGS - Adjustments for Returns</t>
  </si>
  <si>
    <t>COGS - Adjust for Returns-Correction Acc</t>
  </si>
  <si>
    <t>COGS - Merchandise - DropShipment</t>
  </si>
  <si>
    <t>Other COS - Inb Freight/Forwarding Costs</t>
  </si>
  <si>
    <t>Other COS - Duty on Imported Goods</t>
  </si>
  <si>
    <t>COGM - Finished Goods - Inv Increase</t>
  </si>
  <si>
    <t>COGM - Finished Goods - Custom - Inv Inc</t>
  </si>
  <si>
    <t>COGM - Finished goods Custom - Inv inc</t>
  </si>
  <si>
    <t>COGM - Finished Goods - SubContracting</t>
  </si>
  <si>
    <t>CO P&amp;SM - Finished Goods - Inv Increase</t>
  </si>
  <si>
    <t>COGM - Unfinished Goods - Inv Increase</t>
  </si>
  <si>
    <t>COGM - Unfinished Goods - SubContracting</t>
  </si>
  <si>
    <t>COGM - Other - Inventory Increase</t>
  </si>
  <si>
    <t>COGM - By-Product - Inventory Increase</t>
  </si>
  <si>
    <t>COGS - Adjustment - Manual</t>
  </si>
  <si>
    <t>POV - Finished &amp; Unf Goods - Mat - 3P</t>
  </si>
  <si>
    <t>POV Input Price - 3P</t>
  </si>
  <si>
    <t>POV Resource Usage - 3P</t>
  </si>
  <si>
    <t>POV Input Quantity - 3P</t>
  </si>
  <si>
    <t>POV Remaining Input - 3P</t>
  </si>
  <si>
    <t>POV Scrap - 3P</t>
  </si>
  <si>
    <t>POV Mixed Price - 3P</t>
  </si>
  <si>
    <t>POV Output Price - 3P</t>
  </si>
  <si>
    <t>POV Lot Size - 3P</t>
  </si>
  <si>
    <t>POV Remaining - 3P</t>
  </si>
  <si>
    <t>POV - Finished &amp; Unf Goods - Mat - IC</t>
  </si>
  <si>
    <t>POV Input Price - IC *</t>
  </si>
  <si>
    <t>POV Resource Usage - IC *</t>
  </si>
  <si>
    <t>POV Input Quantity - IC *</t>
  </si>
  <si>
    <t>POV Remaining Input - IC *</t>
  </si>
  <si>
    <t>POV Scrap - IC *</t>
  </si>
  <si>
    <t>POV Mixed Price - IC *</t>
  </si>
  <si>
    <t>POV Output Price - IC *</t>
  </si>
  <si>
    <t>POV Lot Size - IC *</t>
  </si>
  <si>
    <t>POV Remaining - IC *</t>
  </si>
  <si>
    <t>POV - Finished &amp; Unf Goods - Conversion</t>
  </si>
  <si>
    <t>POV - Fin &amp; Unf Goods - Conv - Labor</t>
  </si>
  <si>
    <t>POV - Fin &amp; Unf Goods - Conv - Overhead</t>
  </si>
  <si>
    <t>POV Input Price - Conversion *</t>
  </si>
  <si>
    <t>POV Resource Usage - Conversion *</t>
  </si>
  <si>
    <t>POV Input Quantity - Conversion *</t>
  </si>
  <si>
    <t>POV Remaining Input - Conversion *</t>
  </si>
  <si>
    <t>POV Scrap - Conversion *</t>
  </si>
  <si>
    <t>POV Mixed Price - Conversion *</t>
  </si>
  <si>
    <t>POV Output Price - Conversion *</t>
  </si>
  <si>
    <t>POV Lot Size - Conversion *</t>
  </si>
  <si>
    <t>POV Remaining - Conversion *</t>
  </si>
  <si>
    <t>POV - Samples - Material - 3P</t>
  </si>
  <si>
    <t>POV - Samples - Material - IC</t>
  </si>
  <si>
    <t>Stock Take Variances</t>
  </si>
  <si>
    <t>Stock taking variance - positive</t>
  </si>
  <si>
    <t>Stock taking variance - negative</t>
  </si>
  <si>
    <t>Reserve Val Adj - Quality</t>
  </si>
  <si>
    <t>Reserve Val Adj - Shelf Live</t>
  </si>
  <si>
    <t>Reserve Val Adj - Slow Moving</t>
  </si>
  <si>
    <t>Reserve Val Adj - Net Realizable Value</t>
  </si>
  <si>
    <t>Reserve valuation adjustment - Versum</t>
  </si>
  <si>
    <t>Inv Reval - Raw Mat - Stand Price</t>
  </si>
  <si>
    <t>Inv Reval - Raw Mat - Stand Price - Cor</t>
  </si>
  <si>
    <t>Inv Reval - Raw Mat - Pot - Production</t>
  </si>
  <si>
    <t>Inv Reval - Raw Mat - Pot - Purch</t>
  </si>
  <si>
    <t>Inv Reval - Packaging - Stand Price</t>
  </si>
  <si>
    <t>Inv Reval - Merchandise - Stand Price</t>
  </si>
  <si>
    <t>Inv Reval - Finish Goods - Stand Price</t>
  </si>
  <si>
    <t>Inv Reval - Finish Goods - Pot - Prod</t>
  </si>
  <si>
    <t>Inv Reval - Finish Goods - Pot - Purch</t>
  </si>
  <si>
    <t>Inv Reval - Unfinish Goods - Stand Price</t>
  </si>
  <si>
    <t>Inv Reval - Unfinish Goods - Pot - Prod</t>
  </si>
  <si>
    <t>Inv Reval - Unfinish Goods - Pot - Purch</t>
  </si>
  <si>
    <t>Inv Reval - Other - Standard Price</t>
  </si>
  <si>
    <t>Inv Reval - Other - Stock Transfer</t>
  </si>
  <si>
    <t>Cap Var (PPV) - Inventory - 3P</t>
  </si>
  <si>
    <t>Cap Var (PPV) - Inventory - IC</t>
  </si>
  <si>
    <t>Cap Var - POV - Fin &amp; Unf Goods - 3P</t>
  </si>
  <si>
    <t>Cap Var - POV - Fin &amp; Unf Goods - IC</t>
  </si>
  <si>
    <t>Cap Var - CCV - Finished &amp; Unf Goods</t>
  </si>
  <si>
    <t>Cap Var - ML PPV &amp; Process order rev</t>
  </si>
  <si>
    <t>Cap var - ML Variance reclasses</t>
  </si>
  <si>
    <t>Cap var - Inv ADj Material Ledger</t>
  </si>
  <si>
    <t>Cap Var - NMV - Finished Goods - 3P</t>
  </si>
  <si>
    <t>Cap Var - NMV - Finished Goods - IC</t>
  </si>
  <si>
    <t>Scrapping - Inventory</t>
  </si>
  <si>
    <t>Scrapping - Inventory - Cor</t>
  </si>
  <si>
    <t>Destruction Costs - Inventory</t>
  </si>
  <si>
    <t>Purch Price Diff - Inventory - 3P</t>
  </si>
  <si>
    <t>Purch Price Diff - Invent - FX Diff - 3P</t>
  </si>
  <si>
    <t>Purch Price Diff - Invent - CorrAcc - 3P</t>
  </si>
  <si>
    <t>Purch Price Diff - Inventory - IC</t>
  </si>
  <si>
    <t>Purch Price Diff - Inv - FX Diff - IC</t>
  </si>
  <si>
    <t>Purch Price Diff - Inv - CorrAcc - IC</t>
  </si>
  <si>
    <t>Purch Price Diff - Landed Costs - 3P</t>
  </si>
  <si>
    <t>Purch Price Diff - LandCosts - Corr - 3P</t>
  </si>
  <si>
    <t>Oth Subcon Exp - Subcon Fee - 3P</t>
  </si>
  <si>
    <t>Oth Subcon Exp - Subcon Fee - CorrAcc</t>
  </si>
  <si>
    <t>Oth Subcon Exp - Subcon Fee - Price Diff</t>
  </si>
  <si>
    <t>Other Ext Serv - Other Ext Manufact Serv</t>
  </si>
  <si>
    <t>Oth Op Exp - Retained Cash Discounts</t>
  </si>
  <si>
    <t>FI-CO Difference from Production Cost</t>
  </si>
  <si>
    <t>Cap Internal Services for Fixed Assets</t>
  </si>
  <si>
    <t>Cap External Services for Fixed Assets</t>
  </si>
  <si>
    <t>Capitalized Borrowing Costs</t>
  </si>
  <si>
    <t>Capitalized Borrowing Costs - Acc1</t>
  </si>
  <si>
    <t>Asset Acquistion - Borrowing - ClearAcc</t>
  </si>
  <si>
    <t>Asset Acquistion - Borrowing - ClearAcc1</t>
  </si>
  <si>
    <t>Capitalized Material for Fixed Assets</t>
  </si>
  <si>
    <t>Other Capex Capitalized for Fixed Assets</t>
  </si>
  <si>
    <t>Capitalized Other Cost</t>
  </si>
  <si>
    <t>Capitalized Finance Lease Lessee</t>
  </si>
  <si>
    <t>Leased Assets - Initial Direct Costs</t>
  </si>
  <si>
    <t>Lease Payments Before Commencement Date</t>
  </si>
  <si>
    <t>Recognized Expense - Land - RoU</t>
  </si>
  <si>
    <t>Recognized Expense - Building - RoU</t>
  </si>
  <si>
    <t>Recognized Expense - TecEqMa - RoU</t>
  </si>
  <si>
    <t>Recognized Expense - Carpool - RoU</t>
  </si>
  <si>
    <t>Recognized Expense - ITEquipm - RoU</t>
  </si>
  <si>
    <t>Recognized Expense - OthFixA - RoU</t>
  </si>
  <si>
    <t>Payroll - Salaries and Wages</t>
  </si>
  <si>
    <t>Payroll - Salaries and Wages - Account 1</t>
  </si>
  <si>
    <t>Payroll - Salaries and Wages - Account 2</t>
  </si>
  <si>
    <t>Payroll - Shift Pay</t>
  </si>
  <si>
    <t>Payroll - Overtime Pay</t>
  </si>
  <si>
    <t>Payroll - Holiday Pay</t>
  </si>
  <si>
    <t>Payroll - Holiday Pay - Account 2</t>
  </si>
  <si>
    <t>Payroll - Employee Leave Benefits</t>
  </si>
  <si>
    <t>Payroll - Sick Pay</t>
  </si>
  <si>
    <t>Payroll - Sick Pay - PaidSickFund</t>
  </si>
  <si>
    <t>Payroll - Gratuity Paid</t>
  </si>
  <si>
    <t>Payroll - Employee Commissions</t>
  </si>
  <si>
    <t>Payroll - Other Pay</t>
  </si>
  <si>
    <t>Payroll - Oth Pay - Special Tax Treatmen</t>
  </si>
  <si>
    <t>Payroll - Other Remuneration</t>
  </si>
  <si>
    <t>Payroll - Oth Payments - Not Tax Relev</t>
  </si>
  <si>
    <t>Bonuses - Bonus - AIP</t>
  </si>
  <si>
    <t>Bonuses - Bonus - Account 1</t>
  </si>
  <si>
    <t>Bonuses - Bonus - Account 2</t>
  </si>
  <si>
    <t>Bonuses - Bonus provision related</t>
  </si>
  <si>
    <t>Bonuses - Social tax on prov rel bonus</t>
  </si>
  <si>
    <t>Bonuses - Incentives</t>
  </si>
  <si>
    <t>Bonu - Company Incentive Payment Schemes</t>
  </si>
  <si>
    <t>Bonuses - Retention Bonus</t>
  </si>
  <si>
    <t>Expat Exp - Remun &amp; Soc Contrib Co</t>
  </si>
  <si>
    <t>Expat Exp - Non-Personnel Allowances</t>
  </si>
  <si>
    <t>Expat Exp - Car Allowances</t>
  </si>
  <si>
    <t>IC Expences - Expat Compensation &amp; Benef</t>
  </si>
  <si>
    <t>Payr - Social Insurance Contribution</t>
  </si>
  <si>
    <t>Payr - Social Insurance Contrib - Acc 1</t>
  </si>
  <si>
    <t>Payr - Social Insurance Contrib - Acc 2</t>
  </si>
  <si>
    <t>Payr - Soc Ins Contri - VTC on FringBen</t>
  </si>
  <si>
    <t>Payr - Soc Ins Contri - VTCaftreaDefBen</t>
  </si>
  <si>
    <t>Payr - Soc Ins Contri -VTCaftreaFringLim</t>
  </si>
  <si>
    <t>Payr - Social Insurance - Unemployment</t>
  </si>
  <si>
    <t>Payr - Social Insurance Contrib - Oth</t>
  </si>
  <si>
    <t>Payr - Public &amp; Employee Liab Insurance</t>
  </si>
  <si>
    <t>Payr - Health Care</t>
  </si>
  <si>
    <t>Pensions - Pension Plan Expenses</t>
  </si>
  <si>
    <t>Pensions - Pension Plan Expenses - Acc1</t>
  </si>
  <si>
    <t>Stat Pension Insurance Contributions</t>
  </si>
  <si>
    <t>Pension Fund Contributions</t>
  </si>
  <si>
    <t>Payr - Severance Pay</t>
  </si>
  <si>
    <t>Oth Pers Exp - Moving Expenses</t>
  </si>
  <si>
    <t>Oth Pers Exp - Signing Bonus</t>
  </si>
  <si>
    <t>Oth Pers Exp - Referral Bonus</t>
  </si>
  <si>
    <t>Oth Pers Exp - Subsid of Employee Meals</t>
  </si>
  <si>
    <t>Oth Pers Exp - Rent Free Housing</t>
  </si>
  <si>
    <t>Oth Pers Exp - Voluntary Social Exp</t>
  </si>
  <si>
    <t>Oth Pers Exp - Events/Meals f. Empl ULL</t>
  </si>
  <si>
    <t>Oth Pers Exp - Events/Meals f. Empl OLL</t>
  </si>
  <si>
    <t>Oth Pers Exp - Lump-Sum Tax f. Bene Ik</t>
  </si>
  <si>
    <t>Oth Pers Exp - Contribution to Soc Funds</t>
  </si>
  <si>
    <t>Oth Pers Exp - Gifts to Employee ULL</t>
  </si>
  <si>
    <t>Oth Pers Exp - Gifts to Employee OLL</t>
  </si>
  <si>
    <t>Oth Pers Exp - Allowances-Acc1</t>
  </si>
  <si>
    <t>Oth Pers Exp - Allowances-Acc2</t>
  </si>
  <si>
    <t>Oth Pers Exp - Allowances-Acc11</t>
  </si>
  <si>
    <t>Oth Pers Exp - Allowances-Acc12</t>
  </si>
  <si>
    <t>Oth Pers Exp - Miscellaneous</t>
  </si>
  <si>
    <t>Oth Pers Exp - Employben/OthPersCost</t>
  </si>
  <si>
    <t>Oth Pers Exp - Employben/EDENRED Card</t>
  </si>
  <si>
    <t>Oth Pers Exp - Employben Priv HealthCare</t>
  </si>
  <si>
    <t>Oth Pers Exp - Employben Private Pension</t>
  </si>
  <si>
    <t>Oth Pers Exp - Employben - SZEP Card</t>
  </si>
  <si>
    <t>Oth Pers Exp - Employben/Cash</t>
  </si>
  <si>
    <t>Oth Pers Exp - Employben/KomplexScrTest</t>
  </si>
  <si>
    <t>Non-Allocable Personnel Exp</t>
  </si>
  <si>
    <t>External Personnel costs</t>
  </si>
  <si>
    <t>External Personnel costs-Acc1</t>
  </si>
  <si>
    <t>External Personnel - Subcontractors</t>
  </si>
  <si>
    <t>Ext Pers - Oth Ext Staff Non-Project Rel</t>
  </si>
  <si>
    <t>Recruitment - Recruiting Expenses</t>
  </si>
  <si>
    <t>Recruitment - Job Postings/Online Sourc</t>
  </si>
  <si>
    <t>Recruitment - Headhunter Expenses</t>
  </si>
  <si>
    <t>Recruitment - Ext Recruiting Supp Serv</t>
  </si>
  <si>
    <t>Recruitment  - Personnel Procurement Exp</t>
  </si>
  <si>
    <t>Recruitment - Travel Exp for Candidates</t>
  </si>
  <si>
    <t>IC Expenses - External Recruiting HR</t>
  </si>
  <si>
    <t>IC Expenses - External Training HR</t>
  </si>
  <si>
    <t>Amor of Intangible Assets (without SW)</t>
  </si>
  <si>
    <t>Amor of Intang Assets (without SW)-Acc1</t>
  </si>
  <si>
    <t>Amor of Intangible Assets (w/o SW) - PPA</t>
  </si>
  <si>
    <t>Amor of Intangible Assets - SW</t>
  </si>
  <si>
    <t>Amor of Intangible Assets - SW - Acc1</t>
  </si>
  <si>
    <t>Impairment of Intangible Assets</t>
  </si>
  <si>
    <t>Impairment of Intangible Assets-Acc1</t>
  </si>
  <si>
    <t>Impairment of Intangible Assets - PPA</t>
  </si>
  <si>
    <t>AmoOthA - CapCo to Obtain LT Contr</t>
  </si>
  <si>
    <t>AmoOthA - CapCo to Fulfill LT Contr</t>
  </si>
  <si>
    <t>Depreciation - Buildings</t>
  </si>
  <si>
    <t>Depreciation - Buildings-Account 1</t>
  </si>
  <si>
    <t>Depreciation - Buildings - PPA</t>
  </si>
  <si>
    <t>Depreciation - Buildings - Right of Use</t>
  </si>
  <si>
    <t>Impairment - Land &amp; Buildings</t>
  </si>
  <si>
    <t>Impairment - Land &amp; Buildings-Account 1</t>
  </si>
  <si>
    <t>Impairment - Land &amp; Buildings - PPA</t>
  </si>
  <si>
    <t>Impairment - Land &amp; Buildings - RoU</t>
  </si>
  <si>
    <t>Depreciation - Techn Equipment &amp; Mach</t>
  </si>
  <si>
    <t>Depreciation - Techn Equipm &amp; Mach-Acc1</t>
  </si>
  <si>
    <t>Depreciation - Techn Equip. &amp; Mach - PPA</t>
  </si>
  <si>
    <t>Depreciation - Techn Equip &amp; Mach - RoU</t>
  </si>
  <si>
    <t>Impairment - Techn Equipment &amp; Mach</t>
  </si>
  <si>
    <t>Impairment - Carpool - RoU</t>
  </si>
  <si>
    <t>Depreciation - Carpool</t>
  </si>
  <si>
    <t>Depreciation - Carpool - Acc1</t>
  </si>
  <si>
    <t>Depreciation - Carpool - RoU</t>
  </si>
  <si>
    <t>Impairment - Carpool</t>
  </si>
  <si>
    <t>Impairment - Carpool - Acc1</t>
  </si>
  <si>
    <t>Depreciation - IT Equipment</t>
  </si>
  <si>
    <t>Depreciation - IT Equipment - Acc1</t>
  </si>
  <si>
    <t>Depreciation - IT Equipment - RoU</t>
  </si>
  <si>
    <t>Impairment - IT Equipment</t>
  </si>
  <si>
    <t>Impairment - IT Equipment - Acc1</t>
  </si>
  <si>
    <t>Impairment - IT Equipment - RoU</t>
  </si>
  <si>
    <t>Depreciation - Other Fixed Assets</t>
  </si>
  <si>
    <t>Depreciation - Other Fixed Assets - Acc1</t>
  </si>
  <si>
    <t>Depreciation - Other Fixed Assets - PPA</t>
  </si>
  <si>
    <t>Depreciation - Other Fixed Assets - RoU</t>
  </si>
  <si>
    <t>Impairment - Other Fixed Assets</t>
  </si>
  <si>
    <t>Impairment - Other Fixed Assets - Acc1</t>
  </si>
  <si>
    <t>Impairment - Other Fixed Assets - RoU</t>
  </si>
  <si>
    <t>Low Value Assets - Purchase</t>
  </si>
  <si>
    <t>Low Value Assets - Depreciation</t>
  </si>
  <si>
    <t>Low Value Assets - Depreciation - Acc1</t>
  </si>
  <si>
    <t>Low Value Assets - Capitalization</t>
  </si>
  <si>
    <t>Rental Costs - Land and Buildings</t>
  </si>
  <si>
    <t>Rental Costs - Plants &amp; Mach/Fixt &amp; Fitt</t>
  </si>
  <si>
    <t>Rental Costs - Other Tangible Assets</t>
  </si>
  <si>
    <t>Leasing Costs - Vehicles</t>
  </si>
  <si>
    <t>Leasing Costs - Vehicles - Tax</t>
  </si>
  <si>
    <t>Leasing Costs - Land and Buildings</t>
  </si>
  <si>
    <t>Leasing Costs - Land&amp;Build Add Prop Exp</t>
  </si>
  <si>
    <t>Leasing Costs - Other Tangible Assets</t>
  </si>
  <si>
    <t>Leasing Costs - Tech Machine &amp; Equipment</t>
  </si>
  <si>
    <t>Lease Expense  Subleasing - Employee</t>
  </si>
  <si>
    <t>Ext Serv - Technical Serv</t>
  </si>
  <si>
    <t>IC Exp - SMS - Contractor Management</t>
  </si>
  <si>
    <t>Ext Serv - Contracted Work</t>
  </si>
  <si>
    <t>IC Exp - SMS - SM Strat.Contracting</t>
  </si>
  <si>
    <t>Ext Serv - Engineering Serv</t>
  </si>
  <si>
    <t>IC Exp - SMS - MRE ConstructServ&amp;SiteDev</t>
  </si>
  <si>
    <t>Ext Sv-Infra ProjAcr</t>
  </si>
  <si>
    <t>Vehicle - Fuel</t>
  </si>
  <si>
    <t>Vehicle - Insurance</t>
  </si>
  <si>
    <t>Vehicle - Repair and Mainten</t>
  </si>
  <si>
    <t>Vehicle - Electricity</t>
  </si>
  <si>
    <t>Vehicle - Other Expenses</t>
  </si>
  <si>
    <t>IC Expenses - TechOps Related Services</t>
  </si>
  <si>
    <t>IC Exp - SMS - Engineering-Technical Inv</t>
  </si>
  <si>
    <t>Consum of Min Tech Mat / Min Spare Parts</t>
  </si>
  <si>
    <t>Cons of Min TechMat / Min SpareParts IC</t>
  </si>
  <si>
    <t>Consum of Maj Tech Mat / Maj Spare Parts</t>
  </si>
  <si>
    <t>Consum of Maj Tech Mat / Maj SpPt - Cor</t>
  </si>
  <si>
    <t>Technical Supplies</t>
  </si>
  <si>
    <t>Project Materials-Construction Bulk Mat</t>
  </si>
  <si>
    <t>Project Materials-Purchased Materials</t>
  </si>
  <si>
    <t>Project Materials-Major Equipment</t>
  </si>
  <si>
    <t>Project Materials-Instruments&amp;Valves&amp;Oth</t>
  </si>
  <si>
    <t>Expense - ARetiOblig - Leased</t>
  </si>
  <si>
    <t>Finance Lease Lessee for Fixed Assets</t>
  </si>
  <si>
    <t>IC Exp - SMS - Engineering&amp;Techical Serv</t>
  </si>
  <si>
    <t>IC Exp - SMS - Eng Operating Functions</t>
  </si>
  <si>
    <t>IC Exp - SMS - Eng Manufact. f. Maint</t>
  </si>
  <si>
    <t>IC Exp - SMS - Eng Plant Maintenance</t>
  </si>
  <si>
    <t>IC Exp - SMS - Eng Assembly</t>
  </si>
  <si>
    <t>IC Exp - SMS - SM Services Crane</t>
  </si>
  <si>
    <t>IC Exp - DIV - Master Data Maintenance</t>
  </si>
  <si>
    <t>IC Exp - SMS - Vehicle Management</t>
  </si>
  <si>
    <t>IC Exp - SMS - Garage</t>
  </si>
  <si>
    <t>IC Exp - SMS - Vehicle Maintenance</t>
  </si>
  <si>
    <t>Ext Serv - Oth Exp f. Repair and Mainten</t>
  </si>
  <si>
    <t>Energy - Electricity</t>
  </si>
  <si>
    <t>IC Exp - SMS - MedSup - Electricity</t>
  </si>
  <si>
    <t>IC Exp - SMS - EST - Electricity tax</t>
  </si>
  <si>
    <t>Energy - Fuel</t>
  </si>
  <si>
    <t>Energy - Gas</t>
  </si>
  <si>
    <t>IC Exp - SMS - MedSup - Argon Gas</t>
  </si>
  <si>
    <t>IC Exp - SMS - MedSup - Carbon Dioxide</t>
  </si>
  <si>
    <t>IC Exp - SMS - MedSup - Natural Gas</t>
  </si>
  <si>
    <t>IC Exp - SMS - MedSup - Liquid Nitrogen</t>
  </si>
  <si>
    <t>IC Exp - SMS - MedSup - Nitrogen Gas</t>
  </si>
  <si>
    <t>IC Exp - SMS - MedSup - Hydrogen</t>
  </si>
  <si>
    <t>IC Exp - SMS - SM Service Gas</t>
  </si>
  <si>
    <t>IC EXP - SMS - MedSup - Liquid Gas</t>
  </si>
  <si>
    <t>Energy - Heating Oil</t>
  </si>
  <si>
    <t>Energy - Water</t>
  </si>
  <si>
    <t>IC Exp - SMS - MedSup - ElecRenew Energy</t>
  </si>
  <si>
    <t>IC Exp - SMS - MedSup - Cooling Water</t>
  </si>
  <si>
    <t>IC Exp - SMS - MedSup - RawWater</t>
  </si>
  <si>
    <t>IC Exp - SMS - MedSup - Drinking Water</t>
  </si>
  <si>
    <t>IC Exp - SMS - SM Hot Water</t>
  </si>
  <si>
    <t>IC Exp - SMS - SM Add.Water</t>
  </si>
  <si>
    <t>IC Exp - SMS - SM Plant Water</t>
  </si>
  <si>
    <t>IC Exp - SMS - MedSup - CompDryAir3.5bar</t>
  </si>
  <si>
    <t>IC Exp - SMS - MedSup - CompDryAir 7bar</t>
  </si>
  <si>
    <t>IC Exp - SMS - MedSup - Steam Supply</t>
  </si>
  <si>
    <t>IC Exp - SMS - MedSup - ColdWater Ref6C</t>
  </si>
  <si>
    <t>IC Exp - SMS - MedSup - -22C Refrigratn</t>
  </si>
  <si>
    <t>IC Exp - SMS - MedSup - Deion&amp;DeminWat</t>
  </si>
  <si>
    <t>IC Exp - SMS - MedSup - Sole-kwh</t>
  </si>
  <si>
    <t>IC Exp - SMS - MedSup -  HotDiWater-M3</t>
  </si>
  <si>
    <t>IC Exp - SMS - MedSup - PartDIWater-M3</t>
  </si>
  <si>
    <t>IC Exp - SMS - MedSup - CAirRegulat-M3</t>
  </si>
  <si>
    <t>IC Exp - SMS - MedSup - TherWasAirPur-AU</t>
  </si>
  <si>
    <t>IC EXP - SMS - Cold brine</t>
  </si>
  <si>
    <t>Energy - Other Energy Expenses</t>
  </si>
  <si>
    <t>IC Exp - SMS - MedSup - OtherEnergies-AU</t>
  </si>
  <si>
    <t>IC Exp - SMS - MRE Rental Services</t>
  </si>
  <si>
    <t>Real Estate - Municip Co f. Real Estates</t>
  </si>
  <si>
    <t>IC Exp - SMS - MRE Property Management</t>
  </si>
  <si>
    <t>IC Exp - SMS - NDD GeneralInfrastructure</t>
  </si>
  <si>
    <t>IC Exp - SMS - NDD Production Spec Infra</t>
  </si>
  <si>
    <t>IC Exp - DIV - Enviro Health&amp;Safety Serv</t>
  </si>
  <si>
    <t>IC Exp-SMS-MRE ValueAdd Real Estate Serv</t>
  </si>
  <si>
    <t>IC Exp - SMS - NDD General Affairs</t>
  </si>
  <si>
    <t>IC Exp - DIV - Chemicals Regulations</t>
  </si>
  <si>
    <t>IC Exp - DIV - Gas reaction services</t>
  </si>
  <si>
    <t>Real Estate - Other Exp f. Real Estates</t>
  </si>
  <si>
    <t>Site Serv - Canteen</t>
  </si>
  <si>
    <t>Site Serv - Cleaning Costs</t>
  </si>
  <si>
    <t>Quality Services - Quality Analytics</t>
  </si>
  <si>
    <t>Site Serv - Disp Exp</t>
  </si>
  <si>
    <t>IC Exp - SMS - WastWat Treatment</t>
  </si>
  <si>
    <t>IC Exp - SMS - Waste Management</t>
  </si>
  <si>
    <t>Site Serv - Disp Exp - Pub Chr for Disp</t>
  </si>
  <si>
    <t>IC Exp - SMS - Container Management</t>
  </si>
  <si>
    <t>Site Serv - Security</t>
  </si>
  <si>
    <t>Site Serv - Protective Clothing and Mat</t>
  </si>
  <si>
    <t>IC Exp - SMS - Security</t>
  </si>
  <si>
    <t>IC Exp - SMS - Work&amp;Contruction Security</t>
  </si>
  <si>
    <t>IC Exp - SMS - Health Services</t>
  </si>
  <si>
    <t>IC Exp - SMS - Occ and Pro Safety</t>
  </si>
  <si>
    <t>IC Exp - SMS - Plant Security</t>
  </si>
  <si>
    <t>IC Exp - SMS – MyJob@Merck</t>
  </si>
  <si>
    <t>IC Exp - SMS -  SetUp H Machinery</t>
  </si>
  <si>
    <t>IC Exp - SMS - Environmental Analysis</t>
  </si>
  <si>
    <t>IC Exp - DIV - Routine Analytics</t>
  </si>
  <si>
    <t>IC Exp - DIV - Special Analytics</t>
  </si>
  <si>
    <t>IC Exp - SMS - Certified Mangmnt Systems</t>
  </si>
  <si>
    <t>IC Exp - DIV - Design of Test Procedures</t>
  </si>
  <si>
    <t>IC Exp - DIV - Engineering</t>
  </si>
  <si>
    <t>IC Exp - DIV - Material Management</t>
  </si>
  <si>
    <t>IC Exp - DIV - Plant Maintenance</t>
  </si>
  <si>
    <t>IC Exp - DIV - Printing Services</t>
  </si>
  <si>
    <t>IC Exp - DIV - Assembly</t>
  </si>
  <si>
    <t>IC Exp - DIV - Contractor Management</t>
  </si>
  <si>
    <t>IC Exp - DIV - Hazard Evaluation</t>
  </si>
  <si>
    <t>IC Exp - DIV - Materials investigation</t>
  </si>
  <si>
    <t>IC Exp - DIV - Media supply</t>
  </si>
  <si>
    <t>IC Exp - DIV - Process Development</t>
  </si>
  <si>
    <t>IC Exp - DIV - Use tests Raw materials</t>
  </si>
  <si>
    <t>IC Exp - DIV - Support Services</t>
  </si>
  <si>
    <t>IC Exp - SMS - Plant Fire Brigade</t>
  </si>
  <si>
    <t>IC Exp - SMS - SM Traffic Area</t>
  </si>
  <si>
    <t>Site Serv - Other Site &amp; Plant Serv</t>
  </si>
  <si>
    <t>IC Exp - SMS - SM Services Other</t>
  </si>
  <si>
    <t>IC Exp - SMS - Analytics 10%</t>
  </si>
  <si>
    <t>IC Exp - SMS - Analytics</t>
  </si>
  <si>
    <t>IC Exp - SMS - Analytics 5%</t>
  </si>
  <si>
    <t>IC Exp - SMS - Routine Analytik</t>
  </si>
  <si>
    <t>IC Exp - SMS - HQ Campus</t>
  </si>
  <si>
    <t>IC Exp - SMS - Process Optimization</t>
  </si>
  <si>
    <t>Consumption - Raw Materials</t>
  </si>
  <si>
    <t>Consumption - Raw Materials - IC</t>
  </si>
  <si>
    <t>Consignment Consumption - Raw Materials</t>
  </si>
  <si>
    <t>Consumption - Other Raw Materials</t>
  </si>
  <si>
    <t>Consumption - Finished Materials</t>
  </si>
  <si>
    <t>Consumption - Finished Materials - IC</t>
  </si>
  <si>
    <t>Consumption - Finish Mat - QA Sample</t>
  </si>
  <si>
    <t>Consumption - Finish Mat - QA Samp - IC</t>
  </si>
  <si>
    <t>Consumption - Unfinished Material</t>
  </si>
  <si>
    <t>Consumption - Unfinished Material - IC</t>
  </si>
  <si>
    <t>Consignment Consumption - Unfinished Mat</t>
  </si>
  <si>
    <t>Consumption - Unfinished Mat - QA Samp</t>
  </si>
  <si>
    <t>Consumption - Unf Mat - QA Samples - IC</t>
  </si>
  <si>
    <t>Consumption - Packaging Material</t>
  </si>
  <si>
    <t>Consumption - Packaging Material - IC</t>
  </si>
  <si>
    <t>Consignment Consumption - Packaging Mat</t>
  </si>
  <si>
    <t>IC Exp - SMS - PackagMaterialHandl&amp;Mgmnt</t>
  </si>
  <si>
    <t>IC Exp - SMS - Material Management</t>
  </si>
  <si>
    <t>Consumption - Packaging Materials - Oth</t>
  </si>
  <si>
    <t>Consignment Consumption - Merchandise</t>
  </si>
  <si>
    <t>Consumption - Merchandise</t>
  </si>
  <si>
    <t>Consumption - Merchandise - IC</t>
  </si>
  <si>
    <t>Consumption f. Subc - Raw Materials</t>
  </si>
  <si>
    <t>Consumption f. Subc - Raw Materials - IC</t>
  </si>
  <si>
    <t>Consumption f. Subc - Finished Materials</t>
  </si>
  <si>
    <t>Consum f. Subc - Finished Materials - IC</t>
  </si>
  <si>
    <t>Consum f. Subc - Unfinished Material</t>
  </si>
  <si>
    <t>Consum f. Subc - Unfinish Material - IC</t>
  </si>
  <si>
    <t>Consumption f. Subc - Packaging Material</t>
  </si>
  <si>
    <t>Consum f. Subc - Packaging Material - IC</t>
  </si>
  <si>
    <t>Consumption f. Subc - Merchandise</t>
  </si>
  <si>
    <t>Consumption f. Subc - Merchandise - IC</t>
  </si>
  <si>
    <t>Consum f. Subc - Minor Tech Materials</t>
  </si>
  <si>
    <t>Consum f. Subc - Major Tech Materials</t>
  </si>
  <si>
    <t>Consum f. Subc - Other Produc Materials</t>
  </si>
  <si>
    <t>R&amp;D Samples - Global</t>
  </si>
  <si>
    <t>R&amp;D Samples - Global - Acc1</t>
  </si>
  <si>
    <t>R&amp;D Samples - Local</t>
  </si>
  <si>
    <t>Consumption of technical material - S2S</t>
  </si>
  <si>
    <t>Other Production Materials</t>
  </si>
  <si>
    <t>Other Production Materials -Acc1</t>
  </si>
  <si>
    <t>Other Production Materials - IC</t>
  </si>
  <si>
    <t>Promo - Samples</t>
  </si>
  <si>
    <t>IC Exp - DIV - Central Sampling</t>
  </si>
  <si>
    <t>Promo - Promotional Items</t>
  </si>
  <si>
    <t>Promo - Customer Gifts - 10-35 E</t>
  </si>
  <si>
    <t>Promo - Customer Gifts - &gt;35 E</t>
  </si>
  <si>
    <t>FOC Materials &gt; 50 E</t>
  </si>
  <si>
    <t>Promo - Catal, Prc Lists and Similar Mat</t>
  </si>
  <si>
    <t>Promo - Other Promotion</t>
  </si>
  <si>
    <t>Media Costs - TV</t>
  </si>
  <si>
    <t>Media Costs - Print</t>
  </si>
  <si>
    <t>Media Costs - Outdoor</t>
  </si>
  <si>
    <t>Media Costs - InterNet</t>
  </si>
  <si>
    <t>Media Costs - Social Media</t>
  </si>
  <si>
    <t>Media Costs - Other</t>
  </si>
  <si>
    <t>IC Exp - SMS - Printed Products</t>
  </si>
  <si>
    <t>Agency Fee - Creative Development</t>
  </si>
  <si>
    <t>Agency Production Costs</t>
  </si>
  <si>
    <t>Point of Sale - Activitites and Mat</t>
  </si>
  <si>
    <t>Point of Sale - Merchandizer</t>
  </si>
  <si>
    <t>Consumer Dir Mktng - Direct Mailing</t>
  </si>
  <si>
    <t>Consumer Dir Mktng - Mob-Mktng/E-Mailing</t>
  </si>
  <si>
    <t>Public relations - Events</t>
  </si>
  <si>
    <t>PR &amp; Institutional Advertising</t>
  </si>
  <si>
    <t>Website Hosting</t>
  </si>
  <si>
    <t>Advertisements - Other Advertising</t>
  </si>
  <si>
    <t>Other Advertisements - Non-Deductible</t>
  </si>
  <si>
    <t>Congress and Events - Speakers</t>
  </si>
  <si>
    <t>Congress and Events - HCP Sponsorship</t>
  </si>
  <si>
    <t>Congress and Events - Event Sponsorship</t>
  </si>
  <si>
    <t>Congress and Events - Booth&amp;Stage</t>
  </si>
  <si>
    <t>Congress and Events - MeetLogMangament</t>
  </si>
  <si>
    <t>Congress and Events - MeetLogHotel</t>
  </si>
  <si>
    <t>Congress and Events - Trade Shows</t>
  </si>
  <si>
    <t>Congress and Events - Other Event Costs</t>
  </si>
  <si>
    <t>Advis Costs - Consult Exp - Advis Board</t>
  </si>
  <si>
    <t>Advis Costs - Consult Exp - HCP Consult</t>
  </si>
  <si>
    <t>Trademark Expenses</t>
  </si>
  <si>
    <t>Royalty Expenses / License Fees - M&amp;S</t>
  </si>
  <si>
    <t>Commission Expenses - M&amp;S</t>
  </si>
  <si>
    <t>DO NOT USE_SGA expenses - Legacy Versum</t>
  </si>
  <si>
    <t>Commission Expenses - M&amp;S - SD</t>
  </si>
  <si>
    <t>Profit Share Expenses</t>
  </si>
  <si>
    <t>Royalty Expenses - COGS</t>
  </si>
  <si>
    <t>Grants &amp; Donat - Med Education Funding</t>
  </si>
  <si>
    <t>Grants &amp; Donat - Med Donat of Own Prod</t>
  </si>
  <si>
    <t>Grants &amp; Donat - Sponsoring</t>
  </si>
  <si>
    <t>Grants &amp; Donat - Other Grants</t>
  </si>
  <si>
    <t>Market Research</t>
  </si>
  <si>
    <t>Primary Market research</t>
  </si>
  <si>
    <t>MAP Co - Mark Acces, Pricing&amp;HE Studies</t>
  </si>
  <si>
    <t>MAP Co - MAP Reports &amp; Databases</t>
  </si>
  <si>
    <t>MAP Co - Payer Communication Materials</t>
  </si>
  <si>
    <t>MAP Co - Other Market Access &amp; Pricing</t>
  </si>
  <si>
    <t>Transport Insurance</t>
  </si>
  <si>
    <t>Customs, Duties and Forwarding Costs</t>
  </si>
  <si>
    <t>IC Exp - DIV - Logistical Services</t>
  </si>
  <si>
    <t>Distribution costs legacy versum</t>
  </si>
  <si>
    <t>IC Expenses - Logistics Services</t>
  </si>
  <si>
    <t>Freight - Delta</t>
  </si>
  <si>
    <t>Freight - Delta - Account 1</t>
  </si>
  <si>
    <t>Freight Costs Outbound - 3P - COPA</t>
  </si>
  <si>
    <t>Freight Costs Outbound - IC - COPA</t>
  </si>
  <si>
    <t>Freight Costs Outbound - 3P - CC</t>
  </si>
  <si>
    <t>Air Freight costs 4m TM</t>
  </si>
  <si>
    <t>Road Freight costs 4m TM</t>
  </si>
  <si>
    <t>Sea Freight costs 4m TM</t>
  </si>
  <si>
    <t>Train Freight Costs 4m TM</t>
  </si>
  <si>
    <t>Freight Costs Outbound - IC - CC</t>
  </si>
  <si>
    <t>Freight Costs Outbound - Actual - CC</t>
  </si>
  <si>
    <t>Freight Costs Outbound- 4m-TM-3P-COPA</t>
  </si>
  <si>
    <t>Freight Costs Outbound-4m-TM-IC-COPA</t>
  </si>
  <si>
    <t>IC Expenses - Other Marketing &amp; Selling</t>
  </si>
  <si>
    <t>IC Expenses - Commerc - Manual - CorrAcc</t>
  </si>
  <si>
    <t>IC Exp - SMS - Transport</t>
  </si>
  <si>
    <t>IC Expenses - Internal Sales Service</t>
  </si>
  <si>
    <t>IC Expenses - Sales Promotion</t>
  </si>
  <si>
    <t>IC Expenses - Field Force</t>
  </si>
  <si>
    <t>Registration Expenses</t>
  </si>
  <si>
    <t>Ext R&amp;D Serv Co - Investigator Fees</t>
  </si>
  <si>
    <t>Ext R&amp;D Serv Co - Authority Fees</t>
  </si>
  <si>
    <t>Ext R&amp;D Serv Co - CRO Fees</t>
  </si>
  <si>
    <t>Ext R&amp;D Serv Co - CRO Pass through Exp</t>
  </si>
  <si>
    <t>Ext R&amp;D Serv Co - R&amp;D Roy &amp; Licen Global</t>
  </si>
  <si>
    <t>Ext R&amp;D Serv Co - R&amp;D Roy &amp; Licen Local</t>
  </si>
  <si>
    <t>IC Expenses - R&amp;D - Service Charges</t>
  </si>
  <si>
    <t>IC Expenses - R&amp;D - Cost Charges</t>
  </si>
  <si>
    <t>IC Expenses - R&amp;D - Manual - CorrAcc</t>
  </si>
  <si>
    <t>Ext R&amp;D Serv Co - Clinical Trial supply</t>
  </si>
  <si>
    <t>Ext R&amp;D Serv Co - R&amp;D Consultancy</t>
  </si>
  <si>
    <t>IC Exp - SMS - R&amp;D Analytic-5% for DT</t>
  </si>
  <si>
    <t>IC Exp - SMS - R&amp;D Analytic-5% - TIP IMM</t>
  </si>
  <si>
    <t>IC Exp - SMS - R&amp;D Analytic-5% - TIP ONC</t>
  </si>
  <si>
    <t>IC Exp - SMS - R&amp;D Analytic-5%- TIP iONC</t>
  </si>
  <si>
    <t>IC Exp - SMS - R&amp;D Analytic-5% for GED</t>
  </si>
  <si>
    <t>IC Exp - SMS - R&amp;D Analytic-5% for CPD</t>
  </si>
  <si>
    <t>IC Exp - SMS - R&amp;D Analytic-5% for EXTIN</t>
  </si>
  <si>
    <t>IC Exp - SMS - R&amp;D Analytic-5% for GMS</t>
  </si>
  <si>
    <t>IC Exp - DIV - R&amp;D Special Services</t>
  </si>
  <si>
    <t>IC Exp - DIV - R&amp;D Basic Toxiclgcl Serv</t>
  </si>
  <si>
    <t>IC Exp - DIV - R&amp;D Project Services</t>
  </si>
  <si>
    <t>IC Exp - DIV - R&amp;D Extend Toxiclgcl Serv</t>
  </si>
  <si>
    <t>IC Exp - DIV - External R&amp;D costs</t>
  </si>
  <si>
    <t>IC Exp - SMS - R&amp;D Analytic-10% for DT</t>
  </si>
  <si>
    <t>IC Exp - SMS - R&amp;D Analytic-10%- TIP IMM</t>
  </si>
  <si>
    <t>IC Exp - SMS - R&amp;D Analytic-10%- TIP ONC</t>
  </si>
  <si>
    <t>IC Exp - SMS - R&amp;D Analytic-10%-TIP iONC</t>
  </si>
  <si>
    <t>IC Exp - SMS - R&amp;D Analytic-10% for GED</t>
  </si>
  <si>
    <t>IC Exp - SMS - R&amp;D Analytic-10% for CPD</t>
  </si>
  <si>
    <t>IC Exp - SMS - R&amp;D Analytic-10% forEXTIN</t>
  </si>
  <si>
    <t>IC Exp - SMS - R&amp;D Analytic-10% for GMS</t>
  </si>
  <si>
    <t>IC Exp - SMS - R&amp;D Blood Samples for DT</t>
  </si>
  <si>
    <t>IC Exp - SMS - R&amp;D Blood Samples-TIP IMM</t>
  </si>
  <si>
    <t>IC Exp - SMS - R&amp;D Blood Sampl f.TIP ONC</t>
  </si>
  <si>
    <t>IC Exp - SMS - R&amp;D Blood Sampl- TIP iONC</t>
  </si>
  <si>
    <t>IC Exp - SMS - R&amp;D Blood Samples for GED</t>
  </si>
  <si>
    <t>IC Exp - SMS - R&amp;D Blood Samples for CPD</t>
  </si>
  <si>
    <t>IC Exp - SMS - R&amp;D Blood Samples f.EXTIN</t>
  </si>
  <si>
    <t>IC Exp - SMS - R&amp;D Blood Samples for GMS</t>
  </si>
  <si>
    <t>IC Exp - SMS - R&amp;D Blood Samples</t>
  </si>
  <si>
    <t>R&amp;D - Patent Expenses External</t>
  </si>
  <si>
    <t>Ext R&amp;D Serv Costs - Accr IPR-Holder Exp</t>
  </si>
  <si>
    <t>Oth External R&amp;D Costs - Other R&amp;D Exp</t>
  </si>
  <si>
    <t>DO NOT USE_R&amp;D expenses - Legacy Versum</t>
  </si>
  <si>
    <t>Telecommunication Expenses</t>
  </si>
  <si>
    <t>Telecommunication Expenses - Mobile</t>
  </si>
  <si>
    <t>Network Expenses</t>
  </si>
  <si>
    <t>IT Consulting</t>
  </si>
  <si>
    <t>IC Expenses -  IT Consulting</t>
  </si>
  <si>
    <t>IT Hardware Purchases</t>
  </si>
  <si>
    <t>IT Software Purchases</t>
  </si>
  <si>
    <t>IT Hardware Rentals</t>
  </si>
  <si>
    <t>Application Licenses</t>
  </si>
  <si>
    <t>Application Services</t>
  </si>
  <si>
    <t>IT Service Contracts</t>
  </si>
  <si>
    <t>Printer Services</t>
  </si>
  <si>
    <t>IC Expenses - IT Services and Materials</t>
  </si>
  <si>
    <t>L&amp;P Fees - Court Expenses</t>
  </si>
  <si>
    <t>L&amp;P Fees - Litigation Advice</t>
  </si>
  <si>
    <t>L&amp;P Fees - Day 2 Day Legal Advice</t>
  </si>
  <si>
    <t>L&amp;P Fees - Project Legal Advice</t>
  </si>
  <si>
    <t>L&amp;P Fees - M&amp;A Legal Advice</t>
  </si>
  <si>
    <t>L&amp;P Fees - Patent Litigation</t>
  </si>
  <si>
    <t>L&amp;P Fees - External Legal Fees</t>
  </si>
  <si>
    <t>L&amp;P Fees - Aud Fees - Ann Aud incl. HC</t>
  </si>
  <si>
    <t>L&amp;P Fees - Aud Fees - Oth aff or ValServ</t>
  </si>
  <si>
    <t>L&amp;P Fees - Aud Fees - Tax Consult Serv</t>
  </si>
  <si>
    <t>L&amp;P Fees - Aud Fees - Oth Exp f. AudServ</t>
  </si>
  <si>
    <t>L&amp;P Fees - Milestone Payments</t>
  </si>
  <si>
    <t>L&amp;P Fees - Membership Fees</t>
  </si>
  <si>
    <t>L&amp;P Fees - Bank Charges</t>
  </si>
  <si>
    <t>L&amp;P Fees - Foreign Bank Charges</t>
  </si>
  <si>
    <t>L&amp;P Fees - Monetary Taxes</t>
  </si>
  <si>
    <t>L&amp;P Fees - Penal &amp; Fine for Inc-Tax Only</t>
  </si>
  <si>
    <t>L&amp;P Fees - Pen &amp; Fines for Tax &amp; SocChr</t>
  </si>
  <si>
    <t>L&amp;P Fees - Commercial Penalties</t>
  </si>
  <si>
    <t>L&amp;P Fees - Outsourced Services</t>
  </si>
  <si>
    <t>L&amp;P Fees - Translation Services</t>
  </si>
  <si>
    <t>L&amp;P Fees - Other External Services</t>
  </si>
  <si>
    <t>L&amp;P Fees - Other Charges and Fees</t>
  </si>
  <si>
    <t>Consultancy Expenses</t>
  </si>
  <si>
    <t>Legal Consulting</t>
  </si>
  <si>
    <t>Accounting Services and Fin Consulting</t>
  </si>
  <si>
    <t>IC Expenses - Consult Serv - Non-IT</t>
  </si>
  <si>
    <t>Subcontracting Fees - 3P</t>
  </si>
  <si>
    <t>External Operations Fees – OM</t>
  </si>
  <si>
    <t>Subcontracting Fees - IC</t>
  </si>
  <si>
    <t>IC Expenses - Accounting Services</t>
  </si>
  <si>
    <t>IC Expenses - Fin Auditing Services</t>
  </si>
  <si>
    <t>IC Expenses - Controlling Services</t>
  </si>
  <si>
    <t>IC Expenses - E&amp;Q Services</t>
  </si>
  <si>
    <t>IC Expenses - Group Treasury</t>
  </si>
  <si>
    <t>IC Expenses - HR Services</t>
  </si>
  <si>
    <t>IC Exp - SMS -  Management of Ideas</t>
  </si>
  <si>
    <t>IC Exp - SMS - Communications Services</t>
  </si>
  <si>
    <t>IC Expenses - L&amp;C Services</t>
  </si>
  <si>
    <t>IC Exp - SMS -  Environmental Services</t>
  </si>
  <si>
    <t>IC Expenses - MD Activities</t>
  </si>
  <si>
    <t>IC Expenses - P&amp;S - Information Services</t>
  </si>
  <si>
    <t>IC Expenses - Procurem Services</t>
  </si>
  <si>
    <t>IC Expenses - Communication Services</t>
  </si>
  <si>
    <t>IC Expenses - Tax Services</t>
  </si>
  <si>
    <t>IC Expenses - Admin - Manual - CorrAcc</t>
  </si>
  <si>
    <t>Other MGF Charges IC (expense)</t>
  </si>
  <si>
    <t>IC Exp - SMS -  Energy Management</t>
  </si>
  <si>
    <t>IC Exp - SMS - Analytics ApplicationMgmt</t>
  </si>
  <si>
    <t>IC Exp - SMS -  Document Logistics</t>
  </si>
  <si>
    <t>IC Exp - DIV - Applicatn&amp;Data Mgmnt Serv</t>
  </si>
  <si>
    <t>IC Exp - SMS - Analytics Tech Scouting</t>
  </si>
  <si>
    <t>IC Exp - Site Services</t>
  </si>
  <si>
    <t>IC Exp - Divisional - Other Services</t>
  </si>
  <si>
    <t>IC Expenses - Miscellaneous Others</t>
  </si>
  <si>
    <t>IC Cross-Charging - Reimb Exp - SIAL</t>
  </si>
  <si>
    <t>Special Reimbursement Expenses - IC</t>
  </si>
  <si>
    <t>IC Exp - EL - Routine Analytik</t>
  </si>
  <si>
    <t>IC Exp - EL- On-demand Analytics</t>
  </si>
  <si>
    <t>IC EXP - EL - Master Data</t>
  </si>
  <si>
    <t>IC EXP - EL - Regulatory Project Sup.</t>
  </si>
  <si>
    <t>IC EXP - EL - Quality Assur._GMP-reg.</t>
  </si>
  <si>
    <t>IC EXP - EL - OT Services</t>
  </si>
  <si>
    <t>IC EXP - EL - OT Pass-through</t>
  </si>
  <si>
    <t>IC EXP - EL - Corrosion test_special</t>
  </si>
  <si>
    <t>IC EXP - EL - Invest. material fail.</t>
  </si>
  <si>
    <t>IC EXP - EL - Gas react._pilot scale</t>
  </si>
  <si>
    <t>IC EXP - EL - PM-OT Project (extern)</t>
  </si>
  <si>
    <t>IC Exp - HC - Routine Analytics/QC</t>
  </si>
  <si>
    <t>IC Exp - HC - On-demand analytics</t>
  </si>
  <si>
    <t>IC EXP - HC - Regulatory Project Sup.</t>
  </si>
  <si>
    <t>IC EXP - HC - R&amp;D Project Service</t>
  </si>
  <si>
    <t>IC EXP - HC - R&amp;D Project Service_ext</t>
  </si>
  <si>
    <t>IC EXP - HC - Application/Data Mgmnt</t>
  </si>
  <si>
    <t>IC Exp - HC - Toxicological R&amp;D</t>
  </si>
  <si>
    <t>IC EXP - HC - Toxicological R&amp;D (ext)</t>
  </si>
  <si>
    <t>IC EXP - HC - True-up/Mark-up</t>
  </si>
  <si>
    <t>IC Exp - SMS - Maint. Ext.</t>
  </si>
  <si>
    <t>IC Exp - SMS - Maint. Int.</t>
  </si>
  <si>
    <t>IC Exp - SMS - Maint. Material</t>
  </si>
  <si>
    <t>IC Exp - SMS - Maint. Other Costs</t>
  </si>
  <si>
    <t>IC Exp - SMS - Tech Proj. Ext.</t>
  </si>
  <si>
    <t>IC Exp - SMS - Tech Proj. Int.</t>
  </si>
  <si>
    <t>IC Exp - SMS - Tech Proj. Material</t>
  </si>
  <si>
    <t>IC Exp - SMS - Tech Proj. CAPEX</t>
  </si>
  <si>
    <t>IC Exp - SMS - Tech Proj Other Costs</t>
  </si>
  <si>
    <t>IC Exp - SMS - PM Reimbursement</t>
  </si>
  <si>
    <t>IC Exp - SMS - Tech Proj Reimbursem.</t>
  </si>
  <si>
    <t>Travel Exp - Meal Allowance</t>
  </si>
  <si>
    <t>Travel Exp - Hotel and Accomodation Exp</t>
  </si>
  <si>
    <t>Travel Exp - Hotel Accomodation Exp 1</t>
  </si>
  <si>
    <t>Travel Exp - Flight</t>
  </si>
  <si>
    <t>Travel Exp - Flight 1</t>
  </si>
  <si>
    <t>Travel Exp - Public Transportation</t>
  </si>
  <si>
    <t>Travel Exp - Rental Cars</t>
  </si>
  <si>
    <t>Travel Exp - Other Fares</t>
  </si>
  <si>
    <t>Travel Exp - Other Travel Expenses</t>
  </si>
  <si>
    <t>Entertainment Expenses ULL</t>
  </si>
  <si>
    <t>Entertainment Expenses OLL</t>
  </si>
  <si>
    <t>Entertainment Expenses ULL - Account 1</t>
  </si>
  <si>
    <t>Entertainment Expenses ULL - Account 2</t>
  </si>
  <si>
    <t>Entertainment Exp - 70% Deductible</t>
  </si>
  <si>
    <t>Entertainment Expenses OLL - Account 1</t>
  </si>
  <si>
    <t>Entertainment Exp - Representation Exp</t>
  </si>
  <si>
    <t>IC Exp - SMS - Restaurant&amp;ConferenceServ</t>
  </si>
  <si>
    <t>Oth Admin Exp - Postage</t>
  </si>
  <si>
    <t>Oth Insur Exp - Business Interrup Insur</t>
  </si>
  <si>
    <t>Oth Insur Exp - Product liability Insur</t>
  </si>
  <si>
    <t>Oth Insur Exp - Machinery Insurance</t>
  </si>
  <si>
    <t>IC Expenses - Insurance Services</t>
  </si>
  <si>
    <t>Oth Insur Exp - Other Insurances</t>
  </si>
  <si>
    <t>Oth Insur Exp - Other Insurances 1</t>
  </si>
  <si>
    <t>Oth miscellaneous Exp - Oth Admin Exp</t>
  </si>
  <si>
    <t>General and Admin Exp IT</t>
  </si>
  <si>
    <t>General and Admin Procurement (TBO)</t>
  </si>
  <si>
    <t>Finance (TBO)</t>
  </si>
  <si>
    <t>MBS Finance (TBO)</t>
  </si>
  <si>
    <t>Human Resources (TBO)</t>
  </si>
  <si>
    <t>Legal (TBO)</t>
  </si>
  <si>
    <t>Field Force (TBO)</t>
  </si>
  <si>
    <t>Human resources (TBO)</t>
  </si>
  <si>
    <t>G&amp;A Exp IO &amp; Project Settlement</t>
  </si>
  <si>
    <t>Oth Consumab - SelfServShop/Kitchen/Wine</t>
  </si>
  <si>
    <t>Other Consumables - Office Material</t>
  </si>
  <si>
    <t>Other Consumables - Literature</t>
  </si>
  <si>
    <t>Other Consumables - Publications</t>
  </si>
  <si>
    <t>Oth Consumabl - Oth Non-Prod Consum Mat</t>
  </si>
  <si>
    <t>Losses from Disposal - Intangible Assets</t>
  </si>
  <si>
    <t>Losses f. Disposal - Intang Assets-Acc1</t>
  </si>
  <si>
    <t>Loss on Retire w/o Reven - Intang Assets</t>
  </si>
  <si>
    <t>Loss on Retire w/o Reven-IntangAsset-Ac1</t>
  </si>
  <si>
    <t>Loss on Ret w/oRev - Intang Assets PPA</t>
  </si>
  <si>
    <t>Losses from Disposal - Tangible Assets</t>
  </si>
  <si>
    <t>Losses from Disposal - Tang Assets-Acc1</t>
  </si>
  <si>
    <t>Losses on Retire w/o Reven - Tang Assets</t>
  </si>
  <si>
    <t>Losses on Retire w/o Reven - Tang A-Acc1</t>
  </si>
  <si>
    <t>Losses on Retire w/o Reven - TA- PPA</t>
  </si>
  <si>
    <t>Loss Dissol Cont Consid/PPAdj/Barg Purch</t>
  </si>
  <si>
    <t>Loss from PPAdj of Business Combination</t>
  </si>
  <si>
    <t>Losses from Sale/Disposal of Fin Instr</t>
  </si>
  <si>
    <t>Losses f Sale/Disp of FinInstr-DebInstAC</t>
  </si>
  <si>
    <t>Los FairValCha DebtInst (FVOpt)FVtPL-Re</t>
  </si>
  <si>
    <t>Los  FairValChanges Debt Inst FVtPL -UR</t>
  </si>
  <si>
    <t>Los f. FairValChanges Debt Inst FVtPL-Re</t>
  </si>
  <si>
    <t>Los f. FairValChanges Debt Inst FVtPL-UR</t>
  </si>
  <si>
    <t>Los f. Recycling Debt Inst FVOCI</t>
  </si>
  <si>
    <t>Los f. FairValChanges EquityInstFVtPL-Re</t>
  </si>
  <si>
    <t>Los f. FairValChanges EquityInstFVtPL-UR</t>
  </si>
  <si>
    <t>Los f. FairValChangesOperDerivFVtPL-Re</t>
  </si>
  <si>
    <t>Los f. FairValChangesOperDerivtFVtPL-UR</t>
  </si>
  <si>
    <t>Losses from Disposal - Assets HFS</t>
  </si>
  <si>
    <t>Loss on Retire w/o Reven - Asset HFS</t>
  </si>
  <si>
    <t>Loss on Retire w/o Reven - Leased Assets</t>
  </si>
  <si>
    <t>Loss on Retire w/oRev - Leased Assts PPA</t>
  </si>
  <si>
    <t>Loss on Retire w/o Reven - LeasOutAssets</t>
  </si>
  <si>
    <t>Loss f. FairValChangesContCon-OP</t>
  </si>
  <si>
    <t>Impairment of Financial Assets</t>
  </si>
  <si>
    <t>Impairment of FinAssets-DebtInstAC</t>
  </si>
  <si>
    <t>Impairment of FinAssets-DebtInstFVOCI</t>
  </si>
  <si>
    <t>Asset Imp - NRVM of Assets HFS/DispGr</t>
  </si>
  <si>
    <t>Exp from FX Diff - Realized</t>
  </si>
  <si>
    <t>Exp from FX Diff - Realized - IC</t>
  </si>
  <si>
    <t>Exp from FX Val - Unrealized</t>
  </si>
  <si>
    <t>Exp from FX Diff - CF-Hedges - Realized</t>
  </si>
  <si>
    <t>Exp from FX Val - CF-Hedges - Unrealized</t>
  </si>
  <si>
    <t>FX Exp Reval-Oper-Deriv-CFH-Result-Unrel</t>
  </si>
  <si>
    <t>Exp from FX Diff - Provisions - Realized</t>
  </si>
  <si>
    <t>Exp from FX Val - Provisions- Unrealized</t>
  </si>
  <si>
    <t>Exp FX Diff-Operative Hedging-Realized</t>
  </si>
  <si>
    <t>Exp FX Val-Operative Hedging-Unrealized</t>
  </si>
  <si>
    <t>Exp FX Diff-Derivatives-Realized</t>
  </si>
  <si>
    <t>Exp FX Val-Derivatives-Unrealized</t>
  </si>
  <si>
    <t>FX Exp Settl-Op-ZeroCostCurrOpt-CHF-Real</t>
  </si>
  <si>
    <t>Operating Taxes - Deductible</t>
  </si>
  <si>
    <t>Operating Taxes - Account 1</t>
  </si>
  <si>
    <t>Operating taxes - Account 2</t>
  </si>
  <si>
    <t>Operating taxes - Account 3</t>
  </si>
  <si>
    <t>Operating taxes - Account 4</t>
  </si>
  <si>
    <t>Operating Taxes - Innovation Tax</t>
  </si>
  <si>
    <t>OperateTax - Rehabilitation Contribution</t>
  </si>
  <si>
    <t>OpTax - Urban Construction Tax - China</t>
  </si>
  <si>
    <t>Operating Taxes - Business tax OIE</t>
  </si>
  <si>
    <t>Operating Tax - Local Waste Tax</t>
  </si>
  <si>
    <t>Operating Tax - Local Document Stamp Tax</t>
  </si>
  <si>
    <t>Operating Tax - Local Energy Prod Tax</t>
  </si>
  <si>
    <t>Operating Tax - Local Tax for Tenders</t>
  </si>
  <si>
    <t>Operating Tax - Local Book Stamp Tax</t>
  </si>
  <si>
    <t>Operating Taxes - Account 100</t>
  </si>
  <si>
    <t>Operating Taxes - Account 200</t>
  </si>
  <si>
    <t>Operating Taxes - Account 300</t>
  </si>
  <si>
    <t>Operating Taxes - Non-Deductible</t>
  </si>
  <si>
    <t>Operating Taxes - Real Estate Tax</t>
  </si>
  <si>
    <t>Operating Taxes - Trade Capital Tax</t>
  </si>
  <si>
    <t>Oth Miscell Exp - Loss f. Uncoll Receiv</t>
  </si>
  <si>
    <t>Oth Miscell Exp - Remaining Oth Expenses</t>
  </si>
  <si>
    <t>Oth Miscell Exp - Rem Oth Exp - Damages</t>
  </si>
  <si>
    <t>IC Expenses - Remaining Other Expenses</t>
  </si>
  <si>
    <t>IC Exp - Rem Other Exp - ICON Offset</t>
  </si>
  <si>
    <t>Oth Miscell Exp - Prov f. Uncoll Receiv</t>
  </si>
  <si>
    <t>Oth Miscell Exp - Exceptional Costs</t>
  </si>
  <si>
    <t>Oth Misc Exp - Special Cost - Recharge</t>
  </si>
  <si>
    <t>Special items integration</t>
  </si>
  <si>
    <t>Oth Miscell Exp - Min Diff f. Postings</t>
  </si>
  <si>
    <t>Oth Miscell Exp - Exp f. Supervis Board</t>
  </si>
  <si>
    <t>Donations to non-profit-organisations</t>
  </si>
  <si>
    <t>Oth Miscell Exp - Factoring Exp</t>
  </si>
  <si>
    <t>Oth Miscell Exp - Special Charges</t>
  </si>
  <si>
    <t>Selling Exp 4m IO&amp;Proj Settlement</t>
  </si>
  <si>
    <t>Oth External Costs - Publications</t>
  </si>
  <si>
    <t>Expenses from Transfer Price Adjustments</t>
  </si>
  <si>
    <t>IC Expenses - Non-Operating TP Compensat</t>
  </si>
  <si>
    <t>Loss from Hyperinflation</t>
  </si>
  <si>
    <t>Loss from Termin Lessor FL</t>
  </si>
  <si>
    <t>Loss from Termin Lessor OL</t>
  </si>
  <si>
    <t>Oth Exp - FV Changes of Emb Derivatives</t>
  </si>
  <si>
    <t>Oth Exp - RoU - Clearing</t>
  </si>
  <si>
    <t>Markup Expenses IC</t>
  </si>
  <si>
    <t>Markup Expenses IC - Manual</t>
  </si>
  <si>
    <t>Reimbursement IC - Field Force</t>
  </si>
  <si>
    <t>Reimbursement IC - Internal Sales Serv</t>
  </si>
  <si>
    <t>Reimbursement IC - Sales Promotion</t>
  </si>
  <si>
    <t>Reimbursement IC - Logistics Services</t>
  </si>
  <si>
    <t>Reimbursement IC - Other M&amp;S</t>
  </si>
  <si>
    <t>Reimbursement IC - External Training HR</t>
  </si>
  <si>
    <t>Reimbursement IC - Expat Compens &amp; Benef</t>
  </si>
  <si>
    <t>Reimbursement IC - Managin Directr Activ</t>
  </si>
  <si>
    <t>Reimbursement IC - Pat&amp;Scien Inform Serv</t>
  </si>
  <si>
    <t>Reimbursement IC - Insurance Services</t>
  </si>
  <si>
    <t>Reimbursement IC - Financ Auditing Serv</t>
  </si>
  <si>
    <t>Reimbursement IC - Consulting - Non-IT</t>
  </si>
  <si>
    <t>Reimbursement IC - External Recruit HR</t>
  </si>
  <si>
    <t>Reimbursement IC - Other Miscellaneous</t>
  </si>
  <si>
    <t>Reimbursement IC - Global R&amp;D</t>
  </si>
  <si>
    <t>Reimbursement IC - Local R&amp;D</t>
  </si>
  <si>
    <t>Reimbursement IC - Site Services</t>
  </si>
  <si>
    <t>Reimbursement IC - Legal &amp; Compl Serv</t>
  </si>
  <si>
    <t>Reimbursement IC - Group Treasury</t>
  </si>
  <si>
    <t>Reimbursement IC - HR Services</t>
  </si>
  <si>
    <t>Reimbursement IC - IT Services</t>
  </si>
  <si>
    <t>Reimbursement IC - Communic Services</t>
  </si>
  <si>
    <t>Reimbursement IC - Controlling Services</t>
  </si>
  <si>
    <t>Reimbursement IC - Procurement Services</t>
  </si>
  <si>
    <t>Reimbursement IC - Tax Services</t>
  </si>
  <si>
    <t>Reimbursement IC - Accounting Services</t>
  </si>
  <si>
    <t>Reimbursement IC - Environm&amp;Quality Serv</t>
  </si>
  <si>
    <t>Reimbursement IC - Other Administration</t>
  </si>
  <si>
    <t>DAA-With Tarif Low Rate *prev.LEI</t>
  </si>
  <si>
    <t>DAA-Without Tarif High Rate *prev. LAT</t>
  </si>
  <si>
    <t>IAA  Building Charge LF (incl. energy)</t>
  </si>
  <si>
    <t>AOM Cost transfer Charge Local Function</t>
  </si>
  <si>
    <t>AOM Environmental Department</t>
  </si>
  <si>
    <t>AOM General Affairs Charge Loc. Function</t>
  </si>
  <si>
    <t>AOM General Infrastructure Charge LF</t>
  </si>
  <si>
    <t>AOM Cost transfer Buildings</t>
  </si>
  <si>
    <t>AOM Cost transfer Personnel</t>
  </si>
  <si>
    <t>AOM Cost transfer Travelling &amp; Entertaim</t>
  </si>
  <si>
    <t>AOM Cost transfer Other Cost</t>
  </si>
  <si>
    <t>AOM Berufsgenossenschaft trade associati</t>
  </si>
  <si>
    <t>AOM Pensionsrueckstellung pension accrua</t>
  </si>
  <si>
    <t>AOM Pensionssicherungsverein pens. secur</t>
  </si>
  <si>
    <t>SOM Intercompany Charge Local Function</t>
  </si>
  <si>
    <t>SOM Intercomp. Charge Management &amp; Oth.</t>
  </si>
  <si>
    <t>DAA EWORKPLACE GLO</t>
  </si>
  <si>
    <t>DAA Telco Services fix</t>
  </si>
  <si>
    <t>DAA Telco Services var.</t>
  </si>
  <si>
    <t>DAA CONSULT INH.</t>
  </si>
  <si>
    <t>DAA PROJECT HRS IS</t>
  </si>
  <si>
    <t>DAA ERP SERVICES</t>
  </si>
  <si>
    <t>DAA OTHER IT SERV.</t>
  </si>
  <si>
    <t>DAA MDA DESKT SERV</t>
  </si>
  <si>
    <t>DAA IT TRAINING</t>
  </si>
  <si>
    <t>DAA LOC. IT SERV.</t>
  </si>
  <si>
    <t>DAA SPECIAL IT SER</t>
  </si>
  <si>
    <t>DAA_BPDO Corporate</t>
  </si>
  <si>
    <t>DAA_BPDO-Projects</t>
  </si>
  <si>
    <t>DAA_Scientific Inform.</t>
  </si>
  <si>
    <t>DAA_IT Special Services</t>
  </si>
  <si>
    <t>DAA_IT Project Hours Stat.</t>
  </si>
  <si>
    <t>DAA_IT Applic. Plan</t>
  </si>
  <si>
    <t>DAA_IT Project Plan</t>
  </si>
  <si>
    <t>DAA_IT Service Contracts</t>
  </si>
  <si>
    <t>DAA_IT Training</t>
  </si>
  <si>
    <t>DAA_IT Project Hours</t>
  </si>
  <si>
    <t>DAA_IT Products PC Desk</t>
  </si>
  <si>
    <t>DAA_PPMC int. Costs</t>
  </si>
  <si>
    <t>DAA_IT Project Special</t>
  </si>
  <si>
    <t>AOM IT Local Service</t>
  </si>
  <si>
    <t>AOM  MGF IT COSTS</t>
  </si>
  <si>
    <t>AOM TELECOMM. COSTS</t>
  </si>
  <si>
    <t>AOM IT TRAINING</t>
  </si>
  <si>
    <t>AOM Intercompany Charge IT Services</t>
  </si>
  <si>
    <t>AOM Intercompany Charge IT Consulting</t>
  </si>
  <si>
    <t>SOM Intercompany Charge IT Services</t>
  </si>
  <si>
    <t>SOM IT Projects External Services</t>
  </si>
  <si>
    <t>SOM IT Projects Internal Services</t>
  </si>
  <si>
    <t>SOM IS Governance</t>
  </si>
  <si>
    <t>SOM IT Projects Material Costs</t>
  </si>
  <si>
    <t>SOM IT Projects nonactiv. borrowing Cost</t>
  </si>
  <si>
    <t>SOM IT Projects Other Costs</t>
  </si>
  <si>
    <t>SOM Intercompany Charge IT Consulting</t>
  </si>
  <si>
    <t>DAA Consulting Inhouse</t>
  </si>
  <si>
    <t>DAA E, H, S</t>
  </si>
  <si>
    <t>DAA EQ REACH</t>
  </si>
  <si>
    <t>DAA EQ Safety Data Sheets</t>
  </si>
  <si>
    <t>DAA PS Translation Services</t>
  </si>
  <si>
    <t>DAA Temporary Personnel</t>
  </si>
  <si>
    <t>DAA Training HR personnel</t>
  </si>
  <si>
    <t>DAA Training Non HR personnel</t>
  </si>
  <si>
    <t>DAA_MGF Training</t>
  </si>
  <si>
    <t>DAA_MGF Absence hours</t>
  </si>
  <si>
    <t>DAA_MGF Charge Other</t>
  </si>
  <si>
    <t>AOM Accounting services</t>
  </si>
  <si>
    <t>AOM Controlling services</t>
  </si>
  <si>
    <t>AOM Environment and quality services</t>
  </si>
  <si>
    <t>AOM Group treasury</t>
  </si>
  <si>
    <t>AOM HR Services</t>
  </si>
  <si>
    <t>AOM Insurance services</t>
  </si>
  <si>
    <t>AOM Legal and compliance services</t>
  </si>
  <si>
    <t>AOM MD activities</t>
  </si>
  <si>
    <t>AOM Patent and scientific IS</t>
  </si>
  <si>
    <t>AOM Procurement services</t>
  </si>
  <si>
    <t>AOM Tax services</t>
  </si>
  <si>
    <t>AOM Other MGF Charges IC (income)</t>
  </si>
  <si>
    <t>AOM Expatriate expenses</t>
  </si>
  <si>
    <t>AOM Recruiting expenses</t>
  </si>
  <si>
    <t>AOM Fin Auditing Services</t>
  </si>
  <si>
    <t>AOM Communication Service</t>
  </si>
  <si>
    <t>AOM Logistic Services</t>
  </si>
  <si>
    <t>AOM Patent&amp;Scinfic Inform'n Serv GlobR&amp;D</t>
  </si>
  <si>
    <t>AOM ExternalRecruiting&amp;OtherPersonlCosts</t>
  </si>
  <si>
    <t>AOM Special Projects</t>
  </si>
  <si>
    <t>SOM Corp Cost Settlement</t>
  </si>
  <si>
    <t>SOM MGF HR exp.</t>
  </si>
  <si>
    <t>SOM MGF Finance exp.</t>
  </si>
  <si>
    <t>SOM MGF Legal exp.</t>
  </si>
  <si>
    <t>SOM MGF Other exp.</t>
  </si>
  <si>
    <t>SOM Compensation Settlement</t>
  </si>
  <si>
    <t>SOM Incentive Comp Settlement</t>
  </si>
  <si>
    <t>SOM ExPat Cost Settlement</t>
  </si>
  <si>
    <t>SOM Employee Related Settlement</t>
  </si>
  <si>
    <t>SOM Admin Settlement</t>
  </si>
  <si>
    <t>SOM Taxes Settlement</t>
  </si>
  <si>
    <t>SOM Utility Settlement</t>
  </si>
  <si>
    <t>SOM Rental Settlement</t>
  </si>
  <si>
    <t>SOM Global Event&amp;Managements</t>
  </si>
  <si>
    <t>DAA Service Core Business</t>
  </si>
  <si>
    <t>DAA PRO - Direct Labour</t>
  </si>
  <si>
    <t>DAA PRO - Operating Hours Equipment</t>
  </si>
  <si>
    <t>DAA PRO Volume Variance</t>
  </si>
  <si>
    <t>DAA PRO Quality Control (Monitor.) Hour</t>
  </si>
  <si>
    <t>DAA PRO Quality Control (Monitor.) Unit</t>
  </si>
  <si>
    <t>DAA PRO - Electricity</t>
  </si>
  <si>
    <t>DAA PRO - Natural Gas</t>
  </si>
  <si>
    <t>DAA PRO - Steam</t>
  </si>
  <si>
    <t>DAA PRO - Compressed Air</t>
  </si>
  <si>
    <t>DAA PRO - Water</t>
  </si>
  <si>
    <t>DAA PRO - Other Energies</t>
  </si>
  <si>
    <t>DAA PRO - Other Utilities</t>
  </si>
  <si>
    <t>DAA PRO - Waste Water Treatment</t>
  </si>
  <si>
    <t>DAA PRO - Waste Solid Treatment</t>
  </si>
  <si>
    <t>DAA PRO - Waste Air Treatment</t>
  </si>
  <si>
    <t>DAA PRO - Other Environmental</t>
  </si>
  <si>
    <t>PRO - water cooling (M3)</t>
  </si>
  <si>
    <t>PRO - Sole (kwh)</t>
  </si>
  <si>
    <t>PRO - DI Water (M3)</t>
  </si>
  <si>
    <t>DAA PRO Start-up expenses</t>
  </si>
  <si>
    <t>DAA PRO - Direct labour/Overhead</t>
  </si>
  <si>
    <t>DAA PRO - Returnable Items (AU)</t>
  </si>
  <si>
    <t>DAA PRO - C. Air regulation</t>
  </si>
  <si>
    <t>DAA PRO - Hot Di Water</t>
  </si>
  <si>
    <t>DAA PRO - Part. DI Water (M3)</t>
  </si>
  <si>
    <t>DAA PRO Quartz Container Prep Settlement</t>
  </si>
  <si>
    <t>DAA PRO StainlessSteelContainerPrepSettl</t>
  </si>
  <si>
    <t>DAA PRO FixedProcessingCostActivitySettl</t>
  </si>
  <si>
    <t>DAA PRO Fixed ProcessingCostDepreciation</t>
  </si>
  <si>
    <t>DAA PRO FixedProcessingCostIndirectSettl</t>
  </si>
  <si>
    <t>DAA PRO Bulk Container Prep Settlement</t>
  </si>
  <si>
    <t>DAA PRO Cylinder ContainerPrepSettlement</t>
  </si>
  <si>
    <t>DAA PRO DM ShopLaborActivity</t>
  </si>
  <si>
    <t>DAA PRO DM Staff Labor Activity</t>
  </si>
  <si>
    <t>DAA PRO DM Engineering Labor Activity</t>
  </si>
  <si>
    <t>DAA-QC Internal DA/GH2 Reg Prod QM order</t>
  </si>
  <si>
    <t>DAA Quality Control (Hours)</t>
  </si>
  <si>
    <t>DAA Quality Control (Units)</t>
  </si>
  <si>
    <t>DAA Engineering  Services</t>
  </si>
  <si>
    <t>DAA Engineering / Maintenance Services</t>
  </si>
  <si>
    <t>DAA Service Pauschale</t>
  </si>
  <si>
    <t>DAA Technician  Services (external)</t>
  </si>
  <si>
    <t>DAA Technician  Services (internal)</t>
  </si>
  <si>
    <t>DAA - Tech OH</t>
  </si>
  <si>
    <t>DAA - Maintenance Support</t>
  </si>
  <si>
    <t>DAA - Man Machine MM1</t>
  </si>
  <si>
    <t>DAA - overtime WST</t>
  </si>
  <si>
    <t>DAA - overtime WTU</t>
  </si>
  <si>
    <t>DAA - Plan Major Repair</t>
  </si>
  <si>
    <t>DAA - Maintenance</t>
  </si>
  <si>
    <t>DAA - Engineering</t>
  </si>
  <si>
    <t>DAA Compressed Air</t>
  </si>
  <si>
    <t>DAA Electrical Power</t>
  </si>
  <si>
    <t>DAA Natural Gas</t>
  </si>
  <si>
    <t>DAA Other Energy costs</t>
  </si>
  <si>
    <t>DAA Steam</t>
  </si>
  <si>
    <t>DAA Water</t>
  </si>
  <si>
    <t>DAA Other supplies</t>
  </si>
  <si>
    <t>DAA Chilled water (cold) (m3)</t>
  </si>
  <si>
    <t>DAA Sole (KWH)</t>
  </si>
  <si>
    <t>DAA Deionized Water (M3)</t>
  </si>
  <si>
    <t>DAA HOT Deionized Water (M3)</t>
  </si>
  <si>
    <t>DAA Partially Deionized Water (M3)</t>
  </si>
  <si>
    <t>DAA Air Regulation (M3)</t>
  </si>
  <si>
    <t>DAA Factory Water (M3)</t>
  </si>
  <si>
    <t>DAA Hydrogen (M3)</t>
  </si>
  <si>
    <t>DAA Nitrogen GAS (M3)</t>
  </si>
  <si>
    <t>DAA Nitrogen LIQUID (M3)</t>
  </si>
  <si>
    <t>DAA Re-Cooling Water (M3)</t>
  </si>
  <si>
    <t>DAA Compressed Air 7 bar (M3)</t>
  </si>
  <si>
    <t>DAA Argon</t>
  </si>
  <si>
    <t>DAA Waste - air</t>
  </si>
  <si>
    <t>DAA Waste - solid</t>
  </si>
  <si>
    <t>DAA Waste - water</t>
  </si>
  <si>
    <t>DAA Other environmental protection</t>
  </si>
  <si>
    <t>DAA Building Charge Non Local Function</t>
  </si>
  <si>
    <t>DAA Production specific infrastructure</t>
  </si>
  <si>
    <t>IAA Personnel pool Direct Production</t>
  </si>
  <si>
    <t>IAA Compressed Air</t>
  </si>
  <si>
    <t>IAA Electrical Power</t>
  </si>
  <si>
    <t>IAA Natural gas</t>
  </si>
  <si>
    <t>IAA Other Energies</t>
  </si>
  <si>
    <t>IAA Other Supplies</t>
  </si>
  <si>
    <t>IAA Steam</t>
  </si>
  <si>
    <t>IAA Water</t>
  </si>
  <si>
    <t>IAA - Water Cooling</t>
  </si>
  <si>
    <t>IAA - Sole (M3)</t>
  </si>
  <si>
    <t>IAA - DI Water (M3)</t>
  </si>
  <si>
    <t>IAA - Returnable Items (AU)</t>
  </si>
  <si>
    <t>IAA - C. Air regulation</t>
  </si>
  <si>
    <t>IAA - Hot Di Water</t>
  </si>
  <si>
    <t>IAA Other environmental costs</t>
  </si>
  <si>
    <t>IAA Waste - air</t>
  </si>
  <si>
    <t>IAA Waste - solid</t>
  </si>
  <si>
    <t>IAA Waste - water</t>
  </si>
  <si>
    <t>IAA Non-Office Build. (not production)</t>
  </si>
  <si>
    <t>IAA Quality Control (Hours)</t>
  </si>
  <si>
    <t>IAA Quality Control (Units)</t>
  </si>
  <si>
    <t>AOM Techn. Service Costs (Comp. Split)</t>
  </si>
  <si>
    <t>AOM Allocated  Other  (Component Split)</t>
  </si>
  <si>
    <t>AOM Alloc. Energy/Ut.Costs (Comp. Split)</t>
  </si>
  <si>
    <t>AOM Alloc. Envir. Costs  (Comp. Split)</t>
  </si>
  <si>
    <t>AOM Alloc. Mat. Cons. Costs (Comp.Split)</t>
  </si>
  <si>
    <t>AOM Alloc. Oth. Site Costs  (Comp.Split)</t>
  </si>
  <si>
    <t>AOM Alloc.Quality Costs (Comp. Split)</t>
  </si>
  <si>
    <t>AOM Building Charge Non Local Function</t>
  </si>
  <si>
    <t>AOM Depreciation</t>
  </si>
  <si>
    <t>AOM Direct Personnel Pool Production</t>
  </si>
  <si>
    <t>AOM General Production Cost</t>
  </si>
  <si>
    <t>AOM General Production Equipment</t>
  </si>
  <si>
    <t>AOM Prod. Fix - Dir. Pers.  (Comp.Split)</t>
  </si>
  <si>
    <t>AOM P.Fix - Equipm. Rest  (Comp.Split)</t>
  </si>
  <si>
    <t>AOM dle capacity expenses</t>
  </si>
  <si>
    <t>AOM CCV Alloc. T-Funct. prod. - Q-Contr.</t>
  </si>
  <si>
    <t>AOM Global Quality/Regulatory</t>
  </si>
  <si>
    <t>AOM QA to production cost coll.</t>
  </si>
  <si>
    <t>AOM QM to production cost coll.</t>
  </si>
  <si>
    <t>AOM Quality Department</t>
  </si>
  <si>
    <t>AOM CCV Alloc. T-Function prod. MEng.</t>
  </si>
  <si>
    <t>AOM Site Management Costs</t>
  </si>
  <si>
    <t>AOM Cost transfer Charge - Electricity</t>
  </si>
  <si>
    <t>AOM Cost transfer Charge - Steam</t>
  </si>
  <si>
    <t>AOM Cost transfer Charge - Gas</t>
  </si>
  <si>
    <t>AOM Other CO Costs</t>
  </si>
  <si>
    <t>AOM Other Energies/Supplies</t>
  </si>
  <si>
    <t>AOM Variances Electricity</t>
  </si>
  <si>
    <t>AOM Variances Natural Gas</t>
  </si>
  <si>
    <t>AOM Variances Steam</t>
  </si>
  <si>
    <t>AOM Variances other energies/supplies</t>
  </si>
  <si>
    <t>AOM Cost transfer Charge - Water</t>
  </si>
  <si>
    <t>AOM Variances Compressed Air</t>
  </si>
  <si>
    <t>AOM Cost transfer Charge - Compr. Air</t>
  </si>
  <si>
    <t>AOM Variances Water</t>
  </si>
  <si>
    <t>AOM - C. Air regulation</t>
  </si>
  <si>
    <t>AOM - Hot Di Water</t>
  </si>
  <si>
    <t>AOM - Re-cooling Water</t>
  </si>
  <si>
    <t>AOM-Factory-Water</t>
  </si>
  <si>
    <t>AOM - Water Cooling (M3)</t>
  </si>
  <si>
    <t>AOM - Sole (KWH)</t>
  </si>
  <si>
    <t>AOM - Deionized Water (M3)</t>
  </si>
  <si>
    <t>AOM - Partially Deionized Water (M3)</t>
  </si>
  <si>
    <t>AOM - Hydrogen (M3)</t>
  </si>
  <si>
    <t>AOM - Nitrogen GAS (M3)</t>
  </si>
  <si>
    <t>AOM - Nitrogen LIQUID (M3)</t>
  </si>
  <si>
    <t>AOM - Compr. Air 7 bar (M3)</t>
  </si>
  <si>
    <t>AOM Other environmental costs</t>
  </si>
  <si>
    <t>AOM Solid waste</t>
  </si>
  <si>
    <t>AOM Solid water</t>
  </si>
  <si>
    <t>AOM Waste Air</t>
  </si>
  <si>
    <t>AOM Cost transfer Charge Waste Air</t>
  </si>
  <si>
    <t>AOM Var. waste water treatment</t>
  </si>
  <si>
    <t>AOM Cost transf. charg.  w-water treatm.</t>
  </si>
  <si>
    <t>AOM CCV Alloc. T-Function non production</t>
  </si>
  <si>
    <t>AOM CCV Alloc. Prod. spec. infrastruct.</t>
  </si>
  <si>
    <t>AOM Production specific Infrastructure</t>
  </si>
  <si>
    <t>AOM Incoming Mat. Disposition</t>
  </si>
  <si>
    <t>AOM Incoming Mat. Storage and Handling</t>
  </si>
  <si>
    <t>AOM Material overhead traded goods</t>
  </si>
  <si>
    <t>AOM Global Tech Ops Governance Costs</t>
  </si>
  <si>
    <t>AOM Intercompany charge Tech Ops</t>
  </si>
  <si>
    <t>AOM Global Quality Assurance</t>
  </si>
  <si>
    <t>AOM QC Q-Insp. Inc. Mat. (RM, PM, comp. X X X X</t>
  </si>
  <si>
    <t>AOM QC Q-Insp. Inc. 3P Merchandising</t>
  </si>
  <si>
    <t>AOM QC Q-Insp. Incoming Passive Subc.</t>
  </si>
  <si>
    <t>AOM QC Inprocess and Endprocess/Monit.</t>
  </si>
  <si>
    <t>AOM QC Re-test of components</t>
  </si>
  <si>
    <t>AOM QC Re-test of Finished goods</t>
  </si>
  <si>
    <t>AOM QC Variances</t>
  </si>
  <si>
    <t>AOM QA Quality Assurance</t>
  </si>
  <si>
    <t>AOM Quality Other</t>
  </si>
  <si>
    <t>AOM Management of Quality department</t>
  </si>
  <si>
    <t>OSU TM Technical Material Surcharge</t>
  </si>
  <si>
    <t>OSU IC Outbound Freight Group Costing</t>
  </si>
  <si>
    <t>OSU Subcontracting Overhead Surcharge</t>
  </si>
  <si>
    <t>OSU PM Packag. Material Overh. Surcharge</t>
  </si>
  <si>
    <t>OSU RM Material Overhead  Surcharge</t>
  </si>
  <si>
    <t>OSU Resale Business Components</t>
  </si>
  <si>
    <t>OSU Analytical Surcharge</t>
  </si>
  <si>
    <t>OSU Sterilization Surcharge 4 Subconchrg</t>
  </si>
  <si>
    <t>OSU Mfg Admin Purch OverheadCostingSheet</t>
  </si>
  <si>
    <t>OSU Transfer Price Markup-Cost4Receiving</t>
  </si>
  <si>
    <t>OSU Inbound Freight Additive Cost Settle</t>
  </si>
  <si>
    <t>OSU Intercompany Freight-Rebilled Additi</t>
  </si>
  <si>
    <t>SOM Continous, preventive maintenance</t>
  </si>
  <si>
    <t>SOM PM external activities</t>
  </si>
  <si>
    <t>SOM PM internal activities</t>
  </si>
  <si>
    <t>SOM PM Material costs</t>
  </si>
  <si>
    <t>SOM PM others</t>
  </si>
  <si>
    <t>SOM R&amp;D Manufacturing expences</t>
  </si>
  <si>
    <t>SOM R&amp;D Material consumption</t>
  </si>
  <si>
    <t>SOM R&amp;D Other production costs</t>
  </si>
  <si>
    <t>SOM Intercompany Charge Tech Ops</t>
  </si>
  <si>
    <t>SOM Investm project cost - techn. Inv.</t>
  </si>
  <si>
    <t>SOM Technical Service</t>
  </si>
  <si>
    <t>SOM Production costs</t>
  </si>
  <si>
    <t>SOM Global Tech Ops</t>
  </si>
  <si>
    <t>SOM CMO SubContracting Charges</t>
  </si>
  <si>
    <t>SOM Material Settlement</t>
  </si>
  <si>
    <t>SOM ReMfg Settlement</t>
  </si>
  <si>
    <t>SOM Other Material Settlement</t>
  </si>
  <si>
    <t>SOM Other Operating Expense Settlement</t>
  </si>
  <si>
    <t>SOM Waste Settlement</t>
  </si>
  <si>
    <t>SOM Outside Services Settlement</t>
  </si>
  <si>
    <t>SOM Transportation Settlement</t>
  </si>
  <si>
    <t>SOM Revenue Settlement</t>
  </si>
  <si>
    <t>WIP - Technical</t>
  </si>
  <si>
    <t>WIP - 3P (negative) Process Orders</t>
  </si>
  <si>
    <t>WIP - 3P (positive) Process Orders</t>
  </si>
  <si>
    <t>WIP - IC (negative) Process Orders</t>
  </si>
  <si>
    <t>WIP - IC (+positive) Process Orders</t>
  </si>
  <si>
    <t>WIP - 3P Service (negative)</t>
  </si>
  <si>
    <t>WIP - 3P Service (positive)</t>
  </si>
  <si>
    <t>ICON WIP  (Non-Core)</t>
  </si>
  <si>
    <t>WIP - PKG (positive)</t>
  </si>
  <si>
    <t>WIP - PKG (negative)</t>
  </si>
  <si>
    <t>WIP - MAT (positive)</t>
  </si>
  <si>
    <t>WIP - MAT (negative)</t>
  </si>
  <si>
    <t>WIP - 3P (positive) CS</t>
  </si>
  <si>
    <t>WIP - 3P (negative) CS</t>
  </si>
  <si>
    <t>WIP - IC (positive) CS</t>
  </si>
  <si>
    <t>WIP - IC (negative) CS</t>
  </si>
  <si>
    <t>WIP - 3P (positive) PS</t>
  </si>
  <si>
    <t>WIP - 3P (negative) PS</t>
  </si>
  <si>
    <t>WIP - IC (positive) PS</t>
  </si>
  <si>
    <t>WIP - IC (negative) PS</t>
  </si>
  <si>
    <t>WIP PoC - PS Revenue RA</t>
  </si>
  <si>
    <t>WIP PoC - CS Revenue RA</t>
  </si>
  <si>
    <t>WIP 3P (positive) Usage PS</t>
  </si>
  <si>
    <t>WIP 3P (negative) Usage PS</t>
  </si>
  <si>
    <t>WIP 3P (positive) Usage CS</t>
  </si>
  <si>
    <t>WIP 3P (negative) Usage CS</t>
  </si>
  <si>
    <t>WIP IC (positive) Usage PS</t>
  </si>
  <si>
    <t>WIP IC (negative) Usage PS</t>
  </si>
  <si>
    <t>WIP IC (positive) Usage CS</t>
  </si>
  <si>
    <t>WIP IC (negative) Usage CS</t>
  </si>
  <si>
    <t>WIP 3P (positive) Usage PRO ORD</t>
  </si>
  <si>
    <t>WIP 3P (negative) Usage PRO ORD</t>
  </si>
  <si>
    <t>WIP IC (positive) Usage PRO ORD</t>
  </si>
  <si>
    <t>WIP IC (negative) Usage PRO ORD</t>
  </si>
  <si>
    <t>RA - Valuated Actual Cost</t>
  </si>
  <si>
    <t>RA - Material COS/Revenue</t>
  </si>
  <si>
    <t>RA - Labour WIP</t>
  </si>
  <si>
    <t>RA - Labour Reserves</t>
  </si>
  <si>
    <t>RA - Labour COS/Revenue</t>
  </si>
  <si>
    <t>RA - Other Expenses COS/Revenue</t>
  </si>
  <si>
    <t>RA-Revenue COS/Reserves</t>
  </si>
  <si>
    <t>RA-Cost of Sales WIP</t>
  </si>
  <si>
    <t>RA-Cost of Sales Reserves</t>
  </si>
  <si>
    <t>RA-Cost of Sales COS/Rev</t>
  </si>
  <si>
    <t>ABC Stock movement</t>
  </si>
  <si>
    <t>ABC Picking distribution log</t>
  </si>
  <si>
    <t>ABC Movements production logistic</t>
  </si>
  <si>
    <t>ABC LIEF.-POS. PHA I</t>
  </si>
  <si>
    <t>ABC LIEF.-POS. KL.MENGEN</t>
  </si>
  <si>
    <t>ABC Order Entry DILOG E</t>
  </si>
  <si>
    <t>ABC Order Entry ROW</t>
  </si>
  <si>
    <t>ABC Load DILOG E</t>
  </si>
  <si>
    <t>ABC Load ROW N.KLP</t>
  </si>
  <si>
    <t>ABC LIEFERSCH.POS.LF</t>
  </si>
  <si>
    <t>ABC Small packages</t>
  </si>
  <si>
    <t>ABC Hycon</t>
  </si>
  <si>
    <t>ABC Storage area production logistic</t>
  </si>
  <si>
    <t>ABC Manual order processing Europe</t>
  </si>
  <si>
    <t>ABC Manual order processing ROW</t>
  </si>
  <si>
    <t>ABC Automatic order processing Europe</t>
  </si>
  <si>
    <t>ABC Automatic order processing ROW</t>
  </si>
  <si>
    <t>ABC Transport control small packages</t>
  </si>
  <si>
    <t>ABC Transport control Europe</t>
  </si>
  <si>
    <t>ABC Transport control ROW</t>
  </si>
  <si>
    <t>ABC Single colli domestic</t>
  </si>
  <si>
    <t>ABC Single colli ROW</t>
  </si>
  <si>
    <t>ABC Loading unit</t>
  </si>
  <si>
    <t>ABC Storage harmless good CP5</t>
  </si>
  <si>
    <t>ABC Storage harmless good GMP CP5</t>
  </si>
  <si>
    <t>ABC Storage hazardous goodt CP5</t>
  </si>
  <si>
    <t>ABC Storage good refrigerated CP5</t>
  </si>
  <si>
    <t>ABC Storage good refregerated CP3</t>
  </si>
  <si>
    <t>ABC Storage harmless good CP3</t>
  </si>
  <si>
    <t>ABC Storage harmless good GMP CP3</t>
  </si>
  <si>
    <t>DAA R&amp;D Pha hours to non HC Business</t>
  </si>
  <si>
    <t>DAA R&amp;D GMS to Bios Projects</t>
  </si>
  <si>
    <t>DAA R&amp;D productive hour</t>
  </si>
  <si>
    <t>DAA R&amp;D Innovative Hours</t>
  </si>
  <si>
    <t>DAA Process development &amp; eng. serv.</t>
  </si>
  <si>
    <t>PRO - R&amp;D Activities to PrO - DirectLab</t>
  </si>
  <si>
    <t>PRO - R&amp;D Activities to PrO - Equipment</t>
  </si>
  <si>
    <t>PRO - R&amp;D Activities to PrO - Quality</t>
  </si>
  <si>
    <t>AOM Cost Center Variances R&amp;D</t>
  </si>
  <si>
    <t>AOM Intercompany Charge R&amp;D</t>
  </si>
  <si>
    <t>AOM Intercompany Charge R&amp;D direct</t>
  </si>
  <si>
    <t>AOM Intercompany Charge R&amp;D local</t>
  </si>
  <si>
    <t>AOM R&amp;D local from Global 4Over-Governen</t>
  </si>
  <si>
    <t>SOM R&amp;D and Other TechOps</t>
  </si>
  <si>
    <t>SOM Intercompany Charge R&amp;D indirect</t>
  </si>
  <si>
    <t>SOM Gl. R&amp;D Other Income</t>
  </si>
  <si>
    <t>SOM R&amp;D and Other TechOps (local)</t>
  </si>
  <si>
    <t>SOM SOM Royality &amp; License  R&amp;D Global</t>
  </si>
  <si>
    <t>SOM SOM Royality &amp; License  R&amp;D local</t>
  </si>
  <si>
    <t>SOM R&amp;D local from Global 4Over-Governen</t>
  </si>
  <si>
    <t>AOM IC field force</t>
  </si>
  <si>
    <t>AOM IC M&amp;S</t>
  </si>
  <si>
    <t>AOM IC sales promotion</t>
  </si>
  <si>
    <t>AOM IC Internal Sales Service</t>
  </si>
  <si>
    <t>SOM Intercompany Charge Commercials</t>
  </si>
  <si>
    <t>SOM Other Marketing and Selling</t>
  </si>
  <si>
    <t>AOM IC Other Miscellaneous Expenses</t>
  </si>
  <si>
    <t>AOM IC Consulting Services</t>
  </si>
  <si>
    <t>AOM IC External Training</t>
  </si>
  <si>
    <t>DAA - Analytical Method Development</t>
  </si>
  <si>
    <t>DAA - Analytical Method Qualification</t>
  </si>
  <si>
    <t>DAA - Analytical Method Validation</t>
  </si>
  <si>
    <t>DAA - QM Administration</t>
  </si>
  <si>
    <t>DAA - QM Document Prep</t>
  </si>
  <si>
    <t>DAA - QM Lab Dev. Activity</t>
  </si>
  <si>
    <t>DAA - Quality Duration</t>
  </si>
  <si>
    <t>DAA - Quality Labor Time</t>
  </si>
  <si>
    <t>DAA - Quality Machine Time</t>
  </si>
  <si>
    <t>DAA - Quality Service</t>
  </si>
  <si>
    <t>DAA - Quality Setup Labor</t>
  </si>
  <si>
    <t>DAA - Stability</t>
  </si>
  <si>
    <t>DAA - Testing</t>
  </si>
  <si>
    <t>DAA - Cell Line Services</t>
  </si>
  <si>
    <t>DAA - Design</t>
  </si>
  <si>
    <t>DAA - Documentation</t>
  </si>
  <si>
    <t>DAA - Feasibility Assessment</t>
  </si>
  <si>
    <t>DAA - Hazard Evaluation</t>
  </si>
  <si>
    <t>DAA - Material Procurement</t>
  </si>
  <si>
    <t>DAA - Process Development</t>
  </si>
  <si>
    <t>DAA - Risk Assessment</t>
  </si>
  <si>
    <t>DAA - Supplier / Material Qualification</t>
  </si>
  <si>
    <t>DAA - System Service/Modification</t>
  </si>
  <si>
    <t>DAA - Technology Transfer</t>
  </si>
  <si>
    <t>DAA - Create Quote</t>
  </si>
  <si>
    <t>DAA - Down Payment Request</t>
  </si>
  <si>
    <t>DAA - Initiate Project</t>
  </si>
  <si>
    <t>DAA - Project Management</t>
  </si>
  <si>
    <t>DAA - Customer Equipment</t>
  </si>
  <si>
    <t>DAA - Engineering Run</t>
  </si>
  <si>
    <t>DAA - Manufacture</t>
  </si>
  <si>
    <t>DAA - Operations</t>
  </si>
  <si>
    <t>DAA - Process Validation</t>
  </si>
  <si>
    <t>DAA - Qualification Run</t>
  </si>
  <si>
    <t>DAA - Compliance/Regulatory</t>
  </si>
  <si>
    <t>DAA - Nonconformance</t>
  </si>
  <si>
    <t>DAA - Consulting</t>
  </si>
  <si>
    <t>DAA - Fees</t>
  </si>
  <si>
    <t>DAA - Travel hours internal</t>
  </si>
  <si>
    <t>DAA - Travel hours external</t>
  </si>
  <si>
    <t>DAA - Labour hours standard internal</t>
  </si>
  <si>
    <t>DAA - Labour hours non-standard internal</t>
  </si>
  <si>
    <t>DAA - Travel hours non-standard internal</t>
  </si>
  <si>
    <t>DAA - Labour hours external</t>
  </si>
  <si>
    <t>DAA - Validation documentation</t>
  </si>
  <si>
    <t>DAA - Travel expenses internal</t>
  </si>
  <si>
    <t>DAA - Travel expenses external</t>
  </si>
  <si>
    <t>DAA - External product expense</t>
  </si>
  <si>
    <t>DAA - External contractor expense</t>
  </si>
  <si>
    <t>DAA - of Core Service Inter CO</t>
  </si>
  <si>
    <t>DAA Technology Scouting</t>
  </si>
  <si>
    <t>DAA Analytic reporting for projects</t>
  </si>
  <si>
    <t>DAA Analytics order mgmt</t>
  </si>
  <si>
    <t>DAA Consulting study design</t>
  </si>
  <si>
    <t>DAA Consult Reg-Environment</t>
  </si>
  <si>
    <t>DAA Customer support lab.SW</t>
  </si>
  <si>
    <t>DAA Custom. sup. instrum.PC</t>
  </si>
  <si>
    <t>DAA Lab automation projects</t>
  </si>
  <si>
    <t>DAA Measuring.Dev.Projects</t>
  </si>
  <si>
    <t>DAA NMR experiment complex</t>
  </si>
  <si>
    <t>DAA Method development/validation</t>
  </si>
  <si>
    <t>DAA Sample shipment</t>
  </si>
  <si>
    <t>DAA Routine analytics QC</t>
  </si>
  <si>
    <t>DAA NMR exper._sampling GMP</t>
  </si>
  <si>
    <t>DAA Routine analytics R&amp;D</t>
  </si>
  <si>
    <t>DAA NMR exper._sampling R&amp;D</t>
  </si>
  <si>
    <t>DAA NMR exper. self service</t>
  </si>
  <si>
    <t>DAA Storage retained sampl.</t>
  </si>
  <si>
    <t>DAA Troubleshooting analyt.</t>
  </si>
  <si>
    <t>DAA Sample stability study</t>
  </si>
  <si>
    <t>DAA Partial sample mgmt</t>
  </si>
  <si>
    <t>DAA Validation Excel Applic</t>
  </si>
  <si>
    <t>DAA Automat. SW_Version doc</t>
  </si>
  <si>
    <t>DAA Improvement of plant equipment</t>
  </si>
  <si>
    <t>DAA CAD</t>
  </si>
  <si>
    <t>DAA Engin./Techn. Consult.</t>
  </si>
  <si>
    <t>DAA Multichan. Pipette (16)</t>
  </si>
  <si>
    <t>DAA Calib. fixed vol. pipette w/o maint.</t>
  </si>
  <si>
    <t>DAA Calibration var. pipette w/ maint.</t>
  </si>
  <si>
    <t>DAA Calibration var. pipette w/o maint.</t>
  </si>
  <si>
    <t>DAA Calibration multich. pipette (to 12)</t>
  </si>
  <si>
    <t>DAA Calib. Multich. pipette (radio. 12)</t>
  </si>
  <si>
    <t>DAA Calib. fixed vol. pipette w/ maint.</t>
  </si>
  <si>
    <t>DAA Equip./Machine rental 1</t>
  </si>
  <si>
    <t>DAA Equip./Machine rental 2</t>
  </si>
  <si>
    <t>DAA Equip./Machine rental 3</t>
  </si>
  <si>
    <t>DAA Corrective maintenance</t>
  </si>
  <si>
    <t>DAA Standby services 24/7</t>
  </si>
  <si>
    <t>DAA 5-shift model</t>
  </si>
  <si>
    <t>DAA 4-shift model</t>
  </si>
  <si>
    <t>DAA 3-shift model</t>
  </si>
  <si>
    <t>DAA Industrial assembly</t>
  </si>
  <si>
    <t>DAA Specialized assembly</t>
  </si>
  <si>
    <t>DAA Parts and Compenents</t>
  </si>
  <si>
    <t>DAA Manufacturing of hoses</t>
  </si>
  <si>
    <t>DAA Construction</t>
  </si>
  <si>
    <t>DAA Manufact. of pipelines</t>
  </si>
  <si>
    <t>DAA Manufact. Vessel/equip.</t>
  </si>
  <si>
    <t>DAA CE Label Assessment</t>
  </si>
  <si>
    <t>DAA Inspect. systems/equip.</t>
  </si>
  <si>
    <t>DAA Inspection according to WRA (WHG)</t>
  </si>
  <si>
    <t>DAA Monitoring temperature</t>
  </si>
  <si>
    <t>DAA Monitoring of climate</t>
  </si>
  <si>
    <t>DAA Access authorization</t>
  </si>
  <si>
    <t>DAA Fiber optic network</t>
  </si>
  <si>
    <t>DAA Copper network</t>
  </si>
  <si>
    <t>DAA Inspection chem. hoses</t>
  </si>
  <si>
    <t>DAA Inspect. safety sys.</t>
  </si>
  <si>
    <t>DAA CAE Comos</t>
  </si>
  <si>
    <t>DAA Detail Engin.Techn.Proj.</t>
  </si>
  <si>
    <t>DAA Techn. Project consult.</t>
  </si>
  <si>
    <t>DAA Techn. Project Develop.</t>
  </si>
  <si>
    <t>DAA Studies Techn. Projects</t>
  </si>
  <si>
    <t>DAA Master Data Service SAP</t>
  </si>
  <si>
    <t>DAA Plant documentation</t>
  </si>
  <si>
    <t>DAA Training PM tech. Proj.</t>
  </si>
  <si>
    <t>DAA Safety coordination</t>
  </si>
  <si>
    <t>DAA App. Mgmt/Mobile Maint.</t>
  </si>
  <si>
    <t>DAA Multi Discipline coord.</t>
  </si>
  <si>
    <t>DAA Tech. project control</t>
  </si>
  <si>
    <t>DAA Compet. Cent._Legal rep</t>
  </si>
  <si>
    <t>DAA Lab./analytical Equip.</t>
  </si>
  <si>
    <t>DAA Process Control &amp; Automation Systems</t>
  </si>
  <si>
    <t>DAA Technical Project Exec.</t>
  </si>
  <si>
    <t>DAA Basic Engineering TP</t>
  </si>
  <si>
    <t>DAA E-Plan</t>
  </si>
  <si>
    <t>DAA Inspect. pressure equip</t>
  </si>
  <si>
    <t>DAA Technical applications</t>
  </si>
  <si>
    <t>DAA Inspect. elect. Equip_s</t>
  </si>
  <si>
    <t>DAA Inspect. elect. Equip_m</t>
  </si>
  <si>
    <t>DAA Inspection EX Facility</t>
  </si>
  <si>
    <t>DAA Maint./inspect. Concept</t>
  </si>
  <si>
    <t>DAA Security Infrastruct.</t>
  </si>
  <si>
    <t>DAA Data network infra.</t>
  </si>
  <si>
    <t>DAA TGA Anlagen</t>
  </si>
  <si>
    <t>DAA GMP-Monitoring Systems</t>
  </si>
  <si>
    <t>DAA Building Mgmt Systems</t>
  </si>
  <si>
    <t>DAA Install. for communic. &amp; security</t>
  </si>
  <si>
    <t>DAA Fire alarm system</t>
  </si>
  <si>
    <t>DAA Safety signal technol.</t>
  </si>
  <si>
    <t>DAA Video control system</t>
  </si>
  <si>
    <t>DAA Personel emergency signal system</t>
  </si>
  <si>
    <t>DAA Lightning protection</t>
  </si>
  <si>
    <t>DAA Factory fence</t>
  </si>
  <si>
    <t>DAA_Preventive maint.</t>
  </si>
  <si>
    <t>DAA_Shift work/call on duty</t>
  </si>
  <si>
    <t>DAA_Equipment/Machine rent</t>
  </si>
  <si>
    <t>DAA_Inspection hoses_chemi.</t>
  </si>
  <si>
    <t>DAA_Inspect. elect. equip.</t>
  </si>
  <si>
    <t>DAA_Corrective maint_other</t>
  </si>
  <si>
    <t>DAA_E&amp;M App.Mgt_oth.</t>
  </si>
  <si>
    <t>DAA_Inspect. safety sys. II</t>
  </si>
  <si>
    <t>DAA Plotting centre</t>
  </si>
  <si>
    <t>DAA_Site Affaires</t>
  </si>
  <si>
    <t>DAA_Maint.external</t>
  </si>
  <si>
    <t>DAA_Tech Service Center</t>
  </si>
  <si>
    <t>DAA Material Management</t>
  </si>
  <si>
    <t>DAA Document logistics</t>
  </si>
  <si>
    <t>DAA Parcel service</t>
  </si>
  <si>
    <t>DAA Transport</t>
  </si>
  <si>
    <t>DAA Transport 3rd Party</t>
  </si>
  <si>
    <t>DAA Garage</t>
  </si>
  <si>
    <t>DAA Communication Services</t>
  </si>
  <si>
    <t>DAA_Container &amp; Packaging Mgmt</t>
  </si>
  <si>
    <t>DAA Classic docu.printing</t>
  </si>
  <si>
    <t>DAA Vehicles Support</t>
  </si>
  <si>
    <t>DAA_Department vehicle (frequent driver,</t>
  </si>
  <si>
    <t>DAA Service Charging &amp; Catalog</t>
  </si>
  <si>
    <t>DAA Contractor Mgmt</t>
  </si>
  <si>
    <t>DAA_Department vehicle (infrequent drive</t>
  </si>
  <si>
    <t>DAA_Executive cars</t>
  </si>
  <si>
    <t>DAA_Bicycles</t>
  </si>
  <si>
    <t>DAA Restaurant &amp; Conference Services</t>
  </si>
  <si>
    <t>DAA Mgmt of packaging mat.</t>
  </si>
  <si>
    <t>DAA Packaging Mat. Handling</t>
  </si>
  <si>
    <t>DAA Company vehicles</t>
  </si>
  <si>
    <t>DAA Vehicles fuels/power</t>
  </si>
  <si>
    <t>DAA_Heavy duty  vehicle (container side</t>
  </si>
  <si>
    <t>DAA Interim Workf./Trainee</t>
  </si>
  <si>
    <t>DAA Interim Workf./Tariff</t>
  </si>
  <si>
    <t>DAA Interim Workf./N-Tariff</t>
  </si>
  <si>
    <t>DAA Interim Work./Integrat.</t>
  </si>
  <si>
    <t>DAA Idea management system</t>
  </si>
  <si>
    <t>DAA_Truck (trailer truck, swap body truc</t>
  </si>
  <si>
    <t>DAA Enviro. Mgmnt ISO 14001</t>
  </si>
  <si>
    <t>DAA Consult.: Environment</t>
  </si>
  <si>
    <t>DAA_Transporter (small vehicles, trailer</t>
  </si>
  <si>
    <t>DAA_Forklift with driverseat</t>
  </si>
  <si>
    <t>DAA_Forklift drawbar guided</t>
  </si>
  <si>
    <t>DAA_Forklift with driverseat explosion p</t>
  </si>
  <si>
    <t>DAA_Forklift drawbar guided explosion pr</t>
  </si>
  <si>
    <t>DAA_Forklift outdoor (diesel/elektric)</t>
  </si>
  <si>
    <t>DAA_Management car</t>
  </si>
  <si>
    <t>DAA Authorities Environm.</t>
  </si>
  <si>
    <t>DAA Training Environm.</t>
  </si>
  <si>
    <t>DAA GenDat add. Provisions</t>
  </si>
  <si>
    <t>DAA Assoc./committee work</t>
  </si>
  <si>
    <t>DAA GenDat Legal Obligations Compliance</t>
  </si>
  <si>
    <t>DAA Consulting Energy Mgt &amp; Efficiency</t>
  </si>
  <si>
    <t>DAA Electricity supply</t>
  </si>
  <si>
    <t>DAA Steam supply</t>
  </si>
  <si>
    <t>DAA Cold water cooling</t>
  </si>
  <si>
    <t>DAA Demineralized water</t>
  </si>
  <si>
    <t>DAA Compressed dry air 7.0</t>
  </si>
  <si>
    <t>DAA Recooling water</t>
  </si>
  <si>
    <t>DAA Drinking water</t>
  </si>
  <si>
    <t>DAA -22 °C refrigeration</t>
  </si>
  <si>
    <t>DAA Natural gas supply</t>
  </si>
  <si>
    <t>DAA Raw water supply</t>
  </si>
  <si>
    <t>DAA Nitrogen gas supply</t>
  </si>
  <si>
    <t>DAA Argon gas supply</t>
  </si>
  <si>
    <t>DAA Compressed dry air 3.5</t>
  </si>
  <si>
    <t>DAA Hydrogen supply</t>
  </si>
  <si>
    <t>DAA Liquid nitrogen</t>
  </si>
  <si>
    <t>DAA Carbon dioxide</t>
  </si>
  <si>
    <t>DAA Engineering Media Supply</t>
  </si>
  <si>
    <t>DAA Electricity divisions</t>
  </si>
  <si>
    <t>DAA Demineralized water Cold</t>
  </si>
  <si>
    <t>DAA Demineralized water hot</t>
  </si>
  <si>
    <t>DAA Plant water supply</t>
  </si>
  <si>
    <t>DAA Part. Desalinated water</t>
  </si>
  <si>
    <t>DAA Natural gas supply ibL</t>
  </si>
  <si>
    <t>DAA Electricity supply-USV</t>
  </si>
  <si>
    <t>DAA Training Occupational &amp; plant safety</t>
  </si>
  <si>
    <t>DAA Dem. Water special</t>
  </si>
  <si>
    <t>DAA Remediation Water</t>
  </si>
  <si>
    <t>DAA S_EEG-Umlage</t>
  </si>
  <si>
    <t>DAA Shared Use Energy Route</t>
  </si>
  <si>
    <t>DAA Therm. Air purification</t>
  </si>
  <si>
    <t>DAA EST (Electricity Tax)</t>
  </si>
  <si>
    <t>DAA Waste Disposal</t>
  </si>
  <si>
    <t>DAA Site waste services</t>
  </si>
  <si>
    <t>DAA Reverse logistics</t>
  </si>
  <si>
    <t>DAA Waste Avoidance / Off-Spec Sales</t>
  </si>
  <si>
    <t>DAA Supervision &amp; control work safety</t>
  </si>
  <si>
    <t>DAA Occup. &amp; plant safety invest.Proj.</t>
  </si>
  <si>
    <t>DAA Basic Support Occupational Safety</t>
  </si>
  <si>
    <t>DAA Wastewater treatm. incl. Pre-Treatm.</t>
  </si>
  <si>
    <t>DAA Wastewater consultancy</t>
  </si>
  <si>
    <t>DAA Sewer operation</t>
  </si>
  <si>
    <t>DAA_wastewater with disruption potential</t>
  </si>
  <si>
    <t>DAA_wastewater with load</t>
  </si>
  <si>
    <t>DAA Furniture</t>
  </si>
  <si>
    <t>DAA User-spec. green space</t>
  </si>
  <si>
    <t>DAA_wastewater with load and disruption</t>
  </si>
  <si>
    <t>DAA Site Affairs</t>
  </si>
  <si>
    <t>DAA Cleaning on Demand</t>
  </si>
  <si>
    <t>DAA Moving Service</t>
  </si>
  <si>
    <t>DAA_heavy metal wastwater IBC</t>
  </si>
  <si>
    <t>DAA_heavy metal wastewater silo</t>
  </si>
  <si>
    <t>DAA Add. Property services</t>
  </si>
  <si>
    <t>DAA_wastewater very high load</t>
  </si>
  <si>
    <t>DAA Site Development Service</t>
  </si>
  <si>
    <t>DAA_wastewater basic</t>
  </si>
  <si>
    <t>DAA Apartment rental</t>
  </si>
  <si>
    <t>DAA Commercial renting</t>
  </si>
  <si>
    <t>DAA Accomodation Service</t>
  </si>
  <si>
    <t>DAA General Infrastructure MRE DA</t>
  </si>
  <si>
    <t>DAA General Infrastructure MRE GE</t>
  </si>
  <si>
    <t>DAA Site Development</t>
  </si>
  <si>
    <t>DAA Full Service Building Net Rent</t>
  </si>
  <si>
    <t>DAA Full Service Building Add.Costs</t>
  </si>
  <si>
    <t>DAA Full service_Add. Costs</t>
  </si>
  <si>
    <t>DAA Lease Hold Building: Net rent</t>
  </si>
  <si>
    <t>DAA Lease hold: Add. costs</t>
  </si>
  <si>
    <t>DAA Shell &amp; core: Net rent</t>
  </si>
  <si>
    <t>DAA Shell &amp; Core Building: Add. Costs</t>
  </si>
  <si>
    <t>DAA S&amp;C Bldg: User specific invest.</t>
  </si>
  <si>
    <t>DAA Building Maintenance</t>
  </si>
  <si>
    <t>DAA Construction Serv. Plan. &amp; Realiz.</t>
  </si>
  <si>
    <t>DAA Project Mgmt_Construct.</t>
  </si>
  <si>
    <t>DAA Extended Support Occup. Safety</t>
  </si>
  <si>
    <t>DAA Accid. insur.&amp;interac.w/authorities</t>
  </si>
  <si>
    <t>DAA Management Security Managers</t>
  </si>
  <si>
    <t>DAA IT Tool Occupational Safety: medus +</t>
  </si>
  <si>
    <t>DAA Legal Prosecution Occup. Safety</t>
  </si>
  <si>
    <t>DAA Assoc.Work&amp;Rep.Occup.health&amp;safety</t>
  </si>
  <si>
    <t>DAA Environmental Analytics</t>
  </si>
  <si>
    <t>DAA Environmental Analytics R&amp;D</t>
  </si>
  <si>
    <t>DAA Environm. Analyt.Air</t>
  </si>
  <si>
    <t>DAA Enviro.Analyt.Ground</t>
  </si>
  <si>
    <t>DAA Ambulance</t>
  </si>
  <si>
    <t>DAA DGUVV2</t>
  </si>
  <si>
    <t>DAA Organization &amp; Execution of BEM</t>
  </si>
  <si>
    <t>DAA Blood collection for R&amp;D labs</t>
  </si>
  <si>
    <t>DAA Travel Medicine Consulting</t>
  </si>
  <si>
    <t>DAA Social Counselling</t>
  </si>
  <si>
    <t>DAA Health Events</t>
  </si>
  <si>
    <t>DAA Basic DGUV V2 Service</t>
  </si>
  <si>
    <t>DAA Presentations on Health Topics</t>
  </si>
  <si>
    <t>DAA Emergency Medical Physician</t>
  </si>
  <si>
    <t>DAA Specific BEM Services</t>
  </si>
  <si>
    <t>DAA Specific Health Serv. (round tables)</t>
  </si>
  <si>
    <t>DAA Transport Service to Physician</t>
  </si>
  <si>
    <t>DAA Support Health Projects</t>
  </si>
  <si>
    <t>DAA Health Campaigns</t>
  </si>
  <si>
    <t>DAA Health Campaigns Presentations</t>
  </si>
  <si>
    <t>DAA Health Trainings</t>
  </si>
  <si>
    <t>DAA Health Counselling</t>
  </si>
  <si>
    <t>DAA Preventive Health Services</t>
  </si>
  <si>
    <t>DAA Info Health Services</t>
  </si>
  <si>
    <t>DAA Social Counselling Trainings</t>
  </si>
  <si>
    <t>DAA Container Service</t>
  </si>
  <si>
    <t>DAA Container Rental</t>
  </si>
  <si>
    <t>DAA Special Packag.</t>
  </si>
  <si>
    <t>DAA Digitization</t>
  </si>
  <si>
    <t>DAA Log. HR Contract</t>
  </si>
  <si>
    <t>DAA Letter Processing</t>
  </si>
  <si>
    <t>DAA Conference Center</t>
  </si>
  <si>
    <t>DAA Bistros&amp;Cafes</t>
  </si>
  <si>
    <t>DAA Catering Services</t>
  </si>
  <si>
    <t>DAA Catering Visitor</t>
  </si>
  <si>
    <t>DAA Internal Placement Service</t>
  </si>
  <si>
    <t>DAA Cleaning Hygiene Plan</t>
  </si>
  <si>
    <t>DAA HQ Campus</t>
  </si>
  <si>
    <t>DAA Training Fire Brigade</t>
  </si>
  <si>
    <t>DAA Hazard Prevention</t>
  </si>
  <si>
    <t>DAA Fire Protect Inspection</t>
  </si>
  <si>
    <t>DAA Safety Services</t>
  </si>
  <si>
    <t>DAA Emergency Rescue</t>
  </si>
  <si>
    <t>DAA Emergency Control Centre</t>
  </si>
  <si>
    <t>DAA Preventive Fire Protect</t>
  </si>
  <si>
    <t>DAA Security Service</t>
  </si>
  <si>
    <t>DAA Security Mgt</t>
  </si>
  <si>
    <t>DAA Access Mgt</t>
  </si>
  <si>
    <t>DAA Access Service</t>
  </si>
  <si>
    <t>DAA Vehicle Entrance Mgt</t>
  </si>
  <si>
    <t>DAA_Patient Transport</t>
  </si>
  <si>
    <t>DAA_Service Charge Rescue</t>
  </si>
  <si>
    <t>DAA_Lease hold buildings</t>
  </si>
  <si>
    <t>DAA_Full service Buildings</t>
  </si>
  <si>
    <t>DAA_Shell &amp; core buildings</t>
  </si>
  <si>
    <t>DAA_RTI other services</t>
  </si>
  <si>
    <t>DAA_SM_Service_Oth</t>
  </si>
  <si>
    <t>DAA_Strat.Con.Inv.</t>
  </si>
  <si>
    <t>DAA_Plan_T-Proj.</t>
  </si>
  <si>
    <t>DAA_Plan_Maint.</t>
  </si>
  <si>
    <t>DAA_LAT_Hours</t>
  </si>
  <si>
    <t>DAA_ZPR</t>
  </si>
  <si>
    <t>DAA_Sercurity Alarm</t>
  </si>
  <si>
    <t>DAA_G75_Kran</t>
  </si>
  <si>
    <t>DAA_Fire Prot.Serv.</t>
  </si>
  <si>
    <t>DAA_Urban dev. Planning_GE</t>
  </si>
  <si>
    <t>DAA_Hot_water</t>
  </si>
  <si>
    <t>DAA_Kesselzusatzwasser</t>
  </si>
  <si>
    <t>DAA_Stickstoff</t>
  </si>
  <si>
    <t>DAA_Gas</t>
  </si>
  <si>
    <t>DAA_Solekälte</t>
  </si>
  <si>
    <t>DAA_Overtime Coord.</t>
  </si>
  <si>
    <t>DAA_Overhead Costs</t>
  </si>
  <si>
    <t>DAA_PM other activities</t>
  </si>
  <si>
    <t>DAA_Correct.Mt.Oth.1</t>
  </si>
  <si>
    <t>DAA_Correct.Mt.Oth.2</t>
  </si>
  <si>
    <t>DAA_Space rent.add.</t>
  </si>
  <si>
    <t>DAA_Space rental</t>
  </si>
  <si>
    <t>DAA_Space rental operat.</t>
  </si>
  <si>
    <t>DAA_MRE_IT_Tools</t>
  </si>
  <si>
    <t>DAA_Winter Service</t>
  </si>
  <si>
    <t>DAA_Street Cleaning</t>
  </si>
  <si>
    <t>DAA_Pest Control</t>
  </si>
  <si>
    <t>DAA_Central Locker Rental</t>
  </si>
  <si>
    <t>DAA_Outdoor Greening</t>
  </si>
  <si>
    <t>DAA_Cleaning Standard</t>
  </si>
  <si>
    <t>DAA_Cleaning Special</t>
  </si>
  <si>
    <t>DAA_Verkehrsflächen Mgt</t>
  </si>
  <si>
    <t>DAA_Analyt.Services</t>
  </si>
  <si>
    <t>DAA_Gen.Lab.Services</t>
  </si>
  <si>
    <t>DAA_QA ISO&amp;GMP Env.</t>
  </si>
  <si>
    <t>DAA_Fabrikwasser</t>
  </si>
  <si>
    <t>DAA_Estate Serv.</t>
  </si>
  <si>
    <t>DAA_Wash. Lab Equip.</t>
  </si>
  <si>
    <t>DAA_Raw water cool.</t>
  </si>
  <si>
    <t>DAA_Cleaning Kitchen</t>
  </si>
  <si>
    <t>DAA_Event Service</t>
  </si>
  <si>
    <t>DAA_Electric.own</t>
  </si>
  <si>
    <t>DAA_factory water</t>
  </si>
  <si>
    <t>DAA_Contractor Mgt I</t>
  </si>
  <si>
    <t>DAA_Contractor Mgt M</t>
  </si>
  <si>
    <t>DAA_IC Exp - SMS - Contractor Mgt O</t>
  </si>
  <si>
    <t>DAA_IC Exp - SMS - Contractor Mgt P</t>
  </si>
  <si>
    <t>DAA_IC Exp - SMS - Contractor Mgt R</t>
  </si>
  <si>
    <t>DAA_IC Exp - SMS - Contractor Mgt S</t>
  </si>
  <si>
    <t>DAA_IC Exp - SMS - Contractor Mgt T</t>
  </si>
  <si>
    <t>DAA_IC Exp - SMS - Contractor Mgt X</t>
  </si>
  <si>
    <t>DAA_IC Exp - SMS - Contractor Management</t>
  </si>
  <si>
    <t>DAA_Quality Management</t>
  </si>
  <si>
    <t>DAA_Wash. Kitchenw.</t>
  </si>
  <si>
    <t>DAA_Cold wat.cool.IC3</t>
  </si>
  <si>
    <t>DAA_Drink.wat.Netz.</t>
  </si>
  <si>
    <t>DAA_Nat.gas sup. Ext.</t>
  </si>
  <si>
    <t>DAA_Electric. Supply Ext.</t>
  </si>
  <si>
    <t>DAA_Electricity PV</t>
  </si>
  <si>
    <t>DAA_Liquid Gas</t>
  </si>
  <si>
    <t>DAA_ThermAbluft Reinigung</t>
  </si>
  <si>
    <t>DAA_Fuel External</t>
  </si>
  <si>
    <t>DAA Pass thru Anal</t>
  </si>
  <si>
    <t>DAA Pass-through Engin.</t>
  </si>
  <si>
    <t>DAA Pass-through Others</t>
  </si>
  <si>
    <t>DAA True-up Analytics</t>
  </si>
  <si>
    <t>DAA True-up Engin.</t>
  </si>
  <si>
    <t>DAA True-up Others</t>
  </si>
  <si>
    <t>DAA Mark-up 0%</t>
  </si>
  <si>
    <t>DAA Mark-up 5%</t>
  </si>
  <si>
    <t>DAA Mark-up 10%</t>
  </si>
  <si>
    <t>DAA Mark-up electricity</t>
  </si>
  <si>
    <t>DAA_Dummy</t>
  </si>
  <si>
    <t>DAA_Overhead Allocation</t>
  </si>
  <si>
    <t>DAA_General Lease</t>
  </si>
  <si>
    <t>DAA_Routine Analytics/Quality Control_H</t>
  </si>
  <si>
    <t>DAA_R&amp;D Project Service_H</t>
  </si>
  <si>
    <t>DAA_R&amp;D Project Service (ext.)_H</t>
  </si>
  <si>
    <t>DAA_Application&amp;Data Management Serv._H</t>
  </si>
  <si>
    <t>DAA_Toxicological R&amp;D Services_H</t>
  </si>
  <si>
    <t>DAA_Toxicological R&amp;D Services (ext.)_H</t>
  </si>
  <si>
    <t>DAA_Regulatory Project Support_H</t>
  </si>
  <si>
    <t>DAA_On-demand analytics_H</t>
  </si>
  <si>
    <t>DAA_Healthcare True-up/Mark-up_H</t>
  </si>
  <si>
    <t>DAA Routine Analytics Quality Control_P</t>
  </si>
  <si>
    <t>DAA_Quality Control On demand Analyt._P</t>
  </si>
  <si>
    <t>DAA_Sample drawing &amp; sample sending_P</t>
  </si>
  <si>
    <t>DAA_Supplier Coord./Service cat. spec._P</t>
  </si>
  <si>
    <t>DAA_Chemical engineering design_P</t>
  </si>
  <si>
    <t>DAA_Automation design_P</t>
  </si>
  <si>
    <t>DAA_Documentation Services PIDs_P</t>
  </si>
  <si>
    <t>DAA_Documentation Services Loops_P</t>
  </si>
  <si>
    <t>DAA_Master Data_P</t>
  </si>
  <si>
    <t>DAA_Installation &amp; Dismantling_P</t>
  </si>
  <si>
    <t>DAA_IT/Communication Support_P</t>
  </si>
  <si>
    <t>DAA_Preventive Maintenance_P</t>
  </si>
  <si>
    <t>DAA_Corrective Maintenance_P</t>
  </si>
  <si>
    <t>DAA_Vehicle Maintenance_P</t>
  </si>
  <si>
    <t>DAA_Commissioning_P</t>
  </si>
  <si>
    <t>DAA_Regulatory Project Support_P</t>
  </si>
  <si>
    <t>DAA_Quality Assur. GMP-regulated Prod._P</t>
  </si>
  <si>
    <t>DAA_Off Steam supply (DD mandatory)_P</t>
  </si>
  <si>
    <t>DAA_R&amp;D Project Service (internal)_P</t>
  </si>
  <si>
    <t>DAA_Project Services (external)_P</t>
  </si>
  <si>
    <t>DAA_Maint.coord.for S&amp;C Bldgs_P</t>
  </si>
  <si>
    <t>DAA_PM_True-up/Mark-up_P</t>
  </si>
  <si>
    <t>DAA Process dev. &amp; process eng.serv._P</t>
  </si>
  <si>
    <t>P_DAA_EL-OT Hazard Evaluation</t>
  </si>
  <si>
    <t>DAA_Safety charact. compounds/mixtures_P</t>
  </si>
  <si>
    <t>DAA_Physic/chem. charact. Comp./mixt._P</t>
  </si>
  <si>
    <t>DAA Online analytics_P</t>
  </si>
  <si>
    <t>DAA_Con.Ext.Provider_safety assess._P</t>
  </si>
  <si>
    <t>DAA_Corrosion testing_std investig._P</t>
  </si>
  <si>
    <t>DAA_Corrosion testing_special cases_P</t>
  </si>
  <si>
    <t>P_DAA_EL-OT Materials Investigation</t>
  </si>
  <si>
    <t>DAA_Metallographic investigations_P</t>
  </si>
  <si>
    <t>DAA_Consultancy for choice of mat. _P</t>
  </si>
  <si>
    <t>DAA_Hydrog. reaction_low pressure_P</t>
  </si>
  <si>
    <t>DAA_Hydrog. reaction_high pressure_P</t>
  </si>
  <si>
    <t>DAA_Hydr. reaction_react. other gas_P</t>
  </si>
  <si>
    <t>DAA_Hydr. reaction_highly toxic gas_P</t>
  </si>
  <si>
    <t>DAA_Gas reactions at pilot scale_P</t>
  </si>
  <si>
    <t>DAA_Cat-solutions catalyst screening_P</t>
  </si>
  <si>
    <t>DAA_UseTests FFL_resp. lab_raw mat._P</t>
  </si>
  <si>
    <t>DAA_PM-OT Project Service (external)_P</t>
  </si>
  <si>
    <t>DAA_Inbound Logistics_L</t>
  </si>
  <si>
    <t>DAA_Warehousing_L</t>
  </si>
  <si>
    <t>DAA_Transport Coordination 3rd party_L</t>
  </si>
  <si>
    <t>DAA_Parcel Service_L</t>
  </si>
  <si>
    <t>DAA_Handling of Non-inventory items_L</t>
  </si>
  <si>
    <t>DAA_Outbound process for techn.mat._L</t>
  </si>
  <si>
    <t>DAA_K2 tool_gen item code_non-inv.item_L</t>
  </si>
  <si>
    <t>DAA_Known Consignor Process_L</t>
  </si>
  <si>
    <t>DAA_Customer Returns_L</t>
  </si>
  <si>
    <t>DAA_Manage creation/maint.Pack.modules_L</t>
  </si>
  <si>
    <t>DAA_Global Product Hierachies_L</t>
  </si>
  <si>
    <t>DAA_Govern creat./maint. mat. Master_L</t>
  </si>
  <si>
    <t>DAA_Material sampling_Dyestuffs_L</t>
  </si>
  <si>
    <t>DAA_Material sampling accor. to GMP _L</t>
  </si>
  <si>
    <t>DAA_Material sampling non GMP_L</t>
  </si>
  <si>
    <t>DAA_On demand analytics_L</t>
  </si>
  <si>
    <t>DAA_Raw Material QC-Testing_L</t>
  </si>
  <si>
    <t>DAA_Regulatory Project Support_L</t>
  </si>
  <si>
    <t>DAA_Maint./coord. Shell&amp;Core Bldg._L</t>
  </si>
  <si>
    <t>DAA_Material sampling at plant area_L</t>
  </si>
  <si>
    <t>DAA_R&amp;D Project Service_L</t>
  </si>
  <si>
    <t>DAA_Handling of Pass-through costs_L</t>
  </si>
  <si>
    <t>DAA_Pack.Material design &amp; support_L</t>
  </si>
  <si>
    <t>DAA_Label Printing for other GMGs_L</t>
  </si>
  <si>
    <t>DAA_Life Science True-up/Mark-up_L</t>
  </si>
  <si>
    <t>AOM Cross-Proj Capex INTServcs4FixdAssts</t>
  </si>
  <si>
    <t>AOM Cross-Proj Capex EXTServcs4FixdAssts</t>
  </si>
  <si>
    <t>AOM Cross-Proj Capex Material4FixedAssts</t>
  </si>
  <si>
    <t>AOM Cross-Proj OthCapexCapzed4FixedAssts</t>
  </si>
  <si>
    <t>AOM Cross-Project Capitalized Other Cost</t>
  </si>
  <si>
    <t>AOM Abgrenzung Gas Darmstadt</t>
  </si>
  <si>
    <t>AOM Abg.Standortvers.</t>
  </si>
  <si>
    <t>AOM Verr.Fremdl. RST</t>
  </si>
  <si>
    <t>AOM FBU Vers. CO</t>
  </si>
  <si>
    <t>AOM Gasabgrenzg.CO</t>
  </si>
  <si>
    <t>AOM Technical Projects</t>
  </si>
  <si>
    <t>AOM Technical Costs</t>
  </si>
  <si>
    <t>AOM Environmental Protection</t>
  </si>
  <si>
    <t>AOM Fire Security</t>
  </si>
  <si>
    <t>AOM ESI Other Energies</t>
  </si>
  <si>
    <t>AOM Depreciation Buildings</t>
  </si>
  <si>
    <t>AOM Depreciation Equipment</t>
  </si>
  <si>
    <t>AOM Depreciation GWG</t>
  </si>
  <si>
    <t>AOM Rental Charges</t>
  </si>
  <si>
    <t>AOM Hygiene Costs</t>
  </si>
  <si>
    <t>AOM EL-OT Services</t>
  </si>
  <si>
    <t>AOM SM DIV Quality &amp; Analysis</t>
  </si>
  <si>
    <t>AOM DIV Non-Clin.Saf.Serv</t>
  </si>
  <si>
    <t>AOM DIV Other Services</t>
  </si>
  <si>
    <t>AOM DIV R&amp;D Support</t>
  </si>
  <si>
    <t>AOM social overhead</t>
  </si>
  <si>
    <t>AOM CC over-underabs</t>
  </si>
  <si>
    <t>AOM Building net rent</t>
  </si>
  <si>
    <t>AOM Building add cost</t>
  </si>
  <si>
    <t>AOM Abgrenzung Strom Darmstadt</t>
  </si>
  <si>
    <t>AOM Stromabgrenzg.CO</t>
  </si>
  <si>
    <t>AOM_EL-OT Pass-through</t>
  </si>
  <si>
    <t>AOM_Maint. external</t>
  </si>
  <si>
    <t>AOM_Maint. internal</t>
  </si>
  <si>
    <t>AOM_Maint. Material</t>
  </si>
  <si>
    <t>AOM_Maint. Other Costs</t>
  </si>
  <si>
    <t>AOM_Tech Proj. external</t>
  </si>
  <si>
    <t>AOM_Tech Proj. internal</t>
  </si>
  <si>
    <t>AOM_Tech Proj. Material</t>
  </si>
  <si>
    <t>AOM_Tech Proj. Capex</t>
  </si>
  <si>
    <t>AOM_Tech Proj Other Costs</t>
  </si>
  <si>
    <t>AOM_PM Reimbursem.</t>
  </si>
  <si>
    <t>AOM_Tech Proj Reimbursem.</t>
  </si>
  <si>
    <t>AOM_Tech Service Center</t>
  </si>
  <si>
    <t>AOM_Technical Material</t>
  </si>
  <si>
    <t>AOM_LH Bldg.Net rent</t>
  </si>
  <si>
    <t>AOM_LH_Add.Costs</t>
  </si>
  <si>
    <t>AOM_SC Bldg.Add.Cost</t>
  </si>
  <si>
    <t>AOM SM Mgt. Costs rel.to Mgt</t>
  </si>
  <si>
    <t>AOM S_Space rental cost_add VB</t>
  </si>
  <si>
    <t>AOM S_Space rental cost_op VB</t>
  </si>
  <si>
    <t>AOM S_Space rental cost VB</t>
  </si>
  <si>
    <t>AOM_Process dev. &amp; process eng.serv._P</t>
  </si>
  <si>
    <t>AOM_Process safety assessment_P</t>
  </si>
  <si>
    <t>AOM_P_Corrosion testing_special cases</t>
  </si>
  <si>
    <t>AOM_Investigation of material failure_P</t>
  </si>
  <si>
    <t>AOM_P_Gas reactions at pilot scale</t>
  </si>
  <si>
    <t>AOM_P_PM-OT Project Service (ext)</t>
  </si>
  <si>
    <t>SPA  Goodsmerchandize Revenue</t>
  </si>
  <si>
    <t>SPA Hardware Revenue</t>
  </si>
  <si>
    <t>SPA Services revenue</t>
  </si>
  <si>
    <t>SPA Service Rebates (on-invoice)</t>
  </si>
  <si>
    <t>SPA Service Cash Discounts</t>
  </si>
  <si>
    <t>SPA Service Bonus</t>
  </si>
  <si>
    <t>SPA Services revenue Correction</t>
  </si>
  <si>
    <t>SPA Goods Merchandize Revenue Correction</t>
  </si>
  <si>
    <t>SPA Hardware Revenue Correction</t>
  </si>
  <si>
    <t>SPA Sales 4m Royalty &amp; Licenses</t>
  </si>
  <si>
    <t>SPA Material cost 4 3Party</t>
  </si>
  <si>
    <t>SPA Material Cost 4 IC-Inter Company</t>
  </si>
  <si>
    <t>SPA MPV Variances</t>
  </si>
  <si>
    <t>SPA MPV Component</t>
  </si>
  <si>
    <t>SPA Volume Variances</t>
  </si>
  <si>
    <t>SPA Spending variances</t>
  </si>
  <si>
    <t>SPA Returnable Package</t>
  </si>
  <si>
    <t>SPA Service business standard costs</t>
  </si>
  <si>
    <t>SPA Other Expense &amp; Freight</t>
  </si>
  <si>
    <t>SPA DES Destruction cost</t>
  </si>
  <si>
    <t>SPA Idle capacity expenses</t>
  </si>
  <si>
    <t>SPA Start-up expenses</t>
  </si>
  <si>
    <t>SPA Gl.man.Gov.&amp;Cl.mgmt.</t>
  </si>
  <si>
    <t>SPA Global Qaulity</t>
  </si>
  <si>
    <t>SPA ProdProcDevelop</t>
  </si>
  <si>
    <t>SPA Order processing and logistics/ SCM</t>
  </si>
  <si>
    <t>SPA ICON Global Dem.&amp;Plann.</t>
  </si>
  <si>
    <t>SPA Promotion material</t>
  </si>
  <si>
    <t>SPA Promotion material - 1</t>
  </si>
  <si>
    <t>SPA Promotion material - 2</t>
  </si>
  <si>
    <t>SPA Promotion material - 3</t>
  </si>
  <si>
    <t>SPA Promotion material - 4</t>
  </si>
  <si>
    <t>SPA Promotion material - 5</t>
  </si>
  <si>
    <t>SPA Promotion material - 6</t>
  </si>
  <si>
    <t>SPA Promotion material -7</t>
  </si>
  <si>
    <t>SPA ICON Promotion material</t>
  </si>
  <si>
    <t>SPA Advertising</t>
  </si>
  <si>
    <t>SPA Advertising - Personnel</t>
  </si>
  <si>
    <t>SPA Advertising - Depreciation</t>
  </si>
  <si>
    <t>SPA Advertising - Prom.&amp;Advert.</t>
  </si>
  <si>
    <t>SPA Advertising - IT &amp; Teleco.</t>
  </si>
  <si>
    <t>SPA Advertising - Serv.&amp;Consult.</t>
  </si>
  <si>
    <t>SPA Advertising - T&amp;E</t>
  </si>
  <si>
    <t>SPA Advertising - Other</t>
  </si>
  <si>
    <t>SPA ICON Advertising</t>
  </si>
  <si>
    <t>SPA Congress &amp; events</t>
  </si>
  <si>
    <t>SPA Congresses &amp; events - Personnel</t>
  </si>
  <si>
    <t>SPA Congresses &amp; events - Depreciation</t>
  </si>
  <si>
    <t>SPA Congresses &amp; events - Prom.&amp;Advert.</t>
  </si>
  <si>
    <t>SPA Congresses &amp; events - IT &amp; Teleco.</t>
  </si>
  <si>
    <t>SPA Congresses &amp; events - Serv.&amp;Consult.</t>
  </si>
  <si>
    <t>SPA Congresses &amp; events - T&amp;E</t>
  </si>
  <si>
    <t>SPA Congresses &amp; events - Other</t>
  </si>
  <si>
    <t>SPA ICON Congresses &amp; events</t>
  </si>
  <si>
    <t>SPA Commercial donations</t>
  </si>
  <si>
    <t>SPA Commercial donation - Personnel</t>
  </si>
  <si>
    <t>SPA Commercial donation - Depreciation</t>
  </si>
  <si>
    <t>SPA Commercial donation - Prom.&amp;Advert.</t>
  </si>
  <si>
    <t>SPA Commercial donation - IT &amp; Teleco.</t>
  </si>
  <si>
    <t>SPA Commercial donation - Serv.&amp;Consult</t>
  </si>
  <si>
    <t>SPA Commercial donation - T&amp;E</t>
  </si>
  <si>
    <t>SPA Commercial donation - Other</t>
  </si>
  <si>
    <t>SPA ICON Commercial donations</t>
  </si>
  <si>
    <t>SPA Promotion and advertising other</t>
  </si>
  <si>
    <t>SPA Promo.&amp;advert. oth. - Personnel</t>
  </si>
  <si>
    <t>SPA Promo.&amp;advert. oth. - Depreciation</t>
  </si>
  <si>
    <t>SPA Promo.&amp;advert. oth. - Prom.&amp;Advert.</t>
  </si>
  <si>
    <t>SPA Promo.&amp;advert. oth. - IT &amp; Teleco.</t>
  </si>
  <si>
    <t>SPA Promo.&amp;advert. oth. - Serv.&amp;Consult.</t>
  </si>
  <si>
    <t>SPA Promo.&amp;advert. oth. - T&amp;E</t>
  </si>
  <si>
    <t>SPA Promo.&amp;advert. oth. - Other</t>
  </si>
  <si>
    <t>SPA Medical education</t>
  </si>
  <si>
    <t>SPA Medical education - Personnel</t>
  </si>
  <si>
    <t>SPA Medical education - Depreciation</t>
  </si>
  <si>
    <t>SPA Medical education - Prom.&amp;Advert.</t>
  </si>
  <si>
    <t>SPA Medical education - IT &amp; Teleco.</t>
  </si>
  <si>
    <t>SPA Medical education - Serv.&amp;Consult.</t>
  </si>
  <si>
    <t>SPA Medical education - T&amp;E</t>
  </si>
  <si>
    <t>SPA Medical education - Other</t>
  </si>
  <si>
    <t>SPA Medical donations</t>
  </si>
  <si>
    <t>SPA Medical donations - Personnel</t>
  </si>
  <si>
    <t>SPA Medical donations - Depreciation</t>
  </si>
  <si>
    <t>SPA Medical donations - Prom.&amp;Advert.</t>
  </si>
  <si>
    <t>SPA Medical donations - IT &amp; Teleco.</t>
  </si>
  <si>
    <t>SPA Medical donations - Serv.&amp;Consult.</t>
  </si>
  <si>
    <t>SPA Medical donations - T&amp;E</t>
  </si>
  <si>
    <t>SPA Medical donations - Other</t>
  </si>
  <si>
    <t>SPA Medical consultants</t>
  </si>
  <si>
    <t>SPA Medical consultants - Personnel</t>
  </si>
  <si>
    <t>SPA Medical consultants - Depreciation</t>
  </si>
  <si>
    <t>SPA Medical consultants - Prom.&amp;Advert.</t>
  </si>
  <si>
    <t>SPA Medical consultants - IT &amp; Teleco.</t>
  </si>
  <si>
    <t>SPA Medical consultants - Serv.&amp;Consult.</t>
  </si>
  <si>
    <t>SPA Medical consultants - T&amp;E</t>
  </si>
  <si>
    <t>SPA Medical consultants - Other</t>
  </si>
  <si>
    <t>SPA Medical activities other</t>
  </si>
  <si>
    <t>SPA Medical activity oth. - Personnel</t>
  </si>
  <si>
    <t>SPA Medical activ. oth. - Depreciation</t>
  </si>
  <si>
    <t>SPA Medical activ. oth. - Prom.&amp;Advert.</t>
  </si>
  <si>
    <t>SPA Medical activ. oth. - IT &amp; Teleco.</t>
  </si>
  <si>
    <t>SPA Medical activ. oth. - Serv.&amp;Consult.</t>
  </si>
  <si>
    <t>SPA Medical activ. oth. - T&amp;E</t>
  </si>
  <si>
    <t>SPA Medical activ. oth. - Other</t>
  </si>
  <si>
    <t>SPA Field force</t>
  </si>
  <si>
    <t>SPA Field force - Personnel</t>
  </si>
  <si>
    <t>SPA Field force - Depreciation</t>
  </si>
  <si>
    <t>SPA Field force - Prom.&amp;Advert.</t>
  </si>
  <si>
    <t>SPA Field force - IT &amp; Teleco.</t>
  </si>
  <si>
    <t>SPA Field force - Serv.&amp;Consult.</t>
  </si>
  <si>
    <t>SPA Field force - T&amp;E</t>
  </si>
  <si>
    <t>SPA Field force - Other</t>
  </si>
  <si>
    <t>SPA ICON Field force</t>
  </si>
  <si>
    <t>SPA Internal marketing expenses</t>
  </si>
  <si>
    <t>SPA Internal marketing - Personnel</t>
  </si>
  <si>
    <t>SPA Internal marketing - Depreciation</t>
  </si>
  <si>
    <t>SPA Internal marketing - Prom.&amp;Advert.</t>
  </si>
  <si>
    <t>SPA Internal marketing - IT &amp; Teleco.</t>
  </si>
  <si>
    <t>SPA Internal marketing - Serv.&amp;Consult.</t>
  </si>
  <si>
    <t>SPA Internal marketing - T&amp;E</t>
  </si>
  <si>
    <t>SPA Internal marketing - Other</t>
  </si>
  <si>
    <t>SPA ICON Internal Mktg Exp</t>
  </si>
  <si>
    <t>SPA Other M&amp;S</t>
  </si>
  <si>
    <t>SPA Other M&amp;S - 1</t>
  </si>
  <si>
    <t>SPA Other M&amp;S - 2</t>
  </si>
  <si>
    <t>SPA Other M&amp;S - 3</t>
  </si>
  <si>
    <t>SPA Other M&amp;S - 4</t>
  </si>
  <si>
    <t>SPA Other M&amp;S - 5</t>
  </si>
  <si>
    <t>SPA Other M&amp;S - 6</t>
  </si>
  <si>
    <t>SPA Other M&amp;S -7</t>
  </si>
  <si>
    <t>SPA ICON Other Mktg&amp;Sell</t>
  </si>
  <si>
    <t>SPA ICON WH &amp; Distrib.</t>
  </si>
  <si>
    <t>SPA License and royalty exp. - local R&amp;D</t>
  </si>
  <si>
    <t>SPA R&amp;D Expenses (Local)</t>
  </si>
  <si>
    <t>SPA R&amp;D local - Personnel</t>
  </si>
  <si>
    <t>SPA R&amp;D local - Depreciation</t>
  </si>
  <si>
    <t>SPA R&amp;D local - Prom.&amp;Advert.</t>
  </si>
  <si>
    <t>SPA R&amp;D local - IT &amp; Teleco.</t>
  </si>
  <si>
    <t>SPA R&amp;D local - Serv.&amp;Consult.</t>
  </si>
  <si>
    <t>SPA R&amp;D local - T&amp;E</t>
  </si>
  <si>
    <t>SPA R&amp;D local - Other</t>
  </si>
  <si>
    <t>SPA Patent and Scientific Services</t>
  </si>
  <si>
    <t>SPA ICON Other local R&amp;D</t>
  </si>
  <si>
    <t>SPA Local R+D 3rd Party reimbursement</t>
  </si>
  <si>
    <t>SPA Samples.- global R&amp;D</t>
  </si>
  <si>
    <t>SPA Global R&amp;D Expenses</t>
  </si>
  <si>
    <t>SPA Patent &amp; Scientific Serv.GOV Charge</t>
  </si>
  <si>
    <t>SPA ICON Other global R&amp;D</t>
  </si>
  <si>
    <t>SPA Application technology global</t>
  </si>
  <si>
    <t>SPA Global R+D 3rd Party  reimbursement</t>
  </si>
  <si>
    <t>SPA G.R+D other income (VV700)</t>
  </si>
  <si>
    <t>SPA Global R&amp;D Accruals</t>
  </si>
  <si>
    <t>SPA Admin HR</t>
  </si>
  <si>
    <t>SPA ICON HR</t>
  </si>
  <si>
    <t>SPA Admin Accounting</t>
  </si>
  <si>
    <t>SPA Admin Controlling</t>
  </si>
  <si>
    <t>SPA Admin Auditing</t>
  </si>
  <si>
    <t>SPA ICON Finance</t>
  </si>
  <si>
    <t>SPA Admin Legal</t>
  </si>
  <si>
    <t>SPA ICON Legal</t>
  </si>
  <si>
    <t>SPA Other MGF</t>
  </si>
  <si>
    <t>XXX not to be used</t>
  </si>
  <si>
    <t>SPA ICON Other MGF</t>
  </si>
  <si>
    <t>SPA Other G&amp;A</t>
  </si>
  <si>
    <t>SPA Var.supply,  infra., ... - non prod X X X X</t>
  </si>
  <si>
    <t>SPA ICON Other G&amp;A</t>
  </si>
  <si>
    <t>SPA Income from non-core activities</t>
  </si>
  <si>
    <t>SPA Mark-up income IC</t>
  </si>
  <si>
    <t>SPA Remaining other income IC</t>
  </si>
  <si>
    <t>SPA Insurance Charge</t>
  </si>
  <si>
    <t>SPA ICON Prem/Contr/fees</t>
  </si>
  <si>
    <t>SPA Curr. Differences operating – ICON</t>
  </si>
  <si>
    <t>SPA Expenses from non-core activities</t>
  </si>
  <si>
    <t>SPA CorporateGlobal IT-M&amp;A Spcl projects</t>
  </si>
  <si>
    <t>SPA Remaining other expense 3rd party</t>
  </si>
  <si>
    <t>SPA ICON Sundry Rem.Oth.Exp.</t>
  </si>
  <si>
    <t>SPA Remaining other expense IC</t>
  </si>
  <si>
    <t>APA Profit share income</t>
  </si>
  <si>
    <t>APA Commission income</t>
  </si>
  <si>
    <t>APA Rent&amp;Lease Inc Core Busin - Op Lease</t>
  </si>
  <si>
    <t>APA Purch Price Diff - Landed Costs - 3P</t>
  </si>
  <si>
    <t>APA Spending Variance - Variable</t>
  </si>
  <si>
    <t>APA Spend. Variance - Var. Personnel</t>
  </si>
  <si>
    <t>APA Spending Variance - Fix</t>
  </si>
  <si>
    <t>APA Variance Material Overh. Surcharge</t>
  </si>
  <si>
    <t>APA Production part</t>
  </si>
  <si>
    <t>APA CCV CAPVAR Migration History</t>
  </si>
  <si>
    <t>APA LY CCV CAPVARMigrationHistory</t>
  </si>
  <si>
    <t>APA Sterilization Process Varainces CCV</t>
  </si>
  <si>
    <t>APA Special Exp Selling</t>
  </si>
  <si>
    <t>APA Service business cost variance</t>
  </si>
  <si>
    <t>APA Gl.manuf. gov. and cluster mgmnt.</t>
  </si>
  <si>
    <t>APA Global quality</t>
  </si>
  <si>
    <t>APA Product process development</t>
  </si>
  <si>
    <t>APA Contract manuf. / supplier mgmnt.</t>
  </si>
  <si>
    <t>APA Gl. demand planning &amp; replenishm.</t>
  </si>
  <si>
    <t>APA Allocated MGF COGS</t>
  </si>
  <si>
    <t>APA Roy., lic. exp. rel. to prod. techn X X X X</t>
  </si>
  <si>
    <t>APA Amort. of int. assets CoS</t>
  </si>
  <si>
    <t>APA AmoOthA - CapCo to Fulfill LT Contr</t>
  </si>
  <si>
    <t>APA Congr. &amp; events</t>
  </si>
  <si>
    <t>APA Promotion Material</t>
  </si>
  <si>
    <t>APA Field force</t>
  </si>
  <si>
    <t>APA Field force - Personnel</t>
  </si>
  <si>
    <t>APA Field force - Depreciation</t>
  </si>
  <si>
    <t>APA Field force - Prom.&amp;Advert.</t>
  </si>
  <si>
    <t>APA Field force - IT &amp; Teleco.</t>
  </si>
  <si>
    <t>APA Field force - Serv.&amp;Consult.</t>
  </si>
  <si>
    <t>APA Field force - T&amp;E</t>
  </si>
  <si>
    <t>APA Field force - Other</t>
  </si>
  <si>
    <t>APA Internal marketing</t>
  </si>
  <si>
    <t>APA Internal marketing - Personnel</t>
  </si>
  <si>
    <t>APA Internal marketing - Depreciation</t>
  </si>
  <si>
    <t>APA Internal marketing - Prom.&amp;Advert.</t>
  </si>
  <si>
    <t>APA Internal marketing - IT &amp; Teleco.</t>
  </si>
  <si>
    <t>APA Internal marketing - Serv.&amp;Consult.</t>
  </si>
  <si>
    <t>APA Internal marketing - T&amp;E</t>
  </si>
  <si>
    <t>APA Internal marketing - Other</t>
  </si>
  <si>
    <t>APA Other marketing and selling expenses</t>
  </si>
  <si>
    <t>APA Other M&amp;S - 1</t>
  </si>
  <si>
    <t>APA Other M&amp;S - 2</t>
  </si>
  <si>
    <t>APA Other M&amp;S - 3</t>
  </si>
  <si>
    <t>APA Other M&amp;S - 4</t>
  </si>
  <si>
    <t>APA Other M&amp;S - 5</t>
  </si>
  <si>
    <t>APA Other M&amp;S - 6</t>
  </si>
  <si>
    <t>APA Other M&amp;S -7</t>
  </si>
  <si>
    <t>APA 3P Customer Freight &amp; Duties - exp.</t>
  </si>
  <si>
    <t>APA IC Customer Freight &amp; Duties - exp.</t>
  </si>
  <si>
    <t>APA Transport Insurance</t>
  </si>
  <si>
    <t>APA Own operated Warehouses and Distrib.</t>
  </si>
  <si>
    <t>APA 3P Logistic Provider</t>
  </si>
  <si>
    <t>APA Royalty, license exp. related to M&amp; X X X X</t>
  </si>
  <si>
    <t>APA Commission expenses related to M&amp;S</t>
  </si>
  <si>
    <t>APA Amort. of int. assets M&amp;S</t>
  </si>
  <si>
    <t>APA AmoOA-CapCoObtLTCont</t>
  </si>
  <si>
    <t>APA Local R&amp;D Expenses</t>
  </si>
  <si>
    <t>APA R&amp;D local - Personnel</t>
  </si>
  <si>
    <t>APA R&amp;D local - Depreciation</t>
  </si>
  <si>
    <t>APA R&amp;D local - Prom.&amp;Advert.</t>
  </si>
  <si>
    <t>APA R&amp;D local - IT &amp; Teleco.</t>
  </si>
  <si>
    <t>APA R&amp;D local - Serv.&amp;Consult.</t>
  </si>
  <si>
    <t>APA R&amp;D local - T&amp;E</t>
  </si>
  <si>
    <t>APA R&amp;D local - Other</t>
  </si>
  <si>
    <t>APA Global R&amp;D Expenses</t>
  </si>
  <si>
    <t>APA Pat. and Scientific Serv. GOV Charge</t>
  </si>
  <si>
    <t>APA Amort. of int. assets R&amp;D</t>
  </si>
  <si>
    <t>APA Human Resources</t>
  </si>
  <si>
    <t>APA Finance</t>
  </si>
  <si>
    <t>APA Legal &amp; Compliance</t>
  </si>
  <si>
    <t>APA Other MGF</t>
  </si>
  <si>
    <t>APA IT run cost</t>
  </si>
  <si>
    <t>APA Other G&amp;A</t>
  </si>
  <si>
    <t>APA Amort. of int. assets Admin</t>
  </si>
  <si>
    <t>APA Royalty, license, income rel. to Co X X X X</t>
  </si>
  <si>
    <t>APA Royalty, license, income rel. to M&amp; X X X X</t>
  </si>
  <si>
    <t>APA Income from reversal of impairments</t>
  </si>
  <si>
    <t>APA Income from A/R allowance reversals</t>
  </si>
  <si>
    <t>APA Cap. gains f. sale of intang. assets</t>
  </si>
  <si>
    <t>APA Cap. gains f. sale of tang. assets</t>
  </si>
  <si>
    <t>APA Cap. gains f. sale of financ. instr.</t>
  </si>
  <si>
    <t>APA Cap. gains f. diss. of cont. consid.</t>
  </si>
  <si>
    <t>APA Cap. gains (paym.) f. divestitures</t>
  </si>
  <si>
    <t>APA Inc. f. reversal litig. (operat.)</t>
  </si>
  <si>
    <t>APA FX gains cash flow hedge</t>
  </si>
  <si>
    <t>APA FX gains operat. act., unrealized</t>
  </si>
  <si>
    <t>APA FX gains operat. act., realized</t>
  </si>
  <si>
    <t>APA FX gains operat. hedging, unrealize X X X X</t>
  </si>
  <si>
    <t>APA FX gains operat. hedging, realized</t>
  </si>
  <si>
    <t>APA Income from non-core activities</t>
  </si>
  <si>
    <t>APA Income from fair value changes</t>
  </si>
  <si>
    <t>APA Gain from hyperinflation</t>
  </si>
  <si>
    <t>APA Rental inc. f. investment property</t>
  </si>
  <si>
    <t>APA Sundry income</t>
  </si>
  <si>
    <t>APA Transfer price adjustment income</t>
  </si>
  <si>
    <t>APA Special Reimb Income</t>
  </si>
  <si>
    <t>APA Roy.&amp;Lic.Inc.Rec at Point in Time-3P</t>
  </si>
  <si>
    <t>APA Roy.&amp;Lic.Inc.Rec over Time-3P</t>
  </si>
  <si>
    <t>APA Receivable allowances</t>
  </si>
  <si>
    <t>APA Asset impairment</t>
  </si>
  <si>
    <t>APA Litigation expenses</t>
  </si>
  <si>
    <t>APA Cap. loss. f. sale of intang. assets</t>
  </si>
  <si>
    <t>APA Cap. loss. f. sale of tang. assets</t>
  </si>
  <si>
    <t>APA Cap. loss. f. sale of financ. instr.</t>
  </si>
  <si>
    <t>APA Cap. loss. (no paym.) f. price adj.</t>
  </si>
  <si>
    <t>APA Cap. loss. (paym.) f. price adj.</t>
  </si>
  <si>
    <t>APA Insurance Charge</t>
  </si>
  <si>
    <t>APA Banking Charge</t>
  </si>
  <si>
    <t>APA Prem/Contr./Fees</t>
  </si>
  <si>
    <t>APA Profit share expense</t>
  </si>
  <si>
    <t>APA FX expense cash flow hedges</t>
  </si>
  <si>
    <t>APA FX exp. operat. act., unrealized</t>
  </si>
  <si>
    <t>APA FX expense operative act., realized</t>
  </si>
  <si>
    <t>APA FX exp. operat. hedging,unrealized</t>
  </si>
  <si>
    <t>APA FX exp. operat. hedging,realized</t>
  </si>
  <si>
    <t>APA Expenses from non-core activities</t>
  </si>
  <si>
    <t>APA Loss from fair value changes</t>
  </si>
  <si>
    <t>APA Corporate global IT and M&amp;A projects</t>
  </si>
  <si>
    <t>APA Integration costs</t>
  </si>
  <si>
    <t>APA Loss from hyperinflation</t>
  </si>
  <si>
    <t>APA Exp. arising f. investment property</t>
  </si>
  <si>
    <t>APA Sundry expenses</t>
  </si>
  <si>
    <t>APA Non income related taxes</t>
  </si>
  <si>
    <t>APA Non-allocable personnel expenses</t>
  </si>
  <si>
    <t>APA Environmental exp. for divested busi</t>
  </si>
  <si>
    <t>APA Mark-up expense IC</t>
  </si>
  <si>
    <t>APA Remaining other expense IC</t>
  </si>
  <si>
    <t>APA Transfer price adjustment expense</t>
  </si>
  <si>
    <t>APA Amort. of int. assets Other</t>
  </si>
  <si>
    <t>APA Special Reimb Expenses IC</t>
  </si>
  <si>
    <t>APA Royalty Xpenses 4OtherOperating Xpen</t>
  </si>
  <si>
    <t>APA Dividend income</t>
  </si>
  <si>
    <t>APA Interest income paid</t>
  </si>
  <si>
    <t>APA Interest income accrued</t>
  </si>
  <si>
    <t>APA Interest inc.(int.derivatives)paid</t>
  </si>
  <si>
    <t>APA Interest Inc.(int.derivatives)Accrue</t>
  </si>
  <si>
    <t>APA Int.inc.Amor.Prem/DiscInt.Bear.Instr</t>
  </si>
  <si>
    <t>APA Int.inc.Discounting&amp;Revers.Discount.</t>
  </si>
  <si>
    <t>APA Interest income - Plan Assets</t>
  </si>
  <si>
    <t>APA Interest Income Tax Receivables Rec</t>
  </si>
  <si>
    <t>APA Interest Income Tax Receivables Accr</t>
  </si>
  <si>
    <t>APA Inc.Change in Value of Int.Derivat</t>
  </si>
  <si>
    <t>APA FX Inc.Derivative-Financing-Unrealiz</t>
  </si>
  <si>
    <t>APA Inc.Change in Val.Emb.Int.Derivat</t>
  </si>
  <si>
    <t>APA Gain from Financial Instruments</t>
  </si>
  <si>
    <t>APA FX Inc.Financing-Realized Other</t>
  </si>
  <si>
    <t>APA FX Inc.Financing-Unrealized Other</t>
  </si>
  <si>
    <t>APA Inc.Chn.TimeVal.Options</t>
  </si>
  <si>
    <t>APA Inc.Chn.TimeVal.ShareBased LTIP Prov</t>
  </si>
  <si>
    <t>APA FX Inc.Derivative-Financing-Realiz.</t>
  </si>
  <si>
    <t>APA Interest expenses paid</t>
  </si>
  <si>
    <t>APA Interest expenses accrued</t>
  </si>
  <si>
    <t>APA Interest exp.(int.derivatives)paid</t>
  </si>
  <si>
    <t>APA Interest exp.(int.derivatives)Accrue</t>
  </si>
  <si>
    <t>APA Int.exp.Amor.Prem/DiscInt.Bear.Instr</t>
  </si>
  <si>
    <t>APA Int.exp.Discounting&amp;Revers.Discount.</t>
  </si>
  <si>
    <t>APA Interest expenses-Pensions</t>
  </si>
  <si>
    <t>APA Cap.Borrowing Cost-Qualified Assets</t>
  </si>
  <si>
    <t>APA Interest expense on lease liability</t>
  </si>
  <si>
    <t>APA Interest ExpenseTax Liabilities Paid</t>
  </si>
  <si>
    <t>APA Interest ExpenseTax Liabilities Accr</t>
  </si>
  <si>
    <t>APA Exp.Change in Value of Int.Derivat</t>
  </si>
  <si>
    <t>APA FX Exp.Derivative-Financing-Unrealiz</t>
  </si>
  <si>
    <t>APA Exp.Change in Val.Emb.Int.Derivat</t>
  </si>
  <si>
    <t>APA Loss from Financial Instruments</t>
  </si>
  <si>
    <t>APA FX Exp.Financing-Realized Other</t>
  </si>
  <si>
    <t>APA FX Exp.Financing-Unrealized Other</t>
  </si>
  <si>
    <t>APA Exp.Chn.TimeVal.Options</t>
  </si>
  <si>
    <t>APA Exp.Chn.TimeVal.ShareBased LTIP Prov</t>
  </si>
  <si>
    <t>APA FX Exp.Derivative-Financing-Realiz.</t>
  </si>
  <si>
    <t>APA Current Tax</t>
  </si>
  <si>
    <t>APA Current Tax Resul.UseUnrec.Temp Diff</t>
  </si>
  <si>
    <t>APA Curr Tax Resul.UseUnrec.Tax Loss CFw</t>
  </si>
  <si>
    <t>APA Current Tax Resul.UseUnrec.Tax Cred.</t>
  </si>
  <si>
    <t>APA Current Tax for Prev. Periods</t>
  </si>
  <si>
    <t>APA Defr Tax Resul. Changes in Temp Diff</t>
  </si>
  <si>
    <t>APA Defr Tax Resul. UseUnrec Temp Diff</t>
  </si>
  <si>
    <t>APA Defr Tax Resul. UseUnrecTax Loss CFw</t>
  </si>
  <si>
    <t>APA Defr Tax Resul. UseUnrec Tax Credits</t>
  </si>
  <si>
    <t>APA Defr Tax Resul. Change in Tax Rates</t>
  </si>
  <si>
    <t>APA Defr Tax on Planned Dividends</t>
  </si>
  <si>
    <t>AOM - SM DIV Quality &amp; Analytics</t>
  </si>
  <si>
    <t>AOM SM Analytics 5%</t>
  </si>
  <si>
    <t>AOM - SM DIV Other Services</t>
  </si>
  <si>
    <t>AOM - SM DIV R&amp;D Support</t>
  </si>
  <si>
    <t>AOM SM Analytics 10%</t>
  </si>
  <si>
    <t>AOM SM Analytics Applict Mgmt</t>
  </si>
  <si>
    <t>AOM SM R&amp;D Blood Sampl f. GMS</t>
  </si>
  <si>
    <t>AOM DIV Special Analytics</t>
  </si>
  <si>
    <t>AOM DIV Design/creation of Testing Proce</t>
  </si>
  <si>
    <t>AOM DIV Central Sampling</t>
  </si>
  <si>
    <t>AOM DIV R&amp;D Project Services</t>
  </si>
  <si>
    <t>AOM DIV R&amp;D BasicToxicologSer</t>
  </si>
  <si>
    <t>AOM DIV R&amp;D ExtendToxicolServ</t>
  </si>
  <si>
    <t>AOM DIV EHS Services</t>
  </si>
  <si>
    <t>AOM DIV Applicat&amp;DataMgmtServ</t>
  </si>
  <si>
    <t>AOM SM Engineering&amp;Tech. Serv</t>
  </si>
  <si>
    <t>AOM SM Engineer-Techn Investm</t>
  </si>
  <si>
    <t>AOM DIV Logistical Services</t>
  </si>
  <si>
    <t>AOM DIV Master Data Maintenan</t>
  </si>
  <si>
    <t>SOM - Analytics settlement</t>
  </si>
  <si>
    <t>SOM Engineering und tech. Services Stlmt</t>
  </si>
  <si>
    <t>SOM local Services  Stlmt</t>
  </si>
  <si>
    <t>Dividend Income</t>
  </si>
  <si>
    <t>DO NOT USE_NCI PnL dummy account</t>
  </si>
  <si>
    <t>Interest Income Paid</t>
  </si>
  <si>
    <t>Interest Income Paid - Account 1</t>
  </si>
  <si>
    <t>Interest Income - MM Funds</t>
  </si>
  <si>
    <t>Interest Income Paid - IC</t>
  </si>
  <si>
    <t>Interest Income Paid - IC - Account 1</t>
  </si>
  <si>
    <t>Interest Income Paid - IC - Account 2</t>
  </si>
  <si>
    <t>Interest Income Tax Receivables Rec</t>
  </si>
  <si>
    <t>Other Interest Income Received -  3P</t>
  </si>
  <si>
    <t>Interest Income Accrued</t>
  </si>
  <si>
    <t>Interest Income-Financial Investments-3P</t>
  </si>
  <si>
    <t>Interest Income-Financial Investments-IC</t>
  </si>
  <si>
    <t>Interest Income Tax Receivables Accr</t>
  </si>
  <si>
    <t>Other Interest Income Accr -  3P</t>
  </si>
  <si>
    <t>Interest Income (Int Derivatives) Paid</t>
  </si>
  <si>
    <t>Interest Income (Int Derivatives) Accrue</t>
  </si>
  <si>
    <t>Int Inc Amor of Prem/Disc Int Bear Instr</t>
  </si>
  <si>
    <t>Interest Inc-Compensation Fees-IHB</t>
  </si>
  <si>
    <t>Interest Income f. Disc &amp; Revers of Disc</t>
  </si>
  <si>
    <t>Interest Income - Plan Assets</t>
  </si>
  <si>
    <t>Interest Income from Finance Lease</t>
  </si>
  <si>
    <t>Inc Change in Value of Inter Derivat</t>
  </si>
  <si>
    <t>InterInc Result-InterRateSwap-CFH-Unreal</t>
  </si>
  <si>
    <t>Inc Change in Val of Emb Int Derivative</t>
  </si>
  <si>
    <t>Inc f. FairValChanges Debt Inst FVtPL</t>
  </si>
  <si>
    <t>Inc f. Recycling Debt Inst FVOCI</t>
  </si>
  <si>
    <t>Gain from Financial Instruments</t>
  </si>
  <si>
    <t>Inc f. FairValCha DebtInst FVOpt FVtPL</t>
  </si>
  <si>
    <t>Inc f. FairValChanges Equity Inst FVtPL</t>
  </si>
  <si>
    <t>FX Inc - Financing - Realized Other</t>
  </si>
  <si>
    <t>FX Inc-Financing-Exchange Rate Diff-Real</t>
  </si>
  <si>
    <t>FX Inc-Revaluat-SAP-Quantum-Clearing Acc</t>
  </si>
  <si>
    <t>FX Inc - Financing - Unrealized Other</t>
  </si>
  <si>
    <t>FX Inc Reval-Fin-Underlng Assets-Unrl-3P</t>
  </si>
  <si>
    <t>FX Inc Reval-Fin-Underlg Asset-Unreal-IC</t>
  </si>
  <si>
    <t>FX Inc Settl-Fin-Underlyng Asset-Real-3P</t>
  </si>
  <si>
    <t>FX Inc Settl-Fin-Underlyng Asset-Real-IC</t>
  </si>
  <si>
    <t>Inc Chn TimeVal of Options</t>
  </si>
  <si>
    <t>FX Inc Revl-Fin-CurrOpt-CFH-TimeVal-Unrl</t>
  </si>
  <si>
    <t>FXInc Revl-Op-ZC-CurOpt-CFH-TimeVal-Unrl</t>
  </si>
  <si>
    <t>Inc Chn TimeVal of Share Based LTIP Prov</t>
  </si>
  <si>
    <t>FX Inc Derivative - Financing - Realized</t>
  </si>
  <si>
    <t>FX Inc Settl-Financing-Derivativ-Real-IC</t>
  </si>
  <si>
    <t>FX Inc Revl-Fin-CurrOpt-CFH-Inval-Unrl</t>
  </si>
  <si>
    <t>FXInc Setl-Fin-ZC-CurOpt-IntrVal-Real-IC</t>
  </si>
  <si>
    <t>FX Inc Settl-Fin-CurrOpt-IntrVal-Real-IC</t>
  </si>
  <si>
    <t>FXInc Revl-Fin-ZC-CO-CFH-IntrVal-Unrl-IC</t>
  </si>
  <si>
    <t>FX Inc Derivative - Financing-Unrealized</t>
  </si>
  <si>
    <t>Interest Expenses Paid</t>
  </si>
  <si>
    <t>Interest Expenses - MM Funds</t>
  </si>
  <si>
    <t>Interest Expenses Paid - IC</t>
  </si>
  <si>
    <t>Interest Expenses Paid - IC - Account 1</t>
  </si>
  <si>
    <t>Interest ExpensesTax Liabilities Paid</t>
  </si>
  <si>
    <t>Other Interest Expenses Paid</t>
  </si>
  <si>
    <t>Interest Expenses Accrued</t>
  </si>
  <si>
    <t>Interest ExpensesTax Liabilities Accr</t>
  </si>
  <si>
    <t>Other Interest Expenses Accr</t>
  </si>
  <si>
    <t>Interest Expenses (Int Derivatives) Paid</t>
  </si>
  <si>
    <t>Interest Exp-Interest Derivativ-Real-IC</t>
  </si>
  <si>
    <t>Interest Expenses (Int Deriv) Accrued</t>
  </si>
  <si>
    <t>Int Exp Amor of Prem/Disc Int Bear Instr</t>
  </si>
  <si>
    <t>InterExp-Amort Prem/Discount Secur Bonds</t>
  </si>
  <si>
    <t>Interest Exp-Charg Fin Trans-Negat Inter</t>
  </si>
  <si>
    <t>Interest Exp-Compensation Fees-IHB</t>
  </si>
  <si>
    <t>Interest Exp Discoun &amp; Reserval of Disc</t>
  </si>
  <si>
    <t>Interest Expenses - Pensions</t>
  </si>
  <si>
    <t>Capit Borrowing Costs - Qualified Assets</t>
  </si>
  <si>
    <t>Int Exp - Non-Act Borrow Costs-Loc(TAcc)</t>
  </si>
  <si>
    <t>Capit Borrowing Costs - Intang Assets</t>
  </si>
  <si>
    <t>Int Exp on Leas Liab</t>
  </si>
  <si>
    <t>Exp Chn in Value of Oth Inter Derivat</t>
  </si>
  <si>
    <t>InterExp Result-Inter Rate Swap-CFH-Unrl</t>
  </si>
  <si>
    <t>Exp Chn in Value of Emb Inter Derivat</t>
  </si>
  <si>
    <t>Loss from Financial Instruments</t>
  </si>
  <si>
    <t>Loss FairValCha DebtInst FVOptFVtPL</t>
  </si>
  <si>
    <t>Loss FairValChanges Debt Inst FVtPL</t>
  </si>
  <si>
    <t>Loss Recycling Debt Inst FVOCI</t>
  </si>
  <si>
    <t>Loss FairValChanges Equity Inst FVtPL</t>
  </si>
  <si>
    <t>Loss FairValChanges OthFinInstFVtPL-Re</t>
  </si>
  <si>
    <t>Loss FairValChangesOthFinInstFVtPL-Unre</t>
  </si>
  <si>
    <t>FX Exp - Financing - Realized Other</t>
  </si>
  <si>
    <t>FX Exp-Financing-Exchange Rate Diff-Real</t>
  </si>
  <si>
    <t>FX Exp Settl-Fin-Underlng Assets-Real-IC</t>
  </si>
  <si>
    <t>FX Exp - Financing -  Unrealized Other</t>
  </si>
  <si>
    <t>FX Exp-Fin-Exchange Rate Differen-Unreal</t>
  </si>
  <si>
    <t>FX Exp Reval-Fin-Underlng Asset-Unrl-IC</t>
  </si>
  <si>
    <t>Exp Chn in TimeVal of Options</t>
  </si>
  <si>
    <t>Premium-Operat-Zero-Cost CurrOpt-Real-3P</t>
  </si>
  <si>
    <t>Premium-Operat-Zero-Cost CurrOpt-Real-IC</t>
  </si>
  <si>
    <t>Exp Chn TimeVal of Share Based LTIP Prov</t>
  </si>
  <si>
    <t>FX Exp Derivative - Financing - Realized</t>
  </si>
  <si>
    <t>FX Exp Revl-Fin-CurrOpt-CFH-Inval-Unrl</t>
  </si>
  <si>
    <t>FX Exp Settl-Financing-Derivativ-Real-IC</t>
  </si>
  <si>
    <t>FX Exp Derivative - Financing-Unrealized</t>
  </si>
  <si>
    <t>FX Exp Reval-Fin-ZC-CO-CFH-IntrVal-Unrl</t>
  </si>
  <si>
    <t>FX Exp Reval-Op-ZC-CO-CFH-TimeVal-Unrl</t>
  </si>
  <si>
    <t>FX Exp Reval-Fin-ZC-CO-CFH-TimeVal-Unrl</t>
  </si>
  <si>
    <t>FX Exp Settl-Fin-CurrOpt-IntrVal-Real-IC</t>
  </si>
  <si>
    <t>FX Exp Reval-Fin-CurOpt-CFH-TimeVal-Unrl</t>
  </si>
  <si>
    <t>Result FXRevl-Op-CurOpt-CFH-IntrVal-Unrl</t>
  </si>
  <si>
    <t>Current Tax - Local Bus Tax</t>
  </si>
  <si>
    <t>Current Tax - Local Direct Tax</t>
  </si>
  <si>
    <t>Corporate Tax- Current</t>
  </si>
  <si>
    <t>Trade Tax- Current</t>
  </si>
  <si>
    <t>Deductible Withholding  Tax - Current</t>
  </si>
  <si>
    <t>Nondeductible Withholding Tax - Current</t>
  </si>
  <si>
    <t>Current Tax Resul f. Use Unrec Temp Diff</t>
  </si>
  <si>
    <t>Curr Tax Resul f. Use Unrec Tax Loss CFw</t>
  </si>
  <si>
    <t>Curr Tax Resul f. Use Unrec Tax Credits</t>
  </si>
  <si>
    <t>Current Tax for Previous Periods</t>
  </si>
  <si>
    <t>Corporate Tax for Previous Periods</t>
  </si>
  <si>
    <t>Trade Tax for Previous Periods</t>
  </si>
  <si>
    <t>Defr Tax Resul f. Changes in Temp Diff</t>
  </si>
  <si>
    <t>Defr Tax Resul f. Use Unrec Temp Diff</t>
  </si>
  <si>
    <t>Defr Tax Resul f. Use Unrec Tax Loss Cfw</t>
  </si>
  <si>
    <t>Defr Tax Resul f. Use Unrec Tax Credits</t>
  </si>
  <si>
    <t>Defr Tax Resul f. Change in Tax Rates</t>
  </si>
  <si>
    <t>Defr Tax on Planned Dividends</t>
  </si>
  <si>
    <t>Defr Tax on Previous periods</t>
  </si>
  <si>
    <t>Acc park items out of early scan</t>
  </si>
  <si>
    <t>Profit and Loss (Technical Account)-Acc1</t>
  </si>
  <si>
    <t>Profit&amp;Loss (Tech Acc)-InP&amp;LTransAgree</t>
  </si>
  <si>
    <t>Profit&amp;Loss (Tech Acc)-ExpP&amp;LTransAgree</t>
  </si>
  <si>
    <t>Advanced Payment - Stat Acc for IO/WBS</t>
  </si>
  <si>
    <t>CAPVAR Inventory Revaluation Migration</t>
  </si>
  <si>
    <t>CAPVAR ProcessOrderVariance IC Migration</t>
  </si>
  <si>
    <t>CAPVAR ProcessOrderVariance EX Migration</t>
  </si>
  <si>
    <t>CAPVAR MaterialPriceVariance IC Migratin</t>
  </si>
  <si>
    <t>CAPVAR MaterialPriceVariance EX Migratin</t>
  </si>
  <si>
    <t>CAPVAR LY Inventory RevalMigration</t>
  </si>
  <si>
    <t>CAPVAR LY ProcessOrderVar IC Migration</t>
  </si>
  <si>
    <t>CAPVAR LY ProcessOrderVar EX Migration</t>
  </si>
  <si>
    <t>CAPVAR LY MaterialPriceVar IC Migratin</t>
  </si>
  <si>
    <t>CAPVAR LY MaterialPriceVar EX Migratin</t>
  </si>
  <si>
    <t>SGL: OM Orders and WBS Elements</t>
  </si>
  <si>
    <t>UMY - ML - Gain/Loss Revaluation - TAcc</t>
  </si>
  <si>
    <t>PRY - ML - Price Differences - TAcc</t>
  </si>
  <si>
    <t>PRV - ML - Price Differ f. LowLev - TAcc</t>
  </si>
  <si>
    <t>KDY - ML - Exch Rate Differences - TAcc</t>
  </si>
  <si>
    <t>KDV - ML - ExchRateDiff f. LowLev - TAcc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</si>
</sst>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1"/>
      <name val="Calibri"/>
      <family val="2"/>
      <scheme val="minor"/>
    </font>
    <font>
      <b/>
      <sz val="11"/>
      <name val="Calibri"/>
      <family val="2"/>
      <scheme val="minor"/>
    </font>
    <font>
      <b/>
      <sz val="12"/>
      <color theme="0"/>
      <name val="Calibri"/>
      <family val="2"/>
      <scheme val="minor"/>
    </font>
    <font>
      <sz val="8"/>
      <name val="Calibri"/>
      <family val="2"/>
      <scheme val="minor"/>
    </font>
    <font>
      <sz val="8"/>
      <color rgb="FF000000"/>
      <name val="Segoe UI"/>
      <family val="2"/>
    </font>
    <font>
      <b/>
      <sz val="11"/>
      <name val="Calibri"/>
      <family val="2"/>
    </font>
    <font>
      <sz val="11"/>
      <color rgb="FF000000"/>
      <name val="Calibri"/>
      <family val="2"/>
      <scheme val="minor"/>
    </font>
  </fonts>
  <fills count="8">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rgb="FF7030A0"/>
        <bgColor indexed="64"/>
      </patternFill>
    </fill>
    <fill>
      <patternFill patternType="solid">
        <fgColor theme="9"/>
        <bgColor theme="9"/>
      </patternFill>
    </fill>
  </fills>
  <borders count="16">
    <border>
      <left/>
      <right/>
      <top/>
      <bottom/>
      <diagonal/>
    </border>
    <border>
      <left/>
      <right/>
      <top style="thin">
        <color theme="9"/>
      </top>
      <bottom/>
      <diagonal/>
    </border>
    <border>
      <left style="medium">
        <color indexed="64"/>
      </left>
      <right style="medium">
        <color indexed="64"/>
      </right>
      <top style="medium">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theme="9"/>
      </left>
      <right/>
      <top style="thin">
        <color theme="9"/>
      </top>
      <bottom/>
      <diagonal/>
    </border>
    <border>
      <left style="thin">
        <color theme="9"/>
      </left>
      <right/>
      <top style="thin">
        <color theme="9"/>
      </top>
      <bottom style="thin">
        <color theme="9"/>
      </bottom>
      <diagonal/>
    </border>
  </borders>
  <cellStyleXfs count="2">
    <xf numFmtId="0" fontId="0" fillId="0" borderId="0"/>
    <xf numFmtId="0" fontId="2" fillId="0" borderId="0"/>
  </cellStyleXfs>
  <cellXfs count="34">
    <xf numFmtId="0" fontId="0" fillId="0" borderId="0" xfId="0"/>
    <xf numFmtId="0" fontId="0" fillId="0" borderId="0" xfId="0" applyAlignment="1">
      <alignment wrapText="1"/>
    </xf>
    <xf numFmtId="2" fontId="5" fillId="2" borderId="2" xfId="1" applyNumberFormat="1" applyFont="1" applyFill="1" applyBorder="1" applyAlignment="1">
      <alignment horizontal="center" vertical="center" wrapText="1"/>
    </xf>
    <xf numFmtId="2" fontId="5" fillId="2" borderId="3" xfId="1" applyNumberFormat="1" applyFont="1" applyFill="1" applyBorder="1" applyAlignment="1">
      <alignment horizontal="center" vertical="center" wrapText="1"/>
    </xf>
    <xf numFmtId="2" fontId="6" fillId="3" borderId="4" xfId="1" applyNumberFormat="1" applyFont="1" applyFill="1" applyBorder="1" applyAlignment="1">
      <alignment horizontal="center" vertical="center" wrapText="1"/>
    </xf>
    <xf numFmtId="2" fontId="6" fillId="4" borderId="5" xfId="1" applyNumberFormat="1" applyFont="1" applyFill="1" applyBorder="1" applyAlignment="1">
      <alignment horizontal="center" vertical="center" wrapText="1"/>
    </xf>
    <xf numFmtId="2" fontId="3" fillId="2" borderId="9" xfId="1" applyNumberFormat="1" applyFont="1" applyFill="1" applyBorder="1" applyAlignment="1">
      <alignment horizontal="center" wrapText="1"/>
    </xf>
    <xf numFmtId="2" fontId="3" fillId="2" borderId="3" xfId="1" applyNumberFormat="1" applyFont="1" applyFill="1" applyBorder="1" applyAlignment="1">
      <alignment horizontal="center"/>
    </xf>
    <xf numFmtId="2" fontId="1" fillId="3" borderId="10" xfId="1" applyNumberFormat="1" applyFont="1" applyFill="1" applyBorder="1" applyAlignment="1">
      <alignment horizontal="center" wrapText="1"/>
    </xf>
    <xf numFmtId="2" fontId="1" fillId="4" borderId="11" xfId="1" applyNumberFormat="1" applyFont="1" applyFill="1" applyBorder="1" applyAlignment="1">
      <alignment horizontal="center" wrapText="1"/>
    </xf>
    <xf numFmtId="2" fontId="1" fillId="5" borderId="12" xfId="1" applyNumberFormat="1" applyFont="1" applyFill="1" applyBorder="1" applyAlignment="1">
      <alignment horizontal="center"/>
    </xf>
    <xf numFmtId="2" fontId="1" fillId="5" borderId="13" xfId="1" applyNumberFormat="1" applyFont="1" applyFill="1" applyBorder="1" applyAlignment="1">
      <alignment horizontal="center"/>
    </xf>
    <xf numFmtId="2" fontId="3" fillId="6" borderId="8" xfId="1" applyNumberFormat="1" applyFont="1" applyFill="1" applyBorder="1"/>
    <xf numFmtId="0" fontId="1" fillId="0" borderId="1" xfId="0" applyFont="1" applyBorder="1"/>
    <xf numFmtId="0" fontId="4" fillId="0" borderId="0" xfId="0" applyFont="1" applyAlignment="1" applyProtection="1">
      <alignment wrapText="1"/>
      <protection locked="0"/>
    </xf>
    <xf numFmtId="0" fontId="3" fillId="7" borderId="0" xfId="0" applyFont="1" applyFill="1" applyAlignment="1">
      <alignment wrapText="1"/>
    </xf>
    <xf numFmtId="0" fontId="1" fillId="0" borderId="1" xfId="0" applyNumberFormat="1" applyFont="1" applyBorder="1"/>
    <xf numFmtId="0" fontId="0" fillId="0" borderId="1" xfId="0" applyBorder="1"/>
    <xf numFmtId="0" fontId="0" fillId="0" borderId="1" xfId="0" applyFont="1" applyBorder="1"/>
    <xf numFmtId="0" fontId="0" fillId="0" borderId="0" xfId="0" applyNumberFormat="1" applyFont="1" applyBorder="1"/>
    <xf numFmtId="0" fontId="1" fillId="0" borderId="14" xfId="0" applyFont="1" applyBorder="1"/>
    <xf numFmtId="0" fontId="1" fillId="0" borderId="15" xfId="0" applyFont="1" applyBorder="1"/>
    <xf numFmtId="0" fontId="0" fillId="0" borderId="0" xfId="0" applyNumberFormat="1" applyFont="1"/>
    <xf numFmtId="0" fontId="12" fillId="0" borderId="1" xfId="0" applyFont="1" applyBorder="1" applyAlignment="1">
      <alignment horizontal="left" vertical="top"/>
    </xf>
    <xf numFmtId="0" fontId="3" fillId="7" borderId="0" xfId="0" applyFont="1" applyFill="1" applyAlignment="1">
      <alignment horizontal="center" wrapText="1"/>
    </xf>
    <xf numFmtId="0" fontId="12" fillId="0" borderId="0" xfId="0" applyFont="1" applyBorder="1" applyAlignment="1">
      <alignment horizontal="center" vertical="top"/>
    </xf>
    <xf numFmtId="0" fontId="12" fillId="0" borderId="0" xfId="0" applyFont="1" applyBorder="1" applyAlignment="1">
      <alignment horizontal="left" vertical="top"/>
    </xf>
    <xf numFmtId="0" fontId="0" fillId="0" borderId="0" xfId="0" applyFont="1"/>
    <xf numFmtId="0" fontId="1" fillId="0" borderId="0" xfId="0" applyNumberFormat="1" applyFont="1" applyBorder="1"/>
    <xf numFmtId="2" fontId="6" fillId="5" borderId="6" xfId="1" applyNumberFormat="1" applyFont="1" applyFill="1" applyBorder="1" applyAlignment="1">
      <alignment horizontal="center" vertical="center" wrapText="1"/>
    </xf>
    <xf numFmtId="2" fontId="6" fillId="5" borderId="7" xfId="1" applyNumberFormat="1" applyFont="1" applyFill="1" applyBorder="1" applyAlignment="1">
      <alignment horizontal="center" vertical="center" wrapText="1"/>
    </xf>
    <xf numFmtId="2" fontId="9" fillId="6" borderId="8" xfId="1" applyNumberFormat="1" applyFont="1" applyFill="1" applyBorder="1" applyAlignment="1">
      <alignment horizontal="center"/>
    </xf>
    <xf numFmtId="0" fontId="0" fillId="0" borderId="0" xfId="0" applyAlignment="1">
      <alignment horizontal="center"/>
    </xf>
    <xf numFmtId="0" fontId="13" fillId="0" borderId="0" xfId="0" applyFont="1"/>
  </cellXfs>
  <cellStyles count="2">
    <cellStyle name="Normal" xfId="0" builtinId="0"/>
    <cellStyle name="Normal 4 15" xfId="1" xr:uid="{AFCCE299-5D10-430E-B91F-0A80C02F290F}"/>
  </cellStyles>
  <dxfs count="18">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auto="1"/>
        <name val="Calibri"/>
        <family val="2"/>
        <scheme val="none"/>
      </font>
      <alignment horizontal="left" vertical="top" textRotation="0" wrapText="0" indent="0" justifyLastLine="0" shrinkToFit="0" readingOrder="0"/>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general" vertical="bottom" textRotation="0" wrapText="1" indent="0" justifyLastLine="0" shrinkToFit="0" readingOrder="0"/>
    </dxf>
  </dxfs>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324971</xdr:colOff>
      <xdr:row>3</xdr:row>
      <xdr:rowOff>47492</xdr:rowOff>
    </xdr:from>
    <xdr:to>
      <xdr:col>4</xdr:col>
      <xdr:colOff>1238464</xdr:colOff>
      <xdr:row>3</xdr:row>
      <xdr:rowOff>1013467</xdr:rowOff>
    </xdr:to>
    <xdr:pic macro="[0]!opensesame">
      <xdr:nvPicPr>
        <xdr:cNvPr id="3" name="Graphic 2" descr="Magnifying glass">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08530" y="630198"/>
          <a:ext cx="913493" cy="9659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1181100</xdr:colOff>
          <xdr:row>3</xdr:row>
          <xdr:rowOff>228600</xdr:rowOff>
        </xdr:from>
        <xdr:to>
          <xdr:col>5</xdr:col>
          <xdr:colOff>390525</xdr:colOff>
          <xdr:row>3</xdr:row>
          <xdr:rowOff>647700</xdr:rowOff>
        </xdr:to>
        <xdr:sp macro="" textlink="">
          <xdr:nvSpPr>
            <xdr:cNvPr id="1026" name="Label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PH" sz="800" b="0" i="0" u="none" strike="noStrike" baseline="0">
                  <a:solidFill>
                    <a:srgbClr val="000000"/>
                  </a:solidFill>
                  <a:latin typeface="Segoe UI"/>
                  <a:cs typeface="Segoe UI"/>
                </a:rPr>
                <a:t>sdClick on the magnifiying glass to use embedded hierarchy assistant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xdr:colOff>
      <xdr:row>2</xdr:row>
      <xdr:rowOff>0</xdr:rowOff>
    </xdr:from>
    <xdr:to>
      <xdr:col>7</xdr:col>
      <xdr:colOff>400051</xdr:colOff>
      <xdr:row>11</xdr:row>
      <xdr:rowOff>152187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 y="368300"/>
          <a:ext cx="4667250" cy="1809537"/>
        </a:xfrm>
        <a:prstGeom prst="rect">
          <a:avLst/>
        </a:prstGeom>
      </xdr:spPr>
    </xdr:pic>
    <xdr:clientData/>
  </xdr:twoCellAnchor>
  <xdr:twoCellAnchor editAs="oneCell">
    <xdr:from>
      <xdr:col>0</xdr:col>
      <xdr:colOff>0</xdr:colOff>
      <xdr:row>14</xdr:row>
      <xdr:rowOff>89816</xdr:rowOff>
    </xdr:from>
    <xdr:to>
      <xdr:col>8</xdr:col>
      <xdr:colOff>190500</xdr:colOff>
      <xdr:row>21</xdr:row>
      <xdr:rowOff>117119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0" y="2667916"/>
          <a:ext cx="5067300" cy="1316353"/>
        </a:xfrm>
        <a:prstGeom prst="rect">
          <a:avLst/>
        </a:prstGeom>
      </xdr:spPr>
    </xdr:pic>
    <xdr:clientData/>
  </xdr:twoCellAnchor>
  <xdr:twoCellAnchor editAs="oneCell">
    <xdr:from>
      <xdr:col>0</xdr:col>
      <xdr:colOff>0</xdr:colOff>
      <xdr:row>23</xdr:row>
      <xdr:rowOff>57150</xdr:rowOff>
    </xdr:from>
    <xdr:to>
      <xdr:col>11</xdr:col>
      <xdr:colOff>397178</xdr:colOff>
      <xdr:row>34</xdr:row>
      <xdr:rowOff>28190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0" y="4292600"/>
          <a:ext cx="7102778" cy="1996690"/>
        </a:xfrm>
        <a:prstGeom prst="rect">
          <a:avLst/>
        </a:prstGeom>
      </xdr:spPr>
    </xdr:pic>
    <xdr:clientData/>
  </xdr:twoCellAnchor>
  <xdr:twoCellAnchor editAs="oneCell">
    <xdr:from>
      <xdr:col>0</xdr:col>
      <xdr:colOff>0</xdr:colOff>
      <xdr:row>42</xdr:row>
      <xdr:rowOff>32482</xdr:rowOff>
    </xdr:from>
    <xdr:to>
      <xdr:col>14</xdr:col>
      <xdr:colOff>528614</xdr:colOff>
      <xdr:row>50</xdr:row>
      <xdr:rowOff>126721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0" y="7766782"/>
          <a:ext cx="9063014" cy="1567439"/>
        </a:xfrm>
        <a:prstGeom prst="rect">
          <a:avLst/>
        </a:prstGeom>
      </xdr:spPr>
    </xdr:pic>
    <xdr:clientData/>
  </xdr:twoCellAnchor>
  <xdr:twoCellAnchor editAs="oneCell">
    <xdr:from>
      <xdr:col>0</xdr:col>
      <xdr:colOff>0</xdr:colOff>
      <xdr:row>54</xdr:row>
      <xdr:rowOff>1</xdr:rowOff>
    </xdr:from>
    <xdr:to>
      <xdr:col>10</xdr:col>
      <xdr:colOff>603250</xdr:colOff>
      <xdr:row>66</xdr:row>
      <xdr:rowOff>116849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0" y="9944101"/>
          <a:ext cx="6699250" cy="232664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AF807B-3B40-43BE-A5E5-4902D6AAAF9E}" name="Table1" displayName="Table1" ref="A5:U2837" totalsRowShown="0" headerRowDxfId="17" dataDxfId="16" tableBorderDxfId="15">
  <autoFilter ref="A5:U2837" xr:uid="{AEAF807B-3B40-43BE-A5E5-4902D6AAAF9E}">
    <filterColumn colId="3">
      <customFilters>
        <customFilter val="Root*"/>
        <customFilter val=""/>
      </customFilters>
    </filterColumn>
    <filterColumn colId="4">
      <customFilters>
        <customFilter val="CES_STD - [Global Cost Element Hierarchy]*"/>
        <customFilter val=""/>
      </customFilters>
    </filterColumn>
    <filterColumn colId="5">
      <customFilters>
        <customFilter val="110000 - [D&amp;A, Rental / Lease &amp; Facility Costs]*"/>
        <customFilter val=""/>
      </customFilters>
    </filterColumn>
  </autoFilter>
  <sortState xmlns:xlrd2="http://schemas.microsoft.com/office/spreadsheetml/2017/richdata2" ref="A6:U6">
    <sortCondition ref="U5:U6"/>
  </sortState>
  <tableColumns count="21">
    <tableColumn id="1" xr3:uid="{C03F8907-8ED0-4CF2-8787-230B783682C0}" name="Node" dataDxfId="14"/>
    <tableColumn id="2" xr3:uid="{5E04FBC2-E44F-4900-B193-88831398EE4B}" name="Object Name" dataDxfId="1"/>
    <tableColumn id="3" xr3:uid="{BD4999E9-1BDC-4283-81D0-38092652FCA8}" name="Immediate Parent Node" dataDxfId="0">
      <calculatedColumnFormula>VLOOKUP(Table1[[#This Row],[Node]],Parent!A:B,2,0)</calculatedColumnFormula>
    </tableColumn>
    <tableColumn id="4" xr3:uid="{DDA2AEF6-5A61-4C6D-96C7-BF178FE96C37}" name="Level_0" dataDxfId="2"/>
    <tableColumn id="5" xr3:uid="{A29FB56F-5577-40E5-84E8-5F46B30D0D93}" name="Level_1" dataDxfId="13"/>
    <tableColumn id="6" xr3:uid="{89784B53-8D5C-4E79-A61F-9BF9532D67DB}" name="Level_2" dataDxfId="12"/>
    <tableColumn id="7" xr3:uid="{B7E581DE-F1F9-44DF-8882-6610906C2AF7}" name="Level_3" dataDxfId="11"/>
    <tableColumn id="8" xr3:uid="{C22523E3-0776-468B-AED8-C8E780B3C421}" name="Level_4" dataDxfId="10"/>
    <tableColumn id="9" xr3:uid="{D0DB34AD-B7AE-4E78-822B-0B0E3B75CB79}" name="Level_5" dataDxfId="9"/>
    <tableColumn id="10" xr3:uid="{F51449BF-03B8-4BFD-BCB7-15F599EA99D0}" name="Level_6" dataDxfId="8"/>
    <tableColumn id="11" xr3:uid="{F06CFF7A-8B90-420C-B0C1-60CAFD44EF67}" name="Level_7" dataDxfId="7"/>
    <tableColumn id="12" xr3:uid="{92AFC61A-1DD9-44BE-ADAC-C39D2664D6D8}" name="Level_8" dataDxfId="6"/>
    <tableColumn id="17" xr3:uid="{8D0B5B2A-485A-48E3-8FE1-67BA06DEBE9A}" name="Level_9"/>
    <tableColumn id="13" xr3:uid="{0A931303-2659-4BDE-8889-3CFEE64C18BC}" name="Level_10" dataDxfId="5"/>
    <tableColumn id="19" xr3:uid="{25CD8D42-75E5-4CD5-95C7-FB4BF55C0E0C}" name="Level_11"/>
    <tableColumn id="18" xr3:uid="{4A88F738-309C-44F0-BC1A-B2CBBA466514}" name="Level 12"/>
    <tableColumn id="14" xr3:uid="{F9DA0CA5-21F7-4385-B4A0-1E797D6018C0}" name="Level 13"/>
    <tableColumn id="15" xr3:uid="{70AADA98-DD28-487F-9BB9-4F26567EC20C}" name="Level 14"/>
    <tableColumn id="20" xr3:uid="{F5B16193-5278-48D9-9B1B-64EC3C7721EC}" name="Level 15"/>
    <tableColumn id="16" xr3:uid="{D5FE4529-56AB-4275-83F5-0D3934835F98}" name="Node " dataDxfId="4">
      <calculatedColumnFormula>LOOKUP(1,1/(Table1[[#This Row],[Level_0]:[Level 15]]&gt;0),(Table1[[#This Row],[Level_0]:[Level 15]]))</calculatedColumnFormula>
    </tableColumn>
    <tableColumn id="21" xr3:uid="{FB0E345A-2A64-4A7D-B78E-6D8395E41886}" name="index" dataDxfId="3"/>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E039F-ED38-460C-AACF-0FC66DAB0C2B}">
  <sheetPr codeName="Sheet1"/>
  <dimension ref="A1:AF2837"/>
  <sheetViews>
    <sheetView showGridLines="0" tabSelected="1" topLeftCell="E2564" zoomScale="70" zoomScaleNormal="70" workbookViewId="0">
      <selection activeCell="H4" sqref="H4"/>
    </sheetView>
  </sheetViews>
  <sheetFormatPr defaultRowHeight="15" outlineLevelCol="2" x14ac:dyDescent="0.25"/>
  <cols>
    <col min="1" max="1" width="20.28515625" hidden="1" customWidth="1" outlineLevel="2"/>
    <col min="2" max="2" width="81" hidden="1" customWidth="1" outlineLevel="2"/>
    <col min="3" max="3" width="21.7109375" hidden="1" customWidth="1" outlineLevel="2"/>
    <col min="4" max="4" width="38.7109375" hidden="1" customWidth="1" outlineLevel="2"/>
    <col min="5" max="5" width="57.7109375" customWidth="1" outlineLevel="1" collapsed="1"/>
    <col min="6" max="6" width="65.85546875" bestFit="1" customWidth="1"/>
    <col min="7" max="7" width="64.5703125" bestFit="1" customWidth="1"/>
    <col min="8" max="8" width="66.7109375" bestFit="1" customWidth="1"/>
    <col min="9" max="9" width="66" bestFit="1" customWidth="1"/>
    <col min="10" max="10" width="68.85546875" customWidth="1" outlineLevel="1"/>
    <col min="11" max="11" width="64.5703125" customWidth="1" outlineLevel="1"/>
    <col min="12" max="12" width="63.140625" customWidth="1" outlineLevel="1"/>
    <col min="13" max="13" width="60.5703125" customWidth="1" outlineLevel="1"/>
    <col min="14" max="14" width="61.5703125" customWidth="1" outlineLevel="1"/>
    <col min="15" max="15" width="52.85546875" customWidth="1" outlineLevel="1"/>
    <col min="16" max="16" width="65.7109375" customWidth="1" outlineLevel="1"/>
    <col min="17" max="17" width="57.140625" customWidth="1" outlineLevel="1"/>
    <col min="18" max="18" width="55.85546875" customWidth="1" outlineLevel="1"/>
    <col min="19" max="19" width="22" customWidth="1" outlineLevel="1"/>
    <col min="20" max="20" width="87.42578125" customWidth="1"/>
    <col min="21" max="21" width="11.140625" bestFit="1" customWidth="1"/>
    <col min="22" max="22" width="5.85546875" customWidth="1"/>
    <col min="23" max="23" width="18.7109375" customWidth="1"/>
    <col min="24" max="24" width="15.85546875" bestFit="1" customWidth="1"/>
    <col min="25" max="25" width="15.42578125" customWidth="1"/>
    <col min="26" max="26" width="20.85546875" customWidth="1" outlineLevel="1"/>
    <col min="27" max="27" width="17.42578125" customWidth="1" outlineLevel="1"/>
    <col min="28" max="28" width="30.28515625" customWidth="1"/>
    <col min="29" max="29" width="8.42578125" customWidth="1"/>
    <col min="30" max="30" width="28.85546875" customWidth="1"/>
  </cols>
  <sheetData>
    <row r="1" spans="1:32" x14ac:dyDescent="0.25">
      <c r="AD1" s="14" t="s">
        <v>0</v>
      </c>
    </row>
    <row r="2" spans="1:32" x14ac:dyDescent="0.25">
      <c r="AD2" s="14" t="s">
        <v>1</v>
      </c>
    </row>
    <row r="3" spans="1:32" ht="15.75" thickBot="1" x14ac:dyDescent="0.3">
      <c r="AD3" s="14" t="s">
        <v>2</v>
      </c>
    </row>
    <row r="4" spans="1:32" ht="101.1" customHeight="1" thickBot="1" x14ac:dyDescent="0.3">
      <c r="D4" s="32"/>
      <c r="E4" s="32"/>
      <c r="W4" s="2" t="s">
        <v>3</v>
      </c>
      <c r="X4" s="3" t="s">
        <v>3</v>
      </c>
      <c r="Y4" s="4"/>
      <c r="Z4" s="5" t="s">
        <v>4</v>
      </c>
      <c r="AA4" s="5" t="s">
        <v>5</v>
      </c>
      <c r="AB4" s="29" t="s">
        <v>6</v>
      </c>
      <c r="AC4" s="30"/>
      <c r="AD4" s="14" t="s">
        <v>7</v>
      </c>
      <c r="AE4" s="31" t="s">
        <v>8</v>
      </c>
      <c r="AF4" s="31"/>
    </row>
    <row r="5" spans="1:32" s="1" customFormat="1" ht="38.1" customHeight="1" thickBot="1" x14ac:dyDescent="0.3">
      <c r="A5" s="15" t="s">
        <v>9</v>
      </c>
      <c r="B5" s="15" t="s">
        <v>10</v>
      </c>
      <c r="C5" s="15" t="s">
        <v>11</v>
      </c>
      <c r="D5" s="24" t="s">
        <v>12</v>
      </c>
      <c r="E5" s="24" t="s">
        <v>13</v>
      </c>
      <c r="F5" s="24" t="s">
        <v>14</v>
      </c>
      <c r="G5" s="24" t="s">
        <v>15</v>
      </c>
      <c r="H5" s="24" t="s">
        <v>16</v>
      </c>
      <c r="I5" s="24" t="s">
        <v>17</v>
      </c>
      <c r="J5" s="24" t="s">
        <v>18</v>
      </c>
      <c r="K5" s="24" t="s">
        <v>19</v>
      </c>
      <c r="L5" s="24" t="s">
        <v>20</v>
      </c>
      <c r="M5" s="24" t="s">
        <v>21</v>
      </c>
      <c r="N5" s="24" t="s">
        <v>22</v>
      </c>
      <c r="O5" s="24" t="s">
        <v>23</v>
      </c>
      <c r="P5" s="24" t="s">
        <v>24</v>
      </c>
      <c r="Q5" s="24" t="s">
        <v>25</v>
      </c>
      <c r="R5" s="24" t="s">
        <v>26</v>
      </c>
      <c r="S5" s="24" t="s">
        <v>27</v>
      </c>
      <c r="T5" s="15" t="s">
        <v>28</v>
      </c>
      <c r="U5" s="15" t="s">
        <v>13591</v>
      </c>
      <c r="W5" s="6" t="s">
        <v>29</v>
      </c>
      <c r="X5" s="7" t="s">
        <v>30</v>
      </c>
      <c r="Y5" s="8" t="s">
        <v>31</v>
      </c>
      <c r="Z5" s="9" t="s">
        <v>32</v>
      </c>
      <c r="AA5" s="9" t="s">
        <v>33</v>
      </c>
      <c r="AB5" s="10" t="s">
        <v>34</v>
      </c>
      <c r="AC5" s="11" t="s">
        <v>35</v>
      </c>
      <c r="AD5" s="14" t="s">
        <v>36</v>
      </c>
      <c r="AE5" s="12" t="s">
        <v>37</v>
      </c>
      <c r="AF5" s="12" t="s">
        <v>38</v>
      </c>
    </row>
    <row r="6" spans="1:32" x14ac:dyDescent="0.25">
      <c r="A6" t="s">
        <v>19346</v>
      </c>
      <c r="B6" s="16" t="e">
        <v>#N/A</v>
      </c>
      <c r="C6" s="16" t="e">
        <f>VLOOKUP(Table1[[#This Row],[Node]],Parent!A:B,2,0)</f>
        <v>#N/A</v>
      </c>
      <c r="D6" s="25" t="s">
        <v>19346</v>
      </c>
      <c r="E6" s="26"/>
      <c r="F6" s="27"/>
      <c r="G6" s="27"/>
      <c r="H6" s="27"/>
      <c r="I6" s="27"/>
      <c r="J6" s="27"/>
      <c r="K6" s="27"/>
      <c r="L6" s="27"/>
      <c r="N6" s="27"/>
      <c r="T6" s="13" t="str">
        <f>LOOKUP(1,1/(Table1[[#This Row],[Level_0]:[Level 15]]&gt;0),(Table1[[#This Row],[Level_0]:[Level 15]]))</f>
        <v>Root</v>
      </c>
      <c r="U6" s="19">
        <v>1</v>
      </c>
      <c r="W6" s="13" t="str">
        <f>LOOKUP(1,1/(Table1[[#This Row],[Level_0]:[Level 15]]&gt;0),(Table1[[#This Row],[Level_0]:[Level 15]]))</f>
        <v>Root</v>
      </c>
      <c r="X6" t="e">
        <f>Table1[[#This Row],[Immediate Parent Node]]</f>
        <v>#N/A</v>
      </c>
      <c r="Z6">
        <f>LEN(W6)</f>
        <v>4</v>
      </c>
      <c r="AC6">
        <f t="shared" ref="AC6" si="0">LEN(AB6)</f>
        <v>0</v>
      </c>
    </row>
    <row r="7" spans="1:32" hidden="1" x14ac:dyDescent="0.25">
      <c r="A7">
        <v>190340</v>
      </c>
      <c r="B7" s="16" t="s">
        <v>19491</v>
      </c>
      <c r="C7" s="16" t="e">
        <f>VLOOKUP(Table1[[#This Row],[Node]],Parent!A:B,2,0)</f>
        <v>#N/A</v>
      </c>
      <c r="D7" s="25" t="s">
        <v>19346</v>
      </c>
      <c r="E7" s="23" t="s">
        <v>16515</v>
      </c>
      <c r="F7" s="18"/>
      <c r="G7" s="18"/>
      <c r="H7" s="18"/>
      <c r="I7" s="18"/>
      <c r="J7" s="18"/>
      <c r="K7" s="18"/>
      <c r="L7" s="18"/>
      <c r="M7" s="18"/>
      <c r="N7" s="18"/>
      <c r="O7" s="18"/>
      <c r="P7" s="17"/>
      <c r="Q7" s="17"/>
      <c r="R7" s="17"/>
      <c r="S7" s="17"/>
      <c r="T7" s="13" t="str">
        <f>LOOKUP(1,1/(Table1[[#This Row],[Level_0]:[Level 15]]&gt;0),(Table1[[#This Row],[Level_0]:[Level 15]]))</f>
        <v>190340 - [Other Intercompany Expenses (non-MGF)]</v>
      </c>
      <c r="U7" s="22">
        <v>2</v>
      </c>
      <c r="W7" s="13" t="str">
        <f>LOOKUP(1,1/(Table1[[#This Row],[Level_0]:[Level 15]]&gt;0),(Table1[[#This Row],[Level_0]:[Level 15]]))</f>
        <v>190340 - [Other Intercompany Expenses (non-MGF)]</v>
      </c>
      <c r="Z7">
        <f t="shared" ref="Z7" si="1">LEN(W7)</f>
        <v>48</v>
      </c>
    </row>
    <row r="8" spans="1:32" hidden="1" x14ac:dyDescent="0.25">
      <c r="A8">
        <v>7040000001</v>
      </c>
      <c r="B8" s="16" t="s">
        <v>20651</v>
      </c>
      <c r="C8" s="16" t="e">
        <f>VLOOKUP(Table1[[#This Row],[Node]],Parent!A:B,2,0)</f>
        <v>#N/A</v>
      </c>
      <c r="D8" s="25" t="s">
        <v>19346</v>
      </c>
      <c r="E8" s="23" t="s">
        <v>16515</v>
      </c>
      <c r="F8" s="27" t="s">
        <v>16516</v>
      </c>
      <c r="G8" s="27"/>
      <c r="H8" s="27"/>
      <c r="I8" s="27"/>
      <c r="J8" s="27"/>
      <c r="K8" s="27"/>
      <c r="L8" s="27"/>
      <c r="N8" s="27"/>
      <c r="T8" s="16" t="str">
        <f>LOOKUP(1,1/(Table1[[#This Row],[Level_0]:[Level 15]]&gt;0),(Table1[[#This Row],[Level_0]:[Level 15]]))</f>
        <v>7040000001 - [SOM Intercompany Charge Local Function]</v>
      </c>
      <c r="U8" s="22">
        <v>3</v>
      </c>
      <c r="W8" s="13" t="str">
        <f>LOOKUP(1,1/(Table1[[#This Row],[Level_0]:[Level 15]]&gt;0),(Table1[[#This Row],[Level_0]:[Level 15]]))</f>
        <v>7040000001 - [SOM Intercompany Charge Local Function]</v>
      </c>
    </row>
    <row r="9" spans="1:32" hidden="1" x14ac:dyDescent="0.25">
      <c r="A9">
        <v>5769910000</v>
      </c>
      <c r="B9" s="16" t="s">
        <v>20447</v>
      </c>
      <c r="C9" s="16" t="e">
        <f>VLOOKUP(Table1[[#This Row],[Node]],Parent!A:B,2,0)</f>
        <v>#N/A</v>
      </c>
      <c r="D9" s="25" t="s">
        <v>19346</v>
      </c>
      <c r="E9" s="26" t="s">
        <v>16515</v>
      </c>
      <c r="F9" s="27" t="s">
        <v>16517</v>
      </c>
      <c r="G9" s="27"/>
      <c r="H9" s="27"/>
      <c r="I9" s="27"/>
      <c r="J9" s="27"/>
      <c r="K9" s="27"/>
      <c r="L9" s="27"/>
      <c r="N9" s="27"/>
      <c r="T9" s="28" t="str">
        <f>LOOKUP(1,1/(Table1[[#This Row],[Level_0]:[Level 15]]&gt;0),(Table1[[#This Row],[Level_0]:[Level 15]]))</f>
        <v>5769910000 - [Special Reimbursement Expenses - IC]</v>
      </c>
      <c r="U9" s="22">
        <v>4</v>
      </c>
      <c r="W9" s="13" t="str">
        <f>LOOKUP(1,1/(Table1[[#This Row],[Level_0]:[Level 15]]&gt;0),(Table1[[#This Row],[Level_0]:[Level 15]]))</f>
        <v>5769910000 - [Special Reimbursement Expenses - IC]</v>
      </c>
    </row>
    <row r="10" spans="1:32" hidden="1" x14ac:dyDescent="0.25">
      <c r="A10">
        <v>5769902000</v>
      </c>
      <c r="B10" s="16" t="s">
        <v>20446</v>
      </c>
      <c r="C10" s="16" t="e">
        <f>VLOOKUP(Table1[[#This Row],[Node]],Parent!A:B,2,0)</f>
        <v>#N/A</v>
      </c>
      <c r="D10" s="25" t="s">
        <v>19346</v>
      </c>
      <c r="E10" s="26" t="s">
        <v>16515</v>
      </c>
      <c r="F10" s="27" t="s">
        <v>16518</v>
      </c>
      <c r="G10" s="27"/>
      <c r="H10" s="27"/>
      <c r="I10" s="27"/>
      <c r="J10" s="27"/>
      <c r="K10" s="27"/>
      <c r="L10" s="27"/>
      <c r="N10" s="27"/>
      <c r="T10" s="28" t="str">
        <f>LOOKUP(1,1/(Table1[[#This Row],[Level_0]:[Level 15]]&gt;0),(Table1[[#This Row],[Level_0]:[Level 15]]))</f>
        <v>5769902000 - [IC Cross-Charging - Reimb Exp - SIAL]</v>
      </c>
      <c r="U10" s="22">
        <v>5</v>
      </c>
      <c r="W10" s="13" t="str">
        <f>LOOKUP(1,1/(Table1[[#This Row],[Level_0]:[Level 15]]&gt;0),(Table1[[#This Row],[Level_0]:[Level 15]]))</f>
        <v>5769902000 - [IC Cross-Charging - Reimb Exp - SIAL]</v>
      </c>
    </row>
    <row r="11" spans="1:32" hidden="1" x14ac:dyDescent="0.25">
      <c r="A11">
        <v>5764510000</v>
      </c>
      <c r="B11" s="16" t="s">
        <v>20445</v>
      </c>
      <c r="C11" s="16" t="e">
        <f>VLOOKUP(Table1[[#This Row],[Node]],Parent!A:B,2,0)</f>
        <v>#N/A</v>
      </c>
      <c r="D11" s="25" t="s">
        <v>19346</v>
      </c>
      <c r="E11" s="26" t="s">
        <v>16515</v>
      </c>
      <c r="F11" s="27" t="s">
        <v>16519</v>
      </c>
      <c r="G11" s="27"/>
      <c r="H11" s="27"/>
      <c r="I11" s="27"/>
      <c r="J11" s="27"/>
      <c r="K11" s="27"/>
      <c r="L11" s="27"/>
      <c r="N11" s="27"/>
      <c r="T11" s="28" t="str">
        <f>LOOKUP(1,1/(Table1[[#This Row],[Level_0]:[Level 15]]&gt;0),(Table1[[#This Row],[Level_0]:[Level 15]]))</f>
        <v>5764510000 - [IC Expenses - Miscellaneous Others]</v>
      </c>
      <c r="U11" s="22">
        <v>6</v>
      </c>
      <c r="W11" s="13" t="str">
        <f>LOOKUP(1,1/(Table1[[#This Row],[Level_0]:[Level 15]]&gt;0),(Table1[[#This Row],[Level_0]:[Level 15]]))</f>
        <v>5764510000 - [IC Expenses - Miscellaneous Others]</v>
      </c>
    </row>
    <row r="12" spans="1:32" hidden="1" x14ac:dyDescent="0.25">
      <c r="A12">
        <v>5753916000</v>
      </c>
      <c r="B12" s="16" t="s">
        <v>20436</v>
      </c>
      <c r="C12" s="16" t="e">
        <f>VLOOKUP(Table1[[#This Row],[Node]],Parent!A:B,2,0)</f>
        <v>#N/A</v>
      </c>
      <c r="D12" s="25" t="s">
        <v>19346</v>
      </c>
      <c r="E12" s="26" t="s">
        <v>16515</v>
      </c>
      <c r="F12" s="27" t="s">
        <v>16520</v>
      </c>
      <c r="G12" s="27"/>
      <c r="H12" s="27"/>
      <c r="I12" s="27"/>
      <c r="J12" s="27"/>
      <c r="K12" s="27"/>
      <c r="L12" s="27"/>
      <c r="N12" s="27"/>
      <c r="T12" s="28" t="str">
        <f>LOOKUP(1,1/(Table1[[#This Row],[Level_0]:[Level 15]]&gt;0),(Table1[[#This Row],[Level_0]:[Level 15]]))</f>
        <v>5753916000 - [IC Expenses - Admin - Manual - CorrAcc]</v>
      </c>
      <c r="U12" s="22">
        <v>7</v>
      </c>
      <c r="W12" s="13" t="str">
        <f>LOOKUP(1,1/(Table1[[#This Row],[Level_0]:[Level 15]]&gt;0),(Table1[[#This Row],[Level_0]:[Level 15]]))</f>
        <v>5753916000 - [IC Expenses - Admin - Manual - CorrAcc]</v>
      </c>
    </row>
    <row r="13" spans="1:32" hidden="1" x14ac:dyDescent="0.25">
      <c r="A13">
        <v>5752310000</v>
      </c>
      <c r="B13" s="16" t="s">
        <v>20431</v>
      </c>
      <c r="C13" s="16" t="e">
        <f>VLOOKUP(Table1[[#This Row],[Node]],Parent!A:B,2,0)</f>
        <v>#N/A</v>
      </c>
      <c r="D13" s="25" t="s">
        <v>19346</v>
      </c>
      <c r="E13" s="26" t="s">
        <v>16515</v>
      </c>
      <c r="F13" s="27" t="s">
        <v>16521</v>
      </c>
      <c r="G13" s="27"/>
      <c r="H13" s="27"/>
      <c r="I13" s="27"/>
      <c r="J13" s="27"/>
      <c r="K13" s="27"/>
      <c r="L13" s="27"/>
      <c r="N13" s="27"/>
      <c r="T13" s="28" t="str">
        <f>LOOKUP(1,1/(Table1[[#This Row],[Level_0]:[Level 15]]&gt;0),(Table1[[#This Row],[Level_0]:[Level 15]]))</f>
        <v>5752310000 - [IC Expenses - MD Activities]</v>
      </c>
      <c r="U13" s="22">
        <v>8</v>
      </c>
      <c r="W13" s="13" t="str">
        <f>LOOKUP(1,1/(Table1[[#This Row],[Level_0]:[Level 15]]&gt;0),(Table1[[#This Row],[Level_0]:[Level 15]]))</f>
        <v>5752310000 - [IC Expenses - MD Activities]</v>
      </c>
    </row>
    <row r="14" spans="1:32" hidden="1" x14ac:dyDescent="0.25">
      <c r="A14">
        <v>5201110000</v>
      </c>
      <c r="B14" s="16" t="s">
        <v>20098</v>
      </c>
      <c r="C14" s="16" t="e">
        <f>VLOOKUP(Table1[[#This Row],[Node]],Parent!A:B,2,0)</f>
        <v>#N/A</v>
      </c>
      <c r="D14" s="25" t="s">
        <v>19346</v>
      </c>
      <c r="E14" s="26" t="s">
        <v>16515</v>
      </c>
      <c r="F14" s="27" t="s">
        <v>16522</v>
      </c>
      <c r="G14" s="27"/>
      <c r="H14" s="27"/>
      <c r="I14" s="27"/>
      <c r="J14" s="27"/>
      <c r="K14" s="27"/>
      <c r="L14" s="27"/>
      <c r="N14" s="27"/>
      <c r="T14" s="28" t="str">
        <f>LOOKUP(1,1/(Table1[[#This Row],[Level_0]:[Level 15]]&gt;0),(Table1[[#This Row],[Level_0]:[Level 15]]))</f>
        <v>5201110000 - [IC Expenses - TechOps Related Services]</v>
      </c>
      <c r="U14" s="22">
        <v>9</v>
      </c>
      <c r="W14" s="13" t="str">
        <f>LOOKUP(1,1/(Table1[[#This Row],[Level_0]:[Level 15]]&gt;0),(Table1[[#This Row],[Level_0]:[Level 15]]))</f>
        <v>5201110000 - [IC Expenses - TechOps Related Services]</v>
      </c>
    </row>
    <row r="15" spans="1:32" hidden="1" x14ac:dyDescent="0.25">
      <c r="A15">
        <v>5754710000</v>
      </c>
      <c r="B15" s="16" t="s">
        <v>20443</v>
      </c>
      <c r="C15" s="16" t="e">
        <f>VLOOKUP(Table1[[#This Row],[Node]],Parent!A:B,2,0)</f>
        <v>#N/A</v>
      </c>
      <c r="D15" s="25" t="s">
        <v>19346</v>
      </c>
      <c r="E15" s="26" t="s">
        <v>16515</v>
      </c>
      <c r="F15" s="27" t="s">
        <v>16523</v>
      </c>
      <c r="G15" s="27"/>
      <c r="H15" s="27"/>
      <c r="I15" s="27"/>
      <c r="J15" s="27"/>
      <c r="K15" s="27"/>
      <c r="L15" s="27"/>
      <c r="N15" s="27"/>
      <c r="T15" s="28" t="str">
        <f>LOOKUP(1,1/(Table1[[#This Row],[Level_0]:[Level 15]]&gt;0),(Table1[[#This Row],[Level_0]:[Level 15]]))</f>
        <v>5754710000 - [IC Exp - Site Services]</v>
      </c>
      <c r="U15" s="22">
        <v>10</v>
      </c>
      <c r="W15" s="13" t="str">
        <f>LOOKUP(1,1/(Table1[[#This Row],[Level_0]:[Level 15]]&gt;0),(Table1[[#This Row],[Level_0]:[Level 15]]))</f>
        <v>5754710000 - [IC Exp - Site Services]</v>
      </c>
    </row>
    <row r="16" spans="1:32" hidden="1" x14ac:dyDescent="0.25">
      <c r="A16">
        <v>190330</v>
      </c>
      <c r="B16" s="16" t="s">
        <v>19490</v>
      </c>
      <c r="C16" s="16" t="e">
        <f>VLOOKUP(Table1[[#This Row],[Node]],Parent!A:B,2,0)</f>
        <v>#N/A</v>
      </c>
      <c r="D16" s="25" t="s">
        <v>19346</v>
      </c>
      <c r="E16" s="26" t="s">
        <v>16524</v>
      </c>
      <c r="F16" s="27"/>
      <c r="G16" s="27"/>
      <c r="H16" s="27"/>
      <c r="I16" s="27"/>
      <c r="J16" s="27"/>
      <c r="K16" s="27"/>
      <c r="L16" s="27"/>
      <c r="N16" s="27"/>
      <c r="T16" s="28" t="str">
        <f>LOOKUP(1,1/(Table1[[#This Row],[Level_0]:[Level 15]]&gt;0),(Table1[[#This Row],[Level_0]:[Level 15]]))</f>
        <v>190330 - [Other Intercompany Income (non-MGF)]</v>
      </c>
      <c r="U16" s="22">
        <v>11</v>
      </c>
      <c r="W16" s="13" t="str">
        <f>LOOKUP(1,1/(Table1[[#This Row],[Level_0]:[Level 15]]&gt;0),(Table1[[#This Row],[Level_0]:[Level 15]]))</f>
        <v>190330 - [Other Intercompany Income (non-MGF)]</v>
      </c>
    </row>
    <row r="17" spans="1:23" hidden="1" x14ac:dyDescent="0.25">
      <c r="A17">
        <v>7600304235</v>
      </c>
      <c r="B17" s="16" t="s">
        <v>21426</v>
      </c>
      <c r="C17" s="16" t="e">
        <f>VLOOKUP(Table1[[#This Row],[Node]],Parent!A:B,2,0)</f>
        <v>#N/A</v>
      </c>
      <c r="D17" s="25" t="s">
        <v>19346</v>
      </c>
      <c r="E17" s="26" t="s">
        <v>16524</v>
      </c>
      <c r="F17" s="27" t="s">
        <v>16525</v>
      </c>
      <c r="G17" s="27"/>
      <c r="H17" s="27"/>
      <c r="I17" s="27"/>
      <c r="J17" s="27"/>
      <c r="K17" s="27"/>
      <c r="L17" s="27"/>
      <c r="N17" s="27"/>
      <c r="T17" s="28" t="str">
        <f>LOOKUP(1,1/(Table1[[#This Row],[Level_0]:[Level 15]]&gt;0),(Table1[[#This Row],[Level_0]:[Level 15]]))</f>
        <v>7600304235 - [DAA_IC Exp - SMS - Contractor Mgt S]</v>
      </c>
      <c r="U17" s="22">
        <v>12</v>
      </c>
      <c r="W17" s="13" t="str">
        <f>LOOKUP(1,1/(Table1[[#This Row],[Level_0]:[Level 15]]&gt;0),(Table1[[#This Row],[Level_0]:[Level 15]]))</f>
        <v>7600304235 - [DAA_IC Exp - SMS - Contractor Mgt S]</v>
      </c>
    </row>
    <row r="18" spans="1:23" hidden="1" x14ac:dyDescent="0.25">
      <c r="A18">
        <v>7560000001</v>
      </c>
      <c r="B18" s="16" t="s">
        <v>21042</v>
      </c>
      <c r="C18" s="16" t="e">
        <f>VLOOKUP(Table1[[#This Row],[Node]],Parent!A:B,2,0)</f>
        <v>#N/A</v>
      </c>
      <c r="D18" s="25" t="s">
        <v>19346</v>
      </c>
      <c r="E18" s="26" t="s">
        <v>16524</v>
      </c>
      <c r="F18" s="27" t="s">
        <v>16526</v>
      </c>
      <c r="G18" s="27"/>
      <c r="H18" s="27"/>
      <c r="I18" s="27"/>
      <c r="J18" s="27"/>
      <c r="K18" s="27"/>
      <c r="L18" s="27"/>
      <c r="N18" s="27"/>
      <c r="T18" s="28" t="str">
        <f>LOOKUP(1,1/(Table1[[#This Row],[Level_0]:[Level 15]]&gt;0),(Table1[[#This Row],[Level_0]:[Level 15]]))</f>
        <v>7560000001 - [AOM IC Other Miscellaneous Expenses]</v>
      </c>
      <c r="U18" s="22">
        <v>13</v>
      </c>
      <c r="W18" s="13" t="str">
        <f>LOOKUP(1,1/(Table1[[#This Row],[Level_0]:[Level 15]]&gt;0),(Table1[[#This Row],[Level_0]:[Level 15]]))</f>
        <v>7560000001 - [AOM IC Other Miscellaneous Expenses]</v>
      </c>
    </row>
    <row r="19" spans="1:23" hidden="1" x14ac:dyDescent="0.25">
      <c r="A19">
        <v>7320230002</v>
      </c>
      <c r="B19" s="16" t="s">
        <v>20896</v>
      </c>
      <c r="C19" s="16" t="e">
        <f>VLOOKUP(Table1[[#This Row],[Node]],Parent!A:B,2,0)</f>
        <v>#N/A</v>
      </c>
      <c r="D19" s="25" t="s">
        <v>19346</v>
      </c>
      <c r="E19" s="26" t="s">
        <v>16524</v>
      </c>
      <c r="F19" s="27" t="s">
        <v>16527</v>
      </c>
      <c r="G19" s="27"/>
      <c r="H19" s="27"/>
      <c r="I19" s="27"/>
      <c r="J19" s="27"/>
      <c r="K19" s="27"/>
      <c r="L19" s="27"/>
      <c r="N19" s="27"/>
      <c r="T19" s="28" t="str">
        <f>LOOKUP(1,1/(Table1[[#This Row],[Level_0]:[Level 15]]&gt;0),(Table1[[#This Row],[Level_0]:[Level 15]]))</f>
        <v>7320230002 - [AOM Intercompany charge Tech Ops]</v>
      </c>
      <c r="U19" s="22">
        <v>14</v>
      </c>
      <c r="W19" s="13" t="str">
        <f>LOOKUP(1,1/(Table1[[#This Row],[Level_0]:[Level 15]]&gt;0),(Table1[[#This Row],[Level_0]:[Level 15]]))</f>
        <v>7320230002 - [AOM Intercompany charge Tech Ops]</v>
      </c>
    </row>
    <row r="20" spans="1:23" hidden="1" x14ac:dyDescent="0.25">
      <c r="A20">
        <v>7220000009</v>
      </c>
      <c r="B20" s="16" t="s">
        <v>20710</v>
      </c>
      <c r="C20" s="16" t="e">
        <f>VLOOKUP(Table1[[#This Row],[Node]],Parent!A:B,2,0)</f>
        <v>#N/A</v>
      </c>
      <c r="D20" s="25" t="s">
        <v>19346</v>
      </c>
      <c r="E20" s="26" t="s">
        <v>16524</v>
      </c>
      <c r="F20" s="27" t="s">
        <v>16528</v>
      </c>
      <c r="G20" s="27"/>
      <c r="H20" s="27"/>
      <c r="I20" s="27"/>
      <c r="J20" s="27"/>
      <c r="K20" s="27"/>
      <c r="L20" s="27"/>
      <c r="N20" s="27"/>
      <c r="T20" s="28" t="str">
        <f>LOOKUP(1,1/(Table1[[#This Row],[Level_0]:[Level 15]]&gt;0),(Table1[[#This Row],[Level_0]:[Level 15]]))</f>
        <v>7220000009 - [AOM Patent and scientific IS]</v>
      </c>
      <c r="U20" s="22">
        <v>15</v>
      </c>
      <c r="W20" s="13" t="str">
        <f>LOOKUP(1,1/(Table1[[#This Row],[Level_0]:[Level 15]]&gt;0),(Table1[[#This Row],[Level_0]:[Level 15]]))</f>
        <v>7220000009 - [AOM Patent and scientific IS]</v>
      </c>
    </row>
    <row r="21" spans="1:23" hidden="1" x14ac:dyDescent="0.25">
      <c r="A21">
        <v>7220000008</v>
      </c>
      <c r="B21" s="16" t="s">
        <v>20709</v>
      </c>
      <c r="C21" s="16" t="e">
        <f>VLOOKUP(Table1[[#This Row],[Node]],Parent!A:B,2,0)</f>
        <v>#N/A</v>
      </c>
      <c r="D21" s="25" t="s">
        <v>19346</v>
      </c>
      <c r="E21" s="26" t="s">
        <v>16524</v>
      </c>
      <c r="F21" s="27" t="s">
        <v>16529</v>
      </c>
      <c r="G21" s="27"/>
      <c r="H21" s="27"/>
      <c r="I21" s="27"/>
      <c r="J21" s="27"/>
      <c r="K21" s="27"/>
      <c r="L21" s="27"/>
      <c r="N21" s="27"/>
      <c r="T21" s="28" t="str">
        <f>LOOKUP(1,1/(Table1[[#This Row],[Level_0]:[Level 15]]&gt;0),(Table1[[#This Row],[Level_0]:[Level 15]]))</f>
        <v>7220000008 - [AOM MD activities]</v>
      </c>
      <c r="U21" s="22">
        <v>16</v>
      </c>
      <c r="W21" s="13" t="str">
        <f>LOOKUP(1,1/(Table1[[#This Row],[Level_0]:[Level 15]]&gt;0),(Table1[[#This Row],[Level_0]:[Level 15]]))</f>
        <v>7220000008 - [AOM MD activities]</v>
      </c>
    </row>
    <row r="22" spans="1:23" hidden="1" x14ac:dyDescent="0.25">
      <c r="A22">
        <v>7040000002</v>
      </c>
      <c r="B22" s="16" t="s">
        <v>20652</v>
      </c>
      <c r="C22" s="16" t="e">
        <f>VLOOKUP(Table1[[#This Row],[Node]],Parent!A:B,2,0)</f>
        <v>#N/A</v>
      </c>
      <c r="D22" s="25" t="s">
        <v>19346</v>
      </c>
      <c r="E22" s="26" t="s">
        <v>16524</v>
      </c>
      <c r="F22" s="27" t="s">
        <v>16530</v>
      </c>
      <c r="G22" s="27"/>
      <c r="H22" s="27"/>
      <c r="I22" s="27"/>
      <c r="J22" s="27"/>
      <c r="K22" s="27"/>
      <c r="L22" s="27"/>
      <c r="N22" s="27"/>
      <c r="T22" s="28" t="str">
        <f>LOOKUP(1,1/(Table1[[#This Row],[Level_0]:[Level 15]]&gt;0),(Table1[[#This Row],[Level_0]:[Level 15]]))</f>
        <v>7040000002 - [SOM Intercomp. Charge Management &amp; Oth.]</v>
      </c>
      <c r="U22" s="22">
        <v>17</v>
      </c>
      <c r="W22" s="13" t="str">
        <f>LOOKUP(1,1/(Table1[[#This Row],[Level_0]:[Level 15]]&gt;0),(Table1[[#This Row],[Level_0]:[Level 15]]))</f>
        <v>7040000002 - [SOM Intercomp. Charge Management &amp; Oth.]</v>
      </c>
    </row>
    <row r="23" spans="1:23" hidden="1" x14ac:dyDescent="0.25">
      <c r="A23">
        <v>7020000003</v>
      </c>
      <c r="B23" s="16" t="s">
        <v>20642</v>
      </c>
      <c r="C23" s="16" t="e">
        <f>VLOOKUP(Table1[[#This Row],[Node]],Parent!A:B,2,0)</f>
        <v>#N/A</v>
      </c>
      <c r="D23" s="25" t="s">
        <v>19346</v>
      </c>
      <c r="E23" s="26" t="s">
        <v>16524</v>
      </c>
      <c r="F23" s="27" t="s">
        <v>16531</v>
      </c>
      <c r="G23" s="27"/>
      <c r="H23" s="27"/>
      <c r="I23" s="27"/>
      <c r="J23" s="27"/>
      <c r="K23" s="27"/>
      <c r="L23" s="27"/>
      <c r="N23" s="27"/>
      <c r="T23" s="28" t="str">
        <f>LOOKUP(1,1/(Table1[[#This Row],[Level_0]:[Level 15]]&gt;0),(Table1[[#This Row],[Level_0]:[Level 15]]))</f>
        <v>7020000003 - [AOM General Affairs Charge Loc. Function]</v>
      </c>
      <c r="U23" s="22">
        <v>18</v>
      </c>
      <c r="W23" s="13" t="str">
        <f>LOOKUP(1,1/(Table1[[#This Row],[Level_0]:[Level 15]]&gt;0),(Table1[[#This Row],[Level_0]:[Level 15]]))</f>
        <v>7020000003 - [AOM General Affairs Charge Loc. Function]</v>
      </c>
    </row>
    <row r="24" spans="1:23" hidden="1" x14ac:dyDescent="0.25">
      <c r="A24">
        <v>5984110000</v>
      </c>
      <c r="B24" s="16" t="s">
        <v>20636</v>
      </c>
      <c r="C24" s="16" t="e">
        <f>VLOOKUP(Table1[[#This Row],[Node]],Parent!A:B,2,0)</f>
        <v>#N/A</v>
      </c>
      <c r="D24" s="25" t="s">
        <v>19346</v>
      </c>
      <c r="E24" s="26" t="s">
        <v>16524</v>
      </c>
      <c r="F24" s="27" t="s">
        <v>16532</v>
      </c>
      <c r="G24" s="27"/>
      <c r="H24" s="27"/>
      <c r="I24" s="27"/>
      <c r="J24" s="27"/>
      <c r="K24" s="27"/>
      <c r="L24" s="27"/>
      <c r="N24" s="27"/>
      <c r="T24" s="28" t="str">
        <f>LOOKUP(1,1/(Table1[[#This Row],[Level_0]:[Level 15]]&gt;0),(Table1[[#This Row],[Level_0]:[Level 15]]))</f>
        <v>5984110000 - [Reimbursement IC - Other Administration]</v>
      </c>
      <c r="U24" s="22">
        <v>19</v>
      </c>
      <c r="W24" s="13" t="str">
        <f>LOOKUP(1,1/(Table1[[#This Row],[Level_0]:[Level 15]]&gt;0),(Table1[[#This Row],[Level_0]:[Level 15]]))</f>
        <v>5984110000 - [Reimbursement IC - Other Administration]</v>
      </c>
    </row>
    <row r="25" spans="1:23" hidden="1" x14ac:dyDescent="0.25">
      <c r="A25">
        <v>5981410000</v>
      </c>
      <c r="B25" s="16" t="s">
        <v>20622</v>
      </c>
      <c r="C25" s="16" t="e">
        <f>VLOOKUP(Table1[[#This Row],[Node]],Parent!A:B,2,0)</f>
        <v>#N/A</v>
      </c>
      <c r="D25" s="25" t="s">
        <v>19346</v>
      </c>
      <c r="E25" s="26" t="s">
        <v>16524</v>
      </c>
      <c r="F25" s="27" t="s">
        <v>16533</v>
      </c>
      <c r="G25" s="27"/>
      <c r="H25" s="27"/>
      <c r="I25" s="27"/>
      <c r="J25" s="27"/>
      <c r="K25" s="27"/>
      <c r="L25" s="27"/>
      <c r="N25" s="27"/>
      <c r="T25" s="28" t="str">
        <f>LOOKUP(1,1/(Table1[[#This Row],[Level_0]:[Level 15]]&gt;0),(Table1[[#This Row],[Level_0]:[Level 15]]))</f>
        <v>5981410000 - [Reimbursement IC - Other Miscellaneous]</v>
      </c>
      <c r="U25" s="22">
        <v>20</v>
      </c>
      <c r="W25" s="13" t="str">
        <f>LOOKUP(1,1/(Table1[[#This Row],[Level_0]:[Level 15]]&gt;0),(Table1[[#This Row],[Level_0]:[Level 15]]))</f>
        <v>5981410000 - [Reimbursement IC - Other Miscellaneous]</v>
      </c>
    </row>
    <row r="26" spans="1:23" hidden="1" x14ac:dyDescent="0.25">
      <c r="A26">
        <v>5980910000</v>
      </c>
      <c r="B26" s="16" t="s">
        <v>20617</v>
      </c>
      <c r="C26" s="16" t="e">
        <f>VLOOKUP(Table1[[#This Row],[Node]],Parent!A:B,2,0)</f>
        <v>#N/A</v>
      </c>
      <c r="D26" s="25" t="s">
        <v>19346</v>
      </c>
      <c r="E26" s="26" t="s">
        <v>16524</v>
      </c>
      <c r="F26" s="27" t="s">
        <v>16534</v>
      </c>
      <c r="G26" s="27"/>
      <c r="H26" s="27"/>
      <c r="I26" s="27"/>
      <c r="J26" s="27"/>
      <c r="K26" s="27"/>
      <c r="L26" s="27"/>
      <c r="N26" s="27"/>
      <c r="T26" s="28" t="str">
        <f>LOOKUP(1,1/(Table1[[#This Row],[Level_0]:[Level 15]]&gt;0),(Table1[[#This Row],[Level_0]:[Level 15]]))</f>
        <v>5980910000 - [Reimbursement IC - Pat&amp;Scien Inform Serv]</v>
      </c>
      <c r="U26" s="22">
        <v>21</v>
      </c>
      <c r="W26" s="13" t="str">
        <f>LOOKUP(1,1/(Table1[[#This Row],[Level_0]:[Level 15]]&gt;0),(Table1[[#This Row],[Level_0]:[Level 15]]))</f>
        <v>5980910000 - [Reimbursement IC - Pat&amp;Scien Inform Serv]</v>
      </c>
    </row>
    <row r="27" spans="1:23" hidden="1" x14ac:dyDescent="0.25">
      <c r="A27">
        <v>5980310000</v>
      </c>
      <c r="B27" s="16" t="s">
        <v>20612</v>
      </c>
      <c r="C27" s="16" t="e">
        <f>VLOOKUP(Table1[[#This Row],[Node]],Parent!A:B,2,0)</f>
        <v>#N/A</v>
      </c>
      <c r="D27" s="25" t="s">
        <v>19346</v>
      </c>
      <c r="E27" s="26" t="s">
        <v>16524</v>
      </c>
      <c r="F27" s="27" t="s">
        <v>16535</v>
      </c>
      <c r="G27" s="27"/>
      <c r="H27" s="27"/>
      <c r="I27" s="27"/>
      <c r="J27" s="27"/>
      <c r="K27" s="27"/>
      <c r="L27" s="27"/>
      <c r="N27" s="27"/>
      <c r="T27" s="28" t="str">
        <f>LOOKUP(1,1/(Table1[[#This Row],[Level_0]:[Level 15]]&gt;0),(Table1[[#This Row],[Level_0]:[Level 15]]))</f>
        <v>5980310000 - [Reimbursement IC - Logistics Services]</v>
      </c>
      <c r="U27" s="22">
        <v>22</v>
      </c>
      <c r="W27" s="13" t="str">
        <f>LOOKUP(1,1/(Table1[[#This Row],[Level_0]:[Level 15]]&gt;0),(Table1[[#This Row],[Level_0]:[Level 15]]))</f>
        <v>5980310000 - [Reimbursement IC - Logistics Services]</v>
      </c>
    </row>
    <row r="28" spans="1:23" hidden="1" x14ac:dyDescent="0.25">
      <c r="A28">
        <v>5980010000</v>
      </c>
      <c r="B28" s="16" t="s">
        <v>20609</v>
      </c>
      <c r="C28" s="16" t="e">
        <f>VLOOKUP(Table1[[#This Row],[Node]],Parent!A:B,2,0)</f>
        <v>#N/A</v>
      </c>
      <c r="D28" s="25" t="s">
        <v>19346</v>
      </c>
      <c r="E28" s="26" t="s">
        <v>16524</v>
      </c>
      <c r="F28" s="27" t="s">
        <v>16536</v>
      </c>
      <c r="G28" s="27"/>
      <c r="H28" s="27"/>
      <c r="I28" s="27"/>
      <c r="J28" s="27"/>
      <c r="K28" s="27"/>
      <c r="L28" s="27"/>
      <c r="N28" s="27"/>
      <c r="T28" s="28" t="str">
        <f>LOOKUP(1,1/(Table1[[#This Row],[Level_0]:[Level 15]]&gt;0),(Table1[[#This Row],[Level_0]:[Level 15]]))</f>
        <v>5980010000 - [Reimbursement IC - Field Force]</v>
      </c>
      <c r="U28" s="22">
        <v>23</v>
      </c>
      <c r="W28" s="13" t="str">
        <f>LOOKUP(1,1/(Table1[[#This Row],[Level_0]:[Level 15]]&gt;0),(Table1[[#This Row],[Level_0]:[Level 15]]))</f>
        <v>5980010000 - [Reimbursement IC - Field Force]</v>
      </c>
    </row>
    <row r="29" spans="1:23" hidden="1" x14ac:dyDescent="0.25">
      <c r="A29">
        <v>5963510000</v>
      </c>
      <c r="B29" s="16" t="s">
        <v>20601</v>
      </c>
      <c r="C29" s="16" t="e">
        <f>VLOOKUP(Table1[[#This Row],[Node]],Parent!A:B,2,0)</f>
        <v>#N/A</v>
      </c>
      <c r="D29" s="25" t="s">
        <v>19346</v>
      </c>
      <c r="E29" s="26" t="s">
        <v>16524</v>
      </c>
      <c r="F29" s="27" t="s">
        <v>16537</v>
      </c>
      <c r="G29" s="27"/>
      <c r="H29" s="27"/>
      <c r="I29" s="27"/>
      <c r="J29" s="27"/>
      <c r="K29" s="27"/>
      <c r="L29" s="27"/>
      <c r="N29" s="27"/>
      <c r="T29" s="28" t="str">
        <f>LOOKUP(1,1/(Table1[[#This Row],[Level_0]:[Level 15]]&gt;0),(Table1[[#This Row],[Level_0]:[Level 15]]))</f>
        <v>5963510000 - [IC Expenses - Non-Operating TP Compensat]</v>
      </c>
      <c r="U29" s="22">
        <v>24</v>
      </c>
      <c r="W29" s="13" t="str">
        <f>LOOKUP(1,1/(Table1[[#This Row],[Level_0]:[Level 15]]&gt;0),(Table1[[#This Row],[Level_0]:[Level 15]]))</f>
        <v>5963510000 - [IC Expenses - Non-Operating TP Compensat]</v>
      </c>
    </row>
    <row r="30" spans="1:23" hidden="1" x14ac:dyDescent="0.25">
      <c r="A30">
        <v>3959910000</v>
      </c>
      <c r="B30" s="16" t="s">
        <v>19770</v>
      </c>
      <c r="C30" s="16" t="e">
        <f>VLOOKUP(Table1[[#This Row],[Node]],Parent!A:B,2,0)</f>
        <v>#N/A</v>
      </c>
      <c r="D30" s="25" t="s">
        <v>19346</v>
      </c>
      <c r="E30" s="26" t="s">
        <v>16524</v>
      </c>
      <c r="F30" s="27" t="s">
        <v>16538</v>
      </c>
      <c r="G30" s="27"/>
      <c r="H30" s="27"/>
      <c r="I30" s="27"/>
      <c r="J30" s="27"/>
      <c r="K30" s="27"/>
      <c r="L30" s="27"/>
      <c r="N30" s="27"/>
      <c r="T30" s="28" t="str">
        <f>LOOKUP(1,1/(Table1[[#This Row],[Level_0]:[Level 15]]&gt;0),(Table1[[#This Row],[Level_0]:[Level 15]]))</f>
        <v>3959910000 - [Special Reimbursement Income - IC]</v>
      </c>
      <c r="U30" s="22">
        <v>25</v>
      </c>
      <c r="W30" s="13" t="str">
        <f>LOOKUP(1,1/(Table1[[#This Row],[Level_0]:[Level 15]]&gt;0),(Table1[[#This Row],[Level_0]:[Level 15]]))</f>
        <v>3959910000 - [Special Reimbursement Income - IC]</v>
      </c>
    </row>
    <row r="31" spans="1:23" hidden="1" x14ac:dyDescent="0.25">
      <c r="A31">
        <v>3959902000</v>
      </c>
      <c r="B31" s="16" t="s">
        <v>19769</v>
      </c>
      <c r="C31" s="16" t="e">
        <f>VLOOKUP(Table1[[#This Row],[Node]],Parent!A:B,2,0)</f>
        <v>#N/A</v>
      </c>
      <c r="D31" s="25" t="s">
        <v>19346</v>
      </c>
      <c r="E31" s="26" t="s">
        <v>16524</v>
      </c>
      <c r="F31" s="27" t="s">
        <v>16539</v>
      </c>
      <c r="G31" s="27"/>
      <c r="H31" s="27"/>
      <c r="I31" s="27"/>
      <c r="J31" s="27"/>
      <c r="K31" s="27"/>
      <c r="L31" s="27"/>
      <c r="N31" s="27"/>
      <c r="T31" s="28" t="str">
        <f>LOOKUP(1,1/(Table1[[#This Row],[Level_0]:[Level 15]]&gt;0),(Table1[[#This Row],[Level_0]:[Level 15]]))</f>
        <v>3959902000 - [IC Cross-Charging - Reimb Inc - SIAL]</v>
      </c>
      <c r="U31" s="22">
        <v>26</v>
      </c>
      <c r="W31" s="13" t="str">
        <f>LOOKUP(1,1/(Table1[[#This Row],[Level_0]:[Level 15]]&gt;0),(Table1[[#This Row],[Level_0]:[Level 15]]))</f>
        <v>3959902000 - [IC Cross-Charging - Reimb Inc - SIAL]</v>
      </c>
    </row>
    <row r="32" spans="1:23" hidden="1" x14ac:dyDescent="0.25">
      <c r="A32">
        <v>3957106000</v>
      </c>
      <c r="B32" s="16" t="s">
        <v>19759</v>
      </c>
      <c r="C32" s="16" t="e">
        <f>VLOOKUP(Table1[[#This Row],[Node]],Parent!A:B,2,0)</f>
        <v>#N/A</v>
      </c>
      <c r="D32" s="25" t="s">
        <v>19346</v>
      </c>
      <c r="E32" s="26" t="s">
        <v>16524</v>
      </c>
      <c r="F32" s="27" t="s">
        <v>16540</v>
      </c>
      <c r="G32" s="27"/>
      <c r="H32" s="27"/>
      <c r="I32" s="27"/>
      <c r="J32" s="27"/>
      <c r="K32" s="27"/>
      <c r="L32" s="27"/>
      <c r="N32" s="27"/>
      <c r="T32" s="28" t="str">
        <f>LOOKUP(1,1/(Table1[[#This Row],[Level_0]:[Level 15]]&gt;0),(Table1[[#This Row],[Level_0]:[Level 15]]))</f>
        <v>3957106000 - [Oth Inc - Transfer Price Adjustments]</v>
      </c>
      <c r="U32" s="22">
        <v>27</v>
      </c>
      <c r="W32" s="13" t="str">
        <f>LOOKUP(1,1/(Table1[[#This Row],[Level_0]:[Level 15]]&gt;0),(Table1[[#This Row],[Level_0]:[Level 15]]))</f>
        <v>3957106000 - [Oth Inc - Transfer Price Adjustments]</v>
      </c>
    </row>
    <row r="33" spans="1:23" hidden="1" x14ac:dyDescent="0.25">
      <c r="A33">
        <v>3954910000</v>
      </c>
      <c r="B33" s="16" t="s">
        <v>19744</v>
      </c>
      <c r="C33" s="16" t="e">
        <f>VLOOKUP(Table1[[#This Row],[Node]],Parent!A:B,2,0)</f>
        <v>#N/A</v>
      </c>
      <c r="D33" s="25" t="s">
        <v>19346</v>
      </c>
      <c r="E33" s="26" t="s">
        <v>16524</v>
      </c>
      <c r="F33" s="27" t="s">
        <v>16541</v>
      </c>
      <c r="G33" s="27"/>
      <c r="H33" s="27"/>
      <c r="I33" s="27"/>
      <c r="J33" s="27"/>
      <c r="K33" s="27"/>
      <c r="L33" s="27"/>
      <c r="N33" s="27"/>
      <c r="T33" s="28" t="str">
        <f>LOOKUP(1,1/(Table1[[#This Row],[Level_0]:[Level 15]]&gt;0),(Table1[[#This Row],[Level_0]:[Level 15]]))</f>
        <v>3954910000 - [Rem Oth Inc IC - Logistics Serv]</v>
      </c>
      <c r="U33" s="22">
        <v>28</v>
      </c>
      <c r="W33" s="13" t="str">
        <f>LOOKUP(1,1/(Table1[[#This Row],[Level_0]:[Level 15]]&gt;0),(Table1[[#This Row],[Level_0]:[Level 15]]))</f>
        <v>3954910000 - [Rem Oth Inc IC - Logistics Serv]</v>
      </c>
    </row>
    <row r="34" spans="1:23" hidden="1" x14ac:dyDescent="0.25">
      <c r="A34">
        <v>3954810000</v>
      </c>
      <c r="B34" s="16" t="s">
        <v>19743</v>
      </c>
      <c r="C34" s="16" t="e">
        <f>VLOOKUP(Table1[[#This Row],[Node]],Parent!A:B,2,0)</f>
        <v>#N/A</v>
      </c>
      <c r="D34" s="25" t="s">
        <v>19346</v>
      </c>
      <c r="E34" s="26" t="s">
        <v>16524</v>
      </c>
      <c r="F34" s="27" t="s">
        <v>16542</v>
      </c>
      <c r="G34" s="27"/>
      <c r="H34" s="27"/>
      <c r="I34" s="27"/>
      <c r="J34" s="27"/>
      <c r="K34" s="27"/>
      <c r="L34" s="27"/>
      <c r="N34" s="27"/>
      <c r="T34" s="28" t="str">
        <f>LOOKUP(1,1/(Table1[[#This Row],[Level_0]:[Level 15]]&gt;0),(Table1[[#This Row],[Level_0]:[Level 15]]))</f>
        <v>3954810000 - [Rem Oth Inc IC - Field Force]</v>
      </c>
      <c r="U34" s="22">
        <v>29</v>
      </c>
      <c r="W34" s="13" t="str">
        <f>LOOKUP(1,1/(Table1[[#This Row],[Level_0]:[Level 15]]&gt;0),(Table1[[#This Row],[Level_0]:[Level 15]]))</f>
        <v>3954810000 - [Rem Oth Inc IC - Field Force]</v>
      </c>
    </row>
    <row r="35" spans="1:23" hidden="1" x14ac:dyDescent="0.25">
      <c r="A35">
        <v>3953710000</v>
      </c>
      <c r="B35" s="16" t="s">
        <v>19733</v>
      </c>
      <c r="C35" s="16" t="e">
        <f>VLOOKUP(Table1[[#This Row],[Node]],Parent!A:B,2,0)</f>
        <v>#N/A</v>
      </c>
      <c r="D35" s="25" t="s">
        <v>19346</v>
      </c>
      <c r="E35" s="26" t="s">
        <v>16524</v>
      </c>
      <c r="F35" s="27" t="s">
        <v>16543</v>
      </c>
      <c r="G35" s="27"/>
      <c r="H35" s="27"/>
      <c r="I35" s="27"/>
      <c r="J35" s="27"/>
      <c r="K35" s="27"/>
      <c r="L35" s="27"/>
      <c r="N35" s="27"/>
      <c r="T35" s="28" t="str">
        <f>LOOKUP(1,1/(Table1[[#This Row],[Level_0]:[Level 15]]&gt;0),(Table1[[#This Row],[Level_0]:[Level 15]]))</f>
        <v>3953710000 - [Income from Non-Core Activities - IC]</v>
      </c>
      <c r="U35" s="22">
        <v>30</v>
      </c>
      <c r="W35" s="13" t="str">
        <f>LOOKUP(1,1/(Table1[[#This Row],[Level_0]:[Level 15]]&gt;0),(Table1[[#This Row],[Level_0]:[Level 15]]))</f>
        <v>3953710000 - [Income from Non-Core Activities - IC]</v>
      </c>
    </row>
    <row r="36" spans="1:23" x14ac:dyDescent="0.25">
      <c r="A36" t="s">
        <v>19356</v>
      </c>
      <c r="B36" s="16" t="e">
        <v>#N/A</v>
      </c>
      <c r="C36" s="16" t="e">
        <f>VLOOKUP(Table1[[#This Row],[Node]],Parent!A:B,2,0)</f>
        <v>#N/A</v>
      </c>
      <c r="D36" s="25" t="s">
        <v>19346</v>
      </c>
      <c r="E36" s="26" t="s">
        <v>16544</v>
      </c>
      <c r="F36" s="27"/>
      <c r="G36" s="27"/>
      <c r="H36" s="27"/>
      <c r="I36" s="27"/>
      <c r="J36" s="27"/>
      <c r="K36" s="27"/>
      <c r="L36" s="27"/>
      <c r="N36" s="27"/>
      <c r="T36" s="28" t="str">
        <f>LOOKUP(1,1/(Table1[[#This Row],[Level_0]:[Level 15]]&gt;0),(Table1[[#This Row],[Level_0]:[Level 15]]))</f>
        <v>CES_STD - [Global Cost Element Hierarchy]</v>
      </c>
      <c r="U36" s="22">
        <v>31</v>
      </c>
      <c r="W36" s="13" t="str">
        <f>LOOKUP(1,1/(Table1[[#This Row],[Level_0]:[Level 15]]&gt;0),(Table1[[#This Row],[Level_0]:[Level 15]]))</f>
        <v>CES_STD - [Global Cost Element Hierarchy]</v>
      </c>
    </row>
    <row r="37" spans="1:23" hidden="1" x14ac:dyDescent="0.25">
      <c r="A37">
        <v>300000</v>
      </c>
      <c r="B37" s="16" t="e">
        <v>#N/A</v>
      </c>
      <c r="C37" s="16" t="e">
        <f>VLOOKUP(Table1[[#This Row],[Node]],Parent!A:B,2,0)</f>
        <v>#N/A</v>
      </c>
      <c r="D37" s="25" t="s">
        <v>19346</v>
      </c>
      <c r="E37" s="26" t="s">
        <v>16544</v>
      </c>
      <c r="F37" s="27" t="s">
        <v>16545</v>
      </c>
      <c r="G37" s="27"/>
      <c r="H37" s="27"/>
      <c r="I37" s="27"/>
      <c r="J37" s="27"/>
      <c r="K37" s="27"/>
      <c r="L37" s="27"/>
      <c r="N37" s="27"/>
      <c r="T37" s="28" t="str">
        <f>LOOKUP(1,1/(Table1[[#This Row],[Level_0]:[Level 15]]&gt;0),(Table1[[#This Row],[Level_0]:[Level 15]]))</f>
        <v>300000 - []</v>
      </c>
      <c r="U37" s="22">
        <v>32</v>
      </c>
      <c r="W37" s="13" t="str">
        <f>LOOKUP(1,1/(Table1[[#This Row],[Level_0]:[Level 15]]&gt;0),(Table1[[#This Row],[Level_0]:[Level 15]]))</f>
        <v>300000 - []</v>
      </c>
    </row>
    <row r="38" spans="1:23" hidden="1" x14ac:dyDescent="0.25">
      <c r="A38">
        <v>300100</v>
      </c>
      <c r="B38" s="16" t="e">
        <v>#N/A</v>
      </c>
      <c r="C38" s="16" t="e">
        <f>VLOOKUP(Table1[[#This Row],[Node]],Parent!A:B,2,0)</f>
        <v>#N/A</v>
      </c>
      <c r="D38" s="25" t="s">
        <v>19346</v>
      </c>
      <c r="E38" s="26" t="s">
        <v>16544</v>
      </c>
      <c r="F38" s="27" t="s">
        <v>16545</v>
      </c>
      <c r="G38" s="27" t="s">
        <v>16546</v>
      </c>
      <c r="H38" s="27"/>
      <c r="I38" s="27"/>
      <c r="J38" s="27"/>
      <c r="K38" s="27"/>
      <c r="L38" s="27"/>
      <c r="N38" s="27"/>
      <c r="T38" s="28" t="str">
        <f>LOOKUP(1,1/(Table1[[#This Row],[Level_0]:[Level 15]]&gt;0),(Table1[[#This Row],[Level_0]:[Level 15]]))</f>
        <v>300100 - []</v>
      </c>
      <c r="U38" s="22">
        <v>33</v>
      </c>
      <c r="W38" s="13" t="str">
        <f>LOOKUP(1,1/(Table1[[#This Row],[Level_0]:[Level 15]]&gt;0),(Table1[[#This Row],[Level_0]:[Level 15]]))</f>
        <v>300100 - []</v>
      </c>
    </row>
    <row r="39" spans="1:23" hidden="1" x14ac:dyDescent="0.25">
      <c r="A39">
        <v>7600304192</v>
      </c>
      <c r="B39" s="16" t="s">
        <v>21385</v>
      </c>
      <c r="C39" s="16" t="e">
        <f>VLOOKUP(Table1[[#This Row],[Node]],Parent!A:B,2,0)</f>
        <v>#N/A</v>
      </c>
      <c r="D39" s="25" t="s">
        <v>19346</v>
      </c>
      <c r="E39" s="26" t="s">
        <v>16544</v>
      </c>
      <c r="F39" s="27" t="s">
        <v>16545</v>
      </c>
      <c r="G39" s="27" t="s">
        <v>16546</v>
      </c>
      <c r="H39" s="27" t="s">
        <v>16547</v>
      </c>
      <c r="I39" s="27"/>
      <c r="J39" s="27"/>
      <c r="K39" s="27"/>
      <c r="L39" s="27"/>
      <c r="N39" s="27"/>
      <c r="T39" s="28" t="str">
        <f>LOOKUP(1,1/(Table1[[#This Row],[Level_0]:[Level 15]]&gt;0),(Table1[[#This Row],[Level_0]:[Level 15]]))</f>
        <v>7600304192 - [DAA_G75_Kran]</v>
      </c>
      <c r="U39" s="22">
        <v>34</v>
      </c>
      <c r="W39" s="13" t="str">
        <f>LOOKUP(1,1/(Table1[[#This Row],[Level_0]:[Level 15]]&gt;0),(Table1[[#This Row],[Level_0]:[Level 15]]))</f>
        <v>7600304192 - [DAA_G75_Kran]</v>
      </c>
    </row>
    <row r="40" spans="1:23" hidden="1" x14ac:dyDescent="0.25">
      <c r="A40">
        <v>5225710000</v>
      </c>
      <c r="B40" s="16" t="s">
        <v>20198</v>
      </c>
      <c r="C40" s="16" t="e">
        <f>VLOOKUP(Table1[[#This Row],[Node]],Parent!A:B,2,0)</f>
        <v>#N/A</v>
      </c>
      <c r="D40" s="25" t="s">
        <v>19346</v>
      </c>
      <c r="E40" s="26" t="s">
        <v>16544</v>
      </c>
      <c r="F40" s="27" t="s">
        <v>16545</v>
      </c>
      <c r="G40" s="27" t="s">
        <v>16546</v>
      </c>
      <c r="H40" s="27" t="s">
        <v>16548</v>
      </c>
      <c r="I40" s="27"/>
      <c r="J40" s="27"/>
      <c r="K40" s="27"/>
      <c r="L40" s="27"/>
      <c r="N40" s="27"/>
      <c r="T40" s="28" t="str">
        <f>LOOKUP(1,1/(Table1[[#This Row],[Level_0]:[Level 15]]&gt;0),(Table1[[#This Row],[Level_0]:[Level 15]]))</f>
        <v>5225710000 - [IC Exp - DIV - Materials investigation]</v>
      </c>
      <c r="U40" s="22">
        <v>35</v>
      </c>
      <c r="W40" s="13" t="str">
        <f>LOOKUP(1,1/(Table1[[#This Row],[Level_0]:[Level 15]]&gt;0),(Table1[[#This Row],[Level_0]:[Level 15]]))</f>
        <v>5225710000 - [IC Exp - DIV - Materials investigation]</v>
      </c>
    </row>
    <row r="41" spans="1:23" hidden="1" x14ac:dyDescent="0.25">
      <c r="A41">
        <v>5225610000</v>
      </c>
      <c r="B41" s="16" t="s">
        <v>20197</v>
      </c>
      <c r="C41" s="16" t="e">
        <f>VLOOKUP(Table1[[#This Row],[Node]],Parent!A:B,2,0)</f>
        <v>#N/A</v>
      </c>
      <c r="D41" s="25" t="s">
        <v>19346</v>
      </c>
      <c r="E41" s="26" t="s">
        <v>16544</v>
      </c>
      <c r="F41" s="27" t="s">
        <v>16545</v>
      </c>
      <c r="G41" s="27" t="s">
        <v>16546</v>
      </c>
      <c r="H41" s="27" t="s">
        <v>16549</v>
      </c>
      <c r="I41" s="27"/>
      <c r="J41" s="27"/>
      <c r="K41" s="27"/>
      <c r="L41" s="27"/>
      <c r="N41" s="27"/>
      <c r="T41" s="28" t="str">
        <f>LOOKUP(1,1/(Table1[[#This Row],[Level_0]:[Level 15]]&gt;0),(Table1[[#This Row],[Level_0]:[Level 15]]))</f>
        <v>5225610000 - [IC Exp - DIV - Hazard Evaluation]</v>
      </c>
      <c r="U41" s="22">
        <v>36</v>
      </c>
      <c r="W41" s="13" t="str">
        <f>LOOKUP(1,1/(Table1[[#This Row],[Level_0]:[Level 15]]&gt;0),(Table1[[#This Row],[Level_0]:[Level 15]]))</f>
        <v>5225610000 - [IC Exp - DIV - Hazard Evaluation]</v>
      </c>
    </row>
    <row r="42" spans="1:23" hidden="1" x14ac:dyDescent="0.25">
      <c r="A42">
        <v>5225310000</v>
      </c>
      <c r="B42" s="16" t="s">
        <v>20194</v>
      </c>
      <c r="C42" s="16" t="e">
        <f>VLOOKUP(Table1[[#This Row],[Node]],Parent!A:B,2,0)</f>
        <v>#N/A</v>
      </c>
      <c r="D42" s="25" t="s">
        <v>19346</v>
      </c>
      <c r="E42" s="26" t="s">
        <v>16544</v>
      </c>
      <c r="F42" s="27" t="s">
        <v>16545</v>
      </c>
      <c r="G42" s="27" t="s">
        <v>16546</v>
      </c>
      <c r="H42" s="27" t="s">
        <v>16550</v>
      </c>
      <c r="I42" s="27"/>
      <c r="J42" s="27"/>
      <c r="K42" s="27"/>
      <c r="L42" s="27"/>
      <c r="N42" s="27"/>
      <c r="T42" s="28" t="str">
        <f>LOOKUP(1,1/(Table1[[#This Row],[Level_0]:[Level 15]]&gt;0),(Table1[[#This Row],[Level_0]:[Level 15]]))</f>
        <v>5225310000 - [IC Exp - DIV - Printing Services]</v>
      </c>
      <c r="U42" s="22">
        <v>37</v>
      </c>
      <c r="W42" s="13" t="str">
        <f>LOOKUP(1,1/(Table1[[#This Row],[Level_0]:[Level 15]]&gt;0),(Table1[[#This Row],[Level_0]:[Level 15]]))</f>
        <v>5225310000 - [IC Exp - DIV - Printing Services]</v>
      </c>
    </row>
    <row r="43" spans="1:23" hidden="1" x14ac:dyDescent="0.25">
      <c r="A43">
        <v>7600304104</v>
      </c>
      <c r="B43" s="16" t="s">
        <v>21303</v>
      </c>
      <c r="C43" s="16" t="e">
        <f>VLOOKUP(Table1[[#This Row],[Node]],Parent!A:B,2,0)</f>
        <v>#N/A</v>
      </c>
      <c r="D43" s="25" t="s">
        <v>19346</v>
      </c>
      <c r="E43" s="26" t="s">
        <v>16544</v>
      </c>
      <c r="F43" s="27" t="s">
        <v>16545</v>
      </c>
      <c r="G43" s="27" t="s">
        <v>16546</v>
      </c>
      <c r="H43" s="27" t="s">
        <v>16551</v>
      </c>
      <c r="I43" s="27"/>
      <c r="J43" s="27"/>
      <c r="K43" s="27"/>
      <c r="L43" s="27"/>
      <c r="N43" s="27"/>
      <c r="T43" s="28" t="str">
        <f>LOOKUP(1,1/(Table1[[#This Row],[Level_0]:[Level 15]]&gt;0),(Table1[[#This Row],[Level_0]:[Level 15]]))</f>
        <v>7600304104 - [DAA General Infrastructure MRE GE]</v>
      </c>
      <c r="U43" s="22">
        <v>38</v>
      </c>
      <c r="W43" s="13" t="str">
        <f>LOOKUP(1,1/(Table1[[#This Row],[Level_0]:[Level 15]]&gt;0),(Table1[[#This Row],[Level_0]:[Level 15]]))</f>
        <v>7600304104 - [DAA General Infrastructure MRE GE]</v>
      </c>
    </row>
    <row r="44" spans="1:23" hidden="1" x14ac:dyDescent="0.25">
      <c r="A44">
        <v>5223610000</v>
      </c>
      <c r="B44" s="16" t="s">
        <v>20185</v>
      </c>
      <c r="C44" s="16" t="e">
        <f>VLOOKUP(Table1[[#This Row],[Node]],Parent!A:B,2,0)</f>
        <v>#N/A</v>
      </c>
      <c r="D44" s="25" t="s">
        <v>19346</v>
      </c>
      <c r="E44" s="26" t="s">
        <v>16544</v>
      </c>
      <c r="F44" s="27" t="s">
        <v>16545</v>
      </c>
      <c r="G44" s="27" t="s">
        <v>16546</v>
      </c>
      <c r="H44" s="27" t="s">
        <v>16552</v>
      </c>
      <c r="I44" s="27"/>
      <c r="J44" s="27"/>
      <c r="K44" s="27"/>
      <c r="L44" s="27"/>
      <c r="N44" s="27"/>
      <c r="T44" s="28" t="str">
        <f>LOOKUP(1,1/(Table1[[#This Row],[Level_0]:[Level 15]]&gt;0),(Table1[[#This Row],[Level_0]:[Level 15]]))</f>
        <v>5223610000 - [IC Exp - SMS -  SetUp H Machinery]</v>
      </c>
      <c r="U44" s="22">
        <v>39</v>
      </c>
      <c r="W44" s="13" t="str">
        <f>LOOKUP(1,1/(Table1[[#This Row],[Level_0]:[Level 15]]&gt;0),(Table1[[#This Row],[Level_0]:[Level 15]]))</f>
        <v>5223610000 - [IC Exp - SMS -  SetUp H Machinery]</v>
      </c>
    </row>
    <row r="45" spans="1:23" hidden="1" x14ac:dyDescent="0.25">
      <c r="A45">
        <v>7300110019</v>
      </c>
      <c r="B45" s="16" t="s">
        <v>20755</v>
      </c>
      <c r="C45" s="16" t="e">
        <f>VLOOKUP(Table1[[#This Row],[Node]],Parent!A:B,2,0)</f>
        <v>#N/A</v>
      </c>
      <c r="D45" s="25" t="s">
        <v>19346</v>
      </c>
      <c r="E45" s="26" t="s">
        <v>16544</v>
      </c>
      <c r="F45" s="27" t="s">
        <v>16545</v>
      </c>
      <c r="G45" s="27" t="s">
        <v>16546</v>
      </c>
      <c r="H45" s="27" t="s">
        <v>16553</v>
      </c>
      <c r="I45" s="27"/>
      <c r="J45" s="27"/>
      <c r="K45" s="27"/>
      <c r="L45" s="27"/>
      <c r="N45" s="27"/>
      <c r="T45" s="28" t="str">
        <f>LOOKUP(1,1/(Table1[[#This Row],[Level_0]:[Level 15]]&gt;0),(Table1[[#This Row],[Level_0]:[Level 15]]))</f>
        <v>7300110019 - [PRO - DI Water (M3)]</v>
      </c>
      <c r="U45" s="22">
        <v>40</v>
      </c>
      <c r="W45" s="13" t="str">
        <f>LOOKUP(1,1/(Table1[[#This Row],[Level_0]:[Level 15]]&gt;0),(Table1[[#This Row],[Level_0]:[Level 15]]))</f>
        <v>7300110019 - [PRO - DI Water (M3)]</v>
      </c>
    </row>
    <row r="46" spans="1:23" hidden="1" x14ac:dyDescent="0.25">
      <c r="A46">
        <v>7300110015</v>
      </c>
      <c r="B46" s="16" t="s">
        <v>20751</v>
      </c>
      <c r="C46" s="16" t="e">
        <f>VLOOKUP(Table1[[#This Row],[Node]],Parent!A:B,2,0)</f>
        <v>#N/A</v>
      </c>
      <c r="D46" s="25" t="s">
        <v>19346</v>
      </c>
      <c r="E46" s="26" t="s">
        <v>16544</v>
      </c>
      <c r="F46" s="27" t="s">
        <v>16545</v>
      </c>
      <c r="G46" s="27" t="s">
        <v>16546</v>
      </c>
      <c r="H46" s="27" t="s">
        <v>16554</v>
      </c>
      <c r="I46" s="27"/>
      <c r="J46" s="27"/>
      <c r="K46" s="27"/>
      <c r="L46" s="27"/>
      <c r="N46" s="27"/>
      <c r="T46" s="28" t="str">
        <f>LOOKUP(1,1/(Table1[[#This Row],[Level_0]:[Level 15]]&gt;0),(Table1[[#This Row],[Level_0]:[Level 15]]))</f>
        <v>7300110015 - [DAA PRO - Waste Air Treatment]</v>
      </c>
      <c r="U46" s="22">
        <v>41</v>
      </c>
      <c r="W46" s="13" t="str">
        <f>LOOKUP(1,1/(Table1[[#This Row],[Level_0]:[Level 15]]&gt;0),(Table1[[#This Row],[Level_0]:[Level 15]]))</f>
        <v>7300110015 - [DAA PRO - Waste Air Treatment]</v>
      </c>
    </row>
    <row r="47" spans="1:23" hidden="1" x14ac:dyDescent="0.25">
      <c r="A47">
        <v>9155941000</v>
      </c>
      <c r="B47" s="16" t="s">
        <v>22107</v>
      </c>
      <c r="C47" s="16" t="e">
        <f>VLOOKUP(Table1[[#This Row],[Node]],Parent!A:B,2,0)</f>
        <v>#N/A</v>
      </c>
      <c r="D47" s="25" t="s">
        <v>19346</v>
      </c>
      <c r="E47" s="26" t="s">
        <v>16544</v>
      </c>
      <c r="F47" s="27" t="s">
        <v>16545</v>
      </c>
      <c r="G47" s="27" t="s">
        <v>16546</v>
      </c>
      <c r="H47" s="27" t="s">
        <v>16555</v>
      </c>
      <c r="I47" s="27"/>
      <c r="J47" s="27"/>
      <c r="K47" s="27"/>
      <c r="L47" s="27"/>
      <c r="N47" s="27"/>
      <c r="T47" s="28" t="str">
        <f>LOOKUP(1,1/(Table1[[#This Row],[Level_0]:[Level 15]]&gt;0),(Table1[[#This Row],[Level_0]:[Level 15]]))</f>
        <v>9155941000 - [KDV - ML - ExchRateDiff f. LowLev - TAcc]</v>
      </c>
      <c r="U47" s="22">
        <v>42</v>
      </c>
      <c r="W47" s="13" t="str">
        <f>LOOKUP(1,1/(Table1[[#This Row],[Level_0]:[Level 15]]&gt;0),(Table1[[#This Row],[Level_0]:[Level 15]]))</f>
        <v>9155941000 - [KDV - ML - ExchRateDiff f. LowLev - TAcc]</v>
      </c>
    </row>
    <row r="48" spans="1:23" hidden="1" x14ac:dyDescent="0.25">
      <c r="A48">
        <v>9155940000</v>
      </c>
      <c r="B48" s="16" t="s">
        <v>22106</v>
      </c>
      <c r="C48" s="16" t="e">
        <f>VLOOKUP(Table1[[#This Row],[Node]],Parent!A:B,2,0)</f>
        <v>#N/A</v>
      </c>
      <c r="D48" s="25" t="s">
        <v>19346</v>
      </c>
      <c r="E48" s="26" t="s">
        <v>16544</v>
      </c>
      <c r="F48" s="27" t="s">
        <v>16545</v>
      </c>
      <c r="G48" s="27" t="s">
        <v>16546</v>
      </c>
      <c r="H48" s="27" t="s">
        <v>16556</v>
      </c>
      <c r="I48" s="27"/>
      <c r="J48" s="27"/>
      <c r="K48" s="27"/>
      <c r="L48" s="27"/>
      <c r="N48" s="27"/>
      <c r="T48" s="28" t="str">
        <f>LOOKUP(1,1/(Table1[[#This Row],[Level_0]:[Level 15]]&gt;0),(Table1[[#This Row],[Level_0]:[Level 15]]))</f>
        <v>9155940000 - [KDY - ML - Exch Rate Differences - TAcc]</v>
      </c>
      <c r="U48" s="22">
        <v>43</v>
      </c>
      <c r="W48" s="13" t="str">
        <f>LOOKUP(1,1/(Table1[[#This Row],[Level_0]:[Level 15]]&gt;0),(Table1[[#This Row],[Level_0]:[Level 15]]))</f>
        <v>9155940000 - [KDY - ML - Exch Rate Differences - TAcc]</v>
      </c>
    </row>
    <row r="49" spans="1:23" hidden="1" x14ac:dyDescent="0.25">
      <c r="A49">
        <v>9154301000</v>
      </c>
      <c r="B49" s="16" t="s">
        <v>22105</v>
      </c>
      <c r="C49" s="16" t="e">
        <f>VLOOKUP(Table1[[#This Row],[Node]],Parent!A:B,2,0)</f>
        <v>#N/A</v>
      </c>
      <c r="D49" s="25" t="s">
        <v>19346</v>
      </c>
      <c r="E49" s="26" t="s">
        <v>16544</v>
      </c>
      <c r="F49" s="27" t="s">
        <v>16545</v>
      </c>
      <c r="G49" s="27" t="s">
        <v>16546</v>
      </c>
      <c r="H49" s="27" t="s">
        <v>16557</v>
      </c>
      <c r="I49" s="27"/>
      <c r="J49" s="27"/>
      <c r="K49" s="27"/>
      <c r="L49" s="27"/>
      <c r="N49" s="27"/>
      <c r="T49" s="28" t="str">
        <f>LOOKUP(1,1/(Table1[[#This Row],[Level_0]:[Level 15]]&gt;0),(Table1[[#This Row],[Level_0]:[Level 15]]))</f>
        <v>9154301000 - [PRV - ML - Price Differ f. LowLev - TAcc]</v>
      </c>
      <c r="U49" s="22">
        <v>44</v>
      </c>
      <c r="W49" s="13" t="str">
        <f>LOOKUP(1,1/(Table1[[#This Row],[Level_0]:[Level 15]]&gt;0),(Table1[[#This Row],[Level_0]:[Level 15]]))</f>
        <v>9154301000 - [PRV - ML - Price Differ f. LowLev - TAcc]</v>
      </c>
    </row>
    <row r="50" spans="1:23" hidden="1" x14ac:dyDescent="0.25">
      <c r="A50">
        <v>9154300000</v>
      </c>
      <c r="B50" s="16" t="s">
        <v>22104</v>
      </c>
      <c r="C50" s="16" t="e">
        <f>VLOOKUP(Table1[[#This Row],[Node]],Parent!A:B,2,0)</f>
        <v>#N/A</v>
      </c>
      <c r="D50" s="25" t="s">
        <v>19346</v>
      </c>
      <c r="E50" s="26" t="s">
        <v>16544</v>
      </c>
      <c r="F50" s="27" t="s">
        <v>16545</v>
      </c>
      <c r="G50" s="27" t="s">
        <v>16546</v>
      </c>
      <c r="H50" s="27" t="s">
        <v>16558</v>
      </c>
      <c r="I50" s="27"/>
      <c r="J50" s="27"/>
      <c r="K50" s="27"/>
      <c r="L50" s="27"/>
      <c r="N50" s="27"/>
      <c r="T50" s="28" t="str">
        <f>LOOKUP(1,1/(Table1[[#This Row],[Level_0]:[Level 15]]&gt;0),(Table1[[#This Row],[Level_0]:[Level 15]]))</f>
        <v>9154300000 - [PRY - ML - Price Differences - TAcc]</v>
      </c>
      <c r="U50" s="22">
        <v>45</v>
      </c>
      <c r="W50" s="13" t="str">
        <f>LOOKUP(1,1/(Table1[[#This Row],[Level_0]:[Level 15]]&gt;0),(Table1[[#This Row],[Level_0]:[Level 15]]))</f>
        <v>9154300000 - [PRY - ML - Price Differences - TAcc]</v>
      </c>
    </row>
    <row r="51" spans="1:23" hidden="1" x14ac:dyDescent="0.25">
      <c r="A51">
        <v>9154230000</v>
      </c>
      <c r="B51" s="16" t="s">
        <v>22103</v>
      </c>
      <c r="C51" s="16" t="e">
        <f>VLOOKUP(Table1[[#This Row],[Node]],Parent!A:B,2,0)</f>
        <v>#N/A</v>
      </c>
      <c r="D51" s="25" t="s">
        <v>19346</v>
      </c>
      <c r="E51" s="26" t="s">
        <v>16544</v>
      </c>
      <c r="F51" s="27" t="s">
        <v>16545</v>
      </c>
      <c r="G51" s="27" t="s">
        <v>16546</v>
      </c>
      <c r="H51" s="27" t="s">
        <v>16559</v>
      </c>
      <c r="I51" s="27"/>
      <c r="J51" s="27"/>
      <c r="K51" s="27"/>
      <c r="L51" s="27"/>
      <c r="N51" s="27"/>
      <c r="T51" s="28" t="str">
        <f>LOOKUP(1,1/(Table1[[#This Row],[Level_0]:[Level 15]]&gt;0),(Table1[[#This Row],[Level_0]:[Level 15]]))</f>
        <v>9154230000 - [UMY - ML - Gain/Loss Revaluation - TAcc]</v>
      </c>
      <c r="U51" s="22">
        <v>46</v>
      </c>
      <c r="W51" s="13" t="str">
        <f>LOOKUP(1,1/(Table1[[#This Row],[Level_0]:[Level 15]]&gt;0),(Table1[[#This Row],[Level_0]:[Level 15]]))</f>
        <v>9154230000 - [UMY - ML - Gain/Loss Revaluation - TAcc]</v>
      </c>
    </row>
    <row r="52" spans="1:23" hidden="1" x14ac:dyDescent="0.25">
      <c r="A52">
        <v>9009200000</v>
      </c>
      <c r="B52" s="16" t="s">
        <v>22091</v>
      </c>
      <c r="C52" s="16" t="e">
        <f>VLOOKUP(Table1[[#This Row],[Node]],Parent!A:B,2,0)</f>
        <v>#N/A</v>
      </c>
      <c r="D52" s="25" t="s">
        <v>19346</v>
      </c>
      <c r="E52" s="26" t="s">
        <v>16544</v>
      </c>
      <c r="F52" s="27" t="s">
        <v>16545</v>
      </c>
      <c r="G52" s="27" t="s">
        <v>16546</v>
      </c>
      <c r="H52" s="27" t="s">
        <v>16560</v>
      </c>
      <c r="I52" s="27"/>
      <c r="J52" s="27"/>
      <c r="K52" s="27"/>
      <c r="L52" s="27"/>
      <c r="N52" s="27"/>
      <c r="T52" s="28" t="str">
        <f>LOOKUP(1,1/(Table1[[#This Row],[Level_0]:[Level 15]]&gt;0),(Table1[[#This Row],[Level_0]:[Level 15]]))</f>
        <v>9009200000 - [Advanced Payment - Stat Acc for IO/WBS]</v>
      </c>
      <c r="U52" s="22">
        <v>47</v>
      </c>
      <c r="W52" s="13" t="str">
        <f>LOOKUP(1,1/(Table1[[#This Row],[Level_0]:[Level 15]]&gt;0),(Table1[[#This Row],[Level_0]:[Level 15]]))</f>
        <v>9009200000 - [Advanced Payment - Stat Acc for IO/WBS]</v>
      </c>
    </row>
    <row r="53" spans="1:23" hidden="1" x14ac:dyDescent="0.25">
      <c r="A53">
        <v>8750000000</v>
      </c>
      <c r="B53" s="16" t="s">
        <v>22085</v>
      </c>
      <c r="C53" s="16" t="e">
        <f>VLOOKUP(Table1[[#This Row],[Node]],Parent!A:B,2,0)</f>
        <v>#N/A</v>
      </c>
      <c r="D53" s="25" t="s">
        <v>19346</v>
      </c>
      <c r="E53" s="26" t="s">
        <v>16544</v>
      </c>
      <c r="F53" s="27" t="s">
        <v>16545</v>
      </c>
      <c r="G53" s="27" t="s">
        <v>16546</v>
      </c>
      <c r="H53" s="27" t="s">
        <v>16561</v>
      </c>
      <c r="I53" s="27"/>
      <c r="J53" s="27"/>
      <c r="K53" s="27"/>
      <c r="L53" s="27"/>
      <c r="N53" s="27"/>
      <c r="T53" s="28" t="str">
        <f>LOOKUP(1,1/(Table1[[#This Row],[Level_0]:[Level 15]]&gt;0),(Table1[[#This Row],[Level_0]:[Level 15]]))</f>
        <v>8750000000 - [Defr Tax on Planned Dividends]</v>
      </c>
      <c r="U53" s="22">
        <v>48</v>
      </c>
      <c r="W53" s="13" t="str">
        <f>LOOKUP(1,1/(Table1[[#This Row],[Level_0]:[Level 15]]&gt;0),(Table1[[#This Row],[Level_0]:[Level 15]]))</f>
        <v>8750000000 - [Defr Tax on Planned Dividends]</v>
      </c>
    </row>
    <row r="54" spans="1:23" hidden="1" x14ac:dyDescent="0.25">
      <c r="A54">
        <v>8720000000</v>
      </c>
      <c r="B54" s="16" t="s">
        <v>22082</v>
      </c>
      <c r="C54" s="16" t="e">
        <f>VLOOKUP(Table1[[#This Row],[Node]],Parent!A:B,2,0)</f>
        <v>#N/A</v>
      </c>
      <c r="D54" s="25" t="s">
        <v>19346</v>
      </c>
      <c r="E54" s="26" t="s">
        <v>16544</v>
      </c>
      <c r="F54" s="27" t="s">
        <v>16545</v>
      </c>
      <c r="G54" s="27" t="s">
        <v>16546</v>
      </c>
      <c r="H54" s="27" t="s">
        <v>16562</v>
      </c>
      <c r="I54" s="27"/>
      <c r="J54" s="27"/>
      <c r="K54" s="27"/>
      <c r="L54" s="27"/>
      <c r="N54" s="27"/>
      <c r="T54" s="28" t="str">
        <f>LOOKUP(1,1/(Table1[[#This Row],[Level_0]:[Level 15]]&gt;0),(Table1[[#This Row],[Level_0]:[Level 15]]))</f>
        <v>8720000000 - [Defr Tax Resul f. Use Unrec Tax Loss Cfw]</v>
      </c>
      <c r="U54" s="22">
        <v>49</v>
      </c>
      <c r="W54" s="13" t="str">
        <f>LOOKUP(1,1/(Table1[[#This Row],[Level_0]:[Level 15]]&gt;0),(Table1[[#This Row],[Level_0]:[Level 15]]))</f>
        <v>8720000000 - [Defr Tax Resul f. Use Unrec Tax Loss Cfw]</v>
      </c>
    </row>
    <row r="55" spans="1:23" hidden="1" x14ac:dyDescent="0.25">
      <c r="A55">
        <v>8630000000</v>
      </c>
      <c r="B55" s="16" t="s">
        <v>22076</v>
      </c>
      <c r="C55" s="16" t="e">
        <f>VLOOKUP(Table1[[#This Row],[Node]],Parent!A:B,2,0)</f>
        <v>#N/A</v>
      </c>
      <c r="D55" s="25" t="s">
        <v>19346</v>
      </c>
      <c r="E55" s="26" t="s">
        <v>16544</v>
      </c>
      <c r="F55" s="27" t="s">
        <v>16545</v>
      </c>
      <c r="G55" s="27" t="s">
        <v>16546</v>
      </c>
      <c r="H55" s="27" t="s">
        <v>16563</v>
      </c>
      <c r="I55" s="27"/>
      <c r="J55" s="27"/>
      <c r="K55" s="27"/>
      <c r="L55" s="27"/>
      <c r="N55" s="27"/>
      <c r="T55" s="28" t="str">
        <f>LOOKUP(1,1/(Table1[[#This Row],[Level_0]:[Level 15]]&gt;0),(Table1[[#This Row],[Level_0]:[Level 15]]))</f>
        <v>8630000000 - [Curr Tax Resul f. Use Unrec Tax Credits]</v>
      </c>
      <c r="U55" s="22">
        <v>50</v>
      </c>
      <c r="W55" s="13" t="str">
        <f>LOOKUP(1,1/(Table1[[#This Row],[Level_0]:[Level 15]]&gt;0),(Table1[[#This Row],[Level_0]:[Level 15]]))</f>
        <v>8630000000 - [Curr Tax Resul f. Use Unrec Tax Credits]</v>
      </c>
    </row>
    <row r="56" spans="1:23" hidden="1" x14ac:dyDescent="0.25">
      <c r="A56">
        <v>8620000000</v>
      </c>
      <c r="B56" s="16" t="s">
        <v>22075</v>
      </c>
      <c r="C56" s="16" t="e">
        <f>VLOOKUP(Table1[[#This Row],[Node]],Parent!A:B,2,0)</f>
        <v>#N/A</v>
      </c>
      <c r="D56" s="25" t="s">
        <v>19346</v>
      </c>
      <c r="E56" s="26" t="s">
        <v>16544</v>
      </c>
      <c r="F56" s="27" t="s">
        <v>16545</v>
      </c>
      <c r="G56" s="27" t="s">
        <v>16546</v>
      </c>
      <c r="H56" s="27" t="s">
        <v>16564</v>
      </c>
      <c r="I56" s="27"/>
      <c r="J56" s="27"/>
      <c r="K56" s="27"/>
      <c r="L56" s="27"/>
      <c r="N56" s="27"/>
      <c r="T56" s="28" t="str">
        <f>LOOKUP(1,1/(Table1[[#This Row],[Level_0]:[Level 15]]&gt;0),(Table1[[#This Row],[Level_0]:[Level 15]]))</f>
        <v>8620000000 - [Curr Tax Resul f. Use Unrec Tax Loss CFw]</v>
      </c>
      <c r="U56" s="22">
        <v>51</v>
      </c>
      <c r="W56" s="13" t="str">
        <f>LOOKUP(1,1/(Table1[[#This Row],[Level_0]:[Level 15]]&gt;0),(Table1[[#This Row],[Level_0]:[Level 15]]))</f>
        <v>8620000000 - [Curr Tax Resul f. Use Unrec Tax Loss CFw]</v>
      </c>
    </row>
    <row r="57" spans="1:23" hidden="1" x14ac:dyDescent="0.25">
      <c r="A57">
        <v>8610000000</v>
      </c>
      <c r="B57" s="16" t="s">
        <v>22074</v>
      </c>
      <c r="C57" s="16" t="e">
        <f>VLOOKUP(Table1[[#This Row],[Node]],Parent!A:B,2,0)</f>
        <v>#N/A</v>
      </c>
      <c r="D57" s="25" t="s">
        <v>19346</v>
      </c>
      <c r="E57" s="26" t="s">
        <v>16544</v>
      </c>
      <c r="F57" s="27" t="s">
        <v>16545</v>
      </c>
      <c r="G57" s="27" t="s">
        <v>16546</v>
      </c>
      <c r="H57" s="27" t="s">
        <v>16565</v>
      </c>
      <c r="I57" s="27"/>
      <c r="J57" s="27"/>
      <c r="K57" s="27"/>
      <c r="L57" s="27"/>
      <c r="N57" s="27"/>
      <c r="T57" s="28" t="str">
        <f>LOOKUP(1,1/(Table1[[#This Row],[Level_0]:[Level 15]]&gt;0),(Table1[[#This Row],[Level_0]:[Level 15]]))</f>
        <v>8610000000 - [Current Tax Resul f. Use Unrec Temp Diff]</v>
      </c>
      <c r="U57" s="22">
        <v>52</v>
      </c>
      <c r="W57" s="13" t="str">
        <f>LOOKUP(1,1/(Table1[[#This Row],[Level_0]:[Level 15]]&gt;0),(Table1[[#This Row],[Level_0]:[Level 15]]))</f>
        <v>8610000000 - [Current Tax Resul f. Use Unrec Temp Diff]</v>
      </c>
    </row>
    <row r="58" spans="1:23" hidden="1" x14ac:dyDescent="0.25">
      <c r="A58">
        <v>8582410000</v>
      </c>
      <c r="B58" s="16" t="s">
        <v>22065</v>
      </c>
      <c r="C58" s="16" t="e">
        <f>VLOOKUP(Table1[[#This Row],[Node]],Parent!A:B,2,0)</f>
        <v>#N/A</v>
      </c>
      <c r="D58" s="25" t="s">
        <v>19346</v>
      </c>
      <c r="E58" s="26" t="s">
        <v>16544</v>
      </c>
      <c r="F58" s="27" t="s">
        <v>16545</v>
      </c>
      <c r="G58" s="27" t="s">
        <v>16546</v>
      </c>
      <c r="H58" s="27" t="s">
        <v>16566</v>
      </c>
      <c r="I58" s="27"/>
      <c r="J58" s="27"/>
      <c r="K58" s="27"/>
      <c r="L58" s="27"/>
      <c r="N58" s="27"/>
      <c r="T58" s="28" t="str">
        <f>LOOKUP(1,1/(Table1[[#This Row],[Level_0]:[Level 15]]&gt;0),(Table1[[#This Row],[Level_0]:[Level 15]]))</f>
        <v>8582410000 - [FX Exp Settl-Fin-CurrOpt-IntrVal-Real-IC]</v>
      </c>
      <c r="U58" s="22">
        <v>53</v>
      </c>
      <c r="W58" s="13" t="str">
        <f>LOOKUP(1,1/(Table1[[#This Row],[Level_0]:[Level 15]]&gt;0),(Table1[[#This Row],[Level_0]:[Level 15]]))</f>
        <v>8582410000 - [FX Exp Settl-Fin-CurrOpt-IntrVal-Real-IC]</v>
      </c>
    </row>
    <row r="59" spans="1:23" hidden="1" x14ac:dyDescent="0.25">
      <c r="A59">
        <v>8560110000</v>
      </c>
      <c r="B59" s="16" t="s">
        <v>22056</v>
      </c>
      <c r="C59" s="16" t="e">
        <f>VLOOKUP(Table1[[#This Row],[Node]],Parent!A:B,2,0)</f>
        <v>#N/A</v>
      </c>
      <c r="D59" s="25" t="s">
        <v>19346</v>
      </c>
      <c r="E59" s="26" t="s">
        <v>16544</v>
      </c>
      <c r="F59" s="27" t="s">
        <v>16545</v>
      </c>
      <c r="G59" s="27" t="s">
        <v>16546</v>
      </c>
      <c r="H59" s="27" t="s">
        <v>16567</v>
      </c>
      <c r="I59" s="27"/>
      <c r="J59" s="27"/>
      <c r="K59" s="27"/>
      <c r="L59" s="27"/>
      <c r="N59" s="27"/>
      <c r="T59" s="28" t="str">
        <f>LOOKUP(1,1/(Table1[[#This Row],[Level_0]:[Level 15]]&gt;0),(Table1[[#This Row],[Level_0]:[Level 15]]))</f>
        <v>8560110000 - [Premium-Operat-Zero-Cost CurrOpt-Real-IC]</v>
      </c>
      <c r="U59" s="22">
        <v>54</v>
      </c>
      <c r="W59" s="13" t="str">
        <f>LOOKUP(1,1/(Table1[[#This Row],[Level_0]:[Level 15]]&gt;0),(Table1[[#This Row],[Level_0]:[Level 15]]))</f>
        <v>8560110000 - [Premium-Operat-Zero-Cost CurrOpt-Real-IC]</v>
      </c>
    </row>
    <row r="60" spans="1:23" hidden="1" x14ac:dyDescent="0.25">
      <c r="A60">
        <v>8536200000</v>
      </c>
      <c r="B60" s="16" t="s">
        <v>22047</v>
      </c>
      <c r="C60" s="16" t="e">
        <f>VLOOKUP(Table1[[#This Row],[Node]],Parent!A:B,2,0)</f>
        <v>#N/A</v>
      </c>
      <c r="D60" s="25" t="s">
        <v>19346</v>
      </c>
      <c r="E60" s="26" t="s">
        <v>16544</v>
      </c>
      <c r="F60" s="27" t="s">
        <v>16545</v>
      </c>
      <c r="G60" s="27" t="s">
        <v>16546</v>
      </c>
      <c r="H60" s="27" t="s">
        <v>16568</v>
      </c>
      <c r="I60" s="27"/>
      <c r="J60" s="27"/>
      <c r="K60" s="27"/>
      <c r="L60" s="27"/>
      <c r="N60" s="27"/>
      <c r="T60" s="28" t="str">
        <f>LOOKUP(1,1/(Table1[[#This Row],[Level_0]:[Level 15]]&gt;0),(Table1[[#This Row],[Level_0]:[Level 15]]))</f>
        <v>8536200000 - [Loss FairValChangesOthFinInstFVtPL-Unre]</v>
      </c>
      <c r="U60" s="22">
        <v>55</v>
      </c>
      <c r="W60" s="13" t="str">
        <f>LOOKUP(1,1/(Table1[[#This Row],[Level_0]:[Level 15]]&gt;0),(Table1[[#This Row],[Level_0]:[Level 15]]))</f>
        <v>8536200000 - [Loss FairValChangesOthFinInstFVtPL-Unre]</v>
      </c>
    </row>
    <row r="61" spans="1:23" hidden="1" x14ac:dyDescent="0.25">
      <c r="A61">
        <v>8536000000</v>
      </c>
      <c r="B61" s="16" t="s">
        <v>22046</v>
      </c>
      <c r="C61" s="16" t="e">
        <f>VLOOKUP(Table1[[#This Row],[Node]],Parent!A:B,2,0)</f>
        <v>#N/A</v>
      </c>
      <c r="D61" s="25" t="s">
        <v>19346</v>
      </c>
      <c r="E61" s="26" t="s">
        <v>16544</v>
      </c>
      <c r="F61" s="27" t="s">
        <v>16545</v>
      </c>
      <c r="G61" s="27" t="s">
        <v>16546</v>
      </c>
      <c r="H61" s="27" t="s">
        <v>16569</v>
      </c>
      <c r="I61" s="27"/>
      <c r="J61" s="27"/>
      <c r="K61" s="27"/>
      <c r="L61" s="27"/>
      <c r="N61" s="27"/>
      <c r="T61" s="28" t="str">
        <f>LOOKUP(1,1/(Table1[[#This Row],[Level_0]:[Level 15]]&gt;0),(Table1[[#This Row],[Level_0]:[Level 15]]))</f>
        <v>8536000000 - [Loss FairValChanges OthFinInstFVtPL-Re]</v>
      </c>
      <c r="U61" s="22">
        <v>56</v>
      </c>
      <c r="W61" s="13" t="str">
        <f>LOOKUP(1,1/(Table1[[#This Row],[Level_0]:[Level 15]]&gt;0),(Table1[[#This Row],[Level_0]:[Level 15]]))</f>
        <v>8536000000 - [Loss FairValChanges OthFinInstFVtPL-Re]</v>
      </c>
    </row>
    <row r="62" spans="1:23" hidden="1" x14ac:dyDescent="0.25">
      <c r="A62">
        <v>8535000000</v>
      </c>
      <c r="B62" s="16" t="s">
        <v>22045</v>
      </c>
      <c r="C62" s="16" t="e">
        <f>VLOOKUP(Table1[[#This Row],[Node]],Parent!A:B,2,0)</f>
        <v>#N/A</v>
      </c>
      <c r="D62" s="25" t="s">
        <v>19346</v>
      </c>
      <c r="E62" s="26" t="s">
        <v>16544</v>
      </c>
      <c r="F62" s="27" t="s">
        <v>16545</v>
      </c>
      <c r="G62" s="27" t="s">
        <v>16546</v>
      </c>
      <c r="H62" s="27" t="s">
        <v>16570</v>
      </c>
      <c r="I62" s="27"/>
      <c r="J62" s="27"/>
      <c r="K62" s="27"/>
      <c r="L62" s="27"/>
      <c r="N62" s="27"/>
      <c r="T62" s="28" t="str">
        <f>LOOKUP(1,1/(Table1[[#This Row],[Level_0]:[Level 15]]&gt;0),(Table1[[#This Row],[Level_0]:[Level 15]]))</f>
        <v>8535000000 - [Loss FairValChanges Equity Inst FVtPL]</v>
      </c>
      <c r="U62" s="22">
        <v>57</v>
      </c>
      <c r="W62" s="13" t="str">
        <f>LOOKUP(1,1/(Table1[[#This Row],[Level_0]:[Level 15]]&gt;0),(Table1[[#This Row],[Level_0]:[Level 15]]))</f>
        <v>8535000000 - [Loss FairValChanges Equity Inst FVtPL]</v>
      </c>
    </row>
    <row r="63" spans="1:23" hidden="1" x14ac:dyDescent="0.25">
      <c r="A63">
        <v>8533000000</v>
      </c>
      <c r="B63" s="16" t="s">
        <v>22043</v>
      </c>
      <c r="C63" s="16" t="e">
        <f>VLOOKUP(Table1[[#This Row],[Node]],Parent!A:B,2,0)</f>
        <v>#N/A</v>
      </c>
      <c r="D63" s="25" t="s">
        <v>19346</v>
      </c>
      <c r="E63" s="26" t="s">
        <v>16544</v>
      </c>
      <c r="F63" s="27" t="s">
        <v>16545</v>
      </c>
      <c r="G63" s="27" t="s">
        <v>16546</v>
      </c>
      <c r="H63" s="27" t="s">
        <v>16571</v>
      </c>
      <c r="I63" s="27"/>
      <c r="J63" s="27"/>
      <c r="K63" s="27"/>
      <c r="L63" s="27"/>
      <c r="N63" s="27"/>
      <c r="T63" s="28" t="str">
        <f>LOOKUP(1,1/(Table1[[#This Row],[Level_0]:[Level 15]]&gt;0),(Table1[[#This Row],[Level_0]:[Level 15]]))</f>
        <v>8533000000 - [Loss FairValChanges Debt Inst FVtPL]</v>
      </c>
      <c r="U63" s="22">
        <v>58</v>
      </c>
      <c r="W63" s="13" t="str">
        <f>LOOKUP(1,1/(Table1[[#This Row],[Level_0]:[Level 15]]&gt;0),(Table1[[#This Row],[Level_0]:[Level 15]]))</f>
        <v>8533000000 - [Loss FairValChanges Debt Inst FVtPL]</v>
      </c>
    </row>
    <row r="64" spans="1:23" hidden="1" x14ac:dyDescent="0.25">
      <c r="A64">
        <v>8531000000</v>
      </c>
      <c r="B64" s="16" t="s">
        <v>22042</v>
      </c>
      <c r="C64" s="16" t="e">
        <f>VLOOKUP(Table1[[#This Row],[Node]],Parent!A:B,2,0)</f>
        <v>#N/A</v>
      </c>
      <c r="D64" s="25" t="s">
        <v>19346</v>
      </c>
      <c r="E64" s="26" t="s">
        <v>16544</v>
      </c>
      <c r="F64" s="27" t="s">
        <v>16545</v>
      </c>
      <c r="G64" s="27" t="s">
        <v>16546</v>
      </c>
      <c r="H64" s="27" t="s">
        <v>16572</v>
      </c>
      <c r="I64" s="27"/>
      <c r="J64" s="27"/>
      <c r="K64" s="27"/>
      <c r="L64" s="27"/>
      <c r="N64" s="27"/>
      <c r="T64" s="28" t="str">
        <f>LOOKUP(1,1/(Table1[[#This Row],[Level_0]:[Level 15]]&gt;0),(Table1[[#This Row],[Level_0]:[Level 15]]))</f>
        <v>8531000000 - [Loss FairValCha DebtInst FVOptFVtPL]</v>
      </c>
      <c r="U64" s="22">
        <v>59</v>
      </c>
      <c r="W64" s="13" t="str">
        <f>LOOKUP(1,1/(Table1[[#This Row],[Level_0]:[Level 15]]&gt;0),(Table1[[#This Row],[Level_0]:[Level 15]]))</f>
        <v>8531000000 - [Loss FairValCha DebtInst FVOptFVtPL]</v>
      </c>
    </row>
    <row r="65" spans="1:23" hidden="1" x14ac:dyDescent="0.25">
      <c r="A65">
        <v>8521000000</v>
      </c>
      <c r="B65" s="16" t="s">
        <v>21993</v>
      </c>
      <c r="C65" s="16" t="e">
        <f>VLOOKUP(Table1[[#This Row],[Node]],Parent!A:B,2,0)</f>
        <v>#N/A</v>
      </c>
      <c r="D65" s="25" t="s">
        <v>19346</v>
      </c>
      <c r="E65" s="26" t="s">
        <v>16544</v>
      </c>
      <c r="F65" s="27" t="s">
        <v>16545</v>
      </c>
      <c r="G65" s="27" t="s">
        <v>16546</v>
      </c>
      <c r="H65" s="27" t="s">
        <v>16573</v>
      </c>
      <c r="I65" s="27"/>
      <c r="J65" s="27"/>
      <c r="K65" s="27"/>
      <c r="L65" s="27"/>
      <c r="N65" s="27"/>
      <c r="T65" s="28" t="str">
        <f>LOOKUP(1,1/(Table1[[#This Row],[Level_0]:[Level 15]]&gt;0),(Table1[[#This Row],[Level_0]:[Level 15]]))</f>
        <v>8521000000 - [Inc f. Recycling Debt Inst FVOCI]</v>
      </c>
      <c r="U65" s="22">
        <v>60</v>
      </c>
      <c r="W65" s="13" t="str">
        <f>LOOKUP(1,1/(Table1[[#This Row],[Level_0]:[Level 15]]&gt;0),(Table1[[#This Row],[Level_0]:[Level 15]]))</f>
        <v>8521000000 - [Inc f. Recycling Debt Inst FVOCI]</v>
      </c>
    </row>
    <row r="66" spans="1:23" hidden="1" x14ac:dyDescent="0.25">
      <c r="A66">
        <v>8520000000</v>
      </c>
      <c r="B66" s="16" t="s">
        <v>21992</v>
      </c>
      <c r="C66" s="16" t="e">
        <f>VLOOKUP(Table1[[#This Row],[Node]],Parent!A:B,2,0)</f>
        <v>#N/A</v>
      </c>
      <c r="D66" s="25" t="s">
        <v>19346</v>
      </c>
      <c r="E66" s="26" t="s">
        <v>16544</v>
      </c>
      <c r="F66" s="27" t="s">
        <v>16545</v>
      </c>
      <c r="G66" s="27" t="s">
        <v>16546</v>
      </c>
      <c r="H66" s="27" t="s">
        <v>16574</v>
      </c>
      <c r="I66" s="27"/>
      <c r="J66" s="27"/>
      <c r="K66" s="27"/>
      <c r="L66" s="27"/>
      <c r="N66" s="27"/>
      <c r="T66" s="28" t="str">
        <f>LOOKUP(1,1/(Table1[[#This Row],[Level_0]:[Level 15]]&gt;0),(Table1[[#This Row],[Level_0]:[Level 15]]))</f>
        <v>8520000000 - [Inc f. FairValChanges Debt Inst FVtPL]</v>
      </c>
      <c r="U66" s="22">
        <v>61</v>
      </c>
      <c r="W66" s="13" t="str">
        <f>LOOKUP(1,1/(Table1[[#This Row],[Level_0]:[Level 15]]&gt;0),(Table1[[#This Row],[Level_0]:[Level 15]]))</f>
        <v>8520000000 - [Inc f. FairValChanges Debt Inst FVtPL]</v>
      </c>
    </row>
    <row r="67" spans="1:23" hidden="1" x14ac:dyDescent="0.25">
      <c r="A67">
        <v>8500100000</v>
      </c>
      <c r="B67" s="16" t="s">
        <v>22039</v>
      </c>
      <c r="C67" s="16" t="e">
        <f>VLOOKUP(Table1[[#This Row],[Node]],Parent!A:B,2,0)</f>
        <v>#N/A</v>
      </c>
      <c r="D67" s="25" t="s">
        <v>19346</v>
      </c>
      <c r="E67" s="26" t="s">
        <v>16544</v>
      </c>
      <c r="F67" s="27" t="s">
        <v>16545</v>
      </c>
      <c r="G67" s="27" t="s">
        <v>16546</v>
      </c>
      <c r="H67" s="27" t="s">
        <v>16575</v>
      </c>
      <c r="I67" s="27"/>
      <c r="J67" s="27"/>
      <c r="K67" s="27"/>
      <c r="L67" s="27"/>
      <c r="N67" s="27"/>
      <c r="T67" s="28" t="str">
        <f>LOOKUP(1,1/(Table1[[#This Row],[Level_0]:[Level 15]]&gt;0),(Table1[[#This Row],[Level_0]:[Level 15]]))</f>
        <v>8500100000 - [InterExp Result-Inter Rate Swap-CFH-Unrl]</v>
      </c>
      <c r="U67" s="22">
        <v>62</v>
      </c>
      <c r="W67" s="13" t="str">
        <f>LOOKUP(1,1/(Table1[[#This Row],[Level_0]:[Level 15]]&gt;0),(Table1[[#This Row],[Level_0]:[Level 15]]))</f>
        <v>8500100000 - [InterExp Result-Inter Rate Swap-CFH-Unrl]</v>
      </c>
    </row>
    <row r="68" spans="1:23" hidden="1" x14ac:dyDescent="0.25">
      <c r="A68">
        <v>8500000000</v>
      </c>
      <c r="B68" s="16" t="s">
        <v>22038</v>
      </c>
      <c r="C68" s="16" t="e">
        <f>VLOOKUP(Table1[[#This Row],[Node]],Parent!A:B,2,0)</f>
        <v>#N/A</v>
      </c>
      <c r="D68" s="25" t="s">
        <v>19346</v>
      </c>
      <c r="E68" s="26" t="s">
        <v>16544</v>
      </c>
      <c r="F68" s="27" t="s">
        <v>16545</v>
      </c>
      <c r="G68" s="27" t="s">
        <v>16546</v>
      </c>
      <c r="H68" s="27" t="s">
        <v>16576</v>
      </c>
      <c r="I68" s="27"/>
      <c r="J68" s="27"/>
      <c r="K68" s="27"/>
      <c r="L68" s="27"/>
      <c r="N68" s="27"/>
      <c r="T68" s="28" t="str">
        <f>LOOKUP(1,1/(Table1[[#This Row],[Level_0]:[Level 15]]&gt;0),(Table1[[#This Row],[Level_0]:[Level 15]]))</f>
        <v>8500000000 - [Exp Chn in Value of Oth Inter Derivat]</v>
      </c>
      <c r="U68" s="22">
        <v>63</v>
      </c>
      <c r="W68" s="13" t="str">
        <f>LOOKUP(1,1/(Table1[[#This Row],[Level_0]:[Level 15]]&gt;0),(Table1[[#This Row],[Level_0]:[Level 15]]))</f>
        <v>8500000000 - [Exp Chn in Value of Oth Inter Derivat]</v>
      </c>
    </row>
    <row r="69" spans="1:23" hidden="1" x14ac:dyDescent="0.25">
      <c r="A69">
        <v>8470000999</v>
      </c>
      <c r="B69" s="16" t="s">
        <v>22035</v>
      </c>
      <c r="C69" s="16" t="e">
        <f>VLOOKUP(Table1[[#This Row],[Node]],Parent!A:B,2,0)</f>
        <v>#N/A</v>
      </c>
      <c r="D69" s="25" t="s">
        <v>19346</v>
      </c>
      <c r="E69" s="26" t="s">
        <v>16544</v>
      </c>
      <c r="F69" s="27" t="s">
        <v>16545</v>
      </c>
      <c r="G69" s="27" t="s">
        <v>16546</v>
      </c>
      <c r="H69" s="27" t="s">
        <v>16577</v>
      </c>
      <c r="I69" s="27"/>
      <c r="J69" s="27"/>
      <c r="K69" s="27"/>
      <c r="L69" s="27"/>
      <c r="N69" s="27"/>
      <c r="T69" s="28" t="str">
        <f>LOOKUP(1,1/(Table1[[#This Row],[Level_0]:[Level 15]]&gt;0),(Table1[[#This Row],[Level_0]:[Level 15]]))</f>
        <v>8470000999 - [Int Exp - Non-Act Borrow Costs-Loc(TAcc)]</v>
      </c>
      <c r="U69" s="22">
        <v>64</v>
      </c>
      <c r="W69" s="13" t="str">
        <f>LOOKUP(1,1/(Table1[[#This Row],[Level_0]:[Level 15]]&gt;0),(Table1[[#This Row],[Level_0]:[Level 15]]))</f>
        <v>8470000999 - [Int Exp - Non-Act Borrow Costs-Loc(TAcc)]</v>
      </c>
    </row>
    <row r="70" spans="1:23" hidden="1" x14ac:dyDescent="0.25">
      <c r="A70">
        <v>8420010000</v>
      </c>
      <c r="B70" s="16" t="s">
        <v>22026</v>
      </c>
      <c r="C70" s="16" t="e">
        <f>VLOOKUP(Table1[[#This Row],[Node]],Parent!A:B,2,0)</f>
        <v>#N/A</v>
      </c>
      <c r="D70" s="25" t="s">
        <v>19346</v>
      </c>
      <c r="E70" s="26" t="s">
        <v>16544</v>
      </c>
      <c r="F70" s="27" t="s">
        <v>16545</v>
      </c>
      <c r="G70" s="27" t="s">
        <v>16546</v>
      </c>
      <c r="H70" s="27" t="s">
        <v>16578</v>
      </c>
      <c r="I70" s="27"/>
      <c r="J70" s="27"/>
      <c r="K70" s="27"/>
      <c r="L70" s="27"/>
      <c r="N70" s="27"/>
      <c r="T70" s="28" t="str">
        <f>LOOKUP(1,1/(Table1[[#This Row],[Level_0]:[Level 15]]&gt;0),(Table1[[#This Row],[Level_0]:[Level 15]]))</f>
        <v>8420010000 - [Interest Exp-Interest Derivativ-Real-IC]</v>
      </c>
      <c r="U70" s="22">
        <v>65</v>
      </c>
      <c r="W70" s="13" t="str">
        <f>LOOKUP(1,1/(Table1[[#This Row],[Level_0]:[Level 15]]&gt;0),(Table1[[#This Row],[Level_0]:[Level 15]]))</f>
        <v>8420010000 - [Interest Exp-Interest Derivativ-Real-IC]</v>
      </c>
    </row>
    <row r="71" spans="1:23" hidden="1" x14ac:dyDescent="0.25">
      <c r="A71">
        <v>8400010001</v>
      </c>
      <c r="B71" s="16" t="s">
        <v>22019</v>
      </c>
      <c r="C71" s="16" t="e">
        <f>VLOOKUP(Table1[[#This Row],[Node]],Parent!A:B,2,0)</f>
        <v>#N/A</v>
      </c>
      <c r="D71" s="25" t="s">
        <v>19346</v>
      </c>
      <c r="E71" s="26" t="s">
        <v>16544</v>
      </c>
      <c r="F71" s="27" t="s">
        <v>16545</v>
      </c>
      <c r="G71" s="27" t="s">
        <v>16546</v>
      </c>
      <c r="H71" s="27" t="s">
        <v>16579</v>
      </c>
      <c r="I71" s="27"/>
      <c r="J71" s="27"/>
      <c r="K71" s="27"/>
      <c r="L71" s="27"/>
      <c r="N71" s="27"/>
      <c r="T71" s="28" t="str">
        <f>LOOKUP(1,1/(Table1[[#This Row],[Level_0]:[Level 15]]&gt;0),(Table1[[#This Row],[Level_0]:[Level 15]]))</f>
        <v>8400010001 - [Interest Expenses Paid - IC - Account 1]</v>
      </c>
      <c r="U71" s="22">
        <v>66</v>
      </c>
      <c r="W71" s="13" t="str">
        <f>LOOKUP(1,1/(Table1[[#This Row],[Level_0]:[Level 15]]&gt;0),(Table1[[#This Row],[Level_0]:[Level 15]]))</f>
        <v>8400010001 - [Interest Expenses Paid - IC - Account 1]</v>
      </c>
    </row>
    <row r="72" spans="1:23" hidden="1" x14ac:dyDescent="0.25">
      <c r="A72">
        <v>8280210000</v>
      </c>
      <c r="B72" s="16" t="s">
        <v>22013</v>
      </c>
      <c r="C72" s="16" t="e">
        <f>VLOOKUP(Table1[[#This Row],[Node]],Parent!A:B,2,0)</f>
        <v>#N/A</v>
      </c>
      <c r="D72" s="25" t="s">
        <v>19346</v>
      </c>
      <c r="E72" s="26" t="s">
        <v>16544</v>
      </c>
      <c r="F72" s="27" t="s">
        <v>16545</v>
      </c>
      <c r="G72" s="27" t="s">
        <v>16546</v>
      </c>
      <c r="H72" s="27" t="s">
        <v>16580</v>
      </c>
      <c r="I72" s="27"/>
      <c r="J72" s="27"/>
      <c r="K72" s="27"/>
      <c r="L72" s="27"/>
      <c r="N72" s="27"/>
      <c r="T72" s="28" t="str">
        <f>LOOKUP(1,1/(Table1[[#This Row],[Level_0]:[Level 15]]&gt;0),(Table1[[#This Row],[Level_0]:[Level 15]]))</f>
        <v>8280210000 - [FX Inc Settl-Fin-CurrOpt-IntrVal-Real-IC]</v>
      </c>
      <c r="U72" s="22">
        <v>67</v>
      </c>
      <c r="W72" s="13" t="str">
        <f>LOOKUP(1,1/(Table1[[#This Row],[Level_0]:[Level 15]]&gt;0),(Table1[[#This Row],[Level_0]:[Level 15]]))</f>
        <v>8280210000 - [FX Inc Settl-Fin-CurrOpt-IntrVal-Real-IC]</v>
      </c>
    </row>
    <row r="73" spans="1:23" hidden="1" x14ac:dyDescent="0.25">
      <c r="A73">
        <v>8233000000</v>
      </c>
      <c r="B73" s="16" t="s">
        <v>21992</v>
      </c>
      <c r="C73" s="16" t="e">
        <f>VLOOKUP(Table1[[#This Row],[Node]],Parent!A:B,2,0)</f>
        <v>#N/A</v>
      </c>
      <c r="D73" s="25" t="s">
        <v>19346</v>
      </c>
      <c r="E73" s="26" t="s">
        <v>16544</v>
      </c>
      <c r="F73" s="27" t="s">
        <v>16545</v>
      </c>
      <c r="G73" s="27" t="s">
        <v>16546</v>
      </c>
      <c r="H73" s="27" t="s">
        <v>16581</v>
      </c>
      <c r="I73" s="27"/>
      <c r="J73" s="27"/>
      <c r="K73" s="27"/>
      <c r="L73" s="27"/>
      <c r="N73" s="27"/>
      <c r="T73" s="28" t="str">
        <f>LOOKUP(1,1/(Table1[[#This Row],[Level_0]:[Level 15]]&gt;0),(Table1[[#This Row],[Level_0]:[Level 15]]))</f>
        <v>8233000000 - [Inc f. FairValChanges Debt Inst FVtPL]</v>
      </c>
      <c r="U73" s="22">
        <v>68</v>
      </c>
      <c r="W73" s="13" t="str">
        <f>LOOKUP(1,1/(Table1[[#This Row],[Level_0]:[Level 15]]&gt;0),(Table1[[#This Row],[Level_0]:[Level 15]]))</f>
        <v>8233000000 - [Inc f. FairValChanges Debt Inst FVtPL]</v>
      </c>
    </row>
    <row r="74" spans="1:23" hidden="1" x14ac:dyDescent="0.25">
      <c r="A74">
        <v>8231000000</v>
      </c>
      <c r="B74" s="16" t="s">
        <v>21995</v>
      </c>
      <c r="C74" s="16" t="e">
        <f>VLOOKUP(Table1[[#This Row],[Node]],Parent!A:B,2,0)</f>
        <v>#N/A</v>
      </c>
      <c r="D74" s="25" t="s">
        <v>19346</v>
      </c>
      <c r="E74" s="26" t="s">
        <v>16544</v>
      </c>
      <c r="F74" s="27" t="s">
        <v>16545</v>
      </c>
      <c r="G74" s="27" t="s">
        <v>16546</v>
      </c>
      <c r="H74" s="27" t="s">
        <v>16582</v>
      </c>
      <c r="I74" s="27"/>
      <c r="J74" s="27"/>
      <c r="K74" s="27"/>
      <c r="L74" s="27"/>
      <c r="N74" s="27"/>
      <c r="T74" s="28" t="str">
        <f>LOOKUP(1,1/(Table1[[#This Row],[Level_0]:[Level 15]]&gt;0),(Table1[[#This Row],[Level_0]:[Level 15]]))</f>
        <v>8231000000 - [Inc f. FairValCha DebtInst FVOpt FVtPL]</v>
      </c>
      <c r="U74" s="22">
        <v>69</v>
      </c>
      <c r="W74" s="13" t="str">
        <f>LOOKUP(1,1/(Table1[[#This Row],[Level_0]:[Level 15]]&gt;0),(Table1[[#This Row],[Level_0]:[Level 15]]))</f>
        <v>8231000000 - [Inc f. FairValCha DebtInst FVOpt FVtPL]</v>
      </c>
    </row>
    <row r="75" spans="1:23" hidden="1" x14ac:dyDescent="0.25">
      <c r="A75">
        <v>8221000000</v>
      </c>
      <c r="B75" s="16" t="s">
        <v>21993</v>
      </c>
      <c r="C75" s="16" t="e">
        <f>VLOOKUP(Table1[[#This Row],[Node]],Parent!A:B,2,0)</f>
        <v>#N/A</v>
      </c>
      <c r="D75" s="25" t="s">
        <v>19346</v>
      </c>
      <c r="E75" s="26" t="s">
        <v>16544</v>
      </c>
      <c r="F75" s="27" t="s">
        <v>16545</v>
      </c>
      <c r="G75" s="27" t="s">
        <v>16546</v>
      </c>
      <c r="H75" s="27" t="s">
        <v>16583</v>
      </c>
      <c r="I75" s="27"/>
      <c r="J75" s="27"/>
      <c r="K75" s="27"/>
      <c r="L75" s="27"/>
      <c r="N75" s="27"/>
      <c r="T75" s="28" t="str">
        <f>LOOKUP(1,1/(Table1[[#This Row],[Level_0]:[Level 15]]&gt;0),(Table1[[#This Row],[Level_0]:[Level 15]]))</f>
        <v>8221000000 - [Inc f. Recycling Debt Inst FVOCI]</v>
      </c>
      <c r="U75" s="22">
        <v>70</v>
      </c>
      <c r="W75" s="13" t="str">
        <f>LOOKUP(1,1/(Table1[[#This Row],[Level_0]:[Level 15]]&gt;0),(Table1[[#This Row],[Level_0]:[Level 15]]))</f>
        <v>8221000000 - [Inc f. Recycling Debt Inst FVOCI]</v>
      </c>
    </row>
    <row r="76" spans="1:23" hidden="1" x14ac:dyDescent="0.25">
      <c r="A76">
        <v>8220000000</v>
      </c>
      <c r="B76" s="16" t="s">
        <v>21992</v>
      </c>
      <c r="C76" s="16" t="e">
        <f>VLOOKUP(Table1[[#This Row],[Node]],Parent!A:B,2,0)</f>
        <v>#N/A</v>
      </c>
      <c r="D76" s="25" t="s">
        <v>19346</v>
      </c>
      <c r="E76" s="26" t="s">
        <v>16544</v>
      </c>
      <c r="F76" s="27" t="s">
        <v>16545</v>
      </c>
      <c r="G76" s="27" t="s">
        <v>16546</v>
      </c>
      <c r="H76" s="27" t="s">
        <v>16584</v>
      </c>
      <c r="I76" s="27"/>
      <c r="J76" s="27"/>
      <c r="K76" s="27"/>
      <c r="L76" s="27"/>
      <c r="N76" s="27"/>
      <c r="T76" s="28" t="str">
        <f>LOOKUP(1,1/(Table1[[#This Row],[Level_0]:[Level 15]]&gt;0),(Table1[[#This Row],[Level_0]:[Level 15]]))</f>
        <v>8220000000 - [Inc f. FairValChanges Debt Inst FVtPL]</v>
      </c>
      <c r="U76" s="22">
        <v>71</v>
      </c>
      <c r="W76" s="13" t="str">
        <f>LOOKUP(1,1/(Table1[[#This Row],[Level_0]:[Level 15]]&gt;0),(Table1[[#This Row],[Level_0]:[Level 15]]))</f>
        <v>8220000000 - [Inc f. FairValChanges Debt Inst FVtPL]</v>
      </c>
    </row>
    <row r="77" spans="1:23" hidden="1" x14ac:dyDescent="0.25">
      <c r="A77">
        <v>8202000000</v>
      </c>
      <c r="B77" s="16" t="s">
        <v>21990</v>
      </c>
      <c r="C77" s="16" t="e">
        <f>VLOOKUP(Table1[[#This Row],[Node]],Parent!A:B,2,0)</f>
        <v>#N/A</v>
      </c>
      <c r="D77" s="25" t="s">
        <v>19346</v>
      </c>
      <c r="E77" s="26" t="s">
        <v>16544</v>
      </c>
      <c r="F77" s="27" t="s">
        <v>16545</v>
      </c>
      <c r="G77" s="27" t="s">
        <v>16546</v>
      </c>
      <c r="H77" s="27" t="s">
        <v>16585</v>
      </c>
      <c r="I77" s="27"/>
      <c r="J77" s="27"/>
      <c r="K77" s="27"/>
      <c r="L77" s="27"/>
      <c r="N77" s="27"/>
      <c r="T77" s="28" t="str">
        <f>LOOKUP(1,1/(Table1[[#This Row],[Level_0]:[Level 15]]&gt;0),(Table1[[#This Row],[Level_0]:[Level 15]]))</f>
        <v>8202000000 - [InterInc Result-InterRateSwap-CFH-Unreal]</v>
      </c>
      <c r="U77" s="22">
        <v>72</v>
      </c>
      <c r="W77" s="13" t="str">
        <f>LOOKUP(1,1/(Table1[[#This Row],[Level_0]:[Level 15]]&gt;0),(Table1[[#This Row],[Level_0]:[Level 15]]))</f>
        <v>8202000000 - [InterInc Result-InterRateSwap-CFH-Unreal]</v>
      </c>
    </row>
    <row r="78" spans="1:23" hidden="1" x14ac:dyDescent="0.25">
      <c r="A78">
        <v>8200000000</v>
      </c>
      <c r="B78" s="16" t="s">
        <v>21989</v>
      </c>
      <c r="C78" s="16" t="e">
        <f>VLOOKUP(Table1[[#This Row],[Node]],Parent!A:B,2,0)</f>
        <v>#N/A</v>
      </c>
      <c r="D78" s="25" t="s">
        <v>19346</v>
      </c>
      <c r="E78" s="26" t="s">
        <v>16544</v>
      </c>
      <c r="F78" s="27" t="s">
        <v>16545</v>
      </c>
      <c r="G78" s="27" t="s">
        <v>16546</v>
      </c>
      <c r="H78" s="27" t="s">
        <v>16586</v>
      </c>
      <c r="I78" s="27"/>
      <c r="J78" s="27"/>
      <c r="K78" s="27"/>
      <c r="L78" s="27"/>
      <c r="N78" s="27"/>
      <c r="T78" s="28" t="str">
        <f>LOOKUP(1,1/(Table1[[#This Row],[Level_0]:[Level 15]]&gt;0),(Table1[[#This Row],[Level_0]:[Level 15]]))</f>
        <v>8200000000 - [Inc Change in Value of Inter Derivat]</v>
      </c>
      <c r="U78" s="22">
        <v>73</v>
      </c>
      <c r="W78" s="13" t="str">
        <f>LOOKUP(1,1/(Table1[[#This Row],[Level_0]:[Level 15]]&gt;0),(Table1[[#This Row],[Level_0]:[Level 15]]))</f>
        <v>8200000000 - [Inc Change in Value of Inter Derivat]</v>
      </c>
    </row>
    <row r="79" spans="1:23" hidden="1" x14ac:dyDescent="0.25">
      <c r="A79">
        <v>8170000000</v>
      </c>
      <c r="B79" s="16" t="s">
        <v>21988</v>
      </c>
      <c r="C79" s="16" t="e">
        <f>VLOOKUP(Table1[[#This Row],[Node]],Parent!A:B,2,0)</f>
        <v>#N/A</v>
      </c>
      <c r="D79" s="25" t="s">
        <v>19346</v>
      </c>
      <c r="E79" s="26" t="s">
        <v>16544</v>
      </c>
      <c r="F79" s="27" t="s">
        <v>16545</v>
      </c>
      <c r="G79" s="27" t="s">
        <v>16546</v>
      </c>
      <c r="H79" s="27" t="s">
        <v>16587</v>
      </c>
      <c r="I79" s="27"/>
      <c r="J79" s="27"/>
      <c r="K79" s="27"/>
      <c r="L79" s="27"/>
      <c r="N79" s="27"/>
      <c r="T79" s="28" t="str">
        <f>LOOKUP(1,1/(Table1[[#This Row],[Level_0]:[Level 15]]&gt;0),(Table1[[#This Row],[Level_0]:[Level 15]]))</f>
        <v>8170000000 - [Interest Income from Finance Lease]</v>
      </c>
      <c r="U79" s="22">
        <v>74</v>
      </c>
      <c r="W79" s="13" t="str">
        <f>LOOKUP(1,1/(Table1[[#This Row],[Level_0]:[Level 15]]&gt;0),(Table1[[#This Row],[Level_0]:[Level 15]]))</f>
        <v>8170000000 - [Interest Income from Finance Lease]</v>
      </c>
    </row>
    <row r="80" spans="1:23" hidden="1" x14ac:dyDescent="0.25">
      <c r="A80">
        <v>8130000000</v>
      </c>
      <c r="B80" s="16" t="s">
        <v>21983</v>
      </c>
      <c r="C80" s="16" t="e">
        <f>VLOOKUP(Table1[[#This Row],[Node]],Parent!A:B,2,0)</f>
        <v>#N/A</v>
      </c>
      <c r="D80" s="25" t="s">
        <v>19346</v>
      </c>
      <c r="E80" s="26" t="s">
        <v>16544</v>
      </c>
      <c r="F80" s="27" t="s">
        <v>16545</v>
      </c>
      <c r="G80" s="27" t="s">
        <v>16546</v>
      </c>
      <c r="H80" s="27" t="s">
        <v>16588</v>
      </c>
      <c r="I80" s="27"/>
      <c r="J80" s="27"/>
      <c r="K80" s="27"/>
      <c r="L80" s="27"/>
      <c r="N80" s="27"/>
      <c r="T80" s="28" t="str">
        <f>LOOKUP(1,1/(Table1[[#This Row],[Level_0]:[Level 15]]&gt;0),(Table1[[#This Row],[Level_0]:[Level 15]]))</f>
        <v>8130000000 - [Interest Income (Int Derivatives) Accrue]</v>
      </c>
      <c r="U80" s="22">
        <v>75</v>
      </c>
      <c r="W80" s="13" t="str">
        <f>LOOKUP(1,1/(Table1[[#This Row],[Level_0]:[Level 15]]&gt;0),(Table1[[#This Row],[Level_0]:[Level 15]]))</f>
        <v>8130000000 - [Interest Income (Int Derivatives) Accrue]</v>
      </c>
    </row>
    <row r="81" spans="1:23" hidden="1" x14ac:dyDescent="0.25">
      <c r="A81">
        <v>8100010001</v>
      </c>
      <c r="B81" s="16" t="s">
        <v>21973</v>
      </c>
      <c r="C81" s="16" t="e">
        <f>VLOOKUP(Table1[[#This Row],[Node]],Parent!A:B,2,0)</f>
        <v>#N/A</v>
      </c>
      <c r="D81" s="25" t="s">
        <v>19346</v>
      </c>
      <c r="E81" s="26" t="s">
        <v>16544</v>
      </c>
      <c r="F81" s="27" t="s">
        <v>16545</v>
      </c>
      <c r="G81" s="27" t="s">
        <v>16546</v>
      </c>
      <c r="H81" s="27" t="s">
        <v>16589</v>
      </c>
      <c r="I81" s="27"/>
      <c r="J81" s="27"/>
      <c r="K81" s="27"/>
      <c r="L81" s="27"/>
      <c r="N81" s="27"/>
      <c r="T81" s="28" t="str">
        <f>LOOKUP(1,1/(Table1[[#This Row],[Level_0]:[Level 15]]&gt;0),(Table1[[#This Row],[Level_0]:[Level 15]]))</f>
        <v>8100010001 - [Interest Income Paid - IC - Account 1]</v>
      </c>
      <c r="U81" s="22">
        <v>76</v>
      </c>
      <c r="W81" s="13" t="str">
        <f>LOOKUP(1,1/(Table1[[#This Row],[Level_0]:[Level 15]]&gt;0),(Table1[[#This Row],[Level_0]:[Level 15]]))</f>
        <v>8100010001 - [Interest Income Paid - IC - Account 1]</v>
      </c>
    </row>
    <row r="82" spans="1:23" hidden="1" x14ac:dyDescent="0.25">
      <c r="A82">
        <v>8100000002</v>
      </c>
      <c r="B82" s="16" t="s">
        <v>21969</v>
      </c>
      <c r="C82" s="16" t="e">
        <f>VLOOKUP(Table1[[#This Row],[Node]],Parent!A:B,2,0)</f>
        <v>#N/A</v>
      </c>
      <c r="D82" s="25" t="s">
        <v>19346</v>
      </c>
      <c r="E82" s="26" t="s">
        <v>16544</v>
      </c>
      <c r="F82" s="27" t="s">
        <v>16545</v>
      </c>
      <c r="G82" s="27" t="s">
        <v>16546</v>
      </c>
      <c r="H82" s="27" t="s">
        <v>16590</v>
      </c>
      <c r="I82" s="27"/>
      <c r="J82" s="27"/>
      <c r="K82" s="27"/>
      <c r="L82" s="27"/>
      <c r="N82" s="27"/>
      <c r="T82" s="28" t="str">
        <f>LOOKUP(1,1/(Table1[[#This Row],[Level_0]:[Level 15]]&gt;0),(Table1[[#This Row],[Level_0]:[Level 15]]))</f>
        <v>8100000002 - [Interest Income Paid]</v>
      </c>
      <c r="U82" s="22">
        <v>77</v>
      </c>
      <c r="W82" s="13" t="str">
        <f>LOOKUP(1,1/(Table1[[#This Row],[Level_0]:[Level 15]]&gt;0),(Table1[[#This Row],[Level_0]:[Level 15]]))</f>
        <v>8100000002 - [Interest Income Paid]</v>
      </c>
    </row>
    <row r="83" spans="1:23" hidden="1" x14ac:dyDescent="0.25">
      <c r="A83">
        <v>8000007777</v>
      </c>
      <c r="B83" s="16" t="s">
        <v>21968</v>
      </c>
      <c r="C83" s="16" t="e">
        <f>VLOOKUP(Table1[[#This Row],[Node]],Parent!A:B,2,0)</f>
        <v>#N/A</v>
      </c>
      <c r="D83" s="25" t="s">
        <v>19346</v>
      </c>
      <c r="E83" s="26" t="s">
        <v>16544</v>
      </c>
      <c r="F83" s="27" t="s">
        <v>16545</v>
      </c>
      <c r="G83" s="27" t="s">
        <v>16546</v>
      </c>
      <c r="H83" s="27" t="s">
        <v>16591</v>
      </c>
      <c r="I83" s="27"/>
      <c r="J83" s="27"/>
      <c r="K83" s="27"/>
      <c r="L83" s="27"/>
      <c r="N83" s="27"/>
      <c r="T83" s="28" t="str">
        <f>LOOKUP(1,1/(Table1[[#This Row],[Level_0]:[Level 15]]&gt;0),(Table1[[#This Row],[Level_0]:[Level 15]]))</f>
        <v>8000007777 - [DO NOT USE_NCI PnL dummy account]</v>
      </c>
      <c r="U83" s="22">
        <v>78</v>
      </c>
      <c r="W83" s="13" t="str">
        <f>LOOKUP(1,1/(Table1[[#This Row],[Level_0]:[Level 15]]&gt;0),(Table1[[#This Row],[Level_0]:[Level 15]]))</f>
        <v>8000007777 - [DO NOT USE_NCI PnL dummy account]</v>
      </c>
    </row>
    <row r="84" spans="1:23" hidden="1" x14ac:dyDescent="0.25">
      <c r="A84">
        <v>7920000004</v>
      </c>
      <c r="B84" s="16" t="s">
        <v>21948</v>
      </c>
      <c r="C84" s="16" t="e">
        <f>VLOOKUP(Table1[[#This Row],[Node]],Parent!A:B,2,0)</f>
        <v>#N/A</v>
      </c>
      <c r="D84" s="25" t="s">
        <v>19346</v>
      </c>
      <c r="E84" s="26" t="s">
        <v>16544</v>
      </c>
      <c r="F84" s="27" t="s">
        <v>16545</v>
      </c>
      <c r="G84" s="27" t="s">
        <v>16546</v>
      </c>
      <c r="H84" s="27" t="s">
        <v>16592</v>
      </c>
      <c r="I84" s="27"/>
      <c r="J84" s="27"/>
      <c r="K84" s="27"/>
      <c r="L84" s="27"/>
      <c r="N84" s="27"/>
      <c r="T84" s="28" t="str">
        <f>LOOKUP(1,1/(Table1[[#This Row],[Level_0]:[Level 15]]&gt;0),(Table1[[#This Row],[Level_0]:[Level 15]]))</f>
        <v>7920000004 - [AOM - SM DIV R&amp;D Support]</v>
      </c>
      <c r="U84" s="22">
        <v>79</v>
      </c>
      <c r="W84" s="13" t="str">
        <f>LOOKUP(1,1/(Table1[[#This Row],[Level_0]:[Level 15]]&gt;0),(Table1[[#This Row],[Level_0]:[Level 15]]))</f>
        <v>7920000004 - [AOM - SM DIV R&amp;D Support]</v>
      </c>
    </row>
    <row r="85" spans="1:23" hidden="1" x14ac:dyDescent="0.25">
      <c r="A85">
        <v>7920000003</v>
      </c>
      <c r="B85" s="16" t="s">
        <v>21947</v>
      </c>
      <c r="C85" s="16" t="e">
        <f>VLOOKUP(Table1[[#This Row],[Node]],Parent!A:B,2,0)</f>
        <v>#N/A</v>
      </c>
      <c r="D85" s="25" t="s">
        <v>19346</v>
      </c>
      <c r="E85" s="26" t="s">
        <v>16544</v>
      </c>
      <c r="F85" s="27" t="s">
        <v>16545</v>
      </c>
      <c r="G85" s="27" t="s">
        <v>16546</v>
      </c>
      <c r="H85" s="27" t="s">
        <v>16593</v>
      </c>
      <c r="I85" s="27"/>
      <c r="J85" s="27"/>
      <c r="K85" s="27"/>
      <c r="L85" s="27"/>
      <c r="N85" s="27"/>
      <c r="T85" s="28" t="str">
        <f>LOOKUP(1,1/(Table1[[#This Row],[Level_0]:[Level 15]]&gt;0),(Table1[[#This Row],[Level_0]:[Level 15]]))</f>
        <v>7920000003 - [AOM - SM DIV Other Services]</v>
      </c>
      <c r="U85" s="22">
        <v>80</v>
      </c>
      <c r="W85" s="13" t="str">
        <f>LOOKUP(1,1/(Table1[[#This Row],[Level_0]:[Level 15]]&gt;0),(Table1[[#This Row],[Level_0]:[Level 15]]))</f>
        <v>7920000003 - [AOM - SM DIV Other Services]</v>
      </c>
    </row>
    <row r="86" spans="1:23" hidden="1" x14ac:dyDescent="0.25">
      <c r="A86">
        <v>7920000002</v>
      </c>
      <c r="B86" s="16" t="s">
        <v>21946</v>
      </c>
      <c r="C86" s="16" t="e">
        <f>VLOOKUP(Table1[[#This Row],[Node]],Parent!A:B,2,0)</f>
        <v>#N/A</v>
      </c>
      <c r="D86" s="25" t="s">
        <v>19346</v>
      </c>
      <c r="E86" s="26" t="s">
        <v>16544</v>
      </c>
      <c r="F86" s="27" t="s">
        <v>16545</v>
      </c>
      <c r="G86" s="27" t="s">
        <v>16546</v>
      </c>
      <c r="H86" s="27" t="s">
        <v>16594</v>
      </c>
      <c r="I86" s="27"/>
      <c r="J86" s="27"/>
      <c r="K86" s="27"/>
      <c r="L86" s="27"/>
      <c r="N86" s="27"/>
      <c r="T86" s="28" t="str">
        <f>LOOKUP(1,1/(Table1[[#This Row],[Level_0]:[Level 15]]&gt;0),(Table1[[#This Row],[Level_0]:[Level 15]]))</f>
        <v>7920000002 - [AOM SM Analytics 5%]</v>
      </c>
      <c r="U86" s="22">
        <v>81</v>
      </c>
      <c r="W86" s="13" t="str">
        <f>LOOKUP(1,1/(Table1[[#This Row],[Level_0]:[Level 15]]&gt;0),(Table1[[#This Row],[Level_0]:[Level 15]]))</f>
        <v>7920000002 - [AOM SM Analytics 5%]</v>
      </c>
    </row>
    <row r="87" spans="1:23" hidden="1" x14ac:dyDescent="0.25">
      <c r="A87">
        <v>7920000001</v>
      </c>
      <c r="B87" s="16" t="s">
        <v>21945</v>
      </c>
      <c r="C87" s="16" t="e">
        <f>VLOOKUP(Table1[[#This Row],[Node]],Parent!A:B,2,0)</f>
        <v>#N/A</v>
      </c>
      <c r="D87" s="25" t="s">
        <v>19346</v>
      </c>
      <c r="E87" s="26" t="s">
        <v>16544</v>
      </c>
      <c r="F87" s="27" t="s">
        <v>16545</v>
      </c>
      <c r="G87" s="27" t="s">
        <v>16546</v>
      </c>
      <c r="H87" s="27" t="s">
        <v>16595</v>
      </c>
      <c r="I87" s="27"/>
      <c r="J87" s="27"/>
      <c r="K87" s="27"/>
      <c r="L87" s="27"/>
      <c r="N87" s="27"/>
      <c r="T87" s="28" t="str">
        <f>LOOKUP(1,1/(Table1[[#This Row],[Level_0]:[Level 15]]&gt;0),(Table1[[#This Row],[Level_0]:[Level 15]]))</f>
        <v>7920000001 - [AOM - SM DIV Quality &amp; Analytics]</v>
      </c>
      <c r="U87" s="22">
        <v>82</v>
      </c>
      <c r="W87" s="13" t="str">
        <f>LOOKUP(1,1/(Table1[[#This Row],[Level_0]:[Level 15]]&gt;0),(Table1[[#This Row],[Level_0]:[Level 15]]))</f>
        <v>7920000001 - [AOM - SM DIV Quality &amp; Analytics]</v>
      </c>
    </row>
    <row r="88" spans="1:23" hidden="1" x14ac:dyDescent="0.25">
      <c r="A88">
        <v>7824190000</v>
      </c>
      <c r="B88" s="16" t="s">
        <v>21890</v>
      </c>
      <c r="C88" s="16" t="e">
        <f>VLOOKUP(Table1[[#This Row],[Node]],Parent!A:B,2,0)</f>
        <v>#N/A</v>
      </c>
      <c r="D88" s="25" t="s">
        <v>19346</v>
      </c>
      <c r="E88" s="26" t="s">
        <v>16544</v>
      </c>
      <c r="F88" s="27" t="s">
        <v>16545</v>
      </c>
      <c r="G88" s="27" t="s">
        <v>16546</v>
      </c>
      <c r="H88" s="27" t="s">
        <v>16596</v>
      </c>
      <c r="I88" s="27"/>
      <c r="J88" s="27"/>
      <c r="K88" s="27"/>
      <c r="L88" s="27"/>
      <c r="N88" s="27"/>
      <c r="T88" s="28" t="str">
        <f>LOOKUP(1,1/(Table1[[#This Row],[Level_0]:[Level 15]]&gt;0),(Table1[[#This Row],[Level_0]:[Level 15]]))</f>
        <v>7824190000 - [APA Remaining other expense IC]</v>
      </c>
      <c r="U88" s="22">
        <v>83</v>
      </c>
      <c r="W88" s="13" t="str">
        <f>LOOKUP(1,1/(Table1[[#This Row],[Level_0]:[Level 15]]&gt;0),(Table1[[#This Row],[Level_0]:[Level 15]]))</f>
        <v>7824190000 - [APA Remaining other expense IC]</v>
      </c>
    </row>
    <row r="89" spans="1:23" hidden="1" x14ac:dyDescent="0.25">
      <c r="A89">
        <v>7820140007</v>
      </c>
      <c r="B89" s="16" t="s">
        <v>21810</v>
      </c>
      <c r="C89" s="16" t="e">
        <f>VLOOKUP(Table1[[#This Row],[Node]],Parent!A:B,2,0)</f>
        <v>#N/A</v>
      </c>
      <c r="D89" s="25" t="s">
        <v>19346</v>
      </c>
      <c r="E89" s="26" t="s">
        <v>16544</v>
      </c>
      <c r="F89" s="27" t="s">
        <v>16545</v>
      </c>
      <c r="G89" s="27" t="s">
        <v>16546</v>
      </c>
      <c r="H89" s="27" t="s">
        <v>16597</v>
      </c>
      <c r="I89" s="27"/>
      <c r="J89" s="27"/>
      <c r="K89" s="27"/>
      <c r="L89" s="27"/>
      <c r="N89" s="27"/>
      <c r="T89" s="28" t="str">
        <f>LOOKUP(1,1/(Table1[[#This Row],[Level_0]:[Level 15]]&gt;0),(Table1[[#This Row],[Level_0]:[Level 15]]))</f>
        <v>7820140007 - [APA Other M&amp;S -7]</v>
      </c>
      <c r="U89" s="22">
        <v>84</v>
      </c>
      <c r="W89" s="13" t="str">
        <f>LOOKUP(1,1/(Table1[[#This Row],[Level_0]:[Level 15]]&gt;0),(Table1[[#This Row],[Level_0]:[Level 15]]))</f>
        <v>7820140007 - [APA Other M&amp;S -7]</v>
      </c>
    </row>
    <row r="90" spans="1:23" hidden="1" x14ac:dyDescent="0.25">
      <c r="A90">
        <v>7820140006</v>
      </c>
      <c r="B90" s="16" t="s">
        <v>21809</v>
      </c>
      <c r="C90" s="16" t="e">
        <f>VLOOKUP(Table1[[#This Row],[Node]],Parent!A:B,2,0)</f>
        <v>#N/A</v>
      </c>
      <c r="D90" s="25" t="s">
        <v>19346</v>
      </c>
      <c r="E90" s="26" t="s">
        <v>16544</v>
      </c>
      <c r="F90" s="27" t="s">
        <v>16545</v>
      </c>
      <c r="G90" s="27" t="s">
        <v>16546</v>
      </c>
      <c r="H90" s="27" t="s">
        <v>16598</v>
      </c>
      <c r="I90" s="27"/>
      <c r="J90" s="27"/>
      <c r="K90" s="27"/>
      <c r="L90" s="27"/>
      <c r="N90" s="27"/>
      <c r="T90" s="28" t="str">
        <f>LOOKUP(1,1/(Table1[[#This Row],[Level_0]:[Level 15]]&gt;0),(Table1[[#This Row],[Level_0]:[Level 15]]))</f>
        <v>7820140006 - [APA Other M&amp;S - 6]</v>
      </c>
      <c r="U90" s="22">
        <v>85</v>
      </c>
      <c r="W90" s="13" t="str">
        <f>LOOKUP(1,1/(Table1[[#This Row],[Level_0]:[Level 15]]&gt;0),(Table1[[#This Row],[Level_0]:[Level 15]]))</f>
        <v>7820140006 - [APA Other M&amp;S - 6]</v>
      </c>
    </row>
    <row r="91" spans="1:23" hidden="1" x14ac:dyDescent="0.25">
      <c r="A91">
        <v>7820140005</v>
      </c>
      <c r="B91" s="16" t="s">
        <v>21808</v>
      </c>
      <c r="C91" s="16" t="e">
        <f>VLOOKUP(Table1[[#This Row],[Node]],Parent!A:B,2,0)</f>
        <v>#N/A</v>
      </c>
      <c r="D91" s="25" t="s">
        <v>19346</v>
      </c>
      <c r="E91" s="26" t="s">
        <v>16544</v>
      </c>
      <c r="F91" s="27" t="s">
        <v>16545</v>
      </c>
      <c r="G91" s="27" t="s">
        <v>16546</v>
      </c>
      <c r="H91" s="27" t="s">
        <v>16599</v>
      </c>
      <c r="I91" s="27"/>
      <c r="J91" s="27"/>
      <c r="K91" s="27"/>
      <c r="L91" s="27"/>
      <c r="N91" s="27"/>
      <c r="T91" s="28" t="str">
        <f>LOOKUP(1,1/(Table1[[#This Row],[Level_0]:[Level 15]]&gt;0),(Table1[[#This Row],[Level_0]:[Level 15]]))</f>
        <v>7820140005 - [APA Other M&amp;S - 5]</v>
      </c>
      <c r="U91" s="22">
        <v>86</v>
      </c>
      <c r="W91" s="13" t="str">
        <f>LOOKUP(1,1/(Table1[[#This Row],[Level_0]:[Level 15]]&gt;0),(Table1[[#This Row],[Level_0]:[Level 15]]))</f>
        <v>7820140005 - [APA Other M&amp;S - 5]</v>
      </c>
    </row>
    <row r="92" spans="1:23" hidden="1" x14ac:dyDescent="0.25">
      <c r="A92">
        <v>7820140004</v>
      </c>
      <c r="B92" s="16" t="s">
        <v>21807</v>
      </c>
      <c r="C92" s="16" t="e">
        <f>VLOOKUP(Table1[[#This Row],[Node]],Parent!A:B,2,0)</f>
        <v>#N/A</v>
      </c>
      <c r="D92" s="25" t="s">
        <v>19346</v>
      </c>
      <c r="E92" s="26" t="s">
        <v>16544</v>
      </c>
      <c r="F92" s="27" t="s">
        <v>16545</v>
      </c>
      <c r="G92" s="27" t="s">
        <v>16546</v>
      </c>
      <c r="H92" s="27" t="s">
        <v>16600</v>
      </c>
      <c r="I92" s="27"/>
      <c r="J92" s="27"/>
      <c r="K92" s="27"/>
      <c r="L92" s="27"/>
      <c r="N92" s="27"/>
      <c r="T92" s="28" t="str">
        <f>LOOKUP(1,1/(Table1[[#This Row],[Level_0]:[Level 15]]&gt;0),(Table1[[#This Row],[Level_0]:[Level 15]]))</f>
        <v>7820140004 - [APA Other M&amp;S - 4]</v>
      </c>
      <c r="U92" s="22">
        <v>87</v>
      </c>
      <c r="W92" s="13" t="str">
        <f>LOOKUP(1,1/(Table1[[#This Row],[Level_0]:[Level 15]]&gt;0),(Table1[[#This Row],[Level_0]:[Level 15]]))</f>
        <v>7820140004 - [APA Other M&amp;S - 4]</v>
      </c>
    </row>
    <row r="93" spans="1:23" hidden="1" x14ac:dyDescent="0.25">
      <c r="A93">
        <v>7820140003</v>
      </c>
      <c r="B93" s="16" t="s">
        <v>21806</v>
      </c>
      <c r="C93" s="16" t="e">
        <f>VLOOKUP(Table1[[#This Row],[Node]],Parent!A:B,2,0)</f>
        <v>#N/A</v>
      </c>
      <c r="D93" s="25" t="s">
        <v>19346</v>
      </c>
      <c r="E93" s="26" t="s">
        <v>16544</v>
      </c>
      <c r="F93" s="27" t="s">
        <v>16545</v>
      </c>
      <c r="G93" s="27" t="s">
        <v>16546</v>
      </c>
      <c r="H93" s="27" t="s">
        <v>16601</v>
      </c>
      <c r="I93" s="27"/>
      <c r="J93" s="27"/>
      <c r="K93" s="27"/>
      <c r="L93" s="27"/>
      <c r="N93" s="27"/>
      <c r="T93" s="28" t="str">
        <f>LOOKUP(1,1/(Table1[[#This Row],[Level_0]:[Level 15]]&gt;0),(Table1[[#This Row],[Level_0]:[Level 15]]))</f>
        <v>7820140003 - [APA Other M&amp;S - 3]</v>
      </c>
      <c r="U93" s="22">
        <v>88</v>
      </c>
      <c r="W93" s="13" t="str">
        <f>LOOKUP(1,1/(Table1[[#This Row],[Level_0]:[Level 15]]&gt;0),(Table1[[#This Row],[Level_0]:[Level 15]]))</f>
        <v>7820140003 - [APA Other M&amp;S - 3]</v>
      </c>
    </row>
    <row r="94" spans="1:23" hidden="1" x14ac:dyDescent="0.25">
      <c r="A94">
        <v>7820140002</v>
      </c>
      <c r="B94" s="16" t="s">
        <v>21805</v>
      </c>
      <c r="C94" s="16" t="e">
        <f>VLOOKUP(Table1[[#This Row],[Node]],Parent!A:B,2,0)</f>
        <v>#N/A</v>
      </c>
      <c r="D94" s="25" t="s">
        <v>19346</v>
      </c>
      <c r="E94" s="26" t="s">
        <v>16544</v>
      </c>
      <c r="F94" s="27" t="s">
        <v>16545</v>
      </c>
      <c r="G94" s="27" t="s">
        <v>16546</v>
      </c>
      <c r="H94" s="27" t="s">
        <v>16602</v>
      </c>
      <c r="I94" s="27"/>
      <c r="J94" s="27"/>
      <c r="K94" s="27"/>
      <c r="L94" s="27"/>
      <c r="N94" s="27"/>
      <c r="T94" s="28" t="str">
        <f>LOOKUP(1,1/(Table1[[#This Row],[Level_0]:[Level 15]]&gt;0),(Table1[[#This Row],[Level_0]:[Level 15]]))</f>
        <v>7820140002 - [APA Other M&amp;S - 2]</v>
      </c>
      <c r="U94" s="22">
        <v>89</v>
      </c>
      <c r="W94" s="13" t="str">
        <f>LOOKUP(1,1/(Table1[[#This Row],[Level_0]:[Level 15]]&gt;0),(Table1[[#This Row],[Level_0]:[Level 15]]))</f>
        <v>7820140002 - [APA Other M&amp;S - 2]</v>
      </c>
    </row>
    <row r="95" spans="1:23" hidden="1" x14ac:dyDescent="0.25">
      <c r="A95">
        <v>7811200000</v>
      </c>
      <c r="B95" s="16" t="s">
        <v>21781</v>
      </c>
      <c r="C95" s="16" t="e">
        <f>VLOOKUP(Table1[[#This Row],[Node]],Parent!A:B,2,0)</f>
        <v>#N/A</v>
      </c>
      <c r="D95" s="25" t="s">
        <v>19346</v>
      </c>
      <c r="E95" s="26" t="s">
        <v>16544</v>
      </c>
      <c r="F95" s="27" t="s">
        <v>16545</v>
      </c>
      <c r="G95" s="27" t="s">
        <v>16546</v>
      </c>
      <c r="H95" s="27" t="s">
        <v>16603</v>
      </c>
      <c r="I95" s="27"/>
      <c r="J95" s="27"/>
      <c r="K95" s="27"/>
      <c r="L95" s="27"/>
      <c r="N95" s="27"/>
      <c r="T95" s="28" t="str">
        <f>LOOKUP(1,1/(Table1[[#This Row],[Level_0]:[Level 15]]&gt;0),(Table1[[#This Row],[Level_0]:[Level 15]]))</f>
        <v>7811200000 - [APA Allocated MGF COGS]</v>
      </c>
      <c r="U95" s="22">
        <v>90</v>
      </c>
      <c r="W95" s="13" t="str">
        <f>LOOKUP(1,1/(Table1[[#This Row],[Level_0]:[Level 15]]&gt;0),(Table1[[#This Row],[Level_0]:[Level 15]]))</f>
        <v>7811200000 - [APA Allocated MGF COGS]</v>
      </c>
    </row>
    <row r="96" spans="1:23" hidden="1" x14ac:dyDescent="0.25">
      <c r="A96">
        <v>7721121400</v>
      </c>
      <c r="B96" s="16" t="s">
        <v>21733</v>
      </c>
      <c r="C96" s="16" t="e">
        <f>VLOOKUP(Table1[[#This Row],[Node]],Parent!A:B,2,0)</f>
        <v>#N/A</v>
      </c>
      <c r="D96" s="25" t="s">
        <v>19346</v>
      </c>
      <c r="E96" s="26" t="s">
        <v>16544</v>
      </c>
      <c r="F96" s="27" t="s">
        <v>16545</v>
      </c>
      <c r="G96" s="27" t="s">
        <v>16546</v>
      </c>
      <c r="H96" s="27" t="s">
        <v>16604</v>
      </c>
      <c r="I96" s="27"/>
      <c r="J96" s="27"/>
      <c r="K96" s="27"/>
      <c r="L96" s="27"/>
      <c r="N96" s="27"/>
      <c r="T96" s="28" t="str">
        <f>LOOKUP(1,1/(Table1[[#This Row],[Level_0]:[Level 15]]&gt;0),(Table1[[#This Row],[Level_0]:[Level 15]]))</f>
        <v>7721121400 - [SPA Application technology global]</v>
      </c>
      <c r="U96" s="22">
        <v>91</v>
      </c>
      <c r="W96" s="13" t="str">
        <f>LOOKUP(1,1/(Table1[[#This Row],[Level_0]:[Level 15]]&gt;0),(Table1[[#This Row],[Level_0]:[Level 15]]))</f>
        <v>7721121400 - [SPA Application technology global]</v>
      </c>
    </row>
    <row r="97" spans="1:23" hidden="1" x14ac:dyDescent="0.25">
      <c r="A97">
        <v>7720152100</v>
      </c>
      <c r="B97" s="16" t="s">
        <v>21716</v>
      </c>
      <c r="C97" s="16" t="e">
        <f>VLOOKUP(Table1[[#This Row],[Node]],Parent!A:B,2,0)</f>
        <v>#N/A</v>
      </c>
      <c r="D97" s="25" t="s">
        <v>19346</v>
      </c>
      <c r="E97" s="26" t="s">
        <v>16544</v>
      </c>
      <c r="F97" s="27" t="s">
        <v>16545</v>
      </c>
      <c r="G97" s="27" t="s">
        <v>16546</v>
      </c>
      <c r="H97" s="27" t="s">
        <v>16605</v>
      </c>
      <c r="I97" s="27"/>
      <c r="J97" s="27"/>
      <c r="K97" s="27"/>
      <c r="L97" s="27"/>
      <c r="N97" s="27"/>
      <c r="T97" s="28" t="str">
        <f>LOOKUP(1,1/(Table1[[#This Row],[Level_0]:[Level 15]]&gt;0),(Table1[[#This Row],[Level_0]:[Level 15]]))</f>
        <v>7720152100 - [SPA ICON WH &amp; Distrib.]</v>
      </c>
      <c r="U97" s="22">
        <v>92</v>
      </c>
      <c r="W97" s="13" t="str">
        <f>LOOKUP(1,1/(Table1[[#This Row],[Level_0]:[Level 15]]&gt;0),(Table1[[#This Row],[Level_0]:[Level 15]]))</f>
        <v>7720152100 - [SPA ICON WH &amp; Distrib.]</v>
      </c>
    </row>
    <row r="98" spans="1:23" hidden="1" x14ac:dyDescent="0.25">
      <c r="A98">
        <v>7720140007</v>
      </c>
      <c r="B98" s="16" t="s">
        <v>21714</v>
      </c>
      <c r="C98" s="16" t="e">
        <f>VLOOKUP(Table1[[#This Row],[Node]],Parent!A:B,2,0)</f>
        <v>#N/A</v>
      </c>
      <c r="D98" s="25" t="s">
        <v>19346</v>
      </c>
      <c r="E98" s="26" t="s">
        <v>16544</v>
      </c>
      <c r="F98" s="27" t="s">
        <v>16545</v>
      </c>
      <c r="G98" s="27" t="s">
        <v>16546</v>
      </c>
      <c r="H98" s="27" t="s">
        <v>16606</v>
      </c>
      <c r="I98" s="27"/>
      <c r="J98" s="27"/>
      <c r="K98" s="27"/>
      <c r="L98" s="27"/>
      <c r="N98" s="27"/>
      <c r="T98" s="28" t="str">
        <f>LOOKUP(1,1/(Table1[[#This Row],[Level_0]:[Level 15]]&gt;0),(Table1[[#This Row],[Level_0]:[Level 15]]))</f>
        <v>7720140007 - [SPA Other M&amp;S -7]</v>
      </c>
      <c r="U98" s="22">
        <v>93</v>
      </c>
      <c r="W98" s="13" t="str">
        <f>LOOKUP(1,1/(Table1[[#This Row],[Level_0]:[Level 15]]&gt;0),(Table1[[#This Row],[Level_0]:[Level 15]]))</f>
        <v>7720140007 - [SPA Other M&amp;S -7]</v>
      </c>
    </row>
    <row r="99" spans="1:23" hidden="1" x14ac:dyDescent="0.25">
      <c r="A99">
        <v>7720140006</v>
      </c>
      <c r="B99" s="16" t="s">
        <v>21713</v>
      </c>
      <c r="C99" s="16" t="e">
        <f>VLOOKUP(Table1[[#This Row],[Node]],Parent!A:B,2,0)</f>
        <v>#N/A</v>
      </c>
      <c r="D99" s="25" t="s">
        <v>19346</v>
      </c>
      <c r="E99" s="26" t="s">
        <v>16544</v>
      </c>
      <c r="F99" s="27" t="s">
        <v>16545</v>
      </c>
      <c r="G99" s="27" t="s">
        <v>16546</v>
      </c>
      <c r="H99" s="27" t="s">
        <v>16607</v>
      </c>
      <c r="I99" s="27"/>
      <c r="J99" s="27"/>
      <c r="K99" s="27"/>
      <c r="L99" s="27"/>
      <c r="N99" s="27"/>
      <c r="T99" s="28" t="str">
        <f>LOOKUP(1,1/(Table1[[#This Row],[Level_0]:[Level 15]]&gt;0),(Table1[[#This Row],[Level_0]:[Level 15]]))</f>
        <v>7720140006 - [SPA Other M&amp;S - 6]</v>
      </c>
      <c r="U99" s="22">
        <v>94</v>
      </c>
      <c r="W99" s="13" t="str">
        <f>LOOKUP(1,1/(Table1[[#This Row],[Level_0]:[Level 15]]&gt;0),(Table1[[#This Row],[Level_0]:[Level 15]]))</f>
        <v>7720140006 - [SPA Other M&amp;S - 6]</v>
      </c>
    </row>
    <row r="100" spans="1:23" hidden="1" x14ac:dyDescent="0.25">
      <c r="A100">
        <v>7720140005</v>
      </c>
      <c r="B100" s="16" t="s">
        <v>21712</v>
      </c>
      <c r="C100" s="16" t="e">
        <f>VLOOKUP(Table1[[#This Row],[Node]],Parent!A:B,2,0)</f>
        <v>#N/A</v>
      </c>
      <c r="D100" s="25" t="s">
        <v>19346</v>
      </c>
      <c r="E100" s="26" t="s">
        <v>16544</v>
      </c>
      <c r="F100" s="27" t="s">
        <v>16545</v>
      </c>
      <c r="G100" s="27" t="s">
        <v>16546</v>
      </c>
      <c r="H100" s="27" t="s">
        <v>16608</v>
      </c>
      <c r="I100" s="27"/>
      <c r="J100" s="27"/>
      <c r="K100" s="27"/>
      <c r="L100" s="27"/>
      <c r="N100" s="27"/>
      <c r="T100" s="28" t="str">
        <f>LOOKUP(1,1/(Table1[[#This Row],[Level_0]:[Level 15]]&gt;0),(Table1[[#This Row],[Level_0]:[Level 15]]))</f>
        <v>7720140005 - [SPA Other M&amp;S - 5]</v>
      </c>
      <c r="U100" s="22">
        <v>95</v>
      </c>
      <c r="W100" s="13" t="str">
        <f>LOOKUP(1,1/(Table1[[#This Row],[Level_0]:[Level 15]]&gt;0),(Table1[[#This Row],[Level_0]:[Level 15]]))</f>
        <v>7720140005 - [SPA Other M&amp;S - 5]</v>
      </c>
    </row>
    <row r="101" spans="1:23" hidden="1" x14ac:dyDescent="0.25">
      <c r="A101">
        <v>7720140004</v>
      </c>
      <c r="B101" s="16" t="s">
        <v>21711</v>
      </c>
      <c r="C101" s="16" t="e">
        <f>VLOOKUP(Table1[[#This Row],[Node]],Parent!A:B,2,0)</f>
        <v>#N/A</v>
      </c>
      <c r="D101" s="25" t="s">
        <v>19346</v>
      </c>
      <c r="E101" s="26" t="s">
        <v>16544</v>
      </c>
      <c r="F101" s="27" t="s">
        <v>16545</v>
      </c>
      <c r="G101" s="27" t="s">
        <v>16546</v>
      </c>
      <c r="H101" s="27" t="s">
        <v>16609</v>
      </c>
      <c r="I101" s="27"/>
      <c r="J101" s="27"/>
      <c r="K101" s="27"/>
      <c r="L101" s="27"/>
      <c r="N101" s="27"/>
      <c r="T101" s="28" t="str">
        <f>LOOKUP(1,1/(Table1[[#This Row],[Level_0]:[Level 15]]&gt;0),(Table1[[#This Row],[Level_0]:[Level 15]]))</f>
        <v>7720140004 - [SPA Other M&amp;S - 4]</v>
      </c>
      <c r="U101" s="22">
        <v>96</v>
      </c>
      <c r="W101" s="13" t="str">
        <f>LOOKUP(1,1/(Table1[[#This Row],[Level_0]:[Level 15]]&gt;0),(Table1[[#This Row],[Level_0]:[Level 15]]))</f>
        <v>7720140004 - [SPA Other M&amp;S - 4]</v>
      </c>
    </row>
    <row r="102" spans="1:23" hidden="1" x14ac:dyDescent="0.25">
      <c r="A102">
        <v>7720140003</v>
      </c>
      <c r="B102" s="16" t="s">
        <v>21710</v>
      </c>
      <c r="C102" s="16" t="e">
        <f>VLOOKUP(Table1[[#This Row],[Node]],Parent!A:B,2,0)</f>
        <v>#N/A</v>
      </c>
      <c r="D102" s="25" t="s">
        <v>19346</v>
      </c>
      <c r="E102" s="26" t="s">
        <v>16544</v>
      </c>
      <c r="F102" s="27" t="s">
        <v>16545</v>
      </c>
      <c r="G102" s="27" t="s">
        <v>16546</v>
      </c>
      <c r="H102" s="27" t="s">
        <v>16610</v>
      </c>
      <c r="I102" s="27"/>
      <c r="J102" s="27"/>
      <c r="K102" s="27"/>
      <c r="L102" s="27"/>
      <c r="N102" s="27"/>
      <c r="T102" s="28" t="str">
        <f>LOOKUP(1,1/(Table1[[#This Row],[Level_0]:[Level 15]]&gt;0),(Table1[[#This Row],[Level_0]:[Level 15]]))</f>
        <v>7720140003 - [SPA Other M&amp;S - 3]</v>
      </c>
      <c r="U102" s="22">
        <v>97</v>
      </c>
      <c r="W102" s="13" t="str">
        <f>LOOKUP(1,1/(Table1[[#This Row],[Level_0]:[Level 15]]&gt;0),(Table1[[#This Row],[Level_0]:[Level 15]]))</f>
        <v>7720140003 - [SPA Other M&amp;S - 3]</v>
      </c>
    </row>
    <row r="103" spans="1:23" hidden="1" x14ac:dyDescent="0.25">
      <c r="A103">
        <v>7720140002</v>
      </c>
      <c r="B103" s="16" t="s">
        <v>21709</v>
      </c>
      <c r="C103" s="16" t="e">
        <f>VLOOKUP(Table1[[#This Row],[Node]],Parent!A:B,2,0)</f>
        <v>#N/A</v>
      </c>
      <c r="D103" s="25" t="s">
        <v>19346</v>
      </c>
      <c r="E103" s="26" t="s">
        <v>16544</v>
      </c>
      <c r="F103" s="27" t="s">
        <v>16545</v>
      </c>
      <c r="G103" s="27" t="s">
        <v>16546</v>
      </c>
      <c r="H103" s="27" t="s">
        <v>16611</v>
      </c>
      <c r="I103" s="27"/>
      <c r="J103" s="27"/>
      <c r="K103" s="27"/>
      <c r="L103" s="27"/>
      <c r="N103" s="27"/>
      <c r="T103" s="28" t="str">
        <f>LOOKUP(1,1/(Table1[[#This Row],[Level_0]:[Level 15]]&gt;0),(Table1[[#This Row],[Level_0]:[Level 15]]))</f>
        <v>7720140002 - [SPA Other M&amp;S - 2]</v>
      </c>
      <c r="U103" s="22">
        <v>98</v>
      </c>
      <c r="W103" s="13" t="str">
        <f>LOOKUP(1,1/(Table1[[#This Row],[Level_0]:[Level 15]]&gt;0),(Table1[[#This Row],[Level_0]:[Level 15]]))</f>
        <v>7720140002 - [SPA Other M&amp;S - 2]</v>
      </c>
    </row>
    <row r="104" spans="1:23" hidden="1" x14ac:dyDescent="0.25">
      <c r="A104">
        <v>7720140001</v>
      </c>
      <c r="B104" s="16" t="s">
        <v>21708</v>
      </c>
      <c r="C104" s="16" t="e">
        <f>VLOOKUP(Table1[[#This Row],[Node]],Parent!A:B,2,0)</f>
        <v>#N/A</v>
      </c>
      <c r="D104" s="25" t="s">
        <v>19346</v>
      </c>
      <c r="E104" s="26" t="s">
        <v>16544</v>
      </c>
      <c r="F104" s="27" t="s">
        <v>16545</v>
      </c>
      <c r="G104" s="27" t="s">
        <v>16546</v>
      </c>
      <c r="H104" s="27" t="s">
        <v>16612</v>
      </c>
      <c r="I104" s="27"/>
      <c r="J104" s="27"/>
      <c r="K104" s="27"/>
      <c r="L104" s="27"/>
      <c r="N104" s="27"/>
      <c r="T104" s="28" t="str">
        <f>LOOKUP(1,1/(Table1[[#This Row],[Level_0]:[Level 15]]&gt;0),(Table1[[#This Row],[Level_0]:[Level 15]]))</f>
        <v>7720140001 - [SPA Other M&amp;S - 1]</v>
      </c>
      <c r="U104" s="22">
        <v>99</v>
      </c>
      <c r="W104" s="13" t="str">
        <f>LOOKUP(1,1/(Table1[[#This Row],[Level_0]:[Level 15]]&gt;0),(Table1[[#This Row],[Level_0]:[Level 15]]))</f>
        <v>7720140001 - [SPA Other M&amp;S - 1]</v>
      </c>
    </row>
    <row r="105" spans="1:23" hidden="1" x14ac:dyDescent="0.25">
      <c r="A105">
        <v>7720104008</v>
      </c>
      <c r="B105" s="16" t="s">
        <v>21639</v>
      </c>
      <c r="C105" s="16" t="e">
        <f>VLOOKUP(Table1[[#This Row],[Node]],Parent!A:B,2,0)</f>
        <v>#N/A</v>
      </c>
      <c r="D105" s="25" t="s">
        <v>19346</v>
      </c>
      <c r="E105" s="26" t="s">
        <v>16544</v>
      </c>
      <c r="F105" s="27" t="s">
        <v>16545</v>
      </c>
      <c r="G105" s="27" t="s">
        <v>16546</v>
      </c>
      <c r="H105" s="27" t="s">
        <v>16613</v>
      </c>
      <c r="I105" s="27"/>
      <c r="J105" s="27"/>
      <c r="K105" s="27"/>
      <c r="L105" s="27"/>
      <c r="N105" s="27"/>
      <c r="T105" s="28" t="str">
        <f>LOOKUP(1,1/(Table1[[#This Row],[Level_0]:[Level 15]]&gt;0),(Table1[[#This Row],[Level_0]:[Level 15]]))</f>
        <v>7720104008 - [SPA ICON Congresses &amp; events]</v>
      </c>
      <c r="U105" s="22">
        <v>100</v>
      </c>
      <c r="W105" s="13" t="str">
        <f>LOOKUP(1,1/(Table1[[#This Row],[Level_0]:[Level 15]]&gt;0),(Table1[[#This Row],[Level_0]:[Level 15]]))</f>
        <v>7720104008 - [SPA ICON Congresses &amp; events]</v>
      </c>
    </row>
    <row r="106" spans="1:23" hidden="1" x14ac:dyDescent="0.25">
      <c r="A106">
        <v>7720103008</v>
      </c>
      <c r="B106" s="16" t="s">
        <v>21630</v>
      </c>
      <c r="C106" s="16" t="e">
        <f>VLOOKUP(Table1[[#This Row],[Node]],Parent!A:B,2,0)</f>
        <v>#N/A</v>
      </c>
      <c r="D106" s="25" t="s">
        <v>19346</v>
      </c>
      <c r="E106" s="26" t="s">
        <v>16544</v>
      </c>
      <c r="F106" s="27" t="s">
        <v>16545</v>
      </c>
      <c r="G106" s="27" t="s">
        <v>16546</v>
      </c>
      <c r="H106" s="27" t="s">
        <v>16614</v>
      </c>
      <c r="I106" s="27"/>
      <c r="J106" s="27"/>
      <c r="K106" s="27"/>
      <c r="L106" s="27"/>
      <c r="N106" s="27"/>
      <c r="T106" s="28" t="str">
        <f>LOOKUP(1,1/(Table1[[#This Row],[Level_0]:[Level 15]]&gt;0),(Table1[[#This Row],[Level_0]:[Level 15]]))</f>
        <v>7720103008 - [SPA ICON Advertising]</v>
      </c>
      <c r="U106" s="22">
        <v>101</v>
      </c>
      <c r="W106" s="13" t="str">
        <f>LOOKUP(1,1/(Table1[[#This Row],[Level_0]:[Level 15]]&gt;0),(Table1[[#This Row],[Level_0]:[Level 15]]))</f>
        <v>7720103008 - [SPA ICON Advertising]</v>
      </c>
    </row>
    <row r="107" spans="1:23" hidden="1" x14ac:dyDescent="0.25">
      <c r="A107">
        <v>7720101008</v>
      </c>
      <c r="B107" s="16" t="s">
        <v>21621</v>
      </c>
      <c r="C107" s="16" t="e">
        <f>VLOOKUP(Table1[[#This Row],[Node]],Parent!A:B,2,0)</f>
        <v>#N/A</v>
      </c>
      <c r="D107" s="25" t="s">
        <v>19346</v>
      </c>
      <c r="E107" s="26" t="s">
        <v>16544</v>
      </c>
      <c r="F107" s="27" t="s">
        <v>16545</v>
      </c>
      <c r="G107" s="27" t="s">
        <v>16546</v>
      </c>
      <c r="H107" s="27" t="s">
        <v>16615</v>
      </c>
      <c r="I107" s="27"/>
      <c r="J107" s="27"/>
      <c r="K107" s="27"/>
      <c r="L107" s="27"/>
      <c r="N107" s="27"/>
      <c r="T107" s="28" t="str">
        <f>LOOKUP(1,1/(Table1[[#This Row],[Level_0]:[Level 15]]&gt;0),(Table1[[#This Row],[Level_0]:[Level 15]]))</f>
        <v>7720101008 - [SPA ICON Promotion material]</v>
      </c>
      <c r="U107" s="22">
        <v>102</v>
      </c>
      <c r="W107" s="13" t="str">
        <f>LOOKUP(1,1/(Table1[[#This Row],[Level_0]:[Level 15]]&gt;0),(Table1[[#This Row],[Level_0]:[Level 15]]))</f>
        <v>7720101008 - [SPA ICON Promotion material]</v>
      </c>
    </row>
    <row r="108" spans="1:23" hidden="1" x14ac:dyDescent="0.25">
      <c r="A108">
        <v>7720101007</v>
      </c>
      <c r="B108" s="16" t="s">
        <v>21620</v>
      </c>
      <c r="C108" s="16" t="e">
        <f>VLOOKUP(Table1[[#This Row],[Node]],Parent!A:B,2,0)</f>
        <v>#N/A</v>
      </c>
      <c r="D108" s="25" t="s">
        <v>19346</v>
      </c>
      <c r="E108" s="26" t="s">
        <v>16544</v>
      </c>
      <c r="F108" s="27" t="s">
        <v>16545</v>
      </c>
      <c r="G108" s="27" t="s">
        <v>16546</v>
      </c>
      <c r="H108" s="27" t="s">
        <v>16616</v>
      </c>
      <c r="I108" s="27"/>
      <c r="J108" s="27"/>
      <c r="K108" s="27"/>
      <c r="L108" s="27"/>
      <c r="N108" s="27"/>
      <c r="T108" s="28" t="str">
        <f>LOOKUP(1,1/(Table1[[#This Row],[Level_0]:[Level 15]]&gt;0),(Table1[[#This Row],[Level_0]:[Level 15]]))</f>
        <v>7720101007 - [SPA Promotion material -7]</v>
      </c>
      <c r="U108" s="22">
        <v>103</v>
      </c>
      <c r="W108" s="13" t="str">
        <f>LOOKUP(1,1/(Table1[[#This Row],[Level_0]:[Level 15]]&gt;0),(Table1[[#This Row],[Level_0]:[Level 15]]))</f>
        <v>7720101007 - [SPA Promotion material -7]</v>
      </c>
    </row>
    <row r="109" spans="1:23" hidden="1" x14ac:dyDescent="0.25">
      <c r="A109">
        <v>7720101006</v>
      </c>
      <c r="B109" s="16" t="s">
        <v>21619</v>
      </c>
      <c r="C109" s="16" t="e">
        <f>VLOOKUP(Table1[[#This Row],[Node]],Parent!A:B,2,0)</f>
        <v>#N/A</v>
      </c>
      <c r="D109" s="25" t="s">
        <v>19346</v>
      </c>
      <c r="E109" s="26" t="s">
        <v>16544</v>
      </c>
      <c r="F109" s="27" t="s">
        <v>16545</v>
      </c>
      <c r="G109" s="27" t="s">
        <v>16546</v>
      </c>
      <c r="H109" s="27" t="s">
        <v>16617</v>
      </c>
      <c r="I109" s="27"/>
      <c r="J109" s="27"/>
      <c r="K109" s="27"/>
      <c r="L109" s="27"/>
      <c r="N109" s="27"/>
      <c r="T109" s="28" t="str">
        <f>LOOKUP(1,1/(Table1[[#This Row],[Level_0]:[Level 15]]&gt;0),(Table1[[#This Row],[Level_0]:[Level 15]]))</f>
        <v>7720101006 - [SPA Promotion material - 6]</v>
      </c>
      <c r="U109" s="22">
        <v>104</v>
      </c>
      <c r="W109" s="13" t="str">
        <f>LOOKUP(1,1/(Table1[[#This Row],[Level_0]:[Level 15]]&gt;0),(Table1[[#This Row],[Level_0]:[Level 15]]))</f>
        <v>7720101006 - [SPA Promotion material - 6]</v>
      </c>
    </row>
    <row r="110" spans="1:23" hidden="1" x14ac:dyDescent="0.25">
      <c r="A110">
        <v>7720101005</v>
      </c>
      <c r="B110" s="16" t="s">
        <v>21618</v>
      </c>
      <c r="C110" s="16" t="e">
        <f>VLOOKUP(Table1[[#This Row],[Node]],Parent!A:B,2,0)</f>
        <v>#N/A</v>
      </c>
      <c r="D110" s="25" t="s">
        <v>19346</v>
      </c>
      <c r="E110" s="26" t="s">
        <v>16544</v>
      </c>
      <c r="F110" s="27" t="s">
        <v>16545</v>
      </c>
      <c r="G110" s="27" t="s">
        <v>16546</v>
      </c>
      <c r="H110" s="27" t="s">
        <v>16618</v>
      </c>
      <c r="I110" s="27"/>
      <c r="J110" s="27"/>
      <c r="K110" s="27"/>
      <c r="L110" s="27"/>
      <c r="N110" s="27"/>
      <c r="T110" s="28" t="str">
        <f>LOOKUP(1,1/(Table1[[#This Row],[Level_0]:[Level 15]]&gt;0),(Table1[[#This Row],[Level_0]:[Level 15]]))</f>
        <v>7720101005 - [SPA Promotion material - 5]</v>
      </c>
      <c r="U110" s="22">
        <v>105</v>
      </c>
      <c r="W110" s="13" t="str">
        <f>LOOKUP(1,1/(Table1[[#This Row],[Level_0]:[Level 15]]&gt;0),(Table1[[#This Row],[Level_0]:[Level 15]]))</f>
        <v>7720101005 - [SPA Promotion material - 5]</v>
      </c>
    </row>
    <row r="111" spans="1:23" hidden="1" x14ac:dyDescent="0.25">
      <c r="A111">
        <v>7720101004</v>
      </c>
      <c r="B111" s="16" t="s">
        <v>21617</v>
      </c>
      <c r="C111" s="16" t="e">
        <f>VLOOKUP(Table1[[#This Row],[Node]],Parent!A:B,2,0)</f>
        <v>#N/A</v>
      </c>
      <c r="D111" s="25" t="s">
        <v>19346</v>
      </c>
      <c r="E111" s="26" t="s">
        <v>16544</v>
      </c>
      <c r="F111" s="27" t="s">
        <v>16545</v>
      </c>
      <c r="G111" s="27" t="s">
        <v>16546</v>
      </c>
      <c r="H111" s="27" t="s">
        <v>16619</v>
      </c>
      <c r="I111" s="27"/>
      <c r="J111" s="27"/>
      <c r="K111" s="27"/>
      <c r="L111" s="27"/>
      <c r="N111" s="27"/>
      <c r="T111" s="28" t="str">
        <f>LOOKUP(1,1/(Table1[[#This Row],[Level_0]:[Level 15]]&gt;0),(Table1[[#This Row],[Level_0]:[Level 15]]))</f>
        <v>7720101004 - [SPA Promotion material - 4]</v>
      </c>
      <c r="U111" s="22">
        <v>106</v>
      </c>
      <c r="W111" s="13" t="str">
        <f>LOOKUP(1,1/(Table1[[#This Row],[Level_0]:[Level 15]]&gt;0),(Table1[[#This Row],[Level_0]:[Level 15]]))</f>
        <v>7720101004 - [SPA Promotion material - 4]</v>
      </c>
    </row>
    <row r="112" spans="1:23" hidden="1" x14ac:dyDescent="0.25">
      <c r="A112">
        <v>7720101003</v>
      </c>
      <c r="B112" s="16" t="s">
        <v>21616</v>
      </c>
      <c r="C112" s="16" t="e">
        <f>VLOOKUP(Table1[[#This Row],[Node]],Parent!A:B,2,0)</f>
        <v>#N/A</v>
      </c>
      <c r="D112" s="25" t="s">
        <v>19346</v>
      </c>
      <c r="E112" s="26" t="s">
        <v>16544</v>
      </c>
      <c r="F112" s="27" t="s">
        <v>16545</v>
      </c>
      <c r="G112" s="27" t="s">
        <v>16546</v>
      </c>
      <c r="H112" s="27" t="s">
        <v>16620</v>
      </c>
      <c r="I112" s="27"/>
      <c r="J112" s="27"/>
      <c r="K112" s="27"/>
      <c r="L112" s="27"/>
      <c r="N112" s="27"/>
      <c r="T112" s="28" t="str">
        <f>LOOKUP(1,1/(Table1[[#This Row],[Level_0]:[Level 15]]&gt;0),(Table1[[#This Row],[Level_0]:[Level 15]]))</f>
        <v>7720101003 - [SPA Promotion material - 3]</v>
      </c>
      <c r="U112" s="22">
        <v>107</v>
      </c>
      <c r="W112" s="13" t="str">
        <f>LOOKUP(1,1/(Table1[[#This Row],[Level_0]:[Level 15]]&gt;0),(Table1[[#This Row],[Level_0]:[Level 15]]))</f>
        <v>7720101003 - [SPA Promotion material - 3]</v>
      </c>
    </row>
    <row r="113" spans="1:23" hidden="1" x14ac:dyDescent="0.25">
      <c r="A113">
        <v>7720101002</v>
      </c>
      <c r="B113" s="16" t="s">
        <v>21615</v>
      </c>
      <c r="C113" s="16" t="e">
        <f>VLOOKUP(Table1[[#This Row],[Node]],Parent!A:B,2,0)</f>
        <v>#N/A</v>
      </c>
      <c r="D113" s="25" t="s">
        <v>19346</v>
      </c>
      <c r="E113" s="26" t="s">
        <v>16544</v>
      </c>
      <c r="F113" s="27" t="s">
        <v>16545</v>
      </c>
      <c r="G113" s="27" t="s">
        <v>16546</v>
      </c>
      <c r="H113" s="27" t="s">
        <v>16621</v>
      </c>
      <c r="I113" s="27"/>
      <c r="J113" s="27"/>
      <c r="K113" s="27"/>
      <c r="L113" s="27"/>
      <c r="N113" s="27"/>
      <c r="T113" s="28" t="str">
        <f>LOOKUP(1,1/(Table1[[#This Row],[Level_0]:[Level 15]]&gt;0),(Table1[[#This Row],[Level_0]:[Level 15]]))</f>
        <v>7720101002 - [SPA Promotion material - 2]</v>
      </c>
      <c r="U113" s="22">
        <v>108</v>
      </c>
      <c r="W113" s="13" t="str">
        <f>LOOKUP(1,1/(Table1[[#This Row],[Level_0]:[Level 15]]&gt;0),(Table1[[#This Row],[Level_0]:[Level 15]]))</f>
        <v>7720101002 - [SPA Promotion material - 2]</v>
      </c>
    </row>
    <row r="114" spans="1:23" hidden="1" x14ac:dyDescent="0.25">
      <c r="A114">
        <v>7720101001</v>
      </c>
      <c r="B114" s="16" t="s">
        <v>21614</v>
      </c>
      <c r="C114" s="16" t="e">
        <f>VLOOKUP(Table1[[#This Row],[Node]],Parent!A:B,2,0)</f>
        <v>#N/A</v>
      </c>
      <c r="D114" s="25" t="s">
        <v>19346</v>
      </c>
      <c r="E114" s="26" t="s">
        <v>16544</v>
      </c>
      <c r="F114" s="27" t="s">
        <v>16545</v>
      </c>
      <c r="G114" s="27" t="s">
        <v>16546</v>
      </c>
      <c r="H114" s="27" t="s">
        <v>16622</v>
      </c>
      <c r="I114" s="27"/>
      <c r="J114" s="27"/>
      <c r="K114" s="27"/>
      <c r="L114" s="27"/>
      <c r="N114" s="27"/>
      <c r="T114" s="28" t="str">
        <f>LOOKUP(1,1/(Table1[[#This Row],[Level_0]:[Level 15]]&gt;0),(Table1[[#This Row],[Level_0]:[Level 15]]))</f>
        <v>7720101001 - [SPA Promotion material - 1]</v>
      </c>
      <c r="U114" s="22">
        <v>109</v>
      </c>
      <c r="W114" s="13" t="str">
        <f>LOOKUP(1,1/(Table1[[#This Row],[Level_0]:[Level 15]]&gt;0),(Table1[[#This Row],[Level_0]:[Level 15]]))</f>
        <v>7720101001 - [SPA Promotion material - 1]</v>
      </c>
    </row>
    <row r="115" spans="1:23" hidden="1" x14ac:dyDescent="0.25">
      <c r="A115">
        <v>7711113003</v>
      </c>
      <c r="B115" s="16" t="s">
        <v>21602</v>
      </c>
      <c r="C115" s="16" t="e">
        <f>VLOOKUP(Table1[[#This Row],[Node]],Parent!A:B,2,0)</f>
        <v>#N/A</v>
      </c>
      <c r="D115" s="25" t="s">
        <v>19346</v>
      </c>
      <c r="E115" s="26" t="s">
        <v>16544</v>
      </c>
      <c r="F115" s="27" t="s">
        <v>16545</v>
      </c>
      <c r="G115" s="27" t="s">
        <v>16546</v>
      </c>
      <c r="H115" s="27" t="s">
        <v>16623</v>
      </c>
      <c r="I115" s="27"/>
      <c r="J115" s="27"/>
      <c r="K115" s="27"/>
      <c r="L115" s="27"/>
      <c r="N115" s="27"/>
      <c r="T115" s="28" t="str">
        <f>LOOKUP(1,1/(Table1[[#This Row],[Level_0]:[Level 15]]&gt;0),(Table1[[#This Row],[Level_0]:[Level 15]]))</f>
        <v>7711113003 - [SPA Returnable Package]</v>
      </c>
      <c r="U115" s="22">
        <v>110</v>
      </c>
      <c r="W115" s="13" t="str">
        <f>LOOKUP(1,1/(Table1[[#This Row],[Level_0]:[Level 15]]&gt;0),(Table1[[#This Row],[Level_0]:[Level 15]]))</f>
        <v>7711113003 - [SPA Returnable Package]</v>
      </c>
    </row>
    <row r="116" spans="1:23" hidden="1" x14ac:dyDescent="0.25">
      <c r="A116">
        <v>7711111100</v>
      </c>
      <c r="B116" s="16" t="s">
        <v>21599</v>
      </c>
      <c r="C116" s="16" t="e">
        <f>VLOOKUP(Table1[[#This Row],[Node]],Parent!A:B,2,0)</f>
        <v>#N/A</v>
      </c>
      <c r="D116" s="25" t="s">
        <v>19346</v>
      </c>
      <c r="E116" s="26" t="s">
        <v>16544</v>
      </c>
      <c r="F116" s="27" t="s">
        <v>16545</v>
      </c>
      <c r="G116" s="27" t="s">
        <v>16546</v>
      </c>
      <c r="H116" s="27" t="s">
        <v>16624</v>
      </c>
      <c r="I116" s="27"/>
      <c r="J116" s="27"/>
      <c r="K116" s="27"/>
      <c r="L116" s="27"/>
      <c r="N116" s="27"/>
      <c r="T116" s="28" t="str">
        <f>LOOKUP(1,1/(Table1[[#This Row],[Level_0]:[Level 15]]&gt;0),(Table1[[#This Row],[Level_0]:[Level 15]]))</f>
        <v>7711111100 - [SPA MPV Component]</v>
      </c>
      <c r="U116" s="22">
        <v>111</v>
      </c>
      <c r="W116" s="13" t="str">
        <f>LOOKUP(1,1/(Table1[[#This Row],[Level_0]:[Level 15]]&gt;0),(Table1[[#This Row],[Level_0]:[Level 15]]))</f>
        <v>7711111100 - [SPA MPV Component]</v>
      </c>
    </row>
    <row r="117" spans="1:23" hidden="1" x14ac:dyDescent="0.25">
      <c r="A117">
        <v>7711101200</v>
      </c>
      <c r="B117" s="16" t="s">
        <v>21597</v>
      </c>
      <c r="C117" s="16" t="e">
        <f>VLOOKUP(Table1[[#This Row],[Node]],Parent!A:B,2,0)</f>
        <v>#N/A</v>
      </c>
      <c r="D117" s="25" t="s">
        <v>19346</v>
      </c>
      <c r="E117" s="26" t="s">
        <v>16544</v>
      </c>
      <c r="F117" s="27" t="s">
        <v>16545</v>
      </c>
      <c r="G117" s="27" t="s">
        <v>16546</v>
      </c>
      <c r="H117" s="27" t="s">
        <v>16625</v>
      </c>
      <c r="I117" s="27"/>
      <c r="J117" s="27"/>
      <c r="K117" s="27"/>
      <c r="L117" s="27"/>
      <c r="N117" s="27"/>
      <c r="T117" s="28" t="str">
        <f>LOOKUP(1,1/(Table1[[#This Row],[Level_0]:[Level 15]]&gt;0),(Table1[[#This Row],[Level_0]:[Level 15]]))</f>
        <v>7711101200 - [SPA Material Cost 4 IC-Inter Company]</v>
      </c>
      <c r="U117" s="22">
        <v>112</v>
      </c>
      <c r="W117" s="13" t="str">
        <f>LOOKUP(1,1/(Table1[[#This Row],[Level_0]:[Level 15]]&gt;0),(Table1[[#This Row],[Level_0]:[Level 15]]))</f>
        <v>7711101200 - [SPA Material Cost 4 IC-Inter Company]</v>
      </c>
    </row>
    <row r="118" spans="1:23" hidden="1" x14ac:dyDescent="0.25">
      <c r="A118">
        <v>7600330101</v>
      </c>
      <c r="B118" s="16" t="s">
        <v>21484</v>
      </c>
      <c r="C118" s="16" t="e">
        <f>VLOOKUP(Table1[[#This Row],[Node]],Parent!A:B,2,0)</f>
        <v>#N/A</v>
      </c>
      <c r="D118" s="25" t="s">
        <v>19346</v>
      </c>
      <c r="E118" s="26" t="s">
        <v>16544</v>
      </c>
      <c r="F118" s="27" t="s">
        <v>16545</v>
      </c>
      <c r="G118" s="27" t="s">
        <v>16546</v>
      </c>
      <c r="H118" s="27" t="s">
        <v>16626</v>
      </c>
      <c r="I118" s="27"/>
      <c r="J118" s="27"/>
      <c r="K118" s="27"/>
      <c r="L118" s="27"/>
      <c r="N118" s="27"/>
      <c r="T118" s="28" t="str">
        <f>LOOKUP(1,1/(Table1[[#This Row],[Level_0]:[Level 15]]&gt;0),(Table1[[#This Row],[Level_0]:[Level 15]]))</f>
        <v>7600330101 - [DAA Process dev. &amp; process eng.serv._P]</v>
      </c>
      <c r="U118" s="22">
        <v>113</v>
      </c>
      <c r="W118" s="13" t="str">
        <f>LOOKUP(1,1/(Table1[[#This Row],[Level_0]:[Level 15]]&gt;0),(Table1[[#This Row],[Level_0]:[Level 15]]))</f>
        <v>7600330101 - [DAA Process dev. &amp; process eng.serv._P]</v>
      </c>
    </row>
    <row r="119" spans="1:23" hidden="1" x14ac:dyDescent="0.25">
      <c r="A119">
        <v>7600000011</v>
      </c>
      <c r="B119" s="16" t="s">
        <v>21055</v>
      </c>
      <c r="C119" s="16" t="e">
        <f>VLOOKUP(Table1[[#This Row],[Node]],Parent!A:B,2,0)</f>
        <v>#N/A</v>
      </c>
      <c r="D119" s="25" t="s">
        <v>19346</v>
      </c>
      <c r="E119" s="26" t="s">
        <v>16544</v>
      </c>
      <c r="F119" s="27" t="s">
        <v>16545</v>
      </c>
      <c r="G119" s="27" t="s">
        <v>16546</v>
      </c>
      <c r="H119" s="27" t="s">
        <v>16627</v>
      </c>
      <c r="I119" s="27"/>
      <c r="J119" s="27"/>
      <c r="K119" s="27"/>
      <c r="L119" s="27"/>
      <c r="N119" s="27"/>
      <c r="T119" s="28" t="str">
        <f>LOOKUP(1,1/(Table1[[#This Row],[Level_0]:[Level 15]]&gt;0),(Table1[[#This Row],[Level_0]:[Level 15]]))</f>
        <v>7600000011 - [DAA - Quality Setup Labor]</v>
      </c>
      <c r="U119" s="22">
        <v>114</v>
      </c>
      <c r="W119" s="13" t="str">
        <f>LOOKUP(1,1/(Table1[[#This Row],[Level_0]:[Level 15]]&gt;0),(Table1[[#This Row],[Level_0]:[Level 15]]))</f>
        <v>7600000011 - [DAA - Quality Setup Labor]</v>
      </c>
    </row>
    <row r="120" spans="1:23" hidden="1" x14ac:dyDescent="0.25">
      <c r="A120">
        <v>7600000010</v>
      </c>
      <c r="B120" s="16" t="s">
        <v>21054</v>
      </c>
      <c r="C120" s="16" t="e">
        <f>VLOOKUP(Table1[[#This Row],[Node]],Parent!A:B,2,0)</f>
        <v>#N/A</v>
      </c>
      <c r="D120" s="25" t="s">
        <v>19346</v>
      </c>
      <c r="E120" s="26" t="s">
        <v>16544</v>
      </c>
      <c r="F120" s="27" t="s">
        <v>16545</v>
      </c>
      <c r="G120" s="27" t="s">
        <v>16546</v>
      </c>
      <c r="H120" s="27" t="s">
        <v>16628</v>
      </c>
      <c r="I120" s="27"/>
      <c r="J120" s="27"/>
      <c r="K120" s="27"/>
      <c r="L120" s="27"/>
      <c r="N120" s="27"/>
      <c r="T120" s="28" t="str">
        <f>LOOKUP(1,1/(Table1[[#This Row],[Level_0]:[Level 15]]&gt;0),(Table1[[#This Row],[Level_0]:[Level 15]]))</f>
        <v>7600000010 - [DAA - Quality Service]</v>
      </c>
      <c r="U120" s="22">
        <v>115</v>
      </c>
      <c r="W120" s="13" t="str">
        <f>LOOKUP(1,1/(Table1[[#This Row],[Level_0]:[Level 15]]&gt;0),(Table1[[#This Row],[Level_0]:[Level 15]]))</f>
        <v>7600000010 - [DAA - Quality Service]</v>
      </c>
    </row>
    <row r="121" spans="1:23" hidden="1" x14ac:dyDescent="0.25">
      <c r="A121">
        <v>7600000009</v>
      </c>
      <c r="B121" s="16" t="s">
        <v>21053</v>
      </c>
      <c r="C121" s="16" t="e">
        <f>VLOOKUP(Table1[[#This Row],[Node]],Parent!A:B,2,0)</f>
        <v>#N/A</v>
      </c>
      <c r="D121" s="25" t="s">
        <v>19346</v>
      </c>
      <c r="E121" s="26" t="s">
        <v>16544</v>
      </c>
      <c r="F121" s="27" t="s">
        <v>16545</v>
      </c>
      <c r="G121" s="27" t="s">
        <v>16546</v>
      </c>
      <c r="H121" s="27" t="s">
        <v>16629</v>
      </c>
      <c r="I121" s="27"/>
      <c r="J121" s="27"/>
      <c r="K121" s="27"/>
      <c r="L121" s="27"/>
      <c r="N121" s="27"/>
      <c r="T121" s="28" t="str">
        <f>LOOKUP(1,1/(Table1[[#This Row],[Level_0]:[Level 15]]&gt;0),(Table1[[#This Row],[Level_0]:[Level 15]]))</f>
        <v>7600000009 - [DAA - Quality Machine Time]</v>
      </c>
      <c r="U121" s="22">
        <v>116</v>
      </c>
      <c r="W121" s="13" t="str">
        <f>LOOKUP(1,1/(Table1[[#This Row],[Level_0]:[Level 15]]&gt;0),(Table1[[#This Row],[Level_0]:[Level 15]]))</f>
        <v>7600000009 - [DAA - Quality Machine Time]</v>
      </c>
    </row>
    <row r="122" spans="1:23" hidden="1" x14ac:dyDescent="0.25">
      <c r="A122">
        <v>7600000008</v>
      </c>
      <c r="B122" s="16" t="s">
        <v>21052</v>
      </c>
      <c r="C122" s="16" t="e">
        <f>VLOOKUP(Table1[[#This Row],[Node]],Parent!A:B,2,0)</f>
        <v>#N/A</v>
      </c>
      <c r="D122" s="25" t="s">
        <v>19346</v>
      </c>
      <c r="E122" s="26" t="s">
        <v>16544</v>
      </c>
      <c r="F122" s="27" t="s">
        <v>16545</v>
      </c>
      <c r="G122" s="27" t="s">
        <v>16546</v>
      </c>
      <c r="H122" s="27" t="s">
        <v>16630</v>
      </c>
      <c r="I122" s="27"/>
      <c r="J122" s="27"/>
      <c r="K122" s="27"/>
      <c r="L122" s="27"/>
      <c r="N122" s="27"/>
      <c r="T122" s="28" t="str">
        <f>LOOKUP(1,1/(Table1[[#This Row],[Level_0]:[Level 15]]&gt;0),(Table1[[#This Row],[Level_0]:[Level 15]]))</f>
        <v>7600000008 - [DAA - Quality Labor Time]</v>
      </c>
      <c r="U122" s="22">
        <v>117</v>
      </c>
      <c r="W122" s="13" t="str">
        <f>LOOKUP(1,1/(Table1[[#This Row],[Level_0]:[Level 15]]&gt;0),(Table1[[#This Row],[Level_0]:[Level 15]]))</f>
        <v>7600000008 - [DAA - Quality Labor Time]</v>
      </c>
    </row>
    <row r="123" spans="1:23" hidden="1" x14ac:dyDescent="0.25">
      <c r="A123">
        <v>7600000007</v>
      </c>
      <c r="B123" s="16" t="s">
        <v>21051</v>
      </c>
      <c r="C123" s="16" t="e">
        <f>VLOOKUP(Table1[[#This Row],[Node]],Parent!A:B,2,0)</f>
        <v>#N/A</v>
      </c>
      <c r="D123" s="25" t="s">
        <v>19346</v>
      </c>
      <c r="E123" s="26" t="s">
        <v>16544</v>
      </c>
      <c r="F123" s="27" t="s">
        <v>16545</v>
      </c>
      <c r="G123" s="27" t="s">
        <v>16546</v>
      </c>
      <c r="H123" s="27" t="s">
        <v>16631</v>
      </c>
      <c r="I123" s="27"/>
      <c r="J123" s="27"/>
      <c r="K123" s="27"/>
      <c r="L123" s="27"/>
      <c r="N123" s="27"/>
      <c r="T123" s="28" t="str">
        <f>LOOKUP(1,1/(Table1[[#This Row],[Level_0]:[Level 15]]&gt;0),(Table1[[#This Row],[Level_0]:[Level 15]]))</f>
        <v>7600000007 - [DAA - Quality Duration]</v>
      </c>
      <c r="U123" s="22">
        <v>118</v>
      </c>
      <c r="W123" s="13" t="str">
        <f>LOOKUP(1,1/(Table1[[#This Row],[Level_0]:[Level 15]]&gt;0),(Table1[[#This Row],[Level_0]:[Level 15]]))</f>
        <v>7600000007 - [DAA - Quality Duration]</v>
      </c>
    </row>
    <row r="124" spans="1:23" hidden="1" x14ac:dyDescent="0.25">
      <c r="A124">
        <v>7600000006</v>
      </c>
      <c r="B124" s="16" t="s">
        <v>21050</v>
      </c>
      <c r="C124" s="16" t="e">
        <f>VLOOKUP(Table1[[#This Row],[Node]],Parent!A:B,2,0)</f>
        <v>#N/A</v>
      </c>
      <c r="D124" s="25" t="s">
        <v>19346</v>
      </c>
      <c r="E124" s="26" t="s">
        <v>16544</v>
      </c>
      <c r="F124" s="27" t="s">
        <v>16545</v>
      </c>
      <c r="G124" s="27" t="s">
        <v>16546</v>
      </c>
      <c r="H124" s="27" t="s">
        <v>16632</v>
      </c>
      <c r="I124" s="27"/>
      <c r="J124" s="27"/>
      <c r="K124" s="27"/>
      <c r="L124" s="27"/>
      <c r="N124" s="27"/>
      <c r="T124" s="28" t="str">
        <f>LOOKUP(1,1/(Table1[[#This Row],[Level_0]:[Level 15]]&gt;0),(Table1[[#This Row],[Level_0]:[Level 15]]))</f>
        <v>7600000006 - [DAA - QM Lab Dev. Activity]</v>
      </c>
      <c r="U124" s="22">
        <v>119</v>
      </c>
      <c r="W124" s="13" t="str">
        <f>LOOKUP(1,1/(Table1[[#This Row],[Level_0]:[Level 15]]&gt;0),(Table1[[#This Row],[Level_0]:[Level 15]]))</f>
        <v>7600000006 - [DAA - QM Lab Dev. Activity]</v>
      </c>
    </row>
    <row r="125" spans="1:23" hidden="1" x14ac:dyDescent="0.25">
      <c r="A125">
        <v>7600000005</v>
      </c>
      <c r="B125" s="16" t="s">
        <v>21049</v>
      </c>
      <c r="C125" s="16" t="e">
        <f>VLOOKUP(Table1[[#This Row],[Node]],Parent!A:B,2,0)</f>
        <v>#N/A</v>
      </c>
      <c r="D125" s="25" t="s">
        <v>19346</v>
      </c>
      <c r="E125" s="26" t="s">
        <v>16544</v>
      </c>
      <c r="F125" s="27" t="s">
        <v>16545</v>
      </c>
      <c r="G125" s="27" t="s">
        <v>16546</v>
      </c>
      <c r="H125" s="27" t="s">
        <v>16633</v>
      </c>
      <c r="I125" s="27"/>
      <c r="J125" s="27"/>
      <c r="K125" s="27"/>
      <c r="L125" s="27"/>
      <c r="N125" s="27"/>
      <c r="T125" s="28" t="str">
        <f>LOOKUP(1,1/(Table1[[#This Row],[Level_0]:[Level 15]]&gt;0),(Table1[[#This Row],[Level_0]:[Level 15]]))</f>
        <v>7600000005 - [DAA - QM Document Prep]</v>
      </c>
      <c r="U125" s="22">
        <v>120</v>
      </c>
      <c r="W125" s="13" t="str">
        <f>LOOKUP(1,1/(Table1[[#This Row],[Level_0]:[Level 15]]&gt;0),(Table1[[#This Row],[Level_0]:[Level 15]]))</f>
        <v>7600000005 - [DAA - QM Document Prep]</v>
      </c>
    </row>
    <row r="126" spans="1:23" hidden="1" x14ac:dyDescent="0.25">
      <c r="A126">
        <v>7600000004</v>
      </c>
      <c r="B126" s="16" t="s">
        <v>21048</v>
      </c>
      <c r="C126" s="16" t="e">
        <f>VLOOKUP(Table1[[#This Row],[Node]],Parent!A:B,2,0)</f>
        <v>#N/A</v>
      </c>
      <c r="D126" s="25" t="s">
        <v>19346</v>
      </c>
      <c r="E126" s="26" t="s">
        <v>16544</v>
      </c>
      <c r="F126" s="27" t="s">
        <v>16545</v>
      </c>
      <c r="G126" s="27" t="s">
        <v>16546</v>
      </c>
      <c r="H126" s="27" t="s">
        <v>16634</v>
      </c>
      <c r="I126" s="27"/>
      <c r="J126" s="27"/>
      <c r="K126" s="27"/>
      <c r="L126" s="27"/>
      <c r="N126" s="27"/>
      <c r="T126" s="28" t="str">
        <f>LOOKUP(1,1/(Table1[[#This Row],[Level_0]:[Level 15]]&gt;0),(Table1[[#This Row],[Level_0]:[Level 15]]))</f>
        <v>7600000004 - [DAA - QM Administration]</v>
      </c>
      <c r="U126" s="22">
        <v>121</v>
      </c>
      <c r="W126" s="13" t="str">
        <f>LOOKUP(1,1/(Table1[[#This Row],[Level_0]:[Level 15]]&gt;0),(Table1[[#This Row],[Level_0]:[Level 15]]))</f>
        <v>7600000004 - [DAA - QM Administration]</v>
      </c>
    </row>
    <row r="127" spans="1:23" hidden="1" x14ac:dyDescent="0.25">
      <c r="A127">
        <v>7600000003</v>
      </c>
      <c r="B127" s="16" t="s">
        <v>21047</v>
      </c>
      <c r="C127" s="16" t="e">
        <f>VLOOKUP(Table1[[#This Row],[Node]],Parent!A:B,2,0)</f>
        <v>#N/A</v>
      </c>
      <c r="D127" s="25" t="s">
        <v>19346</v>
      </c>
      <c r="E127" s="26" t="s">
        <v>16544</v>
      </c>
      <c r="F127" s="27" t="s">
        <v>16545</v>
      </c>
      <c r="G127" s="27" t="s">
        <v>16546</v>
      </c>
      <c r="H127" s="27" t="s">
        <v>16635</v>
      </c>
      <c r="I127" s="27"/>
      <c r="J127" s="27"/>
      <c r="K127" s="27"/>
      <c r="L127" s="27"/>
      <c r="N127" s="27"/>
      <c r="T127" s="28" t="str">
        <f>LOOKUP(1,1/(Table1[[#This Row],[Level_0]:[Level 15]]&gt;0),(Table1[[#This Row],[Level_0]:[Level 15]]))</f>
        <v>7600000003 - [DAA - Analytical Method Validation]</v>
      </c>
      <c r="U127" s="22">
        <v>122</v>
      </c>
      <c r="W127" s="13" t="str">
        <f>LOOKUP(1,1/(Table1[[#This Row],[Level_0]:[Level 15]]&gt;0),(Table1[[#This Row],[Level_0]:[Level 15]]))</f>
        <v>7600000003 - [DAA - Analytical Method Validation]</v>
      </c>
    </row>
    <row r="128" spans="1:23" hidden="1" x14ac:dyDescent="0.25">
      <c r="A128">
        <v>7440000007</v>
      </c>
      <c r="B128" s="16" t="s">
        <v>21035</v>
      </c>
      <c r="C128" s="16" t="e">
        <f>VLOOKUP(Table1[[#This Row],[Node]],Parent!A:B,2,0)</f>
        <v>#N/A</v>
      </c>
      <c r="D128" s="25" t="s">
        <v>19346</v>
      </c>
      <c r="E128" s="26" t="s">
        <v>16544</v>
      </c>
      <c r="F128" s="27" t="s">
        <v>16545</v>
      </c>
      <c r="G128" s="27" t="s">
        <v>16546</v>
      </c>
      <c r="H128" s="27" t="s">
        <v>16636</v>
      </c>
      <c r="I128" s="27"/>
      <c r="J128" s="27"/>
      <c r="K128" s="27"/>
      <c r="L128" s="27"/>
      <c r="N128" s="27"/>
      <c r="T128" s="28" t="str">
        <f>LOOKUP(1,1/(Table1[[#This Row],[Level_0]:[Level 15]]&gt;0),(Table1[[#This Row],[Level_0]:[Level 15]]))</f>
        <v>7440000007 - [SOM R&amp;D local from Global 4Over-Governen]</v>
      </c>
      <c r="U128" s="22">
        <v>123</v>
      </c>
      <c r="W128" s="13" t="str">
        <f>LOOKUP(1,1/(Table1[[#This Row],[Level_0]:[Level 15]]&gt;0),(Table1[[#This Row],[Level_0]:[Level 15]]))</f>
        <v>7440000007 - [SOM R&amp;D local from Global 4Over-Governen]</v>
      </c>
    </row>
    <row r="129" spans="1:23" hidden="1" x14ac:dyDescent="0.25">
      <c r="A129">
        <v>7401000003</v>
      </c>
      <c r="B129" s="16" t="s">
        <v>21023</v>
      </c>
      <c r="C129" s="16" t="e">
        <f>VLOOKUP(Table1[[#This Row],[Node]],Parent!A:B,2,0)</f>
        <v>#N/A</v>
      </c>
      <c r="D129" s="25" t="s">
        <v>19346</v>
      </c>
      <c r="E129" s="26" t="s">
        <v>16544</v>
      </c>
      <c r="F129" s="27" t="s">
        <v>16545</v>
      </c>
      <c r="G129" s="27" t="s">
        <v>16546</v>
      </c>
      <c r="H129" s="27" t="s">
        <v>16637</v>
      </c>
      <c r="I129" s="27"/>
      <c r="J129" s="27"/>
      <c r="K129" s="27"/>
      <c r="L129" s="27"/>
      <c r="N129" s="27"/>
      <c r="T129" s="28" t="str">
        <f>LOOKUP(1,1/(Table1[[#This Row],[Level_0]:[Level 15]]&gt;0),(Table1[[#This Row],[Level_0]:[Level 15]]))</f>
        <v>7401000003 - [PRO - R&amp;D Activities to PrO - Quality]</v>
      </c>
      <c r="U129" s="22">
        <v>124</v>
      </c>
      <c r="W129" s="13" t="str">
        <f>LOOKUP(1,1/(Table1[[#This Row],[Level_0]:[Level 15]]&gt;0),(Table1[[#This Row],[Level_0]:[Level 15]]))</f>
        <v>7401000003 - [PRO - R&amp;D Activities to PrO - Quality]</v>
      </c>
    </row>
    <row r="130" spans="1:23" hidden="1" x14ac:dyDescent="0.25">
      <c r="A130">
        <v>7401000002</v>
      </c>
      <c r="B130" s="16" t="s">
        <v>21022</v>
      </c>
      <c r="C130" s="16" t="e">
        <f>VLOOKUP(Table1[[#This Row],[Node]],Parent!A:B,2,0)</f>
        <v>#N/A</v>
      </c>
      <c r="D130" s="25" t="s">
        <v>19346</v>
      </c>
      <c r="E130" s="26" t="s">
        <v>16544</v>
      </c>
      <c r="F130" s="27" t="s">
        <v>16545</v>
      </c>
      <c r="G130" s="27" t="s">
        <v>16546</v>
      </c>
      <c r="H130" s="27" t="s">
        <v>16638</v>
      </c>
      <c r="I130" s="27"/>
      <c r="J130" s="27"/>
      <c r="K130" s="27"/>
      <c r="L130" s="27"/>
      <c r="N130" s="27"/>
      <c r="T130" s="28" t="str">
        <f>LOOKUP(1,1/(Table1[[#This Row],[Level_0]:[Level 15]]&gt;0),(Table1[[#This Row],[Level_0]:[Level 15]]))</f>
        <v>7401000002 - [PRO - R&amp;D Activities to PrO - Equipment]</v>
      </c>
      <c r="U130" s="22">
        <v>125</v>
      </c>
      <c r="W130" s="13" t="str">
        <f>LOOKUP(1,1/(Table1[[#This Row],[Level_0]:[Level 15]]&gt;0),(Table1[[#This Row],[Level_0]:[Level 15]]))</f>
        <v>7401000002 - [PRO - R&amp;D Activities to PrO - Equipment]</v>
      </c>
    </row>
    <row r="131" spans="1:23" hidden="1" x14ac:dyDescent="0.25">
      <c r="A131">
        <v>7401000001</v>
      </c>
      <c r="B131" s="16" t="s">
        <v>21021</v>
      </c>
      <c r="C131" s="16" t="e">
        <f>VLOOKUP(Table1[[#This Row],[Node]],Parent!A:B,2,0)</f>
        <v>#N/A</v>
      </c>
      <c r="D131" s="25" t="s">
        <v>19346</v>
      </c>
      <c r="E131" s="26" t="s">
        <v>16544</v>
      </c>
      <c r="F131" s="27" t="s">
        <v>16545</v>
      </c>
      <c r="G131" s="27" t="s">
        <v>16546</v>
      </c>
      <c r="H131" s="27" t="s">
        <v>16639</v>
      </c>
      <c r="I131" s="27"/>
      <c r="J131" s="27"/>
      <c r="K131" s="27"/>
      <c r="L131" s="27"/>
      <c r="N131" s="27"/>
      <c r="T131" s="28" t="str">
        <f>LOOKUP(1,1/(Table1[[#This Row],[Level_0]:[Level 15]]&gt;0),(Table1[[#This Row],[Level_0]:[Level 15]]))</f>
        <v>7401000001 - [PRO - R&amp;D Activities to PrO - DirectLab]</v>
      </c>
      <c r="U131" s="22">
        <v>126</v>
      </c>
      <c r="W131" s="13" t="str">
        <f>LOOKUP(1,1/(Table1[[#This Row],[Level_0]:[Level 15]]&gt;0),(Table1[[#This Row],[Level_0]:[Level 15]]))</f>
        <v>7401000001 - [PRO - R&amp;D Activities to PrO - DirectLab]</v>
      </c>
    </row>
    <row r="132" spans="1:23" hidden="1" x14ac:dyDescent="0.25">
      <c r="A132">
        <v>7350111038</v>
      </c>
      <c r="B132" s="16" t="s">
        <v>20985</v>
      </c>
      <c r="C132" s="16" t="e">
        <f>VLOOKUP(Table1[[#This Row],[Node]],Parent!A:B,2,0)</f>
        <v>#N/A</v>
      </c>
      <c r="D132" s="25" t="s">
        <v>19346</v>
      </c>
      <c r="E132" s="26" t="s">
        <v>16544</v>
      </c>
      <c r="F132" s="27" t="s">
        <v>16545</v>
      </c>
      <c r="G132" s="27" t="s">
        <v>16546</v>
      </c>
      <c r="H132" s="27" t="s">
        <v>16640</v>
      </c>
      <c r="I132" s="27"/>
      <c r="J132" s="27"/>
      <c r="K132" s="27"/>
      <c r="L132" s="27"/>
      <c r="N132" s="27"/>
      <c r="T132" s="28" t="str">
        <f>LOOKUP(1,1/(Table1[[#This Row],[Level_0]:[Level 15]]&gt;0),(Table1[[#This Row],[Level_0]:[Level 15]]))</f>
        <v>7350111038 - [RA-Cost of Sales COS/Rev]</v>
      </c>
      <c r="U132" s="22">
        <v>127</v>
      </c>
      <c r="W132" s="13" t="str">
        <f>LOOKUP(1,1/(Table1[[#This Row],[Level_0]:[Level 15]]&gt;0),(Table1[[#This Row],[Level_0]:[Level 15]]))</f>
        <v>7350111038 - [RA-Cost of Sales COS/Rev]</v>
      </c>
    </row>
    <row r="133" spans="1:23" hidden="1" x14ac:dyDescent="0.25">
      <c r="A133">
        <v>7350111037</v>
      </c>
      <c r="B133" s="16" t="s">
        <v>20984</v>
      </c>
      <c r="C133" s="16" t="e">
        <f>VLOOKUP(Table1[[#This Row],[Node]],Parent!A:B,2,0)</f>
        <v>#N/A</v>
      </c>
      <c r="D133" s="25" t="s">
        <v>19346</v>
      </c>
      <c r="E133" s="26" t="s">
        <v>16544</v>
      </c>
      <c r="F133" s="27" t="s">
        <v>16545</v>
      </c>
      <c r="G133" s="27" t="s">
        <v>16546</v>
      </c>
      <c r="H133" s="27" t="s">
        <v>16641</v>
      </c>
      <c r="I133" s="27"/>
      <c r="J133" s="27"/>
      <c r="K133" s="27"/>
      <c r="L133" s="27"/>
      <c r="N133" s="27"/>
      <c r="T133" s="28" t="str">
        <f>LOOKUP(1,1/(Table1[[#This Row],[Level_0]:[Level 15]]&gt;0),(Table1[[#This Row],[Level_0]:[Level 15]]))</f>
        <v>7350111037 - [RA-Cost of Sales Reserves]</v>
      </c>
      <c r="U133" s="22">
        <v>128</v>
      </c>
      <c r="W133" s="13" t="str">
        <f>LOOKUP(1,1/(Table1[[#This Row],[Level_0]:[Level 15]]&gt;0),(Table1[[#This Row],[Level_0]:[Level 15]]))</f>
        <v>7350111037 - [RA-Cost of Sales Reserves]</v>
      </c>
    </row>
    <row r="134" spans="1:23" hidden="1" x14ac:dyDescent="0.25">
      <c r="A134">
        <v>7350111036</v>
      </c>
      <c r="B134" s="16" t="s">
        <v>20983</v>
      </c>
      <c r="C134" s="16" t="e">
        <f>VLOOKUP(Table1[[#This Row],[Node]],Parent!A:B,2,0)</f>
        <v>#N/A</v>
      </c>
      <c r="D134" s="25" t="s">
        <v>19346</v>
      </c>
      <c r="E134" s="26" t="s">
        <v>16544</v>
      </c>
      <c r="F134" s="27" t="s">
        <v>16545</v>
      </c>
      <c r="G134" s="27" t="s">
        <v>16546</v>
      </c>
      <c r="H134" s="27" t="s">
        <v>16642</v>
      </c>
      <c r="I134" s="27"/>
      <c r="J134" s="27"/>
      <c r="K134" s="27"/>
      <c r="L134" s="27"/>
      <c r="N134" s="27"/>
      <c r="T134" s="28" t="str">
        <f>LOOKUP(1,1/(Table1[[#This Row],[Level_0]:[Level 15]]&gt;0),(Table1[[#This Row],[Level_0]:[Level 15]]))</f>
        <v>7350111036 - [RA-Cost of Sales WIP]</v>
      </c>
      <c r="U134" s="22">
        <v>129</v>
      </c>
      <c r="W134" s="13" t="str">
        <f>LOOKUP(1,1/(Table1[[#This Row],[Level_0]:[Level 15]]&gt;0),(Table1[[#This Row],[Level_0]:[Level 15]]))</f>
        <v>7350111036 - [RA-Cost of Sales WIP]</v>
      </c>
    </row>
    <row r="135" spans="1:23" hidden="1" x14ac:dyDescent="0.25">
      <c r="A135">
        <v>7350111035</v>
      </c>
      <c r="B135" s="16" t="s">
        <v>20982</v>
      </c>
      <c r="C135" s="16" t="e">
        <f>VLOOKUP(Table1[[#This Row],[Node]],Parent!A:B,2,0)</f>
        <v>#N/A</v>
      </c>
      <c r="D135" s="25" t="s">
        <v>19346</v>
      </c>
      <c r="E135" s="26" t="s">
        <v>16544</v>
      </c>
      <c r="F135" s="27" t="s">
        <v>16545</v>
      </c>
      <c r="G135" s="27" t="s">
        <v>16546</v>
      </c>
      <c r="H135" s="27" t="s">
        <v>16643</v>
      </c>
      <c r="I135" s="27"/>
      <c r="J135" s="27"/>
      <c r="K135" s="27"/>
      <c r="L135" s="27"/>
      <c r="N135" s="27"/>
      <c r="T135" s="28" t="str">
        <f>LOOKUP(1,1/(Table1[[#This Row],[Level_0]:[Level 15]]&gt;0),(Table1[[#This Row],[Level_0]:[Level 15]]))</f>
        <v>7350111035 - [RA-Revenue COS/Reserves]</v>
      </c>
      <c r="U135" s="22">
        <v>130</v>
      </c>
      <c r="W135" s="13" t="str">
        <f>LOOKUP(1,1/(Table1[[#This Row],[Level_0]:[Level 15]]&gt;0),(Table1[[#This Row],[Level_0]:[Level 15]]))</f>
        <v>7350111035 - [RA-Revenue COS/Reserves]</v>
      </c>
    </row>
    <row r="136" spans="1:23" hidden="1" x14ac:dyDescent="0.25">
      <c r="A136">
        <v>7350111028</v>
      </c>
      <c r="B136" s="16" t="s">
        <v>20981</v>
      </c>
      <c r="C136" s="16" t="e">
        <f>VLOOKUP(Table1[[#This Row],[Node]],Parent!A:B,2,0)</f>
        <v>#N/A</v>
      </c>
      <c r="D136" s="25" t="s">
        <v>19346</v>
      </c>
      <c r="E136" s="26" t="s">
        <v>16544</v>
      </c>
      <c r="F136" s="27" t="s">
        <v>16545</v>
      </c>
      <c r="G136" s="27" t="s">
        <v>16546</v>
      </c>
      <c r="H136" s="27" t="s">
        <v>16644</v>
      </c>
      <c r="I136" s="27"/>
      <c r="J136" s="27"/>
      <c r="K136" s="27"/>
      <c r="L136" s="27"/>
      <c r="N136" s="27"/>
      <c r="T136" s="28" t="str">
        <f>LOOKUP(1,1/(Table1[[#This Row],[Level_0]:[Level 15]]&gt;0),(Table1[[#This Row],[Level_0]:[Level 15]]))</f>
        <v>7350111028 - [RA - Other Expenses COS/Revenue]</v>
      </c>
      <c r="U136" s="22">
        <v>131</v>
      </c>
      <c r="W136" s="13" t="str">
        <f>LOOKUP(1,1/(Table1[[#This Row],[Level_0]:[Level 15]]&gt;0),(Table1[[#This Row],[Level_0]:[Level 15]]))</f>
        <v>7350111028 - [RA - Other Expenses COS/Revenue]</v>
      </c>
    </row>
    <row r="137" spans="1:23" hidden="1" x14ac:dyDescent="0.25">
      <c r="A137">
        <v>7350111025</v>
      </c>
      <c r="B137" s="16" t="s">
        <v>20980</v>
      </c>
      <c r="C137" s="16" t="e">
        <f>VLOOKUP(Table1[[#This Row],[Node]],Parent!A:B,2,0)</f>
        <v>#N/A</v>
      </c>
      <c r="D137" s="25" t="s">
        <v>19346</v>
      </c>
      <c r="E137" s="26" t="s">
        <v>16544</v>
      </c>
      <c r="F137" s="27" t="s">
        <v>16545</v>
      </c>
      <c r="G137" s="27" t="s">
        <v>16546</v>
      </c>
      <c r="H137" s="27" t="s">
        <v>16645</v>
      </c>
      <c r="I137" s="27"/>
      <c r="J137" s="27"/>
      <c r="K137" s="27"/>
      <c r="L137" s="27"/>
      <c r="N137" s="27"/>
      <c r="T137" s="28" t="str">
        <f>LOOKUP(1,1/(Table1[[#This Row],[Level_0]:[Level 15]]&gt;0),(Table1[[#This Row],[Level_0]:[Level 15]]))</f>
        <v>7350111025 - [RA - Labour COS/Revenue]</v>
      </c>
      <c r="U137" s="22">
        <v>132</v>
      </c>
      <c r="W137" s="13" t="str">
        <f>LOOKUP(1,1/(Table1[[#This Row],[Level_0]:[Level 15]]&gt;0),(Table1[[#This Row],[Level_0]:[Level 15]]))</f>
        <v>7350111025 - [RA - Labour COS/Revenue]</v>
      </c>
    </row>
    <row r="138" spans="1:23" hidden="1" x14ac:dyDescent="0.25">
      <c r="A138">
        <v>7350111024</v>
      </c>
      <c r="B138" s="16" t="s">
        <v>20979</v>
      </c>
      <c r="C138" s="16" t="e">
        <f>VLOOKUP(Table1[[#This Row],[Node]],Parent!A:B,2,0)</f>
        <v>#N/A</v>
      </c>
      <c r="D138" s="25" t="s">
        <v>19346</v>
      </c>
      <c r="E138" s="26" t="s">
        <v>16544</v>
      </c>
      <c r="F138" s="27" t="s">
        <v>16545</v>
      </c>
      <c r="G138" s="27" t="s">
        <v>16546</v>
      </c>
      <c r="H138" s="27" t="s">
        <v>16646</v>
      </c>
      <c r="I138" s="27"/>
      <c r="J138" s="27"/>
      <c r="K138" s="27"/>
      <c r="L138" s="27"/>
      <c r="N138" s="27"/>
      <c r="T138" s="28" t="str">
        <f>LOOKUP(1,1/(Table1[[#This Row],[Level_0]:[Level 15]]&gt;0),(Table1[[#This Row],[Level_0]:[Level 15]]))</f>
        <v>7350111024 - [RA - Labour Reserves]</v>
      </c>
      <c r="U138" s="22">
        <v>133</v>
      </c>
      <c r="W138" s="13" t="str">
        <f>LOOKUP(1,1/(Table1[[#This Row],[Level_0]:[Level 15]]&gt;0),(Table1[[#This Row],[Level_0]:[Level 15]]))</f>
        <v>7350111024 - [RA - Labour Reserves]</v>
      </c>
    </row>
    <row r="139" spans="1:23" hidden="1" x14ac:dyDescent="0.25">
      <c r="A139">
        <v>7350111023</v>
      </c>
      <c r="B139" s="16" t="s">
        <v>20978</v>
      </c>
      <c r="C139" s="16" t="e">
        <f>VLOOKUP(Table1[[#This Row],[Node]],Parent!A:B,2,0)</f>
        <v>#N/A</v>
      </c>
      <c r="D139" s="25" t="s">
        <v>19346</v>
      </c>
      <c r="E139" s="26" t="s">
        <v>16544</v>
      </c>
      <c r="F139" s="27" t="s">
        <v>16545</v>
      </c>
      <c r="G139" s="27" t="s">
        <v>16546</v>
      </c>
      <c r="H139" s="27" t="s">
        <v>16647</v>
      </c>
      <c r="I139" s="27"/>
      <c r="J139" s="27"/>
      <c r="K139" s="27"/>
      <c r="L139" s="27"/>
      <c r="N139" s="27"/>
      <c r="T139" s="28" t="str">
        <f>LOOKUP(1,1/(Table1[[#This Row],[Level_0]:[Level 15]]&gt;0),(Table1[[#This Row],[Level_0]:[Level 15]]))</f>
        <v>7350111023 - [RA - Labour WIP]</v>
      </c>
      <c r="U139" s="22">
        <v>134</v>
      </c>
      <c r="W139" s="13" t="str">
        <f>LOOKUP(1,1/(Table1[[#This Row],[Level_0]:[Level 15]]&gt;0),(Table1[[#This Row],[Level_0]:[Level 15]]))</f>
        <v>7350111023 - [RA - Labour WIP]</v>
      </c>
    </row>
    <row r="140" spans="1:23" hidden="1" x14ac:dyDescent="0.25">
      <c r="A140">
        <v>7350111022</v>
      </c>
      <c r="B140" s="16" t="s">
        <v>20977</v>
      </c>
      <c r="C140" s="16" t="e">
        <f>VLOOKUP(Table1[[#This Row],[Node]],Parent!A:B,2,0)</f>
        <v>#N/A</v>
      </c>
      <c r="D140" s="25" t="s">
        <v>19346</v>
      </c>
      <c r="E140" s="26" t="s">
        <v>16544</v>
      </c>
      <c r="F140" s="27" t="s">
        <v>16545</v>
      </c>
      <c r="G140" s="27" t="s">
        <v>16546</v>
      </c>
      <c r="H140" s="27" t="s">
        <v>16648</v>
      </c>
      <c r="I140" s="27"/>
      <c r="J140" s="27"/>
      <c r="K140" s="27"/>
      <c r="L140" s="27"/>
      <c r="N140" s="27"/>
      <c r="T140" s="28" t="str">
        <f>LOOKUP(1,1/(Table1[[#This Row],[Level_0]:[Level 15]]&gt;0),(Table1[[#This Row],[Level_0]:[Level 15]]))</f>
        <v>7350111022 - [RA - Material COS/Revenue]</v>
      </c>
      <c r="U140" s="22">
        <v>135</v>
      </c>
      <c r="W140" s="13" t="str">
        <f>LOOKUP(1,1/(Table1[[#This Row],[Level_0]:[Level 15]]&gt;0),(Table1[[#This Row],[Level_0]:[Level 15]]))</f>
        <v>7350111022 - [RA - Material COS/Revenue]</v>
      </c>
    </row>
    <row r="141" spans="1:23" hidden="1" x14ac:dyDescent="0.25">
      <c r="A141">
        <v>7350111000</v>
      </c>
      <c r="B141" s="16" t="s">
        <v>20976</v>
      </c>
      <c r="C141" s="16" t="e">
        <f>VLOOKUP(Table1[[#This Row],[Node]],Parent!A:B,2,0)</f>
        <v>#N/A</v>
      </c>
      <c r="D141" s="25" t="s">
        <v>19346</v>
      </c>
      <c r="E141" s="26" t="s">
        <v>16544</v>
      </c>
      <c r="F141" s="27" t="s">
        <v>16545</v>
      </c>
      <c r="G141" s="27" t="s">
        <v>16546</v>
      </c>
      <c r="H141" s="27" t="s">
        <v>16649</v>
      </c>
      <c r="I141" s="27"/>
      <c r="J141" s="27"/>
      <c r="K141" s="27"/>
      <c r="L141" s="27"/>
      <c r="N141" s="27"/>
      <c r="T141" s="28" t="str">
        <f>LOOKUP(1,1/(Table1[[#This Row],[Level_0]:[Level 15]]&gt;0),(Table1[[#This Row],[Level_0]:[Level 15]]))</f>
        <v>7350111000 - [RA - Valuated Actual Cost]</v>
      </c>
      <c r="U141" s="22">
        <v>136</v>
      </c>
      <c r="W141" s="13" t="str">
        <f>LOOKUP(1,1/(Table1[[#This Row],[Level_0]:[Level 15]]&gt;0),(Table1[[#This Row],[Level_0]:[Level 15]]))</f>
        <v>7350111000 - [RA - Valuated Actual Cost]</v>
      </c>
    </row>
    <row r="142" spans="1:23" hidden="1" x14ac:dyDescent="0.25">
      <c r="A142">
        <v>7330170009</v>
      </c>
      <c r="B142" s="16" t="s">
        <v>20917</v>
      </c>
      <c r="C142" s="16" t="e">
        <f>VLOOKUP(Table1[[#This Row],[Node]],Parent!A:B,2,0)</f>
        <v>#N/A</v>
      </c>
      <c r="D142" s="25" t="s">
        <v>19346</v>
      </c>
      <c r="E142" s="26" t="s">
        <v>16544</v>
      </c>
      <c r="F142" s="27" t="s">
        <v>16545</v>
      </c>
      <c r="G142" s="27" t="s">
        <v>16546</v>
      </c>
      <c r="H142" s="27" t="s">
        <v>16650</v>
      </c>
      <c r="I142" s="27"/>
      <c r="J142" s="27"/>
      <c r="K142" s="27"/>
      <c r="L142" s="27"/>
      <c r="N142" s="27"/>
      <c r="T142" s="28" t="str">
        <f>LOOKUP(1,1/(Table1[[#This Row],[Level_0]:[Level 15]]&gt;0),(Table1[[#This Row],[Level_0]:[Level 15]]))</f>
        <v>7330170009 - [OSU Transfer Price Markup-Cost4Receiving]</v>
      </c>
      <c r="U142" s="22">
        <v>137</v>
      </c>
      <c r="W142" s="13" t="str">
        <f>LOOKUP(1,1/(Table1[[#This Row],[Level_0]:[Level 15]]&gt;0),(Table1[[#This Row],[Level_0]:[Level 15]]))</f>
        <v>7330170009 - [OSU Transfer Price Markup-Cost4Receiving]</v>
      </c>
    </row>
    <row r="143" spans="1:23" hidden="1" x14ac:dyDescent="0.25">
      <c r="A143">
        <v>7330170007</v>
      </c>
      <c r="B143" s="16" t="s">
        <v>20915</v>
      </c>
      <c r="C143" s="16" t="e">
        <f>VLOOKUP(Table1[[#This Row],[Node]],Parent!A:B,2,0)</f>
        <v>#N/A</v>
      </c>
      <c r="D143" s="25" t="s">
        <v>19346</v>
      </c>
      <c r="E143" s="26" t="s">
        <v>16544</v>
      </c>
      <c r="F143" s="27" t="s">
        <v>16545</v>
      </c>
      <c r="G143" s="27" t="s">
        <v>16546</v>
      </c>
      <c r="H143" s="27" t="s">
        <v>16651</v>
      </c>
      <c r="I143" s="27"/>
      <c r="J143" s="27"/>
      <c r="K143" s="27"/>
      <c r="L143" s="27"/>
      <c r="N143" s="27"/>
      <c r="T143" s="28" t="str">
        <f>LOOKUP(1,1/(Table1[[#This Row],[Level_0]:[Level 15]]&gt;0),(Table1[[#This Row],[Level_0]:[Level 15]]))</f>
        <v>7330170007 - [OSU Sterilization Surcharge 4 Subconchrg]</v>
      </c>
      <c r="U143" s="22">
        <v>138</v>
      </c>
      <c r="W143" s="13" t="str">
        <f>LOOKUP(1,1/(Table1[[#This Row],[Level_0]:[Level 15]]&gt;0),(Table1[[#This Row],[Level_0]:[Level 15]]))</f>
        <v>7330170007 - [OSU Sterilization Surcharge 4 Subconchrg]</v>
      </c>
    </row>
    <row r="144" spans="1:23" hidden="1" x14ac:dyDescent="0.25">
      <c r="A144">
        <v>7310140013</v>
      </c>
      <c r="B144" s="16" t="s">
        <v>20827</v>
      </c>
      <c r="C144" s="16" t="e">
        <f>VLOOKUP(Table1[[#This Row],[Node]],Parent!A:B,2,0)</f>
        <v>#N/A</v>
      </c>
      <c r="D144" s="25" t="s">
        <v>19346</v>
      </c>
      <c r="E144" s="26" t="s">
        <v>16544</v>
      </c>
      <c r="F144" s="27" t="s">
        <v>16545</v>
      </c>
      <c r="G144" s="27" t="s">
        <v>16546</v>
      </c>
      <c r="H144" s="27" t="s">
        <v>16652</v>
      </c>
      <c r="I144" s="27"/>
      <c r="J144" s="27"/>
      <c r="K144" s="27"/>
      <c r="L144" s="27"/>
      <c r="N144" s="27"/>
      <c r="T144" s="28" t="str">
        <f>LOOKUP(1,1/(Table1[[#This Row],[Level_0]:[Level 15]]&gt;0),(Table1[[#This Row],[Level_0]:[Level 15]]))</f>
        <v>7310140013 - [IAA - Hot Di Water]</v>
      </c>
      <c r="U144" s="22">
        <v>139</v>
      </c>
      <c r="W144" s="13" t="str">
        <f>LOOKUP(1,1/(Table1[[#This Row],[Level_0]:[Level 15]]&gt;0),(Table1[[#This Row],[Level_0]:[Level 15]]))</f>
        <v>7310140013 - [IAA - Hot Di Water]</v>
      </c>
    </row>
    <row r="145" spans="1:23" hidden="1" x14ac:dyDescent="0.25">
      <c r="A145">
        <v>7310140012</v>
      </c>
      <c r="B145" s="16" t="s">
        <v>20826</v>
      </c>
      <c r="C145" s="16" t="e">
        <f>VLOOKUP(Table1[[#This Row],[Node]],Parent!A:B,2,0)</f>
        <v>#N/A</v>
      </c>
      <c r="D145" s="25" t="s">
        <v>19346</v>
      </c>
      <c r="E145" s="26" t="s">
        <v>16544</v>
      </c>
      <c r="F145" s="27" t="s">
        <v>16545</v>
      </c>
      <c r="G145" s="27" t="s">
        <v>16546</v>
      </c>
      <c r="H145" s="27" t="s">
        <v>16653</v>
      </c>
      <c r="I145" s="27"/>
      <c r="J145" s="27"/>
      <c r="K145" s="27"/>
      <c r="L145" s="27"/>
      <c r="N145" s="27"/>
      <c r="T145" s="28" t="str">
        <f>LOOKUP(1,1/(Table1[[#This Row],[Level_0]:[Level 15]]&gt;0),(Table1[[#This Row],[Level_0]:[Level 15]]))</f>
        <v>7310140012 - [IAA - C. Air regulation]</v>
      </c>
      <c r="U145" s="22">
        <v>140</v>
      </c>
      <c r="W145" s="13" t="str">
        <f>LOOKUP(1,1/(Table1[[#This Row],[Level_0]:[Level 15]]&gt;0),(Table1[[#This Row],[Level_0]:[Level 15]]))</f>
        <v>7310140012 - [IAA - C. Air regulation]</v>
      </c>
    </row>
    <row r="146" spans="1:23" hidden="1" x14ac:dyDescent="0.25">
      <c r="A146">
        <v>7300120001</v>
      </c>
      <c r="B146" s="16" t="s">
        <v>20772</v>
      </c>
      <c r="C146" s="16" t="e">
        <f>VLOOKUP(Table1[[#This Row],[Node]],Parent!A:B,2,0)</f>
        <v>#N/A</v>
      </c>
      <c r="D146" s="25" t="s">
        <v>19346</v>
      </c>
      <c r="E146" s="26" t="s">
        <v>16544</v>
      </c>
      <c r="F146" s="27" t="s">
        <v>16545</v>
      </c>
      <c r="G146" s="27" t="s">
        <v>16546</v>
      </c>
      <c r="H146" s="27" t="s">
        <v>16654</v>
      </c>
      <c r="I146" s="27"/>
      <c r="J146" s="27"/>
      <c r="K146" s="27"/>
      <c r="L146" s="27"/>
      <c r="N146" s="27"/>
      <c r="T146" s="28" t="str">
        <f>LOOKUP(1,1/(Table1[[#This Row],[Level_0]:[Level 15]]&gt;0),(Table1[[#This Row],[Level_0]:[Level 15]]))</f>
        <v>7300120001 - [DAA-QC Internal DA/GH2 Reg Prod QM order]</v>
      </c>
      <c r="U146" s="22">
        <v>141</v>
      </c>
      <c r="W146" s="13" t="str">
        <f>LOOKUP(1,1/(Table1[[#This Row],[Level_0]:[Level 15]]&gt;0),(Table1[[#This Row],[Level_0]:[Level 15]]))</f>
        <v>7300120001 - [DAA-QC Internal DA/GH2 Reg Prod QM order]</v>
      </c>
    </row>
    <row r="147" spans="1:23" hidden="1" x14ac:dyDescent="0.25">
      <c r="A147">
        <v>7300110027</v>
      </c>
      <c r="B147" s="16" t="s">
        <v>20761</v>
      </c>
      <c r="C147" s="16" t="e">
        <f>VLOOKUP(Table1[[#This Row],[Node]],Parent!A:B,2,0)</f>
        <v>#N/A</v>
      </c>
      <c r="D147" s="25" t="s">
        <v>19346</v>
      </c>
      <c r="E147" s="26" t="s">
        <v>16544</v>
      </c>
      <c r="F147" s="27" t="s">
        <v>16545</v>
      </c>
      <c r="G147" s="27" t="s">
        <v>16546</v>
      </c>
      <c r="H147" s="27" t="s">
        <v>16655</v>
      </c>
      <c r="I147" s="27"/>
      <c r="J147" s="27"/>
      <c r="K147" s="27"/>
      <c r="L147" s="27"/>
      <c r="N147" s="27"/>
      <c r="T147" s="28" t="str">
        <f>LOOKUP(1,1/(Table1[[#This Row],[Level_0]:[Level 15]]&gt;0),(Table1[[#This Row],[Level_0]:[Level 15]]))</f>
        <v>7300110027 - [DAA PRO - Part. DI Water (M3)]</v>
      </c>
      <c r="U147" s="22">
        <v>142</v>
      </c>
      <c r="W147" s="13" t="str">
        <f>LOOKUP(1,1/(Table1[[#This Row],[Level_0]:[Level 15]]&gt;0),(Table1[[#This Row],[Level_0]:[Level 15]]))</f>
        <v>7300110027 - [DAA PRO - Part. DI Water (M3)]</v>
      </c>
    </row>
    <row r="148" spans="1:23" hidden="1" x14ac:dyDescent="0.25">
      <c r="A148">
        <v>7300110024</v>
      </c>
      <c r="B148" s="16" t="s">
        <v>20760</v>
      </c>
      <c r="C148" s="16" t="e">
        <f>VLOOKUP(Table1[[#This Row],[Node]],Parent!A:B,2,0)</f>
        <v>#N/A</v>
      </c>
      <c r="D148" s="25" t="s">
        <v>19346</v>
      </c>
      <c r="E148" s="26" t="s">
        <v>16544</v>
      </c>
      <c r="F148" s="27" t="s">
        <v>16545</v>
      </c>
      <c r="G148" s="27" t="s">
        <v>16546</v>
      </c>
      <c r="H148" s="27" t="s">
        <v>16656</v>
      </c>
      <c r="I148" s="27"/>
      <c r="J148" s="27"/>
      <c r="K148" s="27"/>
      <c r="L148" s="27"/>
      <c r="N148" s="27"/>
      <c r="T148" s="28" t="str">
        <f>LOOKUP(1,1/(Table1[[#This Row],[Level_0]:[Level 15]]&gt;0),(Table1[[#This Row],[Level_0]:[Level 15]]))</f>
        <v>7300110024 - [DAA PRO - Hot Di Water]</v>
      </c>
      <c r="U148" s="22">
        <v>143</v>
      </c>
      <c r="W148" s="13" t="str">
        <f>LOOKUP(1,1/(Table1[[#This Row],[Level_0]:[Level 15]]&gt;0),(Table1[[#This Row],[Level_0]:[Level 15]]))</f>
        <v>7300110024 - [DAA PRO - Hot Di Water]</v>
      </c>
    </row>
    <row r="149" spans="1:23" hidden="1" x14ac:dyDescent="0.25">
      <c r="A149">
        <v>7300110023</v>
      </c>
      <c r="B149" s="16" t="s">
        <v>20759</v>
      </c>
      <c r="C149" s="16" t="e">
        <f>VLOOKUP(Table1[[#This Row],[Node]],Parent!A:B,2,0)</f>
        <v>#N/A</v>
      </c>
      <c r="D149" s="25" t="s">
        <v>19346</v>
      </c>
      <c r="E149" s="26" t="s">
        <v>16544</v>
      </c>
      <c r="F149" s="27" t="s">
        <v>16545</v>
      </c>
      <c r="G149" s="27" t="s">
        <v>16546</v>
      </c>
      <c r="H149" s="27" t="s">
        <v>16657</v>
      </c>
      <c r="I149" s="27"/>
      <c r="J149" s="27"/>
      <c r="K149" s="27"/>
      <c r="L149" s="27"/>
      <c r="N149" s="27"/>
      <c r="T149" s="28" t="str">
        <f>LOOKUP(1,1/(Table1[[#This Row],[Level_0]:[Level 15]]&gt;0),(Table1[[#This Row],[Level_0]:[Level 15]]))</f>
        <v>7300110023 - [DAA PRO - C. Air regulation]</v>
      </c>
      <c r="U149" s="22">
        <v>144</v>
      </c>
      <c r="W149" s="13" t="str">
        <f>LOOKUP(1,1/(Table1[[#This Row],[Level_0]:[Level 15]]&gt;0),(Table1[[#This Row],[Level_0]:[Level 15]]))</f>
        <v>7300110023 - [DAA PRO - C. Air regulation]</v>
      </c>
    </row>
    <row r="150" spans="1:23" hidden="1" x14ac:dyDescent="0.25">
      <c r="A150">
        <v>5960100001</v>
      </c>
      <c r="B150" s="16" t="s">
        <v>20586</v>
      </c>
      <c r="C150" s="16" t="e">
        <f>VLOOKUP(Table1[[#This Row],[Node]],Parent!A:B,2,0)</f>
        <v>#N/A</v>
      </c>
      <c r="D150" s="25" t="s">
        <v>19346</v>
      </c>
      <c r="E150" s="26" t="s">
        <v>16544</v>
      </c>
      <c r="F150" s="27" t="s">
        <v>16545</v>
      </c>
      <c r="G150" s="27" t="s">
        <v>16546</v>
      </c>
      <c r="H150" s="27" t="s">
        <v>16658</v>
      </c>
      <c r="I150" s="27"/>
      <c r="J150" s="27"/>
      <c r="K150" s="27"/>
      <c r="L150" s="27"/>
      <c r="N150" s="27"/>
      <c r="T150" s="28" t="str">
        <f>LOOKUP(1,1/(Table1[[#This Row],[Level_0]:[Level 15]]&gt;0),(Table1[[#This Row],[Level_0]:[Level 15]]))</f>
        <v>5960100001 - [Oth Miscell Exp - Rem Oth Exp - Damages]</v>
      </c>
      <c r="U150" s="22">
        <v>145</v>
      </c>
      <c r="W150" s="13" t="str">
        <f>LOOKUP(1,1/(Table1[[#This Row],[Level_0]:[Level 15]]&gt;0),(Table1[[#This Row],[Level_0]:[Level 15]]))</f>
        <v>5960100001 - [Oth Miscell Exp - Rem Oth Exp - Damages]</v>
      </c>
    </row>
    <row r="151" spans="1:23" hidden="1" x14ac:dyDescent="0.25">
      <c r="A151">
        <v>5950000004</v>
      </c>
      <c r="B151" s="16" t="s">
        <v>20568</v>
      </c>
      <c r="C151" s="16" t="e">
        <f>VLOOKUP(Table1[[#This Row],[Node]],Parent!A:B,2,0)</f>
        <v>#N/A</v>
      </c>
      <c r="D151" s="25" t="s">
        <v>19346</v>
      </c>
      <c r="E151" s="26" t="s">
        <v>16544</v>
      </c>
      <c r="F151" s="27" t="s">
        <v>16545</v>
      </c>
      <c r="G151" s="27" t="s">
        <v>16546</v>
      </c>
      <c r="H151" s="27" t="s">
        <v>16659</v>
      </c>
      <c r="I151" s="27"/>
      <c r="J151" s="27"/>
      <c r="K151" s="27"/>
      <c r="L151" s="27"/>
      <c r="N151" s="27"/>
      <c r="T151" s="28" t="str">
        <f>LOOKUP(1,1/(Table1[[#This Row],[Level_0]:[Level 15]]&gt;0),(Table1[[#This Row],[Level_0]:[Level 15]]))</f>
        <v>5950000004 - [Operating taxes - Account 4]</v>
      </c>
      <c r="U151" s="22">
        <v>146</v>
      </c>
      <c r="W151" s="13" t="str">
        <f>LOOKUP(1,1/(Table1[[#This Row],[Level_0]:[Level 15]]&gt;0),(Table1[[#This Row],[Level_0]:[Level 15]]))</f>
        <v>5950000004 - [Operating taxes - Account 4]</v>
      </c>
    </row>
    <row r="152" spans="1:23" hidden="1" x14ac:dyDescent="0.25">
      <c r="A152">
        <v>5931200000</v>
      </c>
      <c r="B152" s="16" t="s">
        <v>20549</v>
      </c>
      <c r="C152" s="16" t="e">
        <f>VLOOKUP(Table1[[#This Row],[Node]],Parent!A:B,2,0)</f>
        <v>#N/A</v>
      </c>
      <c r="D152" s="25" t="s">
        <v>19346</v>
      </c>
      <c r="E152" s="26" t="s">
        <v>16544</v>
      </c>
      <c r="F152" s="27" t="s">
        <v>16545</v>
      </c>
      <c r="G152" s="27" t="s">
        <v>16546</v>
      </c>
      <c r="H152" s="27" t="s">
        <v>16660</v>
      </c>
      <c r="I152" s="27"/>
      <c r="J152" s="27"/>
      <c r="K152" s="27"/>
      <c r="L152" s="27"/>
      <c r="N152" s="27"/>
      <c r="T152" s="28" t="str">
        <f>LOOKUP(1,1/(Table1[[#This Row],[Level_0]:[Level 15]]&gt;0),(Table1[[#This Row],[Level_0]:[Level 15]]))</f>
        <v>5931200000 - [Impairment of FinAssets-DebtInstFVOCI]</v>
      </c>
      <c r="U152" s="22">
        <v>147</v>
      </c>
      <c r="W152" s="13" t="str">
        <f>LOOKUP(1,1/(Table1[[#This Row],[Level_0]:[Level 15]]&gt;0),(Table1[[#This Row],[Level_0]:[Level 15]]))</f>
        <v>5931200000 - [Impairment of FinAssets-DebtInstFVOCI]</v>
      </c>
    </row>
    <row r="153" spans="1:23" hidden="1" x14ac:dyDescent="0.25">
      <c r="A153">
        <v>5925700000</v>
      </c>
      <c r="B153" s="16" t="s">
        <v>20539</v>
      </c>
      <c r="C153" s="16" t="e">
        <f>VLOOKUP(Table1[[#This Row],[Node]],Parent!A:B,2,0)</f>
        <v>#N/A</v>
      </c>
      <c r="D153" s="25" t="s">
        <v>19346</v>
      </c>
      <c r="E153" s="26" t="s">
        <v>16544</v>
      </c>
      <c r="F153" s="27" t="s">
        <v>16545</v>
      </c>
      <c r="G153" s="27" t="s">
        <v>16546</v>
      </c>
      <c r="H153" s="27" t="s">
        <v>16661</v>
      </c>
      <c r="I153" s="27"/>
      <c r="J153" s="27"/>
      <c r="K153" s="27"/>
      <c r="L153" s="27"/>
      <c r="N153" s="27"/>
      <c r="T153" s="28" t="str">
        <f>LOOKUP(1,1/(Table1[[#This Row],[Level_0]:[Level 15]]&gt;0),(Table1[[#This Row],[Level_0]:[Level 15]]))</f>
        <v>5925700000 - [Los f. FairValChangesOperDerivFVtPL-Re]</v>
      </c>
      <c r="U153" s="22">
        <v>148</v>
      </c>
      <c r="W153" s="13" t="str">
        <f>LOOKUP(1,1/(Table1[[#This Row],[Level_0]:[Level 15]]&gt;0),(Table1[[#This Row],[Level_0]:[Level 15]]))</f>
        <v>5925700000 - [Los f. FairValChangesOperDerivFVtPL-Re]</v>
      </c>
    </row>
    <row r="154" spans="1:23" hidden="1" x14ac:dyDescent="0.25">
      <c r="A154">
        <v>5925520000</v>
      </c>
      <c r="B154" s="16" t="s">
        <v>20538</v>
      </c>
      <c r="C154" s="16" t="e">
        <f>VLOOKUP(Table1[[#This Row],[Node]],Parent!A:B,2,0)</f>
        <v>#N/A</v>
      </c>
      <c r="D154" s="25" t="s">
        <v>19346</v>
      </c>
      <c r="E154" s="26" t="s">
        <v>16544</v>
      </c>
      <c r="F154" s="27" t="s">
        <v>16545</v>
      </c>
      <c r="G154" s="27" t="s">
        <v>16546</v>
      </c>
      <c r="H154" s="27" t="s">
        <v>16662</v>
      </c>
      <c r="I154" s="27"/>
      <c r="J154" s="27"/>
      <c r="K154" s="27"/>
      <c r="L154" s="27"/>
      <c r="N154" s="27"/>
      <c r="T154" s="28" t="str">
        <f>LOOKUP(1,1/(Table1[[#This Row],[Level_0]:[Level 15]]&gt;0),(Table1[[#This Row],[Level_0]:[Level 15]]))</f>
        <v>5925520000 - [Los f. FairValChanges EquityInstFVtPL-UR]</v>
      </c>
      <c r="U154" s="22">
        <v>149</v>
      </c>
      <c r="W154" s="13" t="str">
        <f>LOOKUP(1,1/(Table1[[#This Row],[Level_0]:[Level 15]]&gt;0),(Table1[[#This Row],[Level_0]:[Level 15]]))</f>
        <v>5925520000 - [Los f. FairValChanges EquityInstFVtPL-UR]</v>
      </c>
    </row>
    <row r="155" spans="1:23" hidden="1" x14ac:dyDescent="0.25">
      <c r="A155">
        <v>5925500000</v>
      </c>
      <c r="B155" s="16" t="s">
        <v>20537</v>
      </c>
      <c r="C155" s="16" t="e">
        <f>VLOOKUP(Table1[[#This Row],[Node]],Parent!A:B,2,0)</f>
        <v>#N/A</v>
      </c>
      <c r="D155" s="25" t="s">
        <v>19346</v>
      </c>
      <c r="E155" s="26" t="s">
        <v>16544</v>
      </c>
      <c r="F155" s="27" t="s">
        <v>16545</v>
      </c>
      <c r="G155" s="27" t="s">
        <v>16546</v>
      </c>
      <c r="H155" s="27" t="s">
        <v>16663</v>
      </c>
      <c r="I155" s="27"/>
      <c r="J155" s="27"/>
      <c r="K155" s="27"/>
      <c r="L155" s="27"/>
      <c r="N155" s="27"/>
      <c r="T155" s="28" t="str">
        <f>LOOKUP(1,1/(Table1[[#This Row],[Level_0]:[Level 15]]&gt;0),(Table1[[#This Row],[Level_0]:[Level 15]]))</f>
        <v>5925500000 - [Los f. FairValChanges EquityInstFVtPL-Re]</v>
      </c>
      <c r="U155" s="22">
        <v>150</v>
      </c>
      <c r="W155" s="13" t="str">
        <f>LOOKUP(1,1/(Table1[[#This Row],[Level_0]:[Level 15]]&gt;0),(Table1[[#This Row],[Level_0]:[Level 15]]))</f>
        <v>5925500000 - [Los f. FairValChanges EquityInstFVtPL-Re]</v>
      </c>
    </row>
    <row r="156" spans="1:23" hidden="1" x14ac:dyDescent="0.25">
      <c r="A156">
        <v>5925300000</v>
      </c>
      <c r="B156" s="16" t="s">
        <v>20534</v>
      </c>
      <c r="C156" s="16" t="e">
        <f>VLOOKUP(Table1[[#This Row],[Node]],Parent!A:B,2,0)</f>
        <v>#N/A</v>
      </c>
      <c r="D156" s="25" t="s">
        <v>19346</v>
      </c>
      <c r="E156" s="26" t="s">
        <v>16544</v>
      </c>
      <c r="F156" s="27" t="s">
        <v>16545</v>
      </c>
      <c r="G156" s="27" t="s">
        <v>16546</v>
      </c>
      <c r="H156" s="27" t="s">
        <v>16664</v>
      </c>
      <c r="I156" s="27"/>
      <c r="J156" s="27"/>
      <c r="K156" s="27"/>
      <c r="L156" s="27"/>
      <c r="N156" s="27"/>
      <c r="T156" s="28" t="str">
        <f>LOOKUP(1,1/(Table1[[#This Row],[Level_0]:[Level 15]]&gt;0),(Table1[[#This Row],[Level_0]:[Level 15]]))</f>
        <v>5925300000 - [Los f. FairValChanges Debt Inst FVtPL-Re]</v>
      </c>
      <c r="U156" s="22">
        <v>151</v>
      </c>
      <c r="W156" s="13" t="str">
        <f>LOOKUP(1,1/(Table1[[#This Row],[Level_0]:[Level 15]]&gt;0),(Table1[[#This Row],[Level_0]:[Level 15]]))</f>
        <v>5925300000 - [Los f. FairValChanges Debt Inst FVtPL-Re]</v>
      </c>
    </row>
    <row r="157" spans="1:23" hidden="1" x14ac:dyDescent="0.25">
      <c r="A157">
        <v>5925220000</v>
      </c>
      <c r="B157" s="16" t="s">
        <v>20533</v>
      </c>
      <c r="C157" s="16" t="e">
        <f>VLOOKUP(Table1[[#This Row],[Node]],Parent!A:B,2,0)</f>
        <v>#N/A</v>
      </c>
      <c r="D157" s="25" t="s">
        <v>19346</v>
      </c>
      <c r="E157" s="26" t="s">
        <v>16544</v>
      </c>
      <c r="F157" s="27" t="s">
        <v>16545</v>
      </c>
      <c r="G157" s="27" t="s">
        <v>16546</v>
      </c>
      <c r="H157" s="27" t="s">
        <v>16665</v>
      </c>
      <c r="I157" s="27"/>
      <c r="J157" s="27"/>
      <c r="K157" s="27"/>
      <c r="L157" s="27"/>
      <c r="N157" s="27"/>
      <c r="T157" s="28" t="str">
        <f>LOOKUP(1,1/(Table1[[#This Row],[Level_0]:[Level 15]]&gt;0),(Table1[[#This Row],[Level_0]:[Level 15]]))</f>
        <v>5925220000 - [Los  FairValChanges Debt Inst FVtPL -UR]</v>
      </c>
      <c r="U157" s="22">
        <v>152</v>
      </c>
      <c r="W157" s="13" t="str">
        <f>LOOKUP(1,1/(Table1[[#This Row],[Level_0]:[Level 15]]&gt;0),(Table1[[#This Row],[Level_0]:[Level 15]]))</f>
        <v>5925220000 - [Los  FairValChanges Debt Inst FVtPL -UR]</v>
      </c>
    </row>
    <row r="158" spans="1:23" hidden="1" x14ac:dyDescent="0.25">
      <c r="A158">
        <v>5925200000</v>
      </c>
      <c r="B158" s="16" t="s">
        <v>20532</v>
      </c>
      <c r="C158" s="16" t="e">
        <f>VLOOKUP(Table1[[#This Row],[Node]],Parent!A:B,2,0)</f>
        <v>#N/A</v>
      </c>
      <c r="D158" s="25" t="s">
        <v>19346</v>
      </c>
      <c r="E158" s="26" t="s">
        <v>16544</v>
      </c>
      <c r="F158" s="27" t="s">
        <v>16545</v>
      </c>
      <c r="G158" s="27" t="s">
        <v>16546</v>
      </c>
      <c r="H158" s="27" t="s">
        <v>16666</v>
      </c>
      <c r="I158" s="27"/>
      <c r="J158" s="27"/>
      <c r="K158" s="27"/>
      <c r="L158" s="27"/>
      <c r="N158" s="27"/>
      <c r="T158" s="28" t="str">
        <f>LOOKUP(1,1/(Table1[[#This Row],[Level_0]:[Level 15]]&gt;0),(Table1[[#This Row],[Level_0]:[Level 15]]))</f>
        <v>5925200000 - [Los FairValCha DebtInst (FVOpt)FVtPL-Re]</v>
      </c>
      <c r="U158" s="22">
        <v>153</v>
      </c>
      <c r="W158" s="13" t="str">
        <f>LOOKUP(1,1/(Table1[[#This Row],[Level_0]:[Level 15]]&gt;0),(Table1[[#This Row],[Level_0]:[Level 15]]))</f>
        <v>5925200000 - [Los FairValCha DebtInst (FVOpt)FVtPL-Re]</v>
      </c>
    </row>
    <row r="159" spans="1:23" hidden="1" x14ac:dyDescent="0.25">
      <c r="A159">
        <v>5810000003</v>
      </c>
      <c r="B159" s="16" t="s">
        <v>20491</v>
      </c>
      <c r="C159" s="16" t="e">
        <f>VLOOKUP(Table1[[#This Row],[Node]],Parent!A:B,2,0)</f>
        <v>#N/A</v>
      </c>
      <c r="D159" s="25" t="s">
        <v>19346</v>
      </c>
      <c r="E159" s="26" t="s">
        <v>16544</v>
      </c>
      <c r="F159" s="27" t="s">
        <v>16545</v>
      </c>
      <c r="G159" s="27" t="s">
        <v>16546</v>
      </c>
      <c r="H159" s="27" t="s">
        <v>16667</v>
      </c>
      <c r="I159" s="27"/>
      <c r="J159" s="27"/>
      <c r="K159" s="27"/>
      <c r="L159" s="27"/>
      <c r="N159" s="27"/>
      <c r="T159" s="28" t="str">
        <f>LOOKUP(1,1/(Table1[[#This Row],[Level_0]:[Level 15]]&gt;0),(Table1[[#This Row],[Level_0]:[Level 15]]))</f>
        <v>5810000003 - [Entertainment Expenses ULL - Account 2]</v>
      </c>
      <c r="U159" s="22">
        <v>154</v>
      </c>
      <c r="W159" s="13" t="str">
        <f>LOOKUP(1,1/(Table1[[#This Row],[Level_0]:[Level 15]]&gt;0),(Table1[[#This Row],[Level_0]:[Level 15]]))</f>
        <v>5810000003 - [Entertainment Expenses ULL - Account 2]</v>
      </c>
    </row>
    <row r="160" spans="1:23" hidden="1" x14ac:dyDescent="0.25">
      <c r="A160">
        <v>5559007777</v>
      </c>
      <c r="B160" s="16" t="s">
        <v>20377</v>
      </c>
      <c r="C160" s="16" t="e">
        <f>VLOOKUP(Table1[[#This Row],[Node]],Parent!A:B,2,0)</f>
        <v>#N/A</v>
      </c>
      <c r="D160" s="25" t="s">
        <v>19346</v>
      </c>
      <c r="E160" s="26" t="s">
        <v>16544</v>
      </c>
      <c r="F160" s="27" t="s">
        <v>16545</v>
      </c>
      <c r="G160" s="27" t="s">
        <v>16546</v>
      </c>
      <c r="H160" s="27" t="s">
        <v>16668</v>
      </c>
      <c r="I160" s="27"/>
      <c r="J160" s="27"/>
      <c r="K160" s="27"/>
      <c r="L160" s="27"/>
      <c r="N160" s="27"/>
      <c r="T160" s="28" t="str">
        <f>LOOKUP(1,1/(Table1[[#This Row],[Level_0]:[Level 15]]&gt;0),(Table1[[#This Row],[Level_0]:[Level 15]]))</f>
        <v>5559007777 - [DO NOT USE_R&amp;D expenses - Legacy Versum]</v>
      </c>
      <c r="U160" s="22">
        <v>155</v>
      </c>
      <c r="W160" s="13" t="str">
        <f>LOOKUP(1,1/(Table1[[#This Row],[Level_0]:[Level 15]]&gt;0),(Table1[[#This Row],[Level_0]:[Level 15]]))</f>
        <v>5559007777 - [DO NOT USE_R&amp;D expenses - Legacy Versum]</v>
      </c>
    </row>
    <row r="161" spans="1:23" hidden="1" x14ac:dyDescent="0.25">
      <c r="A161">
        <v>5488000400</v>
      </c>
      <c r="B161" s="16" t="s">
        <v>20321</v>
      </c>
      <c r="C161" s="16" t="e">
        <f>VLOOKUP(Table1[[#This Row],[Node]],Parent!A:B,2,0)</f>
        <v>#N/A</v>
      </c>
      <c r="D161" s="25" t="s">
        <v>19346</v>
      </c>
      <c r="E161" s="26" t="s">
        <v>16544</v>
      </c>
      <c r="F161" s="27" t="s">
        <v>16545</v>
      </c>
      <c r="G161" s="27" t="s">
        <v>16546</v>
      </c>
      <c r="H161" s="27" t="s">
        <v>16669</v>
      </c>
      <c r="I161" s="27"/>
      <c r="J161" s="27"/>
      <c r="K161" s="27"/>
      <c r="L161" s="27"/>
      <c r="N161" s="27"/>
      <c r="T161" s="28" t="str">
        <f>LOOKUP(1,1/(Table1[[#This Row],[Level_0]:[Level 15]]&gt;0),(Table1[[#This Row],[Level_0]:[Level 15]]))</f>
        <v>5488000400 - [Train Freight Costs 4m TM]</v>
      </c>
      <c r="U161" s="22">
        <v>156</v>
      </c>
      <c r="W161" s="13" t="str">
        <f>LOOKUP(1,1/(Table1[[#This Row],[Level_0]:[Level 15]]&gt;0),(Table1[[#This Row],[Level_0]:[Level 15]]))</f>
        <v>5488000400 - [Train Freight Costs 4m TM]</v>
      </c>
    </row>
    <row r="162" spans="1:23" hidden="1" x14ac:dyDescent="0.25">
      <c r="A162">
        <v>5484907777</v>
      </c>
      <c r="B162" s="16" t="s">
        <v>20311</v>
      </c>
      <c r="C162" s="16" t="e">
        <f>VLOOKUP(Table1[[#This Row],[Node]],Parent!A:B,2,0)</f>
        <v>#N/A</v>
      </c>
      <c r="D162" s="25" t="s">
        <v>19346</v>
      </c>
      <c r="E162" s="26" t="s">
        <v>16544</v>
      </c>
      <c r="F162" s="27" t="s">
        <v>16545</v>
      </c>
      <c r="G162" s="27" t="s">
        <v>16546</v>
      </c>
      <c r="H162" s="27" t="s">
        <v>16670</v>
      </c>
      <c r="I162" s="27"/>
      <c r="J162" s="27"/>
      <c r="K162" s="27"/>
      <c r="L162" s="27"/>
      <c r="N162" s="27"/>
      <c r="T162" s="28" t="str">
        <f>LOOKUP(1,1/(Table1[[#This Row],[Level_0]:[Level 15]]&gt;0),(Table1[[#This Row],[Level_0]:[Level 15]]))</f>
        <v>5484907777 - [Distribution costs legacy versum]</v>
      </c>
      <c r="U162" s="22">
        <v>157</v>
      </c>
      <c r="W162" s="13" t="str">
        <f>LOOKUP(1,1/(Table1[[#This Row],[Level_0]:[Level 15]]&gt;0),(Table1[[#This Row],[Level_0]:[Level 15]]))</f>
        <v>5484907777 - [Distribution costs legacy versum]</v>
      </c>
    </row>
    <row r="163" spans="1:23" hidden="1" x14ac:dyDescent="0.25">
      <c r="A163">
        <v>5469000000</v>
      </c>
      <c r="B163" s="16" t="s">
        <v>19539</v>
      </c>
      <c r="C163" s="16" t="e">
        <f>VLOOKUP(Table1[[#This Row],[Node]],Parent!A:B,2,0)</f>
        <v>#N/A</v>
      </c>
      <c r="D163" s="25" t="s">
        <v>19346</v>
      </c>
      <c r="E163" s="26" t="s">
        <v>16544</v>
      </c>
      <c r="F163" s="27" t="s">
        <v>16545</v>
      </c>
      <c r="G163" s="27" t="s">
        <v>16546</v>
      </c>
      <c r="H163" s="27" t="s">
        <v>16671</v>
      </c>
      <c r="I163" s="27"/>
      <c r="J163" s="27"/>
      <c r="K163" s="27"/>
      <c r="L163" s="27"/>
      <c r="N163" s="27"/>
      <c r="T163" s="28" t="str">
        <f>LOOKUP(1,1/(Table1[[#This Row],[Level_0]:[Level 15]]&gt;0),(Table1[[#This Row],[Level_0]:[Level 15]]))</f>
        <v>5469000000 - [Not in use]</v>
      </c>
      <c r="U163" s="22">
        <v>158</v>
      </c>
      <c r="W163" s="13" t="str">
        <f>LOOKUP(1,1/(Table1[[#This Row],[Level_0]:[Level 15]]&gt;0),(Table1[[#This Row],[Level_0]:[Level 15]]))</f>
        <v>5469000000 - [Not in use]</v>
      </c>
    </row>
    <row r="164" spans="1:23" hidden="1" x14ac:dyDescent="0.25">
      <c r="A164">
        <v>5463000000</v>
      </c>
      <c r="B164" s="16" t="s">
        <v>19539</v>
      </c>
      <c r="C164" s="16" t="e">
        <f>VLOOKUP(Table1[[#This Row],[Node]],Parent!A:B,2,0)</f>
        <v>#N/A</v>
      </c>
      <c r="D164" s="25" t="s">
        <v>19346</v>
      </c>
      <c r="E164" s="26" t="s">
        <v>16544</v>
      </c>
      <c r="F164" s="27" t="s">
        <v>16545</v>
      </c>
      <c r="G164" s="27" t="s">
        <v>16546</v>
      </c>
      <c r="H164" s="27" t="s">
        <v>16672</v>
      </c>
      <c r="I164" s="27"/>
      <c r="J164" s="27"/>
      <c r="K164" s="27"/>
      <c r="L164" s="27"/>
      <c r="N164" s="27"/>
      <c r="T164" s="28" t="str">
        <f>LOOKUP(1,1/(Table1[[#This Row],[Level_0]:[Level 15]]&gt;0),(Table1[[#This Row],[Level_0]:[Level 15]]))</f>
        <v>5463000000 - [Not in use]</v>
      </c>
      <c r="U164" s="22">
        <v>159</v>
      </c>
      <c r="W164" s="13" t="str">
        <f>LOOKUP(1,1/(Table1[[#This Row],[Level_0]:[Level 15]]&gt;0),(Table1[[#This Row],[Level_0]:[Level 15]]))</f>
        <v>5463000000 - [Not in use]</v>
      </c>
    </row>
    <row r="165" spans="1:23" hidden="1" x14ac:dyDescent="0.25">
      <c r="A165">
        <v>5462000000</v>
      </c>
      <c r="B165" s="16" t="s">
        <v>19539</v>
      </c>
      <c r="C165" s="16" t="e">
        <f>VLOOKUP(Table1[[#This Row],[Node]],Parent!A:B,2,0)</f>
        <v>#N/A</v>
      </c>
      <c r="D165" s="25" t="s">
        <v>19346</v>
      </c>
      <c r="E165" s="26" t="s">
        <v>16544</v>
      </c>
      <c r="F165" s="27" t="s">
        <v>16545</v>
      </c>
      <c r="G165" s="27" t="s">
        <v>16546</v>
      </c>
      <c r="H165" s="27" t="s">
        <v>16673</v>
      </c>
      <c r="I165" s="27"/>
      <c r="J165" s="27"/>
      <c r="K165" s="27"/>
      <c r="L165" s="27"/>
      <c r="N165" s="27"/>
      <c r="T165" s="28" t="str">
        <f>LOOKUP(1,1/(Table1[[#This Row],[Level_0]:[Level 15]]&gt;0),(Table1[[#This Row],[Level_0]:[Level 15]]))</f>
        <v>5462000000 - [Not in use]</v>
      </c>
      <c r="U165" s="22">
        <v>160</v>
      </c>
      <c r="W165" s="13" t="str">
        <f>LOOKUP(1,1/(Table1[[#This Row],[Level_0]:[Level 15]]&gt;0),(Table1[[#This Row],[Level_0]:[Level 15]]))</f>
        <v>5462000000 - [Not in use]</v>
      </c>
    </row>
    <row r="166" spans="1:23" hidden="1" x14ac:dyDescent="0.25">
      <c r="A166">
        <v>5461000000</v>
      </c>
      <c r="B166" s="16" t="s">
        <v>20303</v>
      </c>
      <c r="C166" s="16" t="e">
        <f>VLOOKUP(Table1[[#This Row],[Node]],Parent!A:B,2,0)</f>
        <v>#N/A</v>
      </c>
      <c r="D166" s="25" t="s">
        <v>19346</v>
      </c>
      <c r="E166" s="26" t="s">
        <v>16544</v>
      </c>
      <c r="F166" s="27" t="s">
        <v>16545</v>
      </c>
      <c r="G166" s="27" t="s">
        <v>16546</v>
      </c>
      <c r="H166" s="27" t="s">
        <v>16674</v>
      </c>
      <c r="I166" s="27"/>
      <c r="J166" s="27"/>
      <c r="K166" s="27"/>
      <c r="L166" s="27"/>
      <c r="N166" s="27"/>
      <c r="T166" s="28" t="str">
        <f>LOOKUP(1,1/(Table1[[#This Row],[Level_0]:[Level 15]]&gt;0),(Table1[[#This Row],[Level_0]:[Level 15]]))</f>
        <v>5461000000 - [Primary Market research]</v>
      </c>
      <c r="U166" s="22">
        <v>161</v>
      </c>
      <c r="W166" s="13" t="str">
        <f>LOOKUP(1,1/(Table1[[#This Row],[Level_0]:[Level 15]]&gt;0),(Table1[[#This Row],[Level_0]:[Level 15]]))</f>
        <v>5461000000 - [Primary Market research]</v>
      </c>
    </row>
    <row r="167" spans="1:23" hidden="1" x14ac:dyDescent="0.25">
      <c r="A167">
        <v>5452000000</v>
      </c>
      <c r="B167" s="16" t="s">
        <v>19539</v>
      </c>
      <c r="C167" s="16" t="e">
        <f>VLOOKUP(Table1[[#This Row],[Node]],Parent!A:B,2,0)</f>
        <v>#N/A</v>
      </c>
      <c r="D167" s="25" t="s">
        <v>19346</v>
      </c>
      <c r="E167" s="26" t="s">
        <v>16544</v>
      </c>
      <c r="F167" s="27" t="s">
        <v>16545</v>
      </c>
      <c r="G167" s="27" t="s">
        <v>16546</v>
      </c>
      <c r="H167" s="27" t="s">
        <v>16675</v>
      </c>
      <c r="I167" s="27"/>
      <c r="J167" s="27"/>
      <c r="K167" s="27"/>
      <c r="L167" s="27"/>
      <c r="N167" s="27"/>
      <c r="T167" s="28" t="str">
        <f>LOOKUP(1,1/(Table1[[#This Row],[Level_0]:[Level 15]]&gt;0),(Table1[[#This Row],[Level_0]:[Level 15]]))</f>
        <v>5452000000 - [Not in use]</v>
      </c>
      <c r="U167" s="22">
        <v>162</v>
      </c>
      <c r="W167" s="13" t="str">
        <f>LOOKUP(1,1/(Table1[[#This Row],[Level_0]:[Level 15]]&gt;0),(Table1[[#This Row],[Level_0]:[Level 15]]))</f>
        <v>5452000000 - [Not in use]</v>
      </c>
    </row>
    <row r="168" spans="1:23" hidden="1" x14ac:dyDescent="0.25">
      <c r="A168">
        <v>5451000000</v>
      </c>
      <c r="B168" s="16" t="s">
        <v>19539</v>
      </c>
      <c r="C168" s="16" t="e">
        <f>VLOOKUP(Table1[[#This Row],[Node]],Parent!A:B,2,0)</f>
        <v>#N/A</v>
      </c>
      <c r="D168" s="25" t="s">
        <v>19346</v>
      </c>
      <c r="E168" s="26" t="s">
        <v>16544</v>
      </c>
      <c r="F168" s="27" t="s">
        <v>16545</v>
      </c>
      <c r="G168" s="27" t="s">
        <v>16546</v>
      </c>
      <c r="H168" s="27" t="s">
        <v>16676</v>
      </c>
      <c r="I168" s="27"/>
      <c r="J168" s="27"/>
      <c r="K168" s="27"/>
      <c r="L168" s="27"/>
      <c r="N168" s="27"/>
      <c r="T168" s="28" t="str">
        <f>LOOKUP(1,1/(Table1[[#This Row],[Level_0]:[Level 15]]&gt;0),(Table1[[#This Row],[Level_0]:[Level 15]]))</f>
        <v>5451000000 - [Not in use]</v>
      </c>
      <c r="U168" s="22">
        <v>163</v>
      </c>
      <c r="W168" s="13" t="str">
        <f>LOOKUP(1,1/(Table1[[#This Row],[Level_0]:[Level 15]]&gt;0),(Table1[[#This Row],[Level_0]:[Level 15]]))</f>
        <v>5451000000 - [Not in use]</v>
      </c>
    </row>
    <row r="169" spans="1:23" hidden="1" x14ac:dyDescent="0.25">
      <c r="A169">
        <v>5443100000</v>
      </c>
      <c r="B169" s="16" t="s">
        <v>20295</v>
      </c>
      <c r="C169" s="16" t="e">
        <f>VLOOKUP(Table1[[#This Row],[Node]],Parent!A:B,2,0)</f>
        <v>#N/A</v>
      </c>
      <c r="D169" s="25" t="s">
        <v>19346</v>
      </c>
      <c r="E169" s="26" t="s">
        <v>16544</v>
      </c>
      <c r="F169" s="27" t="s">
        <v>16545</v>
      </c>
      <c r="G169" s="27" t="s">
        <v>16546</v>
      </c>
      <c r="H169" s="27" t="s">
        <v>16677</v>
      </c>
      <c r="I169" s="27"/>
      <c r="J169" s="27"/>
      <c r="K169" s="27"/>
      <c r="L169" s="27"/>
      <c r="N169" s="27"/>
      <c r="T169" s="28" t="str">
        <f>LOOKUP(1,1/(Table1[[#This Row],[Level_0]:[Level 15]]&gt;0),(Table1[[#This Row],[Level_0]:[Level 15]]))</f>
        <v>5443100000 - [Commission Expenses - M&amp;S - SD]</v>
      </c>
      <c r="U169" s="22">
        <v>164</v>
      </c>
      <c r="W169" s="13" t="str">
        <f>LOOKUP(1,1/(Table1[[#This Row],[Level_0]:[Level 15]]&gt;0),(Table1[[#This Row],[Level_0]:[Level 15]]))</f>
        <v>5443100000 - [Commission Expenses - M&amp;S - SD]</v>
      </c>
    </row>
    <row r="170" spans="1:23" hidden="1" x14ac:dyDescent="0.25">
      <c r="A170">
        <v>5443007777</v>
      </c>
      <c r="B170" s="16" t="s">
        <v>20294</v>
      </c>
      <c r="C170" s="16" t="e">
        <f>VLOOKUP(Table1[[#This Row],[Node]],Parent!A:B,2,0)</f>
        <v>#N/A</v>
      </c>
      <c r="D170" s="25" t="s">
        <v>19346</v>
      </c>
      <c r="E170" s="26" t="s">
        <v>16544</v>
      </c>
      <c r="F170" s="27" t="s">
        <v>16545</v>
      </c>
      <c r="G170" s="27" t="s">
        <v>16546</v>
      </c>
      <c r="H170" s="27" t="s">
        <v>16678</v>
      </c>
      <c r="I170" s="27"/>
      <c r="J170" s="27"/>
      <c r="K170" s="27"/>
      <c r="L170" s="27"/>
      <c r="N170" s="27"/>
      <c r="T170" s="28" t="str">
        <f>LOOKUP(1,1/(Table1[[#This Row],[Level_0]:[Level 15]]&gt;0),(Table1[[#This Row],[Level_0]:[Level 15]]))</f>
        <v>5443007777 - [DO NOT USE_SGA expenses - Legacy Versum]</v>
      </c>
      <c r="U170" s="22">
        <v>165</v>
      </c>
      <c r="W170" s="13" t="str">
        <f>LOOKUP(1,1/(Table1[[#This Row],[Level_0]:[Level 15]]&gt;0),(Table1[[#This Row],[Level_0]:[Level 15]]))</f>
        <v>5443007777 - [DO NOT USE_SGA expenses - Legacy Versum]</v>
      </c>
    </row>
    <row r="171" spans="1:23" hidden="1" x14ac:dyDescent="0.25">
      <c r="A171">
        <v>5415000000</v>
      </c>
      <c r="B171" s="16" t="s">
        <v>19539</v>
      </c>
      <c r="C171" s="16" t="e">
        <f>VLOOKUP(Table1[[#This Row],[Node]],Parent!A:B,2,0)</f>
        <v>#N/A</v>
      </c>
      <c r="D171" s="25" t="s">
        <v>19346</v>
      </c>
      <c r="E171" s="26" t="s">
        <v>16544</v>
      </c>
      <c r="F171" s="27" t="s">
        <v>16545</v>
      </c>
      <c r="G171" s="27" t="s">
        <v>16546</v>
      </c>
      <c r="H171" s="27" t="s">
        <v>16679</v>
      </c>
      <c r="I171" s="27"/>
      <c r="J171" s="27"/>
      <c r="K171" s="27"/>
      <c r="L171" s="27"/>
      <c r="N171" s="27"/>
      <c r="T171" s="28" t="str">
        <f>LOOKUP(1,1/(Table1[[#This Row],[Level_0]:[Level 15]]&gt;0),(Table1[[#This Row],[Level_0]:[Level 15]]))</f>
        <v>5415000000 - [Not in use]</v>
      </c>
      <c r="U171" s="22">
        <v>166</v>
      </c>
      <c r="W171" s="13" t="str">
        <f>LOOKUP(1,1/(Table1[[#This Row],[Level_0]:[Level 15]]&gt;0),(Table1[[#This Row],[Level_0]:[Level 15]]))</f>
        <v>5415000000 - [Not in use]</v>
      </c>
    </row>
    <row r="172" spans="1:23" hidden="1" x14ac:dyDescent="0.25">
      <c r="A172">
        <v>5413010000</v>
      </c>
      <c r="B172" s="16" t="s">
        <v>19539</v>
      </c>
      <c r="C172" s="16" t="e">
        <f>VLOOKUP(Table1[[#This Row],[Node]],Parent!A:B,2,0)</f>
        <v>#N/A</v>
      </c>
      <c r="D172" s="25" t="s">
        <v>19346</v>
      </c>
      <c r="E172" s="26" t="s">
        <v>16544</v>
      </c>
      <c r="F172" s="27" t="s">
        <v>16545</v>
      </c>
      <c r="G172" s="27" t="s">
        <v>16546</v>
      </c>
      <c r="H172" s="27" t="s">
        <v>16680</v>
      </c>
      <c r="I172" s="27"/>
      <c r="J172" s="27"/>
      <c r="K172" s="27"/>
      <c r="L172" s="27"/>
      <c r="N172" s="27"/>
      <c r="T172" s="28" t="str">
        <f>LOOKUP(1,1/(Table1[[#This Row],[Level_0]:[Level 15]]&gt;0),(Table1[[#This Row],[Level_0]:[Level 15]]))</f>
        <v>5413010000 - [Not in use]</v>
      </c>
      <c r="U172" s="22">
        <v>167</v>
      </c>
      <c r="W172" s="13" t="str">
        <f>LOOKUP(1,1/(Table1[[#This Row],[Level_0]:[Level 15]]&gt;0),(Table1[[#This Row],[Level_0]:[Level 15]]))</f>
        <v>5413010000 - [Not in use]</v>
      </c>
    </row>
    <row r="173" spans="1:23" hidden="1" x14ac:dyDescent="0.25">
      <c r="A173">
        <v>5410060000</v>
      </c>
      <c r="B173" s="16" t="s">
        <v>19539</v>
      </c>
      <c r="C173" s="16" t="e">
        <f>VLOOKUP(Table1[[#This Row],[Node]],Parent!A:B,2,0)</f>
        <v>#N/A</v>
      </c>
      <c r="D173" s="25" t="s">
        <v>19346</v>
      </c>
      <c r="E173" s="26" t="s">
        <v>16544</v>
      </c>
      <c r="F173" s="27" t="s">
        <v>16545</v>
      </c>
      <c r="G173" s="27" t="s">
        <v>16546</v>
      </c>
      <c r="H173" s="27" t="s">
        <v>16681</v>
      </c>
      <c r="I173" s="27"/>
      <c r="J173" s="27"/>
      <c r="K173" s="27"/>
      <c r="L173" s="27"/>
      <c r="N173" s="27"/>
      <c r="T173" s="28" t="str">
        <f>LOOKUP(1,1/(Table1[[#This Row],[Level_0]:[Level 15]]&gt;0),(Table1[[#This Row],[Level_0]:[Level 15]]))</f>
        <v>5410060000 - [Not in use]</v>
      </c>
      <c r="U173" s="22">
        <v>168</v>
      </c>
      <c r="W173" s="13" t="str">
        <f>LOOKUP(1,1/(Table1[[#This Row],[Level_0]:[Level 15]]&gt;0),(Table1[[#This Row],[Level_0]:[Level 15]]))</f>
        <v>5410060000 - [Not in use]</v>
      </c>
    </row>
    <row r="174" spans="1:23" hidden="1" x14ac:dyDescent="0.25">
      <c r="A174">
        <v>5410020000</v>
      </c>
      <c r="B174" s="16" t="s">
        <v>19539</v>
      </c>
      <c r="C174" s="16" t="e">
        <f>VLOOKUP(Table1[[#This Row],[Node]],Parent!A:B,2,0)</f>
        <v>#N/A</v>
      </c>
      <c r="D174" s="25" t="s">
        <v>19346</v>
      </c>
      <c r="E174" s="26" t="s">
        <v>16544</v>
      </c>
      <c r="F174" s="27" t="s">
        <v>16545</v>
      </c>
      <c r="G174" s="27" t="s">
        <v>16546</v>
      </c>
      <c r="H174" s="27" t="s">
        <v>16682</v>
      </c>
      <c r="I174" s="27"/>
      <c r="J174" s="27"/>
      <c r="K174" s="27"/>
      <c r="L174" s="27"/>
      <c r="N174" s="27"/>
      <c r="T174" s="28" t="str">
        <f>LOOKUP(1,1/(Table1[[#This Row],[Level_0]:[Level 15]]&gt;0),(Table1[[#This Row],[Level_0]:[Level 15]]))</f>
        <v>5410020000 - [Not in use]</v>
      </c>
      <c r="U174" s="22">
        <v>169</v>
      </c>
      <c r="W174" s="13" t="str">
        <f>LOOKUP(1,1/(Table1[[#This Row],[Level_0]:[Level 15]]&gt;0),(Table1[[#This Row],[Level_0]:[Level 15]]))</f>
        <v>5410020000 - [Not in use]</v>
      </c>
    </row>
    <row r="175" spans="1:23" hidden="1" x14ac:dyDescent="0.25">
      <c r="A175">
        <v>5407000000</v>
      </c>
      <c r="B175" s="16" t="s">
        <v>19539</v>
      </c>
      <c r="C175" s="16" t="e">
        <f>VLOOKUP(Table1[[#This Row],[Node]],Parent!A:B,2,0)</f>
        <v>#N/A</v>
      </c>
      <c r="D175" s="25" t="s">
        <v>19346</v>
      </c>
      <c r="E175" s="26" t="s">
        <v>16544</v>
      </c>
      <c r="F175" s="27" t="s">
        <v>16545</v>
      </c>
      <c r="G175" s="27" t="s">
        <v>16546</v>
      </c>
      <c r="H175" s="27" t="s">
        <v>16683</v>
      </c>
      <c r="I175" s="27"/>
      <c r="J175" s="27"/>
      <c r="K175" s="27"/>
      <c r="L175" s="27"/>
      <c r="N175" s="27"/>
      <c r="T175" s="28" t="str">
        <f>LOOKUP(1,1/(Table1[[#This Row],[Level_0]:[Level 15]]&gt;0),(Table1[[#This Row],[Level_0]:[Level 15]]))</f>
        <v>5407000000 - [Not in use]</v>
      </c>
      <c r="U175" s="22">
        <v>170</v>
      </c>
      <c r="W175" s="13" t="str">
        <f>LOOKUP(1,1/(Table1[[#This Row],[Level_0]:[Level 15]]&gt;0),(Table1[[#This Row],[Level_0]:[Level 15]]))</f>
        <v>5407000000 - [Not in use]</v>
      </c>
    </row>
    <row r="176" spans="1:23" hidden="1" x14ac:dyDescent="0.25">
      <c r="A176">
        <v>5405000000</v>
      </c>
      <c r="B176" s="16" t="s">
        <v>19539</v>
      </c>
      <c r="C176" s="16" t="e">
        <f>VLOOKUP(Table1[[#This Row],[Node]],Parent!A:B,2,0)</f>
        <v>#N/A</v>
      </c>
      <c r="D176" s="25" t="s">
        <v>19346</v>
      </c>
      <c r="E176" s="26" t="s">
        <v>16544</v>
      </c>
      <c r="F176" s="27" t="s">
        <v>16545</v>
      </c>
      <c r="G176" s="27" t="s">
        <v>16546</v>
      </c>
      <c r="H176" s="27" t="s">
        <v>16684</v>
      </c>
      <c r="I176" s="27"/>
      <c r="J176" s="27"/>
      <c r="K176" s="27"/>
      <c r="L176" s="27"/>
      <c r="N176" s="27"/>
      <c r="T176" s="28" t="str">
        <f>LOOKUP(1,1/(Table1[[#This Row],[Level_0]:[Level 15]]&gt;0),(Table1[[#This Row],[Level_0]:[Level 15]]))</f>
        <v>5405000000 - [Not in use]</v>
      </c>
      <c r="U176" s="22">
        <v>171</v>
      </c>
      <c r="W176" s="13" t="str">
        <f>LOOKUP(1,1/(Table1[[#This Row],[Level_0]:[Level 15]]&gt;0),(Table1[[#This Row],[Level_0]:[Level 15]]))</f>
        <v>5405000000 - [Not in use]</v>
      </c>
    </row>
    <row r="177" spans="1:23" hidden="1" x14ac:dyDescent="0.25">
      <c r="A177">
        <v>5404000000</v>
      </c>
      <c r="B177" s="16" t="s">
        <v>19539</v>
      </c>
      <c r="C177" s="16" t="e">
        <f>VLOOKUP(Table1[[#This Row],[Node]],Parent!A:B,2,0)</f>
        <v>#N/A</v>
      </c>
      <c r="D177" s="25" t="s">
        <v>19346</v>
      </c>
      <c r="E177" s="26" t="s">
        <v>16544</v>
      </c>
      <c r="F177" s="27" t="s">
        <v>16545</v>
      </c>
      <c r="G177" s="27" t="s">
        <v>16546</v>
      </c>
      <c r="H177" s="27" t="s">
        <v>16685</v>
      </c>
      <c r="I177" s="27"/>
      <c r="J177" s="27"/>
      <c r="K177" s="27"/>
      <c r="L177" s="27"/>
      <c r="N177" s="27"/>
      <c r="T177" s="28" t="str">
        <f>LOOKUP(1,1/(Table1[[#This Row],[Level_0]:[Level 15]]&gt;0),(Table1[[#This Row],[Level_0]:[Level 15]]))</f>
        <v>5404000000 - [Not in use]</v>
      </c>
      <c r="U177" s="22">
        <v>172</v>
      </c>
      <c r="W177" s="13" t="str">
        <f>LOOKUP(1,1/(Table1[[#This Row],[Level_0]:[Level 15]]&gt;0),(Table1[[#This Row],[Level_0]:[Level 15]]))</f>
        <v>5404000000 - [Not in use]</v>
      </c>
    </row>
    <row r="178" spans="1:23" hidden="1" x14ac:dyDescent="0.25">
      <c r="A178">
        <v>5403000000</v>
      </c>
      <c r="B178" s="16" t="s">
        <v>19539</v>
      </c>
      <c r="C178" s="16" t="e">
        <f>VLOOKUP(Table1[[#This Row],[Node]],Parent!A:B,2,0)</f>
        <v>#N/A</v>
      </c>
      <c r="D178" s="25" t="s">
        <v>19346</v>
      </c>
      <c r="E178" s="26" t="s">
        <v>16544</v>
      </c>
      <c r="F178" s="27" t="s">
        <v>16545</v>
      </c>
      <c r="G178" s="27" t="s">
        <v>16546</v>
      </c>
      <c r="H178" s="27" t="s">
        <v>16686</v>
      </c>
      <c r="I178" s="27"/>
      <c r="J178" s="27"/>
      <c r="K178" s="27"/>
      <c r="L178" s="27"/>
      <c r="N178" s="27"/>
      <c r="T178" s="28" t="str">
        <f>LOOKUP(1,1/(Table1[[#This Row],[Level_0]:[Level 15]]&gt;0),(Table1[[#This Row],[Level_0]:[Level 15]]))</f>
        <v>5403000000 - [Not in use]</v>
      </c>
      <c r="U178" s="22">
        <v>173</v>
      </c>
      <c r="W178" s="13" t="str">
        <f>LOOKUP(1,1/(Table1[[#This Row],[Level_0]:[Level 15]]&gt;0),(Table1[[#This Row],[Level_0]:[Level 15]]))</f>
        <v>5403000000 - [Not in use]</v>
      </c>
    </row>
    <row r="179" spans="1:23" hidden="1" x14ac:dyDescent="0.25">
      <c r="A179">
        <v>5391200001</v>
      </c>
      <c r="B179" s="16" t="s">
        <v>20249</v>
      </c>
      <c r="C179" s="16" t="e">
        <f>VLOOKUP(Table1[[#This Row],[Node]],Parent!A:B,2,0)</f>
        <v>#N/A</v>
      </c>
      <c r="D179" s="25" t="s">
        <v>19346</v>
      </c>
      <c r="E179" s="26" t="s">
        <v>16544</v>
      </c>
      <c r="F179" s="27" t="s">
        <v>16545</v>
      </c>
      <c r="G179" s="27" t="s">
        <v>16546</v>
      </c>
      <c r="H179" s="27" t="s">
        <v>16687</v>
      </c>
      <c r="I179" s="27"/>
      <c r="J179" s="27"/>
      <c r="K179" s="27"/>
      <c r="L179" s="27"/>
      <c r="N179" s="27"/>
      <c r="T179" s="28" t="str">
        <f>LOOKUP(1,1/(Table1[[#This Row],[Level_0]:[Level 15]]&gt;0),(Table1[[#This Row],[Level_0]:[Level 15]]))</f>
        <v>5391200001 - [R&amp;D Samples - Global - Acc1]</v>
      </c>
      <c r="U179" s="22">
        <v>174</v>
      </c>
      <c r="W179" s="13" t="str">
        <f>LOOKUP(1,1/(Table1[[#This Row],[Level_0]:[Level 15]]&gt;0),(Table1[[#This Row],[Level_0]:[Level 15]]))</f>
        <v>5391200001 - [R&amp;D Samples - Global - Acc1]</v>
      </c>
    </row>
    <row r="180" spans="1:23" hidden="1" x14ac:dyDescent="0.25">
      <c r="A180">
        <v>5355100000</v>
      </c>
      <c r="B180" s="16" t="s">
        <v>20246</v>
      </c>
      <c r="C180" s="16" t="e">
        <f>VLOOKUP(Table1[[#This Row],[Node]],Parent!A:B,2,0)</f>
        <v>#N/A</v>
      </c>
      <c r="D180" s="25" t="s">
        <v>19346</v>
      </c>
      <c r="E180" s="26" t="s">
        <v>16544</v>
      </c>
      <c r="F180" s="27" t="s">
        <v>16545</v>
      </c>
      <c r="G180" s="27" t="s">
        <v>16546</v>
      </c>
      <c r="H180" s="27" t="s">
        <v>16688</v>
      </c>
      <c r="I180" s="27"/>
      <c r="J180" s="27"/>
      <c r="K180" s="27"/>
      <c r="L180" s="27"/>
      <c r="N180" s="27"/>
      <c r="T180" s="28" t="str">
        <f>LOOKUP(1,1/(Table1[[#This Row],[Level_0]:[Level 15]]&gt;0),(Table1[[#This Row],[Level_0]:[Level 15]]))</f>
        <v>5355100000 - [Consum f. Subc - Major Tech Materials]</v>
      </c>
      <c r="U180" s="22">
        <v>175</v>
      </c>
      <c r="W180" s="13" t="str">
        <f>LOOKUP(1,1/(Table1[[#This Row],[Level_0]:[Level 15]]&gt;0),(Table1[[#This Row],[Level_0]:[Level 15]]))</f>
        <v>5355100000 - [Consum f. Subc - Major Tech Materials]</v>
      </c>
    </row>
    <row r="181" spans="1:23" hidden="1" x14ac:dyDescent="0.25">
      <c r="A181">
        <v>5102100000</v>
      </c>
      <c r="B181" s="16" t="s">
        <v>20039</v>
      </c>
      <c r="C181" s="16" t="e">
        <f>VLOOKUP(Table1[[#This Row],[Node]],Parent!A:B,2,0)</f>
        <v>#N/A</v>
      </c>
      <c r="D181" s="25" t="s">
        <v>19346</v>
      </c>
      <c r="E181" s="26" t="s">
        <v>16544</v>
      </c>
      <c r="F181" s="27" t="s">
        <v>16545</v>
      </c>
      <c r="G181" s="27" t="s">
        <v>16546</v>
      </c>
      <c r="H181" s="27" t="s">
        <v>16689</v>
      </c>
      <c r="I181" s="27"/>
      <c r="J181" s="27"/>
      <c r="K181" s="27"/>
      <c r="L181" s="27"/>
      <c r="N181" s="27"/>
      <c r="T181" s="28" t="str">
        <f>LOOKUP(1,1/(Table1[[#This Row],[Level_0]:[Level 15]]&gt;0),(Table1[[#This Row],[Level_0]:[Level 15]]))</f>
        <v>5102100000 - [AmoOthA - CapCo to Fulfill LT Contr]</v>
      </c>
      <c r="U181" s="22">
        <v>176</v>
      </c>
      <c r="W181" s="13" t="str">
        <f>LOOKUP(1,1/(Table1[[#This Row],[Level_0]:[Level 15]]&gt;0),(Table1[[#This Row],[Level_0]:[Level 15]]))</f>
        <v>5102100000 - [AmoOthA - CapCo to Fulfill LT Contr]</v>
      </c>
    </row>
    <row r="182" spans="1:23" hidden="1" x14ac:dyDescent="0.25">
      <c r="A182">
        <v>5102000000</v>
      </c>
      <c r="B182" s="16" t="s">
        <v>20038</v>
      </c>
      <c r="C182" s="16" t="e">
        <f>VLOOKUP(Table1[[#This Row],[Node]],Parent!A:B,2,0)</f>
        <v>#N/A</v>
      </c>
      <c r="D182" s="25" t="s">
        <v>19346</v>
      </c>
      <c r="E182" s="26" t="s">
        <v>16544</v>
      </c>
      <c r="F182" s="27" t="s">
        <v>16545</v>
      </c>
      <c r="G182" s="27" t="s">
        <v>16546</v>
      </c>
      <c r="H182" s="27" t="s">
        <v>16690</v>
      </c>
      <c r="I182" s="27"/>
      <c r="J182" s="27"/>
      <c r="K182" s="27"/>
      <c r="L182" s="27"/>
      <c r="N182" s="27"/>
      <c r="T182" s="28" t="str">
        <f>LOOKUP(1,1/(Table1[[#This Row],[Level_0]:[Level 15]]&gt;0),(Table1[[#This Row],[Level_0]:[Level 15]]))</f>
        <v>5102000000 - [AmoOthA - CapCo to Obtain LT Contr]</v>
      </c>
      <c r="U182" s="22">
        <v>177</v>
      </c>
      <c r="W182" s="13" t="str">
        <f>LOOKUP(1,1/(Table1[[#This Row],[Level_0]:[Level 15]]&gt;0),(Table1[[#This Row],[Level_0]:[Level 15]]))</f>
        <v>5102000000 - [AmoOthA - CapCo to Obtain LT Contr]</v>
      </c>
    </row>
    <row r="183" spans="1:23" hidden="1" x14ac:dyDescent="0.25">
      <c r="A183">
        <v>5030090005</v>
      </c>
      <c r="B183" s="16" t="s">
        <v>20014</v>
      </c>
      <c r="C183" s="16" t="e">
        <f>VLOOKUP(Table1[[#This Row],[Node]],Parent!A:B,2,0)</f>
        <v>#N/A</v>
      </c>
      <c r="D183" s="25" t="s">
        <v>19346</v>
      </c>
      <c r="E183" s="26" t="s">
        <v>16544</v>
      </c>
      <c r="F183" s="27" t="s">
        <v>16545</v>
      </c>
      <c r="G183" s="27" t="s">
        <v>16546</v>
      </c>
      <c r="H183" s="27" t="s">
        <v>16691</v>
      </c>
      <c r="I183" s="27"/>
      <c r="J183" s="27"/>
      <c r="K183" s="27"/>
      <c r="L183" s="27"/>
      <c r="N183" s="27"/>
      <c r="T183" s="28" t="str">
        <f>LOOKUP(1,1/(Table1[[#This Row],[Level_0]:[Level 15]]&gt;0),(Table1[[#This Row],[Level_0]:[Level 15]]))</f>
        <v>5030090005 - [Oth Pers Exp - Employben - SZEP Card]</v>
      </c>
      <c r="U183" s="22">
        <v>178</v>
      </c>
      <c r="W183" s="13" t="str">
        <f>LOOKUP(1,1/(Table1[[#This Row],[Level_0]:[Level 15]]&gt;0),(Table1[[#This Row],[Level_0]:[Level 15]]))</f>
        <v>5030090005 - [Oth Pers Exp - Employben - SZEP Card]</v>
      </c>
    </row>
    <row r="184" spans="1:23" hidden="1" x14ac:dyDescent="0.25">
      <c r="A184">
        <v>5010002000</v>
      </c>
      <c r="B184" s="16" t="s">
        <v>19539</v>
      </c>
      <c r="C184" s="16" t="e">
        <f>VLOOKUP(Table1[[#This Row],[Node]],Parent!A:B,2,0)</f>
        <v>#N/A</v>
      </c>
      <c r="D184" s="25" t="s">
        <v>19346</v>
      </c>
      <c r="E184" s="26" t="s">
        <v>16544</v>
      </c>
      <c r="F184" s="27" t="s">
        <v>16545</v>
      </c>
      <c r="G184" s="27" t="s">
        <v>16546</v>
      </c>
      <c r="H184" s="27" t="s">
        <v>16692</v>
      </c>
      <c r="I184" s="27"/>
      <c r="J184" s="27"/>
      <c r="K184" s="27"/>
      <c r="L184" s="27"/>
      <c r="N184" s="27"/>
      <c r="T184" s="28" t="str">
        <f>LOOKUP(1,1/(Table1[[#This Row],[Level_0]:[Level 15]]&gt;0),(Table1[[#This Row],[Level_0]:[Level 15]]))</f>
        <v>5010002000 - [Not in use]</v>
      </c>
      <c r="U184" s="22">
        <v>179</v>
      </c>
      <c r="W184" s="13" t="str">
        <f>LOOKUP(1,1/(Table1[[#This Row],[Level_0]:[Level 15]]&gt;0),(Table1[[#This Row],[Level_0]:[Level 15]]))</f>
        <v>5010002000 - [Not in use]</v>
      </c>
    </row>
    <row r="185" spans="1:23" hidden="1" x14ac:dyDescent="0.25">
      <c r="A185">
        <v>5010000005</v>
      </c>
      <c r="B185" s="16" t="s">
        <v>19983</v>
      </c>
      <c r="C185" s="16" t="e">
        <f>VLOOKUP(Table1[[#This Row],[Node]],Parent!A:B,2,0)</f>
        <v>#N/A</v>
      </c>
      <c r="D185" s="25" t="s">
        <v>19346</v>
      </c>
      <c r="E185" s="26" t="s">
        <v>16544</v>
      </c>
      <c r="F185" s="27" t="s">
        <v>16545</v>
      </c>
      <c r="G185" s="27" t="s">
        <v>16546</v>
      </c>
      <c r="H185" s="27" t="s">
        <v>16693</v>
      </c>
      <c r="I185" s="27"/>
      <c r="J185" s="27"/>
      <c r="K185" s="27"/>
      <c r="L185" s="27"/>
      <c r="N185" s="27"/>
      <c r="T185" s="28" t="str">
        <f>LOOKUP(1,1/(Table1[[#This Row],[Level_0]:[Level 15]]&gt;0),(Table1[[#This Row],[Level_0]:[Level 15]]))</f>
        <v>5010000005 - [Payr - Soc Ins Contri -VTCaftreaFringLim]</v>
      </c>
      <c r="U185" s="22">
        <v>180</v>
      </c>
      <c r="W185" s="13" t="str">
        <f>LOOKUP(1,1/(Table1[[#This Row],[Level_0]:[Level 15]]&gt;0),(Table1[[#This Row],[Level_0]:[Level 15]]))</f>
        <v>5010000005 - [Payr - Soc Ins Contri -VTCaftreaFringLim]</v>
      </c>
    </row>
    <row r="186" spans="1:23" hidden="1" x14ac:dyDescent="0.25">
      <c r="A186">
        <v>5010000004</v>
      </c>
      <c r="B186" s="16" t="s">
        <v>19982</v>
      </c>
      <c r="C186" s="16" t="e">
        <f>VLOOKUP(Table1[[#This Row],[Node]],Parent!A:B,2,0)</f>
        <v>#N/A</v>
      </c>
      <c r="D186" s="25" t="s">
        <v>19346</v>
      </c>
      <c r="E186" s="26" t="s">
        <v>16544</v>
      </c>
      <c r="F186" s="27" t="s">
        <v>16545</v>
      </c>
      <c r="G186" s="27" t="s">
        <v>16546</v>
      </c>
      <c r="H186" s="27" t="s">
        <v>16694</v>
      </c>
      <c r="I186" s="27"/>
      <c r="J186" s="27"/>
      <c r="K186" s="27"/>
      <c r="L186" s="27"/>
      <c r="N186" s="27"/>
      <c r="T186" s="28" t="str">
        <f>LOOKUP(1,1/(Table1[[#This Row],[Level_0]:[Level 15]]&gt;0),(Table1[[#This Row],[Level_0]:[Level 15]]))</f>
        <v>5010000004 - [Payr - Soc Ins Contri - VTCaftreaDefBen]</v>
      </c>
      <c r="U186" s="22">
        <v>181</v>
      </c>
      <c r="W186" s="13" t="str">
        <f>LOOKUP(1,1/(Table1[[#This Row],[Level_0]:[Level 15]]&gt;0),(Table1[[#This Row],[Level_0]:[Level 15]]))</f>
        <v>5010000004 - [Payr - Soc Ins Contri - VTCaftreaDefBen]</v>
      </c>
    </row>
    <row r="187" spans="1:23" hidden="1" x14ac:dyDescent="0.25">
      <c r="A187">
        <v>5010000003</v>
      </c>
      <c r="B187" s="16" t="s">
        <v>19981</v>
      </c>
      <c r="C187" s="16" t="e">
        <f>VLOOKUP(Table1[[#This Row],[Node]],Parent!A:B,2,0)</f>
        <v>#N/A</v>
      </c>
      <c r="D187" s="25" t="s">
        <v>19346</v>
      </c>
      <c r="E187" s="26" t="s">
        <v>16544</v>
      </c>
      <c r="F187" s="27" t="s">
        <v>16545</v>
      </c>
      <c r="G187" s="27" t="s">
        <v>16546</v>
      </c>
      <c r="H187" s="27" t="s">
        <v>16695</v>
      </c>
      <c r="I187" s="27"/>
      <c r="J187" s="27"/>
      <c r="K187" s="27"/>
      <c r="L187" s="27"/>
      <c r="N187" s="27"/>
      <c r="T187" s="28" t="str">
        <f>LOOKUP(1,1/(Table1[[#This Row],[Level_0]:[Level 15]]&gt;0),(Table1[[#This Row],[Level_0]:[Level 15]]))</f>
        <v>5010000003 - [Payr - Soc Ins Contri - VTC on FringBen]</v>
      </c>
      <c r="U187" s="22">
        <v>182</v>
      </c>
      <c r="W187" s="13" t="str">
        <f>LOOKUP(1,1/(Table1[[#This Row],[Level_0]:[Level 15]]&gt;0),(Table1[[#This Row],[Level_0]:[Level 15]]))</f>
        <v>5010000003 - [Payr - Soc Ins Contri - VTC on FringBen]</v>
      </c>
    </row>
    <row r="188" spans="1:23" hidden="1" x14ac:dyDescent="0.25">
      <c r="A188">
        <v>4401200000</v>
      </c>
      <c r="B188" s="16" t="s">
        <v>19928</v>
      </c>
      <c r="C188" s="16" t="e">
        <f>VLOOKUP(Table1[[#This Row],[Node]],Parent!A:B,2,0)</f>
        <v>#N/A</v>
      </c>
      <c r="D188" s="25" t="s">
        <v>19346</v>
      </c>
      <c r="E188" s="26" t="s">
        <v>16544</v>
      </c>
      <c r="F188" s="27" t="s">
        <v>16545</v>
      </c>
      <c r="G188" s="27" t="s">
        <v>16546</v>
      </c>
      <c r="H188" s="27" t="s">
        <v>16696</v>
      </c>
      <c r="I188" s="27"/>
      <c r="J188" s="27"/>
      <c r="K188" s="27"/>
      <c r="L188" s="27"/>
      <c r="N188" s="27"/>
      <c r="T188" s="28" t="str">
        <f>LOOKUP(1,1/(Table1[[#This Row],[Level_0]:[Level 15]]&gt;0),(Table1[[#This Row],[Level_0]:[Level 15]]))</f>
        <v>4401200000 - [Oth Subcon Exp - Subcon Fee - Price Diff]</v>
      </c>
      <c r="U188" s="22">
        <v>183</v>
      </c>
      <c r="W188" s="13" t="str">
        <f>LOOKUP(1,1/(Table1[[#This Row],[Level_0]:[Level 15]]&gt;0),(Table1[[#This Row],[Level_0]:[Level 15]]))</f>
        <v>4401200000 - [Oth Subcon Exp - Subcon Fee - Price Diff]</v>
      </c>
    </row>
    <row r="189" spans="1:23" hidden="1" x14ac:dyDescent="0.25">
      <c r="A189">
        <v>4243010000</v>
      </c>
      <c r="B189" s="16" t="s">
        <v>19914</v>
      </c>
      <c r="C189" s="16" t="e">
        <f>VLOOKUP(Table1[[#This Row],[Node]],Parent!A:B,2,0)</f>
        <v>#N/A</v>
      </c>
      <c r="D189" s="25" t="s">
        <v>19346</v>
      </c>
      <c r="E189" s="26" t="s">
        <v>16544</v>
      </c>
      <c r="F189" s="27" t="s">
        <v>16545</v>
      </c>
      <c r="G189" s="27" t="s">
        <v>16546</v>
      </c>
      <c r="H189" s="27" t="s">
        <v>16697</v>
      </c>
      <c r="I189" s="27"/>
      <c r="J189" s="27"/>
      <c r="K189" s="27"/>
      <c r="L189" s="27"/>
      <c r="N189" s="27"/>
      <c r="T189" s="28" t="str">
        <f>LOOKUP(1,1/(Table1[[#This Row],[Level_0]:[Level 15]]&gt;0),(Table1[[#This Row],[Level_0]:[Level 15]]))</f>
        <v>4243010000 - [Cap Var - NMV - Finished Goods - IC]</v>
      </c>
      <c r="U189" s="22">
        <v>184</v>
      </c>
      <c r="W189" s="13" t="str">
        <f>LOOKUP(1,1/(Table1[[#This Row],[Level_0]:[Level 15]]&gt;0),(Table1[[#This Row],[Level_0]:[Level 15]]))</f>
        <v>4243010000 - [Cap Var - NMV - Finished Goods - IC]</v>
      </c>
    </row>
    <row r="190" spans="1:23" hidden="1" x14ac:dyDescent="0.25">
      <c r="A190">
        <v>4243000000</v>
      </c>
      <c r="B190" s="16" t="s">
        <v>19913</v>
      </c>
      <c r="C190" s="16" t="e">
        <f>VLOOKUP(Table1[[#This Row],[Node]],Parent!A:B,2,0)</f>
        <v>#N/A</v>
      </c>
      <c r="D190" s="25" t="s">
        <v>19346</v>
      </c>
      <c r="E190" s="26" t="s">
        <v>16544</v>
      </c>
      <c r="F190" s="27" t="s">
        <v>16545</v>
      </c>
      <c r="G190" s="27" t="s">
        <v>16546</v>
      </c>
      <c r="H190" s="27" t="s">
        <v>16698</v>
      </c>
      <c r="I190" s="27"/>
      <c r="J190" s="27"/>
      <c r="K190" s="27"/>
      <c r="L190" s="27"/>
      <c r="N190" s="27"/>
      <c r="T190" s="28" t="str">
        <f>LOOKUP(1,1/(Table1[[#This Row],[Level_0]:[Level 15]]&gt;0),(Table1[[#This Row],[Level_0]:[Level 15]]))</f>
        <v>4243000000 - [Cap Var - NMV - Finished Goods - 3P]</v>
      </c>
      <c r="U190" s="22">
        <v>185</v>
      </c>
      <c r="W190" s="13" t="str">
        <f>LOOKUP(1,1/(Table1[[#This Row],[Level_0]:[Level 15]]&gt;0),(Table1[[#This Row],[Level_0]:[Level 15]]))</f>
        <v>4243000000 - [Cap Var - NMV - Finished Goods - 3P]</v>
      </c>
    </row>
    <row r="191" spans="1:23" hidden="1" x14ac:dyDescent="0.25">
      <c r="A191">
        <v>4233400000</v>
      </c>
      <c r="B191" s="16" t="s">
        <v>19899</v>
      </c>
      <c r="C191" s="16" t="e">
        <f>VLOOKUP(Table1[[#This Row],[Node]],Parent!A:B,2,0)</f>
        <v>#N/A</v>
      </c>
      <c r="D191" s="25" t="s">
        <v>19346</v>
      </c>
      <c r="E191" s="26" t="s">
        <v>16544</v>
      </c>
      <c r="F191" s="27" t="s">
        <v>16545</v>
      </c>
      <c r="G191" s="27" t="s">
        <v>16546</v>
      </c>
      <c r="H191" s="27" t="s">
        <v>16699</v>
      </c>
      <c r="I191" s="27"/>
      <c r="J191" s="27"/>
      <c r="K191" s="27"/>
      <c r="L191" s="27"/>
      <c r="N191" s="27"/>
      <c r="T191" s="28" t="str">
        <f>LOOKUP(1,1/(Table1[[#This Row],[Level_0]:[Level 15]]&gt;0),(Table1[[#This Row],[Level_0]:[Level 15]]))</f>
        <v>4233400000 - [Inv Reval - Finish Goods - Pot - Purch]</v>
      </c>
      <c r="U191" s="22">
        <v>186</v>
      </c>
      <c r="W191" s="13" t="str">
        <f>LOOKUP(1,1/(Table1[[#This Row],[Level_0]:[Level 15]]&gt;0),(Table1[[#This Row],[Level_0]:[Level 15]]))</f>
        <v>4233400000 - [Inv Reval - Finish Goods - Pot - Purch]</v>
      </c>
    </row>
    <row r="192" spans="1:23" hidden="1" x14ac:dyDescent="0.25">
      <c r="A192">
        <v>4230400000</v>
      </c>
      <c r="B192" s="16" t="s">
        <v>19894</v>
      </c>
      <c r="C192" s="16" t="e">
        <f>VLOOKUP(Table1[[#This Row],[Node]],Parent!A:B,2,0)</f>
        <v>#N/A</v>
      </c>
      <c r="D192" s="25" t="s">
        <v>19346</v>
      </c>
      <c r="E192" s="26" t="s">
        <v>16544</v>
      </c>
      <c r="F192" s="27" t="s">
        <v>16545</v>
      </c>
      <c r="G192" s="27" t="s">
        <v>16546</v>
      </c>
      <c r="H192" s="27" t="s">
        <v>16700</v>
      </c>
      <c r="I192" s="27"/>
      <c r="J192" s="27"/>
      <c r="K192" s="27"/>
      <c r="L192" s="27"/>
      <c r="N192" s="27"/>
      <c r="T192" s="28" t="str">
        <f>LOOKUP(1,1/(Table1[[#This Row],[Level_0]:[Level 15]]&gt;0),(Table1[[#This Row],[Level_0]:[Level 15]]))</f>
        <v>4230400000 - [Inv Reval - Raw Mat - Pot - Purch]</v>
      </c>
      <c r="U192" s="22">
        <v>187</v>
      </c>
      <c r="W192" s="13" t="str">
        <f>LOOKUP(1,1/(Table1[[#This Row],[Level_0]:[Level 15]]&gt;0),(Table1[[#This Row],[Level_0]:[Level 15]]))</f>
        <v>4230400000 - [Inv Reval - Raw Mat - Pot - Purch]</v>
      </c>
    </row>
    <row r="193" spans="1:23" hidden="1" x14ac:dyDescent="0.25">
      <c r="A193">
        <v>4230200000</v>
      </c>
      <c r="B193" s="16" t="s">
        <v>19893</v>
      </c>
      <c r="C193" s="16" t="e">
        <f>VLOOKUP(Table1[[#This Row],[Node]],Parent!A:B,2,0)</f>
        <v>#N/A</v>
      </c>
      <c r="D193" s="25" t="s">
        <v>19346</v>
      </c>
      <c r="E193" s="26" t="s">
        <v>16544</v>
      </c>
      <c r="F193" s="27" t="s">
        <v>16545</v>
      </c>
      <c r="G193" s="27" t="s">
        <v>16546</v>
      </c>
      <c r="H193" s="27" t="s">
        <v>16701</v>
      </c>
      <c r="I193" s="27"/>
      <c r="J193" s="27"/>
      <c r="K193" s="27"/>
      <c r="L193" s="27"/>
      <c r="N193" s="27"/>
      <c r="T193" s="28" t="str">
        <f>LOOKUP(1,1/(Table1[[#This Row],[Level_0]:[Level 15]]&gt;0),(Table1[[#This Row],[Level_0]:[Level 15]]))</f>
        <v>4230200000 - [Inv Reval - Raw Mat - Pot - Production]</v>
      </c>
      <c r="U193" s="22">
        <v>188</v>
      </c>
      <c r="W193" s="13" t="str">
        <f>LOOKUP(1,1/(Table1[[#This Row],[Level_0]:[Level 15]]&gt;0),(Table1[[#This Row],[Level_0]:[Level 15]]))</f>
        <v>4230200000 - [Inv Reval - Raw Mat - Pot - Production]</v>
      </c>
    </row>
    <row r="194" spans="1:23" hidden="1" x14ac:dyDescent="0.25">
      <c r="A194">
        <v>4200000020</v>
      </c>
      <c r="B194" s="16" t="s">
        <v>19885</v>
      </c>
      <c r="C194" s="16" t="e">
        <f>VLOOKUP(Table1[[#This Row],[Node]],Parent!A:B,2,0)</f>
        <v>#N/A</v>
      </c>
      <c r="D194" s="25" t="s">
        <v>19346</v>
      </c>
      <c r="E194" s="26" t="s">
        <v>16544</v>
      </c>
      <c r="F194" s="27" t="s">
        <v>16545</v>
      </c>
      <c r="G194" s="27" t="s">
        <v>16546</v>
      </c>
      <c r="H194" s="27" t="s">
        <v>16702</v>
      </c>
      <c r="I194" s="27"/>
      <c r="J194" s="27"/>
      <c r="K194" s="27"/>
      <c r="L194" s="27"/>
      <c r="N194" s="27"/>
      <c r="T194" s="28" t="str">
        <f>LOOKUP(1,1/(Table1[[#This Row],[Level_0]:[Level 15]]&gt;0),(Table1[[#This Row],[Level_0]:[Level 15]]))</f>
        <v>4200000020 - [Stock taking variance - negative]</v>
      </c>
      <c r="U194" s="22">
        <v>189</v>
      </c>
      <c r="W194" s="13" t="str">
        <f>LOOKUP(1,1/(Table1[[#This Row],[Level_0]:[Level 15]]&gt;0),(Table1[[#This Row],[Level_0]:[Level 15]]))</f>
        <v>4200000020 - [Stock taking variance - negative]</v>
      </c>
    </row>
    <row r="195" spans="1:23" hidden="1" x14ac:dyDescent="0.25">
      <c r="A195">
        <v>4200000010</v>
      </c>
      <c r="B195" s="16" t="s">
        <v>19884</v>
      </c>
      <c r="C195" s="16" t="e">
        <f>VLOOKUP(Table1[[#This Row],[Node]],Parent!A:B,2,0)</f>
        <v>#N/A</v>
      </c>
      <c r="D195" s="25" t="s">
        <v>19346</v>
      </c>
      <c r="E195" s="26" t="s">
        <v>16544</v>
      </c>
      <c r="F195" s="27" t="s">
        <v>16545</v>
      </c>
      <c r="G195" s="27" t="s">
        <v>16546</v>
      </c>
      <c r="H195" s="27" t="s">
        <v>16703</v>
      </c>
      <c r="I195" s="27"/>
      <c r="J195" s="27"/>
      <c r="K195" s="27"/>
      <c r="L195" s="27"/>
      <c r="N195" s="27"/>
      <c r="T195" s="28" t="str">
        <f>LOOKUP(1,1/(Table1[[#This Row],[Level_0]:[Level 15]]&gt;0),(Table1[[#This Row],[Level_0]:[Level 15]]))</f>
        <v>4200000010 - [Stock taking variance - positive]</v>
      </c>
      <c r="U195" s="22">
        <v>190</v>
      </c>
      <c r="W195" s="13" t="str">
        <f>LOOKUP(1,1/(Table1[[#This Row],[Level_0]:[Level 15]]&gt;0),(Table1[[#This Row],[Level_0]:[Level 15]]))</f>
        <v>4200000010 - [Stock taking variance - positive]</v>
      </c>
    </row>
    <row r="196" spans="1:23" hidden="1" x14ac:dyDescent="0.25">
      <c r="A196">
        <v>4103110000</v>
      </c>
      <c r="B196" s="16" t="s">
        <v>19882</v>
      </c>
      <c r="C196" s="16" t="e">
        <f>VLOOKUP(Table1[[#This Row],[Node]],Parent!A:B,2,0)</f>
        <v>#N/A</v>
      </c>
      <c r="D196" s="25" t="s">
        <v>19346</v>
      </c>
      <c r="E196" s="26" t="s">
        <v>16544</v>
      </c>
      <c r="F196" s="27" t="s">
        <v>16545</v>
      </c>
      <c r="G196" s="27" t="s">
        <v>16546</v>
      </c>
      <c r="H196" s="27" t="s">
        <v>16704</v>
      </c>
      <c r="I196" s="27"/>
      <c r="J196" s="27"/>
      <c r="K196" s="27"/>
      <c r="L196" s="27"/>
      <c r="N196" s="27"/>
      <c r="T196" s="28" t="str">
        <f>LOOKUP(1,1/(Table1[[#This Row],[Level_0]:[Level 15]]&gt;0),(Table1[[#This Row],[Level_0]:[Level 15]]))</f>
        <v>4103110000 - [POV - Samples - Material - IC]</v>
      </c>
      <c r="U196" s="22">
        <v>191</v>
      </c>
      <c r="W196" s="13" t="str">
        <f>LOOKUP(1,1/(Table1[[#This Row],[Level_0]:[Level 15]]&gt;0),(Table1[[#This Row],[Level_0]:[Level 15]]))</f>
        <v>4103110000 - [POV - Samples - Material - IC]</v>
      </c>
    </row>
    <row r="197" spans="1:23" hidden="1" x14ac:dyDescent="0.25">
      <c r="A197">
        <v>4103100000</v>
      </c>
      <c r="B197" s="16" t="s">
        <v>19881</v>
      </c>
      <c r="C197" s="16" t="e">
        <f>VLOOKUP(Table1[[#This Row],[Node]],Parent!A:B,2,0)</f>
        <v>#N/A</v>
      </c>
      <c r="D197" s="25" t="s">
        <v>19346</v>
      </c>
      <c r="E197" s="26" t="s">
        <v>16544</v>
      </c>
      <c r="F197" s="27" t="s">
        <v>16545</v>
      </c>
      <c r="G197" s="27" t="s">
        <v>16546</v>
      </c>
      <c r="H197" s="27" t="s">
        <v>16705</v>
      </c>
      <c r="I197" s="27"/>
      <c r="J197" s="27"/>
      <c r="K197" s="27"/>
      <c r="L197" s="27"/>
      <c r="N197" s="27"/>
      <c r="T197" s="28" t="str">
        <f>LOOKUP(1,1/(Table1[[#This Row],[Level_0]:[Level 15]]&gt;0),(Table1[[#This Row],[Level_0]:[Level 15]]))</f>
        <v>4103100000 - [POV - Samples - Material - 3P]</v>
      </c>
      <c r="U197" s="22">
        <v>192</v>
      </c>
      <c r="W197" s="13" t="str">
        <f>LOOKUP(1,1/(Table1[[#This Row],[Level_0]:[Level 15]]&gt;0),(Table1[[#This Row],[Level_0]:[Level 15]]))</f>
        <v>4103100000 - [POV - Samples - Material - 3P]</v>
      </c>
    </row>
    <row r="198" spans="1:23" hidden="1" x14ac:dyDescent="0.25">
      <c r="A198">
        <v>4100300096</v>
      </c>
      <c r="B198" s="16" t="s">
        <v>19870</v>
      </c>
      <c r="C198" s="16" t="e">
        <f>VLOOKUP(Table1[[#This Row],[Node]],Parent!A:B,2,0)</f>
        <v>#N/A</v>
      </c>
      <c r="D198" s="25" t="s">
        <v>19346</v>
      </c>
      <c r="E198" s="26" t="s">
        <v>16544</v>
      </c>
      <c r="F198" s="27" t="s">
        <v>16545</v>
      </c>
      <c r="G198" s="27" t="s">
        <v>16546</v>
      </c>
      <c r="H198" s="27" t="s">
        <v>16706</v>
      </c>
      <c r="I198" s="27"/>
      <c r="J198" s="27"/>
      <c r="K198" s="27"/>
      <c r="L198" s="27"/>
      <c r="N198" s="27"/>
      <c r="T198" s="28" t="str">
        <f>LOOKUP(1,1/(Table1[[#This Row],[Level_0]:[Level 15]]&gt;0),(Table1[[#This Row],[Level_0]:[Level 15]]))</f>
        <v>4100300096 - [POV - Fin &amp; Unf Goods - Conv - Labor]</v>
      </c>
      <c r="U198" s="22">
        <v>193</v>
      </c>
      <c r="W198" s="13" t="str">
        <f>LOOKUP(1,1/(Table1[[#This Row],[Level_0]:[Level 15]]&gt;0),(Table1[[#This Row],[Level_0]:[Level 15]]))</f>
        <v>4100300096 - [POV - Fin &amp; Unf Goods - Conv - Labor]</v>
      </c>
    </row>
    <row r="199" spans="1:23" hidden="1" x14ac:dyDescent="0.25">
      <c r="A199">
        <v>4007000000</v>
      </c>
      <c r="B199" s="16" t="s">
        <v>19833</v>
      </c>
      <c r="C199" s="16" t="e">
        <f>VLOOKUP(Table1[[#This Row],[Node]],Parent!A:B,2,0)</f>
        <v>#N/A</v>
      </c>
      <c r="D199" s="25" t="s">
        <v>19346</v>
      </c>
      <c r="E199" s="26" t="s">
        <v>16544</v>
      </c>
      <c r="F199" s="27" t="s">
        <v>16545</v>
      </c>
      <c r="G199" s="27" t="s">
        <v>16546</v>
      </c>
      <c r="H199" s="27" t="s">
        <v>16707</v>
      </c>
      <c r="I199" s="27"/>
      <c r="J199" s="27"/>
      <c r="K199" s="27"/>
      <c r="L199" s="27"/>
      <c r="N199" s="27"/>
      <c r="T199" s="28" t="str">
        <f>LOOKUP(1,1/(Table1[[#This Row],[Level_0]:[Level 15]]&gt;0),(Table1[[#This Row],[Level_0]:[Level 15]]))</f>
        <v>4007000000 - [Returnsns - Merchandise - Non-Stock]</v>
      </c>
      <c r="U199" s="22">
        <v>194</v>
      </c>
      <c r="W199" s="13" t="str">
        <f>LOOKUP(1,1/(Table1[[#This Row],[Level_0]:[Level 15]]&gt;0),(Table1[[#This Row],[Level_0]:[Level 15]]))</f>
        <v>4007000000 - [Returnsns - Merchandise - Non-Stock]</v>
      </c>
    </row>
    <row r="200" spans="1:23" hidden="1" x14ac:dyDescent="0.25">
      <c r="A200">
        <v>4006200000</v>
      </c>
      <c r="B200" s="16" t="s">
        <v>19832</v>
      </c>
      <c r="C200" s="16" t="e">
        <f>VLOOKUP(Table1[[#This Row],[Node]],Parent!A:B,2,0)</f>
        <v>#N/A</v>
      </c>
      <c r="D200" s="25" t="s">
        <v>19346</v>
      </c>
      <c r="E200" s="26" t="s">
        <v>16544</v>
      </c>
      <c r="F200" s="27" t="s">
        <v>16545</v>
      </c>
      <c r="G200" s="27" t="s">
        <v>16546</v>
      </c>
      <c r="H200" s="27" t="s">
        <v>16708</v>
      </c>
      <c r="I200" s="27"/>
      <c r="J200" s="27"/>
      <c r="K200" s="27"/>
      <c r="L200" s="27"/>
      <c r="N200" s="27"/>
      <c r="T200" s="28" t="str">
        <f>LOOKUP(1,1/(Table1[[#This Row],[Level_0]:[Level 15]]&gt;0),(Table1[[#This Row],[Level_0]:[Level 15]]))</f>
        <v>4006200000 - [Returns - Merchandise - Landing Costs]</v>
      </c>
      <c r="U200" s="22">
        <v>195</v>
      </c>
      <c r="W200" s="13" t="str">
        <f>LOOKUP(1,1/(Table1[[#This Row],[Level_0]:[Level 15]]&gt;0),(Table1[[#This Row],[Level_0]:[Level 15]]))</f>
        <v>4006200000 - [Returns - Merchandise - Landing Costs]</v>
      </c>
    </row>
    <row r="201" spans="1:23" hidden="1" x14ac:dyDescent="0.25">
      <c r="A201">
        <v>4006110000</v>
      </c>
      <c r="B201" s="16" t="s">
        <v>19831</v>
      </c>
      <c r="C201" s="16" t="e">
        <f>VLOOKUP(Table1[[#This Row],[Node]],Parent!A:B,2,0)</f>
        <v>#N/A</v>
      </c>
      <c r="D201" s="25" t="s">
        <v>19346</v>
      </c>
      <c r="E201" s="26" t="s">
        <v>16544</v>
      </c>
      <c r="F201" s="27" t="s">
        <v>16545</v>
      </c>
      <c r="G201" s="27" t="s">
        <v>16546</v>
      </c>
      <c r="H201" s="27" t="s">
        <v>16709</v>
      </c>
      <c r="I201" s="27"/>
      <c r="J201" s="27"/>
      <c r="K201" s="27"/>
      <c r="L201" s="27"/>
      <c r="N201" s="27"/>
      <c r="T201" s="28" t="str">
        <f>LOOKUP(1,1/(Table1[[#This Row],[Level_0]:[Level 15]]&gt;0),(Table1[[#This Row],[Level_0]:[Level 15]]))</f>
        <v>4006110000 - [Returns - Merchandise - Material - IC]</v>
      </c>
      <c r="U201" s="22">
        <v>196</v>
      </c>
      <c r="W201" s="13" t="str">
        <f>LOOKUP(1,1/(Table1[[#This Row],[Level_0]:[Level 15]]&gt;0),(Table1[[#This Row],[Level_0]:[Level 15]]))</f>
        <v>4006110000 - [Returns - Merchandise - Material - IC]</v>
      </c>
    </row>
    <row r="202" spans="1:23" hidden="1" x14ac:dyDescent="0.25">
      <c r="A202">
        <v>4006100000</v>
      </c>
      <c r="B202" s="16" t="s">
        <v>19830</v>
      </c>
      <c r="C202" s="16" t="e">
        <f>VLOOKUP(Table1[[#This Row],[Node]],Parent!A:B,2,0)</f>
        <v>#N/A</v>
      </c>
      <c r="D202" s="25" t="s">
        <v>19346</v>
      </c>
      <c r="E202" s="26" t="s">
        <v>16544</v>
      </c>
      <c r="F202" s="27" t="s">
        <v>16545</v>
      </c>
      <c r="G202" s="27" t="s">
        <v>16546</v>
      </c>
      <c r="H202" s="27" t="s">
        <v>16710</v>
      </c>
      <c r="I202" s="27"/>
      <c r="J202" s="27"/>
      <c r="K202" s="27"/>
      <c r="L202" s="27"/>
      <c r="N202" s="27"/>
      <c r="T202" s="28" t="str">
        <f>LOOKUP(1,1/(Table1[[#This Row],[Level_0]:[Level 15]]&gt;0),(Table1[[#This Row],[Level_0]:[Level 15]]))</f>
        <v>4006100000 - [Returns - Merchandise - Material - 3P]</v>
      </c>
      <c r="U202" s="22">
        <v>197</v>
      </c>
      <c r="W202" s="13" t="str">
        <f>LOOKUP(1,1/(Table1[[#This Row],[Level_0]:[Level 15]]&gt;0),(Table1[[#This Row],[Level_0]:[Level 15]]))</f>
        <v>4006100000 - [Returns - Merchandise - Material - 3P]</v>
      </c>
    </row>
    <row r="203" spans="1:23" hidden="1" x14ac:dyDescent="0.25">
      <c r="A203">
        <v>4005610000</v>
      </c>
      <c r="B203" s="16" t="s">
        <v>19828</v>
      </c>
      <c r="C203" s="16" t="e">
        <f>VLOOKUP(Table1[[#This Row],[Node]],Parent!A:B,2,0)</f>
        <v>#N/A</v>
      </c>
      <c r="D203" s="25" t="s">
        <v>19346</v>
      </c>
      <c r="E203" s="26" t="s">
        <v>16544</v>
      </c>
      <c r="F203" s="27" t="s">
        <v>16545</v>
      </c>
      <c r="G203" s="27" t="s">
        <v>16546</v>
      </c>
      <c r="H203" s="27" t="s">
        <v>16711</v>
      </c>
      <c r="I203" s="27"/>
      <c r="J203" s="27"/>
      <c r="K203" s="27"/>
      <c r="L203" s="27"/>
      <c r="N203" s="27"/>
      <c r="T203" s="28" t="str">
        <f>LOOKUP(1,1/(Table1[[#This Row],[Level_0]:[Level 15]]&gt;0),(Table1[[#This Row],[Level_0]:[Level 15]]))</f>
        <v>4005610000 - [Returns - Finish Goods - Subcon Fee - IC]</v>
      </c>
      <c r="U203" s="22">
        <v>198</v>
      </c>
      <c r="W203" s="13" t="str">
        <f>LOOKUP(1,1/(Table1[[#This Row],[Level_0]:[Level 15]]&gt;0),(Table1[[#This Row],[Level_0]:[Level 15]]))</f>
        <v>4005610000 - [Returns - Finish Goods - Subcon Fee - IC]</v>
      </c>
    </row>
    <row r="204" spans="1:23" hidden="1" x14ac:dyDescent="0.25">
      <c r="A204">
        <v>4005600000</v>
      </c>
      <c r="B204" s="16" t="s">
        <v>19827</v>
      </c>
      <c r="C204" s="16" t="e">
        <f>VLOOKUP(Table1[[#This Row],[Node]],Parent!A:B,2,0)</f>
        <v>#N/A</v>
      </c>
      <c r="D204" s="25" t="s">
        <v>19346</v>
      </c>
      <c r="E204" s="26" t="s">
        <v>16544</v>
      </c>
      <c r="F204" s="27" t="s">
        <v>16545</v>
      </c>
      <c r="G204" s="27" t="s">
        <v>16546</v>
      </c>
      <c r="H204" s="27" t="s">
        <v>16712</v>
      </c>
      <c r="I204" s="27"/>
      <c r="J204" s="27"/>
      <c r="K204" s="27"/>
      <c r="L204" s="27"/>
      <c r="N204" s="27"/>
      <c r="T204" s="28" t="str">
        <f>LOOKUP(1,1/(Table1[[#This Row],[Level_0]:[Level 15]]&gt;0),(Table1[[#This Row],[Level_0]:[Level 15]]))</f>
        <v>4005600000 - [Returns - Finish Goods - Subcon Fee - 3P]</v>
      </c>
      <c r="U204" s="22">
        <v>199</v>
      </c>
      <c r="W204" s="13" t="str">
        <f>LOOKUP(1,1/(Table1[[#This Row],[Level_0]:[Level 15]]&gt;0),(Table1[[#This Row],[Level_0]:[Level 15]]))</f>
        <v>4005600000 - [Returns - Finish Goods - Subcon Fee - 3P]</v>
      </c>
    </row>
    <row r="205" spans="1:23" hidden="1" x14ac:dyDescent="0.25">
      <c r="A205">
        <v>4005500000</v>
      </c>
      <c r="B205" s="16" t="s">
        <v>19826</v>
      </c>
      <c r="C205" s="16" t="e">
        <f>VLOOKUP(Table1[[#This Row],[Node]],Parent!A:B,2,0)</f>
        <v>#N/A</v>
      </c>
      <c r="D205" s="25" t="s">
        <v>19346</v>
      </c>
      <c r="E205" s="26" t="s">
        <v>16544</v>
      </c>
      <c r="F205" s="27" t="s">
        <v>16545</v>
      </c>
      <c r="G205" s="27" t="s">
        <v>16546</v>
      </c>
      <c r="H205" s="27" t="s">
        <v>16713</v>
      </c>
      <c r="I205" s="27"/>
      <c r="J205" s="27"/>
      <c r="K205" s="27"/>
      <c r="L205" s="27"/>
      <c r="N205" s="27"/>
      <c r="T205" s="28" t="str">
        <f>LOOKUP(1,1/(Table1[[#This Row],[Level_0]:[Level 15]]&gt;0),(Table1[[#This Row],[Level_0]:[Level 15]]))</f>
        <v>4005500000 - [Returns - Finished Goods - Mat Overh Fix]</v>
      </c>
      <c r="U205" s="22">
        <v>200</v>
      </c>
      <c r="W205" s="13" t="str">
        <f>LOOKUP(1,1/(Table1[[#This Row],[Level_0]:[Level 15]]&gt;0),(Table1[[#This Row],[Level_0]:[Level 15]]))</f>
        <v>4005500000 - [Returns - Finished Goods - Mat Overh Fix]</v>
      </c>
    </row>
    <row r="206" spans="1:23" hidden="1" x14ac:dyDescent="0.25">
      <c r="A206">
        <v>4005400000</v>
      </c>
      <c r="B206" s="16" t="s">
        <v>19825</v>
      </c>
      <c r="C206" s="16" t="e">
        <f>VLOOKUP(Table1[[#This Row],[Node]],Parent!A:B,2,0)</f>
        <v>#N/A</v>
      </c>
      <c r="D206" s="25" t="s">
        <v>19346</v>
      </c>
      <c r="E206" s="26" t="s">
        <v>16544</v>
      </c>
      <c r="F206" s="27" t="s">
        <v>16545</v>
      </c>
      <c r="G206" s="27" t="s">
        <v>16546</v>
      </c>
      <c r="H206" s="27" t="s">
        <v>16714</v>
      </c>
      <c r="I206" s="27"/>
      <c r="J206" s="27"/>
      <c r="K206" s="27"/>
      <c r="L206" s="27"/>
      <c r="N206" s="27"/>
      <c r="T206" s="28" t="str">
        <f>LOOKUP(1,1/(Table1[[#This Row],[Level_0]:[Level 15]]&gt;0),(Table1[[#This Row],[Level_0]:[Level 15]]))</f>
        <v>4005400000 - [Returns - Finish Goods - Conver Cost Fix]</v>
      </c>
      <c r="U206" s="22">
        <v>201</v>
      </c>
      <c r="W206" s="13" t="str">
        <f>LOOKUP(1,1/(Table1[[#This Row],[Level_0]:[Level 15]]&gt;0),(Table1[[#This Row],[Level_0]:[Level 15]]))</f>
        <v>4005400000 - [Returns - Finish Goods - Conver Cost Fix]</v>
      </c>
    </row>
    <row r="207" spans="1:23" hidden="1" x14ac:dyDescent="0.25">
      <c r="A207">
        <v>4005300000</v>
      </c>
      <c r="B207" s="16" t="s">
        <v>19824</v>
      </c>
      <c r="C207" s="16" t="e">
        <f>VLOOKUP(Table1[[#This Row],[Node]],Parent!A:B,2,0)</f>
        <v>#N/A</v>
      </c>
      <c r="D207" s="25" t="s">
        <v>19346</v>
      </c>
      <c r="E207" s="26" t="s">
        <v>16544</v>
      </c>
      <c r="F207" s="27" t="s">
        <v>16545</v>
      </c>
      <c r="G207" s="27" t="s">
        <v>16546</v>
      </c>
      <c r="H207" s="27" t="s">
        <v>16715</v>
      </c>
      <c r="I207" s="27"/>
      <c r="J207" s="27"/>
      <c r="K207" s="27"/>
      <c r="L207" s="27"/>
      <c r="N207" s="27"/>
      <c r="T207" s="28" t="str">
        <f>LOOKUP(1,1/(Table1[[#This Row],[Level_0]:[Level 15]]&gt;0),(Table1[[#This Row],[Level_0]:[Level 15]]))</f>
        <v>4005300000 - [Returns - Finish Goods - Conver Cost Var]</v>
      </c>
      <c r="U207" s="22">
        <v>202</v>
      </c>
      <c r="W207" s="13" t="str">
        <f>LOOKUP(1,1/(Table1[[#This Row],[Level_0]:[Level 15]]&gt;0),(Table1[[#This Row],[Level_0]:[Level 15]]))</f>
        <v>4005300000 - [Returns - Finish Goods - Conver Cost Var]</v>
      </c>
    </row>
    <row r="208" spans="1:23" hidden="1" x14ac:dyDescent="0.25">
      <c r="A208">
        <v>4005200000</v>
      </c>
      <c r="B208" s="16" t="s">
        <v>19823</v>
      </c>
      <c r="C208" s="16" t="e">
        <f>VLOOKUP(Table1[[#This Row],[Node]],Parent!A:B,2,0)</f>
        <v>#N/A</v>
      </c>
      <c r="D208" s="25" t="s">
        <v>19346</v>
      </c>
      <c r="E208" s="26" t="s">
        <v>16544</v>
      </c>
      <c r="F208" s="27" t="s">
        <v>16545</v>
      </c>
      <c r="G208" s="27" t="s">
        <v>16546</v>
      </c>
      <c r="H208" s="27" t="s">
        <v>16716</v>
      </c>
      <c r="I208" s="27"/>
      <c r="J208" s="27"/>
      <c r="K208" s="27"/>
      <c r="L208" s="27"/>
      <c r="N208" s="27"/>
      <c r="T208" s="28" t="str">
        <f>LOOKUP(1,1/(Table1[[#This Row],[Level_0]:[Level 15]]&gt;0),(Table1[[#This Row],[Level_0]:[Level 15]]))</f>
        <v>4005200000 - [Returns - Finished Goods - Landing Costs]</v>
      </c>
      <c r="U208" s="22">
        <v>203</v>
      </c>
      <c r="W208" s="13" t="str">
        <f>LOOKUP(1,1/(Table1[[#This Row],[Level_0]:[Level 15]]&gt;0),(Table1[[#This Row],[Level_0]:[Level 15]]))</f>
        <v>4005200000 - [Returns - Finished Goods - Landing Costs]</v>
      </c>
    </row>
    <row r="209" spans="1:23" hidden="1" x14ac:dyDescent="0.25">
      <c r="A209">
        <v>4005110000</v>
      </c>
      <c r="B209" s="16" t="s">
        <v>19822</v>
      </c>
      <c r="C209" s="16" t="e">
        <f>VLOOKUP(Table1[[#This Row],[Node]],Parent!A:B,2,0)</f>
        <v>#N/A</v>
      </c>
      <c r="D209" s="25" t="s">
        <v>19346</v>
      </c>
      <c r="E209" s="26" t="s">
        <v>16544</v>
      </c>
      <c r="F209" s="27" t="s">
        <v>16545</v>
      </c>
      <c r="G209" s="27" t="s">
        <v>16546</v>
      </c>
      <c r="H209" s="27" t="s">
        <v>16717</v>
      </c>
      <c r="I209" s="27"/>
      <c r="J209" s="27"/>
      <c r="K209" s="27"/>
      <c r="L209" s="27"/>
      <c r="N209" s="27"/>
      <c r="T209" s="28" t="str">
        <f>LOOKUP(1,1/(Table1[[#This Row],[Level_0]:[Level 15]]&gt;0),(Table1[[#This Row],[Level_0]:[Level 15]]))</f>
        <v>4005110000 - [Returns - Finished Goods - Material - IC]</v>
      </c>
      <c r="U209" s="22">
        <v>204</v>
      </c>
      <c r="W209" s="13" t="str">
        <f>LOOKUP(1,1/(Table1[[#This Row],[Level_0]:[Level 15]]&gt;0),(Table1[[#This Row],[Level_0]:[Level 15]]))</f>
        <v>4005110000 - [Returns - Finished Goods - Material - IC]</v>
      </c>
    </row>
    <row r="210" spans="1:23" hidden="1" x14ac:dyDescent="0.25">
      <c r="A210">
        <v>4005100000</v>
      </c>
      <c r="B210" s="16" t="s">
        <v>19821</v>
      </c>
      <c r="C210" s="16" t="e">
        <f>VLOOKUP(Table1[[#This Row],[Node]],Parent!A:B,2,0)</f>
        <v>#N/A</v>
      </c>
      <c r="D210" s="25" t="s">
        <v>19346</v>
      </c>
      <c r="E210" s="26" t="s">
        <v>16544</v>
      </c>
      <c r="F210" s="27" t="s">
        <v>16545</v>
      </c>
      <c r="G210" s="27" t="s">
        <v>16546</v>
      </c>
      <c r="H210" s="27" t="s">
        <v>16718</v>
      </c>
      <c r="I210" s="27"/>
      <c r="J210" s="27"/>
      <c r="K210" s="27"/>
      <c r="L210" s="27"/>
      <c r="N210" s="27"/>
      <c r="T210" s="28" t="str">
        <f>LOOKUP(1,1/(Table1[[#This Row],[Level_0]:[Level 15]]&gt;0),(Table1[[#This Row],[Level_0]:[Level 15]]))</f>
        <v>4005100000 - [Returns - Finished Goods - Material - 3P]</v>
      </c>
      <c r="U210" s="22">
        <v>205</v>
      </c>
      <c r="W210" s="13" t="str">
        <f>LOOKUP(1,1/(Table1[[#This Row],[Level_0]:[Level 15]]&gt;0),(Table1[[#This Row],[Level_0]:[Level 15]]))</f>
        <v>4005100000 - [Returns - Finished Goods - Material - 3P]</v>
      </c>
    </row>
    <row r="211" spans="1:23" hidden="1" x14ac:dyDescent="0.25">
      <c r="A211">
        <v>4003700000</v>
      </c>
      <c r="B211" s="16" t="s">
        <v>19819</v>
      </c>
      <c r="C211" s="16" t="e">
        <f>VLOOKUP(Table1[[#This Row],[Node]],Parent!A:B,2,0)</f>
        <v>#N/A</v>
      </c>
      <c r="D211" s="25" t="s">
        <v>19346</v>
      </c>
      <c r="E211" s="26" t="s">
        <v>16544</v>
      </c>
      <c r="F211" s="27" t="s">
        <v>16545</v>
      </c>
      <c r="G211" s="27" t="s">
        <v>16546</v>
      </c>
      <c r="H211" s="27" t="s">
        <v>16719</v>
      </c>
      <c r="I211" s="27"/>
      <c r="J211" s="27"/>
      <c r="K211" s="27"/>
      <c r="L211" s="27"/>
      <c r="N211" s="27"/>
      <c r="T211" s="28" t="str">
        <f>LOOKUP(1,1/(Table1[[#This Row],[Level_0]:[Level 15]]&gt;0),(Table1[[#This Row],[Level_0]:[Level 15]]))</f>
        <v>4003700000 - [Adjustments COGS - Hardware]</v>
      </c>
      <c r="U211" s="22">
        <v>206</v>
      </c>
      <c r="W211" s="13" t="str">
        <f>LOOKUP(1,1/(Table1[[#This Row],[Level_0]:[Level 15]]&gt;0),(Table1[[#This Row],[Level_0]:[Level 15]]))</f>
        <v>4003700000 - [Adjustments COGS - Hardware]</v>
      </c>
    </row>
    <row r="212" spans="1:23" hidden="1" x14ac:dyDescent="0.25">
      <c r="A212">
        <v>4003000000</v>
      </c>
      <c r="B212" s="16" t="s">
        <v>19818</v>
      </c>
      <c r="C212" s="16" t="e">
        <f>VLOOKUP(Table1[[#This Row],[Node]],Parent!A:B,2,0)</f>
        <v>#N/A</v>
      </c>
      <c r="D212" s="25" t="s">
        <v>19346</v>
      </c>
      <c r="E212" s="26" t="s">
        <v>16544</v>
      </c>
      <c r="F212" s="27" t="s">
        <v>16545</v>
      </c>
      <c r="G212" s="27" t="s">
        <v>16546</v>
      </c>
      <c r="H212" s="27" t="s">
        <v>16720</v>
      </c>
      <c r="I212" s="27"/>
      <c r="J212" s="27"/>
      <c r="K212" s="27"/>
      <c r="L212" s="27"/>
      <c r="N212" s="27"/>
      <c r="T212" s="28" t="str">
        <f>LOOKUP(1,1/(Table1[[#This Row],[Level_0]:[Level 15]]&gt;0),(Table1[[#This Row],[Level_0]:[Level 15]]))</f>
        <v>4003000000 - [Correction COGS due to Finance Lease]</v>
      </c>
      <c r="U212" s="22">
        <v>207</v>
      </c>
      <c r="W212" s="13" t="str">
        <f>LOOKUP(1,1/(Table1[[#This Row],[Level_0]:[Level 15]]&gt;0),(Table1[[#This Row],[Level_0]:[Level 15]]))</f>
        <v>4003000000 - [Correction COGS due to Finance Lease]</v>
      </c>
    </row>
    <row r="213" spans="1:23" hidden="1" x14ac:dyDescent="0.25">
      <c r="A213">
        <v>4001100001</v>
      </c>
      <c r="B213" s="16" t="s">
        <v>19809</v>
      </c>
      <c r="C213" s="16" t="e">
        <f>VLOOKUP(Table1[[#This Row],[Node]],Parent!A:B,2,0)</f>
        <v>#N/A</v>
      </c>
      <c r="D213" s="25" t="s">
        <v>19346</v>
      </c>
      <c r="E213" s="26" t="s">
        <v>16544</v>
      </c>
      <c r="F213" s="27" t="s">
        <v>16545</v>
      </c>
      <c r="G213" s="27" t="s">
        <v>16546</v>
      </c>
      <c r="H213" s="27" t="s">
        <v>16721</v>
      </c>
      <c r="I213" s="27"/>
      <c r="J213" s="27"/>
      <c r="K213" s="27"/>
      <c r="L213" s="27"/>
      <c r="N213" s="27"/>
      <c r="T213" s="28" t="str">
        <f>LOOKUP(1,1/(Table1[[#This Row],[Level_0]:[Level 15]]&gt;0),(Table1[[#This Row],[Level_0]:[Level 15]]))</f>
        <v>4001100001 - [COGS - Merchan - Material - 3P - Acc 1]</v>
      </c>
      <c r="U213" s="22">
        <v>208</v>
      </c>
      <c r="W213" s="13" t="str">
        <f>LOOKUP(1,1/(Table1[[#This Row],[Level_0]:[Level 15]]&gt;0),(Table1[[#This Row],[Level_0]:[Level 15]]))</f>
        <v>4001100001 - [COGS - Merchan - Material - 3P - Acc 1]</v>
      </c>
    </row>
    <row r="214" spans="1:23" hidden="1" x14ac:dyDescent="0.25">
      <c r="A214">
        <v>4000600001</v>
      </c>
      <c r="B214" s="16" t="s">
        <v>19800</v>
      </c>
      <c r="C214" s="16" t="e">
        <f>VLOOKUP(Table1[[#This Row],[Node]],Parent!A:B,2,0)</f>
        <v>#N/A</v>
      </c>
      <c r="D214" s="25" t="s">
        <v>19346</v>
      </c>
      <c r="E214" s="26" t="s">
        <v>16544</v>
      </c>
      <c r="F214" s="27" t="s">
        <v>16545</v>
      </c>
      <c r="G214" s="27" t="s">
        <v>16546</v>
      </c>
      <c r="H214" s="27" t="s">
        <v>16722</v>
      </c>
      <c r="I214" s="27"/>
      <c r="J214" s="27"/>
      <c r="K214" s="27"/>
      <c r="L214" s="27"/>
      <c r="N214" s="27"/>
      <c r="T214" s="28" t="str">
        <f>LOOKUP(1,1/(Table1[[#This Row],[Level_0]:[Level 15]]&gt;0),(Table1[[#This Row],[Level_0]:[Level 15]]))</f>
        <v>4000600001 - [COGS - Finished Goods - SubcFee - 3P Ac1]</v>
      </c>
      <c r="U214" s="22">
        <v>209</v>
      </c>
      <c r="W214" s="13" t="str">
        <f>LOOKUP(1,1/(Table1[[#This Row],[Level_0]:[Level 15]]&gt;0),(Table1[[#This Row],[Level_0]:[Level 15]]))</f>
        <v>4000600001 - [COGS - Finished Goods - SubcFee - 3P Ac1]</v>
      </c>
    </row>
    <row r="215" spans="1:23" hidden="1" x14ac:dyDescent="0.25">
      <c r="A215">
        <v>4000500001</v>
      </c>
      <c r="B215" s="16" t="s">
        <v>19798</v>
      </c>
      <c r="C215" s="16" t="e">
        <f>VLOOKUP(Table1[[#This Row],[Node]],Parent!A:B,2,0)</f>
        <v>#N/A</v>
      </c>
      <c r="D215" s="25" t="s">
        <v>19346</v>
      </c>
      <c r="E215" s="26" t="s">
        <v>16544</v>
      </c>
      <c r="F215" s="27" t="s">
        <v>16545</v>
      </c>
      <c r="G215" s="27" t="s">
        <v>16546</v>
      </c>
      <c r="H215" s="27" t="s">
        <v>16723</v>
      </c>
      <c r="I215" s="27"/>
      <c r="J215" s="27"/>
      <c r="K215" s="27"/>
      <c r="L215" s="27"/>
      <c r="N215" s="27"/>
      <c r="T215" s="28" t="str">
        <f>LOOKUP(1,1/(Table1[[#This Row],[Level_0]:[Level 15]]&gt;0),(Table1[[#This Row],[Level_0]:[Level 15]]))</f>
        <v>4000500001 - [COGS - Finished Goods - Mat OH - Fix Ac1]</v>
      </c>
      <c r="U215" s="22">
        <v>210</v>
      </c>
      <c r="W215" s="13" t="str">
        <f>LOOKUP(1,1/(Table1[[#This Row],[Level_0]:[Level 15]]&gt;0),(Table1[[#This Row],[Level_0]:[Level 15]]))</f>
        <v>4000500001 - [COGS - Finished Goods - Mat OH - Fix Ac1]</v>
      </c>
    </row>
    <row r="216" spans="1:23" hidden="1" x14ac:dyDescent="0.25">
      <c r="A216">
        <v>4000406002</v>
      </c>
      <c r="B216" s="16" t="s">
        <v>19796</v>
      </c>
      <c r="C216" s="16" t="e">
        <f>VLOOKUP(Table1[[#This Row],[Node]],Parent!A:B,2,0)</f>
        <v>#N/A</v>
      </c>
      <c r="D216" s="25" t="s">
        <v>19346</v>
      </c>
      <c r="E216" s="26" t="s">
        <v>16544</v>
      </c>
      <c r="F216" s="27" t="s">
        <v>16545</v>
      </c>
      <c r="G216" s="27" t="s">
        <v>16546</v>
      </c>
      <c r="H216" s="27" t="s">
        <v>16724</v>
      </c>
      <c r="I216" s="27"/>
      <c r="J216" s="27"/>
      <c r="K216" s="27"/>
      <c r="L216" s="27"/>
      <c r="N216" s="27"/>
      <c r="T216" s="28" t="str">
        <f>LOOKUP(1,1/(Table1[[#This Row],[Level_0]:[Level 15]]&gt;0),(Table1[[#This Row],[Level_0]:[Level 15]]))</f>
        <v>4000406002 - [COGS - FG - Conver - Overhead - CorAcc]</v>
      </c>
      <c r="U216" s="22">
        <v>211</v>
      </c>
      <c r="W216" s="13" t="str">
        <f>LOOKUP(1,1/(Table1[[#This Row],[Level_0]:[Level 15]]&gt;0),(Table1[[#This Row],[Level_0]:[Level 15]]))</f>
        <v>4000406002 - [COGS - FG - Conver - Overhead - CorAcc]</v>
      </c>
    </row>
    <row r="217" spans="1:23" hidden="1" x14ac:dyDescent="0.25">
      <c r="A217">
        <v>4000406001</v>
      </c>
      <c r="B217" s="16" t="s">
        <v>19795</v>
      </c>
      <c r="C217" s="16" t="e">
        <f>VLOOKUP(Table1[[#This Row],[Node]],Parent!A:B,2,0)</f>
        <v>#N/A</v>
      </c>
      <c r="D217" s="25" t="s">
        <v>19346</v>
      </c>
      <c r="E217" s="26" t="s">
        <v>16544</v>
      </c>
      <c r="F217" s="27" t="s">
        <v>16545</v>
      </c>
      <c r="G217" s="27" t="s">
        <v>16546</v>
      </c>
      <c r="H217" s="27" t="s">
        <v>16725</v>
      </c>
      <c r="I217" s="27"/>
      <c r="J217" s="27"/>
      <c r="K217" s="27"/>
      <c r="L217" s="27"/>
      <c r="N217" s="27"/>
      <c r="T217" s="28" t="str">
        <f>LOOKUP(1,1/(Table1[[#This Row],[Level_0]:[Level 15]]&gt;0),(Table1[[#This Row],[Level_0]:[Level 15]]))</f>
        <v>4000406001 - [COGS - FG - Conver - Labor - CorAcc]</v>
      </c>
      <c r="U217" s="22">
        <v>212</v>
      </c>
      <c r="W217" s="13" t="str">
        <f>LOOKUP(1,1/(Table1[[#This Row],[Level_0]:[Level 15]]&gt;0),(Table1[[#This Row],[Level_0]:[Level 15]]))</f>
        <v>4000406001 - [COGS - FG - Conver - Labor - CorAcc]</v>
      </c>
    </row>
    <row r="218" spans="1:23" hidden="1" x14ac:dyDescent="0.25">
      <c r="A218">
        <v>4000007777</v>
      </c>
      <c r="B218" s="16" t="s">
        <v>19779</v>
      </c>
      <c r="C218" s="16" t="e">
        <f>VLOOKUP(Table1[[#This Row],[Node]],Parent!A:B,2,0)</f>
        <v>#N/A</v>
      </c>
      <c r="D218" s="25" t="s">
        <v>19346</v>
      </c>
      <c r="E218" s="26" t="s">
        <v>16544</v>
      </c>
      <c r="F218" s="27" t="s">
        <v>16545</v>
      </c>
      <c r="G218" s="27" t="s">
        <v>16546</v>
      </c>
      <c r="H218" s="27" t="s">
        <v>16726</v>
      </c>
      <c r="I218" s="27"/>
      <c r="J218" s="27"/>
      <c r="K218" s="27"/>
      <c r="L218" s="27"/>
      <c r="N218" s="27"/>
      <c r="T218" s="28" t="str">
        <f>LOOKUP(1,1/(Table1[[#This Row],[Level_0]:[Level 15]]&gt;0),(Table1[[#This Row],[Level_0]:[Level 15]]))</f>
        <v>4000007777 - [DO NOT USE_COGS - Legacy Versum]</v>
      </c>
      <c r="U218" s="22">
        <v>213</v>
      </c>
      <c r="W218" s="13" t="str">
        <f>LOOKUP(1,1/(Table1[[#This Row],[Level_0]:[Level 15]]&gt;0),(Table1[[#This Row],[Level_0]:[Level 15]]))</f>
        <v>4000007777 - [DO NOT USE_COGS - Legacy Versum]</v>
      </c>
    </row>
    <row r="219" spans="1:23" hidden="1" x14ac:dyDescent="0.25">
      <c r="A219">
        <v>3970011000</v>
      </c>
      <c r="B219" s="16" t="s">
        <v>19774</v>
      </c>
      <c r="C219" s="16" t="e">
        <f>VLOOKUP(Table1[[#This Row],[Node]],Parent!A:B,2,0)</f>
        <v>#N/A</v>
      </c>
      <c r="D219" s="25" t="s">
        <v>19346</v>
      </c>
      <c r="E219" s="26" t="s">
        <v>16544</v>
      </c>
      <c r="F219" s="27" t="s">
        <v>16545</v>
      </c>
      <c r="G219" s="27" t="s">
        <v>16546</v>
      </c>
      <c r="H219" s="27" t="s">
        <v>16727</v>
      </c>
      <c r="I219" s="27"/>
      <c r="J219" s="27"/>
      <c r="K219" s="27"/>
      <c r="L219" s="27"/>
      <c r="N219" s="27"/>
      <c r="T219" s="28" t="str">
        <f>LOOKUP(1,1/(Table1[[#This Row],[Level_0]:[Level 15]]&gt;0),(Table1[[#This Row],[Level_0]:[Level 15]]))</f>
        <v>3970011000 - [Markup income - IC- Group valuation - V]</v>
      </c>
      <c r="U219" s="22">
        <v>214</v>
      </c>
      <c r="W219" s="13" t="str">
        <f>LOOKUP(1,1/(Table1[[#This Row],[Level_0]:[Level 15]]&gt;0),(Table1[[#This Row],[Level_0]:[Level 15]]))</f>
        <v>3970011000 - [Markup income - IC- Group valuation - V]</v>
      </c>
    </row>
    <row r="220" spans="1:23" hidden="1" x14ac:dyDescent="0.25">
      <c r="A220">
        <v>3966000000</v>
      </c>
      <c r="B220" s="16" t="s">
        <v>19772</v>
      </c>
      <c r="C220" s="16" t="e">
        <f>VLOOKUP(Table1[[#This Row],[Node]],Parent!A:B,2,0)</f>
        <v>#N/A</v>
      </c>
      <c r="D220" s="25" t="s">
        <v>19346</v>
      </c>
      <c r="E220" s="26" t="s">
        <v>16544</v>
      </c>
      <c r="F220" s="27" t="s">
        <v>16545</v>
      </c>
      <c r="G220" s="27" t="s">
        <v>16546</v>
      </c>
      <c r="H220" s="27" t="s">
        <v>16728</v>
      </c>
      <c r="I220" s="27"/>
      <c r="J220" s="27"/>
      <c r="K220" s="27"/>
      <c r="L220" s="27"/>
      <c r="N220" s="27"/>
      <c r="T220" s="28" t="str">
        <f>LOOKUP(1,1/(Table1[[#This Row],[Level_0]:[Level 15]]&gt;0),(Table1[[#This Row],[Level_0]:[Level 15]]))</f>
        <v>3966000000 - [Gain from Termination Lessor OL]</v>
      </c>
      <c r="U220" s="22">
        <v>215</v>
      </c>
      <c r="W220" s="13" t="str">
        <f>LOOKUP(1,1/(Table1[[#This Row],[Level_0]:[Level 15]]&gt;0),(Table1[[#This Row],[Level_0]:[Level 15]]))</f>
        <v>3966000000 - [Gain from Termination Lessor OL]</v>
      </c>
    </row>
    <row r="221" spans="1:23" hidden="1" x14ac:dyDescent="0.25">
      <c r="A221">
        <v>3965000000</v>
      </c>
      <c r="B221" s="16" t="s">
        <v>19771</v>
      </c>
      <c r="C221" s="16" t="e">
        <f>VLOOKUP(Table1[[#This Row],[Node]],Parent!A:B,2,0)</f>
        <v>#N/A</v>
      </c>
      <c r="D221" s="25" t="s">
        <v>19346</v>
      </c>
      <c r="E221" s="26" t="s">
        <v>16544</v>
      </c>
      <c r="F221" s="27" t="s">
        <v>16545</v>
      </c>
      <c r="G221" s="27" t="s">
        <v>16546</v>
      </c>
      <c r="H221" s="27" t="s">
        <v>16729</v>
      </c>
      <c r="I221" s="27"/>
      <c r="J221" s="27"/>
      <c r="K221" s="27"/>
      <c r="L221" s="27"/>
      <c r="N221" s="27"/>
      <c r="T221" s="28" t="str">
        <f>LOOKUP(1,1/(Table1[[#This Row],[Level_0]:[Level 15]]&gt;0),(Table1[[#This Row],[Level_0]:[Level 15]]))</f>
        <v>3965000000 - [Gain from Termination Lessor FL]</v>
      </c>
      <c r="U221" s="22">
        <v>216</v>
      </c>
      <c r="W221" s="13" t="str">
        <f>LOOKUP(1,1/(Table1[[#This Row],[Level_0]:[Level 15]]&gt;0),(Table1[[#This Row],[Level_0]:[Level 15]]))</f>
        <v>3965000000 - [Gain from Termination Lessor FL]</v>
      </c>
    </row>
    <row r="222" spans="1:23" hidden="1" x14ac:dyDescent="0.25">
      <c r="A222">
        <v>3957700000</v>
      </c>
      <c r="B222" s="16" t="s">
        <v>19765</v>
      </c>
      <c r="C222" s="16" t="e">
        <f>VLOOKUP(Table1[[#This Row],[Node]],Parent!A:B,2,0)</f>
        <v>#N/A</v>
      </c>
      <c r="D222" s="25" t="s">
        <v>19346</v>
      </c>
      <c r="E222" s="26" t="s">
        <v>16544</v>
      </c>
      <c r="F222" s="27" t="s">
        <v>16545</v>
      </c>
      <c r="G222" s="27" t="s">
        <v>16546</v>
      </c>
      <c r="H222" s="27" t="s">
        <v>16730</v>
      </c>
      <c r="I222" s="27"/>
      <c r="J222" s="27"/>
      <c r="K222" s="27"/>
      <c r="L222" s="27"/>
      <c r="N222" s="27"/>
      <c r="T222" s="28" t="str">
        <f>LOOKUP(1,1/(Table1[[#This Row],[Level_0]:[Level 15]]&gt;0),(Table1[[#This Row],[Level_0]:[Level 15]]))</f>
        <v>3957700000 - [Oth Inc - From Other FV Changes]</v>
      </c>
      <c r="U222" s="22">
        <v>217</v>
      </c>
      <c r="W222" s="13" t="str">
        <f>LOOKUP(1,1/(Table1[[#This Row],[Level_0]:[Level 15]]&gt;0),(Table1[[#This Row],[Level_0]:[Level 15]]))</f>
        <v>3957700000 - [Oth Inc - From Other FV Changes]</v>
      </c>
    </row>
    <row r="223" spans="1:23" hidden="1" x14ac:dyDescent="0.25">
      <c r="A223">
        <v>3953916000</v>
      </c>
      <c r="B223" s="16" t="s">
        <v>19735</v>
      </c>
      <c r="C223" s="16" t="e">
        <f>VLOOKUP(Table1[[#This Row],[Node]],Parent!A:B,2,0)</f>
        <v>#N/A</v>
      </c>
      <c r="D223" s="25" t="s">
        <v>19346</v>
      </c>
      <c r="E223" s="26" t="s">
        <v>16544</v>
      </c>
      <c r="F223" s="27" t="s">
        <v>16545</v>
      </c>
      <c r="G223" s="27" t="s">
        <v>16546</v>
      </c>
      <c r="H223" s="27" t="s">
        <v>16731</v>
      </c>
      <c r="I223" s="27"/>
      <c r="J223" s="27"/>
      <c r="K223" s="27"/>
      <c r="L223" s="27"/>
      <c r="N223" s="27"/>
      <c r="T223" s="28" t="str">
        <f>LOOKUP(1,1/(Table1[[#This Row],[Level_0]:[Level 15]]&gt;0),(Table1[[#This Row],[Level_0]:[Level 15]]))</f>
        <v>3953916000 - [Rem Oth Inc IC - Admin- Manual - CorrAcc]</v>
      </c>
      <c r="U223" s="22">
        <v>218</v>
      </c>
      <c r="W223" s="13" t="str">
        <f>LOOKUP(1,1/(Table1[[#This Row],[Level_0]:[Level 15]]&gt;0),(Table1[[#This Row],[Level_0]:[Level 15]]))</f>
        <v>3953916000 - [Rem Oth Inc IC - Admin- Manual - CorrAcc]</v>
      </c>
    </row>
    <row r="224" spans="1:23" hidden="1" x14ac:dyDescent="0.25">
      <c r="A224">
        <v>3952416000</v>
      </c>
      <c r="B224" s="16" t="s">
        <v>19723</v>
      </c>
      <c r="C224" s="16" t="e">
        <f>VLOOKUP(Table1[[#This Row],[Node]],Parent!A:B,2,0)</f>
        <v>#N/A</v>
      </c>
      <c r="D224" s="25" t="s">
        <v>19346</v>
      </c>
      <c r="E224" s="26" t="s">
        <v>16544</v>
      </c>
      <c r="F224" s="27" t="s">
        <v>16545</v>
      </c>
      <c r="G224" s="27" t="s">
        <v>16546</v>
      </c>
      <c r="H224" s="27" t="s">
        <v>16732</v>
      </c>
      <c r="I224" s="27"/>
      <c r="J224" s="27"/>
      <c r="K224" s="27"/>
      <c r="L224" s="27"/>
      <c r="N224" s="27"/>
      <c r="T224" s="28" t="str">
        <f>LOOKUP(1,1/(Table1[[#This Row],[Level_0]:[Level 15]]&gt;0),(Table1[[#This Row],[Level_0]:[Level 15]]))</f>
        <v>3952416000 - [Rem Oth Inc IC - R&amp;D - Manual - CorrAcc]</v>
      </c>
      <c r="U224" s="22">
        <v>219</v>
      </c>
      <c r="W224" s="13" t="str">
        <f>LOOKUP(1,1/(Table1[[#This Row],[Level_0]:[Level 15]]&gt;0),(Table1[[#This Row],[Level_0]:[Level 15]]))</f>
        <v>3952416000 - [Rem Oth Inc IC - R&amp;D - Manual - CorrAcc]</v>
      </c>
    </row>
    <row r="225" spans="1:23" hidden="1" x14ac:dyDescent="0.25">
      <c r="A225">
        <v>3943000000</v>
      </c>
      <c r="B225" s="16" t="s">
        <v>19707</v>
      </c>
      <c r="C225" s="16" t="e">
        <f>VLOOKUP(Table1[[#This Row],[Node]],Parent!A:B,2,0)</f>
        <v>#N/A</v>
      </c>
      <c r="D225" s="25" t="s">
        <v>19346</v>
      </c>
      <c r="E225" s="26" t="s">
        <v>16544</v>
      </c>
      <c r="F225" s="27" t="s">
        <v>16545</v>
      </c>
      <c r="G225" s="27" t="s">
        <v>16546</v>
      </c>
      <c r="H225" s="27" t="s">
        <v>16733</v>
      </c>
      <c r="I225" s="27"/>
      <c r="J225" s="27"/>
      <c r="K225" s="27"/>
      <c r="L225" s="27"/>
      <c r="N225" s="27"/>
      <c r="T225" s="28" t="str">
        <f>LOOKUP(1,1/(Table1[[#This Row],[Level_0]:[Level 15]]&gt;0),(Table1[[#This Row],[Level_0]:[Level 15]]))</f>
        <v>3943000000 - [Inc fr FX Diff - Operativ Hedging - Real]</v>
      </c>
      <c r="U225" s="22">
        <v>220</v>
      </c>
      <c r="W225" s="13" t="str">
        <f>LOOKUP(1,1/(Table1[[#This Row],[Level_0]:[Level 15]]&gt;0),(Table1[[#This Row],[Level_0]:[Level 15]]))</f>
        <v>3943000000 - [Inc fr FX Diff - Operativ Hedging - Real]</v>
      </c>
    </row>
    <row r="226" spans="1:23" hidden="1" x14ac:dyDescent="0.25">
      <c r="A226">
        <v>3932006000</v>
      </c>
      <c r="B226" s="16" t="s">
        <v>19700</v>
      </c>
      <c r="C226" s="16" t="e">
        <f>VLOOKUP(Table1[[#This Row],[Node]],Parent!A:B,2,0)</f>
        <v>#N/A</v>
      </c>
      <c r="D226" s="25" t="s">
        <v>19346</v>
      </c>
      <c r="E226" s="26" t="s">
        <v>16544</v>
      </c>
      <c r="F226" s="27" t="s">
        <v>16545</v>
      </c>
      <c r="G226" s="27" t="s">
        <v>16546</v>
      </c>
      <c r="H226" s="27" t="s">
        <v>16734</v>
      </c>
      <c r="I226" s="27"/>
      <c r="J226" s="27"/>
      <c r="K226" s="27"/>
      <c r="L226" s="27"/>
      <c r="N226" s="27"/>
      <c r="T226" s="28" t="str">
        <f>LOOKUP(1,1/(Table1[[#This Row],[Level_0]:[Level 15]]&gt;0),(Table1[[#This Row],[Level_0]:[Level 15]]))</f>
        <v>3932006000 - [Non-CoreServOth - Free Charge - CorrAcc]</v>
      </c>
      <c r="U226" s="22">
        <v>221</v>
      </c>
      <c r="W226" s="13" t="str">
        <f>LOOKUP(1,1/(Table1[[#This Row],[Level_0]:[Level 15]]&gt;0),(Table1[[#This Row],[Level_0]:[Level 15]]))</f>
        <v>3932006000 - [Non-CoreServOth - Free Charge - CorrAcc]</v>
      </c>
    </row>
    <row r="227" spans="1:23" hidden="1" x14ac:dyDescent="0.25">
      <c r="A227">
        <v>3932000000</v>
      </c>
      <c r="B227" s="16" t="s">
        <v>19699</v>
      </c>
      <c r="C227" s="16" t="e">
        <f>VLOOKUP(Table1[[#This Row],[Node]],Parent!A:B,2,0)</f>
        <v>#N/A</v>
      </c>
      <c r="D227" s="25" t="s">
        <v>19346</v>
      </c>
      <c r="E227" s="26" t="s">
        <v>16544</v>
      </c>
      <c r="F227" s="27" t="s">
        <v>16545</v>
      </c>
      <c r="G227" s="27" t="s">
        <v>16546</v>
      </c>
      <c r="H227" s="27" t="s">
        <v>16735</v>
      </c>
      <c r="I227" s="27"/>
      <c r="J227" s="27"/>
      <c r="K227" s="27"/>
      <c r="L227" s="27"/>
      <c r="N227" s="27"/>
      <c r="T227" s="28" t="str">
        <f>LOOKUP(1,1/(Table1[[#This Row],[Level_0]:[Level 15]]&gt;0),(Table1[[#This Row],[Level_0]:[Level 15]]))</f>
        <v>3932000000 - [Non-Core Serv Others - Free of Charge]</v>
      </c>
      <c r="U227" s="22">
        <v>222</v>
      </c>
      <c r="W227" s="13" t="str">
        <f>LOOKUP(1,1/(Table1[[#This Row],[Level_0]:[Level 15]]&gt;0),(Table1[[#This Row],[Level_0]:[Level 15]]))</f>
        <v>3932000000 - [Non-Core Serv Others - Free of Charge]</v>
      </c>
    </row>
    <row r="228" spans="1:23" hidden="1" x14ac:dyDescent="0.25">
      <c r="A228">
        <v>3931006000</v>
      </c>
      <c r="B228" s="16" t="s">
        <v>19698</v>
      </c>
      <c r="C228" s="16" t="e">
        <f>VLOOKUP(Table1[[#This Row],[Node]],Parent!A:B,2,0)</f>
        <v>#N/A</v>
      </c>
      <c r="D228" s="25" t="s">
        <v>19346</v>
      </c>
      <c r="E228" s="26" t="s">
        <v>16544</v>
      </c>
      <c r="F228" s="27" t="s">
        <v>16545</v>
      </c>
      <c r="G228" s="27" t="s">
        <v>16546</v>
      </c>
      <c r="H228" s="27" t="s">
        <v>16736</v>
      </c>
      <c r="I228" s="27"/>
      <c r="J228" s="27"/>
      <c r="K228" s="27"/>
      <c r="L228" s="27"/>
      <c r="N228" s="27"/>
      <c r="T228" s="28" t="str">
        <f>LOOKUP(1,1/(Table1[[#This Row],[Level_0]:[Level 15]]&gt;0),(Table1[[#This Row],[Level_0]:[Level 15]]))</f>
        <v>3931006000 - [Non-Core Serv Oth - CashDisc - CorrAcc]</v>
      </c>
      <c r="U228" s="22">
        <v>223</v>
      </c>
      <c r="W228" s="13" t="str">
        <f>LOOKUP(1,1/(Table1[[#This Row],[Level_0]:[Level 15]]&gt;0),(Table1[[#This Row],[Level_0]:[Level 15]]))</f>
        <v>3931006000 - [Non-Core Serv Oth - CashDisc - CorrAcc]</v>
      </c>
    </row>
    <row r="229" spans="1:23" hidden="1" x14ac:dyDescent="0.25">
      <c r="A229">
        <v>3931000000</v>
      </c>
      <c r="B229" s="16" t="s">
        <v>19697</v>
      </c>
      <c r="C229" s="16" t="e">
        <f>VLOOKUP(Table1[[#This Row],[Node]],Parent!A:B,2,0)</f>
        <v>#N/A</v>
      </c>
      <c r="D229" s="25" t="s">
        <v>19346</v>
      </c>
      <c r="E229" s="26" t="s">
        <v>16544</v>
      </c>
      <c r="F229" s="27" t="s">
        <v>16545</v>
      </c>
      <c r="G229" s="27" t="s">
        <v>16546</v>
      </c>
      <c r="H229" s="27" t="s">
        <v>16737</v>
      </c>
      <c r="I229" s="27"/>
      <c r="J229" s="27"/>
      <c r="K229" s="27"/>
      <c r="L229" s="27"/>
      <c r="N229" s="27"/>
      <c r="T229" s="28" t="str">
        <f>LOOKUP(1,1/(Table1[[#This Row],[Level_0]:[Level 15]]&gt;0),(Table1[[#This Row],[Level_0]:[Level 15]]))</f>
        <v>3931000000 - [Non-Core Serv Others - CashDisc]</v>
      </c>
      <c r="U229" s="22">
        <v>224</v>
      </c>
      <c r="W229" s="13" t="str">
        <f>LOOKUP(1,1/(Table1[[#This Row],[Level_0]:[Level 15]]&gt;0),(Table1[[#This Row],[Level_0]:[Level 15]]))</f>
        <v>3931000000 - [Non-Core Serv Others - CashDisc]</v>
      </c>
    </row>
    <row r="230" spans="1:23" hidden="1" x14ac:dyDescent="0.25">
      <c r="A230">
        <v>3925700000</v>
      </c>
      <c r="B230" s="16" t="s">
        <v>19690</v>
      </c>
      <c r="C230" s="16" t="e">
        <f>VLOOKUP(Table1[[#This Row],[Node]],Parent!A:B,2,0)</f>
        <v>#N/A</v>
      </c>
      <c r="D230" s="25" t="s">
        <v>19346</v>
      </c>
      <c r="E230" s="26" t="s">
        <v>16544</v>
      </c>
      <c r="F230" s="27" t="s">
        <v>16545</v>
      </c>
      <c r="G230" s="27" t="s">
        <v>16546</v>
      </c>
      <c r="H230" s="27" t="s">
        <v>16738</v>
      </c>
      <c r="I230" s="27"/>
      <c r="J230" s="27"/>
      <c r="K230" s="27"/>
      <c r="L230" s="27"/>
      <c r="N230" s="27"/>
      <c r="T230" s="28" t="str">
        <f>LOOKUP(1,1/(Table1[[#This Row],[Level_0]:[Level 15]]&gt;0),(Table1[[#This Row],[Level_0]:[Level 15]]))</f>
        <v>3925700000 - [Gain f. FairValChangesOperDerFVtPL-Re]</v>
      </c>
      <c r="U230" s="22">
        <v>225</v>
      </c>
      <c r="W230" s="13" t="str">
        <f>LOOKUP(1,1/(Table1[[#This Row],[Level_0]:[Level 15]]&gt;0),(Table1[[#This Row],[Level_0]:[Level 15]]))</f>
        <v>3925700000 - [Gain f. FairValChangesOperDerFVtPL-Re]</v>
      </c>
    </row>
    <row r="231" spans="1:23" hidden="1" x14ac:dyDescent="0.25">
      <c r="A231">
        <v>3925620000</v>
      </c>
      <c r="B231" s="16" t="s">
        <v>19689</v>
      </c>
      <c r="C231" s="16" t="e">
        <f>VLOOKUP(Table1[[#This Row],[Node]],Parent!A:B,2,0)</f>
        <v>#N/A</v>
      </c>
      <c r="D231" s="25" t="s">
        <v>19346</v>
      </c>
      <c r="E231" s="26" t="s">
        <v>16544</v>
      </c>
      <c r="F231" s="27" t="s">
        <v>16545</v>
      </c>
      <c r="G231" s="27" t="s">
        <v>16546</v>
      </c>
      <c r="H231" s="27" t="s">
        <v>16739</v>
      </c>
      <c r="I231" s="27"/>
      <c r="J231" s="27"/>
      <c r="K231" s="27"/>
      <c r="L231" s="27"/>
      <c r="N231" s="27"/>
      <c r="T231" s="28" t="str">
        <f>LOOKUP(1,1/(Table1[[#This Row],[Level_0]:[Level 15]]&gt;0),(Table1[[#This Row],[Level_0]:[Level 15]]))</f>
        <v>3925620000 - [Gain f. FairValChangesOthFinInsFVtPL-UR]</v>
      </c>
      <c r="U231" s="22">
        <v>226</v>
      </c>
      <c r="W231" s="13" t="str">
        <f>LOOKUP(1,1/(Table1[[#This Row],[Level_0]:[Level 15]]&gt;0),(Table1[[#This Row],[Level_0]:[Level 15]]))</f>
        <v>3925620000 - [Gain f. FairValChangesOthFinInsFVtPL-UR]</v>
      </c>
    </row>
    <row r="232" spans="1:23" hidden="1" x14ac:dyDescent="0.25">
      <c r="A232">
        <v>3925600000</v>
      </c>
      <c r="B232" s="16" t="s">
        <v>19688</v>
      </c>
      <c r="C232" s="16" t="e">
        <f>VLOOKUP(Table1[[#This Row],[Node]],Parent!A:B,2,0)</f>
        <v>#N/A</v>
      </c>
      <c r="D232" s="25" t="s">
        <v>19346</v>
      </c>
      <c r="E232" s="26" t="s">
        <v>16544</v>
      </c>
      <c r="F232" s="27" t="s">
        <v>16545</v>
      </c>
      <c r="G232" s="27" t="s">
        <v>16546</v>
      </c>
      <c r="H232" s="27" t="s">
        <v>16740</v>
      </c>
      <c r="I232" s="27"/>
      <c r="J232" s="27"/>
      <c r="K232" s="27"/>
      <c r="L232" s="27"/>
      <c r="N232" s="27"/>
      <c r="T232" s="28" t="str">
        <f>LOOKUP(1,1/(Table1[[#This Row],[Level_0]:[Level 15]]&gt;0),(Table1[[#This Row],[Level_0]:[Level 15]]))</f>
        <v>3925600000 - [Gain f. FairValChangesOthFinInsFVtPL-Re]</v>
      </c>
      <c r="U232" s="22">
        <v>227</v>
      </c>
      <c r="W232" s="13" t="str">
        <f>LOOKUP(1,1/(Table1[[#This Row],[Level_0]:[Level 15]]&gt;0),(Table1[[#This Row],[Level_0]:[Level 15]]))</f>
        <v>3925600000 - [Gain f. FairValChangesOthFinInsFVtPL-Re]</v>
      </c>
    </row>
    <row r="233" spans="1:23" hidden="1" x14ac:dyDescent="0.25">
      <c r="A233">
        <v>3925520000</v>
      </c>
      <c r="B233" s="16" t="s">
        <v>19687</v>
      </c>
      <c r="C233" s="16" t="e">
        <f>VLOOKUP(Table1[[#This Row],[Node]],Parent!A:B,2,0)</f>
        <v>#N/A</v>
      </c>
      <c r="D233" s="25" t="s">
        <v>19346</v>
      </c>
      <c r="E233" s="26" t="s">
        <v>16544</v>
      </c>
      <c r="F233" s="27" t="s">
        <v>16545</v>
      </c>
      <c r="G233" s="27" t="s">
        <v>16546</v>
      </c>
      <c r="H233" s="27" t="s">
        <v>16741</v>
      </c>
      <c r="I233" s="27"/>
      <c r="J233" s="27"/>
      <c r="K233" s="27"/>
      <c r="L233" s="27"/>
      <c r="N233" s="27"/>
      <c r="T233" s="28" t="str">
        <f>LOOKUP(1,1/(Table1[[#This Row],[Level_0]:[Level 15]]&gt;0),(Table1[[#This Row],[Level_0]:[Level 15]]))</f>
        <v>3925520000 - [Gain f. FairValChangesEquityInstFVtPL-UR]</v>
      </c>
      <c r="U233" s="22">
        <v>228</v>
      </c>
      <c r="W233" s="13" t="str">
        <f>LOOKUP(1,1/(Table1[[#This Row],[Level_0]:[Level 15]]&gt;0),(Table1[[#This Row],[Level_0]:[Level 15]]))</f>
        <v>3925520000 - [Gain f. FairValChangesEquityInstFVtPL-UR]</v>
      </c>
    </row>
    <row r="234" spans="1:23" hidden="1" x14ac:dyDescent="0.25">
      <c r="A234">
        <v>3925500000</v>
      </c>
      <c r="B234" s="16" t="s">
        <v>19686</v>
      </c>
      <c r="C234" s="16" t="e">
        <f>VLOOKUP(Table1[[#This Row],[Node]],Parent!A:B,2,0)</f>
        <v>#N/A</v>
      </c>
      <c r="D234" s="25" t="s">
        <v>19346</v>
      </c>
      <c r="E234" s="26" t="s">
        <v>16544</v>
      </c>
      <c r="F234" s="27" t="s">
        <v>16545</v>
      </c>
      <c r="G234" s="27" t="s">
        <v>16546</v>
      </c>
      <c r="H234" s="27" t="s">
        <v>16742</v>
      </c>
      <c r="I234" s="27"/>
      <c r="J234" s="27"/>
      <c r="K234" s="27"/>
      <c r="L234" s="27"/>
      <c r="N234" s="27"/>
      <c r="T234" s="28" t="str">
        <f>LOOKUP(1,1/(Table1[[#This Row],[Level_0]:[Level 15]]&gt;0),(Table1[[#This Row],[Level_0]:[Level 15]]))</f>
        <v>3925500000 - [Gain f. FairValChangesEquityInstFVtPL-Re]</v>
      </c>
      <c r="U234" s="22">
        <v>229</v>
      </c>
      <c r="W234" s="13" t="str">
        <f>LOOKUP(1,1/(Table1[[#This Row],[Level_0]:[Level 15]]&gt;0),(Table1[[#This Row],[Level_0]:[Level 15]]))</f>
        <v>3925500000 - [Gain f. FairValChangesEquityInstFVtPL-Re]</v>
      </c>
    </row>
    <row r="235" spans="1:23" hidden="1" x14ac:dyDescent="0.25">
      <c r="A235">
        <v>3925400000</v>
      </c>
      <c r="B235" s="16" t="s">
        <v>19685</v>
      </c>
      <c r="C235" s="16" t="e">
        <f>VLOOKUP(Table1[[#This Row],[Node]],Parent!A:B,2,0)</f>
        <v>#N/A</v>
      </c>
      <c r="D235" s="25" t="s">
        <v>19346</v>
      </c>
      <c r="E235" s="26" t="s">
        <v>16544</v>
      </c>
      <c r="F235" s="27" t="s">
        <v>16545</v>
      </c>
      <c r="G235" s="27" t="s">
        <v>16546</v>
      </c>
      <c r="H235" s="27" t="s">
        <v>16743</v>
      </c>
      <c r="I235" s="27"/>
      <c r="J235" s="27"/>
      <c r="K235" s="27"/>
      <c r="L235" s="27"/>
      <c r="N235" s="27"/>
      <c r="T235" s="28" t="str">
        <f>LOOKUP(1,1/(Table1[[#This Row],[Level_0]:[Level 15]]&gt;0),(Table1[[#This Row],[Level_0]:[Level 15]]))</f>
        <v>3925400000 - [Gain f. Recycling Debt Inst FVOCI]</v>
      </c>
      <c r="U235" s="22">
        <v>230</v>
      </c>
      <c r="W235" s="13" t="str">
        <f>LOOKUP(1,1/(Table1[[#This Row],[Level_0]:[Level 15]]&gt;0),(Table1[[#This Row],[Level_0]:[Level 15]]))</f>
        <v>3925400000 - [Gain f. Recycling Debt Inst FVOCI]</v>
      </c>
    </row>
    <row r="236" spans="1:23" hidden="1" x14ac:dyDescent="0.25">
      <c r="A236">
        <v>3925220000</v>
      </c>
      <c r="B236" s="16" t="s">
        <v>19682</v>
      </c>
      <c r="C236" s="16" t="e">
        <f>VLOOKUP(Table1[[#This Row],[Node]],Parent!A:B,2,0)</f>
        <v>#N/A</v>
      </c>
      <c r="D236" s="25" t="s">
        <v>19346</v>
      </c>
      <c r="E236" s="26" t="s">
        <v>16544</v>
      </c>
      <c r="F236" s="27" t="s">
        <v>16545</v>
      </c>
      <c r="G236" s="27" t="s">
        <v>16546</v>
      </c>
      <c r="H236" s="27" t="s">
        <v>16744</v>
      </c>
      <c r="I236" s="27"/>
      <c r="J236" s="27"/>
      <c r="K236" s="27"/>
      <c r="L236" s="27"/>
      <c r="N236" s="27"/>
      <c r="T236" s="28" t="str">
        <f>LOOKUP(1,1/(Table1[[#This Row],[Level_0]:[Level 15]]&gt;0),(Table1[[#This Row],[Level_0]:[Level 15]]))</f>
        <v>3925220000 - [Gain  FairValChanges Debt Inst FVtPL -UR]</v>
      </c>
      <c r="U236" s="22">
        <v>231</v>
      </c>
      <c r="W236" s="13" t="str">
        <f>LOOKUP(1,1/(Table1[[#This Row],[Level_0]:[Level 15]]&gt;0),(Table1[[#This Row],[Level_0]:[Level 15]]))</f>
        <v>3925220000 - [Gain  FairValChanges Debt Inst FVtPL -UR]</v>
      </c>
    </row>
    <row r="237" spans="1:23" hidden="1" x14ac:dyDescent="0.25">
      <c r="A237">
        <v>3925200000</v>
      </c>
      <c r="B237" s="16" t="s">
        <v>19681</v>
      </c>
      <c r="C237" s="16" t="e">
        <f>VLOOKUP(Table1[[#This Row],[Node]],Parent!A:B,2,0)</f>
        <v>#N/A</v>
      </c>
      <c r="D237" s="25" t="s">
        <v>19346</v>
      </c>
      <c r="E237" s="26" t="s">
        <v>16544</v>
      </c>
      <c r="F237" s="27" t="s">
        <v>16545</v>
      </c>
      <c r="G237" s="27" t="s">
        <v>16546</v>
      </c>
      <c r="H237" s="27" t="s">
        <v>16745</v>
      </c>
      <c r="I237" s="27"/>
      <c r="J237" s="27"/>
      <c r="K237" s="27"/>
      <c r="L237" s="27"/>
      <c r="N237" s="27"/>
      <c r="T237" s="28" t="str">
        <f>LOOKUP(1,1/(Table1[[#This Row],[Level_0]:[Level 15]]&gt;0),(Table1[[#This Row],[Level_0]:[Level 15]]))</f>
        <v>3925200000 - [Gain FairValCha DebtInst (FVOpt)FVtPL-Re]</v>
      </c>
      <c r="U237" s="22">
        <v>232</v>
      </c>
      <c r="W237" s="13" t="str">
        <f>LOOKUP(1,1/(Table1[[#This Row],[Level_0]:[Level 15]]&gt;0),(Table1[[#This Row],[Level_0]:[Level 15]]))</f>
        <v>3925200000 - [Gain FairValCha DebtInst (FVOpt)FVtPL-Re]</v>
      </c>
    </row>
    <row r="238" spans="1:23" hidden="1" x14ac:dyDescent="0.25">
      <c r="A238">
        <v>3921006000</v>
      </c>
      <c r="B238" s="16" t="s">
        <v>19678</v>
      </c>
      <c r="C238" s="16" t="e">
        <f>VLOOKUP(Table1[[#This Row],[Node]],Parent!A:B,2,0)</f>
        <v>#N/A</v>
      </c>
      <c r="D238" s="25" t="s">
        <v>19346</v>
      </c>
      <c r="E238" s="26" t="s">
        <v>16544</v>
      </c>
      <c r="F238" s="27" t="s">
        <v>16545</v>
      </c>
      <c r="G238" s="27" t="s">
        <v>16546</v>
      </c>
      <c r="H238" s="27" t="s">
        <v>16746</v>
      </c>
      <c r="I238" s="27"/>
      <c r="J238" s="27"/>
      <c r="K238" s="27"/>
      <c r="L238" s="27"/>
      <c r="N238" s="27"/>
      <c r="T238" s="28" t="str">
        <f>LOOKUP(1,1/(Table1[[#This Row],[Level_0]:[Level 15]]&gt;0),(Table1[[#This Row],[Level_0]:[Level 15]]))</f>
        <v>3921006000 - [Invoiced Restocking Fee - FI]</v>
      </c>
      <c r="U238" s="22">
        <v>233</v>
      </c>
      <c r="W238" s="13" t="str">
        <f>LOOKUP(1,1/(Table1[[#This Row],[Level_0]:[Level 15]]&gt;0),(Table1[[#This Row],[Level_0]:[Level 15]]))</f>
        <v>3921006000 - [Invoiced Restocking Fee - FI]</v>
      </c>
    </row>
    <row r="239" spans="1:23" hidden="1" x14ac:dyDescent="0.25">
      <c r="A239">
        <v>3920200000</v>
      </c>
      <c r="B239" s="16" t="s">
        <v>19675</v>
      </c>
      <c r="C239" s="16" t="e">
        <f>VLOOKUP(Table1[[#This Row],[Node]],Parent!A:B,2,0)</f>
        <v>#N/A</v>
      </c>
      <c r="D239" s="25" t="s">
        <v>19346</v>
      </c>
      <c r="E239" s="26" t="s">
        <v>16544</v>
      </c>
      <c r="F239" s="27" t="s">
        <v>16545</v>
      </c>
      <c r="G239" s="27" t="s">
        <v>16546</v>
      </c>
      <c r="H239" s="27" t="s">
        <v>16747</v>
      </c>
      <c r="I239" s="27"/>
      <c r="J239" s="27"/>
      <c r="K239" s="27"/>
      <c r="L239" s="27"/>
      <c r="N239" s="27"/>
      <c r="T239" s="28" t="str">
        <f>LOOKUP(1,1/(Table1[[#This Row],[Level_0]:[Level 15]]&gt;0),(Table1[[#This Row],[Level_0]:[Level 15]]))</f>
        <v>3920200000 - [Reimb - Freight &amp; Duties - 3P - Fuel SC]</v>
      </c>
      <c r="U239" s="22">
        <v>234</v>
      </c>
      <c r="W239" s="13" t="str">
        <f>LOOKUP(1,1/(Table1[[#This Row],[Level_0]:[Level 15]]&gt;0),(Table1[[#This Row],[Level_0]:[Level 15]]))</f>
        <v>3920200000 - [Reimb - Freight &amp; Duties - 3P - Fuel SC]</v>
      </c>
    </row>
    <row r="240" spans="1:23" hidden="1" x14ac:dyDescent="0.25">
      <c r="A240">
        <v>3920100000</v>
      </c>
      <c r="B240" s="16" t="s">
        <v>19674</v>
      </c>
      <c r="C240" s="16" t="e">
        <f>VLOOKUP(Table1[[#This Row],[Node]],Parent!A:B,2,0)</f>
        <v>#N/A</v>
      </c>
      <c r="D240" s="25" t="s">
        <v>19346</v>
      </c>
      <c r="E240" s="26" t="s">
        <v>16544</v>
      </c>
      <c r="F240" s="27" t="s">
        <v>16545</v>
      </c>
      <c r="G240" s="27" t="s">
        <v>16546</v>
      </c>
      <c r="H240" s="27" t="s">
        <v>16748</v>
      </c>
      <c r="I240" s="27"/>
      <c r="J240" s="27"/>
      <c r="K240" s="27"/>
      <c r="L240" s="27"/>
      <c r="N240" s="27"/>
      <c r="T240" s="28" t="str">
        <f>LOOKUP(1,1/(Table1[[#This Row],[Level_0]:[Level 15]]&gt;0),(Table1[[#This Row],[Level_0]:[Level 15]]))</f>
        <v>3920100000 - [Reimb- Freight &amp; Duties - 3P - Trans SC]</v>
      </c>
      <c r="U240" s="22">
        <v>235</v>
      </c>
      <c r="W240" s="13" t="str">
        <f>LOOKUP(1,1/(Table1[[#This Row],[Level_0]:[Level 15]]&gt;0),(Table1[[#This Row],[Level_0]:[Level 15]]))</f>
        <v>3920100000 - [Reimb- Freight &amp; Duties - 3P - Trans SC]</v>
      </c>
    </row>
    <row r="241" spans="1:23" hidden="1" x14ac:dyDescent="0.25">
      <c r="A241">
        <v>3912100000</v>
      </c>
      <c r="B241" s="16" t="s">
        <v>19670</v>
      </c>
      <c r="C241" s="16" t="e">
        <f>VLOOKUP(Table1[[#This Row],[Node]],Parent!A:B,2,0)</f>
        <v>#N/A</v>
      </c>
      <c r="D241" s="25" t="s">
        <v>19346</v>
      </c>
      <c r="E241" s="26" t="s">
        <v>16544</v>
      </c>
      <c r="F241" s="27" t="s">
        <v>16545</v>
      </c>
      <c r="G241" s="27" t="s">
        <v>16546</v>
      </c>
      <c r="H241" s="27" t="s">
        <v>16749</v>
      </c>
      <c r="I241" s="27"/>
      <c r="J241" s="27"/>
      <c r="K241" s="27"/>
      <c r="L241" s="27"/>
      <c r="N241" s="27"/>
      <c r="T241" s="28" t="str">
        <f>LOOKUP(1,1/(Table1[[#This Row],[Level_0]:[Level 15]]&gt;0),(Table1[[#This Row],[Level_0]:[Level 15]]))</f>
        <v>3912100000 - [Rent &amp; Lease Inc N-Core Busin - Fi Lease]</v>
      </c>
      <c r="U241" s="22">
        <v>236</v>
      </c>
      <c r="W241" s="13" t="str">
        <f>LOOKUP(1,1/(Table1[[#This Row],[Level_0]:[Level 15]]&gt;0),(Table1[[#This Row],[Level_0]:[Level 15]]))</f>
        <v>3912100000 - [Rent &amp; Lease Inc N-Core Busin - Fi Lease]</v>
      </c>
    </row>
    <row r="242" spans="1:23" hidden="1" x14ac:dyDescent="0.25">
      <c r="A242">
        <v>3912000000</v>
      </c>
      <c r="B242" s="16" t="s">
        <v>19669</v>
      </c>
      <c r="C242" s="16" t="e">
        <f>VLOOKUP(Table1[[#This Row],[Node]],Parent!A:B,2,0)</f>
        <v>#N/A</v>
      </c>
      <c r="D242" s="25" t="s">
        <v>19346</v>
      </c>
      <c r="E242" s="26" t="s">
        <v>16544</v>
      </c>
      <c r="F242" s="27" t="s">
        <v>16545</v>
      </c>
      <c r="G242" s="27" t="s">
        <v>16546</v>
      </c>
      <c r="H242" s="27" t="s">
        <v>16750</v>
      </c>
      <c r="I242" s="27"/>
      <c r="J242" s="27"/>
      <c r="K242" s="27"/>
      <c r="L242" s="27"/>
      <c r="N242" s="27"/>
      <c r="T242" s="28" t="str">
        <f>LOOKUP(1,1/(Table1[[#This Row],[Level_0]:[Level 15]]&gt;0),(Table1[[#This Row],[Level_0]:[Level 15]]))</f>
        <v>3912000000 - [Rent &amp; Lease Inc Core Busin - Fi Lease]</v>
      </c>
      <c r="U242" s="22">
        <v>237</v>
      </c>
      <c r="W242" s="13" t="str">
        <f>LOOKUP(1,1/(Table1[[#This Row],[Level_0]:[Level 15]]&gt;0),(Table1[[#This Row],[Level_0]:[Level 15]]))</f>
        <v>3912000000 - [Rent &amp; Lease Inc Core Busin - Fi Lease]</v>
      </c>
    </row>
    <row r="243" spans="1:23" hidden="1" x14ac:dyDescent="0.25">
      <c r="A243">
        <v>3911000000</v>
      </c>
      <c r="B243" s="16" t="s">
        <v>19667</v>
      </c>
      <c r="C243" s="16" t="e">
        <f>VLOOKUP(Table1[[#This Row],[Node]],Parent!A:B,2,0)</f>
        <v>#N/A</v>
      </c>
      <c r="D243" s="25" t="s">
        <v>19346</v>
      </c>
      <c r="E243" s="26" t="s">
        <v>16544</v>
      </c>
      <c r="F243" s="27" t="s">
        <v>16545</v>
      </c>
      <c r="G243" s="27" t="s">
        <v>16546</v>
      </c>
      <c r="H243" s="27" t="s">
        <v>16751</v>
      </c>
      <c r="I243" s="27"/>
      <c r="J243" s="27"/>
      <c r="K243" s="27"/>
      <c r="L243" s="27"/>
      <c r="N243" s="27"/>
      <c r="T243" s="28" t="str">
        <f>LOOKUP(1,1/(Table1[[#This Row],[Level_0]:[Level 15]]&gt;0),(Table1[[#This Row],[Level_0]:[Level 15]]))</f>
        <v>3911000000 - [Rent &amp; Lease Inc Core Busin - Op Lease]</v>
      </c>
      <c r="U243" s="22">
        <v>238</v>
      </c>
      <c r="W243" s="13" t="str">
        <f>LOOKUP(1,1/(Table1[[#This Row],[Level_0]:[Level 15]]&gt;0),(Table1[[#This Row],[Level_0]:[Level 15]]))</f>
        <v>3911000000 - [Rent &amp; Lease Inc Core Busin - Op Lease]</v>
      </c>
    </row>
    <row r="244" spans="1:23" hidden="1" x14ac:dyDescent="0.25">
      <c r="A244">
        <v>3319500000</v>
      </c>
      <c r="B244" s="16" t="s">
        <v>19665</v>
      </c>
      <c r="C244" s="16" t="e">
        <f>VLOOKUP(Table1[[#This Row],[Node]],Parent!A:B,2,0)</f>
        <v>#N/A</v>
      </c>
      <c r="D244" s="25" t="s">
        <v>19346</v>
      </c>
      <c r="E244" s="26" t="s">
        <v>16544</v>
      </c>
      <c r="F244" s="27" t="s">
        <v>16545</v>
      </c>
      <c r="G244" s="27" t="s">
        <v>16546</v>
      </c>
      <c r="H244" s="27" t="s">
        <v>16752</v>
      </c>
      <c r="I244" s="27"/>
      <c r="J244" s="27"/>
      <c r="K244" s="27"/>
      <c r="L244" s="27"/>
      <c r="N244" s="27"/>
      <c r="T244" s="28" t="str">
        <f>LOOKUP(1,1/(Table1[[#This Row],[Level_0]:[Level 15]]&gt;0),(Table1[[#This Row],[Level_0]:[Level 15]]))</f>
        <v>3319500000 - [Cap - Post Capitalization of Fin Lease]</v>
      </c>
      <c r="U244" s="22">
        <v>239</v>
      </c>
      <c r="W244" s="13" t="str">
        <f>LOOKUP(1,1/(Table1[[#This Row],[Level_0]:[Level 15]]&gt;0),(Table1[[#This Row],[Level_0]:[Level 15]]))</f>
        <v>3319500000 - [Cap - Post Capitalization of Fin Lease]</v>
      </c>
    </row>
    <row r="245" spans="1:23" hidden="1" x14ac:dyDescent="0.25">
      <c r="A245">
        <v>3313200000</v>
      </c>
      <c r="B245" s="16" t="s">
        <v>19661</v>
      </c>
      <c r="C245" s="16" t="e">
        <f>VLOOKUP(Table1[[#This Row],[Node]],Parent!A:B,2,0)</f>
        <v>#N/A</v>
      </c>
      <c r="D245" s="25" t="s">
        <v>19346</v>
      </c>
      <c r="E245" s="26" t="s">
        <v>16544</v>
      </c>
      <c r="F245" s="27" t="s">
        <v>16545</v>
      </c>
      <c r="G245" s="27" t="s">
        <v>16546</v>
      </c>
      <c r="H245" s="27" t="s">
        <v>16753</v>
      </c>
      <c r="I245" s="27"/>
      <c r="J245" s="27"/>
      <c r="K245" s="27"/>
      <c r="L245" s="27"/>
      <c r="N245" s="27"/>
      <c r="T245" s="28" t="str">
        <f>LOOKUP(1,1/(Table1[[#This Row],[Level_0]:[Level 15]]&gt;0),(Table1[[#This Row],[Level_0]:[Level 15]]))</f>
        <v>3313200000 - [Revers of Impairment-FA-DebtInstrumFVOCI]</v>
      </c>
      <c r="U245" s="22">
        <v>240</v>
      </c>
      <c r="W245" s="13" t="str">
        <f>LOOKUP(1,1/(Table1[[#This Row],[Level_0]:[Level 15]]&gt;0),(Table1[[#This Row],[Level_0]:[Level 15]]))</f>
        <v>3313200000 - [Revers of Impairment-FA-DebtInstrumFVOCI]</v>
      </c>
    </row>
    <row r="246" spans="1:23" hidden="1" x14ac:dyDescent="0.25">
      <c r="A246">
        <v>3306008000</v>
      </c>
      <c r="B246" s="16" t="s">
        <v>19653</v>
      </c>
      <c r="C246" s="16" t="e">
        <f>VLOOKUP(Table1[[#This Row],[Node]],Parent!A:B,2,0)</f>
        <v>#N/A</v>
      </c>
      <c r="D246" s="25" t="s">
        <v>19346</v>
      </c>
      <c r="E246" s="26" t="s">
        <v>16544</v>
      </c>
      <c r="F246" s="27" t="s">
        <v>16545</v>
      </c>
      <c r="G246" s="27" t="s">
        <v>16546</v>
      </c>
      <c r="H246" s="27" t="s">
        <v>16754</v>
      </c>
      <c r="I246" s="27"/>
      <c r="J246" s="27"/>
      <c r="K246" s="27"/>
      <c r="L246" s="27"/>
      <c r="N246" s="27"/>
      <c r="T246" s="28" t="str">
        <f>LOOKUP(1,1/(Table1[[#This Row],[Level_0]:[Level 15]]&gt;0),(Table1[[#This Row],[Level_0]:[Level 15]]))</f>
        <v>3306008000 - [Asset HFS Disposal - Clearing Account]</v>
      </c>
      <c r="U246" s="22">
        <v>241</v>
      </c>
      <c r="W246" s="13" t="str">
        <f>LOOKUP(1,1/(Table1[[#This Row],[Level_0]:[Level 15]]&gt;0),(Table1[[#This Row],[Level_0]:[Level 15]]))</f>
        <v>3306008000 - [Asset HFS Disposal - Clearing Account]</v>
      </c>
    </row>
    <row r="247" spans="1:23" hidden="1" x14ac:dyDescent="0.25">
      <c r="A247">
        <v>3306000000</v>
      </c>
      <c r="B247" s="16" t="s">
        <v>19652</v>
      </c>
      <c r="C247" s="16" t="e">
        <f>VLOOKUP(Table1[[#This Row],[Node]],Parent!A:B,2,0)</f>
        <v>#N/A</v>
      </c>
      <c r="D247" s="25" t="s">
        <v>19346</v>
      </c>
      <c r="E247" s="26" t="s">
        <v>16544</v>
      </c>
      <c r="F247" s="27" t="s">
        <v>16545</v>
      </c>
      <c r="G247" s="27" t="s">
        <v>16546</v>
      </c>
      <c r="H247" s="27" t="s">
        <v>16755</v>
      </c>
      <c r="I247" s="27"/>
      <c r="J247" s="27"/>
      <c r="K247" s="27"/>
      <c r="L247" s="27"/>
      <c r="N247" s="27"/>
      <c r="T247" s="28" t="str">
        <f>LOOKUP(1,1/(Table1[[#This Row],[Level_0]:[Level 15]]&gt;0),(Table1[[#This Row],[Level_0]:[Level 15]]))</f>
        <v>3306000000 - [Gains from Disposal - Assets HFS]</v>
      </c>
      <c r="U247" s="22">
        <v>242</v>
      </c>
      <c r="W247" s="13" t="str">
        <f>LOOKUP(1,1/(Table1[[#This Row],[Level_0]:[Level 15]]&gt;0),(Table1[[#This Row],[Level_0]:[Level 15]]))</f>
        <v>3306000000 - [Gains from Disposal - Assets HFS]</v>
      </c>
    </row>
    <row r="248" spans="1:23" hidden="1" x14ac:dyDescent="0.25">
      <c r="A248">
        <v>3305000000</v>
      </c>
      <c r="B248" s="16" t="s">
        <v>19650</v>
      </c>
      <c r="C248" s="16" t="e">
        <f>VLOOKUP(Table1[[#This Row],[Node]],Parent!A:B,2,0)</f>
        <v>#N/A</v>
      </c>
      <c r="D248" s="25" t="s">
        <v>19346</v>
      </c>
      <c r="E248" s="26" t="s">
        <v>16544</v>
      </c>
      <c r="F248" s="27" t="s">
        <v>16545</v>
      </c>
      <c r="G248" s="27" t="s">
        <v>16546</v>
      </c>
      <c r="H248" s="27" t="s">
        <v>16756</v>
      </c>
      <c r="I248" s="27"/>
      <c r="J248" s="27"/>
      <c r="K248" s="27"/>
      <c r="L248" s="27"/>
      <c r="N248" s="27"/>
      <c r="T248" s="28" t="str">
        <f>LOOKUP(1,1/(Table1[[#This Row],[Level_0]:[Level 15]]&gt;0),(Table1[[#This Row],[Level_0]:[Level 15]]))</f>
        <v>3305000000 - [Gains from Sale - Financial Instruments]</v>
      </c>
      <c r="U248" s="22">
        <v>243</v>
      </c>
      <c r="W248" s="13" t="str">
        <f>LOOKUP(1,1/(Table1[[#This Row],[Level_0]:[Level 15]]&gt;0),(Table1[[#This Row],[Level_0]:[Level 15]]))</f>
        <v>3305000000 - [Gains from Sale - Financial Instruments]</v>
      </c>
    </row>
    <row r="249" spans="1:23" hidden="1" x14ac:dyDescent="0.25">
      <c r="A249">
        <v>3221000000</v>
      </c>
      <c r="B249" s="16" t="s">
        <v>19640</v>
      </c>
      <c r="C249" s="16" t="e">
        <f>VLOOKUP(Table1[[#This Row],[Node]],Parent!A:B,2,0)</f>
        <v>#N/A</v>
      </c>
      <c r="D249" s="25" t="s">
        <v>19346</v>
      </c>
      <c r="E249" s="26" t="s">
        <v>16544</v>
      </c>
      <c r="F249" s="27" t="s">
        <v>16545</v>
      </c>
      <c r="G249" s="27" t="s">
        <v>16546</v>
      </c>
      <c r="H249" s="27" t="s">
        <v>16757</v>
      </c>
      <c r="I249" s="27"/>
      <c r="J249" s="27"/>
      <c r="K249" s="27"/>
      <c r="L249" s="27"/>
      <c r="N249" s="27"/>
      <c r="T249" s="28" t="str">
        <f>LOOKUP(1,1/(Table1[[#This Row],[Level_0]:[Level 15]]&gt;0),(Table1[[#This Row],[Level_0]:[Level 15]]))</f>
        <v>3221000000 - [Revenue - Profit Share Income]</v>
      </c>
      <c r="U249" s="22">
        <v>244</v>
      </c>
      <c r="W249" s="13" t="str">
        <f>LOOKUP(1,1/(Table1[[#This Row],[Level_0]:[Level 15]]&gt;0),(Table1[[#This Row],[Level_0]:[Level 15]]))</f>
        <v>3221000000 - [Revenue - Profit Share Income]</v>
      </c>
    </row>
    <row r="250" spans="1:23" hidden="1" x14ac:dyDescent="0.25">
      <c r="A250">
        <v>3214006000</v>
      </c>
      <c r="B250" s="16" t="s">
        <v>19636</v>
      </c>
      <c r="C250" s="16" t="e">
        <f>VLOOKUP(Table1[[#This Row],[Node]],Parent!A:B,2,0)</f>
        <v>#N/A</v>
      </c>
      <c r="D250" s="25" t="s">
        <v>19346</v>
      </c>
      <c r="E250" s="26" t="s">
        <v>16544</v>
      </c>
      <c r="F250" s="27" t="s">
        <v>16545</v>
      </c>
      <c r="G250" s="27" t="s">
        <v>16546</v>
      </c>
      <c r="H250" s="27" t="s">
        <v>16758</v>
      </c>
      <c r="I250" s="27"/>
      <c r="J250" s="27"/>
      <c r="K250" s="27"/>
      <c r="L250" s="27"/>
      <c r="N250" s="27"/>
      <c r="T250" s="28" t="str">
        <f>LOOKUP(1,1/(Table1[[#This Row],[Level_0]:[Level 15]]&gt;0),(Table1[[#This Row],[Level_0]:[Level 15]]))</f>
        <v>3214006000 - [Royalties - R&amp;D Related Local - FI]</v>
      </c>
      <c r="U250" s="22">
        <v>245</v>
      </c>
      <c r="W250" s="13" t="str">
        <f>LOOKUP(1,1/(Table1[[#This Row],[Level_0]:[Level 15]]&gt;0),(Table1[[#This Row],[Level_0]:[Level 15]]))</f>
        <v>3214006000 - [Royalties - R&amp;D Related Local - FI]</v>
      </c>
    </row>
    <row r="251" spans="1:23" hidden="1" x14ac:dyDescent="0.25">
      <c r="A251">
        <v>3214000000</v>
      </c>
      <c r="B251" s="16" t="s">
        <v>19635</v>
      </c>
      <c r="C251" s="16" t="e">
        <f>VLOOKUP(Table1[[#This Row],[Node]],Parent!A:B,2,0)</f>
        <v>#N/A</v>
      </c>
      <c r="D251" s="25" t="s">
        <v>19346</v>
      </c>
      <c r="E251" s="26" t="s">
        <v>16544</v>
      </c>
      <c r="F251" s="27" t="s">
        <v>16545</v>
      </c>
      <c r="G251" s="27" t="s">
        <v>16546</v>
      </c>
      <c r="H251" s="27" t="s">
        <v>16759</v>
      </c>
      <c r="I251" s="27"/>
      <c r="J251" s="27"/>
      <c r="K251" s="27"/>
      <c r="L251" s="27"/>
      <c r="N251" s="27"/>
      <c r="T251" s="28" t="str">
        <f>LOOKUP(1,1/(Table1[[#This Row],[Level_0]:[Level 15]]&gt;0),(Table1[[#This Row],[Level_0]:[Level 15]]))</f>
        <v>3214000000 - [Royalties - R&amp;D Related Local - SD]</v>
      </c>
      <c r="U251" s="22">
        <v>246</v>
      </c>
      <c r="W251" s="13" t="str">
        <f>LOOKUP(1,1/(Table1[[#This Row],[Level_0]:[Level 15]]&gt;0),(Table1[[#This Row],[Level_0]:[Level 15]]))</f>
        <v>3214000000 - [Royalties - R&amp;D Related Local - SD]</v>
      </c>
    </row>
    <row r="252" spans="1:23" hidden="1" x14ac:dyDescent="0.25">
      <c r="A252">
        <v>3213000000</v>
      </c>
      <c r="B252" s="16" t="s">
        <v>19633</v>
      </c>
      <c r="C252" s="16" t="e">
        <f>VLOOKUP(Table1[[#This Row],[Node]],Parent!A:B,2,0)</f>
        <v>#N/A</v>
      </c>
      <c r="D252" s="25" t="s">
        <v>19346</v>
      </c>
      <c r="E252" s="26" t="s">
        <v>16544</v>
      </c>
      <c r="F252" s="27" t="s">
        <v>16545</v>
      </c>
      <c r="G252" s="27" t="s">
        <v>16546</v>
      </c>
      <c r="H252" s="27" t="s">
        <v>16760</v>
      </c>
      <c r="I252" s="27"/>
      <c r="J252" s="27"/>
      <c r="K252" s="27"/>
      <c r="L252" s="27"/>
      <c r="N252" s="27"/>
      <c r="T252" s="28" t="str">
        <f>LOOKUP(1,1/(Table1[[#This Row],[Level_0]:[Level 15]]&gt;0),(Table1[[#This Row],[Level_0]:[Level 15]]))</f>
        <v>3213000000 - [Royalties - R&amp;D Related Global - SD]</v>
      </c>
      <c r="U252" s="22">
        <v>247</v>
      </c>
      <c r="W252" s="13" t="str">
        <f>LOOKUP(1,1/(Table1[[#This Row],[Level_0]:[Level 15]]&gt;0),(Table1[[#This Row],[Level_0]:[Level 15]]))</f>
        <v>3213000000 - [Royalties - R&amp;D Related Global - SD]</v>
      </c>
    </row>
    <row r="253" spans="1:23" hidden="1" x14ac:dyDescent="0.25">
      <c r="A253">
        <v>3212000000</v>
      </c>
      <c r="B253" s="16" t="s">
        <v>19631</v>
      </c>
      <c r="C253" s="16" t="e">
        <f>VLOOKUP(Table1[[#This Row],[Node]],Parent!A:B,2,0)</f>
        <v>#N/A</v>
      </c>
      <c r="D253" s="25" t="s">
        <v>19346</v>
      </c>
      <c r="E253" s="26" t="s">
        <v>16544</v>
      </c>
      <c r="F253" s="27" t="s">
        <v>16545</v>
      </c>
      <c r="G253" s="27" t="s">
        <v>16546</v>
      </c>
      <c r="H253" s="27" t="s">
        <v>16761</v>
      </c>
      <c r="I253" s="27"/>
      <c r="J253" s="27"/>
      <c r="K253" s="27"/>
      <c r="L253" s="27"/>
      <c r="N253" s="27"/>
      <c r="T253" s="28" t="str">
        <f>LOOKUP(1,1/(Table1[[#This Row],[Level_0]:[Level 15]]&gt;0),(Table1[[#This Row],[Level_0]:[Level 15]]))</f>
        <v>3212000000 - [Royalties - Marketing&amp;Selling Rela - SD]</v>
      </c>
      <c r="U253" s="22">
        <v>248</v>
      </c>
      <c r="W253" s="13" t="str">
        <f>LOOKUP(1,1/(Table1[[#This Row],[Level_0]:[Level 15]]&gt;0),(Table1[[#This Row],[Level_0]:[Level 15]]))</f>
        <v>3212000000 - [Royalties - Marketing&amp;Selling Rela - SD]</v>
      </c>
    </row>
    <row r="254" spans="1:23" hidden="1" x14ac:dyDescent="0.25">
      <c r="A254">
        <v>3211000000</v>
      </c>
      <c r="B254" s="16" t="s">
        <v>19629</v>
      </c>
      <c r="C254" s="16" t="e">
        <f>VLOOKUP(Table1[[#This Row],[Node]],Parent!A:B,2,0)</f>
        <v>#N/A</v>
      </c>
      <c r="D254" s="25" t="s">
        <v>19346</v>
      </c>
      <c r="E254" s="26" t="s">
        <v>16544</v>
      </c>
      <c r="F254" s="27" t="s">
        <v>16545</v>
      </c>
      <c r="G254" s="27" t="s">
        <v>16546</v>
      </c>
      <c r="H254" s="27" t="s">
        <v>16762</v>
      </c>
      <c r="I254" s="27"/>
      <c r="J254" s="27"/>
      <c r="K254" s="27"/>
      <c r="L254" s="27"/>
      <c r="N254" s="27"/>
      <c r="T254" s="28" t="str">
        <f>LOOKUP(1,1/(Table1[[#This Row],[Level_0]:[Level 15]]&gt;0),(Table1[[#This Row],[Level_0]:[Level 15]]))</f>
        <v>3211000000 - [Royalties  - Cost of Sales Related - SD]</v>
      </c>
      <c r="U254" s="22">
        <v>249</v>
      </c>
      <c r="W254" s="13" t="str">
        <f>LOOKUP(1,1/(Table1[[#This Row],[Level_0]:[Level 15]]&gt;0),(Table1[[#This Row],[Level_0]:[Level 15]]))</f>
        <v>3211000000 - [Royalties  - Cost of Sales Related - SD]</v>
      </c>
    </row>
    <row r="255" spans="1:23" hidden="1" x14ac:dyDescent="0.25">
      <c r="A255">
        <v>3203006000</v>
      </c>
      <c r="B255" s="16" t="s">
        <v>19626</v>
      </c>
      <c r="C255" s="16" t="e">
        <f>VLOOKUP(Table1[[#This Row],[Node]],Parent!A:B,2,0)</f>
        <v>#N/A</v>
      </c>
      <c r="D255" s="25" t="s">
        <v>19346</v>
      </c>
      <c r="E255" s="26" t="s">
        <v>16544</v>
      </c>
      <c r="F255" s="27" t="s">
        <v>16545</v>
      </c>
      <c r="G255" s="27" t="s">
        <v>16546</v>
      </c>
      <c r="H255" s="27" t="s">
        <v>16763</v>
      </c>
      <c r="I255" s="27"/>
      <c r="J255" s="27"/>
      <c r="K255" s="27"/>
      <c r="L255" s="27"/>
      <c r="N255" s="27"/>
      <c r="T255" s="28" t="str">
        <f>LOOKUP(1,1/(Table1[[#This Row],[Level_0]:[Level 15]]&gt;0),(Table1[[#This Row],[Level_0]:[Level 15]]))</f>
        <v>3203006000 - [Income f. Licen Agreem - R&amp;D Rel - FI]</v>
      </c>
      <c r="U255" s="22">
        <v>250</v>
      </c>
      <c r="W255" s="13" t="str">
        <f>LOOKUP(1,1/(Table1[[#This Row],[Level_0]:[Level 15]]&gt;0),(Table1[[#This Row],[Level_0]:[Level 15]]))</f>
        <v>3203006000 - [Income f. Licen Agreem - R&amp;D Rel - FI]</v>
      </c>
    </row>
    <row r="256" spans="1:23" hidden="1" x14ac:dyDescent="0.25">
      <c r="A256">
        <v>3203000000</v>
      </c>
      <c r="B256" s="16" t="s">
        <v>19625</v>
      </c>
      <c r="C256" s="16" t="e">
        <f>VLOOKUP(Table1[[#This Row],[Node]],Parent!A:B,2,0)</f>
        <v>#N/A</v>
      </c>
      <c r="D256" s="25" t="s">
        <v>19346</v>
      </c>
      <c r="E256" s="26" t="s">
        <v>16544</v>
      </c>
      <c r="F256" s="27" t="s">
        <v>16545</v>
      </c>
      <c r="G256" s="27" t="s">
        <v>16546</v>
      </c>
      <c r="H256" s="27" t="s">
        <v>16764</v>
      </c>
      <c r="I256" s="27"/>
      <c r="J256" s="27"/>
      <c r="K256" s="27"/>
      <c r="L256" s="27"/>
      <c r="N256" s="27"/>
      <c r="T256" s="28" t="str">
        <f>LOOKUP(1,1/(Table1[[#This Row],[Level_0]:[Level 15]]&gt;0),(Table1[[#This Row],[Level_0]:[Level 15]]))</f>
        <v>3203000000 - [Income f. License Agreem - R&amp;D Rel - SD]</v>
      </c>
      <c r="U256" s="22">
        <v>251</v>
      </c>
      <c r="W256" s="13" t="str">
        <f>LOOKUP(1,1/(Table1[[#This Row],[Level_0]:[Level 15]]&gt;0),(Table1[[#This Row],[Level_0]:[Level 15]]))</f>
        <v>3203000000 - [Income f. License Agreem - R&amp;D Rel - SD]</v>
      </c>
    </row>
    <row r="257" spans="1:23" hidden="1" x14ac:dyDescent="0.25">
      <c r="A257">
        <v>3202000000</v>
      </c>
      <c r="B257" s="16" t="s">
        <v>19623</v>
      </c>
      <c r="C257" s="16" t="e">
        <f>VLOOKUP(Table1[[#This Row],[Node]],Parent!A:B,2,0)</f>
        <v>#N/A</v>
      </c>
      <c r="D257" s="25" t="s">
        <v>19346</v>
      </c>
      <c r="E257" s="26" t="s">
        <v>16544</v>
      </c>
      <c r="F257" s="27" t="s">
        <v>16545</v>
      </c>
      <c r="G257" s="27" t="s">
        <v>16546</v>
      </c>
      <c r="H257" s="27" t="s">
        <v>16765</v>
      </c>
      <c r="I257" s="27"/>
      <c r="J257" s="27"/>
      <c r="K257" s="27"/>
      <c r="L257" s="27"/>
      <c r="N257" s="27"/>
      <c r="T257" s="28" t="str">
        <f>LOOKUP(1,1/(Table1[[#This Row],[Level_0]:[Level 15]]&gt;0),(Table1[[#This Row],[Level_0]:[Level 15]]))</f>
        <v>3202000000 - [Income f. License Agreem - M&amp;S Rel - SD]</v>
      </c>
      <c r="U257" s="22">
        <v>252</v>
      </c>
      <c r="W257" s="13" t="str">
        <f>LOOKUP(1,1/(Table1[[#This Row],[Level_0]:[Level 15]]&gt;0),(Table1[[#This Row],[Level_0]:[Level 15]]))</f>
        <v>3202000000 - [Income f. License Agreem - M&amp;S Rel - SD]</v>
      </c>
    </row>
    <row r="258" spans="1:23" hidden="1" x14ac:dyDescent="0.25">
      <c r="A258">
        <v>3201000000</v>
      </c>
      <c r="B258" s="16" t="s">
        <v>19621</v>
      </c>
      <c r="C258" s="16" t="e">
        <f>VLOOKUP(Table1[[#This Row],[Node]],Parent!A:B,2,0)</f>
        <v>#N/A</v>
      </c>
      <c r="D258" s="25" t="s">
        <v>19346</v>
      </c>
      <c r="E258" s="26" t="s">
        <v>16544</v>
      </c>
      <c r="F258" s="27" t="s">
        <v>16545</v>
      </c>
      <c r="G258" s="27" t="s">
        <v>16546</v>
      </c>
      <c r="H258" s="27" t="s">
        <v>16766</v>
      </c>
      <c r="I258" s="27"/>
      <c r="J258" s="27"/>
      <c r="K258" s="27"/>
      <c r="L258" s="27"/>
      <c r="N258" s="27"/>
      <c r="T258" s="28" t="str">
        <f>LOOKUP(1,1/(Table1[[#This Row],[Level_0]:[Level 15]]&gt;0),(Table1[[#This Row],[Level_0]:[Level 15]]))</f>
        <v>3201000000 - [Income f. License Agreem - COS Rel - SD]</v>
      </c>
      <c r="U258" s="22">
        <v>253</v>
      </c>
      <c r="W258" s="13" t="str">
        <f>LOOKUP(1,1/(Table1[[#This Row],[Level_0]:[Level 15]]&gt;0),(Table1[[#This Row],[Level_0]:[Level 15]]))</f>
        <v>3201000000 - [Income f. License Agreem - COS Rel - SD]</v>
      </c>
    </row>
    <row r="259" spans="1:23" hidden="1" x14ac:dyDescent="0.25">
      <c r="A259">
        <v>3151000000</v>
      </c>
      <c r="B259" s="16" t="s">
        <v>19620</v>
      </c>
      <c r="C259" s="16" t="e">
        <f>VLOOKUP(Table1[[#This Row],[Node]],Parent!A:B,2,0)</f>
        <v>#N/A</v>
      </c>
      <c r="D259" s="25" t="s">
        <v>19346</v>
      </c>
      <c r="E259" s="26" t="s">
        <v>16544</v>
      </c>
      <c r="F259" s="27" t="s">
        <v>16545</v>
      </c>
      <c r="G259" s="27" t="s">
        <v>16546</v>
      </c>
      <c r="H259" s="27" t="s">
        <v>16767</v>
      </c>
      <c r="I259" s="27"/>
      <c r="J259" s="27"/>
      <c r="K259" s="27"/>
      <c r="L259" s="27"/>
      <c r="N259" s="27"/>
      <c r="T259" s="28" t="str">
        <f>LOOKUP(1,1/(Table1[[#This Row],[Level_0]:[Level 15]]&gt;0),(Table1[[#This Row],[Level_0]:[Level 15]]))</f>
        <v>3151000000 - [Licenses - Cash Discount]</v>
      </c>
      <c r="U259" s="22">
        <v>254</v>
      </c>
      <c r="W259" s="13" t="str">
        <f>LOOKUP(1,1/(Table1[[#This Row],[Level_0]:[Level 15]]&gt;0),(Table1[[#This Row],[Level_0]:[Level 15]]))</f>
        <v>3151000000 - [Licenses - Cash Discount]</v>
      </c>
    </row>
    <row r="260" spans="1:23" hidden="1" x14ac:dyDescent="0.25">
      <c r="A260">
        <v>3150000000</v>
      </c>
      <c r="B260" s="16" t="s">
        <v>19619</v>
      </c>
      <c r="C260" s="16" t="e">
        <f>VLOOKUP(Table1[[#This Row],[Node]],Parent!A:B,2,0)</f>
        <v>#N/A</v>
      </c>
      <c r="D260" s="25" t="s">
        <v>19346</v>
      </c>
      <c r="E260" s="26" t="s">
        <v>16544</v>
      </c>
      <c r="F260" s="27" t="s">
        <v>16545</v>
      </c>
      <c r="G260" s="27" t="s">
        <v>16546</v>
      </c>
      <c r="H260" s="27" t="s">
        <v>16768</v>
      </c>
      <c r="I260" s="27"/>
      <c r="J260" s="27"/>
      <c r="K260" s="27"/>
      <c r="L260" s="27"/>
      <c r="N260" s="27"/>
      <c r="T260" s="28" t="str">
        <f>LOOKUP(1,1/(Table1[[#This Row],[Level_0]:[Level 15]]&gt;0),(Table1[[#This Row],[Level_0]:[Level 15]]))</f>
        <v>3150000000 - [Licenses - Rebates]</v>
      </c>
      <c r="U260" s="22">
        <v>255</v>
      </c>
      <c r="W260" s="13" t="str">
        <f>LOOKUP(1,1/(Table1[[#This Row],[Level_0]:[Level 15]]&gt;0),(Table1[[#This Row],[Level_0]:[Level 15]]))</f>
        <v>3150000000 - [Licenses - Rebates]</v>
      </c>
    </row>
    <row r="261" spans="1:23" hidden="1" x14ac:dyDescent="0.25">
      <c r="A261">
        <v>3141000000</v>
      </c>
      <c r="B261" s="16" t="s">
        <v>19618</v>
      </c>
      <c r="C261" s="16" t="e">
        <f>VLOOKUP(Table1[[#This Row],[Node]],Parent!A:B,2,0)</f>
        <v>#N/A</v>
      </c>
      <c r="D261" s="25" t="s">
        <v>19346</v>
      </c>
      <c r="E261" s="26" t="s">
        <v>16544</v>
      </c>
      <c r="F261" s="27" t="s">
        <v>16545</v>
      </c>
      <c r="G261" s="27" t="s">
        <v>16546</v>
      </c>
      <c r="H261" s="27" t="s">
        <v>16769</v>
      </c>
      <c r="I261" s="27"/>
      <c r="J261" s="27"/>
      <c r="K261" s="27"/>
      <c r="L261" s="27"/>
      <c r="N261" s="27"/>
      <c r="T261" s="28" t="str">
        <f>LOOKUP(1,1/(Table1[[#This Row],[Level_0]:[Level 15]]&gt;0),(Table1[[#This Row],[Level_0]:[Level 15]]))</f>
        <v>3141000000 - [Royalties - Cash Discount]</v>
      </c>
      <c r="U261" s="22">
        <v>256</v>
      </c>
      <c r="W261" s="13" t="str">
        <f>LOOKUP(1,1/(Table1[[#This Row],[Level_0]:[Level 15]]&gt;0),(Table1[[#This Row],[Level_0]:[Level 15]]))</f>
        <v>3141000000 - [Royalties - Cash Discount]</v>
      </c>
    </row>
    <row r="262" spans="1:23" hidden="1" x14ac:dyDescent="0.25">
      <c r="A262">
        <v>3140000000</v>
      </c>
      <c r="B262" s="16" t="s">
        <v>19617</v>
      </c>
      <c r="C262" s="16" t="e">
        <f>VLOOKUP(Table1[[#This Row],[Node]],Parent!A:B,2,0)</f>
        <v>#N/A</v>
      </c>
      <c r="D262" s="25" t="s">
        <v>19346</v>
      </c>
      <c r="E262" s="26" t="s">
        <v>16544</v>
      </c>
      <c r="F262" s="27" t="s">
        <v>16545</v>
      </c>
      <c r="G262" s="27" t="s">
        <v>16546</v>
      </c>
      <c r="H262" s="27" t="s">
        <v>16770</v>
      </c>
      <c r="I262" s="27"/>
      <c r="J262" s="27"/>
      <c r="K262" s="27"/>
      <c r="L262" s="27"/>
      <c r="N262" s="27"/>
      <c r="T262" s="28" t="str">
        <f>LOOKUP(1,1/(Table1[[#This Row],[Level_0]:[Level 15]]&gt;0),(Table1[[#This Row],[Level_0]:[Level 15]]))</f>
        <v>3140000000 - [Royalties - Rebates]</v>
      </c>
      <c r="U262" s="22">
        <v>257</v>
      </c>
      <c r="W262" s="13" t="str">
        <f>LOOKUP(1,1/(Table1[[#This Row],[Level_0]:[Level 15]]&gt;0),(Table1[[#This Row],[Level_0]:[Level 15]]))</f>
        <v>3140000000 - [Royalties - Rebates]</v>
      </c>
    </row>
    <row r="263" spans="1:23" hidden="1" x14ac:dyDescent="0.25">
      <c r="A263">
        <v>3135006000</v>
      </c>
      <c r="B263" s="16" t="s">
        <v>19616</v>
      </c>
      <c r="C263" s="16" t="e">
        <f>VLOOKUP(Table1[[#This Row],[Node]],Parent!A:B,2,0)</f>
        <v>#N/A</v>
      </c>
      <c r="D263" s="25" t="s">
        <v>19346</v>
      </c>
      <c r="E263" s="26" t="s">
        <v>16544</v>
      </c>
      <c r="F263" s="27" t="s">
        <v>16545</v>
      </c>
      <c r="G263" s="27" t="s">
        <v>16546</v>
      </c>
      <c r="H263" s="27" t="s">
        <v>16771</v>
      </c>
      <c r="I263" s="27"/>
      <c r="J263" s="27"/>
      <c r="K263" s="27"/>
      <c r="L263" s="27"/>
      <c r="N263" s="27"/>
      <c r="T263" s="28" t="str">
        <f>LOOKUP(1,1/(Table1[[#This Row],[Level_0]:[Level 15]]&gt;0),(Table1[[#This Row],[Level_0]:[Level 15]]))</f>
        <v>3135006000 - [Hardware - Sales Returns - CorrAcc]</v>
      </c>
      <c r="U263" s="22">
        <v>258</v>
      </c>
      <c r="W263" s="13" t="str">
        <f>LOOKUP(1,1/(Table1[[#This Row],[Level_0]:[Level 15]]&gt;0),(Table1[[#This Row],[Level_0]:[Level 15]]))</f>
        <v>3135006000 - [Hardware - Sales Returns - CorrAcc]</v>
      </c>
    </row>
    <row r="264" spans="1:23" hidden="1" x14ac:dyDescent="0.25">
      <c r="A264">
        <v>3135000000</v>
      </c>
      <c r="B264" s="16" t="s">
        <v>19615</v>
      </c>
      <c r="C264" s="16" t="e">
        <f>VLOOKUP(Table1[[#This Row],[Node]],Parent!A:B,2,0)</f>
        <v>#N/A</v>
      </c>
      <c r="D264" s="25" t="s">
        <v>19346</v>
      </c>
      <c r="E264" s="26" t="s">
        <v>16544</v>
      </c>
      <c r="F264" s="27" t="s">
        <v>16545</v>
      </c>
      <c r="G264" s="27" t="s">
        <v>16546</v>
      </c>
      <c r="H264" s="27" t="s">
        <v>16772</v>
      </c>
      <c r="I264" s="27"/>
      <c r="J264" s="27"/>
      <c r="K264" s="27"/>
      <c r="L264" s="27"/>
      <c r="N264" s="27"/>
      <c r="T264" s="28" t="str">
        <f>LOOKUP(1,1/(Table1[[#This Row],[Level_0]:[Level 15]]&gt;0),(Table1[[#This Row],[Level_0]:[Level 15]]))</f>
        <v>3135000000 - [Hardware - Sales Returns]</v>
      </c>
      <c r="U264" s="22">
        <v>259</v>
      </c>
      <c r="W264" s="13" t="str">
        <f>LOOKUP(1,1/(Table1[[#This Row],[Level_0]:[Level 15]]&gt;0),(Table1[[#This Row],[Level_0]:[Level 15]]))</f>
        <v>3135000000 - [Hardware - Sales Returns]</v>
      </c>
    </row>
    <row r="265" spans="1:23" hidden="1" x14ac:dyDescent="0.25">
      <c r="A265">
        <v>3133006000</v>
      </c>
      <c r="B265" s="16" t="s">
        <v>19614</v>
      </c>
      <c r="C265" s="16" t="e">
        <f>VLOOKUP(Table1[[#This Row],[Node]],Parent!A:B,2,0)</f>
        <v>#N/A</v>
      </c>
      <c r="D265" s="25" t="s">
        <v>19346</v>
      </c>
      <c r="E265" s="26" t="s">
        <v>16544</v>
      </c>
      <c r="F265" s="27" t="s">
        <v>16545</v>
      </c>
      <c r="G265" s="27" t="s">
        <v>16546</v>
      </c>
      <c r="H265" s="27" t="s">
        <v>16773</v>
      </c>
      <c r="I265" s="27"/>
      <c r="J265" s="27"/>
      <c r="K265" s="27"/>
      <c r="L265" s="27"/>
      <c r="N265" s="27"/>
      <c r="T265" s="28" t="str">
        <f>LOOKUP(1,1/(Table1[[#This Row],[Level_0]:[Level 15]]&gt;0),(Table1[[#This Row],[Level_0]:[Level 15]]))</f>
        <v>3133006000 - [Hardware - Goods FOC - CorrAcc]</v>
      </c>
      <c r="U265" s="22">
        <v>260</v>
      </c>
      <c r="W265" s="13" t="str">
        <f>LOOKUP(1,1/(Table1[[#This Row],[Level_0]:[Level 15]]&gt;0),(Table1[[#This Row],[Level_0]:[Level 15]]))</f>
        <v>3133006000 - [Hardware - Goods FOC - CorrAcc]</v>
      </c>
    </row>
    <row r="266" spans="1:23" hidden="1" x14ac:dyDescent="0.25">
      <c r="A266">
        <v>3132006000</v>
      </c>
      <c r="B266" s="16" t="s">
        <v>19612</v>
      </c>
      <c r="C266" s="16" t="e">
        <f>VLOOKUP(Table1[[#This Row],[Node]],Parent!A:B,2,0)</f>
        <v>#N/A</v>
      </c>
      <c r="D266" s="25" t="s">
        <v>19346</v>
      </c>
      <c r="E266" s="26" t="s">
        <v>16544</v>
      </c>
      <c r="F266" s="27" t="s">
        <v>16545</v>
      </c>
      <c r="G266" s="27" t="s">
        <v>16546</v>
      </c>
      <c r="H266" s="27" t="s">
        <v>16774</v>
      </c>
      <c r="I266" s="27"/>
      <c r="J266" s="27"/>
      <c r="K266" s="27"/>
      <c r="L266" s="27"/>
      <c r="N266" s="27"/>
      <c r="T266" s="28" t="str">
        <f>LOOKUP(1,1/(Table1[[#This Row],[Level_0]:[Level 15]]&gt;0),(Table1[[#This Row],[Level_0]:[Level 15]]))</f>
        <v>3132006000 - [Hardware - Bonus - CorrAcc]</v>
      </c>
      <c r="U266" s="22">
        <v>261</v>
      </c>
      <c r="W266" s="13" t="str">
        <f>LOOKUP(1,1/(Table1[[#This Row],[Level_0]:[Level 15]]&gt;0),(Table1[[#This Row],[Level_0]:[Level 15]]))</f>
        <v>3132006000 - [Hardware - Bonus - CorrAcc]</v>
      </c>
    </row>
    <row r="267" spans="1:23" hidden="1" x14ac:dyDescent="0.25">
      <c r="A267">
        <v>3132000000</v>
      </c>
      <c r="B267" s="16" t="s">
        <v>19611</v>
      </c>
      <c r="C267" s="16" t="e">
        <f>VLOOKUP(Table1[[#This Row],[Node]],Parent!A:B,2,0)</f>
        <v>#N/A</v>
      </c>
      <c r="D267" s="25" t="s">
        <v>19346</v>
      </c>
      <c r="E267" s="26" t="s">
        <v>16544</v>
      </c>
      <c r="F267" s="27" t="s">
        <v>16545</v>
      </c>
      <c r="G267" s="27" t="s">
        <v>16546</v>
      </c>
      <c r="H267" s="27" t="s">
        <v>16775</v>
      </c>
      <c r="I267" s="27"/>
      <c r="J267" s="27"/>
      <c r="K267" s="27"/>
      <c r="L267" s="27"/>
      <c r="N267" s="27"/>
      <c r="T267" s="28" t="str">
        <f>LOOKUP(1,1/(Table1[[#This Row],[Level_0]:[Level 15]]&gt;0),(Table1[[#This Row],[Level_0]:[Level 15]]))</f>
        <v>3132000000 - [Hardware - Bonus]</v>
      </c>
      <c r="U267" s="22">
        <v>262</v>
      </c>
      <c r="W267" s="13" t="str">
        <f>LOOKUP(1,1/(Table1[[#This Row],[Level_0]:[Level 15]]&gt;0),(Table1[[#This Row],[Level_0]:[Level 15]]))</f>
        <v>3132000000 - [Hardware - Bonus]</v>
      </c>
    </row>
    <row r="268" spans="1:23" hidden="1" x14ac:dyDescent="0.25">
      <c r="A268">
        <v>3131006000</v>
      </c>
      <c r="B268" s="16" t="s">
        <v>19610</v>
      </c>
      <c r="C268" s="16" t="e">
        <f>VLOOKUP(Table1[[#This Row],[Node]],Parent!A:B,2,0)</f>
        <v>#N/A</v>
      </c>
      <c r="D268" s="25" t="s">
        <v>19346</v>
      </c>
      <c r="E268" s="26" t="s">
        <v>16544</v>
      </c>
      <c r="F268" s="27" t="s">
        <v>16545</v>
      </c>
      <c r="G268" s="27" t="s">
        <v>16546</v>
      </c>
      <c r="H268" s="27" t="s">
        <v>16776</v>
      </c>
      <c r="I268" s="27"/>
      <c r="J268" s="27"/>
      <c r="K268" s="27"/>
      <c r="L268" s="27"/>
      <c r="N268" s="27"/>
      <c r="T268" s="28" t="str">
        <f>LOOKUP(1,1/(Table1[[#This Row],[Level_0]:[Level 15]]&gt;0),(Table1[[#This Row],[Level_0]:[Level 15]]))</f>
        <v>3131006000 - [Hardware - Cash Discount - CorrAcc]</v>
      </c>
      <c r="U268" s="22">
        <v>263</v>
      </c>
      <c r="W268" s="13" t="str">
        <f>LOOKUP(1,1/(Table1[[#This Row],[Level_0]:[Level 15]]&gt;0),(Table1[[#This Row],[Level_0]:[Level 15]]))</f>
        <v>3131006000 - [Hardware - Cash Discount - CorrAcc]</v>
      </c>
    </row>
    <row r="269" spans="1:23" hidden="1" x14ac:dyDescent="0.25">
      <c r="A269">
        <v>3131000000</v>
      </c>
      <c r="B269" s="16" t="s">
        <v>19609</v>
      </c>
      <c r="C269" s="16" t="e">
        <f>VLOOKUP(Table1[[#This Row],[Node]],Parent!A:B,2,0)</f>
        <v>#N/A</v>
      </c>
      <c r="D269" s="25" t="s">
        <v>19346</v>
      </c>
      <c r="E269" s="26" t="s">
        <v>16544</v>
      </c>
      <c r="F269" s="27" t="s">
        <v>16545</v>
      </c>
      <c r="G269" s="27" t="s">
        <v>16546</v>
      </c>
      <c r="H269" s="27" t="s">
        <v>16777</v>
      </c>
      <c r="I269" s="27"/>
      <c r="J269" s="27"/>
      <c r="K269" s="27"/>
      <c r="L269" s="27"/>
      <c r="N269" s="27"/>
      <c r="T269" s="28" t="str">
        <f>LOOKUP(1,1/(Table1[[#This Row],[Level_0]:[Level 15]]&gt;0),(Table1[[#This Row],[Level_0]:[Level 15]]))</f>
        <v>3131000000 - [Hardware - Cash Discount]</v>
      </c>
      <c r="U269" s="22">
        <v>264</v>
      </c>
      <c r="W269" s="13" t="str">
        <f>LOOKUP(1,1/(Table1[[#This Row],[Level_0]:[Level 15]]&gt;0),(Table1[[#This Row],[Level_0]:[Level 15]]))</f>
        <v>3131000000 - [Hardware - Cash Discount]</v>
      </c>
    </row>
    <row r="270" spans="1:23" hidden="1" x14ac:dyDescent="0.25">
      <c r="A270">
        <v>3127006000</v>
      </c>
      <c r="B270" s="16" t="s">
        <v>19606</v>
      </c>
      <c r="C270" s="16" t="e">
        <f>VLOOKUP(Table1[[#This Row],[Node]],Parent!A:B,2,0)</f>
        <v>#N/A</v>
      </c>
      <c r="D270" s="25" t="s">
        <v>19346</v>
      </c>
      <c r="E270" s="26" t="s">
        <v>16544</v>
      </c>
      <c r="F270" s="27" t="s">
        <v>16545</v>
      </c>
      <c r="G270" s="27" t="s">
        <v>16546</v>
      </c>
      <c r="H270" s="27" t="s">
        <v>16778</v>
      </c>
      <c r="I270" s="27"/>
      <c r="J270" s="27"/>
      <c r="K270" s="27"/>
      <c r="L270" s="27"/>
      <c r="N270" s="27"/>
      <c r="T270" s="28" t="str">
        <f>LOOKUP(1,1/(Table1[[#This Row],[Level_0]:[Level 15]]&gt;0),(Table1[[#This Row],[Level_0]:[Level 15]]))</f>
        <v>3127006000 - [Cust Proj (WBS Rel) - SalesRe - CorrAcc]</v>
      </c>
      <c r="U270" s="22">
        <v>265</v>
      </c>
      <c r="W270" s="13" t="str">
        <f>LOOKUP(1,1/(Table1[[#This Row],[Level_0]:[Level 15]]&gt;0),(Table1[[#This Row],[Level_0]:[Level 15]]))</f>
        <v>3127006000 - [Cust Proj (WBS Rel) - SalesRe - CorrAcc]</v>
      </c>
    </row>
    <row r="271" spans="1:23" hidden="1" x14ac:dyDescent="0.25">
      <c r="A271">
        <v>3127000000</v>
      </c>
      <c r="B271" s="16" t="s">
        <v>19605</v>
      </c>
      <c r="C271" s="16" t="e">
        <f>VLOOKUP(Table1[[#This Row],[Node]],Parent!A:B,2,0)</f>
        <v>#N/A</v>
      </c>
      <c r="D271" s="25" t="s">
        <v>19346</v>
      </c>
      <c r="E271" s="26" t="s">
        <v>16544</v>
      </c>
      <c r="F271" s="27" t="s">
        <v>16545</v>
      </c>
      <c r="G271" s="27" t="s">
        <v>16546</v>
      </c>
      <c r="H271" s="27" t="s">
        <v>16779</v>
      </c>
      <c r="I271" s="27"/>
      <c r="J271" s="27"/>
      <c r="K271" s="27"/>
      <c r="L271" s="27"/>
      <c r="N271" s="27"/>
      <c r="T271" s="28" t="str">
        <f>LOOKUP(1,1/(Table1[[#This Row],[Level_0]:[Level 15]]&gt;0),(Table1[[#This Row],[Level_0]:[Level 15]]))</f>
        <v>3127000000 - [Cust Proj (WBS Rel) - SalesRe]</v>
      </c>
      <c r="U271" s="22">
        <v>266</v>
      </c>
      <c r="W271" s="13" t="str">
        <f>LOOKUP(1,1/(Table1[[#This Row],[Level_0]:[Level 15]]&gt;0),(Table1[[#This Row],[Level_0]:[Level 15]]))</f>
        <v>3127000000 - [Cust Proj (WBS Rel) - SalesRe]</v>
      </c>
    </row>
    <row r="272" spans="1:23" hidden="1" x14ac:dyDescent="0.25">
      <c r="A272">
        <v>3126006000</v>
      </c>
      <c r="B272" s="16" t="s">
        <v>19604</v>
      </c>
      <c r="C272" s="16" t="e">
        <f>VLOOKUP(Table1[[#This Row],[Node]],Parent!A:B,2,0)</f>
        <v>#N/A</v>
      </c>
      <c r="D272" s="25" t="s">
        <v>19346</v>
      </c>
      <c r="E272" s="26" t="s">
        <v>16544</v>
      </c>
      <c r="F272" s="27" t="s">
        <v>16545</v>
      </c>
      <c r="G272" s="27" t="s">
        <v>16546</v>
      </c>
      <c r="H272" s="27" t="s">
        <v>16780</v>
      </c>
      <c r="I272" s="27"/>
      <c r="J272" s="27"/>
      <c r="K272" s="27"/>
      <c r="L272" s="27"/>
      <c r="N272" s="27"/>
      <c r="T272" s="28" t="str">
        <f>LOOKUP(1,1/(Table1[[#This Row],[Level_0]:[Level 15]]&gt;0),(Table1[[#This Row],[Level_0]:[Level 15]]))</f>
        <v>3126006000 - [Cust Proj (WBS Rel) - Rebates - CorrAcc]</v>
      </c>
      <c r="U272" s="22">
        <v>267</v>
      </c>
      <c r="W272" s="13" t="str">
        <f>LOOKUP(1,1/(Table1[[#This Row],[Level_0]:[Level 15]]&gt;0),(Table1[[#This Row],[Level_0]:[Level 15]]))</f>
        <v>3126006000 - [Cust Proj (WBS Rel) - Rebates - CorrAcc]</v>
      </c>
    </row>
    <row r="273" spans="1:23" hidden="1" x14ac:dyDescent="0.25">
      <c r="A273">
        <v>3126000000</v>
      </c>
      <c r="B273" s="16" t="s">
        <v>19603</v>
      </c>
      <c r="C273" s="16" t="e">
        <f>VLOOKUP(Table1[[#This Row],[Node]],Parent!A:B,2,0)</f>
        <v>#N/A</v>
      </c>
      <c r="D273" s="25" t="s">
        <v>19346</v>
      </c>
      <c r="E273" s="26" t="s">
        <v>16544</v>
      </c>
      <c r="F273" s="27" t="s">
        <v>16545</v>
      </c>
      <c r="G273" s="27" t="s">
        <v>16546</v>
      </c>
      <c r="H273" s="27" t="s">
        <v>16781</v>
      </c>
      <c r="I273" s="27"/>
      <c r="J273" s="27"/>
      <c r="K273" s="27"/>
      <c r="L273" s="27"/>
      <c r="N273" s="27"/>
      <c r="T273" s="28" t="str">
        <f>LOOKUP(1,1/(Table1[[#This Row],[Level_0]:[Level 15]]&gt;0),(Table1[[#This Row],[Level_0]:[Level 15]]))</f>
        <v>3126000000 - [Cust Proj (WBS Rel) - Rebates]</v>
      </c>
      <c r="U273" s="22">
        <v>268</v>
      </c>
      <c r="W273" s="13" t="str">
        <f>LOOKUP(1,1/(Table1[[#This Row],[Level_0]:[Level 15]]&gt;0),(Table1[[#This Row],[Level_0]:[Level 15]]))</f>
        <v>3126000000 - [Cust Proj (WBS Rel) - Rebates]</v>
      </c>
    </row>
    <row r="274" spans="1:23" hidden="1" x14ac:dyDescent="0.25">
      <c r="A274">
        <v>3125006000</v>
      </c>
      <c r="B274" s="16" t="s">
        <v>19602</v>
      </c>
      <c r="C274" s="16" t="e">
        <f>VLOOKUP(Table1[[#This Row],[Node]],Parent!A:B,2,0)</f>
        <v>#N/A</v>
      </c>
      <c r="D274" s="25" t="s">
        <v>19346</v>
      </c>
      <c r="E274" s="26" t="s">
        <v>16544</v>
      </c>
      <c r="F274" s="27" t="s">
        <v>16545</v>
      </c>
      <c r="G274" s="27" t="s">
        <v>16546</v>
      </c>
      <c r="H274" s="27" t="s">
        <v>16782</v>
      </c>
      <c r="I274" s="27"/>
      <c r="J274" s="27"/>
      <c r="K274" s="27"/>
      <c r="L274" s="27"/>
      <c r="N274" s="27"/>
      <c r="T274" s="28" t="str">
        <f>LOOKUP(1,1/(Table1[[#This Row],[Level_0]:[Level 15]]&gt;0),(Table1[[#This Row],[Level_0]:[Level 15]]))</f>
        <v>3125006000 - [Cust Proj (WBS Rel) - CashDisc - CorrAcc]</v>
      </c>
      <c r="U274" s="22">
        <v>269</v>
      </c>
      <c r="W274" s="13" t="str">
        <f>LOOKUP(1,1/(Table1[[#This Row],[Level_0]:[Level 15]]&gt;0),(Table1[[#This Row],[Level_0]:[Level 15]]))</f>
        <v>3125006000 - [Cust Proj (WBS Rel) - CashDisc - CorrAcc]</v>
      </c>
    </row>
    <row r="275" spans="1:23" hidden="1" x14ac:dyDescent="0.25">
      <c r="A275">
        <v>3125000000</v>
      </c>
      <c r="B275" s="16" t="s">
        <v>19601</v>
      </c>
      <c r="C275" s="16" t="e">
        <f>VLOOKUP(Table1[[#This Row],[Node]],Parent!A:B,2,0)</f>
        <v>#N/A</v>
      </c>
      <c r="D275" s="25" t="s">
        <v>19346</v>
      </c>
      <c r="E275" s="26" t="s">
        <v>16544</v>
      </c>
      <c r="F275" s="27" t="s">
        <v>16545</v>
      </c>
      <c r="G275" s="27" t="s">
        <v>16546</v>
      </c>
      <c r="H275" s="27" t="s">
        <v>16783</v>
      </c>
      <c r="I275" s="27"/>
      <c r="J275" s="27"/>
      <c r="K275" s="27"/>
      <c r="L275" s="27"/>
      <c r="N275" s="27"/>
      <c r="T275" s="28" t="str">
        <f>LOOKUP(1,1/(Table1[[#This Row],[Level_0]:[Level 15]]&gt;0),(Table1[[#This Row],[Level_0]:[Level 15]]))</f>
        <v>3125000000 - [Cust Proj (WBS Rel) - CashDisc]</v>
      </c>
      <c r="U275" s="22">
        <v>270</v>
      </c>
      <c r="W275" s="13" t="str">
        <f>LOOKUP(1,1/(Table1[[#This Row],[Level_0]:[Level 15]]&gt;0),(Table1[[#This Row],[Level_0]:[Level 15]]))</f>
        <v>3125000000 - [Cust Proj (WBS Rel) - CashDisc]</v>
      </c>
    </row>
    <row r="276" spans="1:23" hidden="1" x14ac:dyDescent="0.25">
      <c r="A276">
        <v>3123006000</v>
      </c>
      <c r="B276" s="16" t="s">
        <v>19600</v>
      </c>
      <c r="C276" s="16" t="e">
        <f>VLOOKUP(Table1[[#This Row],[Node]],Parent!A:B,2,0)</f>
        <v>#N/A</v>
      </c>
      <c r="D276" s="25" t="s">
        <v>19346</v>
      </c>
      <c r="E276" s="26" t="s">
        <v>16544</v>
      </c>
      <c r="F276" s="27" t="s">
        <v>16545</v>
      </c>
      <c r="G276" s="27" t="s">
        <v>16546</v>
      </c>
      <c r="H276" s="27" t="s">
        <v>16784</v>
      </c>
      <c r="I276" s="27"/>
      <c r="J276" s="27"/>
      <c r="K276" s="27"/>
      <c r="L276" s="27"/>
      <c r="N276" s="27"/>
      <c r="T276" s="28" t="str">
        <f>LOOKUP(1,1/(Table1[[#This Row],[Level_0]:[Level 15]]&gt;0),(Table1[[#This Row],[Level_0]:[Level 15]]))</f>
        <v>3123006000 - [Service - Goods FOC - CorrAcc]</v>
      </c>
      <c r="U276" s="22">
        <v>271</v>
      </c>
      <c r="W276" s="13" t="str">
        <f>LOOKUP(1,1/(Table1[[#This Row],[Level_0]:[Level 15]]&gt;0),(Table1[[#This Row],[Level_0]:[Level 15]]))</f>
        <v>3123006000 - [Service - Goods FOC - CorrAcc]</v>
      </c>
    </row>
    <row r="277" spans="1:23" hidden="1" x14ac:dyDescent="0.25">
      <c r="A277">
        <v>3123000000</v>
      </c>
      <c r="B277" s="16" t="s">
        <v>19599</v>
      </c>
      <c r="C277" s="16" t="e">
        <f>VLOOKUP(Table1[[#This Row],[Node]],Parent!A:B,2,0)</f>
        <v>#N/A</v>
      </c>
      <c r="D277" s="25" t="s">
        <v>19346</v>
      </c>
      <c r="E277" s="26" t="s">
        <v>16544</v>
      </c>
      <c r="F277" s="27" t="s">
        <v>16545</v>
      </c>
      <c r="G277" s="27" t="s">
        <v>16546</v>
      </c>
      <c r="H277" s="27" t="s">
        <v>16785</v>
      </c>
      <c r="I277" s="27"/>
      <c r="J277" s="27"/>
      <c r="K277" s="27"/>
      <c r="L277" s="27"/>
      <c r="N277" s="27"/>
      <c r="T277" s="28" t="str">
        <f>LOOKUP(1,1/(Table1[[#This Row],[Level_0]:[Level 15]]&gt;0),(Table1[[#This Row],[Level_0]:[Level 15]]))</f>
        <v>3123000000 - [Service - Goods FOC]</v>
      </c>
      <c r="U277" s="22">
        <v>272</v>
      </c>
      <c r="W277" s="13" t="str">
        <f>LOOKUP(1,1/(Table1[[#This Row],[Level_0]:[Level 15]]&gt;0),(Table1[[#This Row],[Level_0]:[Level 15]]))</f>
        <v>3123000000 - [Service - Goods FOC]</v>
      </c>
    </row>
    <row r="278" spans="1:23" hidden="1" x14ac:dyDescent="0.25">
      <c r="A278">
        <v>3122006000</v>
      </c>
      <c r="B278" s="16" t="s">
        <v>19598</v>
      </c>
      <c r="C278" s="16" t="e">
        <f>VLOOKUP(Table1[[#This Row],[Node]],Parent!A:B,2,0)</f>
        <v>#N/A</v>
      </c>
      <c r="D278" s="25" t="s">
        <v>19346</v>
      </c>
      <c r="E278" s="26" t="s">
        <v>16544</v>
      </c>
      <c r="F278" s="27" t="s">
        <v>16545</v>
      </c>
      <c r="G278" s="27" t="s">
        <v>16546</v>
      </c>
      <c r="H278" s="27" t="s">
        <v>16786</v>
      </c>
      <c r="I278" s="27"/>
      <c r="J278" s="27"/>
      <c r="K278" s="27"/>
      <c r="L278" s="27"/>
      <c r="N278" s="27"/>
      <c r="T278" s="28" t="str">
        <f>LOOKUP(1,1/(Table1[[#This Row],[Level_0]:[Level 15]]&gt;0),(Table1[[#This Row],[Level_0]:[Level 15]]))</f>
        <v>3122006000 - [Service - Bonus - CorrAcc]</v>
      </c>
      <c r="U278" s="22">
        <v>273</v>
      </c>
      <c r="W278" s="13" t="str">
        <f>LOOKUP(1,1/(Table1[[#This Row],[Level_0]:[Level 15]]&gt;0),(Table1[[#This Row],[Level_0]:[Level 15]]))</f>
        <v>3122006000 - [Service - Bonus - CorrAcc]</v>
      </c>
    </row>
    <row r="279" spans="1:23" hidden="1" x14ac:dyDescent="0.25">
      <c r="A279">
        <v>3122000000</v>
      </c>
      <c r="B279" s="16" t="s">
        <v>19597</v>
      </c>
      <c r="C279" s="16" t="e">
        <f>VLOOKUP(Table1[[#This Row],[Node]],Parent!A:B,2,0)</f>
        <v>#N/A</v>
      </c>
      <c r="D279" s="25" t="s">
        <v>19346</v>
      </c>
      <c r="E279" s="26" t="s">
        <v>16544</v>
      </c>
      <c r="F279" s="27" t="s">
        <v>16545</v>
      </c>
      <c r="G279" s="27" t="s">
        <v>16546</v>
      </c>
      <c r="H279" s="27" t="s">
        <v>16787</v>
      </c>
      <c r="I279" s="27"/>
      <c r="J279" s="27"/>
      <c r="K279" s="27"/>
      <c r="L279" s="27"/>
      <c r="N279" s="27"/>
      <c r="T279" s="28" t="str">
        <f>LOOKUP(1,1/(Table1[[#This Row],[Level_0]:[Level 15]]&gt;0),(Table1[[#This Row],[Level_0]:[Level 15]]))</f>
        <v>3122000000 - [Service - Bonus]</v>
      </c>
      <c r="U279" s="22">
        <v>274</v>
      </c>
      <c r="W279" s="13" t="str">
        <f>LOOKUP(1,1/(Table1[[#This Row],[Level_0]:[Level 15]]&gt;0),(Table1[[#This Row],[Level_0]:[Level 15]]))</f>
        <v>3122000000 - [Service - Bonus]</v>
      </c>
    </row>
    <row r="280" spans="1:23" hidden="1" x14ac:dyDescent="0.25">
      <c r="A280">
        <v>3121006000</v>
      </c>
      <c r="B280" s="16" t="s">
        <v>19596</v>
      </c>
      <c r="C280" s="16" t="e">
        <f>VLOOKUP(Table1[[#This Row],[Node]],Parent!A:B,2,0)</f>
        <v>#N/A</v>
      </c>
      <c r="D280" s="25" t="s">
        <v>19346</v>
      </c>
      <c r="E280" s="26" t="s">
        <v>16544</v>
      </c>
      <c r="F280" s="27" t="s">
        <v>16545</v>
      </c>
      <c r="G280" s="27" t="s">
        <v>16546</v>
      </c>
      <c r="H280" s="27" t="s">
        <v>16788</v>
      </c>
      <c r="I280" s="27"/>
      <c r="J280" s="27"/>
      <c r="K280" s="27"/>
      <c r="L280" s="27"/>
      <c r="N280" s="27"/>
      <c r="T280" s="28" t="str">
        <f>LOOKUP(1,1/(Table1[[#This Row],[Level_0]:[Level 15]]&gt;0),(Table1[[#This Row],[Level_0]:[Level 15]]))</f>
        <v>3121006000 - [Service - Cash Discount - CorrAcc]</v>
      </c>
      <c r="U280" s="22">
        <v>275</v>
      </c>
      <c r="W280" s="13" t="str">
        <f>LOOKUP(1,1/(Table1[[#This Row],[Level_0]:[Level 15]]&gt;0),(Table1[[#This Row],[Level_0]:[Level 15]]))</f>
        <v>3121006000 - [Service - Cash Discount - CorrAcc]</v>
      </c>
    </row>
    <row r="281" spans="1:23" hidden="1" x14ac:dyDescent="0.25">
      <c r="A281">
        <v>3117000000</v>
      </c>
      <c r="B281" s="16" t="s">
        <v>19591</v>
      </c>
      <c r="C281" s="16" t="e">
        <f>VLOOKUP(Table1[[#This Row],[Node]],Parent!A:B,2,0)</f>
        <v>#N/A</v>
      </c>
      <c r="D281" s="25" t="s">
        <v>19346</v>
      </c>
      <c r="E281" s="26" t="s">
        <v>16544</v>
      </c>
      <c r="F281" s="27" t="s">
        <v>16545</v>
      </c>
      <c r="G281" s="27" t="s">
        <v>16546</v>
      </c>
      <c r="H281" s="27" t="s">
        <v>16789</v>
      </c>
      <c r="I281" s="27"/>
      <c r="J281" s="27"/>
      <c r="K281" s="27"/>
      <c r="L281" s="27"/>
      <c r="N281" s="27"/>
      <c r="T281" s="28" t="str">
        <f>LOOKUP(1,1/(Table1[[#This Row],[Level_0]:[Level 15]]&gt;0),(Table1[[#This Row],[Level_0]:[Level 15]]))</f>
        <v>3117000000 - [Merchan - Expected Chrb f.Pay f.Perf-Sch]</v>
      </c>
      <c r="U281" s="22">
        <v>276</v>
      </c>
      <c r="W281" s="13" t="str">
        <f>LOOKUP(1,1/(Table1[[#This Row],[Level_0]:[Level 15]]&gt;0),(Table1[[#This Row],[Level_0]:[Level 15]]))</f>
        <v>3117000000 - [Merchan - Expected Chrb f.Pay f.Perf-Sch]</v>
      </c>
    </row>
    <row r="282" spans="1:23" hidden="1" x14ac:dyDescent="0.25">
      <c r="A282">
        <v>3116000020</v>
      </c>
      <c r="B282" s="16" t="s">
        <v>19589</v>
      </c>
      <c r="C282" s="16" t="e">
        <f>VLOOKUP(Table1[[#This Row],[Node]],Parent!A:B,2,0)</f>
        <v>#N/A</v>
      </c>
      <c r="D282" s="25" t="s">
        <v>19346</v>
      </c>
      <c r="E282" s="26" t="s">
        <v>16544</v>
      </c>
      <c r="F282" s="27" t="s">
        <v>16545</v>
      </c>
      <c r="G282" s="27" t="s">
        <v>16546</v>
      </c>
      <c r="H282" s="27" t="s">
        <v>16790</v>
      </c>
      <c r="I282" s="27"/>
      <c r="J282" s="27"/>
      <c r="K282" s="27"/>
      <c r="L282" s="27"/>
      <c r="N282" s="27"/>
      <c r="T282" s="28" t="str">
        <f>LOOKUP(1,1/(Table1[[#This Row],[Level_0]:[Level 15]]&gt;0),(Table1[[#This Row],[Level_0]:[Level 15]]))</f>
        <v>3116000020 - [Merchan - Compulsory Levies - Account 20]</v>
      </c>
      <c r="U282" s="22">
        <v>277</v>
      </c>
      <c r="W282" s="13" t="str">
        <f>LOOKUP(1,1/(Table1[[#This Row],[Level_0]:[Level 15]]&gt;0),(Table1[[#This Row],[Level_0]:[Level 15]]))</f>
        <v>3116000020 - [Merchan - Compulsory Levies - Account 20]</v>
      </c>
    </row>
    <row r="283" spans="1:23" hidden="1" x14ac:dyDescent="0.25">
      <c r="A283">
        <v>3115100000</v>
      </c>
      <c r="B283" s="16" t="s">
        <v>19584</v>
      </c>
      <c r="C283" s="16" t="e">
        <f>VLOOKUP(Table1[[#This Row],[Node]],Parent!A:B,2,0)</f>
        <v>#N/A</v>
      </c>
      <c r="D283" s="25" t="s">
        <v>19346</v>
      </c>
      <c r="E283" s="26" t="s">
        <v>16544</v>
      </c>
      <c r="F283" s="27" t="s">
        <v>16545</v>
      </c>
      <c r="G283" s="27" t="s">
        <v>16546</v>
      </c>
      <c r="H283" s="27" t="s">
        <v>16791</v>
      </c>
      <c r="I283" s="27"/>
      <c r="J283" s="27"/>
      <c r="K283" s="27"/>
      <c r="L283" s="27"/>
      <c r="N283" s="27"/>
      <c r="T283" s="28" t="str">
        <f>LOOKUP(1,1/(Table1[[#This Row],[Level_0]:[Level 15]]&gt;0),(Table1[[#This Row],[Level_0]:[Level 15]]))</f>
        <v>3115100000 - [Merchan - Sales Returns - Buy Back]</v>
      </c>
      <c r="U283" s="22">
        <v>278</v>
      </c>
      <c r="W283" s="13" t="str">
        <f>LOOKUP(1,1/(Table1[[#This Row],[Level_0]:[Level 15]]&gt;0),(Table1[[#This Row],[Level_0]:[Level 15]]))</f>
        <v>3115100000 - [Merchan - Sales Returns - Buy Back]</v>
      </c>
    </row>
    <row r="284" spans="1:23" hidden="1" x14ac:dyDescent="0.25">
      <c r="A284">
        <v>3115000100</v>
      </c>
      <c r="B284" s="16" t="s">
        <v>19582</v>
      </c>
      <c r="C284" s="16" t="e">
        <f>VLOOKUP(Table1[[#This Row],[Node]],Parent!A:B,2,0)</f>
        <v>#N/A</v>
      </c>
      <c r="D284" s="25" t="s">
        <v>19346</v>
      </c>
      <c r="E284" s="26" t="s">
        <v>16544</v>
      </c>
      <c r="F284" s="27" t="s">
        <v>16545</v>
      </c>
      <c r="G284" s="27" t="s">
        <v>16546</v>
      </c>
      <c r="H284" s="27" t="s">
        <v>16792</v>
      </c>
      <c r="I284" s="27"/>
      <c r="J284" s="27"/>
      <c r="K284" s="27"/>
      <c r="L284" s="27"/>
      <c r="N284" s="27"/>
      <c r="T284" s="28" t="str">
        <f>LOOKUP(1,1/(Table1[[#This Row],[Level_0]:[Level 15]]&gt;0),(Table1[[#This Row],[Level_0]:[Level 15]]))</f>
        <v>3115000100 - [Merchan - Sales Returns - Export]</v>
      </c>
      <c r="U284" s="22">
        <v>279</v>
      </c>
      <c r="W284" s="13" t="str">
        <f>LOOKUP(1,1/(Table1[[#This Row],[Level_0]:[Level 15]]&gt;0),(Table1[[#This Row],[Level_0]:[Level 15]]))</f>
        <v>3115000100 - [Merchan - Sales Returns - Export]</v>
      </c>
    </row>
    <row r="285" spans="1:23" hidden="1" x14ac:dyDescent="0.25">
      <c r="A285">
        <v>3114006000</v>
      </c>
      <c r="B285" s="16" t="s">
        <v>19579</v>
      </c>
      <c r="C285" s="16" t="e">
        <f>VLOOKUP(Table1[[#This Row],[Node]],Parent!A:B,2,0)</f>
        <v>#N/A</v>
      </c>
      <c r="D285" s="25" t="s">
        <v>19346</v>
      </c>
      <c r="E285" s="26" t="s">
        <v>16544</v>
      </c>
      <c r="F285" s="27" t="s">
        <v>16545</v>
      </c>
      <c r="G285" s="27" t="s">
        <v>16546</v>
      </c>
      <c r="H285" s="27" t="s">
        <v>16793</v>
      </c>
      <c r="I285" s="27"/>
      <c r="J285" s="27"/>
      <c r="K285" s="27"/>
      <c r="L285" s="27"/>
      <c r="N285" s="27"/>
      <c r="T285" s="28" t="str">
        <f>LOOKUP(1,1/(Table1[[#This Row],[Level_0]:[Level 15]]&gt;0),(Table1[[#This Row],[Level_0]:[Level 15]]))</f>
        <v>3114006000 - [Merchan - Shelf Space Costs - CorrAcc]</v>
      </c>
      <c r="U285" s="22">
        <v>280</v>
      </c>
      <c r="W285" s="13" t="str">
        <f>LOOKUP(1,1/(Table1[[#This Row],[Level_0]:[Level 15]]&gt;0),(Table1[[#This Row],[Level_0]:[Level 15]]))</f>
        <v>3114006000 - [Merchan - Shelf Space Costs - CorrAcc]</v>
      </c>
    </row>
    <row r="286" spans="1:23" hidden="1" x14ac:dyDescent="0.25">
      <c r="A286">
        <v>3114000000</v>
      </c>
      <c r="B286" s="16" t="s">
        <v>19578</v>
      </c>
      <c r="C286" s="16" t="e">
        <f>VLOOKUP(Table1[[#This Row],[Node]],Parent!A:B,2,0)</f>
        <v>#N/A</v>
      </c>
      <c r="D286" s="25" t="s">
        <v>19346</v>
      </c>
      <c r="E286" s="26" t="s">
        <v>16544</v>
      </c>
      <c r="F286" s="27" t="s">
        <v>16545</v>
      </c>
      <c r="G286" s="27" t="s">
        <v>16546</v>
      </c>
      <c r="H286" s="27" t="s">
        <v>16794</v>
      </c>
      <c r="I286" s="27"/>
      <c r="J286" s="27"/>
      <c r="K286" s="27"/>
      <c r="L286" s="27"/>
      <c r="N286" s="27"/>
      <c r="T286" s="28" t="str">
        <f>LOOKUP(1,1/(Table1[[#This Row],[Level_0]:[Level 15]]&gt;0),(Table1[[#This Row],[Level_0]:[Level 15]]))</f>
        <v>3114000000 - [Merchan - Shelf Space Costs]</v>
      </c>
      <c r="U286" s="22">
        <v>281</v>
      </c>
      <c r="W286" s="13" t="str">
        <f>LOOKUP(1,1/(Table1[[#This Row],[Level_0]:[Level 15]]&gt;0),(Table1[[#This Row],[Level_0]:[Level 15]]))</f>
        <v>3114000000 - [Merchan - Shelf Space Costs]</v>
      </c>
    </row>
    <row r="287" spans="1:23" hidden="1" x14ac:dyDescent="0.25">
      <c r="A287">
        <v>3112000100</v>
      </c>
      <c r="B287" s="16" t="s">
        <v>19574</v>
      </c>
      <c r="C287" s="16" t="e">
        <f>VLOOKUP(Table1[[#This Row],[Node]],Parent!A:B,2,0)</f>
        <v>#N/A</v>
      </c>
      <c r="D287" s="25" t="s">
        <v>19346</v>
      </c>
      <c r="E287" s="26" t="s">
        <v>16544</v>
      </c>
      <c r="F287" s="27" t="s">
        <v>16545</v>
      </c>
      <c r="G287" s="27" t="s">
        <v>16546</v>
      </c>
      <c r="H287" s="27" t="s">
        <v>16795</v>
      </c>
      <c r="I287" s="27"/>
      <c r="J287" s="27"/>
      <c r="K287" s="27"/>
      <c r="L287" s="27"/>
      <c r="N287" s="27"/>
      <c r="T287" s="28" t="str">
        <f>LOOKUP(1,1/(Table1[[#This Row],[Level_0]:[Level 15]]&gt;0),(Table1[[#This Row],[Level_0]:[Level 15]]))</f>
        <v>3112000100 - [Merchan - Bonus - Export]</v>
      </c>
      <c r="U287" s="22">
        <v>282</v>
      </c>
      <c r="W287" s="13" t="str">
        <f>LOOKUP(1,1/(Table1[[#This Row],[Level_0]:[Level 15]]&gt;0),(Table1[[#This Row],[Level_0]:[Level 15]]))</f>
        <v>3112000100 - [Merchan - Bonus - Export]</v>
      </c>
    </row>
    <row r="288" spans="1:23" hidden="1" x14ac:dyDescent="0.25">
      <c r="A288">
        <v>3111010100</v>
      </c>
      <c r="B288" s="16" t="s">
        <v>19572</v>
      </c>
      <c r="C288" s="16" t="e">
        <f>VLOOKUP(Table1[[#This Row],[Node]],Parent!A:B,2,0)</f>
        <v>#N/A</v>
      </c>
      <c r="D288" s="25" t="s">
        <v>19346</v>
      </c>
      <c r="E288" s="26" t="s">
        <v>16544</v>
      </c>
      <c r="F288" s="27" t="s">
        <v>16545</v>
      </c>
      <c r="G288" s="27" t="s">
        <v>16546</v>
      </c>
      <c r="H288" s="27" t="s">
        <v>16796</v>
      </c>
      <c r="I288" s="27"/>
      <c r="J288" s="27"/>
      <c r="K288" s="27"/>
      <c r="L288" s="27"/>
      <c r="N288" s="27"/>
      <c r="T288" s="28" t="str">
        <f>LOOKUP(1,1/(Table1[[#This Row],[Level_0]:[Level 15]]&gt;0),(Table1[[#This Row],[Level_0]:[Level 15]]))</f>
        <v>3111010100 - [Merchan - Cash Discount - IC - Export]</v>
      </c>
      <c r="U288" s="22">
        <v>283</v>
      </c>
      <c r="W288" s="13" t="str">
        <f>LOOKUP(1,1/(Table1[[#This Row],[Level_0]:[Level 15]]&gt;0),(Table1[[#This Row],[Level_0]:[Level 15]]))</f>
        <v>3111010100 - [Merchan - Cash Discount - IC - Export]</v>
      </c>
    </row>
    <row r="289" spans="1:23" hidden="1" x14ac:dyDescent="0.25">
      <c r="A289">
        <v>3111010001</v>
      </c>
      <c r="B289" s="16" t="s">
        <v>19571</v>
      </c>
      <c r="C289" s="16" t="e">
        <f>VLOOKUP(Table1[[#This Row],[Node]],Parent!A:B,2,0)</f>
        <v>#N/A</v>
      </c>
      <c r="D289" s="25" t="s">
        <v>19346</v>
      </c>
      <c r="E289" s="26" t="s">
        <v>16544</v>
      </c>
      <c r="F289" s="27" t="s">
        <v>16545</v>
      </c>
      <c r="G289" s="27" t="s">
        <v>16546</v>
      </c>
      <c r="H289" s="27" t="s">
        <v>16797</v>
      </c>
      <c r="I289" s="27"/>
      <c r="J289" s="27"/>
      <c r="K289" s="27"/>
      <c r="L289" s="27"/>
      <c r="N289" s="27"/>
      <c r="T289" s="28" t="str">
        <f>LOOKUP(1,1/(Table1[[#This Row],[Level_0]:[Level 15]]&gt;0),(Table1[[#This Row],[Level_0]:[Level 15]]))</f>
        <v>3111010001 - [Merchan - Cash Discount - IC Export]</v>
      </c>
      <c r="U289" s="22">
        <v>284</v>
      </c>
      <c r="W289" s="13" t="str">
        <f>LOOKUP(1,1/(Table1[[#This Row],[Level_0]:[Level 15]]&gt;0),(Table1[[#This Row],[Level_0]:[Level 15]]))</f>
        <v>3111010001 - [Merchan - Cash Discount - IC Export]</v>
      </c>
    </row>
    <row r="290" spans="1:23" hidden="1" x14ac:dyDescent="0.25">
      <c r="A290">
        <v>3111000100</v>
      </c>
      <c r="B290" s="16" t="s">
        <v>19569</v>
      </c>
      <c r="C290" s="16" t="e">
        <f>VLOOKUP(Table1[[#This Row],[Node]],Parent!A:B,2,0)</f>
        <v>#N/A</v>
      </c>
      <c r="D290" s="25" t="s">
        <v>19346</v>
      </c>
      <c r="E290" s="26" t="s">
        <v>16544</v>
      </c>
      <c r="F290" s="27" t="s">
        <v>16545</v>
      </c>
      <c r="G290" s="27" t="s">
        <v>16546</v>
      </c>
      <c r="H290" s="27" t="s">
        <v>16798</v>
      </c>
      <c r="I290" s="27"/>
      <c r="J290" s="27"/>
      <c r="K290" s="27"/>
      <c r="L290" s="27"/>
      <c r="N290" s="27"/>
      <c r="T290" s="28" t="str">
        <f>LOOKUP(1,1/(Table1[[#This Row],[Level_0]:[Level 15]]&gt;0),(Table1[[#This Row],[Level_0]:[Level 15]]))</f>
        <v>3111000100 - [Merchan - Cash Discount - Export]</v>
      </c>
      <c r="U290" s="22">
        <v>285</v>
      </c>
      <c r="W290" s="13" t="str">
        <f>LOOKUP(1,1/(Table1[[#This Row],[Level_0]:[Level 15]]&gt;0),(Table1[[#This Row],[Level_0]:[Level 15]]))</f>
        <v>3111000100 - [Merchan - Cash Discount - Export]</v>
      </c>
    </row>
    <row r="291" spans="1:23" hidden="1" x14ac:dyDescent="0.25">
      <c r="A291">
        <v>3111000001</v>
      </c>
      <c r="B291" s="16" t="s">
        <v>19569</v>
      </c>
      <c r="C291" s="16" t="e">
        <f>VLOOKUP(Table1[[#This Row],[Node]],Parent!A:B,2,0)</f>
        <v>#N/A</v>
      </c>
      <c r="D291" s="25" t="s">
        <v>19346</v>
      </c>
      <c r="E291" s="26" t="s">
        <v>16544</v>
      </c>
      <c r="F291" s="27" t="s">
        <v>16545</v>
      </c>
      <c r="G291" s="27" t="s">
        <v>16546</v>
      </c>
      <c r="H291" s="27" t="s">
        <v>16799</v>
      </c>
      <c r="I291" s="27"/>
      <c r="J291" s="27"/>
      <c r="K291" s="27"/>
      <c r="L291" s="27"/>
      <c r="N291" s="27"/>
      <c r="T291" s="28" t="str">
        <f>LOOKUP(1,1/(Table1[[#This Row],[Level_0]:[Level 15]]&gt;0),(Table1[[#This Row],[Level_0]:[Level 15]]))</f>
        <v>3111000001 - [Merchan - Cash Discount - Export]</v>
      </c>
      <c r="U291" s="22">
        <v>286</v>
      </c>
      <c r="W291" s="13" t="str">
        <f>LOOKUP(1,1/(Table1[[#This Row],[Level_0]:[Level 15]]&gt;0),(Table1[[#This Row],[Level_0]:[Level 15]]))</f>
        <v>3111000001 - [Merchan - Cash Discount - Export]</v>
      </c>
    </row>
    <row r="292" spans="1:23" hidden="1" x14ac:dyDescent="0.25">
      <c r="A292">
        <v>3110000100</v>
      </c>
      <c r="B292" s="16" t="s">
        <v>19566</v>
      </c>
      <c r="C292" s="16" t="e">
        <f>VLOOKUP(Table1[[#This Row],[Node]],Parent!A:B,2,0)</f>
        <v>#N/A</v>
      </c>
      <c r="D292" s="25" t="s">
        <v>19346</v>
      </c>
      <c r="E292" s="26" t="s">
        <v>16544</v>
      </c>
      <c r="F292" s="27" t="s">
        <v>16545</v>
      </c>
      <c r="G292" s="27" t="s">
        <v>16546</v>
      </c>
      <c r="H292" s="27" t="s">
        <v>16800</v>
      </c>
      <c r="I292" s="27"/>
      <c r="J292" s="27"/>
      <c r="K292" s="27"/>
      <c r="L292" s="27"/>
      <c r="N292" s="27"/>
      <c r="T292" s="28" t="str">
        <f>LOOKUP(1,1/(Table1[[#This Row],[Level_0]:[Level 15]]&gt;0),(Table1[[#This Row],[Level_0]:[Level 15]]))</f>
        <v>3110000100 - [Merchan - Rebates - Export]</v>
      </c>
      <c r="U292" s="22">
        <v>287</v>
      </c>
      <c r="W292" s="13" t="str">
        <f>LOOKUP(1,1/(Table1[[#This Row],[Level_0]:[Level 15]]&gt;0),(Table1[[#This Row],[Level_0]:[Level 15]]))</f>
        <v>3110000100 - [Merchan - Rebates - Export]</v>
      </c>
    </row>
    <row r="293" spans="1:23" hidden="1" x14ac:dyDescent="0.25">
      <c r="A293">
        <v>3110000002</v>
      </c>
      <c r="B293" s="16" t="s">
        <v>19565</v>
      </c>
      <c r="C293" s="16" t="e">
        <f>VLOOKUP(Table1[[#This Row],[Node]],Parent!A:B,2,0)</f>
        <v>#N/A</v>
      </c>
      <c r="D293" s="25" t="s">
        <v>19346</v>
      </c>
      <c r="E293" s="26" t="s">
        <v>16544</v>
      </c>
      <c r="F293" s="27" t="s">
        <v>16545</v>
      </c>
      <c r="G293" s="27" t="s">
        <v>16546</v>
      </c>
      <c r="H293" s="27" t="s">
        <v>16801</v>
      </c>
      <c r="I293" s="27"/>
      <c r="J293" s="27"/>
      <c r="K293" s="27"/>
      <c r="L293" s="27"/>
      <c r="N293" s="27"/>
      <c r="T293" s="28" t="str">
        <f>LOOKUP(1,1/(Table1[[#This Row],[Level_0]:[Level 15]]&gt;0),(Table1[[#This Row],[Level_0]:[Level 15]]))</f>
        <v>3110000002 - [Merchan - Rebates - Account 2]</v>
      </c>
      <c r="U293" s="22">
        <v>288</v>
      </c>
      <c r="W293" s="13" t="str">
        <f>LOOKUP(1,1/(Table1[[#This Row],[Level_0]:[Level 15]]&gt;0),(Table1[[#This Row],[Level_0]:[Level 15]]))</f>
        <v>3110000002 - [Merchan - Rebates - Account 2]</v>
      </c>
    </row>
    <row r="294" spans="1:23" hidden="1" x14ac:dyDescent="0.25">
      <c r="A294">
        <v>3110000001</v>
      </c>
      <c r="B294" s="16" t="s">
        <v>19564</v>
      </c>
      <c r="C294" s="16" t="e">
        <f>VLOOKUP(Table1[[#This Row],[Node]],Parent!A:B,2,0)</f>
        <v>#N/A</v>
      </c>
      <c r="D294" s="25" t="s">
        <v>19346</v>
      </c>
      <c r="E294" s="26" t="s">
        <v>16544</v>
      </c>
      <c r="F294" s="27" t="s">
        <v>16545</v>
      </c>
      <c r="G294" s="27" t="s">
        <v>16546</v>
      </c>
      <c r="H294" s="27" t="s">
        <v>16802</v>
      </c>
      <c r="I294" s="27"/>
      <c r="J294" s="27"/>
      <c r="K294" s="27"/>
      <c r="L294" s="27"/>
      <c r="N294" s="27"/>
      <c r="T294" s="28" t="str">
        <f>LOOKUP(1,1/(Table1[[#This Row],[Level_0]:[Level 15]]&gt;0),(Table1[[#This Row],[Level_0]:[Level 15]]))</f>
        <v>3110000001 - [Merchan - Rebates - Account 1]</v>
      </c>
      <c r="U294" s="22">
        <v>289</v>
      </c>
      <c r="W294" s="13" t="str">
        <f>LOOKUP(1,1/(Table1[[#This Row],[Level_0]:[Level 15]]&gt;0),(Table1[[#This Row],[Level_0]:[Level 15]]))</f>
        <v>3110000001 - [Merchan - Rebates - Account 1]</v>
      </c>
    </row>
    <row r="295" spans="1:23" hidden="1" x14ac:dyDescent="0.25">
      <c r="A295">
        <v>3107000000</v>
      </c>
      <c r="B295" s="16" t="s">
        <v>19562</v>
      </c>
      <c r="C295" s="16" t="e">
        <f>VLOOKUP(Table1[[#This Row],[Node]],Parent!A:B,2,0)</f>
        <v>#N/A</v>
      </c>
      <c r="D295" s="25" t="s">
        <v>19346</v>
      </c>
      <c r="E295" s="26" t="s">
        <v>16544</v>
      </c>
      <c r="F295" s="27" t="s">
        <v>16545</v>
      </c>
      <c r="G295" s="27" t="s">
        <v>16546</v>
      </c>
      <c r="H295" s="27" t="s">
        <v>16803</v>
      </c>
      <c r="I295" s="27"/>
      <c r="J295" s="27"/>
      <c r="K295" s="27"/>
      <c r="L295" s="27"/>
      <c r="N295" s="27"/>
      <c r="T295" s="28" t="str">
        <f>LOOKUP(1,1/(Table1[[#This Row],[Level_0]:[Level 15]]&gt;0),(Table1[[#This Row],[Level_0]:[Level 15]]))</f>
        <v>3107000000 - [Goods - Expected Chrb f. Pay f. Perf-Sch]</v>
      </c>
      <c r="U295" s="22">
        <v>290</v>
      </c>
      <c r="W295" s="13" t="str">
        <f>LOOKUP(1,1/(Table1[[#This Row],[Level_0]:[Level 15]]&gt;0),(Table1[[#This Row],[Level_0]:[Level 15]]))</f>
        <v>3107000000 - [Goods - Expected Chrb f. Pay f. Perf-Sch]</v>
      </c>
    </row>
    <row r="296" spans="1:23" hidden="1" x14ac:dyDescent="0.25">
      <c r="A296">
        <v>3106000020</v>
      </c>
      <c r="B296" s="16" t="s">
        <v>19560</v>
      </c>
      <c r="C296" s="16" t="e">
        <f>VLOOKUP(Table1[[#This Row],[Node]],Parent!A:B,2,0)</f>
        <v>#N/A</v>
      </c>
      <c r="D296" s="25" t="s">
        <v>19346</v>
      </c>
      <c r="E296" s="26" t="s">
        <v>16544</v>
      </c>
      <c r="F296" s="27" t="s">
        <v>16545</v>
      </c>
      <c r="G296" s="27" t="s">
        <v>16546</v>
      </c>
      <c r="H296" s="27" t="s">
        <v>16804</v>
      </c>
      <c r="I296" s="27"/>
      <c r="J296" s="27"/>
      <c r="K296" s="27"/>
      <c r="L296" s="27"/>
      <c r="N296" s="27"/>
      <c r="T296" s="28" t="str">
        <f>LOOKUP(1,1/(Table1[[#This Row],[Level_0]:[Level 15]]&gt;0),(Table1[[#This Row],[Level_0]:[Level 15]]))</f>
        <v>3106000020 - [Goods - Compulsory Levies - Account 20]</v>
      </c>
      <c r="U296" s="22">
        <v>291</v>
      </c>
      <c r="W296" s="13" t="str">
        <f>LOOKUP(1,1/(Table1[[#This Row],[Level_0]:[Level 15]]&gt;0),(Table1[[#This Row],[Level_0]:[Level 15]]))</f>
        <v>3106000020 - [Goods - Compulsory Levies - Account 20]</v>
      </c>
    </row>
    <row r="297" spans="1:23" hidden="1" x14ac:dyDescent="0.25">
      <c r="A297">
        <v>3106000001</v>
      </c>
      <c r="B297" s="16" t="s">
        <v>19557</v>
      </c>
      <c r="C297" s="16" t="e">
        <f>VLOOKUP(Table1[[#This Row],[Node]],Parent!A:B,2,0)</f>
        <v>#N/A</v>
      </c>
      <c r="D297" s="25" t="s">
        <v>19346</v>
      </c>
      <c r="E297" s="26" t="s">
        <v>16544</v>
      </c>
      <c r="F297" s="27" t="s">
        <v>16545</v>
      </c>
      <c r="G297" s="27" t="s">
        <v>16546</v>
      </c>
      <c r="H297" s="27" t="s">
        <v>16805</v>
      </c>
      <c r="I297" s="27"/>
      <c r="J297" s="27"/>
      <c r="K297" s="27"/>
      <c r="L297" s="27"/>
      <c r="N297" s="27"/>
      <c r="T297" s="28" t="str">
        <f>LOOKUP(1,1/(Table1[[#This Row],[Level_0]:[Level 15]]&gt;0),(Table1[[#This Row],[Level_0]:[Level 15]]))</f>
        <v>3106000001 - [Goods - Compulsory Levies - Account 1]</v>
      </c>
      <c r="U297" s="22">
        <v>292</v>
      </c>
      <c r="W297" s="13" t="str">
        <f>LOOKUP(1,1/(Table1[[#This Row],[Level_0]:[Level 15]]&gt;0),(Table1[[#This Row],[Level_0]:[Level 15]]))</f>
        <v>3106000001 - [Goods - Compulsory Levies - Account 1]</v>
      </c>
    </row>
    <row r="298" spans="1:23" hidden="1" x14ac:dyDescent="0.25">
      <c r="A298">
        <v>3105100000</v>
      </c>
      <c r="B298" s="16" t="s">
        <v>19555</v>
      </c>
      <c r="C298" s="16" t="e">
        <f>VLOOKUP(Table1[[#This Row],[Node]],Parent!A:B,2,0)</f>
        <v>#N/A</v>
      </c>
      <c r="D298" s="25" t="s">
        <v>19346</v>
      </c>
      <c r="E298" s="26" t="s">
        <v>16544</v>
      </c>
      <c r="F298" s="27" t="s">
        <v>16545</v>
      </c>
      <c r="G298" s="27" t="s">
        <v>16546</v>
      </c>
      <c r="H298" s="27" t="s">
        <v>16806</v>
      </c>
      <c r="I298" s="27"/>
      <c r="J298" s="27"/>
      <c r="K298" s="27"/>
      <c r="L298" s="27"/>
      <c r="N298" s="27"/>
      <c r="T298" s="28" t="str">
        <f>LOOKUP(1,1/(Table1[[#This Row],[Level_0]:[Level 15]]&gt;0),(Table1[[#This Row],[Level_0]:[Level 15]]))</f>
        <v>3105100000 - [Goods - Sales Returns - Buy Back]</v>
      </c>
      <c r="U298" s="22">
        <v>293</v>
      </c>
      <c r="W298" s="13" t="str">
        <f>LOOKUP(1,1/(Table1[[#This Row],[Level_0]:[Level 15]]&gt;0),(Table1[[#This Row],[Level_0]:[Level 15]]))</f>
        <v>3105100000 - [Goods - Sales Returns - Buy Back]</v>
      </c>
    </row>
    <row r="299" spans="1:23" hidden="1" x14ac:dyDescent="0.25">
      <c r="A299">
        <v>3104006000</v>
      </c>
      <c r="B299" s="16" t="s">
        <v>19552</v>
      </c>
      <c r="C299" s="16" t="e">
        <f>VLOOKUP(Table1[[#This Row],[Node]],Parent!A:B,2,0)</f>
        <v>#N/A</v>
      </c>
      <c r="D299" s="25" t="s">
        <v>19346</v>
      </c>
      <c r="E299" s="26" t="s">
        <v>16544</v>
      </c>
      <c r="F299" s="27" t="s">
        <v>16545</v>
      </c>
      <c r="G299" s="27" t="s">
        <v>16546</v>
      </c>
      <c r="H299" s="27" t="s">
        <v>16807</v>
      </c>
      <c r="I299" s="27"/>
      <c r="J299" s="27"/>
      <c r="K299" s="27"/>
      <c r="L299" s="27"/>
      <c r="N299" s="27"/>
      <c r="T299" s="28" t="str">
        <f>LOOKUP(1,1/(Table1[[#This Row],[Level_0]:[Level 15]]&gt;0),(Table1[[#This Row],[Level_0]:[Level 15]]))</f>
        <v>3104006000 - [Goods - Shelf Space Costs - CorrAcc]</v>
      </c>
      <c r="U299" s="22">
        <v>294</v>
      </c>
      <c r="W299" s="13" t="str">
        <f>LOOKUP(1,1/(Table1[[#This Row],[Level_0]:[Level 15]]&gt;0),(Table1[[#This Row],[Level_0]:[Level 15]]))</f>
        <v>3104006000 - [Goods - Shelf Space Costs - CorrAcc]</v>
      </c>
    </row>
    <row r="300" spans="1:23" hidden="1" x14ac:dyDescent="0.25">
      <c r="A300">
        <v>3104000000</v>
      </c>
      <c r="B300" s="16" t="s">
        <v>19551</v>
      </c>
      <c r="C300" s="16" t="e">
        <f>VLOOKUP(Table1[[#This Row],[Node]],Parent!A:B,2,0)</f>
        <v>#N/A</v>
      </c>
      <c r="D300" s="25" t="s">
        <v>19346</v>
      </c>
      <c r="E300" s="26" t="s">
        <v>16544</v>
      </c>
      <c r="F300" s="27" t="s">
        <v>16545</v>
      </c>
      <c r="G300" s="27" t="s">
        <v>16546</v>
      </c>
      <c r="H300" s="27" t="s">
        <v>16808</v>
      </c>
      <c r="I300" s="27"/>
      <c r="J300" s="27"/>
      <c r="K300" s="27"/>
      <c r="L300" s="27"/>
      <c r="N300" s="27"/>
      <c r="T300" s="28" t="str">
        <f>LOOKUP(1,1/(Table1[[#This Row],[Level_0]:[Level 15]]&gt;0),(Table1[[#This Row],[Level_0]:[Level 15]]))</f>
        <v>3104000000 - [Goods - Shelf Space Costs]</v>
      </c>
      <c r="U300" s="22">
        <v>295</v>
      </c>
      <c r="W300" s="13" t="str">
        <f>LOOKUP(1,1/(Table1[[#This Row],[Level_0]:[Level 15]]&gt;0),(Table1[[#This Row],[Level_0]:[Level 15]]))</f>
        <v>3104000000 - [Goods - Shelf Space Costs]</v>
      </c>
    </row>
    <row r="301" spans="1:23" hidden="1" x14ac:dyDescent="0.25">
      <c r="A301">
        <v>3102000000</v>
      </c>
      <c r="B301" s="16" t="s">
        <v>19547</v>
      </c>
      <c r="C301" s="16" t="e">
        <f>VLOOKUP(Table1[[#This Row],[Node]],Parent!A:B,2,0)</f>
        <v>#N/A</v>
      </c>
      <c r="D301" s="25" t="s">
        <v>19346</v>
      </c>
      <c r="E301" s="26" t="s">
        <v>16544</v>
      </c>
      <c r="F301" s="27" t="s">
        <v>16545</v>
      </c>
      <c r="G301" s="27" t="s">
        <v>16546</v>
      </c>
      <c r="H301" s="27" t="s">
        <v>16809</v>
      </c>
      <c r="I301" s="27"/>
      <c r="J301" s="27"/>
      <c r="K301" s="27"/>
      <c r="L301" s="27"/>
      <c r="N301" s="27"/>
      <c r="T301" s="28" t="str">
        <f>LOOKUP(1,1/(Table1[[#This Row],[Level_0]:[Level 15]]&gt;0),(Table1[[#This Row],[Level_0]:[Level 15]]))</f>
        <v>3102000000 - [Goods - Bonus]</v>
      </c>
      <c r="U301" s="22">
        <v>296</v>
      </c>
      <c r="W301" s="13" t="str">
        <f>LOOKUP(1,1/(Table1[[#This Row],[Level_0]:[Level 15]]&gt;0),(Table1[[#This Row],[Level_0]:[Level 15]]))</f>
        <v>3102000000 - [Goods - Bonus]</v>
      </c>
    </row>
    <row r="302" spans="1:23" hidden="1" x14ac:dyDescent="0.25">
      <c r="A302">
        <v>3050000000</v>
      </c>
      <c r="B302" s="16" t="s">
        <v>19540</v>
      </c>
      <c r="C302" s="16" t="e">
        <f>VLOOKUP(Table1[[#This Row],[Node]],Parent!A:B,2,0)</f>
        <v>#N/A</v>
      </c>
      <c r="D302" s="25" t="s">
        <v>19346</v>
      </c>
      <c r="E302" s="26" t="s">
        <v>16544</v>
      </c>
      <c r="F302" s="27" t="s">
        <v>16545</v>
      </c>
      <c r="G302" s="27" t="s">
        <v>16546</v>
      </c>
      <c r="H302" s="27" t="s">
        <v>16810</v>
      </c>
      <c r="I302" s="27"/>
      <c r="J302" s="27"/>
      <c r="K302" s="27"/>
      <c r="L302" s="27"/>
      <c r="N302" s="27"/>
      <c r="T302" s="28" t="str">
        <f>LOOKUP(1,1/(Table1[[#This Row],[Level_0]:[Level 15]]&gt;0),(Table1[[#This Row],[Level_0]:[Level 15]]))</f>
        <v>3050000000 - [Sales Revenue - Licenses]</v>
      </c>
      <c r="U302" s="22">
        <v>297</v>
      </c>
      <c r="W302" s="13" t="str">
        <f>LOOKUP(1,1/(Table1[[#This Row],[Level_0]:[Level 15]]&gt;0),(Table1[[#This Row],[Level_0]:[Level 15]]))</f>
        <v>3050000000 - [Sales Revenue - Licenses]</v>
      </c>
    </row>
    <row r="303" spans="1:23" hidden="1" x14ac:dyDescent="0.25">
      <c r="A303">
        <v>3041000000</v>
      </c>
      <c r="B303" s="16" t="s">
        <v>19539</v>
      </c>
      <c r="C303" s="16" t="e">
        <f>VLOOKUP(Table1[[#This Row],[Node]],Parent!A:B,2,0)</f>
        <v>#N/A</v>
      </c>
      <c r="D303" s="25" t="s">
        <v>19346</v>
      </c>
      <c r="E303" s="26" t="s">
        <v>16544</v>
      </c>
      <c r="F303" s="27" t="s">
        <v>16545</v>
      </c>
      <c r="G303" s="27" t="s">
        <v>16546</v>
      </c>
      <c r="H303" s="27" t="s">
        <v>16811</v>
      </c>
      <c r="I303" s="27"/>
      <c r="J303" s="27"/>
      <c r="K303" s="27"/>
      <c r="L303" s="27"/>
      <c r="N303" s="27"/>
      <c r="T303" s="28" t="str">
        <f>LOOKUP(1,1/(Table1[[#This Row],[Level_0]:[Level 15]]&gt;0),(Table1[[#This Row],[Level_0]:[Level 15]]))</f>
        <v>3041000000 - [Not in use]</v>
      </c>
      <c r="U303" s="22">
        <v>298</v>
      </c>
      <c r="W303" s="13" t="str">
        <f>LOOKUP(1,1/(Table1[[#This Row],[Level_0]:[Level 15]]&gt;0),(Table1[[#This Row],[Level_0]:[Level 15]]))</f>
        <v>3041000000 - [Not in use]</v>
      </c>
    </row>
    <row r="304" spans="1:23" hidden="1" x14ac:dyDescent="0.25">
      <c r="A304">
        <v>3021000000</v>
      </c>
      <c r="B304" s="16" t="s">
        <v>19533</v>
      </c>
      <c r="C304" s="16" t="e">
        <f>VLOOKUP(Table1[[#This Row],[Node]],Parent!A:B,2,0)</f>
        <v>#N/A</v>
      </c>
      <c r="D304" s="25" t="s">
        <v>19346</v>
      </c>
      <c r="E304" s="26" t="s">
        <v>16544</v>
      </c>
      <c r="F304" s="27" t="s">
        <v>16545</v>
      </c>
      <c r="G304" s="27" t="s">
        <v>16546</v>
      </c>
      <c r="H304" s="27" t="s">
        <v>16812</v>
      </c>
      <c r="I304" s="27"/>
      <c r="J304" s="27"/>
      <c r="K304" s="27"/>
      <c r="L304" s="27"/>
      <c r="N304" s="27"/>
      <c r="T304" s="28" t="str">
        <f>LOOKUP(1,1/(Table1[[#This Row],[Level_0]:[Level 15]]&gt;0),(Table1[[#This Row],[Level_0]:[Level 15]]))</f>
        <v>3021000000 - [Sales Revenue - Customer Proj (WBS Rel)]</v>
      </c>
      <c r="U304" s="22">
        <v>299</v>
      </c>
      <c r="W304" s="13" t="str">
        <f>LOOKUP(1,1/(Table1[[#This Row],[Level_0]:[Level 15]]&gt;0),(Table1[[#This Row],[Level_0]:[Level 15]]))</f>
        <v>3021000000 - [Sales Revenue - Customer Proj (WBS Rel)]</v>
      </c>
    </row>
    <row r="305" spans="1:23" hidden="1" x14ac:dyDescent="0.25">
      <c r="A305">
        <v>3011000100</v>
      </c>
      <c r="B305" s="16" t="s">
        <v>19528</v>
      </c>
      <c r="C305" s="16" t="e">
        <f>VLOOKUP(Table1[[#This Row],[Node]],Parent!A:B,2,0)</f>
        <v>#N/A</v>
      </c>
      <c r="D305" s="25" t="s">
        <v>19346</v>
      </c>
      <c r="E305" s="26" t="s">
        <v>16544</v>
      </c>
      <c r="F305" s="27" t="s">
        <v>16545</v>
      </c>
      <c r="G305" s="27" t="s">
        <v>16546</v>
      </c>
      <c r="H305" s="27" t="s">
        <v>16813</v>
      </c>
      <c r="I305" s="27"/>
      <c r="J305" s="27"/>
      <c r="K305" s="27"/>
      <c r="L305" s="27"/>
      <c r="N305" s="27"/>
      <c r="T305" s="28" t="str">
        <f>LOOKUP(1,1/(Table1[[#This Row],[Level_0]:[Level 15]]&gt;0),(Table1[[#This Row],[Level_0]:[Level 15]]))</f>
        <v>3011000100 - [Sales Rev-Recog - Merchandise - Export]</v>
      </c>
      <c r="U305" s="22">
        <v>300</v>
      </c>
      <c r="W305" s="13" t="str">
        <f>LOOKUP(1,1/(Table1[[#This Row],[Level_0]:[Level 15]]&gt;0),(Table1[[#This Row],[Level_0]:[Level 15]]))</f>
        <v>3011000100 - [Sales Rev-Recog - Merchandise - Export]</v>
      </c>
    </row>
    <row r="306" spans="1:23" hidden="1" x14ac:dyDescent="0.25">
      <c r="A306">
        <v>3011000001</v>
      </c>
      <c r="B306" s="16" t="s">
        <v>19527</v>
      </c>
      <c r="C306" s="16" t="e">
        <f>VLOOKUP(Table1[[#This Row],[Node]],Parent!A:B,2,0)</f>
        <v>#N/A</v>
      </c>
      <c r="D306" s="25" t="s">
        <v>19346</v>
      </c>
      <c r="E306" s="26" t="s">
        <v>16544</v>
      </c>
      <c r="F306" s="27" t="s">
        <v>16545</v>
      </c>
      <c r="G306" s="27" t="s">
        <v>16546</v>
      </c>
      <c r="H306" s="27" t="s">
        <v>16814</v>
      </c>
      <c r="I306" s="27"/>
      <c r="J306" s="27"/>
      <c r="K306" s="27"/>
      <c r="L306" s="27"/>
      <c r="N306" s="27"/>
      <c r="T306" s="28" t="str">
        <f>LOOKUP(1,1/(Table1[[#This Row],[Level_0]:[Level 15]]&gt;0),(Table1[[#This Row],[Level_0]:[Level 15]]))</f>
        <v>3011000001 - [Sales Revenue Recognition - Merch Export]</v>
      </c>
      <c r="U306" s="22">
        <v>301</v>
      </c>
      <c r="W306" s="13" t="str">
        <f>LOOKUP(1,1/(Table1[[#This Row],[Level_0]:[Level 15]]&gt;0),(Table1[[#This Row],[Level_0]:[Level 15]]))</f>
        <v>3011000001 - [Sales Revenue Recognition - Merch Export]</v>
      </c>
    </row>
    <row r="307" spans="1:23" hidden="1" x14ac:dyDescent="0.25">
      <c r="A307">
        <v>3010300000</v>
      </c>
      <c r="B307" s="16" t="s">
        <v>19525</v>
      </c>
      <c r="C307" s="16" t="e">
        <f>VLOOKUP(Table1[[#This Row],[Node]],Parent!A:B,2,0)</f>
        <v>#N/A</v>
      </c>
      <c r="D307" s="25" t="s">
        <v>19346</v>
      </c>
      <c r="E307" s="26" t="s">
        <v>16544</v>
      </c>
      <c r="F307" s="27" t="s">
        <v>16545</v>
      </c>
      <c r="G307" s="27" t="s">
        <v>16546</v>
      </c>
      <c r="H307" s="27" t="s">
        <v>16815</v>
      </c>
      <c r="I307" s="27"/>
      <c r="J307" s="27"/>
      <c r="K307" s="27"/>
      <c r="L307" s="27"/>
      <c r="N307" s="27"/>
      <c r="T307" s="28" t="str">
        <f>LOOKUP(1,1/(Table1[[#This Row],[Level_0]:[Level 15]]&gt;0),(Table1[[#This Row],[Level_0]:[Level 15]]))</f>
        <v>3010300000 - [Sales Rev - Merch - Other Surcharge]</v>
      </c>
      <c r="U307" s="22">
        <v>302</v>
      </c>
      <c r="W307" s="13" t="str">
        <f>LOOKUP(1,1/(Table1[[#This Row],[Level_0]:[Level 15]]&gt;0),(Table1[[#This Row],[Level_0]:[Level 15]]))</f>
        <v>3010300000 - [Sales Rev - Merch - Other Surcharge]</v>
      </c>
    </row>
    <row r="308" spans="1:23" hidden="1" x14ac:dyDescent="0.25">
      <c r="A308">
        <v>3010200000</v>
      </c>
      <c r="B308" s="16" t="s">
        <v>19524</v>
      </c>
      <c r="C308" s="16" t="e">
        <f>VLOOKUP(Table1[[#This Row],[Node]],Parent!A:B,2,0)</f>
        <v>#N/A</v>
      </c>
      <c r="D308" s="25" t="s">
        <v>19346</v>
      </c>
      <c r="E308" s="26" t="s">
        <v>16544</v>
      </c>
      <c r="F308" s="27" t="s">
        <v>16545</v>
      </c>
      <c r="G308" s="27" t="s">
        <v>16546</v>
      </c>
      <c r="H308" s="27" t="s">
        <v>16816</v>
      </c>
      <c r="I308" s="27"/>
      <c r="J308" s="27"/>
      <c r="K308" s="27"/>
      <c r="L308" s="27"/>
      <c r="N308" s="27"/>
      <c r="T308" s="28" t="str">
        <f>LOOKUP(1,1/(Table1[[#This Row],[Level_0]:[Level 15]]&gt;0),(Table1[[#This Row],[Level_0]:[Level 15]]))</f>
        <v>3010200000 - [Sales Rev - Merch - Energy Surcharge]</v>
      </c>
      <c r="U308" s="22">
        <v>303</v>
      </c>
      <c r="W308" s="13" t="str">
        <f>LOOKUP(1,1/(Table1[[#This Row],[Level_0]:[Level 15]]&gt;0),(Table1[[#This Row],[Level_0]:[Level 15]]))</f>
        <v>3010200000 - [Sales Rev - Merch - Energy Surcharge]</v>
      </c>
    </row>
    <row r="309" spans="1:23" hidden="1" x14ac:dyDescent="0.25">
      <c r="A309">
        <v>3010100000</v>
      </c>
      <c r="B309" s="16" t="s">
        <v>19523</v>
      </c>
      <c r="C309" s="16" t="e">
        <f>VLOOKUP(Table1[[#This Row],[Node]],Parent!A:B,2,0)</f>
        <v>#N/A</v>
      </c>
      <c r="D309" s="25" t="s">
        <v>19346</v>
      </c>
      <c r="E309" s="26" t="s">
        <v>16544</v>
      </c>
      <c r="F309" s="27" t="s">
        <v>16545</v>
      </c>
      <c r="G309" s="27" t="s">
        <v>16546</v>
      </c>
      <c r="H309" s="27" t="s">
        <v>16817</v>
      </c>
      <c r="I309" s="27"/>
      <c r="J309" s="27"/>
      <c r="K309" s="27"/>
      <c r="L309" s="27"/>
      <c r="N309" s="27"/>
      <c r="T309" s="28" t="str">
        <f>LOOKUP(1,1/(Table1[[#This Row],[Level_0]:[Level 15]]&gt;0),(Table1[[#This Row],[Level_0]:[Level 15]]))</f>
        <v>3010100000 - [Sales Rev - Merch - Product Surcharge]</v>
      </c>
      <c r="U309" s="22">
        <v>304</v>
      </c>
      <c r="W309" s="13" t="str">
        <f>LOOKUP(1,1/(Table1[[#This Row],[Level_0]:[Level 15]]&gt;0),(Table1[[#This Row],[Level_0]:[Level 15]]))</f>
        <v>3010100000 - [Sales Rev - Merch - Product Surcharge]</v>
      </c>
    </row>
    <row r="310" spans="1:23" hidden="1" x14ac:dyDescent="0.25">
      <c r="A310">
        <v>3010010100</v>
      </c>
      <c r="B310" s="16" t="s">
        <v>19522</v>
      </c>
      <c r="C310" s="16" t="e">
        <f>VLOOKUP(Table1[[#This Row],[Node]],Parent!A:B,2,0)</f>
        <v>#N/A</v>
      </c>
      <c r="D310" s="25" t="s">
        <v>19346</v>
      </c>
      <c r="E310" s="26" t="s">
        <v>16544</v>
      </c>
      <c r="F310" s="27" t="s">
        <v>16545</v>
      </c>
      <c r="G310" s="27" t="s">
        <v>16546</v>
      </c>
      <c r="H310" s="27" t="s">
        <v>16818</v>
      </c>
      <c r="I310" s="27"/>
      <c r="J310" s="27"/>
      <c r="K310" s="27"/>
      <c r="L310" s="27"/>
      <c r="N310" s="27"/>
      <c r="T310" s="28" t="str">
        <f>LOOKUP(1,1/(Table1[[#This Row],[Level_0]:[Level 15]]&gt;0),(Table1[[#This Row],[Level_0]:[Level 15]]))</f>
        <v>3010010100 - [Sales Revenue - Merchandise-IC-Export]</v>
      </c>
      <c r="U310" s="22">
        <v>305</v>
      </c>
      <c r="W310" s="13" t="str">
        <f>LOOKUP(1,1/(Table1[[#This Row],[Level_0]:[Level 15]]&gt;0),(Table1[[#This Row],[Level_0]:[Level 15]]))</f>
        <v>3010010100 - [Sales Revenue - Merchandise-IC-Export]</v>
      </c>
    </row>
    <row r="311" spans="1:23" hidden="1" x14ac:dyDescent="0.25">
      <c r="A311">
        <v>3010010001</v>
      </c>
      <c r="B311" s="16" t="s">
        <v>19521</v>
      </c>
      <c r="C311" s="16" t="e">
        <f>VLOOKUP(Table1[[#This Row],[Node]],Parent!A:B,2,0)</f>
        <v>#N/A</v>
      </c>
      <c r="D311" s="25" t="s">
        <v>19346</v>
      </c>
      <c r="E311" s="26" t="s">
        <v>16544</v>
      </c>
      <c r="F311" s="27" t="s">
        <v>16545</v>
      </c>
      <c r="G311" s="27" t="s">
        <v>16546</v>
      </c>
      <c r="H311" s="27" t="s">
        <v>16819</v>
      </c>
      <c r="I311" s="27"/>
      <c r="J311" s="27"/>
      <c r="K311" s="27"/>
      <c r="L311" s="27"/>
      <c r="N311" s="27"/>
      <c r="T311" s="28" t="str">
        <f>LOOKUP(1,1/(Table1[[#This Row],[Level_0]:[Level 15]]&gt;0),(Table1[[#This Row],[Level_0]:[Level 15]]))</f>
        <v>3010010001 - [Sales Revenue - Merchandise - IC Export]</v>
      </c>
      <c r="U311" s="22">
        <v>306</v>
      </c>
      <c r="W311" s="13" t="str">
        <f>LOOKUP(1,1/(Table1[[#This Row],[Level_0]:[Level 15]]&gt;0),(Table1[[#This Row],[Level_0]:[Level 15]]))</f>
        <v>3010010001 - [Sales Revenue - Merchandise - IC Export]</v>
      </c>
    </row>
    <row r="312" spans="1:23" hidden="1" x14ac:dyDescent="0.25">
      <c r="A312">
        <v>3010010000</v>
      </c>
      <c r="B312" s="16" t="s">
        <v>19520</v>
      </c>
      <c r="C312" s="16" t="e">
        <f>VLOOKUP(Table1[[#This Row],[Node]],Parent!A:B,2,0)</f>
        <v>#N/A</v>
      </c>
      <c r="D312" s="25" t="s">
        <v>19346</v>
      </c>
      <c r="E312" s="26" t="s">
        <v>16544</v>
      </c>
      <c r="F312" s="27" t="s">
        <v>16545</v>
      </c>
      <c r="G312" s="27" t="s">
        <v>16546</v>
      </c>
      <c r="H312" s="27" t="s">
        <v>16820</v>
      </c>
      <c r="I312" s="27"/>
      <c r="J312" s="27"/>
      <c r="K312" s="27"/>
      <c r="L312" s="27"/>
      <c r="N312" s="27"/>
      <c r="T312" s="28" t="str">
        <f>LOOKUP(1,1/(Table1[[#This Row],[Level_0]:[Level 15]]&gt;0),(Table1[[#This Row],[Level_0]:[Level 15]]))</f>
        <v>3010010000 - [Sales Revenue - Merchandise-IC]</v>
      </c>
      <c r="U312" s="22">
        <v>307</v>
      </c>
      <c r="W312" s="13" t="str">
        <f>LOOKUP(1,1/(Table1[[#This Row],[Level_0]:[Level 15]]&gt;0),(Table1[[#This Row],[Level_0]:[Level 15]]))</f>
        <v>3010010000 - [Sales Revenue - Merchandise-IC]</v>
      </c>
    </row>
    <row r="313" spans="1:23" hidden="1" x14ac:dyDescent="0.25">
      <c r="A313">
        <v>3010000100</v>
      </c>
      <c r="B313" s="16" t="s">
        <v>19517</v>
      </c>
      <c r="C313" s="16" t="e">
        <f>VLOOKUP(Table1[[#This Row],[Node]],Parent!A:B,2,0)</f>
        <v>#N/A</v>
      </c>
      <c r="D313" s="25" t="s">
        <v>19346</v>
      </c>
      <c r="E313" s="26" t="s">
        <v>16544</v>
      </c>
      <c r="F313" s="27" t="s">
        <v>16545</v>
      </c>
      <c r="G313" s="27" t="s">
        <v>16546</v>
      </c>
      <c r="H313" s="27" t="s">
        <v>16821</v>
      </c>
      <c r="I313" s="27"/>
      <c r="J313" s="27"/>
      <c r="K313" s="27"/>
      <c r="L313" s="27"/>
      <c r="N313" s="27"/>
      <c r="T313" s="28" t="str">
        <f>LOOKUP(1,1/(Table1[[#This Row],[Level_0]:[Level 15]]&gt;0),(Table1[[#This Row],[Level_0]:[Level 15]]))</f>
        <v>3010000100 - [Sales Revenue - Merchandise - Export]</v>
      </c>
      <c r="U313" s="22">
        <v>308</v>
      </c>
      <c r="W313" s="13" t="str">
        <f>LOOKUP(1,1/(Table1[[#This Row],[Level_0]:[Level 15]]&gt;0),(Table1[[#This Row],[Level_0]:[Level 15]]))</f>
        <v>3010000100 - [Sales Revenue - Merchandise - Export]</v>
      </c>
    </row>
    <row r="314" spans="1:23" hidden="1" x14ac:dyDescent="0.25">
      <c r="A314">
        <v>3010000002</v>
      </c>
      <c r="B314" s="16" t="s">
        <v>19518</v>
      </c>
      <c r="C314" s="16" t="e">
        <f>VLOOKUP(Table1[[#This Row],[Node]],Parent!A:B,2,0)</f>
        <v>#N/A</v>
      </c>
      <c r="D314" s="25" t="s">
        <v>19346</v>
      </c>
      <c r="E314" s="26" t="s">
        <v>16544</v>
      </c>
      <c r="F314" s="27" t="s">
        <v>16545</v>
      </c>
      <c r="G314" s="27" t="s">
        <v>16546</v>
      </c>
      <c r="H314" s="27" t="s">
        <v>16822</v>
      </c>
      <c r="I314" s="27"/>
      <c r="J314" s="27"/>
      <c r="K314" s="27"/>
      <c r="L314" s="27"/>
      <c r="N314" s="27"/>
      <c r="T314" s="28" t="str">
        <f>LOOKUP(1,1/(Table1[[#This Row],[Level_0]:[Level 15]]&gt;0),(Table1[[#This Row],[Level_0]:[Level 15]]))</f>
        <v>3010000002 - [Sales Rev- Merchandise-By-Product Sales]</v>
      </c>
      <c r="U314" s="22">
        <v>309</v>
      </c>
      <c r="W314" s="13" t="str">
        <f>LOOKUP(1,1/(Table1[[#This Row],[Level_0]:[Level 15]]&gt;0),(Table1[[#This Row],[Level_0]:[Level 15]]))</f>
        <v>3010000002 - [Sales Rev- Merchandise-By-Product Sales]</v>
      </c>
    </row>
    <row r="315" spans="1:23" hidden="1" x14ac:dyDescent="0.25">
      <c r="A315">
        <v>3010000001</v>
      </c>
      <c r="B315" s="16" t="s">
        <v>19517</v>
      </c>
      <c r="C315" s="16" t="e">
        <f>VLOOKUP(Table1[[#This Row],[Node]],Parent!A:B,2,0)</f>
        <v>#N/A</v>
      </c>
      <c r="D315" s="25" t="s">
        <v>19346</v>
      </c>
      <c r="E315" s="26" t="s">
        <v>16544</v>
      </c>
      <c r="F315" s="27" t="s">
        <v>16545</v>
      </c>
      <c r="G315" s="27" t="s">
        <v>16546</v>
      </c>
      <c r="H315" s="27" t="s">
        <v>16823</v>
      </c>
      <c r="I315" s="27"/>
      <c r="J315" s="27"/>
      <c r="K315" s="27"/>
      <c r="L315" s="27"/>
      <c r="N315" s="27"/>
      <c r="T315" s="28" t="str">
        <f>LOOKUP(1,1/(Table1[[#This Row],[Level_0]:[Level 15]]&gt;0),(Table1[[#This Row],[Level_0]:[Level 15]]))</f>
        <v>3010000001 - [Sales Revenue - Merchandise - Export]</v>
      </c>
      <c r="U315" s="22">
        <v>310</v>
      </c>
      <c r="W315" s="13" t="str">
        <f>LOOKUP(1,1/(Table1[[#This Row],[Level_0]:[Level 15]]&gt;0),(Table1[[#This Row],[Level_0]:[Level 15]]))</f>
        <v>3010000001 - [Sales Revenue - Merchandise - Export]</v>
      </c>
    </row>
    <row r="316" spans="1:23" hidden="1" x14ac:dyDescent="0.25">
      <c r="A316">
        <v>3000300000</v>
      </c>
      <c r="B316" s="16" t="s">
        <v>19514</v>
      </c>
      <c r="C316" s="16" t="e">
        <f>VLOOKUP(Table1[[#This Row],[Node]],Parent!A:B,2,0)</f>
        <v>#N/A</v>
      </c>
      <c r="D316" s="25" t="s">
        <v>19346</v>
      </c>
      <c r="E316" s="26" t="s">
        <v>16544</v>
      </c>
      <c r="F316" s="27" t="s">
        <v>16545</v>
      </c>
      <c r="G316" s="27" t="s">
        <v>16546</v>
      </c>
      <c r="H316" s="27" t="s">
        <v>16824</v>
      </c>
      <c r="I316" s="27"/>
      <c r="J316" s="27"/>
      <c r="K316" s="27"/>
      <c r="L316" s="27"/>
      <c r="N316" s="27"/>
      <c r="T316" s="28" t="str">
        <f>LOOKUP(1,1/(Table1[[#This Row],[Level_0]:[Level 15]]&gt;0),(Table1[[#This Row],[Level_0]:[Level 15]]))</f>
        <v>3000300000 - [Sales Revenue Goods - Other Surcharge]</v>
      </c>
      <c r="U316" s="22">
        <v>311</v>
      </c>
      <c r="W316" s="13" t="str">
        <f>LOOKUP(1,1/(Table1[[#This Row],[Level_0]:[Level 15]]&gt;0),(Table1[[#This Row],[Level_0]:[Level 15]]))</f>
        <v>3000300000 - [Sales Revenue Goods - Other Surcharge]</v>
      </c>
    </row>
    <row r="317" spans="1:23" hidden="1" x14ac:dyDescent="0.25">
      <c r="A317">
        <v>3000200000</v>
      </c>
      <c r="B317" s="16" t="s">
        <v>19513</v>
      </c>
      <c r="C317" s="16" t="e">
        <f>VLOOKUP(Table1[[#This Row],[Node]],Parent!A:B,2,0)</f>
        <v>#N/A</v>
      </c>
      <c r="D317" s="25" t="s">
        <v>19346</v>
      </c>
      <c r="E317" s="26" t="s">
        <v>16544</v>
      </c>
      <c r="F317" s="27" t="s">
        <v>16545</v>
      </c>
      <c r="G317" s="27" t="s">
        <v>16546</v>
      </c>
      <c r="H317" s="27" t="s">
        <v>16825</v>
      </c>
      <c r="I317" s="27"/>
      <c r="J317" s="27"/>
      <c r="K317" s="27"/>
      <c r="L317" s="27"/>
      <c r="N317" s="27"/>
      <c r="T317" s="28" t="str">
        <f>LOOKUP(1,1/(Table1[[#This Row],[Level_0]:[Level 15]]&gt;0),(Table1[[#This Row],[Level_0]:[Level 15]]))</f>
        <v>3000200000 - [Sales Revenue Goods - Energy Surcharge]</v>
      </c>
      <c r="U317" s="22">
        <v>312</v>
      </c>
      <c r="W317" s="13" t="str">
        <f>LOOKUP(1,1/(Table1[[#This Row],[Level_0]:[Level 15]]&gt;0),(Table1[[#This Row],[Level_0]:[Level 15]]))</f>
        <v>3000200000 - [Sales Revenue Goods - Energy Surcharge]</v>
      </c>
    </row>
    <row r="318" spans="1:23" hidden="1" x14ac:dyDescent="0.25">
      <c r="A318">
        <v>3000000004</v>
      </c>
      <c r="B318" s="16" t="s">
        <v>19507</v>
      </c>
      <c r="C318" s="16" t="e">
        <f>VLOOKUP(Table1[[#This Row],[Node]],Parent!A:B,2,0)</f>
        <v>#N/A</v>
      </c>
      <c r="D318" s="25" t="s">
        <v>19346</v>
      </c>
      <c r="E318" s="26" t="s">
        <v>16544</v>
      </c>
      <c r="F318" s="27" t="s">
        <v>16545</v>
      </c>
      <c r="G318" s="27" t="s">
        <v>16546</v>
      </c>
      <c r="H318" s="27" t="s">
        <v>16826</v>
      </c>
      <c r="I318" s="27"/>
      <c r="J318" s="27"/>
      <c r="K318" s="27"/>
      <c r="L318" s="27"/>
      <c r="N318" s="27"/>
      <c r="T318" s="28" t="str">
        <f>LOOKUP(1,1/(Table1[[#This Row],[Level_0]:[Level 15]]&gt;0),(Table1[[#This Row],[Level_0]:[Level 15]]))</f>
        <v>3000000004 - [Sales Revenue - Goods]</v>
      </c>
      <c r="U318" s="22">
        <v>313</v>
      </c>
      <c r="W318" s="13" t="str">
        <f>LOOKUP(1,1/(Table1[[#This Row],[Level_0]:[Level 15]]&gt;0),(Table1[[#This Row],[Level_0]:[Level 15]]))</f>
        <v>3000000004 - [Sales Revenue - Goods]</v>
      </c>
    </row>
    <row r="319" spans="1:23" hidden="1" x14ac:dyDescent="0.25">
      <c r="A319">
        <v>1527000000</v>
      </c>
      <c r="B319" s="16" t="s">
        <v>19506</v>
      </c>
      <c r="C319" s="16" t="e">
        <f>VLOOKUP(Table1[[#This Row],[Node]],Parent!A:B,2,0)</f>
        <v>#N/A</v>
      </c>
      <c r="D319" s="25" t="s">
        <v>19346</v>
      </c>
      <c r="E319" s="26" t="s">
        <v>16544</v>
      </c>
      <c r="F319" s="27" t="s">
        <v>16545</v>
      </c>
      <c r="G319" s="27" t="s">
        <v>16546</v>
      </c>
      <c r="H319" s="27" t="s">
        <v>16827</v>
      </c>
      <c r="I319" s="27"/>
      <c r="J319" s="27"/>
      <c r="K319" s="27"/>
      <c r="L319" s="27"/>
      <c r="N319" s="27"/>
      <c r="T319" s="28" t="str">
        <f>LOOKUP(1,1/(Table1[[#This Row],[Level_0]:[Level 15]]&gt;0),(Table1[[#This Row],[Level_0]:[Level 15]]))</f>
        <v>1527000000 - [Cap Adv Payments for Tangible Assets]</v>
      </c>
      <c r="U319" s="22">
        <v>314</v>
      </c>
      <c r="W319" s="13" t="str">
        <f>LOOKUP(1,1/(Table1[[#This Row],[Level_0]:[Level 15]]&gt;0),(Table1[[#This Row],[Level_0]:[Level 15]]))</f>
        <v>1527000000 - [Cap Adv Payments for Tangible Assets]</v>
      </c>
    </row>
    <row r="320" spans="1:23" hidden="1" x14ac:dyDescent="0.25">
      <c r="A320">
        <v>1507100000</v>
      </c>
      <c r="B320" s="16" t="s">
        <v>19505</v>
      </c>
      <c r="C320" s="16" t="e">
        <f>VLOOKUP(Table1[[#This Row],[Node]],Parent!A:B,2,0)</f>
        <v>#N/A</v>
      </c>
      <c r="D320" s="25" t="s">
        <v>19346</v>
      </c>
      <c r="E320" s="26" t="s">
        <v>16544</v>
      </c>
      <c r="F320" s="27" t="s">
        <v>16545</v>
      </c>
      <c r="G320" s="27" t="s">
        <v>16546</v>
      </c>
      <c r="H320" s="27" t="s">
        <v>16828</v>
      </c>
      <c r="I320" s="27"/>
      <c r="J320" s="27"/>
      <c r="K320" s="27"/>
      <c r="L320" s="27"/>
      <c r="N320" s="27"/>
      <c r="T320" s="28" t="str">
        <f>LOOKUP(1,1/(Table1[[#This Row],[Level_0]:[Level 15]]&gt;0),(Table1[[#This Row],[Level_0]:[Level 15]]))</f>
        <v>1507100000 - [Capitalized Adv Payments for Intangibles]</v>
      </c>
      <c r="U320" s="22">
        <v>315</v>
      </c>
      <c r="W320" s="13" t="str">
        <f>LOOKUP(1,1/(Table1[[#This Row],[Level_0]:[Level 15]]&gt;0),(Table1[[#This Row],[Level_0]:[Level 15]]))</f>
        <v>1507100000 - [Capitalized Adv Payments for Intangibles]</v>
      </c>
    </row>
    <row r="321" spans="1:23" hidden="1" x14ac:dyDescent="0.25">
      <c r="A321">
        <v>1506100000</v>
      </c>
      <c r="B321" s="16" t="s">
        <v>19505</v>
      </c>
      <c r="C321" s="16" t="e">
        <f>VLOOKUP(Table1[[#This Row],[Node]],Parent!A:B,2,0)</f>
        <v>#N/A</v>
      </c>
      <c r="D321" s="25" t="s">
        <v>19346</v>
      </c>
      <c r="E321" s="26" t="s">
        <v>16544</v>
      </c>
      <c r="F321" s="27" t="s">
        <v>16545</v>
      </c>
      <c r="G321" s="27" t="s">
        <v>16546</v>
      </c>
      <c r="H321" s="27" t="s">
        <v>16829</v>
      </c>
      <c r="I321" s="27"/>
      <c r="J321" s="27"/>
      <c r="K321" s="27"/>
      <c r="L321" s="27"/>
      <c r="N321" s="27"/>
      <c r="T321" s="28" t="str">
        <f>LOOKUP(1,1/(Table1[[#This Row],[Level_0]:[Level 15]]&gt;0),(Table1[[#This Row],[Level_0]:[Level 15]]))</f>
        <v>1506100000 - [Capitalized Adv Payments for Intangibles]</v>
      </c>
      <c r="U321" s="22">
        <v>316</v>
      </c>
      <c r="W321" s="13" t="str">
        <f>LOOKUP(1,1/(Table1[[#This Row],[Level_0]:[Level 15]]&gt;0),(Table1[[#This Row],[Level_0]:[Level 15]]))</f>
        <v>1506100000 - [Capitalized Adv Payments for Intangibles]</v>
      </c>
    </row>
    <row r="322" spans="1:23" hidden="1" x14ac:dyDescent="0.25">
      <c r="A322">
        <v>250000</v>
      </c>
      <c r="B322" s="16" t="e">
        <v>#N/A</v>
      </c>
      <c r="C322" s="16" t="e">
        <f>VLOOKUP(Table1[[#This Row],[Node]],Parent!A:B,2,0)</f>
        <v>#N/A</v>
      </c>
      <c r="D322" s="25" t="s">
        <v>19346</v>
      </c>
      <c r="E322" s="26" t="s">
        <v>16544</v>
      </c>
      <c r="F322" s="27" t="s">
        <v>16830</v>
      </c>
      <c r="G322" s="27"/>
      <c r="H322" s="27"/>
      <c r="I322" s="27"/>
      <c r="J322" s="27"/>
      <c r="K322" s="27"/>
      <c r="L322" s="27"/>
      <c r="N322" s="27"/>
      <c r="T322" s="28" t="str">
        <f>LOOKUP(1,1/(Table1[[#This Row],[Level_0]:[Level 15]]&gt;0),(Table1[[#This Row],[Level_0]:[Level 15]]))</f>
        <v>250000 - []</v>
      </c>
      <c r="U322" s="22">
        <v>317</v>
      </c>
      <c r="W322" s="13" t="str">
        <f>LOOKUP(1,1/(Table1[[#This Row],[Level_0]:[Level 15]]&gt;0),(Table1[[#This Row],[Level_0]:[Level 15]]))</f>
        <v>250000 - []</v>
      </c>
    </row>
    <row r="323" spans="1:23" hidden="1" x14ac:dyDescent="0.25">
      <c r="A323">
        <v>250500</v>
      </c>
      <c r="B323" s="16" t="e">
        <v>#N/A</v>
      </c>
      <c r="C323" s="16" t="e">
        <f>VLOOKUP(Table1[[#This Row],[Node]],Parent!A:B,2,0)</f>
        <v>#N/A</v>
      </c>
      <c r="D323" s="25" t="s">
        <v>19346</v>
      </c>
      <c r="E323" s="26" t="s">
        <v>16544</v>
      </c>
      <c r="F323" s="27" t="s">
        <v>16830</v>
      </c>
      <c r="G323" s="27" t="s">
        <v>16831</v>
      </c>
      <c r="H323" s="27"/>
      <c r="I323" s="27"/>
      <c r="J323" s="27"/>
      <c r="K323" s="27"/>
      <c r="L323" s="27"/>
      <c r="N323" s="27"/>
      <c r="T323" s="28" t="str">
        <f>LOOKUP(1,1/(Table1[[#This Row],[Level_0]:[Level 15]]&gt;0),(Table1[[#This Row],[Level_0]:[Level 15]]))</f>
        <v>250500 - []</v>
      </c>
      <c r="U323" s="22">
        <v>318</v>
      </c>
      <c r="W323" s="13" t="str">
        <f>LOOKUP(1,1/(Table1[[#This Row],[Level_0]:[Level 15]]&gt;0),(Table1[[#This Row],[Level_0]:[Level 15]]))</f>
        <v>250500 - []</v>
      </c>
    </row>
    <row r="324" spans="1:23" hidden="1" x14ac:dyDescent="0.25">
      <c r="A324">
        <v>250502</v>
      </c>
      <c r="B324" s="16" t="e">
        <v>#N/A</v>
      </c>
      <c r="C324" s="16" t="e">
        <f>VLOOKUP(Table1[[#This Row],[Node]],Parent!A:B,2,0)</f>
        <v>#N/A</v>
      </c>
      <c r="D324" s="25" t="s">
        <v>19346</v>
      </c>
      <c r="E324" s="26" t="s">
        <v>16544</v>
      </c>
      <c r="F324" s="27" t="s">
        <v>16830</v>
      </c>
      <c r="G324" s="27" t="s">
        <v>16831</v>
      </c>
      <c r="H324" s="27" t="s">
        <v>16832</v>
      </c>
      <c r="I324" s="27"/>
      <c r="J324" s="27"/>
      <c r="K324" s="27"/>
      <c r="L324" s="27"/>
      <c r="N324" s="27"/>
      <c r="T324" s="28" t="str">
        <f>LOOKUP(1,1/(Table1[[#This Row],[Level_0]:[Level 15]]&gt;0),(Table1[[#This Row],[Level_0]:[Level 15]]))</f>
        <v>250502 - []</v>
      </c>
      <c r="U324" s="22">
        <v>319</v>
      </c>
      <c r="W324" s="13" t="str">
        <f>LOOKUP(1,1/(Table1[[#This Row],[Level_0]:[Level 15]]&gt;0),(Table1[[#This Row],[Level_0]:[Level 15]]))</f>
        <v>250502 - []</v>
      </c>
    </row>
    <row r="325" spans="1:23" hidden="1" x14ac:dyDescent="0.25">
      <c r="A325">
        <v>8470000000</v>
      </c>
      <c r="B325" s="16" t="s">
        <v>22034</v>
      </c>
      <c r="C325" s="16" t="e">
        <f>VLOOKUP(Table1[[#This Row],[Node]],Parent!A:B,2,0)</f>
        <v>#N/A</v>
      </c>
      <c r="D325" s="25" t="s">
        <v>19346</v>
      </c>
      <c r="E325" s="26" t="s">
        <v>16544</v>
      </c>
      <c r="F325" s="27" t="s">
        <v>16830</v>
      </c>
      <c r="G325" s="27" t="s">
        <v>16831</v>
      </c>
      <c r="H325" s="27" t="s">
        <v>16832</v>
      </c>
      <c r="I325" s="27" t="s">
        <v>16833</v>
      </c>
      <c r="J325" s="27"/>
      <c r="K325" s="27"/>
      <c r="L325" s="27"/>
      <c r="N325" s="27"/>
      <c r="T325" s="28" t="str">
        <f>LOOKUP(1,1/(Table1[[#This Row],[Level_0]:[Level 15]]&gt;0),(Table1[[#This Row],[Level_0]:[Level 15]]))</f>
        <v>8470000000 - [Capit Borrowing Costs - Qualified Assets]</v>
      </c>
      <c r="U325" s="22">
        <v>320</v>
      </c>
      <c r="W325" s="13" t="str">
        <f>LOOKUP(1,1/(Table1[[#This Row],[Level_0]:[Level 15]]&gt;0),(Table1[[#This Row],[Level_0]:[Level 15]]))</f>
        <v>8470000000 - [Capit Borrowing Costs - Qualified Assets]</v>
      </c>
    </row>
    <row r="326" spans="1:23" hidden="1" x14ac:dyDescent="0.25">
      <c r="A326">
        <v>7831108000</v>
      </c>
      <c r="B326" s="16" t="s">
        <v>21921</v>
      </c>
      <c r="C326" s="16" t="e">
        <f>VLOOKUP(Table1[[#This Row],[Node]],Parent!A:B,2,0)</f>
        <v>#N/A</v>
      </c>
      <c r="D326" s="25" t="s">
        <v>19346</v>
      </c>
      <c r="E326" s="26" t="s">
        <v>16544</v>
      </c>
      <c r="F326" s="27" t="s">
        <v>16830</v>
      </c>
      <c r="G326" s="27" t="s">
        <v>16831</v>
      </c>
      <c r="H326" s="27" t="s">
        <v>16832</v>
      </c>
      <c r="I326" s="27" t="s">
        <v>16834</v>
      </c>
      <c r="J326" s="27"/>
      <c r="K326" s="27"/>
      <c r="L326" s="27"/>
      <c r="N326" s="27"/>
      <c r="T326" s="28" t="str">
        <f>LOOKUP(1,1/(Table1[[#This Row],[Level_0]:[Level 15]]&gt;0),(Table1[[#This Row],[Level_0]:[Level 15]]))</f>
        <v>7831108000 - [APA Cap.Borrowing Cost-Qualified Assets]</v>
      </c>
      <c r="U326" s="22">
        <v>321</v>
      </c>
      <c r="W326" s="13" t="str">
        <f>LOOKUP(1,1/(Table1[[#This Row],[Level_0]:[Level 15]]&gt;0),(Table1[[#This Row],[Level_0]:[Level 15]]))</f>
        <v>7831108000 - [APA Cap.Borrowing Cost-Qualified Assets]</v>
      </c>
    </row>
    <row r="327" spans="1:23" hidden="1" x14ac:dyDescent="0.25">
      <c r="A327">
        <v>7350110034</v>
      </c>
      <c r="B327" s="16" t="s">
        <v>20975</v>
      </c>
      <c r="C327" s="16" t="e">
        <f>VLOOKUP(Table1[[#This Row],[Node]],Parent!A:B,2,0)</f>
        <v>#N/A</v>
      </c>
      <c r="D327" s="25" t="s">
        <v>19346</v>
      </c>
      <c r="E327" s="26" t="s">
        <v>16544</v>
      </c>
      <c r="F327" s="27" t="s">
        <v>16830</v>
      </c>
      <c r="G327" s="27" t="s">
        <v>16831</v>
      </c>
      <c r="H327" s="27" t="s">
        <v>16832</v>
      </c>
      <c r="I327" s="27" t="s">
        <v>16835</v>
      </c>
      <c r="J327" s="27"/>
      <c r="K327" s="27"/>
      <c r="L327" s="27"/>
      <c r="N327" s="27"/>
      <c r="T327" s="28" t="str">
        <f>LOOKUP(1,1/(Table1[[#This Row],[Level_0]:[Level 15]]&gt;0),(Table1[[#This Row],[Level_0]:[Level 15]]))</f>
        <v>7350110034 - [WIP IC (negative) Usage PRO ORD]</v>
      </c>
      <c r="U327" s="22">
        <v>322</v>
      </c>
      <c r="W327" s="13" t="str">
        <f>LOOKUP(1,1/(Table1[[#This Row],[Level_0]:[Level 15]]&gt;0),(Table1[[#This Row],[Level_0]:[Level 15]]))</f>
        <v>7350110034 - [WIP IC (negative) Usage PRO ORD]</v>
      </c>
    </row>
    <row r="328" spans="1:23" hidden="1" x14ac:dyDescent="0.25">
      <c r="A328">
        <v>7350110033</v>
      </c>
      <c r="B328" s="16" t="s">
        <v>20974</v>
      </c>
      <c r="C328" s="16" t="e">
        <f>VLOOKUP(Table1[[#This Row],[Node]],Parent!A:B,2,0)</f>
        <v>#N/A</v>
      </c>
      <c r="D328" s="25" t="s">
        <v>19346</v>
      </c>
      <c r="E328" s="26" t="s">
        <v>16544</v>
      </c>
      <c r="F328" s="27" t="s">
        <v>16830</v>
      </c>
      <c r="G328" s="27" t="s">
        <v>16831</v>
      </c>
      <c r="H328" s="27" t="s">
        <v>16832</v>
      </c>
      <c r="I328" s="27" t="s">
        <v>16836</v>
      </c>
      <c r="J328" s="27"/>
      <c r="K328" s="27"/>
      <c r="L328" s="27"/>
      <c r="N328" s="27"/>
      <c r="T328" s="28" t="str">
        <f>LOOKUP(1,1/(Table1[[#This Row],[Level_0]:[Level 15]]&gt;0),(Table1[[#This Row],[Level_0]:[Level 15]]))</f>
        <v>7350110033 - [WIP IC (positive) Usage PRO ORD]</v>
      </c>
      <c r="U328" s="22">
        <v>323</v>
      </c>
      <c r="W328" s="13" t="str">
        <f>LOOKUP(1,1/(Table1[[#This Row],[Level_0]:[Level 15]]&gt;0),(Table1[[#This Row],[Level_0]:[Level 15]]))</f>
        <v>7350110033 - [WIP IC (positive) Usage PRO ORD]</v>
      </c>
    </row>
    <row r="329" spans="1:23" hidden="1" x14ac:dyDescent="0.25">
      <c r="A329">
        <v>7350110032</v>
      </c>
      <c r="B329" s="16" t="s">
        <v>20973</v>
      </c>
      <c r="C329" s="16" t="e">
        <f>VLOOKUP(Table1[[#This Row],[Node]],Parent!A:B,2,0)</f>
        <v>#N/A</v>
      </c>
      <c r="D329" s="25" t="s">
        <v>19346</v>
      </c>
      <c r="E329" s="26" t="s">
        <v>16544</v>
      </c>
      <c r="F329" s="27" t="s">
        <v>16830</v>
      </c>
      <c r="G329" s="27" t="s">
        <v>16831</v>
      </c>
      <c r="H329" s="27" t="s">
        <v>16832</v>
      </c>
      <c r="I329" s="27" t="s">
        <v>16837</v>
      </c>
      <c r="J329" s="27"/>
      <c r="K329" s="27"/>
      <c r="L329" s="27"/>
      <c r="N329" s="27"/>
      <c r="T329" s="28" t="str">
        <f>LOOKUP(1,1/(Table1[[#This Row],[Level_0]:[Level 15]]&gt;0),(Table1[[#This Row],[Level_0]:[Level 15]]))</f>
        <v>7350110032 - [WIP 3P (negative) Usage PRO ORD]</v>
      </c>
      <c r="U329" s="22">
        <v>324</v>
      </c>
      <c r="W329" s="13" t="str">
        <f>LOOKUP(1,1/(Table1[[#This Row],[Level_0]:[Level 15]]&gt;0),(Table1[[#This Row],[Level_0]:[Level 15]]))</f>
        <v>7350110032 - [WIP 3P (negative) Usage PRO ORD]</v>
      </c>
    </row>
    <row r="330" spans="1:23" hidden="1" x14ac:dyDescent="0.25">
      <c r="A330">
        <v>7350110031</v>
      </c>
      <c r="B330" s="16" t="s">
        <v>20972</v>
      </c>
      <c r="C330" s="16" t="e">
        <f>VLOOKUP(Table1[[#This Row],[Node]],Parent!A:B,2,0)</f>
        <v>#N/A</v>
      </c>
      <c r="D330" s="25" t="s">
        <v>19346</v>
      </c>
      <c r="E330" s="26" t="s">
        <v>16544</v>
      </c>
      <c r="F330" s="27" t="s">
        <v>16830</v>
      </c>
      <c r="G330" s="27" t="s">
        <v>16831</v>
      </c>
      <c r="H330" s="27" t="s">
        <v>16832</v>
      </c>
      <c r="I330" s="27" t="s">
        <v>16838</v>
      </c>
      <c r="J330" s="27"/>
      <c r="K330" s="27"/>
      <c r="L330" s="27"/>
      <c r="N330" s="27"/>
      <c r="T330" s="28" t="str">
        <f>LOOKUP(1,1/(Table1[[#This Row],[Level_0]:[Level 15]]&gt;0),(Table1[[#This Row],[Level_0]:[Level 15]]))</f>
        <v>7350110031 - [WIP 3P (positive) Usage PRO ORD]</v>
      </c>
      <c r="U330" s="22">
        <v>325</v>
      </c>
      <c r="W330" s="13" t="str">
        <f>LOOKUP(1,1/(Table1[[#This Row],[Level_0]:[Level 15]]&gt;0),(Table1[[#This Row],[Level_0]:[Level 15]]))</f>
        <v>7350110031 - [WIP 3P (positive) Usage PRO ORD]</v>
      </c>
    </row>
    <row r="331" spans="1:23" hidden="1" x14ac:dyDescent="0.25">
      <c r="A331">
        <v>7350110030</v>
      </c>
      <c r="B331" s="16" t="s">
        <v>20971</v>
      </c>
      <c r="C331" s="16" t="e">
        <f>VLOOKUP(Table1[[#This Row],[Node]],Parent!A:B,2,0)</f>
        <v>#N/A</v>
      </c>
      <c r="D331" s="25" t="s">
        <v>19346</v>
      </c>
      <c r="E331" s="26" t="s">
        <v>16544</v>
      </c>
      <c r="F331" s="27" t="s">
        <v>16830</v>
      </c>
      <c r="G331" s="27" t="s">
        <v>16831</v>
      </c>
      <c r="H331" s="27" t="s">
        <v>16832</v>
      </c>
      <c r="I331" s="27" t="s">
        <v>16839</v>
      </c>
      <c r="J331" s="27"/>
      <c r="K331" s="27"/>
      <c r="L331" s="27"/>
      <c r="N331" s="27"/>
      <c r="T331" s="28" t="str">
        <f>LOOKUP(1,1/(Table1[[#This Row],[Level_0]:[Level 15]]&gt;0),(Table1[[#This Row],[Level_0]:[Level 15]]))</f>
        <v>7350110030 - [WIP IC (negative) Usage CS]</v>
      </c>
      <c r="U331" s="22">
        <v>326</v>
      </c>
      <c r="W331" s="13" t="str">
        <f>LOOKUP(1,1/(Table1[[#This Row],[Level_0]:[Level 15]]&gt;0),(Table1[[#This Row],[Level_0]:[Level 15]]))</f>
        <v>7350110030 - [WIP IC (negative) Usage CS]</v>
      </c>
    </row>
    <row r="332" spans="1:23" hidden="1" x14ac:dyDescent="0.25">
      <c r="A332">
        <v>7350110029</v>
      </c>
      <c r="B332" s="16" t="s">
        <v>20970</v>
      </c>
      <c r="C332" s="16" t="e">
        <f>VLOOKUP(Table1[[#This Row],[Node]],Parent!A:B,2,0)</f>
        <v>#N/A</v>
      </c>
      <c r="D332" s="25" t="s">
        <v>19346</v>
      </c>
      <c r="E332" s="26" t="s">
        <v>16544</v>
      </c>
      <c r="F332" s="27" t="s">
        <v>16830</v>
      </c>
      <c r="G332" s="27" t="s">
        <v>16831</v>
      </c>
      <c r="H332" s="27" t="s">
        <v>16832</v>
      </c>
      <c r="I332" s="27" t="s">
        <v>16840</v>
      </c>
      <c r="J332" s="27"/>
      <c r="K332" s="27"/>
      <c r="L332" s="27"/>
      <c r="N332" s="27"/>
      <c r="T332" s="28" t="str">
        <f>LOOKUP(1,1/(Table1[[#This Row],[Level_0]:[Level 15]]&gt;0),(Table1[[#This Row],[Level_0]:[Level 15]]))</f>
        <v>7350110029 - [WIP IC (positive) Usage CS]</v>
      </c>
      <c r="U332" s="22">
        <v>327</v>
      </c>
      <c r="W332" s="13" t="str">
        <f>LOOKUP(1,1/(Table1[[#This Row],[Level_0]:[Level 15]]&gt;0),(Table1[[#This Row],[Level_0]:[Level 15]]))</f>
        <v>7350110029 - [WIP IC (positive) Usage CS]</v>
      </c>
    </row>
    <row r="333" spans="1:23" hidden="1" x14ac:dyDescent="0.25">
      <c r="A333">
        <v>7350110028</v>
      </c>
      <c r="B333" s="16" t="s">
        <v>20969</v>
      </c>
      <c r="C333" s="16" t="e">
        <f>VLOOKUP(Table1[[#This Row],[Node]],Parent!A:B,2,0)</f>
        <v>#N/A</v>
      </c>
      <c r="D333" s="25" t="s">
        <v>19346</v>
      </c>
      <c r="E333" s="26" t="s">
        <v>16544</v>
      </c>
      <c r="F333" s="27" t="s">
        <v>16830</v>
      </c>
      <c r="G333" s="27" t="s">
        <v>16831</v>
      </c>
      <c r="H333" s="27" t="s">
        <v>16832</v>
      </c>
      <c r="I333" s="27" t="s">
        <v>16841</v>
      </c>
      <c r="J333" s="27"/>
      <c r="K333" s="27"/>
      <c r="L333" s="27"/>
      <c r="N333" s="27"/>
      <c r="T333" s="28" t="str">
        <f>LOOKUP(1,1/(Table1[[#This Row],[Level_0]:[Level 15]]&gt;0),(Table1[[#This Row],[Level_0]:[Level 15]]))</f>
        <v>7350110028 - [WIP IC (negative) Usage PS]</v>
      </c>
      <c r="U333" s="22">
        <v>328</v>
      </c>
      <c r="W333" s="13" t="str">
        <f>LOOKUP(1,1/(Table1[[#This Row],[Level_0]:[Level 15]]&gt;0),(Table1[[#This Row],[Level_0]:[Level 15]]))</f>
        <v>7350110028 - [WIP IC (negative) Usage PS]</v>
      </c>
    </row>
    <row r="334" spans="1:23" hidden="1" x14ac:dyDescent="0.25">
      <c r="A334">
        <v>7350110027</v>
      </c>
      <c r="B334" s="16" t="s">
        <v>20968</v>
      </c>
      <c r="C334" s="16" t="e">
        <f>VLOOKUP(Table1[[#This Row],[Node]],Parent!A:B,2,0)</f>
        <v>#N/A</v>
      </c>
      <c r="D334" s="25" t="s">
        <v>19346</v>
      </c>
      <c r="E334" s="26" t="s">
        <v>16544</v>
      </c>
      <c r="F334" s="27" t="s">
        <v>16830</v>
      </c>
      <c r="G334" s="27" t="s">
        <v>16831</v>
      </c>
      <c r="H334" s="27" t="s">
        <v>16832</v>
      </c>
      <c r="I334" s="27" t="s">
        <v>16842</v>
      </c>
      <c r="J334" s="27"/>
      <c r="K334" s="27"/>
      <c r="L334" s="27"/>
      <c r="N334" s="27"/>
      <c r="T334" s="28" t="str">
        <f>LOOKUP(1,1/(Table1[[#This Row],[Level_0]:[Level 15]]&gt;0),(Table1[[#This Row],[Level_0]:[Level 15]]))</f>
        <v>7350110027 - [WIP IC (positive) Usage PS]</v>
      </c>
      <c r="U334" s="22">
        <v>329</v>
      </c>
      <c r="W334" s="13" t="str">
        <f>LOOKUP(1,1/(Table1[[#This Row],[Level_0]:[Level 15]]&gt;0),(Table1[[#This Row],[Level_0]:[Level 15]]))</f>
        <v>7350110027 - [WIP IC (positive) Usage PS]</v>
      </c>
    </row>
    <row r="335" spans="1:23" hidden="1" x14ac:dyDescent="0.25">
      <c r="A335">
        <v>7350110026</v>
      </c>
      <c r="B335" s="16" t="s">
        <v>20967</v>
      </c>
      <c r="C335" s="16" t="e">
        <f>VLOOKUP(Table1[[#This Row],[Node]],Parent!A:B,2,0)</f>
        <v>#N/A</v>
      </c>
      <c r="D335" s="25" t="s">
        <v>19346</v>
      </c>
      <c r="E335" s="26" t="s">
        <v>16544</v>
      </c>
      <c r="F335" s="27" t="s">
        <v>16830</v>
      </c>
      <c r="G335" s="27" t="s">
        <v>16831</v>
      </c>
      <c r="H335" s="27" t="s">
        <v>16832</v>
      </c>
      <c r="I335" s="27" t="s">
        <v>16843</v>
      </c>
      <c r="J335" s="27"/>
      <c r="K335" s="27"/>
      <c r="L335" s="27"/>
      <c r="N335" s="27"/>
      <c r="T335" s="28" t="str">
        <f>LOOKUP(1,1/(Table1[[#This Row],[Level_0]:[Level 15]]&gt;0),(Table1[[#This Row],[Level_0]:[Level 15]]))</f>
        <v>7350110026 - [WIP 3P (negative) Usage CS]</v>
      </c>
      <c r="U335" s="22">
        <v>330</v>
      </c>
      <c r="W335" s="13" t="str">
        <f>LOOKUP(1,1/(Table1[[#This Row],[Level_0]:[Level 15]]&gt;0),(Table1[[#This Row],[Level_0]:[Level 15]]))</f>
        <v>7350110026 - [WIP 3P (negative) Usage CS]</v>
      </c>
    </row>
    <row r="336" spans="1:23" hidden="1" x14ac:dyDescent="0.25">
      <c r="A336">
        <v>7350110025</v>
      </c>
      <c r="B336" s="16" t="s">
        <v>20966</v>
      </c>
      <c r="C336" s="16" t="e">
        <f>VLOOKUP(Table1[[#This Row],[Node]],Parent!A:B,2,0)</f>
        <v>#N/A</v>
      </c>
      <c r="D336" s="25" t="s">
        <v>19346</v>
      </c>
      <c r="E336" s="26" t="s">
        <v>16544</v>
      </c>
      <c r="F336" s="27" t="s">
        <v>16830</v>
      </c>
      <c r="G336" s="27" t="s">
        <v>16831</v>
      </c>
      <c r="H336" s="27" t="s">
        <v>16832</v>
      </c>
      <c r="I336" s="27" t="s">
        <v>16844</v>
      </c>
      <c r="J336" s="27"/>
      <c r="K336" s="27"/>
      <c r="L336" s="27"/>
      <c r="N336" s="27"/>
      <c r="T336" s="28" t="str">
        <f>LOOKUP(1,1/(Table1[[#This Row],[Level_0]:[Level 15]]&gt;0),(Table1[[#This Row],[Level_0]:[Level 15]]))</f>
        <v>7350110025 - [WIP 3P (positive) Usage CS]</v>
      </c>
      <c r="U336" s="22">
        <v>331</v>
      </c>
      <c r="W336" s="13" t="str">
        <f>LOOKUP(1,1/(Table1[[#This Row],[Level_0]:[Level 15]]&gt;0),(Table1[[#This Row],[Level_0]:[Level 15]]))</f>
        <v>7350110025 - [WIP 3P (positive) Usage CS]</v>
      </c>
    </row>
    <row r="337" spans="1:23" hidden="1" x14ac:dyDescent="0.25">
      <c r="A337">
        <v>7350110024</v>
      </c>
      <c r="B337" s="16" t="s">
        <v>20965</v>
      </c>
      <c r="C337" s="16" t="e">
        <f>VLOOKUP(Table1[[#This Row],[Node]],Parent!A:B,2,0)</f>
        <v>#N/A</v>
      </c>
      <c r="D337" s="25" t="s">
        <v>19346</v>
      </c>
      <c r="E337" s="26" t="s">
        <v>16544</v>
      </c>
      <c r="F337" s="27" t="s">
        <v>16830</v>
      </c>
      <c r="G337" s="27" t="s">
        <v>16831</v>
      </c>
      <c r="H337" s="27" t="s">
        <v>16832</v>
      </c>
      <c r="I337" s="27" t="s">
        <v>16845</v>
      </c>
      <c r="J337" s="27"/>
      <c r="K337" s="27"/>
      <c r="L337" s="27"/>
      <c r="N337" s="27"/>
      <c r="T337" s="28" t="str">
        <f>LOOKUP(1,1/(Table1[[#This Row],[Level_0]:[Level 15]]&gt;0),(Table1[[#This Row],[Level_0]:[Level 15]]))</f>
        <v>7350110024 - [WIP 3P (negative) Usage PS]</v>
      </c>
      <c r="U337" s="22">
        <v>332</v>
      </c>
      <c r="W337" s="13" t="str">
        <f>LOOKUP(1,1/(Table1[[#This Row],[Level_0]:[Level 15]]&gt;0),(Table1[[#This Row],[Level_0]:[Level 15]]))</f>
        <v>7350110024 - [WIP 3P (negative) Usage PS]</v>
      </c>
    </row>
    <row r="338" spans="1:23" hidden="1" x14ac:dyDescent="0.25">
      <c r="A338">
        <v>7350110023</v>
      </c>
      <c r="B338" s="16" t="s">
        <v>20964</v>
      </c>
      <c r="C338" s="16" t="e">
        <f>VLOOKUP(Table1[[#This Row],[Node]],Parent!A:B,2,0)</f>
        <v>#N/A</v>
      </c>
      <c r="D338" s="25" t="s">
        <v>19346</v>
      </c>
      <c r="E338" s="26" t="s">
        <v>16544</v>
      </c>
      <c r="F338" s="27" t="s">
        <v>16830</v>
      </c>
      <c r="G338" s="27" t="s">
        <v>16831</v>
      </c>
      <c r="H338" s="27" t="s">
        <v>16832</v>
      </c>
      <c r="I338" s="27" t="s">
        <v>16846</v>
      </c>
      <c r="J338" s="27"/>
      <c r="K338" s="27"/>
      <c r="L338" s="27"/>
      <c r="N338" s="27"/>
      <c r="T338" s="28" t="str">
        <f>LOOKUP(1,1/(Table1[[#This Row],[Level_0]:[Level 15]]&gt;0),(Table1[[#This Row],[Level_0]:[Level 15]]))</f>
        <v>7350110023 - [WIP 3P (positive) Usage PS]</v>
      </c>
      <c r="U338" s="22">
        <v>333</v>
      </c>
      <c r="W338" s="13" t="str">
        <f>LOOKUP(1,1/(Table1[[#This Row],[Level_0]:[Level 15]]&gt;0),(Table1[[#This Row],[Level_0]:[Level 15]]))</f>
        <v>7350110023 - [WIP 3P (positive) Usage PS]</v>
      </c>
    </row>
    <row r="339" spans="1:23" hidden="1" x14ac:dyDescent="0.25">
      <c r="A339">
        <v>7350110022</v>
      </c>
      <c r="B339" s="16" t="s">
        <v>20963</v>
      </c>
      <c r="C339" s="16" t="e">
        <f>VLOOKUP(Table1[[#This Row],[Node]],Parent!A:B,2,0)</f>
        <v>#N/A</v>
      </c>
      <c r="D339" s="25" t="s">
        <v>19346</v>
      </c>
      <c r="E339" s="26" t="s">
        <v>16544</v>
      </c>
      <c r="F339" s="27" t="s">
        <v>16830</v>
      </c>
      <c r="G339" s="27" t="s">
        <v>16831</v>
      </c>
      <c r="H339" s="27" t="s">
        <v>16832</v>
      </c>
      <c r="I339" s="27" t="s">
        <v>16847</v>
      </c>
      <c r="J339" s="27"/>
      <c r="K339" s="27"/>
      <c r="L339" s="27"/>
      <c r="N339" s="27"/>
      <c r="T339" s="28" t="str">
        <f>LOOKUP(1,1/(Table1[[#This Row],[Level_0]:[Level 15]]&gt;0),(Table1[[#This Row],[Level_0]:[Level 15]]))</f>
        <v>7350110022 - [WIP PoC - CS Revenue RA]</v>
      </c>
      <c r="U339" s="22">
        <v>334</v>
      </c>
      <c r="W339" s="13" t="str">
        <f>LOOKUP(1,1/(Table1[[#This Row],[Level_0]:[Level 15]]&gt;0),(Table1[[#This Row],[Level_0]:[Level 15]]))</f>
        <v>7350110022 - [WIP PoC - CS Revenue RA]</v>
      </c>
    </row>
    <row r="340" spans="1:23" hidden="1" x14ac:dyDescent="0.25">
      <c r="A340">
        <v>7350110021</v>
      </c>
      <c r="B340" s="16" t="s">
        <v>20962</v>
      </c>
      <c r="C340" s="16" t="e">
        <f>VLOOKUP(Table1[[#This Row],[Node]],Parent!A:B,2,0)</f>
        <v>#N/A</v>
      </c>
      <c r="D340" s="25" t="s">
        <v>19346</v>
      </c>
      <c r="E340" s="26" t="s">
        <v>16544</v>
      </c>
      <c r="F340" s="27" t="s">
        <v>16830</v>
      </c>
      <c r="G340" s="27" t="s">
        <v>16831</v>
      </c>
      <c r="H340" s="27" t="s">
        <v>16832</v>
      </c>
      <c r="I340" s="27" t="s">
        <v>16848</v>
      </c>
      <c r="J340" s="27"/>
      <c r="K340" s="27"/>
      <c r="L340" s="27"/>
      <c r="N340" s="27"/>
      <c r="T340" s="28" t="str">
        <f>LOOKUP(1,1/(Table1[[#This Row],[Level_0]:[Level 15]]&gt;0),(Table1[[#This Row],[Level_0]:[Level 15]]))</f>
        <v>7350110021 - [WIP PoC - PS Revenue RA]</v>
      </c>
      <c r="U340" s="22">
        <v>335</v>
      </c>
      <c r="W340" s="13" t="str">
        <f>LOOKUP(1,1/(Table1[[#This Row],[Level_0]:[Level 15]]&gt;0),(Table1[[#This Row],[Level_0]:[Level 15]]))</f>
        <v>7350110021 - [WIP PoC - PS Revenue RA]</v>
      </c>
    </row>
    <row r="341" spans="1:23" hidden="1" x14ac:dyDescent="0.25">
      <c r="A341">
        <v>7350110020</v>
      </c>
      <c r="B341" s="16" t="s">
        <v>20961</v>
      </c>
      <c r="C341" s="16" t="e">
        <f>VLOOKUP(Table1[[#This Row],[Node]],Parent!A:B,2,0)</f>
        <v>#N/A</v>
      </c>
      <c r="D341" s="25" t="s">
        <v>19346</v>
      </c>
      <c r="E341" s="26" t="s">
        <v>16544</v>
      </c>
      <c r="F341" s="27" t="s">
        <v>16830</v>
      </c>
      <c r="G341" s="27" t="s">
        <v>16831</v>
      </c>
      <c r="H341" s="27" t="s">
        <v>16832</v>
      </c>
      <c r="I341" s="27" t="s">
        <v>16849</v>
      </c>
      <c r="J341" s="27"/>
      <c r="K341" s="27"/>
      <c r="L341" s="27"/>
      <c r="N341" s="27"/>
      <c r="T341" s="28" t="str">
        <f>LOOKUP(1,1/(Table1[[#This Row],[Level_0]:[Level 15]]&gt;0),(Table1[[#This Row],[Level_0]:[Level 15]]))</f>
        <v>7350110020 - [WIP - IC (negative) PS]</v>
      </c>
      <c r="U341" s="22">
        <v>336</v>
      </c>
      <c r="W341" s="13" t="str">
        <f>LOOKUP(1,1/(Table1[[#This Row],[Level_0]:[Level 15]]&gt;0),(Table1[[#This Row],[Level_0]:[Level 15]]))</f>
        <v>7350110020 - [WIP - IC (negative) PS]</v>
      </c>
    </row>
    <row r="342" spans="1:23" hidden="1" x14ac:dyDescent="0.25">
      <c r="A342">
        <v>7350110019</v>
      </c>
      <c r="B342" s="16" t="s">
        <v>20960</v>
      </c>
      <c r="C342" s="16" t="e">
        <f>VLOOKUP(Table1[[#This Row],[Node]],Parent!A:B,2,0)</f>
        <v>#N/A</v>
      </c>
      <c r="D342" s="25" t="s">
        <v>19346</v>
      </c>
      <c r="E342" s="26" t="s">
        <v>16544</v>
      </c>
      <c r="F342" s="27" t="s">
        <v>16830</v>
      </c>
      <c r="G342" s="27" t="s">
        <v>16831</v>
      </c>
      <c r="H342" s="27" t="s">
        <v>16832</v>
      </c>
      <c r="I342" s="27" t="s">
        <v>16850</v>
      </c>
      <c r="J342" s="27"/>
      <c r="K342" s="27"/>
      <c r="L342" s="27"/>
      <c r="N342" s="27"/>
      <c r="T342" s="28" t="str">
        <f>LOOKUP(1,1/(Table1[[#This Row],[Level_0]:[Level 15]]&gt;0),(Table1[[#This Row],[Level_0]:[Level 15]]))</f>
        <v>7350110019 - [WIP - IC (positive) PS]</v>
      </c>
      <c r="U342" s="22">
        <v>337</v>
      </c>
      <c r="W342" s="13" t="str">
        <f>LOOKUP(1,1/(Table1[[#This Row],[Level_0]:[Level 15]]&gt;0),(Table1[[#This Row],[Level_0]:[Level 15]]))</f>
        <v>7350110019 - [WIP - IC (positive) PS]</v>
      </c>
    </row>
    <row r="343" spans="1:23" hidden="1" x14ac:dyDescent="0.25">
      <c r="A343">
        <v>7350110018</v>
      </c>
      <c r="B343" s="16" t="s">
        <v>20959</v>
      </c>
      <c r="C343" s="16" t="e">
        <f>VLOOKUP(Table1[[#This Row],[Node]],Parent!A:B,2,0)</f>
        <v>#N/A</v>
      </c>
      <c r="D343" s="25" t="s">
        <v>19346</v>
      </c>
      <c r="E343" s="26" t="s">
        <v>16544</v>
      </c>
      <c r="F343" s="27" t="s">
        <v>16830</v>
      </c>
      <c r="G343" s="27" t="s">
        <v>16831</v>
      </c>
      <c r="H343" s="27" t="s">
        <v>16832</v>
      </c>
      <c r="I343" s="27" t="s">
        <v>16851</v>
      </c>
      <c r="J343" s="27"/>
      <c r="K343" s="27"/>
      <c r="L343" s="27"/>
      <c r="N343" s="27"/>
      <c r="T343" s="28" t="str">
        <f>LOOKUP(1,1/(Table1[[#This Row],[Level_0]:[Level 15]]&gt;0),(Table1[[#This Row],[Level_0]:[Level 15]]))</f>
        <v>7350110018 - [WIP - 3P (negative) PS]</v>
      </c>
      <c r="U343" s="22">
        <v>338</v>
      </c>
      <c r="W343" s="13" t="str">
        <f>LOOKUP(1,1/(Table1[[#This Row],[Level_0]:[Level 15]]&gt;0),(Table1[[#This Row],[Level_0]:[Level 15]]))</f>
        <v>7350110018 - [WIP - 3P (negative) PS]</v>
      </c>
    </row>
    <row r="344" spans="1:23" hidden="1" x14ac:dyDescent="0.25">
      <c r="A344">
        <v>7350110017</v>
      </c>
      <c r="B344" s="16" t="s">
        <v>20958</v>
      </c>
      <c r="C344" s="16" t="e">
        <f>VLOOKUP(Table1[[#This Row],[Node]],Parent!A:B,2,0)</f>
        <v>#N/A</v>
      </c>
      <c r="D344" s="25" t="s">
        <v>19346</v>
      </c>
      <c r="E344" s="26" t="s">
        <v>16544</v>
      </c>
      <c r="F344" s="27" t="s">
        <v>16830</v>
      </c>
      <c r="G344" s="27" t="s">
        <v>16831</v>
      </c>
      <c r="H344" s="27" t="s">
        <v>16832</v>
      </c>
      <c r="I344" s="27" t="s">
        <v>16852</v>
      </c>
      <c r="J344" s="27"/>
      <c r="K344" s="27"/>
      <c r="L344" s="27"/>
      <c r="N344" s="27"/>
      <c r="T344" s="28" t="str">
        <f>LOOKUP(1,1/(Table1[[#This Row],[Level_0]:[Level 15]]&gt;0),(Table1[[#This Row],[Level_0]:[Level 15]]))</f>
        <v>7350110017 - [WIP - 3P (positive) PS]</v>
      </c>
      <c r="U344" s="22">
        <v>339</v>
      </c>
      <c r="W344" s="13" t="str">
        <f>LOOKUP(1,1/(Table1[[#This Row],[Level_0]:[Level 15]]&gt;0),(Table1[[#This Row],[Level_0]:[Level 15]]))</f>
        <v>7350110017 - [WIP - 3P (positive) PS]</v>
      </c>
    </row>
    <row r="345" spans="1:23" hidden="1" x14ac:dyDescent="0.25">
      <c r="A345">
        <v>7350110016</v>
      </c>
      <c r="B345" s="16" t="s">
        <v>20957</v>
      </c>
      <c r="C345" s="16" t="e">
        <f>VLOOKUP(Table1[[#This Row],[Node]],Parent!A:B,2,0)</f>
        <v>#N/A</v>
      </c>
      <c r="D345" s="25" t="s">
        <v>19346</v>
      </c>
      <c r="E345" s="26" t="s">
        <v>16544</v>
      </c>
      <c r="F345" s="27" t="s">
        <v>16830</v>
      </c>
      <c r="G345" s="27" t="s">
        <v>16831</v>
      </c>
      <c r="H345" s="27" t="s">
        <v>16832</v>
      </c>
      <c r="I345" s="27" t="s">
        <v>16853</v>
      </c>
      <c r="J345" s="27"/>
      <c r="K345" s="27"/>
      <c r="L345" s="27"/>
      <c r="N345" s="27"/>
      <c r="T345" s="28" t="str">
        <f>LOOKUP(1,1/(Table1[[#This Row],[Level_0]:[Level 15]]&gt;0),(Table1[[#This Row],[Level_0]:[Level 15]]))</f>
        <v>7350110016 - [WIP - IC (negative) CS]</v>
      </c>
      <c r="U345" s="22">
        <v>340</v>
      </c>
      <c r="W345" s="13" t="str">
        <f>LOOKUP(1,1/(Table1[[#This Row],[Level_0]:[Level 15]]&gt;0),(Table1[[#This Row],[Level_0]:[Level 15]]))</f>
        <v>7350110016 - [WIP - IC (negative) CS]</v>
      </c>
    </row>
    <row r="346" spans="1:23" hidden="1" x14ac:dyDescent="0.25">
      <c r="A346">
        <v>7350110015</v>
      </c>
      <c r="B346" s="16" t="s">
        <v>20956</v>
      </c>
      <c r="C346" s="16" t="e">
        <f>VLOOKUP(Table1[[#This Row],[Node]],Parent!A:B,2,0)</f>
        <v>#N/A</v>
      </c>
      <c r="D346" s="25" t="s">
        <v>19346</v>
      </c>
      <c r="E346" s="26" t="s">
        <v>16544</v>
      </c>
      <c r="F346" s="27" t="s">
        <v>16830</v>
      </c>
      <c r="G346" s="27" t="s">
        <v>16831</v>
      </c>
      <c r="H346" s="27" t="s">
        <v>16832</v>
      </c>
      <c r="I346" s="27" t="s">
        <v>16854</v>
      </c>
      <c r="J346" s="27"/>
      <c r="K346" s="27"/>
      <c r="L346" s="27"/>
      <c r="N346" s="27"/>
      <c r="T346" s="28" t="str">
        <f>LOOKUP(1,1/(Table1[[#This Row],[Level_0]:[Level 15]]&gt;0),(Table1[[#This Row],[Level_0]:[Level 15]]))</f>
        <v>7350110015 - [WIP - IC (positive) CS]</v>
      </c>
      <c r="U346" s="22">
        <v>341</v>
      </c>
      <c r="W346" s="13" t="str">
        <f>LOOKUP(1,1/(Table1[[#This Row],[Level_0]:[Level 15]]&gt;0),(Table1[[#This Row],[Level_0]:[Level 15]]))</f>
        <v>7350110015 - [WIP - IC (positive) CS]</v>
      </c>
    </row>
    <row r="347" spans="1:23" hidden="1" x14ac:dyDescent="0.25">
      <c r="A347">
        <v>7350110014</v>
      </c>
      <c r="B347" s="16" t="s">
        <v>20955</v>
      </c>
      <c r="C347" s="16" t="e">
        <f>VLOOKUP(Table1[[#This Row],[Node]],Parent!A:B,2,0)</f>
        <v>#N/A</v>
      </c>
      <c r="D347" s="25" t="s">
        <v>19346</v>
      </c>
      <c r="E347" s="26" t="s">
        <v>16544</v>
      </c>
      <c r="F347" s="27" t="s">
        <v>16830</v>
      </c>
      <c r="G347" s="27" t="s">
        <v>16831</v>
      </c>
      <c r="H347" s="27" t="s">
        <v>16832</v>
      </c>
      <c r="I347" s="27" t="s">
        <v>16855</v>
      </c>
      <c r="J347" s="27"/>
      <c r="K347" s="27"/>
      <c r="L347" s="27"/>
      <c r="N347" s="27"/>
      <c r="T347" s="28" t="str">
        <f>LOOKUP(1,1/(Table1[[#This Row],[Level_0]:[Level 15]]&gt;0),(Table1[[#This Row],[Level_0]:[Level 15]]))</f>
        <v>7350110014 - [WIP - 3P (negative) CS]</v>
      </c>
      <c r="U347" s="22">
        <v>342</v>
      </c>
      <c r="W347" s="13" t="str">
        <f>LOOKUP(1,1/(Table1[[#This Row],[Level_0]:[Level 15]]&gt;0),(Table1[[#This Row],[Level_0]:[Level 15]]))</f>
        <v>7350110014 - [WIP - 3P (negative) CS]</v>
      </c>
    </row>
    <row r="348" spans="1:23" hidden="1" x14ac:dyDescent="0.25">
      <c r="A348">
        <v>7350110013</v>
      </c>
      <c r="B348" s="16" t="s">
        <v>20954</v>
      </c>
      <c r="C348" s="16" t="e">
        <f>VLOOKUP(Table1[[#This Row],[Node]],Parent!A:B,2,0)</f>
        <v>#N/A</v>
      </c>
      <c r="D348" s="25" t="s">
        <v>19346</v>
      </c>
      <c r="E348" s="26" t="s">
        <v>16544</v>
      </c>
      <c r="F348" s="27" t="s">
        <v>16830</v>
      </c>
      <c r="G348" s="27" t="s">
        <v>16831</v>
      </c>
      <c r="H348" s="27" t="s">
        <v>16832</v>
      </c>
      <c r="I348" s="27" t="s">
        <v>16856</v>
      </c>
      <c r="J348" s="27"/>
      <c r="K348" s="27"/>
      <c r="L348" s="27"/>
      <c r="N348" s="27"/>
      <c r="T348" s="28" t="str">
        <f>LOOKUP(1,1/(Table1[[#This Row],[Level_0]:[Level 15]]&gt;0),(Table1[[#This Row],[Level_0]:[Level 15]]))</f>
        <v>7350110013 - [WIP - 3P (positive) CS]</v>
      </c>
      <c r="U348" s="22">
        <v>343</v>
      </c>
      <c r="W348" s="13" t="str">
        <f>LOOKUP(1,1/(Table1[[#This Row],[Level_0]:[Level 15]]&gt;0),(Table1[[#This Row],[Level_0]:[Level 15]]))</f>
        <v>7350110013 - [WIP - 3P (positive) CS]</v>
      </c>
    </row>
    <row r="349" spans="1:23" hidden="1" x14ac:dyDescent="0.25">
      <c r="A349">
        <v>7350110012</v>
      </c>
      <c r="B349" s="16" t="s">
        <v>20953</v>
      </c>
      <c r="C349" s="16" t="e">
        <f>VLOOKUP(Table1[[#This Row],[Node]],Parent!A:B,2,0)</f>
        <v>#N/A</v>
      </c>
      <c r="D349" s="25" t="s">
        <v>19346</v>
      </c>
      <c r="E349" s="26" t="s">
        <v>16544</v>
      </c>
      <c r="F349" s="27" t="s">
        <v>16830</v>
      </c>
      <c r="G349" s="27" t="s">
        <v>16831</v>
      </c>
      <c r="H349" s="27" t="s">
        <v>16832</v>
      </c>
      <c r="I349" s="27" t="s">
        <v>16857</v>
      </c>
      <c r="J349" s="27"/>
      <c r="K349" s="27"/>
      <c r="L349" s="27"/>
      <c r="N349" s="27"/>
      <c r="T349" s="28" t="str">
        <f>LOOKUP(1,1/(Table1[[#This Row],[Level_0]:[Level 15]]&gt;0),(Table1[[#This Row],[Level_0]:[Level 15]]))</f>
        <v>7350110012 - [WIP - MAT (negative)]</v>
      </c>
      <c r="U349" s="22">
        <v>344</v>
      </c>
      <c r="W349" s="13" t="str">
        <f>LOOKUP(1,1/(Table1[[#This Row],[Level_0]:[Level 15]]&gt;0),(Table1[[#This Row],[Level_0]:[Level 15]]))</f>
        <v>7350110012 - [WIP - MAT (negative)]</v>
      </c>
    </row>
    <row r="350" spans="1:23" hidden="1" x14ac:dyDescent="0.25">
      <c r="A350">
        <v>7350110011</v>
      </c>
      <c r="B350" s="16" t="s">
        <v>20952</v>
      </c>
      <c r="C350" s="16" t="e">
        <f>VLOOKUP(Table1[[#This Row],[Node]],Parent!A:B,2,0)</f>
        <v>#N/A</v>
      </c>
      <c r="D350" s="25" t="s">
        <v>19346</v>
      </c>
      <c r="E350" s="26" t="s">
        <v>16544</v>
      </c>
      <c r="F350" s="27" t="s">
        <v>16830</v>
      </c>
      <c r="G350" s="27" t="s">
        <v>16831</v>
      </c>
      <c r="H350" s="27" t="s">
        <v>16832</v>
      </c>
      <c r="I350" s="27" t="s">
        <v>16858</v>
      </c>
      <c r="J350" s="27"/>
      <c r="K350" s="27"/>
      <c r="L350" s="27"/>
      <c r="N350" s="27"/>
      <c r="T350" s="28" t="str">
        <f>LOOKUP(1,1/(Table1[[#This Row],[Level_0]:[Level 15]]&gt;0),(Table1[[#This Row],[Level_0]:[Level 15]]))</f>
        <v>7350110011 - [WIP - MAT (positive)]</v>
      </c>
      <c r="U350" s="22">
        <v>345</v>
      </c>
      <c r="W350" s="13" t="str">
        <f>LOOKUP(1,1/(Table1[[#This Row],[Level_0]:[Level 15]]&gt;0),(Table1[[#This Row],[Level_0]:[Level 15]]))</f>
        <v>7350110011 - [WIP - MAT (positive)]</v>
      </c>
    </row>
    <row r="351" spans="1:23" hidden="1" x14ac:dyDescent="0.25">
      <c r="A351">
        <v>7350110010</v>
      </c>
      <c r="B351" s="16" t="s">
        <v>20951</v>
      </c>
      <c r="C351" s="16" t="e">
        <f>VLOOKUP(Table1[[#This Row],[Node]],Parent!A:B,2,0)</f>
        <v>#N/A</v>
      </c>
      <c r="D351" s="25" t="s">
        <v>19346</v>
      </c>
      <c r="E351" s="26" t="s">
        <v>16544</v>
      </c>
      <c r="F351" s="27" t="s">
        <v>16830</v>
      </c>
      <c r="G351" s="27" t="s">
        <v>16831</v>
      </c>
      <c r="H351" s="27" t="s">
        <v>16832</v>
      </c>
      <c r="I351" s="27" t="s">
        <v>16859</v>
      </c>
      <c r="J351" s="27"/>
      <c r="K351" s="27"/>
      <c r="L351" s="27"/>
      <c r="N351" s="27"/>
      <c r="T351" s="28" t="str">
        <f>LOOKUP(1,1/(Table1[[#This Row],[Level_0]:[Level 15]]&gt;0),(Table1[[#This Row],[Level_0]:[Level 15]]))</f>
        <v>7350110010 - [WIP - PKG (negative)]</v>
      </c>
      <c r="U351" s="22">
        <v>346</v>
      </c>
      <c r="W351" s="13" t="str">
        <f>LOOKUP(1,1/(Table1[[#This Row],[Level_0]:[Level 15]]&gt;0),(Table1[[#This Row],[Level_0]:[Level 15]]))</f>
        <v>7350110010 - [WIP - PKG (negative)]</v>
      </c>
    </row>
    <row r="352" spans="1:23" hidden="1" x14ac:dyDescent="0.25">
      <c r="A352">
        <v>7350110009</v>
      </c>
      <c r="B352" s="16" t="s">
        <v>20950</v>
      </c>
      <c r="C352" s="16" t="e">
        <f>VLOOKUP(Table1[[#This Row],[Node]],Parent!A:B,2,0)</f>
        <v>#N/A</v>
      </c>
      <c r="D352" s="25" t="s">
        <v>19346</v>
      </c>
      <c r="E352" s="26" t="s">
        <v>16544</v>
      </c>
      <c r="F352" s="27" t="s">
        <v>16830</v>
      </c>
      <c r="G352" s="27" t="s">
        <v>16831</v>
      </c>
      <c r="H352" s="27" t="s">
        <v>16832</v>
      </c>
      <c r="I352" s="27" t="s">
        <v>16860</v>
      </c>
      <c r="J352" s="27"/>
      <c r="K352" s="27"/>
      <c r="L352" s="27"/>
      <c r="N352" s="27"/>
      <c r="T352" s="28" t="str">
        <f>LOOKUP(1,1/(Table1[[#This Row],[Level_0]:[Level 15]]&gt;0),(Table1[[#This Row],[Level_0]:[Level 15]]))</f>
        <v>7350110009 - [WIP - PKG (positive)]</v>
      </c>
      <c r="U352" s="22">
        <v>347</v>
      </c>
      <c r="W352" s="13" t="str">
        <f>LOOKUP(1,1/(Table1[[#This Row],[Level_0]:[Level 15]]&gt;0),(Table1[[#This Row],[Level_0]:[Level 15]]))</f>
        <v>7350110009 - [WIP - PKG (positive)]</v>
      </c>
    </row>
    <row r="353" spans="1:23" hidden="1" x14ac:dyDescent="0.25">
      <c r="A353">
        <v>7350110008</v>
      </c>
      <c r="B353" s="16" t="s">
        <v>20949</v>
      </c>
      <c r="C353" s="16" t="e">
        <f>VLOOKUP(Table1[[#This Row],[Node]],Parent!A:B,2,0)</f>
        <v>#N/A</v>
      </c>
      <c r="D353" s="25" t="s">
        <v>19346</v>
      </c>
      <c r="E353" s="26" t="s">
        <v>16544</v>
      </c>
      <c r="F353" s="27" t="s">
        <v>16830</v>
      </c>
      <c r="G353" s="27" t="s">
        <v>16831</v>
      </c>
      <c r="H353" s="27" t="s">
        <v>16832</v>
      </c>
      <c r="I353" s="27" t="s">
        <v>16861</v>
      </c>
      <c r="J353" s="27"/>
      <c r="K353" s="27"/>
      <c r="L353" s="27"/>
      <c r="N353" s="27"/>
      <c r="T353" s="28" t="str">
        <f>LOOKUP(1,1/(Table1[[#This Row],[Level_0]:[Level 15]]&gt;0),(Table1[[#This Row],[Level_0]:[Level 15]]))</f>
        <v>7350110008 - [ICON WIP  (Non-Core)]</v>
      </c>
      <c r="U353" s="22">
        <v>348</v>
      </c>
      <c r="W353" s="13" t="str">
        <f>LOOKUP(1,1/(Table1[[#This Row],[Level_0]:[Level 15]]&gt;0),(Table1[[#This Row],[Level_0]:[Level 15]]))</f>
        <v>7350110008 - [ICON WIP  (Non-Core)]</v>
      </c>
    </row>
    <row r="354" spans="1:23" hidden="1" x14ac:dyDescent="0.25">
      <c r="A354">
        <v>7350110007</v>
      </c>
      <c r="B354" s="16" t="s">
        <v>20948</v>
      </c>
      <c r="C354" s="16" t="e">
        <f>VLOOKUP(Table1[[#This Row],[Node]],Parent!A:B,2,0)</f>
        <v>#N/A</v>
      </c>
      <c r="D354" s="25" t="s">
        <v>19346</v>
      </c>
      <c r="E354" s="26" t="s">
        <v>16544</v>
      </c>
      <c r="F354" s="27" t="s">
        <v>16830</v>
      </c>
      <c r="G354" s="27" t="s">
        <v>16831</v>
      </c>
      <c r="H354" s="27" t="s">
        <v>16832</v>
      </c>
      <c r="I354" s="27" t="s">
        <v>16862</v>
      </c>
      <c r="J354" s="27"/>
      <c r="K354" s="27"/>
      <c r="L354" s="27"/>
      <c r="N354" s="27"/>
      <c r="T354" s="28" t="str">
        <f>LOOKUP(1,1/(Table1[[#This Row],[Level_0]:[Level 15]]&gt;0),(Table1[[#This Row],[Level_0]:[Level 15]]))</f>
        <v>7350110007 - [WIP - 3P Service (positive)]</v>
      </c>
      <c r="U354" s="22">
        <v>349</v>
      </c>
      <c r="W354" s="13" t="str">
        <f>LOOKUP(1,1/(Table1[[#This Row],[Level_0]:[Level 15]]&gt;0),(Table1[[#This Row],[Level_0]:[Level 15]]))</f>
        <v>7350110007 - [WIP - 3P Service (positive)]</v>
      </c>
    </row>
    <row r="355" spans="1:23" hidden="1" x14ac:dyDescent="0.25">
      <c r="A355">
        <v>7350110006</v>
      </c>
      <c r="B355" s="16" t="s">
        <v>20947</v>
      </c>
      <c r="C355" s="16" t="e">
        <f>VLOOKUP(Table1[[#This Row],[Node]],Parent!A:B,2,0)</f>
        <v>#N/A</v>
      </c>
      <c r="D355" s="25" t="s">
        <v>19346</v>
      </c>
      <c r="E355" s="26" t="s">
        <v>16544</v>
      </c>
      <c r="F355" s="27" t="s">
        <v>16830</v>
      </c>
      <c r="G355" s="27" t="s">
        <v>16831</v>
      </c>
      <c r="H355" s="27" t="s">
        <v>16832</v>
      </c>
      <c r="I355" s="27" t="s">
        <v>16863</v>
      </c>
      <c r="J355" s="27"/>
      <c r="K355" s="27"/>
      <c r="L355" s="27"/>
      <c r="N355" s="27"/>
      <c r="T355" s="28" t="str">
        <f>LOOKUP(1,1/(Table1[[#This Row],[Level_0]:[Level 15]]&gt;0),(Table1[[#This Row],[Level_0]:[Level 15]]))</f>
        <v>7350110006 - [WIP - 3P Service (negative)]</v>
      </c>
      <c r="U355" s="22">
        <v>350</v>
      </c>
      <c r="W355" s="13" t="str">
        <f>LOOKUP(1,1/(Table1[[#This Row],[Level_0]:[Level 15]]&gt;0),(Table1[[#This Row],[Level_0]:[Level 15]]))</f>
        <v>7350110006 - [WIP - 3P Service (negative)]</v>
      </c>
    </row>
    <row r="356" spans="1:23" hidden="1" x14ac:dyDescent="0.25">
      <c r="A356">
        <v>7350110005</v>
      </c>
      <c r="B356" s="16" t="s">
        <v>20946</v>
      </c>
      <c r="C356" s="16" t="e">
        <f>VLOOKUP(Table1[[#This Row],[Node]],Parent!A:B,2,0)</f>
        <v>#N/A</v>
      </c>
      <c r="D356" s="25" t="s">
        <v>19346</v>
      </c>
      <c r="E356" s="26" t="s">
        <v>16544</v>
      </c>
      <c r="F356" s="27" t="s">
        <v>16830</v>
      </c>
      <c r="G356" s="27" t="s">
        <v>16831</v>
      </c>
      <c r="H356" s="27" t="s">
        <v>16832</v>
      </c>
      <c r="I356" s="27" t="s">
        <v>16864</v>
      </c>
      <c r="J356" s="27"/>
      <c r="K356" s="27"/>
      <c r="L356" s="27"/>
      <c r="N356" s="27"/>
      <c r="T356" s="28" t="str">
        <f>LOOKUP(1,1/(Table1[[#This Row],[Level_0]:[Level 15]]&gt;0),(Table1[[#This Row],[Level_0]:[Level 15]]))</f>
        <v>7350110005 - [WIP - IC (+positive) Process Orders]</v>
      </c>
      <c r="U356" s="22">
        <v>351</v>
      </c>
      <c r="W356" s="13" t="str">
        <f>LOOKUP(1,1/(Table1[[#This Row],[Level_0]:[Level 15]]&gt;0),(Table1[[#This Row],[Level_0]:[Level 15]]))</f>
        <v>7350110005 - [WIP - IC (+positive) Process Orders]</v>
      </c>
    </row>
    <row r="357" spans="1:23" hidden="1" x14ac:dyDescent="0.25">
      <c r="A357">
        <v>7350110004</v>
      </c>
      <c r="B357" s="16" t="s">
        <v>20945</v>
      </c>
      <c r="C357" s="16" t="e">
        <f>VLOOKUP(Table1[[#This Row],[Node]],Parent!A:B,2,0)</f>
        <v>#N/A</v>
      </c>
      <c r="D357" s="25" t="s">
        <v>19346</v>
      </c>
      <c r="E357" s="26" t="s">
        <v>16544</v>
      </c>
      <c r="F357" s="27" t="s">
        <v>16830</v>
      </c>
      <c r="G357" s="27" t="s">
        <v>16831</v>
      </c>
      <c r="H357" s="27" t="s">
        <v>16832</v>
      </c>
      <c r="I357" s="27" t="s">
        <v>16865</v>
      </c>
      <c r="J357" s="27"/>
      <c r="K357" s="27"/>
      <c r="L357" s="27"/>
      <c r="N357" s="27"/>
      <c r="T357" s="28" t="str">
        <f>LOOKUP(1,1/(Table1[[#This Row],[Level_0]:[Level 15]]&gt;0),(Table1[[#This Row],[Level_0]:[Level 15]]))</f>
        <v>7350110004 - [WIP - IC (negative) Process Orders]</v>
      </c>
      <c r="U357" s="22">
        <v>352</v>
      </c>
      <c r="W357" s="13" t="str">
        <f>LOOKUP(1,1/(Table1[[#This Row],[Level_0]:[Level 15]]&gt;0),(Table1[[#This Row],[Level_0]:[Level 15]]))</f>
        <v>7350110004 - [WIP - IC (negative) Process Orders]</v>
      </c>
    </row>
    <row r="358" spans="1:23" hidden="1" x14ac:dyDescent="0.25">
      <c r="A358">
        <v>7350110003</v>
      </c>
      <c r="B358" s="16" t="s">
        <v>20944</v>
      </c>
      <c r="C358" s="16" t="e">
        <f>VLOOKUP(Table1[[#This Row],[Node]],Parent!A:B,2,0)</f>
        <v>#N/A</v>
      </c>
      <c r="D358" s="25" t="s">
        <v>19346</v>
      </c>
      <c r="E358" s="26" t="s">
        <v>16544</v>
      </c>
      <c r="F358" s="27" t="s">
        <v>16830</v>
      </c>
      <c r="G358" s="27" t="s">
        <v>16831</v>
      </c>
      <c r="H358" s="27" t="s">
        <v>16832</v>
      </c>
      <c r="I358" s="27" t="s">
        <v>16866</v>
      </c>
      <c r="J358" s="27"/>
      <c r="K358" s="27"/>
      <c r="L358" s="27"/>
      <c r="N358" s="27"/>
      <c r="T358" s="28" t="str">
        <f>LOOKUP(1,1/(Table1[[#This Row],[Level_0]:[Level 15]]&gt;0),(Table1[[#This Row],[Level_0]:[Level 15]]))</f>
        <v>7350110003 - [WIP - 3P (positive) Process Orders]</v>
      </c>
      <c r="U358" s="22">
        <v>353</v>
      </c>
      <c r="W358" s="13" t="str">
        <f>LOOKUP(1,1/(Table1[[#This Row],[Level_0]:[Level 15]]&gt;0),(Table1[[#This Row],[Level_0]:[Level 15]]))</f>
        <v>7350110003 - [WIP - 3P (positive) Process Orders]</v>
      </c>
    </row>
    <row r="359" spans="1:23" hidden="1" x14ac:dyDescent="0.25">
      <c r="A359">
        <v>7350110002</v>
      </c>
      <c r="B359" s="16" t="s">
        <v>20943</v>
      </c>
      <c r="C359" s="16" t="e">
        <f>VLOOKUP(Table1[[#This Row],[Node]],Parent!A:B,2,0)</f>
        <v>#N/A</v>
      </c>
      <c r="D359" s="25" t="s">
        <v>19346</v>
      </c>
      <c r="E359" s="26" t="s">
        <v>16544</v>
      </c>
      <c r="F359" s="27" t="s">
        <v>16830</v>
      </c>
      <c r="G359" s="27" t="s">
        <v>16831</v>
      </c>
      <c r="H359" s="27" t="s">
        <v>16832</v>
      </c>
      <c r="I359" s="27" t="s">
        <v>16867</v>
      </c>
      <c r="J359" s="27"/>
      <c r="K359" s="27"/>
      <c r="L359" s="27"/>
      <c r="N359" s="27"/>
      <c r="T359" s="28" t="str">
        <f>LOOKUP(1,1/(Table1[[#This Row],[Level_0]:[Level 15]]&gt;0),(Table1[[#This Row],[Level_0]:[Level 15]]))</f>
        <v>7350110002 - [WIP - 3P (negative) Process Orders]</v>
      </c>
      <c r="U359" s="22">
        <v>354</v>
      </c>
      <c r="W359" s="13" t="str">
        <f>LOOKUP(1,1/(Table1[[#This Row],[Level_0]:[Level 15]]&gt;0),(Table1[[#This Row],[Level_0]:[Level 15]]))</f>
        <v>7350110002 - [WIP - 3P (negative) Process Orders]</v>
      </c>
    </row>
    <row r="360" spans="1:23" hidden="1" x14ac:dyDescent="0.25">
      <c r="A360">
        <v>7350110001</v>
      </c>
      <c r="B360" s="16" t="s">
        <v>20942</v>
      </c>
      <c r="C360" s="16" t="e">
        <f>VLOOKUP(Table1[[#This Row],[Node]],Parent!A:B,2,0)</f>
        <v>#N/A</v>
      </c>
      <c r="D360" s="25" t="s">
        <v>19346</v>
      </c>
      <c r="E360" s="26" t="s">
        <v>16544</v>
      </c>
      <c r="F360" s="27" t="s">
        <v>16830</v>
      </c>
      <c r="G360" s="27" t="s">
        <v>16831</v>
      </c>
      <c r="H360" s="27" t="s">
        <v>16832</v>
      </c>
      <c r="I360" s="27" t="s">
        <v>16868</v>
      </c>
      <c r="J360" s="27"/>
      <c r="K360" s="27"/>
      <c r="L360" s="27"/>
      <c r="N360" s="27"/>
      <c r="T360" s="28" t="str">
        <f>LOOKUP(1,1/(Table1[[#This Row],[Level_0]:[Level 15]]&gt;0),(Table1[[#This Row],[Level_0]:[Level 15]]))</f>
        <v>7350110001 - [WIP - Technical]</v>
      </c>
      <c r="U360" s="22">
        <v>355</v>
      </c>
      <c r="W360" s="13" t="str">
        <f>LOOKUP(1,1/(Table1[[#This Row],[Level_0]:[Level 15]]&gt;0),(Table1[[#This Row],[Level_0]:[Level 15]]))</f>
        <v>7350110001 - [WIP - Technical]</v>
      </c>
    </row>
    <row r="361" spans="1:23" hidden="1" x14ac:dyDescent="0.25">
      <c r="A361">
        <v>4512000000</v>
      </c>
      <c r="B361" s="16" t="s">
        <v>19940</v>
      </c>
      <c r="C361" s="16" t="e">
        <f>VLOOKUP(Table1[[#This Row],[Node]],Parent!A:B,2,0)</f>
        <v>#N/A</v>
      </c>
      <c r="D361" s="25" t="s">
        <v>19346</v>
      </c>
      <c r="E361" s="26" t="s">
        <v>16544</v>
      </c>
      <c r="F361" s="27" t="s">
        <v>16830</v>
      </c>
      <c r="G361" s="27" t="s">
        <v>16831</v>
      </c>
      <c r="H361" s="27" t="s">
        <v>16832</v>
      </c>
      <c r="I361" s="27" t="s">
        <v>16869</v>
      </c>
      <c r="J361" s="27"/>
      <c r="K361" s="27"/>
      <c r="L361" s="27"/>
      <c r="N361" s="27"/>
      <c r="T361" s="28" t="str">
        <f>LOOKUP(1,1/(Table1[[#This Row],[Level_0]:[Level 15]]&gt;0),(Table1[[#This Row],[Level_0]:[Level 15]]))</f>
        <v>4512000000 - [Capitalized Other Cost]</v>
      </c>
      <c r="U361" s="22">
        <v>356</v>
      </c>
      <c r="W361" s="13" t="str">
        <f>LOOKUP(1,1/(Table1[[#This Row],[Level_0]:[Level 15]]&gt;0),(Table1[[#This Row],[Level_0]:[Level 15]]))</f>
        <v>4512000000 - [Capitalized Other Cost]</v>
      </c>
    </row>
    <row r="362" spans="1:23" hidden="1" x14ac:dyDescent="0.25">
      <c r="A362">
        <v>4511000000</v>
      </c>
      <c r="B362" s="16" t="s">
        <v>19939</v>
      </c>
      <c r="C362" s="16" t="e">
        <f>VLOOKUP(Table1[[#This Row],[Node]],Parent!A:B,2,0)</f>
        <v>#N/A</v>
      </c>
      <c r="D362" s="25" t="s">
        <v>19346</v>
      </c>
      <c r="E362" s="26" t="s">
        <v>16544</v>
      </c>
      <c r="F362" s="27" t="s">
        <v>16830</v>
      </c>
      <c r="G362" s="27" t="s">
        <v>16831</v>
      </c>
      <c r="H362" s="27" t="s">
        <v>16832</v>
      </c>
      <c r="I362" s="27" t="s">
        <v>16870</v>
      </c>
      <c r="J362" s="27"/>
      <c r="K362" s="27"/>
      <c r="L362" s="27"/>
      <c r="N362" s="27"/>
      <c r="T362" s="28" t="str">
        <f>LOOKUP(1,1/(Table1[[#This Row],[Level_0]:[Level 15]]&gt;0),(Table1[[#This Row],[Level_0]:[Level 15]]))</f>
        <v>4511000000 - [Other Capex Capitalized for Fixed Assets]</v>
      </c>
      <c r="U362" s="22">
        <v>357</v>
      </c>
      <c r="W362" s="13" t="str">
        <f>LOOKUP(1,1/(Table1[[#This Row],[Level_0]:[Level 15]]&gt;0),(Table1[[#This Row],[Level_0]:[Level 15]]))</f>
        <v>4511000000 - [Other Capex Capitalized for Fixed Assets]</v>
      </c>
    </row>
    <row r="363" spans="1:23" hidden="1" x14ac:dyDescent="0.25">
      <c r="A363">
        <v>4510000000</v>
      </c>
      <c r="B363" s="16" t="s">
        <v>19938</v>
      </c>
      <c r="C363" s="16" t="e">
        <f>VLOOKUP(Table1[[#This Row],[Node]],Parent!A:B,2,0)</f>
        <v>#N/A</v>
      </c>
      <c r="D363" s="25" t="s">
        <v>19346</v>
      </c>
      <c r="E363" s="26" t="s">
        <v>16544</v>
      </c>
      <c r="F363" s="27" t="s">
        <v>16830</v>
      </c>
      <c r="G363" s="27" t="s">
        <v>16831</v>
      </c>
      <c r="H363" s="27" t="s">
        <v>16832</v>
      </c>
      <c r="I363" s="27" t="s">
        <v>16871</v>
      </c>
      <c r="J363" s="27"/>
      <c r="K363" s="27"/>
      <c r="L363" s="27"/>
      <c r="N363" s="27"/>
      <c r="T363" s="28" t="str">
        <f>LOOKUP(1,1/(Table1[[#This Row],[Level_0]:[Level 15]]&gt;0),(Table1[[#This Row],[Level_0]:[Level 15]]))</f>
        <v>4510000000 - [Capitalized Material for Fixed Assets]</v>
      </c>
      <c r="U363" s="22">
        <v>358</v>
      </c>
      <c r="W363" s="13" t="str">
        <f>LOOKUP(1,1/(Table1[[#This Row],[Level_0]:[Level 15]]&gt;0),(Table1[[#This Row],[Level_0]:[Level 15]]))</f>
        <v>4510000000 - [Capitalized Material for Fixed Assets]</v>
      </c>
    </row>
    <row r="364" spans="1:23" hidden="1" x14ac:dyDescent="0.25">
      <c r="A364">
        <v>4502008001</v>
      </c>
      <c r="B364" s="16" t="s">
        <v>19937</v>
      </c>
      <c r="C364" s="16" t="e">
        <f>VLOOKUP(Table1[[#This Row],[Node]],Parent!A:B,2,0)</f>
        <v>#N/A</v>
      </c>
      <c r="D364" s="25" t="s">
        <v>19346</v>
      </c>
      <c r="E364" s="26" t="s">
        <v>16544</v>
      </c>
      <c r="F364" s="27" t="s">
        <v>16830</v>
      </c>
      <c r="G364" s="27" t="s">
        <v>16831</v>
      </c>
      <c r="H364" s="27" t="s">
        <v>16832</v>
      </c>
      <c r="I364" s="27" t="s">
        <v>16872</v>
      </c>
      <c r="J364" s="27"/>
      <c r="K364" s="27"/>
      <c r="L364" s="27"/>
      <c r="N364" s="27"/>
      <c r="T364" s="28" t="str">
        <f>LOOKUP(1,1/(Table1[[#This Row],[Level_0]:[Level 15]]&gt;0),(Table1[[#This Row],[Level_0]:[Level 15]]))</f>
        <v>4502008001 - [Asset Acquistion - Borrowing - ClearAcc1]</v>
      </c>
      <c r="U364" s="22">
        <v>359</v>
      </c>
      <c r="W364" s="13" t="str">
        <f>LOOKUP(1,1/(Table1[[#This Row],[Level_0]:[Level 15]]&gt;0),(Table1[[#This Row],[Level_0]:[Level 15]]))</f>
        <v>4502008001 - [Asset Acquistion - Borrowing - ClearAcc1]</v>
      </c>
    </row>
    <row r="365" spans="1:23" hidden="1" x14ac:dyDescent="0.25">
      <c r="A365">
        <v>4502008000</v>
      </c>
      <c r="B365" s="16" t="s">
        <v>19936</v>
      </c>
      <c r="C365" s="16" t="e">
        <f>VLOOKUP(Table1[[#This Row],[Node]],Parent!A:B,2,0)</f>
        <v>#N/A</v>
      </c>
      <c r="D365" s="25" t="s">
        <v>19346</v>
      </c>
      <c r="E365" s="26" t="s">
        <v>16544</v>
      </c>
      <c r="F365" s="27" t="s">
        <v>16830</v>
      </c>
      <c r="G365" s="27" t="s">
        <v>16831</v>
      </c>
      <c r="H365" s="27" t="s">
        <v>16832</v>
      </c>
      <c r="I365" s="27" t="s">
        <v>16873</v>
      </c>
      <c r="J365" s="27"/>
      <c r="K365" s="27"/>
      <c r="L365" s="27"/>
      <c r="N365" s="27"/>
      <c r="T365" s="28" t="str">
        <f>LOOKUP(1,1/(Table1[[#This Row],[Level_0]:[Level 15]]&gt;0),(Table1[[#This Row],[Level_0]:[Level 15]]))</f>
        <v>4502008000 - [Asset Acquistion - Borrowing - ClearAcc]</v>
      </c>
      <c r="U365" s="22">
        <v>360</v>
      </c>
      <c r="W365" s="13" t="str">
        <f>LOOKUP(1,1/(Table1[[#This Row],[Level_0]:[Level 15]]&gt;0),(Table1[[#This Row],[Level_0]:[Level 15]]))</f>
        <v>4502008000 - [Asset Acquistion - Borrowing - ClearAcc]</v>
      </c>
    </row>
    <row r="366" spans="1:23" hidden="1" x14ac:dyDescent="0.25">
      <c r="A366">
        <v>4502000001</v>
      </c>
      <c r="B366" s="16" t="s">
        <v>19935</v>
      </c>
      <c r="C366" s="16" t="e">
        <f>VLOOKUP(Table1[[#This Row],[Node]],Parent!A:B,2,0)</f>
        <v>#N/A</v>
      </c>
      <c r="D366" s="25" t="s">
        <v>19346</v>
      </c>
      <c r="E366" s="26" t="s">
        <v>16544</v>
      </c>
      <c r="F366" s="27" t="s">
        <v>16830</v>
      </c>
      <c r="G366" s="27" t="s">
        <v>16831</v>
      </c>
      <c r="H366" s="27" t="s">
        <v>16832</v>
      </c>
      <c r="I366" s="27" t="s">
        <v>16874</v>
      </c>
      <c r="J366" s="27"/>
      <c r="K366" s="27"/>
      <c r="L366" s="27"/>
      <c r="N366" s="27"/>
      <c r="T366" s="28" t="str">
        <f>LOOKUP(1,1/(Table1[[#This Row],[Level_0]:[Level 15]]&gt;0),(Table1[[#This Row],[Level_0]:[Level 15]]))</f>
        <v>4502000001 - [Capitalized Borrowing Costs - Acc1]</v>
      </c>
      <c r="U366" s="22">
        <v>361</v>
      </c>
      <c r="W366" s="13" t="str">
        <f>LOOKUP(1,1/(Table1[[#This Row],[Level_0]:[Level 15]]&gt;0),(Table1[[#This Row],[Level_0]:[Level 15]]))</f>
        <v>4502000001 - [Capitalized Borrowing Costs - Acc1]</v>
      </c>
    </row>
    <row r="367" spans="1:23" hidden="1" x14ac:dyDescent="0.25">
      <c r="A367">
        <v>4502000000</v>
      </c>
      <c r="B367" s="16" t="s">
        <v>19934</v>
      </c>
      <c r="C367" s="16" t="e">
        <f>VLOOKUP(Table1[[#This Row],[Node]],Parent!A:B,2,0)</f>
        <v>#N/A</v>
      </c>
      <c r="D367" s="25" t="s">
        <v>19346</v>
      </c>
      <c r="E367" s="26" t="s">
        <v>16544</v>
      </c>
      <c r="F367" s="27" t="s">
        <v>16830</v>
      </c>
      <c r="G367" s="27" t="s">
        <v>16831</v>
      </c>
      <c r="H367" s="27" t="s">
        <v>16832</v>
      </c>
      <c r="I367" s="27" t="s">
        <v>16875</v>
      </c>
      <c r="J367" s="27"/>
      <c r="K367" s="27"/>
      <c r="L367" s="27"/>
      <c r="N367" s="27"/>
      <c r="T367" s="28" t="str">
        <f>LOOKUP(1,1/(Table1[[#This Row],[Level_0]:[Level 15]]&gt;0),(Table1[[#This Row],[Level_0]:[Level 15]]))</f>
        <v>4502000000 - [Capitalized Borrowing Costs]</v>
      </c>
      <c r="U367" s="22">
        <v>362</v>
      </c>
      <c r="W367" s="13" t="str">
        <f>LOOKUP(1,1/(Table1[[#This Row],[Level_0]:[Level 15]]&gt;0),(Table1[[#This Row],[Level_0]:[Level 15]]))</f>
        <v>4502000000 - [Capitalized Borrowing Costs]</v>
      </c>
    </row>
    <row r="368" spans="1:23" hidden="1" x14ac:dyDescent="0.25">
      <c r="A368">
        <v>4501000000</v>
      </c>
      <c r="B368" s="16" t="s">
        <v>19933</v>
      </c>
      <c r="C368" s="16" t="e">
        <f>VLOOKUP(Table1[[#This Row],[Node]],Parent!A:B,2,0)</f>
        <v>#N/A</v>
      </c>
      <c r="D368" s="25" t="s">
        <v>19346</v>
      </c>
      <c r="E368" s="26" t="s">
        <v>16544</v>
      </c>
      <c r="F368" s="27" t="s">
        <v>16830</v>
      </c>
      <c r="G368" s="27" t="s">
        <v>16831</v>
      </c>
      <c r="H368" s="27" t="s">
        <v>16832</v>
      </c>
      <c r="I368" s="27" t="s">
        <v>16876</v>
      </c>
      <c r="J368" s="27"/>
      <c r="K368" s="27"/>
      <c r="L368" s="27"/>
      <c r="N368" s="27"/>
      <c r="T368" s="28" t="str">
        <f>LOOKUP(1,1/(Table1[[#This Row],[Level_0]:[Level 15]]&gt;0),(Table1[[#This Row],[Level_0]:[Level 15]]))</f>
        <v>4501000000 - [Cap External Services for Fixed Assets]</v>
      </c>
      <c r="U368" s="22">
        <v>363</v>
      </c>
      <c r="W368" s="13" t="str">
        <f>LOOKUP(1,1/(Table1[[#This Row],[Level_0]:[Level 15]]&gt;0),(Table1[[#This Row],[Level_0]:[Level 15]]))</f>
        <v>4501000000 - [Cap External Services for Fixed Assets]</v>
      </c>
    </row>
    <row r="369" spans="1:23" hidden="1" x14ac:dyDescent="0.25">
      <c r="A369">
        <v>4500000000</v>
      </c>
      <c r="B369" s="16" t="s">
        <v>19932</v>
      </c>
      <c r="C369" s="16" t="e">
        <f>VLOOKUP(Table1[[#This Row],[Node]],Parent!A:B,2,0)</f>
        <v>#N/A</v>
      </c>
      <c r="D369" s="25" t="s">
        <v>19346</v>
      </c>
      <c r="E369" s="26" t="s">
        <v>16544</v>
      </c>
      <c r="F369" s="27" t="s">
        <v>16830</v>
      </c>
      <c r="G369" s="27" t="s">
        <v>16831</v>
      </c>
      <c r="H369" s="27" t="s">
        <v>16832</v>
      </c>
      <c r="I369" s="27" t="s">
        <v>16877</v>
      </c>
      <c r="J369" s="27"/>
      <c r="K369" s="27"/>
      <c r="L369" s="27"/>
      <c r="N369" s="27"/>
      <c r="T369" s="28" t="str">
        <f>LOOKUP(1,1/(Table1[[#This Row],[Level_0]:[Level 15]]&gt;0),(Table1[[#This Row],[Level_0]:[Level 15]]))</f>
        <v>4500000000 - [Cap Internal Services for Fixed Assets]</v>
      </c>
      <c r="U369" s="22">
        <v>364</v>
      </c>
      <c r="W369" s="13" t="str">
        <f>LOOKUP(1,1/(Table1[[#This Row],[Level_0]:[Level 15]]&gt;0),(Table1[[#This Row],[Level_0]:[Level 15]]))</f>
        <v>4500000000 - [Cap Internal Services for Fixed Assets]</v>
      </c>
    </row>
    <row r="370" spans="1:23" hidden="1" x14ac:dyDescent="0.25">
      <c r="A370">
        <v>4242000000</v>
      </c>
      <c r="B370" s="16" t="s">
        <v>19909</v>
      </c>
      <c r="C370" s="16" t="e">
        <f>VLOOKUP(Table1[[#This Row],[Node]],Parent!A:B,2,0)</f>
        <v>#N/A</v>
      </c>
      <c r="D370" s="25" t="s">
        <v>19346</v>
      </c>
      <c r="E370" s="26" t="s">
        <v>16544</v>
      </c>
      <c r="F370" s="27" t="s">
        <v>16830</v>
      </c>
      <c r="G370" s="27" t="s">
        <v>16831</v>
      </c>
      <c r="H370" s="27" t="s">
        <v>16832</v>
      </c>
      <c r="I370" s="27" t="s">
        <v>16878</v>
      </c>
      <c r="J370" s="27"/>
      <c r="K370" s="27"/>
      <c r="L370" s="27"/>
      <c r="N370" s="27"/>
      <c r="T370" s="28" t="str">
        <f>LOOKUP(1,1/(Table1[[#This Row],[Level_0]:[Level 15]]&gt;0),(Table1[[#This Row],[Level_0]:[Level 15]]))</f>
        <v>4242000000 - [Cap Var - CCV - Finished &amp; Unf Goods]</v>
      </c>
      <c r="U370" s="22">
        <v>365</v>
      </c>
      <c r="W370" s="13" t="str">
        <f>LOOKUP(1,1/(Table1[[#This Row],[Level_0]:[Level 15]]&gt;0),(Table1[[#This Row],[Level_0]:[Level 15]]))</f>
        <v>4242000000 - [Cap Var - CCV - Finished &amp; Unf Goods]</v>
      </c>
    </row>
    <row r="371" spans="1:23" hidden="1" x14ac:dyDescent="0.25">
      <c r="A371">
        <v>4241010000</v>
      </c>
      <c r="B371" s="16" t="s">
        <v>19908</v>
      </c>
      <c r="C371" s="16" t="e">
        <f>VLOOKUP(Table1[[#This Row],[Node]],Parent!A:B,2,0)</f>
        <v>#N/A</v>
      </c>
      <c r="D371" s="25" t="s">
        <v>19346</v>
      </c>
      <c r="E371" s="26" t="s">
        <v>16544</v>
      </c>
      <c r="F371" s="27" t="s">
        <v>16830</v>
      </c>
      <c r="G371" s="27" t="s">
        <v>16831</v>
      </c>
      <c r="H371" s="27" t="s">
        <v>16832</v>
      </c>
      <c r="I371" s="27" t="s">
        <v>16879</v>
      </c>
      <c r="J371" s="27"/>
      <c r="K371" s="27"/>
      <c r="L371" s="27"/>
      <c r="N371" s="27"/>
      <c r="T371" s="28" t="str">
        <f>LOOKUP(1,1/(Table1[[#This Row],[Level_0]:[Level 15]]&gt;0),(Table1[[#This Row],[Level_0]:[Level 15]]))</f>
        <v>4241010000 - [Cap Var - POV - Fin &amp; Unf Goods - IC]</v>
      </c>
      <c r="U371" s="22">
        <v>366</v>
      </c>
      <c r="W371" s="13" t="str">
        <f>LOOKUP(1,1/(Table1[[#This Row],[Level_0]:[Level 15]]&gt;0),(Table1[[#This Row],[Level_0]:[Level 15]]))</f>
        <v>4241010000 - [Cap Var - POV - Fin &amp; Unf Goods - IC]</v>
      </c>
    </row>
    <row r="372" spans="1:23" hidden="1" x14ac:dyDescent="0.25">
      <c r="A372">
        <v>4241000000</v>
      </c>
      <c r="B372" s="16" t="s">
        <v>19907</v>
      </c>
      <c r="C372" s="16" t="e">
        <f>VLOOKUP(Table1[[#This Row],[Node]],Parent!A:B,2,0)</f>
        <v>#N/A</v>
      </c>
      <c r="D372" s="25" t="s">
        <v>19346</v>
      </c>
      <c r="E372" s="26" t="s">
        <v>16544</v>
      </c>
      <c r="F372" s="27" t="s">
        <v>16830</v>
      </c>
      <c r="G372" s="27" t="s">
        <v>16831</v>
      </c>
      <c r="H372" s="27" t="s">
        <v>16832</v>
      </c>
      <c r="I372" s="27" t="s">
        <v>16880</v>
      </c>
      <c r="J372" s="27"/>
      <c r="K372" s="27"/>
      <c r="L372" s="27"/>
      <c r="N372" s="27"/>
      <c r="T372" s="28" t="str">
        <f>LOOKUP(1,1/(Table1[[#This Row],[Level_0]:[Level 15]]&gt;0),(Table1[[#This Row],[Level_0]:[Level 15]]))</f>
        <v>4241000000 - [Cap Var - POV - Fin &amp; Unf Goods - 3P]</v>
      </c>
      <c r="U372" s="22">
        <v>367</v>
      </c>
      <c r="W372" s="13" t="str">
        <f>LOOKUP(1,1/(Table1[[#This Row],[Level_0]:[Level 15]]&gt;0),(Table1[[#This Row],[Level_0]:[Level 15]]))</f>
        <v>4241000000 - [Cap Var - POV - Fin &amp; Unf Goods - 3P]</v>
      </c>
    </row>
    <row r="373" spans="1:23" hidden="1" x14ac:dyDescent="0.25">
      <c r="A373">
        <v>250501</v>
      </c>
      <c r="B373" s="16" t="e">
        <v>#N/A</v>
      </c>
      <c r="C373" s="16" t="e">
        <f>VLOOKUP(Table1[[#This Row],[Node]],Parent!A:B,2,0)</f>
        <v>#N/A</v>
      </c>
      <c r="D373" s="25" t="s">
        <v>19346</v>
      </c>
      <c r="E373" s="26" t="s">
        <v>16544</v>
      </c>
      <c r="F373" s="27" t="s">
        <v>16830</v>
      </c>
      <c r="G373" s="27" t="s">
        <v>16831</v>
      </c>
      <c r="H373" s="27" t="s">
        <v>16881</v>
      </c>
      <c r="I373" s="27"/>
      <c r="J373" s="27"/>
      <c r="K373" s="27"/>
      <c r="L373" s="27"/>
      <c r="N373" s="27"/>
      <c r="T373" s="28" t="str">
        <f>LOOKUP(1,1/(Table1[[#This Row],[Level_0]:[Level 15]]&gt;0),(Table1[[#This Row],[Level_0]:[Level 15]]))</f>
        <v>250501 - []</v>
      </c>
      <c r="U373" s="22">
        <v>368</v>
      </c>
      <c r="W373" s="13" t="str">
        <f>LOOKUP(1,1/(Table1[[#This Row],[Level_0]:[Level 15]]&gt;0),(Table1[[#This Row],[Level_0]:[Level 15]]))</f>
        <v>250501 - []</v>
      </c>
    </row>
    <row r="374" spans="1:23" hidden="1" x14ac:dyDescent="0.25">
      <c r="A374">
        <v>7831118000</v>
      </c>
      <c r="B374" s="16" t="s">
        <v>21932</v>
      </c>
      <c r="C374" s="16" t="e">
        <f>VLOOKUP(Table1[[#This Row],[Node]],Parent!A:B,2,0)</f>
        <v>#N/A</v>
      </c>
      <c r="D374" s="25" t="s">
        <v>19346</v>
      </c>
      <c r="E374" s="26" t="s">
        <v>16544</v>
      </c>
      <c r="F374" s="27" t="s">
        <v>16830</v>
      </c>
      <c r="G374" s="27" t="s">
        <v>16831</v>
      </c>
      <c r="H374" s="27" t="s">
        <v>16881</v>
      </c>
      <c r="I374" s="27" t="s">
        <v>16882</v>
      </c>
      <c r="J374" s="27"/>
      <c r="K374" s="27"/>
      <c r="L374" s="27"/>
      <c r="N374" s="27"/>
      <c r="T374" s="28" t="str">
        <f>LOOKUP(1,1/(Table1[[#This Row],[Level_0]:[Level 15]]&gt;0),(Table1[[#This Row],[Level_0]:[Level 15]]))</f>
        <v>7831118000 - [APA Exp.Chn.TimeVal.ShareBased LTIP Prov]</v>
      </c>
      <c r="U374" s="22">
        <v>369</v>
      </c>
      <c r="W374" s="13" t="str">
        <f>LOOKUP(1,1/(Table1[[#This Row],[Level_0]:[Level 15]]&gt;0),(Table1[[#This Row],[Level_0]:[Level 15]]))</f>
        <v>7831118000 - [APA Exp.Chn.TimeVal.ShareBased LTIP Prov]</v>
      </c>
    </row>
    <row r="375" spans="1:23" hidden="1" x14ac:dyDescent="0.25">
      <c r="A375">
        <v>7831117000</v>
      </c>
      <c r="B375" s="16" t="s">
        <v>21931</v>
      </c>
      <c r="C375" s="16" t="e">
        <f>VLOOKUP(Table1[[#This Row],[Node]],Parent!A:B,2,0)</f>
        <v>#N/A</v>
      </c>
      <c r="D375" s="25" t="s">
        <v>19346</v>
      </c>
      <c r="E375" s="26" t="s">
        <v>16544</v>
      </c>
      <c r="F375" s="27" t="s">
        <v>16830</v>
      </c>
      <c r="G375" s="27" t="s">
        <v>16831</v>
      </c>
      <c r="H375" s="27" t="s">
        <v>16881</v>
      </c>
      <c r="I375" s="27" t="s">
        <v>16883</v>
      </c>
      <c r="J375" s="27"/>
      <c r="K375" s="27"/>
      <c r="L375" s="27"/>
      <c r="N375" s="27"/>
      <c r="T375" s="28" t="str">
        <f>LOOKUP(1,1/(Table1[[#This Row],[Level_0]:[Level 15]]&gt;0),(Table1[[#This Row],[Level_0]:[Level 15]]))</f>
        <v>7831117000 - [APA Exp.Chn.TimeVal.Options]</v>
      </c>
      <c r="U375" s="22">
        <v>370</v>
      </c>
      <c r="W375" s="13" t="str">
        <f>LOOKUP(1,1/(Table1[[#This Row],[Level_0]:[Level 15]]&gt;0),(Table1[[#This Row],[Level_0]:[Level 15]]))</f>
        <v>7831117000 - [APA Exp.Chn.TimeVal.Options]</v>
      </c>
    </row>
    <row r="376" spans="1:23" hidden="1" x14ac:dyDescent="0.25">
      <c r="A376">
        <v>7831111000</v>
      </c>
      <c r="B376" s="16" t="s">
        <v>21925</v>
      </c>
      <c r="C376" s="16" t="e">
        <f>VLOOKUP(Table1[[#This Row],[Node]],Parent!A:B,2,0)</f>
        <v>#N/A</v>
      </c>
      <c r="D376" s="25" t="s">
        <v>19346</v>
      </c>
      <c r="E376" s="26" t="s">
        <v>16544</v>
      </c>
      <c r="F376" s="27" t="s">
        <v>16830</v>
      </c>
      <c r="G376" s="27" t="s">
        <v>16831</v>
      </c>
      <c r="H376" s="27" t="s">
        <v>16881</v>
      </c>
      <c r="I376" s="27" t="s">
        <v>16884</v>
      </c>
      <c r="J376" s="27"/>
      <c r="K376" s="27"/>
      <c r="L376" s="27"/>
      <c r="N376" s="27"/>
      <c r="T376" s="28" t="str">
        <f>LOOKUP(1,1/(Table1[[#This Row],[Level_0]:[Level 15]]&gt;0),(Table1[[#This Row],[Level_0]:[Level 15]]))</f>
        <v>7831111000 - [APA Exp.Change in Value of Int.Derivat]</v>
      </c>
      <c r="U376" s="22">
        <v>371</v>
      </c>
      <c r="W376" s="13" t="str">
        <f>LOOKUP(1,1/(Table1[[#This Row],[Level_0]:[Level 15]]&gt;0),(Table1[[#This Row],[Level_0]:[Level 15]]))</f>
        <v>7831111000 - [APA Exp.Change in Value of Int.Derivat]</v>
      </c>
    </row>
    <row r="377" spans="1:23" hidden="1" x14ac:dyDescent="0.25">
      <c r="A377">
        <v>7831109000</v>
      </c>
      <c r="B377" s="16" t="s">
        <v>21922</v>
      </c>
      <c r="C377" s="16" t="e">
        <f>VLOOKUP(Table1[[#This Row],[Node]],Parent!A:B,2,0)</f>
        <v>#N/A</v>
      </c>
      <c r="D377" s="25" t="s">
        <v>19346</v>
      </c>
      <c r="E377" s="26" t="s">
        <v>16544</v>
      </c>
      <c r="F377" s="27" t="s">
        <v>16830</v>
      </c>
      <c r="G377" s="27" t="s">
        <v>16831</v>
      </c>
      <c r="H377" s="27" t="s">
        <v>16881</v>
      </c>
      <c r="I377" s="27" t="s">
        <v>16885</v>
      </c>
      <c r="J377" s="27"/>
      <c r="K377" s="27"/>
      <c r="L377" s="27"/>
      <c r="N377" s="27"/>
      <c r="T377" s="28" t="str">
        <f>LOOKUP(1,1/(Table1[[#This Row],[Level_0]:[Level 15]]&gt;0),(Table1[[#This Row],[Level_0]:[Level 15]]))</f>
        <v>7831109000 - [APA Interest expense on lease liability]</v>
      </c>
      <c r="U377" s="22">
        <v>372</v>
      </c>
      <c r="W377" s="13" t="str">
        <f>LOOKUP(1,1/(Table1[[#This Row],[Level_0]:[Level 15]]&gt;0),(Table1[[#This Row],[Level_0]:[Level 15]]))</f>
        <v>7831109000 - [APA Interest expense on lease liability]</v>
      </c>
    </row>
    <row r="378" spans="1:23" hidden="1" x14ac:dyDescent="0.25">
      <c r="A378">
        <v>7831106000</v>
      </c>
      <c r="B378" s="16" t="s">
        <v>21919</v>
      </c>
      <c r="C378" s="16" t="e">
        <f>VLOOKUP(Table1[[#This Row],[Node]],Parent!A:B,2,0)</f>
        <v>#N/A</v>
      </c>
      <c r="D378" s="25" t="s">
        <v>19346</v>
      </c>
      <c r="E378" s="26" t="s">
        <v>16544</v>
      </c>
      <c r="F378" s="27" t="s">
        <v>16830</v>
      </c>
      <c r="G378" s="27" t="s">
        <v>16831</v>
      </c>
      <c r="H378" s="27" t="s">
        <v>16881</v>
      </c>
      <c r="I378" s="27" t="s">
        <v>16886</v>
      </c>
      <c r="J378" s="27"/>
      <c r="K378" s="27"/>
      <c r="L378" s="27"/>
      <c r="N378" s="27"/>
      <c r="T378" s="28" t="str">
        <f>LOOKUP(1,1/(Table1[[#This Row],[Level_0]:[Level 15]]&gt;0),(Table1[[#This Row],[Level_0]:[Level 15]]))</f>
        <v>7831106000 - [APA Int.exp.Discounting&amp;Revers.Discount.]</v>
      </c>
      <c r="U378" s="22">
        <v>373</v>
      </c>
      <c r="W378" s="13" t="str">
        <f>LOOKUP(1,1/(Table1[[#This Row],[Level_0]:[Level 15]]&gt;0),(Table1[[#This Row],[Level_0]:[Level 15]]))</f>
        <v>7831106000 - [APA Int.exp.Discounting&amp;Revers.Discount.]</v>
      </c>
    </row>
    <row r="379" spans="1:23" hidden="1" x14ac:dyDescent="0.25">
      <c r="A379">
        <v>7831105000</v>
      </c>
      <c r="B379" s="16" t="s">
        <v>21918</v>
      </c>
      <c r="C379" s="16" t="e">
        <f>VLOOKUP(Table1[[#This Row],[Node]],Parent!A:B,2,0)</f>
        <v>#N/A</v>
      </c>
      <c r="D379" s="25" t="s">
        <v>19346</v>
      </c>
      <c r="E379" s="26" t="s">
        <v>16544</v>
      </c>
      <c r="F379" s="27" t="s">
        <v>16830</v>
      </c>
      <c r="G379" s="27" t="s">
        <v>16831</v>
      </c>
      <c r="H379" s="27" t="s">
        <v>16881</v>
      </c>
      <c r="I379" s="27" t="s">
        <v>16887</v>
      </c>
      <c r="J379" s="27"/>
      <c r="K379" s="27"/>
      <c r="L379" s="27"/>
      <c r="N379" s="27"/>
      <c r="T379" s="28" t="str">
        <f>LOOKUP(1,1/(Table1[[#This Row],[Level_0]:[Level 15]]&gt;0),(Table1[[#This Row],[Level_0]:[Level 15]]))</f>
        <v>7831105000 - [APA Int.exp.Amor.Prem/DiscInt.Bear.Instr]</v>
      </c>
      <c r="U379" s="22">
        <v>374</v>
      </c>
      <c r="W379" s="13" t="str">
        <f>LOOKUP(1,1/(Table1[[#This Row],[Level_0]:[Level 15]]&gt;0),(Table1[[#This Row],[Level_0]:[Level 15]]))</f>
        <v>7831105000 - [APA Int.exp.Amor.Prem/DiscInt.Bear.Instr]</v>
      </c>
    </row>
    <row r="380" spans="1:23" hidden="1" x14ac:dyDescent="0.25">
      <c r="A380">
        <v>7830129000</v>
      </c>
      <c r="B380" s="16" t="s">
        <v>21913</v>
      </c>
      <c r="C380" s="16" t="e">
        <f>VLOOKUP(Table1[[#This Row],[Node]],Parent!A:B,2,0)</f>
        <v>#N/A</v>
      </c>
      <c r="D380" s="25" t="s">
        <v>19346</v>
      </c>
      <c r="E380" s="26" t="s">
        <v>16544</v>
      </c>
      <c r="F380" s="27" t="s">
        <v>16830</v>
      </c>
      <c r="G380" s="27" t="s">
        <v>16831</v>
      </c>
      <c r="H380" s="27" t="s">
        <v>16881</v>
      </c>
      <c r="I380" s="27" t="s">
        <v>16888</v>
      </c>
      <c r="J380" s="27"/>
      <c r="K380" s="27"/>
      <c r="L380" s="27"/>
      <c r="N380" s="27"/>
      <c r="T380" s="28" t="str">
        <f>LOOKUP(1,1/(Table1[[#This Row],[Level_0]:[Level 15]]&gt;0),(Table1[[#This Row],[Level_0]:[Level 15]]))</f>
        <v>7830129000 - [APA FX Inc.Derivative-Financing-Realiz.]</v>
      </c>
      <c r="U380" s="22">
        <v>375</v>
      </c>
      <c r="W380" s="13" t="str">
        <f>LOOKUP(1,1/(Table1[[#This Row],[Level_0]:[Level 15]]&gt;0),(Table1[[#This Row],[Level_0]:[Level 15]]))</f>
        <v>7830129000 - [APA FX Inc.Derivative-Financing-Realiz.]</v>
      </c>
    </row>
    <row r="381" spans="1:23" hidden="1" x14ac:dyDescent="0.25">
      <c r="A381">
        <v>7830128000</v>
      </c>
      <c r="B381" s="16" t="s">
        <v>21912</v>
      </c>
      <c r="C381" s="16" t="e">
        <f>VLOOKUP(Table1[[#This Row],[Node]],Parent!A:B,2,0)</f>
        <v>#N/A</v>
      </c>
      <c r="D381" s="25" t="s">
        <v>19346</v>
      </c>
      <c r="E381" s="26" t="s">
        <v>16544</v>
      </c>
      <c r="F381" s="27" t="s">
        <v>16830</v>
      </c>
      <c r="G381" s="27" t="s">
        <v>16831</v>
      </c>
      <c r="H381" s="27" t="s">
        <v>16881</v>
      </c>
      <c r="I381" s="27" t="s">
        <v>16889</v>
      </c>
      <c r="J381" s="27"/>
      <c r="K381" s="27"/>
      <c r="L381" s="27"/>
      <c r="N381" s="27"/>
      <c r="T381" s="28" t="str">
        <f>LOOKUP(1,1/(Table1[[#This Row],[Level_0]:[Level 15]]&gt;0),(Table1[[#This Row],[Level_0]:[Level 15]]))</f>
        <v>7830128000 - [APA Inc.Chn.TimeVal.ShareBased LTIP Prov]</v>
      </c>
      <c r="U381" s="22">
        <v>376</v>
      </c>
      <c r="W381" s="13" t="str">
        <f>LOOKUP(1,1/(Table1[[#This Row],[Level_0]:[Level 15]]&gt;0),(Table1[[#This Row],[Level_0]:[Level 15]]))</f>
        <v>7830128000 - [APA Inc.Chn.TimeVal.ShareBased LTIP Prov]</v>
      </c>
    </row>
    <row r="382" spans="1:23" hidden="1" x14ac:dyDescent="0.25">
      <c r="A382">
        <v>7830127000</v>
      </c>
      <c r="B382" s="16" t="s">
        <v>21911</v>
      </c>
      <c r="C382" s="16" t="e">
        <f>VLOOKUP(Table1[[#This Row],[Node]],Parent!A:B,2,0)</f>
        <v>#N/A</v>
      </c>
      <c r="D382" s="25" t="s">
        <v>19346</v>
      </c>
      <c r="E382" s="26" t="s">
        <v>16544</v>
      </c>
      <c r="F382" s="27" t="s">
        <v>16830</v>
      </c>
      <c r="G382" s="27" t="s">
        <v>16831</v>
      </c>
      <c r="H382" s="27" t="s">
        <v>16881</v>
      </c>
      <c r="I382" s="27" t="s">
        <v>16890</v>
      </c>
      <c r="J382" s="27"/>
      <c r="K382" s="27"/>
      <c r="L382" s="27"/>
      <c r="N382" s="27"/>
      <c r="T382" s="28" t="str">
        <f>LOOKUP(1,1/(Table1[[#This Row],[Level_0]:[Level 15]]&gt;0),(Table1[[#This Row],[Level_0]:[Level 15]]))</f>
        <v>7830127000 - [APA Inc.Chn.TimeVal.Options]</v>
      </c>
      <c r="U382" s="22">
        <v>377</v>
      </c>
      <c r="W382" s="13" t="str">
        <f>LOOKUP(1,1/(Table1[[#This Row],[Level_0]:[Level 15]]&gt;0),(Table1[[#This Row],[Level_0]:[Level 15]]))</f>
        <v>7830127000 - [APA Inc.Chn.TimeVal.Options]</v>
      </c>
    </row>
    <row r="383" spans="1:23" hidden="1" x14ac:dyDescent="0.25">
      <c r="A383">
        <v>7830124000</v>
      </c>
      <c r="B383" s="16" t="s">
        <v>21908</v>
      </c>
      <c r="C383" s="16" t="e">
        <f>VLOOKUP(Table1[[#This Row],[Node]],Parent!A:B,2,0)</f>
        <v>#N/A</v>
      </c>
      <c r="D383" s="25" t="s">
        <v>19346</v>
      </c>
      <c r="E383" s="26" t="s">
        <v>16544</v>
      </c>
      <c r="F383" s="27" t="s">
        <v>16830</v>
      </c>
      <c r="G383" s="27" t="s">
        <v>16831</v>
      </c>
      <c r="H383" s="27" t="s">
        <v>16881</v>
      </c>
      <c r="I383" s="27" t="s">
        <v>16891</v>
      </c>
      <c r="J383" s="27"/>
      <c r="K383" s="27"/>
      <c r="L383" s="27"/>
      <c r="N383" s="27"/>
      <c r="T383" s="28" t="str">
        <f>LOOKUP(1,1/(Table1[[#This Row],[Level_0]:[Level 15]]&gt;0),(Table1[[#This Row],[Level_0]:[Level 15]]))</f>
        <v>7830124000 - [APA Gain from Financial Instruments]</v>
      </c>
      <c r="U383" s="22">
        <v>378</v>
      </c>
      <c r="W383" s="13" t="str">
        <f>LOOKUP(1,1/(Table1[[#This Row],[Level_0]:[Level 15]]&gt;0),(Table1[[#This Row],[Level_0]:[Level 15]]))</f>
        <v>7830124000 - [APA Gain from Financial Instruments]</v>
      </c>
    </row>
    <row r="384" spans="1:23" hidden="1" x14ac:dyDescent="0.25">
      <c r="A384">
        <v>7830122000</v>
      </c>
      <c r="B384" s="16" t="s">
        <v>21907</v>
      </c>
      <c r="C384" s="16" t="e">
        <f>VLOOKUP(Table1[[#This Row],[Node]],Parent!A:B,2,0)</f>
        <v>#N/A</v>
      </c>
      <c r="D384" s="25" t="s">
        <v>19346</v>
      </c>
      <c r="E384" s="26" t="s">
        <v>16544</v>
      </c>
      <c r="F384" s="27" t="s">
        <v>16830</v>
      </c>
      <c r="G384" s="27" t="s">
        <v>16831</v>
      </c>
      <c r="H384" s="27" t="s">
        <v>16881</v>
      </c>
      <c r="I384" s="27" t="s">
        <v>16892</v>
      </c>
      <c r="J384" s="27"/>
      <c r="K384" s="27"/>
      <c r="L384" s="27"/>
      <c r="N384" s="27"/>
      <c r="T384" s="28" t="str">
        <f>LOOKUP(1,1/(Table1[[#This Row],[Level_0]:[Level 15]]&gt;0),(Table1[[#This Row],[Level_0]:[Level 15]]))</f>
        <v>7830122000 - [APA Inc.Change in Val.Emb.Int.Derivat]</v>
      </c>
      <c r="U384" s="22">
        <v>379</v>
      </c>
      <c r="W384" s="13" t="str">
        <f>LOOKUP(1,1/(Table1[[#This Row],[Level_0]:[Level 15]]&gt;0),(Table1[[#This Row],[Level_0]:[Level 15]]))</f>
        <v>7830122000 - [APA Inc.Change in Val.Emb.Int.Derivat]</v>
      </c>
    </row>
    <row r="385" spans="1:23" hidden="1" x14ac:dyDescent="0.25">
      <c r="A385">
        <v>7830121100</v>
      </c>
      <c r="B385" s="16" t="s">
        <v>21906</v>
      </c>
      <c r="C385" s="16" t="e">
        <f>VLOOKUP(Table1[[#This Row],[Node]],Parent!A:B,2,0)</f>
        <v>#N/A</v>
      </c>
      <c r="D385" s="25" t="s">
        <v>19346</v>
      </c>
      <c r="E385" s="26" t="s">
        <v>16544</v>
      </c>
      <c r="F385" s="27" t="s">
        <v>16830</v>
      </c>
      <c r="G385" s="27" t="s">
        <v>16831</v>
      </c>
      <c r="H385" s="27" t="s">
        <v>16881</v>
      </c>
      <c r="I385" s="27" t="s">
        <v>16893</v>
      </c>
      <c r="J385" s="27"/>
      <c r="K385" s="27"/>
      <c r="L385" s="27"/>
      <c r="N385" s="27"/>
      <c r="T385" s="28" t="str">
        <f>LOOKUP(1,1/(Table1[[#This Row],[Level_0]:[Level 15]]&gt;0),(Table1[[#This Row],[Level_0]:[Level 15]]))</f>
        <v>7830121100 - [APA FX Inc.Derivative-Financing-Unrealiz]</v>
      </c>
      <c r="U385" s="22">
        <v>380</v>
      </c>
      <c r="W385" s="13" t="str">
        <f>LOOKUP(1,1/(Table1[[#This Row],[Level_0]:[Level 15]]&gt;0),(Table1[[#This Row],[Level_0]:[Level 15]]))</f>
        <v>7830121100 - [APA FX Inc.Derivative-Financing-Unrealiz]</v>
      </c>
    </row>
    <row r="386" spans="1:23" hidden="1" x14ac:dyDescent="0.25">
      <c r="A386">
        <v>7830121000</v>
      </c>
      <c r="B386" s="16" t="s">
        <v>21905</v>
      </c>
      <c r="C386" s="16" t="e">
        <f>VLOOKUP(Table1[[#This Row],[Node]],Parent!A:B,2,0)</f>
        <v>#N/A</v>
      </c>
      <c r="D386" s="25" t="s">
        <v>19346</v>
      </c>
      <c r="E386" s="26" t="s">
        <v>16544</v>
      </c>
      <c r="F386" s="27" t="s">
        <v>16830</v>
      </c>
      <c r="G386" s="27" t="s">
        <v>16831</v>
      </c>
      <c r="H386" s="27" t="s">
        <v>16881</v>
      </c>
      <c r="I386" s="27" t="s">
        <v>16894</v>
      </c>
      <c r="J386" s="27"/>
      <c r="K386" s="27"/>
      <c r="L386" s="27"/>
      <c r="N386" s="27"/>
      <c r="T386" s="28" t="str">
        <f>LOOKUP(1,1/(Table1[[#This Row],[Level_0]:[Level 15]]&gt;0),(Table1[[#This Row],[Level_0]:[Level 15]]))</f>
        <v>7830121000 - [APA Inc.Change in Value of Int.Derivat]</v>
      </c>
      <c r="U386" s="22">
        <v>381</v>
      </c>
      <c r="W386" s="13" t="str">
        <f>LOOKUP(1,1/(Table1[[#This Row],[Level_0]:[Level 15]]&gt;0),(Table1[[#This Row],[Level_0]:[Level 15]]))</f>
        <v>7830121000 - [APA Inc.Change in Value of Int.Derivat]</v>
      </c>
    </row>
    <row r="387" spans="1:23" hidden="1" x14ac:dyDescent="0.25">
      <c r="A387">
        <v>7830117000</v>
      </c>
      <c r="B387" s="16" t="s">
        <v>21902</v>
      </c>
      <c r="C387" s="16" t="e">
        <f>VLOOKUP(Table1[[#This Row],[Node]],Parent!A:B,2,0)</f>
        <v>#N/A</v>
      </c>
      <c r="D387" s="25" t="s">
        <v>19346</v>
      </c>
      <c r="E387" s="26" t="s">
        <v>16544</v>
      </c>
      <c r="F387" s="27" t="s">
        <v>16830</v>
      </c>
      <c r="G387" s="27" t="s">
        <v>16831</v>
      </c>
      <c r="H387" s="27" t="s">
        <v>16881</v>
      </c>
      <c r="I387" s="27" t="s">
        <v>16895</v>
      </c>
      <c r="J387" s="27"/>
      <c r="K387" s="27"/>
      <c r="L387" s="27"/>
      <c r="N387" s="27"/>
      <c r="T387" s="28" t="str">
        <f>LOOKUP(1,1/(Table1[[#This Row],[Level_0]:[Level 15]]&gt;0),(Table1[[#This Row],[Level_0]:[Level 15]]))</f>
        <v>7830117000 - [APA Interest income - Plan Assets]</v>
      </c>
      <c r="U387" s="22">
        <v>382</v>
      </c>
      <c r="W387" s="13" t="str">
        <f>LOOKUP(1,1/(Table1[[#This Row],[Level_0]:[Level 15]]&gt;0),(Table1[[#This Row],[Level_0]:[Level 15]]))</f>
        <v>7830117000 - [APA Interest income - Plan Assets]</v>
      </c>
    </row>
    <row r="388" spans="1:23" hidden="1" x14ac:dyDescent="0.25">
      <c r="A388">
        <v>7830116000</v>
      </c>
      <c r="B388" s="16" t="s">
        <v>21901</v>
      </c>
      <c r="C388" s="16" t="e">
        <f>VLOOKUP(Table1[[#This Row],[Node]],Parent!A:B,2,0)</f>
        <v>#N/A</v>
      </c>
      <c r="D388" s="25" t="s">
        <v>19346</v>
      </c>
      <c r="E388" s="26" t="s">
        <v>16544</v>
      </c>
      <c r="F388" s="27" t="s">
        <v>16830</v>
      </c>
      <c r="G388" s="27" t="s">
        <v>16831</v>
      </c>
      <c r="H388" s="27" t="s">
        <v>16881</v>
      </c>
      <c r="I388" s="27" t="s">
        <v>16896</v>
      </c>
      <c r="J388" s="27"/>
      <c r="K388" s="27"/>
      <c r="L388" s="27"/>
      <c r="N388" s="27"/>
      <c r="T388" s="28" t="str">
        <f>LOOKUP(1,1/(Table1[[#This Row],[Level_0]:[Level 15]]&gt;0),(Table1[[#This Row],[Level_0]:[Level 15]]))</f>
        <v>7830116000 - [APA Int.inc.Discounting&amp;Revers.Discount.]</v>
      </c>
      <c r="U388" s="22">
        <v>383</v>
      </c>
      <c r="W388" s="13" t="str">
        <f>LOOKUP(1,1/(Table1[[#This Row],[Level_0]:[Level 15]]&gt;0),(Table1[[#This Row],[Level_0]:[Level 15]]))</f>
        <v>7830116000 - [APA Int.inc.Discounting&amp;Revers.Discount.]</v>
      </c>
    </row>
    <row r="389" spans="1:23" hidden="1" x14ac:dyDescent="0.25">
      <c r="A389">
        <v>7830115000</v>
      </c>
      <c r="B389" s="16" t="s">
        <v>21900</v>
      </c>
      <c r="C389" s="16" t="e">
        <f>VLOOKUP(Table1[[#This Row],[Node]],Parent!A:B,2,0)</f>
        <v>#N/A</v>
      </c>
      <c r="D389" s="25" t="s">
        <v>19346</v>
      </c>
      <c r="E389" s="26" t="s">
        <v>16544</v>
      </c>
      <c r="F389" s="27" t="s">
        <v>16830</v>
      </c>
      <c r="G389" s="27" t="s">
        <v>16831</v>
      </c>
      <c r="H389" s="27" t="s">
        <v>16881</v>
      </c>
      <c r="I389" s="27" t="s">
        <v>16897</v>
      </c>
      <c r="J389" s="27"/>
      <c r="K389" s="27"/>
      <c r="L389" s="27"/>
      <c r="N389" s="27"/>
      <c r="T389" s="28" t="str">
        <f>LOOKUP(1,1/(Table1[[#This Row],[Level_0]:[Level 15]]&gt;0),(Table1[[#This Row],[Level_0]:[Level 15]]))</f>
        <v>7830115000 - [APA Int.inc.Amor.Prem/DiscInt.Bear.Instr]</v>
      </c>
      <c r="U389" s="22">
        <v>384</v>
      </c>
      <c r="W389" s="13" t="str">
        <f>LOOKUP(1,1/(Table1[[#This Row],[Level_0]:[Level 15]]&gt;0),(Table1[[#This Row],[Level_0]:[Level 15]]))</f>
        <v>7830115000 - [APA Int.inc.Amor.Prem/DiscInt.Bear.Instr]</v>
      </c>
    </row>
    <row r="390" spans="1:23" hidden="1" x14ac:dyDescent="0.25">
      <c r="A390">
        <v>7830114000</v>
      </c>
      <c r="B390" s="16" t="s">
        <v>21899</v>
      </c>
      <c r="C390" s="16" t="e">
        <f>VLOOKUP(Table1[[#This Row],[Node]],Parent!A:B,2,0)</f>
        <v>#N/A</v>
      </c>
      <c r="D390" s="25" t="s">
        <v>19346</v>
      </c>
      <c r="E390" s="26" t="s">
        <v>16544</v>
      </c>
      <c r="F390" s="27" t="s">
        <v>16830</v>
      </c>
      <c r="G390" s="27" t="s">
        <v>16831</v>
      </c>
      <c r="H390" s="27" t="s">
        <v>16881</v>
      </c>
      <c r="I390" s="27" t="s">
        <v>16898</v>
      </c>
      <c r="J390" s="27"/>
      <c r="K390" s="27"/>
      <c r="L390" s="27"/>
      <c r="N390" s="27"/>
      <c r="T390" s="28" t="str">
        <f>LOOKUP(1,1/(Table1[[#This Row],[Level_0]:[Level 15]]&gt;0),(Table1[[#This Row],[Level_0]:[Level 15]]))</f>
        <v>7830114000 - [APA Interest Inc.(int.derivatives)Accrue]</v>
      </c>
      <c r="U390" s="22">
        <v>385</v>
      </c>
      <c r="W390" s="13" t="str">
        <f>LOOKUP(1,1/(Table1[[#This Row],[Level_0]:[Level 15]]&gt;0),(Table1[[#This Row],[Level_0]:[Level 15]]))</f>
        <v>7830114000 - [APA Interest Inc.(int.derivatives)Accrue]</v>
      </c>
    </row>
    <row r="391" spans="1:23" hidden="1" x14ac:dyDescent="0.25">
      <c r="A391">
        <v>7830113000</v>
      </c>
      <c r="B391" s="16" t="s">
        <v>21898</v>
      </c>
      <c r="C391" s="16" t="e">
        <f>VLOOKUP(Table1[[#This Row],[Node]],Parent!A:B,2,0)</f>
        <v>#N/A</v>
      </c>
      <c r="D391" s="25" t="s">
        <v>19346</v>
      </c>
      <c r="E391" s="26" t="s">
        <v>16544</v>
      </c>
      <c r="F391" s="27" t="s">
        <v>16830</v>
      </c>
      <c r="G391" s="27" t="s">
        <v>16831</v>
      </c>
      <c r="H391" s="27" t="s">
        <v>16881</v>
      </c>
      <c r="I391" s="27" t="s">
        <v>16899</v>
      </c>
      <c r="J391" s="27"/>
      <c r="K391" s="27"/>
      <c r="L391" s="27"/>
      <c r="N391" s="27"/>
      <c r="T391" s="28" t="str">
        <f>LOOKUP(1,1/(Table1[[#This Row],[Level_0]:[Level 15]]&gt;0),(Table1[[#This Row],[Level_0]:[Level 15]]))</f>
        <v>7830113000 - [APA Interest inc.(int.derivatives)paid]</v>
      </c>
      <c r="U391" s="22">
        <v>386</v>
      </c>
      <c r="W391" s="13" t="str">
        <f>LOOKUP(1,1/(Table1[[#This Row],[Level_0]:[Level 15]]&gt;0),(Table1[[#This Row],[Level_0]:[Level 15]]))</f>
        <v>7830113000 - [APA Interest inc.(int.derivatives)paid]</v>
      </c>
    </row>
    <row r="392" spans="1:23" hidden="1" x14ac:dyDescent="0.25">
      <c r="A392">
        <v>7823452000</v>
      </c>
      <c r="B392" s="16" t="s">
        <v>21854</v>
      </c>
      <c r="C392" s="16" t="e">
        <f>VLOOKUP(Table1[[#This Row],[Node]],Parent!A:B,2,0)</f>
        <v>#N/A</v>
      </c>
      <c r="D392" s="25" t="s">
        <v>19346</v>
      </c>
      <c r="E392" s="26" t="s">
        <v>16544</v>
      </c>
      <c r="F392" s="27" t="s">
        <v>16830</v>
      </c>
      <c r="G392" s="27" t="s">
        <v>16831</v>
      </c>
      <c r="H392" s="27" t="s">
        <v>16881</v>
      </c>
      <c r="I392" s="27" t="s">
        <v>16900</v>
      </c>
      <c r="J392" s="27"/>
      <c r="K392" s="27"/>
      <c r="L392" s="27"/>
      <c r="N392" s="27"/>
      <c r="T392" s="28" t="str">
        <f>LOOKUP(1,1/(Table1[[#This Row],[Level_0]:[Level 15]]&gt;0),(Table1[[#This Row],[Level_0]:[Level 15]]))</f>
        <v>7823452000 - [APA Income from fair value changes]</v>
      </c>
      <c r="U392" s="22">
        <v>387</v>
      </c>
      <c r="W392" s="13" t="str">
        <f>LOOKUP(1,1/(Table1[[#This Row],[Level_0]:[Level 15]]&gt;0),(Table1[[#This Row],[Level_0]:[Level 15]]))</f>
        <v>7823452000 - [APA Income from fair value changes]</v>
      </c>
    </row>
    <row r="393" spans="1:23" hidden="1" x14ac:dyDescent="0.25">
      <c r="A393">
        <v>7823301400</v>
      </c>
      <c r="B393" s="16" t="s">
        <v>21845</v>
      </c>
      <c r="C393" s="16" t="e">
        <f>VLOOKUP(Table1[[#This Row],[Node]],Parent!A:B,2,0)</f>
        <v>#N/A</v>
      </c>
      <c r="D393" s="25" t="s">
        <v>19346</v>
      </c>
      <c r="E393" s="26" t="s">
        <v>16544</v>
      </c>
      <c r="F393" s="27" t="s">
        <v>16830</v>
      </c>
      <c r="G393" s="27" t="s">
        <v>16831</v>
      </c>
      <c r="H393" s="27" t="s">
        <v>16881</v>
      </c>
      <c r="I393" s="27" t="s">
        <v>16901</v>
      </c>
      <c r="J393" s="27"/>
      <c r="K393" s="27"/>
      <c r="L393" s="27"/>
      <c r="N393" s="27"/>
      <c r="T393" s="28" t="str">
        <f>LOOKUP(1,1/(Table1[[#This Row],[Level_0]:[Level 15]]&gt;0),(Table1[[#This Row],[Level_0]:[Level 15]]))</f>
        <v>7823301400 - [APA Cap. gains f. diss. of cont. consid.]</v>
      </c>
      <c r="U393" s="22">
        <v>388</v>
      </c>
      <c r="W393" s="13" t="str">
        <f>LOOKUP(1,1/(Table1[[#This Row],[Level_0]:[Level 15]]&gt;0),(Table1[[#This Row],[Level_0]:[Level 15]]))</f>
        <v>7823301400 - [APA Cap. gains f. diss. of cont. consid.]</v>
      </c>
    </row>
    <row r="394" spans="1:23" hidden="1" x14ac:dyDescent="0.25">
      <c r="A394">
        <v>7823301300</v>
      </c>
      <c r="B394" s="16" t="s">
        <v>21844</v>
      </c>
      <c r="C394" s="16" t="e">
        <f>VLOOKUP(Table1[[#This Row],[Node]],Parent!A:B,2,0)</f>
        <v>#N/A</v>
      </c>
      <c r="D394" s="25" t="s">
        <v>19346</v>
      </c>
      <c r="E394" s="26" t="s">
        <v>16544</v>
      </c>
      <c r="F394" s="27" t="s">
        <v>16830</v>
      </c>
      <c r="G394" s="27" t="s">
        <v>16831</v>
      </c>
      <c r="H394" s="27" t="s">
        <v>16881</v>
      </c>
      <c r="I394" s="27" t="s">
        <v>16902</v>
      </c>
      <c r="J394" s="27"/>
      <c r="K394" s="27"/>
      <c r="L394" s="27"/>
      <c r="N394" s="27"/>
      <c r="T394" s="28" t="str">
        <f>LOOKUP(1,1/(Table1[[#This Row],[Level_0]:[Level 15]]&gt;0),(Table1[[#This Row],[Level_0]:[Level 15]]))</f>
        <v>7823301300 - [APA Cap. gains f. sale of financ. instr.]</v>
      </c>
      <c r="U394" s="22">
        <v>389</v>
      </c>
      <c r="W394" s="13" t="str">
        <f>LOOKUP(1,1/(Table1[[#This Row],[Level_0]:[Level 15]]&gt;0),(Table1[[#This Row],[Level_0]:[Level 15]]))</f>
        <v>7823301300 - [APA Cap. gains f. sale of financ. instr.]</v>
      </c>
    </row>
    <row r="395" spans="1:23" hidden="1" x14ac:dyDescent="0.25">
      <c r="A395">
        <v>7831114000</v>
      </c>
      <c r="B395" s="16" t="s">
        <v>21928</v>
      </c>
      <c r="C395" s="16" t="e">
        <f>VLOOKUP(Table1[[#This Row],[Node]],Parent!A:B,2,0)</f>
        <v>#N/A</v>
      </c>
      <c r="D395" s="25" t="s">
        <v>19346</v>
      </c>
      <c r="E395" s="26" t="s">
        <v>16544</v>
      </c>
      <c r="F395" s="27" t="s">
        <v>16830</v>
      </c>
      <c r="G395" s="27" t="s">
        <v>16831</v>
      </c>
      <c r="H395" s="27" t="s">
        <v>16881</v>
      </c>
      <c r="I395" s="27" t="s">
        <v>16903</v>
      </c>
      <c r="J395" s="27"/>
      <c r="K395" s="27"/>
      <c r="L395" s="27"/>
      <c r="N395" s="27"/>
      <c r="T395" s="28" t="str">
        <f>LOOKUP(1,1/(Table1[[#This Row],[Level_0]:[Level 15]]&gt;0),(Table1[[#This Row],[Level_0]:[Level 15]]))</f>
        <v>7831114000 - [APA Loss from Financial Instruments]</v>
      </c>
      <c r="U395" s="22">
        <v>390</v>
      </c>
      <c r="W395" s="13" t="str">
        <f>LOOKUP(1,1/(Table1[[#This Row],[Level_0]:[Level 15]]&gt;0),(Table1[[#This Row],[Level_0]:[Level 15]]))</f>
        <v>7831114000 - [APA Loss from Financial Instruments]</v>
      </c>
    </row>
    <row r="396" spans="1:23" hidden="1" x14ac:dyDescent="0.25">
      <c r="A396">
        <v>7831112000</v>
      </c>
      <c r="B396" s="16" t="s">
        <v>21927</v>
      </c>
      <c r="C396" s="16" t="e">
        <f>VLOOKUP(Table1[[#This Row],[Node]],Parent!A:B,2,0)</f>
        <v>#N/A</v>
      </c>
      <c r="D396" s="25" t="s">
        <v>19346</v>
      </c>
      <c r="E396" s="26" t="s">
        <v>16544</v>
      </c>
      <c r="F396" s="27" t="s">
        <v>16830</v>
      </c>
      <c r="G396" s="27" t="s">
        <v>16831</v>
      </c>
      <c r="H396" s="27" t="s">
        <v>16881</v>
      </c>
      <c r="I396" s="27" t="s">
        <v>16904</v>
      </c>
      <c r="J396" s="27"/>
      <c r="K396" s="27"/>
      <c r="L396" s="27"/>
      <c r="N396" s="27"/>
      <c r="T396" s="28" t="str">
        <f>LOOKUP(1,1/(Table1[[#This Row],[Level_0]:[Level 15]]&gt;0),(Table1[[#This Row],[Level_0]:[Level 15]]))</f>
        <v>7831112000 - [APA Exp.Change in Val.Emb.Int.Derivat]</v>
      </c>
      <c r="U396" s="22">
        <v>391</v>
      </c>
      <c r="W396" s="13" t="str">
        <f>LOOKUP(1,1/(Table1[[#This Row],[Level_0]:[Level 15]]&gt;0),(Table1[[#This Row],[Level_0]:[Level 15]]))</f>
        <v>7831112000 - [APA Exp.Change in Val.Emb.Int.Derivat]</v>
      </c>
    </row>
    <row r="397" spans="1:23" hidden="1" x14ac:dyDescent="0.25">
      <c r="A397">
        <v>7831111100</v>
      </c>
      <c r="B397" s="16" t="s">
        <v>21926</v>
      </c>
      <c r="C397" s="16" t="e">
        <f>VLOOKUP(Table1[[#This Row],[Node]],Parent!A:B,2,0)</f>
        <v>#N/A</v>
      </c>
      <c r="D397" s="25" t="s">
        <v>19346</v>
      </c>
      <c r="E397" s="26" t="s">
        <v>16544</v>
      </c>
      <c r="F397" s="27" t="s">
        <v>16830</v>
      </c>
      <c r="G397" s="27" t="s">
        <v>16831</v>
      </c>
      <c r="H397" s="27" t="s">
        <v>16881</v>
      </c>
      <c r="I397" s="27" t="s">
        <v>16905</v>
      </c>
      <c r="J397" s="27"/>
      <c r="K397" s="27"/>
      <c r="L397" s="27"/>
      <c r="N397" s="27"/>
      <c r="T397" s="28" t="str">
        <f>LOOKUP(1,1/(Table1[[#This Row],[Level_0]:[Level 15]]&gt;0),(Table1[[#This Row],[Level_0]:[Level 15]]))</f>
        <v>7831111100 - [APA FX Exp.Derivative-Financing-Unrealiz]</v>
      </c>
      <c r="U397" s="22">
        <v>392</v>
      </c>
      <c r="W397" s="13" t="str">
        <f>LOOKUP(1,1/(Table1[[#This Row],[Level_0]:[Level 15]]&gt;0),(Table1[[#This Row],[Level_0]:[Level 15]]))</f>
        <v>7831111100 - [APA FX Exp.Derivative-Financing-Unrealiz]</v>
      </c>
    </row>
    <row r="398" spans="1:23" hidden="1" x14ac:dyDescent="0.25">
      <c r="A398">
        <v>7830100000</v>
      </c>
      <c r="B398" s="16" t="s">
        <v>21895</v>
      </c>
      <c r="C398" s="16" t="e">
        <f>VLOOKUP(Table1[[#This Row],[Node]],Parent!A:B,2,0)</f>
        <v>#N/A</v>
      </c>
      <c r="D398" s="25" t="s">
        <v>19346</v>
      </c>
      <c r="E398" s="26" t="s">
        <v>16544</v>
      </c>
      <c r="F398" s="27" t="s">
        <v>16830</v>
      </c>
      <c r="G398" s="27" t="s">
        <v>16831</v>
      </c>
      <c r="H398" s="27" t="s">
        <v>16881</v>
      </c>
      <c r="I398" s="27" t="s">
        <v>16906</v>
      </c>
      <c r="J398" s="27"/>
      <c r="K398" s="27"/>
      <c r="L398" s="27"/>
      <c r="N398" s="27"/>
      <c r="T398" s="28" t="str">
        <f>LOOKUP(1,1/(Table1[[#This Row],[Level_0]:[Level 15]]&gt;0),(Table1[[#This Row],[Level_0]:[Level 15]]))</f>
        <v>7830100000 - [APA Dividend income]</v>
      </c>
      <c r="U398" s="22">
        <v>393</v>
      </c>
      <c r="W398" s="13" t="str">
        <f>LOOKUP(1,1/(Table1[[#This Row],[Level_0]:[Level 15]]&gt;0),(Table1[[#This Row],[Level_0]:[Level 15]]))</f>
        <v>7830100000 - [APA Dividend income]</v>
      </c>
    </row>
    <row r="399" spans="1:23" hidden="1" x14ac:dyDescent="0.25">
      <c r="A399">
        <v>7824200000</v>
      </c>
      <c r="B399" s="16" t="s">
        <v>21891</v>
      </c>
      <c r="C399" s="16" t="e">
        <f>VLOOKUP(Table1[[#This Row],[Node]],Parent!A:B,2,0)</f>
        <v>#N/A</v>
      </c>
      <c r="D399" s="25" t="s">
        <v>19346</v>
      </c>
      <c r="E399" s="26" t="s">
        <v>16544</v>
      </c>
      <c r="F399" s="27" t="s">
        <v>16830</v>
      </c>
      <c r="G399" s="27" t="s">
        <v>16831</v>
      </c>
      <c r="H399" s="27" t="s">
        <v>16881</v>
      </c>
      <c r="I399" s="27" t="s">
        <v>16907</v>
      </c>
      <c r="J399" s="27"/>
      <c r="K399" s="27"/>
      <c r="L399" s="27"/>
      <c r="N399" s="27"/>
      <c r="T399" s="28" t="str">
        <f>LOOKUP(1,1/(Table1[[#This Row],[Level_0]:[Level 15]]&gt;0),(Table1[[#This Row],[Level_0]:[Level 15]]))</f>
        <v>7824200000 - [APA Transfer price adjustment expense]</v>
      </c>
      <c r="U399" s="22">
        <v>394</v>
      </c>
      <c r="W399" s="13" t="str">
        <f>LOOKUP(1,1/(Table1[[#This Row],[Level_0]:[Level 15]]&gt;0),(Table1[[#This Row],[Level_0]:[Level 15]]))</f>
        <v>7824200000 - [APA Transfer price adjustment expense]</v>
      </c>
    </row>
    <row r="400" spans="1:23" hidden="1" x14ac:dyDescent="0.25">
      <c r="A400">
        <v>7824177003</v>
      </c>
      <c r="B400" s="16" t="s">
        <v>21888</v>
      </c>
      <c r="C400" s="16" t="e">
        <f>VLOOKUP(Table1[[#This Row],[Node]],Parent!A:B,2,0)</f>
        <v>#N/A</v>
      </c>
      <c r="D400" s="25" t="s">
        <v>19346</v>
      </c>
      <c r="E400" s="26" t="s">
        <v>16544</v>
      </c>
      <c r="F400" s="27" t="s">
        <v>16830</v>
      </c>
      <c r="G400" s="27" t="s">
        <v>16831</v>
      </c>
      <c r="H400" s="27" t="s">
        <v>16881</v>
      </c>
      <c r="I400" s="27" t="s">
        <v>16908</v>
      </c>
      <c r="J400" s="27"/>
      <c r="K400" s="27"/>
      <c r="L400" s="27"/>
      <c r="N400" s="27"/>
      <c r="T400" s="28" t="str">
        <f>LOOKUP(1,1/(Table1[[#This Row],[Level_0]:[Level 15]]&gt;0),(Table1[[#This Row],[Level_0]:[Level 15]]))</f>
        <v>7824177003 - [APA Environmental exp. for divested busi]</v>
      </c>
      <c r="U400" s="22">
        <v>395</v>
      </c>
      <c r="W400" s="13" t="str">
        <f>LOOKUP(1,1/(Table1[[#This Row],[Level_0]:[Level 15]]&gt;0),(Table1[[#This Row],[Level_0]:[Level 15]]))</f>
        <v>7824177003 - [APA Environmental exp. for divested busi]</v>
      </c>
    </row>
    <row r="401" spans="1:23" hidden="1" x14ac:dyDescent="0.25">
      <c r="A401">
        <v>7824177002</v>
      </c>
      <c r="B401" s="16" t="s">
        <v>21887</v>
      </c>
      <c r="C401" s="16" t="e">
        <f>VLOOKUP(Table1[[#This Row],[Node]],Parent!A:B,2,0)</f>
        <v>#N/A</v>
      </c>
      <c r="D401" s="25" t="s">
        <v>19346</v>
      </c>
      <c r="E401" s="26" t="s">
        <v>16544</v>
      </c>
      <c r="F401" s="27" t="s">
        <v>16830</v>
      </c>
      <c r="G401" s="27" t="s">
        <v>16831</v>
      </c>
      <c r="H401" s="27" t="s">
        <v>16881</v>
      </c>
      <c r="I401" s="27" t="s">
        <v>16909</v>
      </c>
      <c r="J401" s="27"/>
      <c r="K401" s="27"/>
      <c r="L401" s="27"/>
      <c r="N401" s="27"/>
      <c r="T401" s="28" t="str">
        <f>LOOKUP(1,1/(Table1[[#This Row],[Level_0]:[Level 15]]&gt;0),(Table1[[#This Row],[Level_0]:[Level 15]]))</f>
        <v>7824177002 - [APA Non-allocable personnel expenses]</v>
      </c>
      <c r="U401" s="22">
        <v>396</v>
      </c>
      <c r="W401" s="13" t="str">
        <f>LOOKUP(1,1/(Table1[[#This Row],[Level_0]:[Level 15]]&gt;0),(Table1[[#This Row],[Level_0]:[Level 15]]))</f>
        <v>7824177002 - [APA Non-allocable personnel expenses]</v>
      </c>
    </row>
    <row r="402" spans="1:23" hidden="1" x14ac:dyDescent="0.25">
      <c r="A402">
        <v>7824176000</v>
      </c>
      <c r="B402" s="16" t="s">
        <v>21884</v>
      </c>
      <c r="C402" s="16" t="e">
        <f>VLOOKUP(Table1[[#This Row],[Node]],Parent!A:B,2,0)</f>
        <v>#N/A</v>
      </c>
      <c r="D402" s="25" t="s">
        <v>19346</v>
      </c>
      <c r="E402" s="26" t="s">
        <v>16544</v>
      </c>
      <c r="F402" s="27" t="s">
        <v>16830</v>
      </c>
      <c r="G402" s="27" t="s">
        <v>16831</v>
      </c>
      <c r="H402" s="27" t="s">
        <v>16881</v>
      </c>
      <c r="I402" s="27" t="s">
        <v>16910</v>
      </c>
      <c r="J402" s="27"/>
      <c r="K402" s="27"/>
      <c r="L402" s="27"/>
      <c r="N402" s="27"/>
      <c r="T402" s="28" t="str">
        <f>LOOKUP(1,1/(Table1[[#This Row],[Level_0]:[Level 15]]&gt;0),(Table1[[#This Row],[Level_0]:[Level 15]]))</f>
        <v>7824176000 - [APA Exp. arising f. investment property]</v>
      </c>
      <c r="U402" s="22">
        <v>397</v>
      </c>
      <c r="W402" s="13" t="str">
        <f>LOOKUP(1,1/(Table1[[#This Row],[Level_0]:[Level 15]]&gt;0),(Table1[[#This Row],[Level_0]:[Level 15]]))</f>
        <v>7824176000 - [APA Exp. arising f. investment property]</v>
      </c>
    </row>
    <row r="403" spans="1:23" hidden="1" x14ac:dyDescent="0.25">
      <c r="A403">
        <v>7824175000</v>
      </c>
      <c r="B403" s="16" t="s">
        <v>21883</v>
      </c>
      <c r="C403" s="16" t="e">
        <f>VLOOKUP(Table1[[#This Row],[Node]],Parent!A:B,2,0)</f>
        <v>#N/A</v>
      </c>
      <c r="D403" s="25" t="s">
        <v>19346</v>
      </c>
      <c r="E403" s="26" t="s">
        <v>16544</v>
      </c>
      <c r="F403" s="27" t="s">
        <v>16830</v>
      </c>
      <c r="G403" s="27" t="s">
        <v>16831</v>
      </c>
      <c r="H403" s="27" t="s">
        <v>16881</v>
      </c>
      <c r="I403" s="27" t="s">
        <v>16911</v>
      </c>
      <c r="J403" s="27"/>
      <c r="K403" s="27"/>
      <c r="L403" s="27"/>
      <c r="N403" s="27"/>
      <c r="T403" s="28" t="str">
        <f>LOOKUP(1,1/(Table1[[#This Row],[Level_0]:[Level 15]]&gt;0),(Table1[[#This Row],[Level_0]:[Level 15]]))</f>
        <v>7824175000 - [APA Loss from hyperinflation]</v>
      </c>
      <c r="U403" s="22">
        <v>398</v>
      </c>
      <c r="W403" s="13" t="str">
        <f>LOOKUP(1,1/(Table1[[#This Row],[Level_0]:[Level 15]]&gt;0),(Table1[[#This Row],[Level_0]:[Level 15]]))</f>
        <v>7824175000 - [APA Loss from hyperinflation]</v>
      </c>
    </row>
    <row r="404" spans="1:23" hidden="1" x14ac:dyDescent="0.25">
      <c r="A404">
        <v>7824174000</v>
      </c>
      <c r="B404" s="16" t="s">
        <v>21882</v>
      </c>
      <c r="C404" s="16" t="e">
        <f>VLOOKUP(Table1[[#This Row],[Node]],Parent!A:B,2,0)</f>
        <v>#N/A</v>
      </c>
      <c r="D404" s="25" t="s">
        <v>19346</v>
      </c>
      <c r="E404" s="26" t="s">
        <v>16544</v>
      </c>
      <c r="F404" s="27" t="s">
        <v>16830</v>
      </c>
      <c r="G404" s="27" t="s">
        <v>16831</v>
      </c>
      <c r="H404" s="27" t="s">
        <v>16881</v>
      </c>
      <c r="I404" s="27" t="s">
        <v>16912</v>
      </c>
      <c r="J404" s="27"/>
      <c r="K404" s="27"/>
      <c r="L404" s="27"/>
      <c r="N404" s="27"/>
      <c r="T404" s="28" t="str">
        <f>LOOKUP(1,1/(Table1[[#This Row],[Level_0]:[Level 15]]&gt;0),(Table1[[#This Row],[Level_0]:[Level 15]]))</f>
        <v>7824174000 - [APA Integration costs]</v>
      </c>
      <c r="U404" s="22">
        <v>399</v>
      </c>
      <c r="W404" s="13" t="str">
        <f>LOOKUP(1,1/(Table1[[#This Row],[Level_0]:[Level 15]]&gt;0),(Table1[[#This Row],[Level_0]:[Level 15]]))</f>
        <v>7824174000 - [APA Integration costs]</v>
      </c>
    </row>
    <row r="405" spans="1:23" hidden="1" x14ac:dyDescent="0.25">
      <c r="A405">
        <v>7824173000</v>
      </c>
      <c r="B405" s="16" t="s">
        <v>21881</v>
      </c>
      <c r="C405" s="16" t="e">
        <f>VLOOKUP(Table1[[#This Row],[Node]],Parent!A:B,2,0)</f>
        <v>#N/A</v>
      </c>
      <c r="D405" s="25" t="s">
        <v>19346</v>
      </c>
      <c r="E405" s="26" t="s">
        <v>16544</v>
      </c>
      <c r="F405" s="27" t="s">
        <v>16830</v>
      </c>
      <c r="G405" s="27" t="s">
        <v>16831</v>
      </c>
      <c r="H405" s="27" t="s">
        <v>16881</v>
      </c>
      <c r="I405" s="27" t="s">
        <v>16913</v>
      </c>
      <c r="J405" s="27"/>
      <c r="K405" s="27"/>
      <c r="L405" s="27"/>
      <c r="N405" s="27"/>
      <c r="T405" s="28" t="str">
        <f>LOOKUP(1,1/(Table1[[#This Row],[Level_0]:[Level 15]]&gt;0),(Table1[[#This Row],[Level_0]:[Level 15]]))</f>
        <v>7824173000 - [APA Corporate global IT and M&amp;A projects]</v>
      </c>
      <c r="U405" s="22">
        <v>400</v>
      </c>
      <c r="W405" s="13" t="str">
        <f>LOOKUP(1,1/(Table1[[#This Row],[Level_0]:[Level 15]]&gt;0),(Table1[[#This Row],[Level_0]:[Level 15]]))</f>
        <v>7824173000 - [APA Corporate global IT and M&amp;A projects]</v>
      </c>
    </row>
    <row r="406" spans="1:23" hidden="1" x14ac:dyDescent="0.25">
      <c r="A406">
        <v>7824172000</v>
      </c>
      <c r="B406" s="16" t="s">
        <v>21880</v>
      </c>
      <c r="C406" s="16" t="e">
        <f>VLOOKUP(Table1[[#This Row],[Node]],Parent!A:B,2,0)</f>
        <v>#N/A</v>
      </c>
      <c r="D406" s="25" t="s">
        <v>19346</v>
      </c>
      <c r="E406" s="26" t="s">
        <v>16544</v>
      </c>
      <c r="F406" s="27" t="s">
        <v>16830</v>
      </c>
      <c r="G406" s="27" t="s">
        <v>16831</v>
      </c>
      <c r="H406" s="27" t="s">
        <v>16881</v>
      </c>
      <c r="I406" s="27" t="s">
        <v>16914</v>
      </c>
      <c r="J406" s="27"/>
      <c r="K406" s="27"/>
      <c r="L406" s="27"/>
      <c r="N406" s="27"/>
      <c r="T406" s="28" t="str">
        <f>LOOKUP(1,1/(Table1[[#This Row],[Level_0]:[Level 15]]&gt;0),(Table1[[#This Row],[Level_0]:[Level 15]]))</f>
        <v>7824172000 - [APA Loss from fair value changes]</v>
      </c>
      <c r="U406" s="22">
        <v>401</v>
      </c>
      <c r="W406" s="13" t="str">
        <f>LOOKUP(1,1/(Table1[[#This Row],[Level_0]:[Level 15]]&gt;0),(Table1[[#This Row],[Level_0]:[Level 15]]))</f>
        <v>7824172000 - [APA Loss from fair value changes]</v>
      </c>
    </row>
    <row r="407" spans="1:23" hidden="1" x14ac:dyDescent="0.25">
      <c r="A407">
        <v>7824171000</v>
      </c>
      <c r="B407" s="16" t="s">
        <v>21879</v>
      </c>
      <c r="C407" s="16" t="e">
        <f>VLOOKUP(Table1[[#This Row],[Node]],Parent!A:B,2,0)</f>
        <v>#N/A</v>
      </c>
      <c r="D407" s="25" t="s">
        <v>19346</v>
      </c>
      <c r="E407" s="26" t="s">
        <v>16544</v>
      </c>
      <c r="F407" s="27" t="s">
        <v>16830</v>
      </c>
      <c r="G407" s="27" t="s">
        <v>16831</v>
      </c>
      <c r="H407" s="27" t="s">
        <v>16881</v>
      </c>
      <c r="I407" s="27" t="s">
        <v>16915</v>
      </c>
      <c r="J407" s="27"/>
      <c r="K407" s="27"/>
      <c r="L407" s="27"/>
      <c r="N407" s="27"/>
      <c r="T407" s="28" t="str">
        <f>LOOKUP(1,1/(Table1[[#This Row],[Level_0]:[Level 15]]&gt;0),(Table1[[#This Row],[Level_0]:[Level 15]]))</f>
        <v>7824171000 - [APA Expenses from non-core activities]</v>
      </c>
      <c r="U407" s="22">
        <v>402</v>
      </c>
      <c r="W407" s="13" t="str">
        <f>LOOKUP(1,1/(Table1[[#This Row],[Level_0]:[Level 15]]&gt;0),(Table1[[#This Row],[Level_0]:[Level 15]]))</f>
        <v>7824171000 - [APA Expenses from non-core activities]</v>
      </c>
    </row>
    <row r="408" spans="1:23" hidden="1" x14ac:dyDescent="0.25">
      <c r="A408">
        <v>7824161000</v>
      </c>
      <c r="B408" s="16" t="s">
        <v>21874</v>
      </c>
      <c r="C408" s="16" t="e">
        <f>VLOOKUP(Table1[[#This Row],[Node]],Parent!A:B,2,0)</f>
        <v>#N/A</v>
      </c>
      <c r="D408" s="25" t="s">
        <v>19346</v>
      </c>
      <c r="E408" s="26" t="s">
        <v>16544</v>
      </c>
      <c r="F408" s="27" t="s">
        <v>16830</v>
      </c>
      <c r="G408" s="27" t="s">
        <v>16831</v>
      </c>
      <c r="H408" s="27" t="s">
        <v>16881</v>
      </c>
      <c r="I408" s="27" t="s">
        <v>16916</v>
      </c>
      <c r="J408" s="27"/>
      <c r="K408" s="27"/>
      <c r="L408" s="27"/>
      <c r="N408" s="27"/>
      <c r="T408" s="28" t="str">
        <f>LOOKUP(1,1/(Table1[[#This Row],[Level_0]:[Level 15]]&gt;0),(Table1[[#This Row],[Level_0]:[Level 15]]))</f>
        <v>7824161000 - [APA FX expense cash flow hedges]</v>
      </c>
      <c r="U408" s="22">
        <v>403</v>
      </c>
      <c r="W408" s="13" t="str">
        <f>LOOKUP(1,1/(Table1[[#This Row],[Level_0]:[Level 15]]&gt;0),(Table1[[#This Row],[Level_0]:[Level 15]]))</f>
        <v>7824161000 - [APA FX expense cash flow hedges]</v>
      </c>
    </row>
    <row r="409" spans="1:23" hidden="1" x14ac:dyDescent="0.25">
      <c r="A409">
        <v>7824150000</v>
      </c>
      <c r="B409" s="16" t="s">
        <v>21873</v>
      </c>
      <c r="C409" s="16" t="e">
        <f>VLOOKUP(Table1[[#This Row],[Node]],Parent!A:B,2,0)</f>
        <v>#N/A</v>
      </c>
      <c r="D409" s="25" t="s">
        <v>19346</v>
      </c>
      <c r="E409" s="26" t="s">
        <v>16544</v>
      </c>
      <c r="F409" s="27" t="s">
        <v>16830</v>
      </c>
      <c r="G409" s="27" t="s">
        <v>16831</v>
      </c>
      <c r="H409" s="27" t="s">
        <v>16881</v>
      </c>
      <c r="I409" s="27" t="s">
        <v>16917</v>
      </c>
      <c r="J409" s="27"/>
      <c r="K409" s="27"/>
      <c r="L409" s="27"/>
      <c r="N409" s="27"/>
      <c r="T409" s="28" t="str">
        <f>LOOKUP(1,1/(Table1[[#This Row],[Level_0]:[Level 15]]&gt;0),(Table1[[#This Row],[Level_0]:[Level 15]]))</f>
        <v>7824150000 - [APA Profit share expense]</v>
      </c>
      <c r="U409" s="22">
        <v>404</v>
      </c>
      <c r="W409" s="13" t="str">
        <f>LOOKUP(1,1/(Table1[[#This Row],[Level_0]:[Level 15]]&gt;0),(Table1[[#This Row],[Level_0]:[Level 15]]))</f>
        <v>7824150000 - [APA Profit share expense]</v>
      </c>
    </row>
    <row r="410" spans="1:23" hidden="1" x14ac:dyDescent="0.25">
      <c r="A410">
        <v>7824140002</v>
      </c>
      <c r="B410" s="16" t="s">
        <v>21872</v>
      </c>
      <c r="C410" s="16" t="e">
        <f>VLOOKUP(Table1[[#This Row],[Node]],Parent!A:B,2,0)</f>
        <v>#N/A</v>
      </c>
      <c r="D410" s="25" t="s">
        <v>19346</v>
      </c>
      <c r="E410" s="26" t="s">
        <v>16544</v>
      </c>
      <c r="F410" s="27" t="s">
        <v>16830</v>
      </c>
      <c r="G410" s="27" t="s">
        <v>16831</v>
      </c>
      <c r="H410" s="27" t="s">
        <v>16881</v>
      </c>
      <c r="I410" s="27" t="s">
        <v>16918</v>
      </c>
      <c r="J410" s="27"/>
      <c r="K410" s="27"/>
      <c r="L410" s="27"/>
      <c r="N410" s="27"/>
      <c r="T410" s="28" t="str">
        <f>LOOKUP(1,1/(Table1[[#This Row],[Level_0]:[Level 15]]&gt;0),(Table1[[#This Row],[Level_0]:[Level 15]]))</f>
        <v>7824140002 - [APA Prem/Contr./Fees]</v>
      </c>
      <c r="U410" s="22">
        <v>405</v>
      </c>
      <c r="W410" s="13" t="str">
        <f>LOOKUP(1,1/(Table1[[#This Row],[Level_0]:[Level 15]]&gt;0),(Table1[[#This Row],[Level_0]:[Level 15]]))</f>
        <v>7824140002 - [APA Prem/Contr./Fees]</v>
      </c>
    </row>
    <row r="411" spans="1:23" hidden="1" x14ac:dyDescent="0.25">
      <c r="A411">
        <v>7824140000</v>
      </c>
      <c r="B411" s="16" t="s">
        <v>21870</v>
      </c>
      <c r="C411" s="16" t="e">
        <f>VLOOKUP(Table1[[#This Row],[Node]],Parent!A:B,2,0)</f>
        <v>#N/A</v>
      </c>
      <c r="D411" s="25" t="s">
        <v>19346</v>
      </c>
      <c r="E411" s="26" t="s">
        <v>16544</v>
      </c>
      <c r="F411" s="27" t="s">
        <v>16830</v>
      </c>
      <c r="G411" s="27" t="s">
        <v>16831</v>
      </c>
      <c r="H411" s="27" t="s">
        <v>16881</v>
      </c>
      <c r="I411" s="27" t="s">
        <v>16919</v>
      </c>
      <c r="J411" s="27"/>
      <c r="K411" s="27"/>
      <c r="L411" s="27"/>
      <c r="N411" s="27"/>
      <c r="T411" s="28" t="str">
        <f>LOOKUP(1,1/(Table1[[#This Row],[Level_0]:[Level 15]]&gt;0),(Table1[[#This Row],[Level_0]:[Level 15]]))</f>
        <v>7824140000 - [APA Insurance Charge]</v>
      </c>
      <c r="U411" s="22">
        <v>406</v>
      </c>
      <c r="W411" s="13" t="str">
        <f>LOOKUP(1,1/(Table1[[#This Row],[Level_0]:[Level 15]]&gt;0),(Table1[[#This Row],[Level_0]:[Level 15]]))</f>
        <v>7824140000 - [APA Insurance Charge]</v>
      </c>
    </row>
    <row r="412" spans="1:23" hidden="1" x14ac:dyDescent="0.25">
      <c r="A412">
        <v>7824131500</v>
      </c>
      <c r="B412" s="16" t="s">
        <v>21869</v>
      </c>
      <c r="C412" s="16" t="e">
        <f>VLOOKUP(Table1[[#This Row],[Node]],Parent!A:B,2,0)</f>
        <v>#N/A</v>
      </c>
      <c r="D412" s="25" t="s">
        <v>19346</v>
      </c>
      <c r="E412" s="26" t="s">
        <v>16544</v>
      </c>
      <c r="F412" s="27" t="s">
        <v>16830</v>
      </c>
      <c r="G412" s="27" t="s">
        <v>16831</v>
      </c>
      <c r="H412" s="27" t="s">
        <v>16881</v>
      </c>
      <c r="I412" s="27" t="s">
        <v>16920</v>
      </c>
      <c r="J412" s="27"/>
      <c r="K412" s="27"/>
      <c r="L412" s="27"/>
      <c r="N412" s="27"/>
      <c r="T412" s="28" t="str">
        <f>LOOKUP(1,1/(Table1[[#This Row],[Level_0]:[Level 15]]&gt;0),(Table1[[#This Row],[Level_0]:[Level 15]]))</f>
        <v>7824131500 - [APA Cap. loss. (paym.) f. price adj.]</v>
      </c>
      <c r="U412" s="22">
        <v>407</v>
      </c>
      <c r="W412" s="13" t="str">
        <f>LOOKUP(1,1/(Table1[[#This Row],[Level_0]:[Level 15]]&gt;0),(Table1[[#This Row],[Level_0]:[Level 15]]))</f>
        <v>7824131500 - [APA Cap. loss. (paym.) f. price adj.]</v>
      </c>
    </row>
    <row r="413" spans="1:23" hidden="1" x14ac:dyDescent="0.25">
      <c r="A413">
        <v>7824131400</v>
      </c>
      <c r="B413" s="16" t="s">
        <v>21868</v>
      </c>
      <c r="C413" s="16" t="e">
        <f>VLOOKUP(Table1[[#This Row],[Node]],Parent!A:B,2,0)</f>
        <v>#N/A</v>
      </c>
      <c r="D413" s="25" t="s">
        <v>19346</v>
      </c>
      <c r="E413" s="26" t="s">
        <v>16544</v>
      </c>
      <c r="F413" s="27" t="s">
        <v>16830</v>
      </c>
      <c r="G413" s="27" t="s">
        <v>16831</v>
      </c>
      <c r="H413" s="27" t="s">
        <v>16881</v>
      </c>
      <c r="I413" s="27" t="s">
        <v>16921</v>
      </c>
      <c r="J413" s="27"/>
      <c r="K413" s="27"/>
      <c r="L413" s="27"/>
      <c r="N413" s="27"/>
      <c r="T413" s="28" t="str">
        <f>LOOKUP(1,1/(Table1[[#This Row],[Level_0]:[Level 15]]&gt;0),(Table1[[#This Row],[Level_0]:[Level 15]]))</f>
        <v>7824131400 - [APA Cap. loss. (no paym.) f. price adj.]</v>
      </c>
      <c r="U413" s="22">
        <v>408</v>
      </c>
      <c r="W413" s="13" t="str">
        <f>LOOKUP(1,1/(Table1[[#This Row],[Level_0]:[Level 15]]&gt;0),(Table1[[#This Row],[Level_0]:[Level 15]]))</f>
        <v>7824131400 - [APA Cap. loss. (no paym.) f. price adj.]</v>
      </c>
    </row>
    <row r="414" spans="1:23" hidden="1" x14ac:dyDescent="0.25">
      <c r="A414">
        <v>7824131300</v>
      </c>
      <c r="B414" s="16" t="s">
        <v>21867</v>
      </c>
      <c r="C414" s="16" t="e">
        <f>VLOOKUP(Table1[[#This Row],[Node]],Parent!A:B,2,0)</f>
        <v>#N/A</v>
      </c>
      <c r="D414" s="25" t="s">
        <v>19346</v>
      </c>
      <c r="E414" s="26" t="s">
        <v>16544</v>
      </c>
      <c r="F414" s="27" t="s">
        <v>16830</v>
      </c>
      <c r="G414" s="27" t="s">
        <v>16831</v>
      </c>
      <c r="H414" s="27" t="s">
        <v>16881</v>
      </c>
      <c r="I414" s="27" t="s">
        <v>16922</v>
      </c>
      <c r="J414" s="27"/>
      <c r="K414" s="27"/>
      <c r="L414" s="27"/>
      <c r="N414" s="27"/>
      <c r="T414" s="28" t="str">
        <f>LOOKUP(1,1/(Table1[[#This Row],[Level_0]:[Level 15]]&gt;0),(Table1[[#This Row],[Level_0]:[Level 15]]))</f>
        <v>7824131300 - [APA Cap. loss. f. sale of financ. instr.]</v>
      </c>
      <c r="U414" s="22">
        <v>409</v>
      </c>
      <c r="W414" s="13" t="str">
        <f>LOOKUP(1,1/(Table1[[#This Row],[Level_0]:[Level 15]]&gt;0),(Table1[[#This Row],[Level_0]:[Level 15]]))</f>
        <v>7824131300 - [APA Cap. loss. f. sale of financ. instr.]</v>
      </c>
    </row>
    <row r="415" spans="1:23" hidden="1" x14ac:dyDescent="0.25">
      <c r="A415">
        <v>7824120000</v>
      </c>
      <c r="B415" s="16" t="s">
        <v>21864</v>
      </c>
      <c r="C415" s="16" t="e">
        <f>VLOOKUP(Table1[[#This Row],[Node]],Parent!A:B,2,0)</f>
        <v>#N/A</v>
      </c>
      <c r="D415" s="25" t="s">
        <v>19346</v>
      </c>
      <c r="E415" s="26" t="s">
        <v>16544</v>
      </c>
      <c r="F415" s="27" t="s">
        <v>16830</v>
      </c>
      <c r="G415" s="27" t="s">
        <v>16831</v>
      </c>
      <c r="H415" s="27" t="s">
        <v>16881</v>
      </c>
      <c r="I415" s="27" t="s">
        <v>16923</v>
      </c>
      <c r="J415" s="27"/>
      <c r="K415" s="27"/>
      <c r="L415" s="27"/>
      <c r="N415" s="27"/>
      <c r="T415" s="28" t="str">
        <f>LOOKUP(1,1/(Table1[[#This Row],[Level_0]:[Level 15]]&gt;0),(Table1[[#This Row],[Level_0]:[Level 15]]))</f>
        <v>7824120000 - [APA Litigation expenses]</v>
      </c>
      <c r="U415" s="22">
        <v>410</v>
      </c>
      <c r="W415" s="13" t="str">
        <f>LOOKUP(1,1/(Table1[[#This Row],[Level_0]:[Level 15]]&gt;0),(Table1[[#This Row],[Level_0]:[Level 15]]))</f>
        <v>7824120000 - [APA Litigation expenses]</v>
      </c>
    </row>
    <row r="416" spans="1:23" hidden="1" x14ac:dyDescent="0.25">
      <c r="A416">
        <v>7824100000</v>
      </c>
      <c r="B416" s="16" t="s">
        <v>21862</v>
      </c>
      <c r="C416" s="16" t="e">
        <f>VLOOKUP(Table1[[#This Row],[Node]],Parent!A:B,2,0)</f>
        <v>#N/A</v>
      </c>
      <c r="D416" s="25" t="s">
        <v>19346</v>
      </c>
      <c r="E416" s="26" t="s">
        <v>16544</v>
      </c>
      <c r="F416" s="27" t="s">
        <v>16830</v>
      </c>
      <c r="G416" s="27" t="s">
        <v>16831</v>
      </c>
      <c r="H416" s="27" t="s">
        <v>16881</v>
      </c>
      <c r="I416" s="27" t="s">
        <v>16924</v>
      </c>
      <c r="J416" s="27"/>
      <c r="K416" s="27"/>
      <c r="L416" s="27"/>
      <c r="N416" s="27"/>
      <c r="T416" s="28" t="str">
        <f>LOOKUP(1,1/(Table1[[#This Row],[Level_0]:[Level 15]]&gt;0),(Table1[[#This Row],[Level_0]:[Level 15]]))</f>
        <v>7824100000 - [APA Receivable allowances]</v>
      </c>
      <c r="U416" s="22">
        <v>411</v>
      </c>
      <c r="W416" s="13" t="str">
        <f>LOOKUP(1,1/(Table1[[#This Row],[Level_0]:[Level 15]]&gt;0),(Table1[[#This Row],[Level_0]:[Level 15]]))</f>
        <v>7824100000 - [APA Receivable allowances]</v>
      </c>
    </row>
    <row r="417" spans="1:23" hidden="1" x14ac:dyDescent="0.25">
      <c r="A417">
        <v>7823700000</v>
      </c>
      <c r="B417" s="16" t="s">
        <v>21860</v>
      </c>
      <c r="C417" s="16" t="e">
        <f>VLOOKUP(Table1[[#This Row],[Node]],Parent!A:B,2,0)</f>
        <v>#N/A</v>
      </c>
      <c r="D417" s="25" t="s">
        <v>19346</v>
      </c>
      <c r="E417" s="26" t="s">
        <v>16544</v>
      </c>
      <c r="F417" s="27" t="s">
        <v>16830</v>
      </c>
      <c r="G417" s="27" t="s">
        <v>16831</v>
      </c>
      <c r="H417" s="27" t="s">
        <v>16881</v>
      </c>
      <c r="I417" s="27" t="s">
        <v>16925</v>
      </c>
      <c r="J417" s="27"/>
      <c r="K417" s="27"/>
      <c r="L417" s="27"/>
      <c r="N417" s="27"/>
      <c r="T417" s="28" t="str">
        <f>LOOKUP(1,1/(Table1[[#This Row],[Level_0]:[Level 15]]&gt;0),(Table1[[#This Row],[Level_0]:[Level 15]]))</f>
        <v>7823700000 - [APA Roy.&amp;Lic.Inc.Rec at Point in Time-3P]</v>
      </c>
      <c r="U417" s="22">
        <v>412</v>
      </c>
      <c r="W417" s="13" t="str">
        <f>LOOKUP(1,1/(Table1[[#This Row],[Level_0]:[Level 15]]&gt;0),(Table1[[#This Row],[Level_0]:[Level 15]]))</f>
        <v>7823700000 - [APA Roy.&amp;Lic.Inc.Rec at Point in Time-3P]</v>
      </c>
    </row>
    <row r="418" spans="1:23" hidden="1" x14ac:dyDescent="0.25">
      <c r="A418">
        <v>7823650000</v>
      </c>
      <c r="B418" s="16" t="s">
        <v>21859</v>
      </c>
      <c r="C418" s="16" t="e">
        <f>VLOOKUP(Table1[[#This Row],[Node]],Parent!A:B,2,0)</f>
        <v>#N/A</v>
      </c>
      <c r="D418" s="25" t="s">
        <v>19346</v>
      </c>
      <c r="E418" s="26" t="s">
        <v>16544</v>
      </c>
      <c r="F418" s="27" t="s">
        <v>16830</v>
      </c>
      <c r="G418" s="27" t="s">
        <v>16831</v>
      </c>
      <c r="H418" s="27" t="s">
        <v>16881</v>
      </c>
      <c r="I418" s="27" t="s">
        <v>16926</v>
      </c>
      <c r="J418" s="27"/>
      <c r="K418" s="27"/>
      <c r="L418" s="27"/>
      <c r="N418" s="27"/>
      <c r="T418" s="28" t="str">
        <f>LOOKUP(1,1/(Table1[[#This Row],[Level_0]:[Level 15]]&gt;0),(Table1[[#This Row],[Level_0]:[Level 15]]))</f>
        <v>7823650000 - [APA Special Reimb Income]</v>
      </c>
      <c r="U418" s="22">
        <v>413</v>
      </c>
      <c r="W418" s="13" t="str">
        <f>LOOKUP(1,1/(Table1[[#This Row],[Level_0]:[Level 15]]&gt;0),(Table1[[#This Row],[Level_0]:[Level 15]]))</f>
        <v>7823650000 - [APA Special Reimb Income]</v>
      </c>
    </row>
    <row r="419" spans="1:23" hidden="1" x14ac:dyDescent="0.25">
      <c r="A419">
        <v>7823600000</v>
      </c>
      <c r="B419" s="16" t="s">
        <v>21858</v>
      </c>
      <c r="C419" s="16" t="e">
        <f>VLOOKUP(Table1[[#This Row],[Node]],Parent!A:B,2,0)</f>
        <v>#N/A</v>
      </c>
      <c r="D419" s="25" t="s">
        <v>19346</v>
      </c>
      <c r="E419" s="26" t="s">
        <v>16544</v>
      </c>
      <c r="F419" s="27" t="s">
        <v>16830</v>
      </c>
      <c r="G419" s="27" t="s">
        <v>16831</v>
      </c>
      <c r="H419" s="27" t="s">
        <v>16881</v>
      </c>
      <c r="I419" s="27" t="s">
        <v>16927</v>
      </c>
      <c r="J419" s="27"/>
      <c r="K419" s="27"/>
      <c r="L419" s="27"/>
      <c r="N419" s="27"/>
      <c r="T419" s="28" t="str">
        <f>LOOKUP(1,1/(Table1[[#This Row],[Level_0]:[Level 15]]&gt;0),(Table1[[#This Row],[Level_0]:[Level 15]]))</f>
        <v>7823600000 - [APA Transfer price adjustment income]</v>
      </c>
      <c r="U419" s="22">
        <v>414</v>
      </c>
      <c r="W419" s="13" t="str">
        <f>LOOKUP(1,1/(Table1[[#This Row],[Level_0]:[Level 15]]&gt;0),(Table1[[#This Row],[Level_0]:[Level 15]]))</f>
        <v>7823600000 - [APA Transfer price adjustment income]</v>
      </c>
    </row>
    <row r="420" spans="1:23" hidden="1" x14ac:dyDescent="0.25">
      <c r="A420">
        <v>7823454000</v>
      </c>
      <c r="B420" s="16" t="s">
        <v>21856</v>
      </c>
      <c r="C420" s="16" t="e">
        <f>VLOOKUP(Table1[[#This Row],[Node]],Parent!A:B,2,0)</f>
        <v>#N/A</v>
      </c>
      <c r="D420" s="25" t="s">
        <v>19346</v>
      </c>
      <c r="E420" s="26" t="s">
        <v>16544</v>
      </c>
      <c r="F420" s="27" t="s">
        <v>16830</v>
      </c>
      <c r="G420" s="27" t="s">
        <v>16831</v>
      </c>
      <c r="H420" s="27" t="s">
        <v>16881</v>
      </c>
      <c r="I420" s="27" t="s">
        <v>16928</v>
      </c>
      <c r="J420" s="27"/>
      <c r="K420" s="27"/>
      <c r="L420" s="27"/>
      <c r="N420" s="27"/>
      <c r="T420" s="28" t="str">
        <f>LOOKUP(1,1/(Table1[[#This Row],[Level_0]:[Level 15]]&gt;0),(Table1[[#This Row],[Level_0]:[Level 15]]))</f>
        <v>7823454000 - [APA Rental inc. f. investment property]</v>
      </c>
      <c r="U420" s="22">
        <v>415</v>
      </c>
      <c r="W420" s="13" t="str">
        <f>LOOKUP(1,1/(Table1[[#This Row],[Level_0]:[Level 15]]&gt;0),(Table1[[#This Row],[Level_0]:[Level 15]]))</f>
        <v>7823454000 - [APA Rental inc. f. investment property]</v>
      </c>
    </row>
    <row r="421" spans="1:23" hidden="1" x14ac:dyDescent="0.25">
      <c r="A421">
        <v>7823453000</v>
      </c>
      <c r="B421" s="16" t="s">
        <v>21855</v>
      </c>
      <c r="C421" s="16" t="e">
        <f>VLOOKUP(Table1[[#This Row],[Node]],Parent!A:B,2,0)</f>
        <v>#N/A</v>
      </c>
      <c r="D421" s="25" t="s">
        <v>19346</v>
      </c>
      <c r="E421" s="26" t="s">
        <v>16544</v>
      </c>
      <c r="F421" s="27" t="s">
        <v>16830</v>
      </c>
      <c r="G421" s="27" t="s">
        <v>16831</v>
      </c>
      <c r="H421" s="27" t="s">
        <v>16881</v>
      </c>
      <c r="I421" s="27" t="s">
        <v>16929</v>
      </c>
      <c r="J421" s="27"/>
      <c r="K421" s="27"/>
      <c r="L421" s="27"/>
      <c r="N421" s="27"/>
      <c r="T421" s="28" t="str">
        <f>LOOKUP(1,1/(Table1[[#This Row],[Level_0]:[Level 15]]&gt;0),(Table1[[#This Row],[Level_0]:[Level 15]]))</f>
        <v>7823453000 - [APA Gain from hyperinflation]</v>
      </c>
      <c r="U421" s="22">
        <v>416</v>
      </c>
      <c r="W421" s="13" t="str">
        <f>LOOKUP(1,1/(Table1[[#This Row],[Level_0]:[Level 15]]&gt;0),(Table1[[#This Row],[Level_0]:[Level 15]]))</f>
        <v>7823453000 - [APA Gain from hyperinflation]</v>
      </c>
    </row>
    <row r="422" spans="1:23" hidden="1" x14ac:dyDescent="0.25">
      <c r="A422">
        <v>7823451000</v>
      </c>
      <c r="B422" s="16" t="s">
        <v>21853</v>
      </c>
      <c r="C422" s="16" t="e">
        <f>VLOOKUP(Table1[[#This Row],[Node]],Parent!A:B,2,0)</f>
        <v>#N/A</v>
      </c>
      <c r="D422" s="25" t="s">
        <v>19346</v>
      </c>
      <c r="E422" s="26" t="s">
        <v>16544</v>
      </c>
      <c r="F422" s="27" t="s">
        <v>16830</v>
      </c>
      <c r="G422" s="27" t="s">
        <v>16831</v>
      </c>
      <c r="H422" s="27" t="s">
        <v>16881</v>
      </c>
      <c r="I422" s="27" t="s">
        <v>16930</v>
      </c>
      <c r="J422" s="27"/>
      <c r="K422" s="27"/>
      <c r="L422" s="27"/>
      <c r="N422" s="27"/>
      <c r="T422" s="28" t="str">
        <f>LOOKUP(1,1/(Table1[[#This Row],[Level_0]:[Level 15]]&gt;0),(Table1[[#This Row],[Level_0]:[Level 15]]))</f>
        <v>7823451000 - [APA Income from non-core activities]</v>
      </c>
      <c r="U422" s="22">
        <v>417</v>
      </c>
      <c r="W422" s="13" t="str">
        <f>LOOKUP(1,1/(Table1[[#This Row],[Level_0]:[Level 15]]&gt;0),(Table1[[#This Row],[Level_0]:[Level 15]]))</f>
        <v>7823451000 - [APA Income from non-core activities]</v>
      </c>
    </row>
    <row r="423" spans="1:23" hidden="1" x14ac:dyDescent="0.25">
      <c r="A423">
        <v>7823350000</v>
      </c>
      <c r="B423" s="16" t="s">
        <v>21847</v>
      </c>
      <c r="C423" s="16" t="e">
        <f>VLOOKUP(Table1[[#This Row],[Node]],Parent!A:B,2,0)</f>
        <v>#N/A</v>
      </c>
      <c r="D423" s="25" t="s">
        <v>19346</v>
      </c>
      <c r="E423" s="26" t="s">
        <v>16544</v>
      </c>
      <c r="F423" s="27" t="s">
        <v>16830</v>
      </c>
      <c r="G423" s="27" t="s">
        <v>16831</v>
      </c>
      <c r="H423" s="27" t="s">
        <v>16881</v>
      </c>
      <c r="I423" s="27" t="s">
        <v>16931</v>
      </c>
      <c r="J423" s="27"/>
      <c r="K423" s="27"/>
      <c r="L423" s="27"/>
      <c r="N423" s="27"/>
      <c r="T423" s="28" t="str">
        <f>LOOKUP(1,1/(Table1[[#This Row],[Level_0]:[Level 15]]&gt;0),(Table1[[#This Row],[Level_0]:[Level 15]]))</f>
        <v>7823350000 - [APA Inc. f. reversal litig. (operat.)]</v>
      </c>
      <c r="U423" s="22">
        <v>418</v>
      </c>
      <c r="W423" s="13" t="str">
        <f>LOOKUP(1,1/(Table1[[#This Row],[Level_0]:[Level 15]]&gt;0),(Table1[[#This Row],[Level_0]:[Level 15]]))</f>
        <v>7823350000 - [APA Inc. f. reversal litig. (operat.)]</v>
      </c>
    </row>
    <row r="424" spans="1:23" hidden="1" x14ac:dyDescent="0.25">
      <c r="A424">
        <v>7823301500</v>
      </c>
      <c r="B424" s="16" t="s">
        <v>21846</v>
      </c>
      <c r="C424" s="16" t="e">
        <f>VLOOKUP(Table1[[#This Row],[Node]],Parent!A:B,2,0)</f>
        <v>#N/A</v>
      </c>
      <c r="D424" s="25" t="s">
        <v>19346</v>
      </c>
      <c r="E424" s="26" t="s">
        <v>16544</v>
      </c>
      <c r="F424" s="27" t="s">
        <v>16830</v>
      </c>
      <c r="G424" s="27" t="s">
        <v>16831</v>
      </c>
      <c r="H424" s="27" t="s">
        <v>16881</v>
      </c>
      <c r="I424" s="27" t="s">
        <v>16932</v>
      </c>
      <c r="J424" s="27"/>
      <c r="K424" s="27"/>
      <c r="L424" s="27"/>
      <c r="N424" s="27"/>
      <c r="T424" s="28" t="str">
        <f>LOOKUP(1,1/(Table1[[#This Row],[Level_0]:[Level 15]]&gt;0),(Table1[[#This Row],[Level_0]:[Level 15]]))</f>
        <v>7823301500 - [APA Cap. gains (paym.) f. divestitures]</v>
      </c>
      <c r="U424" s="22">
        <v>419</v>
      </c>
      <c r="W424" s="13" t="str">
        <f>LOOKUP(1,1/(Table1[[#This Row],[Level_0]:[Level 15]]&gt;0),(Table1[[#This Row],[Level_0]:[Level 15]]))</f>
        <v>7823301500 - [APA Cap. gains (paym.) f. divestitures]</v>
      </c>
    </row>
    <row r="425" spans="1:23" hidden="1" x14ac:dyDescent="0.25">
      <c r="A425">
        <v>7823250000</v>
      </c>
      <c r="B425" s="16" t="s">
        <v>21841</v>
      </c>
      <c r="C425" s="16" t="e">
        <f>VLOOKUP(Table1[[#This Row],[Node]],Parent!A:B,2,0)</f>
        <v>#N/A</v>
      </c>
      <c r="D425" s="25" t="s">
        <v>19346</v>
      </c>
      <c r="E425" s="26" t="s">
        <v>16544</v>
      </c>
      <c r="F425" s="27" t="s">
        <v>16830</v>
      </c>
      <c r="G425" s="27" t="s">
        <v>16831</v>
      </c>
      <c r="H425" s="27" t="s">
        <v>16881</v>
      </c>
      <c r="I425" s="27" t="s">
        <v>16933</v>
      </c>
      <c r="J425" s="27"/>
      <c r="K425" s="27"/>
      <c r="L425" s="27"/>
      <c r="N425" s="27"/>
      <c r="T425" s="28" t="str">
        <f>LOOKUP(1,1/(Table1[[#This Row],[Level_0]:[Level 15]]&gt;0),(Table1[[#This Row],[Level_0]:[Level 15]]))</f>
        <v>7823250000 - [APA Income from A/R allowance reversals]</v>
      </c>
      <c r="U425" s="22">
        <v>420</v>
      </c>
      <c r="W425" s="13" t="str">
        <f>LOOKUP(1,1/(Table1[[#This Row],[Level_0]:[Level 15]]&gt;0),(Table1[[#This Row],[Level_0]:[Level 15]]))</f>
        <v>7823250000 - [APA Income from A/R allowance reversals]</v>
      </c>
    </row>
    <row r="426" spans="1:23" hidden="1" x14ac:dyDescent="0.25">
      <c r="A426">
        <v>7824165000</v>
      </c>
      <c r="B426" s="16" t="s">
        <v>21878</v>
      </c>
      <c r="C426" s="16" t="e">
        <f>VLOOKUP(Table1[[#This Row],[Node]],Parent!A:B,2,0)</f>
        <v>#N/A</v>
      </c>
      <c r="D426" s="25" t="s">
        <v>19346</v>
      </c>
      <c r="E426" s="26" t="s">
        <v>16544</v>
      </c>
      <c r="F426" s="27" t="s">
        <v>16830</v>
      </c>
      <c r="G426" s="27" t="s">
        <v>16831</v>
      </c>
      <c r="H426" s="27" t="s">
        <v>16881</v>
      </c>
      <c r="I426" s="27" t="s">
        <v>16934</v>
      </c>
      <c r="J426" s="27"/>
      <c r="K426" s="27"/>
      <c r="L426" s="27"/>
      <c r="N426" s="27"/>
      <c r="T426" s="28" t="str">
        <f>LOOKUP(1,1/(Table1[[#This Row],[Level_0]:[Level 15]]&gt;0),(Table1[[#This Row],[Level_0]:[Level 15]]))</f>
        <v>7824165000 - [APA FX exp. operat. hedging,realized]</v>
      </c>
      <c r="U426" s="22">
        <v>421</v>
      </c>
      <c r="W426" s="13" t="str">
        <f>LOOKUP(1,1/(Table1[[#This Row],[Level_0]:[Level 15]]&gt;0),(Table1[[#This Row],[Level_0]:[Level 15]]))</f>
        <v>7824165000 - [APA FX exp. operat. hedging,realized]</v>
      </c>
    </row>
    <row r="427" spans="1:23" hidden="1" x14ac:dyDescent="0.25">
      <c r="A427">
        <v>7824164000</v>
      </c>
      <c r="B427" s="16" t="s">
        <v>21877</v>
      </c>
      <c r="C427" s="16" t="e">
        <f>VLOOKUP(Table1[[#This Row],[Node]],Parent!A:B,2,0)</f>
        <v>#N/A</v>
      </c>
      <c r="D427" s="25" t="s">
        <v>19346</v>
      </c>
      <c r="E427" s="26" t="s">
        <v>16544</v>
      </c>
      <c r="F427" s="27" t="s">
        <v>16830</v>
      </c>
      <c r="G427" s="27" t="s">
        <v>16831</v>
      </c>
      <c r="H427" s="27" t="s">
        <v>16881</v>
      </c>
      <c r="I427" s="27" t="s">
        <v>16935</v>
      </c>
      <c r="J427" s="27"/>
      <c r="K427" s="27"/>
      <c r="L427" s="27"/>
      <c r="N427" s="27"/>
      <c r="T427" s="28" t="str">
        <f>LOOKUP(1,1/(Table1[[#This Row],[Level_0]:[Level 15]]&gt;0),(Table1[[#This Row],[Level_0]:[Level 15]]))</f>
        <v>7824164000 - [APA FX exp. operat. hedging,unrealized]</v>
      </c>
      <c r="U427" s="22">
        <v>422</v>
      </c>
      <c r="W427" s="13" t="str">
        <f>LOOKUP(1,1/(Table1[[#This Row],[Level_0]:[Level 15]]&gt;0),(Table1[[#This Row],[Level_0]:[Level 15]]))</f>
        <v>7824164000 - [APA FX exp. operat. hedging,unrealized]</v>
      </c>
    </row>
    <row r="428" spans="1:23" hidden="1" x14ac:dyDescent="0.25">
      <c r="A428">
        <v>7823405000</v>
      </c>
      <c r="B428" s="16" t="s">
        <v>21852</v>
      </c>
      <c r="C428" s="16" t="e">
        <f>VLOOKUP(Table1[[#This Row],[Node]],Parent!A:B,2,0)</f>
        <v>#N/A</v>
      </c>
      <c r="D428" s="25" t="s">
        <v>19346</v>
      </c>
      <c r="E428" s="26" t="s">
        <v>16544</v>
      </c>
      <c r="F428" s="27" t="s">
        <v>16830</v>
      </c>
      <c r="G428" s="27" t="s">
        <v>16831</v>
      </c>
      <c r="H428" s="27" t="s">
        <v>16881</v>
      </c>
      <c r="I428" s="27" t="s">
        <v>16936</v>
      </c>
      <c r="J428" s="27"/>
      <c r="K428" s="27"/>
      <c r="L428" s="27"/>
      <c r="N428" s="27"/>
      <c r="T428" s="28" t="str">
        <f>LOOKUP(1,1/(Table1[[#This Row],[Level_0]:[Level 15]]&gt;0),(Table1[[#This Row],[Level_0]:[Level 15]]))</f>
        <v>7823405000 - [APA FX gains operat. hedging, realized]</v>
      </c>
      <c r="U428" s="22">
        <v>423</v>
      </c>
      <c r="W428" s="13" t="str">
        <f>LOOKUP(1,1/(Table1[[#This Row],[Level_0]:[Level 15]]&gt;0),(Table1[[#This Row],[Level_0]:[Level 15]]))</f>
        <v>7823405000 - [APA FX gains operat. hedging, realized]</v>
      </c>
    </row>
    <row r="429" spans="1:23" hidden="1" x14ac:dyDescent="0.25">
      <c r="A429">
        <v>7823404000</v>
      </c>
      <c r="B429" s="16" t="s">
        <v>21851</v>
      </c>
      <c r="C429" s="16" t="e">
        <f>VLOOKUP(Table1[[#This Row],[Node]],Parent!A:B,2,0)</f>
        <v>#N/A</v>
      </c>
      <c r="D429" s="25" t="s">
        <v>19346</v>
      </c>
      <c r="E429" s="26" t="s">
        <v>16544</v>
      </c>
      <c r="F429" s="27" t="s">
        <v>16830</v>
      </c>
      <c r="G429" s="27" t="s">
        <v>16831</v>
      </c>
      <c r="H429" s="27" t="s">
        <v>16881</v>
      </c>
      <c r="I429" s="27" t="s">
        <v>16937</v>
      </c>
      <c r="J429" s="27"/>
      <c r="K429" s="27"/>
      <c r="L429" s="27"/>
      <c r="N429" s="27"/>
      <c r="T429" s="28" t="str">
        <f>LOOKUP(1,1/(Table1[[#This Row],[Level_0]:[Level 15]]&gt;0),(Table1[[#This Row],[Level_0]:[Level 15]]))</f>
        <v>7823404000 - [APA FX gains operat. hedging, unrealize		X	X	X	X		]</v>
      </c>
      <c r="U429" s="22">
        <v>424</v>
      </c>
      <c r="W429" s="13" t="str">
        <f>LOOKUP(1,1/(Table1[[#This Row],[Level_0]:[Level 15]]&gt;0),(Table1[[#This Row],[Level_0]:[Level 15]]))</f>
        <v>7823404000 - [APA FX gains operat. hedging, unrealize		X	X	X	X		]</v>
      </c>
    </row>
    <row r="430" spans="1:23" hidden="1" x14ac:dyDescent="0.25">
      <c r="A430">
        <v>7831119000</v>
      </c>
      <c r="B430" s="16" t="s">
        <v>21933</v>
      </c>
      <c r="C430" s="16" t="e">
        <f>VLOOKUP(Table1[[#This Row],[Node]],Parent!A:B,2,0)</f>
        <v>#N/A</v>
      </c>
      <c r="D430" s="25" t="s">
        <v>19346</v>
      </c>
      <c r="E430" s="26" t="s">
        <v>16544</v>
      </c>
      <c r="F430" s="27" t="s">
        <v>16830</v>
      </c>
      <c r="G430" s="27" t="s">
        <v>16831</v>
      </c>
      <c r="H430" s="27" t="s">
        <v>16881</v>
      </c>
      <c r="I430" s="27" t="s">
        <v>16938</v>
      </c>
      <c r="J430" s="27"/>
      <c r="K430" s="27"/>
      <c r="L430" s="27"/>
      <c r="N430" s="27"/>
      <c r="T430" s="28" t="str">
        <f>LOOKUP(1,1/(Table1[[#This Row],[Level_0]:[Level 15]]&gt;0),(Table1[[#This Row],[Level_0]:[Level 15]]))</f>
        <v>7831119000 - [APA FX Exp.Derivative-Financing-Realiz.]</v>
      </c>
      <c r="U430" s="22">
        <v>425</v>
      </c>
      <c r="W430" s="13" t="str">
        <f>LOOKUP(1,1/(Table1[[#This Row],[Level_0]:[Level 15]]&gt;0),(Table1[[#This Row],[Level_0]:[Level 15]]))</f>
        <v>7831119000 - [APA FX Exp.Derivative-Financing-Realiz.]</v>
      </c>
    </row>
    <row r="431" spans="1:23" hidden="1" x14ac:dyDescent="0.25">
      <c r="A431">
        <v>7831115000</v>
      </c>
      <c r="B431" s="16" t="s">
        <v>21929</v>
      </c>
      <c r="C431" s="16" t="e">
        <f>VLOOKUP(Table1[[#This Row],[Node]],Parent!A:B,2,0)</f>
        <v>#N/A</v>
      </c>
      <c r="D431" s="25" t="s">
        <v>19346</v>
      </c>
      <c r="E431" s="26" t="s">
        <v>16544</v>
      </c>
      <c r="F431" s="27" t="s">
        <v>16830</v>
      </c>
      <c r="G431" s="27" t="s">
        <v>16831</v>
      </c>
      <c r="H431" s="27" t="s">
        <v>16881</v>
      </c>
      <c r="I431" s="27" t="s">
        <v>16939</v>
      </c>
      <c r="J431" s="27"/>
      <c r="K431" s="27"/>
      <c r="L431" s="27"/>
      <c r="N431" s="27"/>
      <c r="T431" s="28" t="str">
        <f>LOOKUP(1,1/(Table1[[#This Row],[Level_0]:[Level 15]]&gt;0),(Table1[[#This Row],[Level_0]:[Level 15]]))</f>
        <v>7831115000 - [APA FX Exp.Financing-Realized Other]</v>
      </c>
      <c r="U431" s="22">
        <v>426</v>
      </c>
      <c r="W431" s="13" t="str">
        <f>LOOKUP(1,1/(Table1[[#This Row],[Level_0]:[Level 15]]&gt;0),(Table1[[#This Row],[Level_0]:[Level 15]]))</f>
        <v>7831115000 - [APA FX Exp.Financing-Realized Other]</v>
      </c>
    </row>
    <row r="432" spans="1:23" hidden="1" x14ac:dyDescent="0.25">
      <c r="A432">
        <v>7831109200</v>
      </c>
      <c r="B432" s="16" t="s">
        <v>21924</v>
      </c>
      <c r="C432" s="16" t="e">
        <f>VLOOKUP(Table1[[#This Row],[Node]],Parent!A:B,2,0)</f>
        <v>#N/A</v>
      </c>
      <c r="D432" s="25" t="s">
        <v>19346</v>
      </c>
      <c r="E432" s="26" t="s">
        <v>16544</v>
      </c>
      <c r="F432" s="27" t="s">
        <v>16830</v>
      </c>
      <c r="G432" s="27" t="s">
        <v>16831</v>
      </c>
      <c r="H432" s="27" t="s">
        <v>16881</v>
      </c>
      <c r="I432" s="27" t="s">
        <v>16940</v>
      </c>
      <c r="J432" s="27"/>
      <c r="K432" s="27"/>
      <c r="L432" s="27"/>
      <c r="N432" s="27"/>
      <c r="T432" s="28" t="str">
        <f>LOOKUP(1,1/(Table1[[#This Row],[Level_0]:[Level 15]]&gt;0),(Table1[[#This Row],[Level_0]:[Level 15]]))</f>
        <v>7831109200 - [APA Interest ExpenseTax Liabilities Accr]</v>
      </c>
      <c r="U432" s="22">
        <v>427</v>
      </c>
      <c r="W432" s="13" t="str">
        <f>LOOKUP(1,1/(Table1[[#This Row],[Level_0]:[Level 15]]&gt;0),(Table1[[#This Row],[Level_0]:[Level 15]]))</f>
        <v>7831109200 - [APA Interest ExpenseTax Liabilities Accr]</v>
      </c>
    </row>
    <row r="433" spans="1:23" hidden="1" x14ac:dyDescent="0.25">
      <c r="A433">
        <v>7831109100</v>
      </c>
      <c r="B433" s="16" t="s">
        <v>21923</v>
      </c>
      <c r="C433" s="16" t="e">
        <f>VLOOKUP(Table1[[#This Row],[Node]],Parent!A:B,2,0)</f>
        <v>#N/A</v>
      </c>
      <c r="D433" s="25" t="s">
        <v>19346</v>
      </c>
      <c r="E433" s="26" t="s">
        <v>16544</v>
      </c>
      <c r="F433" s="27" t="s">
        <v>16830</v>
      </c>
      <c r="G433" s="27" t="s">
        <v>16831</v>
      </c>
      <c r="H433" s="27" t="s">
        <v>16881</v>
      </c>
      <c r="I433" s="27" t="s">
        <v>16941</v>
      </c>
      <c r="J433" s="27"/>
      <c r="K433" s="27"/>
      <c r="L433" s="27"/>
      <c r="N433" s="27"/>
      <c r="T433" s="28" t="str">
        <f>LOOKUP(1,1/(Table1[[#This Row],[Level_0]:[Level 15]]&gt;0),(Table1[[#This Row],[Level_0]:[Level 15]]))</f>
        <v>7831109100 - [APA Interest ExpenseTax Liabilities Paid]</v>
      </c>
      <c r="U433" s="22">
        <v>428</v>
      </c>
      <c r="W433" s="13" t="str">
        <f>LOOKUP(1,1/(Table1[[#This Row],[Level_0]:[Level 15]]&gt;0),(Table1[[#This Row],[Level_0]:[Level 15]]))</f>
        <v>7831109100 - [APA Interest ExpenseTax Liabilities Paid]</v>
      </c>
    </row>
    <row r="434" spans="1:23" hidden="1" x14ac:dyDescent="0.25">
      <c r="A434">
        <v>7831104000</v>
      </c>
      <c r="B434" s="16" t="s">
        <v>21917</v>
      </c>
      <c r="C434" s="16" t="e">
        <f>VLOOKUP(Table1[[#This Row],[Node]],Parent!A:B,2,0)</f>
        <v>#N/A</v>
      </c>
      <c r="D434" s="25" t="s">
        <v>19346</v>
      </c>
      <c r="E434" s="26" t="s">
        <v>16544</v>
      </c>
      <c r="F434" s="27" t="s">
        <v>16830</v>
      </c>
      <c r="G434" s="27" t="s">
        <v>16831</v>
      </c>
      <c r="H434" s="27" t="s">
        <v>16881</v>
      </c>
      <c r="I434" s="27" t="s">
        <v>16942</v>
      </c>
      <c r="J434" s="27"/>
      <c r="K434" s="27"/>
      <c r="L434" s="27"/>
      <c r="N434" s="27"/>
      <c r="T434" s="28" t="str">
        <f>LOOKUP(1,1/(Table1[[#This Row],[Level_0]:[Level 15]]&gt;0),(Table1[[#This Row],[Level_0]:[Level 15]]))</f>
        <v>7831104000 - [APA Interest exp.(int.derivatives)Accrue]</v>
      </c>
      <c r="U434" s="22">
        <v>429</v>
      </c>
      <c r="W434" s="13" t="str">
        <f>LOOKUP(1,1/(Table1[[#This Row],[Level_0]:[Level 15]]&gt;0),(Table1[[#This Row],[Level_0]:[Level 15]]))</f>
        <v>7831104000 - [APA Interest exp.(int.derivatives)Accrue]</v>
      </c>
    </row>
    <row r="435" spans="1:23" hidden="1" x14ac:dyDescent="0.25">
      <c r="A435">
        <v>7831103000</v>
      </c>
      <c r="B435" s="16" t="s">
        <v>21916</v>
      </c>
      <c r="C435" s="16" t="e">
        <f>VLOOKUP(Table1[[#This Row],[Node]],Parent!A:B,2,0)</f>
        <v>#N/A</v>
      </c>
      <c r="D435" s="25" t="s">
        <v>19346</v>
      </c>
      <c r="E435" s="26" t="s">
        <v>16544</v>
      </c>
      <c r="F435" s="27" t="s">
        <v>16830</v>
      </c>
      <c r="G435" s="27" t="s">
        <v>16831</v>
      </c>
      <c r="H435" s="27" t="s">
        <v>16881</v>
      </c>
      <c r="I435" s="27" t="s">
        <v>16943</v>
      </c>
      <c r="J435" s="27"/>
      <c r="K435" s="27"/>
      <c r="L435" s="27"/>
      <c r="N435" s="27"/>
      <c r="T435" s="28" t="str">
        <f>LOOKUP(1,1/(Table1[[#This Row],[Level_0]:[Level 15]]&gt;0),(Table1[[#This Row],[Level_0]:[Level 15]]))</f>
        <v>7831103000 - [APA Interest exp.(int.derivatives)paid]</v>
      </c>
      <c r="U435" s="22">
        <v>430</v>
      </c>
      <c r="W435" s="13" t="str">
        <f>LOOKUP(1,1/(Table1[[#This Row],[Level_0]:[Level 15]]&gt;0),(Table1[[#This Row],[Level_0]:[Level 15]]))</f>
        <v>7831103000 - [APA Interest exp.(int.derivatives)paid]</v>
      </c>
    </row>
    <row r="436" spans="1:23" hidden="1" x14ac:dyDescent="0.25">
      <c r="A436">
        <v>7831102000</v>
      </c>
      <c r="B436" s="16" t="s">
        <v>21915</v>
      </c>
      <c r="C436" s="16" t="e">
        <f>VLOOKUP(Table1[[#This Row],[Node]],Parent!A:B,2,0)</f>
        <v>#N/A</v>
      </c>
      <c r="D436" s="25" t="s">
        <v>19346</v>
      </c>
      <c r="E436" s="26" t="s">
        <v>16544</v>
      </c>
      <c r="F436" s="27" t="s">
        <v>16830</v>
      </c>
      <c r="G436" s="27" t="s">
        <v>16831</v>
      </c>
      <c r="H436" s="27" t="s">
        <v>16881</v>
      </c>
      <c r="I436" s="27" t="s">
        <v>16944</v>
      </c>
      <c r="J436" s="27"/>
      <c r="K436" s="27"/>
      <c r="L436" s="27"/>
      <c r="N436" s="27"/>
      <c r="T436" s="28" t="str">
        <f>LOOKUP(1,1/(Table1[[#This Row],[Level_0]:[Level 15]]&gt;0),(Table1[[#This Row],[Level_0]:[Level 15]]))</f>
        <v>7831102000 - [APA Interest expenses accrued]</v>
      </c>
      <c r="U436" s="22">
        <v>431</v>
      </c>
      <c r="W436" s="13" t="str">
        <f>LOOKUP(1,1/(Table1[[#This Row],[Level_0]:[Level 15]]&gt;0),(Table1[[#This Row],[Level_0]:[Level 15]]))</f>
        <v>7831102000 - [APA Interest expenses accrued]</v>
      </c>
    </row>
    <row r="437" spans="1:23" hidden="1" x14ac:dyDescent="0.25">
      <c r="A437">
        <v>7831101000</v>
      </c>
      <c r="B437" s="16" t="s">
        <v>21914</v>
      </c>
      <c r="C437" s="16" t="e">
        <f>VLOOKUP(Table1[[#This Row],[Node]],Parent!A:B,2,0)</f>
        <v>#N/A</v>
      </c>
      <c r="D437" s="25" t="s">
        <v>19346</v>
      </c>
      <c r="E437" s="26" t="s">
        <v>16544</v>
      </c>
      <c r="F437" s="27" t="s">
        <v>16830</v>
      </c>
      <c r="G437" s="27" t="s">
        <v>16831</v>
      </c>
      <c r="H437" s="27" t="s">
        <v>16881</v>
      </c>
      <c r="I437" s="27" t="s">
        <v>16945</v>
      </c>
      <c r="J437" s="27"/>
      <c r="K437" s="27"/>
      <c r="L437" s="27"/>
      <c r="N437" s="27"/>
      <c r="T437" s="28" t="str">
        <f>LOOKUP(1,1/(Table1[[#This Row],[Level_0]:[Level 15]]&gt;0),(Table1[[#This Row],[Level_0]:[Level 15]]))</f>
        <v>7831101000 - [APA Interest expenses paid]</v>
      </c>
      <c r="U437" s="22">
        <v>432</v>
      </c>
      <c r="W437" s="13" t="str">
        <f>LOOKUP(1,1/(Table1[[#This Row],[Level_0]:[Level 15]]&gt;0),(Table1[[#This Row],[Level_0]:[Level 15]]))</f>
        <v>7831101000 - [APA Interest expenses paid]</v>
      </c>
    </row>
    <row r="438" spans="1:23" hidden="1" x14ac:dyDescent="0.25">
      <c r="A438">
        <v>7830119100</v>
      </c>
      <c r="B438" s="16" t="s">
        <v>21904</v>
      </c>
      <c r="C438" s="16" t="e">
        <f>VLOOKUP(Table1[[#This Row],[Node]],Parent!A:B,2,0)</f>
        <v>#N/A</v>
      </c>
      <c r="D438" s="25" t="s">
        <v>19346</v>
      </c>
      <c r="E438" s="26" t="s">
        <v>16544</v>
      </c>
      <c r="F438" s="27" t="s">
        <v>16830</v>
      </c>
      <c r="G438" s="27" t="s">
        <v>16831</v>
      </c>
      <c r="H438" s="27" t="s">
        <v>16881</v>
      </c>
      <c r="I438" s="27" t="s">
        <v>16946</v>
      </c>
      <c r="J438" s="27"/>
      <c r="K438" s="27"/>
      <c r="L438" s="27"/>
      <c r="N438" s="27"/>
      <c r="T438" s="28" t="str">
        <f>LOOKUP(1,1/(Table1[[#This Row],[Level_0]:[Level 15]]&gt;0),(Table1[[#This Row],[Level_0]:[Level 15]]))</f>
        <v>7830119100 - [APA Interest Income Tax Receivables Accr]</v>
      </c>
      <c r="U438" s="22">
        <v>433</v>
      </c>
      <c r="W438" s="13" t="str">
        <f>LOOKUP(1,1/(Table1[[#This Row],[Level_0]:[Level 15]]&gt;0),(Table1[[#This Row],[Level_0]:[Level 15]]))</f>
        <v>7830119100 - [APA Interest Income Tax Receivables Accr]</v>
      </c>
    </row>
    <row r="439" spans="1:23" hidden="1" x14ac:dyDescent="0.25">
      <c r="A439">
        <v>7830119000</v>
      </c>
      <c r="B439" s="16" t="s">
        <v>21903</v>
      </c>
      <c r="C439" s="16" t="e">
        <f>VLOOKUP(Table1[[#This Row],[Node]],Parent!A:B,2,0)</f>
        <v>#N/A</v>
      </c>
      <c r="D439" s="25" t="s">
        <v>19346</v>
      </c>
      <c r="E439" s="26" t="s">
        <v>16544</v>
      </c>
      <c r="F439" s="27" t="s">
        <v>16830</v>
      </c>
      <c r="G439" s="27" t="s">
        <v>16831</v>
      </c>
      <c r="H439" s="27" t="s">
        <v>16881</v>
      </c>
      <c r="I439" s="27" t="s">
        <v>16947</v>
      </c>
      <c r="J439" s="27"/>
      <c r="K439" s="27"/>
      <c r="L439" s="27"/>
      <c r="N439" s="27"/>
      <c r="T439" s="28" t="str">
        <f>LOOKUP(1,1/(Table1[[#This Row],[Level_0]:[Level 15]]&gt;0),(Table1[[#This Row],[Level_0]:[Level 15]]))</f>
        <v>7830119000 - [APA Interest Income Tax Receivables Rec]</v>
      </c>
      <c r="U439" s="22">
        <v>434</v>
      </c>
      <c r="W439" s="13" t="str">
        <f>LOOKUP(1,1/(Table1[[#This Row],[Level_0]:[Level 15]]&gt;0),(Table1[[#This Row],[Level_0]:[Level 15]]))</f>
        <v>7830119000 - [APA Interest Income Tax Receivables Rec]</v>
      </c>
    </row>
    <row r="440" spans="1:23" hidden="1" x14ac:dyDescent="0.25">
      <c r="A440">
        <v>7830112000</v>
      </c>
      <c r="B440" s="16" t="s">
        <v>21897</v>
      </c>
      <c r="C440" s="16" t="e">
        <f>VLOOKUP(Table1[[#This Row],[Node]],Parent!A:B,2,0)</f>
        <v>#N/A</v>
      </c>
      <c r="D440" s="25" t="s">
        <v>19346</v>
      </c>
      <c r="E440" s="26" t="s">
        <v>16544</v>
      </c>
      <c r="F440" s="27" t="s">
        <v>16830</v>
      </c>
      <c r="G440" s="27" t="s">
        <v>16831</v>
      </c>
      <c r="H440" s="27" t="s">
        <v>16881</v>
      </c>
      <c r="I440" s="27" t="s">
        <v>16948</v>
      </c>
      <c r="J440" s="27"/>
      <c r="K440" s="27"/>
      <c r="L440" s="27"/>
      <c r="N440" s="27"/>
      <c r="T440" s="28" t="str">
        <f>LOOKUP(1,1/(Table1[[#This Row],[Level_0]:[Level 15]]&gt;0),(Table1[[#This Row],[Level_0]:[Level 15]]))</f>
        <v>7830112000 - [APA Interest income accrued]</v>
      </c>
      <c r="U440" s="22">
        <v>435</v>
      </c>
      <c r="W440" s="13" t="str">
        <f>LOOKUP(1,1/(Table1[[#This Row],[Level_0]:[Level 15]]&gt;0),(Table1[[#This Row],[Level_0]:[Level 15]]))</f>
        <v>7830112000 - [APA Interest income accrued]</v>
      </c>
    </row>
    <row r="441" spans="1:23" hidden="1" x14ac:dyDescent="0.25">
      <c r="A441">
        <v>7830111000</v>
      </c>
      <c r="B441" s="16" t="s">
        <v>21896</v>
      </c>
      <c r="C441" s="16" t="e">
        <f>VLOOKUP(Table1[[#This Row],[Node]],Parent!A:B,2,0)</f>
        <v>#N/A</v>
      </c>
      <c r="D441" s="25" t="s">
        <v>19346</v>
      </c>
      <c r="E441" s="26" t="s">
        <v>16544</v>
      </c>
      <c r="F441" s="27" t="s">
        <v>16830</v>
      </c>
      <c r="G441" s="27" t="s">
        <v>16831</v>
      </c>
      <c r="H441" s="27" t="s">
        <v>16881</v>
      </c>
      <c r="I441" s="27" t="s">
        <v>16949</v>
      </c>
      <c r="J441" s="27"/>
      <c r="K441" s="27"/>
      <c r="L441" s="27"/>
      <c r="N441" s="27"/>
      <c r="T441" s="28" t="str">
        <f>LOOKUP(1,1/(Table1[[#This Row],[Level_0]:[Level 15]]&gt;0),(Table1[[#This Row],[Level_0]:[Level 15]]))</f>
        <v>7830111000 - [APA Interest income paid]</v>
      </c>
      <c r="U441" s="22">
        <v>436</v>
      </c>
      <c r="W441" s="13" t="str">
        <f>LOOKUP(1,1/(Table1[[#This Row],[Level_0]:[Level 15]]&gt;0),(Table1[[#This Row],[Level_0]:[Level 15]]))</f>
        <v>7830111000 - [APA Interest income paid]</v>
      </c>
    </row>
    <row r="442" spans="1:23" hidden="1" x14ac:dyDescent="0.25">
      <c r="A442">
        <v>7824177001</v>
      </c>
      <c r="B442" s="16" t="s">
        <v>21886</v>
      </c>
      <c r="C442" s="16" t="e">
        <f>VLOOKUP(Table1[[#This Row],[Node]],Parent!A:B,2,0)</f>
        <v>#N/A</v>
      </c>
      <c r="D442" s="25" t="s">
        <v>19346</v>
      </c>
      <c r="E442" s="26" t="s">
        <v>16544</v>
      </c>
      <c r="F442" s="27" t="s">
        <v>16830</v>
      </c>
      <c r="G442" s="27" t="s">
        <v>16831</v>
      </c>
      <c r="H442" s="27" t="s">
        <v>16881</v>
      </c>
      <c r="I442" s="27" t="s">
        <v>16950</v>
      </c>
      <c r="J442" s="27"/>
      <c r="K442" s="27"/>
      <c r="L442" s="27"/>
      <c r="N442" s="27"/>
      <c r="T442" s="28" t="str">
        <f>LOOKUP(1,1/(Table1[[#This Row],[Level_0]:[Level 15]]&gt;0),(Table1[[#This Row],[Level_0]:[Level 15]]))</f>
        <v>7824177001 - [APA Non income related taxes]</v>
      </c>
      <c r="U442" s="22">
        <v>437</v>
      </c>
      <c r="W442" s="13" t="str">
        <f>LOOKUP(1,1/(Table1[[#This Row],[Level_0]:[Level 15]]&gt;0),(Table1[[#This Row],[Level_0]:[Level 15]]))</f>
        <v>7824177001 - [APA Non income related taxes]</v>
      </c>
    </row>
    <row r="443" spans="1:23" hidden="1" x14ac:dyDescent="0.25">
      <c r="A443">
        <v>7820120004</v>
      </c>
      <c r="B443" s="16" t="s">
        <v>21791</v>
      </c>
      <c r="C443" s="16" t="e">
        <f>VLOOKUP(Table1[[#This Row],[Node]],Parent!A:B,2,0)</f>
        <v>#N/A</v>
      </c>
      <c r="D443" s="25" t="s">
        <v>19346</v>
      </c>
      <c r="E443" s="26" t="s">
        <v>16544</v>
      </c>
      <c r="F443" s="27" t="s">
        <v>16830</v>
      </c>
      <c r="G443" s="27" t="s">
        <v>16831</v>
      </c>
      <c r="H443" s="27" t="s">
        <v>16881</v>
      </c>
      <c r="I443" s="27" t="s">
        <v>16951</v>
      </c>
      <c r="J443" s="27"/>
      <c r="K443" s="27"/>
      <c r="L443" s="27"/>
      <c r="N443" s="27"/>
      <c r="T443" s="28" t="str">
        <f>LOOKUP(1,1/(Table1[[#This Row],[Level_0]:[Level 15]]&gt;0),(Table1[[#This Row],[Level_0]:[Level 15]]))</f>
        <v>7820120004 - [APA Field force - IT &amp; Teleco.]</v>
      </c>
      <c r="U443" s="22">
        <v>438</v>
      </c>
      <c r="W443" s="13" t="str">
        <f>LOOKUP(1,1/(Table1[[#This Row],[Level_0]:[Level 15]]&gt;0),(Table1[[#This Row],[Level_0]:[Level 15]]))</f>
        <v>7820120004 - [APA Field force - IT &amp; Teleco.]</v>
      </c>
    </row>
    <row r="444" spans="1:23" hidden="1" x14ac:dyDescent="0.25">
      <c r="A444">
        <v>7823101400</v>
      </c>
      <c r="B444" s="16">
        <v>0</v>
      </c>
      <c r="C444" s="16" t="e">
        <f>VLOOKUP(Table1[[#This Row],[Node]],Parent!A:B,2,0)</f>
        <v>#N/A</v>
      </c>
      <c r="D444" s="25" t="s">
        <v>19346</v>
      </c>
      <c r="E444" s="26" t="s">
        <v>16544</v>
      </c>
      <c r="F444" s="27" t="s">
        <v>16830</v>
      </c>
      <c r="G444" s="27" t="s">
        <v>16831</v>
      </c>
      <c r="H444" s="27" t="s">
        <v>16881</v>
      </c>
      <c r="I444" s="27" t="s">
        <v>16952</v>
      </c>
      <c r="J444" s="27"/>
      <c r="K444" s="27"/>
      <c r="L444" s="27"/>
      <c r="N444" s="27"/>
      <c r="T444" s="28" t="str">
        <f>LOOKUP(1,1/(Table1[[#This Row],[Level_0]:[Level 15]]&gt;0),(Table1[[#This Row],[Level_0]:[Level 15]]))</f>
        <v>7823101400 - [0]</v>
      </c>
      <c r="U444" s="22">
        <v>439</v>
      </c>
      <c r="W444" s="13" t="str">
        <f>LOOKUP(1,1/(Table1[[#This Row],[Level_0]:[Level 15]]&gt;0),(Table1[[#This Row],[Level_0]:[Level 15]]))</f>
        <v>7823101400 - [0]</v>
      </c>
    </row>
    <row r="445" spans="1:23" hidden="1" x14ac:dyDescent="0.25">
      <c r="A445">
        <v>7823101300</v>
      </c>
      <c r="B445" s="16">
        <v>0</v>
      </c>
      <c r="C445" s="16" t="e">
        <f>VLOOKUP(Table1[[#This Row],[Node]],Parent!A:B,2,0)</f>
        <v>#N/A</v>
      </c>
      <c r="D445" s="25" t="s">
        <v>19346</v>
      </c>
      <c r="E445" s="26" t="s">
        <v>16544</v>
      </c>
      <c r="F445" s="27" t="s">
        <v>16830</v>
      </c>
      <c r="G445" s="27" t="s">
        <v>16831</v>
      </c>
      <c r="H445" s="27" t="s">
        <v>16881</v>
      </c>
      <c r="I445" s="27" t="s">
        <v>16953</v>
      </c>
      <c r="J445" s="27"/>
      <c r="K445" s="27"/>
      <c r="L445" s="27"/>
      <c r="N445" s="27"/>
      <c r="T445" s="28" t="str">
        <f>LOOKUP(1,1/(Table1[[#This Row],[Level_0]:[Level 15]]&gt;0),(Table1[[#This Row],[Level_0]:[Level 15]]))</f>
        <v>7823101300 - [0]</v>
      </c>
      <c r="U445" s="22">
        <v>440</v>
      </c>
      <c r="W445" s="13" t="str">
        <f>LOOKUP(1,1/(Table1[[#This Row],[Level_0]:[Level 15]]&gt;0),(Table1[[#This Row],[Level_0]:[Level 15]]))</f>
        <v>7823101300 - [0]</v>
      </c>
    </row>
    <row r="446" spans="1:23" hidden="1" x14ac:dyDescent="0.25">
      <c r="A446">
        <v>7820120003</v>
      </c>
      <c r="B446" s="16" t="s">
        <v>21790</v>
      </c>
      <c r="C446" s="16" t="e">
        <f>VLOOKUP(Table1[[#This Row],[Node]],Parent!A:B,2,0)</f>
        <v>#N/A</v>
      </c>
      <c r="D446" s="25" t="s">
        <v>19346</v>
      </c>
      <c r="E446" s="26" t="s">
        <v>16544</v>
      </c>
      <c r="F446" s="27" t="s">
        <v>16830</v>
      </c>
      <c r="G446" s="27" t="s">
        <v>16831</v>
      </c>
      <c r="H446" s="27" t="s">
        <v>16881</v>
      </c>
      <c r="I446" s="27" t="s">
        <v>16954</v>
      </c>
      <c r="J446" s="27"/>
      <c r="K446" s="27"/>
      <c r="L446" s="27"/>
      <c r="N446" s="27"/>
      <c r="T446" s="28" t="str">
        <f>LOOKUP(1,1/(Table1[[#This Row],[Level_0]:[Level 15]]&gt;0),(Table1[[#This Row],[Level_0]:[Level 15]]))</f>
        <v>7820120003 - [APA Field force - Prom.&amp;Advert.]</v>
      </c>
      <c r="U446" s="22">
        <v>441</v>
      </c>
      <c r="W446" s="13" t="str">
        <f>LOOKUP(1,1/(Table1[[#This Row],[Level_0]:[Level 15]]&gt;0),(Table1[[#This Row],[Level_0]:[Level 15]]))</f>
        <v>7820120003 - [APA Field force - Prom.&amp;Advert.]</v>
      </c>
    </row>
    <row r="447" spans="1:23" hidden="1" x14ac:dyDescent="0.25">
      <c r="A447">
        <v>7820106000</v>
      </c>
      <c r="B447" s="16" t="s">
        <v>21786</v>
      </c>
      <c r="C447" s="16" t="e">
        <f>VLOOKUP(Table1[[#This Row],[Node]],Parent!A:B,2,0)</f>
        <v>#N/A</v>
      </c>
      <c r="D447" s="25" t="s">
        <v>19346</v>
      </c>
      <c r="E447" s="26" t="s">
        <v>16544</v>
      </c>
      <c r="F447" s="27" t="s">
        <v>16830</v>
      </c>
      <c r="G447" s="27" t="s">
        <v>16831</v>
      </c>
      <c r="H447" s="27" t="s">
        <v>16881</v>
      </c>
      <c r="I447" s="27" t="s">
        <v>16955</v>
      </c>
      <c r="J447" s="27"/>
      <c r="K447" s="27"/>
      <c r="L447" s="27"/>
      <c r="N447" s="27"/>
      <c r="T447" s="28" t="str">
        <f>LOOKUP(1,1/(Table1[[#This Row],[Level_0]:[Level 15]]&gt;0),(Table1[[#This Row],[Level_0]:[Level 15]]))</f>
        <v>7820106000 - [APA Promotion Material]</v>
      </c>
      <c r="U447" s="22">
        <v>442</v>
      </c>
      <c r="W447" s="13" t="str">
        <f>LOOKUP(1,1/(Table1[[#This Row],[Level_0]:[Level 15]]&gt;0),(Table1[[#This Row],[Level_0]:[Level 15]]))</f>
        <v>7820106000 - [APA Promotion Material]</v>
      </c>
    </row>
    <row r="448" spans="1:23" hidden="1" x14ac:dyDescent="0.25">
      <c r="A448">
        <v>7711142200</v>
      </c>
      <c r="B448" s="16" t="s">
        <v>21605</v>
      </c>
      <c r="C448" s="16" t="e">
        <f>VLOOKUP(Table1[[#This Row],[Node]],Parent!A:B,2,0)</f>
        <v>#N/A</v>
      </c>
      <c r="D448" s="25" t="s">
        <v>19346</v>
      </c>
      <c r="E448" s="26" t="s">
        <v>16544</v>
      </c>
      <c r="F448" s="27" t="s">
        <v>16830</v>
      </c>
      <c r="G448" s="27" t="s">
        <v>16831</v>
      </c>
      <c r="H448" s="27" t="s">
        <v>16881</v>
      </c>
      <c r="I448" s="27" t="s">
        <v>16956</v>
      </c>
      <c r="J448" s="27"/>
      <c r="K448" s="27"/>
      <c r="L448" s="27"/>
      <c r="N448" s="27"/>
      <c r="T448" s="28" t="str">
        <f>LOOKUP(1,1/(Table1[[#This Row],[Level_0]:[Level 15]]&gt;0),(Table1[[#This Row],[Level_0]:[Level 15]]))</f>
        <v>7711142200 - [SPA DES Destruction cost]</v>
      </c>
      <c r="U448" s="22">
        <v>443</v>
      </c>
      <c r="W448" s="13" t="str">
        <f>LOOKUP(1,1/(Table1[[#This Row],[Level_0]:[Level 15]]&gt;0),(Table1[[#This Row],[Level_0]:[Level 15]]))</f>
        <v>7711142200 - [SPA DES Destruction cost]</v>
      </c>
    </row>
    <row r="449" spans="1:23" hidden="1" x14ac:dyDescent="0.25">
      <c r="A449">
        <v>7820120005</v>
      </c>
      <c r="B449" s="16" t="s">
        <v>21792</v>
      </c>
      <c r="C449" s="16" t="e">
        <f>VLOOKUP(Table1[[#This Row],[Node]],Parent!A:B,2,0)</f>
        <v>#N/A</v>
      </c>
      <c r="D449" s="25" t="s">
        <v>19346</v>
      </c>
      <c r="E449" s="26" t="s">
        <v>16544</v>
      </c>
      <c r="F449" s="27" t="s">
        <v>16830</v>
      </c>
      <c r="G449" s="27" t="s">
        <v>16831</v>
      </c>
      <c r="H449" s="27" t="s">
        <v>16881</v>
      </c>
      <c r="I449" s="27" t="s">
        <v>16957</v>
      </c>
      <c r="J449" s="27"/>
      <c r="K449" s="27"/>
      <c r="L449" s="27"/>
      <c r="N449" s="27"/>
      <c r="T449" s="28" t="str">
        <f>LOOKUP(1,1/(Table1[[#This Row],[Level_0]:[Level 15]]&gt;0),(Table1[[#This Row],[Level_0]:[Level 15]]))</f>
        <v>7820120005 - [APA Field force - Serv.&amp;Consult.]</v>
      </c>
      <c r="U449" s="22">
        <v>444</v>
      </c>
      <c r="W449" s="13" t="str">
        <f>LOOKUP(1,1/(Table1[[#This Row],[Level_0]:[Level 15]]&gt;0),(Table1[[#This Row],[Level_0]:[Level 15]]))</f>
        <v>7820120005 - [APA Field force - Serv.&amp;Consult.]</v>
      </c>
    </row>
    <row r="450" spans="1:23" hidden="1" x14ac:dyDescent="0.25">
      <c r="A450">
        <v>7840104000</v>
      </c>
      <c r="B450" s="16" t="s">
        <v>21937</v>
      </c>
      <c r="C450" s="16" t="e">
        <f>VLOOKUP(Table1[[#This Row],[Node]],Parent!A:B,2,0)</f>
        <v>#N/A</v>
      </c>
      <c r="D450" s="25" t="s">
        <v>19346</v>
      </c>
      <c r="E450" s="26" t="s">
        <v>16544</v>
      </c>
      <c r="F450" s="27" t="s">
        <v>16830</v>
      </c>
      <c r="G450" s="27" t="s">
        <v>16831</v>
      </c>
      <c r="H450" s="27" t="s">
        <v>16881</v>
      </c>
      <c r="I450" s="27" t="s">
        <v>16958</v>
      </c>
      <c r="J450" s="27"/>
      <c r="K450" s="27"/>
      <c r="L450" s="27"/>
      <c r="N450" s="27"/>
      <c r="T450" s="28" t="str">
        <f>LOOKUP(1,1/(Table1[[#This Row],[Level_0]:[Level 15]]&gt;0),(Table1[[#This Row],[Level_0]:[Level 15]]))</f>
        <v>7840104000 - [APA Current Tax Resul.UseUnrec.Tax Cred.]</v>
      </c>
      <c r="U450" s="22">
        <v>445</v>
      </c>
      <c r="W450" s="13" t="str">
        <f>LOOKUP(1,1/(Table1[[#This Row],[Level_0]:[Level 15]]&gt;0),(Table1[[#This Row],[Level_0]:[Level 15]]))</f>
        <v>7840104000 - [APA Current Tax Resul.UseUnrec.Tax Cred.]</v>
      </c>
    </row>
    <row r="451" spans="1:23" hidden="1" x14ac:dyDescent="0.25">
      <c r="A451">
        <v>7840103000</v>
      </c>
      <c r="B451" s="16" t="s">
        <v>21936</v>
      </c>
      <c r="C451" s="16" t="e">
        <f>VLOOKUP(Table1[[#This Row],[Node]],Parent!A:B,2,0)</f>
        <v>#N/A</v>
      </c>
      <c r="D451" s="25" t="s">
        <v>19346</v>
      </c>
      <c r="E451" s="26" t="s">
        <v>16544</v>
      </c>
      <c r="F451" s="27" t="s">
        <v>16830</v>
      </c>
      <c r="G451" s="27" t="s">
        <v>16831</v>
      </c>
      <c r="H451" s="27" t="s">
        <v>16881</v>
      </c>
      <c r="I451" s="27" t="s">
        <v>16959</v>
      </c>
      <c r="J451" s="27"/>
      <c r="K451" s="27"/>
      <c r="L451" s="27"/>
      <c r="N451" s="27"/>
      <c r="T451" s="28" t="str">
        <f>LOOKUP(1,1/(Table1[[#This Row],[Level_0]:[Level 15]]&gt;0),(Table1[[#This Row],[Level_0]:[Level 15]]))</f>
        <v>7840103000 - [APA Curr Tax Resul.UseUnrec.Tax Loss CFw]</v>
      </c>
      <c r="U451" s="22">
        <v>446</v>
      </c>
      <c r="W451" s="13" t="str">
        <f>LOOKUP(1,1/(Table1[[#This Row],[Level_0]:[Level 15]]&gt;0),(Table1[[#This Row],[Level_0]:[Level 15]]))</f>
        <v>7840103000 - [APA Curr Tax Resul.UseUnrec.Tax Loss CFw]</v>
      </c>
    </row>
    <row r="452" spans="1:23" hidden="1" x14ac:dyDescent="0.25">
      <c r="A452">
        <v>7840102000</v>
      </c>
      <c r="B452" s="16" t="s">
        <v>21935</v>
      </c>
      <c r="C452" s="16" t="e">
        <f>VLOOKUP(Table1[[#This Row],[Node]],Parent!A:B,2,0)</f>
        <v>#N/A</v>
      </c>
      <c r="D452" s="25" t="s">
        <v>19346</v>
      </c>
      <c r="E452" s="26" t="s">
        <v>16544</v>
      </c>
      <c r="F452" s="27" t="s">
        <v>16830</v>
      </c>
      <c r="G452" s="27" t="s">
        <v>16831</v>
      </c>
      <c r="H452" s="27" t="s">
        <v>16881</v>
      </c>
      <c r="I452" s="27" t="s">
        <v>16960</v>
      </c>
      <c r="J452" s="27"/>
      <c r="K452" s="27"/>
      <c r="L452" s="27"/>
      <c r="N452" s="27"/>
      <c r="T452" s="28" t="str">
        <f>LOOKUP(1,1/(Table1[[#This Row],[Level_0]:[Level 15]]&gt;0),(Table1[[#This Row],[Level_0]:[Level 15]]))</f>
        <v>7840102000 - [APA Current Tax Resul.UseUnrec.Temp Diff]</v>
      </c>
      <c r="U452" s="22">
        <v>447</v>
      </c>
      <c r="W452" s="13" t="str">
        <f>LOOKUP(1,1/(Table1[[#This Row],[Level_0]:[Level 15]]&gt;0),(Table1[[#This Row],[Level_0]:[Level 15]]))</f>
        <v>7840102000 - [APA Current Tax Resul.UseUnrec.Temp Diff]</v>
      </c>
    </row>
    <row r="453" spans="1:23" hidden="1" x14ac:dyDescent="0.25">
      <c r="A453">
        <v>7840101000</v>
      </c>
      <c r="B453" s="16" t="s">
        <v>21934</v>
      </c>
      <c r="C453" s="16" t="e">
        <f>VLOOKUP(Table1[[#This Row],[Node]],Parent!A:B,2,0)</f>
        <v>#N/A</v>
      </c>
      <c r="D453" s="25" t="s">
        <v>19346</v>
      </c>
      <c r="E453" s="26" t="s">
        <v>16544</v>
      </c>
      <c r="F453" s="27" t="s">
        <v>16830</v>
      </c>
      <c r="G453" s="27" t="s">
        <v>16831</v>
      </c>
      <c r="H453" s="27" t="s">
        <v>16881</v>
      </c>
      <c r="I453" s="27" t="s">
        <v>16961</v>
      </c>
      <c r="J453" s="27"/>
      <c r="K453" s="27"/>
      <c r="L453" s="27"/>
      <c r="N453" s="27"/>
      <c r="T453" s="28" t="str">
        <f>LOOKUP(1,1/(Table1[[#This Row],[Level_0]:[Level 15]]&gt;0),(Table1[[#This Row],[Level_0]:[Level 15]]))</f>
        <v>7840101000 - [APA Current Tax]</v>
      </c>
      <c r="U453" s="22">
        <v>448</v>
      </c>
      <c r="W453" s="13" t="str">
        <f>LOOKUP(1,1/(Table1[[#This Row],[Level_0]:[Level 15]]&gt;0),(Table1[[#This Row],[Level_0]:[Level 15]]))</f>
        <v>7840101000 - [APA Current Tax]</v>
      </c>
    </row>
    <row r="454" spans="1:23" hidden="1" x14ac:dyDescent="0.25">
      <c r="A454">
        <v>7720130008</v>
      </c>
      <c r="B454" s="16" t="s">
        <v>21706</v>
      </c>
      <c r="C454" s="16" t="e">
        <f>VLOOKUP(Table1[[#This Row],[Node]],Parent!A:B,2,0)</f>
        <v>#N/A</v>
      </c>
      <c r="D454" s="25" t="s">
        <v>19346</v>
      </c>
      <c r="E454" s="26" t="s">
        <v>16544</v>
      </c>
      <c r="F454" s="27" t="s">
        <v>16830</v>
      </c>
      <c r="G454" s="27" t="s">
        <v>16831</v>
      </c>
      <c r="H454" s="27" t="s">
        <v>16881</v>
      </c>
      <c r="I454" s="27" t="s">
        <v>16962</v>
      </c>
      <c r="J454" s="27"/>
      <c r="K454" s="27"/>
      <c r="L454" s="27"/>
      <c r="N454" s="27"/>
      <c r="T454" s="28" t="str">
        <f>LOOKUP(1,1/(Table1[[#This Row],[Level_0]:[Level 15]]&gt;0),(Table1[[#This Row],[Level_0]:[Level 15]]))</f>
        <v>7720130008 - [SPA ICON Internal Mktg Exp]</v>
      </c>
      <c r="U454" s="22">
        <v>449</v>
      </c>
      <c r="W454" s="13" t="str">
        <f>LOOKUP(1,1/(Table1[[#This Row],[Level_0]:[Level 15]]&gt;0),(Table1[[#This Row],[Level_0]:[Level 15]]))</f>
        <v>7720130008 - [SPA ICON Internal Mktg Exp]</v>
      </c>
    </row>
    <row r="455" spans="1:23" hidden="1" x14ac:dyDescent="0.25">
      <c r="A455">
        <v>7722100001</v>
      </c>
      <c r="B455" s="16" t="s">
        <v>21738</v>
      </c>
      <c r="C455" s="16" t="e">
        <f>VLOOKUP(Table1[[#This Row],[Node]],Parent!A:B,2,0)</f>
        <v>#N/A</v>
      </c>
      <c r="D455" s="25" t="s">
        <v>19346</v>
      </c>
      <c r="E455" s="26" t="s">
        <v>16544</v>
      </c>
      <c r="F455" s="27" t="s">
        <v>16830</v>
      </c>
      <c r="G455" s="27" t="s">
        <v>16831</v>
      </c>
      <c r="H455" s="27" t="s">
        <v>16881</v>
      </c>
      <c r="I455" s="27" t="s">
        <v>16963</v>
      </c>
      <c r="J455" s="27"/>
      <c r="K455" s="27"/>
      <c r="L455" s="27"/>
      <c r="N455" s="27"/>
      <c r="T455" s="28" t="str">
        <f>LOOKUP(1,1/(Table1[[#This Row],[Level_0]:[Level 15]]&gt;0),(Table1[[#This Row],[Level_0]:[Level 15]]))</f>
        <v>7722100001 - [SPA ICON HR]</v>
      </c>
      <c r="U455" s="22">
        <v>450</v>
      </c>
      <c r="W455" s="13" t="str">
        <f>LOOKUP(1,1/(Table1[[#This Row],[Level_0]:[Level 15]]&gt;0),(Table1[[#This Row],[Level_0]:[Level 15]]))</f>
        <v>7722100001 - [SPA ICON HR]</v>
      </c>
    </row>
    <row r="456" spans="1:23" hidden="1" x14ac:dyDescent="0.25">
      <c r="A456">
        <v>7720105008</v>
      </c>
      <c r="B456" s="16" t="s">
        <v>21648</v>
      </c>
      <c r="C456" s="16" t="e">
        <f>VLOOKUP(Table1[[#This Row],[Node]],Parent!A:B,2,0)</f>
        <v>#N/A</v>
      </c>
      <c r="D456" s="25" t="s">
        <v>19346</v>
      </c>
      <c r="E456" s="26" t="s">
        <v>16544</v>
      </c>
      <c r="F456" s="27" t="s">
        <v>16830</v>
      </c>
      <c r="G456" s="27" t="s">
        <v>16831</v>
      </c>
      <c r="H456" s="27" t="s">
        <v>16881</v>
      </c>
      <c r="I456" s="27" t="s">
        <v>16964</v>
      </c>
      <c r="J456" s="27"/>
      <c r="K456" s="27"/>
      <c r="L456" s="27"/>
      <c r="N456" s="27"/>
      <c r="T456" s="28" t="str">
        <f>LOOKUP(1,1/(Table1[[#This Row],[Level_0]:[Level 15]]&gt;0),(Table1[[#This Row],[Level_0]:[Level 15]]))</f>
        <v>7720105008 - [SPA ICON Commercial donations]</v>
      </c>
      <c r="U456" s="22">
        <v>451</v>
      </c>
      <c r="W456" s="13" t="str">
        <f>LOOKUP(1,1/(Table1[[#This Row],[Level_0]:[Level 15]]&gt;0),(Table1[[#This Row],[Level_0]:[Level 15]]))</f>
        <v>7720105008 - [SPA ICON Commercial donations]</v>
      </c>
    </row>
    <row r="457" spans="1:23" hidden="1" x14ac:dyDescent="0.25">
      <c r="A457">
        <v>7711171100</v>
      </c>
      <c r="B457" s="16" t="s">
        <v>21608</v>
      </c>
      <c r="C457" s="16" t="e">
        <f>VLOOKUP(Table1[[#This Row],[Node]],Parent!A:B,2,0)</f>
        <v>#N/A</v>
      </c>
      <c r="D457" s="25" t="s">
        <v>19346</v>
      </c>
      <c r="E457" s="26" t="s">
        <v>16544</v>
      </c>
      <c r="F457" s="27" t="s">
        <v>16830</v>
      </c>
      <c r="G457" s="27" t="s">
        <v>16831</v>
      </c>
      <c r="H457" s="27" t="s">
        <v>16881</v>
      </c>
      <c r="I457" s="27" t="s">
        <v>16965</v>
      </c>
      <c r="J457" s="27"/>
      <c r="K457" s="27"/>
      <c r="L457" s="27"/>
      <c r="N457" s="27"/>
      <c r="T457" s="28" t="str">
        <f>LOOKUP(1,1/(Table1[[#This Row],[Level_0]:[Level 15]]&gt;0),(Table1[[#This Row],[Level_0]:[Level 15]]))</f>
        <v>7711171100 - [SPA Gl.man.Gov.&amp;Cl.mgmt.]</v>
      </c>
      <c r="U457" s="22">
        <v>452</v>
      </c>
      <c r="W457" s="13" t="str">
        <f>LOOKUP(1,1/(Table1[[#This Row],[Level_0]:[Level 15]]&gt;0),(Table1[[#This Row],[Level_0]:[Level 15]]))</f>
        <v>7711171100 - [SPA Gl.man.Gov.&amp;Cl.mgmt.]</v>
      </c>
    </row>
    <row r="458" spans="1:23" hidden="1" x14ac:dyDescent="0.25">
      <c r="A458">
        <v>7724173000</v>
      </c>
      <c r="B458" s="16" t="s">
        <v>21758</v>
      </c>
      <c r="C458" s="16" t="e">
        <f>VLOOKUP(Table1[[#This Row],[Node]],Parent!A:B,2,0)</f>
        <v>#N/A</v>
      </c>
      <c r="D458" s="25" t="s">
        <v>19346</v>
      </c>
      <c r="E458" s="26" t="s">
        <v>16544</v>
      </c>
      <c r="F458" s="27" t="s">
        <v>16830</v>
      </c>
      <c r="G458" s="27" t="s">
        <v>16831</v>
      </c>
      <c r="H458" s="27" t="s">
        <v>16881</v>
      </c>
      <c r="I458" s="27" t="s">
        <v>16966</v>
      </c>
      <c r="J458" s="27"/>
      <c r="K458" s="27"/>
      <c r="L458" s="27"/>
      <c r="N458" s="27"/>
      <c r="T458" s="28" t="str">
        <f>LOOKUP(1,1/(Table1[[#This Row],[Level_0]:[Level 15]]&gt;0),(Table1[[#This Row],[Level_0]:[Level 15]]))</f>
        <v>7724173000 - [SPA CorporateGlobal IT-M&amp;A Spcl projects]</v>
      </c>
      <c r="U458" s="22">
        <v>453</v>
      </c>
      <c r="W458" s="13" t="str">
        <f>LOOKUP(1,1/(Table1[[#This Row],[Level_0]:[Level 15]]&gt;0),(Table1[[#This Row],[Level_0]:[Level 15]]))</f>
        <v>7724173000 - [SPA CorporateGlobal IT-M&amp;A Spcl projects]</v>
      </c>
    </row>
    <row r="459" spans="1:23" hidden="1" x14ac:dyDescent="0.25">
      <c r="A459">
        <v>7722120001</v>
      </c>
      <c r="B459" s="16" t="s">
        <v>21744</v>
      </c>
      <c r="C459" s="16" t="e">
        <f>VLOOKUP(Table1[[#This Row],[Node]],Parent!A:B,2,0)</f>
        <v>#N/A</v>
      </c>
      <c r="D459" s="25" t="s">
        <v>19346</v>
      </c>
      <c r="E459" s="26" t="s">
        <v>16544</v>
      </c>
      <c r="F459" s="27" t="s">
        <v>16830</v>
      </c>
      <c r="G459" s="27" t="s">
        <v>16831</v>
      </c>
      <c r="H459" s="27" t="s">
        <v>16881</v>
      </c>
      <c r="I459" s="27" t="s">
        <v>16967</v>
      </c>
      <c r="J459" s="27"/>
      <c r="K459" s="27"/>
      <c r="L459" s="27"/>
      <c r="N459" s="27"/>
      <c r="T459" s="28" t="str">
        <f>LOOKUP(1,1/(Table1[[#This Row],[Level_0]:[Level 15]]&gt;0),(Table1[[#This Row],[Level_0]:[Level 15]]))</f>
        <v>7722120001 - [SPA ICON Legal]</v>
      </c>
      <c r="U459" s="22">
        <v>454</v>
      </c>
      <c r="W459" s="13" t="str">
        <f>LOOKUP(1,1/(Table1[[#This Row],[Level_0]:[Level 15]]&gt;0),(Table1[[#This Row],[Level_0]:[Level 15]]))</f>
        <v>7722120001 - [SPA ICON Legal]</v>
      </c>
    </row>
    <row r="460" spans="1:23" hidden="1" x14ac:dyDescent="0.25">
      <c r="A460">
        <v>7720120008</v>
      </c>
      <c r="B460" s="16" t="s">
        <v>21697</v>
      </c>
      <c r="C460" s="16" t="e">
        <f>VLOOKUP(Table1[[#This Row],[Node]],Parent!A:B,2,0)</f>
        <v>#N/A</v>
      </c>
      <c r="D460" s="25" t="s">
        <v>19346</v>
      </c>
      <c r="E460" s="26" t="s">
        <v>16544</v>
      </c>
      <c r="F460" s="27" t="s">
        <v>16830</v>
      </c>
      <c r="G460" s="27" t="s">
        <v>16831</v>
      </c>
      <c r="H460" s="27" t="s">
        <v>16881</v>
      </c>
      <c r="I460" s="27" t="s">
        <v>16968</v>
      </c>
      <c r="J460" s="27"/>
      <c r="K460" s="27"/>
      <c r="L460" s="27"/>
      <c r="N460" s="27"/>
      <c r="T460" s="28" t="str">
        <f>LOOKUP(1,1/(Table1[[#This Row],[Level_0]:[Level 15]]&gt;0),(Table1[[#This Row],[Level_0]:[Level 15]]))</f>
        <v>7720120008 - [SPA ICON Field force]</v>
      </c>
      <c r="U460" s="22">
        <v>455</v>
      </c>
      <c r="W460" s="13" t="str">
        <f>LOOKUP(1,1/(Table1[[#This Row],[Level_0]:[Level 15]]&gt;0),(Table1[[#This Row],[Level_0]:[Level 15]]))</f>
        <v>7720120008 - [SPA ICON Field force]</v>
      </c>
    </row>
    <row r="461" spans="1:23" hidden="1" x14ac:dyDescent="0.25">
      <c r="A461">
        <v>9009302000</v>
      </c>
      <c r="B461" s="16" t="s">
        <v>22102</v>
      </c>
      <c r="C461" s="16" t="e">
        <f>VLOOKUP(Table1[[#This Row],[Node]],Parent!A:B,2,0)</f>
        <v>#N/A</v>
      </c>
      <c r="D461" s="25" t="s">
        <v>19346</v>
      </c>
      <c r="E461" s="26" t="s">
        <v>16544</v>
      </c>
      <c r="F461" s="27" t="s">
        <v>16830</v>
      </c>
      <c r="G461" s="27" t="s">
        <v>16831</v>
      </c>
      <c r="H461" s="27" t="s">
        <v>16881</v>
      </c>
      <c r="I461" s="27" t="s">
        <v>16969</v>
      </c>
      <c r="J461" s="27"/>
      <c r="K461" s="27"/>
      <c r="L461" s="27"/>
      <c r="N461" s="27"/>
      <c r="T461" s="28" t="str">
        <f>LOOKUP(1,1/(Table1[[#This Row],[Level_0]:[Level 15]]&gt;0),(Table1[[#This Row],[Level_0]:[Level 15]]))</f>
        <v>9009302000 - [SGL: OM Orders and WBS Elements]</v>
      </c>
      <c r="U461" s="22">
        <v>456</v>
      </c>
      <c r="W461" s="13" t="str">
        <f>LOOKUP(1,1/(Table1[[#This Row],[Level_0]:[Level 15]]&gt;0),(Table1[[#This Row],[Level_0]:[Level 15]]))</f>
        <v>9009302000 - [SGL: OM Orders and WBS Elements]</v>
      </c>
    </row>
    <row r="462" spans="1:23" hidden="1" x14ac:dyDescent="0.25">
      <c r="A462">
        <v>7831107000</v>
      </c>
      <c r="B462" s="16" t="s">
        <v>21920</v>
      </c>
      <c r="C462" s="16" t="e">
        <f>VLOOKUP(Table1[[#This Row],[Node]],Parent!A:B,2,0)</f>
        <v>#N/A</v>
      </c>
      <c r="D462" s="25" t="s">
        <v>19346</v>
      </c>
      <c r="E462" s="26" t="s">
        <v>16544</v>
      </c>
      <c r="F462" s="27" t="s">
        <v>16830</v>
      </c>
      <c r="G462" s="27" t="s">
        <v>16831</v>
      </c>
      <c r="H462" s="27" t="s">
        <v>16881</v>
      </c>
      <c r="I462" s="27" t="s">
        <v>16970</v>
      </c>
      <c r="J462" s="27"/>
      <c r="K462" s="27"/>
      <c r="L462" s="27"/>
      <c r="N462" s="27"/>
      <c r="T462" s="28" t="str">
        <f>LOOKUP(1,1/(Table1[[#This Row],[Level_0]:[Level 15]]&gt;0),(Table1[[#This Row],[Level_0]:[Level 15]]))</f>
        <v>7831107000 - [APA Interest expenses-Pensions]</v>
      </c>
      <c r="U462" s="22">
        <v>457</v>
      </c>
      <c r="W462" s="13" t="str">
        <f>LOOKUP(1,1/(Table1[[#This Row],[Level_0]:[Level 15]]&gt;0),(Table1[[#This Row],[Level_0]:[Level 15]]))</f>
        <v>7831107000 - [APA Interest expenses-Pensions]</v>
      </c>
    </row>
    <row r="463" spans="1:23" hidden="1" x14ac:dyDescent="0.25">
      <c r="A463">
        <v>7824177000</v>
      </c>
      <c r="B463" s="16" t="s">
        <v>21885</v>
      </c>
      <c r="C463" s="16" t="e">
        <f>VLOOKUP(Table1[[#This Row],[Node]],Parent!A:B,2,0)</f>
        <v>#N/A</v>
      </c>
      <c r="D463" s="25" t="s">
        <v>19346</v>
      </c>
      <c r="E463" s="26" t="s">
        <v>16544</v>
      </c>
      <c r="F463" s="27" t="s">
        <v>16830</v>
      </c>
      <c r="G463" s="27" t="s">
        <v>16831</v>
      </c>
      <c r="H463" s="27" t="s">
        <v>16881</v>
      </c>
      <c r="I463" s="27" t="s">
        <v>16971</v>
      </c>
      <c r="J463" s="27"/>
      <c r="K463" s="27"/>
      <c r="L463" s="27"/>
      <c r="N463" s="27"/>
      <c r="T463" s="28" t="str">
        <f>LOOKUP(1,1/(Table1[[#This Row],[Level_0]:[Level 15]]&gt;0),(Table1[[#This Row],[Level_0]:[Level 15]]))</f>
        <v>7824177000 - [APA Sundry expenses]</v>
      </c>
      <c r="U463" s="22">
        <v>458</v>
      </c>
      <c r="W463" s="13" t="str">
        <f>LOOKUP(1,1/(Table1[[#This Row],[Level_0]:[Level 15]]&gt;0),(Table1[[#This Row],[Level_0]:[Level 15]]))</f>
        <v>7824177000 - [APA Sundry expenses]</v>
      </c>
    </row>
    <row r="464" spans="1:23" hidden="1" x14ac:dyDescent="0.25">
      <c r="A464">
        <v>7823750000</v>
      </c>
      <c r="B464" s="16" t="s">
        <v>21861</v>
      </c>
      <c r="C464" s="16" t="e">
        <f>VLOOKUP(Table1[[#This Row],[Node]],Parent!A:B,2,0)</f>
        <v>#N/A</v>
      </c>
      <c r="D464" s="25" t="s">
        <v>19346</v>
      </c>
      <c r="E464" s="26" t="s">
        <v>16544</v>
      </c>
      <c r="F464" s="27" t="s">
        <v>16830</v>
      </c>
      <c r="G464" s="27" t="s">
        <v>16831</v>
      </c>
      <c r="H464" s="27" t="s">
        <v>16881</v>
      </c>
      <c r="I464" s="27" t="s">
        <v>16972</v>
      </c>
      <c r="J464" s="27"/>
      <c r="K464" s="27"/>
      <c r="L464" s="27"/>
      <c r="N464" s="27"/>
      <c r="T464" s="28" t="str">
        <f>LOOKUP(1,1/(Table1[[#This Row],[Level_0]:[Level 15]]&gt;0),(Table1[[#This Row],[Level_0]:[Level 15]]))</f>
        <v>7823750000 - [APA Roy.&amp;Lic.Inc.Rec over Time-3P]</v>
      </c>
      <c r="U464" s="22">
        <v>459</v>
      </c>
      <c r="W464" s="13" t="str">
        <f>LOOKUP(1,1/(Table1[[#This Row],[Level_0]:[Level 15]]&gt;0),(Table1[[#This Row],[Level_0]:[Level 15]]))</f>
        <v>7823750000 - [APA Roy.&amp;Lic.Inc.Rec over Time-3P]</v>
      </c>
    </row>
    <row r="465" spans="1:23" hidden="1" x14ac:dyDescent="0.25">
      <c r="A465">
        <v>7823455000</v>
      </c>
      <c r="B465" s="16" t="s">
        <v>21857</v>
      </c>
      <c r="C465" s="16" t="e">
        <f>VLOOKUP(Table1[[#This Row],[Node]],Parent!A:B,2,0)</f>
        <v>#N/A</v>
      </c>
      <c r="D465" s="25" t="s">
        <v>19346</v>
      </c>
      <c r="E465" s="26" t="s">
        <v>16544</v>
      </c>
      <c r="F465" s="27" t="s">
        <v>16830</v>
      </c>
      <c r="G465" s="27" t="s">
        <v>16831</v>
      </c>
      <c r="H465" s="27" t="s">
        <v>16881</v>
      </c>
      <c r="I465" s="27" t="s">
        <v>16973</v>
      </c>
      <c r="J465" s="27"/>
      <c r="K465" s="27"/>
      <c r="L465" s="27"/>
      <c r="N465" s="27"/>
      <c r="T465" s="28" t="str">
        <f>LOOKUP(1,1/(Table1[[#This Row],[Level_0]:[Level 15]]&gt;0),(Table1[[#This Row],[Level_0]:[Level 15]]))</f>
        <v>7823455000 - [APA Sundry income]</v>
      </c>
      <c r="U465" s="22">
        <v>460</v>
      </c>
      <c r="W465" s="13" t="str">
        <f>LOOKUP(1,1/(Table1[[#This Row],[Level_0]:[Level 15]]&gt;0),(Table1[[#This Row],[Level_0]:[Level 15]]))</f>
        <v>7823455000 - [APA Sundry income]</v>
      </c>
    </row>
    <row r="466" spans="1:23" hidden="1" x14ac:dyDescent="0.25">
      <c r="A466">
        <v>7831116000</v>
      </c>
      <c r="B466" s="16" t="s">
        <v>21930</v>
      </c>
      <c r="C466" s="16" t="e">
        <f>VLOOKUP(Table1[[#This Row],[Node]],Parent!A:B,2,0)</f>
        <v>#N/A</v>
      </c>
      <c r="D466" s="25" t="s">
        <v>19346</v>
      </c>
      <c r="E466" s="26" t="s">
        <v>16544</v>
      </c>
      <c r="F466" s="27" t="s">
        <v>16830</v>
      </c>
      <c r="G466" s="27" t="s">
        <v>16831</v>
      </c>
      <c r="H466" s="27" t="s">
        <v>16881</v>
      </c>
      <c r="I466" s="27" t="s">
        <v>16974</v>
      </c>
      <c r="J466" s="27"/>
      <c r="K466" s="27"/>
      <c r="L466" s="27"/>
      <c r="N466" s="27"/>
      <c r="T466" s="28" t="str">
        <f>LOOKUP(1,1/(Table1[[#This Row],[Level_0]:[Level 15]]&gt;0),(Table1[[#This Row],[Level_0]:[Level 15]]))</f>
        <v>7831116000 - [APA FX Exp.Financing-Unrealized Other]</v>
      </c>
      <c r="U466" s="22">
        <v>461</v>
      </c>
      <c r="W466" s="13" t="str">
        <f>LOOKUP(1,1/(Table1[[#This Row],[Level_0]:[Level 15]]&gt;0),(Table1[[#This Row],[Level_0]:[Level 15]]))</f>
        <v>7831116000 - [APA FX Exp.Financing-Unrealized Other]</v>
      </c>
    </row>
    <row r="467" spans="1:23" hidden="1" x14ac:dyDescent="0.25">
      <c r="A467">
        <v>7830126000</v>
      </c>
      <c r="B467" s="16" t="s">
        <v>21910</v>
      </c>
      <c r="C467" s="16" t="e">
        <f>VLOOKUP(Table1[[#This Row],[Node]],Parent!A:B,2,0)</f>
        <v>#N/A</v>
      </c>
      <c r="D467" s="25" t="s">
        <v>19346</v>
      </c>
      <c r="E467" s="26" t="s">
        <v>16544</v>
      </c>
      <c r="F467" s="27" t="s">
        <v>16830</v>
      </c>
      <c r="G467" s="27" t="s">
        <v>16831</v>
      </c>
      <c r="H467" s="27" t="s">
        <v>16881</v>
      </c>
      <c r="I467" s="27" t="s">
        <v>16975</v>
      </c>
      <c r="J467" s="27"/>
      <c r="K467" s="27"/>
      <c r="L467" s="27"/>
      <c r="N467" s="27"/>
      <c r="T467" s="28" t="str">
        <f>LOOKUP(1,1/(Table1[[#This Row],[Level_0]:[Level 15]]&gt;0),(Table1[[#This Row],[Level_0]:[Level 15]]))</f>
        <v>7830126000 - [APA FX Inc.Financing-Unrealized Other]</v>
      </c>
      <c r="U467" s="22">
        <v>462</v>
      </c>
      <c r="W467" s="13" t="str">
        <f>LOOKUP(1,1/(Table1[[#This Row],[Level_0]:[Level 15]]&gt;0),(Table1[[#This Row],[Level_0]:[Level 15]]))</f>
        <v>7830126000 - [APA FX Inc.Financing-Unrealized Other]</v>
      </c>
    </row>
    <row r="468" spans="1:23" hidden="1" x14ac:dyDescent="0.25">
      <c r="A468">
        <v>7830125000</v>
      </c>
      <c r="B468" s="16" t="s">
        <v>21909</v>
      </c>
      <c r="C468" s="16" t="e">
        <f>VLOOKUP(Table1[[#This Row],[Node]],Parent!A:B,2,0)</f>
        <v>#N/A</v>
      </c>
      <c r="D468" s="25" t="s">
        <v>19346</v>
      </c>
      <c r="E468" s="26" t="s">
        <v>16544</v>
      </c>
      <c r="F468" s="27" t="s">
        <v>16830</v>
      </c>
      <c r="G468" s="27" t="s">
        <v>16831</v>
      </c>
      <c r="H468" s="27" t="s">
        <v>16881</v>
      </c>
      <c r="I468" s="27" t="s">
        <v>16976</v>
      </c>
      <c r="J468" s="27"/>
      <c r="K468" s="27"/>
      <c r="L468" s="27"/>
      <c r="N468" s="27"/>
      <c r="T468" s="28" t="str">
        <f>LOOKUP(1,1/(Table1[[#This Row],[Level_0]:[Level 15]]&gt;0),(Table1[[#This Row],[Level_0]:[Level 15]]))</f>
        <v>7830125000 - [APA FX Inc.Financing-Realized Other]</v>
      </c>
      <c r="U468" s="22">
        <v>463</v>
      </c>
      <c r="W468" s="13" t="str">
        <f>LOOKUP(1,1/(Table1[[#This Row],[Level_0]:[Level 15]]&gt;0),(Table1[[#This Row],[Level_0]:[Level 15]]))</f>
        <v>7830125000 - [APA FX Inc.Financing-Realized Other]</v>
      </c>
    </row>
    <row r="469" spans="1:23" hidden="1" x14ac:dyDescent="0.25">
      <c r="A469">
        <v>7824163000</v>
      </c>
      <c r="B469" s="16" t="s">
        <v>21876</v>
      </c>
      <c r="C469" s="16" t="e">
        <f>VLOOKUP(Table1[[#This Row],[Node]],Parent!A:B,2,0)</f>
        <v>#N/A</v>
      </c>
      <c r="D469" s="25" t="s">
        <v>19346</v>
      </c>
      <c r="E469" s="26" t="s">
        <v>16544</v>
      </c>
      <c r="F469" s="27" t="s">
        <v>16830</v>
      </c>
      <c r="G469" s="27" t="s">
        <v>16831</v>
      </c>
      <c r="H469" s="27" t="s">
        <v>16881</v>
      </c>
      <c r="I469" s="27" t="s">
        <v>16977</v>
      </c>
      <c r="J469" s="27"/>
      <c r="K469" s="27"/>
      <c r="L469" s="27"/>
      <c r="N469" s="27"/>
      <c r="T469" s="28" t="str">
        <f>LOOKUP(1,1/(Table1[[#This Row],[Level_0]:[Level 15]]&gt;0),(Table1[[#This Row],[Level_0]:[Level 15]]))</f>
        <v>7824163000 - [APA FX expense operative act., realized]</v>
      </c>
      <c r="U469" s="22">
        <v>464</v>
      </c>
      <c r="W469" s="13" t="str">
        <f>LOOKUP(1,1/(Table1[[#This Row],[Level_0]:[Level 15]]&gt;0),(Table1[[#This Row],[Level_0]:[Level 15]]))</f>
        <v>7824163000 - [APA FX expense operative act., realized]</v>
      </c>
    </row>
    <row r="470" spans="1:23" hidden="1" x14ac:dyDescent="0.25">
      <c r="A470">
        <v>7824162000</v>
      </c>
      <c r="B470" s="16" t="s">
        <v>21875</v>
      </c>
      <c r="C470" s="16" t="e">
        <f>VLOOKUP(Table1[[#This Row],[Node]],Parent!A:B,2,0)</f>
        <v>#N/A</v>
      </c>
      <c r="D470" s="25" t="s">
        <v>19346</v>
      </c>
      <c r="E470" s="26" t="s">
        <v>16544</v>
      </c>
      <c r="F470" s="27" t="s">
        <v>16830</v>
      </c>
      <c r="G470" s="27" t="s">
        <v>16831</v>
      </c>
      <c r="H470" s="27" t="s">
        <v>16881</v>
      </c>
      <c r="I470" s="27" t="s">
        <v>16978</v>
      </c>
      <c r="J470" s="27"/>
      <c r="K470" s="27"/>
      <c r="L470" s="27"/>
      <c r="N470" s="27"/>
      <c r="T470" s="28" t="str">
        <f>LOOKUP(1,1/(Table1[[#This Row],[Level_0]:[Level 15]]&gt;0),(Table1[[#This Row],[Level_0]:[Level 15]]))</f>
        <v>7824162000 - [APA FX exp. operat. act., unrealized]</v>
      </c>
      <c r="U470" s="22">
        <v>465</v>
      </c>
      <c r="W470" s="13" t="str">
        <f>LOOKUP(1,1/(Table1[[#This Row],[Level_0]:[Level 15]]&gt;0),(Table1[[#This Row],[Level_0]:[Level 15]]))</f>
        <v>7824162000 - [APA FX exp. operat. act., unrealized]</v>
      </c>
    </row>
    <row r="471" spans="1:23" hidden="1" x14ac:dyDescent="0.25">
      <c r="A471">
        <v>7824140001</v>
      </c>
      <c r="B471" s="16" t="s">
        <v>21871</v>
      </c>
      <c r="C471" s="16" t="e">
        <f>VLOOKUP(Table1[[#This Row],[Node]],Parent!A:B,2,0)</f>
        <v>#N/A</v>
      </c>
      <c r="D471" s="25" t="s">
        <v>19346</v>
      </c>
      <c r="E471" s="26" t="s">
        <v>16544</v>
      </c>
      <c r="F471" s="27" t="s">
        <v>16830</v>
      </c>
      <c r="G471" s="27" t="s">
        <v>16831</v>
      </c>
      <c r="H471" s="27" t="s">
        <v>16881</v>
      </c>
      <c r="I471" s="27" t="s">
        <v>16979</v>
      </c>
      <c r="J471" s="27"/>
      <c r="K471" s="27"/>
      <c r="L471" s="27"/>
      <c r="N471" s="27"/>
      <c r="T471" s="28" t="str">
        <f>LOOKUP(1,1/(Table1[[#This Row],[Level_0]:[Level 15]]&gt;0),(Table1[[#This Row],[Level_0]:[Level 15]]))</f>
        <v>7824140001 - [APA Banking Charge]</v>
      </c>
      <c r="U471" s="22">
        <v>466</v>
      </c>
      <c r="W471" s="13" t="str">
        <f>LOOKUP(1,1/(Table1[[#This Row],[Level_0]:[Level 15]]&gt;0),(Table1[[#This Row],[Level_0]:[Level 15]]))</f>
        <v>7824140001 - [APA Banking Charge]</v>
      </c>
    </row>
    <row r="472" spans="1:23" hidden="1" x14ac:dyDescent="0.25">
      <c r="A472">
        <v>7823403000</v>
      </c>
      <c r="B472" s="16" t="s">
        <v>21850</v>
      </c>
      <c r="C472" s="16" t="e">
        <f>VLOOKUP(Table1[[#This Row],[Node]],Parent!A:B,2,0)</f>
        <v>#N/A</v>
      </c>
      <c r="D472" s="25" t="s">
        <v>19346</v>
      </c>
      <c r="E472" s="26" t="s">
        <v>16544</v>
      </c>
      <c r="F472" s="27" t="s">
        <v>16830</v>
      </c>
      <c r="G472" s="27" t="s">
        <v>16831</v>
      </c>
      <c r="H472" s="27" t="s">
        <v>16881</v>
      </c>
      <c r="I472" s="27" t="s">
        <v>16980</v>
      </c>
      <c r="J472" s="27"/>
      <c r="K472" s="27"/>
      <c r="L472" s="27"/>
      <c r="N472" s="27"/>
      <c r="T472" s="28" t="str">
        <f>LOOKUP(1,1/(Table1[[#This Row],[Level_0]:[Level 15]]&gt;0),(Table1[[#This Row],[Level_0]:[Level 15]]))</f>
        <v>7823403000 - [APA FX gains operat. act., realized]</v>
      </c>
      <c r="U472" s="22">
        <v>467</v>
      </c>
      <c r="W472" s="13" t="str">
        <f>LOOKUP(1,1/(Table1[[#This Row],[Level_0]:[Level 15]]&gt;0),(Table1[[#This Row],[Level_0]:[Level 15]]))</f>
        <v>7823403000 - [APA FX gains operat. act., realized]</v>
      </c>
    </row>
    <row r="473" spans="1:23" hidden="1" x14ac:dyDescent="0.25">
      <c r="A473">
        <v>7711171300</v>
      </c>
      <c r="B473" s="16" t="s">
        <v>21610</v>
      </c>
      <c r="C473" s="16" t="e">
        <f>VLOOKUP(Table1[[#This Row],[Node]],Parent!A:B,2,0)</f>
        <v>#N/A</v>
      </c>
      <c r="D473" s="25" t="s">
        <v>19346</v>
      </c>
      <c r="E473" s="26" t="s">
        <v>16544</v>
      </c>
      <c r="F473" s="27" t="s">
        <v>16830</v>
      </c>
      <c r="G473" s="27" t="s">
        <v>16831</v>
      </c>
      <c r="H473" s="27" t="s">
        <v>16881</v>
      </c>
      <c r="I473" s="27" t="s">
        <v>16981</v>
      </c>
      <c r="J473" s="27"/>
      <c r="K473" s="27"/>
      <c r="L473" s="27"/>
      <c r="N473" s="27"/>
      <c r="T473" s="28" t="str">
        <f>LOOKUP(1,1/(Table1[[#This Row],[Level_0]:[Level 15]]&gt;0),(Table1[[#This Row],[Level_0]:[Level 15]]))</f>
        <v>7711171300 - [SPA ProdProcDevelop]</v>
      </c>
      <c r="U473" s="22">
        <v>468</v>
      </c>
      <c r="W473" s="13" t="str">
        <f>LOOKUP(1,1/(Table1[[#This Row],[Level_0]:[Level 15]]&gt;0),(Table1[[#This Row],[Level_0]:[Level 15]]))</f>
        <v>7711171300 - [SPA ProdProcDevelop]</v>
      </c>
    </row>
    <row r="474" spans="1:23" hidden="1" x14ac:dyDescent="0.25">
      <c r="A474">
        <v>7711171200</v>
      </c>
      <c r="B474" s="16" t="s">
        <v>21609</v>
      </c>
      <c r="C474" s="16" t="e">
        <f>VLOOKUP(Table1[[#This Row],[Node]],Parent!A:B,2,0)</f>
        <v>#N/A</v>
      </c>
      <c r="D474" s="25" t="s">
        <v>19346</v>
      </c>
      <c r="E474" s="26" t="s">
        <v>16544</v>
      </c>
      <c r="F474" s="27" t="s">
        <v>16830</v>
      </c>
      <c r="G474" s="27" t="s">
        <v>16831</v>
      </c>
      <c r="H474" s="27" t="s">
        <v>16881</v>
      </c>
      <c r="I474" s="27" t="s">
        <v>16982</v>
      </c>
      <c r="J474" s="27"/>
      <c r="K474" s="27"/>
      <c r="L474" s="27"/>
      <c r="N474" s="27"/>
      <c r="T474" s="28" t="str">
        <f>LOOKUP(1,1/(Table1[[#This Row],[Level_0]:[Level 15]]&gt;0),(Table1[[#This Row],[Level_0]:[Level 15]]))</f>
        <v>7711171200 - [SPA Global Qaulity]</v>
      </c>
      <c r="U474" s="22">
        <v>469</v>
      </c>
      <c r="W474" s="13" t="str">
        <f>LOOKUP(1,1/(Table1[[#This Row],[Level_0]:[Level 15]]&gt;0),(Table1[[#This Row],[Level_0]:[Level 15]]))</f>
        <v>7711171200 - [SPA Global Qaulity]</v>
      </c>
    </row>
    <row r="475" spans="1:23" hidden="1" x14ac:dyDescent="0.25">
      <c r="A475">
        <v>7840116000</v>
      </c>
      <c r="B475" s="16" t="s">
        <v>21944</v>
      </c>
      <c r="C475" s="16" t="e">
        <f>VLOOKUP(Table1[[#This Row],[Node]],Parent!A:B,2,0)</f>
        <v>#N/A</v>
      </c>
      <c r="D475" s="25" t="s">
        <v>19346</v>
      </c>
      <c r="E475" s="26" t="s">
        <v>16544</v>
      </c>
      <c r="F475" s="27" t="s">
        <v>16830</v>
      </c>
      <c r="G475" s="27" t="s">
        <v>16831</v>
      </c>
      <c r="H475" s="27" t="s">
        <v>16881</v>
      </c>
      <c r="I475" s="27" t="s">
        <v>16983</v>
      </c>
      <c r="J475" s="27"/>
      <c r="K475" s="27"/>
      <c r="L475" s="27"/>
      <c r="N475" s="27"/>
      <c r="T475" s="28" t="str">
        <f>LOOKUP(1,1/(Table1[[#This Row],[Level_0]:[Level 15]]&gt;0),(Table1[[#This Row],[Level_0]:[Level 15]]))</f>
        <v>7840116000 - [APA Defr Tax on Planned Dividends]</v>
      </c>
      <c r="U475" s="22">
        <v>470</v>
      </c>
      <c r="W475" s="13" t="str">
        <f>LOOKUP(1,1/(Table1[[#This Row],[Level_0]:[Level 15]]&gt;0),(Table1[[#This Row],[Level_0]:[Level 15]]))</f>
        <v>7840116000 - [APA Defr Tax on Planned Dividends]</v>
      </c>
    </row>
    <row r="476" spans="1:23" hidden="1" x14ac:dyDescent="0.25">
      <c r="A476">
        <v>7840115000</v>
      </c>
      <c r="B476" s="16" t="s">
        <v>21943</v>
      </c>
      <c r="C476" s="16" t="e">
        <f>VLOOKUP(Table1[[#This Row],[Node]],Parent!A:B,2,0)</f>
        <v>#N/A</v>
      </c>
      <c r="D476" s="25" t="s">
        <v>19346</v>
      </c>
      <c r="E476" s="26" t="s">
        <v>16544</v>
      </c>
      <c r="F476" s="27" t="s">
        <v>16830</v>
      </c>
      <c r="G476" s="27" t="s">
        <v>16831</v>
      </c>
      <c r="H476" s="27" t="s">
        <v>16881</v>
      </c>
      <c r="I476" s="27" t="s">
        <v>16984</v>
      </c>
      <c r="J476" s="27"/>
      <c r="K476" s="27"/>
      <c r="L476" s="27"/>
      <c r="N476" s="27"/>
      <c r="T476" s="28" t="str">
        <f>LOOKUP(1,1/(Table1[[#This Row],[Level_0]:[Level 15]]&gt;0),(Table1[[#This Row],[Level_0]:[Level 15]]))</f>
        <v>7840115000 - [APA Defr Tax Resul. Change in Tax Rates]</v>
      </c>
      <c r="U476" s="22">
        <v>471</v>
      </c>
      <c r="W476" s="13" t="str">
        <f>LOOKUP(1,1/(Table1[[#This Row],[Level_0]:[Level 15]]&gt;0),(Table1[[#This Row],[Level_0]:[Level 15]]))</f>
        <v>7840115000 - [APA Defr Tax Resul. Change in Tax Rates]</v>
      </c>
    </row>
    <row r="477" spans="1:23" hidden="1" x14ac:dyDescent="0.25">
      <c r="A477">
        <v>7840114000</v>
      </c>
      <c r="B477" s="16" t="s">
        <v>21942</v>
      </c>
      <c r="C477" s="16" t="e">
        <f>VLOOKUP(Table1[[#This Row],[Node]],Parent!A:B,2,0)</f>
        <v>#N/A</v>
      </c>
      <c r="D477" s="25" t="s">
        <v>19346</v>
      </c>
      <c r="E477" s="26" t="s">
        <v>16544</v>
      </c>
      <c r="F477" s="27" t="s">
        <v>16830</v>
      </c>
      <c r="G477" s="27" t="s">
        <v>16831</v>
      </c>
      <c r="H477" s="27" t="s">
        <v>16881</v>
      </c>
      <c r="I477" s="27" t="s">
        <v>16985</v>
      </c>
      <c r="J477" s="27"/>
      <c r="K477" s="27"/>
      <c r="L477" s="27"/>
      <c r="N477" s="27"/>
      <c r="T477" s="28" t="str">
        <f>LOOKUP(1,1/(Table1[[#This Row],[Level_0]:[Level 15]]&gt;0),(Table1[[#This Row],[Level_0]:[Level 15]]))</f>
        <v>7840114000 - [APA Defr Tax Resul. UseUnrec Tax Credits]</v>
      </c>
      <c r="U477" s="22">
        <v>472</v>
      </c>
      <c r="W477" s="13" t="str">
        <f>LOOKUP(1,1/(Table1[[#This Row],[Level_0]:[Level 15]]&gt;0),(Table1[[#This Row],[Level_0]:[Level 15]]))</f>
        <v>7840114000 - [APA Defr Tax Resul. UseUnrec Tax Credits]</v>
      </c>
    </row>
    <row r="478" spans="1:23" hidden="1" x14ac:dyDescent="0.25">
      <c r="A478">
        <v>7840113000</v>
      </c>
      <c r="B478" s="16" t="s">
        <v>21941</v>
      </c>
      <c r="C478" s="16" t="e">
        <f>VLOOKUP(Table1[[#This Row],[Node]],Parent!A:B,2,0)</f>
        <v>#N/A</v>
      </c>
      <c r="D478" s="25" t="s">
        <v>19346</v>
      </c>
      <c r="E478" s="26" t="s">
        <v>16544</v>
      </c>
      <c r="F478" s="27" t="s">
        <v>16830</v>
      </c>
      <c r="G478" s="27" t="s">
        <v>16831</v>
      </c>
      <c r="H478" s="27" t="s">
        <v>16881</v>
      </c>
      <c r="I478" s="27" t="s">
        <v>16986</v>
      </c>
      <c r="J478" s="27"/>
      <c r="K478" s="27"/>
      <c r="L478" s="27"/>
      <c r="N478" s="27"/>
      <c r="T478" s="28" t="str">
        <f>LOOKUP(1,1/(Table1[[#This Row],[Level_0]:[Level 15]]&gt;0),(Table1[[#This Row],[Level_0]:[Level 15]]))</f>
        <v>7840113000 - [APA Defr Tax Resul. UseUnrecTax Loss CFw]</v>
      </c>
      <c r="U478" s="22">
        <v>473</v>
      </c>
      <c r="W478" s="13" t="str">
        <f>LOOKUP(1,1/(Table1[[#This Row],[Level_0]:[Level 15]]&gt;0),(Table1[[#This Row],[Level_0]:[Level 15]]))</f>
        <v>7840113000 - [APA Defr Tax Resul. UseUnrecTax Loss CFw]</v>
      </c>
    </row>
    <row r="479" spans="1:23" hidden="1" x14ac:dyDescent="0.25">
      <c r="A479">
        <v>7840112000</v>
      </c>
      <c r="B479" s="16" t="s">
        <v>21940</v>
      </c>
      <c r="C479" s="16" t="e">
        <f>VLOOKUP(Table1[[#This Row],[Node]],Parent!A:B,2,0)</f>
        <v>#N/A</v>
      </c>
      <c r="D479" s="25" t="s">
        <v>19346</v>
      </c>
      <c r="E479" s="26" t="s">
        <v>16544</v>
      </c>
      <c r="F479" s="27" t="s">
        <v>16830</v>
      </c>
      <c r="G479" s="27" t="s">
        <v>16831</v>
      </c>
      <c r="H479" s="27" t="s">
        <v>16881</v>
      </c>
      <c r="I479" s="27" t="s">
        <v>16987</v>
      </c>
      <c r="J479" s="27"/>
      <c r="K479" s="27"/>
      <c r="L479" s="27"/>
      <c r="N479" s="27"/>
      <c r="T479" s="28" t="str">
        <f>LOOKUP(1,1/(Table1[[#This Row],[Level_0]:[Level 15]]&gt;0),(Table1[[#This Row],[Level_0]:[Level 15]]))</f>
        <v>7840112000 - [APA Defr Tax Resul. UseUnrec Temp Diff]</v>
      </c>
      <c r="U479" s="22">
        <v>474</v>
      </c>
      <c r="W479" s="13" t="str">
        <f>LOOKUP(1,1/(Table1[[#This Row],[Level_0]:[Level 15]]&gt;0),(Table1[[#This Row],[Level_0]:[Level 15]]))</f>
        <v>7840112000 - [APA Defr Tax Resul. UseUnrec Temp Diff]</v>
      </c>
    </row>
    <row r="480" spans="1:23" hidden="1" x14ac:dyDescent="0.25">
      <c r="A480">
        <v>7840111000</v>
      </c>
      <c r="B480" s="16" t="s">
        <v>21939</v>
      </c>
      <c r="C480" s="16" t="e">
        <f>VLOOKUP(Table1[[#This Row],[Node]],Parent!A:B,2,0)</f>
        <v>#N/A</v>
      </c>
      <c r="D480" s="25" t="s">
        <v>19346</v>
      </c>
      <c r="E480" s="26" t="s">
        <v>16544</v>
      </c>
      <c r="F480" s="27" t="s">
        <v>16830</v>
      </c>
      <c r="G480" s="27" t="s">
        <v>16831</v>
      </c>
      <c r="H480" s="27" t="s">
        <v>16881</v>
      </c>
      <c r="I480" s="27" t="s">
        <v>16988</v>
      </c>
      <c r="J480" s="27"/>
      <c r="K480" s="27"/>
      <c r="L480" s="27"/>
      <c r="N480" s="27"/>
      <c r="T480" s="28" t="str">
        <f>LOOKUP(1,1/(Table1[[#This Row],[Level_0]:[Level 15]]&gt;0),(Table1[[#This Row],[Level_0]:[Level 15]]))</f>
        <v>7840111000 - [APA Defr Tax Resul. Changes in Temp Diff]</v>
      </c>
      <c r="U480" s="22">
        <v>475</v>
      </c>
      <c r="W480" s="13" t="str">
        <f>LOOKUP(1,1/(Table1[[#This Row],[Level_0]:[Level 15]]&gt;0),(Table1[[#This Row],[Level_0]:[Level 15]]))</f>
        <v>7840111000 - [APA Defr Tax Resul. Changes in Temp Diff]</v>
      </c>
    </row>
    <row r="481" spans="1:23" hidden="1" x14ac:dyDescent="0.25">
      <c r="A481">
        <v>7840105000</v>
      </c>
      <c r="B481" s="16" t="s">
        <v>21938</v>
      </c>
      <c r="C481" s="16" t="e">
        <f>VLOOKUP(Table1[[#This Row],[Node]],Parent!A:B,2,0)</f>
        <v>#N/A</v>
      </c>
      <c r="D481" s="25" t="s">
        <v>19346</v>
      </c>
      <c r="E481" s="26" t="s">
        <v>16544</v>
      </c>
      <c r="F481" s="27" t="s">
        <v>16830</v>
      </c>
      <c r="G481" s="27" t="s">
        <v>16831</v>
      </c>
      <c r="H481" s="27" t="s">
        <v>16881</v>
      </c>
      <c r="I481" s="27" t="s">
        <v>16989</v>
      </c>
      <c r="J481" s="27"/>
      <c r="K481" s="27"/>
      <c r="L481" s="27"/>
      <c r="N481" s="27"/>
      <c r="T481" s="28" t="str">
        <f>LOOKUP(1,1/(Table1[[#This Row],[Level_0]:[Level 15]]&gt;0),(Table1[[#This Row],[Level_0]:[Level 15]]))</f>
        <v>7840105000 - [APA Current Tax for Prev. Periods]</v>
      </c>
      <c r="U481" s="22">
        <v>476</v>
      </c>
      <c r="W481" s="13" t="str">
        <f>LOOKUP(1,1/(Table1[[#This Row],[Level_0]:[Level 15]]&gt;0),(Table1[[#This Row],[Level_0]:[Level 15]]))</f>
        <v>7840105000 - [APA Current Tax for Prev. Periods]</v>
      </c>
    </row>
    <row r="482" spans="1:23" hidden="1" x14ac:dyDescent="0.25">
      <c r="A482">
        <v>7823402000</v>
      </c>
      <c r="B482" s="16" t="s">
        <v>21849</v>
      </c>
      <c r="C482" s="16" t="e">
        <f>VLOOKUP(Table1[[#This Row],[Node]],Parent!A:B,2,0)</f>
        <v>#N/A</v>
      </c>
      <c r="D482" s="25" t="s">
        <v>19346</v>
      </c>
      <c r="E482" s="26" t="s">
        <v>16544</v>
      </c>
      <c r="F482" s="27" t="s">
        <v>16830</v>
      </c>
      <c r="G482" s="27" t="s">
        <v>16831</v>
      </c>
      <c r="H482" s="27" t="s">
        <v>16881</v>
      </c>
      <c r="I482" s="27" t="s">
        <v>16990</v>
      </c>
      <c r="J482" s="27"/>
      <c r="K482" s="27"/>
      <c r="L482" s="27"/>
      <c r="N482" s="27"/>
      <c r="T482" s="28" t="str">
        <f>LOOKUP(1,1/(Table1[[#This Row],[Level_0]:[Level 15]]&gt;0),(Table1[[#This Row],[Level_0]:[Level 15]]))</f>
        <v>7823402000 - [APA FX gains operat. act., unrealized]</v>
      </c>
      <c r="U482" s="22">
        <v>477</v>
      </c>
      <c r="W482" s="13" t="str">
        <f>LOOKUP(1,1/(Table1[[#This Row],[Level_0]:[Level 15]]&gt;0),(Table1[[#This Row],[Level_0]:[Level 15]]))</f>
        <v>7823402000 - [APA FX gains operat. act., unrealized]</v>
      </c>
    </row>
    <row r="483" spans="1:23" hidden="1" x14ac:dyDescent="0.25">
      <c r="A483">
        <v>7823401000</v>
      </c>
      <c r="B483" s="16" t="s">
        <v>21848</v>
      </c>
      <c r="C483" s="16" t="e">
        <f>VLOOKUP(Table1[[#This Row],[Node]],Parent!A:B,2,0)</f>
        <v>#N/A</v>
      </c>
      <c r="D483" s="25" t="s">
        <v>19346</v>
      </c>
      <c r="E483" s="26" t="s">
        <v>16544</v>
      </c>
      <c r="F483" s="27" t="s">
        <v>16830</v>
      </c>
      <c r="G483" s="27" t="s">
        <v>16831</v>
      </c>
      <c r="H483" s="27" t="s">
        <v>16881</v>
      </c>
      <c r="I483" s="27" t="s">
        <v>16991</v>
      </c>
      <c r="J483" s="27"/>
      <c r="K483" s="27"/>
      <c r="L483" s="27"/>
      <c r="N483" s="27"/>
      <c r="T483" s="28" t="str">
        <f>LOOKUP(1,1/(Table1[[#This Row],[Level_0]:[Level 15]]&gt;0),(Table1[[#This Row],[Level_0]:[Level 15]]))</f>
        <v>7823401000 - [APA FX gains cash flow hedge]</v>
      </c>
      <c r="U483" s="22">
        <v>478</v>
      </c>
      <c r="W483" s="13" t="str">
        <f>LOOKUP(1,1/(Table1[[#This Row],[Level_0]:[Level 15]]&gt;0),(Table1[[#This Row],[Level_0]:[Level 15]]))</f>
        <v>7823401000 - [APA FX gains cash flow hedge]</v>
      </c>
    </row>
    <row r="484" spans="1:23" hidden="1" x14ac:dyDescent="0.25">
      <c r="A484">
        <v>7823301200</v>
      </c>
      <c r="B484" s="16" t="s">
        <v>21843</v>
      </c>
      <c r="C484" s="16" t="e">
        <f>VLOOKUP(Table1[[#This Row],[Node]],Parent!A:B,2,0)</f>
        <v>#N/A</v>
      </c>
      <c r="D484" s="25" t="s">
        <v>19346</v>
      </c>
      <c r="E484" s="26" t="s">
        <v>16544</v>
      </c>
      <c r="F484" s="27" t="s">
        <v>16830</v>
      </c>
      <c r="G484" s="27" t="s">
        <v>16831</v>
      </c>
      <c r="H484" s="27" t="s">
        <v>16881</v>
      </c>
      <c r="I484" s="27" t="s">
        <v>16992</v>
      </c>
      <c r="J484" s="27"/>
      <c r="K484" s="27"/>
      <c r="L484" s="27"/>
      <c r="N484" s="27"/>
      <c r="T484" s="28" t="str">
        <f>LOOKUP(1,1/(Table1[[#This Row],[Level_0]:[Level 15]]&gt;0),(Table1[[#This Row],[Level_0]:[Level 15]]))</f>
        <v>7823301200 - [APA Cap. gains f. sale of tang. assets]</v>
      </c>
      <c r="U484" s="22">
        <v>479</v>
      </c>
      <c r="W484" s="13" t="str">
        <f>LOOKUP(1,1/(Table1[[#This Row],[Level_0]:[Level 15]]&gt;0),(Table1[[#This Row],[Level_0]:[Level 15]]))</f>
        <v>7823301200 - [APA Cap. gains f. sale of tang. assets]</v>
      </c>
    </row>
    <row r="485" spans="1:23" hidden="1" x14ac:dyDescent="0.25">
      <c r="A485">
        <v>7823101200</v>
      </c>
      <c r="B485" s="16" t="s">
        <v>21839</v>
      </c>
      <c r="C485" s="16" t="e">
        <f>VLOOKUP(Table1[[#This Row],[Node]],Parent!A:B,2,0)</f>
        <v>#N/A</v>
      </c>
      <c r="D485" s="25" t="s">
        <v>19346</v>
      </c>
      <c r="E485" s="26" t="s">
        <v>16544</v>
      </c>
      <c r="F485" s="27" t="s">
        <v>16830</v>
      </c>
      <c r="G485" s="27" t="s">
        <v>16831</v>
      </c>
      <c r="H485" s="27" t="s">
        <v>16881</v>
      </c>
      <c r="I485" s="27" t="s">
        <v>16993</v>
      </c>
      <c r="J485" s="27"/>
      <c r="K485" s="27"/>
      <c r="L485" s="27"/>
      <c r="N485" s="27"/>
      <c r="T485" s="28" t="str">
        <f>LOOKUP(1,1/(Table1[[#This Row],[Level_0]:[Level 15]]&gt;0),(Table1[[#This Row],[Level_0]:[Level 15]]))</f>
        <v>7823101200 - [APA Royalty, license, income rel. to M&amp;		X	X	X	X		]</v>
      </c>
      <c r="U485" s="22">
        <v>480</v>
      </c>
      <c r="W485" s="13" t="str">
        <f>LOOKUP(1,1/(Table1[[#This Row],[Level_0]:[Level 15]]&gt;0),(Table1[[#This Row],[Level_0]:[Level 15]]))</f>
        <v>7823101200 - [APA Royalty, license, income rel. to M&amp;		X	X	X	X		]</v>
      </c>
    </row>
    <row r="486" spans="1:23" hidden="1" x14ac:dyDescent="0.25">
      <c r="A486">
        <v>7823101100</v>
      </c>
      <c r="B486" s="16" t="s">
        <v>21838</v>
      </c>
      <c r="C486" s="16" t="e">
        <f>VLOOKUP(Table1[[#This Row],[Node]],Parent!A:B,2,0)</f>
        <v>#N/A</v>
      </c>
      <c r="D486" s="25" t="s">
        <v>19346</v>
      </c>
      <c r="E486" s="26" t="s">
        <v>16544</v>
      </c>
      <c r="F486" s="27" t="s">
        <v>16830</v>
      </c>
      <c r="G486" s="27" t="s">
        <v>16831</v>
      </c>
      <c r="H486" s="27" t="s">
        <v>16881</v>
      </c>
      <c r="I486" s="27" t="s">
        <v>16994</v>
      </c>
      <c r="J486" s="27"/>
      <c r="K486" s="27"/>
      <c r="L486" s="27"/>
      <c r="N486" s="27"/>
      <c r="T486" s="28" t="str">
        <f>LOOKUP(1,1/(Table1[[#This Row],[Level_0]:[Level 15]]&gt;0),(Table1[[#This Row],[Level_0]:[Level 15]]))</f>
        <v>7823101100 - [APA Royalty, license, income rel. to Co		X	X	X	X		]</v>
      </c>
      <c r="U486" s="22">
        <v>481</v>
      </c>
      <c r="W486" s="13" t="str">
        <f>LOOKUP(1,1/(Table1[[#This Row],[Level_0]:[Level 15]]&gt;0),(Table1[[#This Row],[Level_0]:[Level 15]]))</f>
        <v>7823101100 - [APA Royalty, license, income rel. to Co		X	X	X	X		]</v>
      </c>
    </row>
    <row r="487" spans="1:23" hidden="1" x14ac:dyDescent="0.25">
      <c r="A487">
        <v>7822150000</v>
      </c>
      <c r="B487" s="16" t="s">
        <v>21837</v>
      </c>
      <c r="C487" s="16" t="e">
        <f>VLOOKUP(Table1[[#This Row],[Node]],Parent!A:B,2,0)</f>
        <v>#N/A</v>
      </c>
      <c r="D487" s="25" t="s">
        <v>19346</v>
      </c>
      <c r="E487" s="26" t="s">
        <v>16544</v>
      </c>
      <c r="F487" s="27" t="s">
        <v>16830</v>
      </c>
      <c r="G487" s="27" t="s">
        <v>16831</v>
      </c>
      <c r="H487" s="27" t="s">
        <v>16881</v>
      </c>
      <c r="I487" s="27" t="s">
        <v>16995</v>
      </c>
      <c r="J487" s="27"/>
      <c r="K487" s="27"/>
      <c r="L487" s="27"/>
      <c r="N487" s="27"/>
      <c r="T487" s="28" t="str">
        <f>LOOKUP(1,1/(Table1[[#This Row],[Level_0]:[Level 15]]&gt;0),(Table1[[#This Row],[Level_0]:[Level 15]]))</f>
        <v>7822150000 - [APA Amort. of int. assets Admin]</v>
      </c>
      <c r="U487" s="22">
        <v>482</v>
      </c>
      <c r="W487" s="13" t="str">
        <f>LOOKUP(1,1/(Table1[[#This Row],[Level_0]:[Level 15]]&gt;0),(Table1[[#This Row],[Level_0]:[Level 15]]))</f>
        <v>7822150000 - [APA Amort. of int. assets Admin]</v>
      </c>
    </row>
    <row r="488" spans="1:23" hidden="1" x14ac:dyDescent="0.25">
      <c r="A488">
        <v>7822140000</v>
      </c>
      <c r="B488" s="16" t="s">
        <v>21836</v>
      </c>
      <c r="C488" s="16" t="e">
        <f>VLOOKUP(Table1[[#This Row],[Node]],Parent!A:B,2,0)</f>
        <v>#N/A</v>
      </c>
      <c r="D488" s="25" t="s">
        <v>19346</v>
      </c>
      <c r="E488" s="26" t="s">
        <v>16544</v>
      </c>
      <c r="F488" s="27" t="s">
        <v>16830</v>
      </c>
      <c r="G488" s="27" t="s">
        <v>16831</v>
      </c>
      <c r="H488" s="27" t="s">
        <v>16881</v>
      </c>
      <c r="I488" s="27" t="s">
        <v>16996</v>
      </c>
      <c r="J488" s="27"/>
      <c r="K488" s="27"/>
      <c r="L488" s="27"/>
      <c r="N488" s="27"/>
      <c r="T488" s="28" t="str">
        <f>LOOKUP(1,1/(Table1[[#This Row],[Level_0]:[Level 15]]&gt;0),(Table1[[#This Row],[Level_0]:[Level 15]]))</f>
        <v>7822140000 - [APA Other G&amp;A]</v>
      </c>
      <c r="U488" s="22">
        <v>483</v>
      </c>
      <c r="W488" s="13" t="str">
        <f>LOOKUP(1,1/(Table1[[#This Row],[Level_0]:[Level 15]]&gt;0),(Table1[[#This Row],[Level_0]:[Level 15]]))</f>
        <v>7822140000 - [APA Other G&amp;A]</v>
      </c>
    </row>
    <row r="489" spans="1:23" hidden="1" x14ac:dyDescent="0.25">
      <c r="A489">
        <v>7822130001</v>
      </c>
      <c r="B489" s="16" t="s">
        <v>21835</v>
      </c>
      <c r="C489" s="16" t="e">
        <f>VLOOKUP(Table1[[#This Row],[Node]],Parent!A:B,2,0)</f>
        <v>#N/A</v>
      </c>
      <c r="D489" s="25" t="s">
        <v>19346</v>
      </c>
      <c r="E489" s="26" t="s">
        <v>16544</v>
      </c>
      <c r="F489" s="27" t="s">
        <v>16830</v>
      </c>
      <c r="G489" s="27" t="s">
        <v>16831</v>
      </c>
      <c r="H489" s="27" t="s">
        <v>16881</v>
      </c>
      <c r="I489" s="27" t="s">
        <v>16997</v>
      </c>
      <c r="J489" s="27"/>
      <c r="K489" s="27"/>
      <c r="L489" s="27"/>
      <c r="N489" s="27"/>
      <c r="T489" s="28" t="str">
        <f>LOOKUP(1,1/(Table1[[#This Row],[Level_0]:[Level 15]]&gt;0),(Table1[[#This Row],[Level_0]:[Level 15]]))</f>
        <v>7822130001 - [APA IT run cost]</v>
      </c>
      <c r="U489" s="22">
        <v>484</v>
      </c>
      <c r="W489" s="13" t="str">
        <f>LOOKUP(1,1/(Table1[[#This Row],[Level_0]:[Level 15]]&gt;0),(Table1[[#This Row],[Level_0]:[Level 15]]))</f>
        <v>7822130001 - [APA IT run cost]</v>
      </c>
    </row>
    <row r="490" spans="1:23" hidden="1" x14ac:dyDescent="0.25">
      <c r="A490">
        <v>7822130000</v>
      </c>
      <c r="B490" s="16" t="s">
        <v>21834</v>
      </c>
      <c r="C490" s="16" t="e">
        <f>VLOOKUP(Table1[[#This Row],[Node]],Parent!A:B,2,0)</f>
        <v>#N/A</v>
      </c>
      <c r="D490" s="25" t="s">
        <v>19346</v>
      </c>
      <c r="E490" s="26" t="s">
        <v>16544</v>
      </c>
      <c r="F490" s="27" t="s">
        <v>16830</v>
      </c>
      <c r="G490" s="27" t="s">
        <v>16831</v>
      </c>
      <c r="H490" s="27" t="s">
        <v>16881</v>
      </c>
      <c r="I490" s="27" t="s">
        <v>16998</v>
      </c>
      <c r="J490" s="27"/>
      <c r="K490" s="27"/>
      <c r="L490" s="27"/>
      <c r="N490" s="27"/>
      <c r="T490" s="28" t="str">
        <f>LOOKUP(1,1/(Table1[[#This Row],[Level_0]:[Level 15]]&gt;0),(Table1[[#This Row],[Level_0]:[Level 15]]))</f>
        <v>7822130000 - [APA Other MGF]</v>
      </c>
      <c r="U490" s="22">
        <v>485</v>
      </c>
      <c r="W490" s="13" t="str">
        <f>LOOKUP(1,1/(Table1[[#This Row],[Level_0]:[Level 15]]&gt;0),(Table1[[#This Row],[Level_0]:[Level 15]]))</f>
        <v>7822130000 - [APA Other MGF]</v>
      </c>
    </row>
    <row r="491" spans="1:23" hidden="1" x14ac:dyDescent="0.25">
      <c r="A491">
        <v>7822120000</v>
      </c>
      <c r="B491" s="16" t="s">
        <v>21833</v>
      </c>
      <c r="C491" s="16" t="e">
        <f>VLOOKUP(Table1[[#This Row],[Node]],Parent!A:B,2,0)</f>
        <v>#N/A</v>
      </c>
      <c r="D491" s="25" t="s">
        <v>19346</v>
      </c>
      <c r="E491" s="26" t="s">
        <v>16544</v>
      </c>
      <c r="F491" s="27" t="s">
        <v>16830</v>
      </c>
      <c r="G491" s="27" t="s">
        <v>16831</v>
      </c>
      <c r="H491" s="27" t="s">
        <v>16881</v>
      </c>
      <c r="I491" s="27" t="s">
        <v>16999</v>
      </c>
      <c r="J491" s="27"/>
      <c r="K491" s="27"/>
      <c r="L491" s="27"/>
      <c r="N491" s="27"/>
      <c r="T491" s="28" t="str">
        <f>LOOKUP(1,1/(Table1[[#This Row],[Level_0]:[Level 15]]&gt;0),(Table1[[#This Row],[Level_0]:[Level 15]]))</f>
        <v>7822120000 - [APA Legal &amp; Compliance]</v>
      </c>
      <c r="U491" s="22">
        <v>486</v>
      </c>
      <c r="W491" s="13" t="str">
        <f>LOOKUP(1,1/(Table1[[#This Row],[Level_0]:[Level 15]]&gt;0),(Table1[[#This Row],[Level_0]:[Level 15]]))</f>
        <v>7822120000 - [APA Legal &amp; Compliance]</v>
      </c>
    </row>
    <row r="492" spans="1:23" hidden="1" x14ac:dyDescent="0.25">
      <c r="A492">
        <v>7822110000</v>
      </c>
      <c r="B492" s="16" t="s">
        <v>21832</v>
      </c>
      <c r="C492" s="16" t="e">
        <f>VLOOKUP(Table1[[#This Row],[Node]],Parent!A:B,2,0)</f>
        <v>#N/A</v>
      </c>
      <c r="D492" s="25" t="s">
        <v>19346</v>
      </c>
      <c r="E492" s="26" t="s">
        <v>16544</v>
      </c>
      <c r="F492" s="27" t="s">
        <v>16830</v>
      </c>
      <c r="G492" s="27" t="s">
        <v>16831</v>
      </c>
      <c r="H492" s="27" t="s">
        <v>16881</v>
      </c>
      <c r="I492" s="27" t="s">
        <v>17000</v>
      </c>
      <c r="J492" s="27"/>
      <c r="K492" s="27"/>
      <c r="L492" s="27"/>
      <c r="N492" s="27"/>
      <c r="T492" s="28" t="str">
        <f>LOOKUP(1,1/(Table1[[#This Row],[Level_0]:[Level 15]]&gt;0),(Table1[[#This Row],[Level_0]:[Level 15]]))</f>
        <v>7822110000 - [APA Finance]</v>
      </c>
      <c r="U492" s="22">
        <v>487</v>
      </c>
      <c r="W492" s="13" t="str">
        <f>LOOKUP(1,1/(Table1[[#This Row],[Level_0]:[Level 15]]&gt;0),(Table1[[#This Row],[Level_0]:[Level 15]]))</f>
        <v>7822110000 - [APA Finance]</v>
      </c>
    </row>
    <row r="493" spans="1:23" hidden="1" x14ac:dyDescent="0.25">
      <c r="A493">
        <v>7822100000</v>
      </c>
      <c r="B493" s="16" t="s">
        <v>21831</v>
      </c>
      <c r="C493" s="16" t="e">
        <f>VLOOKUP(Table1[[#This Row],[Node]],Parent!A:B,2,0)</f>
        <v>#N/A</v>
      </c>
      <c r="D493" s="25" t="s">
        <v>19346</v>
      </c>
      <c r="E493" s="26" t="s">
        <v>16544</v>
      </c>
      <c r="F493" s="27" t="s">
        <v>16830</v>
      </c>
      <c r="G493" s="27" t="s">
        <v>16831</v>
      </c>
      <c r="H493" s="27" t="s">
        <v>16881</v>
      </c>
      <c r="I493" s="27" t="s">
        <v>17001</v>
      </c>
      <c r="J493" s="27"/>
      <c r="K493" s="27"/>
      <c r="L493" s="27"/>
      <c r="N493" s="27"/>
      <c r="T493" s="28" t="str">
        <f>LOOKUP(1,1/(Table1[[#This Row],[Level_0]:[Level 15]]&gt;0),(Table1[[#This Row],[Level_0]:[Level 15]]))</f>
        <v>7822100000 - [APA Human Resources]</v>
      </c>
      <c r="U493" s="22">
        <v>488</v>
      </c>
      <c r="W493" s="13" t="str">
        <f>LOOKUP(1,1/(Table1[[#This Row],[Level_0]:[Level 15]]&gt;0),(Table1[[#This Row],[Level_0]:[Level 15]]))</f>
        <v>7822100000 - [APA Human Resources]</v>
      </c>
    </row>
    <row r="494" spans="1:23" hidden="1" x14ac:dyDescent="0.25">
      <c r="A494">
        <v>7821150000</v>
      </c>
      <c r="B494" s="16" t="s">
        <v>21830</v>
      </c>
      <c r="C494" s="16" t="e">
        <f>VLOOKUP(Table1[[#This Row],[Node]],Parent!A:B,2,0)</f>
        <v>#N/A</v>
      </c>
      <c r="D494" s="25" t="s">
        <v>19346</v>
      </c>
      <c r="E494" s="26" t="s">
        <v>16544</v>
      </c>
      <c r="F494" s="27" t="s">
        <v>16830</v>
      </c>
      <c r="G494" s="27" t="s">
        <v>16831</v>
      </c>
      <c r="H494" s="27" t="s">
        <v>16881</v>
      </c>
      <c r="I494" s="27" t="s">
        <v>17002</v>
      </c>
      <c r="J494" s="27"/>
      <c r="K494" s="27"/>
      <c r="L494" s="27"/>
      <c r="N494" s="27"/>
      <c r="T494" s="28" t="str">
        <f>LOOKUP(1,1/(Table1[[#This Row],[Level_0]:[Level 15]]&gt;0),(Table1[[#This Row],[Level_0]:[Level 15]]))</f>
        <v>7821150000 - [APA Amort. of int. assets R&amp;D]</v>
      </c>
      <c r="U494" s="22">
        <v>489</v>
      </c>
      <c r="W494" s="13" t="str">
        <f>LOOKUP(1,1/(Table1[[#This Row],[Level_0]:[Level 15]]&gt;0),(Table1[[#This Row],[Level_0]:[Level 15]]))</f>
        <v>7821150000 - [APA Amort. of int. assets R&amp;D]</v>
      </c>
    </row>
    <row r="495" spans="1:23" hidden="1" x14ac:dyDescent="0.25">
      <c r="A495">
        <v>7821121301</v>
      </c>
      <c r="B495" s="16" t="s">
        <v>21829</v>
      </c>
      <c r="C495" s="16" t="e">
        <f>VLOOKUP(Table1[[#This Row],[Node]],Parent!A:B,2,0)</f>
        <v>#N/A</v>
      </c>
      <c r="D495" s="25" t="s">
        <v>19346</v>
      </c>
      <c r="E495" s="26" t="s">
        <v>16544</v>
      </c>
      <c r="F495" s="27" t="s">
        <v>16830</v>
      </c>
      <c r="G495" s="27" t="s">
        <v>16831</v>
      </c>
      <c r="H495" s="27" t="s">
        <v>16881</v>
      </c>
      <c r="I495" s="27" t="s">
        <v>17003</v>
      </c>
      <c r="J495" s="27"/>
      <c r="K495" s="27"/>
      <c r="L495" s="27"/>
      <c r="N495" s="27"/>
      <c r="T495" s="28" t="str">
        <f>LOOKUP(1,1/(Table1[[#This Row],[Level_0]:[Level 15]]&gt;0),(Table1[[#This Row],[Level_0]:[Level 15]]))</f>
        <v>7821121301 - [APA Pat. and Scientific Serv. GOV Charge]</v>
      </c>
      <c r="U495" s="22">
        <v>490</v>
      </c>
      <c r="W495" s="13" t="str">
        <f>LOOKUP(1,1/(Table1[[#This Row],[Level_0]:[Level 15]]&gt;0),(Table1[[#This Row],[Level_0]:[Level 15]]))</f>
        <v>7821121301 - [APA Pat. and Scientific Serv. GOV Charge]</v>
      </c>
    </row>
    <row r="496" spans="1:23" hidden="1" x14ac:dyDescent="0.25">
      <c r="A496">
        <v>7821121300</v>
      </c>
      <c r="B496" s="16" t="s">
        <v>21828</v>
      </c>
      <c r="C496" s="16" t="e">
        <f>VLOOKUP(Table1[[#This Row],[Node]],Parent!A:B,2,0)</f>
        <v>#N/A</v>
      </c>
      <c r="D496" s="25" t="s">
        <v>19346</v>
      </c>
      <c r="E496" s="26" t="s">
        <v>16544</v>
      </c>
      <c r="F496" s="27" t="s">
        <v>16830</v>
      </c>
      <c r="G496" s="27" t="s">
        <v>16831</v>
      </c>
      <c r="H496" s="27" t="s">
        <v>16881</v>
      </c>
      <c r="I496" s="27" t="s">
        <v>17004</v>
      </c>
      <c r="J496" s="27"/>
      <c r="K496" s="27"/>
      <c r="L496" s="27"/>
      <c r="N496" s="27"/>
      <c r="T496" s="28" t="str">
        <f>LOOKUP(1,1/(Table1[[#This Row],[Level_0]:[Level 15]]&gt;0),(Table1[[#This Row],[Level_0]:[Level 15]]))</f>
        <v>7821121300 - [APA Global R&amp;D Expenses]</v>
      </c>
      <c r="U496" s="22">
        <v>491</v>
      </c>
      <c r="W496" s="13" t="str">
        <f>LOOKUP(1,1/(Table1[[#This Row],[Level_0]:[Level 15]]&gt;0),(Table1[[#This Row],[Level_0]:[Level 15]]))</f>
        <v>7821121300 - [APA Global R&amp;D Expenses]</v>
      </c>
    </row>
    <row r="497" spans="1:23" hidden="1" x14ac:dyDescent="0.25">
      <c r="A497">
        <v>7821101307</v>
      </c>
      <c r="B497" s="16" t="s">
        <v>21827</v>
      </c>
      <c r="C497" s="16" t="e">
        <f>VLOOKUP(Table1[[#This Row],[Node]],Parent!A:B,2,0)</f>
        <v>#N/A</v>
      </c>
      <c r="D497" s="25" t="s">
        <v>19346</v>
      </c>
      <c r="E497" s="26" t="s">
        <v>16544</v>
      </c>
      <c r="F497" s="27" t="s">
        <v>16830</v>
      </c>
      <c r="G497" s="27" t="s">
        <v>16831</v>
      </c>
      <c r="H497" s="27" t="s">
        <v>16881</v>
      </c>
      <c r="I497" s="27" t="s">
        <v>17005</v>
      </c>
      <c r="J497" s="27"/>
      <c r="K497" s="27"/>
      <c r="L497" s="27"/>
      <c r="N497" s="27"/>
      <c r="T497" s="28" t="str">
        <f>LOOKUP(1,1/(Table1[[#This Row],[Level_0]:[Level 15]]&gt;0),(Table1[[#This Row],[Level_0]:[Level 15]]))</f>
        <v>7821101307 - [APA R&amp;D local - Other]</v>
      </c>
      <c r="U497" s="22">
        <v>492</v>
      </c>
      <c r="W497" s="13" t="str">
        <f>LOOKUP(1,1/(Table1[[#This Row],[Level_0]:[Level 15]]&gt;0),(Table1[[#This Row],[Level_0]:[Level 15]]))</f>
        <v>7821101307 - [APA R&amp;D local - Other]</v>
      </c>
    </row>
    <row r="498" spans="1:23" hidden="1" x14ac:dyDescent="0.25">
      <c r="A498">
        <v>7821101306</v>
      </c>
      <c r="B498" s="16" t="s">
        <v>21826</v>
      </c>
      <c r="C498" s="16" t="e">
        <f>VLOOKUP(Table1[[#This Row],[Node]],Parent!A:B,2,0)</f>
        <v>#N/A</v>
      </c>
      <c r="D498" s="25" t="s">
        <v>19346</v>
      </c>
      <c r="E498" s="26" t="s">
        <v>16544</v>
      </c>
      <c r="F498" s="27" t="s">
        <v>16830</v>
      </c>
      <c r="G498" s="27" t="s">
        <v>16831</v>
      </c>
      <c r="H498" s="27" t="s">
        <v>16881</v>
      </c>
      <c r="I498" s="27" t="s">
        <v>17006</v>
      </c>
      <c r="J498" s="27"/>
      <c r="K498" s="27"/>
      <c r="L498" s="27"/>
      <c r="N498" s="27"/>
      <c r="T498" s="28" t="str">
        <f>LOOKUP(1,1/(Table1[[#This Row],[Level_0]:[Level 15]]&gt;0),(Table1[[#This Row],[Level_0]:[Level 15]]))</f>
        <v>7821101306 - [APA R&amp;D local - T&amp;E]</v>
      </c>
      <c r="U498" s="22">
        <v>493</v>
      </c>
      <c r="W498" s="13" t="str">
        <f>LOOKUP(1,1/(Table1[[#This Row],[Level_0]:[Level 15]]&gt;0),(Table1[[#This Row],[Level_0]:[Level 15]]))</f>
        <v>7821101306 - [APA R&amp;D local - T&amp;E]</v>
      </c>
    </row>
    <row r="499" spans="1:23" hidden="1" x14ac:dyDescent="0.25">
      <c r="A499">
        <v>7821101305</v>
      </c>
      <c r="B499" s="16" t="s">
        <v>21825</v>
      </c>
      <c r="C499" s="16" t="e">
        <f>VLOOKUP(Table1[[#This Row],[Node]],Parent!A:B,2,0)</f>
        <v>#N/A</v>
      </c>
      <c r="D499" s="25" t="s">
        <v>19346</v>
      </c>
      <c r="E499" s="26" t="s">
        <v>16544</v>
      </c>
      <c r="F499" s="27" t="s">
        <v>16830</v>
      </c>
      <c r="G499" s="27" t="s">
        <v>16831</v>
      </c>
      <c r="H499" s="27" t="s">
        <v>16881</v>
      </c>
      <c r="I499" s="27" t="s">
        <v>17007</v>
      </c>
      <c r="J499" s="27"/>
      <c r="K499" s="27"/>
      <c r="L499" s="27"/>
      <c r="N499" s="27"/>
      <c r="T499" s="28" t="str">
        <f>LOOKUP(1,1/(Table1[[#This Row],[Level_0]:[Level 15]]&gt;0),(Table1[[#This Row],[Level_0]:[Level 15]]))</f>
        <v>7821101305 - [APA R&amp;D local - Serv.&amp;Consult.]</v>
      </c>
      <c r="U499" s="22">
        <v>494</v>
      </c>
      <c r="W499" s="13" t="str">
        <f>LOOKUP(1,1/(Table1[[#This Row],[Level_0]:[Level 15]]&gt;0),(Table1[[#This Row],[Level_0]:[Level 15]]))</f>
        <v>7821101305 - [APA R&amp;D local - Serv.&amp;Consult.]</v>
      </c>
    </row>
    <row r="500" spans="1:23" hidden="1" x14ac:dyDescent="0.25">
      <c r="A500">
        <v>7821101304</v>
      </c>
      <c r="B500" s="16" t="s">
        <v>21824</v>
      </c>
      <c r="C500" s="16" t="e">
        <f>VLOOKUP(Table1[[#This Row],[Node]],Parent!A:B,2,0)</f>
        <v>#N/A</v>
      </c>
      <c r="D500" s="25" t="s">
        <v>19346</v>
      </c>
      <c r="E500" s="26" t="s">
        <v>16544</v>
      </c>
      <c r="F500" s="27" t="s">
        <v>16830</v>
      </c>
      <c r="G500" s="27" t="s">
        <v>16831</v>
      </c>
      <c r="H500" s="27" t="s">
        <v>16881</v>
      </c>
      <c r="I500" s="27" t="s">
        <v>17008</v>
      </c>
      <c r="J500" s="27"/>
      <c r="K500" s="27"/>
      <c r="L500" s="27"/>
      <c r="N500" s="27"/>
      <c r="T500" s="28" t="str">
        <f>LOOKUP(1,1/(Table1[[#This Row],[Level_0]:[Level 15]]&gt;0),(Table1[[#This Row],[Level_0]:[Level 15]]))</f>
        <v>7821101304 - [APA R&amp;D local - IT &amp; Teleco.]</v>
      </c>
      <c r="U500" s="22">
        <v>495</v>
      </c>
      <c r="W500" s="13" t="str">
        <f>LOOKUP(1,1/(Table1[[#This Row],[Level_0]:[Level 15]]&gt;0),(Table1[[#This Row],[Level_0]:[Level 15]]))</f>
        <v>7821101304 - [APA R&amp;D local - IT &amp; Teleco.]</v>
      </c>
    </row>
    <row r="501" spans="1:23" hidden="1" x14ac:dyDescent="0.25">
      <c r="A501">
        <v>7821101303</v>
      </c>
      <c r="B501" s="16" t="s">
        <v>21823</v>
      </c>
      <c r="C501" s="16" t="e">
        <f>VLOOKUP(Table1[[#This Row],[Node]],Parent!A:B,2,0)</f>
        <v>#N/A</v>
      </c>
      <c r="D501" s="25" t="s">
        <v>19346</v>
      </c>
      <c r="E501" s="26" t="s">
        <v>16544</v>
      </c>
      <c r="F501" s="27" t="s">
        <v>16830</v>
      </c>
      <c r="G501" s="27" t="s">
        <v>16831</v>
      </c>
      <c r="H501" s="27" t="s">
        <v>16881</v>
      </c>
      <c r="I501" s="27" t="s">
        <v>17009</v>
      </c>
      <c r="J501" s="27"/>
      <c r="K501" s="27"/>
      <c r="L501" s="27"/>
      <c r="N501" s="27"/>
      <c r="T501" s="28" t="str">
        <f>LOOKUP(1,1/(Table1[[#This Row],[Level_0]:[Level 15]]&gt;0),(Table1[[#This Row],[Level_0]:[Level 15]]))</f>
        <v>7821101303 - [APA R&amp;D local - Prom.&amp;Advert.]</v>
      </c>
      <c r="U501" s="22">
        <v>496</v>
      </c>
      <c r="W501" s="13" t="str">
        <f>LOOKUP(1,1/(Table1[[#This Row],[Level_0]:[Level 15]]&gt;0),(Table1[[#This Row],[Level_0]:[Level 15]]))</f>
        <v>7821101303 - [APA R&amp;D local - Prom.&amp;Advert.]</v>
      </c>
    </row>
    <row r="502" spans="1:23" hidden="1" x14ac:dyDescent="0.25">
      <c r="A502">
        <v>7821101302</v>
      </c>
      <c r="B502" s="16" t="s">
        <v>21822</v>
      </c>
      <c r="C502" s="16" t="e">
        <f>VLOOKUP(Table1[[#This Row],[Node]],Parent!A:B,2,0)</f>
        <v>#N/A</v>
      </c>
      <c r="D502" s="25" t="s">
        <v>19346</v>
      </c>
      <c r="E502" s="26" t="s">
        <v>16544</v>
      </c>
      <c r="F502" s="27" t="s">
        <v>16830</v>
      </c>
      <c r="G502" s="27" t="s">
        <v>16831</v>
      </c>
      <c r="H502" s="27" t="s">
        <v>16881</v>
      </c>
      <c r="I502" s="27" t="s">
        <v>17010</v>
      </c>
      <c r="J502" s="27"/>
      <c r="K502" s="27"/>
      <c r="L502" s="27"/>
      <c r="N502" s="27"/>
      <c r="T502" s="28" t="str">
        <f>LOOKUP(1,1/(Table1[[#This Row],[Level_0]:[Level 15]]&gt;0),(Table1[[#This Row],[Level_0]:[Level 15]]))</f>
        <v>7821101302 - [APA R&amp;D local - Depreciation]</v>
      </c>
      <c r="U502" s="22">
        <v>497</v>
      </c>
      <c r="W502" s="13" t="str">
        <f>LOOKUP(1,1/(Table1[[#This Row],[Level_0]:[Level 15]]&gt;0),(Table1[[#This Row],[Level_0]:[Level 15]]))</f>
        <v>7821101302 - [APA R&amp;D local - Depreciation]</v>
      </c>
    </row>
    <row r="503" spans="1:23" hidden="1" x14ac:dyDescent="0.25">
      <c r="A503">
        <v>7821101301</v>
      </c>
      <c r="B503" s="16" t="s">
        <v>21821</v>
      </c>
      <c r="C503" s="16" t="e">
        <f>VLOOKUP(Table1[[#This Row],[Node]],Parent!A:B,2,0)</f>
        <v>#N/A</v>
      </c>
      <c r="D503" s="25" t="s">
        <v>19346</v>
      </c>
      <c r="E503" s="26" t="s">
        <v>16544</v>
      </c>
      <c r="F503" s="27" t="s">
        <v>16830</v>
      </c>
      <c r="G503" s="27" t="s">
        <v>16831</v>
      </c>
      <c r="H503" s="27" t="s">
        <v>16881</v>
      </c>
      <c r="I503" s="27" t="s">
        <v>17011</v>
      </c>
      <c r="J503" s="27"/>
      <c r="K503" s="27"/>
      <c r="L503" s="27"/>
      <c r="N503" s="27"/>
      <c r="T503" s="28" t="str">
        <f>LOOKUP(1,1/(Table1[[#This Row],[Level_0]:[Level 15]]&gt;0),(Table1[[#This Row],[Level_0]:[Level 15]]))</f>
        <v>7821101301 - [APA R&amp;D local - Personnel]</v>
      </c>
      <c r="U503" s="22">
        <v>498</v>
      </c>
      <c r="W503" s="13" t="str">
        <f>LOOKUP(1,1/(Table1[[#This Row],[Level_0]:[Level 15]]&gt;0),(Table1[[#This Row],[Level_0]:[Level 15]]))</f>
        <v>7821101301 - [APA R&amp;D local - Personnel]</v>
      </c>
    </row>
    <row r="504" spans="1:23" hidden="1" x14ac:dyDescent="0.25">
      <c r="A504">
        <v>7821101300</v>
      </c>
      <c r="B504" s="16" t="s">
        <v>21820</v>
      </c>
      <c r="C504" s="16" t="e">
        <f>VLOOKUP(Table1[[#This Row],[Node]],Parent!A:B,2,0)</f>
        <v>#N/A</v>
      </c>
      <c r="D504" s="25" t="s">
        <v>19346</v>
      </c>
      <c r="E504" s="26" t="s">
        <v>16544</v>
      </c>
      <c r="F504" s="27" t="s">
        <v>16830</v>
      </c>
      <c r="G504" s="27" t="s">
        <v>16831</v>
      </c>
      <c r="H504" s="27" t="s">
        <v>16881</v>
      </c>
      <c r="I504" s="27" t="s">
        <v>17012</v>
      </c>
      <c r="J504" s="27"/>
      <c r="K504" s="27"/>
      <c r="L504" s="27"/>
      <c r="N504" s="27"/>
      <c r="T504" s="28" t="str">
        <f>LOOKUP(1,1/(Table1[[#This Row],[Level_0]:[Level 15]]&gt;0),(Table1[[#This Row],[Level_0]:[Level 15]]))</f>
        <v>7821101300 - [APA Local R&amp;D Expenses]</v>
      </c>
      <c r="U504" s="22">
        <v>499</v>
      </c>
      <c r="W504" s="13" t="str">
        <f>LOOKUP(1,1/(Table1[[#This Row],[Level_0]:[Level 15]]&gt;0),(Table1[[#This Row],[Level_0]:[Level 15]]))</f>
        <v>7821101300 - [APA Local R&amp;D Expenses]</v>
      </c>
    </row>
    <row r="505" spans="1:23" hidden="1" x14ac:dyDescent="0.25">
      <c r="A505">
        <v>7820190000</v>
      </c>
      <c r="B505" s="16" t="s">
        <v>21819</v>
      </c>
      <c r="C505" s="16" t="e">
        <f>VLOOKUP(Table1[[#This Row],[Node]],Parent!A:B,2,0)</f>
        <v>#N/A</v>
      </c>
      <c r="D505" s="25" t="s">
        <v>19346</v>
      </c>
      <c r="E505" s="26" t="s">
        <v>16544</v>
      </c>
      <c r="F505" s="27" t="s">
        <v>16830</v>
      </c>
      <c r="G505" s="27" t="s">
        <v>16831</v>
      </c>
      <c r="H505" s="27" t="s">
        <v>16881</v>
      </c>
      <c r="I505" s="27" t="s">
        <v>17013</v>
      </c>
      <c r="J505" s="27"/>
      <c r="K505" s="27"/>
      <c r="L505" s="27"/>
      <c r="N505" s="27"/>
      <c r="T505" s="28" t="str">
        <f>LOOKUP(1,1/(Table1[[#This Row],[Level_0]:[Level 15]]&gt;0),(Table1[[#This Row],[Level_0]:[Level 15]]))</f>
        <v>7820190000 - [APA AmoOA-CapCoObtLTCont]</v>
      </c>
      <c r="U505" s="22">
        <v>500</v>
      </c>
      <c r="W505" s="13" t="str">
        <f>LOOKUP(1,1/(Table1[[#This Row],[Level_0]:[Level 15]]&gt;0),(Table1[[#This Row],[Level_0]:[Level 15]]))</f>
        <v>7820190000 - [APA AmoOA-CapCoObtLTCont]</v>
      </c>
    </row>
    <row r="506" spans="1:23" hidden="1" x14ac:dyDescent="0.25">
      <c r="A506">
        <v>7820180000</v>
      </c>
      <c r="B506" s="16" t="s">
        <v>21818</v>
      </c>
      <c r="C506" s="16" t="e">
        <f>VLOOKUP(Table1[[#This Row],[Node]],Parent!A:B,2,0)</f>
        <v>#N/A</v>
      </c>
      <c r="D506" s="25" t="s">
        <v>19346</v>
      </c>
      <c r="E506" s="26" t="s">
        <v>16544</v>
      </c>
      <c r="F506" s="27" t="s">
        <v>16830</v>
      </c>
      <c r="G506" s="27" t="s">
        <v>16831</v>
      </c>
      <c r="H506" s="27" t="s">
        <v>16881</v>
      </c>
      <c r="I506" s="27" t="s">
        <v>17014</v>
      </c>
      <c r="J506" s="27"/>
      <c r="K506" s="27"/>
      <c r="L506" s="27"/>
      <c r="N506" s="27"/>
      <c r="T506" s="28" t="str">
        <f>LOOKUP(1,1/(Table1[[#This Row],[Level_0]:[Level 15]]&gt;0),(Table1[[#This Row],[Level_0]:[Level 15]]))</f>
        <v>7820180000 - [APA Amort. of int. assets M&amp;S]</v>
      </c>
      <c r="U506" s="22">
        <v>501</v>
      </c>
      <c r="W506" s="13" t="str">
        <f>LOOKUP(1,1/(Table1[[#This Row],[Level_0]:[Level 15]]&gt;0),(Table1[[#This Row],[Level_0]:[Level 15]]))</f>
        <v>7820180000 - [APA Amort. of int. assets M&amp;S]</v>
      </c>
    </row>
    <row r="507" spans="1:23" hidden="1" x14ac:dyDescent="0.25">
      <c r="A507">
        <v>7820170000</v>
      </c>
      <c r="B507" s="16" t="s">
        <v>21817</v>
      </c>
      <c r="C507" s="16" t="e">
        <f>VLOOKUP(Table1[[#This Row],[Node]],Parent!A:B,2,0)</f>
        <v>#N/A</v>
      </c>
      <c r="D507" s="25" t="s">
        <v>19346</v>
      </c>
      <c r="E507" s="26" t="s">
        <v>16544</v>
      </c>
      <c r="F507" s="27" t="s">
        <v>16830</v>
      </c>
      <c r="G507" s="27" t="s">
        <v>16831</v>
      </c>
      <c r="H507" s="27" t="s">
        <v>16881</v>
      </c>
      <c r="I507" s="27" t="s">
        <v>17015</v>
      </c>
      <c r="J507" s="27"/>
      <c r="K507" s="27"/>
      <c r="L507" s="27"/>
      <c r="N507" s="27"/>
      <c r="T507" s="28" t="str">
        <f>LOOKUP(1,1/(Table1[[#This Row],[Level_0]:[Level 15]]&gt;0),(Table1[[#This Row],[Level_0]:[Level 15]]))</f>
        <v>7820170000 - [APA Commission expenses related to M&amp;S]</v>
      </c>
      <c r="U507" s="22">
        <v>502</v>
      </c>
      <c r="W507" s="13" t="str">
        <f>LOOKUP(1,1/(Table1[[#This Row],[Level_0]:[Level 15]]&gt;0),(Table1[[#This Row],[Level_0]:[Level 15]]))</f>
        <v>7820170000 - [APA Commission expenses related to M&amp;S]</v>
      </c>
    </row>
    <row r="508" spans="1:23" hidden="1" x14ac:dyDescent="0.25">
      <c r="A508">
        <v>7820160000</v>
      </c>
      <c r="B508" s="16" t="s">
        <v>21816</v>
      </c>
      <c r="C508" s="16" t="e">
        <f>VLOOKUP(Table1[[#This Row],[Node]],Parent!A:B,2,0)</f>
        <v>#N/A</v>
      </c>
      <c r="D508" s="25" t="s">
        <v>19346</v>
      </c>
      <c r="E508" s="26" t="s">
        <v>16544</v>
      </c>
      <c r="F508" s="27" t="s">
        <v>16830</v>
      </c>
      <c r="G508" s="27" t="s">
        <v>16831</v>
      </c>
      <c r="H508" s="27" t="s">
        <v>16881</v>
      </c>
      <c r="I508" s="27" t="s">
        <v>17016</v>
      </c>
      <c r="J508" s="27"/>
      <c r="K508" s="27"/>
      <c r="L508" s="27"/>
      <c r="N508" s="27"/>
      <c r="T508" s="28" t="str">
        <f>LOOKUP(1,1/(Table1[[#This Row],[Level_0]:[Level 15]]&gt;0),(Table1[[#This Row],[Level_0]:[Level 15]]))</f>
        <v>7820160000 - [APA Royalty, license exp. related to M&amp;		X	X	X	X		]</v>
      </c>
      <c r="U508" s="22">
        <v>503</v>
      </c>
      <c r="W508" s="13" t="str">
        <f>LOOKUP(1,1/(Table1[[#This Row],[Level_0]:[Level 15]]&gt;0),(Table1[[#This Row],[Level_0]:[Level 15]]))</f>
        <v>7820160000 - [APA Royalty, license exp. related to M&amp;		X	X	X	X		]</v>
      </c>
    </row>
    <row r="509" spans="1:23" hidden="1" x14ac:dyDescent="0.25">
      <c r="A509">
        <v>7820152200</v>
      </c>
      <c r="B509" s="16" t="s">
        <v>21815</v>
      </c>
      <c r="C509" s="16" t="e">
        <f>VLOOKUP(Table1[[#This Row],[Node]],Parent!A:B,2,0)</f>
        <v>#N/A</v>
      </c>
      <c r="D509" s="25" t="s">
        <v>19346</v>
      </c>
      <c r="E509" s="26" t="s">
        <v>16544</v>
      </c>
      <c r="F509" s="27" t="s">
        <v>16830</v>
      </c>
      <c r="G509" s="27" t="s">
        <v>16831</v>
      </c>
      <c r="H509" s="27" t="s">
        <v>16881</v>
      </c>
      <c r="I509" s="27" t="s">
        <v>17017</v>
      </c>
      <c r="J509" s="27"/>
      <c r="K509" s="27"/>
      <c r="L509" s="27"/>
      <c r="N509" s="27"/>
      <c r="T509" s="28" t="str">
        <f>LOOKUP(1,1/(Table1[[#This Row],[Level_0]:[Level 15]]&gt;0),(Table1[[#This Row],[Level_0]:[Level 15]]))</f>
        <v>7820152200 - [APA 3P Logistic Provider]</v>
      </c>
      <c r="U509" s="22">
        <v>504</v>
      </c>
      <c r="W509" s="13" t="str">
        <f>LOOKUP(1,1/(Table1[[#This Row],[Level_0]:[Level 15]]&gt;0),(Table1[[#This Row],[Level_0]:[Level 15]]))</f>
        <v>7820152200 - [APA 3P Logistic Provider]</v>
      </c>
    </row>
    <row r="510" spans="1:23" hidden="1" x14ac:dyDescent="0.25">
      <c r="A510">
        <v>7820152100</v>
      </c>
      <c r="B510" s="16" t="s">
        <v>21814</v>
      </c>
      <c r="C510" s="16" t="e">
        <f>VLOOKUP(Table1[[#This Row],[Node]],Parent!A:B,2,0)</f>
        <v>#N/A</v>
      </c>
      <c r="D510" s="25" t="s">
        <v>19346</v>
      </c>
      <c r="E510" s="26" t="s">
        <v>16544</v>
      </c>
      <c r="F510" s="27" t="s">
        <v>16830</v>
      </c>
      <c r="G510" s="27" t="s">
        <v>16831</v>
      </c>
      <c r="H510" s="27" t="s">
        <v>16881</v>
      </c>
      <c r="I510" s="27" t="s">
        <v>17018</v>
      </c>
      <c r="J510" s="27"/>
      <c r="K510" s="27"/>
      <c r="L510" s="27"/>
      <c r="N510" s="27"/>
      <c r="T510" s="28" t="str">
        <f>LOOKUP(1,1/(Table1[[#This Row],[Level_0]:[Level 15]]&gt;0),(Table1[[#This Row],[Level_0]:[Level 15]]))</f>
        <v>7820152100 - [APA Own operated Warehouses and Distrib.]</v>
      </c>
      <c r="U510" s="22">
        <v>505</v>
      </c>
      <c r="W510" s="13" t="str">
        <f>LOOKUP(1,1/(Table1[[#This Row],[Level_0]:[Level 15]]&gt;0),(Table1[[#This Row],[Level_0]:[Level 15]]))</f>
        <v>7820152100 - [APA Own operated Warehouses and Distrib.]</v>
      </c>
    </row>
    <row r="511" spans="1:23" hidden="1" x14ac:dyDescent="0.25">
      <c r="A511">
        <v>7820151320</v>
      </c>
      <c r="B511" s="16" t="s">
        <v>21813</v>
      </c>
      <c r="C511" s="16" t="e">
        <f>VLOOKUP(Table1[[#This Row],[Node]],Parent!A:B,2,0)</f>
        <v>#N/A</v>
      </c>
      <c r="D511" s="25" t="s">
        <v>19346</v>
      </c>
      <c r="E511" s="26" t="s">
        <v>16544</v>
      </c>
      <c r="F511" s="27" t="s">
        <v>16830</v>
      </c>
      <c r="G511" s="27" t="s">
        <v>16831</v>
      </c>
      <c r="H511" s="27" t="s">
        <v>16881</v>
      </c>
      <c r="I511" s="27" t="s">
        <v>17019</v>
      </c>
      <c r="J511" s="27"/>
      <c r="K511" s="27"/>
      <c r="L511" s="27"/>
      <c r="N511" s="27"/>
      <c r="T511" s="28" t="str">
        <f>LOOKUP(1,1/(Table1[[#This Row],[Level_0]:[Level 15]]&gt;0),(Table1[[#This Row],[Level_0]:[Level 15]]))</f>
        <v>7820151320 - [APA Transport Insurance]</v>
      </c>
      <c r="U511" s="22">
        <v>506</v>
      </c>
      <c r="W511" s="13" t="str">
        <f>LOOKUP(1,1/(Table1[[#This Row],[Level_0]:[Level 15]]&gt;0),(Table1[[#This Row],[Level_0]:[Level 15]]))</f>
        <v>7820151320 - [APA Transport Insurance]</v>
      </c>
    </row>
    <row r="512" spans="1:23" hidden="1" x14ac:dyDescent="0.25">
      <c r="A512">
        <v>7820151210</v>
      </c>
      <c r="B512" s="16" t="s">
        <v>21812</v>
      </c>
      <c r="C512" s="16" t="e">
        <f>VLOOKUP(Table1[[#This Row],[Node]],Parent!A:B,2,0)</f>
        <v>#N/A</v>
      </c>
      <c r="D512" s="25" t="s">
        <v>19346</v>
      </c>
      <c r="E512" s="26" t="s">
        <v>16544</v>
      </c>
      <c r="F512" s="27" t="s">
        <v>16830</v>
      </c>
      <c r="G512" s="27" t="s">
        <v>16831</v>
      </c>
      <c r="H512" s="27" t="s">
        <v>16881</v>
      </c>
      <c r="I512" s="27" t="s">
        <v>17020</v>
      </c>
      <c r="J512" s="27"/>
      <c r="K512" s="27"/>
      <c r="L512" s="27"/>
      <c r="N512" s="27"/>
      <c r="T512" s="28" t="str">
        <f>LOOKUP(1,1/(Table1[[#This Row],[Level_0]:[Level 15]]&gt;0),(Table1[[#This Row],[Level_0]:[Level 15]]))</f>
        <v>7820151210 - [APA IC Customer Freight &amp; Duties - exp.]</v>
      </c>
      <c r="U512" s="22">
        <v>507</v>
      </c>
      <c r="W512" s="13" t="str">
        <f>LOOKUP(1,1/(Table1[[#This Row],[Level_0]:[Level 15]]&gt;0),(Table1[[#This Row],[Level_0]:[Level 15]]))</f>
        <v>7820151210 - [APA IC Customer Freight &amp; Duties - exp.]</v>
      </c>
    </row>
    <row r="513" spans="1:23" hidden="1" x14ac:dyDescent="0.25">
      <c r="A513">
        <v>7820151110</v>
      </c>
      <c r="B513" s="16" t="s">
        <v>21811</v>
      </c>
      <c r="C513" s="16" t="e">
        <f>VLOOKUP(Table1[[#This Row],[Node]],Parent!A:B,2,0)</f>
        <v>#N/A</v>
      </c>
      <c r="D513" s="25" t="s">
        <v>19346</v>
      </c>
      <c r="E513" s="26" t="s">
        <v>16544</v>
      </c>
      <c r="F513" s="27" t="s">
        <v>16830</v>
      </c>
      <c r="G513" s="27" t="s">
        <v>16831</v>
      </c>
      <c r="H513" s="27" t="s">
        <v>16881</v>
      </c>
      <c r="I513" s="27" t="s">
        <v>17021</v>
      </c>
      <c r="J513" s="27"/>
      <c r="K513" s="27"/>
      <c r="L513" s="27"/>
      <c r="N513" s="27"/>
      <c r="T513" s="28" t="str">
        <f>LOOKUP(1,1/(Table1[[#This Row],[Level_0]:[Level 15]]&gt;0),(Table1[[#This Row],[Level_0]:[Level 15]]))</f>
        <v>7820151110 - [APA 3P Customer Freight &amp; Duties - exp.]</v>
      </c>
      <c r="U513" s="22">
        <v>508</v>
      </c>
      <c r="W513" s="13" t="str">
        <f>LOOKUP(1,1/(Table1[[#This Row],[Level_0]:[Level 15]]&gt;0),(Table1[[#This Row],[Level_0]:[Level 15]]))</f>
        <v>7820151110 - [APA 3P Customer Freight &amp; Duties - exp.]</v>
      </c>
    </row>
    <row r="514" spans="1:23" hidden="1" x14ac:dyDescent="0.25">
      <c r="A514">
        <v>7820140001</v>
      </c>
      <c r="B514" s="16" t="s">
        <v>21804</v>
      </c>
      <c r="C514" s="16" t="e">
        <f>VLOOKUP(Table1[[#This Row],[Node]],Parent!A:B,2,0)</f>
        <v>#N/A</v>
      </c>
      <c r="D514" s="25" t="s">
        <v>19346</v>
      </c>
      <c r="E514" s="26" t="s">
        <v>16544</v>
      </c>
      <c r="F514" s="27" t="s">
        <v>16830</v>
      </c>
      <c r="G514" s="27" t="s">
        <v>16831</v>
      </c>
      <c r="H514" s="27" t="s">
        <v>16881</v>
      </c>
      <c r="I514" s="27" t="s">
        <v>17022</v>
      </c>
      <c r="J514" s="27"/>
      <c r="K514" s="27"/>
      <c r="L514" s="27"/>
      <c r="N514" s="27"/>
      <c r="T514" s="28" t="str">
        <f>LOOKUP(1,1/(Table1[[#This Row],[Level_0]:[Level 15]]&gt;0),(Table1[[#This Row],[Level_0]:[Level 15]]))</f>
        <v>7820140001 - [APA Other M&amp;S - 1]</v>
      </c>
      <c r="U514" s="22">
        <v>509</v>
      </c>
      <c r="W514" s="13" t="str">
        <f>LOOKUP(1,1/(Table1[[#This Row],[Level_0]:[Level 15]]&gt;0),(Table1[[#This Row],[Level_0]:[Level 15]]))</f>
        <v>7820140001 - [APA Other M&amp;S - 1]</v>
      </c>
    </row>
    <row r="515" spans="1:23" hidden="1" x14ac:dyDescent="0.25">
      <c r="A515">
        <v>7820140000</v>
      </c>
      <c r="B515" s="16" t="s">
        <v>21803</v>
      </c>
      <c r="C515" s="16" t="e">
        <f>VLOOKUP(Table1[[#This Row],[Node]],Parent!A:B,2,0)</f>
        <v>#N/A</v>
      </c>
      <c r="D515" s="25" t="s">
        <v>19346</v>
      </c>
      <c r="E515" s="26" t="s">
        <v>16544</v>
      </c>
      <c r="F515" s="27" t="s">
        <v>16830</v>
      </c>
      <c r="G515" s="27" t="s">
        <v>16831</v>
      </c>
      <c r="H515" s="27" t="s">
        <v>16881</v>
      </c>
      <c r="I515" s="27" t="s">
        <v>17023</v>
      </c>
      <c r="J515" s="27"/>
      <c r="K515" s="27"/>
      <c r="L515" s="27"/>
      <c r="N515" s="27"/>
      <c r="T515" s="28" t="str">
        <f>LOOKUP(1,1/(Table1[[#This Row],[Level_0]:[Level 15]]&gt;0),(Table1[[#This Row],[Level_0]:[Level 15]]))</f>
        <v>7820140000 - [APA Other marketing and selling expenses]</v>
      </c>
      <c r="U515" s="22">
        <v>510</v>
      </c>
      <c r="W515" s="13" t="str">
        <f>LOOKUP(1,1/(Table1[[#This Row],[Level_0]:[Level 15]]&gt;0),(Table1[[#This Row],[Level_0]:[Level 15]]))</f>
        <v>7820140000 - [APA Other marketing and selling expenses]</v>
      </c>
    </row>
    <row r="516" spans="1:23" hidden="1" x14ac:dyDescent="0.25">
      <c r="A516">
        <v>7820130007</v>
      </c>
      <c r="B516" s="16" t="s">
        <v>21802</v>
      </c>
      <c r="C516" s="16" t="e">
        <f>VLOOKUP(Table1[[#This Row],[Node]],Parent!A:B,2,0)</f>
        <v>#N/A</v>
      </c>
      <c r="D516" s="25" t="s">
        <v>19346</v>
      </c>
      <c r="E516" s="26" t="s">
        <v>16544</v>
      </c>
      <c r="F516" s="27" t="s">
        <v>16830</v>
      </c>
      <c r="G516" s="27" t="s">
        <v>16831</v>
      </c>
      <c r="H516" s="27" t="s">
        <v>16881</v>
      </c>
      <c r="I516" s="27" t="s">
        <v>17024</v>
      </c>
      <c r="J516" s="27"/>
      <c r="K516" s="27"/>
      <c r="L516" s="27"/>
      <c r="N516" s="27"/>
      <c r="T516" s="28" t="str">
        <f>LOOKUP(1,1/(Table1[[#This Row],[Level_0]:[Level 15]]&gt;0),(Table1[[#This Row],[Level_0]:[Level 15]]))</f>
        <v>7820130007 - [APA Internal marketing - Other]</v>
      </c>
      <c r="U516" s="22">
        <v>511</v>
      </c>
      <c r="W516" s="13" t="str">
        <f>LOOKUP(1,1/(Table1[[#This Row],[Level_0]:[Level 15]]&gt;0),(Table1[[#This Row],[Level_0]:[Level 15]]))</f>
        <v>7820130007 - [APA Internal marketing - Other]</v>
      </c>
    </row>
    <row r="517" spans="1:23" hidden="1" x14ac:dyDescent="0.25">
      <c r="A517">
        <v>7820130006</v>
      </c>
      <c r="B517" s="16" t="s">
        <v>21801</v>
      </c>
      <c r="C517" s="16" t="e">
        <f>VLOOKUP(Table1[[#This Row],[Node]],Parent!A:B,2,0)</f>
        <v>#N/A</v>
      </c>
      <c r="D517" s="25" t="s">
        <v>19346</v>
      </c>
      <c r="E517" s="26" t="s">
        <v>16544</v>
      </c>
      <c r="F517" s="27" t="s">
        <v>16830</v>
      </c>
      <c r="G517" s="27" t="s">
        <v>16831</v>
      </c>
      <c r="H517" s="27" t="s">
        <v>16881</v>
      </c>
      <c r="I517" s="27" t="s">
        <v>17025</v>
      </c>
      <c r="J517" s="27"/>
      <c r="K517" s="27"/>
      <c r="L517" s="27"/>
      <c r="N517" s="27"/>
      <c r="T517" s="28" t="str">
        <f>LOOKUP(1,1/(Table1[[#This Row],[Level_0]:[Level 15]]&gt;0),(Table1[[#This Row],[Level_0]:[Level 15]]))</f>
        <v>7820130006 - [APA Internal marketing - T&amp;E]</v>
      </c>
      <c r="U517" s="22">
        <v>512</v>
      </c>
      <c r="W517" s="13" t="str">
        <f>LOOKUP(1,1/(Table1[[#This Row],[Level_0]:[Level 15]]&gt;0),(Table1[[#This Row],[Level_0]:[Level 15]]))</f>
        <v>7820130006 - [APA Internal marketing - T&amp;E]</v>
      </c>
    </row>
    <row r="518" spans="1:23" hidden="1" x14ac:dyDescent="0.25">
      <c r="A518">
        <v>7820130005</v>
      </c>
      <c r="B518" s="16" t="s">
        <v>21800</v>
      </c>
      <c r="C518" s="16" t="e">
        <f>VLOOKUP(Table1[[#This Row],[Node]],Parent!A:B,2,0)</f>
        <v>#N/A</v>
      </c>
      <c r="D518" s="25" t="s">
        <v>19346</v>
      </c>
      <c r="E518" s="26" t="s">
        <v>16544</v>
      </c>
      <c r="F518" s="27" t="s">
        <v>16830</v>
      </c>
      <c r="G518" s="27" t="s">
        <v>16831</v>
      </c>
      <c r="H518" s="27" t="s">
        <v>16881</v>
      </c>
      <c r="I518" s="27" t="s">
        <v>17026</v>
      </c>
      <c r="J518" s="27"/>
      <c r="K518" s="27"/>
      <c r="L518" s="27"/>
      <c r="N518" s="27"/>
      <c r="T518" s="28" t="str">
        <f>LOOKUP(1,1/(Table1[[#This Row],[Level_0]:[Level 15]]&gt;0),(Table1[[#This Row],[Level_0]:[Level 15]]))</f>
        <v>7820130005 - [APA Internal marketing - Serv.&amp;Consult.]</v>
      </c>
      <c r="U518" s="22">
        <v>513</v>
      </c>
      <c r="W518" s="13" t="str">
        <f>LOOKUP(1,1/(Table1[[#This Row],[Level_0]:[Level 15]]&gt;0),(Table1[[#This Row],[Level_0]:[Level 15]]))</f>
        <v>7820130005 - [APA Internal marketing - Serv.&amp;Consult.]</v>
      </c>
    </row>
    <row r="519" spans="1:23" hidden="1" x14ac:dyDescent="0.25">
      <c r="A519">
        <v>7820130004</v>
      </c>
      <c r="B519" s="16" t="s">
        <v>21799</v>
      </c>
      <c r="C519" s="16" t="e">
        <f>VLOOKUP(Table1[[#This Row],[Node]],Parent!A:B,2,0)</f>
        <v>#N/A</v>
      </c>
      <c r="D519" s="25" t="s">
        <v>19346</v>
      </c>
      <c r="E519" s="26" t="s">
        <v>16544</v>
      </c>
      <c r="F519" s="27" t="s">
        <v>16830</v>
      </c>
      <c r="G519" s="27" t="s">
        <v>16831</v>
      </c>
      <c r="H519" s="27" t="s">
        <v>16881</v>
      </c>
      <c r="I519" s="27" t="s">
        <v>17027</v>
      </c>
      <c r="J519" s="27"/>
      <c r="K519" s="27"/>
      <c r="L519" s="27"/>
      <c r="N519" s="27"/>
      <c r="T519" s="28" t="str">
        <f>LOOKUP(1,1/(Table1[[#This Row],[Level_0]:[Level 15]]&gt;0),(Table1[[#This Row],[Level_0]:[Level 15]]))</f>
        <v>7820130004 - [APA Internal marketing - IT &amp; Teleco.]</v>
      </c>
      <c r="U519" s="22">
        <v>514</v>
      </c>
      <c r="W519" s="13" t="str">
        <f>LOOKUP(1,1/(Table1[[#This Row],[Level_0]:[Level 15]]&gt;0),(Table1[[#This Row],[Level_0]:[Level 15]]))</f>
        <v>7820130004 - [APA Internal marketing - IT &amp; Teleco.]</v>
      </c>
    </row>
    <row r="520" spans="1:23" hidden="1" x14ac:dyDescent="0.25">
      <c r="A520">
        <v>7820130003</v>
      </c>
      <c r="B520" s="16" t="s">
        <v>21798</v>
      </c>
      <c r="C520" s="16" t="e">
        <f>VLOOKUP(Table1[[#This Row],[Node]],Parent!A:B,2,0)</f>
        <v>#N/A</v>
      </c>
      <c r="D520" s="25" t="s">
        <v>19346</v>
      </c>
      <c r="E520" s="26" t="s">
        <v>16544</v>
      </c>
      <c r="F520" s="27" t="s">
        <v>16830</v>
      </c>
      <c r="G520" s="27" t="s">
        <v>16831</v>
      </c>
      <c r="H520" s="27" t="s">
        <v>16881</v>
      </c>
      <c r="I520" s="27" t="s">
        <v>17028</v>
      </c>
      <c r="J520" s="27"/>
      <c r="K520" s="27"/>
      <c r="L520" s="27"/>
      <c r="N520" s="27"/>
      <c r="T520" s="28" t="str">
        <f>LOOKUP(1,1/(Table1[[#This Row],[Level_0]:[Level 15]]&gt;0),(Table1[[#This Row],[Level_0]:[Level 15]]))</f>
        <v>7820130003 - [APA Internal marketing - Prom.&amp;Advert.]</v>
      </c>
      <c r="U520" s="22">
        <v>515</v>
      </c>
      <c r="W520" s="13" t="str">
        <f>LOOKUP(1,1/(Table1[[#This Row],[Level_0]:[Level 15]]&gt;0),(Table1[[#This Row],[Level_0]:[Level 15]]))</f>
        <v>7820130003 - [APA Internal marketing - Prom.&amp;Advert.]</v>
      </c>
    </row>
    <row r="521" spans="1:23" hidden="1" x14ac:dyDescent="0.25">
      <c r="A521">
        <v>7820130002</v>
      </c>
      <c r="B521" s="16" t="s">
        <v>21797</v>
      </c>
      <c r="C521" s="16" t="e">
        <f>VLOOKUP(Table1[[#This Row],[Node]],Parent!A:B,2,0)</f>
        <v>#N/A</v>
      </c>
      <c r="D521" s="25" t="s">
        <v>19346</v>
      </c>
      <c r="E521" s="26" t="s">
        <v>16544</v>
      </c>
      <c r="F521" s="27" t="s">
        <v>16830</v>
      </c>
      <c r="G521" s="27" t="s">
        <v>16831</v>
      </c>
      <c r="H521" s="27" t="s">
        <v>16881</v>
      </c>
      <c r="I521" s="27" t="s">
        <v>17029</v>
      </c>
      <c r="J521" s="27"/>
      <c r="K521" s="27"/>
      <c r="L521" s="27"/>
      <c r="N521" s="27"/>
      <c r="T521" s="28" t="str">
        <f>LOOKUP(1,1/(Table1[[#This Row],[Level_0]:[Level 15]]&gt;0),(Table1[[#This Row],[Level_0]:[Level 15]]))</f>
        <v>7820130002 - [APA Internal marketing - Depreciation]</v>
      </c>
      <c r="U521" s="22">
        <v>516</v>
      </c>
      <c r="W521" s="13" t="str">
        <f>LOOKUP(1,1/(Table1[[#This Row],[Level_0]:[Level 15]]&gt;0),(Table1[[#This Row],[Level_0]:[Level 15]]))</f>
        <v>7820130002 - [APA Internal marketing - Depreciation]</v>
      </c>
    </row>
    <row r="522" spans="1:23" hidden="1" x14ac:dyDescent="0.25">
      <c r="A522">
        <v>7820130001</v>
      </c>
      <c r="B522" s="16" t="s">
        <v>21796</v>
      </c>
      <c r="C522" s="16" t="e">
        <f>VLOOKUP(Table1[[#This Row],[Node]],Parent!A:B,2,0)</f>
        <v>#N/A</v>
      </c>
      <c r="D522" s="25" t="s">
        <v>19346</v>
      </c>
      <c r="E522" s="26" t="s">
        <v>16544</v>
      </c>
      <c r="F522" s="27" t="s">
        <v>16830</v>
      </c>
      <c r="G522" s="27" t="s">
        <v>16831</v>
      </c>
      <c r="H522" s="27" t="s">
        <v>16881</v>
      </c>
      <c r="I522" s="27" t="s">
        <v>17030</v>
      </c>
      <c r="J522" s="27"/>
      <c r="K522" s="27"/>
      <c r="L522" s="27"/>
      <c r="N522" s="27"/>
      <c r="T522" s="28" t="str">
        <f>LOOKUP(1,1/(Table1[[#This Row],[Level_0]:[Level 15]]&gt;0),(Table1[[#This Row],[Level_0]:[Level 15]]))</f>
        <v>7820130001 - [APA Internal marketing - Personnel]</v>
      </c>
      <c r="U522" s="22">
        <v>517</v>
      </c>
      <c r="W522" s="13" t="str">
        <f>LOOKUP(1,1/(Table1[[#This Row],[Level_0]:[Level 15]]&gt;0),(Table1[[#This Row],[Level_0]:[Level 15]]))</f>
        <v>7820130001 - [APA Internal marketing - Personnel]</v>
      </c>
    </row>
    <row r="523" spans="1:23" hidden="1" x14ac:dyDescent="0.25">
      <c r="A523">
        <v>7820130000</v>
      </c>
      <c r="B523" s="16" t="s">
        <v>21795</v>
      </c>
      <c r="C523" s="16" t="e">
        <f>VLOOKUP(Table1[[#This Row],[Node]],Parent!A:B,2,0)</f>
        <v>#N/A</v>
      </c>
      <c r="D523" s="25" t="s">
        <v>19346</v>
      </c>
      <c r="E523" s="26" t="s">
        <v>16544</v>
      </c>
      <c r="F523" s="27" t="s">
        <v>16830</v>
      </c>
      <c r="G523" s="27" t="s">
        <v>16831</v>
      </c>
      <c r="H523" s="27" t="s">
        <v>16881</v>
      </c>
      <c r="I523" s="27" t="s">
        <v>17031</v>
      </c>
      <c r="J523" s="27"/>
      <c r="K523" s="27"/>
      <c r="L523" s="27"/>
      <c r="N523" s="27"/>
      <c r="T523" s="28" t="str">
        <f>LOOKUP(1,1/(Table1[[#This Row],[Level_0]:[Level 15]]&gt;0),(Table1[[#This Row],[Level_0]:[Level 15]]))</f>
        <v>7820130000 - [APA Internal marketing]</v>
      </c>
      <c r="U523" s="22">
        <v>518</v>
      </c>
      <c r="W523" s="13" t="str">
        <f>LOOKUP(1,1/(Table1[[#This Row],[Level_0]:[Level 15]]&gt;0),(Table1[[#This Row],[Level_0]:[Level 15]]))</f>
        <v>7820130000 - [APA Internal marketing]</v>
      </c>
    </row>
    <row r="524" spans="1:23" hidden="1" x14ac:dyDescent="0.25">
      <c r="A524">
        <v>7820120007</v>
      </c>
      <c r="B524" s="16" t="s">
        <v>21794</v>
      </c>
      <c r="C524" s="16" t="e">
        <f>VLOOKUP(Table1[[#This Row],[Node]],Parent!A:B,2,0)</f>
        <v>#N/A</v>
      </c>
      <c r="D524" s="25" t="s">
        <v>19346</v>
      </c>
      <c r="E524" s="26" t="s">
        <v>16544</v>
      </c>
      <c r="F524" s="27" t="s">
        <v>16830</v>
      </c>
      <c r="G524" s="27" t="s">
        <v>16831</v>
      </c>
      <c r="H524" s="27" t="s">
        <v>16881</v>
      </c>
      <c r="I524" s="27" t="s">
        <v>17032</v>
      </c>
      <c r="J524" s="27"/>
      <c r="K524" s="27"/>
      <c r="L524" s="27"/>
      <c r="N524" s="27"/>
      <c r="T524" s="28" t="str">
        <f>LOOKUP(1,1/(Table1[[#This Row],[Level_0]:[Level 15]]&gt;0),(Table1[[#This Row],[Level_0]:[Level 15]]))</f>
        <v>7820120007 - [APA Field force - Other]</v>
      </c>
      <c r="U524" s="22">
        <v>519</v>
      </c>
      <c r="W524" s="13" t="str">
        <f>LOOKUP(1,1/(Table1[[#This Row],[Level_0]:[Level 15]]&gt;0),(Table1[[#This Row],[Level_0]:[Level 15]]))</f>
        <v>7820120007 - [APA Field force - Other]</v>
      </c>
    </row>
    <row r="525" spans="1:23" hidden="1" x14ac:dyDescent="0.25">
      <c r="A525">
        <v>7820120001</v>
      </c>
      <c r="B525" s="16" t="s">
        <v>21788</v>
      </c>
      <c r="C525" s="16" t="e">
        <f>VLOOKUP(Table1[[#This Row],[Node]],Parent!A:B,2,0)</f>
        <v>#N/A</v>
      </c>
      <c r="D525" s="25" t="s">
        <v>19346</v>
      </c>
      <c r="E525" s="26" t="s">
        <v>16544</v>
      </c>
      <c r="F525" s="27" t="s">
        <v>16830</v>
      </c>
      <c r="G525" s="27" t="s">
        <v>16831</v>
      </c>
      <c r="H525" s="27" t="s">
        <v>16881</v>
      </c>
      <c r="I525" s="27" t="s">
        <v>17033</v>
      </c>
      <c r="J525" s="27"/>
      <c r="K525" s="27"/>
      <c r="L525" s="27"/>
      <c r="N525" s="27"/>
      <c r="T525" s="28" t="str">
        <f>LOOKUP(1,1/(Table1[[#This Row],[Level_0]:[Level 15]]&gt;0),(Table1[[#This Row],[Level_0]:[Level 15]]))</f>
        <v>7820120001 - [APA Field force - Personnel]</v>
      </c>
      <c r="U525" s="22">
        <v>520</v>
      </c>
      <c r="W525" s="13" t="str">
        <f>LOOKUP(1,1/(Table1[[#This Row],[Level_0]:[Level 15]]&gt;0),(Table1[[#This Row],[Level_0]:[Level 15]]))</f>
        <v>7820120001 - [APA Field force - Personnel]</v>
      </c>
    </row>
    <row r="526" spans="1:23" hidden="1" x14ac:dyDescent="0.25">
      <c r="A526">
        <v>7820120000</v>
      </c>
      <c r="B526" s="16" t="s">
        <v>21787</v>
      </c>
      <c r="C526" s="16" t="e">
        <f>VLOOKUP(Table1[[#This Row],[Node]],Parent!A:B,2,0)</f>
        <v>#N/A</v>
      </c>
      <c r="D526" s="25" t="s">
        <v>19346</v>
      </c>
      <c r="E526" s="26" t="s">
        <v>16544</v>
      </c>
      <c r="F526" s="27" t="s">
        <v>16830</v>
      </c>
      <c r="G526" s="27" t="s">
        <v>16831</v>
      </c>
      <c r="H526" s="27" t="s">
        <v>16881</v>
      </c>
      <c r="I526" s="27" t="s">
        <v>17034</v>
      </c>
      <c r="J526" s="27"/>
      <c r="K526" s="27"/>
      <c r="L526" s="27"/>
      <c r="N526" s="27"/>
      <c r="T526" s="28" t="str">
        <f>LOOKUP(1,1/(Table1[[#This Row],[Level_0]:[Level 15]]&gt;0),(Table1[[#This Row],[Level_0]:[Level 15]]))</f>
        <v>7820120000 - [APA Field force]</v>
      </c>
      <c r="U526" s="22">
        <v>521</v>
      </c>
      <c r="W526" s="13" t="str">
        <f>LOOKUP(1,1/(Table1[[#This Row],[Level_0]:[Level 15]]&gt;0),(Table1[[#This Row],[Level_0]:[Level 15]]))</f>
        <v>7820120000 - [APA Field force]</v>
      </c>
    </row>
    <row r="527" spans="1:23" hidden="1" x14ac:dyDescent="0.25">
      <c r="A527">
        <v>7811190000</v>
      </c>
      <c r="B527" s="16" t="s">
        <v>21783</v>
      </c>
      <c r="C527" s="16" t="e">
        <f>VLOOKUP(Table1[[#This Row],[Node]],Parent!A:B,2,0)</f>
        <v>#N/A</v>
      </c>
      <c r="D527" s="25" t="s">
        <v>19346</v>
      </c>
      <c r="E527" s="26" t="s">
        <v>16544</v>
      </c>
      <c r="F527" s="27" t="s">
        <v>16830</v>
      </c>
      <c r="G527" s="27" t="s">
        <v>16831</v>
      </c>
      <c r="H527" s="27" t="s">
        <v>16881</v>
      </c>
      <c r="I527" s="27" t="s">
        <v>17035</v>
      </c>
      <c r="J527" s="27"/>
      <c r="K527" s="27"/>
      <c r="L527" s="27"/>
      <c r="N527" s="27"/>
      <c r="T527" s="28" t="str">
        <f>LOOKUP(1,1/(Table1[[#This Row],[Level_0]:[Level 15]]&gt;0),(Table1[[#This Row],[Level_0]:[Level 15]]))</f>
        <v>7811190000 - [APA Amort. of int. assets CoS]</v>
      </c>
      <c r="U527" s="22">
        <v>522</v>
      </c>
      <c r="W527" s="13" t="str">
        <f>LOOKUP(1,1/(Table1[[#This Row],[Level_0]:[Level 15]]&gt;0),(Table1[[#This Row],[Level_0]:[Level 15]]))</f>
        <v>7811190000 - [APA Amort. of int. assets CoS]</v>
      </c>
    </row>
    <row r="528" spans="1:23" hidden="1" x14ac:dyDescent="0.25">
      <c r="A528">
        <v>7811180000</v>
      </c>
      <c r="B528" s="16" t="s">
        <v>21782</v>
      </c>
      <c r="C528" s="16" t="e">
        <f>VLOOKUP(Table1[[#This Row],[Node]],Parent!A:B,2,0)</f>
        <v>#N/A</v>
      </c>
      <c r="D528" s="25" t="s">
        <v>19346</v>
      </c>
      <c r="E528" s="26" t="s">
        <v>16544</v>
      </c>
      <c r="F528" s="27" t="s">
        <v>16830</v>
      </c>
      <c r="G528" s="27" t="s">
        <v>16831</v>
      </c>
      <c r="H528" s="27" t="s">
        <v>16881</v>
      </c>
      <c r="I528" s="27" t="s">
        <v>17036</v>
      </c>
      <c r="J528" s="27"/>
      <c r="K528" s="27"/>
      <c r="L528" s="27"/>
      <c r="N528" s="27"/>
      <c r="T528" s="28" t="str">
        <f>LOOKUP(1,1/(Table1[[#This Row],[Level_0]:[Level 15]]&gt;0),(Table1[[#This Row],[Level_0]:[Level 15]]))</f>
        <v>7811180000 - [APA Roy., lic. exp. rel. to prod. techn		X	X	X	X		]</v>
      </c>
      <c r="U528" s="22">
        <v>523</v>
      </c>
      <c r="W528" s="13" t="str">
        <f>LOOKUP(1,1/(Table1[[#This Row],[Level_0]:[Level 15]]&gt;0),(Table1[[#This Row],[Level_0]:[Level 15]]))</f>
        <v>7811180000 - [APA Roy., lic. exp. rel. to prod. techn		X	X	X	X		]</v>
      </c>
    </row>
    <row r="529" spans="1:23" hidden="1" x14ac:dyDescent="0.25">
      <c r="A529">
        <v>7811173000</v>
      </c>
      <c r="B529" s="16" t="s">
        <v>21781</v>
      </c>
      <c r="C529" s="16" t="e">
        <f>VLOOKUP(Table1[[#This Row],[Node]],Parent!A:B,2,0)</f>
        <v>#N/A</v>
      </c>
      <c r="D529" s="25" t="s">
        <v>19346</v>
      </c>
      <c r="E529" s="26" t="s">
        <v>16544</v>
      </c>
      <c r="F529" s="27" t="s">
        <v>16830</v>
      </c>
      <c r="G529" s="27" t="s">
        <v>16831</v>
      </c>
      <c r="H529" s="27" t="s">
        <v>16881</v>
      </c>
      <c r="I529" s="27" t="s">
        <v>17037</v>
      </c>
      <c r="J529" s="27"/>
      <c r="K529" s="27"/>
      <c r="L529" s="27"/>
      <c r="N529" s="27"/>
      <c r="T529" s="28" t="str">
        <f>LOOKUP(1,1/(Table1[[#This Row],[Level_0]:[Level 15]]&gt;0),(Table1[[#This Row],[Level_0]:[Level 15]]))</f>
        <v>7811173000 - [APA Allocated MGF COGS]</v>
      </c>
      <c r="U529" s="22">
        <v>524</v>
      </c>
      <c r="W529" s="13" t="str">
        <f>LOOKUP(1,1/(Table1[[#This Row],[Level_0]:[Level 15]]&gt;0),(Table1[[#This Row],[Level_0]:[Level 15]]))</f>
        <v>7811173000 - [APA Allocated MGF COGS]</v>
      </c>
    </row>
    <row r="530" spans="1:23" hidden="1" x14ac:dyDescent="0.25">
      <c r="A530">
        <v>7811172000</v>
      </c>
      <c r="B530" s="16" t="s">
        <v>21780</v>
      </c>
      <c r="C530" s="16" t="e">
        <f>VLOOKUP(Table1[[#This Row],[Node]],Parent!A:B,2,0)</f>
        <v>#N/A</v>
      </c>
      <c r="D530" s="25" t="s">
        <v>19346</v>
      </c>
      <c r="E530" s="26" t="s">
        <v>16544</v>
      </c>
      <c r="F530" s="27" t="s">
        <v>16830</v>
      </c>
      <c r="G530" s="27" t="s">
        <v>16831</v>
      </c>
      <c r="H530" s="27" t="s">
        <v>16881</v>
      </c>
      <c r="I530" s="27" t="s">
        <v>17038</v>
      </c>
      <c r="J530" s="27"/>
      <c r="K530" s="27"/>
      <c r="L530" s="27"/>
      <c r="N530" s="27"/>
      <c r="T530" s="28" t="str">
        <f>LOOKUP(1,1/(Table1[[#This Row],[Level_0]:[Level 15]]&gt;0),(Table1[[#This Row],[Level_0]:[Level 15]]))</f>
        <v>7811172000 - [APA Gl. demand planning &amp; replenishm.]</v>
      </c>
      <c r="U530" s="22">
        <v>525</v>
      </c>
      <c r="W530" s="13" t="str">
        <f>LOOKUP(1,1/(Table1[[#This Row],[Level_0]:[Level 15]]&gt;0),(Table1[[#This Row],[Level_0]:[Level 15]]))</f>
        <v>7811172000 - [APA Gl. demand planning &amp; replenishm.]</v>
      </c>
    </row>
    <row r="531" spans="1:23" hidden="1" x14ac:dyDescent="0.25">
      <c r="A531">
        <v>7811171400</v>
      </c>
      <c r="B531" s="16" t="s">
        <v>21779</v>
      </c>
      <c r="C531" s="16" t="e">
        <f>VLOOKUP(Table1[[#This Row],[Node]],Parent!A:B,2,0)</f>
        <v>#N/A</v>
      </c>
      <c r="D531" s="25" t="s">
        <v>19346</v>
      </c>
      <c r="E531" s="26" t="s">
        <v>16544</v>
      </c>
      <c r="F531" s="27" t="s">
        <v>16830</v>
      </c>
      <c r="G531" s="27" t="s">
        <v>16831</v>
      </c>
      <c r="H531" s="27" t="s">
        <v>16881</v>
      </c>
      <c r="I531" s="27" t="s">
        <v>17039</v>
      </c>
      <c r="J531" s="27"/>
      <c r="K531" s="27"/>
      <c r="L531" s="27"/>
      <c r="N531" s="27"/>
      <c r="T531" s="28" t="str">
        <f>LOOKUP(1,1/(Table1[[#This Row],[Level_0]:[Level 15]]&gt;0),(Table1[[#This Row],[Level_0]:[Level 15]]))</f>
        <v>7811171400 - [APA Contract manuf. / supplier mgmnt.]</v>
      </c>
      <c r="U531" s="22">
        <v>526</v>
      </c>
      <c r="W531" s="13" t="str">
        <f>LOOKUP(1,1/(Table1[[#This Row],[Level_0]:[Level 15]]&gt;0),(Table1[[#This Row],[Level_0]:[Level 15]]))</f>
        <v>7811171400 - [APA Contract manuf. / supplier mgmnt.]</v>
      </c>
    </row>
    <row r="532" spans="1:23" hidden="1" x14ac:dyDescent="0.25">
      <c r="A532">
        <v>7811171300</v>
      </c>
      <c r="B532" s="16" t="s">
        <v>21778</v>
      </c>
      <c r="C532" s="16" t="e">
        <f>VLOOKUP(Table1[[#This Row],[Node]],Parent!A:B,2,0)</f>
        <v>#N/A</v>
      </c>
      <c r="D532" s="25" t="s">
        <v>19346</v>
      </c>
      <c r="E532" s="26" t="s">
        <v>16544</v>
      </c>
      <c r="F532" s="27" t="s">
        <v>16830</v>
      </c>
      <c r="G532" s="27" t="s">
        <v>16831</v>
      </c>
      <c r="H532" s="27" t="s">
        <v>16881</v>
      </c>
      <c r="I532" s="27" t="s">
        <v>17040</v>
      </c>
      <c r="J532" s="27"/>
      <c r="K532" s="27"/>
      <c r="L532" s="27"/>
      <c r="N532" s="27"/>
      <c r="T532" s="28" t="str">
        <f>LOOKUP(1,1/(Table1[[#This Row],[Level_0]:[Level 15]]&gt;0),(Table1[[#This Row],[Level_0]:[Level 15]]))</f>
        <v>7811171300 - [APA Product process development]</v>
      </c>
      <c r="U532" s="22">
        <v>527</v>
      </c>
      <c r="W532" s="13" t="str">
        <f>LOOKUP(1,1/(Table1[[#This Row],[Level_0]:[Level 15]]&gt;0),(Table1[[#This Row],[Level_0]:[Level 15]]))</f>
        <v>7811171300 - [APA Product process development]</v>
      </c>
    </row>
    <row r="533" spans="1:23" hidden="1" x14ac:dyDescent="0.25">
      <c r="A533">
        <v>7811171200</v>
      </c>
      <c r="B533" s="16" t="s">
        <v>21777</v>
      </c>
      <c r="C533" s="16" t="e">
        <f>VLOOKUP(Table1[[#This Row],[Node]],Parent!A:B,2,0)</f>
        <v>#N/A</v>
      </c>
      <c r="D533" s="25" t="s">
        <v>19346</v>
      </c>
      <c r="E533" s="26" t="s">
        <v>16544</v>
      </c>
      <c r="F533" s="27" t="s">
        <v>16830</v>
      </c>
      <c r="G533" s="27" t="s">
        <v>16831</v>
      </c>
      <c r="H533" s="27" t="s">
        <v>16881</v>
      </c>
      <c r="I533" s="27" t="s">
        <v>17041</v>
      </c>
      <c r="J533" s="27"/>
      <c r="K533" s="27"/>
      <c r="L533" s="27"/>
      <c r="N533" s="27"/>
      <c r="T533" s="28" t="str">
        <f>LOOKUP(1,1/(Table1[[#This Row],[Level_0]:[Level 15]]&gt;0),(Table1[[#This Row],[Level_0]:[Level 15]]))</f>
        <v>7811171200 - [APA Global quality]</v>
      </c>
      <c r="U533" s="22">
        <v>528</v>
      </c>
      <c r="W533" s="13" t="str">
        <f>LOOKUP(1,1/(Table1[[#This Row],[Level_0]:[Level 15]]&gt;0),(Table1[[#This Row],[Level_0]:[Level 15]]))</f>
        <v>7811171200 - [APA Global quality]</v>
      </c>
    </row>
    <row r="534" spans="1:23" hidden="1" x14ac:dyDescent="0.25">
      <c r="A534">
        <v>7811171100</v>
      </c>
      <c r="B534" s="16" t="s">
        <v>21776</v>
      </c>
      <c r="C534" s="16" t="e">
        <f>VLOOKUP(Table1[[#This Row],[Node]],Parent!A:B,2,0)</f>
        <v>#N/A</v>
      </c>
      <c r="D534" s="25" t="s">
        <v>19346</v>
      </c>
      <c r="E534" s="26" t="s">
        <v>16544</v>
      </c>
      <c r="F534" s="27" t="s">
        <v>16830</v>
      </c>
      <c r="G534" s="27" t="s">
        <v>16831</v>
      </c>
      <c r="H534" s="27" t="s">
        <v>16881</v>
      </c>
      <c r="I534" s="27" t="s">
        <v>17042</v>
      </c>
      <c r="J534" s="27"/>
      <c r="K534" s="27"/>
      <c r="L534" s="27"/>
      <c r="N534" s="27"/>
      <c r="T534" s="28" t="str">
        <f>LOOKUP(1,1/(Table1[[#This Row],[Level_0]:[Level 15]]&gt;0),(Table1[[#This Row],[Level_0]:[Level 15]]))</f>
        <v>7811171100 - [APA Gl.manuf. gov. and cluster mgmnt.]</v>
      </c>
      <c r="U534" s="22">
        <v>529</v>
      </c>
      <c r="W534" s="13" t="str">
        <f>LOOKUP(1,1/(Table1[[#This Row],[Level_0]:[Level 15]]&gt;0),(Table1[[#This Row],[Level_0]:[Level 15]]))</f>
        <v>7811171100 - [APA Gl.manuf. gov. and cluster mgmnt.]</v>
      </c>
    </row>
    <row r="535" spans="1:23" hidden="1" x14ac:dyDescent="0.25">
      <c r="A535">
        <v>7811121000</v>
      </c>
      <c r="B535" s="16" t="s">
        <v>21774</v>
      </c>
      <c r="C535" s="16" t="e">
        <f>VLOOKUP(Table1[[#This Row],[Node]],Parent!A:B,2,0)</f>
        <v>#N/A</v>
      </c>
      <c r="D535" s="25" t="s">
        <v>19346</v>
      </c>
      <c r="E535" s="26" t="s">
        <v>16544</v>
      </c>
      <c r="F535" s="27" t="s">
        <v>16830</v>
      </c>
      <c r="G535" s="27" t="s">
        <v>16831</v>
      </c>
      <c r="H535" s="27" t="s">
        <v>16881</v>
      </c>
      <c r="I535" s="27" t="s">
        <v>17043</v>
      </c>
      <c r="J535" s="27"/>
      <c r="K535" s="27"/>
      <c r="L535" s="27"/>
      <c r="N535" s="27"/>
      <c r="T535" s="28" t="str">
        <f>LOOKUP(1,1/(Table1[[#This Row],[Level_0]:[Level 15]]&gt;0),(Table1[[#This Row],[Level_0]:[Level 15]]))</f>
        <v>7811121000 - [APA Special Exp Selling]</v>
      </c>
      <c r="U535" s="22">
        <v>530</v>
      </c>
      <c r="W535" s="13" t="str">
        <f>LOOKUP(1,1/(Table1[[#This Row],[Level_0]:[Level 15]]&gt;0),(Table1[[#This Row],[Level_0]:[Level 15]]))</f>
        <v>7811121000 - [APA Special Exp Selling]</v>
      </c>
    </row>
    <row r="536" spans="1:23" hidden="1" x14ac:dyDescent="0.25">
      <c r="A536">
        <v>7811115001</v>
      </c>
      <c r="B536" s="16" t="s">
        <v>21773</v>
      </c>
      <c r="C536" s="16" t="e">
        <f>VLOOKUP(Table1[[#This Row],[Node]],Parent!A:B,2,0)</f>
        <v>#N/A</v>
      </c>
      <c r="D536" s="25" t="s">
        <v>19346</v>
      </c>
      <c r="E536" s="26" t="s">
        <v>16544</v>
      </c>
      <c r="F536" s="27" t="s">
        <v>16830</v>
      </c>
      <c r="G536" s="27" t="s">
        <v>16831</v>
      </c>
      <c r="H536" s="27" t="s">
        <v>16881</v>
      </c>
      <c r="I536" s="27" t="s">
        <v>17044</v>
      </c>
      <c r="J536" s="27"/>
      <c r="K536" s="27"/>
      <c r="L536" s="27"/>
      <c r="N536" s="27"/>
      <c r="T536" s="28" t="str">
        <f>LOOKUP(1,1/(Table1[[#This Row],[Level_0]:[Level 15]]&gt;0),(Table1[[#This Row],[Level_0]:[Level 15]]))</f>
        <v>7811115001 - [APA Sterilization Process Varainces CCV]</v>
      </c>
      <c r="U536" s="22">
        <v>531</v>
      </c>
      <c r="W536" s="13" t="str">
        <f>LOOKUP(1,1/(Table1[[#This Row],[Level_0]:[Level 15]]&gt;0),(Table1[[#This Row],[Level_0]:[Level 15]]))</f>
        <v>7811115001 - [APA Sterilization Process Varainces CCV]</v>
      </c>
    </row>
    <row r="537" spans="1:23" hidden="1" x14ac:dyDescent="0.25">
      <c r="A537">
        <v>7811111300</v>
      </c>
      <c r="B537" s="16" t="s">
        <v>21765</v>
      </c>
      <c r="C537" s="16" t="e">
        <f>VLOOKUP(Table1[[#This Row],[Node]],Parent!A:B,2,0)</f>
        <v>#N/A</v>
      </c>
      <c r="D537" s="25" t="s">
        <v>19346</v>
      </c>
      <c r="E537" s="26" t="s">
        <v>16544</v>
      </c>
      <c r="F537" s="27" t="s">
        <v>16830</v>
      </c>
      <c r="G537" s="27" t="s">
        <v>16831</v>
      </c>
      <c r="H537" s="27" t="s">
        <v>16881</v>
      </c>
      <c r="I537" s="27" t="s">
        <v>17045</v>
      </c>
      <c r="J537" s="27"/>
      <c r="K537" s="27"/>
      <c r="L537" s="27"/>
      <c r="N537" s="27"/>
      <c r="T537" s="28" t="str">
        <f>LOOKUP(1,1/(Table1[[#This Row],[Level_0]:[Level 15]]&gt;0),(Table1[[#This Row],[Level_0]:[Level 15]]))</f>
        <v>7811111300 - [APA Purch Price Diff - Landed Costs - 3P]</v>
      </c>
      <c r="U537" s="22">
        <v>532</v>
      </c>
      <c r="W537" s="13" t="str">
        <f>LOOKUP(1,1/(Table1[[#This Row],[Level_0]:[Level 15]]&gt;0),(Table1[[#This Row],[Level_0]:[Level 15]]))</f>
        <v>7811111300 - [APA Purch Price Diff - Landed Costs - 3P]</v>
      </c>
    </row>
    <row r="538" spans="1:23" hidden="1" x14ac:dyDescent="0.25">
      <c r="A538">
        <v>7810180000</v>
      </c>
      <c r="B538" s="16" t="s">
        <v>21764</v>
      </c>
      <c r="C538" s="16" t="e">
        <f>VLOOKUP(Table1[[#This Row],[Node]],Parent!A:B,2,0)</f>
        <v>#N/A</v>
      </c>
      <c r="D538" s="25" t="s">
        <v>19346</v>
      </c>
      <c r="E538" s="26" t="s">
        <v>16544</v>
      </c>
      <c r="F538" s="27" t="s">
        <v>16830</v>
      </c>
      <c r="G538" s="27" t="s">
        <v>16831</v>
      </c>
      <c r="H538" s="27" t="s">
        <v>16881</v>
      </c>
      <c r="I538" s="27" t="s">
        <v>17046</v>
      </c>
      <c r="J538" s="27"/>
      <c r="K538" s="27"/>
      <c r="L538" s="27"/>
      <c r="N538" s="27"/>
      <c r="T538" s="28" t="str">
        <f>LOOKUP(1,1/(Table1[[#This Row],[Level_0]:[Level 15]]&gt;0),(Table1[[#This Row],[Level_0]:[Level 15]]))</f>
        <v>7810180000 - [APA Rent&amp;Lease Inc Core Busin - Op Lease]</v>
      </c>
      <c r="U538" s="22">
        <v>533</v>
      </c>
      <c r="W538" s="13" t="str">
        <f>LOOKUP(1,1/(Table1[[#This Row],[Level_0]:[Level 15]]&gt;0),(Table1[[#This Row],[Level_0]:[Level 15]]))</f>
        <v>7810180000 - [APA Rent&amp;Lease Inc Core Busin - Op Lease]</v>
      </c>
    </row>
    <row r="539" spans="1:23" hidden="1" x14ac:dyDescent="0.25">
      <c r="A539">
        <v>7810130000</v>
      </c>
      <c r="B539" s="16" t="s">
        <v>21762</v>
      </c>
      <c r="C539" s="16" t="e">
        <f>VLOOKUP(Table1[[#This Row],[Node]],Parent!A:B,2,0)</f>
        <v>#N/A</v>
      </c>
      <c r="D539" s="25" t="s">
        <v>19346</v>
      </c>
      <c r="E539" s="26" t="s">
        <v>16544</v>
      </c>
      <c r="F539" s="27" t="s">
        <v>16830</v>
      </c>
      <c r="G539" s="27" t="s">
        <v>16831</v>
      </c>
      <c r="H539" s="27" t="s">
        <v>16881</v>
      </c>
      <c r="I539" s="27" t="s">
        <v>17047</v>
      </c>
      <c r="J539" s="27"/>
      <c r="K539" s="27"/>
      <c r="L539" s="27"/>
      <c r="N539" s="27"/>
      <c r="T539" s="28" t="str">
        <f>LOOKUP(1,1/(Table1[[#This Row],[Level_0]:[Level 15]]&gt;0),(Table1[[#This Row],[Level_0]:[Level 15]]))</f>
        <v>7810130000 - [APA Profit share income]</v>
      </c>
      <c r="U539" s="22">
        <v>534</v>
      </c>
      <c r="W539" s="13" t="str">
        <f>LOOKUP(1,1/(Table1[[#This Row],[Level_0]:[Level 15]]&gt;0),(Table1[[#This Row],[Level_0]:[Level 15]]))</f>
        <v>7810130000 - [APA Profit share income]</v>
      </c>
    </row>
    <row r="540" spans="1:23" hidden="1" x14ac:dyDescent="0.25">
      <c r="A540">
        <v>7724190000</v>
      </c>
      <c r="B540" s="16" t="s">
        <v>21761</v>
      </c>
      <c r="C540" s="16" t="e">
        <f>VLOOKUP(Table1[[#This Row],[Node]],Parent!A:B,2,0)</f>
        <v>#N/A</v>
      </c>
      <c r="D540" s="25" t="s">
        <v>19346</v>
      </c>
      <c r="E540" s="26" t="s">
        <v>16544</v>
      </c>
      <c r="F540" s="27" t="s">
        <v>16830</v>
      </c>
      <c r="G540" s="27" t="s">
        <v>16831</v>
      </c>
      <c r="H540" s="27" t="s">
        <v>16881</v>
      </c>
      <c r="I540" s="27" t="s">
        <v>17048</v>
      </c>
      <c r="J540" s="27"/>
      <c r="K540" s="27"/>
      <c r="L540" s="27"/>
      <c r="N540" s="27"/>
      <c r="T540" s="28" t="str">
        <f>LOOKUP(1,1/(Table1[[#This Row],[Level_0]:[Level 15]]&gt;0),(Table1[[#This Row],[Level_0]:[Level 15]]))</f>
        <v>7724190000 - [SPA Remaining other expense IC]</v>
      </c>
      <c r="U540" s="22">
        <v>535</v>
      </c>
      <c r="W540" s="13" t="str">
        <f>LOOKUP(1,1/(Table1[[#This Row],[Level_0]:[Level 15]]&gt;0),(Table1[[#This Row],[Level_0]:[Level 15]]))</f>
        <v>7724190000 - [SPA Remaining other expense IC]</v>
      </c>
    </row>
    <row r="541" spans="1:23" hidden="1" x14ac:dyDescent="0.25">
      <c r="A541">
        <v>7724177000</v>
      </c>
      <c r="B541" s="16" t="s">
        <v>21759</v>
      </c>
      <c r="C541" s="16" t="e">
        <f>VLOOKUP(Table1[[#This Row],[Node]],Parent!A:B,2,0)</f>
        <v>#N/A</v>
      </c>
      <c r="D541" s="25" t="s">
        <v>19346</v>
      </c>
      <c r="E541" s="26" t="s">
        <v>16544</v>
      </c>
      <c r="F541" s="27" t="s">
        <v>16830</v>
      </c>
      <c r="G541" s="27" t="s">
        <v>16831</v>
      </c>
      <c r="H541" s="27" t="s">
        <v>16881</v>
      </c>
      <c r="I541" s="27" t="s">
        <v>17049</v>
      </c>
      <c r="J541" s="27"/>
      <c r="K541" s="27"/>
      <c r="L541" s="27"/>
      <c r="N541" s="27"/>
      <c r="T541" s="28" t="str">
        <f>LOOKUP(1,1/(Table1[[#This Row],[Level_0]:[Level 15]]&gt;0),(Table1[[#This Row],[Level_0]:[Level 15]]))</f>
        <v>7724177000 - [SPA Remaining other expense 3rd party]</v>
      </c>
      <c r="U541" s="22">
        <v>536</v>
      </c>
      <c r="W541" s="13" t="str">
        <f>LOOKUP(1,1/(Table1[[#This Row],[Level_0]:[Level 15]]&gt;0),(Table1[[#This Row],[Level_0]:[Level 15]]))</f>
        <v>7724177000 - [SPA Remaining other expense 3rd party]</v>
      </c>
    </row>
    <row r="542" spans="1:23" hidden="1" x14ac:dyDescent="0.25">
      <c r="A542">
        <v>7724171000</v>
      </c>
      <c r="B542" s="16" t="s">
        <v>21757</v>
      </c>
      <c r="C542" s="16" t="e">
        <f>VLOOKUP(Table1[[#This Row],[Node]],Parent!A:B,2,0)</f>
        <v>#N/A</v>
      </c>
      <c r="D542" s="25" t="s">
        <v>19346</v>
      </c>
      <c r="E542" s="26" t="s">
        <v>16544</v>
      </c>
      <c r="F542" s="27" t="s">
        <v>16830</v>
      </c>
      <c r="G542" s="27" t="s">
        <v>16831</v>
      </c>
      <c r="H542" s="27" t="s">
        <v>16881</v>
      </c>
      <c r="I542" s="27" t="s">
        <v>17050</v>
      </c>
      <c r="J542" s="27"/>
      <c r="K542" s="27"/>
      <c r="L542" s="27"/>
      <c r="N542" s="27"/>
      <c r="T542" s="28" t="str">
        <f>LOOKUP(1,1/(Table1[[#This Row],[Level_0]:[Level 15]]&gt;0),(Table1[[#This Row],[Level_0]:[Level 15]]))</f>
        <v>7724171000 - [SPA Expenses from non-core activities]</v>
      </c>
      <c r="U542" s="22">
        <v>537</v>
      </c>
      <c r="W542" s="13" t="str">
        <f>LOOKUP(1,1/(Table1[[#This Row],[Level_0]:[Level 15]]&gt;0),(Table1[[#This Row],[Level_0]:[Level 15]]))</f>
        <v>7724171000 - [SPA Expenses from non-core activities]</v>
      </c>
    </row>
    <row r="543" spans="1:23" hidden="1" x14ac:dyDescent="0.25">
      <c r="A543">
        <v>7724161100</v>
      </c>
      <c r="B543" s="16" t="s">
        <v>21756</v>
      </c>
      <c r="C543" s="16" t="e">
        <f>VLOOKUP(Table1[[#This Row],[Node]],Parent!A:B,2,0)</f>
        <v>#N/A</v>
      </c>
      <c r="D543" s="25" t="s">
        <v>19346</v>
      </c>
      <c r="E543" s="26" t="s">
        <v>16544</v>
      </c>
      <c r="F543" s="27" t="s">
        <v>16830</v>
      </c>
      <c r="G543" s="27" t="s">
        <v>16831</v>
      </c>
      <c r="H543" s="27" t="s">
        <v>16881</v>
      </c>
      <c r="I543" s="27" t="s">
        <v>17051</v>
      </c>
      <c r="J543" s="27"/>
      <c r="K543" s="27"/>
      <c r="L543" s="27"/>
      <c r="N543" s="27"/>
      <c r="T543" s="28" t="str">
        <f>LOOKUP(1,1/(Table1[[#This Row],[Level_0]:[Level 15]]&gt;0),(Table1[[#This Row],[Level_0]:[Level 15]]))</f>
        <v>7724161100 - [SPA Curr. Differences operating – ICON]</v>
      </c>
      <c r="U543" s="22">
        <v>538</v>
      </c>
      <c r="W543" s="13" t="str">
        <f>LOOKUP(1,1/(Table1[[#This Row],[Level_0]:[Level 15]]&gt;0),(Table1[[#This Row],[Level_0]:[Level 15]]))</f>
        <v>7724161100 - [SPA Curr. Differences operating – ICON]</v>
      </c>
    </row>
    <row r="544" spans="1:23" hidden="1" x14ac:dyDescent="0.25">
      <c r="A544">
        <v>7724140000</v>
      </c>
      <c r="B544" s="16" t="s">
        <v>21754</v>
      </c>
      <c r="C544" s="16" t="e">
        <f>VLOOKUP(Table1[[#This Row],[Node]],Parent!A:B,2,0)</f>
        <v>#N/A</v>
      </c>
      <c r="D544" s="25" t="s">
        <v>19346</v>
      </c>
      <c r="E544" s="26" t="s">
        <v>16544</v>
      </c>
      <c r="F544" s="27" t="s">
        <v>16830</v>
      </c>
      <c r="G544" s="27" t="s">
        <v>16831</v>
      </c>
      <c r="H544" s="27" t="s">
        <v>16881</v>
      </c>
      <c r="I544" s="27" t="s">
        <v>17052</v>
      </c>
      <c r="J544" s="27"/>
      <c r="K544" s="27"/>
      <c r="L544" s="27"/>
      <c r="N544" s="27"/>
      <c r="T544" s="28" t="str">
        <f>LOOKUP(1,1/(Table1[[#This Row],[Level_0]:[Level 15]]&gt;0),(Table1[[#This Row],[Level_0]:[Level 15]]))</f>
        <v>7724140000 - [SPA Insurance Charge]</v>
      </c>
      <c r="U544" s="22">
        <v>539</v>
      </c>
      <c r="W544" s="13" t="str">
        <f>LOOKUP(1,1/(Table1[[#This Row],[Level_0]:[Level 15]]&gt;0),(Table1[[#This Row],[Level_0]:[Level 15]]))</f>
        <v>7724140000 - [SPA Insurance Charge]</v>
      </c>
    </row>
    <row r="545" spans="1:23" hidden="1" x14ac:dyDescent="0.25">
      <c r="A545">
        <v>7723550000</v>
      </c>
      <c r="B545" s="16" t="s">
        <v>21753</v>
      </c>
      <c r="C545" s="16" t="e">
        <f>VLOOKUP(Table1[[#This Row],[Node]],Parent!A:B,2,0)</f>
        <v>#N/A</v>
      </c>
      <c r="D545" s="25" t="s">
        <v>19346</v>
      </c>
      <c r="E545" s="26" t="s">
        <v>16544</v>
      </c>
      <c r="F545" s="27" t="s">
        <v>16830</v>
      </c>
      <c r="G545" s="27" t="s">
        <v>16831</v>
      </c>
      <c r="H545" s="27" t="s">
        <v>16881</v>
      </c>
      <c r="I545" s="27" t="s">
        <v>17053</v>
      </c>
      <c r="J545" s="27"/>
      <c r="K545" s="27"/>
      <c r="L545" s="27"/>
      <c r="N545" s="27"/>
      <c r="T545" s="28" t="str">
        <f>LOOKUP(1,1/(Table1[[#This Row],[Level_0]:[Level 15]]&gt;0),(Table1[[#This Row],[Level_0]:[Level 15]]))</f>
        <v>7723550000 - [SPA Remaining other income IC]</v>
      </c>
      <c r="U545" s="22">
        <v>540</v>
      </c>
      <c r="W545" s="13" t="str">
        <f>LOOKUP(1,1/(Table1[[#This Row],[Level_0]:[Level 15]]&gt;0),(Table1[[#This Row],[Level_0]:[Level 15]]))</f>
        <v>7723550000 - [SPA Remaining other income IC]</v>
      </c>
    </row>
    <row r="546" spans="1:23" hidden="1" x14ac:dyDescent="0.25">
      <c r="A546">
        <v>7723500000</v>
      </c>
      <c r="B546" s="16" t="s">
        <v>21752</v>
      </c>
      <c r="C546" s="16" t="e">
        <f>VLOOKUP(Table1[[#This Row],[Node]],Parent!A:B,2,0)</f>
        <v>#N/A</v>
      </c>
      <c r="D546" s="25" t="s">
        <v>19346</v>
      </c>
      <c r="E546" s="26" t="s">
        <v>16544</v>
      </c>
      <c r="F546" s="27" t="s">
        <v>16830</v>
      </c>
      <c r="G546" s="27" t="s">
        <v>16831</v>
      </c>
      <c r="H546" s="27" t="s">
        <v>16881</v>
      </c>
      <c r="I546" s="27" t="s">
        <v>17054</v>
      </c>
      <c r="J546" s="27"/>
      <c r="K546" s="27"/>
      <c r="L546" s="27"/>
      <c r="N546" s="27"/>
      <c r="T546" s="28" t="str">
        <f>LOOKUP(1,1/(Table1[[#This Row],[Level_0]:[Level 15]]&gt;0),(Table1[[#This Row],[Level_0]:[Level 15]]))</f>
        <v>7723500000 - [SPA Mark-up income IC]</v>
      </c>
      <c r="U546" s="22">
        <v>541</v>
      </c>
      <c r="W546" s="13" t="str">
        <f>LOOKUP(1,1/(Table1[[#This Row],[Level_0]:[Level 15]]&gt;0),(Table1[[#This Row],[Level_0]:[Level 15]]))</f>
        <v>7723500000 - [SPA Mark-up income IC]</v>
      </c>
    </row>
    <row r="547" spans="1:23" hidden="1" x14ac:dyDescent="0.25">
      <c r="A547">
        <v>7723451000</v>
      </c>
      <c r="B547" s="16" t="s">
        <v>21751</v>
      </c>
      <c r="C547" s="16" t="e">
        <f>VLOOKUP(Table1[[#This Row],[Node]],Parent!A:B,2,0)</f>
        <v>#N/A</v>
      </c>
      <c r="D547" s="25" t="s">
        <v>19346</v>
      </c>
      <c r="E547" s="26" t="s">
        <v>16544</v>
      </c>
      <c r="F547" s="27" t="s">
        <v>16830</v>
      </c>
      <c r="G547" s="27" t="s">
        <v>16831</v>
      </c>
      <c r="H547" s="27" t="s">
        <v>16881</v>
      </c>
      <c r="I547" s="27" t="s">
        <v>17055</v>
      </c>
      <c r="J547" s="27"/>
      <c r="K547" s="27"/>
      <c r="L547" s="27"/>
      <c r="N547" s="27"/>
      <c r="T547" s="28" t="str">
        <f>LOOKUP(1,1/(Table1[[#This Row],[Level_0]:[Level 15]]&gt;0),(Table1[[#This Row],[Level_0]:[Level 15]]))</f>
        <v>7723451000 - [SPA Income from non-core activities]</v>
      </c>
      <c r="U547" s="22">
        <v>542</v>
      </c>
      <c r="W547" s="13" t="str">
        <f>LOOKUP(1,1/(Table1[[#This Row],[Level_0]:[Level 15]]&gt;0),(Table1[[#This Row],[Level_0]:[Level 15]]))</f>
        <v>7723451000 - [SPA Income from non-core activities]</v>
      </c>
    </row>
    <row r="548" spans="1:23" hidden="1" x14ac:dyDescent="0.25">
      <c r="A548">
        <v>7722140001</v>
      </c>
      <c r="B548" s="16" t="s">
        <v>21749</v>
      </c>
      <c r="C548" s="16" t="e">
        <f>VLOOKUP(Table1[[#This Row],[Node]],Parent!A:B,2,0)</f>
        <v>#N/A</v>
      </c>
      <c r="D548" s="25" t="s">
        <v>19346</v>
      </c>
      <c r="E548" s="26" t="s">
        <v>16544</v>
      </c>
      <c r="F548" s="27" t="s">
        <v>16830</v>
      </c>
      <c r="G548" s="27" t="s">
        <v>16831</v>
      </c>
      <c r="H548" s="27" t="s">
        <v>16881</v>
      </c>
      <c r="I548" s="27" t="s">
        <v>17056</v>
      </c>
      <c r="J548" s="27"/>
      <c r="K548" s="27"/>
      <c r="L548" s="27"/>
      <c r="N548" s="27"/>
      <c r="T548" s="28" t="str">
        <f>LOOKUP(1,1/(Table1[[#This Row],[Level_0]:[Level 15]]&gt;0),(Table1[[#This Row],[Level_0]:[Level 15]]))</f>
        <v>7722140001 - [SPA Var.supply,  infra., ... - non prod		X	X	X	X		]</v>
      </c>
      <c r="U548" s="22">
        <v>543</v>
      </c>
      <c r="W548" s="13" t="str">
        <f>LOOKUP(1,1/(Table1[[#This Row],[Level_0]:[Level 15]]&gt;0),(Table1[[#This Row],[Level_0]:[Level 15]]))</f>
        <v>7722140001 - [SPA Var.supply,  infra., ... - non prod		X	X	X	X		]</v>
      </c>
    </row>
    <row r="549" spans="1:23" hidden="1" x14ac:dyDescent="0.25">
      <c r="A549">
        <v>7722140000</v>
      </c>
      <c r="B549" s="16" t="s">
        <v>21748</v>
      </c>
      <c r="C549" s="16" t="e">
        <f>VLOOKUP(Table1[[#This Row],[Node]],Parent!A:B,2,0)</f>
        <v>#N/A</v>
      </c>
      <c r="D549" s="25" t="s">
        <v>19346</v>
      </c>
      <c r="E549" s="26" t="s">
        <v>16544</v>
      </c>
      <c r="F549" s="27" t="s">
        <v>16830</v>
      </c>
      <c r="G549" s="27" t="s">
        <v>16831</v>
      </c>
      <c r="H549" s="27" t="s">
        <v>16881</v>
      </c>
      <c r="I549" s="27" t="s">
        <v>17057</v>
      </c>
      <c r="J549" s="27"/>
      <c r="K549" s="27"/>
      <c r="L549" s="27"/>
      <c r="N549" s="27"/>
      <c r="T549" s="28" t="str">
        <f>LOOKUP(1,1/(Table1[[#This Row],[Level_0]:[Level 15]]&gt;0),(Table1[[#This Row],[Level_0]:[Level 15]]))</f>
        <v>7722140000 - [SPA Other G&amp;A]</v>
      </c>
      <c r="U549" s="22">
        <v>544</v>
      </c>
      <c r="W549" s="13" t="str">
        <f>LOOKUP(1,1/(Table1[[#This Row],[Level_0]:[Level 15]]&gt;0),(Table1[[#This Row],[Level_0]:[Level 15]]))</f>
        <v>7722140000 - [SPA Other G&amp;A]</v>
      </c>
    </row>
    <row r="550" spans="1:23" hidden="1" x14ac:dyDescent="0.25">
      <c r="A550">
        <v>7722130004</v>
      </c>
      <c r="B550" s="16" t="s">
        <v>21746</v>
      </c>
      <c r="C550" s="16" t="e">
        <f>VLOOKUP(Table1[[#This Row],[Node]],Parent!A:B,2,0)</f>
        <v>#N/A</v>
      </c>
      <c r="D550" s="25" t="s">
        <v>19346</v>
      </c>
      <c r="E550" s="26" t="s">
        <v>16544</v>
      </c>
      <c r="F550" s="27" t="s">
        <v>16830</v>
      </c>
      <c r="G550" s="27" t="s">
        <v>16831</v>
      </c>
      <c r="H550" s="27" t="s">
        <v>16881</v>
      </c>
      <c r="I550" s="27" t="s">
        <v>17058</v>
      </c>
      <c r="J550" s="27"/>
      <c r="K550" s="27"/>
      <c r="L550" s="27"/>
      <c r="N550" s="27"/>
      <c r="T550" s="28" t="str">
        <f>LOOKUP(1,1/(Table1[[#This Row],[Level_0]:[Level 15]]&gt;0),(Table1[[#This Row],[Level_0]:[Level 15]]))</f>
        <v>7722130004 - [XXX not to be used]</v>
      </c>
      <c r="U550" s="22">
        <v>545</v>
      </c>
      <c r="W550" s="13" t="str">
        <f>LOOKUP(1,1/(Table1[[#This Row],[Level_0]:[Level 15]]&gt;0),(Table1[[#This Row],[Level_0]:[Level 15]]))</f>
        <v>7722130004 - [XXX not to be used]</v>
      </c>
    </row>
    <row r="551" spans="1:23" hidden="1" x14ac:dyDescent="0.25">
      <c r="A551">
        <v>7722130003</v>
      </c>
      <c r="B551" s="16" t="s">
        <v>21746</v>
      </c>
      <c r="C551" s="16" t="e">
        <f>VLOOKUP(Table1[[#This Row],[Node]],Parent!A:B,2,0)</f>
        <v>#N/A</v>
      </c>
      <c r="D551" s="25" t="s">
        <v>19346</v>
      </c>
      <c r="E551" s="26" t="s">
        <v>16544</v>
      </c>
      <c r="F551" s="27" t="s">
        <v>16830</v>
      </c>
      <c r="G551" s="27" t="s">
        <v>16831</v>
      </c>
      <c r="H551" s="27" t="s">
        <v>16881</v>
      </c>
      <c r="I551" s="27" t="s">
        <v>17059</v>
      </c>
      <c r="J551" s="27"/>
      <c r="K551" s="27"/>
      <c r="L551" s="27"/>
      <c r="N551" s="27"/>
      <c r="T551" s="28" t="str">
        <f>LOOKUP(1,1/(Table1[[#This Row],[Level_0]:[Level 15]]&gt;0),(Table1[[#This Row],[Level_0]:[Level 15]]))</f>
        <v>7722130003 - [XXX not to be used]</v>
      </c>
      <c r="U551" s="22">
        <v>546</v>
      </c>
      <c r="W551" s="13" t="str">
        <f>LOOKUP(1,1/(Table1[[#This Row],[Level_0]:[Level 15]]&gt;0),(Table1[[#This Row],[Level_0]:[Level 15]]))</f>
        <v>7722130003 - [XXX not to be used]</v>
      </c>
    </row>
    <row r="552" spans="1:23" hidden="1" x14ac:dyDescent="0.25">
      <c r="A552">
        <v>7722130002</v>
      </c>
      <c r="B552" s="16" t="s">
        <v>21746</v>
      </c>
      <c r="C552" s="16" t="e">
        <f>VLOOKUP(Table1[[#This Row],[Node]],Parent!A:B,2,0)</f>
        <v>#N/A</v>
      </c>
      <c r="D552" s="25" t="s">
        <v>19346</v>
      </c>
      <c r="E552" s="26" t="s">
        <v>16544</v>
      </c>
      <c r="F552" s="27" t="s">
        <v>16830</v>
      </c>
      <c r="G552" s="27" t="s">
        <v>16831</v>
      </c>
      <c r="H552" s="27" t="s">
        <v>16881</v>
      </c>
      <c r="I552" s="27" t="s">
        <v>17060</v>
      </c>
      <c r="J552" s="27"/>
      <c r="K552" s="27"/>
      <c r="L552" s="27"/>
      <c r="N552" s="27"/>
      <c r="T552" s="28" t="str">
        <f>LOOKUP(1,1/(Table1[[#This Row],[Level_0]:[Level 15]]&gt;0),(Table1[[#This Row],[Level_0]:[Level 15]]))</f>
        <v>7722130002 - [XXX not to be used]</v>
      </c>
      <c r="U552" s="22">
        <v>547</v>
      </c>
      <c r="W552" s="13" t="str">
        <f>LOOKUP(1,1/(Table1[[#This Row],[Level_0]:[Level 15]]&gt;0),(Table1[[#This Row],[Level_0]:[Level 15]]))</f>
        <v>7722130002 - [XXX not to be used]</v>
      </c>
    </row>
    <row r="553" spans="1:23" hidden="1" x14ac:dyDescent="0.25">
      <c r="A553">
        <v>7722130001</v>
      </c>
      <c r="B553" s="16" t="s">
        <v>21746</v>
      </c>
      <c r="C553" s="16" t="e">
        <f>VLOOKUP(Table1[[#This Row],[Node]],Parent!A:B,2,0)</f>
        <v>#N/A</v>
      </c>
      <c r="D553" s="25" t="s">
        <v>19346</v>
      </c>
      <c r="E553" s="26" t="s">
        <v>16544</v>
      </c>
      <c r="F553" s="27" t="s">
        <v>16830</v>
      </c>
      <c r="G553" s="27" t="s">
        <v>16831</v>
      </c>
      <c r="H553" s="27" t="s">
        <v>16881</v>
      </c>
      <c r="I553" s="27" t="s">
        <v>17061</v>
      </c>
      <c r="J553" s="27"/>
      <c r="K553" s="27"/>
      <c r="L553" s="27"/>
      <c r="N553" s="27"/>
      <c r="T553" s="28" t="str">
        <f>LOOKUP(1,1/(Table1[[#This Row],[Level_0]:[Level 15]]&gt;0),(Table1[[#This Row],[Level_0]:[Level 15]]))</f>
        <v>7722130001 - [XXX not to be used]</v>
      </c>
      <c r="U553" s="22">
        <v>548</v>
      </c>
      <c r="W553" s="13" t="str">
        <f>LOOKUP(1,1/(Table1[[#This Row],[Level_0]:[Level 15]]&gt;0),(Table1[[#This Row],[Level_0]:[Level 15]]))</f>
        <v>7722130001 - [XXX not to be used]</v>
      </c>
    </row>
    <row r="554" spans="1:23" hidden="1" x14ac:dyDescent="0.25">
      <c r="A554">
        <v>7722130000</v>
      </c>
      <c r="B554" s="16" t="s">
        <v>21745</v>
      </c>
      <c r="C554" s="16" t="e">
        <f>VLOOKUP(Table1[[#This Row],[Node]],Parent!A:B,2,0)</f>
        <v>#N/A</v>
      </c>
      <c r="D554" s="25" t="s">
        <v>19346</v>
      </c>
      <c r="E554" s="26" t="s">
        <v>16544</v>
      </c>
      <c r="F554" s="27" t="s">
        <v>16830</v>
      </c>
      <c r="G554" s="27" t="s">
        <v>16831</v>
      </c>
      <c r="H554" s="27" t="s">
        <v>16881</v>
      </c>
      <c r="I554" s="27" t="s">
        <v>17062</v>
      </c>
      <c r="J554" s="27"/>
      <c r="K554" s="27"/>
      <c r="L554" s="27"/>
      <c r="N554" s="27"/>
      <c r="T554" s="28" t="str">
        <f>LOOKUP(1,1/(Table1[[#This Row],[Level_0]:[Level 15]]&gt;0),(Table1[[#This Row],[Level_0]:[Level 15]]))</f>
        <v>7722130000 - [SPA Other MGF]</v>
      </c>
      <c r="U554" s="22">
        <v>549</v>
      </c>
      <c r="W554" s="13" t="str">
        <f>LOOKUP(1,1/(Table1[[#This Row],[Level_0]:[Level 15]]&gt;0),(Table1[[#This Row],[Level_0]:[Level 15]]))</f>
        <v>7722130000 - [SPA Other MGF]</v>
      </c>
    </row>
    <row r="555" spans="1:23" hidden="1" x14ac:dyDescent="0.25">
      <c r="A555">
        <v>7722120000</v>
      </c>
      <c r="B555" s="16" t="s">
        <v>21743</v>
      </c>
      <c r="C555" s="16" t="e">
        <f>VLOOKUP(Table1[[#This Row],[Node]],Parent!A:B,2,0)</f>
        <v>#N/A</v>
      </c>
      <c r="D555" s="25" t="s">
        <v>19346</v>
      </c>
      <c r="E555" s="26" t="s">
        <v>16544</v>
      </c>
      <c r="F555" s="27" t="s">
        <v>16830</v>
      </c>
      <c r="G555" s="27" t="s">
        <v>16831</v>
      </c>
      <c r="H555" s="27" t="s">
        <v>16881</v>
      </c>
      <c r="I555" s="27" t="s">
        <v>17063</v>
      </c>
      <c r="J555" s="27"/>
      <c r="K555" s="27"/>
      <c r="L555" s="27"/>
      <c r="N555" s="27"/>
      <c r="T555" s="28" t="str">
        <f>LOOKUP(1,1/(Table1[[#This Row],[Level_0]:[Level 15]]&gt;0),(Table1[[#This Row],[Level_0]:[Level 15]]))</f>
        <v>7722120000 - [SPA Admin Legal]</v>
      </c>
      <c r="U555" s="22">
        <v>550</v>
      </c>
      <c r="W555" s="13" t="str">
        <f>LOOKUP(1,1/(Table1[[#This Row],[Level_0]:[Level 15]]&gt;0),(Table1[[#This Row],[Level_0]:[Level 15]]))</f>
        <v>7722120000 - [SPA Admin Legal]</v>
      </c>
    </row>
    <row r="556" spans="1:23" hidden="1" x14ac:dyDescent="0.25">
      <c r="A556">
        <v>7722110003</v>
      </c>
      <c r="B556" s="16" t="s">
        <v>21742</v>
      </c>
      <c r="C556" s="16" t="e">
        <f>VLOOKUP(Table1[[#This Row],[Node]],Parent!A:B,2,0)</f>
        <v>#N/A</v>
      </c>
      <c r="D556" s="25" t="s">
        <v>19346</v>
      </c>
      <c r="E556" s="26" t="s">
        <v>16544</v>
      </c>
      <c r="F556" s="27" t="s">
        <v>16830</v>
      </c>
      <c r="G556" s="27" t="s">
        <v>16831</v>
      </c>
      <c r="H556" s="27" t="s">
        <v>16881</v>
      </c>
      <c r="I556" s="27" t="s">
        <v>17064</v>
      </c>
      <c r="J556" s="27"/>
      <c r="K556" s="27"/>
      <c r="L556" s="27"/>
      <c r="N556" s="27"/>
      <c r="T556" s="28" t="str">
        <f>LOOKUP(1,1/(Table1[[#This Row],[Level_0]:[Level 15]]&gt;0),(Table1[[#This Row],[Level_0]:[Level 15]]))</f>
        <v>7722110003 - [SPA ICON Finance]</v>
      </c>
      <c r="U556" s="22">
        <v>551</v>
      </c>
      <c r="W556" s="13" t="str">
        <f>LOOKUP(1,1/(Table1[[#This Row],[Level_0]:[Level 15]]&gt;0),(Table1[[#This Row],[Level_0]:[Level 15]]))</f>
        <v>7722110003 - [SPA ICON Finance]</v>
      </c>
    </row>
    <row r="557" spans="1:23" hidden="1" x14ac:dyDescent="0.25">
      <c r="A557">
        <v>7722110002</v>
      </c>
      <c r="B557" s="16" t="s">
        <v>21741</v>
      </c>
      <c r="C557" s="16" t="e">
        <f>VLOOKUP(Table1[[#This Row],[Node]],Parent!A:B,2,0)</f>
        <v>#N/A</v>
      </c>
      <c r="D557" s="25" t="s">
        <v>19346</v>
      </c>
      <c r="E557" s="26" t="s">
        <v>16544</v>
      </c>
      <c r="F557" s="27" t="s">
        <v>16830</v>
      </c>
      <c r="G557" s="27" t="s">
        <v>16831</v>
      </c>
      <c r="H557" s="27" t="s">
        <v>16881</v>
      </c>
      <c r="I557" s="27" t="s">
        <v>17065</v>
      </c>
      <c r="J557" s="27"/>
      <c r="K557" s="27"/>
      <c r="L557" s="27"/>
      <c r="N557" s="27"/>
      <c r="T557" s="28" t="str">
        <f>LOOKUP(1,1/(Table1[[#This Row],[Level_0]:[Level 15]]&gt;0),(Table1[[#This Row],[Level_0]:[Level 15]]))</f>
        <v>7722110002 - [SPA Admin Auditing]</v>
      </c>
      <c r="U557" s="22">
        <v>552</v>
      </c>
      <c r="W557" s="13" t="str">
        <f>LOOKUP(1,1/(Table1[[#This Row],[Level_0]:[Level 15]]&gt;0),(Table1[[#This Row],[Level_0]:[Level 15]]))</f>
        <v>7722110002 - [SPA Admin Auditing]</v>
      </c>
    </row>
    <row r="558" spans="1:23" hidden="1" x14ac:dyDescent="0.25">
      <c r="A558">
        <v>7722110001</v>
      </c>
      <c r="B558" s="16" t="s">
        <v>21740</v>
      </c>
      <c r="C558" s="16" t="e">
        <f>VLOOKUP(Table1[[#This Row],[Node]],Parent!A:B,2,0)</f>
        <v>#N/A</v>
      </c>
      <c r="D558" s="25" t="s">
        <v>19346</v>
      </c>
      <c r="E558" s="26" t="s">
        <v>16544</v>
      </c>
      <c r="F558" s="27" t="s">
        <v>16830</v>
      </c>
      <c r="G558" s="27" t="s">
        <v>16831</v>
      </c>
      <c r="H558" s="27" t="s">
        <v>16881</v>
      </c>
      <c r="I558" s="27" t="s">
        <v>17066</v>
      </c>
      <c r="J558" s="27"/>
      <c r="K558" s="27"/>
      <c r="L558" s="27"/>
      <c r="N558" s="27"/>
      <c r="T558" s="28" t="str">
        <f>LOOKUP(1,1/(Table1[[#This Row],[Level_0]:[Level 15]]&gt;0),(Table1[[#This Row],[Level_0]:[Level 15]]))</f>
        <v>7722110001 - [SPA Admin Controlling]</v>
      </c>
      <c r="U558" s="22">
        <v>553</v>
      </c>
      <c r="W558" s="13" t="str">
        <f>LOOKUP(1,1/(Table1[[#This Row],[Level_0]:[Level 15]]&gt;0),(Table1[[#This Row],[Level_0]:[Level 15]]))</f>
        <v>7722110001 - [SPA Admin Controlling]</v>
      </c>
    </row>
    <row r="559" spans="1:23" hidden="1" x14ac:dyDescent="0.25">
      <c r="A559">
        <v>7722110000</v>
      </c>
      <c r="B559" s="16" t="s">
        <v>21739</v>
      </c>
      <c r="C559" s="16" t="e">
        <f>VLOOKUP(Table1[[#This Row],[Node]],Parent!A:B,2,0)</f>
        <v>#N/A</v>
      </c>
      <c r="D559" s="25" t="s">
        <v>19346</v>
      </c>
      <c r="E559" s="26" t="s">
        <v>16544</v>
      </c>
      <c r="F559" s="27" t="s">
        <v>16830</v>
      </c>
      <c r="G559" s="27" t="s">
        <v>16831</v>
      </c>
      <c r="H559" s="27" t="s">
        <v>16881</v>
      </c>
      <c r="I559" s="27" t="s">
        <v>17067</v>
      </c>
      <c r="J559" s="27"/>
      <c r="K559" s="27"/>
      <c r="L559" s="27"/>
      <c r="N559" s="27"/>
      <c r="T559" s="28" t="str">
        <f>LOOKUP(1,1/(Table1[[#This Row],[Level_0]:[Level 15]]&gt;0),(Table1[[#This Row],[Level_0]:[Level 15]]))</f>
        <v>7722110000 - [SPA Admin Accounting]</v>
      </c>
      <c r="U559" s="22">
        <v>554</v>
      </c>
      <c r="W559" s="13" t="str">
        <f>LOOKUP(1,1/(Table1[[#This Row],[Level_0]:[Level 15]]&gt;0),(Table1[[#This Row],[Level_0]:[Level 15]]))</f>
        <v>7722110000 - [SPA Admin Accounting]</v>
      </c>
    </row>
    <row r="560" spans="1:23" hidden="1" x14ac:dyDescent="0.25">
      <c r="A560">
        <v>7722100000</v>
      </c>
      <c r="B560" s="16" t="s">
        <v>21737</v>
      </c>
      <c r="C560" s="16" t="e">
        <f>VLOOKUP(Table1[[#This Row],[Node]],Parent!A:B,2,0)</f>
        <v>#N/A</v>
      </c>
      <c r="D560" s="25" t="s">
        <v>19346</v>
      </c>
      <c r="E560" s="26" t="s">
        <v>16544</v>
      </c>
      <c r="F560" s="27" t="s">
        <v>16830</v>
      </c>
      <c r="G560" s="27" t="s">
        <v>16831</v>
      </c>
      <c r="H560" s="27" t="s">
        <v>16881</v>
      </c>
      <c r="I560" s="27" t="s">
        <v>17068</v>
      </c>
      <c r="J560" s="27"/>
      <c r="K560" s="27"/>
      <c r="L560" s="27"/>
      <c r="N560" s="27"/>
      <c r="T560" s="28" t="str">
        <f>LOOKUP(1,1/(Table1[[#This Row],[Level_0]:[Level 15]]&gt;0),(Table1[[#This Row],[Level_0]:[Level 15]]))</f>
        <v>7722100000 - [SPA Admin HR]</v>
      </c>
      <c r="U560" s="22">
        <v>555</v>
      </c>
      <c r="W560" s="13" t="str">
        <f>LOOKUP(1,1/(Table1[[#This Row],[Level_0]:[Level 15]]&gt;0),(Table1[[#This Row],[Level_0]:[Level 15]]))</f>
        <v>7722100000 - [SPA Admin HR]</v>
      </c>
    </row>
    <row r="561" spans="1:23" hidden="1" x14ac:dyDescent="0.25">
      <c r="A561">
        <v>7721140000</v>
      </c>
      <c r="B561" s="16" t="s">
        <v>21736</v>
      </c>
      <c r="C561" s="16" t="e">
        <f>VLOOKUP(Table1[[#This Row],[Node]],Parent!A:B,2,0)</f>
        <v>#N/A</v>
      </c>
      <c r="D561" s="25" t="s">
        <v>19346</v>
      </c>
      <c r="E561" s="26" t="s">
        <v>16544</v>
      </c>
      <c r="F561" s="27" t="s">
        <v>16830</v>
      </c>
      <c r="G561" s="27" t="s">
        <v>16831</v>
      </c>
      <c r="H561" s="27" t="s">
        <v>16881</v>
      </c>
      <c r="I561" s="27" t="s">
        <v>17069</v>
      </c>
      <c r="J561" s="27"/>
      <c r="K561" s="27"/>
      <c r="L561" s="27"/>
      <c r="N561" s="27"/>
      <c r="T561" s="28" t="str">
        <f>LOOKUP(1,1/(Table1[[#This Row],[Level_0]:[Level 15]]&gt;0),(Table1[[#This Row],[Level_0]:[Level 15]]))</f>
        <v>7721140000 - [SPA Global R&amp;D Accruals]</v>
      </c>
      <c r="U561" s="22">
        <v>556</v>
      </c>
      <c r="W561" s="13" t="str">
        <f>LOOKUP(1,1/(Table1[[#This Row],[Level_0]:[Level 15]]&gt;0),(Table1[[#This Row],[Level_0]:[Level 15]]))</f>
        <v>7721140000 - [SPA Global R&amp;D Accruals]</v>
      </c>
    </row>
    <row r="562" spans="1:23" hidden="1" x14ac:dyDescent="0.25">
      <c r="A562">
        <v>7721130001</v>
      </c>
      <c r="B562" s="16" t="s">
        <v>21735</v>
      </c>
      <c r="C562" s="16" t="e">
        <f>VLOOKUP(Table1[[#This Row],[Node]],Parent!A:B,2,0)</f>
        <v>#N/A</v>
      </c>
      <c r="D562" s="25" t="s">
        <v>19346</v>
      </c>
      <c r="E562" s="26" t="s">
        <v>16544</v>
      </c>
      <c r="F562" s="27" t="s">
        <v>16830</v>
      </c>
      <c r="G562" s="27" t="s">
        <v>16831</v>
      </c>
      <c r="H562" s="27" t="s">
        <v>16881</v>
      </c>
      <c r="I562" s="27" t="s">
        <v>17070</v>
      </c>
      <c r="J562" s="27"/>
      <c r="K562" s="27"/>
      <c r="L562" s="27"/>
      <c r="N562" s="27"/>
      <c r="T562" s="28" t="str">
        <f>LOOKUP(1,1/(Table1[[#This Row],[Level_0]:[Level 15]]&gt;0),(Table1[[#This Row],[Level_0]:[Level 15]]))</f>
        <v>7721130001 - [SPA G.R+D other income (VV700)]</v>
      </c>
      <c r="U562" s="22">
        <v>557</v>
      </c>
      <c r="W562" s="13" t="str">
        <f>LOOKUP(1,1/(Table1[[#This Row],[Level_0]:[Level 15]]&gt;0),(Table1[[#This Row],[Level_0]:[Level 15]]))</f>
        <v>7721130001 - [SPA G.R+D other income (VV700)]</v>
      </c>
    </row>
    <row r="563" spans="1:23" hidden="1" x14ac:dyDescent="0.25">
      <c r="A563">
        <v>7721130000</v>
      </c>
      <c r="B563" s="16" t="s">
        <v>21734</v>
      </c>
      <c r="C563" s="16" t="e">
        <f>VLOOKUP(Table1[[#This Row],[Node]],Parent!A:B,2,0)</f>
        <v>#N/A</v>
      </c>
      <c r="D563" s="25" t="s">
        <v>19346</v>
      </c>
      <c r="E563" s="26" t="s">
        <v>16544</v>
      </c>
      <c r="F563" s="27" t="s">
        <v>16830</v>
      </c>
      <c r="G563" s="27" t="s">
        <v>16831</v>
      </c>
      <c r="H563" s="27" t="s">
        <v>16881</v>
      </c>
      <c r="I563" s="27" t="s">
        <v>17071</v>
      </c>
      <c r="J563" s="27"/>
      <c r="K563" s="27"/>
      <c r="L563" s="27"/>
      <c r="N563" s="27"/>
      <c r="T563" s="28" t="str">
        <f>LOOKUP(1,1/(Table1[[#This Row],[Level_0]:[Level 15]]&gt;0),(Table1[[#This Row],[Level_0]:[Level 15]]))</f>
        <v>7721130000 - [SPA Global R+D 3rd Party  reimbursement]</v>
      </c>
      <c r="U563" s="22">
        <v>558</v>
      </c>
      <c r="W563" s="13" t="str">
        <f>LOOKUP(1,1/(Table1[[#This Row],[Level_0]:[Level 15]]&gt;0),(Table1[[#This Row],[Level_0]:[Level 15]]))</f>
        <v>7721130000 - [SPA Global R+D 3rd Party  reimbursement]</v>
      </c>
    </row>
    <row r="564" spans="1:23" hidden="1" x14ac:dyDescent="0.25">
      <c r="A564">
        <v>7721121302</v>
      </c>
      <c r="B564" s="16" t="s">
        <v>21732</v>
      </c>
      <c r="C564" s="16" t="e">
        <f>VLOOKUP(Table1[[#This Row],[Node]],Parent!A:B,2,0)</f>
        <v>#N/A</v>
      </c>
      <c r="D564" s="25" t="s">
        <v>19346</v>
      </c>
      <c r="E564" s="26" t="s">
        <v>16544</v>
      </c>
      <c r="F564" s="27" t="s">
        <v>16830</v>
      </c>
      <c r="G564" s="27" t="s">
        <v>16831</v>
      </c>
      <c r="H564" s="27" t="s">
        <v>16881</v>
      </c>
      <c r="I564" s="27" t="s">
        <v>17072</v>
      </c>
      <c r="J564" s="27"/>
      <c r="K564" s="27"/>
      <c r="L564" s="27"/>
      <c r="N564" s="27"/>
      <c r="T564" s="28" t="str">
        <f>LOOKUP(1,1/(Table1[[#This Row],[Level_0]:[Level 15]]&gt;0),(Table1[[#This Row],[Level_0]:[Level 15]]))</f>
        <v>7721121302 - [SPA ICON Other global R&amp;D]</v>
      </c>
      <c r="U564" s="22">
        <v>559</v>
      </c>
      <c r="W564" s="13" t="str">
        <f>LOOKUP(1,1/(Table1[[#This Row],[Level_0]:[Level 15]]&gt;0),(Table1[[#This Row],[Level_0]:[Level 15]]))</f>
        <v>7721121302 - [SPA ICON Other global R&amp;D]</v>
      </c>
    </row>
    <row r="565" spans="1:23" hidden="1" x14ac:dyDescent="0.25">
      <c r="A565">
        <v>7721121301</v>
      </c>
      <c r="B565" s="16" t="s">
        <v>21731</v>
      </c>
      <c r="C565" s="16" t="e">
        <f>VLOOKUP(Table1[[#This Row],[Node]],Parent!A:B,2,0)</f>
        <v>#N/A</v>
      </c>
      <c r="D565" s="25" t="s">
        <v>19346</v>
      </c>
      <c r="E565" s="26" t="s">
        <v>16544</v>
      </c>
      <c r="F565" s="27" t="s">
        <v>16830</v>
      </c>
      <c r="G565" s="27" t="s">
        <v>16831</v>
      </c>
      <c r="H565" s="27" t="s">
        <v>16881</v>
      </c>
      <c r="I565" s="27" t="s">
        <v>17073</v>
      </c>
      <c r="J565" s="27"/>
      <c r="K565" s="27"/>
      <c r="L565" s="27"/>
      <c r="N565" s="27"/>
      <c r="T565" s="28" t="str">
        <f>LOOKUP(1,1/(Table1[[#This Row],[Level_0]:[Level 15]]&gt;0),(Table1[[#This Row],[Level_0]:[Level 15]]))</f>
        <v>7721121301 - [SPA Patent &amp; Scientific Serv.GOV Charge]</v>
      </c>
      <c r="U565" s="22">
        <v>560</v>
      </c>
      <c r="W565" s="13" t="str">
        <f>LOOKUP(1,1/(Table1[[#This Row],[Level_0]:[Level 15]]&gt;0),(Table1[[#This Row],[Level_0]:[Level 15]]))</f>
        <v>7721121301 - [SPA Patent &amp; Scientific Serv.GOV Charge]</v>
      </c>
    </row>
    <row r="566" spans="1:23" hidden="1" x14ac:dyDescent="0.25">
      <c r="A566">
        <v>7721121300</v>
      </c>
      <c r="B566" s="16" t="s">
        <v>21730</v>
      </c>
      <c r="C566" s="16" t="e">
        <f>VLOOKUP(Table1[[#This Row],[Node]],Parent!A:B,2,0)</f>
        <v>#N/A</v>
      </c>
      <c r="D566" s="25" t="s">
        <v>19346</v>
      </c>
      <c r="E566" s="26" t="s">
        <v>16544</v>
      </c>
      <c r="F566" s="27" t="s">
        <v>16830</v>
      </c>
      <c r="G566" s="27" t="s">
        <v>16831</v>
      </c>
      <c r="H566" s="27" t="s">
        <v>16881</v>
      </c>
      <c r="I566" s="27" t="s">
        <v>17074</v>
      </c>
      <c r="J566" s="27"/>
      <c r="K566" s="27"/>
      <c r="L566" s="27"/>
      <c r="N566" s="27"/>
      <c r="T566" s="28" t="str">
        <f>LOOKUP(1,1/(Table1[[#This Row],[Level_0]:[Level 15]]&gt;0),(Table1[[#This Row],[Level_0]:[Level 15]]))</f>
        <v>7721121300 - [SPA Global R&amp;D Expenses]</v>
      </c>
      <c r="U566" s="22">
        <v>561</v>
      </c>
      <c r="W566" s="13" t="str">
        <f>LOOKUP(1,1/(Table1[[#This Row],[Level_0]:[Level 15]]&gt;0),(Table1[[#This Row],[Level_0]:[Level 15]]))</f>
        <v>7721121300 - [SPA Global R&amp;D Expenses]</v>
      </c>
    </row>
    <row r="567" spans="1:23" hidden="1" x14ac:dyDescent="0.25">
      <c r="A567">
        <v>7721121200</v>
      </c>
      <c r="B567" s="16" t="s">
        <v>21729</v>
      </c>
      <c r="C567" s="16" t="e">
        <f>VLOOKUP(Table1[[#This Row],[Node]],Parent!A:B,2,0)</f>
        <v>#N/A</v>
      </c>
      <c r="D567" s="25" t="s">
        <v>19346</v>
      </c>
      <c r="E567" s="26" t="s">
        <v>16544</v>
      </c>
      <c r="F567" s="27" t="s">
        <v>16830</v>
      </c>
      <c r="G567" s="27" t="s">
        <v>16831</v>
      </c>
      <c r="H567" s="27" t="s">
        <v>16881</v>
      </c>
      <c r="I567" s="27" t="s">
        <v>17075</v>
      </c>
      <c r="J567" s="27"/>
      <c r="K567" s="27"/>
      <c r="L567" s="27"/>
      <c r="N567" s="27"/>
      <c r="T567" s="28" t="str">
        <f>LOOKUP(1,1/(Table1[[#This Row],[Level_0]:[Level 15]]&gt;0),(Table1[[#This Row],[Level_0]:[Level 15]]))</f>
        <v>7721121200 - [SPA Samples.- global R&amp;D]</v>
      </c>
      <c r="U567" s="22">
        <v>562</v>
      </c>
      <c r="W567" s="13" t="str">
        <f>LOOKUP(1,1/(Table1[[#This Row],[Level_0]:[Level 15]]&gt;0),(Table1[[#This Row],[Level_0]:[Level 15]]))</f>
        <v>7721121200 - [SPA Samples.- global R&amp;D]</v>
      </c>
    </row>
    <row r="568" spans="1:23" hidden="1" x14ac:dyDescent="0.25">
      <c r="A568">
        <v>7721121100</v>
      </c>
      <c r="B568" s="16">
        <v>0</v>
      </c>
      <c r="C568" s="16" t="e">
        <f>VLOOKUP(Table1[[#This Row],[Node]],Parent!A:B,2,0)</f>
        <v>#N/A</v>
      </c>
      <c r="D568" s="25" t="s">
        <v>19346</v>
      </c>
      <c r="E568" s="26" t="s">
        <v>16544</v>
      </c>
      <c r="F568" s="27" t="s">
        <v>16830</v>
      </c>
      <c r="G568" s="27" t="s">
        <v>16831</v>
      </c>
      <c r="H568" s="27" t="s">
        <v>16881</v>
      </c>
      <c r="I568" s="27" t="s">
        <v>17076</v>
      </c>
      <c r="J568" s="27"/>
      <c r="K568" s="27"/>
      <c r="L568" s="27"/>
      <c r="N568" s="27"/>
      <c r="T568" s="28" t="str">
        <f>LOOKUP(1,1/(Table1[[#This Row],[Level_0]:[Level 15]]&gt;0),(Table1[[#This Row],[Level_0]:[Level 15]]))</f>
        <v>7721121100 - [0]</v>
      </c>
      <c r="U568" s="22">
        <v>563</v>
      </c>
      <c r="W568" s="13" t="str">
        <f>LOOKUP(1,1/(Table1[[#This Row],[Level_0]:[Level 15]]&gt;0),(Table1[[#This Row],[Level_0]:[Level 15]]))</f>
        <v>7721121100 - [0]</v>
      </c>
    </row>
    <row r="569" spans="1:23" hidden="1" x14ac:dyDescent="0.25">
      <c r="A569">
        <v>7721110000</v>
      </c>
      <c r="B569" s="16" t="s">
        <v>21728</v>
      </c>
      <c r="C569" s="16" t="e">
        <f>VLOOKUP(Table1[[#This Row],[Node]],Parent!A:B,2,0)</f>
        <v>#N/A</v>
      </c>
      <c r="D569" s="25" t="s">
        <v>19346</v>
      </c>
      <c r="E569" s="26" t="s">
        <v>16544</v>
      </c>
      <c r="F569" s="27" t="s">
        <v>16830</v>
      </c>
      <c r="G569" s="27" t="s">
        <v>16831</v>
      </c>
      <c r="H569" s="27" t="s">
        <v>16881</v>
      </c>
      <c r="I569" s="27" t="s">
        <v>17077</v>
      </c>
      <c r="J569" s="27"/>
      <c r="K569" s="27"/>
      <c r="L569" s="27"/>
      <c r="N569" s="27"/>
      <c r="T569" s="28" t="str">
        <f>LOOKUP(1,1/(Table1[[#This Row],[Level_0]:[Level 15]]&gt;0),(Table1[[#This Row],[Level_0]:[Level 15]]))</f>
        <v>7721110000 - [SPA Local R+D 3rd Party reimbursement]</v>
      </c>
      <c r="U569" s="22">
        <v>564</v>
      </c>
      <c r="W569" s="13" t="str">
        <f>LOOKUP(1,1/(Table1[[#This Row],[Level_0]:[Level 15]]&gt;0),(Table1[[#This Row],[Level_0]:[Level 15]]))</f>
        <v>7721110000 - [SPA Local R+D 3rd Party reimbursement]</v>
      </c>
    </row>
    <row r="570" spans="1:23" hidden="1" x14ac:dyDescent="0.25">
      <c r="A570">
        <v>7721101308</v>
      </c>
      <c r="B570" s="16" t="s">
        <v>21726</v>
      </c>
      <c r="C570" s="16" t="e">
        <f>VLOOKUP(Table1[[#This Row],[Node]],Parent!A:B,2,0)</f>
        <v>#N/A</v>
      </c>
      <c r="D570" s="25" t="s">
        <v>19346</v>
      </c>
      <c r="E570" s="26" t="s">
        <v>16544</v>
      </c>
      <c r="F570" s="27" t="s">
        <v>16830</v>
      </c>
      <c r="G570" s="27" t="s">
        <v>16831</v>
      </c>
      <c r="H570" s="27" t="s">
        <v>16881</v>
      </c>
      <c r="I570" s="27" t="s">
        <v>17078</v>
      </c>
      <c r="J570" s="27"/>
      <c r="K570" s="27"/>
      <c r="L570" s="27"/>
      <c r="N570" s="27"/>
      <c r="T570" s="28" t="str">
        <f>LOOKUP(1,1/(Table1[[#This Row],[Level_0]:[Level 15]]&gt;0),(Table1[[#This Row],[Level_0]:[Level 15]]))</f>
        <v>7721101308 - [SPA Patent and Scientific Services]</v>
      </c>
      <c r="U570" s="22">
        <v>565</v>
      </c>
      <c r="W570" s="13" t="str">
        <f>LOOKUP(1,1/(Table1[[#This Row],[Level_0]:[Level 15]]&gt;0),(Table1[[#This Row],[Level_0]:[Level 15]]))</f>
        <v>7721101308 - [SPA Patent and Scientific Services]</v>
      </c>
    </row>
    <row r="571" spans="1:23" hidden="1" x14ac:dyDescent="0.25">
      <c r="A571">
        <v>7721101307</v>
      </c>
      <c r="B571" s="16" t="s">
        <v>21725</v>
      </c>
      <c r="C571" s="16" t="e">
        <f>VLOOKUP(Table1[[#This Row],[Node]],Parent!A:B,2,0)</f>
        <v>#N/A</v>
      </c>
      <c r="D571" s="25" t="s">
        <v>19346</v>
      </c>
      <c r="E571" s="26" t="s">
        <v>16544</v>
      </c>
      <c r="F571" s="27" t="s">
        <v>16830</v>
      </c>
      <c r="G571" s="27" t="s">
        <v>16831</v>
      </c>
      <c r="H571" s="27" t="s">
        <v>16881</v>
      </c>
      <c r="I571" s="27" t="s">
        <v>17079</v>
      </c>
      <c r="J571" s="27"/>
      <c r="K571" s="27"/>
      <c r="L571" s="27"/>
      <c r="N571" s="27"/>
      <c r="T571" s="28" t="str">
        <f>LOOKUP(1,1/(Table1[[#This Row],[Level_0]:[Level 15]]&gt;0),(Table1[[#This Row],[Level_0]:[Level 15]]))</f>
        <v>7721101307 - [SPA R&amp;D local - Other]</v>
      </c>
      <c r="U571" s="22">
        <v>566</v>
      </c>
      <c r="W571" s="13" t="str">
        <f>LOOKUP(1,1/(Table1[[#This Row],[Level_0]:[Level 15]]&gt;0),(Table1[[#This Row],[Level_0]:[Level 15]]))</f>
        <v>7721101307 - [SPA R&amp;D local - Other]</v>
      </c>
    </row>
    <row r="572" spans="1:23" hidden="1" x14ac:dyDescent="0.25">
      <c r="A572">
        <v>7721101306</v>
      </c>
      <c r="B572" s="16" t="s">
        <v>21724</v>
      </c>
      <c r="C572" s="16" t="e">
        <f>VLOOKUP(Table1[[#This Row],[Node]],Parent!A:B,2,0)</f>
        <v>#N/A</v>
      </c>
      <c r="D572" s="25" t="s">
        <v>19346</v>
      </c>
      <c r="E572" s="26" t="s">
        <v>16544</v>
      </c>
      <c r="F572" s="27" t="s">
        <v>16830</v>
      </c>
      <c r="G572" s="27" t="s">
        <v>16831</v>
      </c>
      <c r="H572" s="27" t="s">
        <v>16881</v>
      </c>
      <c r="I572" s="27" t="s">
        <v>17080</v>
      </c>
      <c r="J572" s="27"/>
      <c r="K572" s="27"/>
      <c r="L572" s="27"/>
      <c r="N572" s="27"/>
      <c r="T572" s="28" t="str">
        <f>LOOKUP(1,1/(Table1[[#This Row],[Level_0]:[Level 15]]&gt;0),(Table1[[#This Row],[Level_0]:[Level 15]]))</f>
        <v>7721101306 - [SPA R&amp;D local - T&amp;E]</v>
      </c>
      <c r="U572" s="22">
        <v>567</v>
      </c>
      <c r="W572" s="13" t="str">
        <f>LOOKUP(1,1/(Table1[[#This Row],[Level_0]:[Level 15]]&gt;0),(Table1[[#This Row],[Level_0]:[Level 15]]))</f>
        <v>7721101306 - [SPA R&amp;D local - T&amp;E]</v>
      </c>
    </row>
    <row r="573" spans="1:23" hidden="1" x14ac:dyDescent="0.25">
      <c r="A573">
        <v>7721101305</v>
      </c>
      <c r="B573" s="16" t="s">
        <v>21723</v>
      </c>
      <c r="C573" s="16" t="e">
        <f>VLOOKUP(Table1[[#This Row],[Node]],Parent!A:B,2,0)</f>
        <v>#N/A</v>
      </c>
      <c r="D573" s="25" t="s">
        <v>19346</v>
      </c>
      <c r="E573" s="26" t="s">
        <v>16544</v>
      </c>
      <c r="F573" s="27" t="s">
        <v>16830</v>
      </c>
      <c r="G573" s="27" t="s">
        <v>16831</v>
      </c>
      <c r="H573" s="27" t="s">
        <v>16881</v>
      </c>
      <c r="I573" s="27" t="s">
        <v>17081</v>
      </c>
      <c r="J573" s="27"/>
      <c r="K573" s="27"/>
      <c r="L573" s="27"/>
      <c r="N573" s="27"/>
      <c r="T573" s="28" t="str">
        <f>LOOKUP(1,1/(Table1[[#This Row],[Level_0]:[Level 15]]&gt;0),(Table1[[#This Row],[Level_0]:[Level 15]]))</f>
        <v>7721101305 - [SPA R&amp;D local - Serv.&amp;Consult.]</v>
      </c>
      <c r="U573" s="22">
        <v>568</v>
      </c>
      <c r="W573" s="13" t="str">
        <f>LOOKUP(1,1/(Table1[[#This Row],[Level_0]:[Level 15]]&gt;0),(Table1[[#This Row],[Level_0]:[Level 15]]))</f>
        <v>7721101305 - [SPA R&amp;D local - Serv.&amp;Consult.]</v>
      </c>
    </row>
    <row r="574" spans="1:23" hidden="1" x14ac:dyDescent="0.25">
      <c r="A574">
        <v>7721101304</v>
      </c>
      <c r="B574" s="16" t="s">
        <v>21722</v>
      </c>
      <c r="C574" s="16" t="e">
        <f>VLOOKUP(Table1[[#This Row],[Node]],Parent!A:B,2,0)</f>
        <v>#N/A</v>
      </c>
      <c r="D574" s="25" t="s">
        <v>19346</v>
      </c>
      <c r="E574" s="26" t="s">
        <v>16544</v>
      </c>
      <c r="F574" s="27" t="s">
        <v>16830</v>
      </c>
      <c r="G574" s="27" t="s">
        <v>16831</v>
      </c>
      <c r="H574" s="27" t="s">
        <v>16881</v>
      </c>
      <c r="I574" s="27" t="s">
        <v>17082</v>
      </c>
      <c r="J574" s="27"/>
      <c r="K574" s="27"/>
      <c r="L574" s="27"/>
      <c r="N574" s="27"/>
      <c r="T574" s="28" t="str">
        <f>LOOKUP(1,1/(Table1[[#This Row],[Level_0]:[Level 15]]&gt;0),(Table1[[#This Row],[Level_0]:[Level 15]]))</f>
        <v>7721101304 - [SPA R&amp;D local - IT &amp; Teleco.]</v>
      </c>
      <c r="U574" s="22">
        <v>569</v>
      </c>
      <c r="W574" s="13" t="str">
        <f>LOOKUP(1,1/(Table1[[#This Row],[Level_0]:[Level 15]]&gt;0),(Table1[[#This Row],[Level_0]:[Level 15]]))</f>
        <v>7721101304 - [SPA R&amp;D local - IT &amp; Teleco.]</v>
      </c>
    </row>
    <row r="575" spans="1:23" hidden="1" x14ac:dyDescent="0.25">
      <c r="A575">
        <v>7721101303</v>
      </c>
      <c r="B575" s="16" t="s">
        <v>21721</v>
      </c>
      <c r="C575" s="16" t="e">
        <f>VLOOKUP(Table1[[#This Row],[Node]],Parent!A:B,2,0)</f>
        <v>#N/A</v>
      </c>
      <c r="D575" s="25" t="s">
        <v>19346</v>
      </c>
      <c r="E575" s="26" t="s">
        <v>16544</v>
      </c>
      <c r="F575" s="27" t="s">
        <v>16830</v>
      </c>
      <c r="G575" s="27" t="s">
        <v>16831</v>
      </c>
      <c r="H575" s="27" t="s">
        <v>16881</v>
      </c>
      <c r="I575" s="27" t="s">
        <v>17083</v>
      </c>
      <c r="J575" s="27"/>
      <c r="K575" s="27"/>
      <c r="L575" s="27"/>
      <c r="N575" s="27"/>
      <c r="T575" s="28" t="str">
        <f>LOOKUP(1,1/(Table1[[#This Row],[Level_0]:[Level 15]]&gt;0),(Table1[[#This Row],[Level_0]:[Level 15]]))</f>
        <v>7721101303 - [SPA R&amp;D local - Prom.&amp;Advert.]</v>
      </c>
      <c r="U575" s="22">
        <v>570</v>
      </c>
      <c r="W575" s="13" t="str">
        <f>LOOKUP(1,1/(Table1[[#This Row],[Level_0]:[Level 15]]&gt;0),(Table1[[#This Row],[Level_0]:[Level 15]]))</f>
        <v>7721101303 - [SPA R&amp;D local - Prom.&amp;Advert.]</v>
      </c>
    </row>
    <row r="576" spans="1:23" hidden="1" x14ac:dyDescent="0.25">
      <c r="A576">
        <v>7721101302</v>
      </c>
      <c r="B576" s="16" t="s">
        <v>21720</v>
      </c>
      <c r="C576" s="16" t="e">
        <f>VLOOKUP(Table1[[#This Row],[Node]],Parent!A:B,2,0)</f>
        <v>#N/A</v>
      </c>
      <c r="D576" s="25" t="s">
        <v>19346</v>
      </c>
      <c r="E576" s="26" t="s">
        <v>16544</v>
      </c>
      <c r="F576" s="27" t="s">
        <v>16830</v>
      </c>
      <c r="G576" s="27" t="s">
        <v>16831</v>
      </c>
      <c r="H576" s="27" t="s">
        <v>16881</v>
      </c>
      <c r="I576" s="27" t="s">
        <v>17084</v>
      </c>
      <c r="J576" s="27"/>
      <c r="K576" s="27"/>
      <c r="L576" s="27"/>
      <c r="N576" s="27"/>
      <c r="T576" s="28" t="str">
        <f>LOOKUP(1,1/(Table1[[#This Row],[Level_0]:[Level 15]]&gt;0),(Table1[[#This Row],[Level_0]:[Level 15]]))</f>
        <v>7721101302 - [SPA R&amp;D local - Depreciation]</v>
      </c>
      <c r="U576" s="22">
        <v>571</v>
      </c>
      <c r="W576" s="13" t="str">
        <f>LOOKUP(1,1/(Table1[[#This Row],[Level_0]:[Level 15]]&gt;0),(Table1[[#This Row],[Level_0]:[Level 15]]))</f>
        <v>7721101302 - [SPA R&amp;D local - Depreciation]</v>
      </c>
    </row>
    <row r="577" spans="1:23" hidden="1" x14ac:dyDescent="0.25">
      <c r="A577">
        <v>7721101301</v>
      </c>
      <c r="B577" s="16" t="s">
        <v>21719</v>
      </c>
      <c r="C577" s="16" t="e">
        <f>VLOOKUP(Table1[[#This Row],[Node]],Parent!A:B,2,0)</f>
        <v>#N/A</v>
      </c>
      <c r="D577" s="25" t="s">
        <v>19346</v>
      </c>
      <c r="E577" s="26" t="s">
        <v>16544</v>
      </c>
      <c r="F577" s="27" t="s">
        <v>16830</v>
      </c>
      <c r="G577" s="27" t="s">
        <v>16831</v>
      </c>
      <c r="H577" s="27" t="s">
        <v>16881</v>
      </c>
      <c r="I577" s="27" t="s">
        <v>17085</v>
      </c>
      <c r="J577" s="27"/>
      <c r="K577" s="27"/>
      <c r="L577" s="27"/>
      <c r="N577" s="27"/>
      <c r="T577" s="28" t="str">
        <f>LOOKUP(1,1/(Table1[[#This Row],[Level_0]:[Level 15]]&gt;0),(Table1[[#This Row],[Level_0]:[Level 15]]))</f>
        <v>7721101301 - [SPA R&amp;D local - Personnel]</v>
      </c>
      <c r="U577" s="22">
        <v>572</v>
      </c>
      <c r="W577" s="13" t="str">
        <f>LOOKUP(1,1/(Table1[[#This Row],[Level_0]:[Level 15]]&gt;0),(Table1[[#This Row],[Level_0]:[Level 15]]))</f>
        <v>7721101301 - [SPA R&amp;D local - Personnel]</v>
      </c>
    </row>
    <row r="578" spans="1:23" hidden="1" x14ac:dyDescent="0.25">
      <c r="A578">
        <v>7721101300</v>
      </c>
      <c r="B578" s="16" t="s">
        <v>21718</v>
      </c>
      <c r="C578" s="16" t="e">
        <f>VLOOKUP(Table1[[#This Row],[Node]],Parent!A:B,2,0)</f>
        <v>#N/A</v>
      </c>
      <c r="D578" s="25" t="s">
        <v>19346</v>
      </c>
      <c r="E578" s="26" t="s">
        <v>16544</v>
      </c>
      <c r="F578" s="27" t="s">
        <v>16830</v>
      </c>
      <c r="G578" s="27" t="s">
        <v>16831</v>
      </c>
      <c r="H578" s="27" t="s">
        <v>16881</v>
      </c>
      <c r="I578" s="27" t="s">
        <v>17086</v>
      </c>
      <c r="J578" s="27"/>
      <c r="K578" s="27"/>
      <c r="L578" s="27"/>
      <c r="N578" s="27"/>
      <c r="T578" s="28" t="str">
        <f>LOOKUP(1,1/(Table1[[#This Row],[Level_0]:[Level 15]]&gt;0),(Table1[[#This Row],[Level_0]:[Level 15]]))</f>
        <v>7721101300 - [SPA R&amp;D Expenses (Local)]</v>
      </c>
      <c r="U578" s="22">
        <v>573</v>
      </c>
      <c r="W578" s="13" t="str">
        <f>LOOKUP(1,1/(Table1[[#This Row],[Level_0]:[Level 15]]&gt;0),(Table1[[#This Row],[Level_0]:[Level 15]]))</f>
        <v>7721101300 - [SPA R&amp;D Expenses (Local)]</v>
      </c>
    </row>
    <row r="579" spans="1:23" hidden="1" x14ac:dyDescent="0.25">
      <c r="A579">
        <v>7721101100</v>
      </c>
      <c r="B579" s="16" t="s">
        <v>21717</v>
      </c>
      <c r="C579" s="16" t="e">
        <f>VLOOKUP(Table1[[#This Row],[Node]],Parent!A:B,2,0)</f>
        <v>#N/A</v>
      </c>
      <c r="D579" s="25" t="s">
        <v>19346</v>
      </c>
      <c r="E579" s="26" t="s">
        <v>16544</v>
      </c>
      <c r="F579" s="27" t="s">
        <v>16830</v>
      </c>
      <c r="G579" s="27" t="s">
        <v>16831</v>
      </c>
      <c r="H579" s="27" t="s">
        <v>16881</v>
      </c>
      <c r="I579" s="27" t="s">
        <v>17087</v>
      </c>
      <c r="J579" s="27"/>
      <c r="K579" s="27"/>
      <c r="L579" s="27"/>
      <c r="N579" s="27"/>
      <c r="T579" s="28" t="str">
        <f>LOOKUP(1,1/(Table1[[#This Row],[Level_0]:[Level 15]]&gt;0),(Table1[[#This Row],[Level_0]:[Level 15]]))</f>
        <v>7721101100 - [SPA License and royalty exp. - local R&amp;D]</v>
      </c>
      <c r="U579" s="22">
        <v>574</v>
      </c>
      <c r="W579" s="13" t="str">
        <f>LOOKUP(1,1/(Table1[[#This Row],[Level_0]:[Level 15]]&gt;0),(Table1[[#This Row],[Level_0]:[Level 15]]))</f>
        <v>7721101100 - [SPA License and royalty exp. - local R&amp;D]</v>
      </c>
    </row>
    <row r="580" spans="1:23" hidden="1" x14ac:dyDescent="0.25">
      <c r="A580">
        <v>7720140000</v>
      </c>
      <c r="B580" s="16" t="s">
        <v>21707</v>
      </c>
      <c r="C580" s="16" t="e">
        <f>VLOOKUP(Table1[[#This Row],[Node]],Parent!A:B,2,0)</f>
        <v>#N/A</v>
      </c>
      <c r="D580" s="25" t="s">
        <v>19346</v>
      </c>
      <c r="E580" s="26" t="s">
        <v>16544</v>
      </c>
      <c r="F580" s="27" t="s">
        <v>16830</v>
      </c>
      <c r="G580" s="27" t="s">
        <v>16831</v>
      </c>
      <c r="H580" s="27" t="s">
        <v>16881</v>
      </c>
      <c r="I580" s="27" t="s">
        <v>17088</v>
      </c>
      <c r="J580" s="27"/>
      <c r="K580" s="27"/>
      <c r="L580" s="27"/>
      <c r="N580" s="27"/>
      <c r="T580" s="28" t="str">
        <f>LOOKUP(1,1/(Table1[[#This Row],[Level_0]:[Level 15]]&gt;0),(Table1[[#This Row],[Level_0]:[Level 15]]))</f>
        <v>7720140000 - [SPA Other M&amp;S]</v>
      </c>
      <c r="U580" s="22">
        <v>575</v>
      </c>
      <c r="W580" s="13" t="str">
        <f>LOOKUP(1,1/(Table1[[#This Row],[Level_0]:[Level 15]]&gt;0),(Table1[[#This Row],[Level_0]:[Level 15]]))</f>
        <v>7720140000 - [SPA Other M&amp;S]</v>
      </c>
    </row>
    <row r="581" spans="1:23" hidden="1" x14ac:dyDescent="0.25">
      <c r="A581">
        <v>7720130007</v>
      </c>
      <c r="B581" s="16" t="s">
        <v>21705</v>
      </c>
      <c r="C581" s="16" t="e">
        <f>VLOOKUP(Table1[[#This Row],[Node]],Parent!A:B,2,0)</f>
        <v>#N/A</v>
      </c>
      <c r="D581" s="25" t="s">
        <v>19346</v>
      </c>
      <c r="E581" s="26" t="s">
        <v>16544</v>
      </c>
      <c r="F581" s="27" t="s">
        <v>16830</v>
      </c>
      <c r="G581" s="27" t="s">
        <v>16831</v>
      </c>
      <c r="H581" s="27" t="s">
        <v>16881</v>
      </c>
      <c r="I581" s="27" t="s">
        <v>17089</v>
      </c>
      <c r="J581" s="27"/>
      <c r="K581" s="27"/>
      <c r="L581" s="27"/>
      <c r="N581" s="27"/>
      <c r="T581" s="28" t="str">
        <f>LOOKUP(1,1/(Table1[[#This Row],[Level_0]:[Level 15]]&gt;0),(Table1[[#This Row],[Level_0]:[Level 15]]))</f>
        <v>7720130007 - [SPA Internal marketing - Other]</v>
      </c>
      <c r="U581" s="22">
        <v>576</v>
      </c>
      <c r="W581" s="13" t="str">
        <f>LOOKUP(1,1/(Table1[[#This Row],[Level_0]:[Level 15]]&gt;0),(Table1[[#This Row],[Level_0]:[Level 15]]))</f>
        <v>7720130007 - [SPA Internal marketing - Other]</v>
      </c>
    </row>
    <row r="582" spans="1:23" hidden="1" x14ac:dyDescent="0.25">
      <c r="A582">
        <v>7720130006</v>
      </c>
      <c r="B582" s="16" t="s">
        <v>21704</v>
      </c>
      <c r="C582" s="16" t="e">
        <f>VLOOKUP(Table1[[#This Row],[Node]],Parent!A:B,2,0)</f>
        <v>#N/A</v>
      </c>
      <c r="D582" s="25" t="s">
        <v>19346</v>
      </c>
      <c r="E582" s="26" t="s">
        <v>16544</v>
      </c>
      <c r="F582" s="27" t="s">
        <v>16830</v>
      </c>
      <c r="G582" s="27" t="s">
        <v>16831</v>
      </c>
      <c r="H582" s="27" t="s">
        <v>16881</v>
      </c>
      <c r="I582" s="27" t="s">
        <v>17090</v>
      </c>
      <c r="J582" s="27"/>
      <c r="K582" s="27"/>
      <c r="L582" s="27"/>
      <c r="N582" s="27"/>
      <c r="T582" s="28" t="str">
        <f>LOOKUP(1,1/(Table1[[#This Row],[Level_0]:[Level 15]]&gt;0),(Table1[[#This Row],[Level_0]:[Level 15]]))</f>
        <v>7720130006 - [SPA Internal marketing - T&amp;E]</v>
      </c>
      <c r="U582" s="22">
        <v>577</v>
      </c>
      <c r="W582" s="13" t="str">
        <f>LOOKUP(1,1/(Table1[[#This Row],[Level_0]:[Level 15]]&gt;0),(Table1[[#This Row],[Level_0]:[Level 15]]))</f>
        <v>7720130006 - [SPA Internal marketing - T&amp;E]</v>
      </c>
    </row>
    <row r="583" spans="1:23" hidden="1" x14ac:dyDescent="0.25">
      <c r="A583">
        <v>7720130005</v>
      </c>
      <c r="B583" s="16" t="s">
        <v>21703</v>
      </c>
      <c r="C583" s="16" t="e">
        <f>VLOOKUP(Table1[[#This Row],[Node]],Parent!A:B,2,0)</f>
        <v>#N/A</v>
      </c>
      <c r="D583" s="25" t="s">
        <v>19346</v>
      </c>
      <c r="E583" s="26" t="s">
        <v>16544</v>
      </c>
      <c r="F583" s="27" t="s">
        <v>16830</v>
      </c>
      <c r="G583" s="27" t="s">
        <v>16831</v>
      </c>
      <c r="H583" s="27" t="s">
        <v>16881</v>
      </c>
      <c r="I583" s="27" t="s">
        <v>17091</v>
      </c>
      <c r="J583" s="27"/>
      <c r="K583" s="27"/>
      <c r="L583" s="27"/>
      <c r="N583" s="27"/>
      <c r="T583" s="28" t="str">
        <f>LOOKUP(1,1/(Table1[[#This Row],[Level_0]:[Level 15]]&gt;0),(Table1[[#This Row],[Level_0]:[Level 15]]))</f>
        <v>7720130005 - [SPA Internal marketing - Serv.&amp;Consult.]</v>
      </c>
      <c r="U583" s="22">
        <v>578</v>
      </c>
      <c r="W583" s="13" t="str">
        <f>LOOKUP(1,1/(Table1[[#This Row],[Level_0]:[Level 15]]&gt;0),(Table1[[#This Row],[Level_0]:[Level 15]]))</f>
        <v>7720130005 - [SPA Internal marketing - Serv.&amp;Consult.]</v>
      </c>
    </row>
    <row r="584" spans="1:23" hidden="1" x14ac:dyDescent="0.25">
      <c r="A584">
        <v>7720130004</v>
      </c>
      <c r="B584" s="16" t="s">
        <v>21702</v>
      </c>
      <c r="C584" s="16" t="e">
        <f>VLOOKUP(Table1[[#This Row],[Node]],Parent!A:B,2,0)</f>
        <v>#N/A</v>
      </c>
      <c r="D584" s="25" t="s">
        <v>19346</v>
      </c>
      <c r="E584" s="26" t="s">
        <v>16544</v>
      </c>
      <c r="F584" s="27" t="s">
        <v>16830</v>
      </c>
      <c r="G584" s="27" t="s">
        <v>16831</v>
      </c>
      <c r="H584" s="27" t="s">
        <v>16881</v>
      </c>
      <c r="I584" s="27" t="s">
        <v>17092</v>
      </c>
      <c r="J584" s="27"/>
      <c r="K584" s="27"/>
      <c r="L584" s="27"/>
      <c r="N584" s="27"/>
      <c r="T584" s="28" t="str">
        <f>LOOKUP(1,1/(Table1[[#This Row],[Level_0]:[Level 15]]&gt;0),(Table1[[#This Row],[Level_0]:[Level 15]]))</f>
        <v>7720130004 - [SPA Internal marketing - IT &amp; Teleco.]</v>
      </c>
      <c r="U584" s="22">
        <v>579</v>
      </c>
      <c r="W584" s="13" t="str">
        <f>LOOKUP(1,1/(Table1[[#This Row],[Level_0]:[Level 15]]&gt;0),(Table1[[#This Row],[Level_0]:[Level 15]]))</f>
        <v>7720130004 - [SPA Internal marketing - IT &amp; Teleco.]</v>
      </c>
    </row>
    <row r="585" spans="1:23" hidden="1" x14ac:dyDescent="0.25">
      <c r="A585">
        <v>7720130003</v>
      </c>
      <c r="B585" s="16" t="s">
        <v>21701</v>
      </c>
      <c r="C585" s="16" t="e">
        <f>VLOOKUP(Table1[[#This Row],[Node]],Parent!A:B,2,0)</f>
        <v>#N/A</v>
      </c>
      <c r="D585" s="25" t="s">
        <v>19346</v>
      </c>
      <c r="E585" s="26" t="s">
        <v>16544</v>
      </c>
      <c r="F585" s="27" t="s">
        <v>16830</v>
      </c>
      <c r="G585" s="27" t="s">
        <v>16831</v>
      </c>
      <c r="H585" s="27" t="s">
        <v>16881</v>
      </c>
      <c r="I585" s="27" t="s">
        <v>17093</v>
      </c>
      <c r="J585" s="27"/>
      <c r="K585" s="27"/>
      <c r="L585" s="27"/>
      <c r="N585" s="27"/>
      <c r="T585" s="28" t="str">
        <f>LOOKUP(1,1/(Table1[[#This Row],[Level_0]:[Level 15]]&gt;0),(Table1[[#This Row],[Level_0]:[Level 15]]))</f>
        <v>7720130003 - [SPA Internal marketing - Prom.&amp;Advert.]</v>
      </c>
      <c r="U585" s="22">
        <v>580</v>
      </c>
      <c r="W585" s="13" t="str">
        <f>LOOKUP(1,1/(Table1[[#This Row],[Level_0]:[Level 15]]&gt;0),(Table1[[#This Row],[Level_0]:[Level 15]]))</f>
        <v>7720130003 - [SPA Internal marketing - Prom.&amp;Advert.]</v>
      </c>
    </row>
    <row r="586" spans="1:23" hidden="1" x14ac:dyDescent="0.25">
      <c r="A586">
        <v>7720130002</v>
      </c>
      <c r="B586" s="16" t="s">
        <v>21700</v>
      </c>
      <c r="C586" s="16" t="e">
        <f>VLOOKUP(Table1[[#This Row],[Node]],Parent!A:B,2,0)</f>
        <v>#N/A</v>
      </c>
      <c r="D586" s="25" t="s">
        <v>19346</v>
      </c>
      <c r="E586" s="26" t="s">
        <v>16544</v>
      </c>
      <c r="F586" s="27" t="s">
        <v>16830</v>
      </c>
      <c r="G586" s="27" t="s">
        <v>16831</v>
      </c>
      <c r="H586" s="27" t="s">
        <v>16881</v>
      </c>
      <c r="I586" s="27" t="s">
        <v>17094</v>
      </c>
      <c r="J586" s="27"/>
      <c r="K586" s="27"/>
      <c r="L586" s="27"/>
      <c r="N586" s="27"/>
      <c r="T586" s="28" t="str">
        <f>LOOKUP(1,1/(Table1[[#This Row],[Level_0]:[Level 15]]&gt;0),(Table1[[#This Row],[Level_0]:[Level 15]]))</f>
        <v>7720130002 - [SPA Internal marketing - Depreciation]</v>
      </c>
      <c r="U586" s="22">
        <v>581</v>
      </c>
      <c r="W586" s="13" t="str">
        <f>LOOKUP(1,1/(Table1[[#This Row],[Level_0]:[Level 15]]&gt;0),(Table1[[#This Row],[Level_0]:[Level 15]]))</f>
        <v>7720130002 - [SPA Internal marketing - Depreciation]</v>
      </c>
    </row>
    <row r="587" spans="1:23" hidden="1" x14ac:dyDescent="0.25">
      <c r="A587">
        <v>7720130001</v>
      </c>
      <c r="B587" s="16" t="s">
        <v>21699</v>
      </c>
      <c r="C587" s="16" t="e">
        <f>VLOOKUP(Table1[[#This Row],[Node]],Parent!A:B,2,0)</f>
        <v>#N/A</v>
      </c>
      <c r="D587" s="25" t="s">
        <v>19346</v>
      </c>
      <c r="E587" s="26" t="s">
        <v>16544</v>
      </c>
      <c r="F587" s="27" t="s">
        <v>16830</v>
      </c>
      <c r="G587" s="27" t="s">
        <v>16831</v>
      </c>
      <c r="H587" s="27" t="s">
        <v>16881</v>
      </c>
      <c r="I587" s="27" t="s">
        <v>17095</v>
      </c>
      <c r="J587" s="27"/>
      <c r="K587" s="27"/>
      <c r="L587" s="27"/>
      <c r="N587" s="27"/>
      <c r="T587" s="28" t="str">
        <f>LOOKUP(1,1/(Table1[[#This Row],[Level_0]:[Level 15]]&gt;0),(Table1[[#This Row],[Level_0]:[Level 15]]))</f>
        <v>7720130001 - [SPA Internal marketing - Personnel]</v>
      </c>
      <c r="U587" s="22">
        <v>582</v>
      </c>
      <c r="W587" s="13" t="str">
        <f>LOOKUP(1,1/(Table1[[#This Row],[Level_0]:[Level 15]]&gt;0),(Table1[[#This Row],[Level_0]:[Level 15]]))</f>
        <v>7720130001 - [SPA Internal marketing - Personnel]</v>
      </c>
    </row>
    <row r="588" spans="1:23" hidden="1" x14ac:dyDescent="0.25">
      <c r="A588">
        <v>7720130000</v>
      </c>
      <c r="B588" s="16" t="s">
        <v>21698</v>
      </c>
      <c r="C588" s="16" t="e">
        <f>VLOOKUP(Table1[[#This Row],[Node]],Parent!A:B,2,0)</f>
        <v>#N/A</v>
      </c>
      <c r="D588" s="25" t="s">
        <v>19346</v>
      </c>
      <c r="E588" s="26" t="s">
        <v>16544</v>
      </c>
      <c r="F588" s="27" t="s">
        <v>16830</v>
      </c>
      <c r="G588" s="27" t="s">
        <v>16831</v>
      </c>
      <c r="H588" s="27" t="s">
        <v>16881</v>
      </c>
      <c r="I588" s="27" t="s">
        <v>17096</v>
      </c>
      <c r="J588" s="27"/>
      <c r="K588" s="27"/>
      <c r="L588" s="27"/>
      <c r="N588" s="27"/>
      <c r="T588" s="28" t="str">
        <f>LOOKUP(1,1/(Table1[[#This Row],[Level_0]:[Level 15]]&gt;0),(Table1[[#This Row],[Level_0]:[Level 15]]))</f>
        <v>7720130000 - [SPA Internal marketing expenses]</v>
      </c>
      <c r="U588" s="22">
        <v>583</v>
      </c>
      <c r="W588" s="13" t="str">
        <f>LOOKUP(1,1/(Table1[[#This Row],[Level_0]:[Level 15]]&gt;0),(Table1[[#This Row],[Level_0]:[Level 15]]))</f>
        <v>7720130000 - [SPA Internal marketing expenses]</v>
      </c>
    </row>
    <row r="589" spans="1:23" hidden="1" x14ac:dyDescent="0.25">
      <c r="A589">
        <v>7720120007</v>
      </c>
      <c r="B589" s="16" t="s">
        <v>21696</v>
      </c>
      <c r="C589" s="16" t="e">
        <f>VLOOKUP(Table1[[#This Row],[Node]],Parent!A:B,2,0)</f>
        <v>#N/A</v>
      </c>
      <c r="D589" s="25" t="s">
        <v>19346</v>
      </c>
      <c r="E589" s="26" t="s">
        <v>16544</v>
      </c>
      <c r="F589" s="27" t="s">
        <v>16830</v>
      </c>
      <c r="G589" s="27" t="s">
        <v>16831</v>
      </c>
      <c r="H589" s="27" t="s">
        <v>16881</v>
      </c>
      <c r="I589" s="27" t="s">
        <v>17097</v>
      </c>
      <c r="J589" s="27"/>
      <c r="K589" s="27"/>
      <c r="L589" s="27"/>
      <c r="N589" s="27"/>
      <c r="T589" s="28" t="str">
        <f>LOOKUP(1,1/(Table1[[#This Row],[Level_0]:[Level 15]]&gt;0),(Table1[[#This Row],[Level_0]:[Level 15]]))</f>
        <v>7720120007 - [SPA Field force - Other]</v>
      </c>
      <c r="U589" s="22">
        <v>584</v>
      </c>
      <c r="W589" s="13" t="str">
        <f>LOOKUP(1,1/(Table1[[#This Row],[Level_0]:[Level 15]]&gt;0),(Table1[[#This Row],[Level_0]:[Level 15]]))</f>
        <v>7720120007 - [SPA Field force - Other]</v>
      </c>
    </row>
    <row r="590" spans="1:23" hidden="1" x14ac:dyDescent="0.25">
      <c r="A590">
        <v>7720120006</v>
      </c>
      <c r="B590" s="16" t="s">
        <v>21695</v>
      </c>
      <c r="C590" s="16" t="e">
        <f>VLOOKUP(Table1[[#This Row],[Node]],Parent!A:B,2,0)</f>
        <v>#N/A</v>
      </c>
      <c r="D590" s="25" t="s">
        <v>19346</v>
      </c>
      <c r="E590" s="26" t="s">
        <v>16544</v>
      </c>
      <c r="F590" s="27" t="s">
        <v>16830</v>
      </c>
      <c r="G590" s="27" t="s">
        <v>16831</v>
      </c>
      <c r="H590" s="27" t="s">
        <v>16881</v>
      </c>
      <c r="I590" s="27" t="s">
        <v>17098</v>
      </c>
      <c r="J590" s="27"/>
      <c r="K590" s="27"/>
      <c r="L590" s="27"/>
      <c r="N590" s="27"/>
      <c r="T590" s="28" t="str">
        <f>LOOKUP(1,1/(Table1[[#This Row],[Level_0]:[Level 15]]&gt;0),(Table1[[#This Row],[Level_0]:[Level 15]]))</f>
        <v>7720120006 - [SPA Field force - T&amp;E]</v>
      </c>
      <c r="U590" s="22">
        <v>585</v>
      </c>
      <c r="W590" s="13" t="str">
        <f>LOOKUP(1,1/(Table1[[#This Row],[Level_0]:[Level 15]]&gt;0),(Table1[[#This Row],[Level_0]:[Level 15]]))</f>
        <v>7720120006 - [SPA Field force - T&amp;E]</v>
      </c>
    </row>
    <row r="591" spans="1:23" hidden="1" x14ac:dyDescent="0.25">
      <c r="A591">
        <v>7720120005</v>
      </c>
      <c r="B591" s="16" t="s">
        <v>21694</v>
      </c>
      <c r="C591" s="16" t="e">
        <f>VLOOKUP(Table1[[#This Row],[Node]],Parent!A:B,2,0)</f>
        <v>#N/A</v>
      </c>
      <c r="D591" s="25" t="s">
        <v>19346</v>
      </c>
      <c r="E591" s="26" t="s">
        <v>16544</v>
      </c>
      <c r="F591" s="27" t="s">
        <v>16830</v>
      </c>
      <c r="G591" s="27" t="s">
        <v>16831</v>
      </c>
      <c r="H591" s="27" t="s">
        <v>16881</v>
      </c>
      <c r="I591" s="27" t="s">
        <v>17099</v>
      </c>
      <c r="J591" s="27"/>
      <c r="K591" s="27"/>
      <c r="L591" s="27"/>
      <c r="N591" s="27"/>
      <c r="T591" s="28" t="str">
        <f>LOOKUP(1,1/(Table1[[#This Row],[Level_0]:[Level 15]]&gt;0),(Table1[[#This Row],[Level_0]:[Level 15]]))</f>
        <v>7720120005 - [SPA Field force - Serv.&amp;Consult.]</v>
      </c>
      <c r="U591" s="22">
        <v>586</v>
      </c>
      <c r="W591" s="13" t="str">
        <f>LOOKUP(1,1/(Table1[[#This Row],[Level_0]:[Level 15]]&gt;0),(Table1[[#This Row],[Level_0]:[Level 15]]))</f>
        <v>7720120005 - [SPA Field force - Serv.&amp;Consult.]</v>
      </c>
    </row>
    <row r="592" spans="1:23" hidden="1" x14ac:dyDescent="0.25">
      <c r="A592">
        <v>7720120004</v>
      </c>
      <c r="B592" s="16" t="s">
        <v>21693</v>
      </c>
      <c r="C592" s="16" t="e">
        <f>VLOOKUP(Table1[[#This Row],[Node]],Parent!A:B,2,0)</f>
        <v>#N/A</v>
      </c>
      <c r="D592" s="25" t="s">
        <v>19346</v>
      </c>
      <c r="E592" s="26" t="s">
        <v>16544</v>
      </c>
      <c r="F592" s="27" t="s">
        <v>16830</v>
      </c>
      <c r="G592" s="27" t="s">
        <v>16831</v>
      </c>
      <c r="H592" s="27" t="s">
        <v>16881</v>
      </c>
      <c r="I592" s="27" t="s">
        <v>17100</v>
      </c>
      <c r="J592" s="27"/>
      <c r="K592" s="27"/>
      <c r="L592" s="27"/>
      <c r="N592" s="27"/>
      <c r="T592" s="28" t="str">
        <f>LOOKUP(1,1/(Table1[[#This Row],[Level_0]:[Level 15]]&gt;0),(Table1[[#This Row],[Level_0]:[Level 15]]))</f>
        <v>7720120004 - [SPA Field force - IT &amp; Teleco.]</v>
      </c>
      <c r="U592" s="22">
        <v>587</v>
      </c>
      <c r="W592" s="13" t="str">
        <f>LOOKUP(1,1/(Table1[[#This Row],[Level_0]:[Level 15]]&gt;0),(Table1[[#This Row],[Level_0]:[Level 15]]))</f>
        <v>7720120004 - [SPA Field force - IT &amp; Teleco.]</v>
      </c>
    </row>
    <row r="593" spans="1:23" hidden="1" x14ac:dyDescent="0.25">
      <c r="A593">
        <v>7720120003</v>
      </c>
      <c r="B593" s="16" t="s">
        <v>21692</v>
      </c>
      <c r="C593" s="16" t="e">
        <f>VLOOKUP(Table1[[#This Row],[Node]],Parent!A:B,2,0)</f>
        <v>#N/A</v>
      </c>
      <c r="D593" s="25" t="s">
        <v>19346</v>
      </c>
      <c r="E593" s="26" t="s">
        <v>16544</v>
      </c>
      <c r="F593" s="27" t="s">
        <v>16830</v>
      </c>
      <c r="G593" s="27" t="s">
        <v>16831</v>
      </c>
      <c r="H593" s="27" t="s">
        <v>16881</v>
      </c>
      <c r="I593" s="27" t="s">
        <v>17101</v>
      </c>
      <c r="J593" s="27"/>
      <c r="K593" s="27"/>
      <c r="L593" s="27"/>
      <c r="N593" s="27"/>
      <c r="T593" s="28" t="str">
        <f>LOOKUP(1,1/(Table1[[#This Row],[Level_0]:[Level 15]]&gt;0),(Table1[[#This Row],[Level_0]:[Level 15]]))</f>
        <v>7720120003 - [SPA Field force - Prom.&amp;Advert.]</v>
      </c>
      <c r="U593" s="22">
        <v>588</v>
      </c>
      <c r="W593" s="13" t="str">
        <f>LOOKUP(1,1/(Table1[[#This Row],[Level_0]:[Level 15]]&gt;0),(Table1[[#This Row],[Level_0]:[Level 15]]))</f>
        <v>7720120003 - [SPA Field force - Prom.&amp;Advert.]</v>
      </c>
    </row>
    <row r="594" spans="1:23" hidden="1" x14ac:dyDescent="0.25">
      <c r="A594">
        <v>7720120002</v>
      </c>
      <c r="B594" s="16" t="s">
        <v>21691</v>
      </c>
      <c r="C594" s="16" t="e">
        <f>VLOOKUP(Table1[[#This Row],[Node]],Parent!A:B,2,0)</f>
        <v>#N/A</v>
      </c>
      <c r="D594" s="25" t="s">
        <v>19346</v>
      </c>
      <c r="E594" s="26" t="s">
        <v>16544</v>
      </c>
      <c r="F594" s="27" t="s">
        <v>16830</v>
      </c>
      <c r="G594" s="27" t="s">
        <v>16831</v>
      </c>
      <c r="H594" s="27" t="s">
        <v>16881</v>
      </c>
      <c r="I594" s="27" t="s">
        <v>17102</v>
      </c>
      <c r="J594" s="27"/>
      <c r="K594" s="27"/>
      <c r="L594" s="27"/>
      <c r="N594" s="27"/>
      <c r="T594" s="28" t="str">
        <f>LOOKUP(1,1/(Table1[[#This Row],[Level_0]:[Level 15]]&gt;0),(Table1[[#This Row],[Level_0]:[Level 15]]))</f>
        <v>7720120002 - [SPA Field force - Depreciation]</v>
      </c>
      <c r="U594" s="22">
        <v>589</v>
      </c>
      <c r="W594" s="13" t="str">
        <f>LOOKUP(1,1/(Table1[[#This Row],[Level_0]:[Level 15]]&gt;0),(Table1[[#This Row],[Level_0]:[Level 15]]))</f>
        <v>7720120002 - [SPA Field force - Depreciation]</v>
      </c>
    </row>
    <row r="595" spans="1:23" hidden="1" x14ac:dyDescent="0.25">
      <c r="A595">
        <v>7720120001</v>
      </c>
      <c r="B595" s="16" t="s">
        <v>21690</v>
      </c>
      <c r="C595" s="16" t="e">
        <f>VLOOKUP(Table1[[#This Row],[Node]],Parent!A:B,2,0)</f>
        <v>#N/A</v>
      </c>
      <c r="D595" s="25" t="s">
        <v>19346</v>
      </c>
      <c r="E595" s="26" t="s">
        <v>16544</v>
      </c>
      <c r="F595" s="27" t="s">
        <v>16830</v>
      </c>
      <c r="G595" s="27" t="s">
        <v>16831</v>
      </c>
      <c r="H595" s="27" t="s">
        <v>16881</v>
      </c>
      <c r="I595" s="27" t="s">
        <v>17103</v>
      </c>
      <c r="J595" s="27"/>
      <c r="K595" s="27"/>
      <c r="L595" s="27"/>
      <c r="N595" s="27"/>
      <c r="T595" s="28" t="str">
        <f>LOOKUP(1,1/(Table1[[#This Row],[Level_0]:[Level 15]]&gt;0),(Table1[[#This Row],[Level_0]:[Level 15]]))</f>
        <v>7720120001 - [SPA Field force - Personnel]</v>
      </c>
      <c r="U595" s="22">
        <v>590</v>
      </c>
      <c r="W595" s="13" t="str">
        <f>LOOKUP(1,1/(Table1[[#This Row],[Level_0]:[Level 15]]&gt;0),(Table1[[#This Row],[Level_0]:[Level 15]]))</f>
        <v>7720120001 - [SPA Field force - Personnel]</v>
      </c>
    </row>
    <row r="596" spans="1:23" hidden="1" x14ac:dyDescent="0.25">
      <c r="A596">
        <v>7720120000</v>
      </c>
      <c r="B596" s="16" t="s">
        <v>21689</v>
      </c>
      <c r="C596" s="16" t="e">
        <f>VLOOKUP(Table1[[#This Row],[Node]],Parent!A:B,2,0)</f>
        <v>#N/A</v>
      </c>
      <c r="D596" s="25" t="s">
        <v>19346</v>
      </c>
      <c r="E596" s="26" t="s">
        <v>16544</v>
      </c>
      <c r="F596" s="27" t="s">
        <v>16830</v>
      </c>
      <c r="G596" s="27" t="s">
        <v>16831</v>
      </c>
      <c r="H596" s="27" t="s">
        <v>16881</v>
      </c>
      <c r="I596" s="27" t="s">
        <v>17104</v>
      </c>
      <c r="J596" s="27"/>
      <c r="K596" s="27"/>
      <c r="L596" s="27"/>
      <c r="N596" s="27"/>
      <c r="T596" s="28" t="str">
        <f>LOOKUP(1,1/(Table1[[#This Row],[Level_0]:[Level 15]]&gt;0),(Table1[[#This Row],[Level_0]:[Level 15]]))</f>
        <v>7720120000 - [SPA Field force]</v>
      </c>
      <c r="U596" s="22">
        <v>591</v>
      </c>
      <c r="W596" s="13" t="str">
        <f>LOOKUP(1,1/(Table1[[#This Row],[Level_0]:[Level 15]]&gt;0),(Table1[[#This Row],[Level_0]:[Level 15]]))</f>
        <v>7720120000 - [SPA Field force]</v>
      </c>
    </row>
    <row r="597" spans="1:23" hidden="1" x14ac:dyDescent="0.25">
      <c r="A597">
        <v>7720115007</v>
      </c>
      <c r="B597" s="16" t="s">
        <v>21688</v>
      </c>
      <c r="C597" s="16" t="e">
        <f>VLOOKUP(Table1[[#This Row],[Node]],Parent!A:B,2,0)</f>
        <v>#N/A</v>
      </c>
      <c r="D597" s="25" t="s">
        <v>19346</v>
      </c>
      <c r="E597" s="26" t="s">
        <v>16544</v>
      </c>
      <c r="F597" s="27" t="s">
        <v>16830</v>
      </c>
      <c r="G597" s="27" t="s">
        <v>16831</v>
      </c>
      <c r="H597" s="27" t="s">
        <v>16881</v>
      </c>
      <c r="I597" s="27" t="s">
        <v>17105</v>
      </c>
      <c r="J597" s="27"/>
      <c r="K597" s="27"/>
      <c r="L597" s="27"/>
      <c r="N597" s="27"/>
      <c r="T597" s="28" t="str">
        <f>LOOKUP(1,1/(Table1[[#This Row],[Level_0]:[Level 15]]&gt;0),(Table1[[#This Row],[Level_0]:[Level 15]]))</f>
        <v>7720115007 - [SPA Medical activ. oth. - Other]</v>
      </c>
      <c r="U597" s="22">
        <v>592</v>
      </c>
      <c r="W597" s="13" t="str">
        <f>LOOKUP(1,1/(Table1[[#This Row],[Level_0]:[Level 15]]&gt;0),(Table1[[#This Row],[Level_0]:[Level 15]]))</f>
        <v>7720115007 - [SPA Medical activ. oth. - Other]</v>
      </c>
    </row>
    <row r="598" spans="1:23" hidden="1" x14ac:dyDescent="0.25">
      <c r="A598">
        <v>7720115006</v>
      </c>
      <c r="B598" s="16" t="s">
        <v>21687</v>
      </c>
      <c r="C598" s="16" t="e">
        <f>VLOOKUP(Table1[[#This Row],[Node]],Parent!A:B,2,0)</f>
        <v>#N/A</v>
      </c>
      <c r="D598" s="25" t="s">
        <v>19346</v>
      </c>
      <c r="E598" s="26" t="s">
        <v>16544</v>
      </c>
      <c r="F598" s="27" t="s">
        <v>16830</v>
      </c>
      <c r="G598" s="27" t="s">
        <v>16831</v>
      </c>
      <c r="H598" s="27" t="s">
        <v>16881</v>
      </c>
      <c r="I598" s="27" t="s">
        <v>17106</v>
      </c>
      <c r="J598" s="27"/>
      <c r="K598" s="27"/>
      <c r="L598" s="27"/>
      <c r="N598" s="27"/>
      <c r="T598" s="28" t="str">
        <f>LOOKUP(1,1/(Table1[[#This Row],[Level_0]:[Level 15]]&gt;0),(Table1[[#This Row],[Level_0]:[Level 15]]))</f>
        <v>7720115006 - [SPA Medical activ. oth. - T&amp;E]</v>
      </c>
      <c r="U598" s="22">
        <v>593</v>
      </c>
      <c r="W598" s="13" t="str">
        <f>LOOKUP(1,1/(Table1[[#This Row],[Level_0]:[Level 15]]&gt;0),(Table1[[#This Row],[Level_0]:[Level 15]]))</f>
        <v>7720115006 - [SPA Medical activ. oth. - T&amp;E]</v>
      </c>
    </row>
    <row r="599" spans="1:23" hidden="1" x14ac:dyDescent="0.25">
      <c r="A599">
        <v>7720115005</v>
      </c>
      <c r="B599" s="16" t="s">
        <v>21686</v>
      </c>
      <c r="C599" s="16" t="e">
        <f>VLOOKUP(Table1[[#This Row],[Node]],Parent!A:B,2,0)</f>
        <v>#N/A</v>
      </c>
      <c r="D599" s="25" t="s">
        <v>19346</v>
      </c>
      <c r="E599" s="26" t="s">
        <v>16544</v>
      </c>
      <c r="F599" s="27" t="s">
        <v>16830</v>
      </c>
      <c r="G599" s="27" t="s">
        <v>16831</v>
      </c>
      <c r="H599" s="27" t="s">
        <v>16881</v>
      </c>
      <c r="I599" s="27" t="s">
        <v>17107</v>
      </c>
      <c r="J599" s="27"/>
      <c r="K599" s="27"/>
      <c r="L599" s="27"/>
      <c r="N599" s="27"/>
      <c r="T599" s="28" t="str">
        <f>LOOKUP(1,1/(Table1[[#This Row],[Level_0]:[Level 15]]&gt;0),(Table1[[#This Row],[Level_0]:[Level 15]]))</f>
        <v>7720115005 - [SPA Medical activ. oth. - Serv.&amp;Consult.]</v>
      </c>
      <c r="U599" s="22">
        <v>594</v>
      </c>
      <c r="W599" s="13" t="str">
        <f>LOOKUP(1,1/(Table1[[#This Row],[Level_0]:[Level 15]]&gt;0),(Table1[[#This Row],[Level_0]:[Level 15]]))</f>
        <v>7720115005 - [SPA Medical activ. oth. - Serv.&amp;Consult.]</v>
      </c>
    </row>
    <row r="600" spans="1:23" hidden="1" x14ac:dyDescent="0.25">
      <c r="A600">
        <v>7720115004</v>
      </c>
      <c r="B600" s="16" t="s">
        <v>21685</v>
      </c>
      <c r="C600" s="16" t="e">
        <f>VLOOKUP(Table1[[#This Row],[Node]],Parent!A:B,2,0)</f>
        <v>#N/A</v>
      </c>
      <c r="D600" s="25" t="s">
        <v>19346</v>
      </c>
      <c r="E600" s="26" t="s">
        <v>16544</v>
      </c>
      <c r="F600" s="27" t="s">
        <v>16830</v>
      </c>
      <c r="G600" s="27" t="s">
        <v>16831</v>
      </c>
      <c r="H600" s="27" t="s">
        <v>16881</v>
      </c>
      <c r="I600" s="27" t="s">
        <v>17108</v>
      </c>
      <c r="J600" s="27"/>
      <c r="K600" s="27"/>
      <c r="L600" s="27"/>
      <c r="N600" s="27"/>
      <c r="T600" s="28" t="str">
        <f>LOOKUP(1,1/(Table1[[#This Row],[Level_0]:[Level 15]]&gt;0),(Table1[[#This Row],[Level_0]:[Level 15]]))</f>
        <v>7720115004 - [SPA Medical activ. oth. - IT &amp; Teleco.]</v>
      </c>
      <c r="U600" s="22">
        <v>595</v>
      </c>
      <c r="W600" s="13" t="str">
        <f>LOOKUP(1,1/(Table1[[#This Row],[Level_0]:[Level 15]]&gt;0),(Table1[[#This Row],[Level_0]:[Level 15]]))</f>
        <v>7720115004 - [SPA Medical activ. oth. - IT &amp; Teleco.]</v>
      </c>
    </row>
    <row r="601" spans="1:23" hidden="1" x14ac:dyDescent="0.25">
      <c r="A601">
        <v>7720115003</v>
      </c>
      <c r="B601" s="16" t="s">
        <v>21684</v>
      </c>
      <c r="C601" s="16" t="e">
        <f>VLOOKUP(Table1[[#This Row],[Node]],Parent!A:B,2,0)</f>
        <v>#N/A</v>
      </c>
      <c r="D601" s="25" t="s">
        <v>19346</v>
      </c>
      <c r="E601" s="26" t="s">
        <v>16544</v>
      </c>
      <c r="F601" s="27" t="s">
        <v>16830</v>
      </c>
      <c r="G601" s="27" t="s">
        <v>16831</v>
      </c>
      <c r="H601" s="27" t="s">
        <v>16881</v>
      </c>
      <c r="I601" s="27" t="s">
        <v>17109</v>
      </c>
      <c r="J601" s="27"/>
      <c r="K601" s="27"/>
      <c r="L601" s="27"/>
      <c r="N601" s="27"/>
      <c r="T601" s="28" t="str">
        <f>LOOKUP(1,1/(Table1[[#This Row],[Level_0]:[Level 15]]&gt;0),(Table1[[#This Row],[Level_0]:[Level 15]]))</f>
        <v>7720115003 - [SPA Medical activ. oth. - Prom.&amp;Advert.]</v>
      </c>
      <c r="U601" s="22">
        <v>596</v>
      </c>
      <c r="W601" s="13" t="str">
        <f>LOOKUP(1,1/(Table1[[#This Row],[Level_0]:[Level 15]]&gt;0),(Table1[[#This Row],[Level_0]:[Level 15]]))</f>
        <v>7720115003 - [SPA Medical activ. oth. - Prom.&amp;Advert.]</v>
      </c>
    </row>
    <row r="602" spans="1:23" hidden="1" x14ac:dyDescent="0.25">
      <c r="A602">
        <v>7720115002</v>
      </c>
      <c r="B602" s="16" t="s">
        <v>21683</v>
      </c>
      <c r="C602" s="16" t="e">
        <f>VLOOKUP(Table1[[#This Row],[Node]],Parent!A:B,2,0)</f>
        <v>#N/A</v>
      </c>
      <c r="D602" s="25" t="s">
        <v>19346</v>
      </c>
      <c r="E602" s="26" t="s">
        <v>16544</v>
      </c>
      <c r="F602" s="27" t="s">
        <v>16830</v>
      </c>
      <c r="G602" s="27" t="s">
        <v>16831</v>
      </c>
      <c r="H602" s="27" t="s">
        <v>16881</v>
      </c>
      <c r="I602" s="27" t="s">
        <v>17110</v>
      </c>
      <c r="J602" s="27"/>
      <c r="K602" s="27"/>
      <c r="L602" s="27"/>
      <c r="N602" s="27"/>
      <c r="T602" s="28" t="str">
        <f>LOOKUP(1,1/(Table1[[#This Row],[Level_0]:[Level 15]]&gt;0),(Table1[[#This Row],[Level_0]:[Level 15]]))</f>
        <v>7720115002 - [SPA Medical activ. oth. - Depreciation]</v>
      </c>
      <c r="U602" s="22">
        <v>597</v>
      </c>
      <c r="W602" s="13" t="str">
        <f>LOOKUP(1,1/(Table1[[#This Row],[Level_0]:[Level 15]]&gt;0),(Table1[[#This Row],[Level_0]:[Level 15]]))</f>
        <v>7720115002 - [SPA Medical activ. oth. - Depreciation]</v>
      </c>
    </row>
    <row r="603" spans="1:23" hidden="1" x14ac:dyDescent="0.25">
      <c r="A603">
        <v>7720115001</v>
      </c>
      <c r="B603" s="16" t="s">
        <v>21682</v>
      </c>
      <c r="C603" s="16" t="e">
        <f>VLOOKUP(Table1[[#This Row],[Node]],Parent!A:B,2,0)</f>
        <v>#N/A</v>
      </c>
      <c r="D603" s="25" t="s">
        <v>19346</v>
      </c>
      <c r="E603" s="26" t="s">
        <v>16544</v>
      </c>
      <c r="F603" s="27" t="s">
        <v>16830</v>
      </c>
      <c r="G603" s="27" t="s">
        <v>16831</v>
      </c>
      <c r="H603" s="27" t="s">
        <v>16881</v>
      </c>
      <c r="I603" s="27" t="s">
        <v>17111</v>
      </c>
      <c r="J603" s="27"/>
      <c r="K603" s="27"/>
      <c r="L603" s="27"/>
      <c r="N603" s="27"/>
      <c r="T603" s="28" t="str">
        <f>LOOKUP(1,1/(Table1[[#This Row],[Level_0]:[Level 15]]&gt;0),(Table1[[#This Row],[Level_0]:[Level 15]]))</f>
        <v>7720115001 - [SPA Medical activity oth. - Personnel]</v>
      </c>
      <c r="U603" s="22">
        <v>598</v>
      </c>
      <c r="W603" s="13" t="str">
        <f>LOOKUP(1,1/(Table1[[#This Row],[Level_0]:[Level 15]]&gt;0),(Table1[[#This Row],[Level_0]:[Level 15]]))</f>
        <v>7720115001 - [SPA Medical activity oth. - Personnel]</v>
      </c>
    </row>
    <row r="604" spans="1:23" hidden="1" x14ac:dyDescent="0.25">
      <c r="A604">
        <v>7720115000</v>
      </c>
      <c r="B604" s="16" t="s">
        <v>21681</v>
      </c>
      <c r="C604" s="16" t="e">
        <f>VLOOKUP(Table1[[#This Row],[Node]],Parent!A:B,2,0)</f>
        <v>#N/A</v>
      </c>
      <c r="D604" s="25" t="s">
        <v>19346</v>
      </c>
      <c r="E604" s="26" t="s">
        <v>16544</v>
      </c>
      <c r="F604" s="27" t="s">
        <v>16830</v>
      </c>
      <c r="G604" s="27" t="s">
        <v>16831</v>
      </c>
      <c r="H604" s="27" t="s">
        <v>16881</v>
      </c>
      <c r="I604" s="27" t="s">
        <v>17112</v>
      </c>
      <c r="J604" s="27"/>
      <c r="K604" s="27"/>
      <c r="L604" s="27"/>
      <c r="N604" s="27"/>
      <c r="T604" s="28" t="str">
        <f>LOOKUP(1,1/(Table1[[#This Row],[Level_0]:[Level 15]]&gt;0),(Table1[[#This Row],[Level_0]:[Level 15]]))</f>
        <v>7720115000 - [SPA Medical activities other]</v>
      </c>
      <c r="U604" s="22">
        <v>599</v>
      </c>
      <c r="W604" s="13" t="str">
        <f>LOOKUP(1,1/(Table1[[#This Row],[Level_0]:[Level 15]]&gt;0),(Table1[[#This Row],[Level_0]:[Level 15]]))</f>
        <v>7720115000 - [SPA Medical activities other]</v>
      </c>
    </row>
    <row r="605" spans="1:23" hidden="1" x14ac:dyDescent="0.25">
      <c r="A605">
        <v>7720114007</v>
      </c>
      <c r="B605" s="16" t="s">
        <v>21680</v>
      </c>
      <c r="C605" s="16" t="e">
        <f>VLOOKUP(Table1[[#This Row],[Node]],Parent!A:B,2,0)</f>
        <v>#N/A</v>
      </c>
      <c r="D605" s="25" t="s">
        <v>19346</v>
      </c>
      <c r="E605" s="26" t="s">
        <v>16544</v>
      </c>
      <c r="F605" s="27" t="s">
        <v>16830</v>
      </c>
      <c r="G605" s="27" t="s">
        <v>16831</v>
      </c>
      <c r="H605" s="27" t="s">
        <v>16881</v>
      </c>
      <c r="I605" s="27" t="s">
        <v>17113</v>
      </c>
      <c r="J605" s="27"/>
      <c r="K605" s="27"/>
      <c r="L605" s="27"/>
      <c r="N605" s="27"/>
      <c r="T605" s="28" t="str">
        <f>LOOKUP(1,1/(Table1[[#This Row],[Level_0]:[Level 15]]&gt;0),(Table1[[#This Row],[Level_0]:[Level 15]]))</f>
        <v>7720114007 - [SPA Medical consultants - Other]</v>
      </c>
      <c r="U605" s="22">
        <v>600</v>
      </c>
      <c r="W605" s="13" t="str">
        <f>LOOKUP(1,1/(Table1[[#This Row],[Level_0]:[Level 15]]&gt;0),(Table1[[#This Row],[Level_0]:[Level 15]]))</f>
        <v>7720114007 - [SPA Medical consultants - Other]</v>
      </c>
    </row>
    <row r="606" spans="1:23" hidden="1" x14ac:dyDescent="0.25">
      <c r="A606">
        <v>7720114006</v>
      </c>
      <c r="B606" s="16" t="s">
        <v>21679</v>
      </c>
      <c r="C606" s="16" t="e">
        <f>VLOOKUP(Table1[[#This Row],[Node]],Parent!A:B,2,0)</f>
        <v>#N/A</v>
      </c>
      <c r="D606" s="25" t="s">
        <v>19346</v>
      </c>
      <c r="E606" s="26" t="s">
        <v>16544</v>
      </c>
      <c r="F606" s="27" t="s">
        <v>16830</v>
      </c>
      <c r="G606" s="27" t="s">
        <v>16831</v>
      </c>
      <c r="H606" s="27" t="s">
        <v>16881</v>
      </c>
      <c r="I606" s="27" t="s">
        <v>17114</v>
      </c>
      <c r="J606" s="27"/>
      <c r="K606" s="27"/>
      <c r="L606" s="27"/>
      <c r="N606" s="27"/>
      <c r="T606" s="28" t="str">
        <f>LOOKUP(1,1/(Table1[[#This Row],[Level_0]:[Level 15]]&gt;0),(Table1[[#This Row],[Level_0]:[Level 15]]))</f>
        <v>7720114006 - [SPA Medical consultants - T&amp;E]</v>
      </c>
      <c r="U606" s="22">
        <v>601</v>
      </c>
      <c r="W606" s="13" t="str">
        <f>LOOKUP(1,1/(Table1[[#This Row],[Level_0]:[Level 15]]&gt;0),(Table1[[#This Row],[Level_0]:[Level 15]]))</f>
        <v>7720114006 - [SPA Medical consultants - T&amp;E]</v>
      </c>
    </row>
    <row r="607" spans="1:23" hidden="1" x14ac:dyDescent="0.25">
      <c r="A607">
        <v>7720114005</v>
      </c>
      <c r="B607" s="16" t="s">
        <v>21678</v>
      </c>
      <c r="C607" s="16" t="e">
        <f>VLOOKUP(Table1[[#This Row],[Node]],Parent!A:B,2,0)</f>
        <v>#N/A</v>
      </c>
      <c r="D607" s="25" t="s">
        <v>19346</v>
      </c>
      <c r="E607" s="26" t="s">
        <v>16544</v>
      </c>
      <c r="F607" s="27" t="s">
        <v>16830</v>
      </c>
      <c r="G607" s="27" t="s">
        <v>16831</v>
      </c>
      <c r="H607" s="27" t="s">
        <v>16881</v>
      </c>
      <c r="I607" s="27" t="s">
        <v>17115</v>
      </c>
      <c r="J607" s="27"/>
      <c r="K607" s="27"/>
      <c r="L607" s="27"/>
      <c r="N607" s="27"/>
      <c r="T607" s="28" t="str">
        <f>LOOKUP(1,1/(Table1[[#This Row],[Level_0]:[Level 15]]&gt;0),(Table1[[#This Row],[Level_0]:[Level 15]]))</f>
        <v>7720114005 - [SPA Medical consultants - Serv.&amp;Consult.]</v>
      </c>
      <c r="U607" s="22">
        <v>602</v>
      </c>
      <c r="W607" s="13" t="str">
        <f>LOOKUP(1,1/(Table1[[#This Row],[Level_0]:[Level 15]]&gt;0),(Table1[[#This Row],[Level_0]:[Level 15]]))</f>
        <v>7720114005 - [SPA Medical consultants - Serv.&amp;Consult.]</v>
      </c>
    </row>
    <row r="608" spans="1:23" hidden="1" x14ac:dyDescent="0.25">
      <c r="A608">
        <v>7720114004</v>
      </c>
      <c r="B608" s="16" t="s">
        <v>21677</v>
      </c>
      <c r="C608" s="16" t="e">
        <f>VLOOKUP(Table1[[#This Row],[Node]],Parent!A:B,2,0)</f>
        <v>#N/A</v>
      </c>
      <c r="D608" s="25" t="s">
        <v>19346</v>
      </c>
      <c r="E608" s="26" t="s">
        <v>16544</v>
      </c>
      <c r="F608" s="27" t="s">
        <v>16830</v>
      </c>
      <c r="G608" s="27" t="s">
        <v>16831</v>
      </c>
      <c r="H608" s="27" t="s">
        <v>16881</v>
      </c>
      <c r="I608" s="27" t="s">
        <v>17116</v>
      </c>
      <c r="J608" s="27"/>
      <c r="K608" s="27"/>
      <c r="L608" s="27"/>
      <c r="N608" s="27"/>
      <c r="T608" s="28" t="str">
        <f>LOOKUP(1,1/(Table1[[#This Row],[Level_0]:[Level 15]]&gt;0),(Table1[[#This Row],[Level_0]:[Level 15]]))</f>
        <v>7720114004 - [SPA Medical consultants - IT &amp; Teleco.]</v>
      </c>
      <c r="U608" s="22">
        <v>603</v>
      </c>
      <c r="W608" s="13" t="str">
        <f>LOOKUP(1,1/(Table1[[#This Row],[Level_0]:[Level 15]]&gt;0),(Table1[[#This Row],[Level_0]:[Level 15]]))</f>
        <v>7720114004 - [SPA Medical consultants - IT &amp; Teleco.]</v>
      </c>
    </row>
    <row r="609" spans="1:23" hidden="1" x14ac:dyDescent="0.25">
      <c r="A609">
        <v>7720114003</v>
      </c>
      <c r="B609" s="16" t="s">
        <v>21676</v>
      </c>
      <c r="C609" s="16" t="e">
        <f>VLOOKUP(Table1[[#This Row],[Node]],Parent!A:B,2,0)</f>
        <v>#N/A</v>
      </c>
      <c r="D609" s="25" t="s">
        <v>19346</v>
      </c>
      <c r="E609" s="26" t="s">
        <v>16544</v>
      </c>
      <c r="F609" s="27" t="s">
        <v>16830</v>
      </c>
      <c r="G609" s="27" t="s">
        <v>16831</v>
      </c>
      <c r="H609" s="27" t="s">
        <v>16881</v>
      </c>
      <c r="I609" s="27" t="s">
        <v>17117</v>
      </c>
      <c r="J609" s="27"/>
      <c r="K609" s="27"/>
      <c r="L609" s="27"/>
      <c r="N609" s="27"/>
      <c r="T609" s="28" t="str">
        <f>LOOKUP(1,1/(Table1[[#This Row],[Level_0]:[Level 15]]&gt;0),(Table1[[#This Row],[Level_0]:[Level 15]]))</f>
        <v>7720114003 - [SPA Medical consultants - Prom.&amp;Advert.]</v>
      </c>
      <c r="U609" s="22">
        <v>604</v>
      </c>
      <c r="W609" s="13" t="str">
        <f>LOOKUP(1,1/(Table1[[#This Row],[Level_0]:[Level 15]]&gt;0),(Table1[[#This Row],[Level_0]:[Level 15]]))</f>
        <v>7720114003 - [SPA Medical consultants - Prom.&amp;Advert.]</v>
      </c>
    </row>
    <row r="610" spans="1:23" hidden="1" x14ac:dyDescent="0.25">
      <c r="A610">
        <v>7720114002</v>
      </c>
      <c r="B610" s="16" t="s">
        <v>21675</v>
      </c>
      <c r="C610" s="16" t="e">
        <f>VLOOKUP(Table1[[#This Row],[Node]],Parent!A:B,2,0)</f>
        <v>#N/A</v>
      </c>
      <c r="D610" s="25" t="s">
        <v>19346</v>
      </c>
      <c r="E610" s="26" t="s">
        <v>16544</v>
      </c>
      <c r="F610" s="27" t="s">
        <v>16830</v>
      </c>
      <c r="G610" s="27" t="s">
        <v>16831</v>
      </c>
      <c r="H610" s="27" t="s">
        <v>16881</v>
      </c>
      <c r="I610" s="27" t="s">
        <v>17118</v>
      </c>
      <c r="J610" s="27"/>
      <c r="K610" s="27"/>
      <c r="L610" s="27"/>
      <c r="N610" s="27"/>
      <c r="T610" s="28" t="str">
        <f>LOOKUP(1,1/(Table1[[#This Row],[Level_0]:[Level 15]]&gt;0),(Table1[[#This Row],[Level_0]:[Level 15]]))</f>
        <v>7720114002 - [SPA Medical consultants - Depreciation]</v>
      </c>
      <c r="U610" s="22">
        <v>605</v>
      </c>
      <c r="W610" s="13" t="str">
        <f>LOOKUP(1,1/(Table1[[#This Row],[Level_0]:[Level 15]]&gt;0),(Table1[[#This Row],[Level_0]:[Level 15]]))</f>
        <v>7720114002 - [SPA Medical consultants - Depreciation]</v>
      </c>
    </row>
    <row r="611" spans="1:23" hidden="1" x14ac:dyDescent="0.25">
      <c r="A611">
        <v>7720114001</v>
      </c>
      <c r="B611" s="16" t="s">
        <v>21674</v>
      </c>
      <c r="C611" s="16" t="e">
        <f>VLOOKUP(Table1[[#This Row],[Node]],Parent!A:B,2,0)</f>
        <v>#N/A</v>
      </c>
      <c r="D611" s="25" t="s">
        <v>19346</v>
      </c>
      <c r="E611" s="26" t="s">
        <v>16544</v>
      </c>
      <c r="F611" s="27" t="s">
        <v>16830</v>
      </c>
      <c r="G611" s="27" t="s">
        <v>16831</v>
      </c>
      <c r="H611" s="27" t="s">
        <v>16881</v>
      </c>
      <c r="I611" s="27" t="s">
        <v>17119</v>
      </c>
      <c r="J611" s="27"/>
      <c r="K611" s="27"/>
      <c r="L611" s="27"/>
      <c r="N611" s="27"/>
      <c r="T611" s="28" t="str">
        <f>LOOKUP(1,1/(Table1[[#This Row],[Level_0]:[Level 15]]&gt;0),(Table1[[#This Row],[Level_0]:[Level 15]]))</f>
        <v>7720114001 - [SPA Medical consultants - Personnel]</v>
      </c>
      <c r="U611" s="22">
        <v>606</v>
      </c>
      <c r="W611" s="13" t="str">
        <f>LOOKUP(1,1/(Table1[[#This Row],[Level_0]:[Level 15]]&gt;0),(Table1[[#This Row],[Level_0]:[Level 15]]))</f>
        <v>7720114001 - [SPA Medical consultants - Personnel]</v>
      </c>
    </row>
    <row r="612" spans="1:23" hidden="1" x14ac:dyDescent="0.25">
      <c r="A612">
        <v>7720114000</v>
      </c>
      <c r="B612" s="16" t="s">
        <v>21673</v>
      </c>
      <c r="C612" s="16" t="e">
        <f>VLOOKUP(Table1[[#This Row],[Node]],Parent!A:B,2,0)</f>
        <v>#N/A</v>
      </c>
      <c r="D612" s="25" t="s">
        <v>19346</v>
      </c>
      <c r="E612" s="26" t="s">
        <v>16544</v>
      </c>
      <c r="F612" s="27" t="s">
        <v>16830</v>
      </c>
      <c r="G612" s="27" t="s">
        <v>16831</v>
      </c>
      <c r="H612" s="27" t="s">
        <v>16881</v>
      </c>
      <c r="I612" s="27" t="s">
        <v>17120</v>
      </c>
      <c r="J612" s="27"/>
      <c r="K612" s="27"/>
      <c r="L612" s="27"/>
      <c r="N612" s="27"/>
      <c r="T612" s="28" t="str">
        <f>LOOKUP(1,1/(Table1[[#This Row],[Level_0]:[Level 15]]&gt;0),(Table1[[#This Row],[Level_0]:[Level 15]]))</f>
        <v>7720114000 - [SPA Medical consultants]</v>
      </c>
      <c r="U612" s="22">
        <v>607</v>
      </c>
      <c r="W612" s="13" t="str">
        <f>LOOKUP(1,1/(Table1[[#This Row],[Level_0]:[Level 15]]&gt;0),(Table1[[#This Row],[Level_0]:[Level 15]]))</f>
        <v>7720114000 - [SPA Medical consultants]</v>
      </c>
    </row>
    <row r="613" spans="1:23" hidden="1" x14ac:dyDescent="0.25">
      <c r="A613">
        <v>7720113007</v>
      </c>
      <c r="B613" s="16" t="s">
        <v>21672</v>
      </c>
      <c r="C613" s="16" t="e">
        <f>VLOOKUP(Table1[[#This Row],[Node]],Parent!A:B,2,0)</f>
        <v>#N/A</v>
      </c>
      <c r="D613" s="25" t="s">
        <v>19346</v>
      </c>
      <c r="E613" s="26" t="s">
        <v>16544</v>
      </c>
      <c r="F613" s="27" t="s">
        <v>16830</v>
      </c>
      <c r="G613" s="27" t="s">
        <v>16831</v>
      </c>
      <c r="H613" s="27" t="s">
        <v>16881</v>
      </c>
      <c r="I613" s="27" t="s">
        <v>17121</v>
      </c>
      <c r="J613" s="27"/>
      <c r="K613" s="27"/>
      <c r="L613" s="27"/>
      <c r="N613" s="27"/>
      <c r="T613" s="28" t="str">
        <f>LOOKUP(1,1/(Table1[[#This Row],[Level_0]:[Level 15]]&gt;0),(Table1[[#This Row],[Level_0]:[Level 15]]))</f>
        <v>7720113007 - [SPA Medical donations - Other]</v>
      </c>
      <c r="U613" s="22">
        <v>608</v>
      </c>
      <c r="W613" s="13" t="str">
        <f>LOOKUP(1,1/(Table1[[#This Row],[Level_0]:[Level 15]]&gt;0),(Table1[[#This Row],[Level_0]:[Level 15]]))</f>
        <v>7720113007 - [SPA Medical donations - Other]</v>
      </c>
    </row>
    <row r="614" spans="1:23" hidden="1" x14ac:dyDescent="0.25">
      <c r="A614">
        <v>7720113006</v>
      </c>
      <c r="B614" s="16" t="s">
        <v>21671</v>
      </c>
      <c r="C614" s="16" t="e">
        <f>VLOOKUP(Table1[[#This Row],[Node]],Parent!A:B,2,0)</f>
        <v>#N/A</v>
      </c>
      <c r="D614" s="25" t="s">
        <v>19346</v>
      </c>
      <c r="E614" s="26" t="s">
        <v>16544</v>
      </c>
      <c r="F614" s="27" t="s">
        <v>16830</v>
      </c>
      <c r="G614" s="27" t="s">
        <v>16831</v>
      </c>
      <c r="H614" s="27" t="s">
        <v>16881</v>
      </c>
      <c r="I614" s="27" t="s">
        <v>17122</v>
      </c>
      <c r="J614" s="27"/>
      <c r="K614" s="27"/>
      <c r="L614" s="27"/>
      <c r="N614" s="27"/>
      <c r="T614" s="28" t="str">
        <f>LOOKUP(1,1/(Table1[[#This Row],[Level_0]:[Level 15]]&gt;0),(Table1[[#This Row],[Level_0]:[Level 15]]))</f>
        <v>7720113006 - [SPA Medical donations - T&amp;E]</v>
      </c>
      <c r="U614" s="22">
        <v>609</v>
      </c>
      <c r="W614" s="13" t="str">
        <f>LOOKUP(1,1/(Table1[[#This Row],[Level_0]:[Level 15]]&gt;0),(Table1[[#This Row],[Level_0]:[Level 15]]))</f>
        <v>7720113006 - [SPA Medical donations - T&amp;E]</v>
      </c>
    </row>
    <row r="615" spans="1:23" hidden="1" x14ac:dyDescent="0.25">
      <c r="A615">
        <v>7720113005</v>
      </c>
      <c r="B615" s="16" t="s">
        <v>21670</v>
      </c>
      <c r="C615" s="16" t="e">
        <f>VLOOKUP(Table1[[#This Row],[Node]],Parent!A:B,2,0)</f>
        <v>#N/A</v>
      </c>
      <c r="D615" s="25" t="s">
        <v>19346</v>
      </c>
      <c r="E615" s="26" t="s">
        <v>16544</v>
      </c>
      <c r="F615" s="27" t="s">
        <v>16830</v>
      </c>
      <c r="G615" s="27" t="s">
        <v>16831</v>
      </c>
      <c r="H615" s="27" t="s">
        <v>16881</v>
      </c>
      <c r="I615" s="27" t="s">
        <v>17123</v>
      </c>
      <c r="J615" s="27"/>
      <c r="K615" s="27"/>
      <c r="L615" s="27"/>
      <c r="N615" s="27"/>
      <c r="T615" s="28" t="str">
        <f>LOOKUP(1,1/(Table1[[#This Row],[Level_0]:[Level 15]]&gt;0),(Table1[[#This Row],[Level_0]:[Level 15]]))</f>
        <v>7720113005 - [SPA Medical donations - Serv.&amp;Consult.]</v>
      </c>
      <c r="U615" s="22">
        <v>610</v>
      </c>
      <c r="W615" s="13" t="str">
        <f>LOOKUP(1,1/(Table1[[#This Row],[Level_0]:[Level 15]]&gt;0),(Table1[[#This Row],[Level_0]:[Level 15]]))</f>
        <v>7720113005 - [SPA Medical donations - Serv.&amp;Consult.]</v>
      </c>
    </row>
    <row r="616" spans="1:23" hidden="1" x14ac:dyDescent="0.25">
      <c r="A616">
        <v>7720113004</v>
      </c>
      <c r="B616" s="16" t="s">
        <v>21669</v>
      </c>
      <c r="C616" s="16" t="e">
        <f>VLOOKUP(Table1[[#This Row],[Node]],Parent!A:B,2,0)</f>
        <v>#N/A</v>
      </c>
      <c r="D616" s="25" t="s">
        <v>19346</v>
      </c>
      <c r="E616" s="26" t="s">
        <v>16544</v>
      </c>
      <c r="F616" s="27" t="s">
        <v>16830</v>
      </c>
      <c r="G616" s="27" t="s">
        <v>16831</v>
      </c>
      <c r="H616" s="27" t="s">
        <v>16881</v>
      </c>
      <c r="I616" s="27" t="s">
        <v>17124</v>
      </c>
      <c r="J616" s="27"/>
      <c r="K616" s="27"/>
      <c r="L616" s="27"/>
      <c r="N616" s="27"/>
      <c r="T616" s="28" t="str">
        <f>LOOKUP(1,1/(Table1[[#This Row],[Level_0]:[Level 15]]&gt;0),(Table1[[#This Row],[Level_0]:[Level 15]]))</f>
        <v>7720113004 - [SPA Medical donations - IT &amp; Teleco.]</v>
      </c>
      <c r="U616" s="22">
        <v>611</v>
      </c>
      <c r="W616" s="13" t="str">
        <f>LOOKUP(1,1/(Table1[[#This Row],[Level_0]:[Level 15]]&gt;0),(Table1[[#This Row],[Level_0]:[Level 15]]))</f>
        <v>7720113004 - [SPA Medical donations - IT &amp; Teleco.]</v>
      </c>
    </row>
    <row r="617" spans="1:23" hidden="1" x14ac:dyDescent="0.25">
      <c r="A617">
        <v>7720113003</v>
      </c>
      <c r="B617" s="16" t="s">
        <v>21668</v>
      </c>
      <c r="C617" s="16" t="e">
        <f>VLOOKUP(Table1[[#This Row],[Node]],Parent!A:B,2,0)</f>
        <v>#N/A</v>
      </c>
      <c r="D617" s="25" t="s">
        <v>19346</v>
      </c>
      <c r="E617" s="26" t="s">
        <v>16544</v>
      </c>
      <c r="F617" s="27" t="s">
        <v>16830</v>
      </c>
      <c r="G617" s="27" t="s">
        <v>16831</v>
      </c>
      <c r="H617" s="27" t="s">
        <v>16881</v>
      </c>
      <c r="I617" s="27" t="s">
        <v>17125</v>
      </c>
      <c r="J617" s="27"/>
      <c r="K617" s="27"/>
      <c r="L617" s="27"/>
      <c r="N617" s="27"/>
      <c r="T617" s="28" t="str">
        <f>LOOKUP(1,1/(Table1[[#This Row],[Level_0]:[Level 15]]&gt;0),(Table1[[#This Row],[Level_0]:[Level 15]]))</f>
        <v>7720113003 - [SPA Medical donations - Prom.&amp;Advert.]</v>
      </c>
      <c r="U617" s="22">
        <v>612</v>
      </c>
      <c r="W617" s="13" t="str">
        <f>LOOKUP(1,1/(Table1[[#This Row],[Level_0]:[Level 15]]&gt;0),(Table1[[#This Row],[Level_0]:[Level 15]]))</f>
        <v>7720113003 - [SPA Medical donations - Prom.&amp;Advert.]</v>
      </c>
    </row>
    <row r="618" spans="1:23" hidden="1" x14ac:dyDescent="0.25">
      <c r="A618">
        <v>7720113002</v>
      </c>
      <c r="B618" s="16" t="s">
        <v>21667</v>
      </c>
      <c r="C618" s="16" t="e">
        <f>VLOOKUP(Table1[[#This Row],[Node]],Parent!A:B,2,0)</f>
        <v>#N/A</v>
      </c>
      <c r="D618" s="25" t="s">
        <v>19346</v>
      </c>
      <c r="E618" s="26" t="s">
        <v>16544</v>
      </c>
      <c r="F618" s="27" t="s">
        <v>16830</v>
      </c>
      <c r="G618" s="27" t="s">
        <v>16831</v>
      </c>
      <c r="H618" s="27" t="s">
        <v>16881</v>
      </c>
      <c r="I618" s="27" t="s">
        <v>17126</v>
      </c>
      <c r="J618" s="27"/>
      <c r="K618" s="27"/>
      <c r="L618" s="27"/>
      <c r="N618" s="27"/>
      <c r="T618" s="28" t="str">
        <f>LOOKUP(1,1/(Table1[[#This Row],[Level_0]:[Level 15]]&gt;0),(Table1[[#This Row],[Level_0]:[Level 15]]))</f>
        <v>7720113002 - [SPA Medical donations - Depreciation]</v>
      </c>
      <c r="U618" s="22">
        <v>613</v>
      </c>
      <c r="W618" s="13" t="str">
        <f>LOOKUP(1,1/(Table1[[#This Row],[Level_0]:[Level 15]]&gt;0),(Table1[[#This Row],[Level_0]:[Level 15]]))</f>
        <v>7720113002 - [SPA Medical donations - Depreciation]</v>
      </c>
    </row>
    <row r="619" spans="1:23" hidden="1" x14ac:dyDescent="0.25">
      <c r="A619">
        <v>7720113001</v>
      </c>
      <c r="B619" s="16" t="s">
        <v>21666</v>
      </c>
      <c r="C619" s="16" t="e">
        <f>VLOOKUP(Table1[[#This Row],[Node]],Parent!A:B,2,0)</f>
        <v>#N/A</v>
      </c>
      <c r="D619" s="25" t="s">
        <v>19346</v>
      </c>
      <c r="E619" s="26" t="s">
        <v>16544</v>
      </c>
      <c r="F619" s="27" t="s">
        <v>16830</v>
      </c>
      <c r="G619" s="27" t="s">
        <v>16831</v>
      </c>
      <c r="H619" s="27" t="s">
        <v>16881</v>
      </c>
      <c r="I619" s="27" t="s">
        <v>17127</v>
      </c>
      <c r="J619" s="27"/>
      <c r="K619" s="27"/>
      <c r="L619" s="27"/>
      <c r="N619" s="27"/>
      <c r="T619" s="28" t="str">
        <f>LOOKUP(1,1/(Table1[[#This Row],[Level_0]:[Level 15]]&gt;0),(Table1[[#This Row],[Level_0]:[Level 15]]))</f>
        <v>7720113001 - [SPA Medical donations - Personnel]</v>
      </c>
      <c r="U619" s="22">
        <v>614</v>
      </c>
      <c r="W619" s="13" t="str">
        <f>LOOKUP(1,1/(Table1[[#This Row],[Level_0]:[Level 15]]&gt;0),(Table1[[#This Row],[Level_0]:[Level 15]]))</f>
        <v>7720113001 - [SPA Medical donations - Personnel]</v>
      </c>
    </row>
    <row r="620" spans="1:23" hidden="1" x14ac:dyDescent="0.25">
      <c r="A620">
        <v>7720113000</v>
      </c>
      <c r="B620" s="16" t="s">
        <v>21665</v>
      </c>
      <c r="C620" s="16" t="e">
        <f>VLOOKUP(Table1[[#This Row],[Node]],Parent!A:B,2,0)</f>
        <v>#N/A</v>
      </c>
      <c r="D620" s="25" t="s">
        <v>19346</v>
      </c>
      <c r="E620" s="26" t="s">
        <v>16544</v>
      </c>
      <c r="F620" s="27" t="s">
        <v>16830</v>
      </c>
      <c r="G620" s="27" t="s">
        <v>16831</v>
      </c>
      <c r="H620" s="27" t="s">
        <v>16881</v>
      </c>
      <c r="I620" s="27" t="s">
        <v>17128</v>
      </c>
      <c r="J620" s="27"/>
      <c r="K620" s="27"/>
      <c r="L620" s="27"/>
      <c r="N620" s="27"/>
      <c r="T620" s="28" t="str">
        <f>LOOKUP(1,1/(Table1[[#This Row],[Level_0]:[Level 15]]&gt;0),(Table1[[#This Row],[Level_0]:[Level 15]]))</f>
        <v>7720113000 - [SPA Medical donations]</v>
      </c>
      <c r="U620" s="22">
        <v>615</v>
      </c>
      <c r="W620" s="13" t="str">
        <f>LOOKUP(1,1/(Table1[[#This Row],[Level_0]:[Level 15]]&gt;0),(Table1[[#This Row],[Level_0]:[Level 15]]))</f>
        <v>7720113000 - [SPA Medical donations]</v>
      </c>
    </row>
    <row r="621" spans="1:23" hidden="1" x14ac:dyDescent="0.25">
      <c r="A621">
        <v>7720112007</v>
      </c>
      <c r="B621" s="16" t="s">
        <v>21664</v>
      </c>
      <c r="C621" s="16" t="e">
        <f>VLOOKUP(Table1[[#This Row],[Node]],Parent!A:B,2,0)</f>
        <v>#N/A</v>
      </c>
      <c r="D621" s="25" t="s">
        <v>19346</v>
      </c>
      <c r="E621" s="26" t="s">
        <v>16544</v>
      </c>
      <c r="F621" s="27" t="s">
        <v>16830</v>
      </c>
      <c r="G621" s="27" t="s">
        <v>16831</v>
      </c>
      <c r="H621" s="27" t="s">
        <v>16881</v>
      </c>
      <c r="I621" s="27" t="s">
        <v>17129</v>
      </c>
      <c r="J621" s="27"/>
      <c r="K621" s="27"/>
      <c r="L621" s="27"/>
      <c r="N621" s="27"/>
      <c r="T621" s="28" t="str">
        <f>LOOKUP(1,1/(Table1[[#This Row],[Level_0]:[Level 15]]&gt;0),(Table1[[#This Row],[Level_0]:[Level 15]]))</f>
        <v>7720112007 - [SPA Medical education - Other]</v>
      </c>
      <c r="U621" s="22">
        <v>616</v>
      </c>
      <c r="W621" s="13" t="str">
        <f>LOOKUP(1,1/(Table1[[#This Row],[Level_0]:[Level 15]]&gt;0),(Table1[[#This Row],[Level_0]:[Level 15]]))</f>
        <v>7720112007 - [SPA Medical education - Other]</v>
      </c>
    </row>
    <row r="622" spans="1:23" hidden="1" x14ac:dyDescent="0.25">
      <c r="A622">
        <v>7720112006</v>
      </c>
      <c r="B622" s="16" t="s">
        <v>21663</v>
      </c>
      <c r="C622" s="16" t="e">
        <f>VLOOKUP(Table1[[#This Row],[Node]],Parent!A:B,2,0)</f>
        <v>#N/A</v>
      </c>
      <c r="D622" s="25" t="s">
        <v>19346</v>
      </c>
      <c r="E622" s="26" t="s">
        <v>16544</v>
      </c>
      <c r="F622" s="27" t="s">
        <v>16830</v>
      </c>
      <c r="G622" s="27" t="s">
        <v>16831</v>
      </c>
      <c r="H622" s="27" t="s">
        <v>16881</v>
      </c>
      <c r="I622" s="27" t="s">
        <v>17130</v>
      </c>
      <c r="J622" s="27"/>
      <c r="K622" s="27"/>
      <c r="L622" s="27"/>
      <c r="N622" s="27"/>
      <c r="T622" s="28" t="str">
        <f>LOOKUP(1,1/(Table1[[#This Row],[Level_0]:[Level 15]]&gt;0),(Table1[[#This Row],[Level_0]:[Level 15]]))</f>
        <v>7720112006 - [SPA Medical education - T&amp;E]</v>
      </c>
      <c r="U622" s="22">
        <v>617</v>
      </c>
      <c r="W622" s="13" t="str">
        <f>LOOKUP(1,1/(Table1[[#This Row],[Level_0]:[Level 15]]&gt;0),(Table1[[#This Row],[Level_0]:[Level 15]]))</f>
        <v>7720112006 - [SPA Medical education - T&amp;E]</v>
      </c>
    </row>
    <row r="623" spans="1:23" hidden="1" x14ac:dyDescent="0.25">
      <c r="A623">
        <v>7720112005</v>
      </c>
      <c r="B623" s="16" t="s">
        <v>21662</v>
      </c>
      <c r="C623" s="16" t="e">
        <f>VLOOKUP(Table1[[#This Row],[Node]],Parent!A:B,2,0)</f>
        <v>#N/A</v>
      </c>
      <c r="D623" s="25" t="s">
        <v>19346</v>
      </c>
      <c r="E623" s="26" t="s">
        <v>16544</v>
      </c>
      <c r="F623" s="27" t="s">
        <v>16830</v>
      </c>
      <c r="G623" s="27" t="s">
        <v>16831</v>
      </c>
      <c r="H623" s="27" t="s">
        <v>16881</v>
      </c>
      <c r="I623" s="27" t="s">
        <v>17131</v>
      </c>
      <c r="J623" s="27"/>
      <c r="K623" s="27"/>
      <c r="L623" s="27"/>
      <c r="N623" s="27"/>
      <c r="T623" s="28" t="str">
        <f>LOOKUP(1,1/(Table1[[#This Row],[Level_0]:[Level 15]]&gt;0),(Table1[[#This Row],[Level_0]:[Level 15]]))</f>
        <v>7720112005 - [SPA Medical education - Serv.&amp;Consult.]</v>
      </c>
      <c r="U623" s="22">
        <v>618</v>
      </c>
      <c r="W623" s="13" t="str">
        <f>LOOKUP(1,1/(Table1[[#This Row],[Level_0]:[Level 15]]&gt;0),(Table1[[#This Row],[Level_0]:[Level 15]]))</f>
        <v>7720112005 - [SPA Medical education - Serv.&amp;Consult.]</v>
      </c>
    </row>
    <row r="624" spans="1:23" hidden="1" x14ac:dyDescent="0.25">
      <c r="A624">
        <v>7720112004</v>
      </c>
      <c r="B624" s="16" t="s">
        <v>21661</v>
      </c>
      <c r="C624" s="16" t="e">
        <f>VLOOKUP(Table1[[#This Row],[Node]],Parent!A:B,2,0)</f>
        <v>#N/A</v>
      </c>
      <c r="D624" s="25" t="s">
        <v>19346</v>
      </c>
      <c r="E624" s="26" t="s">
        <v>16544</v>
      </c>
      <c r="F624" s="27" t="s">
        <v>16830</v>
      </c>
      <c r="G624" s="27" t="s">
        <v>16831</v>
      </c>
      <c r="H624" s="27" t="s">
        <v>16881</v>
      </c>
      <c r="I624" s="27" t="s">
        <v>17132</v>
      </c>
      <c r="J624" s="27"/>
      <c r="K624" s="27"/>
      <c r="L624" s="27"/>
      <c r="N624" s="27"/>
      <c r="T624" s="28" t="str">
        <f>LOOKUP(1,1/(Table1[[#This Row],[Level_0]:[Level 15]]&gt;0),(Table1[[#This Row],[Level_0]:[Level 15]]))</f>
        <v>7720112004 - [SPA Medical education - IT &amp; Teleco.]</v>
      </c>
      <c r="U624" s="22">
        <v>619</v>
      </c>
      <c r="W624" s="13" t="str">
        <f>LOOKUP(1,1/(Table1[[#This Row],[Level_0]:[Level 15]]&gt;0),(Table1[[#This Row],[Level_0]:[Level 15]]))</f>
        <v>7720112004 - [SPA Medical education - IT &amp; Teleco.]</v>
      </c>
    </row>
    <row r="625" spans="1:23" hidden="1" x14ac:dyDescent="0.25">
      <c r="A625">
        <v>7720112003</v>
      </c>
      <c r="B625" s="16" t="s">
        <v>21660</v>
      </c>
      <c r="C625" s="16" t="e">
        <f>VLOOKUP(Table1[[#This Row],[Node]],Parent!A:B,2,0)</f>
        <v>#N/A</v>
      </c>
      <c r="D625" s="25" t="s">
        <v>19346</v>
      </c>
      <c r="E625" s="26" t="s">
        <v>16544</v>
      </c>
      <c r="F625" s="27" t="s">
        <v>16830</v>
      </c>
      <c r="G625" s="27" t="s">
        <v>16831</v>
      </c>
      <c r="H625" s="27" t="s">
        <v>16881</v>
      </c>
      <c r="I625" s="27" t="s">
        <v>17133</v>
      </c>
      <c r="J625" s="27"/>
      <c r="K625" s="27"/>
      <c r="L625" s="27"/>
      <c r="N625" s="27"/>
      <c r="T625" s="28" t="str">
        <f>LOOKUP(1,1/(Table1[[#This Row],[Level_0]:[Level 15]]&gt;0),(Table1[[#This Row],[Level_0]:[Level 15]]))</f>
        <v>7720112003 - [SPA Medical education - Prom.&amp;Advert.]</v>
      </c>
      <c r="U625" s="22">
        <v>620</v>
      </c>
      <c r="W625" s="13" t="str">
        <f>LOOKUP(1,1/(Table1[[#This Row],[Level_0]:[Level 15]]&gt;0),(Table1[[#This Row],[Level_0]:[Level 15]]))</f>
        <v>7720112003 - [SPA Medical education - Prom.&amp;Advert.]</v>
      </c>
    </row>
    <row r="626" spans="1:23" hidden="1" x14ac:dyDescent="0.25">
      <c r="A626">
        <v>7720112002</v>
      </c>
      <c r="B626" s="16" t="s">
        <v>21659</v>
      </c>
      <c r="C626" s="16" t="e">
        <f>VLOOKUP(Table1[[#This Row],[Node]],Parent!A:B,2,0)</f>
        <v>#N/A</v>
      </c>
      <c r="D626" s="25" t="s">
        <v>19346</v>
      </c>
      <c r="E626" s="26" t="s">
        <v>16544</v>
      </c>
      <c r="F626" s="27" t="s">
        <v>16830</v>
      </c>
      <c r="G626" s="27" t="s">
        <v>16831</v>
      </c>
      <c r="H626" s="27" t="s">
        <v>16881</v>
      </c>
      <c r="I626" s="27" t="s">
        <v>17134</v>
      </c>
      <c r="J626" s="27"/>
      <c r="K626" s="27"/>
      <c r="L626" s="27"/>
      <c r="N626" s="27"/>
      <c r="T626" s="28" t="str">
        <f>LOOKUP(1,1/(Table1[[#This Row],[Level_0]:[Level 15]]&gt;0),(Table1[[#This Row],[Level_0]:[Level 15]]))</f>
        <v>7720112002 - [SPA Medical education - Depreciation]</v>
      </c>
      <c r="U626" s="22">
        <v>621</v>
      </c>
      <c r="W626" s="13" t="str">
        <f>LOOKUP(1,1/(Table1[[#This Row],[Level_0]:[Level 15]]&gt;0),(Table1[[#This Row],[Level_0]:[Level 15]]))</f>
        <v>7720112002 - [SPA Medical education - Depreciation]</v>
      </c>
    </row>
    <row r="627" spans="1:23" hidden="1" x14ac:dyDescent="0.25">
      <c r="A627">
        <v>7720112001</v>
      </c>
      <c r="B627" s="16" t="s">
        <v>21658</v>
      </c>
      <c r="C627" s="16" t="e">
        <f>VLOOKUP(Table1[[#This Row],[Node]],Parent!A:B,2,0)</f>
        <v>#N/A</v>
      </c>
      <c r="D627" s="25" t="s">
        <v>19346</v>
      </c>
      <c r="E627" s="26" t="s">
        <v>16544</v>
      </c>
      <c r="F627" s="27" t="s">
        <v>16830</v>
      </c>
      <c r="G627" s="27" t="s">
        <v>16831</v>
      </c>
      <c r="H627" s="27" t="s">
        <v>16881</v>
      </c>
      <c r="I627" s="27" t="s">
        <v>17135</v>
      </c>
      <c r="J627" s="27"/>
      <c r="K627" s="27"/>
      <c r="L627" s="27"/>
      <c r="N627" s="27"/>
      <c r="T627" s="28" t="str">
        <f>LOOKUP(1,1/(Table1[[#This Row],[Level_0]:[Level 15]]&gt;0),(Table1[[#This Row],[Level_0]:[Level 15]]))</f>
        <v>7720112001 - [SPA Medical education - Personnel]</v>
      </c>
      <c r="U627" s="22">
        <v>622</v>
      </c>
      <c r="W627" s="13" t="str">
        <f>LOOKUP(1,1/(Table1[[#This Row],[Level_0]:[Level 15]]&gt;0),(Table1[[#This Row],[Level_0]:[Level 15]]))</f>
        <v>7720112001 - [SPA Medical education - Personnel]</v>
      </c>
    </row>
    <row r="628" spans="1:23" hidden="1" x14ac:dyDescent="0.25">
      <c r="A628">
        <v>7720112000</v>
      </c>
      <c r="B628" s="16" t="s">
        <v>21657</v>
      </c>
      <c r="C628" s="16" t="e">
        <f>VLOOKUP(Table1[[#This Row],[Node]],Parent!A:B,2,0)</f>
        <v>#N/A</v>
      </c>
      <c r="D628" s="25" t="s">
        <v>19346</v>
      </c>
      <c r="E628" s="26" t="s">
        <v>16544</v>
      </c>
      <c r="F628" s="27" t="s">
        <v>16830</v>
      </c>
      <c r="G628" s="27" t="s">
        <v>16831</v>
      </c>
      <c r="H628" s="27" t="s">
        <v>16881</v>
      </c>
      <c r="I628" s="27" t="s">
        <v>17136</v>
      </c>
      <c r="J628" s="27"/>
      <c r="K628" s="27"/>
      <c r="L628" s="27"/>
      <c r="N628" s="27"/>
      <c r="T628" s="28" t="str">
        <f>LOOKUP(1,1/(Table1[[#This Row],[Level_0]:[Level 15]]&gt;0),(Table1[[#This Row],[Level_0]:[Level 15]]))</f>
        <v>7720112000 - [SPA Medical education]</v>
      </c>
      <c r="U628" s="22">
        <v>623</v>
      </c>
      <c r="W628" s="13" t="str">
        <f>LOOKUP(1,1/(Table1[[#This Row],[Level_0]:[Level 15]]&gt;0),(Table1[[#This Row],[Level_0]:[Level 15]]))</f>
        <v>7720112000 - [SPA Medical education]</v>
      </c>
    </row>
    <row r="629" spans="1:23" hidden="1" x14ac:dyDescent="0.25">
      <c r="A629">
        <v>7720106007</v>
      </c>
      <c r="B629" s="16" t="s">
        <v>21656</v>
      </c>
      <c r="C629" s="16" t="e">
        <f>VLOOKUP(Table1[[#This Row],[Node]],Parent!A:B,2,0)</f>
        <v>#N/A</v>
      </c>
      <c r="D629" s="25" t="s">
        <v>19346</v>
      </c>
      <c r="E629" s="26" t="s">
        <v>16544</v>
      </c>
      <c r="F629" s="27" t="s">
        <v>16830</v>
      </c>
      <c r="G629" s="27" t="s">
        <v>16831</v>
      </c>
      <c r="H629" s="27" t="s">
        <v>16881</v>
      </c>
      <c r="I629" s="27" t="s">
        <v>17137</v>
      </c>
      <c r="J629" s="27"/>
      <c r="K629" s="27"/>
      <c r="L629" s="27"/>
      <c r="N629" s="27"/>
      <c r="T629" s="28" t="str">
        <f>LOOKUP(1,1/(Table1[[#This Row],[Level_0]:[Level 15]]&gt;0),(Table1[[#This Row],[Level_0]:[Level 15]]))</f>
        <v>7720106007 - [SPA Promo.&amp;advert. oth. - Other]</v>
      </c>
      <c r="U629" s="22">
        <v>624</v>
      </c>
      <c r="W629" s="13" t="str">
        <f>LOOKUP(1,1/(Table1[[#This Row],[Level_0]:[Level 15]]&gt;0),(Table1[[#This Row],[Level_0]:[Level 15]]))</f>
        <v>7720106007 - [SPA Promo.&amp;advert. oth. - Other]</v>
      </c>
    </row>
    <row r="630" spans="1:23" hidden="1" x14ac:dyDescent="0.25">
      <c r="A630">
        <v>7720106006</v>
      </c>
      <c r="B630" s="16" t="s">
        <v>21655</v>
      </c>
      <c r="C630" s="16" t="e">
        <f>VLOOKUP(Table1[[#This Row],[Node]],Parent!A:B,2,0)</f>
        <v>#N/A</v>
      </c>
      <c r="D630" s="25" t="s">
        <v>19346</v>
      </c>
      <c r="E630" s="26" t="s">
        <v>16544</v>
      </c>
      <c r="F630" s="27" t="s">
        <v>16830</v>
      </c>
      <c r="G630" s="27" t="s">
        <v>16831</v>
      </c>
      <c r="H630" s="27" t="s">
        <v>16881</v>
      </c>
      <c r="I630" s="27" t="s">
        <v>17138</v>
      </c>
      <c r="J630" s="27"/>
      <c r="K630" s="27"/>
      <c r="L630" s="27"/>
      <c r="N630" s="27"/>
      <c r="T630" s="28" t="str">
        <f>LOOKUP(1,1/(Table1[[#This Row],[Level_0]:[Level 15]]&gt;0),(Table1[[#This Row],[Level_0]:[Level 15]]))</f>
        <v>7720106006 - [SPA Promo.&amp;advert. oth. - T&amp;E]</v>
      </c>
      <c r="U630" s="22">
        <v>625</v>
      </c>
      <c r="W630" s="13" t="str">
        <f>LOOKUP(1,1/(Table1[[#This Row],[Level_0]:[Level 15]]&gt;0),(Table1[[#This Row],[Level_0]:[Level 15]]))</f>
        <v>7720106006 - [SPA Promo.&amp;advert. oth. - T&amp;E]</v>
      </c>
    </row>
    <row r="631" spans="1:23" hidden="1" x14ac:dyDescent="0.25">
      <c r="A631">
        <v>7720106005</v>
      </c>
      <c r="B631" s="16" t="s">
        <v>21654</v>
      </c>
      <c r="C631" s="16" t="e">
        <f>VLOOKUP(Table1[[#This Row],[Node]],Parent!A:B,2,0)</f>
        <v>#N/A</v>
      </c>
      <c r="D631" s="25" t="s">
        <v>19346</v>
      </c>
      <c r="E631" s="26" t="s">
        <v>16544</v>
      </c>
      <c r="F631" s="27" t="s">
        <v>16830</v>
      </c>
      <c r="G631" s="27" t="s">
        <v>16831</v>
      </c>
      <c r="H631" s="27" t="s">
        <v>16881</v>
      </c>
      <c r="I631" s="27" t="s">
        <v>17139</v>
      </c>
      <c r="J631" s="27"/>
      <c r="K631" s="27"/>
      <c r="L631" s="27"/>
      <c r="N631" s="27"/>
      <c r="T631" s="28" t="str">
        <f>LOOKUP(1,1/(Table1[[#This Row],[Level_0]:[Level 15]]&gt;0),(Table1[[#This Row],[Level_0]:[Level 15]]))</f>
        <v>7720106005 - [SPA Promo.&amp;advert. oth. - Serv.&amp;Consult.]</v>
      </c>
      <c r="U631" s="22">
        <v>626</v>
      </c>
      <c r="W631" s="13" t="str">
        <f>LOOKUP(1,1/(Table1[[#This Row],[Level_0]:[Level 15]]&gt;0),(Table1[[#This Row],[Level_0]:[Level 15]]))</f>
        <v>7720106005 - [SPA Promo.&amp;advert. oth. - Serv.&amp;Consult.]</v>
      </c>
    </row>
    <row r="632" spans="1:23" hidden="1" x14ac:dyDescent="0.25">
      <c r="A632">
        <v>7720106004</v>
      </c>
      <c r="B632" s="16" t="s">
        <v>21653</v>
      </c>
      <c r="C632" s="16" t="e">
        <f>VLOOKUP(Table1[[#This Row],[Node]],Parent!A:B,2,0)</f>
        <v>#N/A</v>
      </c>
      <c r="D632" s="25" t="s">
        <v>19346</v>
      </c>
      <c r="E632" s="26" t="s">
        <v>16544</v>
      </c>
      <c r="F632" s="27" t="s">
        <v>16830</v>
      </c>
      <c r="G632" s="27" t="s">
        <v>16831</v>
      </c>
      <c r="H632" s="27" t="s">
        <v>16881</v>
      </c>
      <c r="I632" s="27" t="s">
        <v>17140</v>
      </c>
      <c r="J632" s="27"/>
      <c r="K632" s="27"/>
      <c r="L632" s="27"/>
      <c r="N632" s="27"/>
      <c r="T632" s="28" t="str">
        <f>LOOKUP(1,1/(Table1[[#This Row],[Level_0]:[Level 15]]&gt;0),(Table1[[#This Row],[Level_0]:[Level 15]]))</f>
        <v>7720106004 - [SPA Promo.&amp;advert. oth. - IT &amp; Teleco.]</v>
      </c>
      <c r="U632" s="22">
        <v>627</v>
      </c>
      <c r="W632" s="13" t="str">
        <f>LOOKUP(1,1/(Table1[[#This Row],[Level_0]:[Level 15]]&gt;0),(Table1[[#This Row],[Level_0]:[Level 15]]))</f>
        <v>7720106004 - [SPA Promo.&amp;advert. oth. - IT &amp; Teleco.]</v>
      </c>
    </row>
    <row r="633" spans="1:23" hidden="1" x14ac:dyDescent="0.25">
      <c r="A633">
        <v>7720106003</v>
      </c>
      <c r="B633" s="16" t="s">
        <v>21652</v>
      </c>
      <c r="C633" s="16" t="e">
        <f>VLOOKUP(Table1[[#This Row],[Node]],Parent!A:B,2,0)</f>
        <v>#N/A</v>
      </c>
      <c r="D633" s="25" t="s">
        <v>19346</v>
      </c>
      <c r="E633" s="26" t="s">
        <v>16544</v>
      </c>
      <c r="F633" s="27" t="s">
        <v>16830</v>
      </c>
      <c r="G633" s="27" t="s">
        <v>16831</v>
      </c>
      <c r="H633" s="27" t="s">
        <v>16881</v>
      </c>
      <c r="I633" s="27" t="s">
        <v>17141</v>
      </c>
      <c r="J633" s="27"/>
      <c r="K633" s="27"/>
      <c r="L633" s="27"/>
      <c r="N633" s="27"/>
      <c r="T633" s="28" t="str">
        <f>LOOKUP(1,1/(Table1[[#This Row],[Level_0]:[Level 15]]&gt;0),(Table1[[#This Row],[Level_0]:[Level 15]]))</f>
        <v>7720106003 - [SPA Promo.&amp;advert. oth. - Prom.&amp;Advert.]</v>
      </c>
      <c r="U633" s="22">
        <v>628</v>
      </c>
      <c r="W633" s="13" t="str">
        <f>LOOKUP(1,1/(Table1[[#This Row],[Level_0]:[Level 15]]&gt;0),(Table1[[#This Row],[Level_0]:[Level 15]]))</f>
        <v>7720106003 - [SPA Promo.&amp;advert. oth. - Prom.&amp;Advert.]</v>
      </c>
    </row>
    <row r="634" spans="1:23" hidden="1" x14ac:dyDescent="0.25">
      <c r="A634">
        <v>7720106002</v>
      </c>
      <c r="B634" s="16" t="s">
        <v>21651</v>
      </c>
      <c r="C634" s="16" t="e">
        <f>VLOOKUP(Table1[[#This Row],[Node]],Parent!A:B,2,0)</f>
        <v>#N/A</v>
      </c>
      <c r="D634" s="25" t="s">
        <v>19346</v>
      </c>
      <c r="E634" s="26" t="s">
        <v>16544</v>
      </c>
      <c r="F634" s="27" t="s">
        <v>16830</v>
      </c>
      <c r="G634" s="27" t="s">
        <v>16831</v>
      </c>
      <c r="H634" s="27" t="s">
        <v>16881</v>
      </c>
      <c r="I634" s="27" t="s">
        <v>17142</v>
      </c>
      <c r="J634" s="27"/>
      <c r="K634" s="27"/>
      <c r="L634" s="27"/>
      <c r="N634" s="27"/>
      <c r="T634" s="28" t="str">
        <f>LOOKUP(1,1/(Table1[[#This Row],[Level_0]:[Level 15]]&gt;0),(Table1[[#This Row],[Level_0]:[Level 15]]))</f>
        <v>7720106002 - [SPA Promo.&amp;advert. oth. - Depreciation]</v>
      </c>
      <c r="U634" s="22">
        <v>629</v>
      </c>
      <c r="W634" s="13" t="str">
        <f>LOOKUP(1,1/(Table1[[#This Row],[Level_0]:[Level 15]]&gt;0),(Table1[[#This Row],[Level_0]:[Level 15]]))</f>
        <v>7720106002 - [SPA Promo.&amp;advert. oth. - Depreciation]</v>
      </c>
    </row>
    <row r="635" spans="1:23" hidden="1" x14ac:dyDescent="0.25">
      <c r="A635">
        <v>7720106001</v>
      </c>
      <c r="B635" s="16" t="s">
        <v>21650</v>
      </c>
      <c r="C635" s="16" t="e">
        <f>VLOOKUP(Table1[[#This Row],[Node]],Parent!A:B,2,0)</f>
        <v>#N/A</v>
      </c>
      <c r="D635" s="25" t="s">
        <v>19346</v>
      </c>
      <c r="E635" s="26" t="s">
        <v>16544</v>
      </c>
      <c r="F635" s="27" t="s">
        <v>16830</v>
      </c>
      <c r="G635" s="27" t="s">
        <v>16831</v>
      </c>
      <c r="H635" s="27" t="s">
        <v>16881</v>
      </c>
      <c r="I635" s="27" t="s">
        <v>17143</v>
      </c>
      <c r="J635" s="27"/>
      <c r="K635" s="27"/>
      <c r="L635" s="27"/>
      <c r="N635" s="27"/>
      <c r="T635" s="28" t="str">
        <f>LOOKUP(1,1/(Table1[[#This Row],[Level_0]:[Level 15]]&gt;0),(Table1[[#This Row],[Level_0]:[Level 15]]))</f>
        <v>7720106001 - [SPA Promo.&amp;advert. oth. - Personnel]</v>
      </c>
      <c r="U635" s="22">
        <v>630</v>
      </c>
      <c r="W635" s="13" t="str">
        <f>LOOKUP(1,1/(Table1[[#This Row],[Level_0]:[Level 15]]&gt;0),(Table1[[#This Row],[Level_0]:[Level 15]]))</f>
        <v>7720106001 - [SPA Promo.&amp;advert. oth. - Personnel]</v>
      </c>
    </row>
    <row r="636" spans="1:23" hidden="1" x14ac:dyDescent="0.25">
      <c r="A636">
        <v>7720106000</v>
      </c>
      <c r="B636" s="16" t="s">
        <v>21649</v>
      </c>
      <c r="C636" s="16" t="e">
        <f>VLOOKUP(Table1[[#This Row],[Node]],Parent!A:B,2,0)</f>
        <v>#N/A</v>
      </c>
      <c r="D636" s="25" t="s">
        <v>19346</v>
      </c>
      <c r="E636" s="26" t="s">
        <v>16544</v>
      </c>
      <c r="F636" s="27" t="s">
        <v>16830</v>
      </c>
      <c r="G636" s="27" t="s">
        <v>16831</v>
      </c>
      <c r="H636" s="27" t="s">
        <v>16881</v>
      </c>
      <c r="I636" s="27" t="s">
        <v>17144</v>
      </c>
      <c r="J636" s="27"/>
      <c r="K636" s="27"/>
      <c r="L636" s="27"/>
      <c r="N636" s="27"/>
      <c r="T636" s="28" t="str">
        <f>LOOKUP(1,1/(Table1[[#This Row],[Level_0]:[Level 15]]&gt;0),(Table1[[#This Row],[Level_0]:[Level 15]]))</f>
        <v>7720106000 - [SPA Promotion and advertising other]</v>
      </c>
      <c r="U636" s="22">
        <v>631</v>
      </c>
      <c r="W636" s="13" t="str">
        <f>LOOKUP(1,1/(Table1[[#This Row],[Level_0]:[Level 15]]&gt;0),(Table1[[#This Row],[Level_0]:[Level 15]]))</f>
        <v>7720106000 - [SPA Promotion and advertising other]</v>
      </c>
    </row>
    <row r="637" spans="1:23" hidden="1" x14ac:dyDescent="0.25">
      <c r="A637">
        <v>7720105007</v>
      </c>
      <c r="B637" s="16" t="s">
        <v>21647</v>
      </c>
      <c r="C637" s="16" t="e">
        <f>VLOOKUP(Table1[[#This Row],[Node]],Parent!A:B,2,0)</f>
        <v>#N/A</v>
      </c>
      <c r="D637" s="25" t="s">
        <v>19346</v>
      </c>
      <c r="E637" s="26" t="s">
        <v>16544</v>
      </c>
      <c r="F637" s="27" t="s">
        <v>16830</v>
      </c>
      <c r="G637" s="27" t="s">
        <v>16831</v>
      </c>
      <c r="H637" s="27" t="s">
        <v>16881</v>
      </c>
      <c r="I637" s="27" t="s">
        <v>17145</v>
      </c>
      <c r="J637" s="27"/>
      <c r="K637" s="27"/>
      <c r="L637" s="27"/>
      <c r="N637" s="27"/>
      <c r="T637" s="28" t="str">
        <f>LOOKUP(1,1/(Table1[[#This Row],[Level_0]:[Level 15]]&gt;0),(Table1[[#This Row],[Level_0]:[Level 15]]))</f>
        <v>7720105007 - [SPA Commercial donation - Other]</v>
      </c>
      <c r="U637" s="22">
        <v>632</v>
      </c>
      <c r="W637" s="13" t="str">
        <f>LOOKUP(1,1/(Table1[[#This Row],[Level_0]:[Level 15]]&gt;0),(Table1[[#This Row],[Level_0]:[Level 15]]))</f>
        <v>7720105007 - [SPA Commercial donation - Other]</v>
      </c>
    </row>
    <row r="638" spans="1:23" hidden="1" x14ac:dyDescent="0.25">
      <c r="A638">
        <v>7720105006</v>
      </c>
      <c r="B638" s="16" t="s">
        <v>21646</v>
      </c>
      <c r="C638" s="16" t="e">
        <f>VLOOKUP(Table1[[#This Row],[Node]],Parent!A:B,2,0)</f>
        <v>#N/A</v>
      </c>
      <c r="D638" s="25" t="s">
        <v>19346</v>
      </c>
      <c r="E638" s="26" t="s">
        <v>16544</v>
      </c>
      <c r="F638" s="27" t="s">
        <v>16830</v>
      </c>
      <c r="G638" s="27" t="s">
        <v>16831</v>
      </c>
      <c r="H638" s="27" t="s">
        <v>16881</v>
      </c>
      <c r="I638" s="27" t="s">
        <v>17146</v>
      </c>
      <c r="J638" s="27"/>
      <c r="K638" s="27"/>
      <c r="L638" s="27"/>
      <c r="N638" s="27"/>
      <c r="T638" s="28" t="str">
        <f>LOOKUP(1,1/(Table1[[#This Row],[Level_0]:[Level 15]]&gt;0),(Table1[[#This Row],[Level_0]:[Level 15]]))</f>
        <v>7720105006 - [SPA Commercial donation - T&amp;E]</v>
      </c>
      <c r="U638" s="22">
        <v>633</v>
      </c>
      <c r="W638" s="13" t="str">
        <f>LOOKUP(1,1/(Table1[[#This Row],[Level_0]:[Level 15]]&gt;0),(Table1[[#This Row],[Level_0]:[Level 15]]))</f>
        <v>7720105006 - [SPA Commercial donation - T&amp;E]</v>
      </c>
    </row>
    <row r="639" spans="1:23" hidden="1" x14ac:dyDescent="0.25">
      <c r="A639">
        <v>7720105005</v>
      </c>
      <c r="B639" s="16" t="s">
        <v>21645</v>
      </c>
      <c r="C639" s="16" t="e">
        <f>VLOOKUP(Table1[[#This Row],[Node]],Parent!A:B,2,0)</f>
        <v>#N/A</v>
      </c>
      <c r="D639" s="25" t="s">
        <v>19346</v>
      </c>
      <c r="E639" s="26" t="s">
        <v>16544</v>
      </c>
      <c r="F639" s="27" t="s">
        <v>16830</v>
      </c>
      <c r="G639" s="27" t="s">
        <v>16831</v>
      </c>
      <c r="H639" s="27" t="s">
        <v>16881</v>
      </c>
      <c r="I639" s="27" t="s">
        <v>17147</v>
      </c>
      <c r="J639" s="27"/>
      <c r="K639" s="27"/>
      <c r="L639" s="27"/>
      <c r="N639" s="27"/>
      <c r="T639" s="28" t="str">
        <f>LOOKUP(1,1/(Table1[[#This Row],[Level_0]:[Level 15]]&gt;0),(Table1[[#This Row],[Level_0]:[Level 15]]))</f>
        <v>7720105005 - [SPA Commercial donation - Serv.&amp;Consult]</v>
      </c>
      <c r="U639" s="22">
        <v>634</v>
      </c>
      <c r="W639" s="13" t="str">
        <f>LOOKUP(1,1/(Table1[[#This Row],[Level_0]:[Level 15]]&gt;0),(Table1[[#This Row],[Level_0]:[Level 15]]))</f>
        <v>7720105005 - [SPA Commercial donation - Serv.&amp;Consult]</v>
      </c>
    </row>
    <row r="640" spans="1:23" hidden="1" x14ac:dyDescent="0.25">
      <c r="A640">
        <v>7720105004</v>
      </c>
      <c r="B640" s="16" t="s">
        <v>21644</v>
      </c>
      <c r="C640" s="16" t="e">
        <f>VLOOKUP(Table1[[#This Row],[Node]],Parent!A:B,2,0)</f>
        <v>#N/A</v>
      </c>
      <c r="D640" s="25" t="s">
        <v>19346</v>
      </c>
      <c r="E640" s="26" t="s">
        <v>16544</v>
      </c>
      <c r="F640" s="27" t="s">
        <v>16830</v>
      </c>
      <c r="G640" s="27" t="s">
        <v>16831</v>
      </c>
      <c r="H640" s="27" t="s">
        <v>16881</v>
      </c>
      <c r="I640" s="27" t="s">
        <v>17148</v>
      </c>
      <c r="J640" s="27"/>
      <c r="K640" s="27"/>
      <c r="L640" s="27"/>
      <c r="N640" s="27"/>
      <c r="T640" s="28" t="str">
        <f>LOOKUP(1,1/(Table1[[#This Row],[Level_0]:[Level 15]]&gt;0),(Table1[[#This Row],[Level_0]:[Level 15]]))</f>
        <v>7720105004 - [SPA Commercial donation - IT &amp; Teleco.]</v>
      </c>
      <c r="U640" s="22">
        <v>635</v>
      </c>
      <c r="W640" s="13" t="str">
        <f>LOOKUP(1,1/(Table1[[#This Row],[Level_0]:[Level 15]]&gt;0),(Table1[[#This Row],[Level_0]:[Level 15]]))</f>
        <v>7720105004 - [SPA Commercial donation - IT &amp; Teleco.]</v>
      </c>
    </row>
    <row r="641" spans="1:23" hidden="1" x14ac:dyDescent="0.25">
      <c r="A641">
        <v>7720105003</v>
      </c>
      <c r="B641" s="16" t="s">
        <v>21643</v>
      </c>
      <c r="C641" s="16" t="e">
        <f>VLOOKUP(Table1[[#This Row],[Node]],Parent!A:B,2,0)</f>
        <v>#N/A</v>
      </c>
      <c r="D641" s="25" t="s">
        <v>19346</v>
      </c>
      <c r="E641" s="26" t="s">
        <v>16544</v>
      </c>
      <c r="F641" s="27" t="s">
        <v>16830</v>
      </c>
      <c r="G641" s="27" t="s">
        <v>16831</v>
      </c>
      <c r="H641" s="27" t="s">
        <v>16881</v>
      </c>
      <c r="I641" s="27" t="s">
        <v>17149</v>
      </c>
      <c r="J641" s="27"/>
      <c r="K641" s="27"/>
      <c r="L641" s="27"/>
      <c r="N641" s="27"/>
      <c r="T641" s="28" t="str">
        <f>LOOKUP(1,1/(Table1[[#This Row],[Level_0]:[Level 15]]&gt;0),(Table1[[#This Row],[Level_0]:[Level 15]]))</f>
        <v>7720105003 - [SPA Commercial donation - Prom.&amp;Advert.]</v>
      </c>
      <c r="U641" s="22">
        <v>636</v>
      </c>
      <c r="W641" s="13" t="str">
        <f>LOOKUP(1,1/(Table1[[#This Row],[Level_0]:[Level 15]]&gt;0),(Table1[[#This Row],[Level_0]:[Level 15]]))</f>
        <v>7720105003 - [SPA Commercial donation - Prom.&amp;Advert.]</v>
      </c>
    </row>
    <row r="642" spans="1:23" hidden="1" x14ac:dyDescent="0.25">
      <c r="A642">
        <v>7720105002</v>
      </c>
      <c r="B642" s="16" t="s">
        <v>21642</v>
      </c>
      <c r="C642" s="16" t="e">
        <f>VLOOKUP(Table1[[#This Row],[Node]],Parent!A:B,2,0)</f>
        <v>#N/A</v>
      </c>
      <c r="D642" s="25" t="s">
        <v>19346</v>
      </c>
      <c r="E642" s="26" t="s">
        <v>16544</v>
      </c>
      <c r="F642" s="27" t="s">
        <v>16830</v>
      </c>
      <c r="G642" s="27" t="s">
        <v>16831</v>
      </c>
      <c r="H642" s="27" t="s">
        <v>16881</v>
      </c>
      <c r="I642" s="27" t="s">
        <v>17150</v>
      </c>
      <c r="J642" s="27"/>
      <c r="K642" s="27"/>
      <c r="L642" s="27"/>
      <c r="N642" s="27"/>
      <c r="T642" s="28" t="str">
        <f>LOOKUP(1,1/(Table1[[#This Row],[Level_0]:[Level 15]]&gt;0),(Table1[[#This Row],[Level_0]:[Level 15]]))</f>
        <v>7720105002 - [SPA Commercial donation - Depreciation]</v>
      </c>
      <c r="U642" s="22">
        <v>637</v>
      </c>
      <c r="W642" s="13" t="str">
        <f>LOOKUP(1,1/(Table1[[#This Row],[Level_0]:[Level 15]]&gt;0),(Table1[[#This Row],[Level_0]:[Level 15]]))</f>
        <v>7720105002 - [SPA Commercial donation - Depreciation]</v>
      </c>
    </row>
    <row r="643" spans="1:23" hidden="1" x14ac:dyDescent="0.25">
      <c r="A643">
        <v>7720105001</v>
      </c>
      <c r="B643" s="16" t="s">
        <v>21641</v>
      </c>
      <c r="C643" s="16" t="e">
        <f>VLOOKUP(Table1[[#This Row],[Node]],Parent!A:B,2,0)</f>
        <v>#N/A</v>
      </c>
      <c r="D643" s="25" t="s">
        <v>19346</v>
      </c>
      <c r="E643" s="26" t="s">
        <v>16544</v>
      </c>
      <c r="F643" s="27" t="s">
        <v>16830</v>
      </c>
      <c r="G643" s="27" t="s">
        <v>16831</v>
      </c>
      <c r="H643" s="27" t="s">
        <v>16881</v>
      </c>
      <c r="I643" s="27" t="s">
        <v>17151</v>
      </c>
      <c r="J643" s="27"/>
      <c r="K643" s="27"/>
      <c r="L643" s="27"/>
      <c r="N643" s="27"/>
      <c r="T643" s="28" t="str">
        <f>LOOKUP(1,1/(Table1[[#This Row],[Level_0]:[Level 15]]&gt;0),(Table1[[#This Row],[Level_0]:[Level 15]]))</f>
        <v>7720105001 - [SPA Commercial donation - Personnel]</v>
      </c>
      <c r="U643" s="22">
        <v>638</v>
      </c>
      <c r="W643" s="13" t="str">
        <f>LOOKUP(1,1/(Table1[[#This Row],[Level_0]:[Level 15]]&gt;0),(Table1[[#This Row],[Level_0]:[Level 15]]))</f>
        <v>7720105001 - [SPA Commercial donation - Personnel]</v>
      </c>
    </row>
    <row r="644" spans="1:23" hidden="1" x14ac:dyDescent="0.25">
      <c r="A644">
        <v>7720105000</v>
      </c>
      <c r="B644" s="16" t="s">
        <v>21640</v>
      </c>
      <c r="C644" s="16" t="e">
        <f>VLOOKUP(Table1[[#This Row],[Node]],Parent!A:B,2,0)</f>
        <v>#N/A</v>
      </c>
      <c r="D644" s="25" t="s">
        <v>19346</v>
      </c>
      <c r="E644" s="26" t="s">
        <v>16544</v>
      </c>
      <c r="F644" s="27" t="s">
        <v>16830</v>
      </c>
      <c r="G644" s="27" t="s">
        <v>16831</v>
      </c>
      <c r="H644" s="27" t="s">
        <v>16881</v>
      </c>
      <c r="I644" s="27" t="s">
        <v>17152</v>
      </c>
      <c r="J644" s="27"/>
      <c r="K644" s="27"/>
      <c r="L644" s="27"/>
      <c r="N644" s="27"/>
      <c r="T644" s="28" t="str">
        <f>LOOKUP(1,1/(Table1[[#This Row],[Level_0]:[Level 15]]&gt;0),(Table1[[#This Row],[Level_0]:[Level 15]]))</f>
        <v>7720105000 - [SPA Commercial donations]</v>
      </c>
      <c r="U644" s="22">
        <v>639</v>
      </c>
      <c r="W644" s="13" t="str">
        <f>LOOKUP(1,1/(Table1[[#This Row],[Level_0]:[Level 15]]&gt;0),(Table1[[#This Row],[Level_0]:[Level 15]]))</f>
        <v>7720105000 - [SPA Commercial donations]</v>
      </c>
    </row>
    <row r="645" spans="1:23" hidden="1" x14ac:dyDescent="0.25">
      <c r="A645">
        <v>7720104007</v>
      </c>
      <c r="B645" s="16" t="s">
        <v>21638</v>
      </c>
      <c r="C645" s="16" t="e">
        <f>VLOOKUP(Table1[[#This Row],[Node]],Parent!A:B,2,0)</f>
        <v>#N/A</v>
      </c>
      <c r="D645" s="25" t="s">
        <v>19346</v>
      </c>
      <c r="E645" s="26" t="s">
        <v>16544</v>
      </c>
      <c r="F645" s="27" t="s">
        <v>16830</v>
      </c>
      <c r="G645" s="27" t="s">
        <v>16831</v>
      </c>
      <c r="H645" s="27" t="s">
        <v>16881</v>
      </c>
      <c r="I645" s="27" t="s">
        <v>17153</v>
      </c>
      <c r="J645" s="27"/>
      <c r="K645" s="27"/>
      <c r="L645" s="27"/>
      <c r="N645" s="27"/>
      <c r="T645" s="28" t="str">
        <f>LOOKUP(1,1/(Table1[[#This Row],[Level_0]:[Level 15]]&gt;0),(Table1[[#This Row],[Level_0]:[Level 15]]))</f>
        <v>7720104007 - [SPA Congresses &amp; events - Other]</v>
      </c>
      <c r="U645" s="22">
        <v>640</v>
      </c>
      <c r="W645" s="13" t="str">
        <f>LOOKUP(1,1/(Table1[[#This Row],[Level_0]:[Level 15]]&gt;0),(Table1[[#This Row],[Level_0]:[Level 15]]))</f>
        <v>7720104007 - [SPA Congresses &amp; events - Other]</v>
      </c>
    </row>
    <row r="646" spans="1:23" hidden="1" x14ac:dyDescent="0.25">
      <c r="A646">
        <v>7720104006</v>
      </c>
      <c r="B646" s="16" t="s">
        <v>21637</v>
      </c>
      <c r="C646" s="16" t="e">
        <f>VLOOKUP(Table1[[#This Row],[Node]],Parent!A:B,2,0)</f>
        <v>#N/A</v>
      </c>
      <c r="D646" s="25" t="s">
        <v>19346</v>
      </c>
      <c r="E646" s="26" t="s">
        <v>16544</v>
      </c>
      <c r="F646" s="27" t="s">
        <v>16830</v>
      </c>
      <c r="G646" s="27" t="s">
        <v>16831</v>
      </c>
      <c r="H646" s="27" t="s">
        <v>16881</v>
      </c>
      <c r="I646" s="27" t="s">
        <v>17154</v>
      </c>
      <c r="J646" s="27"/>
      <c r="K646" s="27"/>
      <c r="L646" s="27"/>
      <c r="N646" s="27"/>
      <c r="T646" s="28" t="str">
        <f>LOOKUP(1,1/(Table1[[#This Row],[Level_0]:[Level 15]]&gt;0),(Table1[[#This Row],[Level_0]:[Level 15]]))</f>
        <v>7720104006 - [SPA Congresses &amp; events - T&amp;E]</v>
      </c>
      <c r="U646" s="22">
        <v>641</v>
      </c>
      <c r="W646" s="13" t="str">
        <f>LOOKUP(1,1/(Table1[[#This Row],[Level_0]:[Level 15]]&gt;0),(Table1[[#This Row],[Level_0]:[Level 15]]))</f>
        <v>7720104006 - [SPA Congresses &amp; events - T&amp;E]</v>
      </c>
    </row>
    <row r="647" spans="1:23" hidden="1" x14ac:dyDescent="0.25">
      <c r="A647">
        <v>7720104005</v>
      </c>
      <c r="B647" s="16" t="s">
        <v>21636</v>
      </c>
      <c r="C647" s="16" t="e">
        <f>VLOOKUP(Table1[[#This Row],[Node]],Parent!A:B,2,0)</f>
        <v>#N/A</v>
      </c>
      <c r="D647" s="25" t="s">
        <v>19346</v>
      </c>
      <c r="E647" s="26" t="s">
        <v>16544</v>
      </c>
      <c r="F647" s="27" t="s">
        <v>16830</v>
      </c>
      <c r="G647" s="27" t="s">
        <v>16831</v>
      </c>
      <c r="H647" s="27" t="s">
        <v>16881</v>
      </c>
      <c r="I647" s="27" t="s">
        <v>17155</v>
      </c>
      <c r="J647" s="27"/>
      <c r="K647" s="27"/>
      <c r="L647" s="27"/>
      <c r="N647" s="27"/>
      <c r="T647" s="28" t="str">
        <f>LOOKUP(1,1/(Table1[[#This Row],[Level_0]:[Level 15]]&gt;0),(Table1[[#This Row],[Level_0]:[Level 15]]))</f>
        <v>7720104005 - [SPA Congresses &amp; events - Serv.&amp;Consult.]</v>
      </c>
      <c r="U647" s="22">
        <v>642</v>
      </c>
      <c r="W647" s="13" t="str">
        <f>LOOKUP(1,1/(Table1[[#This Row],[Level_0]:[Level 15]]&gt;0),(Table1[[#This Row],[Level_0]:[Level 15]]))</f>
        <v>7720104005 - [SPA Congresses &amp; events - Serv.&amp;Consult.]</v>
      </c>
    </row>
    <row r="648" spans="1:23" hidden="1" x14ac:dyDescent="0.25">
      <c r="A648">
        <v>7720104004</v>
      </c>
      <c r="B648" s="16" t="s">
        <v>21635</v>
      </c>
      <c r="C648" s="16" t="e">
        <f>VLOOKUP(Table1[[#This Row],[Node]],Parent!A:B,2,0)</f>
        <v>#N/A</v>
      </c>
      <c r="D648" s="25" t="s">
        <v>19346</v>
      </c>
      <c r="E648" s="26" t="s">
        <v>16544</v>
      </c>
      <c r="F648" s="27" t="s">
        <v>16830</v>
      </c>
      <c r="G648" s="27" t="s">
        <v>16831</v>
      </c>
      <c r="H648" s="27" t="s">
        <v>16881</v>
      </c>
      <c r="I648" s="27" t="s">
        <v>17156</v>
      </c>
      <c r="J648" s="27"/>
      <c r="K648" s="27"/>
      <c r="L648" s="27"/>
      <c r="N648" s="27"/>
      <c r="T648" s="28" t="str">
        <f>LOOKUP(1,1/(Table1[[#This Row],[Level_0]:[Level 15]]&gt;0),(Table1[[#This Row],[Level_0]:[Level 15]]))</f>
        <v>7720104004 - [SPA Congresses &amp; events - IT &amp; Teleco.]</v>
      </c>
      <c r="U648" s="22">
        <v>643</v>
      </c>
      <c r="W648" s="13" t="str">
        <f>LOOKUP(1,1/(Table1[[#This Row],[Level_0]:[Level 15]]&gt;0),(Table1[[#This Row],[Level_0]:[Level 15]]))</f>
        <v>7720104004 - [SPA Congresses &amp; events - IT &amp; Teleco.]</v>
      </c>
    </row>
    <row r="649" spans="1:23" hidden="1" x14ac:dyDescent="0.25">
      <c r="A649">
        <v>7720104003</v>
      </c>
      <c r="B649" s="16" t="s">
        <v>21634</v>
      </c>
      <c r="C649" s="16" t="e">
        <f>VLOOKUP(Table1[[#This Row],[Node]],Parent!A:B,2,0)</f>
        <v>#N/A</v>
      </c>
      <c r="D649" s="25" t="s">
        <v>19346</v>
      </c>
      <c r="E649" s="26" t="s">
        <v>16544</v>
      </c>
      <c r="F649" s="27" t="s">
        <v>16830</v>
      </c>
      <c r="G649" s="27" t="s">
        <v>16831</v>
      </c>
      <c r="H649" s="27" t="s">
        <v>16881</v>
      </c>
      <c r="I649" s="27" t="s">
        <v>17157</v>
      </c>
      <c r="J649" s="27"/>
      <c r="K649" s="27"/>
      <c r="L649" s="27"/>
      <c r="N649" s="27"/>
      <c r="T649" s="28" t="str">
        <f>LOOKUP(1,1/(Table1[[#This Row],[Level_0]:[Level 15]]&gt;0),(Table1[[#This Row],[Level_0]:[Level 15]]))</f>
        <v>7720104003 - [SPA Congresses &amp; events - Prom.&amp;Advert.]</v>
      </c>
      <c r="U649" s="22">
        <v>644</v>
      </c>
      <c r="W649" s="13" t="str">
        <f>LOOKUP(1,1/(Table1[[#This Row],[Level_0]:[Level 15]]&gt;0),(Table1[[#This Row],[Level_0]:[Level 15]]))</f>
        <v>7720104003 - [SPA Congresses &amp; events - Prom.&amp;Advert.]</v>
      </c>
    </row>
    <row r="650" spans="1:23" hidden="1" x14ac:dyDescent="0.25">
      <c r="A650">
        <v>7720104002</v>
      </c>
      <c r="B650" s="16" t="s">
        <v>21633</v>
      </c>
      <c r="C650" s="16" t="e">
        <f>VLOOKUP(Table1[[#This Row],[Node]],Parent!A:B,2,0)</f>
        <v>#N/A</v>
      </c>
      <c r="D650" s="25" t="s">
        <v>19346</v>
      </c>
      <c r="E650" s="26" t="s">
        <v>16544</v>
      </c>
      <c r="F650" s="27" t="s">
        <v>16830</v>
      </c>
      <c r="G650" s="27" t="s">
        <v>16831</v>
      </c>
      <c r="H650" s="27" t="s">
        <v>16881</v>
      </c>
      <c r="I650" s="27" t="s">
        <v>17158</v>
      </c>
      <c r="J650" s="27"/>
      <c r="K650" s="27"/>
      <c r="L650" s="27"/>
      <c r="N650" s="27"/>
      <c r="T650" s="28" t="str">
        <f>LOOKUP(1,1/(Table1[[#This Row],[Level_0]:[Level 15]]&gt;0),(Table1[[#This Row],[Level_0]:[Level 15]]))</f>
        <v>7720104002 - [SPA Congresses &amp; events - Depreciation]</v>
      </c>
      <c r="U650" s="22">
        <v>645</v>
      </c>
      <c r="W650" s="13" t="str">
        <f>LOOKUP(1,1/(Table1[[#This Row],[Level_0]:[Level 15]]&gt;0),(Table1[[#This Row],[Level_0]:[Level 15]]))</f>
        <v>7720104002 - [SPA Congresses &amp; events - Depreciation]</v>
      </c>
    </row>
    <row r="651" spans="1:23" hidden="1" x14ac:dyDescent="0.25">
      <c r="A651">
        <v>7720104001</v>
      </c>
      <c r="B651" s="16" t="s">
        <v>21632</v>
      </c>
      <c r="C651" s="16" t="e">
        <f>VLOOKUP(Table1[[#This Row],[Node]],Parent!A:B,2,0)</f>
        <v>#N/A</v>
      </c>
      <c r="D651" s="25" t="s">
        <v>19346</v>
      </c>
      <c r="E651" s="26" t="s">
        <v>16544</v>
      </c>
      <c r="F651" s="27" t="s">
        <v>16830</v>
      </c>
      <c r="G651" s="27" t="s">
        <v>16831</v>
      </c>
      <c r="H651" s="27" t="s">
        <v>16881</v>
      </c>
      <c r="I651" s="27" t="s">
        <v>17159</v>
      </c>
      <c r="J651" s="27"/>
      <c r="K651" s="27"/>
      <c r="L651" s="27"/>
      <c r="N651" s="27"/>
      <c r="T651" s="28" t="str">
        <f>LOOKUP(1,1/(Table1[[#This Row],[Level_0]:[Level 15]]&gt;0),(Table1[[#This Row],[Level_0]:[Level 15]]))</f>
        <v>7720104001 - [SPA Congresses &amp; events - Personnel]</v>
      </c>
      <c r="U651" s="22">
        <v>646</v>
      </c>
      <c r="W651" s="13" t="str">
        <f>LOOKUP(1,1/(Table1[[#This Row],[Level_0]:[Level 15]]&gt;0),(Table1[[#This Row],[Level_0]:[Level 15]]))</f>
        <v>7720104001 - [SPA Congresses &amp; events - Personnel]</v>
      </c>
    </row>
    <row r="652" spans="1:23" hidden="1" x14ac:dyDescent="0.25">
      <c r="A652">
        <v>7720104000</v>
      </c>
      <c r="B652" s="16" t="s">
        <v>21631</v>
      </c>
      <c r="C652" s="16" t="e">
        <f>VLOOKUP(Table1[[#This Row],[Node]],Parent!A:B,2,0)</f>
        <v>#N/A</v>
      </c>
      <c r="D652" s="25" t="s">
        <v>19346</v>
      </c>
      <c r="E652" s="26" t="s">
        <v>16544</v>
      </c>
      <c r="F652" s="27" t="s">
        <v>16830</v>
      </c>
      <c r="G652" s="27" t="s">
        <v>16831</v>
      </c>
      <c r="H652" s="27" t="s">
        <v>16881</v>
      </c>
      <c r="I652" s="27" t="s">
        <v>17160</v>
      </c>
      <c r="J652" s="27"/>
      <c r="K652" s="27"/>
      <c r="L652" s="27"/>
      <c r="N652" s="27"/>
      <c r="T652" s="28" t="str">
        <f>LOOKUP(1,1/(Table1[[#This Row],[Level_0]:[Level 15]]&gt;0),(Table1[[#This Row],[Level_0]:[Level 15]]))</f>
        <v>7720104000 - [SPA Congress &amp; events]</v>
      </c>
      <c r="U652" s="22">
        <v>647</v>
      </c>
      <c r="W652" s="13" t="str">
        <f>LOOKUP(1,1/(Table1[[#This Row],[Level_0]:[Level 15]]&gt;0),(Table1[[#This Row],[Level_0]:[Level 15]]))</f>
        <v>7720104000 - [SPA Congress &amp; events]</v>
      </c>
    </row>
    <row r="653" spans="1:23" hidden="1" x14ac:dyDescent="0.25">
      <c r="A653">
        <v>7720103007</v>
      </c>
      <c r="B653" s="16" t="s">
        <v>21629</v>
      </c>
      <c r="C653" s="16" t="e">
        <f>VLOOKUP(Table1[[#This Row],[Node]],Parent!A:B,2,0)</f>
        <v>#N/A</v>
      </c>
      <c r="D653" s="25" t="s">
        <v>19346</v>
      </c>
      <c r="E653" s="26" t="s">
        <v>16544</v>
      </c>
      <c r="F653" s="27" t="s">
        <v>16830</v>
      </c>
      <c r="G653" s="27" t="s">
        <v>16831</v>
      </c>
      <c r="H653" s="27" t="s">
        <v>16881</v>
      </c>
      <c r="I653" s="27" t="s">
        <v>17161</v>
      </c>
      <c r="J653" s="27"/>
      <c r="K653" s="27"/>
      <c r="L653" s="27"/>
      <c r="N653" s="27"/>
      <c r="T653" s="28" t="str">
        <f>LOOKUP(1,1/(Table1[[#This Row],[Level_0]:[Level 15]]&gt;0),(Table1[[#This Row],[Level_0]:[Level 15]]))</f>
        <v>7720103007 - [SPA Advertising - Other]</v>
      </c>
      <c r="U653" s="22">
        <v>648</v>
      </c>
      <c r="W653" s="13" t="str">
        <f>LOOKUP(1,1/(Table1[[#This Row],[Level_0]:[Level 15]]&gt;0),(Table1[[#This Row],[Level_0]:[Level 15]]))</f>
        <v>7720103007 - [SPA Advertising - Other]</v>
      </c>
    </row>
    <row r="654" spans="1:23" hidden="1" x14ac:dyDescent="0.25">
      <c r="A654">
        <v>7720103006</v>
      </c>
      <c r="B654" s="16" t="s">
        <v>21628</v>
      </c>
      <c r="C654" s="16" t="e">
        <f>VLOOKUP(Table1[[#This Row],[Node]],Parent!A:B,2,0)</f>
        <v>#N/A</v>
      </c>
      <c r="D654" s="25" t="s">
        <v>19346</v>
      </c>
      <c r="E654" s="26" t="s">
        <v>16544</v>
      </c>
      <c r="F654" s="27" t="s">
        <v>16830</v>
      </c>
      <c r="G654" s="27" t="s">
        <v>16831</v>
      </c>
      <c r="H654" s="27" t="s">
        <v>16881</v>
      </c>
      <c r="I654" s="27" t="s">
        <v>17162</v>
      </c>
      <c r="J654" s="27"/>
      <c r="K654" s="27"/>
      <c r="L654" s="27"/>
      <c r="N654" s="27"/>
      <c r="T654" s="28" t="str">
        <f>LOOKUP(1,1/(Table1[[#This Row],[Level_0]:[Level 15]]&gt;0),(Table1[[#This Row],[Level_0]:[Level 15]]))</f>
        <v>7720103006 - [SPA Advertising - T&amp;E]</v>
      </c>
      <c r="U654" s="22">
        <v>649</v>
      </c>
      <c r="W654" s="13" t="str">
        <f>LOOKUP(1,1/(Table1[[#This Row],[Level_0]:[Level 15]]&gt;0),(Table1[[#This Row],[Level_0]:[Level 15]]))</f>
        <v>7720103006 - [SPA Advertising - T&amp;E]</v>
      </c>
    </row>
    <row r="655" spans="1:23" hidden="1" x14ac:dyDescent="0.25">
      <c r="A655">
        <v>7720103005</v>
      </c>
      <c r="B655" s="16" t="s">
        <v>21627</v>
      </c>
      <c r="C655" s="16" t="e">
        <f>VLOOKUP(Table1[[#This Row],[Node]],Parent!A:B,2,0)</f>
        <v>#N/A</v>
      </c>
      <c r="D655" s="25" t="s">
        <v>19346</v>
      </c>
      <c r="E655" s="26" t="s">
        <v>16544</v>
      </c>
      <c r="F655" s="27" t="s">
        <v>16830</v>
      </c>
      <c r="G655" s="27" t="s">
        <v>16831</v>
      </c>
      <c r="H655" s="27" t="s">
        <v>16881</v>
      </c>
      <c r="I655" s="27" t="s">
        <v>17163</v>
      </c>
      <c r="J655" s="27"/>
      <c r="K655" s="27"/>
      <c r="L655" s="27"/>
      <c r="N655" s="27"/>
      <c r="T655" s="28" t="str">
        <f>LOOKUP(1,1/(Table1[[#This Row],[Level_0]:[Level 15]]&gt;0),(Table1[[#This Row],[Level_0]:[Level 15]]))</f>
        <v>7720103005 - [SPA Advertising - Serv.&amp;Consult.]</v>
      </c>
      <c r="U655" s="22">
        <v>650</v>
      </c>
      <c r="W655" s="13" t="str">
        <f>LOOKUP(1,1/(Table1[[#This Row],[Level_0]:[Level 15]]&gt;0),(Table1[[#This Row],[Level_0]:[Level 15]]))</f>
        <v>7720103005 - [SPA Advertising - Serv.&amp;Consult.]</v>
      </c>
    </row>
    <row r="656" spans="1:23" hidden="1" x14ac:dyDescent="0.25">
      <c r="A656">
        <v>7720103004</v>
      </c>
      <c r="B656" s="16" t="s">
        <v>21626</v>
      </c>
      <c r="C656" s="16" t="e">
        <f>VLOOKUP(Table1[[#This Row],[Node]],Parent!A:B,2,0)</f>
        <v>#N/A</v>
      </c>
      <c r="D656" s="25" t="s">
        <v>19346</v>
      </c>
      <c r="E656" s="26" t="s">
        <v>16544</v>
      </c>
      <c r="F656" s="27" t="s">
        <v>16830</v>
      </c>
      <c r="G656" s="27" t="s">
        <v>16831</v>
      </c>
      <c r="H656" s="27" t="s">
        <v>16881</v>
      </c>
      <c r="I656" s="27" t="s">
        <v>17164</v>
      </c>
      <c r="J656" s="27"/>
      <c r="K656" s="27"/>
      <c r="L656" s="27"/>
      <c r="N656" s="27"/>
      <c r="T656" s="28" t="str">
        <f>LOOKUP(1,1/(Table1[[#This Row],[Level_0]:[Level 15]]&gt;0),(Table1[[#This Row],[Level_0]:[Level 15]]))</f>
        <v>7720103004 - [SPA Advertising - IT &amp; Teleco.]</v>
      </c>
      <c r="U656" s="22">
        <v>651</v>
      </c>
      <c r="W656" s="13" t="str">
        <f>LOOKUP(1,1/(Table1[[#This Row],[Level_0]:[Level 15]]&gt;0),(Table1[[#This Row],[Level_0]:[Level 15]]))</f>
        <v>7720103004 - [SPA Advertising - IT &amp; Teleco.]</v>
      </c>
    </row>
    <row r="657" spans="1:23" hidden="1" x14ac:dyDescent="0.25">
      <c r="A657">
        <v>7720103003</v>
      </c>
      <c r="B657" s="16" t="s">
        <v>21625</v>
      </c>
      <c r="C657" s="16" t="e">
        <f>VLOOKUP(Table1[[#This Row],[Node]],Parent!A:B,2,0)</f>
        <v>#N/A</v>
      </c>
      <c r="D657" s="25" t="s">
        <v>19346</v>
      </c>
      <c r="E657" s="26" t="s">
        <v>16544</v>
      </c>
      <c r="F657" s="27" t="s">
        <v>16830</v>
      </c>
      <c r="G657" s="27" t="s">
        <v>16831</v>
      </c>
      <c r="H657" s="27" t="s">
        <v>16881</v>
      </c>
      <c r="I657" s="27" t="s">
        <v>17165</v>
      </c>
      <c r="J657" s="27"/>
      <c r="K657" s="27"/>
      <c r="L657" s="27"/>
      <c r="N657" s="27"/>
      <c r="T657" s="28" t="str">
        <f>LOOKUP(1,1/(Table1[[#This Row],[Level_0]:[Level 15]]&gt;0),(Table1[[#This Row],[Level_0]:[Level 15]]))</f>
        <v>7720103003 - [SPA Advertising - Prom.&amp;Advert.]</v>
      </c>
      <c r="U657" s="22">
        <v>652</v>
      </c>
      <c r="W657" s="13" t="str">
        <f>LOOKUP(1,1/(Table1[[#This Row],[Level_0]:[Level 15]]&gt;0),(Table1[[#This Row],[Level_0]:[Level 15]]))</f>
        <v>7720103003 - [SPA Advertising - Prom.&amp;Advert.]</v>
      </c>
    </row>
    <row r="658" spans="1:23" hidden="1" x14ac:dyDescent="0.25">
      <c r="A658">
        <v>7720103002</v>
      </c>
      <c r="B658" s="16" t="s">
        <v>21624</v>
      </c>
      <c r="C658" s="16" t="e">
        <f>VLOOKUP(Table1[[#This Row],[Node]],Parent!A:B,2,0)</f>
        <v>#N/A</v>
      </c>
      <c r="D658" s="25" t="s">
        <v>19346</v>
      </c>
      <c r="E658" s="26" t="s">
        <v>16544</v>
      </c>
      <c r="F658" s="27" t="s">
        <v>16830</v>
      </c>
      <c r="G658" s="27" t="s">
        <v>16831</v>
      </c>
      <c r="H658" s="27" t="s">
        <v>16881</v>
      </c>
      <c r="I658" s="27" t="s">
        <v>17166</v>
      </c>
      <c r="J658" s="27"/>
      <c r="K658" s="27"/>
      <c r="L658" s="27"/>
      <c r="N658" s="27"/>
      <c r="T658" s="28" t="str">
        <f>LOOKUP(1,1/(Table1[[#This Row],[Level_0]:[Level 15]]&gt;0),(Table1[[#This Row],[Level_0]:[Level 15]]))</f>
        <v>7720103002 - [SPA Advertising - Depreciation]</v>
      </c>
      <c r="U658" s="22">
        <v>653</v>
      </c>
      <c r="W658" s="13" t="str">
        <f>LOOKUP(1,1/(Table1[[#This Row],[Level_0]:[Level 15]]&gt;0),(Table1[[#This Row],[Level_0]:[Level 15]]))</f>
        <v>7720103002 - [SPA Advertising - Depreciation]</v>
      </c>
    </row>
    <row r="659" spans="1:23" hidden="1" x14ac:dyDescent="0.25">
      <c r="A659">
        <v>7720103001</v>
      </c>
      <c r="B659" s="16" t="s">
        <v>21623</v>
      </c>
      <c r="C659" s="16" t="e">
        <f>VLOOKUP(Table1[[#This Row],[Node]],Parent!A:B,2,0)</f>
        <v>#N/A</v>
      </c>
      <c r="D659" s="25" t="s">
        <v>19346</v>
      </c>
      <c r="E659" s="26" t="s">
        <v>16544</v>
      </c>
      <c r="F659" s="27" t="s">
        <v>16830</v>
      </c>
      <c r="G659" s="27" t="s">
        <v>16831</v>
      </c>
      <c r="H659" s="27" t="s">
        <v>16881</v>
      </c>
      <c r="I659" s="27" t="s">
        <v>17167</v>
      </c>
      <c r="J659" s="27"/>
      <c r="K659" s="27"/>
      <c r="L659" s="27"/>
      <c r="N659" s="27"/>
      <c r="T659" s="28" t="str">
        <f>LOOKUP(1,1/(Table1[[#This Row],[Level_0]:[Level 15]]&gt;0),(Table1[[#This Row],[Level_0]:[Level 15]]))</f>
        <v>7720103001 - [SPA Advertising - Personnel]</v>
      </c>
      <c r="U659" s="22">
        <v>654</v>
      </c>
      <c r="W659" s="13" t="str">
        <f>LOOKUP(1,1/(Table1[[#This Row],[Level_0]:[Level 15]]&gt;0),(Table1[[#This Row],[Level_0]:[Level 15]]))</f>
        <v>7720103001 - [SPA Advertising - Personnel]</v>
      </c>
    </row>
    <row r="660" spans="1:23" hidden="1" x14ac:dyDescent="0.25">
      <c r="A660">
        <v>7720103000</v>
      </c>
      <c r="B660" s="16" t="s">
        <v>21622</v>
      </c>
      <c r="C660" s="16" t="e">
        <f>VLOOKUP(Table1[[#This Row],[Node]],Parent!A:B,2,0)</f>
        <v>#N/A</v>
      </c>
      <c r="D660" s="25" t="s">
        <v>19346</v>
      </c>
      <c r="E660" s="26" t="s">
        <v>16544</v>
      </c>
      <c r="F660" s="27" t="s">
        <v>16830</v>
      </c>
      <c r="G660" s="27" t="s">
        <v>16831</v>
      </c>
      <c r="H660" s="27" t="s">
        <v>16881</v>
      </c>
      <c r="I660" s="27" t="s">
        <v>17168</v>
      </c>
      <c r="J660" s="27"/>
      <c r="K660" s="27"/>
      <c r="L660" s="27"/>
      <c r="N660" s="27"/>
      <c r="T660" s="28" t="str">
        <f>LOOKUP(1,1/(Table1[[#This Row],[Level_0]:[Level 15]]&gt;0),(Table1[[#This Row],[Level_0]:[Level 15]]))</f>
        <v>7720103000 - [SPA Advertising]</v>
      </c>
      <c r="U660" s="22">
        <v>655</v>
      </c>
      <c r="W660" s="13" t="str">
        <f>LOOKUP(1,1/(Table1[[#This Row],[Level_0]:[Level 15]]&gt;0),(Table1[[#This Row],[Level_0]:[Level 15]]))</f>
        <v>7720103000 - [SPA Advertising]</v>
      </c>
    </row>
    <row r="661" spans="1:23" hidden="1" x14ac:dyDescent="0.25">
      <c r="A661">
        <v>7720101000</v>
      </c>
      <c r="B661" s="16" t="s">
        <v>21613</v>
      </c>
      <c r="C661" s="16" t="e">
        <f>VLOOKUP(Table1[[#This Row],[Node]],Parent!A:B,2,0)</f>
        <v>#N/A</v>
      </c>
      <c r="D661" s="25" t="s">
        <v>19346</v>
      </c>
      <c r="E661" s="26" t="s">
        <v>16544</v>
      </c>
      <c r="F661" s="27" t="s">
        <v>16830</v>
      </c>
      <c r="G661" s="27" t="s">
        <v>16831</v>
      </c>
      <c r="H661" s="27" t="s">
        <v>16881</v>
      </c>
      <c r="I661" s="27" t="s">
        <v>17169</v>
      </c>
      <c r="J661" s="27"/>
      <c r="K661" s="27"/>
      <c r="L661" s="27"/>
      <c r="N661" s="27"/>
      <c r="T661" s="28" t="str">
        <f>LOOKUP(1,1/(Table1[[#This Row],[Level_0]:[Level 15]]&gt;0),(Table1[[#This Row],[Level_0]:[Level 15]]))</f>
        <v>7720101000 - [SPA Promotion material]</v>
      </c>
      <c r="U661" s="22">
        <v>656</v>
      </c>
      <c r="W661" s="13" t="str">
        <f>LOOKUP(1,1/(Table1[[#This Row],[Level_0]:[Level 15]]&gt;0),(Table1[[#This Row],[Level_0]:[Level 15]]))</f>
        <v>7720101000 - [SPA Promotion material]</v>
      </c>
    </row>
    <row r="662" spans="1:23" hidden="1" x14ac:dyDescent="0.25">
      <c r="A662">
        <v>7711122000</v>
      </c>
      <c r="B662" s="16" t="s">
        <v>21604</v>
      </c>
      <c r="C662" s="16" t="e">
        <f>VLOOKUP(Table1[[#This Row],[Node]],Parent!A:B,2,0)</f>
        <v>#N/A</v>
      </c>
      <c r="D662" s="25" t="s">
        <v>19346</v>
      </c>
      <c r="E662" s="26" t="s">
        <v>16544</v>
      </c>
      <c r="F662" s="27" t="s">
        <v>16830</v>
      </c>
      <c r="G662" s="27" t="s">
        <v>16831</v>
      </c>
      <c r="H662" s="27" t="s">
        <v>16881</v>
      </c>
      <c r="I662" s="27" t="s">
        <v>17170</v>
      </c>
      <c r="J662" s="27"/>
      <c r="K662" s="27"/>
      <c r="L662" s="27"/>
      <c r="N662" s="27"/>
      <c r="T662" s="28" t="str">
        <f>LOOKUP(1,1/(Table1[[#This Row],[Level_0]:[Level 15]]&gt;0),(Table1[[#This Row],[Level_0]:[Level 15]]))</f>
        <v>7711122000 - [SPA Other Expense &amp; Freight]</v>
      </c>
      <c r="U662" s="22">
        <v>657</v>
      </c>
      <c r="W662" s="13" t="str">
        <f>LOOKUP(1,1/(Table1[[#This Row],[Level_0]:[Level 15]]&gt;0),(Table1[[#This Row],[Level_0]:[Level 15]]))</f>
        <v>7711122000 - [SPA Other Expense &amp; Freight]</v>
      </c>
    </row>
    <row r="663" spans="1:23" hidden="1" x14ac:dyDescent="0.25">
      <c r="A663">
        <v>7711121000</v>
      </c>
      <c r="B663" s="16" t="s">
        <v>21603</v>
      </c>
      <c r="C663" s="16" t="e">
        <f>VLOOKUP(Table1[[#This Row],[Node]],Parent!A:B,2,0)</f>
        <v>#N/A</v>
      </c>
      <c r="D663" s="25" t="s">
        <v>19346</v>
      </c>
      <c r="E663" s="26" t="s">
        <v>16544</v>
      </c>
      <c r="F663" s="27" t="s">
        <v>16830</v>
      </c>
      <c r="G663" s="27" t="s">
        <v>16831</v>
      </c>
      <c r="H663" s="27" t="s">
        <v>16881</v>
      </c>
      <c r="I663" s="27" t="s">
        <v>17171</v>
      </c>
      <c r="J663" s="27"/>
      <c r="K663" s="27"/>
      <c r="L663" s="27"/>
      <c r="N663" s="27"/>
      <c r="T663" s="28" t="str">
        <f>LOOKUP(1,1/(Table1[[#This Row],[Level_0]:[Level 15]]&gt;0),(Table1[[#This Row],[Level_0]:[Level 15]]))</f>
        <v>7711121000 - [SPA Service business standard costs]</v>
      </c>
      <c r="U663" s="22">
        <v>658</v>
      </c>
      <c r="W663" s="13" t="str">
        <f>LOOKUP(1,1/(Table1[[#This Row],[Level_0]:[Level 15]]&gt;0),(Table1[[#This Row],[Level_0]:[Level 15]]))</f>
        <v>7711121000 - [SPA Service business standard costs]</v>
      </c>
    </row>
    <row r="664" spans="1:23" hidden="1" x14ac:dyDescent="0.25">
      <c r="A664">
        <v>7711113001</v>
      </c>
      <c r="B664" s="16" t="s">
        <v>21601</v>
      </c>
      <c r="C664" s="16" t="e">
        <f>VLOOKUP(Table1[[#This Row],[Node]],Parent!A:B,2,0)</f>
        <v>#N/A</v>
      </c>
      <c r="D664" s="25" t="s">
        <v>19346</v>
      </c>
      <c r="E664" s="26" t="s">
        <v>16544</v>
      </c>
      <c r="F664" s="27" t="s">
        <v>16830</v>
      </c>
      <c r="G664" s="27" t="s">
        <v>16831</v>
      </c>
      <c r="H664" s="27" t="s">
        <v>16881</v>
      </c>
      <c r="I664" s="27" t="s">
        <v>17172</v>
      </c>
      <c r="J664" s="27"/>
      <c r="K664" s="27"/>
      <c r="L664" s="27"/>
      <c r="N664" s="27"/>
      <c r="T664" s="28" t="str">
        <f>LOOKUP(1,1/(Table1[[#This Row],[Level_0]:[Level 15]]&gt;0),(Table1[[#This Row],[Level_0]:[Level 15]]))</f>
        <v>7711113001 - [SPA Spending variances]</v>
      </c>
      <c r="U664" s="22">
        <v>659</v>
      </c>
      <c r="W664" s="13" t="str">
        <f>LOOKUP(1,1/(Table1[[#This Row],[Level_0]:[Level 15]]&gt;0),(Table1[[#This Row],[Level_0]:[Level 15]]))</f>
        <v>7711113001 - [SPA Spending variances]</v>
      </c>
    </row>
    <row r="665" spans="1:23" hidden="1" x14ac:dyDescent="0.25">
      <c r="A665">
        <v>7710190000</v>
      </c>
      <c r="B665" s="16" t="s">
        <v>21595</v>
      </c>
      <c r="C665" s="16" t="e">
        <f>VLOOKUP(Table1[[#This Row],[Node]],Parent!A:B,2,0)</f>
        <v>#N/A</v>
      </c>
      <c r="D665" s="25" t="s">
        <v>19346</v>
      </c>
      <c r="E665" s="26" t="s">
        <v>16544</v>
      </c>
      <c r="F665" s="27" t="s">
        <v>16830</v>
      </c>
      <c r="G665" s="27" t="s">
        <v>16831</v>
      </c>
      <c r="H665" s="27" t="s">
        <v>16881</v>
      </c>
      <c r="I665" s="27" t="s">
        <v>17173</v>
      </c>
      <c r="J665" s="27"/>
      <c r="K665" s="27"/>
      <c r="L665" s="27"/>
      <c r="N665" s="27"/>
      <c r="T665" s="28" t="str">
        <f>LOOKUP(1,1/(Table1[[#This Row],[Level_0]:[Level 15]]&gt;0),(Table1[[#This Row],[Level_0]:[Level 15]]))</f>
        <v>7710190000 - [SPA Sales 4m Royalty &amp; Licenses]</v>
      </c>
      <c r="U665" s="22">
        <v>660</v>
      </c>
      <c r="W665" s="13" t="str">
        <f>LOOKUP(1,1/(Table1[[#This Row],[Level_0]:[Level 15]]&gt;0),(Table1[[#This Row],[Level_0]:[Level 15]]))</f>
        <v>7710190000 - [SPA Sales 4m Royalty &amp; Licenses]</v>
      </c>
    </row>
    <row r="666" spans="1:23" hidden="1" x14ac:dyDescent="0.25">
      <c r="A666">
        <v>7710150001</v>
      </c>
      <c r="B666" s="16" t="s">
        <v>21594</v>
      </c>
      <c r="C666" s="16" t="e">
        <f>VLOOKUP(Table1[[#This Row],[Node]],Parent!A:B,2,0)</f>
        <v>#N/A</v>
      </c>
      <c r="D666" s="25" t="s">
        <v>19346</v>
      </c>
      <c r="E666" s="26" t="s">
        <v>16544</v>
      </c>
      <c r="F666" s="27" t="s">
        <v>16830</v>
      </c>
      <c r="G666" s="27" t="s">
        <v>16831</v>
      </c>
      <c r="H666" s="27" t="s">
        <v>16881</v>
      </c>
      <c r="I666" s="27" t="s">
        <v>17174</v>
      </c>
      <c r="J666" s="27"/>
      <c r="K666" s="27"/>
      <c r="L666" s="27"/>
      <c r="N666" s="27"/>
      <c r="T666" s="28" t="str">
        <f>LOOKUP(1,1/(Table1[[#This Row],[Level_0]:[Level 15]]&gt;0),(Table1[[#This Row],[Level_0]:[Level 15]]))</f>
        <v>7710150001 - [SPA Hardware Revenue Correction]</v>
      </c>
      <c r="U666" s="22">
        <v>661</v>
      </c>
      <c r="W666" s="13" t="str">
        <f>LOOKUP(1,1/(Table1[[#This Row],[Level_0]:[Level 15]]&gt;0),(Table1[[#This Row],[Level_0]:[Level 15]]))</f>
        <v>7710150001 - [SPA Hardware Revenue Correction]</v>
      </c>
    </row>
    <row r="667" spans="1:23" hidden="1" x14ac:dyDescent="0.25">
      <c r="A667">
        <v>7710150000</v>
      </c>
      <c r="B667" s="16" t="s">
        <v>21593</v>
      </c>
      <c r="C667" s="16" t="e">
        <f>VLOOKUP(Table1[[#This Row],[Node]],Parent!A:B,2,0)</f>
        <v>#N/A</v>
      </c>
      <c r="D667" s="25" t="s">
        <v>19346</v>
      </c>
      <c r="E667" s="26" t="s">
        <v>16544</v>
      </c>
      <c r="F667" s="27" t="s">
        <v>16830</v>
      </c>
      <c r="G667" s="27" t="s">
        <v>16831</v>
      </c>
      <c r="H667" s="27" t="s">
        <v>16881</v>
      </c>
      <c r="I667" s="27" t="s">
        <v>17175</v>
      </c>
      <c r="J667" s="27"/>
      <c r="K667" s="27"/>
      <c r="L667" s="27"/>
      <c r="N667" s="27"/>
      <c r="T667" s="28" t="str">
        <f>LOOKUP(1,1/(Table1[[#This Row],[Level_0]:[Level 15]]&gt;0),(Table1[[#This Row],[Level_0]:[Level 15]]))</f>
        <v>7710150000 - [SPA Goods Merchandize Revenue Correction]</v>
      </c>
      <c r="U667" s="22">
        <v>662</v>
      </c>
      <c r="W667" s="13" t="str">
        <f>LOOKUP(1,1/(Table1[[#This Row],[Level_0]:[Level 15]]&gt;0),(Table1[[#This Row],[Level_0]:[Level 15]]))</f>
        <v>7710150000 - [SPA Goods Merchandize Revenue Correction]</v>
      </c>
    </row>
    <row r="668" spans="1:23" hidden="1" x14ac:dyDescent="0.25">
      <c r="A668">
        <v>7710120004</v>
      </c>
      <c r="B668" s="16" t="s">
        <v>21592</v>
      </c>
      <c r="C668" s="16" t="e">
        <f>VLOOKUP(Table1[[#This Row],[Node]],Parent!A:B,2,0)</f>
        <v>#N/A</v>
      </c>
      <c r="D668" s="25" t="s">
        <v>19346</v>
      </c>
      <c r="E668" s="26" t="s">
        <v>16544</v>
      </c>
      <c r="F668" s="27" t="s">
        <v>16830</v>
      </c>
      <c r="G668" s="27" t="s">
        <v>16831</v>
      </c>
      <c r="H668" s="27" t="s">
        <v>16881</v>
      </c>
      <c r="I668" s="27" t="s">
        <v>17176</v>
      </c>
      <c r="J668" s="27"/>
      <c r="K668" s="27"/>
      <c r="L668" s="27"/>
      <c r="N668" s="27"/>
      <c r="T668" s="28" t="str">
        <f>LOOKUP(1,1/(Table1[[#This Row],[Level_0]:[Level 15]]&gt;0),(Table1[[#This Row],[Level_0]:[Level 15]]))</f>
        <v>7710120004 - [SPA Services revenue Correction]</v>
      </c>
      <c r="U668" s="22">
        <v>663</v>
      </c>
      <c r="W668" s="13" t="str">
        <f>LOOKUP(1,1/(Table1[[#This Row],[Level_0]:[Level 15]]&gt;0),(Table1[[#This Row],[Level_0]:[Level 15]]))</f>
        <v>7710120004 - [SPA Services revenue Correction]</v>
      </c>
    </row>
    <row r="669" spans="1:23" hidden="1" x14ac:dyDescent="0.25">
      <c r="A669">
        <v>7710100001</v>
      </c>
      <c r="B669" s="16" t="s">
        <v>21587</v>
      </c>
      <c r="C669" s="16" t="e">
        <f>VLOOKUP(Table1[[#This Row],[Node]],Parent!A:B,2,0)</f>
        <v>#N/A</v>
      </c>
      <c r="D669" s="25" t="s">
        <v>19346</v>
      </c>
      <c r="E669" s="26" t="s">
        <v>16544</v>
      </c>
      <c r="F669" s="27" t="s">
        <v>16830</v>
      </c>
      <c r="G669" s="27" t="s">
        <v>16831</v>
      </c>
      <c r="H669" s="27" t="s">
        <v>16881</v>
      </c>
      <c r="I669" s="27" t="s">
        <v>17177</v>
      </c>
      <c r="J669" s="27"/>
      <c r="K669" s="27"/>
      <c r="L669" s="27"/>
      <c r="N669" s="27"/>
      <c r="T669" s="28" t="str">
        <f>LOOKUP(1,1/(Table1[[#This Row],[Level_0]:[Level 15]]&gt;0),(Table1[[#This Row],[Level_0]:[Level 15]]))</f>
        <v>7710100001 - [SPA Hardware Revenue]</v>
      </c>
      <c r="U669" s="22">
        <v>664</v>
      </c>
      <c r="W669" s="13" t="str">
        <f>LOOKUP(1,1/(Table1[[#This Row],[Level_0]:[Level 15]]&gt;0),(Table1[[#This Row],[Level_0]:[Level 15]]))</f>
        <v>7710100001 - [SPA Hardware Revenue]</v>
      </c>
    </row>
    <row r="670" spans="1:23" hidden="1" x14ac:dyDescent="0.25">
      <c r="A670">
        <v>7710100000</v>
      </c>
      <c r="B670" s="16" t="s">
        <v>21586</v>
      </c>
      <c r="C670" s="16" t="e">
        <f>VLOOKUP(Table1[[#This Row],[Node]],Parent!A:B,2,0)</f>
        <v>#N/A</v>
      </c>
      <c r="D670" s="25" t="s">
        <v>19346</v>
      </c>
      <c r="E670" s="26" t="s">
        <v>16544</v>
      </c>
      <c r="F670" s="27" t="s">
        <v>16830</v>
      </c>
      <c r="G670" s="27" t="s">
        <v>16831</v>
      </c>
      <c r="H670" s="27" t="s">
        <v>16881</v>
      </c>
      <c r="I670" s="27" t="s">
        <v>17178</v>
      </c>
      <c r="J670" s="27"/>
      <c r="K670" s="27"/>
      <c r="L670" s="27"/>
      <c r="N670" s="27"/>
      <c r="T670" s="28" t="str">
        <f>LOOKUP(1,1/(Table1[[#This Row],[Level_0]:[Level 15]]&gt;0),(Table1[[#This Row],[Level_0]:[Level 15]]))</f>
        <v>7710100000 - [SPA  Goodsmerchandize Revenue]</v>
      </c>
      <c r="U670" s="22">
        <v>665</v>
      </c>
      <c r="W670" s="13" t="str">
        <f>LOOKUP(1,1/(Table1[[#This Row],[Level_0]:[Level 15]]&gt;0),(Table1[[#This Row],[Level_0]:[Level 15]]))</f>
        <v>7710100000 - [SPA  Goodsmerchandize Revenue]</v>
      </c>
    </row>
    <row r="671" spans="1:23" hidden="1" x14ac:dyDescent="0.25">
      <c r="A671">
        <v>7620304112</v>
      </c>
      <c r="B671" s="16" t="s">
        <v>21575</v>
      </c>
      <c r="C671" s="16" t="e">
        <f>VLOOKUP(Table1[[#This Row],[Node]],Parent!A:B,2,0)</f>
        <v>#N/A</v>
      </c>
      <c r="D671" s="25" t="s">
        <v>19346</v>
      </c>
      <c r="E671" s="26" t="s">
        <v>16544</v>
      </c>
      <c r="F671" s="27" t="s">
        <v>16830</v>
      </c>
      <c r="G671" s="27" t="s">
        <v>16831</v>
      </c>
      <c r="H671" s="27" t="s">
        <v>16881</v>
      </c>
      <c r="I671" s="27" t="s">
        <v>17179</v>
      </c>
      <c r="J671" s="27"/>
      <c r="K671" s="27"/>
      <c r="L671" s="27"/>
      <c r="N671" s="27"/>
      <c r="T671" s="28" t="str">
        <f>LOOKUP(1,1/(Table1[[#This Row],[Level_0]:[Level 15]]&gt;0),(Table1[[#This Row],[Level_0]:[Level 15]]))</f>
        <v>7620304112 - [AOM_SC Bldg.Add.Cost]</v>
      </c>
      <c r="U671" s="22">
        <v>666</v>
      </c>
      <c r="W671" s="13" t="str">
        <f>LOOKUP(1,1/(Table1[[#This Row],[Level_0]:[Level 15]]&gt;0),(Table1[[#This Row],[Level_0]:[Level 15]]))</f>
        <v>7620304112 - [AOM_SC Bldg.Add.Cost]</v>
      </c>
    </row>
    <row r="672" spans="1:23" hidden="1" x14ac:dyDescent="0.25">
      <c r="A672">
        <v>7620304110</v>
      </c>
      <c r="B672" s="16" t="s">
        <v>21574</v>
      </c>
      <c r="C672" s="16" t="e">
        <f>VLOOKUP(Table1[[#This Row],[Node]],Parent!A:B,2,0)</f>
        <v>#N/A</v>
      </c>
      <c r="D672" s="25" t="s">
        <v>19346</v>
      </c>
      <c r="E672" s="26" t="s">
        <v>16544</v>
      </c>
      <c r="F672" s="27" t="s">
        <v>16830</v>
      </c>
      <c r="G672" s="27" t="s">
        <v>16831</v>
      </c>
      <c r="H672" s="27" t="s">
        <v>16881</v>
      </c>
      <c r="I672" s="27" t="s">
        <v>17180</v>
      </c>
      <c r="J672" s="27"/>
      <c r="K672" s="27"/>
      <c r="L672" s="27"/>
      <c r="N672" s="27"/>
      <c r="T672" s="28" t="str">
        <f>LOOKUP(1,1/(Table1[[#This Row],[Level_0]:[Level 15]]&gt;0),(Table1[[#This Row],[Level_0]:[Level 15]]))</f>
        <v>7620304110 - [AOM_LH_Add.Costs]</v>
      </c>
      <c r="U672" s="22">
        <v>667</v>
      </c>
      <c r="W672" s="13" t="str">
        <f>LOOKUP(1,1/(Table1[[#This Row],[Level_0]:[Level 15]]&gt;0),(Table1[[#This Row],[Level_0]:[Level 15]]))</f>
        <v>7620304110 - [AOM_LH_Add.Costs]</v>
      </c>
    </row>
    <row r="673" spans="1:23" hidden="1" x14ac:dyDescent="0.25">
      <c r="A673">
        <v>7620304109</v>
      </c>
      <c r="B673" s="16" t="s">
        <v>21573</v>
      </c>
      <c r="C673" s="16" t="e">
        <f>VLOOKUP(Table1[[#This Row],[Node]],Parent!A:B,2,0)</f>
        <v>#N/A</v>
      </c>
      <c r="D673" s="25" t="s">
        <v>19346</v>
      </c>
      <c r="E673" s="26" t="s">
        <v>16544</v>
      </c>
      <c r="F673" s="27" t="s">
        <v>16830</v>
      </c>
      <c r="G673" s="27" t="s">
        <v>16831</v>
      </c>
      <c r="H673" s="27" t="s">
        <v>16881</v>
      </c>
      <c r="I673" s="27" t="s">
        <v>17181</v>
      </c>
      <c r="J673" s="27"/>
      <c r="K673" s="27"/>
      <c r="L673" s="27"/>
      <c r="N673" s="27"/>
      <c r="T673" s="28" t="str">
        <f>LOOKUP(1,1/(Table1[[#This Row],[Level_0]:[Level 15]]&gt;0),(Table1[[#This Row],[Level_0]:[Level 15]]))</f>
        <v>7620304109 - [AOM_LH Bldg.Net rent]</v>
      </c>
      <c r="U673" s="22">
        <v>668</v>
      </c>
      <c r="W673" s="13" t="str">
        <f>LOOKUP(1,1/(Table1[[#This Row],[Level_0]:[Level 15]]&gt;0),(Table1[[#This Row],[Level_0]:[Level 15]]))</f>
        <v>7620304109 - [AOM_LH Bldg.Net rent]</v>
      </c>
    </row>
    <row r="674" spans="1:23" hidden="1" x14ac:dyDescent="0.25">
      <c r="A674">
        <v>7600340099</v>
      </c>
      <c r="B674" s="16" t="s">
        <v>21527</v>
      </c>
      <c r="C674" s="16" t="e">
        <f>VLOOKUP(Table1[[#This Row],[Node]],Parent!A:B,2,0)</f>
        <v>#N/A</v>
      </c>
      <c r="D674" s="25" t="s">
        <v>19346</v>
      </c>
      <c r="E674" s="26" t="s">
        <v>16544</v>
      </c>
      <c r="F674" s="27" t="s">
        <v>16830</v>
      </c>
      <c r="G674" s="27" t="s">
        <v>16831</v>
      </c>
      <c r="H674" s="27" t="s">
        <v>16881</v>
      </c>
      <c r="I674" s="27" t="s">
        <v>17182</v>
      </c>
      <c r="J674" s="27"/>
      <c r="K674" s="27"/>
      <c r="L674" s="27"/>
      <c r="N674" s="27"/>
      <c r="T674" s="28" t="str">
        <f>LOOKUP(1,1/(Table1[[#This Row],[Level_0]:[Level 15]]&gt;0),(Table1[[#This Row],[Level_0]:[Level 15]]))</f>
        <v>7600340099 - [DAA_Life Science True-up/Mark-up_L]</v>
      </c>
      <c r="U674" s="22">
        <v>669</v>
      </c>
      <c r="W674" s="13" t="str">
        <f>LOOKUP(1,1/(Table1[[#This Row],[Level_0]:[Level 15]]&gt;0),(Table1[[#This Row],[Level_0]:[Level 15]]))</f>
        <v>7600340099 - [DAA_Life Science True-up/Mark-up_L]</v>
      </c>
    </row>
    <row r="675" spans="1:23" hidden="1" x14ac:dyDescent="0.25">
      <c r="A675">
        <v>7600340053</v>
      </c>
      <c r="B675" s="16" t="s">
        <v>21526</v>
      </c>
      <c r="C675" s="16" t="e">
        <f>VLOOKUP(Table1[[#This Row],[Node]],Parent!A:B,2,0)</f>
        <v>#N/A</v>
      </c>
      <c r="D675" s="25" t="s">
        <v>19346</v>
      </c>
      <c r="E675" s="26" t="s">
        <v>16544</v>
      </c>
      <c r="F675" s="27" t="s">
        <v>16830</v>
      </c>
      <c r="G675" s="27" t="s">
        <v>16831</v>
      </c>
      <c r="H675" s="27" t="s">
        <v>16881</v>
      </c>
      <c r="I675" s="27" t="s">
        <v>17183</v>
      </c>
      <c r="J675" s="27"/>
      <c r="K675" s="27"/>
      <c r="L675" s="27"/>
      <c r="N675" s="27"/>
      <c r="T675" s="28" t="str">
        <f>LOOKUP(1,1/(Table1[[#This Row],[Level_0]:[Level 15]]&gt;0),(Table1[[#This Row],[Level_0]:[Level 15]]))</f>
        <v>7600340053 - [DAA_Label Printing for other GMGs_L]</v>
      </c>
      <c r="U675" s="22">
        <v>670</v>
      </c>
      <c r="W675" s="13" t="str">
        <f>LOOKUP(1,1/(Table1[[#This Row],[Level_0]:[Level 15]]&gt;0),(Table1[[#This Row],[Level_0]:[Level 15]]))</f>
        <v>7600340053 - [DAA_Label Printing for other GMGs_L]</v>
      </c>
    </row>
    <row r="676" spans="1:23" hidden="1" x14ac:dyDescent="0.25">
      <c r="A676">
        <v>7600340052</v>
      </c>
      <c r="B676" s="16" t="s">
        <v>21525</v>
      </c>
      <c r="C676" s="16" t="e">
        <f>VLOOKUP(Table1[[#This Row],[Node]],Parent!A:B,2,0)</f>
        <v>#N/A</v>
      </c>
      <c r="D676" s="25" t="s">
        <v>19346</v>
      </c>
      <c r="E676" s="26" t="s">
        <v>16544</v>
      </c>
      <c r="F676" s="27" t="s">
        <v>16830</v>
      </c>
      <c r="G676" s="27" t="s">
        <v>16831</v>
      </c>
      <c r="H676" s="27" t="s">
        <v>16881</v>
      </c>
      <c r="I676" s="27" t="s">
        <v>17184</v>
      </c>
      <c r="J676" s="27"/>
      <c r="K676" s="27"/>
      <c r="L676" s="27"/>
      <c r="N676" s="27"/>
      <c r="T676" s="28" t="str">
        <f>LOOKUP(1,1/(Table1[[#This Row],[Level_0]:[Level 15]]&gt;0),(Table1[[#This Row],[Level_0]:[Level 15]]))</f>
        <v>7600340052 - [DAA_Pack.Material design &amp; support_L]</v>
      </c>
      <c r="U676" s="22">
        <v>671</v>
      </c>
      <c r="W676" s="13" t="str">
        <f>LOOKUP(1,1/(Table1[[#This Row],[Level_0]:[Level 15]]&gt;0),(Table1[[#This Row],[Level_0]:[Level 15]]))</f>
        <v>7600340052 - [DAA_Pack.Material design &amp; support_L]</v>
      </c>
    </row>
    <row r="677" spans="1:23" hidden="1" x14ac:dyDescent="0.25">
      <c r="A677">
        <v>7600340051</v>
      </c>
      <c r="B677" s="16" t="s">
        <v>21524</v>
      </c>
      <c r="C677" s="16" t="e">
        <f>VLOOKUP(Table1[[#This Row],[Node]],Parent!A:B,2,0)</f>
        <v>#N/A</v>
      </c>
      <c r="D677" s="25" t="s">
        <v>19346</v>
      </c>
      <c r="E677" s="26" t="s">
        <v>16544</v>
      </c>
      <c r="F677" s="27" t="s">
        <v>16830</v>
      </c>
      <c r="G677" s="27" t="s">
        <v>16831</v>
      </c>
      <c r="H677" s="27" t="s">
        <v>16881</v>
      </c>
      <c r="I677" s="27" t="s">
        <v>17185</v>
      </c>
      <c r="J677" s="27"/>
      <c r="K677" s="27"/>
      <c r="L677" s="27"/>
      <c r="N677" s="27"/>
      <c r="T677" s="28" t="str">
        <f>LOOKUP(1,1/(Table1[[#This Row],[Level_0]:[Level 15]]&gt;0),(Table1[[#This Row],[Level_0]:[Level 15]]))</f>
        <v>7600340051 - [DAA_Handling of Pass-through costs_L]</v>
      </c>
      <c r="U677" s="22">
        <v>672</v>
      </c>
      <c r="W677" s="13" t="str">
        <f>LOOKUP(1,1/(Table1[[#This Row],[Level_0]:[Level 15]]&gt;0),(Table1[[#This Row],[Level_0]:[Level 15]]))</f>
        <v>7600340051 - [DAA_Handling of Pass-through costs_L]</v>
      </c>
    </row>
    <row r="678" spans="1:23" hidden="1" x14ac:dyDescent="0.25">
      <c r="A678">
        <v>7600340050</v>
      </c>
      <c r="B678" s="16" t="s">
        <v>21523</v>
      </c>
      <c r="C678" s="16" t="e">
        <f>VLOOKUP(Table1[[#This Row],[Node]],Parent!A:B,2,0)</f>
        <v>#N/A</v>
      </c>
      <c r="D678" s="25" t="s">
        <v>19346</v>
      </c>
      <c r="E678" s="26" t="s">
        <v>16544</v>
      </c>
      <c r="F678" s="27" t="s">
        <v>16830</v>
      </c>
      <c r="G678" s="27" t="s">
        <v>16831</v>
      </c>
      <c r="H678" s="27" t="s">
        <v>16881</v>
      </c>
      <c r="I678" s="27" t="s">
        <v>17186</v>
      </c>
      <c r="J678" s="27"/>
      <c r="K678" s="27"/>
      <c r="L678" s="27"/>
      <c r="N678" s="27"/>
      <c r="T678" s="28" t="str">
        <f>LOOKUP(1,1/(Table1[[#This Row],[Level_0]:[Level 15]]&gt;0),(Table1[[#This Row],[Level_0]:[Level 15]]))</f>
        <v>7600340050 - [DAA_R&amp;D Project Service_L]</v>
      </c>
      <c r="U678" s="22">
        <v>673</v>
      </c>
      <c r="W678" s="13" t="str">
        <f>LOOKUP(1,1/(Table1[[#This Row],[Level_0]:[Level 15]]&gt;0),(Table1[[#This Row],[Level_0]:[Level 15]]))</f>
        <v>7600340050 - [DAA_R&amp;D Project Service_L]</v>
      </c>
    </row>
    <row r="679" spans="1:23" hidden="1" x14ac:dyDescent="0.25">
      <c r="A679">
        <v>7600340049</v>
      </c>
      <c r="B679" s="16" t="s">
        <v>21522</v>
      </c>
      <c r="C679" s="16" t="e">
        <f>VLOOKUP(Table1[[#This Row],[Node]],Parent!A:B,2,0)</f>
        <v>#N/A</v>
      </c>
      <c r="D679" s="25" t="s">
        <v>19346</v>
      </c>
      <c r="E679" s="26" t="s">
        <v>16544</v>
      </c>
      <c r="F679" s="27" t="s">
        <v>16830</v>
      </c>
      <c r="G679" s="27" t="s">
        <v>16831</v>
      </c>
      <c r="H679" s="27" t="s">
        <v>16881</v>
      </c>
      <c r="I679" s="27" t="s">
        <v>17187</v>
      </c>
      <c r="J679" s="27"/>
      <c r="K679" s="27"/>
      <c r="L679" s="27"/>
      <c r="N679" s="27"/>
      <c r="T679" s="28" t="str">
        <f>LOOKUP(1,1/(Table1[[#This Row],[Level_0]:[Level 15]]&gt;0),(Table1[[#This Row],[Level_0]:[Level 15]]))</f>
        <v>7600340049 - [DAA_Material sampling at plant area_L]</v>
      </c>
      <c r="U679" s="22">
        <v>674</v>
      </c>
      <c r="W679" s="13" t="str">
        <f>LOOKUP(1,1/(Table1[[#This Row],[Level_0]:[Level 15]]&gt;0),(Table1[[#This Row],[Level_0]:[Level 15]]))</f>
        <v>7600340049 - [DAA_Material sampling at plant area_L]</v>
      </c>
    </row>
    <row r="680" spans="1:23" hidden="1" x14ac:dyDescent="0.25">
      <c r="A680">
        <v>7600340045</v>
      </c>
      <c r="B680" s="16" t="s">
        <v>21521</v>
      </c>
      <c r="C680" s="16" t="e">
        <f>VLOOKUP(Table1[[#This Row],[Node]],Parent!A:B,2,0)</f>
        <v>#N/A</v>
      </c>
      <c r="D680" s="25" t="s">
        <v>19346</v>
      </c>
      <c r="E680" s="26" t="s">
        <v>16544</v>
      </c>
      <c r="F680" s="27" t="s">
        <v>16830</v>
      </c>
      <c r="G680" s="27" t="s">
        <v>16831</v>
      </c>
      <c r="H680" s="27" t="s">
        <v>16881</v>
      </c>
      <c r="I680" s="27" t="s">
        <v>17188</v>
      </c>
      <c r="J680" s="27"/>
      <c r="K680" s="27"/>
      <c r="L680" s="27"/>
      <c r="N680" s="27"/>
      <c r="T680" s="28" t="str">
        <f>LOOKUP(1,1/(Table1[[#This Row],[Level_0]:[Level 15]]&gt;0),(Table1[[#This Row],[Level_0]:[Level 15]]))</f>
        <v>7600340045 - [DAA_Maint./coord. Shell&amp;Core Bldg._L]</v>
      </c>
      <c r="U680" s="22">
        <v>675</v>
      </c>
      <c r="W680" s="13" t="str">
        <f>LOOKUP(1,1/(Table1[[#This Row],[Level_0]:[Level 15]]&gt;0),(Table1[[#This Row],[Level_0]:[Level 15]]))</f>
        <v>7600340045 - [DAA_Maint./coord. Shell&amp;Core Bldg._L]</v>
      </c>
    </row>
    <row r="681" spans="1:23" hidden="1" x14ac:dyDescent="0.25">
      <c r="A681">
        <v>7600340024</v>
      </c>
      <c r="B681" s="16" t="s">
        <v>21520</v>
      </c>
      <c r="C681" s="16" t="e">
        <f>VLOOKUP(Table1[[#This Row],[Node]],Parent!A:B,2,0)</f>
        <v>#N/A</v>
      </c>
      <c r="D681" s="25" t="s">
        <v>19346</v>
      </c>
      <c r="E681" s="26" t="s">
        <v>16544</v>
      </c>
      <c r="F681" s="27" t="s">
        <v>16830</v>
      </c>
      <c r="G681" s="27" t="s">
        <v>16831</v>
      </c>
      <c r="H681" s="27" t="s">
        <v>16881</v>
      </c>
      <c r="I681" s="27" t="s">
        <v>17189</v>
      </c>
      <c r="J681" s="27"/>
      <c r="K681" s="27"/>
      <c r="L681" s="27"/>
      <c r="N681" s="27"/>
      <c r="T681" s="28" t="str">
        <f>LOOKUP(1,1/(Table1[[#This Row],[Level_0]:[Level 15]]&gt;0),(Table1[[#This Row],[Level_0]:[Level 15]]))</f>
        <v>7600340024 - [DAA_Regulatory Project Support_L]</v>
      </c>
      <c r="U681" s="22">
        <v>676</v>
      </c>
      <c r="W681" s="13" t="str">
        <f>LOOKUP(1,1/(Table1[[#This Row],[Level_0]:[Level 15]]&gt;0),(Table1[[#This Row],[Level_0]:[Level 15]]))</f>
        <v>7600340024 - [DAA_Regulatory Project Support_L]</v>
      </c>
    </row>
    <row r="682" spans="1:23" hidden="1" x14ac:dyDescent="0.25">
      <c r="A682">
        <v>7600340022</v>
      </c>
      <c r="B682" s="16" t="s">
        <v>21519</v>
      </c>
      <c r="C682" s="16" t="e">
        <f>VLOOKUP(Table1[[#This Row],[Node]],Parent!A:B,2,0)</f>
        <v>#N/A</v>
      </c>
      <c r="D682" s="25" t="s">
        <v>19346</v>
      </c>
      <c r="E682" s="26" t="s">
        <v>16544</v>
      </c>
      <c r="F682" s="27" t="s">
        <v>16830</v>
      </c>
      <c r="G682" s="27" t="s">
        <v>16831</v>
      </c>
      <c r="H682" s="27" t="s">
        <v>16881</v>
      </c>
      <c r="I682" s="27" t="s">
        <v>17190</v>
      </c>
      <c r="J682" s="27"/>
      <c r="K682" s="27"/>
      <c r="L682" s="27"/>
      <c r="N682" s="27"/>
      <c r="T682" s="28" t="str">
        <f>LOOKUP(1,1/(Table1[[#This Row],[Level_0]:[Level 15]]&gt;0),(Table1[[#This Row],[Level_0]:[Level 15]]))</f>
        <v>7600340022 - [DAA_Raw Material QC-Testing_L]</v>
      </c>
      <c r="U682" s="22">
        <v>677</v>
      </c>
      <c r="W682" s="13" t="str">
        <f>LOOKUP(1,1/(Table1[[#This Row],[Level_0]:[Level 15]]&gt;0),(Table1[[#This Row],[Level_0]:[Level 15]]))</f>
        <v>7600340022 - [DAA_Raw Material QC-Testing_L]</v>
      </c>
    </row>
    <row r="683" spans="1:23" hidden="1" x14ac:dyDescent="0.25">
      <c r="A683">
        <v>7600340021</v>
      </c>
      <c r="B683" s="16" t="s">
        <v>21518</v>
      </c>
      <c r="C683" s="16" t="e">
        <f>VLOOKUP(Table1[[#This Row],[Node]],Parent!A:B,2,0)</f>
        <v>#N/A</v>
      </c>
      <c r="D683" s="25" t="s">
        <v>19346</v>
      </c>
      <c r="E683" s="26" t="s">
        <v>16544</v>
      </c>
      <c r="F683" s="27" t="s">
        <v>16830</v>
      </c>
      <c r="G683" s="27" t="s">
        <v>16831</v>
      </c>
      <c r="H683" s="27" t="s">
        <v>16881</v>
      </c>
      <c r="I683" s="27" t="s">
        <v>17191</v>
      </c>
      <c r="J683" s="27"/>
      <c r="K683" s="27"/>
      <c r="L683" s="27"/>
      <c r="N683" s="27"/>
      <c r="T683" s="28" t="str">
        <f>LOOKUP(1,1/(Table1[[#This Row],[Level_0]:[Level 15]]&gt;0),(Table1[[#This Row],[Level_0]:[Level 15]]))</f>
        <v>7600340021 - [DAA_On demand analytics_L]</v>
      </c>
      <c r="U683" s="22">
        <v>678</v>
      </c>
      <c r="W683" s="13" t="str">
        <f>LOOKUP(1,1/(Table1[[#This Row],[Level_0]:[Level 15]]&gt;0),(Table1[[#This Row],[Level_0]:[Level 15]]))</f>
        <v>7600340021 - [DAA_On demand analytics_L]</v>
      </c>
    </row>
    <row r="684" spans="1:23" hidden="1" x14ac:dyDescent="0.25">
      <c r="A684">
        <v>7600340020</v>
      </c>
      <c r="B684" s="16" t="s">
        <v>21517</v>
      </c>
      <c r="C684" s="16" t="e">
        <f>VLOOKUP(Table1[[#This Row],[Node]],Parent!A:B,2,0)</f>
        <v>#N/A</v>
      </c>
      <c r="D684" s="25" t="s">
        <v>19346</v>
      </c>
      <c r="E684" s="26" t="s">
        <v>16544</v>
      </c>
      <c r="F684" s="27" t="s">
        <v>16830</v>
      </c>
      <c r="G684" s="27" t="s">
        <v>16831</v>
      </c>
      <c r="H684" s="27" t="s">
        <v>16881</v>
      </c>
      <c r="I684" s="27" t="s">
        <v>17192</v>
      </c>
      <c r="J684" s="27"/>
      <c r="K684" s="27"/>
      <c r="L684" s="27"/>
      <c r="N684" s="27"/>
      <c r="T684" s="28" t="str">
        <f>LOOKUP(1,1/(Table1[[#This Row],[Level_0]:[Level 15]]&gt;0),(Table1[[#This Row],[Level_0]:[Level 15]]))</f>
        <v>7600340020 - [DAA_Material sampling non GMP_L]</v>
      </c>
      <c r="U684" s="22">
        <v>679</v>
      </c>
      <c r="W684" s="13" t="str">
        <f>LOOKUP(1,1/(Table1[[#This Row],[Level_0]:[Level 15]]&gt;0),(Table1[[#This Row],[Level_0]:[Level 15]]))</f>
        <v>7600340020 - [DAA_Material sampling non GMP_L]</v>
      </c>
    </row>
    <row r="685" spans="1:23" hidden="1" x14ac:dyDescent="0.25">
      <c r="A685">
        <v>7600340019</v>
      </c>
      <c r="B685" s="16" t="s">
        <v>21516</v>
      </c>
      <c r="C685" s="16" t="e">
        <f>VLOOKUP(Table1[[#This Row],[Node]],Parent!A:B,2,0)</f>
        <v>#N/A</v>
      </c>
      <c r="D685" s="25" t="s">
        <v>19346</v>
      </c>
      <c r="E685" s="26" t="s">
        <v>16544</v>
      </c>
      <c r="F685" s="27" t="s">
        <v>16830</v>
      </c>
      <c r="G685" s="27" t="s">
        <v>16831</v>
      </c>
      <c r="H685" s="27" t="s">
        <v>16881</v>
      </c>
      <c r="I685" s="27" t="s">
        <v>17193</v>
      </c>
      <c r="J685" s="27"/>
      <c r="K685" s="27"/>
      <c r="L685" s="27"/>
      <c r="N685" s="27"/>
      <c r="T685" s="28" t="str">
        <f>LOOKUP(1,1/(Table1[[#This Row],[Level_0]:[Level 15]]&gt;0),(Table1[[#This Row],[Level_0]:[Level 15]]))</f>
        <v>7600340019 - [DAA_Material sampling accor. to GMP _L]</v>
      </c>
      <c r="U685" s="22">
        <v>680</v>
      </c>
      <c r="W685" s="13" t="str">
        <f>LOOKUP(1,1/(Table1[[#This Row],[Level_0]:[Level 15]]&gt;0),(Table1[[#This Row],[Level_0]:[Level 15]]))</f>
        <v>7600340019 - [DAA_Material sampling accor. to GMP _L]</v>
      </c>
    </row>
    <row r="686" spans="1:23" hidden="1" x14ac:dyDescent="0.25">
      <c r="A686">
        <v>7600340018</v>
      </c>
      <c r="B686" s="16" t="s">
        <v>21515</v>
      </c>
      <c r="C686" s="16" t="e">
        <f>VLOOKUP(Table1[[#This Row],[Node]],Parent!A:B,2,0)</f>
        <v>#N/A</v>
      </c>
      <c r="D686" s="25" t="s">
        <v>19346</v>
      </c>
      <c r="E686" s="26" t="s">
        <v>16544</v>
      </c>
      <c r="F686" s="27" t="s">
        <v>16830</v>
      </c>
      <c r="G686" s="27" t="s">
        <v>16831</v>
      </c>
      <c r="H686" s="27" t="s">
        <v>16881</v>
      </c>
      <c r="I686" s="27" t="s">
        <v>17194</v>
      </c>
      <c r="J686" s="27"/>
      <c r="K686" s="27"/>
      <c r="L686" s="27"/>
      <c r="N686" s="27"/>
      <c r="T686" s="28" t="str">
        <f>LOOKUP(1,1/(Table1[[#This Row],[Level_0]:[Level 15]]&gt;0),(Table1[[#This Row],[Level_0]:[Level 15]]))</f>
        <v>7600340018 - [DAA_Material sampling_Dyestuffs_L]</v>
      </c>
      <c r="U686" s="22">
        <v>681</v>
      </c>
      <c r="W686" s="13" t="str">
        <f>LOOKUP(1,1/(Table1[[#This Row],[Level_0]:[Level 15]]&gt;0),(Table1[[#This Row],[Level_0]:[Level 15]]))</f>
        <v>7600340018 - [DAA_Material sampling_Dyestuffs_L]</v>
      </c>
    </row>
    <row r="687" spans="1:23" hidden="1" x14ac:dyDescent="0.25">
      <c r="A687">
        <v>7600340017</v>
      </c>
      <c r="B687" s="16" t="s">
        <v>21514</v>
      </c>
      <c r="C687" s="16" t="e">
        <f>VLOOKUP(Table1[[#This Row],[Node]],Parent!A:B,2,0)</f>
        <v>#N/A</v>
      </c>
      <c r="D687" s="25" t="s">
        <v>19346</v>
      </c>
      <c r="E687" s="26" t="s">
        <v>16544</v>
      </c>
      <c r="F687" s="27" t="s">
        <v>16830</v>
      </c>
      <c r="G687" s="27" t="s">
        <v>16831</v>
      </c>
      <c r="H687" s="27" t="s">
        <v>16881</v>
      </c>
      <c r="I687" s="27" t="s">
        <v>17195</v>
      </c>
      <c r="J687" s="27"/>
      <c r="K687" s="27"/>
      <c r="L687" s="27"/>
      <c r="N687" s="27"/>
      <c r="T687" s="28" t="str">
        <f>LOOKUP(1,1/(Table1[[#This Row],[Level_0]:[Level 15]]&gt;0),(Table1[[#This Row],[Level_0]:[Level 15]]))</f>
        <v>7600340017 - [DAA_Govern creat./maint. mat. Master_L]</v>
      </c>
      <c r="U687" s="22">
        <v>682</v>
      </c>
      <c r="W687" s="13" t="str">
        <f>LOOKUP(1,1/(Table1[[#This Row],[Level_0]:[Level 15]]&gt;0),(Table1[[#This Row],[Level_0]:[Level 15]]))</f>
        <v>7600340017 - [DAA_Govern creat./maint. mat. Master_L]</v>
      </c>
    </row>
    <row r="688" spans="1:23" hidden="1" x14ac:dyDescent="0.25">
      <c r="A688">
        <v>7600340016</v>
      </c>
      <c r="B688" s="16" t="s">
        <v>21513</v>
      </c>
      <c r="C688" s="16" t="e">
        <f>VLOOKUP(Table1[[#This Row],[Node]],Parent!A:B,2,0)</f>
        <v>#N/A</v>
      </c>
      <c r="D688" s="25" t="s">
        <v>19346</v>
      </c>
      <c r="E688" s="26" t="s">
        <v>16544</v>
      </c>
      <c r="F688" s="27" t="s">
        <v>16830</v>
      </c>
      <c r="G688" s="27" t="s">
        <v>16831</v>
      </c>
      <c r="H688" s="27" t="s">
        <v>16881</v>
      </c>
      <c r="I688" s="27" t="s">
        <v>17196</v>
      </c>
      <c r="J688" s="27"/>
      <c r="K688" s="27"/>
      <c r="L688" s="27"/>
      <c r="N688" s="27"/>
      <c r="T688" s="28" t="str">
        <f>LOOKUP(1,1/(Table1[[#This Row],[Level_0]:[Level 15]]&gt;0),(Table1[[#This Row],[Level_0]:[Level 15]]))</f>
        <v>7600340016 - [DAA_Global Product Hierachies_L]</v>
      </c>
      <c r="U688" s="22">
        <v>683</v>
      </c>
      <c r="W688" s="13" t="str">
        <f>LOOKUP(1,1/(Table1[[#This Row],[Level_0]:[Level 15]]&gt;0),(Table1[[#This Row],[Level_0]:[Level 15]]))</f>
        <v>7600340016 - [DAA_Global Product Hierachies_L]</v>
      </c>
    </row>
    <row r="689" spans="1:23" hidden="1" x14ac:dyDescent="0.25">
      <c r="A689">
        <v>7600340015</v>
      </c>
      <c r="B689" s="16" t="s">
        <v>21512</v>
      </c>
      <c r="C689" s="16" t="e">
        <f>VLOOKUP(Table1[[#This Row],[Node]],Parent!A:B,2,0)</f>
        <v>#N/A</v>
      </c>
      <c r="D689" s="25" t="s">
        <v>19346</v>
      </c>
      <c r="E689" s="26" t="s">
        <v>16544</v>
      </c>
      <c r="F689" s="27" t="s">
        <v>16830</v>
      </c>
      <c r="G689" s="27" t="s">
        <v>16831</v>
      </c>
      <c r="H689" s="27" t="s">
        <v>16881</v>
      </c>
      <c r="I689" s="27" t="s">
        <v>17197</v>
      </c>
      <c r="J689" s="27"/>
      <c r="K689" s="27"/>
      <c r="L689" s="27"/>
      <c r="N689" s="27"/>
      <c r="T689" s="28" t="str">
        <f>LOOKUP(1,1/(Table1[[#This Row],[Level_0]:[Level 15]]&gt;0),(Table1[[#This Row],[Level_0]:[Level 15]]))</f>
        <v>7600340015 - [DAA_Manage creation/maint.Pack.modules_L]</v>
      </c>
      <c r="U689" s="22">
        <v>684</v>
      </c>
      <c r="W689" s="13" t="str">
        <f>LOOKUP(1,1/(Table1[[#This Row],[Level_0]:[Level 15]]&gt;0),(Table1[[#This Row],[Level_0]:[Level 15]]))</f>
        <v>7600340015 - [DAA_Manage creation/maint.Pack.modules_L]</v>
      </c>
    </row>
    <row r="690" spans="1:23" hidden="1" x14ac:dyDescent="0.25">
      <c r="A690">
        <v>7600340014</v>
      </c>
      <c r="B690" s="16" t="s">
        <v>21511</v>
      </c>
      <c r="C690" s="16" t="e">
        <f>VLOOKUP(Table1[[#This Row],[Node]],Parent!A:B,2,0)</f>
        <v>#N/A</v>
      </c>
      <c r="D690" s="25" t="s">
        <v>19346</v>
      </c>
      <c r="E690" s="26" t="s">
        <v>16544</v>
      </c>
      <c r="F690" s="27" t="s">
        <v>16830</v>
      </c>
      <c r="G690" s="27" t="s">
        <v>16831</v>
      </c>
      <c r="H690" s="27" t="s">
        <v>16881</v>
      </c>
      <c r="I690" s="27" t="s">
        <v>17198</v>
      </c>
      <c r="J690" s="27"/>
      <c r="K690" s="27"/>
      <c r="L690" s="27"/>
      <c r="N690" s="27"/>
      <c r="T690" s="28" t="str">
        <f>LOOKUP(1,1/(Table1[[#This Row],[Level_0]:[Level 15]]&gt;0),(Table1[[#This Row],[Level_0]:[Level 15]]))</f>
        <v>7600340014 - [DAA_Customer Returns_L]</v>
      </c>
      <c r="U690" s="22">
        <v>685</v>
      </c>
      <c r="W690" s="13" t="str">
        <f>LOOKUP(1,1/(Table1[[#This Row],[Level_0]:[Level 15]]&gt;0),(Table1[[#This Row],[Level_0]:[Level 15]]))</f>
        <v>7600340014 - [DAA_Customer Returns_L]</v>
      </c>
    </row>
    <row r="691" spans="1:23" hidden="1" x14ac:dyDescent="0.25">
      <c r="A691">
        <v>7600340013</v>
      </c>
      <c r="B691" s="16" t="s">
        <v>21510</v>
      </c>
      <c r="C691" s="16" t="e">
        <f>VLOOKUP(Table1[[#This Row],[Node]],Parent!A:B,2,0)</f>
        <v>#N/A</v>
      </c>
      <c r="D691" s="25" t="s">
        <v>19346</v>
      </c>
      <c r="E691" s="26" t="s">
        <v>16544</v>
      </c>
      <c r="F691" s="27" t="s">
        <v>16830</v>
      </c>
      <c r="G691" s="27" t="s">
        <v>16831</v>
      </c>
      <c r="H691" s="27" t="s">
        <v>16881</v>
      </c>
      <c r="I691" s="27" t="s">
        <v>17199</v>
      </c>
      <c r="J691" s="27"/>
      <c r="K691" s="27"/>
      <c r="L691" s="27"/>
      <c r="N691" s="27"/>
      <c r="T691" s="28" t="str">
        <f>LOOKUP(1,1/(Table1[[#This Row],[Level_0]:[Level 15]]&gt;0),(Table1[[#This Row],[Level_0]:[Level 15]]))</f>
        <v>7600340013 - [DAA_Known Consignor Process_L]</v>
      </c>
      <c r="U691" s="22">
        <v>686</v>
      </c>
      <c r="W691" s="13" t="str">
        <f>LOOKUP(1,1/(Table1[[#This Row],[Level_0]:[Level 15]]&gt;0),(Table1[[#This Row],[Level_0]:[Level 15]]))</f>
        <v>7600340013 - [DAA_Known Consignor Process_L]</v>
      </c>
    </row>
    <row r="692" spans="1:23" hidden="1" x14ac:dyDescent="0.25">
      <c r="A692">
        <v>7600340012</v>
      </c>
      <c r="B692" s="16" t="s">
        <v>21509</v>
      </c>
      <c r="C692" s="16" t="e">
        <f>VLOOKUP(Table1[[#This Row],[Node]],Parent!A:B,2,0)</f>
        <v>#N/A</v>
      </c>
      <c r="D692" s="25" t="s">
        <v>19346</v>
      </c>
      <c r="E692" s="26" t="s">
        <v>16544</v>
      </c>
      <c r="F692" s="27" t="s">
        <v>16830</v>
      </c>
      <c r="G692" s="27" t="s">
        <v>16831</v>
      </c>
      <c r="H692" s="27" t="s">
        <v>16881</v>
      </c>
      <c r="I692" s="27" t="s">
        <v>17200</v>
      </c>
      <c r="J692" s="27"/>
      <c r="K692" s="27"/>
      <c r="L692" s="27"/>
      <c r="N692" s="27"/>
      <c r="T692" s="28" t="str">
        <f>LOOKUP(1,1/(Table1[[#This Row],[Level_0]:[Level 15]]&gt;0),(Table1[[#This Row],[Level_0]:[Level 15]]))</f>
        <v>7600340012 - [DAA_K2 tool_gen item code_non-inv.item_L]</v>
      </c>
      <c r="U692" s="22">
        <v>687</v>
      </c>
      <c r="W692" s="13" t="str">
        <f>LOOKUP(1,1/(Table1[[#This Row],[Level_0]:[Level 15]]&gt;0),(Table1[[#This Row],[Level_0]:[Level 15]]))</f>
        <v>7600340012 - [DAA_K2 tool_gen item code_non-inv.item_L]</v>
      </c>
    </row>
    <row r="693" spans="1:23" hidden="1" x14ac:dyDescent="0.25">
      <c r="A693">
        <v>7600340011</v>
      </c>
      <c r="B693" s="16" t="s">
        <v>21508</v>
      </c>
      <c r="C693" s="16" t="e">
        <f>VLOOKUP(Table1[[#This Row],[Node]],Parent!A:B,2,0)</f>
        <v>#N/A</v>
      </c>
      <c r="D693" s="25" t="s">
        <v>19346</v>
      </c>
      <c r="E693" s="26" t="s">
        <v>16544</v>
      </c>
      <c r="F693" s="27" t="s">
        <v>16830</v>
      </c>
      <c r="G693" s="27" t="s">
        <v>16831</v>
      </c>
      <c r="H693" s="27" t="s">
        <v>16881</v>
      </c>
      <c r="I693" s="27" t="s">
        <v>17201</v>
      </c>
      <c r="J693" s="27"/>
      <c r="K693" s="27"/>
      <c r="L693" s="27"/>
      <c r="N693" s="27"/>
      <c r="T693" s="28" t="str">
        <f>LOOKUP(1,1/(Table1[[#This Row],[Level_0]:[Level 15]]&gt;0),(Table1[[#This Row],[Level_0]:[Level 15]]))</f>
        <v>7600340011 - [DAA_Outbound process for techn.mat._L]</v>
      </c>
      <c r="U693" s="22">
        <v>688</v>
      </c>
      <c r="W693" s="13" t="str">
        <f>LOOKUP(1,1/(Table1[[#This Row],[Level_0]:[Level 15]]&gt;0),(Table1[[#This Row],[Level_0]:[Level 15]]))</f>
        <v>7600340011 - [DAA_Outbound process for techn.mat._L]</v>
      </c>
    </row>
    <row r="694" spans="1:23" hidden="1" x14ac:dyDescent="0.25">
      <c r="A694">
        <v>7600340010</v>
      </c>
      <c r="B694" s="16" t="s">
        <v>21507</v>
      </c>
      <c r="C694" s="16" t="e">
        <f>VLOOKUP(Table1[[#This Row],[Node]],Parent!A:B,2,0)</f>
        <v>#N/A</v>
      </c>
      <c r="D694" s="25" t="s">
        <v>19346</v>
      </c>
      <c r="E694" s="26" t="s">
        <v>16544</v>
      </c>
      <c r="F694" s="27" t="s">
        <v>16830</v>
      </c>
      <c r="G694" s="27" t="s">
        <v>16831</v>
      </c>
      <c r="H694" s="27" t="s">
        <v>16881</v>
      </c>
      <c r="I694" s="27" t="s">
        <v>17202</v>
      </c>
      <c r="J694" s="27"/>
      <c r="K694" s="27"/>
      <c r="L694" s="27"/>
      <c r="N694" s="27"/>
      <c r="T694" s="28" t="str">
        <f>LOOKUP(1,1/(Table1[[#This Row],[Level_0]:[Level 15]]&gt;0),(Table1[[#This Row],[Level_0]:[Level 15]]))</f>
        <v>7600340010 - [DAA_Handling of Non-inventory items_L]</v>
      </c>
      <c r="U694" s="22">
        <v>689</v>
      </c>
      <c r="W694" s="13" t="str">
        <f>LOOKUP(1,1/(Table1[[#This Row],[Level_0]:[Level 15]]&gt;0),(Table1[[#This Row],[Level_0]:[Level 15]]))</f>
        <v>7600340010 - [DAA_Handling of Non-inventory items_L]</v>
      </c>
    </row>
    <row r="695" spans="1:23" hidden="1" x14ac:dyDescent="0.25">
      <c r="A695">
        <v>7600340009</v>
      </c>
      <c r="B695" s="16" t="s">
        <v>21506</v>
      </c>
      <c r="C695" s="16" t="e">
        <f>VLOOKUP(Table1[[#This Row],[Node]],Parent!A:B,2,0)</f>
        <v>#N/A</v>
      </c>
      <c r="D695" s="25" t="s">
        <v>19346</v>
      </c>
      <c r="E695" s="26" t="s">
        <v>16544</v>
      </c>
      <c r="F695" s="27" t="s">
        <v>16830</v>
      </c>
      <c r="G695" s="27" t="s">
        <v>16831</v>
      </c>
      <c r="H695" s="27" t="s">
        <v>16881</v>
      </c>
      <c r="I695" s="27" t="s">
        <v>17203</v>
      </c>
      <c r="J695" s="27"/>
      <c r="K695" s="27"/>
      <c r="L695" s="27"/>
      <c r="N695" s="27"/>
      <c r="T695" s="28" t="str">
        <f>LOOKUP(1,1/(Table1[[#This Row],[Level_0]:[Level 15]]&gt;0),(Table1[[#This Row],[Level_0]:[Level 15]]))</f>
        <v>7600340009 - [DAA_Parcel Service_L]</v>
      </c>
      <c r="U695" s="22">
        <v>690</v>
      </c>
      <c r="W695" s="13" t="str">
        <f>LOOKUP(1,1/(Table1[[#This Row],[Level_0]:[Level 15]]&gt;0),(Table1[[#This Row],[Level_0]:[Level 15]]))</f>
        <v>7600340009 - [DAA_Parcel Service_L]</v>
      </c>
    </row>
    <row r="696" spans="1:23" hidden="1" x14ac:dyDescent="0.25">
      <c r="A696">
        <v>7600340008</v>
      </c>
      <c r="B696" s="16" t="s">
        <v>21505</v>
      </c>
      <c r="C696" s="16" t="e">
        <f>VLOOKUP(Table1[[#This Row],[Node]],Parent!A:B,2,0)</f>
        <v>#N/A</v>
      </c>
      <c r="D696" s="25" t="s">
        <v>19346</v>
      </c>
      <c r="E696" s="26" t="s">
        <v>16544</v>
      </c>
      <c r="F696" s="27" t="s">
        <v>16830</v>
      </c>
      <c r="G696" s="27" t="s">
        <v>16831</v>
      </c>
      <c r="H696" s="27" t="s">
        <v>16881</v>
      </c>
      <c r="I696" s="27" t="s">
        <v>17204</v>
      </c>
      <c r="J696" s="27"/>
      <c r="K696" s="27"/>
      <c r="L696" s="27"/>
      <c r="N696" s="27"/>
      <c r="T696" s="28" t="str">
        <f>LOOKUP(1,1/(Table1[[#This Row],[Level_0]:[Level 15]]&gt;0),(Table1[[#This Row],[Level_0]:[Level 15]]))</f>
        <v>7600340008 - [DAA_Transport Coordination 3rd party_L]</v>
      </c>
      <c r="U696" s="22">
        <v>691</v>
      </c>
      <c r="W696" s="13" t="str">
        <f>LOOKUP(1,1/(Table1[[#This Row],[Level_0]:[Level 15]]&gt;0),(Table1[[#This Row],[Level_0]:[Level 15]]))</f>
        <v>7600340008 - [DAA_Transport Coordination 3rd party_L]</v>
      </c>
    </row>
    <row r="697" spans="1:23" hidden="1" x14ac:dyDescent="0.25">
      <c r="A697">
        <v>7600340007</v>
      </c>
      <c r="B697" s="16" t="s">
        <v>21504</v>
      </c>
      <c r="C697" s="16" t="e">
        <f>VLOOKUP(Table1[[#This Row],[Node]],Parent!A:B,2,0)</f>
        <v>#N/A</v>
      </c>
      <c r="D697" s="25" t="s">
        <v>19346</v>
      </c>
      <c r="E697" s="26" t="s">
        <v>16544</v>
      </c>
      <c r="F697" s="27" t="s">
        <v>16830</v>
      </c>
      <c r="G697" s="27" t="s">
        <v>16831</v>
      </c>
      <c r="H697" s="27" t="s">
        <v>16881</v>
      </c>
      <c r="I697" s="27" t="s">
        <v>17205</v>
      </c>
      <c r="J697" s="27"/>
      <c r="K697" s="27"/>
      <c r="L697" s="27"/>
      <c r="N697" s="27"/>
      <c r="T697" s="28" t="str">
        <f>LOOKUP(1,1/(Table1[[#This Row],[Level_0]:[Level 15]]&gt;0),(Table1[[#This Row],[Level_0]:[Level 15]]))</f>
        <v>7600340007 - [DAA_Warehousing_L]</v>
      </c>
      <c r="U697" s="22">
        <v>692</v>
      </c>
      <c r="W697" s="13" t="str">
        <f>LOOKUP(1,1/(Table1[[#This Row],[Level_0]:[Level 15]]&gt;0),(Table1[[#This Row],[Level_0]:[Level 15]]))</f>
        <v>7600340007 - [DAA_Warehousing_L]</v>
      </c>
    </row>
    <row r="698" spans="1:23" hidden="1" x14ac:dyDescent="0.25">
      <c r="A698">
        <v>7600340006</v>
      </c>
      <c r="B698" s="16" t="s">
        <v>21503</v>
      </c>
      <c r="C698" s="16" t="e">
        <f>VLOOKUP(Table1[[#This Row],[Node]],Parent!A:B,2,0)</f>
        <v>#N/A</v>
      </c>
      <c r="D698" s="25" t="s">
        <v>19346</v>
      </c>
      <c r="E698" s="26" t="s">
        <v>16544</v>
      </c>
      <c r="F698" s="27" t="s">
        <v>16830</v>
      </c>
      <c r="G698" s="27" t="s">
        <v>16831</v>
      </c>
      <c r="H698" s="27" t="s">
        <v>16881</v>
      </c>
      <c r="I698" s="27" t="s">
        <v>17206</v>
      </c>
      <c r="J698" s="27"/>
      <c r="K698" s="27"/>
      <c r="L698" s="27"/>
      <c r="N698" s="27"/>
      <c r="T698" s="28" t="str">
        <f>LOOKUP(1,1/(Table1[[#This Row],[Level_0]:[Level 15]]&gt;0),(Table1[[#This Row],[Level_0]:[Level 15]]))</f>
        <v>7600340006 - [DAA_Inbound Logistics_L]</v>
      </c>
      <c r="U698" s="22">
        <v>693</v>
      </c>
      <c r="W698" s="13" t="str">
        <f>LOOKUP(1,1/(Table1[[#This Row],[Level_0]:[Level 15]]&gt;0),(Table1[[#This Row],[Level_0]:[Level 15]]))</f>
        <v>7600340006 - [DAA_Inbound Logistics_L]</v>
      </c>
    </row>
    <row r="699" spans="1:23" hidden="1" x14ac:dyDescent="0.25">
      <c r="A699">
        <v>7600330122</v>
      </c>
      <c r="B699" s="16" t="s">
        <v>21502</v>
      </c>
      <c r="C699" s="16" t="e">
        <f>VLOOKUP(Table1[[#This Row],[Node]],Parent!A:B,2,0)</f>
        <v>#N/A</v>
      </c>
      <c r="D699" s="25" t="s">
        <v>19346</v>
      </c>
      <c r="E699" s="26" t="s">
        <v>16544</v>
      </c>
      <c r="F699" s="27" t="s">
        <v>16830</v>
      </c>
      <c r="G699" s="27" t="s">
        <v>16831</v>
      </c>
      <c r="H699" s="27" t="s">
        <v>16881</v>
      </c>
      <c r="I699" s="27" t="s">
        <v>17207</v>
      </c>
      <c r="J699" s="27"/>
      <c r="K699" s="27"/>
      <c r="L699" s="27"/>
      <c r="N699" s="27"/>
      <c r="T699" s="28" t="str">
        <f>LOOKUP(1,1/(Table1[[#This Row],[Level_0]:[Level 15]]&gt;0),(Table1[[#This Row],[Level_0]:[Level 15]]))</f>
        <v>7600330122 - [DAA_PM-OT Project Service (external)_P]</v>
      </c>
      <c r="U699" s="22">
        <v>694</v>
      </c>
      <c r="W699" s="13" t="str">
        <f>LOOKUP(1,1/(Table1[[#This Row],[Level_0]:[Level 15]]&gt;0),(Table1[[#This Row],[Level_0]:[Level 15]]))</f>
        <v>7600330122 - [DAA_PM-OT Project Service (external)_P]</v>
      </c>
    </row>
    <row r="700" spans="1:23" hidden="1" x14ac:dyDescent="0.25">
      <c r="A700">
        <v>7600330118</v>
      </c>
      <c r="B700" s="16" t="s">
        <v>21501</v>
      </c>
      <c r="C700" s="16" t="e">
        <f>VLOOKUP(Table1[[#This Row],[Node]],Parent!A:B,2,0)</f>
        <v>#N/A</v>
      </c>
      <c r="D700" s="25" t="s">
        <v>19346</v>
      </c>
      <c r="E700" s="26" t="s">
        <v>16544</v>
      </c>
      <c r="F700" s="27" t="s">
        <v>16830</v>
      </c>
      <c r="G700" s="27" t="s">
        <v>16831</v>
      </c>
      <c r="H700" s="27" t="s">
        <v>16881</v>
      </c>
      <c r="I700" s="27" t="s">
        <v>17208</v>
      </c>
      <c r="J700" s="27"/>
      <c r="K700" s="27"/>
      <c r="L700" s="27"/>
      <c r="N700" s="27"/>
      <c r="T700" s="28" t="str">
        <f>LOOKUP(1,1/(Table1[[#This Row],[Level_0]:[Level 15]]&gt;0),(Table1[[#This Row],[Level_0]:[Level 15]]))</f>
        <v>7600330118 - [DAA_UseTests FFL_resp. lab_raw mat._P]</v>
      </c>
      <c r="U700" s="22">
        <v>695</v>
      </c>
      <c r="W700" s="13" t="str">
        <f>LOOKUP(1,1/(Table1[[#This Row],[Level_0]:[Level 15]]&gt;0),(Table1[[#This Row],[Level_0]:[Level 15]]))</f>
        <v>7600330118 - [DAA_UseTests FFL_resp. lab_raw mat._P]</v>
      </c>
    </row>
    <row r="701" spans="1:23" hidden="1" x14ac:dyDescent="0.25">
      <c r="A701">
        <v>7600330117</v>
      </c>
      <c r="B701" s="16" t="s">
        <v>21500</v>
      </c>
      <c r="C701" s="16" t="e">
        <f>VLOOKUP(Table1[[#This Row],[Node]],Parent!A:B,2,0)</f>
        <v>#N/A</v>
      </c>
      <c r="D701" s="25" t="s">
        <v>19346</v>
      </c>
      <c r="E701" s="26" t="s">
        <v>16544</v>
      </c>
      <c r="F701" s="27" t="s">
        <v>16830</v>
      </c>
      <c r="G701" s="27" t="s">
        <v>16831</v>
      </c>
      <c r="H701" s="27" t="s">
        <v>16881</v>
      </c>
      <c r="I701" s="27" t="s">
        <v>17209</v>
      </c>
      <c r="J701" s="27"/>
      <c r="K701" s="27"/>
      <c r="L701" s="27"/>
      <c r="N701" s="27"/>
      <c r="T701" s="28" t="str">
        <f>LOOKUP(1,1/(Table1[[#This Row],[Level_0]:[Level 15]]&gt;0),(Table1[[#This Row],[Level_0]:[Level 15]]))</f>
        <v>7600330117 - [DAA_Cat-solutions catalyst screening_P]</v>
      </c>
      <c r="U701" s="22">
        <v>696</v>
      </c>
      <c r="W701" s="13" t="str">
        <f>LOOKUP(1,1/(Table1[[#This Row],[Level_0]:[Level 15]]&gt;0),(Table1[[#This Row],[Level_0]:[Level 15]]))</f>
        <v>7600330117 - [DAA_Cat-solutions catalyst screening_P]</v>
      </c>
    </row>
    <row r="702" spans="1:23" hidden="1" x14ac:dyDescent="0.25">
      <c r="A702">
        <v>7600330116</v>
      </c>
      <c r="B702" s="16" t="s">
        <v>21499</v>
      </c>
      <c r="C702" s="16" t="e">
        <f>VLOOKUP(Table1[[#This Row],[Node]],Parent!A:B,2,0)</f>
        <v>#N/A</v>
      </c>
      <c r="D702" s="25" t="s">
        <v>19346</v>
      </c>
      <c r="E702" s="26" t="s">
        <v>16544</v>
      </c>
      <c r="F702" s="27" t="s">
        <v>16830</v>
      </c>
      <c r="G702" s="27" t="s">
        <v>16831</v>
      </c>
      <c r="H702" s="27" t="s">
        <v>16881</v>
      </c>
      <c r="I702" s="27" t="s">
        <v>17210</v>
      </c>
      <c r="J702" s="27"/>
      <c r="K702" s="27"/>
      <c r="L702" s="27"/>
      <c r="N702" s="27"/>
      <c r="T702" s="28" t="str">
        <f>LOOKUP(1,1/(Table1[[#This Row],[Level_0]:[Level 15]]&gt;0),(Table1[[#This Row],[Level_0]:[Level 15]]))</f>
        <v>7600330116 - [DAA_Gas reactions at pilot scale_P]</v>
      </c>
      <c r="U702" s="22">
        <v>697</v>
      </c>
      <c r="W702" s="13" t="str">
        <f>LOOKUP(1,1/(Table1[[#This Row],[Level_0]:[Level 15]]&gt;0),(Table1[[#This Row],[Level_0]:[Level 15]]))</f>
        <v>7600330116 - [DAA_Gas reactions at pilot scale_P]</v>
      </c>
    </row>
    <row r="703" spans="1:23" hidden="1" x14ac:dyDescent="0.25">
      <c r="A703">
        <v>7600330115</v>
      </c>
      <c r="B703" s="16" t="s">
        <v>21498</v>
      </c>
      <c r="C703" s="16" t="e">
        <f>VLOOKUP(Table1[[#This Row],[Node]],Parent!A:B,2,0)</f>
        <v>#N/A</v>
      </c>
      <c r="D703" s="25" t="s">
        <v>19346</v>
      </c>
      <c r="E703" s="26" t="s">
        <v>16544</v>
      </c>
      <c r="F703" s="27" t="s">
        <v>16830</v>
      </c>
      <c r="G703" s="27" t="s">
        <v>16831</v>
      </c>
      <c r="H703" s="27" t="s">
        <v>16881</v>
      </c>
      <c r="I703" s="27" t="s">
        <v>17211</v>
      </c>
      <c r="J703" s="27"/>
      <c r="K703" s="27"/>
      <c r="L703" s="27"/>
      <c r="N703" s="27"/>
      <c r="T703" s="28" t="str">
        <f>LOOKUP(1,1/(Table1[[#This Row],[Level_0]:[Level 15]]&gt;0),(Table1[[#This Row],[Level_0]:[Level 15]]))</f>
        <v>7600330115 - [DAA_Hydr. reaction_highly toxic gas_P]</v>
      </c>
      <c r="U703" s="22">
        <v>698</v>
      </c>
      <c r="W703" s="13" t="str">
        <f>LOOKUP(1,1/(Table1[[#This Row],[Level_0]:[Level 15]]&gt;0),(Table1[[#This Row],[Level_0]:[Level 15]]))</f>
        <v>7600330115 - [DAA_Hydr. reaction_highly toxic gas_P]</v>
      </c>
    </row>
    <row r="704" spans="1:23" hidden="1" x14ac:dyDescent="0.25">
      <c r="A704">
        <v>7600330114</v>
      </c>
      <c r="B704" s="16" t="s">
        <v>21497</v>
      </c>
      <c r="C704" s="16" t="e">
        <f>VLOOKUP(Table1[[#This Row],[Node]],Parent!A:B,2,0)</f>
        <v>#N/A</v>
      </c>
      <c r="D704" s="25" t="s">
        <v>19346</v>
      </c>
      <c r="E704" s="26" t="s">
        <v>16544</v>
      </c>
      <c r="F704" s="27" t="s">
        <v>16830</v>
      </c>
      <c r="G704" s="27" t="s">
        <v>16831</v>
      </c>
      <c r="H704" s="27" t="s">
        <v>16881</v>
      </c>
      <c r="I704" s="27" t="s">
        <v>17212</v>
      </c>
      <c r="J704" s="27"/>
      <c r="K704" s="27"/>
      <c r="L704" s="27"/>
      <c r="N704" s="27"/>
      <c r="T704" s="28" t="str">
        <f>LOOKUP(1,1/(Table1[[#This Row],[Level_0]:[Level 15]]&gt;0),(Table1[[#This Row],[Level_0]:[Level 15]]))</f>
        <v>7600330114 - [DAA_Hydr. reaction_react. other gas_P]</v>
      </c>
      <c r="U704" s="22">
        <v>699</v>
      </c>
      <c r="W704" s="13" t="str">
        <f>LOOKUP(1,1/(Table1[[#This Row],[Level_0]:[Level 15]]&gt;0),(Table1[[#This Row],[Level_0]:[Level 15]]))</f>
        <v>7600330114 - [DAA_Hydr. reaction_react. other gas_P]</v>
      </c>
    </row>
    <row r="705" spans="1:23" hidden="1" x14ac:dyDescent="0.25">
      <c r="A705">
        <v>7600330113</v>
      </c>
      <c r="B705" s="16" t="s">
        <v>21496</v>
      </c>
      <c r="C705" s="16" t="e">
        <f>VLOOKUP(Table1[[#This Row],[Node]],Parent!A:B,2,0)</f>
        <v>#N/A</v>
      </c>
      <c r="D705" s="25" t="s">
        <v>19346</v>
      </c>
      <c r="E705" s="26" t="s">
        <v>16544</v>
      </c>
      <c r="F705" s="27" t="s">
        <v>16830</v>
      </c>
      <c r="G705" s="27" t="s">
        <v>16831</v>
      </c>
      <c r="H705" s="27" t="s">
        <v>16881</v>
      </c>
      <c r="I705" s="27" t="s">
        <v>17213</v>
      </c>
      <c r="J705" s="27"/>
      <c r="K705" s="27"/>
      <c r="L705" s="27"/>
      <c r="N705" s="27"/>
      <c r="T705" s="28" t="str">
        <f>LOOKUP(1,1/(Table1[[#This Row],[Level_0]:[Level 15]]&gt;0),(Table1[[#This Row],[Level_0]:[Level 15]]))</f>
        <v>7600330113 - [DAA_Hydrog. reaction_high pressure_P]</v>
      </c>
      <c r="U705" s="22">
        <v>700</v>
      </c>
      <c r="W705" s="13" t="str">
        <f>LOOKUP(1,1/(Table1[[#This Row],[Level_0]:[Level 15]]&gt;0),(Table1[[#This Row],[Level_0]:[Level 15]]))</f>
        <v>7600330113 - [DAA_Hydrog. reaction_high pressure_P]</v>
      </c>
    </row>
    <row r="706" spans="1:23" hidden="1" x14ac:dyDescent="0.25">
      <c r="A706">
        <v>7600330112</v>
      </c>
      <c r="B706" s="16" t="s">
        <v>21495</v>
      </c>
      <c r="C706" s="16" t="e">
        <f>VLOOKUP(Table1[[#This Row],[Node]],Parent!A:B,2,0)</f>
        <v>#N/A</v>
      </c>
      <c r="D706" s="25" t="s">
        <v>19346</v>
      </c>
      <c r="E706" s="26" t="s">
        <v>16544</v>
      </c>
      <c r="F706" s="27" t="s">
        <v>16830</v>
      </c>
      <c r="G706" s="27" t="s">
        <v>16831</v>
      </c>
      <c r="H706" s="27" t="s">
        <v>16881</v>
      </c>
      <c r="I706" s="27" t="s">
        <v>17214</v>
      </c>
      <c r="J706" s="27"/>
      <c r="K706" s="27"/>
      <c r="L706" s="27"/>
      <c r="N706" s="27"/>
      <c r="T706" s="28" t="str">
        <f>LOOKUP(1,1/(Table1[[#This Row],[Level_0]:[Level 15]]&gt;0),(Table1[[#This Row],[Level_0]:[Level 15]]))</f>
        <v>7600330112 - [DAA_Hydrog. reaction_low pressure_P]</v>
      </c>
      <c r="U706" s="22">
        <v>701</v>
      </c>
      <c r="W706" s="13" t="str">
        <f>LOOKUP(1,1/(Table1[[#This Row],[Level_0]:[Level 15]]&gt;0),(Table1[[#This Row],[Level_0]:[Level 15]]))</f>
        <v>7600330112 - [DAA_Hydrog. reaction_low pressure_P]</v>
      </c>
    </row>
    <row r="707" spans="1:23" hidden="1" x14ac:dyDescent="0.25">
      <c r="A707">
        <v>7600330111</v>
      </c>
      <c r="B707" s="16" t="s">
        <v>21494</v>
      </c>
      <c r="C707" s="16" t="e">
        <f>VLOOKUP(Table1[[#This Row],[Node]],Parent!A:B,2,0)</f>
        <v>#N/A</v>
      </c>
      <c r="D707" s="25" t="s">
        <v>19346</v>
      </c>
      <c r="E707" s="26" t="s">
        <v>16544</v>
      </c>
      <c r="F707" s="27" t="s">
        <v>16830</v>
      </c>
      <c r="G707" s="27" t="s">
        <v>16831</v>
      </c>
      <c r="H707" s="27" t="s">
        <v>16881</v>
      </c>
      <c r="I707" s="27" t="s">
        <v>17215</v>
      </c>
      <c r="J707" s="27"/>
      <c r="K707" s="27"/>
      <c r="L707" s="27"/>
      <c r="N707" s="27"/>
      <c r="T707" s="28" t="str">
        <f>LOOKUP(1,1/(Table1[[#This Row],[Level_0]:[Level 15]]&gt;0),(Table1[[#This Row],[Level_0]:[Level 15]]))</f>
        <v>7600330111 - [DAA_Consultancy for choice of mat. _P]</v>
      </c>
      <c r="U707" s="22">
        <v>702</v>
      </c>
      <c r="W707" s="13" t="str">
        <f>LOOKUP(1,1/(Table1[[#This Row],[Level_0]:[Level 15]]&gt;0),(Table1[[#This Row],[Level_0]:[Level 15]]))</f>
        <v>7600330111 - [DAA_Consultancy for choice of mat. _P]</v>
      </c>
    </row>
    <row r="708" spans="1:23" hidden="1" x14ac:dyDescent="0.25">
      <c r="A708">
        <v>7600330110</v>
      </c>
      <c r="B708" s="16" t="s">
        <v>21493</v>
      </c>
      <c r="C708" s="16" t="e">
        <f>VLOOKUP(Table1[[#This Row],[Node]],Parent!A:B,2,0)</f>
        <v>#N/A</v>
      </c>
      <c r="D708" s="25" t="s">
        <v>19346</v>
      </c>
      <c r="E708" s="26" t="s">
        <v>16544</v>
      </c>
      <c r="F708" s="27" t="s">
        <v>16830</v>
      </c>
      <c r="G708" s="27" t="s">
        <v>16831</v>
      </c>
      <c r="H708" s="27" t="s">
        <v>16881</v>
      </c>
      <c r="I708" s="27" t="s">
        <v>17216</v>
      </c>
      <c r="J708" s="27"/>
      <c r="K708" s="27"/>
      <c r="L708" s="27"/>
      <c r="N708" s="27"/>
      <c r="T708" s="28" t="str">
        <f>LOOKUP(1,1/(Table1[[#This Row],[Level_0]:[Level 15]]&gt;0),(Table1[[#This Row],[Level_0]:[Level 15]]))</f>
        <v>7600330110 - [DAA_Metallographic investigations_P]</v>
      </c>
      <c r="U708" s="22">
        <v>703</v>
      </c>
      <c r="W708" s="13" t="str">
        <f>LOOKUP(1,1/(Table1[[#This Row],[Level_0]:[Level 15]]&gt;0),(Table1[[#This Row],[Level_0]:[Level 15]]))</f>
        <v>7600330110 - [DAA_Metallographic investigations_P]</v>
      </c>
    </row>
    <row r="709" spans="1:23" hidden="1" x14ac:dyDescent="0.25">
      <c r="A709">
        <v>7600330109</v>
      </c>
      <c r="B709" s="16" t="s">
        <v>21492</v>
      </c>
      <c r="C709" s="16" t="e">
        <f>VLOOKUP(Table1[[#This Row],[Node]],Parent!A:B,2,0)</f>
        <v>#N/A</v>
      </c>
      <c r="D709" s="25" t="s">
        <v>19346</v>
      </c>
      <c r="E709" s="26" t="s">
        <v>16544</v>
      </c>
      <c r="F709" s="27" t="s">
        <v>16830</v>
      </c>
      <c r="G709" s="27" t="s">
        <v>16831</v>
      </c>
      <c r="H709" s="27" t="s">
        <v>16881</v>
      </c>
      <c r="I709" s="27" t="s">
        <v>17217</v>
      </c>
      <c r="J709" s="27"/>
      <c r="K709" s="27"/>
      <c r="L709" s="27"/>
      <c r="N709" s="27"/>
      <c r="T709" s="28" t="str">
        <f>LOOKUP(1,1/(Table1[[#This Row],[Level_0]:[Level 15]]&gt;0),(Table1[[#This Row],[Level_0]:[Level 15]]))</f>
        <v>7600330109 - [P_DAA_EL-OT Materials Investigation]</v>
      </c>
      <c r="U709" s="22">
        <v>704</v>
      </c>
      <c r="W709" s="13" t="str">
        <f>LOOKUP(1,1/(Table1[[#This Row],[Level_0]:[Level 15]]&gt;0),(Table1[[#This Row],[Level_0]:[Level 15]]))</f>
        <v>7600330109 - [P_DAA_EL-OT Materials Investigation]</v>
      </c>
    </row>
    <row r="710" spans="1:23" hidden="1" x14ac:dyDescent="0.25">
      <c r="A710">
        <v>7600330108</v>
      </c>
      <c r="B710" s="16" t="s">
        <v>21491</v>
      </c>
      <c r="C710" s="16" t="e">
        <f>VLOOKUP(Table1[[#This Row],[Node]],Parent!A:B,2,0)</f>
        <v>#N/A</v>
      </c>
      <c r="D710" s="25" t="s">
        <v>19346</v>
      </c>
      <c r="E710" s="26" t="s">
        <v>16544</v>
      </c>
      <c r="F710" s="27" t="s">
        <v>16830</v>
      </c>
      <c r="G710" s="27" t="s">
        <v>16831</v>
      </c>
      <c r="H710" s="27" t="s">
        <v>16881</v>
      </c>
      <c r="I710" s="27" t="s">
        <v>17218</v>
      </c>
      <c r="J710" s="27"/>
      <c r="K710" s="27"/>
      <c r="L710" s="27"/>
      <c r="N710" s="27"/>
      <c r="T710" s="28" t="str">
        <f>LOOKUP(1,1/(Table1[[#This Row],[Level_0]:[Level 15]]&gt;0),(Table1[[#This Row],[Level_0]:[Level 15]]))</f>
        <v>7600330108 - [DAA_Corrosion testing_special cases_P]</v>
      </c>
      <c r="U710" s="22">
        <v>705</v>
      </c>
      <c r="W710" s="13" t="str">
        <f>LOOKUP(1,1/(Table1[[#This Row],[Level_0]:[Level 15]]&gt;0),(Table1[[#This Row],[Level_0]:[Level 15]]))</f>
        <v>7600330108 - [DAA_Corrosion testing_special cases_P]</v>
      </c>
    </row>
    <row r="711" spans="1:23" hidden="1" x14ac:dyDescent="0.25">
      <c r="A711">
        <v>7600330107</v>
      </c>
      <c r="B711" s="16" t="s">
        <v>21490</v>
      </c>
      <c r="C711" s="16" t="e">
        <f>VLOOKUP(Table1[[#This Row],[Node]],Parent!A:B,2,0)</f>
        <v>#N/A</v>
      </c>
      <c r="D711" s="25" t="s">
        <v>19346</v>
      </c>
      <c r="E711" s="26" t="s">
        <v>16544</v>
      </c>
      <c r="F711" s="27" t="s">
        <v>16830</v>
      </c>
      <c r="G711" s="27" t="s">
        <v>16831</v>
      </c>
      <c r="H711" s="27" t="s">
        <v>16881</v>
      </c>
      <c r="I711" s="27" t="s">
        <v>17219</v>
      </c>
      <c r="J711" s="27"/>
      <c r="K711" s="27"/>
      <c r="L711" s="27"/>
      <c r="N711" s="27"/>
      <c r="T711" s="28" t="str">
        <f>LOOKUP(1,1/(Table1[[#This Row],[Level_0]:[Level 15]]&gt;0),(Table1[[#This Row],[Level_0]:[Level 15]]))</f>
        <v>7600330107 - [DAA_Corrosion testing_std investig._P]</v>
      </c>
      <c r="U711" s="22">
        <v>706</v>
      </c>
      <c r="W711" s="13" t="str">
        <f>LOOKUP(1,1/(Table1[[#This Row],[Level_0]:[Level 15]]&gt;0),(Table1[[#This Row],[Level_0]:[Level 15]]))</f>
        <v>7600330107 - [DAA_Corrosion testing_std investig._P]</v>
      </c>
    </row>
    <row r="712" spans="1:23" hidden="1" x14ac:dyDescent="0.25">
      <c r="A712">
        <v>7600330106</v>
      </c>
      <c r="B712" s="16" t="s">
        <v>21489</v>
      </c>
      <c r="C712" s="16" t="e">
        <f>VLOOKUP(Table1[[#This Row],[Node]],Parent!A:B,2,0)</f>
        <v>#N/A</v>
      </c>
      <c r="D712" s="25" t="s">
        <v>19346</v>
      </c>
      <c r="E712" s="26" t="s">
        <v>16544</v>
      </c>
      <c r="F712" s="27" t="s">
        <v>16830</v>
      </c>
      <c r="G712" s="27" t="s">
        <v>16831</v>
      </c>
      <c r="H712" s="27" t="s">
        <v>16881</v>
      </c>
      <c r="I712" s="27" t="s">
        <v>17220</v>
      </c>
      <c r="J712" s="27"/>
      <c r="K712" s="27"/>
      <c r="L712" s="27"/>
      <c r="N712" s="27"/>
      <c r="T712" s="28" t="str">
        <f>LOOKUP(1,1/(Table1[[#This Row],[Level_0]:[Level 15]]&gt;0),(Table1[[#This Row],[Level_0]:[Level 15]]))</f>
        <v>7600330106 - [DAA_Con.Ext.Provider_safety assess._P]</v>
      </c>
      <c r="U712" s="22">
        <v>707</v>
      </c>
      <c r="W712" s="13" t="str">
        <f>LOOKUP(1,1/(Table1[[#This Row],[Level_0]:[Level 15]]&gt;0),(Table1[[#This Row],[Level_0]:[Level 15]]))</f>
        <v>7600330106 - [DAA_Con.Ext.Provider_safety assess._P]</v>
      </c>
    </row>
    <row r="713" spans="1:23" hidden="1" x14ac:dyDescent="0.25">
      <c r="A713">
        <v>7600330105</v>
      </c>
      <c r="B713" s="16" t="s">
        <v>21488</v>
      </c>
      <c r="C713" s="16" t="e">
        <f>VLOOKUP(Table1[[#This Row],[Node]],Parent!A:B,2,0)</f>
        <v>#N/A</v>
      </c>
      <c r="D713" s="25" t="s">
        <v>19346</v>
      </c>
      <c r="E713" s="26" t="s">
        <v>16544</v>
      </c>
      <c r="F713" s="27" t="s">
        <v>16830</v>
      </c>
      <c r="G713" s="27" t="s">
        <v>16831</v>
      </c>
      <c r="H713" s="27" t="s">
        <v>16881</v>
      </c>
      <c r="I713" s="27" t="s">
        <v>17221</v>
      </c>
      <c r="J713" s="27"/>
      <c r="K713" s="27"/>
      <c r="L713" s="27"/>
      <c r="N713" s="27"/>
      <c r="T713" s="28" t="str">
        <f>LOOKUP(1,1/(Table1[[#This Row],[Level_0]:[Level 15]]&gt;0),(Table1[[#This Row],[Level_0]:[Level 15]]))</f>
        <v>7600330105 - [DAA Online analytics_P]</v>
      </c>
      <c r="U713" s="22">
        <v>708</v>
      </c>
      <c r="W713" s="13" t="str">
        <f>LOOKUP(1,1/(Table1[[#This Row],[Level_0]:[Level 15]]&gt;0),(Table1[[#This Row],[Level_0]:[Level 15]]))</f>
        <v>7600330105 - [DAA Online analytics_P]</v>
      </c>
    </row>
    <row r="714" spans="1:23" hidden="1" x14ac:dyDescent="0.25">
      <c r="A714">
        <v>7600330104</v>
      </c>
      <c r="B714" s="16" t="s">
        <v>21487</v>
      </c>
      <c r="C714" s="16" t="e">
        <f>VLOOKUP(Table1[[#This Row],[Node]],Parent!A:B,2,0)</f>
        <v>#N/A</v>
      </c>
      <c r="D714" s="25" t="s">
        <v>19346</v>
      </c>
      <c r="E714" s="26" t="s">
        <v>16544</v>
      </c>
      <c r="F714" s="27" t="s">
        <v>16830</v>
      </c>
      <c r="G714" s="27" t="s">
        <v>16831</v>
      </c>
      <c r="H714" s="27" t="s">
        <v>16881</v>
      </c>
      <c r="I714" s="27" t="s">
        <v>17222</v>
      </c>
      <c r="J714" s="27"/>
      <c r="K714" s="27"/>
      <c r="L714" s="27"/>
      <c r="N714" s="27"/>
      <c r="T714" s="28" t="str">
        <f>LOOKUP(1,1/(Table1[[#This Row],[Level_0]:[Level 15]]&gt;0),(Table1[[#This Row],[Level_0]:[Level 15]]))</f>
        <v>7600330104 - [DAA_Physic/chem. charact. Comp./mixt._P]</v>
      </c>
      <c r="U714" s="22">
        <v>709</v>
      </c>
      <c r="W714" s="13" t="str">
        <f>LOOKUP(1,1/(Table1[[#This Row],[Level_0]:[Level 15]]&gt;0),(Table1[[#This Row],[Level_0]:[Level 15]]))</f>
        <v>7600330104 - [DAA_Physic/chem. charact. Comp./mixt._P]</v>
      </c>
    </row>
    <row r="715" spans="1:23" hidden="1" x14ac:dyDescent="0.25">
      <c r="A715">
        <v>7600330103</v>
      </c>
      <c r="B715" s="16" t="s">
        <v>21486</v>
      </c>
      <c r="C715" s="16" t="e">
        <f>VLOOKUP(Table1[[#This Row],[Node]],Parent!A:B,2,0)</f>
        <v>#N/A</v>
      </c>
      <c r="D715" s="25" t="s">
        <v>19346</v>
      </c>
      <c r="E715" s="26" t="s">
        <v>16544</v>
      </c>
      <c r="F715" s="27" t="s">
        <v>16830</v>
      </c>
      <c r="G715" s="27" t="s">
        <v>16831</v>
      </c>
      <c r="H715" s="27" t="s">
        <v>16881</v>
      </c>
      <c r="I715" s="27" t="s">
        <v>17223</v>
      </c>
      <c r="J715" s="27"/>
      <c r="K715" s="27"/>
      <c r="L715" s="27"/>
      <c r="N715" s="27"/>
      <c r="T715" s="28" t="str">
        <f>LOOKUP(1,1/(Table1[[#This Row],[Level_0]:[Level 15]]&gt;0),(Table1[[#This Row],[Level_0]:[Level 15]]))</f>
        <v>7600330103 - [DAA_Safety charact. compounds/mixtures_P]</v>
      </c>
      <c r="U715" s="22">
        <v>710</v>
      </c>
      <c r="W715" s="13" t="str">
        <f>LOOKUP(1,1/(Table1[[#This Row],[Level_0]:[Level 15]]&gt;0),(Table1[[#This Row],[Level_0]:[Level 15]]))</f>
        <v>7600330103 - [DAA_Safety charact. compounds/mixtures_P]</v>
      </c>
    </row>
    <row r="716" spans="1:23" hidden="1" x14ac:dyDescent="0.25">
      <c r="A716">
        <v>7600330102</v>
      </c>
      <c r="B716" s="16" t="s">
        <v>21485</v>
      </c>
      <c r="C716" s="16" t="e">
        <f>VLOOKUP(Table1[[#This Row],[Node]],Parent!A:B,2,0)</f>
        <v>#N/A</v>
      </c>
      <c r="D716" s="25" t="s">
        <v>19346</v>
      </c>
      <c r="E716" s="26" t="s">
        <v>16544</v>
      </c>
      <c r="F716" s="27" t="s">
        <v>16830</v>
      </c>
      <c r="G716" s="27" t="s">
        <v>16831</v>
      </c>
      <c r="H716" s="27" t="s">
        <v>16881</v>
      </c>
      <c r="I716" s="27" t="s">
        <v>17224</v>
      </c>
      <c r="J716" s="27"/>
      <c r="K716" s="27"/>
      <c r="L716" s="27"/>
      <c r="N716" s="27"/>
      <c r="T716" s="28" t="str">
        <f>LOOKUP(1,1/(Table1[[#This Row],[Level_0]:[Level 15]]&gt;0),(Table1[[#This Row],[Level_0]:[Level 15]]))</f>
        <v>7600330102 - [P_DAA_EL-OT Hazard Evaluation]</v>
      </c>
      <c r="U716" s="22">
        <v>711</v>
      </c>
      <c r="W716" s="13" t="str">
        <f>LOOKUP(1,1/(Table1[[#This Row],[Level_0]:[Level 15]]&gt;0),(Table1[[#This Row],[Level_0]:[Level 15]]))</f>
        <v>7600330102 - [P_DAA_EL-OT Hazard Evaluation]</v>
      </c>
    </row>
    <row r="717" spans="1:23" hidden="1" x14ac:dyDescent="0.25">
      <c r="A717">
        <v>7600330099</v>
      </c>
      <c r="B717" s="16" t="s">
        <v>21483</v>
      </c>
      <c r="C717" s="16" t="e">
        <f>VLOOKUP(Table1[[#This Row],[Node]],Parent!A:B,2,0)</f>
        <v>#N/A</v>
      </c>
      <c r="D717" s="25" t="s">
        <v>19346</v>
      </c>
      <c r="E717" s="26" t="s">
        <v>16544</v>
      </c>
      <c r="F717" s="27" t="s">
        <v>16830</v>
      </c>
      <c r="G717" s="27" t="s">
        <v>16831</v>
      </c>
      <c r="H717" s="27" t="s">
        <v>16881</v>
      </c>
      <c r="I717" s="27" t="s">
        <v>17225</v>
      </c>
      <c r="J717" s="27"/>
      <c r="K717" s="27"/>
      <c r="L717" s="27"/>
      <c r="N717" s="27"/>
      <c r="T717" s="28" t="str">
        <f>LOOKUP(1,1/(Table1[[#This Row],[Level_0]:[Level 15]]&gt;0),(Table1[[#This Row],[Level_0]:[Level 15]]))</f>
        <v>7600330099 - [DAA_PM_True-up/Mark-up_P]</v>
      </c>
      <c r="U717" s="22">
        <v>712</v>
      </c>
      <c r="W717" s="13" t="str">
        <f>LOOKUP(1,1/(Table1[[#This Row],[Level_0]:[Level 15]]&gt;0),(Table1[[#This Row],[Level_0]:[Level 15]]))</f>
        <v>7600330099 - [DAA_PM_True-up/Mark-up_P]</v>
      </c>
    </row>
    <row r="718" spans="1:23" hidden="1" x14ac:dyDescent="0.25">
      <c r="A718">
        <v>7600330024</v>
      </c>
      <c r="B718" s="16" t="s">
        <v>21482</v>
      </c>
      <c r="C718" s="16" t="e">
        <f>VLOOKUP(Table1[[#This Row],[Node]],Parent!A:B,2,0)</f>
        <v>#N/A</v>
      </c>
      <c r="D718" s="25" t="s">
        <v>19346</v>
      </c>
      <c r="E718" s="26" t="s">
        <v>16544</v>
      </c>
      <c r="F718" s="27" t="s">
        <v>16830</v>
      </c>
      <c r="G718" s="27" t="s">
        <v>16831</v>
      </c>
      <c r="H718" s="27" t="s">
        <v>16881</v>
      </c>
      <c r="I718" s="27" t="s">
        <v>17226</v>
      </c>
      <c r="J718" s="27"/>
      <c r="K718" s="27"/>
      <c r="L718" s="27"/>
      <c r="N718" s="27"/>
      <c r="T718" s="28" t="str">
        <f>LOOKUP(1,1/(Table1[[#This Row],[Level_0]:[Level 15]]&gt;0),(Table1[[#This Row],[Level_0]:[Level 15]]))</f>
        <v>7600330024 - [DAA_Maint.coord.for S&amp;C Bldgs_P]</v>
      </c>
      <c r="U718" s="22">
        <v>713</v>
      </c>
      <c r="W718" s="13" t="str">
        <f>LOOKUP(1,1/(Table1[[#This Row],[Level_0]:[Level 15]]&gt;0),(Table1[[#This Row],[Level_0]:[Level 15]]))</f>
        <v>7600330024 - [DAA_Maint.coord.for S&amp;C Bldgs_P]</v>
      </c>
    </row>
    <row r="719" spans="1:23" hidden="1" x14ac:dyDescent="0.25">
      <c r="A719">
        <v>7600330023</v>
      </c>
      <c r="B719" s="16" t="s">
        <v>21481</v>
      </c>
      <c r="C719" s="16" t="e">
        <f>VLOOKUP(Table1[[#This Row],[Node]],Parent!A:B,2,0)</f>
        <v>#N/A</v>
      </c>
      <c r="D719" s="25" t="s">
        <v>19346</v>
      </c>
      <c r="E719" s="26" t="s">
        <v>16544</v>
      </c>
      <c r="F719" s="27" t="s">
        <v>16830</v>
      </c>
      <c r="G719" s="27" t="s">
        <v>16831</v>
      </c>
      <c r="H719" s="27" t="s">
        <v>16881</v>
      </c>
      <c r="I719" s="27" t="s">
        <v>17227</v>
      </c>
      <c r="J719" s="27"/>
      <c r="K719" s="27"/>
      <c r="L719" s="27"/>
      <c r="N719" s="27"/>
      <c r="T719" s="28" t="str">
        <f>LOOKUP(1,1/(Table1[[#This Row],[Level_0]:[Level 15]]&gt;0),(Table1[[#This Row],[Level_0]:[Level 15]]))</f>
        <v>7600330023 - [DAA_Project Services (external)_P]</v>
      </c>
      <c r="U719" s="22">
        <v>714</v>
      </c>
      <c r="W719" s="13" t="str">
        <f>LOOKUP(1,1/(Table1[[#This Row],[Level_0]:[Level 15]]&gt;0),(Table1[[#This Row],[Level_0]:[Level 15]]))</f>
        <v>7600330023 - [DAA_Project Services (external)_P]</v>
      </c>
    </row>
    <row r="720" spans="1:23" hidden="1" x14ac:dyDescent="0.25">
      <c r="A720">
        <v>7600330022</v>
      </c>
      <c r="B720" s="16" t="s">
        <v>21480</v>
      </c>
      <c r="C720" s="16" t="e">
        <f>VLOOKUP(Table1[[#This Row],[Node]],Parent!A:B,2,0)</f>
        <v>#N/A</v>
      </c>
      <c r="D720" s="25" t="s">
        <v>19346</v>
      </c>
      <c r="E720" s="26" t="s">
        <v>16544</v>
      </c>
      <c r="F720" s="27" t="s">
        <v>16830</v>
      </c>
      <c r="G720" s="27" t="s">
        <v>16831</v>
      </c>
      <c r="H720" s="27" t="s">
        <v>16881</v>
      </c>
      <c r="I720" s="27" t="s">
        <v>17228</v>
      </c>
      <c r="J720" s="27"/>
      <c r="K720" s="27"/>
      <c r="L720" s="27"/>
      <c r="N720" s="27"/>
      <c r="T720" s="28" t="str">
        <f>LOOKUP(1,1/(Table1[[#This Row],[Level_0]:[Level 15]]&gt;0),(Table1[[#This Row],[Level_0]:[Level 15]]))</f>
        <v>7600330022 - [DAA_R&amp;D Project Service (internal)_P]</v>
      </c>
      <c r="U720" s="22">
        <v>715</v>
      </c>
      <c r="W720" s="13" t="str">
        <f>LOOKUP(1,1/(Table1[[#This Row],[Level_0]:[Level 15]]&gt;0),(Table1[[#This Row],[Level_0]:[Level 15]]))</f>
        <v>7600330022 - [DAA_R&amp;D Project Service (internal)_P]</v>
      </c>
    </row>
    <row r="721" spans="1:23" hidden="1" x14ac:dyDescent="0.25">
      <c r="A721">
        <v>7600330021</v>
      </c>
      <c r="B721" s="16" t="s">
        <v>21479</v>
      </c>
      <c r="C721" s="16" t="e">
        <f>VLOOKUP(Table1[[#This Row],[Node]],Parent!A:B,2,0)</f>
        <v>#N/A</v>
      </c>
      <c r="D721" s="25" t="s">
        <v>19346</v>
      </c>
      <c r="E721" s="26" t="s">
        <v>16544</v>
      </c>
      <c r="F721" s="27" t="s">
        <v>16830</v>
      </c>
      <c r="G721" s="27" t="s">
        <v>16831</v>
      </c>
      <c r="H721" s="27" t="s">
        <v>16881</v>
      </c>
      <c r="I721" s="27" t="s">
        <v>17229</v>
      </c>
      <c r="J721" s="27"/>
      <c r="K721" s="27"/>
      <c r="L721" s="27"/>
      <c r="N721" s="27"/>
      <c r="T721" s="28" t="str">
        <f>LOOKUP(1,1/(Table1[[#This Row],[Level_0]:[Level 15]]&gt;0),(Table1[[#This Row],[Level_0]:[Level 15]]))</f>
        <v>7600330021 - [DAA_Off Steam supply (DD mandatory)_P]</v>
      </c>
      <c r="U721" s="22">
        <v>716</v>
      </c>
      <c r="W721" s="13" t="str">
        <f>LOOKUP(1,1/(Table1[[#This Row],[Level_0]:[Level 15]]&gt;0),(Table1[[#This Row],[Level_0]:[Level 15]]))</f>
        <v>7600330021 - [DAA_Off Steam supply (DD mandatory)_P]</v>
      </c>
    </row>
    <row r="722" spans="1:23" hidden="1" x14ac:dyDescent="0.25">
      <c r="A722">
        <v>7600330016</v>
      </c>
      <c r="B722" s="16" t="s">
        <v>21476</v>
      </c>
      <c r="C722" s="16" t="e">
        <f>VLOOKUP(Table1[[#This Row],[Node]],Parent!A:B,2,0)</f>
        <v>#N/A</v>
      </c>
      <c r="D722" s="25" t="s">
        <v>19346</v>
      </c>
      <c r="E722" s="26" t="s">
        <v>16544</v>
      </c>
      <c r="F722" s="27" t="s">
        <v>16830</v>
      </c>
      <c r="G722" s="27" t="s">
        <v>16831</v>
      </c>
      <c r="H722" s="27" t="s">
        <v>16881</v>
      </c>
      <c r="I722" s="27" t="s">
        <v>17230</v>
      </c>
      <c r="J722" s="27"/>
      <c r="K722" s="27"/>
      <c r="L722" s="27"/>
      <c r="N722" s="27"/>
      <c r="T722" s="28" t="str">
        <f>LOOKUP(1,1/(Table1[[#This Row],[Level_0]:[Level 15]]&gt;0),(Table1[[#This Row],[Level_0]:[Level 15]]))</f>
        <v>7600330016 - [DAA_Commissioning_P]</v>
      </c>
      <c r="U722" s="22">
        <v>717</v>
      </c>
      <c r="W722" s="13" t="str">
        <f>LOOKUP(1,1/(Table1[[#This Row],[Level_0]:[Level 15]]&gt;0),(Table1[[#This Row],[Level_0]:[Level 15]]))</f>
        <v>7600330016 - [DAA_Commissioning_P]</v>
      </c>
    </row>
    <row r="723" spans="1:23" hidden="1" x14ac:dyDescent="0.25">
      <c r="A723">
        <v>7600330014</v>
      </c>
      <c r="B723" s="16" t="s">
        <v>21475</v>
      </c>
      <c r="C723" s="16" t="e">
        <f>VLOOKUP(Table1[[#This Row],[Node]],Parent!A:B,2,0)</f>
        <v>#N/A</v>
      </c>
      <c r="D723" s="25" t="s">
        <v>19346</v>
      </c>
      <c r="E723" s="26" t="s">
        <v>16544</v>
      </c>
      <c r="F723" s="27" t="s">
        <v>16830</v>
      </c>
      <c r="G723" s="27" t="s">
        <v>16831</v>
      </c>
      <c r="H723" s="27" t="s">
        <v>16881</v>
      </c>
      <c r="I723" s="27" t="s">
        <v>17231</v>
      </c>
      <c r="J723" s="27"/>
      <c r="K723" s="27"/>
      <c r="L723" s="27"/>
      <c r="N723" s="27"/>
      <c r="T723" s="28" t="str">
        <f>LOOKUP(1,1/(Table1[[#This Row],[Level_0]:[Level 15]]&gt;0),(Table1[[#This Row],[Level_0]:[Level 15]]))</f>
        <v>7600330014 - [DAA_Vehicle Maintenance_P]</v>
      </c>
      <c r="U723" s="22">
        <v>718</v>
      </c>
      <c r="W723" s="13" t="str">
        <f>LOOKUP(1,1/(Table1[[#This Row],[Level_0]:[Level 15]]&gt;0),(Table1[[#This Row],[Level_0]:[Level 15]]))</f>
        <v>7600330014 - [DAA_Vehicle Maintenance_P]</v>
      </c>
    </row>
    <row r="724" spans="1:23" hidden="1" x14ac:dyDescent="0.25">
      <c r="A724">
        <v>7600330013</v>
      </c>
      <c r="B724" s="16" t="s">
        <v>21474</v>
      </c>
      <c r="C724" s="16" t="e">
        <f>VLOOKUP(Table1[[#This Row],[Node]],Parent!A:B,2,0)</f>
        <v>#N/A</v>
      </c>
      <c r="D724" s="25" t="s">
        <v>19346</v>
      </c>
      <c r="E724" s="26" t="s">
        <v>16544</v>
      </c>
      <c r="F724" s="27" t="s">
        <v>16830</v>
      </c>
      <c r="G724" s="27" t="s">
        <v>16831</v>
      </c>
      <c r="H724" s="27" t="s">
        <v>16881</v>
      </c>
      <c r="I724" s="27" t="s">
        <v>17232</v>
      </c>
      <c r="J724" s="27"/>
      <c r="K724" s="27"/>
      <c r="L724" s="27"/>
      <c r="N724" s="27"/>
      <c r="T724" s="28" t="str">
        <f>LOOKUP(1,1/(Table1[[#This Row],[Level_0]:[Level 15]]&gt;0),(Table1[[#This Row],[Level_0]:[Level 15]]))</f>
        <v>7600330013 - [DAA_Corrective Maintenance_P]</v>
      </c>
      <c r="U724" s="22">
        <v>719</v>
      </c>
      <c r="W724" s="13" t="str">
        <f>LOOKUP(1,1/(Table1[[#This Row],[Level_0]:[Level 15]]&gt;0),(Table1[[#This Row],[Level_0]:[Level 15]]))</f>
        <v>7600330013 - [DAA_Corrective Maintenance_P]</v>
      </c>
    </row>
    <row r="725" spans="1:23" hidden="1" x14ac:dyDescent="0.25">
      <c r="A725">
        <v>7600330012</v>
      </c>
      <c r="B725" s="16" t="s">
        <v>21473</v>
      </c>
      <c r="C725" s="16" t="e">
        <f>VLOOKUP(Table1[[#This Row],[Node]],Parent!A:B,2,0)</f>
        <v>#N/A</v>
      </c>
      <c r="D725" s="25" t="s">
        <v>19346</v>
      </c>
      <c r="E725" s="26" t="s">
        <v>16544</v>
      </c>
      <c r="F725" s="27" t="s">
        <v>16830</v>
      </c>
      <c r="G725" s="27" t="s">
        <v>16831</v>
      </c>
      <c r="H725" s="27" t="s">
        <v>16881</v>
      </c>
      <c r="I725" s="27" t="s">
        <v>17233</v>
      </c>
      <c r="J725" s="27"/>
      <c r="K725" s="27"/>
      <c r="L725" s="27"/>
      <c r="N725" s="27"/>
      <c r="T725" s="28" t="str">
        <f>LOOKUP(1,1/(Table1[[#This Row],[Level_0]:[Level 15]]&gt;0),(Table1[[#This Row],[Level_0]:[Level 15]]))</f>
        <v>7600330012 - [DAA_Preventive Maintenance_P]</v>
      </c>
      <c r="U725" s="22">
        <v>720</v>
      </c>
      <c r="W725" s="13" t="str">
        <f>LOOKUP(1,1/(Table1[[#This Row],[Level_0]:[Level 15]]&gt;0),(Table1[[#This Row],[Level_0]:[Level 15]]))</f>
        <v>7600330012 - [DAA_Preventive Maintenance_P]</v>
      </c>
    </row>
    <row r="726" spans="1:23" hidden="1" x14ac:dyDescent="0.25">
      <c r="A726">
        <v>7600330011</v>
      </c>
      <c r="B726" s="16" t="s">
        <v>21472</v>
      </c>
      <c r="C726" s="16" t="e">
        <f>VLOOKUP(Table1[[#This Row],[Node]],Parent!A:B,2,0)</f>
        <v>#N/A</v>
      </c>
      <c r="D726" s="25" t="s">
        <v>19346</v>
      </c>
      <c r="E726" s="26" t="s">
        <v>16544</v>
      </c>
      <c r="F726" s="27" t="s">
        <v>16830</v>
      </c>
      <c r="G726" s="27" t="s">
        <v>16831</v>
      </c>
      <c r="H726" s="27" t="s">
        <v>16881</v>
      </c>
      <c r="I726" s="27" t="s">
        <v>17234</v>
      </c>
      <c r="J726" s="27"/>
      <c r="K726" s="27"/>
      <c r="L726" s="27"/>
      <c r="N726" s="27"/>
      <c r="T726" s="28" t="str">
        <f>LOOKUP(1,1/(Table1[[#This Row],[Level_0]:[Level 15]]&gt;0),(Table1[[#This Row],[Level_0]:[Level 15]]))</f>
        <v>7600330011 - [DAA_IT/Communication Support_P]</v>
      </c>
      <c r="U726" s="22">
        <v>721</v>
      </c>
      <c r="W726" s="13" t="str">
        <f>LOOKUP(1,1/(Table1[[#This Row],[Level_0]:[Level 15]]&gt;0),(Table1[[#This Row],[Level_0]:[Level 15]]))</f>
        <v>7600330011 - [DAA_IT/Communication Support_P]</v>
      </c>
    </row>
    <row r="727" spans="1:23" hidden="1" x14ac:dyDescent="0.25">
      <c r="A727">
        <v>7600330010</v>
      </c>
      <c r="B727" s="16" t="s">
        <v>21471</v>
      </c>
      <c r="C727" s="16" t="e">
        <f>VLOOKUP(Table1[[#This Row],[Node]],Parent!A:B,2,0)</f>
        <v>#N/A</v>
      </c>
      <c r="D727" s="25" t="s">
        <v>19346</v>
      </c>
      <c r="E727" s="26" t="s">
        <v>16544</v>
      </c>
      <c r="F727" s="27" t="s">
        <v>16830</v>
      </c>
      <c r="G727" s="27" t="s">
        <v>16831</v>
      </c>
      <c r="H727" s="27" t="s">
        <v>16881</v>
      </c>
      <c r="I727" s="27" t="s">
        <v>17235</v>
      </c>
      <c r="J727" s="27"/>
      <c r="K727" s="27"/>
      <c r="L727" s="27"/>
      <c r="N727" s="27"/>
      <c r="T727" s="28" t="str">
        <f>LOOKUP(1,1/(Table1[[#This Row],[Level_0]:[Level 15]]&gt;0),(Table1[[#This Row],[Level_0]:[Level 15]]))</f>
        <v>7600330010 - [DAA_Installation &amp; Dismantling_P]</v>
      </c>
      <c r="U727" s="22">
        <v>722</v>
      </c>
      <c r="W727" s="13" t="str">
        <f>LOOKUP(1,1/(Table1[[#This Row],[Level_0]:[Level 15]]&gt;0),(Table1[[#This Row],[Level_0]:[Level 15]]))</f>
        <v>7600330010 - [DAA_Installation &amp; Dismantling_P]</v>
      </c>
    </row>
    <row r="728" spans="1:23" hidden="1" x14ac:dyDescent="0.25">
      <c r="A728">
        <v>7600330008</v>
      </c>
      <c r="B728" s="16" t="s">
        <v>21469</v>
      </c>
      <c r="C728" s="16" t="e">
        <f>VLOOKUP(Table1[[#This Row],[Node]],Parent!A:B,2,0)</f>
        <v>#N/A</v>
      </c>
      <c r="D728" s="25" t="s">
        <v>19346</v>
      </c>
      <c r="E728" s="26" t="s">
        <v>16544</v>
      </c>
      <c r="F728" s="27" t="s">
        <v>16830</v>
      </c>
      <c r="G728" s="27" t="s">
        <v>16831</v>
      </c>
      <c r="H728" s="27" t="s">
        <v>16881</v>
      </c>
      <c r="I728" s="27" t="s">
        <v>17236</v>
      </c>
      <c r="J728" s="27"/>
      <c r="K728" s="27"/>
      <c r="L728" s="27"/>
      <c r="N728" s="27"/>
      <c r="T728" s="28" t="str">
        <f>LOOKUP(1,1/(Table1[[#This Row],[Level_0]:[Level 15]]&gt;0),(Table1[[#This Row],[Level_0]:[Level 15]]))</f>
        <v>7600330008 - [DAA_Documentation Services Loops_P]</v>
      </c>
      <c r="U728" s="22">
        <v>723</v>
      </c>
      <c r="W728" s="13" t="str">
        <f>LOOKUP(1,1/(Table1[[#This Row],[Level_0]:[Level 15]]&gt;0),(Table1[[#This Row],[Level_0]:[Level 15]]))</f>
        <v>7600330008 - [DAA_Documentation Services Loops_P]</v>
      </c>
    </row>
    <row r="729" spans="1:23" hidden="1" x14ac:dyDescent="0.25">
      <c r="A729">
        <v>7600330007</v>
      </c>
      <c r="B729" s="16" t="s">
        <v>21468</v>
      </c>
      <c r="C729" s="16" t="e">
        <f>VLOOKUP(Table1[[#This Row],[Node]],Parent!A:B,2,0)</f>
        <v>#N/A</v>
      </c>
      <c r="D729" s="25" t="s">
        <v>19346</v>
      </c>
      <c r="E729" s="26" t="s">
        <v>16544</v>
      </c>
      <c r="F729" s="27" t="s">
        <v>16830</v>
      </c>
      <c r="G729" s="27" t="s">
        <v>16831</v>
      </c>
      <c r="H729" s="27" t="s">
        <v>16881</v>
      </c>
      <c r="I729" s="27" t="s">
        <v>17237</v>
      </c>
      <c r="J729" s="27"/>
      <c r="K729" s="27"/>
      <c r="L729" s="27"/>
      <c r="N729" s="27"/>
      <c r="T729" s="28" t="str">
        <f>LOOKUP(1,1/(Table1[[#This Row],[Level_0]:[Level 15]]&gt;0),(Table1[[#This Row],[Level_0]:[Level 15]]))</f>
        <v>7600330007 - [DAA_Documentation Services PIDs_P]</v>
      </c>
      <c r="U729" s="22">
        <v>724</v>
      </c>
      <c r="W729" s="13" t="str">
        <f>LOOKUP(1,1/(Table1[[#This Row],[Level_0]:[Level 15]]&gt;0),(Table1[[#This Row],[Level_0]:[Level 15]]))</f>
        <v>7600330007 - [DAA_Documentation Services PIDs_P]</v>
      </c>
    </row>
    <row r="730" spans="1:23" hidden="1" x14ac:dyDescent="0.25">
      <c r="A730">
        <v>7600330006</v>
      </c>
      <c r="B730" s="16" t="s">
        <v>21467</v>
      </c>
      <c r="C730" s="16" t="e">
        <f>VLOOKUP(Table1[[#This Row],[Node]],Parent!A:B,2,0)</f>
        <v>#N/A</v>
      </c>
      <c r="D730" s="25" t="s">
        <v>19346</v>
      </c>
      <c r="E730" s="26" t="s">
        <v>16544</v>
      </c>
      <c r="F730" s="27" t="s">
        <v>16830</v>
      </c>
      <c r="G730" s="27" t="s">
        <v>16831</v>
      </c>
      <c r="H730" s="27" t="s">
        <v>16881</v>
      </c>
      <c r="I730" s="27" t="s">
        <v>17238</v>
      </c>
      <c r="J730" s="27"/>
      <c r="K730" s="27"/>
      <c r="L730" s="27"/>
      <c r="N730" s="27"/>
      <c r="T730" s="28" t="str">
        <f>LOOKUP(1,1/(Table1[[#This Row],[Level_0]:[Level 15]]&gt;0),(Table1[[#This Row],[Level_0]:[Level 15]]))</f>
        <v>7600330006 - [DAA_Automation design_P]</v>
      </c>
      <c r="U730" s="22">
        <v>725</v>
      </c>
      <c r="W730" s="13" t="str">
        <f>LOOKUP(1,1/(Table1[[#This Row],[Level_0]:[Level 15]]&gt;0),(Table1[[#This Row],[Level_0]:[Level 15]]))</f>
        <v>7600330006 - [DAA_Automation design_P]</v>
      </c>
    </row>
    <row r="731" spans="1:23" hidden="1" x14ac:dyDescent="0.25">
      <c r="A731">
        <v>7600330005</v>
      </c>
      <c r="B731" s="16" t="s">
        <v>21466</v>
      </c>
      <c r="C731" s="16" t="e">
        <f>VLOOKUP(Table1[[#This Row],[Node]],Parent!A:B,2,0)</f>
        <v>#N/A</v>
      </c>
      <c r="D731" s="25" t="s">
        <v>19346</v>
      </c>
      <c r="E731" s="26" t="s">
        <v>16544</v>
      </c>
      <c r="F731" s="27" t="s">
        <v>16830</v>
      </c>
      <c r="G731" s="27" t="s">
        <v>16831</v>
      </c>
      <c r="H731" s="27" t="s">
        <v>16881</v>
      </c>
      <c r="I731" s="27" t="s">
        <v>17239</v>
      </c>
      <c r="J731" s="27"/>
      <c r="K731" s="27"/>
      <c r="L731" s="27"/>
      <c r="N731" s="27"/>
      <c r="T731" s="28" t="str">
        <f>LOOKUP(1,1/(Table1[[#This Row],[Level_0]:[Level 15]]&gt;0),(Table1[[#This Row],[Level_0]:[Level 15]]))</f>
        <v>7600330005 - [DAA_Chemical engineering design_P]</v>
      </c>
      <c r="U731" s="22">
        <v>726</v>
      </c>
      <c r="W731" s="13" t="str">
        <f>LOOKUP(1,1/(Table1[[#This Row],[Level_0]:[Level 15]]&gt;0),(Table1[[#This Row],[Level_0]:[Level 15]]))</f>
        <v>7600330005 - [DAA_Chemical engineering design_P]</v>
      </c>
    </row>
    <row r="732" spans="1:23" hidden="1" x14ac:dyDescent="0.25">
      <c r="A732">
        <v>7600330004</v>
      </c>
      <c r="B732" s="16" t="s">
        <v>21465</v>
      </c>
      <c r="C732" s="16" t="e">
        <f>VLOOKUP(Table1[[#This Row],[Node]],Parent!A:B,2,0)</f>
        <v>#N/A</v>
      </c>
      <c r="D732" s="25" t="s">
        <v>19346</v>
      </c>
      <c r="E732" s="26" t="s">
        <v>16544</v>
      </c>
      <c r="F732" s="27" t="s">
        <v>16830</v>
      </c>
      <c r="G732" s="27" t="s">
        <v>16831</v>
      </c>
      <c r="H732" s="27" t="s">
        <v>16881</v>
      </c>
      <c r="I732" s="27" t="s">
        <v>17240</v>
      </c>
      <c r="J732" s="27"/>
      <c r="K732" s="27"/>
      <c r="L732" s="27"/>
      <c r="N732" s="27"/>
      <c r="T732" s="28" t="str">
        <f>LOOKUP(1,1/(Table1[[#This Row],[Level_0]:[Level 15]]&gt;0),(Table1[[#This Row],[Level_0]:[Level 15]]))</f>
        <v>7600330004 - [DAA_Supplier Coord./Service cat. spec._P]</v>
      </c>
      <c r="U732" s="22">
        <v>727</v>
      </c>
      <c r="W732" s="13" t="str">
        <f>LOOKUP(1,1/(Table1[[#This Row],[Level_0]:[Level 15]]&gt;0),(Table1[[#This Row],[Level_0]:[Level 15]]))</f>
        <v>7600330004 - [DAA_Supplier Coord./Service cat. spec._P]</v>
      </c>
    </row>
    <row r="733" spans="1:23" hidden="1" x14ac:dyDescent="0.25">
      <c r="A733">
        <v>7600330003</v>
      </c>
      <c r="B733" s="16" t="s">
        <v>21464</v>
      </c>
      <c r="C733" s="16" t="e">
        <f>VLOOKUP(Table1[[#This Row],[Node]],Parent!A:B,2,0)</f>
        <v>#N/A</v>
      </c>
      <c r="D733" s="25" t="s">
        <v>19346</v>
      </c>
      <c r="E733" s="26" t="s">
        <v>16544</v>
      </c>
      <c r="F733" s="27" t="s">
        <v>16830</v>
      </c>
      <c r="G733" s="27" t="s">
        <v>16831</v>
      </c>
      <c r="H733" s="27" t="s">
        <v>16881</v>
      </c>
      <c r="I733" s="27" t="s">
        <v>17241</v>
      </c>
      <c r="J733" s="27"/>
      <c r="K733" s="27"/>
      <c r="L733" s="27"/>
      <c r="N733" s="27"/>
      <c r="T733" s="28" t="str">
        <f>LOOKUP(1,1/(Table1[[#This Row],[Level_0]:[Level 15]]&gt;0),(Table1[[#This Row],[Level_0]:[Level 15]]))</f>
        <v>7600330003 - [DAA_Sample drawing &amp; sample sending_P]</v>
      </c>
      <c r="U733" s="22">
        <v>728</v>
      </c>
      <c r="W733" s="13" t="str">
        <f>LOOKUP(1,1/(Table1[[#This Row],[Level_0]:[Level 15]]&gt;0),(Table1[[#This Row],[Level_0]:[Level 15]]))</f>
        <v>7600330003 - [DAA_Sample drawing &amp; sample sending_P]</v>
      </c>
    </row>
    <row r="734" spans="1:23" hidden="1" x14ac:dyDescent="0.25">
      <c r="A734">
        <v>7600309012</v>
      </c>
      <c r="B734" s="16" t="s">
        <v>21452</v>
      </c>
      <c r="C734" s="16" t="e">
        <f>VLOOKUP(Table1[[#This Row],[Node]],Parent!A:B,2,0)</f>
        <v>#N/A</v>
      </c>
      <c r="D734" s="25" t="s">
        <v>19346</v>
      </c>
      <c r="E734" s="26" t="s">
        <v>16544</v>
      </c>
      <c r="F734" s="27" t="s">
        <v>16830</v>
      </c>
      <c r="G734" s="27" t="s">
        <v>16831</v>
      </c>
      <c r="H734" s="27" t="s">
        <v>16881</v>
      </c>
      <c r="I734" s="27" t="s">
        <v>17242</v>
      </c>
      <c r="J734" s="27"/>
      <c r="K734" s="27"/>
      <c r="L734" s="27"/>
      <c r="N734" s="27"/>
      <c r="T734" s="28" t="str">
        <f>LOOKUP(1,1/(Table1[[#This Row],[Level_0]:[Level 15]]&gt;0),(Table1[[#This Row],[Level_0]:[Level 15]]))</f>
        <v>7600309012 - [DAA_General Lease]</v>
      </c>
      <c r="U734" s="22">
        <v>729</v>
      </c>
      <c r="W734" s="13" t="str">
        <f>LOOKUP(1,1/(Table1[[#This Row],[Level_0]:[Level 15]]&gt;0),(Table1[[#This Row],[Level_0]:[Level 15]]))</f>
        <v>7600309012 - [DAA_General Lease]</v>
      </c>
    </row>
    <row r="735" spans="1:23" hidden="1" x14ac:dyDescent="0.25">
      <c r="A735">
        <v>7600309011</v>
      </c>
      <c r="B735" s="16" t="s">
        <v>21451</v>
      </c>
      <c r="C735" s="16" t="e">
        <f>VLOOKUP(Table1[[#This Row],[Node]],Parent!A:B,2,0)</f>
        <v>#N/A</v>
      </c>
      <c r="D735" s="25" t="s">
        <v>19346</v>
      </c>
      <c r="E735" s="26" t="s">
        <v>16544</v>
      </c>
      <c r="F735" s="27" t="s">
        <v>16830</v>
      </c>
      <c r="G735" s="27" t="s">
        <v>16831</v>
      </c>
      <c r="H735" s="27" t="s">
        <v>16881</v>
      </c>
      <c r="I735" s="27" t="s">
        <v>17243</v>
      </c>
      <c r="J735" s="27"/>
      <c r="K735" s="27"/>
      <c r="L735" s="27"/>
      <c r="N735" s="27"/>
      <c r="T735" s="28" t="str">
        <f>LOOKUP(1,1/(Table1[[#This Row],[Level_0]:[Level 15]]&gt;0),(Table1[[#This Row],[Level_0]:[Level 15]]))</f>
        <v>7600309011 - [DAA_Overhead Allocation]</v>
      </c>
      <c r="U735" s="22">
        <v>730</v>
      </c>
      <c r="W735" s="13" t="str">
        <f>LOOKUP(1,1/(Table1[[#This Row],[Level_0]:[Level 15]]&gt;0),(Table1[[#This Row],[Level_0]:[Level 15]]))</f>
        <v>7600309011 - [DAA_Overhead Allocation]</v>
      </c>
    </row>
    <row r="736" spans="1:23" hidden="1" x14ac:dyDescent="0.25">
      <c r="A736">
        <v>7600309009</v>
      </c>
      <c r="B736" s="16" t="s">
        <v>21449</v>
      </c>
      <c r="C736" s="16" t="e">
        <f>VLOOKUP(Table1[[#This Row],[Node]],Parent!A:B,2,0)</f>
        <v>#N/A</v>
      </c>
      <c r="D736" s="25" t="s">
        <v>19346</v>
      </c>
      <c r="E736" s="26" t="s">
        <v>16544</v>
      </c>
      <c r="F736" s="27" t="s">
        <v>16830</v>
      </c>
      <c r="G736" s="27" t="s">
        <v>16831</v>
      </c>
      <c r="H736" s="27" t="s">
        <v>16881</v>
      </c>
      <c r="I736" s="27" t="s">
        <v>17244</v>
      </c>
      <c r="J736" s="27"/>
      <c r="K736" s="27"/>
      <c r="L736" s="27"/>
      <c r="N736" s="27"/>
      <c r="T736" s="28" t="str">
        <f>LOOKUP(1,1/(Table1[[#This Row],[Level_0]:[Level 15]]&gt;0),(Table1[[#This Row],[Level_0]:[Level 15]]))</f>
        <v>7600309009 - [DAA Mark-up electricity]</v>
      </c>
      <c r="U736" s="22">
        <v>731</v>
      </c>
      <c r="W736" s="13" t="str">
        <f>LOOKUP(1,1/(Table1[[#This Row],[Level_0]:[Level 15]]&gt;0),(Table1[[#This Row],[Level_0]:[Level 15]]))</f>
        <v>7600309009 - [DAA Mark-up electricity]</v>
      </c>
    </row>
    <row r="737" spans="1:23" hidden="1" x14ac:dyDescent="0.25">
      <c r="A737">
        <v>7600309008</v>
      </c>
      <c r="B737" s="16" t="s">
        <v>21448</v>
      </c>
      <c r="C737" s="16" t="e">
        <f>VLOOKUP(Table1[[#This Row],[Node]],Parent!A:B,2,0)</f>
        <v>#N/A</v>
      </c>
      <c r="D737" s="25" t="s">
        <v>19346</v>
      </c>
      <c r="E737" s="26" t="s">
        <v>16544</v>
      </c>
      <c r="F737" s="27" t="s">
        <v>16830</v>
      </c>
      <c r="G737" s="27" t="s">
        <v>16831</v>
      </c>
      <c r="H737" s="27" t="s">
        <v>16881</v>
      </c>
      <c r="I737" s="27" t="s">
        <v>17245</v>
      </c>
      <c r="J737" s="27"/>
      <c r="K737" s="27"/>
      <c r="L737" s="27"/>
      <c r="N737" s="27"/>
      <c r="T737" s="28" t="str">
        <f>LOOKUP(1,1/(Table1[[#This Row],[Level_0]:[Level 15]]&gt;0),(Table1[[#This Row],[Level_0]:[Level 15]]))</f>
        <v>7600309008 - [DAA Mark-up 10%]</v>
      </c>
      <c r="U737" s="22">
        <v>732</v>
      </c>
      <c r="W737" s="13" t="str">
        <f>LOOKUP(1,1/(Table1[[#This Row],[Level_0]:[Level 15]]&gt;0),(Table1[[#This Row],[Level_0]:[Level 15]]))</f>
        <v>7600309008 - [DAA Mark-up 10%]</v>
      </c>
    </row>
    <row r="738" spans="1:23" hidden="1" x14ac:dyDescent="0.25">
      <c r="A738">
        <v>7600309007</v>
      </c>
      <c r="B738" s="16" t="s">
        <v>21447</v>
      </c>
      <c r="C738" s="16" t="e">
        <f>VLOOKUP(Table1[[#This Row],[Node]],Parent!A:B,2,0)</f>
        <v>#N/A</v>
      </c>
      <c r="D738" s="25" t="s">
        <v>19346</v>
      </c>
      <c r="E738" s="26" t="s">
        <v>16544</v>
      </c>
      <c r="F738" s="27" t="s">
        <v>16830</v>
      </c>
      <c r="G738" s="27" t="s">
        <v>16831</v>
      </c>
      <c r="H738" s="27" t="s">
        <v>16881</v>
      </c>
      <c r="I738" s="27" t="s">
        <v>17246</v>
      </c>
      <c r="J738" s="27"/>
      <c r="K738" s="27"/>
      <c r="L738" s="27"/>
      <c r="N738" s="27"/>
      <c r="T738" s="28" t="str">
        <f>LOOKUP(1,1/(Table1[[#This Row],[Level_0]:[Level 15]]&gt;0),(Table1[[#This Row],[Level_0]:[Level 15]]))</f>
        <v>7600309007 - [DAA Mark-up 5%]</v>
      </c>
      <c r="U738" s="22">
        <v>733</v>
      </c>
      <c r="W738" s="13" t="str">
        <f>LOOKUP(1,1/(Table1[[#This Row],[Level_0]:[Level 15]]&gt;0),(Table1[[#This Row],[Level_0]:[Level 15]]))</f>
        <v>7600309007 - [DAA Mark-up 5%]</v>
      </c>
    </row>
    <row r="739" spans="1:23" hidden="1" x14ac:dyDescent="0.25">
      <c r="A739">
        <v>7600309006</v>
      </c>
      <c r="B739" s="16" t="s">
        <v>21446</v>
      </c>
      <c r="C739" s="16" t="e">
        <f>VLOOKUP(Table1[[#This Row],[Node]],Parent!A:B,2,0)</f>
        <v>#N/A</v>
      </c>
      <c r="D739" s="25" t="s">
        <v>19346</v>
      </c>
      <c r="E739" s="26" t="s">
        <v>16544</v>
      </c>
      <c r="F739" s="27" t="s">
        <v>16830</v>
      </c>
      <c r="G739" s="27" t="s">
        <v>16831</v>
      </c>
      <c r="H739" s="27" t="s">
        <v>16881</v>
      </c>
      <c r="I739" s="27" t="s">
        <v>17247</v>
      </c>
      <c r="J739" s="27"/>
      <c r="K739" s="27"/>
      <c r="L739" s="27"/>
      <c r="N739" s="27"/>
      <c r="T739" s="28" t="str">
        <f>LOOKUP(1,1/(Table1[[#This Row],[Level_0]:[Level 15]]&gt;0),(Table1[[#This Row],[Level_0]:[Level 15]]))</f>
        <v>7600309006 - [DAA Mark-up 0%]</v>
      </c>
      <c r="U739" s="22">
        <v>734</v>
      </c>
      <c r="W739" s="13" t="str">
        <f>LOOKUP(1,1/(Table1[[#This Row],[Level_0]:[Level 15]]&gt;0),(Table1[[#This Row],[Level_0]:[Level 15]]))</f>
        <v>7600309006 - [DAA Mark-up 0%]</v>
      </c>
    </row>
    <row r="740" spans="1:23" hidden="1" x14ac:dyDescent="0.25">
      <c r="A740">
        <v>7600309005</v>
      </c>
      <c r="B740" s="16" t="s">
        <v>21445</v>
      </c>
      <c r="C740" s="16" t="e">
        <f>VLOOKUP(Table1[[#This Row],[Node]],Parent!A:B,2,0)</f>
        <v>#N/A</v>
      </c>
      <c r="D740" s="25" t="s">
        <v>19346</v>
      </c>
      <c r="E740" s="26" t="s">
        <v>16544</v>
      </c>
      <c r="F740" s="27" t="s">
        <v>16830</v>
      </c>
      <c r="G740" s="27" t="s">
        <v>16831</v>
      </c>
      <c r="H740" s="27" t="s">
        <v>16881</v>
      </c>
      <c r="I740" s="27" t="s">
        <v>17248</v>
      </c>
      <c r="J740" s="27"/>
      <c r="K740" s="27"/>
      <c r="L740" s="27"/>
      <c r="N740" s="27"/>
      <c r="T740" s="28" t="str">
        <f>LOOKUP(1,1/(Table1[[#This Row],[Level_0]:[Level 15]]&gt;0),(Table1[[#This Row],[Level_0]:[Level 15]]))</f>
        <v>7600309005 - [DAA True-up Others]</v>
      </c>
      <c r="U740" s="22">
        <v>735</v>
      </c>
      <c r="W740" s="13" t="str">
        <f>LOOKUP(1,1/(Table1[[#This Row],[Level_0]:[Level 15]]&gt;0),(Table1[[#This Row],[Level_0]:[Level 15]]))</f>
        <v>7600309005 - [DAA True-up Others]</v>
      </c>
    </row>
    <row r="741" spans="1:23" hidden="1" x14ac:dyDescent="0.25">
      <c r="A741">
        <v>7600309004</v>
      </c>
      <c r="B741" s="16" t="s">
        <v>21444</v>
      </c>
      <c r="C741" s="16" t="e">
        <f>VLOOKUP(Table1[[#This Row],[Node]],Parent!A:B,2,0)</f>
        <v>#N/A</v>
      </c>
      <c r="D741" s="25" t="s">
        <v>19346</v>
      </c>
      <c r="E741" s="26" t="s">
        <v>16544</v>
      </c>
      <c r="F741" s="27" t="s">
        <v>16830</v>
      </c>
      <c r="G741" s="27" t="s">
        <v>16831</v>
      </c>
      <c r="H741" s="27" t="s">
        <v>16881</v>
      </c>
      <c r="I741" s="27" t="s">
        <v>17249</v>
      </c>
      <c r="J741" s="27"/>
      <c r="K741" s="27"/>
      <c r="L741" s="27"/>
      <c r="N741" s="27"/>
      <c r="T741" s="28" t="str">
        <f>LOOKUP(1,1/(Table1[[#This Row],[Level_0]:[Level 15]]&gt;0),(Table1[[#This Row],[Level_0]:[Level 15]]))</f>
        <v>7600309004 - [DAA True-up Engin.]</v>
      </c>
      <c r="U741" s="22">
        <v>736</v>
      </c>
      <c r="W741" s="13" t="str">
        <f>LOOKUP(1,1/(Table1[[#This Row],[Level_0]:[Level 15]]&gt;0),(Table1[[#This Row],[Level_0]:[Level 15]]))</f>
        <v>7600309004 - [DAA True-up Engin.]</v>
      </c>
    </row>
    <row r="742" spans="1:23" hidden="1" x14ac:dyDescent="0.25">
      <c r="A742">
        <v>7600309003</v>
      </c>
      <c r="B742" s="16" t="s">
        <v>21443</v>
      </c>
      <c r="C742" s="16" t="e">
        <f>VLOOKUP(Table1[[#This Row],[Node]],Parent!A:B,2,0)</f>
        <v>#N/A</v>
      </c>
      <c r="D742" s="25" t="s">
        <v>19346</v>
      </c>
      <c r="E742" s="26" t="s">
        <v>16544</v>
      </c>
      <c r="F742" s="27" t="s">
        <v>16830</v>
      </c>
      <c r="G742" s="27" t="s">
        <v>16831</v>
      </c>
      <c r="H742" s="27" t="s">
        <v>16881</v>
      </c>
      <c r="I742" s="27" t="s">
        <v>17250</v>
      </c>
      <c r="J742" s="27"/>
      <c r="K742" s="27"/>
      <c r="L742" s="27"/>
      <c r="N742" s="27"/>
      <c r="T742" s="28" t="str">
        <f>LOOKUP(1,1/(Table1[[#This Row],[Level_0]:[Level 15]]&gt;0),(Table1[[#This Row],[Level_0]:[Level 15]]))</f>
        <v>7600309003 - [DAA True-up Analytics]</v>
      </c>
      <c r="U742" s="22">
        <v>737</v>
      </c>
      <c r="W742" s="13" t="str">
        <f>LOOKUP(1,1/(Table1[[#This Row],[Level_0]:[Level 15]]&gt;0),(Table1[[#This Row],[Level_0]:[Level 15]]))</f>
        <v>7600309003 - [DAA True-up Analytics]</v>
      </c>
    </row>
    <row r="743" spans="1:23" hidden="1" x14ac:dyDescent="0.25">
      <c r="A743">
        <v>7600309002</v>
      </c>
      <c r="B743" s="16" t="s">
        <v>21442</v>
      </c>
      <c r="C743" s="16" t="e">
        <f>VLOOKUP(Table1[[#This Row],[Node]],Parent!A:B,2,0)</f>
        <v>#N/A</v>
      </c>
      <c r="D743" s="25" t="s">
        <v>19346</v>
      </c>
      <c r="E743" s="26" t="s">
        <v>16544</v>
      </c>
      <c r="F743" s="27" t="s">
        <v>16830</v>
      </c>
      <c r="G743" s="27" t="s">
        <v>16831</v>
      </c>
      <c r="H743" s="27" t="s">
        <v>16881</v>
      </c>
      <c r="I743" s="27" t="s">
        <v>17251</v>
      </c>
      <c r="J743" s="27"/>
      <c r="K743" s="27"/>
      <c r="L743" s="27"/>
      <c r="N743" s="27"/>
      <c r="T743" s="28" t="str">
        <f>LOOKUP(1,1/(Table1[[#This Row],[Level_0]:[Level 15]]&gt;0),(Table1[[#This Row],[Level_0]:[Level 15]]))</f>
        <v>7600309002 - [DAA Pass-through Others]</v>
      </c>
      <c r="U743" s="22">
        <v>738</v>
      </c>
      <c r="W743" s="13" t="str">
        <f>LOOKUP(1,1/(Table1[[#This Row],[Level_0]:[Level 15]]&gt;0),(Table1[[#This Row],[Level_0]:[Level 15]]))</f>
        <v>7600309002 - [DAA Pass-through Others]</v>
      </c>
    </row>
    <row r="744" spans="1:23" hidden="1" x14ac:dyDescent="0.25">
      <c r="A744">
        <v>7600309001</v>
      </c>
      <c r="B744" s="16" t="s">
        <v>21441</v>
      </c>
      <c r="C744" s="16" t="e">
        <f>VLOOKUP(Table1[[#This Row],[Node]],Parent!A:B,2,0)</f>
        <v>#N/A</v>
      </c>
      <c r="D744" s="25" t="s">
        <v>19346</v>
      </c>
      <c r="E744" s="26" t="s">
        <v>16544</v>
      </c>
      <c r="F744" s="27" t="s">
        <v>16830</v>
      </c>
      <c r="G744" s="27" t="s">
        <v>16831</v>
      </c>
      <c r="H744" s="27" t="s">
        <v>16881</v>
      </c>
      <c r="I744" s="27" t="s">
        <v>17252</v>
      </c>
      <c r="J744" s="27"/>
      <c r="K744" s="27"/>
      <c r="L744" s="27"/>
      <c r="N744" s="27"/>
      <c r="T744" s="28" t="str">
        <f>LOOKUP(1,1/(Table1[[#This Row],[Level_0]:[Level 15]]&gt;0),(Table1[[#This Row],[Level_0]:[Level 15]]))</f>
        <v>7600309001 - [DAA Pass-through Engin.]</v>
      </c>
      <c r="U744" s="22">
        <v>739</v>
      </c>
      <c r="W744" s="13" t="str">
        <f>LOOKUP(1,1/(Table1[[#This Row],[Level_0]:[Level 15]]&gt;0),(Table1[[#This Row],[Level_0]:[Level 15]]))</f>
        <v>7600309001 - [DAA Pass-through Engin.]</v>
      </c>
    </row>
    <row r="745" spans="1:23" hidden="1" x14ac:dyDescent="0.25">
      <c r="A745">
        <v>7600309000</v>
      </c>
      <c r="B745" s="16" t="s">
        <v>21440</v>
      </c>
      <c r="C745" s="16" t="e">
        <f>VLOOKUP(Table1[[#This Row],[Node]],Parent!A:B,2,0)</f>
        <v>#N/A</v>
      </c>
      <c r="D745" s="25" t="s">
        <v>19346</v>
      </c>
      <c r="E745" s="26" t="s">
        <v>16544</v>
      </c>
      <c r="F745" s="27" t="s">
        <v>16830</v>
      </c>
      <c r="G745" s="27" t="s">
        <v>16831</v>
      </c>
      <c r="H745" s="27" t="s">
        <v>16881</v>
      </c>
      <c r="I745" s="27" t="s">
        <v>17253</v>
      </c>
      <c r="J745" s="27"/>
      <c r="K745" s="27"/>
      <c r="L745" s="27"/>
      <c r="N745" s="27"/>
      <c r="T745" s="28" t="str">
        <f>LOOKUP(1,1/(Table1[[#This Row],[Level_0]:[Level 15]]&gt;0),(Table1[[#This Row],[Level_0]:[Level 15]]))</f>
        <v>7600309000 - [DAA Pass thru Anal]</v>
      </c>
      <c r="U745" s="22">
        <v>740</v>
      </c>
      <c r="W745" s="13" t="str">
        <f>LOOKUP(1,1/(Table1[[#This Row],[Level_0]:[Level 15]]&gt;0),(Table1[[#This Row],[Level_0]:[Level 15]]))</f>
        <v>7600309000 - [DAA Pass thru Anal]</v>
      </c>
    </row>
    <row r="746" spans="1:23" hidden="1" x14ac:dyDescent="0.25">
      <c r="A746">
        <v>7600304180</v>
      </c>
      <c r="B746" s="16" t="s">
        <v>21376</v>
      </c>
      <c r="C746" s="16" t="e">
        <f>VLOOKUP(Table1[[#This Row],[Node]],Parent!A:B,2,0)</f>
        <v>#N/A</v>
      </c>
      <c r="D746" s="25" t="s">
        <v>19346</v>
      </c>
      <c r="E746" s="26" t="s">
        <v>16544</v>
      </c>
      <c r="F746" s="27" t="s">
        <v>16830</v>
      </c>
      <c r="G746" s="27" t="s">
        <v>16831</v>
      </c>
      <c r="H746" s="27" t="s">
        <v>16881</v>
      </c>
      <c r="I746" s="27" t="s">
        <v>17254</v>
      </c>
      <c r="J746" s="27"/>
      <c r="K746" s="27"/>
      <c r="L746" s="27"/>
      <c r="N746" s="27"/>
      <c r="T746" s="28" t="str">
        <f>LOOKUP(1,1/(Table1[[#This Row],[Level_0]:[Level 15]]&gt;0),(Table1[[#This Row],[Level_0]:[Level 15]]))</f>
        <v>7600304180 - [DAA_Shell &amp; core buildings]</v>
      </c>
      <c r="U746" s="22">
        <v>741</v>
      </c>
      <c r="W746" s="13" t="str">
        <f>LOOKUP(1,1/(Table1[[#This Row],[Level_0]:[Level 15]]&gt;0),(Table1[[#This Row],[Level_0]:[Level 15]]))</f>
        <v>7600304180 - [DAA_Shell &amp; core buildings]</v>
      </c>
    </row>
    <row r="747" spans="1:23" hidden="1" x14ac:dyDescent="0.25">
      <c r="A747">
        <v>7600304179</v>
      </c>
      <c r="B747" s="16" t="s">
        <v>21375</v>
      </c>
      <c r="C747" s="16" t="e">
        <f>VLOOKUP(Table1[[#This Row],[Node]],Parent!A:B,2,0)</f>
        <v>#N/A</v>
      </c>
      <c r="D747" s="25" t="s">
        <v>19346</v>
      </c>
      <c r="E747" s="26" t="s">
        <v>16544</v>
      </c>
      <c r="F747" s="27" t="s">
        <v>16830</v>
      </c>
      <c r="G747" s="27" t="s">
        <v>16831</v>
      </c>
      <c r="H747" s="27" t="s">
        <v>16881</v>
      </c>
      <c r="I747" s="27" t="s">
        <v>17255</v>
      </c>
      <c r="J747" s="27"/>
      <c r="K747" s="27"/>
      <c r="L747" s="27"/>
      <c r="N747" s="27"/>
      <c r="T747" s="28" t="str">
        <f>LOOKUP(1,1/(Table1[[#This Row],[Level_0]:[Level 15]]&gt;0),(Table1[[#This Row],[Level_0]:[Level 15]]))</f>
        <v>7600304179 - [DAA_Full service Buildings]</v>
      </c>
      <c r="U747" s="22">
        <v>742</v>
      </c>
      <c r="W747" s="13" t="str">
        <f>LOOKUP(1,1/(Table1[[#This Row],[Level_0]:[Level 15]]&gt;0),(Table1[[#This Row],[Level_0]:[Level 15]]))</f>
        <v>7600304179 - [DAA_Full service Buildings]</v>
      </c>
    </row>
    <row r="748" spans="1:23" hidden="1" x14ac:dyDescent="0.25">
      <c r="A748">
        <v>7600304178</v>
      </c>
      <c r="B748" s="16" t="s">
        <v>21374</v>
      </c>
      <c r="C748" s="16" t="e">
        <f>VLOOKUP(Table1[[#This Row],[Node]],Parent!A:B,2,0)</f>
        <v>#N/A</v>
      </c>
      <c r="D748" s="25" t="s">
        <v>19346</v>
      </c>
      <c r="E748" s="26" t="s">
        <v>16544</v>
      </c>
      <c r="F748" s="27" t="s">
        <v>16830</v>
      </c>
      <c r="G748" s="27" t="s">
        <v>16831</v>
      </c>
      <c r="H748" s="27" t="s">
        <v>16881</v>
      </c>
      <c r="I748" s="27" t="s">
        <v>17256</v>
      </c>
      <c r="J748" s="27"/>
      <c r="K748" s="27"/>
      <c r="L748" s="27"/>
      <c r="N748" s="27"/>
      <c r="T748" s="28" t="str">
        <f>LOOKUP(1,1/(Table1[[#This Row],[Level_0]:[Level 15]]&gt;0),(Table1[[#This Row],[Level_0]:[Level 15]]))</f>
        <v>7600304178 - [DAA_Lease hold buildings]</v>
      </c>
      <c r="U748" s="22">
        <v>743</v>
      </c>
      <c r="W748" s="13" t="str">
        <f>LOOKUP(1,1/(Table1[[#This Row],[Level_0]:[Level 15]]&gt;0),(Table1[[#This Row],[Level_0]:[Level 15]]))</f>
        <v>7600304178 - [DAA_Lease hold buildings]</v>
      </c>
    </row>
    <row r="749" spans="1:23" hidden="1" x14ac:dyDescent="0.25">
      <c r="A749">
        <v>7600304175</v>
      </c>
      <c r="B749" s="16" t="s">
        <v>21373</v>
      </c>
      <c r="C749" s="16" t="e">
        <f>VLOOKUP(Table1[[#This Row],[Node]],Parent!A:B,2,0)</f>
        <v>#N/A</v>
      </c>
      <c r="D749" s="25" t="s">
        <v>19346</v>
      </c>
      <c r="E749" s="26" t="s">
        <v>16544</v>
      </c>
      <c r="F749" s="27" t="s">
        <v>16830</v>
      </c>
      <c r="G749" s="27" t="s">
        <v>16831</v>
      </c>
      <c r="H749" s="27" t="s">
        <v>16881</v>
      </c>
      <c r="I749" s="27" t="s">
        <v>17257</v>
      </c>
      <c r="J749" s="27"/>
      <c r="K749" s="27"/>
      <c r="L749" s="27"/>
      <c r="N749" s="27"/>
      <c r="T749" s="28" t="str">
        <f>LOOKUP(1,1/(Table1[[#This Row],[Level_0]:[Level 15]]&gt;0),(Table1[[#This Row],[Level_0]:[Level 15]]))</f>
        <v>7600304175 - [DAA_Service Charge Rescue]</v>
      </c>
      <c r="U749" s="22">
        <v>744</v>
      </c>
      <c r="W749" s="13" t="str">
        <f>LOOKUP(1,1/(Table1[[#This Row],[Level_0]:[Level 15]]&gt;0),(Table1[[#This Row],[Level_0]:[Level 15]]))</f>
        <v>7600304175 - [DAA_Service Charge Rescue]</v>
      </c>
    </row>
    <row r="750" spans="1:23" hidden="1" x14ac:dyDescent="0.25">
      <c r="A750">
        <v>7600304174</v>
      </c>
      <c r="B750" s="16" t="s">
        <v>21372</v>
      </c>
      <c r="C750" s="16" t="e">
        <f>VLOOKUP(Table1[[#This Row],[Node]],Parent!A:B,2,0)</f>
        <v>#N/A</v>
      </c>
      <c r="D750" s="25" t="s">
        <v>19346</v>
      </c>
      <c r="E750" s="26" t="s">
        <v>16544</v>
      </c>
      <c r="F750" s="27" t="s">
        <v>16830</v>
      </c>
      <c r="G750" s="27" t="s">
        <v>16831</v>
      </c>
      <c r="H750" s="27" t="s">
        <v>16881</v>
      </c>
      <c r="I750" s="27" t="s">
        <v>17258</v>
      </c>
      <c r="J750" s="27"/>
      <c r="K750" s="27"/>
      <c r="L750" s="27"/>
      <c r="N750" s="27"/>
      <c r="T750" s="28" t="str">
        <f>LOOKUP(1,1/(Table1[[#This Row],[Level_0]:[Level 15]]&gt;0),(Table1[[#This Row],[Level_0]:[Level 15]]))</f>
        <v>7600304174 - [DAA_Patient Transport]</v>
      </c>
      <c r="U750" s="22">
        <v>745</v>
      </c>
      <c r="W750" s="13" t="str">
        <f>LOOKUP(1,1/(Table1[[#This Row],[Level_0]:[Level 15]]&gt;0),(Table1[[#This Row],[Level_0]:[Level 15]]))</f>
        <v>7600304174 - [DAA_Patient Transport]</v>
      </c>
    </row>
    <row r="751" spans="1:23" hidden="1" x14ac:dyDescent="0.25">
      <c r="A751">
        <v>7600304173</v>
      </c>
      <c r="B751" s="16" t="s">
        <v>21371</v>
      </c>
      <c r="C751" s="16" t="e">
        <f>VLOOKUP(Table1[[#This Row],[Node]],Parent!A:B,2,0)</f>
        <v>#N/A</v>
      </c>
      <c r="D751" s="25" t="s">
        <v>19346</v>
      </c>
      <c r="E751" s="26" t="s">
        <v>16544</v>
      </c>
      <c r="F751" s="27" t="s">
        <v>16830</v>
      </c>
      <c r="G751" s="27" t="s">
        <v>16831</v>
      </c>
      <c r="H751" s="27" t="s">
        <v>16881</v>
      </c>
      <c r="I751" s="27" t="s">
        <v>17259</v>
      </c>
      <c r="J751" s="27"/>
      <c r="K751" s="27"/>
      <c r="L751" s="27"/>
      <c r="N751" s="27"/>
      <c r="T751" s="28" t="str">
        <f>LOOKUP(1,1/(Table1[[#This Row],[Level_0]:[Level 15]]&gt;0),(Table1[[#This Row],[Level_0]:[Level 15]]))</f>
        <v>7600304173 - [DAA Vehicle Entrance Mgt]</v>
      </c>
      <c r="U751" s="22">
        <v>746</v>
      </c>
      <c r="W751" s="13" t="str">
        <f>LOOKUP(1,1/(Table1[[#This Row],[Level_0]:[Level 15]]&gt;0),(Table1[[#This Row],[Level_0]:[Level 15]]))</f>
        <v>7600304173 - [DAA Vehicle Entrance Mgt]</v>
      </c>
    </row>
    <row r="752" spans="1:23" hidden="1" x14ac:dyDescent="0.25">
      <c r="A752">
        <v>7600304171</v>
      </c>
      <c r="B752" s="16" t="s">
        <v>21369</v>
      </c>
      <c r="C752" s="16" t="e">
        <f>VLOOKUP(Table1[[#This Row],[Node]],Parent!A:B,2,0)</f>
        <v>#N/A</v>
      </c>
      <c r="D752" s="25" t="s">
        <v>19346</v>
      </c>
      <c r="E752" s="26" t="s">
        <v>16544</v>
      </c>
      <c r="F752" s="27" t="s">
        <v>16830</v>
      </c>
      <c r="G752" s="27" t="s">
        <v>16831</v>
      </c>
      <c r="H752" s="27" t="s">
        <v>16881</v>
      </c>
      <c r="I752" s="27" t="s">
        <v>17260</v>
      </c>
      <c r="J752" s="27"/>
      <c r="K752" s="27"/>
      <c r="L752" s="27"/>
      <c r="N752" s="27"/>
      <c r="T752" s="28" t="str">
        <f>LOOKUP(1,1/(Table1[[#This Row],[Level_0]:[Level 15]]&gt;0),(Table1[[#This Row],[Level_0]:[Level 15]]))</f>
        <v>7600304171 - [DAA Access Mgt]</v>
      </c>
      <c r="U752" s="22">
        <v>747</v>
      </c>
      <c r="W752" s="13" t="str">
        <f>LOOKUP(1,1/(Table1[[#This Row],[Level_0]:[Level 15]]&gt;0),(Table1[[#This Row],[Level_0]:[Level 15]]))</f>
        <v>7600304171 - [DAA Access Mgt]</v>
      </c>
    </row>
    <row r="753" spans="1:23" hidden="1" x14ac:dyDescent="0.25">
      <c r="A753">
        <v>7600304166</v>
      </c>
      <c r="B753" s="16" t="s">
        <v>21364</v>
      </c>
      <c r="C753" s="16" t="e">
        <f>VLOOKUP(Table1[[#This Row],[Node]],Parent!A:B,2,0)</f>
        <v>#N/A</v>
      </c>
      <c r="D753" s="25" t="s">
        <v>19346</v>
      </c>
      <c r="E753" s="26" t="s">
        <v>16544</v>
      </c>
      <c r="F753" s="27" t="s">
        <v>16830</v>
      </c>
      <c r="G753" s="27" t="s">
        <v>16831</v>
      </c>
      <c r="H753" s="27" t="s">
        <v>16881</v>
      </c>
      <c r="I753" s="27" t="s">
        <v>17261</v>
      </c>
      <c r="J753" s="27"/>
      <c r="K753" s="27"/>
      <c r="L753" s="27"/>
      <c r="N753" s="27"/>
      <c r="T753" s="28" t="str">
        <f>LOOKUP(1,1/(Table1[[#This Row],[Level_0]:[Level 15]]&gt;0),(Table1[[#This Row],[Level_0]:[Level 15]]))</f>
        <v>7600304166 - [DAA Emergency Rescue]</v>
      </c>
      <c r="U753" s="22">
        <v>748</v>
      </c>
      <c r="W753" s="13" t="str">
        <f>LOOKUP(1,1/(Table1[[#This Row],[Level_0]:[Level 15]]&gt;0),(Table1[[#This Row],[Level_0]:[Level 15]]))</f>
        <v>7600304166 - [DAA Emergency Rescue]</v>
      </c>
    </row>
    <row r="754" spans="1:23" hidden="1" x14ac:dyDescent="0.25">
      <c r="A754">
        <v>7600304162</v>
      </c>
      <c r="B754" s="16" t="s">
        <v>21360</v>
      </c>
      <c r="C754" s="16" t="e">
        <f>VLOOKUP(Table1[[#This Row],[Node]],Parent!A:B,2,0)</f>
        <v>#N/A</v>
      </c>
      <c r="D754" s="25" t="s">
        <v>19346</v>
      </c>
      <c r="E754" s="26" t="s">
        <v>16544</v>
      </c>
      <c r="F754" s="27" t="s">
        <v>16830</v>
      </c>
      <c r="G754" s="27" t="s">
        <v>16831</v>
      </c>
      <c r="H754" s="27" t="s">
        <v>16881</v>
      </c>
      <c r="I754" s="27" t="s">
        <v>17262</v>
      </c>
      <c r="J754" s="27"/>
      <c r="K754" s="27"/>
      <c r="L754" s="27"/>
      <c r="N754" s="27"/>
      <c r="T754" s="28" t="str">
        <f>LOOKUP(1,1/(Table1[[#This Row],[Level_0]:[Level 15]]&gt;0),(Table1[[#This Row],[Level_0]:[Level 15]]))</f>
        <v>7600304162 - [DAA Training Fire Brigade]</v>
      </c>
      <c r="U754" s="22">
        <v>749</v>
      </c>
      <c r="W754" s="13" t="str">
        <f>LOOKUP(1,1/(Table1[[#This Row],[Level_0]:[Level 15]]&gt;0),(Table1[[#This Row],[Level_0]:[Level 15]]))</f>
        <v>7600304162 - [DAA Training Fire Brigade]</v>
      </c>
    </row>
    <row r="755" spans="1:23" hidden="1" x14ac:dyDescent="0.25">
      <c r="A755">
        <v>7600304160</v>
      </c>
      <c r="B755" s="16" t="s">
        <v>21358</v>
      </c>
      <c r="C755" s="16" t="e">
        <f>VLOOKUP(Table1[[#This Row],[Node]],Parent!A:B,2,0)</f>
        <v>#N/A</v>
      </c>
      <c r="D755" s="25" t="s">
        <v>19346</v>
      </c>
      <c r="E755" s="26" t="s">
        <v>16544</v>
      </c>
      <c r="F755" s="27" t="s">
        <v>16830</v>
      </c>
      <c r="G755" s="27" t="s">
        <v>16831</v>
      </c>
      <c r="H755" s="27" t="s">
        <v>16881</v>
      </c>
      <c r="I755" s="27" t="s">
        <v>17263</v>
      </c>
      <c r="J755" s="27"/>
      <c r="K755" s="27"/>
      <c r="L755" s="27"/>
      <c r="N755" s="27"/>
      <c r="T755" s="28" t="str">
        <f>LOOKUP(1,1/(Table1[[#This Row],[Level_0]:[Level 15]]&gt;0),(Table1[[#This Row],[Level_0]:[Level 15]]))</f>
        <v>7600304160 - [DAA Cleaning Hygiene Plan]</v>
      </c>
      <c r="U755" s="22">
        <v>750</v>
      </c>
      <c r="W755" s="13" t="str">
        <f>LOOKUP(1,1/(Table1[[#This Row],[Level_0]:[Level 15]]&gt;0),(Table1[[#This Row],[Level_0]:[Level 15]]))</f>
        <v>7600304160 - [DAA Cleaning Hygiene Plan]</v>
      </c>
    </row>
    <row r="756" spans="1:23" hidden="1" x14ac:dyDescent="0.25">
      <c r="A756">
        <v>7600304159</v>
      </c>
      <c r="B756" s="16" t="s">
        <v>21357</v>
      </c>
      <c r="C756" s="16" t="e">
        <f>VLOOKUP(Table1[[#This Row],[Node]],Parent!A:B,2,0)</f>
        <v>#N/A</v>
      </c>
      <c r="D756" s="25" t="s">
        <v>19346</v>
      </c>
      <c r="E756" s="26" t="s">
        <v>16544</v>
      </c>
      <c r="F756" s="27" t="s">
        <v>16830</v>
      </c>
      <c r="G756" s="27" t="s">
        <v>16831</v>
      </c>
      <c r="H756" s="27" t="s">
        <v>16881</v>
      </c>
      <c r="I756" s="27" t="s">
        <v>17264</v>
      </c>
      <c r="J756" s="27"/>
      <c r="K756" s="27"/>
      <c r="L756" s="27"/>
      <c r="N756" s="27"/>
      <c r="T756" s="28" t="str">
        <f>LOOKUP(1,1/(Table1[[#This Row],[Level_0]:[Level 15]]&gt;0),(Table1[[#This Row],[Level_0]:[Level 15]]))</f>
        <v>7600304159 - [DAA Internal Placement Service]</v>
      </c>
      <c r="U756" s="22">
        <v>751</v>
      </c>
      <c r="W756" s="13" t="str">
        <f>LOOKUP(1,1/(Table1[[#This Row],[Level_0]:[Level 15]]&gt;0),(Table1[[#This Row],[Level_0]:[Level 15]]))</f>
        <v>7600304159 - [DAA Internal Placement Service]</v>
      </c>
    </row>
    <row r="757" spans="1:23" hidden="1" x14ac:dyDescent="0.25">
      <c r="A757">
        <v>7600304158</v>
      </c>
      <c r="B757" s="16" t="s">
        <v>21356</v>
      </c>
      <c r="C757" s="16" t="e">
        <f>VLOOKUP(Table1[[#This Row],[Node]],Parent!A:B,2,0)</f>
        <v>#N/A</v>
      </c>
      <c r="D757" s="25" t="s">
        <v>19346</v>
      </c>
      <c r="E757" s="26" t="s">
        <v>16544</v>
      </c>
      <c r="F757" s="27" t="s">
        <v>16830</v>
      </c>
      <c r="G757" s="27" t="s">
        <v>16831</v>
      </c>
      <c r="H757" s="27" t="s">
        <v>16881</v>
      </c>
      <c r="I757" s="27" t="s">
        <v>17265</v>
      </c>
      <c r="J757" s="27"/>
      <c r="K757" s="27"/>
      <c r="L757" s="27"/>
      <c r="N757" s="27"/>
      <c r="T757" s="28" t="str">
        <f>LOOKUP(1,1/(Table1[[#This Row],[Level_0]:[Level 15]]&gt;0),(Table1[[#This Row],[Level_0]:[Level 15]]))</f>
        <v>7600304158 - [DAA Catering Visitor]</v>
      </c>
      <c r="U757" s="22">
        <v>752</v>
      </c>
      <c r="W757" s="13" t="str">
        <f>LOOKUP(1,1/(Table1[[#This Row],[Level_0]:[Level 15]]&gt;0),(Table1[[#This Row],[Level_0]:[Level 15]]))</f>
        <v>7600304158 - [DAA Catering Visitor]</v>
      </c>
    </row>
    <row r="758" spans="1:23" hidden="1" x14ac:dyDescent="0.25">
      <c r="A758">
        <v>7600304156</v>
      </c>
      <c r="B758" s="16" t="s">
        <v>21354</v>
      </c>
      <c r="C758" s="16" t="e">
        <f>VLOOKUP(Table1[[#This Row],[Node]],Parent!A:B,2,0)</f>
        <v>#N/A</v>
      </c>
      <c r="D758" s="25" t="s">
        <v>19346</v>
      </c>
      <c r="E758" s="26" t="s">
        <v>16544</v>
      </c>
      <c r="F758" s="27" t="s">
        <v>16830</v>
      </c>
      <c r="G758" s="27" t="s">
        <v>16831</v>
      </c>
      <c r="H758" s="27" t="s">
        <v>16881</v>
      </c>
      <c r="I758" s="27" t="s">
        <v>17266</v>
      </c>
      <c r="J758" s="27"/>
      <c r="K758" s="27"/>
      <c r="L758" s="27"/>
      <c r="N758" s="27"/>
      <c r="T758" s="28" t="str">
        <f>LOOKUP(1,1/(Table1[[#This Row],[Level_0]:[Level 15]]&gt;0),(Table1[[#This Row],[Level_0]:[Level 15]]))</f>
        <v>7600304156 - [DAA Bistros&amp;Cafes]</v>
      </c>
      <c r="U758" s="22">
        <v>753</v>
      </c>
      <c r="W758" s="13" t="str">
        <f>LOOKUP(1,1/(Table1[[#This Row],[Level_0]:[Level 15]]&gt;0),(Table1[[#This Row],[Level_0]:[Level 15]]))</f>
        <v>7600304156 - [DAA Bistros&amp;Cafes]</v>
      </c>
    </row>
    <row r="759" spans="1:23" hidden="1" x14ac:dyDescent="0.25">
      <c r="A759">
        <v>7600304153</v>
      </c>
      <c r="B759" s="16" t="s">
        <v>21351</v>
      </c>
      <c r="C759" s="16" t="e">
        <f>VLOOKUP(Table1[[#This Row],[Node]],Parent!A:B,2,0)</f>
        <v>#N/A</v>
      </c>
      <c r="D759" s="25" t="s">
        <v>19346</v>
      </c>
      <c r="E759" s="26" t="s">
        <v>16544</v>
      </c>
      <c r="F759" s="27" t="s">
        <v>16830</v>
      </c>
      <c r="G759" s="27" t="s">
        <v>16831</v>
      </c>
      <c r="H759" s="27" t="s">
        <v>16881</v>
      </c>
      <c r="I759" s="27" t="s">
        <v>17267</v>
      </c>
      <c r="J759" s="27"/>
      <c r="K759" s="27"/>
      <c r="L759" s="27"/>
      <c r="N759" s="27"/>
      <c r="T759" s="28" t="str">
        <f>LOOKUP(1,1/(Table1[[#This Row],[Level_0]:[Level 15]]&gt;0),(Table1[[#This Row],[Level_0]:[Level 15]]))</f>
        <v>7600304153 - [DAA Log. HR Contract]</v>
      </c>
      <c r="U759" s="22">
        <v>754</v>
      </c>
      <c r="W759" s="13" t="str">
        <f>LOOKUP(1,1/(Table1[[#This Row],[Level_0]:[Level 15]]&gt;0),(Table1[[#This Row],[Level_0]:[Level 15]]))</f>
        <v>7600304153 - [DAA Log. HR Contract]</v>
      </c>
    </row>
    <row r="760" spans="1:23" hidden="1" x14ac:dyDescent="0.25">
      <c r="A760">
        <v>7600304152</v>
      </c>
      <c r="B760" s="16" t="s">
        <v>21350</v>
      </c>
      <c r="C760" s="16" t="e">
        <f>VLOOKUP(Table1[[#This Row],[Node]],Parent!A:B,2,0)</f>
        <v>#N/A</v>
      </c>
      <c r="D760" s="25" t="s">
        <v>19346</v>
      </c>
      <c r="E760" s="26" t="s">
        <v>16544</v>
      </c>
      <c r="F760" s="27" t="s">
        <v>16830</v>
      </c>
      <c r="G760" s="27" t="s">
        <v>16831</v>
      </c>
      <c r="H760" s="27" t="s">
        <v>16881</v>
      </c>
      <c r="I760" s="27" t="s">
        <v>17268</v>
      </c>
      <c r="J760" s="27"/>
      <c r="K760" s="27"/>
      <c r="L760" s="27"/>
      <c r="N760" s="27"/>
      <c r="T760" s="28" t="str">
        <f>LOOKUP(1,1/(Table1[[#This Row],[Level_0]:[Level 15]]&gt;0),(Table1[[#This Row],[Level_0]:[Level 15]]))</f>
        <v>7600304152 - [DAA Digitization]</v>
      </c>
      <c r="U760" s="22">
        <v>755</v>
      </c>
      <c r="W760" s="13" t="str">
        <f>LOOKUP(1,1/(Table1[[#This Row],[Level_0]:[Level 15]]&gt;0),(Table1[[#This Row],[Level_0]:[Level 15]]))</f>
        <v>7600304152 - [DAA Digitization]</v>
      </c>
    </row>
    <row r="761" spans="1:23" hidden="1" x14ac:dyDescent="0.25">
      <c r="A761">
        <v>7600304147</v>
      </c>
      <c r="B761" s="16" t="s">
        <v>21345</v>
      </c>
      <c r="C761" s="16" t="e">
        <f>VLOOKUP(Table1[[#This Row],[Node]],Parent!A:B,2,0)</f>
        <v>#N/A</v>
      </c>
      <c r="D761" s="25" t="s">
        <v>19346</v>
      </c>
      <c r="E761" s="26" t="s">
        <v>16544</v>
      </c>
      <c r="F761" s="27" t="s">
        <v>16830</v>
      </c>
      <c r="G761" s="27" t="s">
        <v>16831</v>
      </c>
      <c r="H761" s="27" t="s">
        <v>16881</v>
      </c>
      <c r="I761" s="27" t="s">
        <v>17269</v>
      </c>
      <c r="J761" s="27"/>
      <c r="K761" s="27"/>
      <c r="L761" s="27"/>
      <c r="N761" s="27"/>
      <c r="T761" s="28" t="str">
        <f>LOOKUP(1,1/(Table1[[#This Row],[Level_0]:[Level 15]]&gt;0),(Table1[[#This Row],[Level_0]:[Level 15]]))</f>
        <v>7600304147 - [DAA Info Health Services]</v>
      </c>
      <c r="U761" s="22">
        <v>756</v>
      </c>
      <c r="W761" s="13" t="str">
        <f>LOOKUP(1,1/(Table1[[#This Row],[Level_0]:[Level 15]]&gt;0),(Table1[[#This Row],[Level_0]:[Level 15]]))</f>
        <v>7600304147 - [DAA Info Health Services]</v>
      </c>
    </row>
    <row r="762" spans="1:23" hidden="1" x14ac:dyDescent="0.25">
      <c r="A762">
        <v>7600304143</v>
      </c>
      <c r="B762" s="16" t="s">
        <v>21341</v>
      </c>
      <c r="C762" s="16" t="e">
        <f>VLOOKUP(Table1[[#This Row],[Node]],Parent!A:B,2,0)</f>
        <v>#N/A</v>
      </c>
      <c r="D762" s="25" t="s">
        <v>19346</v>
      </c>
      <c r="E762" s="26" t="s">
        <v>16544</v>
      </c>
      <c r="F762" s="27" t="s">
        <v>16830</v>
      </c>
      <c r="G762" s="27" t="s">
        <v>16831</v>
      </c>
      <c r="H762" s="27" t="s">
        <v>16881</v>
      </c>
      <c r="I762" s="27" t="s">
        <v>17270</v>
      </c>
      <c r="J762" s="27"/>
      <c r="K762" s="27"/>
      <c r="L762" s="27"/>
      <c r="N762" s="27"/>
      <c r="T762" s="28" t="str">
        <f>LOOKUP(1,1/(Table1[[#This Row],[Level_0]:[Level 15]]&gt;0),(Table1[[#This Row],[Level_0]:[Level 15]]))</f>
        <v>7600304143 - [DAA Health Campaigns Presentations]</v>
      </c>
      <c r="U762" s="22">
        <v>757</v>
      </c>
      <c r="W762" s="13" t="str">
        <f>LOOKUP(1,1/(Table1[[#This Row],[Level_0]:[Level 15]]&gt;0),(Table1[[#This Row],[Level_0]:[Level 15]]))</f>
        <v>7600304143 - [DAA Health Campaigns Presentations]</v>
      </c>
    </row>
    <row r="763" spans="1:23" hidden="1" x14ac:dyDescent="0.25">
      <c r="A763">
        <v>7600304142</v>
      </c>
      <c r="B763" s="16" t="s">
        <v>21340</v>
      </c>
      <c r="C763" s="16" t="e">
        <f>VLOOKUP(Table1[[#This Row],[Node]],Parent!A:B,2,0)</f>
        <v>#N/A</v>
      </c>
      <c r="D763" s="25" t="s">
        <v>19346</v>
      </c>
      <c r="E763" s="26" t="s">
        <v>16544</v>
      </c>
      <c r="F763" s="27" t="s">
        <v>16830</v>
      </c>
      <c r="G763" s="27" t="s">
        <v>16831</v>
      </c>
      <c r="H763" s="27" t="s">
        <v>16881</v>
      </c>
      <c r="I763" s="27" t="s">
        <v>17271</v>
      </c>
      <c r="J763" s="27"/>
      <c r="K763" s="27"/>
      <c r="L763" s="27"/>
      <c r="N763" s="27"/>
      <c r="T763" s="28" t="str">
        <f>LOOKUP(1,1/(Table1[[#This Row],[Level_0]:[Level 15]]&gt;0),(Table1[[#This Row],[Level_0]:[Level 15]]))</f>
        <v>7600304142 - [DAA Health Campaigns]</v>
      </c>
      <c r="U763" s="22">
        <v>758</v>
      </c>
      <c r="W763" s="13" t="str">
        <f>LOOKUP(1,1/(Table1[[#This Row],[Level_0]:[Level 15]]&gt;0),(Table1[[#This Row],[Level_0]:[Level 15]]))</f>
        <v>7600304142 - [DAA Health Campaigns]</v>
      </c>
    </row>
    <row r="764" spans="1:23" hidden="1" x14ac:dyDescent="0.25">
      <c r="A764">
        <v>7600304140</v>
      </c>
      <c r="B764" s="16" t="s">
        <v>21338</v>
      </c>
      <c r="C764" s="16" t="e">
        <f>VLOOKUP(Table1[[#This Row],[Node]],Parent!A:B,2,0)</f>
        <v>#N/A</v>
      </c>
      <c r="D764" s="25" t="s">
        <v>19346</v>
      </c>
      <c r="E764" s="26" t="s">
        <v>16544</v>
      </c>
      <c r="F764" s="27" t="s">
        <v>16830</v>
      </c>
      <c r="G764" s="27" t="s">
        <v>16831</v>
      </c>
      <c r="H764" s="27" t="s">
        <v>16881</v>
      </c>
      <c r="I764" s="27" t="s">
        <v>17272</v>
      </c>
      <c r="J764" s="27"/>
      <c r="K764" s="27"/>
      <c r="L764" s="27"/>
      <c r="N764" s="27"/>
      <c r="T764" s="28" t="str">
        <f>LOOKUP(1,1/(Table1[[#This Row],[Level_0]:[Level 15]]&gt;0),(Table1[[#This Row],[Level_0]:[Level 15]]))</f>
        <v>7600304140 - [DAA Transport Service to Physician]</v>
      </c>
      <c r="U764" s="22">
        <v>759</v>
      </c>
      <c r="W764" s="13" t="str">
        <f>LOOKUP(1,1/(Table1[[#This Row],[Level_0]:[Level 15]]&gt;0),(Table1[[#This Row],[Level_0]:[Level 15]]))</f>
        <v>7600304140 - [DAA Transport Service to Physician]</v>
      </c>
    </row>
    <row r="765" spans="1:23" hidden="1" x14ac:dyDescent="0.25">
      <c r="A765">
        <v>7600304139</v>
      </c>
      <c r="B765" s="16" t="s">
        <v>21337</v>
      </c>
      <c r="C765" s="16" t="e">
        <f>VLOOKUP(Table1[[#This Row],[Node]],Parent!A:B,2,0)</f>
        <v>#N/A</v>
      </c>
      <c r="D765" s="25" t="s">
        <v>19346</v>
      </c>
      <c r="E765" s="26" t="s">
        <v>16544</v>
      </c>
      <c r="F765" s="27" t="s">
        <v>16830</v>
      </c>
      <c r="G765" s="27" t="s">
        <v>16831</v>
      </c>
      <c r="H765" s="27" t="s">
        <v>16881</v>
      </c>
      <c r="I765" s="27" t="s">
        <v>17273</v>
      </c>
      <c r="J765" s="27"/>
      <c r="K765" s="27"/>
      <c r="L765" s="27"/>
      <c r="N765" s="27"/>
      <c r="T765" s="28" t="str">
        <f>LOOKUP(1,1/(Table1[[#This Row],[Level_0]:[Level 15]]&gt;0),(Table1[[#This Row],[Level_0]:[Level 15]]))</f>
        <v>7600304139 - [DAA Specific Health Serv. (round tables)]</v>
      </c>
      <c r="U765" s="22">
        <v>760</v>
      </c>
      <c r="W765" s="13" t="str">
        <f>LOOKUP(1,1/(Table1[[#This Row],[Level_0]:[Level 15]]&gt;0),(Table1[[#This Row],[Level_0]:[Level 15]]))</f>
        <v>7600304139 - [DAA Specific Health Serv. (round tables)]</v>
      </c>
    </row>
    <row r="766" spans="1:23" hidden="1" x14ac:dyDescent="0.25">
      <c r="A766">
        <v>7600304138</v>
      </c>
      <c r="B766" s="16" t="s">
        <v>21336</v>
      </c>
      <c r="C766" s="16" t="e">
        <f>VLOOKUP(Table1[[#This Row],[Node]],Parent!A:B,2,0)</f>
        <v>#N/A</v>
      </c>
      <c r="D766" s="25" t="s">
        <v>19346</v>
      </c>
      <c r="E766" s="26" t="s">
        <v>16544</v>
      </c>
      <c r="F766" s="27" t="s">
        <v>16830</v>
      </c>
      <c r="G766" s="27" t="s">
        <v>16831</v>
      </c>
      <c r="H766" s="27" t="s">
        <v>16881</v>
      </c>
      <c r="I766" s="27" t="s">
        <v>17274</v>
      </c>
      <c r="J766" s="27"/>
      <c r="K766" s="27"/>
      <c r="L766" s="27"/>
      <c r="N766" s="27"/>
      <c r="T766" s="28" t="str">
        <f>LOOKUP(1,1/(Table1[[#This Row],[Level_0]:[Level 15]]&gt;0),(Table1[[#This Row],[Level_0]:[Level 15]]))</f>
        <v>7600304138 - [DAA Specific BEM Services]</v>
      </c>
      <c r="U766" s="22">
        <v>761</v>
      </c>
      <c r="W766" s="13" t="str">
        <f>LOOKUP(1,1/(Table1[[#This Row],[Level_0]:[Level 15]]&gt;0),(Table1[[#This Row],[Level_0]:[Level 15]]))</f>
        <v>7600304138 - [DAA Specific BEM Services]</v>
      </c>
    </row>
    <row r="767" spans="1:23" hidden="1" x14ac:dyDescent="0.25">
      <c r="A767">
        <v>7600304137</v>
      </c>
      <c r="B767" s="16" t="s">
        <v>21335</v>
      </c>
      <c r="C767" s="16" t="e">
        <f>VLOOKUP(Table1[[#This Row],[Node]],Parent!A:B,2,0)</f>
        <v>#N/A</v>
      </c>
      <c r="D767" s="25" t="s">
        <v>19346</v>
      </c>
      <c r="E767" s="26" t="s">
        <v>16544</v>
      </c>
      <c r="F767" s="27" t="s">
        <v>16830</v>
      </c>
      <c r="G767" s="27" t="s">
        <v>16831</v>
      </c>
      <c r="H767" s="27" t="s">
        <v>16881</v>
      </c>
      <c r="I767" s="27" t="s">
        <v>17275</v>
      </c>
      <c r="J767" s="27"/>
      <c r="K767" s="27"/>
      <c r="L767" s="27"/>
      <c r="N767" s="27"/>
      <c r="T767" s="28" t="str">
        <f>LOOKUP(1,1/(Table1[[#This Row],[Level_0]:[Level 15]]&gt;0),(Table1[[#This Row],[Level_0]:[Level 15]]))</f>
        <v>7600304137 - [DAA Emergency Medical Physician]</v>
      </c>
      <c r="U767" s="22">
        <v>762</v>
      </c>
      <c r="W767" s="13" t="str">
        <f>LOOKUP(1,1/(Table1[[#This Row],[Level_0]:[Level 15]]&gt;0),(Table1[[#This Row],[Level_0]:[Level 15]]))</f>
        <v>7600304137 - [DAA Emergency Medical Physician]</v>
      </c>
    </row>
    <row r="768" spans="1:23" hidden="1" x14ac:dyDescent="0.25">
      <c r="A768">
        <v>7600304136</v>
      </c>
      <c r="B768" s="16" t="s">
        <v>21334</v>
      </c>
      <c r="C768" s="16" t="e">
        <f>VLOOKUP(Table1[[#This Row],[Node]],Parent!A:B,2,0)</f>
        <v>#N/A</v>
      </c>
      <c r="D768" s="25" t="s">
        <v>19346</v>
      </c>
      <c r="E768" s="26" t="s">
        <v>16544</v>
      </c>
      <c r="F768" s="27" t="s">
        <v>16830</v>
      </c>
      <c r="G768" s="27" t="s">
        <v>16831</v>
      </c>
      <c r="H768" s="27" t="s">
        <v>16881</v>
      </c>
      <c r="I768" s="27" t="s">
        <v>17276</v>
      </c>
      <c r="J768" s="27"/>
      <c r="K768" s="27"/>
      <c r="L768" s="27"/>
      <c r="N768" s="27"/>
      <c r="T768" s="28" t="str">
        <f>LOOKUP(1,1/(Table1[[#This Row],[Level_0]:[Level 15]]&gt;0),(Table1[[#This Row],[Level_0]:[Level 15]]))</f>
        <v>7600304136 - [DAA Presentations on Health Topics]</v>
      </c>
      <c r="U768" s="22">
        <v>763</v>
      </c>
      <c r="W768" s="13" t="str">
        <f>LOOKUP(1,1/(Table1[[#This Row],[Level_0]:[Level 15]]&gt;0),(Table1[[#This Row],[Level_0]:[Level 15]]))</f>
        <v>7600304136 - [DAA Presentations on Health Topics]</v>
      </c>
    </row>
    <row r="769" spans="1:23" hidden="1" x14ac:dyDescent="0.25">
      <c r="A769">
        <v>7600304135</v>
      </c>
      <c r="B769" s="16" t="s">
        <v>21333</v>
      </c>
      <c r="C769" s="16" t="e">
        <f>VLOOKUP(Table1[[#This Row],[Node]],Parent!A:B,2,0)</f>
        <v>#N/A</v>
      </c>
      <c r="D769" s="25" t="s">
        <v>19346</v>
      </c>
      <c r="E769" s="26" t="s">
        <v>16544</v>
      </c>
      <c r="F769" s="27" t="s">
        <v>16830</v>
      </c>
      <c r="G769" s="27" t="s">
        <v>16831</v>
      </c>
      <c r="H769" s="27" t="s">
        <v>16881</v>
      </c>
      <c r="I769" s="27" t="s">
        <v>17277</v>
      </c>
      <c r="J769" s="27"/>
      <c r="K769" s="27"/>
      <c r="L769" s="27"/>
      <c r="N769" s="27"/>
      <c r="T769" s="28" t="str">
        <f>LOOKUP(1,1/(Table1[[#This Row],[Level_0]:[Level 15]]&gt;0),(Table1[[#This Row],[Level_0]:[Level 15]]))</f>
        <v>7600304135 - [DAA Basic DGUV V2 Service]</v>
      </c>
      <c r="U769" s="22">
        <v>764</v>
      </c>
      <c r="W769" s="13" t="str">
        <f>LOOKUP(1,1/(Table1[[#This Row],[Level_0]:[Level 15]]&gt;0),(Table1[[#This Row],[Level_0]:[Level 15]]))</f>
        <v>7600304135 - [DAA Basic DGUV V2 Service]</v>
      </c>
    </row>
    <row r="770" spans="1:23" hidden="1" x14ac:dyDescent="0.25">
      <c r="A770">
        <v>7600304134</v>
      </c>
      <c r="B770" s="16" t="s">
        <v>21332</v>
      </c>
      <c r="C770" s="16" t="e">
        <f>VLOOKUP(Table1[[#This Row],[Node]],Parent!A:B,2,0)</f>
        <v>#N/A</v>
      </c>
      <c r="D770" s="25" t="s">
        <v>19346</v>
      </c>
      <c r="E770" s="26" t="s">
        <v>16544</v>
      </c>
      <c r="F770" s="27" t="s">
        <v>16830</v>
      </c>
      <c r="G770" s="27" t="s">
        <v>16831</v>
      </c>
      <c r="H770" s="27" t="s">
        <v>16881</v>
      </c>
      <c r="I770" s="27" t="s">
        <v>17278</v>
      </c>
      <c r="J770" s="27"/>
      <c r="K770" s="27"/>
      <c r="L770" s="27"/>
      <c r="N770" s="27"/>
      <c r="T770" s="28" t="str">
        <f>LOOKUP(1,1/(Table1[[#This Row],[Level_0]:[Level 15]]&gt;0),(Table1[[#This Row],[Level_0]:[Level 15]]))</f>
        <v>7600304134 - [DAA Health Events]</v>
      </c>
      <c r="U770" s="22">
        <v>765</v>
      </c>
      <c r="W770" s="13" t="str">
        <f>LOOKUP(1,1/(Table1[[#This Row],[Level_0]:[Level 15]]&gt;0),(Table1[[#This Row],[Level_0]:[Level 15]]))</f>
        <v>7600304134 - [DAA Health Events]</v>
      </c>
    </row>
    <row r="771" spans="1:23" hidden="1" x14ac:dyDescent="0.25">
      <c r="A771">
        <v>7600304133</v>
      </c>
      <c r="B771" s="16" t="s">
        <v>21331</v>
      </c>
      <c r="C771" s="16" t="e">
        <f>VLOOKUP(Table1[[#This Row],[Node]],Parent!A:B,2,0)</f>
        <v>#N/A</v>
      </c>
      <c r="D771" s="25" t="s">
        <v>19346</v>
      </c>
      <c r="E771" s="26" t="s">
        <v>16544</v>
      </c>
      <c r="F771" s="27" t="s">
        <v>16830</v>
      </c>
      <c r="G771" s="27" t="s">
        <v>16831</v>
      </c>
      <c r="H771" s="27" t="s">
        <v>16881</v>
      </c>
      <c r="I771" s="27" t="s">
        <v>17279</v>
      </c>
      <c r="J771" s="27"/>
      <c r="K771" s="27"/>
      <c r="L771" s="27"/>
      <c r="N771" s="27"/>
      <c r="T771" s="28" t="str">
        <f>LOOKUP(1,1/(Table1[[#This Row],[Level_0]:[Level 15]]&gt;0),(Table1[[#This Row],[Level_0]:[Level 15]]))</f>
        <v>7600304133 - [DAA Social Counselling]</v>
      </c>
      <c r="U771" s="22">
        <v>766</v>
      </c>
      <c r="W771" s="13" t="str">
        <f>LOOKUP(1,1/(Table1[[#This Row],[Level_0]:[Level 15]]&gt;0),(Table1[[#This Row],[Level_0]:[Level 15]]))</f>
        <v>7600304133 - [DAA Social Counselling]</v>
      </c>
    </row>
    <row r="772" spans="1:23" hidden="1" x14ac:dyDescent="0.25">
      <c r="A772">
        <v>7600304132</v>
      </c>
      <c r="B772" s="16" t="s">
        <v>21330</v>
      </c>
      <c r="C772" s="16" t="e">
        <f>VLOOKUP(Table1[[#This Row],[Node]],Parent!A:B,2,0)</f>
        <v>#N/A</v>
      </c>
      <c r="D772" s="25" t="s">
        <v>19346</v>
      </c>
      <c r="E772" s="26" t="s">
        <v>16544</v>
      </c>
      <c r="F772" s="27" t="s">
        <v>16830</v>
      </c>
      <c r="G772" s="27" t="s">
        <v>16831</v>
      </c>
      <c r="H772" s="27" t="s">
        <v>16881</v>
      </c>
      <c r="I772" s="27" t="s">
        <v>17280</v>
      </c>
      <c r="J772" s="27"/>
      <c r="K772" s="27"/>
      <c r="L772" s="27"/>
      <c r="N772" s="27"/>
      <c r="T772" s="28" t="str">
        <f>LOOKUP(1,1/(Table1[[#This Row],[Level_0]:[Level 15]]&gt;0),(Table1[[#This Row],[Level_0]:[Level 15]]))</f>
        <v>7600304132 - [DAA Travel Medicine Consulting]</v>
      </c>
      <c r="U772" s="22">
        <v>767</v>
      </c>
      <c r="W772" s="13" t="str">
        <f>LOOKUP(1,1/(Table1[[#This Row],[Level_0]:[Level 15]]&gt;0),(Table1[[#This Row],[Level_0]:[Level 15]]))</f>
        <v>7600304132 - [DAA Travel Medicine Consulting]</v>
      </c>
    </row>
    <row r="773" spans="1:23" hidden="1" x14ac:dyDescent="0.25">
      <c r="A773">
        <v>7600304130</v>
      </c>
      <c r="B773" s="16" t="s">
        <v>21328</v>
      </c>
      <c r="C773" s="16" t="e">
        <f>VLOOKUP(Table1[[#This Row],[Node]],Parent!A:B,2,0)</f>
        <v>#N/A</v>
      </c>
      <c r="D773" s="25" t="s">
        <v>19346</v>
      </c>
      <c r="E773" s="26" t="s">
        <v>16544</v>
      </c>
      <c r="F773" s="27" t="s">
        <v>16830</v>
      </c>
      <c r="G773" s="27" t="s">
        <v>16831</v>
      </c>
      <c r="H773" s="27" t="s">
        <v>16881</v>
      </c>
      <c r="I773" s="27" t="s">
        <v>17281</v>
      </c>
      <c r="J773" s="27"/>
      <c r="K773" s="27"/>
      <c r="L773" s="27"/>
      <c r="N773" s="27"/>
      <c r="T773" s="28" t="str">
        <f>LOOKUP(1,1/(Table1[[#This Row],[Level_0]:[Level 15]]&gt;0),(Table1[[#This Row],[Level_0]:[Level 15]]))</f>
        <v>7600304130 - [DAA Organization &amp; Execution of BEM]</v>
      </c>
      <c r="U773" s="22">
        <v>768</v>
      </c>
      <c r="W773" s="13" t="str">
        <f>LOOKUP(1,1/(Table1[[#This Row],[Level_0]:[Level 15]]&gt;0),(Table1[[#This Row],[Level_0]:[Level 15]]))</f>
        <v>7600304130 - [DAA Organization &amp; Execution of BEM]</v>
      </c>
    </row>
    <row r="774" spans="1:23" hidden="1" x14ac:dyDescent="0.25">
      <c r="A774">
        <v>7600304129</v>
      </c>
      <c r="B774" s="16" t="s">
        <v>21327</v>
      </c>
      <c r="C774" s="16" t="e">
        <f>VLOOKUP(Table1[[#This Row],[Node]],Parent!A:B,2,0)</f>
        <v>#N/A</v>
      </c>
      <c r="D774" s="25" t="s">
        <v>19346</v>
      </c>
      <c r="E774" s="26" t="s">
        <v>16544</v>
      </c>
      <c r="F774" s="27" t="s">
        <v>16830</v>
      </c>
      <c r="G774" s="27" t="s">
        <v>16831</v>
      </c>
      <c r="H774" s="27" t="s">
        <v>16881</v>
      </c>
      <c r="I774" s="27" t="s">
        <v>17282</v>
      </c>
      <c r="J774" s="27"/>
      <c r="K774" s="27"/>
      <c r="L774" s="27"/>
      <c r="N774" s="27"/>
      <c r="T774" s="28" t="str">
        <f>LOOKUP(1,1/(Table1[[#This Row],[Level_0]:[Level 15]]&gt;0),(Table1[[#This Row],[Level_0]:[Level 15]]))</f>
        <v>7600304129 - [DAA DGUVV2]</v>
      </c>
      <c r="U774" s="22">
        <v>769</v>
      </c>
      <c r="W774" s="13" t="str">
        <f>LOOKUP(1,1/(Table1[[#This Row],[Level_0]:[Level 15]]&gt;0),(Table1[[#This Row],[Level_0]:[Level 15]]))</f>
        <v>7600304129 - [DAA DGUVV2]</v>
      </c>
    </row>
    <row r="775" spans="1:23" hidden="1" x14ac:dyDescent="0.25">
      <c r="A775">
        <v>7600304125</v>
      </c>
      <c r="B775" s="16" t="s">
        <v>21323</v>
      </c>
      <c r="C775" s="16" t="e">
        <f>VLOOKUP(Table1[[#This Row],[Node]],Parent!A:B,2,0)</f>
        <v>#N/A</v>
      </c>
      <c r="D775" s="25" t="s">
        <v>19346</v>
      </c>
      <c r="E775" s="26" t="s">
        <v>16544</v>
      </c>
      <c r="F775" s="27" t="s">
        <v>16830</v>
      </c>
      <c r="G775" s="27" t="s">
        <v>16831</v>
      </c>
      <c r="H775" s="27" t="s">
        <v>16881</v>
      </c>
      <c r="I775" s="27" t="s">
        <v>17283</v>
      </c>
      <c r="J775" s="27"/>
      <c r="K775" s="27"/>
      <c r="L775" s="27"/>
      <c r="N775" s="27"/>
      <c r="T775" s="28" t="str">
        <f>LOOKUP(1,1/(Table1[[#This Row],[Level_0]:[Level 15]]&gt;0),(Table1[[#This Row],[Level_0]:[Level 15]]))</f>
        <v>7600304125 - [DAA Environmental Analytics R&amp;D]</v>
      </c>
      <c r="U775" s="22">
        <v>770</v>
      </c>
      <c r="W775" s="13" t="str">
        <f>LOOKUP(1,1/(Table1[[#This Row],[Level_0]:[Level 15]]&gt;0),(Table1[[#This Row],[Level_0]:[Level 15]]))</f>
        <v>7600304125 - [DAA Environmental Analytics R&amp;D]</v>
      </c>
    </row>
    <row r="776" spans="1:23" hidden="1" x14ac:dyDescent="0.25">
      <c r="A776">
        <v>7600304122</v>
      </c>
      <c r="B776" s="16" t="s">
        <v>21321</v>
      </c>
      <c r="C776" s="16" t="e">
        <f>VLOOKUP(Table1[[#This Row],[Node]],Parent!A:B,2,0)</f>
        <v>#N/A</v>
      </c>
      <c r="D776" s="25" t="s">
        <v>19346</v>
      </c>
      <c r="E776" s="26" t="s">
        <v>16544</v>
      </c>
      <c r="F776" s="27" t="s">
        <v>16830</v>
      </c>
      <c r="G776" s="27" t="s">
        <v>16831</v>
      </c>
      <c r="H776" s="27" t="s">
        <v>16881</v>
      </c>
      <c r="I776" s="27" t="s">
        <v>17284</v>
      </c>
      <c r="J776" s="27"/>
      <c r="K776" s="27"/>
      <c r="L776" s="27"/>
      <c r="N776" s="27"/>
      <c r="T776" s="28" t="str">
        <f>LOOKUP(1,1/(Table1[[#This Row],[Level_0]:[Level 15]]&gt;0),(Table1[[#This Row],[Level_0]:[Level 15]]))</f>
        <v>7600304122 - [DAA Assoc.Work&amp;Rep.Occup.health&amp;safety]</v>
      </c>
      <c r="U776" s="22">
        <v>771</v>
      </c>
      <c r="W776" s="13" t="str">
        <f>LOOKUP(1,1/(Table1[[#This Row],[Level_0]:[Level 15]]&gt;0),(Table1[[#This Row],[Level_0]:[Level 15]]))</f>
        <v>7600304122 - [DAA Assoc.Work&amp;Rep.Occup.health&amp;safety]</v>
      </c>
    </row>
    <row r="777" spans="1:23" hidden="1" x14ac:dyDescent="0.25">
      <c r="A777">
        <v>7600304121</v>
      </c>
      <c r="B777" s="16" t="s">
        <v>21320</v>
      </c>
      <c r="C777" s="16" t="e">
        <f>VLOOKUP(Table1[[#This Row],[Node]],Parent!A:B,2,0)</f>
        <v>#N/A</v>
      </c>
      <c r="D777" s="25" t="s">
        <v>19346</v>
      </c>
      <c r="E777" s="26" t="s">
        <v>16544</v>
      </c>
      <c r="F777" s="27" t="s">
        <v>16830</v>
      </c>
      <c r="G777" s="27" t="s">
        <v>16831</v>
      </c>
      <c r="H777" s="27" t="s">
        <v>16881</v>
      </c>
      <c r="I777" s="27" t="s">
        <v>17285</v>
      </c>
      <c r="J777" s="27"/>
      <c r="K777" s="27"/>
      <c r="L777" s="27"/>
      <c r="N777" s="27"/>
      <c r="T777" s="28" t="str">
        <f>LOOKUP(1,1/(Table1[[#This Row],[Level_0]:[Level 15]]&gt;0),(Table1[[#This Row],[Level_0]:[Level 15]]))</f>
        <v>7600304121 - [DAA Legal Prosecution Occup. Safety]</v>
      </c>
      <c r="U777" s="22">
        <v>772</v>
      </c>
      <c r="W777" s="13" t="str">
        <f>LOOKUP(1,1/(Table1[[#This Row],[Level_0]:[Level 15]]&gt;0),(Table1[[#This Row],[Level_0]:[Level 15]]))</f>
        <v>7600304121 - [DAA Legal Prosecution Occup. Safety]</v>
      </c>
    </row>
    <row r="778" spans="1:23" hidden="1" x14ac:dyDescent="0.25">
      <c r="A778">
        <v>7600304120</v>
      </c>
      <c r="B778" s="16" t="s">
        <v>21319</v>
      </c>
      <c r="C778" s="16" t="e">
        <f>VLOOKUP(Table1[[#This Row],[Node]],Parent!A:B,2,0)</f>
        <v>#N/A</v>
      </c>
      <c r="D778" s="25" t="s">
        <v>19346</v>
      </c>
      <c r="E778" s="26" t="s">
        <v>16544</v>
      </c>
      <c r="F778" s="27" t="s">
        <v>16830</v>
      </c>
      <c r="G778" s="27" t="s">
        <v>16831</v>
      </c>
      <c r="H778" s="27" t="s">
        <v>16881</v>
      </c>
      <c r="I778" s="27" t="s">
        <v>17286</v>
      </c>
      <c r="J778" s="27"/>
      <c r="K778" s="27"/>
      <c r="L778" s="27"/>
      <c r="N778" s="27"/>
      <c r="T778" s="28" t="str">
        <f>LOOKUP(1,1/(Table1[[#This Row],[Level_0]:[Level 15]]&gt;0),(Table1[[#This Row],[Level_0]:[Level 15]]))</f>
        <v>7600304120 - [DAA IT Tool Occupational Safety: medus +]</v>
      </c>
      <c r="U778" s="22">
        <v>773</v>
      </c>
      <c r="W778" s="13" t="str">
        <f>LOOKUP(1,1/(Table1[[#This Row],[Level_0]:[Level 15]]&gt;0),(Table1[[#This Row],[Level_0]:[Level 15]]))</f>
        <v>7600304120 - [DAA IT Tool Occupational Safety: medus +]</v>
      </c>
    </row>
    <row r="779" spans="1:23" hidden="1" x14ac:dyDescent="0.25">
      <c r="A779">
        <v>7600304119</v>
      </c>
      <c r="B779" s="16" t="s">
        <v>21318</v>
      </c>
      <c r="C779" s="16" t="e">
        <f>VLOOKUP(Table1[[#This Row],[Node]],Parent!A:B,2,0)</f>
        <v>#N/A</v>
      </c>
      <c r="D779" s="25" t="s">
        <v>19346</v>
      </c>
      <c r="E779" s="26" t="s">
        <v>16544</v>
      </c>
      <c r="F779" s="27" t="s">
        <v>16830</v>
      </c>
      <c r="G779" s="27" t="s">
        <v>16831</v>
      </c>
      <c r="H779" s="27" t="s">
        <v>16881</v>
      </c>
      <c r="I779" s="27" t="s">
        <v>17287</v>
      </c>
      <c r="J779" s="27"/>
      <c r="K779" s="27"/>
      <c r="L779" s="27"/>
      <c r="N779" s="27"/>
      <c r="T779" s="28" t="str">
        <f>LOOKUP(1,1/(Table1[[#This Row],[Level_0]:[Level 15]]&gt;0),(Table1[[#This Row],[Level_0]:[Level 15]]))</f>
        <v>7600304119 - [DAA Management Security Managers]</v>
      </c>
      <c r="U779" s="22">
        <v>774</v>
      </c>
      <c r="W779" s="13" t="str">
        <f>LOOKUP(1,1/(Table1[[#This Row],[Level_0]:[Level 15]]&gt;0),(Table1[[#This Row],[Level_0]:[Level 15]]))</f>
        <v>7600304119 - [DAA Management Security Managers]</v>
      </c>
    </row>
    <row r="780" spans="1:23" hidden="1" x14ac:dyDescent="0.25">
      <c r="A780">
        <v>7600304118</v>
      </c>
      <c r="B780" s="16" t="s">
        <v>21317</v>
      </c>
      <c r="C780" s="16" t="e">
        <f>VLOOKUP(Table1[[#This Row],[Node]],Parent!A:B,2,0)</f>
        <v>#N/A</v>
      </c>
      <c r="D780" s="25" t="s">
        <v>19346</v>
      </c>
      <c r="E780" s="26" t="s">
        <v>16544</v>
      </c>
      <c r="F780" s="27" t="s">
        <v>16830</v>
      </c>
      <c r="G780" s="27" t="s">
        <v>16831</v>
      </c>
      <c r="H780" s="27" t="s">
        <v>16881</v>
      </c>
      <c r="I780" s="27" t="s">
        <v>17288</v>
      </c>
      <c r="J780" s="27"/>
      <c r="K780" s="27"/>
      <c r="L780" s="27"/>
      <c r="N780" s="27"/>
      <c r="T780" s="28" t="str">
        <f>LOOKUP(1,1/(Table1[[#This Row],[Level_0]:[Level 15]]&gt;0),(Table1[[#This Row],[Level_0]:[Level 15]]))</f>
        <v>7600304118 - [DAA Accid. insur.&amp;interac.w/authorities]</v>
      </c>
      <c r="U780" s="22">
        <v>775</v>
      </c>
      <c r="W780" s="13" t="str">
        <f>LOOKUP(1,1/(Table1[[#This Row],[Level_0]:[Level 15]]&gt;0),(Table1[[#This Row],[Level_0]:[Level 15]]))</f>
        <v>7600304118 - [DAA Accid. insur.&amp;interac.w/authorities]</v>
      </c>
    </row>
    <row r="781" spans="1:23" hidden="1" x14ac:dyDescent="0.25">
      <c r="A781">
        <v>7600304117</v>
      </c>
      <c r="B781" s="16" t="s">
        <v>21316</v>
      </c>
      <c r="C781" s="16" t="e">
        <f>VLOOKUP(Table1[[#This Row],[Node]],Parent!A:B,2,0)</f>
        <v>#N/A</v>
      </c>
      <c r="D781" s="25" t="s">
        <v>19346</v>
      </c>
      <c r="E781" s="26" t="s">
        <v>16544</v>
      </c>
      <c r="F781" s="27" t="s">
        <v>16830</v>
      </c>
      <c r="G781" s="27" t="s">
        <v>16831</v>
      </c>
      <c r="H781" s="27" t="s">
        <v>16881</v>
      </c>
      <c r="I781" s="27" t="s">
        <v>17289</v>
      </c>
      <c r="J781" s="27"/>
      <c r="K781" s="27"/>
      <c r="L781" s="27"/>
      <c r="N781" s="27"/>
      <c r="T781" s="28" t="str">
        <f>LOOKUP(1,1/(Table1[[#This Row],[Level_0]:[Level 15]]&gt;0),(Table1[[#This Row],[Level_0]:[Level 15]]))</f>
        <v>7600304117 - [DAA Extended Support Occup. Safety]</v>
      </c>
      <c r="U781" s="22">
        <v>776</v>
      </c>
      <c r="W781" s="13" t="str">
        <f>LOOKUP(1,1/(Table1[[#This Row],[Level_0]:[Level 15]]&gt;0),(Table1[[#This Row],[Level_0]:[Level 15]]))</f>
        <v>7600304117 - [DAA Extended Support Occup. Safety]</v>
      </c>
    </row>
    <row r="782" spans="1:23" hidden="1" x14ac:dyDescent="0.25">
      <c r="A782">
        <v>7600304115</v>
      </c>
      <c r="B782" s="16" t="s">
        <v>21314</v>
      </c>
      <c r="C782" s="16" t="e">
        <f>VLOOKUP(Table1[[#This Row],[Node]],Parent!A:B,2,0)</f>
        <v>#N/A</v>
      </c>
      <c r="D782" s="25" t="s">
        <v>19346</v>
      </c>
      <c r="E782" s="26" t="s">
        <v>16544</v>
      </c>
      <c r="F782" s="27" t="s">
        <v>16830</v>
      </c>
      <c r="G782" s="27" t="s">
        <v>16831</v>
      </c>
      <c r="H782" s="27" t="s">
        <v>16881</v>
      </c>
      <c r="I782" s="27" t="s">
        <v>17290</v>
      </c>
      <c r="J782" s="27"/>
      <c r="K782" s="27"/>
      <c r="L782" s="27"/>
      <c r="N782" s="27"/>
      <c r="T782" s="28" t="str">
        <f>LOOKUP(1,1/(Table1[[#This Row],[Level_0]:[Level 15]]&gt;0),(Table1[[#This Row],[Level_0]:[Level 15]]))</f>
        <v>7600304115 - [DAA Construction Serv. Plan. &amp; Realiz.]</v>
      </c>
      <c r="U782" s="22">
        <v>777</v>
      </c>
      <c r="W782" s="13" t="str">
        <f>LOOKUP(1,1/(Table1[[#This Row],[Level_0]:[Level 15]]&gt;0),(Table1[[#This Row],[Level_0]:[Level 15]]))</f>
        <v>7600304115 - [DAA Construction Serv. Plan. &amp; Realiz.]</v>
      </c>
    </row>
    <row r="783" spans="1:23" hidden="1" x14ac:dyDescent="0.25">
      <c r="A783">
        <v>7600304114</v>
      </c>
      <c r="B783" s="16" t="s">
        <v>21313</v>
      </c>
      <c r="C783" s="16" t="e">
        <f>VLOOKUP(Table1[[#This Row],[Node]],Parent!A:B,2,0)</f>
        <v>#N/A</v>
      </c>
      <c r="D783" s="25" t="s">
        <v>19346</v>
      </c>
      <c r="E783" s="26" t="s">
        <v>16544</v>
      </c>
      <c r="F783" s="27" t="s">
        <v>16830</v>
      </c>
      <c r="G783" s="27" t="s">
        <v>16831</v>
      </c>
      <c r="H783" s="27" t="s">
        <v>16881</v>
      </c>
      <c r="I783" s="27" t="s">
        <v>17291</v>
      </c>
      <c r="J783" s="27"/>
      <c r="K783" s="27"/>
      <c r="L783" s="27"/>
      <c r="N783" s="27"/>
      <c r="T783" s="28" t="str">
        <f>LOOKUP(1,1/(Table1[[#This Row],[Level_0]:[Level 15]]&gt;0),(Table1[[#This Row],[Level_0]:[Level 15]]))</f>
        <v>7600304114 - [DAA Building Maintenance]</v>
      </c>
      <c r="U783" s="22">
        <v>778</v>
      </c>
      <c r="W783" s="13" t="str">
        <f>LOOKUP(1,1/(Table1[[#This Row],[Level_0]:[Level 15]]&gt;0),(Table1[[#This Row],[Level_0]:[Level 15]]))</f>
        <v>7600304114 - [DAA Building Maintenance]</v>
      </c>
    </row>
    <row r="784" spans="1:23" hidden="1" x14ac:dyDescent="0.25">
      <c r="A784">
        <v>7600304113</v>
      </c>
      <c r="B784" s="16" t="s">
        <v>21312</v>
      </c>
      <c r="C784" s="16" t="e">
        <f>VLOOKUP(Table1[[#This Row],[Node]],Parent!A:B,2,0)</f>
        <v>#N/A</v>
      </c>
      <c r="D784" s="25" t="s">
        <v>19346</v>
      </c>
      <c r="E784" s="26" t="s">
        <v>16544</v>
      </c>
      <c r="F784" s="27" t="s">
        <v>16830</v>
      </c>
      <c r="G784" s="27" t="s">
        <v>16831</v>
      </c>
      <c r="H784" s="27" t="s">
        <v>16881</v>
      </c>
      <c r="I784" s="27" t="s">
        <v>17292</v>
      </c>
      <c r="J784" s="27"/>
      <c r="K784" s="27"/>
      <c r="L784" s="27"/>
      <c r="N784" s="27"/>
      <c r="T784" s="28" t="str">
        <f>LOOKUP(1,1/(Table1[[#This Row],[Level_0]:[Level 15]]&gt;0),(Table1[[#This Row],[Level_0]:[Level 15]]))</f>
        <v>7600304113 - [DAA S&amp;C Bldg: User specific invest.]</v>
      </c>
      <c r="U784" s="22">
        <v>779</v>
      </c>
      <c r="W784" s="13" t="str">
        <f>LOOKUP(1,1/(Table1[[#This Row],[Level_0]:[Level 15]]&gt;0),(Table1[[#This Row],[Level_0]:[Level 15]]))</f>
        <v>7600304113 - [DAA S&amp;C Bldg: User specific invest.]</v>
      </c>
    </row>
    <row r="785" spans="1:23" hidden="1" x14ac:dyDescent="0.25">
      <c r="A785">
        <v>7600304112</v>
      </c>
      <c r="B785" s="16" t="s">
        <v>21311</v>
      </c>
      <c r="C785" s="16" t="e">
        <f>VLOOKUP(Table1[[#This Row],[Node]],Parent!A:B,2,0)</f>
        <v>#N/A</v>
      </c>
      <c r="D785" s="25" t="s">
        <v>19346</v>
      </c>
      <c r="E785" s="26" t="s">
        <v>16544</v>
      </c>
      <c r="F785" s="27" t="s">
        <v>16830</v>
      </c>
      <c r="G785" s="27" t="s">
        <v>16831</v>
      </c>
      <c r="H785" s="27" t="s">
        <v>16881</v>
      </c>
      <c r="I785" s="27" t="s">
        <v>17293</v>
      </c>
      <c r="J785" s="27"/>
      <c r="K785" s="27"/>
      <c r="L785" s="27"/>
      <c r="N785" s="27"/>
      <c r="T785" s="28" t="str">
        <f>LOOKUP(1,1/(Table1[[#This Row],[Level_0]:[Level 15]]&gt;0),(Table1[[#This Row],[Level_0]:[Level 15]]))</f>
        <v>7600304112 - [DAA Shell &amp; Core Building: Add. Costs]</v>
      </c>
      <c r="U785" s="22">
        <v>780</v>
      </c>
      <c r="W785" s="13" t="str">
        <f>LOOKUP(1,1/(Table1[[#This Row],[Level_0]:[Level 15]]&gt;0),(Table1[[#This Row],[Level_0]:[Level 15]]))</f>
        <v>7600304112 - [DAA Shell &amp; Core Building: Add. Costs]</v>
      </c>
    </row>
    <row r="786" spans="1:23" hidden="1" x14ac:dyDescent="0.25">
      <c r="A786">
        <v>7600304111</v>
      </c>
      <c r="B786" s="16" t="s">
        <v>21310</v>
      </c>
      <c r="C786" s="16" t="e">
        <f>VLOOKUP(Table1[[#This Row],[Node]],Parent!A:B,2,0)</f>
        <v>#N/A</v>
      </c>
      <c r="D786" s="25" t="s">
        <v>19346</v>
      </c>
      <c r="E786" s="26" t="s">
        <v>16544</v>
      </c>
      <c r="F786" s="27" t="s">
        <v>16830</v>
      </c>
      <c r="G786" s="27" t="s">
        <v>16831</v>
      </c>
      <c r="H786" s="27" t="s">
        <v>16881</v>
      </c>
      <c r="I786" s="27" t="s">
        <v>17294</v>
      </c>
      <c r="J786" s="27"/>
      <c r="K786" s="27"/>
      <c r="L786" s="27"/>
      <c r="N786" s="27"/>
      <c r="T786" s="28" t="str">
        <f>LOOKUP(1,1/(Table1[[#This Row],[Level_0]:[Level 15]]&gt;0),(Table1[[#This Row],[Level_0]:[Level 15]]))</f>
        <v>7600304111 - [DAA Shell &amp; core: Net rent]</v>
      </c>
      <c r="U786" s="22">
        <v>781</v>
      </c>
      <c r="W786" s="13" t="str">
        <f>LOOKUP(1,1/(Table1[[#This Row],[Level_0]:[Level 15]]&gt;0),(Table1[[#This Row],[Level_0]:[Level 15]]))</f>
        <v>7600304111 - [DAA Shell &amp; core: Net rent]</v>
      </c>
    </row>
    <row r="787" spans="1:23" hidden="1" x14ac:dyDescent="0.25">
      <c r="A787">
        <v>7600304110</v>
      </c>
      <c r="B787" s="16" t="s">
        <v>21309</v>
      </c>
      <c r="C787" s="16" t="e">
        <f>VLOOKUP(Table1[[#This Row],[Node]],Parent!A:B,2,0)</f>
        <v>#N/A</v>
      </c>
      <c r="D787" s="25" t="s">
        <v>19346</v>
      </c>
      <c r="E787" s="26" t="s">
        <v>16544</v>
      </c>
      <c r="F787" s="27" t="s">
        <v>16830</v>
      </c>
      <c r="G787" s="27" t="s">
        <v>16831</v>
      </c>
      <c r="H787" s="27" t="s">
        <v>16881</v>
      </c>
      <c r="I787" s="27" t="s">
        <v>17295</v>
      </c>
      <c r="J787" s="27"/>
      <c r="K787" s="27"/>
      <c r="L787" s="27"/>
      <c r="N787" s="27"/>
      <c r="T787" s="28" t="str">
        <f>LOOKUP(1,1/(Table1[[#This Row],[Level_0]:[Level 15]]&gt;0),(Table1[[#This Row],[Level_0]:[Level 15]]))</f>
        <v>7600304110 - [DAA Lease hold: Add. costs]</v>
      </c>
      <c r="U787" s="22">
        <v>782</v>
      </c>
      <c r="W787" s="13" t="str">
        <f>LOOKUP(1,1/(Table1[[#This Row],[Level_0]:[Level 15]]&gt;0),(Table1[[#This Row],[Level_0]:[Level 15]]))</f>
        <v>7600304110 - [DAA Lease hold: Add. costs]</v>
      </c>
    </row>
    <row r="788" spans="1:23" hidden="1" x14ac:dyDescent="0.25">
      <c r="A788">
        <v>7600304109</v>
      </c>
      <c r="B788" s="16" t="s">
        <v>21308</v>
      </c>
      <c r="C788" s="16" t="e">
        <f>VLOOKUP(Table1[[#This Row],[Node]],Parent!A:B,2,0)</f>
        <v>#N/A</v>
      </c>
      <c r="D788" s="25" t="s">
        <v>19346</v>
      </c>
      <c r="E788" s="26" t="s">
        <v>16544</v>
      </c>
      <c r="F788" s="27" t="s">
        <v>16830</v>
      </c>
      <c r="G788" s="27" t="s">
        <v>16831</v>
      </c>
      <c r="H788" s="27" t="s">
        <v>16881</v>
      </c>
      <c r="I788" s="27" t="s">
        <v>17296</v>
      </c>
      <c r="J788" s="27"/>
      <c r="K788" s="27"/>
      <c r="L788" s="27"/>
      <c r="N788" s="27"/>
      <c r="T788" s="28" t="str">
        <f>LOOKUP(1,1/(Table1[[#This Row],[Level_0]:[Level 15]]&gt;0),(Table1[[#This Row],[Level_0]:[Level 15]]))</f>
        <v>7600304109 - [DAA Lease Hold Building: Net rent]</v>
      </c>
      <c r="U788" s="22">
        <v>783</v>
      </c>
      <c r="W788" s="13" t="str">
        <f>LOOKUP(1,1/(Table1[[#This Row],[Level_0]:[Level 15]]&gt;0),(Table1[[#This Row],[Level_0]:[Level 15]]))</f>
        <v>7600304109 - [DAA Lease Hold Building: Net rent]</v>
      </c>
    </row>
    <row r="789" spans="1:23" hidden="1" x14ac:dyDescent="0.25">
      <c r="A789">
        <v>7600304108</v>
      </c>
      <c r="B789" s="16" t="s">
        <v>21307</v>
      </c>
      <c r="C789" s="16" t="e">
        <f>VLOOKUP(Table1[[#This Row],[Node]],Parent!A:B,2,0)</f>
        <v>#N/A</v>
      </c>
      <c r="D789" s="25" t="s">
        <v>19346</v>
      </c>
      <c r="E789" s="26" t="s">
        <v>16544</v>
      </c>
      <c r="F789" s="27" t="s">
        <v>16830</v>
      </c>
      <c r="G789" s="27" t="s">
        <v>16831</v>
      </c>
      <c r="H789" s="27" t="s">
        <v>16881</v>
      </c>
      <c r="I789" s="27" t="s">
        <v>17297</v>
      </c>
      <c r="J789" s="27"/>
      <c r="K789" s="27"/>
      <c r="L789" s="27"/>
      <c r="N789" s="27"/>
      <c r="T789" s="28" t="str">
        <f>LOOKUP(1,1/(Table1[[#This Row],[Level_0]:[Level 15]]&gt;0),(Table1[[#This Row],[Level_0]:[Level 15]]))</f>
        <v>7600304108 - [DAA Full service_Add. Costs]</v>
      </c>
      <c r="U789" s="22">
        <v>784</v>
      </c>
      <c r="W789" s="13" t="str">
        <f>LOOKUP(1,1/(Table1[[#This Row],[Level_0]:[Level 15]]&gt;0),(Table1[[#This Row],[Level_0]:[Level 15]]))</f>
        <v>7600304108 - [DAA Full service_Add. Costs]</v>
      </c>
    </row>
    <row r="790" spans="1:23" hidden="1" x14ac:dyDescent="0.25">
      <c r="A790">
        <v>7600304107</v>
      </c>
      <c r="B790" s="16" t="s">
        <v>21306</v>
      </c>
      <c r="C790" s="16" t="e">
        <f>VLOOKUP(Table1[[#This Row],[Node]],Parent!A:B,2,0)</f>
        <v>#N/A</v>
      </c>
      <c r="D790" s="25" t="s">
        <v>19346</v>
      </c>
      <c r="E790" s="26" t="s">
        <v>16544</v>
      </c>
      <c r="F790" s="27" t="s">
        <v>16830</v>
      </c>
      <c r="G790" s="27" t="s">
        <v>16831</v>
      </c>
      <c r="H790" s="27" t="s">
        <v>16881</v>
      </c>
      <c r="I790" s="27" t="s">
        <v>17298</v>
      </c>
      <c r="J790" s="27"/>
      <c r="K790" s="27"/>
      <c r="L790" s="27"/>
      <c r="N790" s="27"/>
      <c r="T790" s="28" t="str">
        <f>LOOKUP(1,1/(Table1[[#This Row],[Level_0]:[Level 15]]&gt;0),(Table1[[#This Row],[Level_0]:[Level 15]]))</f>
        <v>7600304107 - [DAA Full Service Building Add.Costs]</v>
      </c>
      <c r="U790" s="22">
        <v>785</v>
      </c>
      <c r="W790" s="13" t="str">
        <f>LOOKUP(1,1/(Table1[[#This Row],[Level_0]:[Level 15]]&gt;0),(Table1[[#This Row],[Level_0]:[Level 15]]))</f>
        <v>7600304107 - [DAA Full Service Building Add.Costs]</v>
      </c>
    </row>
    <row r="791" spans="1:23" hidden="1" x14ac:dyDescent="0.25">
      <c r="A791">
        <v>7600304106</v>
      </c>
      <c r="B791" s="16" t="s">
        <v>21305</v>
      </c>
      <c r="C791" s="16" t="e">
        <f>VLOOKUP(Table1[[#This Row],[Node]],Parent!A:B,2,0)</f>
        <v>#N/A</v>
      </c>
      <c r="D791" s="25" t="s">
        <v>19346</v>
      </c>
      <c r="E791" s="26" t="s">
        <v>16544</v>
      </c>
      <c r="F791" s="27" t="s">
        <v>16830</v>
      </c>
      <c r="G791" s="27" t="s">
        <v>16831</v>
      </c>
      <c r="H791" s="27" t="s">
        <v>16881</v>
      </c>
      <c r="I791" s="27" t="s">
        <v>17299</v>
      </c>
      <c r="J791" s="27"/>
      <c r="K791" s="27"/>
      <c r="L791" s="27"/>
      <c r="N791" s="27"/>
      <c r="T791" s="28" t="str">
        <f>LOOKUP(1,1/(Table1[[#This Row],[Level_0]:[Level 15]]&gt;0),(Table1[[#This Row],[Level_0]:[Level 15]]))</f>
        <v>7600304106 - [DAA Full Service Building Net Rent]</v>
      </c>
      <c r="U791" s="22">
        <v>786</v>
      </c>
      <c r="W791" s="13" t="str">
        <f>LOOKUP(1,1/(Table1[[#This Row],[Level_0]:[Level 15]]&gt;0),(Table1[[#This Row],[Level_0]:[Level 15]]))</f>
        <v>7600304106 - [DAA Full Service Building Net Rent]</v>
      </c>
    </row>
    <row r="792" spans="1:23" hidden="1" x14ac:dyDescent="0.25">
      <c r="A792">
        <v>7600304103</v>
      </c>
      <c r="B792" s="16" t="s">
        <v>21302</v>
      </c>
      <c r="C792" s="16" t="e">
        <f>VLOOKUP(Table1[[#This Row],[Node]],Parent!A:B,2,0)</f>
        <v>#N/A</v>
      </c>
      <c r="D792" s="25" t="s">
        <v>19346</v>
      </c>
      <c r="E792" s="26" t="s">
        <v>16544</v>
      </c>
      <c r="F792" s="27" t="s">
        <v>16830</v>
      </c>
      <c r="G792" s="27" t="s">
        <v>16831</v>
      </c>
      <c r="H792" s="27" t="s">
        <v>16881</v>
      </c>
      <c r="I792" s="27" t="s">
        <v>17300</v>
      </c>
      <c r="J792" s="27"/>
      <c r="K792" s="27"/>
      <c r="L792" s="27"/>
      <c r="N792" s="27"/>
      <c r="T792" s="28" t="str">
        <f>LOOKUP(1,1/(Table1[[#This Row],[Level_0]:[Level 15]]&gt;0),(Table1[[#This Row],[Level_0]:[Level 15]]))</f>
        <v>7600304103 - [DAA General Infrastructure MRE DA]</v>
      </c>
      <c r="U792" s="22">
        <v>787</v>
      </c>
      <c r="W792" s="13" t="str">
        <f>LOOKUP(1,1/(Table1[[#This Row],[Level_0]:[Level 15]]&gt;0),(Table1[[#This Row],[Level_0]:[Level 15]]))</f>
        <v>7600304103 - [DAA General Infrastructure MRE DA]</v>
      </c>
    </row>
    <row r="793" spans="1:23" hidden="1" x14ac:dyDescent="0.25">
      <c r="A793">
        <v>7600304102</v>
      </c>
      <c r="B793" s="16" t="s">
        <v>21301</v>
      </c>
      <c r="C793" s="16" t="e">
        <f>VLOOKUP(Table1[[#This Row],[Node]],Parent!A:B,2,0)</f>
        <v>#N/A</v>
      </c>
      <c r="D793" s="25" t="s">
        <v>19346</v>
      </c>
      <c r="E793" s="26" t="s">
        <v>16544</v>
      </c>
      <c r="F793" s="27" t="s">
        <v>16830</v>
      </c>
      <c r="G793" s="27" t="s">
        <v>16831</v>
      </c>
      <c r="H793" s="27" t="s">
        <v>16881</v>
      </c>
      <c r="I793" s="27" t="s">
        <v>17301</v>
      </c>
      <c r="J793" s="27"/>
      <c r="K793" s="27"/>
      <c r="L793" s="27"/>
      <c r="N793" s="27"/>
      <c r="T793" s="28" t="str">
        <f>LOOKUP(1,1/(Table1[[#This Row],[Level_0]:[Level 15]]&gt;0),(Table1[[#This Row],[Level_0]:[Level 15]]))</f>
        <v>7600304102 - [DAA Accomodation Service]</v>
      </c>
      <c r="U793" s="22">
        <v>788</v>
      </c>
      <c r="W793" s="13" t="str">
        <f>LOOKUP(1,1/(Table1[[#This Row],[Level_0]:[Level 15]]&gt;0),(Table1[[#This Row],[Level_0]:[Level 15]]))</f>
        <v>7600304102 - [DAA Accomodation Service]</v>
      </c>
    </row>
    <row r="794" spans="1:23" hidden="1" x14ac:dyDescent="0.25">
      <c r="A794">
        <v>7600304098</v>
      </c>
      <c r="B794" s="16" t="s">
        <v>21297</v>
      </c>
      <c r="C794" s="16" t="e">
        <f>VLOOKUP(Table1[[#This Row],[Node]],Parent!A:B,2,0)</f>
        <v>#N/A</v>
      </c>
      <c r="D794" s="25" t="s">
        <v>19346</v>
      </c>
      <c r="E794" s="26" t="s">
        <v>16544</v>
      </c>
      <c r="F794" s="27" t="s">
        <v>16830</v>
      </c>
      <c r="G794" s="27" t="s">
        <v>16831</v>
      </c>
      <c r="H794" s="27" t="s">
        <v>16881</v>
      </c>
      <c r="I794" s="27" t="s">
        <v>17302</v>
      </c>
      <c r="J794" s="27"/>
      <c r="K794" s="27"/>
      <c r="L794" s="27"/>
      <c r="N794" s="27"/>
      <c r="T794" s="28" t="str">
        <f>LOOKUP(1,1/(Table1[[#This Row],[Level_0]:[Level 15]]&gt;0),(Table1[[#This Row],[Level_0]:[Level 15]]))</f>
        <v>7600304098 - [DAA Site Development Service]</v>
      </c>
      <c r="U794" s="22">
        <v>789</v>
      </c>
      <c r="W794" s="13" t="str">
        <f>LOOKUP(1,1/(Table1[[#This Row],[Level_0]:[Level 15]]&gt;0),(Table1[[#This Row],[Level_0]:[Level 15]]))</f>
        <v>7600304098 - [DAA Site Development Service]</v>
      </c>
    </row>
    <row r="795" spans="1:23" hidden="1" x14ac:dyDescent="0.25">
      <c r="A795">
        <v>7600304081</v>
      </c>
      <c r="B795" s="16" t="s">
        <v>21281</v>
      </c>
      <c r="C795" s="16" t="e">
        <f>VLOOKUP(Table1[[#This Row],[Node]],Parent!A:B,2,0)</f>
        <v>#N/A</v>
      </c>
      <c r="D795" s="25" t="s">
        <v>19346</v>
      </c>
      <c r="E795" s="26" t="s">
        <v>16544</v>
      </c>
      <c r="F795" s="27" t="s">
        <v>16830</v>
      </c>
      <c r="G795" s="27" t="s">
        <v>16831</v>
      </c>
      <c r="H795" s="27" t="s">
        <v>16881</v>
      </c>
      <c r="I795" s="27" t="s">
        <v>17303</v>
      </c>
      <c r="J795" s="27"/>
      <c r="K795" s="27"/>
      <c r="L795" s="27"/>
      <c r="N795" s="27"/>
      <c r="T795" s="28" t="str">
        <f>LOOKUP(1,1/(Table1[[#This Row],[Level_0]:[Level 15]]&gt;0),(Table1[[#This Row],[Level_0]:[Level 15]]))</f>
        <v>7600304081 - [DAA Basic Support Occupational Safety]</v>
      </c>
      <c r="U795" s="22">
        <v>790</v>
      </c>
      <c r="W795" s="13" t="str">
        <f>LOOKUP(1,1/(Table1[[#This Row],[Level_0]:[Level 15]]&gt;0),(Table1[[#This Row],[Level_0]:[Level 15]]))</f>
        <v>7600304081 - [DAA Basic Support Occupational Safety]</v>
      </c>
    </row>
    <row r="796" spans="1:23" hidden="1" x14ac:dyDescent="0.25">
      <c r="A796">
        <v>7600304080</v>
      </c>
      <c r="B796" s="16" t="s">
        <v>21280</v>
      </c>
      <c r="C796" s="16" t="e">
        <f>VLOOKUP(Table1[[#This Row],[Node]],Parent!A:B,2,0)</f>
        <v>#N/A</v>
      </c>
      <c r="D796" s="25" t="s">
        <v>19346</v>
      </c>
      <c r="E796" s="26" t="s">
        <v>16544</v>
      </c>
      <c r="F796" s="27" t="s">
        <v>16830</v>
      </c>
      <c r="G796" s="27" t="s">
        <v>16831</v>
      </c>
      <c r="H796" s="27" t="s">
        <v>16881</v>
      </c>
      <c r="I796" s="27" t="s">
        <v>17304</v>
      </c>
      <c r="J796" s="27"/>
      <c r="K796" s="27"/>
      <c r="L796" s="27"/>
      <c r="N796" s="27"/>
      <c r="T796" s="28" t="str">
        <f>LOOKUP(1,1/(Table1[[#This Row],[Level_0]:[Level 15]]&gt;0),(Table1[[#This Row],[Level_0]:[Level 15]]))</f>
        <v>7600304080 - [DAA Occup. &amp; plant safety invest.Proj.]</v>
      </c>
      <c r="U796" s="22">
        <v>791</v>
      </c>
      <c r="W796" s="13" t="str">
        <f>LOOKUP(1,1/(Table1[[#This Row],[Level_0]:[Level 15]]&gt;0),(Table1[[#This Row],[Level_0]:[Level 15]]))</f>
        <v>7600304080 - [DAA Occup. &amp; plant safety invest.Proj.]</v>
      </c>
    </row>
    <row r="797" spans="1:23" hidden="1" x14ac:dyDescent="0.25">
      <c r="A797">
        <v>7600304077</v>
      </c>
      <c r="B797" s="16" t="s">
        <v>21277</v>
      </c>
      <c r="C797" s="16" t="e">
        <f>VLOOKUP(Table1[[#This Row],[Node]],Parent!A:B,2,0)</f>
        <v>#N/A</v>
      </c>
      <c r="D797" s="25" t="s">
        <v>19346</v>
      </c>
      <c r="E797" s="26" t="s">
        <v>16544</v>
      </c>
      <c r="F797" s="27" t="s">
        <v>16830</v>
      </c>
      <c r="G797" s="27" t="s">
        <v>16831</v>
      </c>
      <c r="H797" s="27" t="s">
        <v>16881</v>
      </c>
      <c r="I797" s="27" t="s">
        <v>17305</v>
      </c>
      <c r="J797" s="27"/>
      <c r="K797" s="27"/>
      <c r="L797" s="27"/>
      <c r="N797" s="27"/>
      <c r="T797" s="28" t="str">
        <f>LOOKUP(1,1/(Table1[[#This Row],[Level_0]:[Level 15]]&gt;0),(Table1[[#This Row],[Level_0]:[Level 15]]))</f>
        <v>7600304077 - [DAA Reverse logistics]</v>
      </c>
      <c r="U797" s="22">
        <v>792</v>
      </c>
      <c r="W797" s="13" t="str">
        <f>LOOKUP(1,1/(Table1[[#This Row],[Level_0]:[Level 15]]&gt;0),(Table1[[#This Row],[Level_0]:[Level 15]]))</f>
        <v>7600304077 - [DAA Reverse logistics]</v>
      </c>
    </row>
    <row r="798" spans="1:23" hidden="1" x14ac:dyDescent="0.25">
      <c r="A798">
        <v>7600304072</v>
      </c>
      <c r="B798" s="16" t="s">
        <v>21273</v>
      </c>
      <c r="C798" s="16" t="e">
        <f>VLOOKUP(Table1[[#This Row],[Node]],Parent!A:B,2,0)</f>
        <v>#N/A</v>
      </c>
      <c r="D798" s="25" t="s">
        <v>19346</v>
      </c>
      <c r="E798" s="26" t="s">
        <v>16544</v>
      </c>
      <c r="F798" s="27" t="s">
        <v>16830</v>
      </c>
      <c r="G798" s="27" t="s">
        <v>16831</v>
      </c>
      <c r="H798" s="27" t="s">
        <v>16881</v>
      </c>
      <c r="I798" s="27" t="s">
        <v>17306</v>
      </c>
      <c r="J798" s="27"/>
      <c r="K798" s="27"/>
      <c r="L798" s="27"/>
      <c r="N798" s="27"/>
      <c r="T798" s="28" t="str">
        <f>LOOKUP(1,1/(Table1[[#This Row],[Level_0]:[Level 15]]&gt;0),(Table1[[#This Row],[Level_0]:[Level 15]]))</f>
        <v>7600304072 - [DAA Therm. Air purification]</v>
      </c>
      <c r="U798" s="22">
        <v>793</v>
      </c>
      <c r="W798" s="13" t="str">
        <f>LOOKUP(1,1/(Table1[[#This Row],[Level_0]:[Level 15]]&gt;0),(Table1[[#This Row],[Level_0]:[Level 15]]))</f>
        <v>7600304072 - [DAA Therm. Air purification]</v>
      </c>
    </row>
    <row r="799" spans="1:23" hidden="1" x14ac:dyDescent="0.25">
      <c r="A799">
        <v>7600304071</v>
      </c>
      <c r="B799" s="16" t="s">
        <v>21272</v>
      </c>
      <c r="C799" s="16" t="e">
        <f>VLOOKUP(Table1[[#This Row],[Node]],Parent!A:B,2,0)</f>
        <v>#N/A</v>
      </c>
      <c r="D799" s="25" t="s">
        <v>19346</v>
      </c>
      <c r="E799" s="26" t="s">
        <v>16544</v>
      </c>
      <c r="F799" s="27" t="s">
        <v>16830</v>
      </c>
      <c r="G799" s="27" t="s">
        <v>16831</v>
      </c>
      <c r="H799" s="27" t="s">
        <v>16881</v>
      </c>
      <c r="I799" s="27" t="s">
        <v>17307</v>
      </c>
      <c r="J799" s="27"/>
      <c r="K799" s="27"/>
      <c r="L799" s="27"/>
      <c r="N799" s="27"/>
      <c r="T799" s="28" t="str">
        <f>LOOKUP(1,1/(Table1[[#This Row],[Level_0]:[Level 15]]&gt;0),(Table1[[#This Row],[Level_0]:[Level 15]]))</f>
        <v>7600304071 - [DAA Shared Use Energy Route]</v>
      </c>
      <c r="U799" s="22">
        <v>794</v>
      </c>
      <c r="W799" s="13" t="str">
        <f>LOOKUP(1,1/(Table1[[#This Row],[Level_0]:[Level 15]]&gt;0),(Table1[[#This Row],[Level_0]:[Level 15]]))</f>
        <v>7600304071 - [DAA Shared Use Energy Route]</v>
      </c>
    </row>
    <row r="800" spans="1:23" hidden="1" x14ac:dyDescent="0.25">
      <c r="A800">
        <v>7600304069</v>
      </c>
      <c r="B800" s="16" t="s">
        <v>21270</v>
      </c>
      <c r="C800" s="16" t="e">
        <f>VLOOKUP(Table1[[#This Row],[Node]],Parent!A:B,2,0)</f>
        <v>#N/A</v>
      </c>
      <c r="D800" s="25" t="s">
        <v>19346</v>
      </c>
      <c r="E800" s="26" t="s">
        <v>16544</v>
      </c>
      <c r="F800" s="27" t="s">
        <v>16830</v>
      </c>
      <c r="G800" s="27" t="s">
        <v>16831</v>
      </c>
      <c r="H800" s="27" t="s">
        <v>16881</v>
      </c>
      <c r="I800" s="27" t="s">
        <v>17308</v>
      </c>
      <c r="J800" s="27"/>
      <c r="K800" s="27"/>
      <c r="L800" s="27"/>
      <c r="N800" s="27"/>
      <c r="T800" s="28" t="str">
        <f>LOOKUP(1,1/(Table1[[#This Row],[Level_0]:[Level 15]]&gt;0),(Table1[[#This Row],[Level_0]:[Level 15]]))</f>
        <v>7600304069 - [DAA Remediation Water]</v>
      </c>
      <c r="U800" s="22">
        <v>795</v>
      </c>
      <c r="W800" s="13" t="str">
        <f>LOOKUP(1,1/(Table1[[#This Row],[Level_0]:[Level 15]]&gt;0),(Table1[[#This Row],[Level_0]:[Level 15]]))</f>
        <v>7600304069 - [DAA Remediation Water]</v>
      </c>
    </row>
    <row r="801" spans="1:23" hidden="1" x14ac:dyDescent="0.25">
      <c r="A801">
        <v>7600304068</v>
      </c>
      <c r="B801" s="16" t="s">
        <v>21269</v>
      </c>
      <c r="C801" s="16" t="e">
        <f>VLOOKUP(Table1[[#This Row],[Node]],Parent!A:B,2,0)</f>
        <v>#N/A</v>
      </c>
      <c r="D801" s="25" t="s">
        <v>19346</v>
      </c>
      <c r="E801" s="26" t="s">
        <v>16544</v>
      </c>
      <c r="F801" s="27" t="s">
        <v>16830</v>
      </c>
      <c r="G801" s="27" t="s">
        <v>16831</v>
      </c>
      <c r="H801" s="27" t="s">
        <v>16881</v>
      </c>
      <c r="I801" s="27" t="s">
        <v>17309</v>
      </c>
      <c r="J801" s="27"/>
      <c r="K801" s="27"/>
      <c r="L801" s="27"/>
      <c r="N801" s="27"/>
      <c r="T801" s="28" t="str">
        <f>LOOKUP(1,1/(Table1[[#This Row],[Level_0]:[Level 15]]&gt;0),(Table1[[#This Row],[Level_0]:[Level 15]]))</f>
        <v>7600304068 - [DAA Dem. Water special]</v>
      </c>
      <c r="U801" s="22">
        <v>796</v>
      </c>
      <c r="W801" s="13" t="str">
        <f>LOOKUP(1,1/(Table1[[#This Row],[Level_0]:[Level 15]]&gt;0),(Table1[[#This Row],[Level_0]:[Level 15]]))</f>
        <v>7600304068 - [DAA Dem. Water special]</v>
      </c>
    </row>
    <row r="802" spans="1:23" hidden="1" x14ac:dyDescent="0.25">
      <c r="A802">
        <v>7600304066</v>
      </c>
      <c r="B802" s="16" t="s">
        <v>21267</v>
      </c>
      <c r="C802" s="16" t="e">
        <f>VLOOKUP(Table1[[#This Row],[Node]],Parent!A:B,2,0)</f>
        <v>#N/A</v>
      </c>
      <c r="D802" s="25" t="s">
        <v>19346</v>
      </c>
      <c r="E802" s="26" t="s">
        <v>16544</v>
      </c>
      <c r="F802" s="27" t="s">
        <v>16830</v>
      </c>
      <c r="G802" s="27" t="s">
        <v>16831</v>
      </c>
      <c r="H802" s="27" t="s">
        <v>16881</v>
      </c>
      <c r="I802" s="27" t="s">
        <v>17310</v>
      </c>
      <c r="J802" s="27"/>
      <c r="K802" s="27"/>
      <c r="L802" s="27"/>
      <c r="N802" s="27"/>
      <c r="T802" s="28" t="str">
        <f>LOOKUP(1,1/(Table1[[#This Row],[Level_0]:[Level 15]]&gt;0),(Table1[[#This Row],[Level_0]:[Level 15]]))</f>
        <v>7600304066 - [DAA Electricity supply-USV]</v>
      </c>
      <c r="U802" s="22">
        <v>797</v>
      </c>
      <c r="W802" s="13" t="str">
        <f>LOOKUP(1,1/(Table1[[#This Row],[Level_0]:[Level 15]]&gt;0),(Table1[[#This Row],[Level_0]:[Level 15]]))</f>
        <v>7600304066 - [DAA Electricity supply-USV]</v>
      </c>
    </row>
    <row r="803" spans="1:23" hidden="1" x14ac:dyDescent="0.25">
      <c r="A803">
        <v>7600304065</v>
      </c>
      <c r="B803" s="16" t="s">
        <v>21266</v>
      </c>
      <c r="C803" s="16" t="e">
        <f>VLOOKUP(Table1[[#This Row],[Node]],Parent!A:B,2,0)</f>
        <v>#N/A</v>
      </c>
      <c r="D803" s="25" t="s">
        <v>19346</v>
      </c>
      <c r="E803" s="26" t="s">
        <v>16544</v>
      </c>
      <c r="F803" s="27" t="s">
        <v>16830</v>
      </c>
      <c r="G803" s="27" t="s">
        <v>16831</v>
      </c>
      <c r="H803" s="27" t="s">
        <v>16881</v>
      </c>
      <c r="I803" s="27" t="s">
        <v>17311</v>
      </c>
      <c r="J803" s="27"/>
      <c r="K803" s="27"/>
      <c r="L803" s="27"/>
      <c r="N803" s="27"/>
      <c r="T803" s="28" t="str">
        <f>LOOKUP(1,1/(Table1[[#This Row],[Level_0]:[Level 15]]&gt;0),(Table1[[#This Row],[Level_0]:[Level 15]]))</f>
        <v>7600304065 - [DAA Natural gas supply ibL]</v>
      </c>
      <c r="U803" s="22">
        <v>798</v>
      </c>
      <c r="W803" s="13" t="str">
        <f>LOOKUP(1,1/(Table1[[#This Row],[Level_0]:[Level 15]]&gt;0),(Table1[[#This Row],[Level_0]:[Level 15]]))</f>
        <v>7600304065 - [DAA Natural gas supply ibL]</v>
      </c>
    </row>
    <row r="804" spans="1:23" hidden="1" x14ac:dyDescent="0.25">
      <c r="A804">
        <v>7600304064</v>
      </c>
      <c r="B804" s="16" t="s">
        <v>21265</v>
      </c>
      <c r="C804" s="16" t="e">
        <f>VLOOKUP(Table1[[#This Row],[Node]],Parent!A:B,2,0)</f>
        <v>#N/A</v>
      </c>
      <c r="D804" s="25" t="s">
        <v>19346</v>
      </c>
      <c r="E804" s="26" t="s">
        <v>16544</v>
      </c>
      <c r="F804" s="27" t="s">
        <v>16830</v>
      </c>
      <c r="G804" s="27" t="s">
        <v>16831</v>
      </c>
      <c r="H804" s="27" t="s">
        <v>16881</v>
      </c>
      <c r="I804" s="27" t="s">
        <v>17312</v>
      </c>
      <c r="J804" s="27"/>
      <c r="K804" s="27"/>
      <c r="L804" s="27"/>
      <c r="N804" s="27"/>
      <c r="T804" s="28" t="str">
        <f>LOOKUP(1,1/(Table1[[#This Row],[Level_0]:[Level 15]]&gt;0),(Table1[[#This Row],[Level_0]:[Level 15]]))</f>
        <v>7600304064 - [DAA Part. Desalinated water]</v>
      </c>
      <c r="U804" s="22">
        <v>799</v>
      </c>
      <c r="W804" s="13" t="str">
        <f>LOOKUP(1,1/(Table1[[#This Row],[Level_0]:[Level 15]]&gt;0),(Table1[[#This Row],[Level_0]:[Level 15]]))</f>
        <v>7600304064 - [DAA Part. Desalinated water]</v>
      </c>
    </row>
    <row r="805" spans="1:23" hidden="1" x14ac:dyDescent="0.25">
      <c r="A805">
        <v>7600304062</v>
      </c>
      <c r="B805" s="16" t="s">
        <v>21263</v>
      </c>
      <c r="C805" s="16" t="e">
        <f>VLOOKUP(Table1[[#This Row],[Node]],Parent!A:B,2,0)</f>
        <v>#N/A</v>
      </c>
      <c r="D805" s="25" t="s">
        <v>19346</v>
      </c>
      <c r="E805" s="26" t="s">
        <v>16544</v>
      </c>
      <c r="F805" s="27" t="s">
        <v>16830</v>
      </c>
      <c r="G805" s="27" t="s">
        <v>16831</v>
      </c>
      <c r="H805" s="27" t="s">
        <v>16881</v>
      </c>
      <c r="I805" s="27" t="s">
        <v>17313</v>
      </c>
      <c r="J805" s="27"/>
      <c r="K805" s="27"/>
      <c r="L805" s="27"/>
      <c r="N805" s="27"/>
      <c r="T805" s="28" t="str">
        <f>LOOKUP(1,1/(Table1[[#This Row],[Level_0]:[Level 15]]&gt;0),(Table1[[#This Row],[Level_0]:[Level 15]]))</f>
        <v>7600304062 - [DAA Demineralized water hot]</v>
      </c>
      <c r="U805" s="22">
        <v>800</v>
      </c>
      <c r="W805" s="13" t="str">
        <f>LOOKUP(1,1/(Table1[[#This Row],[Level_0]:[Level 15]]&gt;0),(Table1[[#This Row],[Level_0]:[Level 15]]))</f>
        <v>7600304062 - [DAA Demineralized water hot]</v>
      </c>
    </row>
    <row r="806" spans="1:23" hidden="1" x14ac:dyDescent="0.25">
      <c r="A806">
        <v>7600304061</v>
      </c>
      <c r="B806" s="16" t="s">
        <v>21262</v>
      </c>
      <c r="C806" s="16" t="e">
        <f>VLOOKUP(Table1[[#This Row],[Node]],Parent!A:B,2,0)</f>
        <v>#N/A</v>
      </c>
      <c r="D806" s="25" t="s">
        <v>19346</v>
      </c>
      <c r="E806" s="26" t="s">
        <v>16544</v>
      </c>
      <c r="F806" s="27" t="s">
        <v>16830</v>
      </c>
      <c r="G806" s="27" t="s">
        <v>16831</v>
      </c>
      <c r="H806" s="27" t="s">
        <v>16881</v>
      </c>
      <c r="I806" s="27" t="s">
        <v>17314</v>
      </c>
      <c r="J806" s="27"/>
      <c r="K806" s="27"/>
      <c r="L806" s="27"/>
      <c r="N806" s="27"/>
      <c r="T806" s="28" t="str">
        <f>LOOKUP(1,1/(Table1[[#This Row],[Level_0]:[Level 15]]&gt;0),(Table1[[#This Row],[Level_0]:[Level 15]]))</f>
        <v>7600304061 - [DAA Demineralized water Cold]</v>
      </c>
      <c r="U806" s="22">
        <v>801</v>
      </c>
      <c r="W806" s="13" t="str">
        <f>LOOKUP(1,1/(Table1[[#This Row],[Level_0]:[Level 15]]&gt;0),(Table1[[#This Row],[Level_0]:[Level 15]]))</f>
        <v>7600304061 - [DAA Demineralized water Cold]</v>
      </c>
    </row>
    <row r="807" spans="1:23" hidden="1" x14ac:dyDescent="0.25">
      <c r="A807">
        <v>7600304059</v>
      </c>
      <c r="B807" s="16" t="s">
        <v>21260</v>
      </c>
      <c r="C807" s="16" t="e">
        <f>VLOOKUP(Table1[[#This Row],[Node]],Parent!A:B,2,0)</f>
        <v>#N/A</v>
      </c>
      <c r="D807" s="25" t="s">
        <v>19346</v>
      </c>
      <c r="E807" s="26" t="s">
        <v>16544</v>
      </c>
      <c r="F807" s="27" t="s">
        <v>16830</v>
      </c>
      <c r="G807" s="27" t="s">
        <v>16831</v>
      </c>
      <c r="H807" s="27" t="s">
        <v>16881</v>
      </c>
      <c r="I807" s="27" t="s">
        <v>17315</v>
      </c>
      <c r="J807" s="27"/>
      <c r="K807" s="27"/>
      <c r="L807" s="27"/>
      <c r="N807" s="27"/>
      <c r="T807" s="28" t="str">
        <f>LOOKUP(1,1/(Table1[[#This Row],[Level_0]:[Level 15]]&gt;0),(Table1[[#This Row],[Level_0]:[Level 15]]))</f>
        <v>7600304059 - [DAA Engineering Media Supply]</v>
      </c>
      <c r="U807" s="22">
        <v>802</v>
      </c>
      <c r="W807" s="13" t="str">
        <f>LOOKUP(1,1/(Table1[[#This Row],[Level_0]:[Level 15]]&gt;0),(Table1[[#This Row],[Level_0]:[Level 15]]))</f>
        <v>7600304059 - [DAA Engineering Media Supply]</v>
      </c>
    </row>
    <row r="808" spans="1:23" hidden="1" x14ac:dyDescent="0.25">
      <c r="A808">
        <v>7600304041</v>
      </c>
      <c r="B808" s="16" t="s">
        <v>21242</v>
      </c>
      <c r="C808" s="16" t="e">
        <f>VLOOKUP(Table1[[#This Row],[Node]],Parent!A:B,2,0)</f>
        <v>#N/A</v>
      </c>
      <c r="D808" s="25" t="s">
        <v>19346</v>
      </c>
      <c r="E808" s="26" t="s">
        <v>16544</v>
      </c>
      <c r="F808" s="27" t="s">
        <v>16830</v>
      </c>
      <c r="G808" s="27" t="s">
        <v>16831</v>
      </c>
      <c r="H808" s="27" t="s">
        <v>16881</v>
      </c>
      <c r="I808" s="27" t="s">
        <v>17316</v>
      </c>
      <c r="J808" s="27"/>
      <c r="K808" s="27"/>
      <c r="L808" s="27"/>
      <c r="N808" s="27"/>
      <c r="T808" s="28" t="str">
        <f>LOOKUP(1,1/(Table1[[#This Row],[Level_0]:[Level 15]]&gt;0),(Table1[[#This Row],[Level_0]:[Level 15]]))</f>
        <v>7600304041 - [DAA GenDat Legal Obligations Compliance]</v>
      </c>
      <c r="U808" s="22">
        <v>803</v>
      </c>
      <c r="W808" s="13" t="str">
        <f>LOOKUP(1,1/(Table1[[#This Row],[Level_0]:[Level 15]]&gt;0),(Table1[[#This Row],[Level_0]:[Level 15]]))</f>
        <v>7600304041 - [DAA GenDat Legal Obligations Compliance]</v>
      </c>
    </row>
    <row r="809" spans="1:23" hidden="1" x14ac:dyDescent="0.25">
      <c r="A809">
        <v>7600304040</v>
      </c>
      <c r="B809" s="16" t="s">
        <v>21241</v>
      </c>
      <c r="C809" s="16" t="e">
        <f>VLOOKUP(Table1[[#This Row],[Node]],Parent!A:B,2,0)</f>
        <v>#N/A</v>
      </c>
      <c r="D809" s="25" t="s">
        <v>19346</v>
      </c>
      <c r="E809" s="26" t="s">
        <v>16544</v>
      </c>
      <c r="F809" s="27" t="s">
        <v>16830</v>
      </c>
      <c r="G809" s="27" t="s">
        <v>16831</v>
      </c>
      <c r="H809" s="27" t="s">
        <v>16881</v>
      </c>
      <c r="I809" s="27" t="s">
        <v>17317</v>
      </c>
      <c r="J809" s="27"/>
      <c r="K809" s="27"/>
      <c r="L809" s="27"/>
      <c r="N809" s="27"/>
      <c r="T809" s="28" t="str">
        <f>LOOKUP(1,1/(Table1[[#This Row],[Level_0]:[Level 15]]&gt;0),(Table1[[#This Row],[Level_0]:[Level 15]]))</f>
        <v>7600304040 - [DAA Assoc./committee work]</v>
      </c>
      <c r="U809" s="22">
        <v>804</v>
      </c>
      <c r="W809" s="13" t="str">
        <f>LOOKUP(1,1/(Table1[[#This Row],[Level_0]:[Level 15]]&gt;0),(Table1[[#This Row],[Level_0]:[Level 15]]))</f>
        <v>7600304040 - [DAA Assoc./committee work]</v>
      </c>
    </row>
    <row r="810" spans="1:23" hidden="1" x14ac:dyDescent="0.25">
      <c r="A810">
        <v>7600304039</v>
      </c>
      <c r="B810" s="16" t="s">
        <v>21240</v>
      </c>
      <c r="C810" s="16" t="e">
        <f>VLOOKUP(Table1[[#This Row],[Node]],Parent!A:B,2,0)</f>
        <v>#N/A</v>
      </c>
      <c r="D810" s="25" t="s">
        <v>19346</v>
      </c>
      <c r="E810" s="26" t="s">
        <v>16544</v>
      </c>
      <c r="F810" s="27" t="s">
        <v>16830</v>
      </c>
      <c r="G810" s="27" t="s">
        <v>16831</v>
      </c>
      <c r="H810" s="27" t="s">
        <v>16881</v>
      </c>
      <c r="I810" s="27" t="s">
        <v>17318</v>
      </c>
      <c r="J810" s="27"/>
      <c r="K810" s="27"/>
      <c r="L810" s="27"/>
      <c r="N810" s="27"/>
      <c r="T810" s="28" t="str">
        <f>LOOKUP(1,1/(Table1[[#This Row],[Level_0]:[Level 15]]&gt;0),(Table1[[#This Row],[Level_0]:[Level 15]]))</f>
        <v>7600304039 - [DAA GenDat add. Provisions]</v>
      </c>
      <c r="U810" s="22">
        <v>805</v>
      </c>
      <c r="W810" s="13" t="str">
        <f>LOOKUP(1,1/(Table1[[#This Row],[Level_0]:[Level 15]]&gt;0),(Table1[[#This Row],[Level_0]:[Level 15]]))</f>
        <v>7600304039 - [DAA GenDat add. Provisions]</v>
      </c>
    </row>
    <row r="811" spans="1:23" hidden="1" x14ac:dyDescent="0.25">
      <c r="A811">
        <v>7600304037</v>
      </c>
      <c r="B811" s="16" t="s">
        <v>21238</v>
      </c>
      <c r="C811" s="16" t="e">
        <f>VLOOKUP(Table1[[#This Row],[Node]],Parent!A:B,2,0)</f>
        <v>#N/A</v>
      </c>
      <c r="D811" s="25" t="s">
        <v>19346</v>
      </c>
      <c r="E811" s="26" t="s">
        <v>16544</v>
      </c>
      <c r="F811" s="27" t="s">
        <v>16830</v>
      </c>
      <c r="G811" s="27" t="s">
        <v>16831</v>
      </c>
      <c r="H811" s="27" t="s">
        <v>16881</v>
      </c>
      <c r="I811" s="27" t="s">
        <v>17319</v>
      </c>
      <c r="J811" s="27"/>
      <c r="K811" s="27"/>
      <c r="L811" s="27"/>
      <c r="N811" s="27"/>
      <c r="T811" s="28" t="str">
        <f>LOOKUP(1,1/(Table1[[#This Row],[Level_0]:[Level 15]]&gt;0),(Table1[[#This Row],[Level_0]:[Level 15]]))</f>
        <v>7600304037 - [DAA Authorities Environm.]</v>
      </c>
      <c r="U811" s="22">
        <v>806</v>
      </c>
      <c r="W811" s="13" t="str">
        <f>LOOKUP(1,1/(Table1[[#This Row],[Level_0]:[Level 15]]&gt;0),(Table1[[#This Row],[Level_0]:[Level 15]]))</f>
        <v>7600304037 - [DAA Authorities Environm.]</v>
      </c>
    </row>
    <row r="812" spans="1:23" hidden="1" x14ac:dyDescent="0.25">
      <c r="A812">
        <v>7600304008</v>
      </c>
      <c r="B812" s="16" t="s">
        <v>21209</v>
      </c>
      <c r="C812" s="16" t="e">
        <f>VLOOKUP(Table1[[#This Row],[Node]],Parent!A:B,2,0)</f>
        <v>#N/A</v>
      </c>
      <c r="D812" s="25" t="s">
        <v>19346</v>
      </c>
      <c r="E812" s="26" t="s">
        <v>16544</v>
      </c>
      <c r="F812" s="27" t="s">
        <v>16830</v>
      </c>
      <c r="G812" s="27" t="s">
        <v>16831</v>
      </c>
      <c r="H812" s="27" t="s">
        <v>16881</v>
      </c>
      <c r="I812" s="27" t="s">
        <v>17320</v>
      </c>
      <c r="J812" s="27"/>
      <c r="K812" s="27"/>
      <c r="L812" s="27"/>
      <c r="N812" s="27"/>
      <c r="T812" s="28" t="str">
        <f>LOOKUP(1,1/(Table1[[#This Row],[Level_0]:[Level 15]]&gt;0),(Table1[[#This Row],[Level_0]:[Level 15]]))</f>
        <v>7600304008 - [DAA Classic docu.printing]</v>
      </c>
      <c r="U812" s="22">
        <v>807</v>
      </c>
      <c r="W812" s="13" t="str">
        <f>LOOKUP(1,1/(Table1[[#This Row],[Level_0]:[Level 15]]&gt;0),(Table1[[#This Row],[Level_0]:[Level 15]]))</f>
        <v>7600304008 - [DAA Classic docu.printing]</v>
      </c>
    </row>
    <row r="813" spans="1:23" hidden="1" x14ac:dyDescent="0.25">
      <c r="A813">
        <v>7600301091</v>
      </c>
      <c r="B813" s="16" t="s">
        <v>21198</v>
      </c>
      <c r="C813" s="16" t="e">
        <f>VLOOKUP(Table1[[#This Row],[Node]],Parent!A:B,2,0)</f>
        <v>#N/A</v>
      </c>
      <c r="D813" s="25" t="s">
        <v>19346</v>
      </c>
      <c r="E813" s="26" t="s">
        <v>16544</v>
      </c>
      <c r="F813" s="27" t="s">
        <v>16830</v>
      </c>
      <c r="G813" s="27" t="s">
        <v>16831</v>
      </c>
      <c r="H813" s="27" t="s">
        <v>16881</v>
      </c>
      <c r="I813" s="27" t="s">
        <v>17321</v>
      </c>
      <c r="J813" s="27"/>
      <c r="K813" s="27"/>
      <c r="L813" s="27"/>
      <c r="N813" s="27"/>
      <c r="T813" s="28" t="str">
        <f>LOOKUP(1,1/(Table1[[#This Row],[Level_0]:[Level 15]]&gt;0),(Table1[[#This Row],[Level_0]:[Level 15]]))</f>
        <v>7600301091 - [DAA_Site Affaires]</v>
      </c>
      <c r="U813" s="22">
        <v>808</v>
      </c>
      <c r="W813" s="13" t="str">
        <f>LOOKUP(1,1/(Table1[[#This Row],[Level_0]:[Level 15]]&gt;0),(Table1[[#This Row],[Level_0]:[Level 15]]))</f>
        <v>7600301091 - [DAA_Site Affaires]</v>
      </c>
    </row>
    <row r="814" spans="1:23" hidden="1" x14ac:dyDescent="0.25">
      <c r="A814">
        <v>7600301084</v>
      </c>
      <c r="B814" s="16" t="s">
        <v>21196</v>
      </c>
      <c r="C814" s="16" t="e">
        <f>VLOOKUP(Table1[[#This Row],[Node]],Parent!A:B,2,0)</f>
        <v>#N/A</v>
      </c>
      <c r="D814" s="25" t="s">
        <v>19346</v>
      </c>
      <c r="E814" s="26" t="s">
        <v>16544</v>
      </c>
      <c r="F814" s="27" t="s">
        <v>16830</v>
      </c>
      <c r="G814" s="27" t="s">
        <v>16831</v>
      </c>
      <c r="H814" s="27" t="s">
        <v>16881</v>
      </c>
      <c r="I814" s="27" t="s">
        <v>17322</v>
      </c>
      <c r="J814" s="27"/>
      <c r="K814" s="27"/>
      <c r="L814" s="27"/>
      <c r="N814" s="27"/>
      <c r="T814" s="28" t="str">
        <f>LOOKUP(1,1/(Table1[[#This Row],[Level_0]:[Level 15]]&gt;0),(Table1[[#This Row],[Level_0]:[Level 15]]))</f>
        <v>7600301084 - [DAA_Inspect. safety sys. II]</v>
      </c>
      <c r="U814" s="22">
        <v>809</v>
      </c>
      <c r="W814" s="13" t="str">
        <f>LOOKUP(1,1/(Table1[[#This Row],[Level_0]:[Level 15]]&gt;0),(Table1[[#This Row],[Level_0]:[Level 15]]))</f>
        <v>7600301084 - [DAA_Inspect. safety sys. II]</v>
      </c>
    </row>
    <row r="815" spans="1:23" hidden="1" x14ac:dyDescent="0.25">
      <c r="A815">
        <v>7600301080</v>
      </c>
      <c r="B815" s="16" t="s">
        <v>21193</v>
      </c>
      <c r="C815" s="16" t="e">
        <f>VLOOKUP(Table1[[#This Row],[Node]],Parent!A:B,2,0)</f>
        <v>#N/A</v>
      </c>
      <c r="D815" s="25" t="s">
        <v>19346</v>
      </c>
      <c r="E815" s="26" t="s">
        <v>16544</v>
      </c>
      <c r="F815" s="27" t="s">
        <v>16830</v>
      </c>
      <c r="G815" s="27" t="s">
        <v>16831</v>
      </c>
      <c r="H815" s="27" t="s">
        <v>16881</v>
      </c>
      <c r="I815" s="27" t="s">
        <v>17323</v>
      </c>
      <c r="J815" s="27"/>
      <c r="K815" s="27"/>
      <c r="L815" s="27"/>
      <c r="N815" s="27"/>
      <c r="T815" s="28" t="str">
        <f>LOOKUP(1,1/(Table1[[#This Row],[Level_0]:[Level 15]]&gt;0),(Table1[[#This Row],[Level_0]:[Level 15]]))</f>
        <v>7600301080 - [DAA_Inspect. elect. equip.]</v>
      </c>
      <c r="U815" s="22">
        <v>810</v>
      </c>
      <c r="W815" s="13" t="str">
        <f>LOOKUP(1,1/(Table1[[#This Row],[Level_0]:[Level 15]]&gt;0),(Table1[[#This Row],[Level_0]:[Level 15]]))</f>
        <v>7600301080 - [DAA_Inspect. elect. equip.]</v>
      </c>
    </row>
    <row r="816" spans="1:23" hidden="1" x14ac:dyDescent="0.25">
      <c r="A816">
        <v>7600301079</v>
      </c>
      <c r="B816" s="16" t="s">
        <v>21192</v>
      </c>
      <c r="C816" s="16" t="e">
        <f>VLOOKUP(Table1[[#This Row],[Node]],Parent!A:B,2,0)</f>
        <v>#N/A</v>
      </c>
      <c r="D816" s="25" t="s">
        <v>19346</v>
      </c>
      <c r="E816" s="26" t="s">
        <v>16544</v>
      </c>
      <c r="F816" s="27" t="s">
        <v>16830</v>
      </c>
      <c r="G816" s="27" t="s">
        <v>16831</v>
      </c>
      <c r="H816" s="27" t="s">
        <v>16881</v>
      </c>
      <c r="I816" s="27" t="s">
        <v>17324</v>
      </c>
      <c r="J816" s="27"/>
      <c r="K816" s="27"/>
      <c r="L816" s="27"/>
      <c r="N816" s="27"/>
      <c r="T816" s="28" t="str">
        <f>LOOKUP(1,1/(Table1[[#This Row],[Level_0]:[Level 15]]&gt;0),(Table1[[#This Row],[Level_0]:[Level 15]]))</f>
        <v>7600301079 - [DAA_Inspection hoses_chemi.]</v>
      </c>
      <c r="U816" s="22">
        <v>811</v>
      </c>
      <c r="W816" s="13" t="str">
        <f>LOOKUP(1,1/(Table1[[#This Row],[Level_0]:[Level 15]]&gt;0),(Table1[[#This Row],[Level_0]:[Level 15]]))</f>
        <v>7600301079 - [DAA_Inspection hoses_chemi.]</v>
      </c>
    </row>
    <row r="817" spans="1:23" hidden="1" x14ac:dyDescent="0.25">
      <c r="A817">
        <v>7600301078</v>
      </c>
      <c r="B817" s="16" t="s">
        <v>21191</v>
      </c>
      <c r="C817" s="16" t="e">
        <f>VLOOKUP(Table1[[#This Row],[Node]],Parent!A:B,2,0)</f>
        <v>#N/A</v>
      </c>
      <c r="D817" s="25" t="s">
        <v>19346</v>
      </c>
      <c r="E817" s="26" t="s">
        <v>16544</v>
      </c>
      <c r="F817" s="27" t="s">
        <v>16830</v>
      </c>
      <c r="G817" s="27" t="s">
        <v>16831</v>
      </c>
      <c r="H817" s="27" t="s">
        <v>16881</v>
      </c>
      <c r="I817" s="27" t="s">
        <v>17325</v>
      </c>
      <c r="J817" s="27"/>
      <c r="K817" s="27"/>
      <c r="L817" s="27"/>
      <c r="N817" s="27"/>
      <c r="T817" s="28" t="str">
        <f>LOOKUP(1,1/(Table1[[#This Row],[Level_0]:[Level 15]]&gt;0),(Table1[[#This Row],[Level_0]:[Level 15]]))</f>
        <v>7600301078 - [DAA_Equipment/Machine rent]</v>
      </c>
      <c r="U817" s="22">
        <v>812</v>
      </c>
      <c r="W817" s="13" t="str">
        <f>LOOKUP(1,1/(Table1[[#This Row],[Level_0]:[Level 15]]&gt;0),(Table1[[#This Row],[Level_0]:[Level 15]]))</f>
        <v>7600301078 - [DAA_Equipment/Machine rent]</v>
      </c>
    </row>
    <row r="818" spans="1:23" hidden="1" x14ac:dyDescent="0.25">
      <c r="A818">
        <v>7600301077</v>
      </c>
      <c r="B818" s="16" t="s">
        <v>21190</v>
      </c>
      <c r="C818" s="16" t="e">
        <f>VLOOKUP(Table1[[#This Row],[Node]],Parent!A:B,2,0)</f>
        <v>#N/A</v>
      </c>
      <c r="D818" s="25" t="s">
        <v>19346</v>
      </c>
      <c r="E818" s="26" t="s">
        <v>16544</v>
      </c>
      <c r="F818" s="27" t="s">
        <v>16830</v>
      </c>
      <c r="G818" s="27" t="s">
        <v>16831</v>
      </c>
      <c r="H818" s="27" t="s">
        <v>16881</v>
      </c>
      <c r="I818" s="27" t="s">
        <v>17326</v>
      </c>
      <c r="J818" s="27"/>
      <c r="K818" s="27"/>
      <c r="L818" s="27"/>
      <c r="N818" s="27"/>
      <c r="T818" s="28" t="str">
        <f>LOOKUP(1,1/(Table1[[#This Row],[Level_0]:[Level 15]]&gt;0),(Table1[[#This Row],[Level_0]:[Level 15]]))</f>
        <v>7600301077 - [DAA_Shift work/call on duty]</v>
      </c>
      <c r="U818" s="22">
        <v>813</v>
      </c>
      <c r="W818" s="13" t="str">
        <f>LOOKUP(1,1/(Table1[[#This Row],[Level_0]:[Level 15]]&gt;0),(Table1[[#This Row],[Level_0]:[Level 15]]))</f>
        <v>7600301077 - [DAA_Shift work/call on duty]</v>
      </c>
    </row>
    <row r="819" spans="1:23" hidden="1" x14ac:dyDescent="0.25">
      <c r="A819">
        <v>7600301076</v>
      </c>
      <c r="B819" s="16" t="s">
        <v>21189</v>
      </c>
      <c r="C819" s="16" t="e">
        <f>VLOOKUP(Table1[[#This Row],[Node]],Parent!A:B,2,0)</f>
        <v>#N/A</v>
      </c>
      <c r="D819" s="25" t="s">
        <v>19346</v>
      </c>
      <c r="E819" s="26" t="s">
        <v>16544</v>
      </c>
      <c r="F819" s="27" t="s">
        <v>16830</v>
      </c>
      <c r="G819" s="27" t="s">
        <v>16831</v>
      </c>
      <c r="H819" s="27" t="s">
        <v>16881</v>
      </c>
      <c r="I819" s="27" t="s">
        <v>17327</v>
      </c>
      <c r="J819" s="27"/>
      <c r="K819" s="27"/>
      <c r="L819" s="27"/>
      <c r="N819" s="27"/>
      <c r="T819" s="28" t="str">
        <f>LOOKUP(1,1/(Table1[[#This Row],[Level_0]:[Level 15]]&gt;0),(Table1[[#This Row],[Level_0]:[Level 15]]))</f>
        <v>7600301076 - [DAA_Preventive maint.]</v>
      </c>
      <c r="U819" s="22">
        <v>814</v>
      </c>
      <c r="W819" s="13" t="str">
        <f>LOOKUP(1,1/(Table1[[#This Row],[Level_0]:[Level 15]]&gt;0),(Table1[[#This Row],[Level_0]:[Level 15]]))</f>
        <v>7600301076 - [DAA_Preventive maint.]</v>
      </c>
    </row>
    <row r="820" spans="1:23" hidden="1" x14ac:dyDescent="0.25">
      <c r="A820">
        <v>7600301075</v>
      </c>
      <c r="B820" s="16" t="s">
        <v>21188</v>
      </c>
      <c r="C820" s="16" t="e">
        <f>VLOOKUP(Table1[[#This Row],[Node]],Parent!A:B,2,0)</f>
        <v>#N/A</v>
      </c>
      <c r="D820" s="25" t="s">
        <v>19346</v>
      </c>
      <c r="E820" s="26" t="s">
        <v>16544</v>
      </c>
      <c r="F820" s="27" t="s">
        <v>16830</v>
      </c>
      <c r="G820" s="27" t="s">
        <v>16831</v>
      </c>
      <c r="H820" s="27" t="s">
        <v>16881</v>
      </c>
      <c r="I820" s="27" t="s">
        <v>17328</v>
      </c>
      <c r="J820" s="27"/>
      <c r="K820" s="27"/>
      <c r="L820" s="27"/>
      <c r="N820" s="27"/>
      <c r="T820" s="28" t="str">
        <f>LOOKUP(1,1/(Table1[[#This Row],[Level_0]:[Level 15]]&gt;0),(Table1[[#This Row],[Level_0]:[Level 15]]))</f>
        <v>7600301075 - [DAA Factory fence]</v>
      </c>
      <c r="U820" s="22">
        <v>815</v>
      </c>
      <c r="W820" s="13" t="str">
        <f>LOOKUP(1,1/(Table1[[#This Row],[Level_0]:[Level 15]]&gt;0),(Table1[[#This Row],[Level_0]:[Level 15]]))</f>
        <v>7600301075 - [DAA Factory fence]</v>
      </c>
    </row>
    <row r="821" spans="1:23" hidden="1" x14ac:dyDescent="0.25">
      <c r="A821">
        <v>7600301074</v>
      </c>
      <c r="B821" s="16" t="s">
        <v>21187</v>
      </c>
      <c r="C821" s="16" t="e">
        <f>VLOOKUP(Table1[[#This Row],[Node]],Parent!A:B,2,0)</f>
        <v>#N/A</v>
      </c>
      <c r="D821" s="25" t="s">
        <v>19346</v>
      </c>
      <c r="E821" s="26" t="s">
        <v>16544</v>
      </c>
      <c r="F821" s="27" t="s">
        <v>16830</v>
      </c>
      <c r="G821" s="27" t="s">
        <v>16831</v>
      </c>
      <c r="H821" s="27" t="s">
        <v>16881</v>
      </c>
      <c r="I821" s="27" t="s">
        <v>17329</v>
      </c>
      <c r="J821" s="27"/>
      <c r="K821" s="27"/>
      <c r="L821" s="27"/>
      <c r="N821" s="27"/>
      <c r="T821" s="28" t="str">
        <f>LOOKUP(1,1/(Table1[[#This Row],[Level_0]:[Level 15]]&gt;0),(Table1[[#This Row],[Level_0]:[Level 15]]))</f>
        <v>7600301074 - [DAA Lightning protection]</v>
      </c>
      <c r="U821" s="22">
        <v>816</v>
      </c>
      <c r="W821" s="13" t="str">
        <f>LOOKUP(1,1/(Table1[[#This Row],[Level_0]:[Level 15]]&gt;0),(Table1[[#This Row],[Level_0]:[Level 15]]))</f>
        <v>7600301074 - [DAA Lightning protection]</v>
      </c>
    </row>
    <row r="822" spans="1:23" hidden="1" x14ac:dyDescent="0.25">
      <c r="A822">
        <v>7600301073</v>
      </c>
      <c r="B822" s="16" t="s">
        <v>21186</v>
      </c>
      <c r="C822" s="16" t="e">
        <f>VLOOKUP(Table1[[#This Row],[Node]],Parent!A:B,2,0)</f>
        <v>#N/A</v>
      </c>
      <c r="D822" s="25" t="s">
        <v>19346</v>
      </c>
      <c r="E822" s="26" t="s">
        <v>16544</v>
      </c>
      <c r="F822" s="27" t="s">
        <v>16830</v>
      </c>
      <c r="G822" s="27" t="s">
        <v>16831</v>
      </c>
      <c r="H822" s="27" t="s">
        <v>16881</v>
      </c>
      <c r="I822" s="27" t="s">
        <v>17330</v>
      </c>
      <c r="J822" s="27"/>
      <c r="K822" s="27"/>
      <c r="L822" s="27"/>
      <c r="N822" s="27"/>
      <c r="T822" s="28" t="str">
        <f>LOOKUP(1,1/(Table1[[#This Row],[Level_0]:[Level 15]]&gt;0),(Table1[[#This Row],[Level_0]:[Level 15]]))</f>
        <v>7600301073 - [DAA Personel emergency signal system]</v>
      </c>
      <c r="U822" s="22">
        <v>817</v>
      </c>
      <c r="W822" s="13" t="str">
        <f>LOOKUP(1,1/(Table1[[#This Row],[Level_0]:[Level 15]]&gt;0),(Table1[[#This Row],[Level_0]:[Level 15]]))</f>
        <v>7600301073 - [DAA Personel emergency signal system]</v>
      </c>
    </row>
    <row r="823" spans="1:23" hidden="1" x14ac:dyDescent="0.25">
      <c r="A823">
        <v>7600301072</v>
      </c>
      <c r="B823" s="16" t="s">
        <v>21185</v>
      </c>
      <c r="C823" s="16" t="e">
        <f>VLOOKUP(Table1[[#This Row],[Node]],Parent!A:B,2,0)</f>
        <v>#N/A</v>
      </c>
      <c r="D823" s="25" t="s">
        <v>19346</v>
      </c>
      <c r="E823" s="26" t="s">
        <v>16544</v>
      </c>
      <c r="F823" s="27" t="s">
        <v>16830</v>
      </c>
      <c r="G823" s="27" t="s">
        <v>16831</v>
      </c>
      <c r="H823" s="27" t="s">
        <v>16881</v>
      </c>
      <c r="I823" s="27" t="s">
        <v>17331</v>
      </c>
      <c r="J823" s="27"/>
      <c r="K823" s="27"/>
      <c r="L823" s="27"/>
      <c r="N823" s="27"/>
      <c r="T823" s="28" t="str">
        <f>LOOKUP(1,1/(Table1[[#This Row],[Level_0]:[Level 15]]&gt;0),(Table1[[#This Row],[Level_0]:[Level 15]]))</f>
        <v>7600301072 - [DAA Video control system]</v>
      </c>
      <c r="U823" s="22">
        <v>818</v>
      </c>
      <c r="W823" s="13" t="str">
        <f>LOOKUP(1,1/(Table1[[#This Row],[Level_0]:[Level 15]]&gt;0),(Table1[[#This Row],[Level_0]:[Level 15]]))</f>
        <v>7600301072 - [DAA Video control system]</v>
      </c>
    </row>
    <row r="824" spans="1:23" hidden="1" x14ac:dyDescent="0.25">
      <c r="A824">
        <v>7600301071</v>
      </c>
      <c r="B824" s="16" t="s">
        <v>21184</v>
      </c>
      <c r="C824" s="16" t="e">
        <f>VLOOKUP(Table1[[#This Row],[Node]],Parent!A:B,2,0)</f>
        <v>#N/A</v>
      </c>
      <c r="D824" s="25" t="s">
        <v>19346</v>
      </c>
      <c r="E824" s="26" t="s">
        <v>16544</v>
      </c>
      <c r="F824" s="27" t="s">
        <v>16830</v>
      </c>
      <c r="G824" s="27" t="s">
        <v>16831</v>
      </c>
      <c r="H824" s="27" t="s">
        <v>16881</v>
      </c>
      <c r="I824" s="27" t="s">
        <v>17332</v>
      </c>
      <c r="J824" s="27"/>
      <c r="K824" s="27"/>
      <c r="L824" s="27"/>
      <c r="N824" s="27"/>
      <c r="T824" s="28" t="str">
        <f>LOOKUP(1,1/(Table1[[#This Row],[Level_0]:[Level 15]]&gt;0),(Table1[[#This Row],[Level_0]:[Level 15]]))</f>
        <v>7600301071 - [DAA Safety signal technol.]</v>
      </c>
      <c r="U824" s="22">
        <v>819</v>
      </c>
      <c r="W824" s="13" t="str">
        <f>LOOKUP(1,1/(Table1[[#This Row],[Level_0]:[Level 15]]&gt;0),(Table1[[#This Row],[Level_0]:[Level 15]]))</f>
        <v>7600301071 - [DAA Safety signal technol.]</v>
      </c>
    </row>
    <row r="825" spans="1:23" hidden="1" x14ac:dyDescent="0.25">
      <c r="A825">
        <v>7600301070</v>
      </c>
      <c r="B825" s="16" t="s">
        <v>21183</v>
      </c>
      <c r="C825" s="16" t="e">
        <f>VLOOKUP(Table1[[#This Row],[Node]],Parent!A:B,2,0)</f>
        <v>#N/A</v>
      </c>
      <c r="D825" s="25" t="s">
        <v>19346</v>
      </c>
      <c r="E825" s="26" t="s">
        <v>16544</v>
      </c>
      <c r="F825" s="27" t="s">
        <v>16830</v>
      </c>
      <c r="G825" s="27" t="s">
        <v>16831</v>
      </c>
      <c r="H825" s="27" t="s">
        <v>16881</v>
      </c>
      <c r="I825" s="27" t="s">
        <v>17333</v>
      </c>
      <c r="J825" s="27"/>
      <c r="K825" s="27"/>
      <c r="L825" s="27"/>
      <c r="N825" s="27"/>
      <c r="T825" s="28" t="str">
        <f>LOOKUP(1,1/(Table1[[#This Row],[Level_0]:[Level 15]]&gt;0),(Table1[[#This Row],[Level_0]:[Level 15]]))</f>
        <v>7600301070 - [DAA Fire alarm system]</v>
      </c>
      <c r="U825" s="22">
        <v>820</v>
      </c>
      <c r="W825" s="13" t="str">
        <f>LOOKUP(1,1/(Table1[[#This Row],[Level_0]:[Level 15]]&gt;0),(Table1[[#This Row],[Level_0]:[Level 15]]))</f>
        <v>7600301070 - [DAA Fire alarm system]</v>
      </c>
    </row>
    <row r="826" spans="1:23" hidden="1" x14ac:dyDescent="0.25">
      <c r="A826">
        <v>7600301069</v>
      </c>
      <c r="B826" s="16" t="s">
        <v>21182</v>
      </c>
      <c r="C826" s="16" t="e">
        <f>VLOOKUP(Table1[[#This Row],[Node]],Parent!A:B,2,0)</f>
        <v>#N/A</v>
      </c>
      <c r="D826" s="25" t="s">
        <v>19346</v>
      </c>
      <c r="E826" s="26" t="s">
        <v>16544</v>
      </c>
      <c r="F826" s="27" t="s">
        <v>16830</v>
      </c>
      <c r="G826" s="27" t="s">
        <v>16831</v>
      </c>
      <c r="H826" s="27" t="s">
        <v>16881</v>
      </c>
      <c r="I826" s="27" t="s">
        <v>17334</v>
      </c>
      <c r="J826" s="27"/>
      <c r="K826" s="27"/>
      <c r="L826" s="27"/>
      <c r="N826" s="27"/>
      <c r="T826" s="28" t="str">
        <f>LOOKUP(1,1/(Table1[[#This Row],[Level_0]:[Level 15]]&gt;0),(Table1[[#This Row],[Level_0]:[Level 15]]))</f>
        <v>7600301069 - [DAA Install. for communic. &amp; security]</v>
      </c>
      <c r="U826" s="22">
        <v>821</v>
      </c>
      <c r="W826" s="13" t="str">
        <f>LOOKUP(1,1/(Table1[[#This Row],[Level_0]:[Level 15]]&gt;0),(Table1[[#This Row],[Level_0]:[Level 15]]))</f>
        <v>7600301069 - [DAA Install. for communic. &amp; security]</v>
      </c>
    </row>
    <row r="827" spans="1:23" hidden="1" x14ac:dyDescent="0.25">
      <c r="A827">
        <v>7600301067</v>
      </c>
      <c r="B827" s="16" t="s">
        <v>21180</v>
      </c>
      <c r="C827" s="16" t="e">
        <f>VLOOKUP(Table1[[#This Row],[Node]],Parent!A:B,2,0)</f>
        <v>#N/A</v>
      </c>
      <c r="D827" s="25" t="s">
        <v>19346</v>
      </c>
      <c r="E827" s="26" t="s">
        <v>16544</v>
      </c>
      <c r="F827" s="27" t="s">
        <v>16830</v>
      </c>
      <c r="G827" s="27" t="s">
        <v>16831</v>
      </c>
      <c r="H827" s="27" t="s">
        <v>16881</v>
      </c>
      <c r="I827" s="27" t="s">
        <v>17335</v>
      </c>
      <c r="J827" s="27"/>
      <c r="K827" s="27"/>
      <c r="L827" s="27"/>
      <c r="N827" s="27"/>
      <c r="T827" s="28" t="str">
        <f>LOOKUP(1,1/(Table1[[#This Row],[Level_0]:[Level 15]]&gt;0),(Table1[[#This Row],[Level_0]:[Level 15]]))</f>
        <v>7600301067 - [DAA GMP-Monitoring Systems]</v>
      </c>
      <c r="U827" s="22">
        <v>822</v>
      </c>
      <c r="W827" s="13" t="str">
        <f>LOOKUP(1,1/(Table1[[#This Row],[Level_0]:[Level 15]]&gt;0),(Table1[[#This Row],[Level_0]:[Level 15]]))</f>
        <v>7600301067 - [DAA GMP-Monitoring Systems]</v>
      </c>
    </row>
    <row r="828" spans="1:23" hidden="1" x14ac:dyDescent="0.25">
      <c r="A828">
        <v>7600301066</v>
      </c>
      <c r="B828" s="16" t="s">
        <v>21179</v>
      </c>
      <c r="C828" s="16" t="e">
        <f>VLOOKUP(Table1[[#This Row],[Node]],Parent!A:B,2,0)</f>
        <v>#N/A</v>
      </c>
      <c r="D828" s="25" t="s">
        <v>19346</v>
      </c>
      <c r="E828" s="26" t="s">
        <v>16544</v>
      </c>
      <c r="F828" s="27" t="s">
        <v>16830</v>
      </c>
      <c r="G828" s="27" t="s">
        <v>16831</v>
      </c>
      <c r="H828" s="27" t="s">
        <v>16881</v>
      </c>
      <c r="I828" s="27" t="s">
        <v>17336</v>
      </c>
      <c r="J828" s="27"/>
      <c r="K828" s="27"/>
      <c r="L828" s="27"/>
      <c r="N828" s="27"/>
      <c r="T828" s="28" t="str">
        <f>LOOKUP(1,1/(Table1[[#This Row],[Level_0]:[Level 15]]&gt;0),(Table1[[#This Row],[Level_0]:[Level 15]]))</f>
        <v>7600301066 - [DAA TGA Anlagen]</v>
      </c>
      <c r="U828" s="22">
        <v>823</v>
      </c>
      <c r="W828" s="13" t="str">
        <f>LOOKUP(1,1/(Table1[[#This Row],[Level_0]:[Level 15]]&gt;0),(Table1[[#This Row],[Level_0]:[Level 15]]))</f>
        <v>7600301066 - [DAA TGA Anlagen]</v>
      </c>
    </row>
    <row r="829" spans="1:23" hidden="1" x14ac:dyDescent="0.25">
      <c r="A829">
        <v>7600301065</v>
      </c>
      <c r="B829" s="16" t="s">
        <v>21178</v>
      </c>
      <c r="C829" s="16" t="e">
        <f>VLOOKUP(Table1[[#This Row],[Node]],Parent!A:B,2,0)</f>
        <v>#N/A</v>
      </c>
      <c r="D829" s="25" t="s">
        <v>19346</v>
      </c>
      <c r="E829" s="26" t="s">
        <v>16544</v>
      </c>
      <c r="F829" s="27" t="s">
        <v>16830</v>
      </c>
      <c r="G829" s="27" t="s">
        <v>16831</v>
      </c>
      <c r="H829" s="27" t="s">
        <v>16881</v>
      </c>
      <c r="I829" s="27" t="s">
        <v>17337</v>
      </c>
      <c r="J829" s="27"/>
      <c r="K829" s="27"/>
      <c r="L829" s="27"/>
      <c r="N829" s="27"/>
      <c r="T829" s="28" t="str">
        <f>LOOKUP(1,1/(Table1[[#This Row],[Level_0]:[Level 15]]&gt;0),(Table1[[#This Row],[Level_0]:[Level 15]]))</f>
        <v>7600301065 - [DAA Data network infra.]</v>
      </c>
      <c r="U829" s="22">
        <v>824</v>
      </c>
      <c r="W829" s="13" t="str">
        <f>LOOKUP(1,1/(Table1[[#This Row],[Level_0]:[Level 15]]&gt;0),(Table1[[#This Row],[Level_0]:[Level 15]]))</f>
        <v>7600301065 - [DAA Data network infra.]</v>
      </c>
    </row>
    <row r="830" spans="1:23" hidden="1" x14ac:dyDescent="0.25">
      <c r="A830">
        <v>7600301064</v>
      </c>
      <c r="B830" s="16" t="s">
        <v>21177</v>
      </c>
      <c r="C830" s="16" t="e">
        <f>VLOOKUP(Table1[[#This Row],[Node]],Parent!A:B,2,0)</f>
        <v>#N/A</v>
      </c>
      <c r="D830" s="25" t="s">
        <v>19346</v>
      </c>
      <c r="E830" s="26" t="s">
        <v>16544</v>
      </c>
      <c r="F830" s="27" t="s">
        <v>16830</v>
      </c>
      <c r="G830" s="27" t="s">
        <v>16831</v>
      </c>
      <c r="H830" s="27" t="s">
        <v>16881</v>
      </c>
      <c r="I830" s="27" t="s">
        <v>17338</v>
      </c>
      <c r="J830" s="27"/>
      <c r="K830" s="27"/>
      <c r="L830" s="27"/>
      <c r="N830" s="27"/>
      <c r="T830" s="28" t="str">
        <f>LOOKUP(1,1/(Table1[[#This Row],[Level_0]:[Level 15]]&gt;0),(Table1[[#This Row],[Level_0]:[Level 15]]))</f>
        <v>7600301064 - [DAA Security Infrastruct.]</v>
      </c>
      <c r="U830" s="22">
        <v>825</v>
      </c>
      <c r="W830" s="13" t="str">
        <f>LOOKUP(1,1/(Table1[[#This Row],[Level_0]:[Level 15]]&gt;0),(Table1[[#This Row],[Level_0]:[Level 15]]))</f>
        <v>7600301064 - [DAA Security Infrastruct.]</v>
      </c>
    </row>
    <row r="831" spans="1:23" hidden="1" x14ac:dyDescent="0.25">
      <c r="A831">
        <v>7600301062</v>
      </c>
      <c r="B831" s="16" t="s">
        <v>21175</v>
      </c>
      <c r="C831" s="16" t="e">
        <f>VLOOKUP(Table1[[#This Row],[Node]],Parent!A:B,2,0)</f>
        <v>#N/A</v>
      </c>
      <c r="D831" s="25" t="s">
        <v>19346</v>
      </c>
      <c r="E831" s="26" t="s">
        <v>16544</v>
      </c>
      <c r="F831" s="27" t="s">
        <v>16830</v>
      </c>
      <c r="G831" s="27" t="s">
        <v>16831</v>
      </c>
      <c r="H831" s="27" t="s">
        <v>16881</v>
      </c>
      <c r="I831" s="27" t="s">
        <v>17339</v>
      </c>
      <c r="J831" s="27"/>
      <c r="K831" s="27"/>
      <c r="L831" s="27"/>
      <c r="N831" s="27"/>
      <c r="T831" s="28" t="str">
        <f>LOOKUP(1,1/(Table1[[#This Row],[Level_0]:[Level 15]]&gt;0),(Table1[[#This Row],[Level_0]:[Level 15]]))</f>
        <v>7600301062 - [DAA Inspection EX Facility]</v>
      </c>
      <c r="U831" s="22">
        <v>826</v>
      </c>
      <c r="W831" s="13" t="str">
        <f>LOOKUP(1,1/(Table1[[#This Row],[Level_0]:[Level 15]]&gt;0),(Table1[[#This Row],[Level_0]:[Level 15]]))</f>
        <v>7600301062 - [DAA Inspection EX Facility]</v>
      </c>
    </row>
    <row r="832" spans="1:23" hidden="1" x14ac:dyDescent="0.25">
      <c r="A832">
        <v>7600301061</v>
      </c>
      <c r="B832" s="16" t="s">
        <v>21175</v>
      </c>
      <c r="C832" s="16" t="e">
        <f>VLOOKUP(Table1[[#This Row],[Node]],Parent!A:B,2,0)</f>
        <v>#N/A</v>
      </c>
      <c r="D832" s="25" t="s">
        <v>19346</v>
      </c>
      <c r="E832" s="26" t="s">
        <v>16544</v>
      </c>
      <c r="F832" s="27" t="s">
        <v>16830</v>
      </c>
      <c r="G832" s="27" t="s">
        <v>16831</v>
      </c>
      <c r="H832" s="27" t="s">
        <v>16881</v>
      </c>
      <c r="I832" s="27" t="s">
        <v>17340</v>
      </c>
      <c r="J832" s="27"/>
      <c r="K832" s="27"/>
      <c r="L832" s="27"/>
      <c r="N832" s="27"/>
      <c r="T832" s="28" t="str">
        <f>LOOKUP(1,1/(Table1[[#This Row],[Level_0]:[Level 15]]&gt;0),(Table1[[#This Row],[Level_0]:[Level 15]]))</f>
        <v>7600301061 - [DAA Inspection EX Facility]</v>
      </c>
      <c r="U832" s="22">
        <v>827</v>
      </c>
      <c r="W832" s="13" t="str">
        <f>LOOKUP(1,1/(Table1[[#This Row],[Level_0]:[Level 15]]&gt;0),(Table1[[#This Row],[Level_0]:[Level 15]]))</f>
        <v>7600301061 - [DAA Inspection EX Facility]</v>
      </c>
    </row>
    <row r="833" spans="1:23" hidden="1" x14ac:dyDescent="0.25">
      <c r="A833">
        <v>7600301060</v>
      </c>
      <c r="B833" s="16" t="s">
        <v>21174</v>
      </c>
      <c r="C833" s="16" t="e">
        <f>VLOOKUP(Table1[[#This Row],[Node]],Parent!A:B,2,0)</f>
        <v>#N/A</v>
      </c>
      <c r="D833" s="25" t="s">
        <v>19346</v>
      </c>
      <c r="E833" s="26" t="s">
        <v>16544</v>
      </c>
      <c r="F833" s="27" t="s">
        <v>16830</v>
      </c>
      <c r="G833" s="27" t="s">
        <v>16831</v>
      </c>
      <c r="H833" s="27" t="s">
        <v>16881</v>
      </c>
      <c r="I833" s="27" t="s">
        <v>17341</v>
      </c>
      <c r="J833" s="27"/>
      <c r="K833" s="27"/>
      <c r="L833" s="27"/>
      <c r="N833" s="27"/>
      <c r="T833" s="28" t="str">
        <f>LOOKUP(1,1/(Table1[[#This Row],[Level_0]:[Level 15]]&gt;0),(Table1[[#This Row],[Level_0]:[Level 15]]))</f>
        <v>7600301060 - [DAA Inspect. elect. Equip_m]</v>
      </c>
      <c r="U833" s="22">
        <v>828</v>
      </c>
      <c r="W833" s="13" t="str">
        <f>LOOKUP(1,1/(Table1[[#This Row],[Level_0]:[Level 15]]&gt;0),(Table1[[#This Row],[Level_0]:[Level 15]]))</f>
        <v>7600301060 - [DAA Inspect. elect. Equip_m]</v>
      </c>
    </row>
    <row r="834" spans="1:23" hidden="1" x14ac:dyDescent="0.25">
      <c r="A834">
        <v>7600301059</v>
      </c>
      <c r="B834" s="16" t="s">
        <v>21173</v>
      </c>
      <c r="C834" s="16" t="e">
        <f>VLOOKUP(Table1[[#This Row],[Node]],Parent!A:B,2,0)</f>
        <v>#N/A</v>
      </c>
      <c r="D834" s="25" t="s">
        <v>19346</v>
      </c>
      <c r="E834" s="26" t="s">
        <v>16544</v>
      </c>
      <c r="F834" s="27" t="s">
        <v>16830</v>
      </c>
      <c r="G834" s="27" t="s">
        <v>16831</v>
      </c>
      <c r="H834" s="27" t="s">
        <v>16881</v>
      </c>
      <c r="I834" s="27" t="s">
        <v>17342</v>
      </c>
      <c r="J834" s="27"/>
      <c r="K834" s="27"/>
      <c r="L834" s="27"/>
      <c r="N834" s="27"/>
      <c r="T834" s="28" t="str">
        <f>LOOKUP(1,1/(Table1[[#This Row],[Level_0]:[Level 15]]&gt;0),(Table1[[#This Row],[Level_0]:[Level 15]]))</f>
        <v>7600301059 - [DAA Inspect. elect. Equip_s]</v>
      </c>
      <c r="U834" s="22">
        <v>829</v>
      </c>
      <c r="W834" s="13" t="str">
        <f>LOOKUP(1,1/(Table1[[#This Row],[Level_0]:[Level 15]]&gt;0),(Table1[[#This Row],[Level_0]:[Level 15]]))</f>
        <v>7600301059 - [DAA Inspect. elect. Equip_s]</v>
      </c>
    </row>
    <row r="835" spans="1:23" hidden="1" x14ac:dyDescent="0.25">
      <c r="A835">
        <v>7600301058</v>
      </c>
      <c r="B835" s="16" t="s">
        <v>21172</v>
      </c>
      <c r="C835" s="16" t="e">
        <f>VLOOKUP(Table1[[#This Row],[Node]],Parent!A:B,2,0)</f>
        <v>#N/A</v>
      </c>
      <c r="D835" s="25" t="s">
        <v>19346</v>
      </c>
      <c r="E835" s="26" t="s">
        <v>16544</v>
      </c>
      <c r="F835" s="27" t="s">
        <v>16830</v>
      </c>
      <c r="G835" s="27" t="s">
        <v>16831</v>
      </c>
      <c r="H835" s="27" t="s">
        <v>16881</v>
      </c>
      <c r="I835" s="27" t="s">
        <v>17343</v>
      </c>
      <c r="J835" s="27"/>
      <c r="K835" s="27"/>
      <c r="L835" s="27"/>
      <c r="N835" s="27"/>
      <c r="T835" s="28" t="str">
        <f>LOOKUP(1,1/(Table1[[#This Row],[Level_0]:[Level 15]]&gt;0),(Table1[[#This Row],[Level_0]:[Level 15]]))</f>
        <v>7600301058 - [DAA Technical applications]</v>
      </c>
      <c r="U835" s="22">
        <v>830</v>
      </c>
      <c r="W835" s="13" t="str">
        <f>LOOKUP(1,1/(Table1[[#This Row],[Level_0]:[Level 15]]&gt;0),(Table1[[#This Row],[Level_0]:[Level 15]]))</f>
        <v>7600301058 - [DAA Technical applications]</v>
      </c>
    </row>
    <row r="836" spans="1:23" hidden="1" x14ac:dyDescent="0.25">
      <c r="A836">
        <v>7600301057</v>
      </c>
      <c r="B836" s="16" t="s">
        <v>21171</v>
      </c>
      <c r="C836" s="16" t="e">
        <f>VLOOKUP(Table1[[#This Row],[Node]],Parent!A:B,2,0)</f>
        <v>#N/A</v>
      </c>
      <c r="D836" s="25" t="s">
        <v>19346</v>
      </c>
      <c r="E836" s="26" t="s">
        <v>16544</v>
      </c>
      <c r="F836" s="27" t="s">
        <v>16830</v>
      </c>
      <c r="G836" s="27" t="s">
        <v>16831</v>
      </c>
      <c r="H836" s="27" t="s">
        <v>16881</v>
      </c>
      <c r="I836" s="27" t="s">
        <v>17344</v>
      </c>
      <c r="J836" s="27"/>
      <c r="K836" s="27"/>
      <c r="L836" s="27"/>
      <c r="N836" s="27"/>
      <c r="T836" s="28" t="str">
        <f>LOOKUP(1,1/(Table1[[#This Row],[Level_0]:[Level 15]]&gt;0),(Table1[[#This Row],[Level_0]:[Level 15]]))</f>
        <v>7600301057 - [DAA Inspect. pressure equip]</v>
      </c>
      <c r="U836" s="22">
        <v>831</v>
      </c>
      <c r="W836" s="13" t="str">
        <f>LOOKUP(1,1/(Table1[[#This Row],[Level_0]:[Level 15]]&gt;0),(Table1[[#This Row],[Level_0]:[Level 15]]))</f>
        <v>7600301057 - [DAA Inspect. pressure equip]</v>
      </c>
    </row>
    <row r="837" spans="1:23" hidden="1" x14ac:dyDescent="0.25">
      <c r="A837">
        <v>7600301056</v>
      </c>
      <c r="B837" s="16" t="s">
        <v>21170</v>
      </c>
      <c r="C837" s="16" t="e">
        <f>VLOOKUP(Table1[[#This Row],[Node]],Parent!A:B,2,0)</f>
        <v>#N/A</v>
      </c>
      <c r="D837" s="25" t="s">
        <v>19346</v>
      </c>
      <c r="E837" s="26" t="s">
        <v>16544</v>
      </c>
      <c r="F837" s="27" t="s">
        <v>16830</v>
      </c>
      <c r="G837" s="27" t="s">
        <v>16831</v>
      </c>
      <c r="H837" s="27" t="s">
        <v>16881</v>
      </c>
      <c r="I837" s="27" t="s">
        <v>17345</v>
      </c>
      <c r="J837" s="27"/>
      <c r="K837" s="27"/>
      <c r="L837" s="27"/>
      <c r="N837" s="27"/>
      <c r="T837" s="28" t="str">
        <f>LOOKUP(1,1/(Table1[[#This Row],[Level_0]:[Level 15]]&gt;0),(Table1[[#This Row],[Level_0]:[Level 15]]))</f>
        <v>7600301056 - [DAA E-Plan]</v>
      </c>
      <c r="U837" s="22">
        <v>832</v>
      </c>
      <c r="W837" s="13" t="str">
        <f>LOOKUP(1,1/(Table1[[#This Row],[Level_0]:[Level 15]]&gt;0),(Table1[[#This Row],[Level_0]:[Level 15]]))</f>
        <v>7600301056 - [DAA E-Plan]</v>
      </c>
    </row>
    <row r="838" spans="1:23" hidden="1" x14ac:dyDescent="0.25">
      <c r="A838">
        <v>7600301055</v>
      </c>
      <c r="B838" s="16" t="s">
        <v>21169</v>
      </c>
      <c r="C838" s="16" t="e">
        <f>VLOOKUP(Table1[[#This Row],[Node]],Parent!A:B,2,0)</f>
        <v>#N/A</v>
      </c>
      <c r="D838" s="25" t="s">
        <v>19346</v>
      </c>
      <c r="E838" s="26" t="s">
        <v>16544</v>
      </c>
      <c r="F838" s="27" t="s">
        <v>16830</v>
      </c>
      <c r="G838" s="27" t="s">
        <v>16831</v>
      </c>
      <c r="H838" s="27" t="s">
        <v>16881</v>
      </c>
      <c r="I838" s="27" t="s">
        <v>17346</v>
      </c>
      <c r="J838" s="27"/>
      <c r="K838" s="27"/>
      <c r="L838" s="27"/>
      <c r="N838" s="27"/>
      <c r="T838" s="28" t="str">
        <f>LOOKUP(1,1/(Table1[[#This Row],[Level_0]:[Level 15]]&gt;0),(Table1[[#This Row],[Level_0]:[Level 15]]))</f>
        <v>7600301055 - [DAA Basic Engineering TP]</v>
      </c>
      <c r="U838" s="22">
        <v>833</v>
      </c>
      <c r="W838" s="13" t="str">
        <f>LOOKUP(1,1/(Table1[[#This Row],[Level_0]:[Level 15]]&gt;0),(Table1[[#This Row],[Level_0]:[Level 15]]))</f>
        <v>7600301055 - [DAA Basic Engineering TP]</v>
      </c>
    </row>
    <row r="839" spans="1:23" hidden="1" x14ac:dyDescent="0.25">
      <c r="A839">
        <v>7600301053</v>
      </c>
      <c r="B839" s="16" t="s">
        <v>21167</v>
      </c>
      <c r="C839" s="16" t="e">
        <f>VLOOKUP(Table1[[#This Row],[Node]],Parent!A:B,2,0)</f>
        <v>#N/A</v>
      </c>
      <c r="D839" s="25" t="s">
        <v>19346</v>
      </c>
      <c r="E839" s="26" t="s">
        <v>16544</v>
      </c>
      <c r="F839" s="27" t="s">
        <v>16830</v>
      </c>
      <c r="G839" s="27" t="s">
        <v>16831</v>
      </c>
      <c r="H839" s="27" t="s">
        <v>16881</v>
      </c>
      <c r="I839" s="27" t="s">
        <v>17347</v>
      </c>
      <c r="J839" s="27"/>
      <c r="K839" s="27"/>
      <c r="L839" s="27"/>
      <c r="N839" s="27"/>
      <c r="T839" s="28" t="str">
        <f>LOOKUP(1,1/(Table1[[#This Row],[Level_0]:[Level 15]]&gt;0),(Table1[[#This Row],[Level_0]:[Level 15]]))</f>
        <v>7600301053 - [DAA Process Control &amp; Automation Systems]</v>
      </c>
      <c r="U839" s="22">
        <v>834</v>
      </c>
      <c r="W839" s="13" t="str">
        <f>LOOKUP(1,1/(Table1[[#This Row],[Level_0]:[Level 15]]&gt;0),(Table1[[#This Row],[Level_0]:[Level 15]]))</f>
        <v>7600301053 - [DAA Process Control &amp; Automation Systems]</v>
      </c>
    </row>
    <row r="840" spans="1:23" hidden="1" x14ac:dyDescent="0.25">
      <c r="A840">
        <v>7600301052</v>
      </c>
      <c r="B840" s="16" t="s">
        <v>21166</v>
      </c>
      <c r="C840" s="16" t="e">
        <f>VLOOKUP(Table1[[#This Row],[Node]],Parent!A:B,2,0)</f>
        <v>#N/A</v>
      </c>
      <c r="D840" s="25" t="s">
        <v>19346</v>
      </c>
      <c r="E840" s="26" t="s">
        <v>16544</v>
      </c>
      <c r="F840" s="27" t="s">
        <v>16830</v>
      </c>
      <c r="G840" s="27" t="s">
        <v>16831</v>
      </c>
      <c r="H840" s="27" t="s">
        <v>16881</v>
      </c>
      <c r="I840" s="27" t="s">
        <v>17348</v>
      </c>
      <c r="J840" s="27"/>
      <c r="K840" s="27"/>
      <c r="L840" s="27"/>
      <c r="N840" s="27"/>
      <c r="T840" s="28" t="str">
        <f>LOOKUP(1,1/(Table1[[#This Row],[Level_0]:[Level 15]]&gt;0),(Table1[[#This Row],[Level_0]:[Level 15]]))</f>
        <v>7600301052 - [DAA Lab./analytical Equip.]</v>
      </c>
      <c r="U840" s="22">
        <v>835</v>
      </c>
      <c r="W840" s="13" t="str">
        <f>LOOKUP(1,1/(Table1[[#This Row],[Level_0]:[Level 15]]&gt;0),(Table1[[#This Row],[Level_0]:[Level 15]]))</f>
        <v>7600301052 - [DAA Lab./analytical Equip.]</v>
      </c>
    </row>
    <row r="841" spans="1:23" hidden="1" x14ac:dyDescent="0.25">
      <c r="A841">
        <v>7600301048</v>
      </c>
      <c r="B841" s="16" t="s">
        <v>21162</v>
      </c>
      <c r="C841" s="16" t="e">
        <f>VLOOKUP(Table1[[#This Row],[Node]],Parent!A:B,2,0)</f>
        <v>#N/A</v>
      </c>
      <c r="D841" s="25" t="s">
        <v>19346</v>
      </c>
      <c r="E841" s="26" t="s">
        <v>16544</v>
      </c>
      <c r="F841" s="27" t="s">
        <v>16830</v>
      </c>
      <c r="G841" s="27" t="s">
        <v>16831</v>
      </c>
      <c r="H841" s="27" t="s">
        <v>16881</v>
      </c>
      <c r="I841" s="27" t="s">
        <v>17349</v>
      </c>
      <c r="J841" s="27"/>
      <c r="K841" s="27"/>
      <c r="L841" s="27"/>
      <c r="N841" s="27"/>
      <c r="T841" s="28" t="str">
        <f>LOOKUP(1,1/(Table1[[#This Row],[Level_0]:[Level 15]]&gt;0),(Table1[[#This Row],[Level_0]:[Level 15]]))</f>
        <v>7600301048 - [DAA App. Mgmt/Mobile Maint.]</v>
      </c>
      <c r="U841" s="22">
        <v>836</v>
      </c>
      <c r="W841" s="13" t="str">
        <f>LOOKUP(1,1/(Table1[[#This Row],[Level_0]:[Level 15]]&gt;0),(Table1[[#This Row],[Level_0]:[Level 15]]))</f>
        <v>7600301048 - [DAA App. Mgmt/Mobile Maint.]</v>
      </c>
    </row>
    <row r="842" spans="1:23" hidden="1" x14ac:dyDescent="0.25">
      <c r="A842">
        <v>7600301047</v>
      </c>
      <c r="B842" s="16" t="s">
        <v>21161</v>
      </c>
      <c r="C842" s="16" t="e">
        <f>VLOOKUP(Table1[[#This Row],[Node]],Parent!A:B,2,0)</f>
        <v>#N/A</v>
      </c>
      <c r="D842" s="25" t="s">
        <v>19346</v>
      </c>
      <c r="E842" s="26" t="s">
        <v>16544</v>
      </c>
      <c r="F842" s="27" t="s">
        <v>16830</v>
      </c>
      <c r="G842" s="27" t="s">
        <v>16831</v>
      </c>
      <c r="H842" s="27" t="s">
        <v>16881</v>
      </c>
      <c r="I842" s="27" t="s">
        <v>17350</v>
      </c>
      <c r="J842" s="27"/>
      <c r="K842" s="27"/>
      <c r="L842" s="27"/>
      <c r="N842" s="27"/>
      <c r="T842" s="28" t="str">
        <f>LOOKUP(1,1/(Table1[[#This Row],[Level_0]:[Level 15]]&gt;0),(Table1[[#This Row],[Level_0]:[Level 15]]))</f>
        <v>7600301047 - [DAA Safety coordination]</v>
      </c>
      <c r="U842" s="22">
        <v>837</v>
      </c>
      <c r="W842" s="13" t="str">
        <f>LOOKUP(1,1/(Table1[[#This Row],[Level_0]:[Level 15]]&gt;0),(Table1[[#This Row],[Level_0]:[Level 15]]))</f>
        <v>7600301047 - [DAA Safety coordination]</v>
      </c>
    </row>
    <row r="843" spans="1:23" hidden="1" x14ac:dyDescent="0.25">
      <c r="A843">
        <v>7600301046</v>
      </c>
      <c r="B843" s="16" t="s">
        <v>21160</v>
      </c>
      <c r="C843" s="16" t="e">
        <f>VLOOKUP(Table1[[#This Row],[Node]],Parent!A:B,2,0)</f>
        <v>#N/A</v>
      </c>
      <c r="D843" s="25" t="s">
        <v>19346</v>
      </c>
      <c r="E843" s="26" t="s">
        <v>16544</v>
      </c>
      <c r="F843" s="27" t="s">
        <v>16830</v>
      </c>
      <c r="G843" s="27" t="s">
        <v>16831</v>
      </c>
      <c r="H843" s="27" t="s">
        <v>16881</v>
      </c>
      <c r="I843" s="27" t="s">
        <v>17351</v>
      </c>
      <c r="J843" s="27"/>
      <c r="K843" s="27"/>
      <c r="L843" s="27"/>
      <c r="N843" s="27"/>
      <c r="T843" s="28" t="str">
        <f>LOOKUP(1,1/(Table1[[#This Row],[Level_0]:[Level 15]]&gt;0),(Table1[[#This Row],[Level_0]:[Level 15]]))</f>
        <v>7600301046 - [DAA Training PM tech. Proj.]</v>
      </c>
      <c r="U843" s="22">
        <v>838</v>
      </c>
      <c r="W843" s="13" t="str">
        <f>LOOKUP(1,1/(Table1[[#This Row],[Level_0]:[Level 15]]&gt;0),(Table1[[#This Row],[Level_0]:[Level 15]]))</f>
        <v>7600301046 - [DAA Training PM tech. Proj.]</v>
      </c>
    </row>
    <row r="844" spans="1:23" hidden="1" x14ac:dyDescent="0.25">
      <c r="A844">
        <v>7600301045</v>
      </c>
      <c r="B844" s="16" t="s">
        <v>21159</v>
      </c>
      <c r="C844" s="16" t="e">
        <f>VLOOKUP(Table1[[#This Row],[Node]],Parent!A:B,2,0)</f>
        <v>#N/A</v>
      </c>
      <c r="D844" s="25" t="s">
        <v>19346</v>
      </c>
      <c r="E844" s="26" t="s">
        <v>16544</v>
      </c>
      <c r="F844" s="27" t="s">
        <v>16830</v>
      </c>
      <c r="G844" s="27" t="s">
        <v>16831</v>
      </c>
      <c r="H844" s="27" t="s">
        <v>16881</v>
      </c>
      <c r="I844" s="27" t="s">
        <v>17352</v>
      </c>
      <c r="J844" s="27"/>
      <c r="K844" s="27"/>
      <c r="L844" s="27"/>
      <c r="N844" s="27"/>
      <c r="T844" s="28" t="str">
        <f>LOOKUP(1,1/(Table1[[#This Row],[Level_0]:[Level 15]]&gt;0),(Table1[[#This Row],[Level_0]:[Level 15]]))</f>
        <v>7600301045 - [DAA Plant documentation]</v>
      </c>
      <c r="U844" s="22">
        <v>839</v>
      </c>
      <c r="W844" s="13" t="str">
        <f>LOOKUP(1,1/(Table1[[#This Row],[Level_0]:[Level 15]]&gt;0),(Table1[[#This Row],[Level_0]:[Level 15]]))</f>
        <v>7600301045 - [DAA Plant documentation]</v>
      </c>
    </row>
    <row r="845" spans="1:23" hidden="1" x14ac:dyDescent="0.25">
      <c r="A845">
        <v>7600301044</v>
      </c>
      <c r="B845" s="16" t="s">
        <v>21158</v>
      </c>
      <c r="C845" s="16" t="e">
        <f>VLOOKUP(Table1[[#This Row],[Node]],Parent!A:B,2,0)</f>
        <v>#N/A</v>
      </c>
      <c r="D845" s="25" t="s">
        <v>19346</v>
      </c>
      <c r="E845" s="26" t="s">
        <v>16544</v>
      </c>
      <c r="F845" s="27" t="s">
        <v>16830</v>
      </c>
      <c r="G845" s="27" t="s">
        <v>16831</v>
      </c>
      <c r="H845" s="27" t="s">
        <v>16881</v>
      </c>
      <c r="I845" s="27" t="s">
        <v>17353</v>
      </c>
      <c r="J845" s="27"/>
      <c r="K845" s="27"/>
      <c r="L845" s="27"/>
      <c r="N845" s="27"/>
      <c r="T845" s="28" t="str">
        <f>LOOKUP(1,1/(Table1[[#This Row],[Level_0]:[Level 15]]&gt;0),(Table1[[#This Row],[Level_0]:[Level 15]]))</f>
        <v>7600301044 - [DAA Master Data Service SAP]</v>
      </c>
      <c r="U845" s="22">
        <v>840</v>
      </c>
      <c r="W845" s="13" t="str">
        <f>LOOKUP(1,1/(Table1[[#This Row],[Level_0]:[Level 15]]&gt;0),(Table1[[#This Row],[Level_0]:[Level 15]]))</f>
        <v>7600301044 - [DAA Master Data Service SAP]</v>
      </c>
    </row>
    <row r="846" spans="1:23" hidden="1" x14ac:dyDescent="0.25">
      <c r="A846">
        <v>7600301042</v>
      </c>
      <c r="B846" s="16" t="s">
        <v>21157</v>
      </c>
      <c r="C846" s="16" t="e">
        <f>VLOOKUP(Table1[[#This Row],[Node]],Parent!A:B,2,0)</f>
        <v>#N/A</v>
      </c>
      <c r="D846" s="25" t="s">
        <v>19346</v>
      </c>
      <c r="E846" s="26" t="s">
        <v>16544</v>
      </c>
      <c r="F846" s="27" t="s">
        <v>16830</v>
      </c>
      <c r="G846" s="27" t="s">
        <v>16831</v>
      </c>
      <c r="H846" s="27" t="s">
        <v>16881</v>
      </c>
      <c r="I846" s="27" t="s">
        <v>17354</v>
      </c>
      <c r="J846" s="27"/>
      <c r="K846" s="27"/>
      <c r="L846" s="27"/>
      <c r="N846" s="27"/>
      <c r="T846" s="28" t="str">
        <f>LOOKUP(1,1/(Table1[[#This Row],[Level_0]:[Level 15]]&gt;0),(Table1[[#This Row],[Level_0]:[Level 15]]))</f>
        <v>7600301042 - [DAA Studies Techn. Projects]</v>
      </c>
      <c r="U846" s="22">
        <v>841</v>
      </c>
      <c r="W846" s="13" t="str">
        <f>LOOKUP(1,1/(Table1[[#This Row],[Level_0]:[Level 15]]&gt;0),(Table1[[#This Row],[Level_0]:[Level 15]]))</f>
        <v>7600301042 - [DAA Studies Techn. Projects]</v>
      </c>
    </row>
    <row r="847" spans="1:23" hidden="1" x14ac:dyDescent="0.25">
      <c r="A847">
        <v>7600301041</v>
      </c>
      <c r="B847" s="16" t="s">
        <v>21156</v>
      </c>
      <c r="C847" s="16" t="e">
        <f>VLOOKUP(Table1[[#This Row],[Node]],Parent!A:B,2,0)</f>
        <v>#N/A</v>
      </c>
      <c r="D847" s="25" t="s">
        <v>19346</v>
      </c>
      <c r="E847" s="26" t="s">
        <v>16544</v>
      </c>
      <c r="F847" s="27" t="s">
        <v>16830</v>
      </c>
      <c r="G847" s="27" t="s">
        <v>16831</v>
      </c>
      <c r="H847" s="27" t="s">
        <v>16881</v>
      </c>
      <c r="I847" s="27" t="s">
        <v>17355</v>
      </c>
      <c r="J847" s="27"/>
      <c r="K847" s="27"/>
      <c r="L847" s="27"/>
      <c r="N847" s="27"/>
      <c r="T847" s="28" t="str">
        <f>LOOKUP(1,1/(Table1[[#This Row],[Level_0]:[Level 15]]&gt;0),(Table1[[#This Row],[Level_0]:[Level 15]]))</f>
        <v>7600301041 - [DAA Techn. Project Develop.]</v>
      </c>
      <c r="U847" s="22">
        <v>842</v>
      </c>
      <c r="W847" s="13" t="str">
        <f>LOOKUP(1,1/(Table1[[#This Row],[Level_0]:[Level 15]]&gt;0),(Table1[[#This Row],[Level_0]:[Level 15]]))</f>
        <v>7600301041 - [DAA Techn. Project Develop.]</v>
      </c>
    </row>
    <row r="848" spans="1:23" hidden="1" x14ac:dyDescent="0.25">
      <c r="A848">
        <v>7600301037</v>
      </c>
      <c r="B848" s="16" t="s">
        <v>21153</v>
      </c>
      <c r="C848" s="16" t="e">
        <f>VLOOKUP(Table1[[#This Row],[Node]],Parent!A:B,2,0)</f>
        <v>#N/A</v>
      </c>
      <c r="D848" s="25" t="s">
        <v>19346</v>
      </c>
      <c r="E848" s="26" t="s">
        <v>16544</v>
      </c>
      <c r="F848" s="27" t="s">
        <v>16830</v>
      </c>
      <c r="G848" s="27" t="s">
        <v>16831</v>
      </c>
      <c r="H848" s="27" t="s">
        <v>16881</v>
      </c>
      <c r="I848" s="27" t="s">
        <v>17356</v>
      </c>
      <c r="J848" s="27"/>
      <c r="K848" s="27"/>
      <c r="L848" s="27"/>
      <c r="N848" s="27"/>
      <c r="T848" s="28" t="str">
        <f>LOOKUP(1,1/(Table1[[#This Row],[Level_0]:[Level 15]]&gt;0),(Table1[[#This Row],[Level_0]:[Level 15]]))</f>
        <v>7600301037 - [DAA CAE Comos]</v>
      </c>
      <c r="U848" s="22">
        <v>843</v>
      </c>
      <c r="W848" s="13" t="str">
        <f>LOOKUP(1,1/(Table1[[#This Row],[Level_0]:[Level 15]]&gt;0),(Table1[[#This Row],[Level_0]:[Level 15]]))</f>
        <v>7600301037 - [DAA CAE Comos]</v>
      </c>
    </row>
    <row r="849" spans="1:23" hidden="1" x14ac:dyDescent="0.25">
      <c r="A849">
        <v>7600301035</v>
      </c>
      <c r="B849" s="16" t="s">
        <v>21151</v>
      </c>
      <c r="C849" s="16" t="e">
        <f>VLOOKUP(Table1[[#This Row],[Node]],Parent!A:B,2,0)</f>
        <v>#N/A</v>
      </c>
      <c r="D849" s="25" t="s">
        <v>19346</v>
      </c>
      <c r="E849" s="26" t="s">
        <v>16544</v>
      </c>
      <c r="F849" s="27" t="s">
        <v>16830</v>
      </c>
      <c r="G849" s="27" t="s">
        <v>16831</v>
      </c>
      <c r="H849" s="27" t="s">
        <v>16881</v>
      </c>
      <c r="I849" s="27" t="s">
        <v>17357</v>
      </c>
      <c r="J849" s="27"/>
      <c r="K849" s="27"/>
      <c r="L849" s="27"/>
      <c r="N849" s="27"/>
      <c r="T849" s="28" t="str">
        <f>LOOKUP(1,1/(Table1[[#This Row],[Level_0]:[Level 15]]&gt;0),(Table1[[#This Row],[Level_0]:[Level 15]]))</f>
        <v>7600301035 - [DAA Inspection chem. hoses]</v>
      </c>
      <c r="U849" s="22">
        <v>844</v>
      </c>
      <c r="W849" s="13" t="str">
        <f>LOOKUP(1,1/(Table1[[#This Row],[Level_0]:[Level 15]]&gt;0),(Table1[[#This Row],[Level_0]:[Level 15]]))</f>
        <v>7600301035 - [DAA Inspection chem. hoses]</v>
      </c>
    </row>
    <row r="850" spans="1:23" hidden="1" x14ac:dyDescent="0.25">
      <c r="A850">
        <v>7600301034</v>
      </c>
      <c r="B850" s="16" t="s">
        <v>21151</v>
      </c>
      <c r="C850" s="16" t="e">
        <f>VLOOKUP(Table1[[#This Row],[Node]],Parent!A:B,2,0)</f>
        <v>#N/A</v>
      </c>
      <c r="D850" s="25" t="s">
        <v>19346</v>
      </c>
      <c r="E850" s="26" t="s">
        <v>16544</v>
      </c>
      <c r="F850" s="27" t="s">
        <v>16830</v>
      </c>
      <c r="G850" s="27" t="s">
        <v>16831</v>
      </c>
      <c r="H850" s="27" t="s">
        <v>16881</v>
      </c>
      <c r="I850" s="27" t="s">
        <v>17358</v>
      </c>
      <c r="J850" s="27"/>
      <c r="K850" s="27"/>
      <c r="L850" s="27"/>
      <c r="N850" s="27"/>
      <c r="T850" s="28" t="str">
        <f>LOOKUP(1,1/(Table1[[#This Row],[Level_0]:[Level 15]]&gt;0),(Table1[[#This Row],[Level_0]:[Level 15]]))</f>
        <v>7600301034 - [DAA Inspection chem. hoses]</v>
      </c>
      <c r="U850" s="22">
        <v>845</v>
      </c>
      <c r="W850" s="13" t="str">
        <f>LOOKUP(1,1/(Table1[[#This Row],[Level_0]:[Level 15]]&gt;0),(Table1[[#This Row],[Level_0]:[Level 15]]))</f>
        <v>7600301034 - [DAA Inspection chem. hoses]</v>
      </c>
    </row>
    <row r="851" spans="1:23" hidden="1" x14ac:dyDescent="0.25">
      <c r="A851">
        <v>7600301033</v>
      </c>
      <c r="B851" s="16" t="s">
        <v>21150</v>
      </c>
      <c r="C851" s="16" t="e">
        <f>VLOOKUP(Table1[[#This Row],[Node]],Parent!A:B,2,0)</f>
        <v>#N/A</v>
      </c>
      <c r="D851" s="25" t="s">
        <v>19346</v>
      </c>
      <c r="E851" s="26" t="s">
        <v>16544</v>
      </c>
      <c r="F851" s="27" t="s">
        <v>16830</v>
      </c>
      <c r="G851" s="27" t="s">
        <v>16831</v>
      </c>
      <c r="H851" s="27" t="s">
        <v>16881</v>
      </c>
      <c r="I851" s="27" t="s">
        <v>17359</v>
      </c>
      <c r="J851" s="27"/>
      <c r="K851" s="27"/>
      <c r="L851" s="27"/>
      <c r="N851" s="27"/>
      <c r="T851" s="28" t="str">
        <f>LOOKUP(1,1/(Table1[[#This Row],[Level_0]:[Level 15]]&gt;0),(Table1[[#This Row],[Level_0]:[Level 15]]))</f>
        <v>7600301033 - [DAA Copper network]</v>
      </c>
      <c r="U851" s="22">
        <v>846</v>
      </c>
      <c r="W851" s="13" t="str">
        <f>LOOKUP(1,1/(Table1[[#This Row],[Level_0]:[Level 15]]&gt;0),(Table1[[#This Row],[Level_0]:[Level 15]]))</f>
        <v>7600301033 - [DAA Copper network]</v>
      </c>
    </row>
    <row r="852" spans="1:23" hidden="1" x14ac:dyDescent="0.25">
      <c r="A852">
        <v>7600301032</v>
      </c>
      <c r="B852" s="16" t="s">
        <v>21149</v>
      </c>
      <c r="C852" s="16" t="e">
        <f>VLOOKUP(Table1[[#This Row],[Node]],Parent!A:B,2,0)</f>
        <v>#N/A</v>
      </c>
      <c r="D852" s="25" t="s">
        <v>19346</v>
      </c>
      <c r="E852" s="26" t="s">
        <v>16544</v>
      </c>
      <c r="F852" s="27" t="s">
        <v>16830</v>
      </c>
      <c r="G852" s="27" t="s">
        <v>16831</v>
      </c>
      <c r="H852" s="27" t="s">
        <v>16881</v>
      </c>
      <c r="I852" s="27" t="s">
        <v>17360</v>
      </c>
      <c r="J852" s="27"/>
      <c r="K852" s="27"/>
      <c r="L852" s="27"/>
      <c r="N852" s="27"/>
      <c r="T852" s="28" t="str">
        <f>LOOKUP(1,1/(Table1[[#This Row],[Level_0]:[Level 15]]&gt;0),(Table1[[#This Row],[Level_0]:[Level 15]]))</f>
        <v>7600301032 - [DAA Fiber optic network]</v>
      </c>
      <c r="U852" s="22">
        <v>847</v>
      </c>
      <c r="W852" s="13" t="str">
        <f>LOOKUP(1,1/(Table1[[#This Row],[Level_0]:[Level 15]]&gt;0),(Table1[[#This Row],[Level_0]:[Level 15]]))</f>
        <v>7600301032 - [DAA Fiber optic network]</v>
      </c>
    </row>
    <row r="853" spans="1:23" hidden="1" x14ac:dyDescent="0.25">
      <c r="A853">
        <v>7600301030</v>
      </c>
      <c r="B853" s="16" t="s">
        <v>21147</v>
      </c>
      <c r="C853" s="16" t="e">
        <f>VLOOKUP(Table1[[#This Row],[Node]],Parent!A:B,2,0)</f>
        <v>#N/A</v>
      </c>
      <c r="D853" s="25" t="s">
        <v>19346</v>
      </c>
      <c r="E853" s="26" t="s">
        <v>16544</v>
      </c>
      <c r="F853" s="27" t="s">
        <v>16830</v>
      </c>
      <c r="G853" s="27" t="s">
        <v>16831</v>
      </c>
      <c r="H853" s="27" t="s">
        <v>16881</v>
      </c>
      <c r="I853" s="27" t="s">
        <v>17361</v>
      </c>
      <c r="J853" s="27"/>
      <c r="K853" s="27"/>
      <c r="L853" s="27"/>
      <c r="N853" s="27"/>
      <c r="T853" s="28" t="str">
        <f>LOOKUP(1,1/(Table1[[#This Row],[Level_0]:[Level 15]]&gt;0),(Table1[[#This Row],[Level_0]:[Level 15]]))</f>
        <v>7600301030 - [DAA Monitoring of climate]</v>
      </c>
      <c r="U853" s="22">
        <v>848</v>
      </c>
      <c r="W853" s="13" t="str">
        <f>LOOKUP(1,1/(Table1[[#This Row],[Level_0]:[Level 15]]&gt;0),(Table1[[#This Row],[Level_0]:[Level 15]]))</f>
        <v>7600301030 - [DAA Monitoring of climate]</v>
      </c>
    </row>
    <row r="854" spans="1:23" hidden="1" x14ac:dyDescent="0.25">
      <c r="A854">
        <v>7600301028</v>
      </c>
      <c r="B854" s="16" t="s">
        <v>21145</v>
      </c>
      <c r="C854" s="16" t="e">
        <f>VLOOKUP(Table1[[#This Row],[Node]],Parent!A:B,2,0)</f>
        <v>#N/A</v>
      </c>
      <c r="D854" s="25" t="s">
        <v>19346</v>
      </c>
      <c r="E854" s="26" t="s">
        <v>16544</v>
      </c>
      <c r="F854" s="27" t="s">
        <v>16830</v>
      </c>
      <c r="G854" s="27" t="s">
        <v>16831</v>
      </c>
      <c r="H854" s="27" t="s">
        <v>16881</v>
      </c>
      <c r="I854" s="27" t="s">
        <v>17362</v>
      </c>
      <c r="J854" s="27"/>
      <c r="K854" s="27"/>
      <c r="L854" s="27"/>
      <c r="N854" s="27"/>
      <c r="T854" s="28" t="str">
        <f>LOOKUP(1,1/(Table1[[#This Row],[Level_0]:[Level 15]]&gt;0),(Table1[[#This Row],[Level_0]:[Level 15]]))</f>
        <v>7600301028 - [DAA Inspection according to WRA (WHG)]</v>
      </c>
      <c r="U854" s="22">
        <v>849</v>
      </c>
      <c r="W854" s="13" t="str">
        <f>LOOKUP(1,1/(Table1[[#This Row],[Level_0]:[Level 15]]&gt;0),(Table1[[#This Row],[Level_0]:[Level 15]]))</f>
        <v>7600301028 - [DAA Inspection according to WRA (WHG)]</v>
      </c>
    </row>
    <row r="855" spans="1:23" hidden="1" x14ac:dyDescent="0.25">
      <c r="A855">
        <v>7600301027</v>
      </c>
      <c r="B855" s="16" t="s">
        <v>21144</v>
      </c>
      <c r="C855" s="16" t="e">
        <f>VLOOKUP(Table1[[#This Row],[Node]],Parent!A:B,2,0)</f>
        <v>#N/A</v>
      </c>
      <c r="D855" s="25" t="s">
        <v>19346</v>
      </c>
      <c r="E855" s="26" t="s">
        <v>16544</v>
      </c>
      <c r="F855" s="27" t="s">
        <v>16830</v>
      </c>
      <c r="G855" s="27" t="s">
        <v>16831</v>
      </c>
      <c r="H855" s="27" t="s">
        <v>16881</v>
      </c>
      <c r="I855" s="27" t="s">
        <v>17363</v>
      </c>
      <c r="J855" s="27"/>
      <c r="K855" s="27"/>
      <c r="L855" s="27"/>
      <c r="N855" s="27"/>
      <c r="T855" s="28" t="str">
        <f>LOOKUP(1,1/(Table1[[#This Row],[Level_0]:[Level 15]]&gt;0),(Table1[[#This Row],[Level_0]:[Level 15]]))</f>
        <v>7600301027 - [DAA Inspect. systems/equip.]</v>
      </c>
      <c r="U855" s="22">
        <v>850</v>
      </c>
      <c r="W855" s="13" t="str">
        <f>LOOKUP(1,1/(Table1[[#This Row],[Level_0]:[Level 15]]&gt;0),(Table1[[#This Row],[Level_0]:[Level 15]]))</f>
        <v>7600301027 - [DAA Inspect. systems/equip.]</v>
      </c>
    </row>
    <row r="856" spans="1:23" hidden="1" x14ac:dyDescent="0.25">
      <c r="A856">
        <v>7600301026</v>
      </c>
      <c r="B856" s="16" t="s">
        <v>21143</v>
      </c>
      <c r="C856" s="16" t="e">
        <f>VLOOKUP(Table1[[#This Row],[Node]],Parent!A:B,2,0)</f>
        <v>#N/A</v>
      </c>
      <c r="D856" s="25" t="s">
        <v>19346</v>
      </c>
      <c r="E856" s="26" t="s">
        <v>16544</v>
      </c>
      <c r="F856" s="27" t="s">
        <v>16830</v>
      </c>
      <c r="G856" s="27" t="s">
        <v>16831</v>
      </c>
      <c r="H856" s="27" t="s">
        <v>16881</v>
      </c>
      <c r="I856" s="27" t="s">
        <v>17364</v>
      </c>
      <c r="J856" s="27"/>
      <c r="K856" s="27"/>
      <c r="L856" s="27"/>
      <c r="N856" s="27"/>
      <c r="T856" s="28" t="str">
        <f>LOOKUP(1,1/(Table1[[#This Row],[Level_0]:[Level 15]]&gt;0),(Table1[[#This Row],[Level_0]:[Level 15]]))</f>
        <v>7600301026 - [DAA CE Label Assessment]</v>
      </c>
      <c r="U856" s="22">
        <v>851</v>
      </c>
      <c r="W856" s="13" t="str">
        <f>LOOKUP(1,1/(Table1[[#This Row],[Level_0]:[Level 15]]&gt;0),(Table1[[#This Row],[Level_0]:[Level 15]]))</f>
        <v>7600301026 - [DAA CE Label Assessment]</v>
      </c>
    </row>
    <row r="857" spans="1:23" hidden="1" x14ac:dyDescent="0.25">
      <c r="A857">
        <v>7600301024</v>
      </c>
      <c r="B857" s="16" t="s">
        <v>21141</v>
      </c>
      <c r="C857" s="16" t="e">
        <f>VLOOKUP(Table1[[#This Row],[Node]],Parent!A:B,2,0)</f>
        <v>#N/A</v>
      </c>
      <c r="D857" s="25" t="s">
        <v>19346</v>
      </c>
      <c r="E857" s="26" t="s">
        <v>16544</v>
      </c>
      <c r="F857" s="27" t="s">
        <v>16830</v>
      </c>
      <c r="G857" s="27" t="s">
        <v>16831</v>
      </c>
      <c r="H857" s="27" t="s">
        <v>16881</v>
      </c>
      <c r="I857" s="27" t="s">
        <v>17365</v>
      </c>
      <c r="J857" s="27"/>
      <c r="K857" s="27"/>
      <c r="L857" s="27"/>
      <c r="N857" s="27"/>
      <c r="T857" s="28" t="str">
        <f>LOOKUP(1,1/(Table1[[#This Row],[Level_0]:[Level 15]]&gt;0),(Table1[[#This Row],[Level_0]:[Level 15]]))</f>
        <v>7600301024 - [DAA Manufact. of pipelines]</v>
      </c>
      <c r="U857" s="22">
        <v>852</v>
      </c>
      <c r="W857" s="13" t="str">
        <f>LOOKUP(1,1/(Table1[[#This Row],[Level_0]:[Level 15]]&gt;0),(Table1[[#This Row],[Level_0]:[Level 15]]))</f>
        <v>7600301024 - [DAA Manufact. of pipelines]</v>
      </c>
    </row>
    <row r="858" spans="1:23" hidden="1" x14ac:dyDescent="0.25">
      <c r="A858">
        <v>7600301023</v>
      </c>
      <c r="B858" s="16" t="s">
        <v>21140</v>
      </c>
      <c r="C858" s="16" t="e">
        <f>VLOOKUP(Table1[[#This Row],[Node]],Parent!A:B,2,0)</f>
        <v>#N/A</v>
      </c>
      <c r="D858" s="25" t="s">
        <v>19346</v>
      </c>
      <c r="E858" s="26" t="s">
        <v>16544</v>
      </c>
      <c r="F858" s="27" t="s">
        <v>16830</v>
      </c>
      <c r="G858" s="27" t="s">
        <v>16831</v>
      </c>
      <c r="H858" s="27" t="s">
        <v>16881</v>
      </c>
      <c r="I858" s="27" t="s">
        <v>17366</v>
      </c>
      <c r="J858" s="27"/>
      <c r="K858" s="27"/>
      <c r="L858" s="27"/>
      <c r="N858" s="27"/>
      <c r="T858" s="28" t="str">
        <f>LOOKUP(1,1/(Table1[[#This Row],[Level_0]:[Level 15]]&gt;0),(Table1[[#This Row],[Level_0]:[Level 15]]))</f>
        <v>7600301023 - [DAA Construction]</v>
      </c>
      <c r="U858" s="22">
        <v>853</v>
      </c>
      <c r="W858" s="13" t="str">
        <f>LOOKUP(1,1/(Table1[[#This Row],[Level_0]:[Level 15]]&gt;0),(Table1[[#This Row],[Level_0]:[Level 15]]))</f>
        <v>7600301023 - [DAA Construction]</v>
      </c>
    </row>
    <row r="859" spans="1:23" hidden="1" x14ac:dyDescent="0.25">
      <c r="A859">
        <v>7600301022</v>
      </c>
      <c r="B859" s="16" t="s">
        <v>21139</v>
      </c>
      <c r="C859" s="16" t="e">
        <f>VLOOKUP(Table1[[#This Row],[Node]],Parent!A:B,2,0)</f>
        <v>#N/A</v>
      </c>
      <c r="D859" s="25" t="s">
        <v>19346</v>
      </c>
      <c r="E859" s="26" t="s">
        <v>16544</v>
      </c>
      <c r="F859" s="27" t="s">
        <v>16830</v>
      </c>
      <c r="G859" s="27" t="s">
        <v>16831</v>
      </c>
      <c r="H859" s="27" t="s">
        <v>16881</v>
      </c>
      <c r="I859" s="27" t="s">
        <v>17367</v>
      </c>
      <c r="J859" s="27"/>
      <c r="K859" s="27"/>
      <c r="L859" s="27"/>
      <c r="N859" s="27"/>
      <c r="T859" s="28" t="str">
        <f>LOOKUP(1,1/(Table1[[#This Row],[Level_0]:[Level 15]]&gt;0),(Table1[[#This Row],[Level_0]:[Level 15]]))</f>
        <v>7600301022 - [DAA Manufacturing of hoses]</v>
      </c>
      <c r="U859" s="22">
        <v>854</v>
      </c>
      <c r="W859" s="13" t="str">
        <f>LOOKUP(1,1/(Table1[[#This Row],[Level_0]:[Level 15]]&gt;0),(Table1[[#This Row],[Level_0]:[Level 15]]))</f>
        <v>7600301022 - [DAA Manufacturing of hoses]</v>
      </c>
    </row>
    <row r="860" spans="1:23" hidden="1" x14ac:dyDescent="0.25">
      <c r="A860">
        <v>7600301021</v>
      </c>
      <c r="B860" s="16" t="s">
        <v>21138</v>
      </c>
      <c r="C860" s="16" t="e">
        <f>VLOOKUP(Table1[[#This Row],[Node]],Parent!A:B,2,0)</f>
        <v>#N/A</v>
      </c>
      <c r="D860" s="25" t="s">
        <v>19346</v>
      </c>
      <c r="E860" s="26" t="s">
        <v>16544</v>
      </c>
      <c r="F860" s="27" t="s">
        <v>16830</v>
      </c>
      <c r="G860" s="27" t="s">
        <v>16831</v>
      </c>
      <c r="H860" s="27" t="s">
        <v>16881</v>
      </c>
      <c r="I860" s="27" t="s">
        <v>17368</v>
      </c>
      <c r="J860" s="27"/>
      <c r="K860" s="27"/>
      <c r="L860" s="27"/>
      <c r="N860" s="27"/>
      <c r="T860" s="28" t="str">
        <f>LOOKUP(1,1/(Table1[[#This Row],[Level_0]:[Level 15]]&gt;0),(Table1[[#This Row],[Level_0]:[Level 15]]))</f>
        <v>7600301021 - [DAA Parts and Compenents]</v>
      </c>
      <c r="U860" s="22">
        <v>855</v>
      </c>
      <c r="W860" s="13" t="str">
        <f>LOOKUP(1,1/(Table1[[#This Row],[Level_0]:[Level 15]]&gt;0),(Table1[[#This Row],[Level_0]:[Level 15]]))</f>
        <v>7600301021 - [DAA Parts and Compenents]</v>
      </c>
    </row>
    <row r="861" spans="1:23" hidden="1" x14ac:dyDescent="0.25">
      <c r="A861">
        <v>7600301019</v>
      </c>
      <c r="B861" s="16" t="s">
        <v>21136</v>
      </c>
      <c r="C861" s="16" t="e">
        <f>VLOOKUP(Table1[[#This Row],[Node]],Parent!A:B,2,0)</f>
        <v>#N/A</v>
      </c>
      <c r="D861" s="25" t="s">
        <v>19346</v>
      </c>
      <c r="E861" s="26" t="s">
        <v>16544</v>
      </c>
      <c r="F861" s="27" t="s">
        <v>16830</v>
      </c>
      <c r="G861" s="27" t="s">
        <v>16831</v>
      </c>
      <c r="H861" s="27" t="s">
        <v>16881</v>
      </c>
      <c r="I861" s="27" t="s">
        <v>17369</v>
      </c>
      <c r="J861" s="27"/>
      <c r="K861" s="27"/>
      <c r="L861" s="27"/>
      <c r="N861" s="27"/>
      <c r="T861" s="28" t="str">
        <f>LOOKUP(1,1/(Table1[[#This Row],[Level_0]:[Level 15]]&gt;0),(Table1[[#This Row],[Level_0]:[Level 15]]))</f>
        <v>7600301019 - [DAA Industrial assembly]</v>
      </c>
      <c r="U861" s="22">
        <v>856</v>
      </c>
      <c r="W861" s="13" t="str">
        <f>LOOKUP(1,1/(Table1[[#This Row],[Level_0]:[Level 15]]&gt;0),(Table1[[#This Row],[Level_0]:[Level 15]]))</f>
        <v>7600301019 - [DAA Industrial assembly]</v>
      </c>
    </row>
    <row r="862" spans="1:23" hidden="1" x14ac:dyDescent="0.25">
      <c r="A862">
        <v>7600301018</v>
      </c>
      <c r="B862" s="16" t="s">
        <v>21135</v>
      </c>
      <c r="C862" s="16" t="e">
        <f>VLOOKUP(Table1[[#This Row],[Node]],Parent!A:B,2,0)</f>
        <v>#N/A</v>
      </c>
      <c r="D862" s="25" t="s">
        <v>19346</v>
      </c>
      <c r="E862" s="26" t="s">
        <v>16544</v>
      </c>
      <c r="F862" s="27" t="s">
        <v>16830</v>
      </c>
      <c r="G862" s="27" t="s">
        <v>16831</v>
      </c>
      <c r="H862" s="27" t="s">
        <v>16881</v>
      </c>
      <c r="I862" s="27" t="s">
        <v>17370</v>
      </c>
      <c r="J862" s="27"/>
      <c r="K862" s="27"/>
      <c r="L862" s="27"/>
      <c r="N862" s="27"/>
      <c r="T862" s="28" t="str">
        <f>LOOKUP(1,1/(Table1[[#This Row],[Level_0]:[Level 15]]&gt;0),(Table1[[#This Row],[Level_0]:[Level 15]]))</f>
        <v>7600301018 - [DAA 3-shift model]</v>
      </c>
      <c r="U862" s="22">
        <v>857</v>
      </c>
      <c r="W862" s="13" t="str">
        <f>LOOKUP(1,1/(Table1[[#This Row],[Level_0]:[Level 15]]&gt;0),(Table1[[#This Row],[Level_0]:[Level 15]]))</f>
        <v>7600301018 - [DAA 3-shift model]</v>
      </c>
    </row>
    <row r="863" spans="1:23" hidden="1" x14ac:dyDescent="0.25">
      <c r="A863">
        <v>7600301017</v>
      </c>
      <c r="B863" s="16" t="s">
        <v>21134</v>
      </c>
      <c r="C863" s="16" t="e">
        <f>VLOOKUP(Table1[[#This Row],[Node]],Parent!A:B,2,0)</f>
        <v>#N/A</v>
      </c>
      <c r="D863" s="25" t="s">
        <v>19346</v>
      </c>
      <c r="E863" s="26" t="s">
        <v>16544</v>
      </c>
      <c r="F863" s="27" t="s">
        <v>16830</v>
      </c>
      <c r="G863" s="27" t="s">
        <v>16831</v>
      </c>
      <c r="H863" s="27" t="s">
        <v>16881</v>
      </c>
      <c r="I863" s="27" t="s">
        <v>17371</v>
      </c>
      <c r="J863" s="27"/>
      <c r="K863" s="27"/>
      <c r="L863" s="27"/>
      <c r="N863" s="27"/>
      <c r="T863" s="28" t="str">
        <f>LOOKUP(1,1/(Table1[[#This Row],[Level_0]:[Level 15]]&gt;0),(Table1[[#This Row],[Level_0]:[Level 15]]))</f>
        <v>7600301017 - [DAA 4-shift model]</v>
      </c>
      <c r="U863" s="22">
        <v>858</v>
      </c>
      <c r="W863" s="13" t="str">
        <f>LOOKUP(1,1/(Table1[[#This Row],[Level_0]:[Level 15]]&gt;0),(Table1[[#This Row],[Level_0]:[Level 15]]))</f>
        <v>7600301017 - [DAA 4-shift model]</v>
      </c>
    </row>
    <row r="864" spans="1:23" hidden="1" x14ac:dyDescent="0.25">
      <c r="A864">
        <v>7600301016</v>
      </c>
      <c r="B864" s="16" t="s">
        <v>21133</v>
      </c>
      <c r="C864" s="16" t="e">
        <f>VLOOKUP(Table1[[#This Row],[Node]],Parent!A:B,2,0)</f>
        <v>#N/A</v>
      </c>
      <c r="D864" s="25" t="s">
        <v>19346</v>
      </c>
      <c r="E864" s="26" t="s">
        <v>16544</v>
      </c>
      <c r="F864" s="27" t="s">
        <v>16830</v>
      </c>
      <c r="G864" s="27" t="s">
        <v>16831</v>
      </c>
      <c r="H864" s="27" t="s">
        <v>16881</v>
      </c>
      <c r="I864" s="27" t="s">
        <v>17372</v>
      </c>
      <c r="J864" s="27"/>
      <c r="K864" s="27"/>
      <c r="L864" s="27"/>
      <c r="N864" s="27"/>
      <c r="T864" s="28" t="str">
        <f>LOOKUP(1,1/(Table1[[#This Row],[Level_0]:[Level 15]]&gt;0),(Table1[[#This Row],[Level_0]:[Level 15]]))</f>
        <v>7600301016 - [DAA 5-shift model]</v>
      </c>
      <c r="U864" s="22">
        <v>859</v>
      </c>
      <c r="W864" s="13" t="str">
        <f>LOOKUP(1,1/(Table1[[#This Row],[Level_0]:[Level 15]]&gt;0),(Table1[[#This Row],[Level_0]:[Level 15]]))</f>
        <v>7600301016 - [DAA 5-shift model]</v>
      </c>
    </row>
    <row r="865" spans="1:23" hidden="1" x14ac:dyDescent="0.25">
      <c r="A865">
        <v>7600301013</v>
      </c>
      <c r="B865" s="16" t="s">
        <v>21130</v>
      </c>
      <c r="C865" s="16" t="e">
        <f>VLOOKUP(Table1[[#This Row],[Node]],Parent!A:B,2,0)</f>
        <v>#N/A</v>
      </c>
      <c r="D865" s="25" t="s">
        <v>19346</v>
      </c>
      <c r="E865" s="26" t="s">
        <v>16544</v>
      </c>
      <c r="F865" s="27" t="s">
        <v>16830</v>
      </c>
      <c r="G865" s="27" t="s">
        <v>16831</v>
      </c>
      <c r="H865" s="27" t="s">
        <v>16881</v>
      </c>
      <c r="I865" s="27" t="s">
        <v>17373</v>
      </c>
      <c r="J865" s="27"/>
      <c r="K865" s="27"/>
      <c r="L865" s="27"/>
      <c r="N865" s="27"/>
      <c r="T865" s="28" t="str">
        <f>LOOKUP(1,1/(Table1[[#This Row],[Level_0]:[Level 15]]&gt;0),(Table1[[#This Row],[Level_0]:[Level 15]]))</f>
        <v>7600301013 - [DAA Equip./Machine rental 3]</v>
      </c>
      <c r="U865" s="22">
        <v>860</v>
      </c>
      <c r="W865" s="13" t="str">
        <f>LOOKUP(1,1/(Table1[[#This Row],[Level_0]:[Level 15]]&gt;0),(Table1[[#This Row],[Level_0]:[Level 15]]))</f>
        <v>7600301013 - [DAA Equip./Machine rental 3]</v>
      </c>
    </row>
    <row r="866" spans="1:23" hidden="1" x14ac:dyDescent="0.25">
      <c r="A866">
        <v>7600301012</v>
      </c>
      <c r="B866" s="16" t="s">
        <v>21129</v>
      </c>
      <c r="C866" s="16" t="e">
        <f>VLOOKUP(Table1[[#This Row],[Node]],Parent!A:B,2,0)</f>
        <v>#N/A</v>
      </c>
      <c r="D866" s="25" t="s">
        <v>19346</v>
      </c>
      <c r="E866" s="26" t="s">
        <v>16544</v>
      </c>
      <c r="F866" s="27" t="s">
        <v>16830</v>
      </c>
      <c r="G866" s="27" t="s">
        <v>16831</v>
      </c>
      <c r="H866" s="27" t="s">
        <v>16881</v>
      </c>
      <c r="I866" s="27" t="s">
        <v>17374</v>
      </c>
      <c r="J866" s="27"/>
      <c r="K866" s="27"/>
      <c r="L866" s="27"/>
      <c r="N866" s="27"/>
      <c r="T866" s="28" t="str">
        <f>LOOKUP(1,1/(Table1[[#This Row],[Level_0]:[Level 15]]&gt;0),(Table1[[#This Row],[Level_0]:[Level 15]]))</f>
        <v>7600301012 - [DAA Equip./Machine rental 2]</v>
      </c>
      <c r="U866" s="22">
        <v>861</v>
      </c>
      <c r="W866" s="13" t="str">
        <f>LOOKUP(1,1/(Table1[[#This Row],[Level_0]:[Level 15]]&gt;0),(Table1[[#This Row],[Level_0]:[Level 15]]))</f>
        <v>7600301012 - [DAA Equip./Machine rental 2]</v>
      </c>
    </row>
    <row r="867" spans="1:23" hidden="1" x14ac:dyDescent="0.25">
      <c r="A867">
        <v>7600301010</v>
      </c>
      <c r="B867" s="16" t="s">
        <v>21127</v>
      </c>
      <c r="C867" s="16" t="e">
        <f>VLOOKUP(Table1[[#This Row],[Node]],Parent!A:B,2,0)</f>
        <v>#N/A</v>
      </c>
      <c r="D867" s="25" t="s">
        <v>19346</v>
      </c>
      <c r="E867" s="26" t="s">
        <v>16544</v>
      </c>
      <c r="F867" s="27" t="s">
        <v>16830</v>
      </c>
      <c r="G867" s="27" t="s">
        <v>16831</v>
      </c>
      <c r="H867" s="27" t="s">
        <v>16881</v>
      </c>
      <c r="I867" s="27" t="s">
        <v>17375</v>
      </c>
      <c r="J867" s="27"/>
      <c r="K867" s="27"/>
      <c r="L867" s="27"/>
      <c r="N867" s="27"/>
      <c r="T867" s="28" t="str">
        <f>LOOKUP(1,1/(Table1[[#This Row],[Level_0]:[Level 15]]&gt;0),(Table1[[#This Row],[Level_0]:[Level 15]]))</f>
        <v>7600301010 - [DAA Calib. fixed vol. pipette w/ maint.]</v>
      </c>
      <c r="U867" s="22">
        <v>862</v>
      </c>
      <c r="W867" s="13" t="str">
        <f>LOOKUP(1,1/(Table1[[#This Row],[Level_0]:[Level 15]]&gt;0),(Table1[[#This Row],[Level_0]:[Level 15]]))</f>
        <v>7600301010 - [DAA Calib. fixed vol. pipette w/ maint.]</v>
      </c>
    </row>
    <row r="868" spans="1:23" hidden="1" x14ac:dyDescent="0.25">
      <c r="A868">
        <v>7600301009</v>
      </c>
      <c r="B868" s="16" t="s">
        <v>21126</v>
      </c>
      <c r="C868" s="16" t="e">
        <f>VLOOKUP(Table1[[#This Row],[Node]],Parent!A:B,2,0)</f>
        <v>#N/A</v>
      </c>
      <c r="D868" s="25" t="s">
        <v>19346</v>
      </c>
      <c r="E868" s="26" t="s">
        <v>16544</v>
      </c>
      <c r="F868" s="27" t="s">
        <v>16830</v>
      </c>
      <c r="G868" s="27" t="s">
        <v>16831</v>
      </c>
      <c r="H868" s="27" t="s">
        <v>16881</v>
      </c>
      <c r="I868" s="27" t="s">
        <v>17376</v>
      </c>
      <c r="J868" s="27"/>
      <c r="K868" s="27"/>
      <c r="L868" s="27"/>
      <c r="N868" s="27"/>
      <c r="T868" s="28" t="str">
        <f>LOOKUP(1,1/(Table1[[#This Row],[Level_0]:[Level 15]]&gt;0),(Table1[[#This Row],[Level_0]:[Level 15]]))</f>
        <v>7600301009 - [DAA Calib. Multich. pipette (radio. 12)]</v>
      </c>
      <c r="U868" s="22">
        <v>863</v>
      </c>
      <c r="W868" s="13" t="str">
        <f>LOOKUP(1,1/(Table1[[#This Row],[Level_0]:[Level 15]]&gt;0),(Table1[[#This Row],[Level_0]:[Level 15]]))</f>
        <v>7600301009 - [DAA Calib. Multich. pipette (radio. 12)]</v>
      </c>
    </row>
    <row r="869" spans="1:23" hidden="1" x14ac:dyDescent="0.25">
      <c r="A869">
        <v>7600301008</v>
      </c>
      <c r="B869" s="16" t="s">
        <v>21125</v>
      </c>
      <c r="C869" s="16" t="e">
        <f>VLOOKUP(Table1[[#This Row],[Node]],Parent!A:B,2,0)</f>
        <v>#N/A</v>
      </c>
      <c r="D869" s="25" t="s">
        <v>19346</v>
      </c>
      <c r="E869" s="26" t="s">
        <v>16544</v>
      </c>
      <c r="F869" s="27" t="s">
        <v>16830</v>
      </c>
      <c r="G869" s="27" t="s">
        <v>16831</v>
      </c>
      <c r="H869" s="27" t="s">
        <v>16881</v>
      </c>
      <c r="I869" s="27" t="s">
        <v>17377</v>
      </c>
      <c r="J869" s="27"/>
      <c r="K869" s="27"/>
      <c r="L869" s="27"/>
      <c r="N869" s="27"/>
      <c r="T869" s="28" t="str">
        <f>LOOKUP(1,1/(Table1[[#This Row],[Level_0]:[Level 15]]&gt;0),(Table1[[#This Row],[Level_0]:[Level 15]]))</f>
        <v>7600301008 - [DAA Calibration multich. pipette (to 12)]</v>
      </c>
      <c r="U869" s="22">
        <v>864</v>
      </c>
      <c r="W869" s="13" t="str">
        <f>LOOKUP(1,1/(Table1[[#This Row],[Level_0]:[Level 15]]&gt;0),(Table1[[#This Row],[Level_0]:[Level 15]]))</f>
        <v>7600301008 - [DAA Calibration multich. pipette (to 12)]</v>
      </c>
    </row>
    <row r="870" spans="1:23" hidden="1" x14ac:dyDescent="0.25">
      <c r="A870">
        <v>7600301007</v>
      </c>
      <c r="B870" s="16" t="s">
        <v>21124</v>
      </c>
      <c r="C870" s="16" t="e">
        <f>VLOOKUP(Table1[[#This Row],[Node]],Parent!A:B,2,0)</f>
        <v>#N/A</v>
      </c>
      <c r="D870" s="25" t="s">
        <v>19346</v>
      </c>
      <c r="E870" s="26" t="s">
        <v>16544</v>
      </c>
      <c r="F870" s="27" t="s">
        <v>16830</v>
      </c>
      <c r="G870" s="27" t="s">
        <v>16831</v>
      </c>
      <c r="H870" s="27" t="s">
        <v>16881</v>
      </c>
      <c r="I870" s="27" t="s">
        <v>17378</v>
      </c>
      <c r="J870" s="27"/>
      <c r="K870" s="27"/>
      <c r="L870" s="27"/>
      <c r="N870" s="27"/>
      <c r="T870" s="28" t="str">
        <f>LOOKUP(1,1/(Table1[[#This Row],[Level_0]:[Level 15]]&gt;0),(Table1[[#This Row],[Level_0]:[Level 15]]))</f>
        <v>7600301007 - [DAA Calibration var. pipette w/o maint.]</v>
      </c>
      <c r="U870" s="22">
        <v>865</v>
      </c>
      <c r="W870" s="13" t="str">
        <f>LOOKUP(1,1/(Table1[[#This Row],[Level_0]:[Level 15]]&gt;0),(Table1[[#This Row],[Level_0]:[Level 15]]))</f>
        <v>7600301007 - [DAA Calibration var. pipette w/o maint.]</v>
      </c>
    </row>
    <row r="871" spans="1:23" hidden="1" x14ac:dyDescent="0.25">
      <c r="A871">
        <v>7600301006</v>
      </c>
      <c r="B871" s="16" t="s">
        <v>21123</v>
      </c>
      <c r="C871" s="16" t="e">
        <f>VLOOKUP(Table1[[#This Row],[Node]],Parent!A:B,2,0)</f>
        <v>#N/A</v>
      </c>
      <c r="D871" s="25" t="s">
        <v>19346</v>
      </c>
      <c r="E871" s="26" t="s">
        <v>16544</v>
      </c>
      <c r="F871" s="27" t="s">
        <v>16830</v>
      </c>
      <c r="G871" s="27" t="s">
        <v>16831</v>
      </c>
      <c r="H871" s="27" t="s">
        <v>16881</v>
      </c>
      <c r="I871" s="27" t="s">
        <v>17379</v>
      </c>
      <c r="J871" s="27"/>
      <c r="K871" s="27"/>
      <c r="L871" s="27"/>
      <c r="N871" s="27"/>
      <c r="T871" s="28" t="str">
        <f>LOOKUP(1,1/(Table1[[#This Row],[Level_0]:[Level 15]]&gt;0),(Table1[[#This Row],[Level_0]:[Level 15]]))</f>
        <v>7600301006 - [DAA Calibration var. pipette w/ maint.]</v>
      </c>
      <c r="U871" s="22">
        <v>866</v>
      </c>
      <c r="W871" s="13" t="str">
        <f>LOOKUP(1,1/(Table1[[#This Row],[Level_0]:[Level 15]]&gt;0),(Table1[[#This Row],[Level_0]:[Level 15]]))</f>
        <v>7600301006 - [DAA Calibration var. pipette w/ maint.]</v>
      </c>
    </row>
    <row r="872" spans="1:23" hidden="1" x14ac:dyDescent="0.25">
      <c r="A872">
        <v>7600301005</v>
      </c>
      <c r="B872" s="16" t="s">
        <v>21122</v>
      </c>
      <c r="C872" s="16" t="e">
        <f>VLOOKUP(Table1[[#This Row],[Node]],Parent!A:B,2,0)</f>
        <v>#N/A</v>
      </c>
      <c r="D872" s="25" t="s">
        <v>19346</v>
      </c>
      <c r="E872" s="26" t="s">
        <v>16544</v>
      </c>
      <c r="F872" s="27" t="s">
        <v>16830</v>
      </c>
      <c r="G872" s="27" t="s">
        <v>16831</v>
      </c>
      <c r="H872" s="27" t="s">
        <v>16881</v>
      </c>
      <c r="I872" s="27" t="s">
        <v>17380</v>
      </c>
      <c r="J872" s="27"/>
      <c r="K872" s="27"/>
      <c r="L872" s="27"/>
      <c r="N872" s="27"/>
      <c r="T872" s="28" t="str">
        <f>LOOKUP(1,1/(Table1[[#This Row],[Level_0]:[Level 15]]&gt;0),(Table1[[#This Row],[Level_0]:[Level 15]]))</f>
        <v>7600301005 - [DAA Calib. fixed vol. pipette w/o maint.]</v>
      </c>
      <c r="U872" s="22">
        <v>867</v>
      </c>
      <c r="W872" s="13" t="str">
        <f>LOOKUP(1,1/(Table1[[#This Row],[Level_0]:[Level 15]]&gt;0),(Table1[[#This Row],[Level_0]:[Level 15]]))</f>
        <v>7600301005 - [DAA Calib. fixed vol. pipette w/o maint.]</v>
      </c>
    </row>
    <row r="873" spans="1:23" hidden="1" x14ac:dyDescent="0.25">
      <c r="A873">
        <v>7600301004</v>
      </c>
      <c r="B873" s="16" t="s">
        <v>21121</v>
      </c>
      <c r="C873" s="16" t="e">
        <f>VLOOKUP(Table1[[#This Row],[Node]],Parent!A:B,2,0)</f>
        <v>#N/A</v>
      </c>
      <c r="D873" s="25" t="s">
        <v>19346</v>
      </c>
      <c r="E873" s="26" t="s">
        <v>16544</v>
      </c>
      <c r="F873" s="27" t="s">
        <v>16830</v>
      </c>
      <c r="G873" s="27" t="s">
        <v>16831</v>
      </c>
      <c r="H873" s="27" t="s">
        <v>16881</v>
      </c>
      <c r="I873" s="27" t="s">
        <v>17381</v>
      </c>
      <c r="J873" s="27"/>
      <c r="K873" s="27"/>
      <c r="L873" s="27"/>
      <c r="N873" s="27"/>
      <c r="T873" s="28" t="str">
        <f>LOOKUP(1,1/(Table1[[#This Row],[Level_0]:[Level 15]]&gt;0),(Table1[[#This Row],[Level_0]:[Level 15]]))</f>
        <v>7600301004 - [DAA Multichan. Pipette (16)]</v>
      </c>
      <c r="U873" s="22">
        <v>868</v>
      </c>
      <c r="W873" s="13" t="str">
        <f>LOOKUP(1,1/(Table1[[#This Row],[Level_0]:[Level 15]]&gt;0),(Table1[[#This Row],[Level_0]:[Level 15]]))</f>
        <v>7600301004 - [DAA Multichan. Pipette (16)]</v>
      </c>
    </row>
    <row r="874" spans="1:23" hidden="1" x14ac:dyDescent="0.25">
      <c r="A874">
        <v>7600301000</v>
      </c>
      <c r="B874" s="16" t="s">
        <v>21117</v>
      </c>
      <c r="C874" s="16" t="e">
        <f>VLOOKUP(Table1[[#This Row],[Node]],Parent!A:B,2,0)</f>
        <v>#N/A</v>
      </c>
      <c r="D874" s="25" t="s">
        <v>19346</v>
      </c>
      <c r="E874" s="26" t="s">
        <v>16544</v>
      </c>
      <c r="F874" s="27" t="s">
        <v>16830</v>
      </c>
      <c r="G874" s="27" t="s">
        <v>16831</v>
      </c>
      <c r="H874" s="27" t="s">
        <v>16881</v>
      </c>
      <c r="I874" s="27" t="s">
        <v>17382</v>
      </c>
      <c r="J874" s="27"/>
      <c r="K874" s="27"/>
      <c r="L874" s="27"/>
      <c r="N874" s="27"/>
      <c r="T874" s="28" t="str">
        <f>LOOKUP(1,1/(Table1[[#This Row],[Level_0]:[Level 15]]&gt;0),(Table1[[#This Row],[Level_0]:[Level 15]]))</f>
        <v>7600301000 - [DAA Automat. SW_Version doc]</v>
      </c>
      <c r="U874" s="22">
        <v>869</v>
      </c>
      <c r="W874" s="13" t="str">
        <f>LOOKUP(1,1/(Table1[[#This Row],[Level_0]:[Level 15]]&gt;0),(Table1[[#This Row],[Level_0]:[Level 15]]))</f>
        <v>7600301000 - [DAA Automat. SW_Version doc]</v>
      </c>
    </row>
    <row r="875" spans="1:23" hidden="1" x14ac:dyDescent="0.25">
      <c r="A875">
        <v>7600300022</v>
      </c>
      <c r="B875" s="16" t="s">
        <v>21116</v>
      </c>
      <c r="C875" s="16" t="e">
        <f>VLOOKUP(Table1[[#This Row],[Node]],Parent!A:B,2,0)</f>
        <v>#N/A</v>
      </c>
      <c r="D875" s="25" t="s">
        <v>19346</v>
      </c>
      <c r="E875" s="26" t="s">
        <v>16544</v>
      </c>
      <c r="F875" s="27" t="s">
        <v>16830</v>
      </c>
      <c r="G875" s="27" t="s">
        <v>16831</v>
      </c>
      <c r="H875" s="27" t="s">
        <v>16881</v>
      </c>
      <c r="I875" s="27" t="s">
        <v>17383</v>
      </c>
      <c r="J875" s="27"/>
      <c r="K875" s="27"/>
      <c r="L875" s="27"/>
      <c r="N875" s="27"/>
      <c r="T875" s="28" t="str">
        <f>LOOKUP(1,1/(Table1[[#This Row],[Level_0]:[Level 15]]&gt;0),(Table1[[#This Row],[Level_0]:[Level 15]]))</f>
        <v>7600300022 - [DAA Validation Excel Applic]</v>
      </c>
      <c r="U875" s="22">
        <v>870</v>
      </c>
      <c r="W875" s="13" t="str">
        <f>LOOKUP(1,1/(Table1[[#This Row],[Level_0]:[Level 15]]&gt;0),(Table1[[#This Row],[Level_0]:[Level 15]]))</f>
        <v>7600300022 - [DAA Validation Excel Applic]</v>
      </c>
    </row>
    <row r="876" spans="1:23" hidden="1" x14ac:dyDescent="0.25">
      <c r="A876">
        <v>7600300017</v>
      </c>
      <c r="B876" s="16" t="s">
        <v>21111</v>
      </c>
      <c r="C876" s="16" t="e">
        <f>VLOOKUP(Table1[[#This Row],[Node]],Parent!A:B,2,0)</f>
        <v>#N/A</v>
      </c>
      <c r="D876" s="25" t="s">
        <v>19346</v>
      </c>
      <c r="E876" s="26" t="s">
        <v>16544</v>
      </c>
      <c r="F876" s="27" t="s">
        <v>16830</v>
      </c>
      <c r="G876" s="27" t="s">
        <v>16831</v>
      </c>
      <c r="H876" s="27" t="s">
        <v>16881</v>
      </c>
      <c r="I876" s="27" t="s">
        <v>17384</v>
      </c>
      <c r="J876" s="27"/>
      <c r="K876" s="27"/>
      <c r="L876" s="27"/>
      <c r="N876" s="27"/>
      <c r="T876" s="28" t="str">
        <f>LOOKUP(1,1/(Table1[[#This Row],[Level_0]:[Level 15]]&gt;0),(Table1[[#This Row],[Level_0]:[Level 15]]))</f>
        <v>7600300017 - [DAA NMR exper. self service]</v>
      </c>
      <c r="U876" s="22">
        <v>871</v>
      </c>
      <c r="W876" s="13" t="str">
        <f>LOOKUP(1,1/(Table1[[#This Row],[Level_0]:[Level 15]]&gt;0),(Table1[[#This Row],[Level_0]:[Level 15]]))</f>
        <v>7600300017 - [DAA NMR exper. self service]</v>
      </c>
    </row>
    <row r="877" spans="1:23" hidden="1" x14ac:dyDescent="0.25">
      <c r="A877">
        <v>7600300016</v>
      </c>
      <c r="B877" s="16" t="s">
        <v>21110</v>
      </c>
      <c r="C877" s="16" t="e">
        <f>VLOOKUP(Table1[[#This Row],[Node]],Parent!A:B,2,0)</f>
        <v>#N/A</v>
      </c>
      <c r="D877" s="25" t="s">
        <v>19346</v>
      </c>
      <c r="E877" s="26" t="s">
        <v>16544</v>
      </c>
      <c r="F877" s="27" t="s">
        <v>16830</v>
      </c>
      <c r="G877" s="27" t="s">
        <v>16831</v>
      </c>
      <c r="H877" s="27" t="s">
        <v>16881</v>
      </c>
      <c r="I877" s="27" t="s">
        <v>17385</v>
      </c>
      <c r="J877" s="27"/>
      <c r="K877" s="27"/>
      <c r="L877" s="27"/>
      <c r="N877" s="27"/>
      <c r="T877" s="28" t="str">
        <f>LOOKUP(1,1/(Table1[[#This Row],[Level_0]:[Level 15]]&gt;0),(Table1[[#This Row],[Level_0]:[Level 15]]))</f>
        <v>7600300016 - [DAA NMR exper._sampling R&amp;D]</v>
      </c>
      <c r="U877" s="22">
        <v>872</v>
      </c>
      <c r="W877" s="13" t="str">
        <f>LOOKUP(1,1/(Table1[[#This Row],[Level_0]:[Level 15]]&gt;0),(Table1[[#This Row],[Level_0]:[Level 15]]))</f>
        <v>7600300016 - [DAA NMR exper._sampling R&amp;D]</v>
      </c>
    </row>
    <row r="878" spans="1:23" hidden="1" x14ac:dyDescent="0.25">
      <c r="A878">
        <v>7600300014</v>
      </c>
      <c r="B878" s="16" t="s">
        <v>21108</v>
      </c>
      <c r="C878" s="16" t="e">
        <f>VLOOKUP(Table1[[#This Row],[Node]],Parent!A:B,2,0)</f>
        <v>#N/A</v>
      </c>
      <c r="D878" s="25" t="s">
        <v>19346</v>
      </c>
      <c r="E878" s="26" t="s">
        <v>16544</v>
      </c>
      <c r="F878" s="27" t="s">
        <v>16830</v>
      </c>
      <c r="G878" s="27" t="s">
        <v>16831</v>
      </c>
      <c r="H878" s="27" t="s">
        <v>16881</v>
      </c>
      <c r="I878" s="27" t="s">
        <v>17386</v>
      </c>
      <c r="J878" s="27"/>
      <c r="K878" s="27"/>
      <c r="L878" s="27"/>
      <c r="N878" s="27"/>
      <c r="T878" s="28" t="str">
        <f>LOOKUP(1,1/(Table1[[#This Row],[Level_0]:[Level 15]]&gt;0),(Table1[[#This Row],[Level_0]:[Level 15]]))</f>
        <v>7600300014 - [DAA NMR exper._sampling GMP]</v>
      </c>
      <c r="U878" s="22">
        <v>873</v>
      </c>
      <c r="W878" s="13" t="str">
        <f>LOOKUP(1,1/(Table1[[#This Row],[Level_0]:[Level 15]]&gt;0),(Table1[[#This Row],[Level_0]:[Level 15]]))</f>
        <v>7600300014 - [DAA NMR exper._sampling GMP]</v>
      </c>
    </row>
    <row r="879" spans="1:23" hidden="1" x14ac:dyDescent="0.25">
      <c r="A879">
        <v>7600300012</v>
      </c>
      <c r="B879" s="16" t="s">
        <v>21106</v>
      </c>
      <c r="C879" s="16" t="e">
        <f>VLOOKUP(Table1[[#This Row],[Node]],Parent!A:B,2,0)</f>
        <v>#N/A</v>
      </c>
      <c r="D879" s="25" t="s">
        <v>19346</v>
      </c>
      <c r="E879" s="26" t="s">
        <v>16544</v>
      </c>
      <c r="F879" s="27" t="s">
        <v>16830</v>
      </c>
      <c r="G879" s="27" t="s">
        <v>16831</v>
      </c>
      <c r="H879" s="27" t="s">
        <v>16881</v>
      </c>
      <c r="I879" s="27" t="s">
        <v>17387</v>
      </c>
      <c r="J879" s="27"/>
      <c r="K879" s="27"/>
      <c r="L879" s="27"/>
      <c r="N879" s="27"/>
      <c r="T879" s="28" t="str">
        <f>LOOKUP(1,1/(Table1[[#This Row],[Level_0]:[Level 15]]&gt;0),(Table1[[#This Row],[Level_0]:[Level 15]]))</f>
        <v>7600300012 - [DAA Sample shipment]</v>
      </c>
      <c r="U879" s="22">
        <v>874</v>
      </c>
      <c r="W879" s="13" t="str">
        <f>LOOKUP(1,1/(Table1[[#This Row],[Level_0]:[Level 15]]&gt;0),(Table1[[#This Row],[Level_0]:[Level 15]]))</f>
        <v>7600300012 - [DAA Sample shipment]</v>
      </c>
    </row>
    <row r="880" spans="1:23" hidden="1" x14ac:dyDescent="0.25">
      <c r="A880">
        <v>7600300010</v>
      </c>
      <c r="B880" s="16" t="s">
        <v>21104</v>
      </c>
      <c r="C880" s="16" t="e">
        <f>VLOOKUP(Table1[[#This Row],[Node]],Parent!A:B,2,0)</f>
        <v>#N/A</v>
      </c>
      <c r="D880" s="25" t="s">
        <v>19346</v>
      </c>
      <c r="E880" s="26" t="s">
        <v>16544</v>
      </c>
      <c r="F880" s="27" t="s">
        <v>16830</v>
      </c>
      <c r="G880" s="27" t="s">
        <v>16831</v>
      </c>
      <c r="H880" s="27" t="s">
        <v>16881</v>
      </c>
      <c r="I880" s="27" t="s">
        <v>17388</v>
      </c>
      <c r="J880" s="27"/>
      <c r="K880" s="27"/>
      <c r="L880" s="27"/>
      <c r="N880" s="27"/>
      <c r="T880" s="28" t="str">
        <f>LOOKUP(1,1/(Table1[[#This Row],[Level_0]:[Level 15]]&gt;0),(Table1[[#This Row],[Level_0]:[Level 15]]))</f>
        <v>7600300010 - [DAA NMR experiment complex]</v>
      </c>
      <c r="U880" s="22">
        <v>875</v>
      </c>
      <c r="W880" s="13" t="str">
        <f>LOOKUP(1,1/(Table1[[#This Row],[Level_0]:[Level 15]]&gt;0),(Table1[[#This Row],[Level_0]:[Level 15]]))</f>
        <v>7600300010 - [DAA NMR experiment complex]</v>
      </c>
    </row>
    <row r="881" spans="1:23" hidden="1" x14ac:dyDescent="0.25">
      <c r="A881">
        <v>7600300008</v>
      </c>
      <c r="B881" s="16" t="s">
        <v>21102</v>
      </c>
      <c r="C881" s="16" t="e">
        <f>VLOOKUP(Table1[[#This Row],[Node]],Parent!A:B,2,0)</f>
        <v>#N/A</v>
      </c>
      <c r="D881" s="25" t="s">
        <v>19346</v>
      </c>
      <c r="E881" s="26" t="s">
        <v>16544</v>
      </c>
      <c r="F881" s="27" t="s">
        <v>16830</v>
      </c>
      <c r="G881" s="27" t="s">
        <v>16831</v>
      </c>
      <c r="H881" s="27" t="s">
        <v>16881</v>
      </c>
      <c r="I881" s="27" t="s">
        <v>17389</v>
      </c>
      <c r="J881" s="27"/>
      <c r="K881" s="27"/>
      <c r="L881" s="27"/>
      <c r="N881" s="27"/>
      <c r="T881" s="28" t="str">
        <f>LOOKUP(1,1/(Table1[[#This Row],[Level_0]:[Level 15]]&gt;0),(Table1[[#This Row],[Level_0]:[Level 15]]))</f>
        <v>7600300008 - [DAA Lab automation projects]</v>
      </c>
      <c r="U881" s="22">
        <v>876</v>
      </c>
      <c r="W881" s="13" t="str">
        <f>LOOKUP(1,1/(Table1[[#This Row],[Level_0]:[Level 15]]&gt;0),(Table1[[#This Row],[Level_0]:[Level 15]]))</f>
        <v>7600300008 - [DAA Lab automation projects]</v>
      </c>
    </row>
    <row r="882" spans="1:23" hidden="1" x14ac:dyDescent="0.25">
      <c r="A882">
        <v>7600300007</v>
      </c>
      <c r="B882" s="16" t="s">
        <v>21101</v>
      </c>
      <c r="C882" s="16" t="e">
        <f>VLOOKUP(Table1[[#This Row],[Node]],Parent!A:B,2,0)</f>
        <v>#N/A</v>
      </c>
      <c r="D882" s="25" t="s">
        <v>19346</v>
      </c>
      <c r="E882" s="26" t="s">
        <v>16544</v>
      </c>
      <c r="F882" s="27" t="s">
        <v>16830</v>
      </c>
      <c r="G882" s="27" t="s">
        <v>16831</v>
      </c>
      <c r="H882" s="27" t="s">
        <v>16881</v>
      </c>
      <c r="I882" s="27" t="s">
        <v>17390</v>
      </c>
      <c r="J882" s="27"/>
      <c r="K882" s="27"/>
      <c r="L882" s="27"/>
      <c r="N882" s="27"/>
      <c r="T882" s="28" t="str">
        <f>LOOKUP(1,1/(Table1[[#This Row],[Level_0]:[Level 15]]&gt;0),(Table1[[#This Row],[Level_0]:[Level 15]]))</f>
        <v>7600300007 - [DAA Custom. sup. instrum.PC]</v>
      </c>
      <c r="U882" s="22">
        <v>877</v>
      </c>
      <c r="W882" s="13" t="str">
        <f>LOOKUP(1,1/(Table1[[#This Row],[Level_0]:[Level 15]]&gt;0),(Table1[[#This Row],[Level_0]:[Level 15]]))</f>
        <v>7600300007 - [DAA Custom. sup. instrum.PC]</v>
      </c>
    </row>
    <row r="883" spans="1:23" hidden="1" x14ac:dyDescent="0.25">
      <c r="A883">
        <v>7600300005</v>
      </c>
      <c r="B883" s="16" t="s">
        <v>21099</v>
      </c>
      <c r="C883" s="16" t="e">
        <f>VLOOKUP(Table1[[#This Row],[Node]],Parent!A:B,2,0)</f>
        <v>#N/A</v>
      </c>
      <c r="D883" s="25" t="s">
        <v>19346</v>
      </c>
      <c r="E883" s="26" t="s">
        <v>16544</v>
      </c>
      <c r="F883" s="27" t="s">
        <v>16830</v>
      </c>
      <c r="G883" s="27" t="s">
        <v>16831</v>
      </c>
      <c r="H883" s="27" t="s">
        <v>16881</v>
      </c>
      <c r="I883" s="27" t="s">
        <v>17391</v>
      </c>
      <c r="J883" s="27"/>
      <c r="K883" s="27"/>
      <c r="L883" s="27"/>
      <c r="N883" s="27"/>
      <c r="T883" s="28" t="str">
        <f>LOOKUP(1,1/(Table1[[#This Row],[Level_0]:[Level 15]]&gt;0),(Table1[[#This Row],[Level_0]:[Level 15]]))</f>
        <v>7600300005 - [DAA Consult Reg-Environment]</v>
      </c>
      <c r="U883" s="22">
        <v>878</v>
      </c>
      <c r="W883" s="13" t="str">
        <f>LOOKUP(1,1/(Table1[[#This Row],[Level_0]:[Level 15]]&gt;0),(Table1[[#This Row],[Level_0]:[Level 15]]))</f>
        <v>7600300005 - [DAA Consult Reg-Environment]</v>
      </c>
    </row>
    <row r="884" spans="1:23" hidden="1" x14ac:dyDescent="0.25">
      <c r="A884">
        <v>7600300004</v>
      </c>
      <c r="B884" s="16" t="s">
        <v>21098</v>
      </c>
      <c r="C884" s="16" t="e">
        <f>VLOOKUP(Table1[[#This Row],[Node]],Parent!A:B,2,0)</f>
        <v>#N/A</v>
      </c>
      <c r="D884" s="25" t="s">
        <v>19346</v>
      </c>
      <c r="E884" s="26" t="s">
        <v>16544</v>
      </c>
      <c r="F884" s="27" t="s">
        <v>16830</v>
      </c>
      <c r="G884" s="27" t="s">
        <v>16831</v>
      </c>
      <c r="H884" s="27" t="s">
        <v>16881</v>
      </c>
      <c r="I884" s="27" t="s">
        <v>17392</v>
      </c>
      <c r="J884" s="27"/>
      <c r="K884" s="27"/>
      <c r="L884" s="27"/>
      <c r="N884" s="27"/>
      <c r="T884" s="28" t="str">
        <f>LOOKUP(1,1/(Table1[[#This Row],[Level_0]:[Level 15]]&gt;0),(Table1[[#This Row],[Level_0]:[Level 15]]))</f>
        <v>7600300004 - [DAA Consulting study design]</v>
      </c>
      <c r="U884" s="22">
        <v>879</v>
      </c>
      <c r="W884" s="13" t="str">
        <f>LOOKUP(1,1/(Table1[[#This Row],[Level_0]:[Level 15]]&gt;0),(Table1[[#This Row],[Level_0]:[Level 15]]))</f>
        <v>7600300004 - [DAA Consulting study design]</v>
      </c>
    </row>
    <row r="885" spans="1:23" hidden="1" x14ac:dyDescent="0.25">
      <c r="A885">
        <v>7600000099</v>
      </c>
      <c r="B885" s="16" t="s">
        <v>21094</v>
      </c>
      <c r="C885" s="16" t="e">
        <f>VLOOKUP(Table1[[#This Row],[Node]],Parent!A:B,2,0)</f>
        <v>#N/A</v>
      </c>
      <c r="D885" s="25" t="s">
        <v>19346</v>
      </c>
      <c r="E885" s="26" t="s">
        <v>16544</v>
      </c>
      <c r="F885" s="27" t="s">
        <v>16830</v>
      </c>
      <c r="G885" s="27" t="s">
        <v>16831</v>
      </c>
      <c r="H885" s="27" t="s">
        <v>16881</v>
      </c>
      <c r="I885" s="27" t="s">
        <v>17393</v>
      </c>
      <c r="J885" s="27"/>
      <c r="K885" s="27"/>
      <c r="L885" s="27"/>
      <c r="N885" s="27"/>
      <c r="T885" s="28" t="str">
        <f>LOOKUP(1,1/(Table1[[#This Row],[Level_0]:[Level 15]]&gt;0),(Table1[[#This Row],[Level_0]:[Level 15]]))</f>
        <v>7600000099 - [DAA - of Core Service Inter CO]</v>
      </c>
      <c r="U885" s="22">
        <v>880</v>
      </c>
      <c r="W885" s="13" t="str">
        <f>LOOKUP(1,1/(Table1[[#This Row],[Level_0]:[Level 15]]&gt;0),(Table1[[#This Row],[Level_0]:[Level 15]]))</f>
        <v>7600000099 - [DAA - of Core Service Inter CO]</v>
      </c>
    </row>
    <row r="886" spans="1:23" hidden="1" x14ac:dyDescent="0.25">
      <c r="A886">
        <v>5961802000</v>
      </c>
      <c r="B886" s="16" t="s">
        <v>20598</v>
      </c>
      <c r="C886" s="16" t="e">
        <f>VLOOKUP(Table1[[#This Row],[Node]],Parent!A:B,2,0)</f>
        <v>#N/A</v>
      </c>
      <c r="D886" s="25" t="s">
        <v>19346</v>
      </c>
      <c r="E886" s="26" t="s">
        <v>16544</v>
      </c>
      <c r="F886" s="27" t="s">
        <v>16830</v>
      </c>
      <c r="G886" s="27" t="s">
        <v>16831</v>
      </c>
      <c r="H886" s="27" t="s">
        <v>16881</v>
      </c>
      <c r="I886" s="27" t="s">
        <v>17394</v>
      </c>
      <c r="J886" s="27"/>
      <c r="K886" s="27"/>
      <c r="L886" s="27"/>
      <c r="N886" s="27"/>
      <c r="T886" s="28" t="str">
        <f>LOOKUP(1,1/(Table1[[#This Row],[Level_0]:[Level 15]]&gt;0),(Table1[[#This Row],[Level_0]:[Level 15]]))</f>
        <v>5961802000 - [Selling Exp 4m IO&amp;Proj Settlement]</v>
      </c>
      <c r="U886" s="22">
        <v>881</v>
      </c>
      <c r="W886" s="13" t="str">
        <f>LOOKUP(1,1/(Table1[[#This Row],[Level_0]:[Level 15]]&gt;0),(Table1[[#This Row],[Level_0]:[Level 15]]))</f>
        <v>5961802000 - [Selling Exp 4m IO&amp;Proj Settlement]</v>
      </c>
    </row>
    <row r="887" spans="1:23" hidden="1" x14ac:dyDescent="0.25">
      <c r="A887">
        <v>5909002000</v>
      </c>
      <c r="B887" s="16" t="s">
        <v>20512</v>
      </c>
      <c r="C887" s="16" t="e">
        <f>VLOOKUP(Table1[[#This Row],[Node]],Parent!A:B,2,0)</f>
        <v>#N/A</v>
      </c>
      <c r="D887" s="25" t="s">
        <v>19346</v>
      </c>
      <c r="E887" s="26" t="s">
        <v>16544</v>
      </c>
      <c r="F887" s="27" t="s">
        <v>16830</v>
      </c>
      <c r="G887" s="27" t="s">
        <v>16831</v>
      </c>
      <c r="H887" s="27" t="s">
        <v>16881</v>
      </c>
      <c r="I887" s="27" t="s">
        <v>17395</v>
      </c>
      <c r="J887" s="27"/>
      <c r="K887" s="27"/>
      <c r="L887" s="27"/>
      <c r="N887" s="27"/>
      <c r="T887" s="28" t="str">
        <f>LOOKUP(1,1/(Table1[[#This Row],[Level_0]:[Level 15]]&gt;0),(Table1[[#This Row],[Level_0]:[Level 15]]))</f>
        <v>5909002000 - [G&amp;A Exp IO &amp; Project Settlement]</v>
      </c>
      <c r="U887" s="22">
        <v>882</v>
      </c>
      <c r="W887" s="13" t="str">
        <f>LOOKUP(1,1/(Table1[[#This Row],[Level_0]:[Level 15]]&gt;0),(Table1[[#This Row],[Level_0]:[Level 15]]))</f>
        <v>5909002000 - [G&amp;A Exp IO &amp; Project Settlement]</v>
      </c>
    </row>
    <row r="888" spans="1:23" hidden="1" x14ac:dyDescent="0.25">
      <c r="A888">
        <v>4421000000</v>
      </c>
      <c r="B888" s="16" t="s">
        <v>19931</v>
      </c>
      <c r="C888" s="16" t="e">
        <f>VLOOKUP(Table1[[#This Row],[Node]],Parent!A:B,2,0)</f>
        <v>#N/A</v>
      </c>
      <c r="D888" s="25" t="s">
        <v>19346</v>
      </c>
      <c r="E888" s="26" t="s">
        <v>16544</v>
      </c>
      <c r="F888" s="27" t="s">
        <v>16830</v>
      </c>
      <c r="G888" s="27" t="s">
        <v>16831</v>
      </c>
      <c r="H888" s="27" t="s">
        <v>16881</v>
      </c>
      <c r="I888" s="27" t="s">
        <v>17396</v>
      </c>
      <c r="J888" s="27"/>
      <c r="K888" s="27"/>
      <c r="L888" s="27"/>
      <c r="N888" s="27"/>
      <c r="T888" s="28" t="str">
        <f>LOOKUP(1,1/(Table1[[#This Row],[Level_0]:[Level 15]]&gt;0),(Table1[[#This Row],[Level_0]:[Level 15]]))</f>
        <v>4421000000 - [FI-CO Difference from Production Cost]</v>
      </c>
      <c r="U888" s="22">
        <v>883</v>
      </c>
      <c r="W888" s="13" t="str">
        <f>LOOKUP(1,1/(Table1[[#This Row],[Level_0]:[Level 15]]&gt;0),(Table1[[#This Row],[Level_0]:[Level 15]]))</f>
        <v>4421000000 - [FI-CO Difference from Production Cost]</v>
      </c>
    </row>
    <row r="889" spans="1:23" hidden="1" x14ac:dyDescent="0.25">
      <c r="A889">
        <v>7724140001</v>
      </c>
      <c r="B889" s="16" t="s">
        <v>21755</v>
      </c>
      <c r="C889" s="16" t="e">
        <f>VLOOKUP(Table1[[#This Row],[Node]],Parent!A:B,2,0)</f>
        <v>#N/A</v>
      </c>
      <c r="D889" s="25" t="s">
        <v>19346</v>
      </c>
      <c r="E889" s="26" t="s">
        <v>16544</v>
      </c>
      <c r="F889" s="27" t="s">
        <v>16830</v>
      </c>
      <c r="G889" s="27" t="s">
        <v>16831</v>
      </c>
      <c r="H889" s="27" t="s">
        <v>16881</v>
      </c>
      <c r="I889" s="27" t="s">
        <v>17397</v>
      </c>
      <c r="J889" s="27"/>
      <c r="K889" s="27"/>
      <c r="L889" s="27"/>
      <c r="N889" s="27"/>
      <c r="T889" s="28" t="str">
        <f>LOOKUP(1,1/(Table1[[#This Row],[Level_0]:[Level 15]]&gt;0),(Table1[[#This Row],[Level_0]:[Level 15]]))</f>
        <v>7724140001 - [SPA ICON Prem/Contr/fees]</v>
      </c>
      <c r="U889" s="22">
        <v>884</v>
      </c>
      <c r="W889" s="13" t="str">
        <f>LOOKUP(1,1/(Table1[[#This Row],[Level_0]:[Level 15]]&gt;0),(Table1[[#This Row],[Level_0]:[Level 15]]))</f>
        <v>7724140001 - [SPA ICON Prem/Contr/fees]</v>
      </c>
    </row>
    <row r="890" spans="1:23" hidden="1" x14ac:dyDescent="0.25">
      <c r="A890">
        <v>7722140002</v>
      </c>
      <c r="B890" s="16" t="s">
        <v>21750</v>
      </c>
      <c r="C890" s="16" t="e">
        <f>VLOOKUP(Table1[[#This Row],[Node]],Parent!A:B,2,0)</f>
        <v>#N/A</v>
      </c>
      <c r="D890" s="25" t="s">
        <v>19346</v>
      </c>
      <c r="E890" s="26" t="s">
        <v>16544</v>
      </c>
      <c r="F890" s="27" t="s">
        <v>16830</v>
      </c>
      <c r="G890" s="27" t="s">
        <v>16831</v>
      </c>
      <c r="H890" s="27" t="s">
        <v>16881</v>
      </c>
      <c r="I890" s="27" t="s">
        <v>17398</v>
      </c>
      <c r="J890" s="27"/>
      <c r="K890" s="27"/>
      <c r="L890" s="27"/>
      <c r="N890" s="27"/>
      <c r="T890" s="28" t="str">
        <f>LOOKUP(1,1/(Table1[[#This Row],[Level_0]:[Level 15]]&gt;0),(Table1[[#This Row],[Level_0]:[Level 15]]))</f>
        <v>7722140002 - [SPA ICON Other G&amp;A]</v>
      </c>
      <c r="U890" s="22">
        <v>885</v>
      </c>
      <c r="W890" s="13" t="str">
        <f>LOOKUP(1,1/(Table1[[#This Row],[Level_0]:[Level 15]]&gt;0),(Table1[[#This Row],[Level_0]:[Level 15]]))</f>
        <v>7722140002 - [SPA ICON Other G&amp;A]</v>
      </c>
    </row>
    <row r="891" spans="1:23" hidden="1" x14ac:dyDescent="0.25">
      <c r="A891">
        <v>7722130005</v>
      </c>
      <c r="B891" s="16" t="s">
        <v>21747</v>
      </c>
      <c r="C891" s="16" t="e">
        <f>VLOOKUP(Table1[[#This Row],[Node]],Parent!A:B,2,0)</f>
        <v>#N/A</v>
      </c>
      <c r="D891" s="25" t="s">
        <v>19346</v>
      </c>
      <c r="E891" s="26" t="s">
        <v>16544</v>
      </c>
      <c r="F891" s="27" t="s">
        <v>16830</v>
      </c>
      <c r="G891" s="27" t="s">
        <v>16831</v>
      </c>
      <c r="H891" s="27" t="s">
        <v>16881</v>
      </c>
      <c r="I891" s="27" t="s">
        <v>17399</v>
      </c>
      <c r="J891" s="27"/>
      <c r="K891" s="27"/>
      <c r="L891" s="27"/>
      <c r="N891" s="27"/>
      <c r="T891" s="28" t="str">
        <f>LOOKUP(1,1/(Table1[[#This Row],[Level_0]:[Level 15]]&gt;0),(Table1[[#This Row],[Level_0]:[Level 15]]))</f>
        <v>7722130005 - [SPA ICON Other MGF]</v>
      </c>
      <c r="U891" s="22">
        <v>886</v>
      </c>
      <c r="W891" s="13" t="str">
        <f>LOOKUP(1,1/(Table1[[#This Row],[Level_0]:[Level 15]]&gt;0),(Table1[[#This Row],[Level_0]:[Level 15]]))</f>
        <v>7722130005 - [SPA ICON Other MGF]</v>
      </c>
    </row>
    <row r="892" spans="1:23" hidden="1" x14ac:dyDescent="0.25">
      <c r="A892">
        <v>7721101309</v>
      </c>
      <c r="B892" s="16" t="s">
        <v>21727</v>
      </c>
      <c r="C892" s="16" t="e">
        <f>VLOOKUP(Table1[[#This Row],[Node]],Parent!A:B,2,0)</f>
        <v>#N/A</v>
      </c>
      <c r="D892" s="25" t="s">
        <v>19346</v>
      </c>
      <c r="E892" s="26" t="s">
        <v>16544</v>
      </c>
      <c r="F892" s="27" t="s">
        <v>16830</v>
      </c>
      <c r="G892" s="27" t="s">
        <v>16831</v>
      </c>
      <c r="H892" s="27" t="s">
        <v>16881</v>
      </c>
      <c r="I892" s="27" t="s">
        <v>17400</v>
      </c>
      <c r="J892" s="27"/>
      <c r="K892" s="27"/>
      <c r="L892" s="27"/>
      <c r="N892" s="27"/>
      <c r="T892" s="28" t="str">
        <f>LOOKUP(1,1/(Table1[[#This Row],[Level_0]:[Level 15]]&gt;0),(Table1[[#This Row],[Level_0]:[Level 15]]))</f>
        <v>7721101309 - [SPA ICON Other local R&amp;D]</v>
      </c>
      <c r="U892" s="22">
        <v>887</v>
      </c>
      <c r="W892" s="13" t="str">
        <f>LOOKUP(1,1/(Table1[[#This Row],[Level_0]:[Level 15]]&gt;0),(Table1[[#This Row],[Level_0]:[Level 15]]))</f>
        <v>7721101309 - [SPA ICON Other local R&amp;D]</v>
      </c>
    </row>
    <row r="893" spans="1:23" hidden="1" x14ac:dyDescent="0.25">
      <c r="A893">
        <v>7720140008</v>
      </c>
      <c r="B893" s="16" t="s">
        <v>21715</v>
      </c>
      <c r="C893" s="16" t="e">
        <f>VLOOKUP(Table1[[#This Row],[Node]],Parent!A:B,2,0)</f>
        <v>#N/A</v>
      </c>
      <c r="D893" s="25" t="s">
        <v>19346</v>
      </c>
      <c r="E893" s="26" t="s">
        <v>16544</v>
      </c>
      <c r="F893" s="27" t="s">
        <v>16830</v>
      </c>
      <c r="G893" s="27" t="s">
        <v>16831</v>
      </c>
      <c r="H893" s="27" t="s">
        <v>16881</v>
      </c>
      <c r="I893" s="27" t="s">
        <v>17401</v>
      </c>
      <c r="J893" s="27"/>
      <c r="K893" s="27"/>
      <c r="L893" s="27"/>
      <c r="N893" s="27"/>
      <c r="T893" s="28" t="str">
        <f>LOOKUP(1,1/(Table1[[#This Row],[Level_0]:[Level 15]]&gt;0),(Table1[[#This Row],[Level_0]:[Level 15]]))</f>
        <v>7720140008 - [SPA ICON Other Mktg&amp;Sell]</v>
      </c>
      <c r="U893" s="22">
        <v>888</v>
      </c>
      <c r="W893" s="13" t="str">
        <f>LOOKUP(1,1/(Table1[[#This Row],[Level_0]:[Level 15]]&gt;0),(Table1[[#This Row],[Level_0]:[Level 15]]))</f>
        <v>7720140008 - [SPA ICON Other Mktg&amp;Sell]</v>
      </c>
    </row>
    <row r="894" spans="1:23" hidden="1" x14ac:dyDescent="0.25">
      <c r="A894">
        <v>7824320000</v>
      </c>
      <c r="B894" s="16" t="s">
        <v>21894</v>
      </c>
      <c r="C894" s="16" t="e">
        <f>VLOOKUP(Table1[[#This Row],[Node]],Parent!A:B,2,0)</f>
        <v>#N/A</v>
      </c>
      <c r="D894" s="25" t="s">
        <v>19346</v>
      </c>
      <c r="E894" s="26" t="s">
        <v>16544</v>
      </c>
      <c r="F894" s="27" t="s">
        <v>16830</v>
      </c>
      <c r="G894" s="27" t="s">
        <v>16831</v>
      </c>
      <c r="H894" s="27" t="s">
        <v>16881</v>
      </c>
      <c r="I894" s="27" t="s">
        <v>17402</v>
      </c>
      <c r="J894" s="27"/>
      <c r="K894" s="27"/>
      <c r="L894" s="27"/>
      <c r="N894" s="27"/>
      <c r="T894" s="28" t="str">
        <f>LOOKUP(1,1/(Table1[[#This Row],[Level_0]:[Level 15]]&gt;0),(Table1[[#This Row],[Level_0]:[Level 15]]))</f>
        <v>7824320000 - [APA Royalty Xpenses 4OtherOperating Xpen]</v>
      </c>
      <c r="U894" s="22">
        <v>889</v>
      </c>
      <c r="W894" s="13" t="str">
        <f>LOOKUP(1,1/(Table1[[#This Row],[Level_0]:[Level 15]]&gt;0),(Table1[[#This Row],[Level_0]:[Level 15]]))</f>
        <v>7824320000 - [APA Royalty Xpenses 4OtherOperating Xpen]</v>
      </c>
    </row>
    <row r="895" spans="1:23" hidden="1" x14ac:dyDescent="0.25">
      <c r="A895">
        <v>7711172001</v>
      </c>
      <c r="B895" s="16" t="s">
        <v>21612</v>
      </c>
      <c r="C895" s="16" t="e">
        <f>VLOOKUP(Table1[[#This Row],[Node]],Parent!A:B,2,0)</f>
        <v>#N/A</v>
      </c>
      <c r="D895" s="25" t="s">
        <v>19346</v>
      </c>
      <c r="E895" s="26" t="s">
        <v>16544</v>
      </c>
      <c r="F895" s="27" t="s">
        <v>16830</v>
      </c>
      <c r="G895" s="27" t="s">
        <v>16831</v>
      </c>
      <c r="H895" s="27" t="s">
        <v>16881</v>
      </c>
      <c r="I895" s="27" t="s">
        <v>17403</v>
      </c>
      <c r="J895" s="27"/>
      <c r="K895" s="27"/>
      <c r="L895" s="27"/>
      <c r="N895" s="27"/>
      <c r="T895" s="28" t="str">
        <f>LOOKUP(1,1/(Table1[[#This Row],[Level_0]:[Level 15]]&gt;0),(Table1[[#This Row],[Level_0]:[Level 15]]))</f>
        <v>7711172001 - [SPA ICON Global Dem.&amp;Plann.]</v>
      </c>
      <c r="U895" s="22">
        <v>890</v>
      </c>
      <c r="W895" s="13" t="str">
        <f>LOOKUP(1,1/(Table1[[#This Row],[Level_0]:[Level 15]]&gt;0),(Table1[[#This Row],[Level_0]:[Level 15]]))</f>
        <v>7711172001 - [SPA ICON Global Dem.&amp;Plann.]</v>
      </c>
    </row>
    <row r="896" spans="1:23" hidden="1" x14ac:dyDescent="0.25">
      <c r="A896">
        <v>250400</v>
      </c>
      <c r="B896" s="16" t="e">
        <v>#N/A</v>
      </c>
      <c r="C896" s="16" t="e">
        <f>VLOOKUP(Table1[[#This Row],[Node]],Parent!A:B,2,0)</f>
        <v>#N/A</v>
      </c>
      <c r="D896" s="25" t="s">
        <v>19346</v>
      </c>
      <c r="E896" s="26" t="s">
        <v>16544</v>
      </c>
      <c r="F896" s="27" t="s">
        <v>16830</v>
      </c>
      <c r="G896" s="27" t="s">
        <v>17404</v>
      </c>
      <c r="H896" s="27"/>
      <c r="I896" s="27"/>
      <c r="J896" s="27"/>
      <c r="K896" s="27"/>
      <c r="L896" s="27"/>
      <c r="N896" s="27"/>
      <c r="T896" s="28" t="str">
        <f>LOOKUP(1,1/(Table1[[#This Row],[Level_0]:[Level 15]]&gt;0),(Table1[[#This Row],[Level_0]:[Level 15]]))</f>
        <v>250400 - []</v>
      </c>
      <c r="U896" s="22">
        <v>891</v>
      </c>
      <c r="W896" s="13" t="str">
        <f>LOOKUP(1,1/(Table1[[#This Row],[Level_0]:[Level 15]]&gt;0),(Table1[[#This Row],[Level_0]:[Level 15]]))</f>
        <v>250400 - []</v>
      </c>
    </row>
    <row r="897" spans="1:23" hidden="1" x14ac:dyDescent="0.25">
      <c r="A897">
        <v>250402</v>
      </c>
      <c r="B897" s="16" t="e">
        <v>#N/A</v>
      </c>
      <c r="C897" s="16" t="e">
        <f>VLOOKUP(Table1[[#This Row],[Node]],Parent!A:B,2,0)</f>
        <v>#N/A</v>
      </c>
      <c r="D897" s="25" t="s">
        <v>19346</v>
      </c>
      <c r="E897" s="26" t="s">
        <v>16544</v>
      </c>
      <c r="F897" s="27" t="s">
        <v>16830</v>
      </c>
      <c r="G897" s="27" t="s">
        <v>17404</v>
      </c>
      <c r="H897" s="27" t="s">
        <v>17405</v>
      </c>
      <c r="I897" s="27"/>
      <c r="J897" s="27"/>
      <c r="K897" s="27"/>
      <c r="L897" s="27"/>
      <c r="N897" s="27"/>
      <c r="T897" s="28" t="str">
        <f>LOOKUP(1,1/(Table1[[#This Row],[Level_0]:[Level 15]]&gt;0),(Table1[[#This Row],[Level_0]:[Level 15]]))</f>
        <v>250402 - []</v>
      </c>
      <c r="U897" s="22">
        <v>892</v>
      </c>
      <c r="W897" s="13" t="str">
        <f>LOOKUP(1,1/(Table1[[#This Row],[Level_0]:[Level 15]]&gt;0),(Table1[[#This Row],[Level_0]:[Level 15]]))</f>
        <v>250402 - []</v>
      </c>
    </row>
    <row r="898" spans="1:23" hidden="1" x14ac:dyDescent="0.25">
      <c r="A898">
        <v>5901710000</v>
      </c>
      <c r="B898" s="16" t="s">
        <v>20500</v>
      </c>
      <c r="C898" s="16" t="e">
        <f>VLOOKUP(Table1[[#This Row],[Node]],Parent!A:B,2,0)</f>
        <v>#N/A</v>
      </c>
      <c r="D898" s="25" t="s">
        <v>19346</v>
      </c>
      <c r="E898" s="26" t="s">
        <v>16544</v>
      </c>
      <c r="F898" s="27" t="s">
        <v>16830</v>
      </c>
      <c r="G898" s="27" t="s">
        <v>17404</v>
      </c>
      <c r="H898" s="27" t="s">
        <v>17405</v>
      </c>
      <c r="I898" s="27" t="s">
        <v>17406</v>
      </c>
      <c r="J898" s="27"/>
      <c r="K898" s="27"/>
      <c r="L898" s="27"/>
      <c r="N898" s="27"/>
      <c r="T898" s="28" t="str">
        <f>LOOKUP(1,1/(Table1[[#This Row],[Level_0]:[Level 15]]&gt;0),(Table1[[#This Row],[Level_0]:[Level 15]]))</f>
        <v>5901710000 - [IC Expenses - Insurance Services]</v>
      </c>
      <c r="U898" s="22">
        <v>893</v>
      </c>
      <c r="W898" s="13" t="str">
        <f>LOOKUP(1,1/(Table1[[#This Row],[Level_0]:[Level 15]]&gt;0),(Table1[[#This Row],[Level_0]:[Level 15]]))</f>
        <v>5901710000 - [IC Expenses - Insurance Services]</v>
      </c>
    </row>
    <row r="899" spans="1:23" hidden="1" x14ac:dyDescent="0.25">
      <c r="A899">
        <v>5754010000</v>
      </c>
      <c r="B899" s="16" t="s">
        <v>20437</v>
      </c>
      <c r="C899" s="16" t="e">
        <f>VLOOKUP(Table1[[#This Row],[Node]],Parent!A:B,2,0)</f>
        <v>#N/A</v>
      </c>
      <c r="D899" s="25" t="s">
        <v>19346</v>
      </c>
      <c r="E899" s="26" t="s">
        <v>16544</v>
      </c>
      <c r="F899" s="27" t="s">
        <v>16830</v>
      </c>
      <c r="G899" s="27" t="s">
        <v>17404</v>
      </c>
      <c r="H899" s="27" t="s">
        <v>17405</v>
      </c>
      <c r="I899" s="27" t="s">
        <v>17407</v>
      </c>
      <c r="J899" s="27"/>
      <c r="K899" s="27"/>
      <c r="L899" s="27"/>
      <c r="N899" s="27"/>
      <c r="T899" s="28" t="str">
        <f>LOOKUP(1,1/(Table1[[#This Row],[Level_0]:[Level 15]]&gt;0),(Table1[[#This Row],[Level_0]:[Level 15]]))</f>
        <v>5754010000 - [Other MGF Charges IC (expense)]</v>
      </c>
      <c r="U899" s="22">
        <v>894</v>
      </c>
      <c r="W899" s="13" t="str">
        <f>LOOKUP(1,1/(Table1[[#This Row],[Level_0]:[Level 15]]&gt;0),(Table1[[#This Row],[Level_0]:[Level 15]]))</f>
        <v>5754010000 - [Other MGF Charges IC (expense)]</v>
      </c>
    </row>
    <row r="900" spans="1:23" hidden="1" x14ac:dyDescent="0.25">
      <c r="A900">
        <v>5752810000</v>
      </c>
      <c r="B900" s="16" t="s">
        <v>20435</v>
      </c>
      <c r="C900" s="16" t="e">
        <f>VLOOKUP(Table1[[#This Row],[Node]],Parent!A:B,2,0)</f>
        <v>#N/A</v>
      </c>
      <c r="D900" s="25" t="s">
        <v>19346</v>
      </c>
      <c r="E900" s="26" t="s">
        <v>16544</v>
      </c>
      <c r="F900" s="27" t="s">
        <v>16830</v>
      </c>
      <c r="G900" s="27" t="s">
        <v>17404</v>
      </c>
      <c r="H900" s="27" t="s">
        <v>17405</v>
      </c>
      <c r="I900" s="27" t="s">
        <v>17408</v>
      </c>
      <c r="J900" s="27"/>
      <c r="K900" s="27"/>
      <c r="L900" s="27"/>
      <c r="N900" s="27"/>
      <c r="T900" s="28" t="str">
        <f>LOOKUP(1,1/(Table1[[#This Row],[Level_0]:[Level 15]]&gt;0),(Table1[[#This Row],[Level_0]:[Level 15]]))</f>
        <v>5752810000 - [IC Expenses - Tax Services]</v>
      </c>
      <c r="U900" s="22">
        <v>895</v>
      </c>
      <c r="W900" s="13" t="str">
        <f>LOOKUP(1,1/(Table1[[#This Row],[Level_0]:[Level 15]]&gt;0),(Table1[[#This Row],[Level_0]:[Level 15]]))</f>
        <v>5752810000 - [IC Expenses - Tax Services]</v>
      </c>
    </row>
    <row r="901" spans="1:23" hidden="1" x14ac:dyDescent="0.25">
      <c r="A901">
        <v>5752710000</v>
      </c>
      <c r="B901" s="16" t="s">
        <v>20434</v>
      </c>
      <c r="C901" s="16" t="e">
        <f>VLOOKUP(Table1[[#This Row],[Node]],Parent!A:B,2,0)</f>
        <v>#N/A</v>
      </c>
      <c r="D901" s="25" t="s">
        <v>19346</v>
      </c>
      <c r="E901" s="26" t="s">
        <v>16544</v>
      </c>
      <c r="F901" s="27" t="s">
        <v>16830</v>
      </c>
      <c r="G901" s="27" t="s">
        <v>17404</v>
      </c>
      <c r="H901" s="27" t="s">
        <v>17405</v>
      </c>
      <c r="I901" s="27" t="s">
        <v>17409</v>
      </c>
      <c r="J901" s="27"/>
      <c r="K901" s="27"/>
      <c r="L901" s="27"/>
      <c r="N901" s="27"/>
      <c r="T901" s="28" t="str">
        <f>LOOKUP(1,1/(Table1[[#This Row],[Level_0]:[Level 15]]&gt;0),(Table1[[#This Row],[Level_0]:[Level 15]]))</f>
        <v>5752710000 - [IC Expenses - Communication Services]</v>
      </c>
      <c r="U901" s="22">
        <v>896</v>
      </c>
      <c r="W901" s="13" t="str">
        <f>LOOKUP(1,1/(Table1[[#This Row],[Level_0]:[Level 15]]&gt;0),(Table1[[#This Row],[Level_0]:[Level 15]]))</f>
        <v>5752710000 - [IC Expenses - Communication Services]</v>
      </c>
    </row>
    <row r="902" spans="1:23" hidden="1" x14ac:dyDescent="0.25">
      <c r="A902">
        <v>5752610000</v>
      </c>
      <c r="B902" s="16" t="s">
        <v>20433</v>
      </c>
      <c r="C902" s="16" t="e">
        <f>VLOOKUP(Table1[[#This Row],[Node]],Parent!A:B,2,0)</f>
        <v>#N/A</v>
      </c>
      <c r="D902" s="25" t="s">
        <v>19346</v>
      </c>
      <c r="E902" s="26" t="s">
        <v>16544</v>
      </c>
      <c r="F902" s="27" t="s">
        <v>16830</v>
      </c>
      <c r="G902" s="27" t="s">
        <v>17404</v>
      </c>
      <c r="H902" s="27" t="s">
        <v>17405</v>
      </c>
      <c r="I902" s="27" t="s">
        <v>17410</v>
      </c>
      <c r="J902" s="27"/>
      <c r="K902" s="27"/>
      <c r="L902" s="27"/>
      <c r="N902" s="27"/>
      <c r="T902" s="28" t="str">
        <f>LOOKUP(1,1/(Table1[[#This Row],[Level_0]:[Level 15]]&gt;0),(Table1[[#This Row],[Level_0]:[Level 15]]))</f>
        <v>5752610000 - [IC Expenses - Procurem Services]</v>
      </c>
      <c r="U902" s="22">
        <v>897</v>
      </c>
      <c r="W902" s="13" t="str">
        <f>LOOKUP(1,1/(Table1[[#This Row],[Level_0]:[Level 15]]&gt;0),(Table1[[#This Row],[Level_0]:[Level 15]]))</f>
        <v>5752610000 - [IC Expenses - Procurem Services]</v>
      </c>
    </row>
    <row r="903" spans="1:23" hidden="1" x14ac:dyDescent="0.25">
      <c r="A903">
        <v>5752110000</v>
      </c>
      <c r="B903" s="16" t="s">
        <v>20429</v>
      </c>
      <c r="C903" s="16" t="e">
        <f>VLOOKUP(Table1[[#This Row],[Node]],Parent!A:B,2,0)</f>
        <v>#N/A</v>
      </c>
      <c r="D903" s="25" t="s">
        <v>19346</v>
      </c>
      <c r="E903" s="26" t="s">
        <v>16544</v>
      </c>
      <c r="F903" s="27" t="s">
        <v>16830</v>
      </c>
      <c r="G903" s="27" t="s">
        <v>17404</v>
      </c>
      <c r="H903" s="27" t="s">
        <v>17405</v>
      </c>
      <c r="I903" s="27" t="s">
        <v>17411</v>
      </c>
      <c r="J903" s="27"/>
      <c r="K903" s="27"/>
      <c r="L903" s="27"/>
      <c r="N903" s="27"/>
      <c r="T903" s="28" t="str">
        <f>LOOKUP(1,1/(Table1[[#This Row],[Level_0]:[Level 15]]&gt;0),(Table1[[#This Row],[Level_0]:[Level 15]]))</f>
        <v>5752110000 - [IC Expenses - L&amp;C Services]</v>
      </c>
      <c r="U903" s="22">
        <v>898</v>
      </c>
      <c r="W903" s="13" t="str">
        <f>LOOKUP(1,1/(Table1[[#This Row],[Level_0]:[Level 15]]&gt;0),(Table1[[#This Row],[Level_0]:[Level 15]]))</f>
        <v>5752110000 - [IC Expenses - L&amp;C Services]</v>
      </c>
    </row>
    <row r="904" spans="1:23" hidden="1" x14ac:dyDescent="0.25">
      <c r="A904">
        <v>5751610000</v>
      </c>
      <c r="B904" s="16" t="s">
        <v>20426</v>
      </c>
      <c r="C904" s="16" t="e">
        <f>VLOOKUP(Table1[[#This Row],[Node]],Parent!A:B,2,0)</f>
        <v>#N/A</v>
      </c>
      <c r="D904" s="25" t="s">
        <v>19346</v>
      </c>
      <c r="E904" s="26" t="s">
        <v>16544</v>
      </c>
      <c r="F904" s="27" t="s">
        <v>16830</v>
      </c>
      <c r="G904" s="27" t="s">
        <v>17404</v>
      </c>
      <c r="H904" s="27" t="s">
        <v>17405</v>
      </c>
      <c r="I904" s="27" t="s">
        <v>17412</v>
      </c>
      <c r="J904" s="27"/>
      <c r="K904" s="27"/>
      <c r="L904" s="27"/>
      <c r="N904" s="27"/>
      <c r="T904" s="28" t="str">
        <f>LOOKUP(1,1/(Table1[[#This Row],[Level_0]:[Level 15]]&gt;0),(Table1[[#This Row],[Level_0]:[Level 15]]))</f>
        <v>5751610000 - [IC Expenses - HR Services]</v>
      </c>
      <c r="U904" s="22">
        <v>899</v>
      </c>
      <c r="W904" s="13" t="str">
        <f>LOOKUP(1,1/(Table1[[#This Row],[Level_0]:[Level 15]]&gt;0),(Table1[[#This Row],[Level_0]:[Level 15]]))</f>
        <v>5751610000 - [IC Expenses - HR Services]</v>
      </c>
    </row>
    <row r="905" spans="1:23" hidden="1" x14ac:dyDescent="0.25">
      <c r="A905">
        <v>5751510000</v>
      </c>
      <c r="B905" s="16" t="s">
        <v>20425</v>
      </c>
      <c r="C905" s="16" t="e">
        <f>VLOOKUP(Table1[[#This Row],[Node]],Parent!A:B,2,0)</f>
        <v>#N/A</v>
      </c>
      <c r="D905" s="25" t="s">
        <v>19346</v>
      </c>
      <c r="E905" s="26" t="s">
        <v>16544</v>
      </c>
      <c r="F905" s="27" t="s">
        <v>16830</v>
      </c>
      <c r="G905" s="27" t="s">
        <v>17404</v>
      </c>
      <c r="H905" s="27" t="s">
        <v>17405</v>
      </c>
      <c r="I905" s="27" t="s">
        <v>17413</v>
      </c>
      <c r="J905" s="27"/>
      <c r="K905" s="27"/>
      <c r="L905" s="27"/>
      <c r="N905" s="27"/>
      <c r="T905" s="28" t="str">
        <f>LOOKUP(1,1/(Table1[[#This Row],[Level_0]:[Level 15]]&gt;0),(Table1[[#This Row],[Level_0]:[Level 15]]))</f>
        <v>5751510000 - [IC Expenses - Group Treasury]</v>
      </c>
      <c r="U905" s="22">
        <v>900</v>
      </c>
      <c r="W905" s="13" t="str">
        <f>LOOKUP(1,1/(Table1[[#This Row],[Level_0]:[Level 15]]&gt;0),(Table1[[#This Row],[Level_0]:[Level 15]]))</f>
        <v>5751510000 - [IC Expenses - Group Treasury]</v>
      </c>
    </row>
    <row r="906" spans="1:23" hidden="1" x14ac:dyDescent="0.25">
      <c r="A906">
        <v>5751410000</v>
      </c>
      <c r="B906" s="16" t="s">
        <v>20424</v>
      </c>
      <c r="C906" s="16" t="e">
        <f>VLOOKUP(Table1[[#This Row],[Node]],Parent!A:B,2,0)</f>
        <v>#N/A</v>
      </c>
      <c r="D906" s="25" t="s">
        <v>19346</v>
      </c>
      <c r="E906" s="26" t="s">
        <v>16544</v>
      </c>
      <c r="F906" s="27" t="s">
        <v>16830</v>
      </c>
      <c r="G906" s="27" t="s">
        <v>17404</v>
      </c>
      <c r="H906" s="27" t="s">
        <v>17405</v>
      </c>
      <c r="I906" s="27" t="s">
        <v>17414</v>
      </c>
      <c r="J906" s="27"/>
      <c r="K906" s="27"/>
      <c r="L906" s="27"/>
      <c r="N906" s="27"/>
      <c r="T906" s="28" t="str">
        <f>LOOKUP(1,1/(Table1[[#This Row],[Level_0]:[Level 15]]&gt;0),(Table1[[#This Row],[Level_0]:[Level 15]]))</f>
        <v>5751410000 - [IC Expenses - E&amp;Q Services]</v>
      </c>
      <c r="U906" s="22">
        <v>901</v>
      </c>
      <c r="W906" s="13" t="str">
        <f>LOOKUP(1,1/(Table1[[#This Row],[Level_0]:[Level 15]]&gt;0),(Table1[[#This Row],[Level_0]:[Level 15]]))</f>
        <v>5751410000 - [IC Expenses - E&amp;Q Services]</v>
      </c>
    </row>
    <row r="907" spans="1:23" hidden="1" x14ac:dyDescent="0.25">
      <c r="A907">
        <v>5751310000</v>
      </c>
      <c r="B907" s="16" t="s">
        <v>20423</v>
      </c>
      <c r="C907" s="16" t="e">
        <f>VLOOKUP(Table1[[#This Row],[Node]],Parent!A:B,2,0)</f>
        <v>#N/A</v>
      </c>
      <c r="D907" s="25" t="s">
        <v>19346</v>
      </c>
      <c r="E907" s="26" t="s">
        <v>16544</v>
      </c>
      <c r="F907" s="27" t="s">
        <v>16830</v>
      </c>
      <c r="G907" s="27" t="s">
        <v>17404</v>
      </c>
      <c r="H907" s="27" t="s">
        <v>17405</v>
      </c>
      <c r="I907" s="27" t="s">
        <v>17415</v>
      </c>
      <c r="J907" s="27"/>
      <c r="K907" s="27"/>
      <c r="L907" s="27"/>
      <c r="N907" s="27"/>
      <c r="T907" s="28" t="str">
        <f>LOOKUP(1,1/(Table1[[#This Row],[Level_0]:[Level 15]]&gt;0),(Table1[[#This Row],[Level_0]:[Level 15]]))</f>
        <v>5751310000 - [IC Expenses - Controlling Services]</v>
      </c>
      <c r="U907" s="22">
        <v>902</v>
      </c>
      <c r="W907" s="13" t="str">
        <f>LOOKUP(1,1/(Table1[[#This Row],[Level_0]:[Level 15]]&gt;0),(Table1[[#This Row],[Level_0]:[Level 15]]))</f>
        <v>5751310000 - [IC Expenses - Controlling Services]</v>
      </c>
    </row>
    <row r="908" spans="1:23" hidden="1" x14ac:dyDescent="0.25">
      <c r="A908">
        <v>5751210000</v>
      </c>
      <c r="B908" s="16" t="s">
        <v>20422</v>
      </c>
      <c r="C908" s="16" t="e">
        <f>VLOOKUP(Table1[[#This Row],[Node]],Parent!A:B,2,0)</f>
        <v>#N/A</v>
      </c>
      <c r="D908" s="25" t="s">
        <v>19346</v>
      </c>
      <c r="E908" s="26" t="s">
        <v>16544</v>
      </c>
      <c r="F908" s="27" t="s">
        <v>16830</v>
      </c>
      <c r="G908" s="27" t="s">
        <v>17404</v>
      </c>
      <c r="H908" s="27" t="s">
        <v>17405</v>
      </c>
      <c r="I908" s="27" t="s">
        <v>17416</v>
      </c>
      <c r="J908" s="27"/>
      <c r="K908" s="27"/>
      <c r="L908" s="27"/>
      <c r="N908" s="27"/>
      <c r="T908" s="28" t="str">
        <f>LOOKUP(1,1/(Table1[[#This Row],[Level_0]:[Level 15]]&gt;0),(Table1[[#This Row],[Level_0]:[Level 15]]))</f>
        <v>5751210000 - [IC Expenses - Fin Auditing Services]</v>
      </c>
      <c r="U908" s="22">
        <v>903</v>
      </c>
      <c r="W908" s="13" t="str">
        <f>LOOKUP(1,1/(Table1[[#This Row],[Level_0]:[Level 15]]&gt;0),(Table1[[#This Row],[Level_0]:[Level 15]]))</f>
        <v>5751210000 - [IC Expenses - Fin Auditing Services]</v>
      </c>
    </row>
    <row r="909" spans="1:23" hidden="1" x14ac:dyDescent="0.25">
      <c r="A909">
        <v>5751010000</v>
      </c>
      <c r="B909" s="16" t="s">
        <v>20421</v>
      </c>
      <c r="C909" s="16" t="e">
        <f>VLOOKUP(Table1[[#This Row],[Node]],Parent!A:B,2,0)</f>
        <v>#N/A</v>
      </c>
      <c r="D909" s="25" t="s">
        <v>19346</v>
      </c>
      <c r="E909" s="26" t="s">
        <v>16544</v>
      </c>
      <c r="F909" s="27" t="s">
        <v>16830</v>
      </c>
      <c r="G909" s="27" t="s">
        <v>17404</v>
      </c>
      <c r="H909" s="27" t="s">
        <v>17405</v>
      </c>
      <c r="I909" s="27" t="s">
        <v>17417</v>
      </c>
      <c r="J909" s="27"/>
      <c r="K909" s="27"/>
      <c r="L909" s="27"/>
      <c r="N909" s="27"/>
      <c r="T909" s="28" t="str">
        <f>LOOKUP(1,1/(Table1[[#This Row],[Level_0]:[Level 15]]&gt;0),(Table1[[#This Row],[Level_0]:[Level 15]]))</f>
        <v>5751010000 - [IC Expenses - Accounting Services]</v>
      </c>
      <c r="U909" s="22">
        <v>904</v>
      </c>
      <c r="W909" s="13" t="str">
        <f>LOOKUP(1,1/(Table1[[#This Row],[Level_0]:[Level 15]]&gt;0),(Table1[[#This Row],[Level_0]:[Level 15]]))</f>
        <v>5751010000 - [IC Expenses - Accounting Services]</v>
      </c>
    </row>
    <row r="910" spans="1:23" hidden="1" x14ac:dyDescent="0.25">
      <c r="A910">
        <v>5752510000</v>
      </c>
      <c r="B910" s="16" t="s">
        <v>20432</v>
      </c>
      <c r="C910" s="16" t="e">
        <f>VLOOKUP(Table1[[#This Row],[Node]],Parent!A:B,2,0)</f>
        <v>#N/A</v>
      </c>
      <c r="D910" s="25" t="s">
        <v>19346</v>
      </c>
      <c r="E910" s="26" t="s">
        <v>16544</v>
      </c>
      <c r="F910" s="27" t="s">
        <v>16830</v>
      </c>
      <c r="G910" s="27" t="s">
        <v>17404</v>
      </c>
      <c r="H910" s="27" t="s">
        <v>17405</v>
      </c>
      <c r="I910" s="27" t="s">
        <v>17418</v>
      </c>
      <c r="J910" s="27"/>
      <c r="K910" s="27"/>
      <c r="L910" s="27"/>
      <c r="N910" s="27"/>
      <c r="T910" s="28" t="str">
        <f>LOOKUP(1,1/(Table1[[#This Row],[Level_0]:[Level 15]]&gt;0),(Table1[[#This Row],[Level_0]:[Level 15]]))</f>
        <v>5752510000 - [IC Expenses - P&amp;S - Information Services]</v>
      </c>
      <c r="U910" s="22">
        <v>905</v>
      </c>
      <c r="W910" s="13" t="str">
        <f>LOOKUP(1,1/(Table1[[#This Row],[Level_0]:[Level 15]]&gt;0),(Table1[[#This Row],[Level_0]:[Level 15]]))</f>
        <v>5752510000 - [IC Expenses - P&amp;S - Information Services]</v>
      </c>
    </row>
    <row r="911" spans="1:23" hidden="1" x14ac:dyDescent="0.25">
      <c r="A911">
        <v>250401</v>
      </c>
      <c r="B911" s="16" t="e">
        <v>#N/A</v>
      </c>
      <c r="C911" s="16" t="e">
        <f>VLOOKUP(Table1[[#This Row],[Node]],Parent!A:B,2,0)</f>
        <v>#N/A</v>
      </c>
      <c r="D911" s="25" t="s">
        <v>19346</v>
      </c>
      <c r="E911" s="26" t="s">
        <v>16544</v>
      </c>
      <c r="F911" s="27" t="s">
        <v>16830</v>
      </c>
      <c r="G911" s="27" t="s">
        <v>17404</v>
      </c>
      <c r="H911" s="27" t="s">
        <v>17419</v>
      </c>
      <c r="I911" s="27"/>
      <c r="J911" s="27"/>
      <c r="K911" s="27"/>
      <c r="L911" s="27"/>
      <c r="N911" s="27"/>
      <c r="T911" s="28" t="str">
        <f>LOOKUP(1,1/(Table1[[#This Row],[Level_0]:[Level 15]]&gt;0),(Table1[[#This Row],[Level_0]:[Level 15]]))</f>
        <v>250401 - []</v>
      </c>
      <c r="U911" s="22">
        <v>906</v>
      </c>
      <c r="W911" s="13" t="str">
        <f>LOOKUP(1,1/(Table1[[#This Row],[Level_0]:[Level 15]]&gt;0),(Table1[[#This Row],[Level_0]:[Level 15]]))</f>
        <v>250401 - []</v>
      </c>
    </row>
    <row r="912" spans="1:23" hidden="1" x14ac:dyDescent="0.25">
      <c r="A912">
        <v>5983110000</v>
      </c>
      <c r="B912" s="16" t="s">
        <v>20627</v>
      </c>
      <c r="C912" s="16" t="e">
        <f>VLOOKUP(Table1[[#This Row],[Node]],Parent!A:B,2,0)</f>
        <v>#N/A</v>
      </c>
      <c r="D912" s="25" t="s">
        <v>19346</v>
      </c>
      <c r="E912" s="26" t="s">
        <v>16544</v>
      </c>
      <c r="F912" s="27" t="s">
        <v>16830</v>
      </c>
      <c r="G912" s="27" t="s">
        <v>17404</v>
      </c>
      <c r="H912" s="27" t="s">
        <v>17419</v>
      </c>
      <c r="I912" s="27" t="s">
        <v>17420</v>
      </c>
      <c r="J912" s="27"/>
      <c r="K912" s="27"/>
      <c r="L912" s="27"/>
      <c r="N912" s="27"/>
      <c r="T912" s="28" t="str">
        <f>LOOKUP(1,1/(Table1[[#This Row],[Level_0]:[Level 15]]&gt;0),(Table1[[#This Row],[Level_0]:[Level 15]]))</f>
        <v>5983110000 - [Reimbursement IC - Group Treasury]</v>
      </c>
      <c r="U912" s="22">
        <v>907</v>
      </c>
      <c r="W912" s="13" t="str">
        <f>LOOKUP(1,1/(Table1[[#This Row],[Level_0]:[Level 15]]&gt;0),(Table1[[#This Row],[Level_0]:[Level 15]]))</f>
        <v>5983110000 - [Reimbursement IC - Group Treasury]</v>
      </c>
    </row>
    <row r="913" spans="1:23" hidden="1" x14ac:dyDescent="0.25">
      <c r="A913">
        <v>5983010000</v>
      </c>
      <c r="B913" s="16" t="s">
        <v>20626</v>
      </c>
      <c r="C913" s="16" t="e">
        <f>VLOOKUP(Table1[[#This Row],[Node]],Parent!A:B,2,0)</f>
        <v>#N/A</v>
      </c>
      <c r="D913" s="25" t="s">
        <v>19346</v>
      </c>
      <c r="E913" s="26" t="s">
        <v>16544</v>
      </c>
      <c r="F913" s="27" t="s">
        <v>16830</v>
      </c>
      <c r="G913" s="27" t="s">
        <v>17404</v>
      </c>
      <c r="H913" s="27" t="s">
        <v>17419</v>
      </c>
      <c r="I913" s="27" t="s">
        <v>17421</v>
      </c>
      <c r="J913" s="27"/>
      <c r="K913" s="27"/>
      <c r="L913" s="27"/>
      <c r="N913" s="27"/>
      <c r="T913" s="28" t="str">
        <f>LOOKUP(1,1/(Table1[[#This Row],[Level_0]:[Level 15]]&gt;0),(Table1[[#This Row],[Level_0]:[Level 15]]))</f>
        <v>5983010000 - [Reimbursement IC - Legal &amp; Compl Serv]</v>
      </c>
      <c r="U913" s="22">
        <v>908</v>
      </c>
      <c r="W913" s="13" t="str">
        <f>LOOKUP(1,1/(Table1[[#This Row],[Level_0]:[Level 15]]&gt;0),(Table1[[#This Row],[Level_0]:[Level 15]]))</f>
        <v>5983010000 - [Reimbursement IC - Legal &amp; Compl Serv]</v>
      </c>
    </row>
    <row r="914" spans="1:23" hidden="1" x14ac:dyDescent="0.25">
      <c r="A914">
        <v>7240000013</v>
      </c>
      <c r="B914" s="16" t="s">
        <v>20734</v>
      </c>
      <c r="C914" s="16" t="e">
        <f>VLOOKUP(Table1[[#This Row],[Node]],Parent!A:B,2,0)</f>
        <v>#N/A</v>
      </c>
      <c r="D914" s="25" t="s">
        <v>19346</v>
      </c>
      <c r="E914" s="26" t="s">
        <v>16544</v>
      </c>
      <c r="F914" s="27" t="s">
        <v>16830</v>
      </c>
      <c r="G914" s="27" t="s">
        <v>17404</v>
      </c>
      <c r="H914" s="27" t="s">
        <v>17419</v>
      </c>
      <c r="I914" s="27" t="s">
        <v>17422</v>
      </c>
      <c r="J914" s="27"/>
      <c r="K914" s="27"/>
      <c r="L914" s="27"/>
      <c r="N914" s="27"/>
      <c r="T914" s="28" t="str">
        <f>LOOKUP(1,1/(Table1[[#This Row],[Level_0]:[Level 15]]&gt;0),(Table1[[#This Row],[Level_0]:[Level 15]]))</f>
        <v>7240000013 - [SOM Rental Settlement]</v>
      </c>
      <c r="U914" s="22">
        <v>909</v>
      </c>
      <c r="W914" s="13" t="str">
        <f>LOOKUP(1,1/(Table1[[#This Row],[Level_0]:[Level 15]]&gt;0),(Table1[[#This Row],[Level_0]:[Level 15]]))</f>
        <v>7240000013 - [SOM Rental Settlement]</v>
      </c>
    </row>
    <row r="915" spans="1:23" hidden="1" x14ac:dyDescent="0.25">
      <c r="A915">
        <v>7620000010</v>
      </c>
      <c r="B915" s="16" t="s">
        <v>21536</v>
      </c>
      <c r="C915" s="16" t="e">
        <f>VLOOKUP(Table1[[#This Row],[Node]],Parent!A:B,2,0)</f>
        <v>#N/A</v>
      </c>
      <c r="D915" s="25" t="s">
        <v>19346</v>
      </c>
      <c r="E915" s="26" t="s">
        <v>16544</v>
      </c>
      <c r="F915" s="27" t="s">
        <v>16830</v>
      </c>
      <c r="G915" s="27" t="s">
        <v>17404</v>
      </c>
      <c r="H915" s="27" t="s">
        <v>17419</v>
      </c>
      <c r="I915" s="27" t="s">
        <v>17423</v>
      </c>
      <c r="J915" s="27"/>
      <c r="K915" s="27"/>
      <c r="L915" s="27"/>
      <c r="N915" s="27"/>
      <c r="T915" s="28" t="str">
        <f>LOOKUP(1,1/(Table1[[#This Row],[Level_0]:[Level 15]]&gt;0),(Table1[[#This Row],[Level_0]:[Level 15]]))</f>
        <v>7620000010 - [AOM FBU Vers. CO]</v>
      </c>
      <c r="U915" s="22">
        <v>910</v>
      </c>
      <c r="W915" s="13" t="str">
        <f>LOOKUP(1,1/(Table1[[#This Row],[Level_0]:[Level 15]]&gt;0),(Table1[[#This Row],[Level_0]:[Level 15]]))</f>
        <v>7620000010 - [AOM FBU Vers. CO]</v>
      </c>
    </row>
    <row r="916" spans="1:23" hidden="1" x14ac:dyDescent="0.25">
      <c r="A916">
        <v>7620000008</v>
      </c>
      <c r="B916" s="16" t="s">
        <v>21534</v>
      </c>
      <c r="C916" s="16" t="e">
        <f>VLOOKUP(Table1[[#This Row],[Node]],Parent!A:B,2,0)</f>
        <v>#N/A</v>
      </c>
      <c r="D916" s="25" t="s">
        <v>19346</v>
      </c>
      <c r="E916" s="26" t="s">
        <v>16544</v>
      </c>
      <c r="F916" s="27" t="s">
        <v>16830</v>
      </c>
      <c r="G916" s="27" t="s">
        <v>17404</v>
      </c>
      <c r="H916" s="27" t="s">
        <v>17419</v>
      </c>
      <c r="I916" s="27" t="s">
        <v>17424</v>
      </c>
      <c r="J916" s="27"/>
      <c r="K916" s="27"/>
      <c r="L916" s="27"/>
      <c r="N916" s="27"/>
      <c r="T916" s="28" t="str">
        <f>LOOKUP(1,1/(Table1[[#This Row],[Level_0]:[Level 15]]&gt;0),(Table1[[#This Row],[Level_0]:[Level 15]]))</f>
        <v>7620000008 - [AOM Abg.Standortvers.]</v>
      </c>
      <c r="U916" s="22">
        <v>911</v>
      </c>
      <c r="W916" s="13" t="str">
        <f>LOOKUP(1,1/(Table1[[#This Row],[Level_0]:[Level 15]]&gt;0),(Table1[[#This Row],[Level_0]:[Level 15]]))</f>
        <v>7620000008 - [AOM Abg.Standortvers.]</v>
      </c>
    </row>
    <row r="917" spans="1:23" hidden="1" x14ac:dyDescent="0.25">
      <c r="A917">
        <v>7240000011</v>
      </c>
      <c r="B917" s="16" t="s">
        <v>20732</v>
      </c>
      <c r="C917" s="16" t="e">
        <f>VLOOKUP(Table1[[#This Row],[Node]],Parent!A:B,2,0)</f>
        <v>#N/A</v>
      </c>
      <c r="D917" s="25" t="s">
        <v>19346</v>
      </c>
      <c r="E917" s="26" t="s">
        <v>16544</v>
      </c>
      <c r="F917" s="27" t="s">
        <v>16830</v>
      </c>
      <c r="G917" s="27" t="s">
        <v>17404</v>
      </c>
      <c r="H917" s="27" t="s">
        <v>17419</v>
      </c>
      <c r="I917" s="27" t="s">
        <v>17425</v>
      </c>
      <c r="J917" s="27"/>
      <c r="K917" s="27"/>
      <c r="L917" s="27"/>
      <c r="N917" s="27"/>
      <c r="T917" s="28" t="str">
        <f>LOOKUP(1,1/(Table1[[#This Row],[Level_0]:[Level 15]]&gt;0),(Table1[[#This Row],[Level_0]:[Level 15]]))</f>
        <v>7240000011 - [SOM Taxes Settlement]</v>
      </c>
      <c r="U917" s="22">
        <v>912</v>
      </c>
      <c r="W917" s="13" t="str">
        <f>LOOKUP(1,1/(Table1[[#This Row],[Level_0]:[Level 15]]&gt;0),(Table1[[#This Row],[Level_0]:[Level 15]]))</f>
        <v>7240000011 - [SOM Taxes Settlement]</v>
      </c>
    </row>
    <row r="918" spans="1:23" hidden="1" x14ac:dyDescent="0.25">
      <c r="A918">
        <v>7240000007</v>
      </c>
      <c r="B918" s="16" t="s">
        <v>20728</v>
      </c>
      <c r="C918" s="16" t="e">
        <f>VLOOKUP(Table1[[#This Row],[Node]],Parent!A:B,2,0)</f>
        <v>#N/A</v>
      </c>
      <c r="D918" s="25" t="s">
        <v>19346</v>
      </c>
      <c r="E918" s="26" t="s">
        <v>16544</v>
      </c>
      <c r="F918" s="27" t="s">
        <v>16830</v>
      </c>
      <c r="G918" s="27" t="s">
        <v>17404</v>
      </c>
      <c r="H918" s="27" t="s">
        <v>17419</v>
      </c>
      <c r="I918" s="27" t="s">
        <v>17426</v>
      </c>
      <c r="J918" s="27"/>
      <c r="K918" s="27"/>
      <c r="L918" s="27"/>
      <c r="N918" s="27"/>
      <c r="T918" s="28" t="str">
        <f>LOOKUP(1,1/(Table1[[#This Row],[Level_0]:[Level 15]]&gt;0),(Table1[[#This Row],[Level_0]:[Level 15]]))</f>
        <v>7240000007 - [SOM Incentive Comp Settlement]</v>
      </c>
      <c r="U918" s="22">
        <v>913</v>
      </c>
      <c r="W918" s="13" t="str">
        <f>LOOKUP(1,1/(Table1[[#This Row],[Level_0]:[Level 15]]&gt;0),(Table1[[#This Row],[Level_0]:[Level 15]]))</f>
        <v>7240000007 - [SOM Incentive Comp Settlement]</v>
      </c>
    </row>
    <row r="919" spans="1:23" hidden="1" x14ac:dyDescent="0.25">
      <c r="A919">
        <v>7240000005</v>
      </c>
      <c r="B919" s="16" t="s">
        <v>20726</v>
      </c>
      <c r="C919" s="16" t="e">
        <f>VLOOKUP(Table1[[#This Row],[Node]],Parent!A:B,2,0)</f>
        <v>#N/A</v>
      </c>
      <c r="D919" s="25" t="s">
        <v>19346</v>
      </c>
      <c r="E919" s="26" t="s">
        <v>16544</v>
      </c>
      <c r="F919" s="27" t="s">
        <v>16830</v>
      </c>
      <c r="G919" s="27" t="s">
        <v>17404</v>
      </c>
      <c r="H919" s="27" t="s">
        <v>17419</v>
      </c>
      <c r="I919" s="27" t="s">
        <v>17427</v>
      </c>
      <c r="J919" s="27"/>
      <c r="K919" s="27"/>
      <c r="L919" s="27"/>
      <c r="N919" s="27"/>
      <c r="T919" s="28" t="str">
        <f>LOOKUP(1,1/(Table1[[#This Row],[Level_0]:[Level 15]]&gt;0),(Table1[[#This Row],[Level_0]:[Level 15]]))</f>
        <v>7240000005 - [SOM MGF Other exp.]</v>
      </c>
      <c r="U919" s="22">
        <v>914</v>
      </c>
      <c r="W919" s="13" t="str">
        <f>LOOKUP(1,1/(Table1[[#This Row],[Level_0]:[Level 15]]&gt;0),(Table1[[#This Row],[Level_0]:[Level 15]]))</f>
        <v>7240000005 - [SOM MGF Other exp.]</v>
      </c>
    </row>
    <row r="920" spans="1:23" hidden="1" x14ac:dyDescent="0.25">
      <c r="A920">
        <v>7240000004</v>
      </c>
      <c r="B920" s="16" t="s">
        <v>20725</v>
      </c>
      <c r="C920" s="16" t="e">
        <f>VLOOKUP(Table1[[#This Row],[Node]],Parent!A:B,2,0)</f>
        <v>#N/A</v>
      </c>
      <c r="D920" s="25" t="s">
        <v>19346</v>
      </c>
      <c r="E920" s="26" t="s">
        <v>16544</v>
      </c>
      <c r="F920" s="27" t="s">
        <v>16830</v>
      </c>
      <c r="G920" s="27" t="s">
        <v>17404</v>
      </c>
      <c r="H920" s="27" t="s">
        <v>17419</v>
      </c>
      <c r="I920" s="27" t="s">
        <v>17428</v>
      </c>
      <c r="J920" s="27"/>
      <c r="K920" s="27"/>
      <c r="L920" s="27"/>
      <c r="N920" s="27"/>
      <c r="T920" s="28" t="str">
        <f>LOOKUP(1,1/(Table1[[#This Row],[Level_0]:[Level 15]]&gt;0),(Table1[[#This Row],[Level_0]:[Level 15]]))</f>
        <v>7240000004 - [SOM MGF Legal exp.]</v>
      </c>
      <c r="U920" s="22">
        <v>915</v>
      </c>
      <c r="W920" s="13" t="str">
        <f>LOOKUP(1,1/(Table1[[#This Row],[Level_0]:[Level 15]]&gt;0),(Table1[[#This Row],[Level_0]:[Level 15]]))</f>
        <v>7240000004 - [SOM MGF Legal exp.]</v>
      </c>
    </row>
    <row r="921" spans="1:23" hidden="1" x14ac:dyDescent="0.25">
      <c r="A921">
        <v>7240000003</v>
      </c>
      <c r="B921" s="16" t="s">
        <v>20724</v>
      </c>
      <c r="C921" s="16" t="e">
        <f>VLOOKUP(Table1[[#This Row],[Node]],Parent!A:B,2,0)</f>
        <v>#N/A</v>
      </c>
      <c r="D921" s="25" t="s">
        <v>19346</v>
      </c>
      <c r="E921" s="26" t="s">
        <v>16544</v>
      </c>
      <c r="F921" s="27" t="s">
        <v>16830</v>
      </c>
      <c r="G921" s="27" t="s">
        <v>17404</v>
      </c>
      <c r="H921" s="27" t="s">
        <v>17419</v>
      </c>
      <c r="I921" s="27" t="s">
        <v>17429</v>
      </c>
      <c r="J921" s="27"/>
      <c r="K921" s="27"/>
      <c r="L921" s="27"/>
      <c r="N921" s="27"/>
      <c r="T921" s="28" t="str">
        <f>LOOKUP(1,1/(Table1[[#This Row],[Level_0]:[Level 15]]&gt;0),(Table1[[#This Row],[Level_0]:[Level 15]]))</f>
        <v>7240000003 - [SOM MGF Finance exp.]</v>
      </c>
      <c r="U921" s="22">
        <v>916</v>
      </c>
      <c r="W921" s="13" t="str">
        <f>LOOKUP(1,1/(Table1[[#This Row],[Level_0]:[Level 15]]&gt;0),(Table1[[#This Row],[Level_0]:[Level 15]]))</f>
        <v>7240000003 - [SOM MGF Finance exp.]</v>
      </c>
    </row>
    <row r="922" spans="1:23" hidden="1" x14ac:dyDescent="0.25">
      <c r="A922">
        <v>7240000002</v>
      </c>
      <c r="B922" s="16" t="s">
        <v>20723</v>
      </c>
      <c r="C922" s="16" t="e">
        <f>VLOOKUP(Table1[[#This Row],[Node]],Parent!A:B,2,0)</f>
        <v>#N/A</v>
      </c>
      <c r="D922" s="25" t="s">
        <v>19346</v>
      </c>
      <c r="E922" s="26" t="s">
        <v>16544</v>
      </c>
      <c r="F922" s="27" t="s">
        <v>16830</v>
      </c>
      <c r="G922" s="27" t="s">
        <v>17404</v>
      </c>
      <c r="H922" s="27" t="s">
        <v>17419</v>
      </c>
      <c r="I922" s="27" t="s">
        <v>17430</v>
      </c>
      <c r="J922" s="27"/>
      <c r="K922" s="27"/>
      <c r="L922" s="27"/>
      <c r="N922" s="27"/>
      <c r="T922" s="28" t="str">
        <f>LOOKUP(1,1/(Table1[[#This Row],[Level_0]:[Level 15]]&gt;0),(Table1[[#This Row],[Level_0]:[Level 15]]))</f>
        <v>7240000002 - [SOM MGF HR exp.]</v>
      </c>
      <c r="U922" s="22">
        <v>917</v>
      </c>
      <c r="W922" s="13" t="str">
        <f>LOOKUP(1,1/(Table1[[#This Row],[Level_0]:[Level 15]]&gt;0),(Table1[[#This Row],[Level_0]:[Level 15]]))</f>
        <v>7240000002 - [SOM MGF HR exp.]</v>
      </c>
    </row>
    <row r="923" spans="1:23" hidden="1" x14ac:dyDescent="0.25">
      <c r="A923">
        <v>7240000001</v>
      </c>
      <c r="B923" s="16" t="s">
        <v>20722</v>
      </c>
      <c r="C923" s="16" t="e">
        <f>VLOOKUP(Table1[[#This Row],[Node]],Parent!A:B,2,0)</f>
        <v>#N/A</v>
      </c>
      <c r="D923" s="25" t="s">
        <v>19346</v>
      </c>
      <c r="E923" s="26" t="s">
        <v>16544</v>
      </c>
      <c r="F923" s="27" t="s">
        <v>16830</v>
      </c>
      <c r="G923" s="27" t="s">
        <v>17404</v>
      </c>
      <c r="H923" s="27" t="s">
        <v>17419</v>
      </c>
      <c r="I923" s="27" t="s">
        <v>17431</v>
      </c>
      <c r="J923" s="27"/>
      <c r="K923" s="27"/>
      <c r="L923" s="27"/>
      <c r="N923" s="27"/>
      <c r="T923" s="28" t="str">
        <f>LOOKUP(1,1/(Table1[[#This Row],[Level_0]:[Level 15]]&gt;0),(Table1[[#This Row],[Level_0]:[Level 15]]))</f>
        <v>7240000001 - [SOM Corp Cost Settlement]</v>
      </c>
      <c r="U923" s="22">
        <v>918</v>
      </c>
      <c r="W923" s="13" t="str">
        <f>LOOKUP(1,1/(Table1[[#This Row],[Level_0]:[Level 15]]&gt;0),(Table1[[#This Row],[Level_0]:[Level 15]]))</f>
        <v>7240000001 - [SOM Corp Cost Settlement]</v>
      </c>
    </row>
    <row r="924" spans="1:23" hidden="1" x14ac:dyDescent="0.25">
      <c r="A924">
        <v>7220000016</v>
      </c>
      <c r="B924" s="16" t="s">
        <v>20717</v>
      </c>
      <c r="C924" s="16" t="e">
        <f>VLOOKUP(Table1[[#This Row],[Node]],Parent!A:B,2,0)</f>
        <v>#N/A</v>
      </c>
      <c r="D924" s="25" t="s">
        <v>19346</v>
      </c>
      <c r="E924" s="26" t="s">
        <v>16544</v>
      </c>
      <c r="F924" s="27" t="s">
        <v>16830</v>
      </c>
      <c r="G924" s="27" t="s">
        <v>17404</v>
      </c>
      <c r="H924" s="27" t="s">
        <v>17419</v>
      </c>
      <c r="I924" s="27" t="s">
        <v>17432</v>
      </c>
      <c r="J924" s="27"/>
      <c r="K924" s="27"/>
      <c r="L924" s="27"/>
      <c r="N924" s="27"/>
      <c r="T924" s="28" t="str">
        <f>LOOKUP(1,1/(Table1[[#This Row],[Level_0]:[Level 15]]&gt;0),(Table1[[#This Row],[Level_0]:[Level 15]]))</f>
        <v>7220000016 - [AOM Communication Service]</v>
      </c>
      <c r="U924" s="22">
        <v>919</v>
      </c>
      <c r="W924" s="13" t="str">
        <f>LOOKUP(1,1/(Table1[[#This Row],[Level_0]:[Level 15]]&gt;0),(Table1[[#This Row],[Level_0]:[Level 15]]))</f>
        <v>7220000016 - [AOM Communication Service]</v>
      </c>
    </row>
    <row r="925" spans="1:23" hidden="1" x14ac:dyDescent="0.25">
      <c r="A925">
        <v>7220000015</v>
      </c>
      <c r="B925" s="16" t="s">
        <v>20716</v>
      </c>
      <c r="C925" s="16" t="e">
        <f>VLOOKUP(Table1[[#This Row],[Node]],Parent!A:B,2,0)</f>
        <v>#N/A</v>
      </c>
      <c r="D925" s="25" t="s">
        <v>19346</v>
      </c>
      <c r="E925" s="26" t="s">
        <v>16544</v>
      </c>
      <c r="F925" s="27" t="s">
        <v>16830</v>
      </c>
      <c r="G925" s="27" t="s">
        <v>17404</v>
      </c>
      <c r="H925" s="27" t="s">
        <v>17419</v>
      </c>
      <c r="I925" s="27" t="s">
        <v>17433</v>
      </c>
      <c r="J925" s="27"/>
      <c r="K925" s="27"/>
      <c r="L925" s="27"/>
      <c r="N925" s="27"/>
      <c r="T925" s="28" t="str">
        <f>LOOKUP(1,1/(Table1[[#This Row],[Level_0]:[Level 15]]&gt;0),(Table1[[#This Row],[Level_0]:[Level 15]]))</f>
        <v>7220000015 - [AOM Fin Auditing Services]</v>
      </c>
      <c r="U925" s="22">
        <v>920</v>
      </c>
      <c r="W925" s="13" t="str">
        <f>LOOKUP(1,1/(Table1[[#This Row],[Level_0]:[Level 15]]&gt;0),(Table1[[#This Row],[Level_0]:[Level 15]]))</f>
        <v>7220000015 - [AOM Fin Auditing Services]</v>
      </c>
    </row>
    <row r="926" spans="1:23" hidden="1" x14ac:dyDescent="0.25">
      <c r="A926">
        <v>7220000012</v>
      </c>
      <c r="B926" s="16" t="s">
        <v>20713</v>
      </c>
      <c r="C926" s="16" t="e">
        <f>VLOOKUP(Table1[[#This Row],[Node]],Parent!A:B,2,0)</f>
        <v>#N/A</v>
      </c>
      <c r="D926" s="25" t="s">
        <v>19346</v>
      </c>
      <c r="E926" s="26" t="s">
        <v>16544</v>
      </c>
      <c r="F926" s="27" t="s">
        <v>16830</v>
      </c>
      <c r="G926" s="27" t="s">
        <v>17404</v>
      </c>
      <c r="H926" s="27" t="s">
        <v>17419</v>
      </c>
      <c r="I926" s="27" t="s">
        <v>17434</v>
      </c>
      <c r="J926" s="27"/>
      <c r="K926" s="27"/>
      <c r="L926" s="27"/>
      <c r="N926" s="27"/>
      <c r="T926" s="28" t="str">
        <f>LOOKUP(1,1/(Table1[[#This Row],[Level_0]:[Level 15]]&gt;0),(Table1[[#This Row],[Level_0]:[Level 15]]))</f>
        <v>7220000012 - [AOM Other MGF Charges IC (income)]</v>
      </c>
      <c r="U926" s="22">
        <v>921</v>
      </c>
      <c r="W926" s="13" t="str">
        <f>LOOKUP(1,1/(Table1[[#This Row],[Level_0]:[Level 15]]&gt;0),(Table1[[#This Row],[Level_0]:[Level 15]]))</f>
        <v>7220000012 - [AOM Other MGF Charges IC (income)]</v>
      </c>
    </row>
    <row r="927" spans="1:23" hidden="1" x14ac:dyDescent="0.25">
      <c r="A927">
        <v>7220000011</v>
      </c>
      <c r="B927" s="16" t="s">
        <v>20712</v>
      </c>
      <c r="C927" s="16" t="e">
        <f>VLOOKUP(Table1[[#This Row],[Node]],Parent!A:B,2,0)</f>
        <v>#N/A</v>
      </c>
      <c r="D927" s="25" t="s">
        <v>19346</v>
      </c>
      <c r="E927" s="26" t="s">
        <v>16544</v>
      </c>
      <c r="F927" s="27" t="s">
        <v>16830</v>
      </c>
      <c r="G927" s="27" t="s">
        <v>17404</v>
      </c>
      <c r="H927" s="27" t="s">
        <v>17419</v>
      </c>
      <c r="I927" s="27" t="s">
        <v>17435</v>
      </c>
      <c r="J927" s="27"/>
      <c r="K927" s="27"/>
      <c r="L927" s="27"/>
      <c r="N927" s="27"/>
      <c r="T927" s="28" t="str">
        <f>LOOKUP(1,1/(Table1[[#This Row],[Level_0]:[Level 15]]&gt;0),(Table1[[#This Row],[Level_0]:[Level 15]]))</f>
        <v>7220000011 - [AOM Tax services]</v>
      </c>
      <c r="U927" s="22">
        <v>922</v>
      </c>
      <c r="W927" s="13" t="str">
        <f>LOOKUP(1,1/(Table1[[#This Row],[Level_0]:[Level 15]]&gt;0),(Table1[[#This Row],[Level_0]:[Level 15]]))</f>
        <v>7220000011 - [AOM Tax services]</v>
      </c>
    </row>
    <row r="928" spans="1:23" hidden="1" x14ac:dyDescent="0.25">
      <c r="A928">
        <v>7220000010</v>
      </c>
      <c r="B928" s="16" t="s">
        <v>20711</v>
      </c>
      <c r="C928" s="16" t="e">
        <f>VLOOKUP(Table1[[#This Row],[Node]],Parent!A:B,2,0)</f>
        <v>#N/A</v>
      </c>
      <c r="D928" s="25" t="s">
        <v>19346</v>
      </c>
      <c r="E928" s="26" t="s">
        <v>16544</v>
      </c>
      <c r="F928" s="27" t="s">
        <v>16830</v>
      </c>
      <c r="G928" s="27" t="s">
        <v>17404</v>
      </c>
      <c r="H928" s="27" t="s">
        <v>17419</v>
      </c>
      <c r="I928" s="27" t="s">
        <v>17436</v>
      </c>
      <c r="J928" s="27"/>
      <c r="K928" s="27"/>
      <c r="L928" s="27"/>
      <c r="N928" s="27"/>
      <c r="T928" s="28" t="str">
        <f>LOOKUP(1,1/(Table1[[#This Row],[Level_0]:[Level 15]]&gt;0),(Table1[[#This Row],[Level_0]:[Level 15]]))</f>
        <v>7220000010 - [AOM Procurement services]</v>
      </c>
      <c r="U928" s="22">
        <v>923</v>
      </c>
      <c r="W928" s="13" t="str">
        <f>LOOKUP(1,1/(Table1[[#This Row],[Level_0]:[Level 15]]&gt;0),(Table1[[#This Row],[Level_0]:[Level 15]]))</f>
        <v>7220000010 - [AOM Procurement services]</v>
      </c>
    </row>
    <row r="929" spans="1:23" hidden="1" x14ac:dyDescent="0.25">
      <c r="A929">
        <v>7220000007</v>
      </c>
      <c r="B929" s="16" t="s">
        <v>20708</v>
      </c>
      <c r="C929" s="16" t="e">
        <f>VLOOKUP(Table1[[#This Row],[Node]],Parent!A:B,2,0)</f>
        <v>#N/A</v>
      </c>
      <c r="D929" s="25" t="s">
        <v>19346</v>
      </c>
      <c r="E929" s="26" t="s">
        <v>16544</v>
      </c>
      <c r="F929" s="27" t="s">
        <v>16830</v>
      </c>
      <c r="G929" s="27" t="s">
        <v>17404</v>
      </c>
      <c r="H929" s="27" t="s">
        <v>17419</v>
      </c>
      <c r="I929" s="27" t="s">
        <v>17437</v>
      </c>
      <c r="J929" s="27"/>
      <c r="K929" s="27"/>
      <c r="L929" s="27"/>
      <c r="N929" s="27"/>
      <c r="T929" s="28" t="str">
        <f>LOOKUP(1,1/(Table1[[#This Row],[Level_0]:[Level 15]]&gt;0),(Table1[[#This Row],[Level_0]:[Level 15]]))</f>
        <v>7220000007 - [AOM Legal and compliance services]</v>
      </c>
      <c r="U929" s="22">
        <v>924</v>
      </c>
      <c r="W929" s="13" t="str">
        <f>LOOKUP(1,1/(Table1[[#This Row],[Level_0]:[Level 15]]&gt;0),(Table1[[#This Row],[Level_0]:[Level 15]]))</f>
        <v>7220000007 - [AOM Legal and compliance services]</v>
      </c>
    </row>
    <row r="930" spans="1:23" hidden="1" x14ac:dyDescent="0.25">
      <c r="A930">
        <v>7220000006</v>
      </c>
      <c r="B930" s="16" t="s">
        <v>20707</v>
      </c>
      <c r="C930" s="16" t="e">
        <f>VLOOKUP(Table1[[#This Row],[Node]],Parent!A:B,2,0)</f>
        <v>#N/A</v>
      </c>
      <c r="D930" s="25" t="s">
        <v>19346</v>
      </c>
      <c r="E930" s="26" t="s">
        <v>16544</v>
      </c>
      <c r="F930" s="27" t="s">
        <v>16830</v>
      </c>
      <c r="G930" s="27" t="s">
        <v>17404</v>
      </c>
      <c r="H930" s="27" t="s">
        <v>17419</v>
      </c>
      <c r="I930" s="27" t="s">
        <v>17438</v>
      </c>
      <c r="J930" s="27"/>
      <c r="K930" s="27"/>
      <c r="L930" s="27"/>
      <c r="N930" s="27"/>
      <c r="T930" s="28" t="str">
        <f>LOOKUP(1,1/(Table1[[#This Row],[Level_0]:[Level 15]]&gt;0),(Table1[[#This Row],[Level_0]:[Level 15]]))</f>
        <v>7220000006 - [AOM Insurance services]</v>
      </c>
      <c r="U930" s="22">
        <v>925</v>
      </c>
      <c r="W930" s="13" t="str">
        <f>LOOKUP(1,1/(Table1[[#This Row],[Level_0]:[Level 15]]&gt;0),(Table1[[#This Row],[Level_0]:[Level 15]]))</f>
        <v>7220000006 - [AOM Insurance services]</v>
      </c>
    </row>
    <row r="931" spans="1:23" hidden="1" x14ac:dyDescent="0.25">
      <c r="A931">
        <v>7220000005</v>
      </c>
      <c r="B931" s="16" t="s">
        <v>20706</v>
      </c>
      <c r="C931" s="16" t="e">
        <f>VLOOKUP(Table1[[#This Row],[Node]],Parent!A:B,2,0)</f>
        <v>#N/A</v>
      </c>
      <c r="D931" s="25" t="s">
        <v>19346</v>
      </c>
      <c r="E931" s="26" t="s">
        <v>16544</v>
      </c>
      <c r="F931" s="27" t="s">
        <v>16830</v>
      </c>
      <c r="G931" s="27" t="s">
        <v>17404</v>
      </c>
      <c r="H931" s="27" t="s">
        <v>17419</v>
      </c>
      <c r="I931" s="27" t="s">
        <v>17439</v>
      </c>
      <c r="J931" s="27"/>
      <c r="K931" s="27"/>
      <c r="L931" s="27"/>
      <c r="N931" s="27"/>
      <c r="T931" s="28" t="str">
        <f>LOOKUP(1,1/(Table1[[#This Row],[Level_0]:[Level 15]]&gt;0),(Table1[[#This Row],[Level_0]:[Level 15]]))</f>
        <v>7220000005 - [AOM HR Services]</v>
      </c>
      <c r="U931" s="22">
        <v>926</v>
      </c>
      <c r="W931" s="13" t="str">
        <f>LOOKUP(1,1/(Table1[[#This Row],[Level_0]:[Level 15]]&gt;0),(Table1[[#This Row],[Level_0]:[Level 15]]))</f>
        <v>7220000005 - [AOM HR Services]</v>
      </c>
    </row>
    <row r="932" spans="1:23" hidden="1" x14ac:dyDescent="0.25">
      <c r="A932">
        <v>7220000004</v>
      </c>
      <c r="B932" s="16" t="s">
        <v>20705</v>
      </c>
      <c r="C932" s="16" t="e">
        <f>VLOOKUP(Table1[[#This Row],[Node]],Parent!A:B,2,0)</f>
        <v>#N/A</v>
      </c>
      <c r="D932" s="25" t="s">
        <v>19346</v>
      </c>
      <c r="E932" s="26" t="s">
        <v>16544</v>
      </c>
      <c r="F932" s="27" t="s">
        <v>16830</v>
      </c>
      <c r="G932" s="27" t="s">
        <v>17404</v>
      </c>
      <c r="H932" s="27" t="s">
        <v>17419</v>
      </c>
      <c r="I932" s="27" t="s">
        <v>17440</v>
      </c>
      <c r="J932" s="27"/>
      <c r="K932" s="27"/>
      <c r="L932" s="27"/>
      <c r="N932" s="27"/>
      <c r="T932" s="28" t="str">
        <f>LOOKUP(1,1/(Table1[[#This Row],[Level_0]:[Level 15]]&gt;0),(Table1[[#This Row],[Level_0]:[Level 15]]))</f>
        <v>7220000004 - [AOM Group treasury]</v>
      </c>
      <c r="U932" s="22">
        <v>927</v>
      </c>
      <c r="W932" s="13" t="str">
        <f>LOOKUP(1,1/(Table1[[#This Row],[Level_0]:[Level 15]]&gt;0),(Table1[[#This Row],[Level_0]:[Level 15]]))</f>
        <v>7220000004 - [AOM Group treasury]</v>
      </c>
    </row>
    <row r="933" spans="1:23" hidden="1" x14ac:dyDescent="0.25">
      <c r="A933">
        <v>7220000003</v>
      </c>
      <c r="B933" s="16" t="s">
        <v>20704</v>
      </c>
      <c r="C933" s="16" t="e">
        <f>VLOOKUP(Table1[[#This Row],[Node]],Parent!A:B,2,0)</f>
        <v>#N/A</v>
      </c>
      <c r="D933" s="25" t="s">
        <v>19346</v>
      </c>
      <c r="E933" s="26" t="s">
        <v>16544</v>
      </c>
      <c r="F933" s="27" t="s">
        <v>16830</v>
      </c>
      <c r="G933" s="27" t="s">
        <v>17404</v>
      </c>
      <c r="H933" s="27" t="s">
        <v>17419</v>
      </c>
      <c r="I933" s="27" t="s">
        <v>17441</v>
      </c>
      <c r="J933" s="27"/>
      <c r="K933" s="27"/>
      <c r="L933" s="27"/>
      <c r="N933" s="27"/>
      <c r="T933" s="28" t="str">
        <f>LOOKUP(1,1/(Table1[[#This Row],[Level_0]:[Level 15]]&gt;0),(Table1[[#This Row],[Level_0]:[Level 15]]))</f>
        <v>7220000003 - [AOM Environment and quality services]</v>
      </c>
      <c r="U933" s="22">
        <v>928</v>
      </c>
      <c r="W933" s="13" t="str">
        <f>LOOKUP(1,1/(Table1[[#This Row],[Level_0]:[Level 15]]&gt;0),(Table1[[#This Row],[Level_0]:[Level 15]]))</f>
        <v>7220000003 - [AOM Environment and quality services]</v>
      </c>
    </row>
    <row r="934" spans="1:23" hidden="1" x14ac:dyDescent="0.25">
      <c r="A934">
        <v>7220000002</v>
      </c>
      <c r="B934" s="16" t="s">
        <v>20703</v>
      </c>
      <c r="C934" s="16" t="e">
        <f>VLOOKUP(Table1[[#This Row],[Node]],Parent!A:B,2,0)</f>
        <v>#N/A</v>
      </c>
      <c r="D934" s="25" t="s">
        <v>19346</v>
      </c>
      <c r="E934" s="26" t="s">
        <v>16544</v>
      </c>
      <c r="F934" s="27" t="s">
        <v>16830</v>
      </c>
      <c r="G934" s="27" t="s">
        <v>17404</v>
      </c>
      <c r="H934" s="27" t="s">
        <v>17419</v>
      </c>
      <c r="I934" s="27" t="s">
        <v>17442</v>
      </c>
      <c r="J934" s="27"/>
      <c r="K934" s="27"/>
      <c r="L934" s="27"/>
      <c r="N934" s="27"/>
      <c r="T934" s="28" t="str">
        <f>LOOKUP(1,1/(Table1[[#This Row],[Level_0]:[Level 15]]&gt;0),(Table1[[#This Row],[Level_0]:[Level 15]]))</f>
        <v>7220000002 - [AOM Controlling services]</v>
      </c>
      <c r="U934" s="22">
        <v>929</v>
      </c>
      <c r="W934" s="13" t="str">
        <f>LOOKUP(1,1/(Table1[[#This Row],[Level_0]:[Level 15]]&gt;0),(Table1[[#This Row],[Level_0]:[Level 15]]))</f>
        <v>7220000002 - [AOM Controlling services]</v>
      </c>
    </row>
    <row r="935" spans="1:23" hidden="1" x14ac:dyDescent="0.25">
      <c r="A935">
        <v>7220000001</v>
      </c>
      <c r="B935" s="16" t="s">
        <v>20702</v>
      </c>
      <c r="C935" s="16" t="e">
        <f>VLOOKUP(Table1[[#This Row],[Node]],Parent!A:B,2,0)</f>
        <v>#N/A</v>
      </c>
      <c r="D935" s="25" t="s">
        <v>19346</v>
      </c>
      <c r="E935" s="26" t="s">
        <v>16544</v>
      </c>
      <c r="F935" s="27" t="s">
        <v>16830</v>
      </c>
      <c r="G935" s="27" t="s">
        <v>17404</v>
      </c>
      <c r="H935" s="27" t="s">
        <v>17419</v>
      </c>
      <c r="I935" s="27" t="s">
        <v>17443</v>
      </c>
      <c r="J935" s="27"/>
      <c r="K935" s="27"/>
      <c r="L935" s="27"/>
      <c r="N935" s="27"/>
      <c r="T935" s="28" t="str">
        <f>LOOKUP(1,1/(Table1[[#This Row],[Level_0]:[Level 15]]&gt;0),(Table1[[#This Row],[Level_0]:[Level 15]]))</f>
        <v>7220000001 - [AOM Accounting services]</v>
      </c>
      <c r="U935" s="22">
        <v>930</v>
      </c>
      <c r="W935" s="13" t="str">
        <f>LOOKUP(1,1/(Table1[[#This Row],[Level_0]:[Level 15]]&gt;0),(Table1[[#This Row],[Level_0]:[Level 15]]))</f>
        <v>7220000001 - [AOM Accounting services]</v>
      </c>
    </row>
    <row r="936" spans="1:23" hidden="1" x14ac:dyDescent="0.25">
      <c r="A936">
        <v>5983910000</v>
      </c>
      <c r="B936" s="16" t="s">
        <v>20634</v>
      </c>
      <c r="C936" s="16" t="e">
        <f>VLOOKUP(Table1[[#This Row],[Node]],Parent!A:B,2,0)</f>
        <v>#N/A</v>
      </c>
      <c r="D936" s="25" t="s">
        <v>19346</v>
      </c>
      <c r="E936" s="26" t="s">
        <v>16544</v>
      </c>
      <c r="F936" s="27" t="s">
        <v>16830</v>
      </c>
      <c r="G936" s="27" t="s">
        <v>17404</v>
      </c>
      <c r="H936" s="27" t="s">
        <v>17419</v>
      </c>
      <c r="I936" s="27" t="s">
        <v>17444</v>
      </c>
      <c r="J936" s="27"/>
      <c r="K936" s="27"/>
      <c r="L936" s="27"/>
      <c r="N936" s="27"/>
      <c r="T936" s="28" t="str">
        <f>LOOKUP(1,1/(Table1[[#This Row],[Level_0]:[Level 15]]&gt;0),(Table1[[#This Row],[Level_0]:[Level 15]]))</f>
        <v>5983910000 - [Reimbursement IC - Accounting Services]</v>
      </c>
      <c r="U936" s="22">
        <v>931</v>
      </c>
      <c r="W936" s="13" t="str">
        <f>LOOKUP(1,1/(Table1[[#This Row],[Level_0]:[Level 15]]&gt;0),(Table1[[#This Row],[Level_0]:[Level 15]]))</f>
        <v>5983910000 - [Reimbursement IC - Accounting Services]</v>
      </c>
    </row>
    <row r="937" spans="1:23" hidden="1" x14ac:dyDescent="0.25">
      <c r="A937">
        <v>5983810000</v>
      </c>
      <c r="B937" s="16" t="s">
        <v>20633</v>
      </c>
      <c r="C937" s="16" t="e">
        <f>VLOOKUP(Table1[[#This Row],[Node]],Parent!A:B,2,0)</f>
        <v>#N/A</v>
      </c>
      <c r="D937" s="25" t="s">
        <v>19346</v>
      </c>
      <c r="E937" s="26" t="s">
        <v>16544</v>
      </c>
      <c r="F937" s="27" t="s">
        <v>16830</v>
      </c>
      <c r="G937" s="27" t="s">
        <v>17404</v>
      </c>
      <c r="H937" s="27" t="s">
        <v>17419</v>
      </c>
      <c r="I937" s="27" t="s">
        <v>17445</v>
      </c>
      <c r="J937" s="27"/>
      <c r="K937" s="27"/>
      <c r="L937" s="27"/>
      <c r="N937" s="27"/>
      <c r="T937" s="28" t="str">
        <f>LOOKUP(1,1/(Table1[[#This Row],[Level_0]:[Level 15]]&gt;0),(Table1[[#This Row],[Level_0]:[Level 15]]))</f>
        <v>5983810000 - [Reimbursement IC - Tax Services]</v>
      </c>
      <c r="U937" s="22">
        <v>932</v>
      </c>
      <c r="W937" s="13" t="str">
        <f>LOOKUP(1,1/(Table1[[#This Row],[Level_0]:[Level 15]]&gt;0),(Table1[[#This Row],[Level_0]:[Level 15]]))</f>
        <v>5983810000 - [Reimbursement IC - Tax Services]</v>
      </c>
    </row>
    <row r="938" spans="1:23" hidden="1" x14ac:dyDescent="0.25">
      <c r="A938">
        <v>5983710000</v>
      </c>
      <c r="B938" s="16" t="s">
        <v>20632</v>
      </c>
      <c r="C938" s="16" t="e">
        <f>VLOOKUP(Table1[[#This Row],[Node]],Parent!A:B,2,0)</f>
        <v>#N/A</v>
      </c>
      <c r="D938" s="25" t="s">
        <v>19346</v>
      </c>
      <c r="E938" s="26" t="s">
        <v>16544</v>
      </c>
      <c r="F938" s="27" t="s">
        <v>16830</v>
      </c>
      <c r="G938" s="27" t="s">
        <v>17404</v>
      </c>
      <c r="H938" s="27" t="s">
        <v>17419</v>
      </c>
      <c r="I938" s="27" t="s">
        <v>17446</v>
      </c>
      <c r="J938" s="27"/>
      <c r="K938" s="27"/>
      <c r="L938" s="27"/>
      <c r="N938" s="27"/>
      <c r="T938" s="28" t="str">
        <f>LOOKUP(1,1/(Table1[[#This Row],[Level_0]:[Level 15]]&gt;0),(Table1[[#This Row],[Level_0]:[Level 15]]))</f>
        <v>5983710000 - [Reimbursement IC - Procurement Services]</v>
      </c>
      <c r="U938" s="22">
        <v>933</v>
      </c>
      <c r="W938" s="13" t="str">
        <f>LOOKUP(1,1/(Table1[[#This Row],[Level_0]:[Level 15]]&gt;0),(Table1[[#This Row],[Level_0]:[Level 15]]))</f>
        <v>5983710000 - [Reimbursement IC - Procurement Services]</v>
      </c>
    </row>
    <row r="939" spans="1:23" hidden="1" x14ac:dyDescent="0.25">
      <c r="A939">
        <v>5983610000</v>
      </c>
      <c r="B939" s="16" t="s">
        <v>20631</v>
      </c>
      <c r="C939" s="16" t="e">
        <f>VLOOKUP(Table1[[#This Row],[Node]],Parent!A:B,2,0)</f>
        <v>#N/A</v>
      </c>
      <c r="D939" s="25" t="s">
        <v>19346</v>
      </c>
      <c r="E939" s="26" t="s">
        <v>16544</v>
      </c>
      <c r="F939" s="27" t="s">
        <v>16830</v>
      </c>
      <c r="G939" s="27" t="s">
        <v>17404</v>
      </c>
      <c r="H939" s="27" t="s">
        <v>17419</v>
      </c>
      <c r="I939" s="27" t="s">
        <v>17447</v>
      </c>
      <c r="J939" s="27"/>
      <c r="K939" s="27"/>
      <c r="L939" s="27"/>
      <c r="N939" s="27"/>
      <c r="T939" s="28" t="str">
        <f>LOOKUP(1,1/(Table1[[#This Row],[Level_0]:[Level 15]]&gt;0),(Table1[[#This Row],[Level_0]:[Level 15]]))</f>
        <v>5983610000 - [Reimbursement IC - Controlling Services]</v>
      </c>
      <c r="U939" s="22">
        <v>934</v>
      </c>
      <c r="W939" s="13" t="str">
        <f>LOOKUP(1,1/(Table1[[#This Row],[Level_0]:[Level 15]]&gt;0),(Table1[[#This Row],[Level_0]:[Level 15]]))</f>
        <v>5983610000 - [Reimbursement IC - Controlling Services]</v>
      </c>
    </row>
    <row r="940" spans="1:23" hidden="1" x14ac:dyDescent="0.25">
      <c r="A940">
        <v>5983510000</v>
      </c>
      <c r="B940" s="16" t="s">
        <v>20630</v>
      </c>
      <c r="C940" s="16" t="e">
        <f>VLOOKUP(Table1[[#This Row],[Node]],Parent!A:B,2,0)</f>
        <v>#N/A</v>
      </c>
      <c r="D940" s="25" t="s">
        <v>19346</v>
      </c>
      <c r="E940" s="26" t="s">
        <v>16544</v>
      </c>
      <c r="F940" s="27" t="s">
        <v>16830</v>
      </c>
      <c r="G940" s="27" t="s">
        <v>17404</v>
      </c>
      <c r="H940" s="27" t="s">
        <v>17419</v>
      </c>
      <c r="I940" s="27" t="s">
        <v>17448</v>
      </c>
      <c r="J940" s="27"/>
      <c r="K940" s="27"/>
      <c r="L940" s="27"/>
      <c r="N940" s="27"/>
      <c r="T940" s="28" t="str">
        <f>LOOKUP(1,1/(Table1[[#This Row],[Level_0]:[Level 15]]&gt;0),(Table1[[#This Row],[Level_0]:[Level 15]]))</f>
        <v>5983510000 - [Reimbursement IC - Communic Services]</v>
      </c>
      <c r="U940" s="22">
        <v>935</v>
      </c>
      <c r="W940" s="13" t="str">
        <f>LOOKUP(1,1/(Table1[[#This Row],[Level_0]:[Level 15]]&gt;0),(Table1[[#This Row],[Level_0]:[Level 15]]))</f>
        <v>5983510000 - [Reimbursement IC - Communic Services]</v>
      </c>
    </row>
    <row r="941" spans="1:23" hidden="1" x14ac:dyDescent="0.25">
      <c r="A941">
        <v>5983210000</v>
      </c>
      <c r="B941" s="16" t="s">
        <v>20628</v>
      </c>
      <c r="C941" s="16" t="e">
        <f>VLOOKUP(Table1[[#This Row],[Node]],Parent!A:B,2,0)</f>
        <v>#N/A</v>
      </c>
      <c r="D941" s="25" t="s">
        <v>19346</v>
      </c>
      <c r="E941" s="26" t="s">
        <v>16544</v>
      </c>
      <c r="F941" s="27" t="s">
        <v>16830</v>
      </c>
      <c r="G941" s="27" t="s">
        <v>17404</v>
      </c>
      <c r="H941" s="27" t="s">
        <v>17419</v>
      </c>
      <c r="I941" s="27" t="s">
        <v>17449</v>
      </c>
      <c r="J941" s="27"/>
      <c r="K941" s="27"/>
      <c r="L941" s="27"/>
      <c r="N941" s="27"/>
      <c r="T941" s="28" t="str">
        <f>LOOKUP(1,1/(Table1[[#This Row],[Level_0]:[Level 15]]&gt;0),(Table1[[#This Row],[Level_0]:[Level 15]]))</f>
        <v>5983210000 - [Reimbursement IC - HR Services]</v>
      </c>
      <c r="U941" s="22">
        <v>936</v>
      </c>
      <c r="W941" s="13" t="str">
        <f>LOOKUP(1,1/(Table1[[#This Row],[Level_0]:[Level 15]]&gt;0),(Table1[[#This Row],[Level_0]:[Level 15]]))</f>
        <v>5983210000 - [Reimbursement IC - HR Services]</v>
      </c>
    </row>
    <row r="942" spans="1:23" hidden="1" x14ac:dyDescent="0.25">
      <c r="A942">
        <v>5981110000</v>
      </c>
      <c r="B942" s="16" t="s">
        <v>20619</v>
      </c>
      <c r="C942" s="16" t="e">
        <f>VLOOKUP(Table1[[#This Row],[Node]],Parent!A:B,2,0)</f>
        <v>#N/A</v>
      </c>
      <c r="D942" s="25" t="s">
        <v>19346</v>
      </c>
      <c r="E942" s="26" t="s">
        <v>16544</v>
      </c>
      <c r="F942" s="27" t="s">
        <v>16830</v>
      </c>
      <c r="G942" s="27" t="s">
        <v>17404</v>
      </c>
      <c r="H942" s="27" t="s">
        <v>17419</v>
      </c>
      <c r="I942" s="27" t="s">
        <v>17450</v>
      </c>
      <c r="J942" s="27"/>
      <c r="K942" s="27"/>
      <c r="L942" s="27"/>
      <c r="N942" s="27"/>
      <c r="T942" s="28" t="str">
        <f>LOOKUP(1,1/(Table1[[#This Row],[Level_0]:[Level 15]]&gt;0),(Table1[[#This Row],[Level_0]:[Level 15]]))</f>
        <v>5981110000 - [Reimbursement IC - Financ Auditing Serv]</v>
      </c>
      <c r="U942" s="22">
        <v>937</v>
      </c>
      <c r="W942" s="13" t="str">
        <f>LOOKUP(1,1/(Table1[[#This Row],[Level_0]:[Level 15]]&gt;0),(Table1[[#This Row],[Level_0]:[Level 15]]))</f>
        <v>5981110000 - [Reimbursement IC - Financ Auditing Serv]</v>
      </c>
    </row>
    <row r="943" spans="1:23" hidden="1" x14ac:dyDescent="0.25">
      <c r="A943">
        <v>5981010000</v>
      </c>
      <c r="B943" s="16" t="s">
        <v>20618</v>
      </c>
      <c r="C943" s="16" t="e">
        <f>VLOOKUP(Table1[[#This Row],[Node]],Parent!A:B,2,0)</f>
        <v>#N/A</v>
      </c>
      <c r="D943" s="25" t="s">
        <v>19346</v>
      </c>
      <c r="E943" s="26" t="s">
        <v>16544</v>
      </c>
      <c r="F943" s="27" t="s">
        <v>16830</v>
      </c>
      <c r="G943" s="27" t="s">
        <v>17404</v>
      </c>
      <c r="H943" s="27" t="s">
        <v>17419</v>
      </c>
      <c r="I943" s="27" t="s">
        <v>17451</v>
      </c>
      <c r="J943" s="27"/>
      <c r="K943" s="27"/>
      <c r="L943" s="27"/>
      <c r="N943" s="27"/>
      <c r="T943" s="28" t="str">
        <f>LOOKUP(1,1/(Table1[[#This Row],[Level_0]:[Level 15]]&gt;0),(Table1[[#This Row],[Level_0]:[Level 15]]))</f>
        <v>5981010000 - [Reimbursement IC - Insurance Services]</v>
      </c>
      <c r="U943" s="22">
        <v>938</v>
      </c>
      <c r="W943" s="13" t="str">
        <f>LOOKUP(1,1/(Table1[[#This Row],[Level_0]:[Level 15]]&gt;0),(Table1[[#This Row],[Level_0]:[Level 15]]))</f>
        <v>5981010000 - [Reimbursement IC - Insurance Services]</v>
      </c>
    </row>
    <row r="944" spans="1:23" hidden="1" x14ac:dyDescent="0.25">
      <c r="A944">
        <v>5980810000</v>
      </c>
      <c r="B944" s="16" t="s">
        <v>20616</v>
      </c>
      <c r="C944" s="16" t="e">
        <f>VLOOKUP(Table1[[#This Row],[Node]],Parent!A:B,2,0)</f>
        <v>#N/A</v>
      </c>
      <c r="D944" s="25" t="s">
        <v>19346</v>
      </c>
      <c r="E944" s="26" t="s">
        <v>16544</v>
      </c>
      <c r="F944" s="27" t="s">
        <v>16830</v>
      </c>
      <c r="G944" s="27" t="s">
        <v>17404</v>
      </c>
      <c r="H944" s="27" t="s">
        <v>17419</v>
      </c>
      <c r="I944" s="27" t="s">
        <v>17452</v>
      </c>
      <c r="J944" s="27"/>
      <c r="K944" s="27"/>
      <c r="L944" s="27"/>
      <c r="N944" s="27"/>
      <c r="T944" s="28" t="str">
        <f>LOOKUP(1,1/(Table1[[#This Row],[Level_0]:[Level 15]]&gt;0),(Table1[[#This Row],[Level_0]:[Level 15]]))</f>
        <v>5980810000 - [Reimbursement IC - Managin Directr Activ]</v>
      </c>
      <c r="U944" s="22">
        <v>939</v>
      </c>
      <c r="W944" s="13" t="str">
        <f>LOOKUP(1,1/(Table1[[#This Row],[Level_0]:[Level 15]]&gt;0),(Table1[[#This Row],[Level_0]:[Level 15]]))</f>
        <v>5980810000 - [Reimbursement IC - Managin Directr Activ]</v>
      </c>
    </row>
    <row r="945" spans="1:23" hidden="1" x14ac:dyDescent="0.25">
      <c r="A945">
        <v>7220000018</v>
      </c>
      <c r="B945" s="16" t="s">
        <v>20719</v>
      </c>
      <c r="C945" s="16" t="e">
        <f>VLOOKUP(Table1[[#This Row],[Node]],Parent!A:B,2,0)</f>
        <v>#N/A</v>
      </c>
      <c r="D945" s="25" t="s">
        <v>19346</v>
      </c>
      <c r="E945" s="26" t="s">
        <v>16544</v>
      </c>
      <c r="F945" s="27" t="s">
        <v>16830</v>
      </c>
      <c r="G945" s="27" t="s">
        <v>17404</v>
      </c>
      <c r="H945" s="27" t="s">
        <v>17419</v>
      </c>
      <c r="I945" s="27" t="s">
        <v>17453</v>
      </c>
      <c r="J945" s="27"/>
      <c r="K945" s="27"/>
      <c r="L945" s="27"/>
      <c r="N945" s="27"/>
      <c r="T945" s="28" t="str">
        <f>LOOKUP(1,1/(Table1[[#This Row],[Level_0]:[Level 15]]&gt;0),(Table1[[#This Row],[Level_0]:[Level 15]]))</f>
        <v>7220000018 - [AOM Patent&amp;Scinfic Inform'n Serv GlobR&amp;D]</v>
      </c>
      <c r="U945" s="22">
        <v>940</v>
      </c>
      <c r="W945" s="13" t="str">
        <f>LOOKUP(1,1/(Table1[[#This Row],[Level_0]:[Level 15]]&gt;0),(Table1[[#This Row],[Level_0]:[Level 15]]))</f>
        <v>7220000018 - [AOM Patent&amp;Scinfic Inform'n Serv GlobR&amp;D]</v>
      </c>
    </row>
    <row r="946" spans="1:23" hidden="1" x14ac:dyDescent="0.25">
      <c r="A946">
        <v>250300</v>
      </c>
      <c r="B946" s="16" t="e">
        <v>#N/A</v>
      </c>
      <c r="C946" s="16" t="e">
        <f>VLOOKUP(Table1[[#This Row],[Node]],Parent!A:B,2,0)</f>
        <v>#N/A</v>
      </c>
      <c r="D946" s="25" t="s">
        <v>19346</v>
      </c>
      <c r="E946" s="26" t="s">
        <v>16544</v>
      </c>
      <c r="F946" s="27" t="s">
        <v>16830</v>
      </c>
      <c r="G946" s="27" t="s">
        <v>17454</v>
      </c>
      <c r="H946" s="27"/>
      <c r="I946" s="27"/>
      <c r="J946" s="27"/>
      <c r="K946" s="27"/>
      <c r="L946" s="27"/>
      <c r="N946" s="27"/>
      <c r="T946" s="28" t="str">
        <f>LOOKUP(1,1/(Table1[[#This Row],[Level_0]:[Level 15]]&gt;0),(Table1[[#This Row],[Level_0]:[Level 15]]))</f>
        <v>250300 - []</v>
      </c>
      <c r="U946" s="22">
        <v>941</v>
      </c>
      <c r="W946" s="13" t="str">
        <f>LOOKUP(1,1/(Table1[[#This Row],[Level_0]:[Level 15]]&gt;0),(Table1[[#This Row],[Level_0]:[Level 15]]))</f>
        <v>250300 - []</v>
      </c>
    </row>
    <row r="947" spans="1:23" hidden="1" x14ac:dyDescent="0.25">
      <c r="A947">
        <v>8600000002</v>
      </c>
      <c r="B947" s="16" t="s">
        <v>22069</v>
      </c>
      <c r="C947" s="16" t="e">
        <f>VLOOKUP(Table1[[#This Row],[Node]],Parent!A:B,2,0)</f>
        <v>#N/A</v>
      </c>
      <c r="D947" s="25" t="s">
        <v>19346</v>
      </c>
      <c r="E947" s="26" t="s">
        <v>16544</v>
      </c>
      <c r="F947" s="27" t="s">
        <v>16830</v>
      </c>
      <c r="G947" s="27" t="s">
        <v>17454</v>
      </c>
      <c r="H947" s="27" t="s">
        <v>17455</v>
      </c>
      <c r="I947" s="27"/>
      <c r="J947" s="27"/>
      <c r="K947" s="27"/>
      <c r="L947" s="27"/>
      <c r="N947" s="27"/>
      <c r="T947" s="28" t="str">
        <f>LOOKUP(1,1/(Table1[[#This Row],[Level_0]:[Level 15]]&gt;0),(Table1[[#This Row],[Level_0]:[Level 15]]))</f>
        <v>8600000002 - [Current Tax - Local Direct Tax]</v>
      </c>
      <c r="U947" s="22">
        <v>942</v>
      </c>
      <c r="W947" s="13" t="str">
        <f>LOOKUP(1,1/(Table1[[#This Row],[Level_0]:[Level 15]]&gt;0),(Table1[[#This Row],[Level_0]:[Level 15]]))</f>
        <v>8600000002 - [Current Tax - Local Direct Tax]</v>
      </c>
    </row>
    <row r="948" spans="1:23" hidden="1" x14ac:dyDescent="0.25">
      <c r="A948">
        <v>8642000000</v>
      </c>
      <c r="B948" s="16" t="s">
        <v>22079</v>
      </c>
      <c r="C948" s="16" t="e">
        <f>VLOOKUP(Table1[[#This Row],[Node]],Parent!A:B,2,0)</f>
        <v>#N/A</v>
      </c>
      <c r="D948" s="25" t="s">
        <v>19346</v>
      </c>
      <c r="E948" s="26" t="s">
        <v>16544</v>
      </c>
      <c r="F948" s="27" t="s">
        <v>16830</v>
      </c>
      <c r="G948" s="27" t="s">
        <v>17454</v>
      </c>
      <c r="H948" s="27" t="s">
        <v>17456</v>
      </c>
      <c r="I948" s="27"/>
      <c r="J948" s="27"/>
      <c r="K948" s="27"/>
      <c r="L948" s="27"/>
      <c r="N948" s="27"/>
      <c r="T948" s="28" t="str">
        <f>LOOKUP(1,1/(Table1[[#This Row],[Level_0]:[Level 15]]&gt;0),(Table1[[#This Row],[Level_0]:[Level 15]]))</f>
        <v>8642000000 - [Trade Tax for Previous Periods]</v>
      </c>
      <c r="U948" s="22">
        <v>943</v>
      </c>
      <c r="W948" s="13" t="str">
        <f>LOOKUP(1,1/(Table1[[#This Row],[Level_0]:[Level 15]]&gt;0),(Table1[[#This Row],[Level_0]:[Level 15]]))</f>
        <v>8642000000 - [Trade Tax for Previous Periods]</v>
      </c>
    </row>
    <row r="949" spans="1:23" hidden="1" x14ac:dyDescent="0.25">
      <c r="A949">
        <v>8641000000</v>
      </c>
      <c r="B949" s="16" t="s">
        <v>22078</v>
      </c>
      <c r="C949" s="16" t="e">
        <f>VLOOKUP(Table1[[#This Row],[Node]],Parent!A:B,2,0)</f>
        <v>#N/A</v>
      </c>
      <c r="D949" s="25" t="s">
        <v>19346</v>
      </c>
      <c r="E949" s="26" t="s">
        <v>16544</v>
      </c>
      <c r="F949" s="27" t="s">
        <v>16830</v>
      </c>
      <c r="G949" s="27" t="s">
        <v>17454</v>
      </c>
      <c r="H949" s="27" t="s">
        <v>17457</v>
      </c>
      <c r="I949" s="27"/>
      <c r="J949" s="27"/>
      <c r="K949" s="27"/>
      <c r="L949" s="27"/>
      <c r="N949" s="27"/>
      <c r="T949" s="28" t="str">
        <f>LOOKUP(1,1/(Table1[[#This Row],[Level_0]:[Level 15]]&gt;0),(Table1[[#This Row],[Level_0]:[Level 15]]))</f>
        <v>8641000000 - [Corporate Tax for Previous Periods]</v>
      </c>
      <c r="U949" s="22">
        <v>944</v>
      </c>
      <c r="W949" s="13" t="str">
        <f>LOOKUP(1,1/(Table1[[#This Row],[Level_0]:[Level 15]]&gt;0),(Table1[[#This Row],[Level_0]:[Level 15]]))</f>
        <v>8641000000 - [Corporate Tax for Previous Periods]</v>
      </c>
    </row>
    <row r="950" spans="1:23" hidden="1" x14ac:dyDescent="0.25">
      <c r="A950">
        <v>8604000000</v>
      </c>
      <c r="B950" s="16" t="s">
        <v>22073</v>
      </c>
      <c r="C950" s="16" t="e">
        <f>VLOOKUP(Table1[[#This Row],[Node]],Parent!A:B,2,0)</f>
        <v>#N/A</v>
      </c>
      <c r="D950" s="25" t="s">
        <v>19346</v>
      </c>
      <c r="E950" s="26" t="s">
        <v>16544</v>
      </c>
      <c r="F950" s="27" t="s">
        <v>16830</v>
      </c>
      <c r="G950" s="27" t="s">
        <v>17454</v>
      </c>
      <c r="H950" s="27" t="s">
        <v>17458</v>
      </c>
      <c r="I950" s="27"/>
      <c r="J950" s="27"/>
      <c r="K950" s="27"/>
      <c r="L950" s="27"/>
      <c r="N950" s="27"/>
      <c r="T950" s="28" t="str">
        <f>LOOKUP(1,1/(Table1[[#This Row],[Level_0]:[Level 15]]&gt;0),(Table1[[#This Row],[Level_0]:[Level 15]]))</f>
        <v>8604000000 - [Nondeductible Withholding Tax - Current]</v>
      </c>
      <c r="U950" s="22">
        <v>945</v>
      </c>
      <c r="W950" s="13" t="str">
        <f>LOOKUP(1,1/(Table1[[#This Row],[Level_0]:[Level 15]]&gt;0),(Table1[[#This Row],[Level_0]:[Level 15]]))</f>
        <v>8604000000 - [Nondeductible Withholding Tax - Current]</v>
      </c>
    </row>
    <row r="951" spans="1:23" hidden="1" x14ac:dyDescent="0.25">
      <c r="A951">
        <v>8603000000</v>
      </c>
      <c r="B951" s="16" t="s">
        <v>22072</v>
      </c>
      <c r="C951" s="16" t="e">
        <f>VLOOKUP(Table1[[#This Row],[Node]],Parent!A:B,2,0)</f>
        <v>#N/A</v>
      </c>
      <c r="D951" s="25" t="s">
        <v>19346</v>
      </c>
      <c r="E951" s="26" t="s">
        <v>16544</v>
      </c>
      <c r="F951" s="27" t="s">
        <v>16830</v>
      </c>
      <c r="G951" s="27" t="s">
        <v>17454</v>
      </c>
      <c r="H951" s="27" t="s">
        <v>17459</v>
      </c>
      <c r="I951" s="27"/>
      <c r="J951" s="27"/>
      <c r="K951" s="27"/>
      <c r="L951" s="27"/>
      <c r="N951" s="27"/>
      <c r="T951" s="28" t="str">
        <f>LOOKUP(1,1/(Table1[[#This Row],[Level_0]:[Level 15]]&gt;0),(Table1[[#This Row],[Level_0]:[Level 15]]))</f>
        <v>8603000000 - [Deductible Withholding  Tax - Current]</v>
      </c>
      <c r="U951" s="22">
        <v>946</v>
      </c>
      <c r="W951" s="13" t="str">
        <f>LOOKUP(1,1/(Table1[[#This Row],[Level_0]:[Level 15]]&gt;0),(Table1[[#This Row],[Level_0]:[Level 15]]))</f>
        <v>8603000000 - [Deductible Withholding  Tax - Current]</v>
      </c>
    </row>
    <row r="952" spans="1:23" hidden="1" x14ac:dyDescent="0.25">
      <c r="A952">
        <v>8602000000</v>
      </c>
      <c r="B952" s="16" t="s">
        <v>22071</v>
      </c>
      <c r="C952" s="16" t="e">
        <f>VLOOKUP(Table1[[#This Row],[Node]],Parent!A:B,2,0)</f>
        <v>#N/A</v>
      </c>
      <c r="D952" s="25" t="s">
        <v>19346</v>
      </c>
      <c r="E952" s="26" t="s">
        <v>16544</v>
      </c>
      <c r="F952" s="27" t="s">
        <v>16830</v>
      </c>
      <c r="G952" s="27" t="s">
        <v>17454</v>
      </c>
      <c r="H952" s="27" t="s">
        <v>17460</v>
      </c>
      <c r="I952" s="27"/>
      <c r="J952" s="27"/>
      <c r="K952" s="27"/>
      <c r="L952" s="27"/>
      <c r="N952" s="27"/>
      <c r="T952" s="28" t="str">
        <f>LOOKUP(1,1/(Table1[[#This Row],[Level_0]:[Level 15]]&gt;0),(Table1[[#This Row],[Level_0]:[Level 15]]))</f>
        <v>8602000000 - [Trade Tax- Current]</v>
      </c>
      <c r="U952" s="22">
        <v>947</v>
      </c>
      <c r="W952" s="13" t="str">
        <f>LOOKUP(1,1/(Table1[[#This Row],[Level_0]:[Level 15]]&gt;0),(Table1[[#This Row],[Level_0]:[Level 15]]))</f>
        <v>8602000000 - [Trade Tax- Current]</v>
      </c>
    </row>
    <row r="953" spans="1:23" hidden="1" x14ac:dyDescent="0.25">
      <c r="A953">
        <v>8601000000</v>
      </c>
      <c r="B953" s="16" t="s">
        <v>22070</v>
      </c>
      <c r="C953" s="16" t="e">
        <f>VLOOKUP(Table1[[#This Row],[Node]],Parent!A:B,2,0)</f>
        <v>#N/A</v>
      </c>
      <c r="D953" s="25" t="s">
        <v>19346</v>
      </c>
      <c r="E953" s="26" t="s">
        <v>16544</v>
      </c>
      <c r="F953" s="27" t="s">
        <v>16830</v>
      </c>
      <c r="G953" s="27" t="s">
        <v>17454</v>
      </c>
      <c r="H953" s="27" t="s">
        <v>17461</v>
      </c>
      <c r="I953" s="27"/>
      <c r="J953" s="27"/>
      <c r="K953" s="27"/>
      <c r="L953" s="27"/>
      <c r="N953" s="27"/>
      <c r="T953" s="28" t="str">
        <f>LOOKUP(1,1/(Table1[[#This Row],[Level_0]:[Level 15]]&gt;0),(Table1[[#This Row],[Level_0]:[Level 15]]))</f>
        <v>8601000000 - [Corporate Tax- Current]</v>
      </c>
      <c r="U953" s="22">
        <v>948</v>
      </c>
      <c r="W953" s="13" t="str">
        <f>LOOKUP(1,1/(Table1[[#This Row],[Level_0]:[Level 15]]&gt;0),(Table1[[#This Row],[Level_0]:[Level 15]]))</f>
        <v>8601000000 - [Corporate Tax- Current]</v>
      </c>
    </row>
    <row r="954" spans="1:23" hidden="1" x14ac:dyDescent="0.25">
      <c r="A954">
        <v>8760000000</v>
      </c>
      <c r="B954" s="16" t="s">
        <v>22086</v>
      </c>
      <c r="C954" s="16" t="e">
        <f>VLOOKUP(Table1[[#This Row],[Node]],Parent!A:B,2,0)</f>
        <v>#N/A</v>
      </c>
      <c r="D954" s="25" t="s">
        <v>19346</v>
      </c>
      <c r="E954" s="26" t="s">
        <v>16544</v>
      </c>
      <c r="F954" s="27" t="s">
        <v>16830</v>
      </c>
      <c r="G954" s="27" t="s">
        <v>17454</v>
      </c>
      <c r="H954" s="27" t="s">
        <v>17462</v>
      </c>
      <c r="I954" s="27"/>
      <c r="J954" s="27"/>
      <c r="K954" s="27"/>
      <c r="L954" s="27"/>
      <c r="N954" s="27"/>
      <c r="T954" s="28" t="str">
        <f>LOOKUP(1,1/(Table1[[#This Row],[Level_0]:[Level 15]]&gt;0),(Table1[[#This Row],[Level_0]:[Level 15]]))</f>
        <v>8760000000 - [Defr Tax on Previous periods]</v>
      </c>
      <c r="U954" s="22">
        <v>949</v>
      </c>
      <c r="W954" s="13" t="str">
        <f>LOOKUP(1,1/(Table1[[#This Row],[Level_0]:[Level 15]]&gt;0),(Table1[[#This Row],[Level_0]:[Level 15]]))</f>
        <v>8760000000 - [Defr Tax on Previous periods]</v>
      </c>
    </row>
    <row r="955" spans="1:23" hidden="1" x14ac:dyDescent="0.25">
      <c r="A955">
        <v>8740000000</v>
      </c>
      <c r="B955" s="16" t="s">
        <v>22084</v>
      </c>
      <c r="C955" s="16" t="e">
        <f>VLOOKUP(Table1[[#This Row],[Node]],Parent!A:B,2,0)</f>
        <v>#N/A</v>
      </c>
      <c r="D955" s="25" t="s">
        <v>19346</v>
      </c>
      <c r="E955" s="26" t="s">
        <v>16544</v>
      </c>
      <c r="F955" s="27" t="s">
        <v>16830</v>
      </c>
      <c r="G955" s="27" t="s">
        <v>17454</v>
      </c>
      <c r="H955" s="27" t="s">
        <v>17463</v>
      </c>
      <c r="I955" s="27"/>
      <c r="J955" s="27"/>
      <c r="K955" s="27"/>
      <c r="L955" s="27"/>
      <c r="N955" s="27"/>
      <c r="T955" s="28" t="str">
        <f>LOOKUP(1,1/(Table1[[#This Row],[Level_0]:[Level 15]]&gt;0),(Table1[[#This Row],[Level_0]:[Level 15]]))</f>
        <v>8740000000 - [Defr Tax Resul f. Change in Tax Rates]</v>
      </c>
      <c r="U955" s="22">
        <v>950</v>
      </c>
      <c r="W955" s="13" t="str">
        <f>LOOKUP(1,1/(Table1[[#This Row],[Level_0]:[Level 15]]&gt;0),(Table1[[#This Row],[Level_0]:[Level 15]]))</f>
        <v>8740000000 - [Defr Tax Resul f. Change in Tax Rates]</v>
      </c>
    </row>
    <row r="956" spans="1:23" hidden="1" x14ac:dyDescent="0.25">
      <c r="A956">
        <v>8730000000</v>
      </c>
      <c r="B956" s="16" t="s">
        <v>22083</v>
      </c>
      <c r="C956" s="16" t="e">
        <f>VLOOKUP(Table1[[#This Row],[Node]],Parent!A:B,2,0)</f>
        <v>#N/A</v>
      </c>
      <c r="D956" s="25" t="s">
        <v>19346</v>
      </c>
      <c r="E956" s="26" t="s">
        <v>16544</v>
      </c>
      <c r="F956" s="27" t="s">
        <v>16830</v>
      </c>
      <c r="G956" s="27" t="s">
        <v>17454</v>
      </c>
      <c r="H956" s="27" t="s">
        <v>17464</v>
      </c>
      <c r="I956" s="27"/>
      <c r="J956" s="27"/>
      <c r="K956" s="27"/>
      <c r="L956" s="27"/>
      <c r="N956" s="27"/>
      <c r="T956" s="28" t="str">
        <f>LOOKUP(1,1/(Table1[[#This Row],[Level_0]:[Level 15]]&gt;0),(Table1[[#This Row],[Level_0]:[Level 15]]))</f>
        <v>8730000000 - [Defr Tax Resul f. Use Unrec Tax Credits]</v>
      </c>
      <c r="U956" s="22">
        <v>951</v>
      </c>
      <c r="W956" s="13" t="str">
        <f>LOOKUP(1,1/(Table1[[#This Row],[Level_0]:[Level 15]]&gt;0),(Table1[[#This Row],[Level_0]:[Level 15]]))</f>
        <v>8730000000 - [Defr Tax Resul f. Use Unrec Tax Credits]</v>
      </c>
    </row>
    <row r="957" spans="1:23" hidden="1" x14ac:dyDescent="0.25">
      <c r="A957">
        <v>8710000000</v>
      </c>
      <c r="B957" s="16" t="s">
        <v>22081</v>
      </c>
      <c r="C957" s="16" t="e">
        <f>VLOOKUP(Table1[[#This Row],[Node]],Parent!A:B,2,0)</f>
        <v>#N/A</v>
      </c>
      <c r="D957" s="25" t="s">
        <v>19346</v>
      </c>
      <c r="E957" s="26" t="s">
        <v>16544</v>
      </c>
      <c r="F957" s="27" t="s">
        <v>16830</v>
      </c>
      <c r="G957" s="27" t="s">
        <v>17454</v>
      </c>
      <c r="H957" s="27" t="s">
        <v>17465</v>
      </c>
      <c r="I957" s="27"/>
      <c r="J957" s="27"/>
      <c r="K957" s="27"/>
      <c r="L957" s="27"/>
      <c r="N957" s="27"/>
      <c r="T957" s="28" t="str">
        <f>LOOKUP(1,1/(Table1[[#This Row],[Level_0]:[Level 15]]&gt;0),(Table1[[#This Row],[Level_0]:[Level 15]]))</f>
        <v>8710000000 - [Defr Tax Resul f. Use Unrec Temp Diff]</v>
      </c>
      <c r="U957" s="22">
        <v>952</v>
      </c>
      <c r="W957" s="13" t="str">
        <f>LOOKUP(1,1/(Table1[[#This Row],[Level_0]:[Level 15]]&gt;0),(Table1[[#This Row],[Level_0]:[Level 15]]))</f>
        <v>8710000000 - [Defr Tax Resul f. Use Unrec Temp Diff]</v>
      </c>
    </row>
    <row r="958" spans="1:23" hidden="1" x14ac:dyDescent="0.25">
      <c r="A958">
        <v>8700000000</v>
      </c>
      <c r="B958" s="16" t="s">
        <v>22080</v>
      </c>
      <c r="C958" s="16" t="e">
        <f>VLOOKUP(Table1[[#This Row],[Node]],Parent!A:B,2,0)</f>
        <v>#N/A</v>
      </c>
      <c r="D958" s="25" t="s">
        <v>19346</v>
      </c>
      <c r="E958" s="26" t="s">
        <v>16544</v>
      </c>
      <c r="F958" s="27" t="s">
        <v>16830</v>
      </c>
      <c r="G958" s="27" t="s">
        <v>17454</v>
      </c>
      <c r="H958" s="27" t="s">
        <v>17466</v>
      </c>
      <c r="I958" s="27"/>
      <c r="J958" s="27"/>
      <c r="K958" s="27"/>
      <c r="L958" s="27"/>
      <c r="N958" s="27"/>
      <c r="T958" s="28" t="str">
        <f>LOOKUP(1,1/(Table1[[#This Row],[Level_0]:[Level 15]]&gt;0),(Table1[[#This Row],[Level_0]:[Level 15]]))</f>
        <v>8700000000 - [Defr Tax Resul f. Changes in Temp Diff]</v>
      </c>
      <c r="U958" s="22">
        <v>953</v>
      </c>
      <c r="W958" s="13" t="str">
        <f>LOOKUP(1,1/(Table1[[#This Row],[Level_0]:[Level 15]]&gt;0),(Table1[[#This Row],[Level_0]:[Level 15]]))</f>
        <v>8700000000 - [Defr Tax Resul f. Changes in Temp Diff]</v>
      </c>
    </row>
    <row r="959" spans="1:23" hidden="1" x14ac:dyDescent="0.25">
      <c r="A959">
        <v>8640000000</v>
      </c>
      <c r="B959" s="16" t="s">
        <v>22077</v>
      </c>
      <c r="C959" s="16" t="e">
        <f>VLOOKUP(Table1[[#This Row],[Node]],Parent!A:B,2,0)</f>
        <v>#N/A</v>
      </c>
      <c r="D959" s="25" t="s">
        <v>19346</v>
      </c>
      <c r="E959" s="26" t="s">
        <v>16544</v>
      </c>
      <c r="F959" s="27" t="s">
        <v>16830</v>
      </c>
      <c r="G959" s="27" t="s">
        <v>17454</v>
      </c>
      <c r="H959" s="27" t="s">
        <v>17467</v>
      </c>
      <c r="I959" s="27"/>
      <c r="J959" s="27"/>
      <c r="K959" s="27"/>
      <c r="L959" s="27"/>
      <c r="N959" s="27"/>
      <c r="T959" s="28" t="str">
        <f>LOOKUP(1,1/(Table1[[#This Row],[Level_0]:[Level 15]]&gt;0),(Table1[[#This Row],[Level_0]:[Level 15]]))</f>
        <v>8640000000 - [Current Tax for Previous Periods]</v>
      </c>
      <c r="U959" s="22">
        <v>954</v>
      </c>
      <c r="W959" s="13" t="str">
        <f>LOOKUP(1,1/(Table1[[#This Row],[Level_0]:[Level 15]]&gt;0),(Table1[[#This Row],[Level_0]:[Level 15]]))</f>
        <v>8640000000 - [Current Tax for Previous Periods]</v>
      </c>
    </row>
    <row r="960" spans="1:23" hidden="1" x14ac:dyDescent="0.25">
      <c r="A960">
        <v>250200</v>
      </c>
      <c r="B960" s="16" t="e">
        <v>#N/A</v>
      </c>
      <c r="C960" s="16" t="e">
        <f>VLOOKUP(Table1[[#This Row],[Node]],Parent!A:B,2,0)</f>
        <v>#N/A</v>
      </c>
      <c r="D960" s="25" t="s">
        <v>19346</v>
      </c>
      <c r="E960" s="26" t="s">
        <v>16544</v>
      </c>
      <c r="F960" s="27" t="s">
        <v>16830</v>
      </c>
      <c r="G960" s="27" t="s">
        <v>17468</v>
      </c>
      <c r="H960" s="27"/>
      <c r="I960" s="27"/>
      <c r="J960" s="27"/>
      <c r="K960" s="27"/>
      <c r="L960" s="27"/>
      <c r="N960" s="27"/>
      <c r="T960" s="28" t="str">
        <f>LOOKUP(1,1/(Table1[[#This Row],[Level_0]:[Level 15]]&gt;0),(Table1[[#This Row],[Level_0]:[Level 15]]))</f>
        <v>250200 - []</v>
      </c>
      <c r="U960" s="22">
        <v>955</v>
      </c>
      <c r="W960" s="13" t="str">
        <f>LOOKUP(1,1/(Table1[[#This Row],[Level_0]:[Level 15]]&gt;0),(Table1[[#This Row],[Level_0]:[Level 15]]))</f>
        <v>250200 - []</v>
      </c>
    </row>
    <row r="961" spans="1:23" hidden="1" x14ac:dyDescent="0.25">
      <c r="A961">
        <v>8532000000</v>
      </c>
      <c r="B961" s="16" t="s">
        <v>22042</v>
      </c>
      <c r="C961" s="16" t="e">
        <f>VLOOKUP(Table1[[#This Row],[Node]],Parent!A:B,2,0)</f>
        <v>#N/A</v>
      </c>
      <c r="D961" s="25" t="s">
        <v>19346</v>
      </c>
      <c r="E961" s="26" t="s">
        <v>16544</v>
      </c>
      <c r="F961" s="27" t="s">
        <v>16830</v>
      </c>
      <c r="G961" s="27" t="s">
        <v>17468</v>
      </c>
      <c r="H961" s="27" t="s">
        <v>17469</v>
      </c>
      <c r="I961" s="27"/>
      <c r="J961" s="27"/>
      <c r="K961" s="27"/>
      <c r="L961" s="27"/>
      <c r="N961" s="27"/>
      <c r="T961" s="28" t="str">
        <f>LOOKUP(1,1/(Table1[[#This Row],[Level_0]:[Level 15]]&gt;0),(Table1[[#This Row],[Level_0]:[Level 15]]))</f>
        <v>8532000000 - [Loss FairValCha DebtInst FVOptFVtPL]</v>
      </c>
      <c r="U961" s="22">
        <v>956</v>
      </c>
      <c r="W961" s="13" t="str">
        <f>LOOKUP(1,1/(Table1[[#This Row],[Level_0]:[Level 15]]&gt;0),(Table1[[#This Row],[Level_0]:[Level 15]]))</f>
        <v>8532000000 - [Loss FairValCha DebtInst FVOptFVtPL]</v>
      </c>
    </row>
    <row r="962" spans="1:23" hidden="1" x14ac:dyDescent="0.25">
      <c r="A962">
        <v>8441000000</v>
      </c>
      <c r="B962" s="16" t="s">
        <v>22031</v>
      </c>
      <c r="C962" s="16" t="e">
        <f>VLOOKUP(Table1[[#This Row],[Node]],Parent!A:B,2,0)</f>
        <v>#N/A</v>
      </c>
      <c r="D962" s="25" t="s">
        <v>19346</v>
      </c>
      <c r="E962" s="26" t="s">
        <v>16544</v>
      </c>
      <c r="F962" s="27" t="s">
        <v>16830</v>
      </c>
      <c r="G962" s="27" t="s">
        <v>17468</v>
      </c>
      <c r="H962" s="27" t="s">
        <v>17470</v>
      </c>
      <c r="I962" s="27"/>
      <c r="J962" s="27"/>
      <c r="K962" s="27"/>
      <c r="L962" s="27"/>
      <c r="N962" s="27"/>
      <c r="T962" s="28" t="str">
        <f>LOOKUP(1,1/(Table1[[#This Row],[Level_0]:[Level 15]]&gt;0),(Table1[[#This Row],[Level_0]:[Level 15]]))</f>
        <v>8441000000 - [Interest Exp-Compensation Fees-IHB]</v>
      </c>
      <c r="U962" s="22">
        <v>957</v>
      </c>
      <c r="W962" s="13" t="str">
        <f>LOOKUP(1,1/(Table1[[#This Row],[Level_0]:[Level 15]]&gt;0),(Table1[[#This Row],[Level_0]:[Level 15]]))</f>
        <v>8441000000 - [Interest Exp-Compensation Fees-IHB]</v>
      </c>
    </row>
    <row r="963" spans="1:23" hidden="1" x14ac:dyDescent="0.25">
      <c r="A963">
        <v>8232000000</v>
      </c>
      <c r="B963" s="16" t="s">
        <v>21995</v>
      </c>
      <c r="C963" s="16" t="e">
        <f>VLOOKUP(Table1[[#This Row],[Node]],Parent!A:B,2,0)</f>
        <v>#N/A</v>
      </c>
      <c r="D963" s="25" t="s">
        <v>19346</v>
      </c>
      <c r="E963" s="26" t="s">
        <v>16544</v>
      </c>
      <c r="F963" s="27" t="s">
        <v>16830</v>
      </c>
      <c r="G963" s="27" t="s">
        <v>17468</v>
      </c>
      <c r="H963" s="27" t="s">
        <v>17471</v>
      </c>
      <c r="I963" s="27"/>
      <c r="J963" s="27"/>
      <c r="K963" s="27"/>
      <c r="L963" s="27"/>
      <c r="N963" s="27"/>
      <c r="T963" s="28" t="str">
        <f>LOOKUP(1,1/(Table1[[#This Row],[Level_0]:[Level 15]]&gt;0),(Table1[[#This Row],[Level_0]:[Level 15]]))</f>
        <v>8232000000 - [Inc f. FairValCha DebtInst FVOpt FVtPL]</v>
      </c>
      <c r="U963" s="22">
        <v>958</v>
      </c>
      <c r="W963" s="13" t="str">
        <f>LOOKUP(1,1/(Table1[[#This Row],[Level_0]:[Level 15]]&gt;0),(Table1[[#This Row],[Level_0]:[Level 15]]))</f>
        <v>8232000000 - [Inc f. FairValCha DebtInst FVOpt FVtPL]</v>
      </c>
    </row>
    <row r="964" spans="1:23" hidden="1" x14ac:dyDescent="0.25">
      <c r="A964">
        <v>8141000000</v>
      </c>
      <c r="B964" s="16" t="s">
        <v>21985</v>
      </c>
      <c r="C964" s="16" t="e">
        <f>VLOOKUP(Table1[[#This Row],[Node]],Parent!A:B,2,0)</f>
        <v>#N/A</v>
      </c>
      <c r="D964" s="25" t="s">
        <v>19346</v>
      </c>
      <c r="E964" s="26" t="s">
        <v>16544</v>
      </c>
      <c r="F964" s="27" t="s">
        <v>16830</v>
      </c>
      <c r="G964" s="27" t="s">
        <v>17468</v>
      </c>
      <c r="H964" s="27" t="s">
        <v>17472</v>
      </c>
      <c r="I964" s="27"/>
      <c r="J964" s="27"/>
      <c r="K964" s="27"/>
      <c r="L964" s="27"/>
      <c r="N964" s="27"/>
      <c r="T964" s="28" t="str">
        <f>LOOKUP(1,1/(Table1[[#This Row],[Level_0]:[Level 15]]&gt;0),(Table1[[#This Row],[Level_0]:[Level 15]]))</f>
        <v>8141000000 - [Interest Inc-Compensation Fees-IHB]</v>
      </c>
      <c r="U964" s="22">
        <v>959</v>
      </c>
      <c r="W964" s="13" t="str">
        <f>LOOKUP(1,1/(Table1[[#This Row],[Level_0]:[Level 15]]&gt;0),(Table1[[#This Row],[Level_0]:[Level 15]]))</f>
        <v>8141000000 - [Interest Inc-Compensation Fees-IHB]</v>
      </c>
    </row>
    <row r="965" spans="1:23" hidden="1" x14ac:dyDescent="0.25">
      <c r="A965">
        <v>8800200000</v>
      </c>
      <c r="B965" s="16" t="s">
        <v>22090</v>
      </c>
      <c r="C965" s="16" t="e">
        <f>VLOOKUP(Table1[[#This Row],[Node]],Parent!A:B,2,0)</f>
        <v>#N/A</v>
      </c>
      <c r="D965" s="25" t="s">
        <v>19346</v>
      </c>
      <c r="E965" s="26" t="s">
        <v>16544</v>
      </c>
      <c r="F965" s="27" t="s">
        <v>16830</v>
      </c>
      <c r="G965" s="27" t="s">
        <v>17468</v>
      </c>
      <c r="H965" s="27" t="s">
        <v>17473</v>
      </c>
      <c r="I965" s="27"/>
      <c r="J965" s="27"/>
      <c r="K965" s="27"/>
      <c r="L965" s="27"/>
      <c r="N965" s="27"/>
      <c r="T965" s="28" t="str">
        <f>LOOKUP(1,1/(Table1[[#This Row],[Level_0]:[Level 15]]&gt;0),(Table1[[#This Row],[Level_0]:[Level 15]]))</f>
        <v>8800200000 - [Profit&amp;Loss (Tech Acc)-ExpP&amp;LTransAgree]</v>
      </c>
      <c r="U965" s="22">
        <v>960</v>
      </c>
      <c r="W965" s="13" t="str">
        <f>LOOKUP(1,1/(Table1[[#This Row],[Level_0]:[Level 15]]&gt;0),(Table1[[#This Row],[Level_0]:[Level 15]]))</f>
        <v>8800200000 - [Profit&amp;Loss (Tech Acc)-ExpP&amp;LTransAgree]</v>
      </c>
    </row>
    <row r="966" spans="1:23" hidden="1" x14ac:dyDescent="0.25">
      <c r="A966">
        <v>8250200000</v>
      </c>
      <c r="B966" s="16" t="s">
        <v>22003</v>
      </c>
      <c r="C966" s="16" t="e">
        <f>VLOOKUP(Table1[[#This Row],[Node]],Parent!A:B,2,0)</f>
        <v>#N/A</v>
      </c>
      <c r="D966" s="25" t="s">
        <v>19346</v>
      </c>
      <c r="E966" s="26" t="s">
        <v>16544</v>
      </c>
      <c r="F966" s="27" t="s">
        <v>16830</v>
      </c>
      <c r="G966" s="27" t="s">
        <v>17468</v>
      </c>
      <c r="H966" s="27" t="s">
        <v>17474</v>
      </c>
      <c r="I966" s="27"/>
      <c r="J966" s="27"/>
      <c r="K966" s="27"/>
      <c r="L966" s="27"/>
      <c r="N966" s="27"/>
      <c r="T966" s="28" t="str">
        <f>LOOKUP(1,1/(Table1[[#This Row],[Level_0]:[Level 15]]&gt;0),(Table1[[#This Row],[Level_0]:[Level 15]]))</f>
        <v>8250200000 - [FX Inc Settl-Fin-Underlyng Asset-Real-3P]</v>
      </c>
      <c r="U966" s="22">
        <v>961</v>
      </c>
      <c r="W966" s="13" t="str">
        <f>LOOKUP(1,1/(Table1[[#This Row],[Level_0]:[Level 15]]&gt;0),(Table1[[#This Row],[Level_0]:[Level 15]]))</f>
        <v>8250200000 - [FX Inc Settl-Fin-Underlyng Asset-Real-3P]</v>
      </c>
    </row>
    <row r="967" spans="1:23" hidden="1" x14ac:dyDescent="0.25">
      <c r="A967">
        <v>8240000000</v>
      </c>
      <c r="B967" s="16" t="s">
        <v>21997</v>
      </c>
      <c r="C967" s="16" t="e">
        <f>VLOOKUP(Table1[[#This Row],[Node]],Parent!A:B,2,0)</f>
        <v>#N/A</v>
      </c>
      <c r="D967" s="25" t="s">
        <v>19346</v>
      </c>
      <c r="E967" s="26" t="s">
        <v>16544</v>
      </c>
      <c r="F967" s="27" t="s">
        <v>16830</v>
      </c>
      <c r="G967" s="27" t="s">
        <v>17468</v>
      </c>
      <c r="H967" s="27" t="s">
        <v>17475</v>
      </c>
      <c r="I967" s="27"/>
      <c r="J967" s="27"/>
      <c r="K967" s="27"/>
      <c r="L967" s="27"/>
      <c r="N967" s="27"/>
      <c r="T967" s="28" t="str">
        <f>LOOKUP(1,1/(Table1[[#This Row],[Level_0]:[Level 15]]&gt;0),(Table1[[#This Row],[Level_0]:[Level 15]]))</f>
        <v>8240000000 - [FX Inc - Financing - Realized Other]</v>
      </c>
      <c r="U967" s="22">
        <v>962</v>
      </c>
      <c r="W967" s="13" t="str">
        <f>LOOKUP(1,1/(Table1[[#This Row],[Level_0]:[Level 15]]&gt;0),(Table1[[#This Row],[Level_0]:[Level 15]]))</f>
        <v>8240000000 - [FX Inc - Financing - Realized Other]</v>
      </c>
    </row>
    <row r="968" spans="1:23" hidden="1" x14ac:dyDescent="0.25">
      <c r="A968">
        <v>8102000000</v>
      </c>
      <c r="B968" s="16" t="s">
        <v>21976</v>
      </c>
      <c r="C968" s="16" t="e">
        <f>VLOOKUP(Table1[[#This Row],[Node]],Parent!A:B,2,0)</f>
        <v>#N/A</v>
      </c>
      <c r="D968" s="25" t="s">
        <v>19346</v>
      </c>
      <c r="E968" s="26" t="s">
        <v>16544</v>
      </c>
      <c r="F968" s="27" t="s">
        <v>16830</v>
      </c>
      <c r="G968" s="27" t="s">
        <v>17468</v>
      </c>
      <c r="H968" s="27" t="s">
        <v>17476</v>
      </c>
      <c r="I968" s="27"/>
      <c r="J968" s="27"/>
      <c r="K968" s="27"/>
      <c r="L968" s="27"/>
      <c r="N968" s="27"/>
      <c r="T968" s="28" t="str">
        <f>LOOKUP(1,1/(Table1[[#This Row],[Level_0]:[Level 15]]&gt;0),(Table1[[#This Row],[Level_0]:[Level 15]]))</f>
        <v>8102000000 - [Other Interest Income Received -  3P]</v>
      </c>
      <c r="U968" s="22">
        <v>963</v>
      </c>
      <c r="W968" s="13" t="str">
        <f>LOOKUP(1,1/(Table1[[#This Row],[Level_0]:[Level 15]]&gt;0),(Table1[[#This Row],[Level_0]:[Level 15]]))</f>
        <v>8102000000 - [Other Interest Income Received -  3P]</v>
      </c>
    </row>
    <row r="969" spans="1:23" hidden="1" x14ac:dyDescent="0.25">
      <c r="A969">
        <v>8800100000</v>
      </c>
      <c r="B969" s="16" t="s">
        <v>22089</v>
      </c>
      <c r="C969" s="16" t="e">
        <f>VLOOKUP(Table1[[#This Row],[Node]],Parent!A:B,2,0)</f>
        <v>#N/A</v>
      </c>
      <c r="D969" s="25" t="s">
        <v>19346</v>
      </c>
      <c r="E969" s="26" t="s">
        <v>16544</v>
      </c>
      <c r="F969" s="27" t="s">
        <v>16830</v>
      </c>
      <c r="G969" s="27" t="s">
        <v>17468</v>
      </c>
      <c r="H969" s="27" t="s">
        <v>17477</v>
      </c>
      <c r="I969" s="27"/>
      <c r="J969" s="27"/>
      <c r="K969" s="27"/>
      <c r="L969" s="27"/>
      <c r="N969" s="27"/>
      <c r="T969" s="28" t="str">
        <f>LOOKUP(1,1/(Table1[[#This Row],[Level_0]:[Level 15]]&gt;0),(Table1[[#This Row],[Level_0]:[Level 15]]))</f>
        <v>8800100000 - [Profit&amp;Loss (Tech Acc)-InP&amp;LTransAgree]</v>
      </c>
      <c r="U969" s="22">
        <v>964</v>
      </c>
      <c r="W969" s="13" t="str">
        <f>LOOKUP(1,1/(Table1[[#This Row],[Level_0]:[Level 15]]&gt;0),(Table1[[#This Row],[Level_0]:[Level 15]]))</f>
        <v>8800100000 - [Profit&amp;Loss (Tech Acc)-InP&amp;LTransAgree]</v>
      </c>
    </row>
    <row r="970" spans="1:23" hidden="1" x14ac:dyDescent="0.25">
      <c r="A970">
        <v>8582600000</v>
      </c>
      <c r="B970" s="16" t="s">
        <v>22067</v>
      </c>
      <c r="C970" s="16" t="e">
        <f>VLOOKUP(Table1[[#This Row],[Node]],Parent!A:B,2,0)</f>
        <v>#N/A</v>
      </c>
      <c r="D970" s="25" t="s">
        <v>19346</v>
      </c>
      <c r="E970" s="26" t="s">
        <v>16544</v>
      </c>
      <c r="F970" s="27" t="s">
        <v>16830</v>
      </c>
      <c r="G970" s="27" t="s">
        <v>17468</v>
      </c>
      <c r="H970" s="27" t="s">
        <v>17478</v>
      </c>
      <c r="I970" s="27"/>
      <c r="J970" s="27"/>
      <c r="K970" s="27"/>
      <c r="L970" s="27"/>
      <c r="N970" s="27"/>
      <c r="T970" s="28" t="str">
        <f>LOOKUP(1,1/(Table1[[#This Row],[Level_0]:[Level 15]]&gt;0),(Table1[[#This Row],[Level_0]:[Level 15]]))</f>
        <v>8582600000 - [Result FXRevl-Op-CurOpt-CFH-IntrVal-Unrl]</v>
      </c>
      <c r="U970" s="22">
        <v>965</v>
      </c>
      <c r="W970" s="13" t="str">
        <f>LOOKUP(1,1/(Table1[[#This Row],[Level_0]:[Level 15]]&gt;0),(Table1[[#This Row],[Level_0]:[Level 15]]))</f>
        <v>8582600000 - [Result FXRevl-Op-CurOpt-CFH-IntrVal-Unrl]</v>
      </c>
    </row>
    <row r="971" spans="1:23" hidden="1" x14ac:dyDescent="0.25">
      <c r="A971">
        <v>8582500000</v>
      </c>
      <c r="B971" s="16" t="s">
        <v>22066</v>
      </c>
      <c r="C971" s="16" t="e">
        <f>VLOOKUP(Table1[[#This Row],[Node]],Parent!A:B,2,0)</f>
        <v>#N/A</v>
      </c>
      <c r="D971" s="25" t="s">
        <v>19346</v>
      </c>
      <c r="E971" s="26" t="s">
        <v>16544</v>
      </c>
      <c r="F971" s="27" t="s">
        <v>16830</v>
      </c>
      <c r="G971" s="27" t="s">
        <v>17468</v>
      </c>
      <c r="H971" s="27" t="s">
        <v>17479</v>
      </c>
      <c r="I971" s="27"/>
      <c r="J971" s="27"/>
      <c r="K971" s="27"/>
      <c r="L971" s="27"/>
      <c r="N971" s="27"/>
      <c r="T971" s="28" t="str">
        <f>LOOKUP(1,1/(Table1[[#This Row],[Level_0]:[Level 15]]&gt;0),(Table1[[#This Row],[Level_0]:[Level 15]]))</f>
        <v>8582500000 - [FX Exp Reval-Fin-CurOpt-CFH-TimeVal-Unrl]</v>
      </c>
      <c r="U971" s="22">
        <v>966</v>
      </c>
      <c r="W971" s="13" t="str">
        <f>LOOKUP(1,1/(Table1[[#This Row],[Level_0]:[Level 15]]&gt;0),(Table1[[#This Row],[Level_0]:[Level 15]]))</f>
        <v>8582500000 - [FX Exp Reval-Fin-CurOpt-CFH-TimeVal-Unrl]</v>
      </c>
    </row>
    <row r="972" spans="1:23" hidden="1" x14ac:dyDescent="0.25">
      <c r="A972">
        <v>8582300000</v>
      </c>
      <c r="B972" s="16" t="s">
        <v>22064</v>
      </c>
      <c r="C972" s="16" t="e">
        <f>VLOOKUP(Table1[[#This Row],[Node]],Parent!A:B,2,0)</f>
        <v>#N/A</v>
      </c>
      <c r="D972" s="25" t="s">
        <v>19346</v>
      </c>
      <c r="E972" s="26" t="s">
        <v>16544</v>
      </c>
      <c r="F972" s="27" t="s">
        <v>16830</v>
      </c>
      <c r="G972" s="27" t="s">
        <v>17468</v>
      </c>
      <c r="H972" s="27" t="s">
        <v>17480</v>
      </c>
      <c r="I972" s="27"/>
      <c r="J972" s="27"/>
      <c r="K972" s="27"/>
      <c r="L972" s="27"/>
      <c r="N972" s="27"/>
      <c r="T972" s="28" t="str">
        <f>LOOKUP(1,1/(Table1[[#This Row],[Level_0]:[Level 15]]&gt;0),(Table1[[#This Row],[Level_0]:[Level 15]]))</f>
        <v>8582300000 - [FX Exp Reval-Fin-ZC-CO-CFH-TimeVal-Unrl]</v>
      </c>
      <c r="U972" s="22">
        <v>967</v>
      </c>
      <c r="W972" s="13" t="str">
        <f>LOOKUP(1,1/(Table1[[#This Row],[Level_0]:[Level 15]]&gt;0),(Table1[[#This Row],[Level_0]:[Level 15]]))</f>
        <v>8582300000 - [FX Exp Reval-Fin-ZC-CO-CFH-TimeVal-Unrl]</v>
      </c>
    </row>
    <row r="973" spans="1:23" hidden="1" x14ac:dyDescent="0.25">
      <c r="A973">
        <v>8582200000</v>
      </c>
      <c r="B973" s="16" t="s">
        <v>22063</v>
      </c>
      <c r="C973" s="16" t="e">
        <f>VLOOKUP(Table1[[#This Row],[Node]],Parent!A:B,2,0)</f>
        <v>#N/A</v>
      </c>
      <c r="D973" s="25" t="s">
        <v>19346</v>
      </c>
      <c r="E973" s="26" t="s">
        <v>16544</v>
      </c>
      <c r="F973" s="27" t="s">
        <v>16830</v>
      </c>
      <c r="G973" s="27" t="s">
        <v>17468</v>
      </c>
      <c r="H973" s="27" t="s">
        <v>17481</v>
      </c>
      <c r="I973" s="27"/>
      <c r="J973" s="27"/>
      <c r="K973" s="27"/>
      <c r="L973" s="27"/>
      <c r="N973" s="27"/>
      <c r="T973" s="28" t="str">
        <f>LOOKUP(1,1/(Table1[[#This Row],[Level_0]:[Level 15]]&gt;0),(Table1[[#This Row],[Level_0]:[Level 15]]))</f>
        <v>8582200000 - [FX Exp Reval-Op-ZC-CO-CFH-TimeVal-Unrl]</v>
      </c>
      <c r="U973" s="22">
        <v>968</v>
      </c>
      <c r="W973" s="13" t="str">
        <f>LOOKUP(1,1/(Table1[[#This Row],[Level_0]:[Level 15]]&gt;0),(Table1[[#This Row],[Level_0]:[Level 15]]))</f>
        <v>8582200000 - [FX Exp Reval-Op-ZC-CO-CFH-TimeVal-Unrl]</v>
      </c>
    </row>
    <row r="974" spans="1:23" hidden="1" x14ac:dyDescent="0.25">
      <c r="A974">
        <v>8582100000</v>
      </c>
      <c r="B974" s="16" t="s">
        <v>22062</v>
      </c>
      <c r="C974" s="16" t="e">
        <f>VLOOKUP(Table1[[#This Row],[Node]],Parent!A:B,2,0)</f>
        <v>#N/A</v>
      </c>
      <c r="D974" s="25" t="s">
        <v>19346</v>
      </c>
      <c r="E974" s="26" t="s">
        <v>16544</v>
      </c>
      <c r="F974" s="27" t="s">
        <v>16830</v>
      </c>
      <c r="G974" s="27" t="s">
        <v>17468</v>
      </c>
      <c r="H974" s="27" t="s">
        <v>17482</v>
      </c>
      <c r="I974" s="27"/>
      <c r="J974" s="27"/>
      <c r="K974" s="27"/>
      <c r="L974" s="27"/>
      <c r="N974" s="27"/>
      <c r="T974" s="28" t="str">
        <f>LOOKUP(1,1/(Table1[[#This Row],[Level_0]:[Level 15]]&gt;0),(Table1[[#This Row],[Level_0]:[Level 15]]))</f>
        <v>8582100000 - [FX Exp Reval-Fin-ZC-CO-CFH-IntrVal-Unrl]</v>
      </c>
      <c r="U974" s="22">
        <v>969</v>
      </c>
      <c r="W974" s="13" t="str">
        <f>LOOKUP(1,1/(Table1[[#This Row],[Level_0]:[Level 15]]&gt;0),(Table1[[#This Row],[Level_0]:[Level 15]]))</f>
        <v>8582100000 - [FX Exp Reval-Fin-ZC-CO-CFH-IntrVal-Unrl]</v>
      </c>
    </row>
    <row r="975" spans="1:23" hidden="1" x14ac:dyDescent="0.25">
      <c r="A975">
        <v>8582000000</v>
      </c>
      <c r="B975" s="16" t="s">
        <v>22061</v>
      </c>
      <c r="C975" s="16" t="e">
        <f>VLOOKUP(Table1[[#This Row],[Node]],Parent!A:B,2,0)</f>
        <v>#N/A</v>
      </c>
      <c r="D975" s="25" t="s">
        <v>19346</v>
      </c>
      <c r="E975" s="26" t="s">
        <v>16544</v>
      </c>
      <c r="F975" s="27" t="s">
        <v>16830</v>
      </c>
      <c r="G975" s="27" t="s">
        <v>17468</v>
      </c>
      <c r="H975" s="27" t="s">
        <v>17483</v>
      </c>
      <c r="I975" s="27"/>
      <c r="J975" s="27"/>
      <c r="K975" s="27"/>
      <c r="L975" s="27"/>
      <c r="N975" s="27"/>
      <c r="T975" s="28" t="str">
        <f>LOOKUP(1,1/(Table1[[#This Row],[Level_0]:[Level 15]]&gt;0),(Table1[[#This Row],[Level_0]:[Level 15]]))</f>
        <v>8582000000 - [FX Exp Derivative - Financing-Unrealized]</v>
      </c>
      <c r="U975" s="22">
        <v>970</v>
      </c>
      <c r="W975" s="13" t="str">
        <f>LOOKUP(1,1/(Table1[[#This Row],[Level_0]:[Level 15]]&gt;0),(Table1[[#This Row],[Level_0]:[Level 15]]))</f>
        <v>8582000000 - [FX Exp Derivative - Financing-Unrealized]</v>
      </c>
    </row>
    <row r="976" spans="1:23" hidden="1" x14ac:dyDescent="0.25">
      <c r="A976">
        <v>8580110000</v>
      </c>
      <c r="B976" s="16" t="s">
        <v>22060</v>
      </c>
      <c r="C976" s="16" t="e">
        <f>VLOOKUP(Table1[[#This Row],[Node]],Parent!A:B,2,0)</f>
        <v>#N/A</v>
      </c>
      <c r="D976" s="25" t="s">
        <v>19346</v>
      </c>
      <c r="E976" s="26" t="s">
        <v>16544</v>
      </c>
      <c r="F976" s="27" t="s">
        <v>16830</v>
      </c>
      <c r="G976" s="27" t="s">
        <v>17468</v>
      </c>
      <c r="H976" s="27" t="s">
        <v>17484</v>
      </c>
      <c r="I976" s="27"/>
      <c r="J976" s="27"/>
      <c r="K976" s="27"/>
      <c r="L976" s="27"/>
      <c r="N976" s="27"/>
      <c r="T976" s="28" t="str">
        <f>LOOKUP(1,1/(Table1[[#This Row],[Level_0]:[Level 15]]&gt;0),(Table1[[#This Row],[Level_0]:[Level 15]]))</f>
        <v>8580110000 - [FX Exp Settl-Financing-Derivativ-Real-IC]</v>
      </c>
      <c r="U976" s="22">
        <v>971</v>
      </c>
      <c r="W976" s="13" t="str">
        <f>LOOKUP(1,1/(Table1[[#This Row],[Level_0]:[Level 15]]&gt;0),(Table1[[#This Row],[Level_0]:[Level 15]]))</f>
        <v>8580110000 - [FX Exp Settl-Financing-Derivativ-Real-IC]</v>
      </c>
    </row>
    <row r="977" spans="1:23" hidden="1" x14ac:dyDescent="0.25">
      <c r="A977">
        <v>8580100000</v>
      </c>
      <c r="B977" s="16" t="s">
        <v>22059</v>
      </c>
      <c r="C977" s="16" t="e">
        <f>VLOOKUP(Table1[[#This Row],[Node]],Parent!A:B,2,0)</f>
        <v>#N/A</v>
      </c>
      <c r="D977" s="25" t="s">
        <v>19346</v>
      </c>
      <c r="E977" s="26" t="s">
        <v>16544</v>
      </c>
      <c r="F977" s="27" t="s">
        <v>16830</v>
      </c>
      <c r="G977" s="27" t="s">
        <v>17468</v>
      </c>
      <c r="H977" s="27" t="s">
        <v>17485</v>
      </c>
      <c r="I977" s="27"/>
      <c r="J977" s="27"/>
      <c r="K977" s="27"/>
      <c r="L977" s="27"/>
      <c r="N977" s="27"/>
      <c r="T977" s="28" t="str">
        <f>LOOKUP(1,1/(Table1[[#This Row],[Level_0]:[Level 15]]&gt;0),(Table1[[#This Row],[Level_0]:[Level 15]]))</f>
        <v>8580100000 - [FX Exp Revl-Fin-CurrOpt-CFH-Inval-Unrl]</v>
      </c>
      <c r="U977" s="22">
        <v>972</v>
      </c>
      <c r="W977" s="13" t="str">
        <f>LOOKUP(1,1/(Table1[[#This Row],[Level_0]:[Level 15]]&gt;0),(Table1[[#This Row],[Level_0]:[Level 15]]))</f>
        <v>8580100000 - [FX Exp Revl-Fin-CurrOpt-CFH-Inval-Unrl]</v>
      </c>
    </row>
    <row r="978" spans="1:23" hidden="1" x14ac:dyDescent="0.25">
      <c r="A978">
        <v>8560100000</v>
      </c>
      <c r="B978" s="16" t="s">
        <v>22055</v>
      </c>
      <c r="C978" s="16" t="e">
        <f>VLOOKUP(Table1[[#This Row],[Node]],Parent!A:B,2,0)</f>
        <v>#N/A</v>
      </c>
      <c r="D978" s="25" t="s">
        <v>19346</v>
      </c>
      <c r="E978" s="26" t="s">
        <v>16544</v>
      </c>
      <c r="F978" s="27" t="s">
        <v>16830</v>
      </c>
      <c r="G978" s="27" t="s">
        <v>17468</v>
      </c>
      <c r="H978" s="27" t="s">
        <v>17486</v>
      </c>
      <c r="I978" s="27"/>
      <c r="J978" s="27"/>
      <c r="K978" s="27"/>
      <c r="L978" s="27"/>
      <c r="N978" s="27"/>
      <c r="T978" s="28" t="str">
        <f>LOOKUP(1,1/(Table1[[#This Row],[Level_0]:[Level 15]]&gt;0),(Table1[[#This Row],[Level_0]:[Level 15]]))</f>
        <v>8560100000 - [Premium-Operat-Zero-Cost CurrOpt-Real-3P]</v>
      </c>
      <c r="U978" s="22">
        <v>973</v>
      </c>
      <c r="W978" s="13" t="str">
        <f>LOOKUP(1,1/(Table1[[#This Row],[Level_0]:[Level 15]]&gt;0),(Table1[[#This Row],[Level_0]:[Level 15]]))</f>
        <v>8560100000 - [Premium-Operat-Zero-Cost CurrOpt-Real-3P]</v>
      </c>
    </row>
    <row r="979" spans="1:23" hidden="1" x14ac:dyDescent="0.25">
      <c r="A979">
        <v>8550210000</v>
      </c>
      <c r="B979" s="16" t="s">
        <v>22053</v>
      </c>
      <c r="C979" s="16" t="e">
        <f>VLOOKUP(Table1[[#This Row],[Node]],Parent!A:B,2,0)</f>
        <v>#N/A</v>
      </c>
      <c r="D979" s="25" t="s">
        <v>19346</v>
      </c>
      <c r="E979" s="26" t="s">
        <v>16544</v>
      </c>
      <c r="F979" s="27" t="s">
        <v>16830</v>
      </c>
      <c r="G979" s="27" t="s">
        <v>17468</v>
      </c>
      <c r="H979" s="27" t="s">
        <v>17487</v>
      </c>
      <c r="I979" s="27"/>
      <c r="J979" s="27"/>
      <c r="K979" s="27"/>
      <c r="L979" s="27"/>
      <c r="N979" s="27"/>
      <c r="T979" s="28" t="str">
        <f>LOOKUP(1,1/(Table1[[#This Row],[Level_0]:[Level 15]]&gt;0),(Table1[[#This Row],[Level_0]:[Level 15]]))</f>
        <v>8550210000 - [FX Exp Reval-Fin-Underlng Asset-Unrl-IC]</v>
      </c>
      <c r="U979" s="22">
        <v>974</v>
      </c>
      <c r="W979" s="13" t="str">
        <f>LOOKUP(1,1/(Table1[[#This Row],[Level_0]:[Level 15]]&gt;0),(Table1[[#This Row],[Level_0]:[Level 15]]))</f>
        <v>8550210000 - [FX Exp Reval-Fin-Underlng Asset-Unrl-IC]</v>
      </c>
    </row>
    <row r="980" spans="1:23" hidden="1" x14ac:dyDescent="0.25">
      <c r="A980">
        <v>8550100000</v>
      </c>
      <c r="B980" s="16" t="s">
        <v>22052</v>
      </c>
      <c r="C980" s="16" t="e">
        <f>VLOOKUP(Table1[[#This Row],[Node]],Parent!A:B,2,0)</f>
        <v>#N/A</v>
      </c>
      <c r="D980" s="25" t="s">
        <v>19346</v>
      </c>
      <c r="E980" s="26" t="s">
        <v>16544</v>
      </c>
      <c r="F980" s="27" t="s">
        <v>16830</v>
      </c>
      <c r="G980" s="27" t="s">
        <v>17468</v>
      </c>
      <c r="H980" s="27" t="s">
        <v>17488</v>
      </c>
      <c r="I980" s="27"/>
      <c r="J980" s="27"/>
      <c r="K980" s="27"/>
      <c r="L980" s="27"/>
      <c r="N980" s="27"/>
      <c r="T980" s="28" t="str">
        <f>LOOKUP(1,1/(Table1[[#This Row],[Level_0]:[Level 15]]&gt;0),(Table1[[#This Row],[Level_0]:[Level 15]]))</f>
        <v>8550100000 - [FX Exp-Fin-Exchange Rate Differen-Unreal]</v>
      </c>
      <c r="U980" s="22">
        <v>975</v>
      </c>
      <c r="W980" s="13" t="str">
        <f>LOOKUP(1,1/(Table1[[#This Row],[Level_0]:[Level 15]]&gt;0),(Table1[[#This Row],[Level_0]:[Level 15]]))</f>
        <v>8550100000 - [FX Exp-Fin-Exchange Rate Differen-Unreal]</v>
      </c>
    </row>
    <row r="981" spans="1:23" hidden="1" x14ac:dyDescent="0.25">
      <c r="A981">
        <v>8540210000</v>
      </c>
      <c r="B981" s="16" t="s">
        <v>22050</v>
      </c>
      <c r="C981" s="16" t="e">
        <f>VLOOKUP(Table1[[#This Row],[Node]],Parent!A:B,2,0)</f>
        <v>#N/A</v>
      </c>
      <c r="D981" s="25" t="s">
        <v>19346</v>
      </c>
      <c r="E981" s="26" t="s">
        <v>16544</v>
      </c>
      <c r="F981" s="27" t="s">
        <v>16830</v>
      </c>
      <c r="G981" s="27" t="s">
        <v>17468</v>
      </c>
      <c r="H981" s="27" t="s">
        <v>17489</v>
      </c>
      <c r="I981" s="27"/>
      <c r="J981" s="27"/>
      <c r="K981" s="27"/>
      <c r="L981" s="27"/>
      <c r="N981" s="27"/>
      <c r="T981" s="28" t="str">
        <f>LOOKUP(1,1/(Table1[[#This Row],[Level_0]:[Level 15]]&gt;0),(Table1[[#This Row],[Level_0]:[Level 15]]))</f>
        <v>8540210000 - [FX Exp Settl-Fin-Underlng Assets-Real-IC]</v>
      </c>
      <c r="U981" s="22">
        <v>976</v>
      </c>
      <c r="W981" s="13" t="str">
        <f>LOOKUP(1,1/(Table1[[#This Row],[Level_0]:[Level 15]]&gt;0),(Table1[[#This Row],[Level_0]:[Level 15]]))</f>
        <v>8540210000 - [FX Exp Settl-Fin-Underlng Assets-Real-IC]</v>
      </c>
    </row>
    <row r="982" spans="1:23" hidden="1" x14ac:dyDescent="0.25">
      <c r="A982">
        <v>8540100000</v>
      </c>
      <c r="B982" s="16" t="s">
        <v>22049</v>
      </c>
      <c r="C982" s="16" t="e">
        <f>VLOOKUP(Table1[[#This Row],[Node]],Parent!A:B,2,0)</f>
        <v>#N/A</v>
      </c>
      <c r="D982" s="25" t="s">
        <v>19346</v>
      </c>
      <c r="E982" s="26" t="s">
        <v>16544</v>
      </c>
      <c r="F982" s="27" t="s">
        <v>16830</v>
      </c>
      <c r="G982" s="27" t="s">
        <v>17468</v>
      </c>
      <c r="H982" s="27" t="s">
        <v>17490</v>
      </c>
      <c r="I982" s="27"/>
      <c r="J982" s="27"/>
      <c r="K982" s="27"/>
      <c r="L982" s="27"/>
      <c r="N982" s="27"/>
      <c r="T982" s="28" t="str">
        <f>LOOKUP(1,1/(Table1[[#This Row],[Level_0]:[Level 15]]&gt;0),(Table1[[#This Row],[Level_0]:[Level 15]]))</f>
        <v>8540100000 - [FX Exp-Financing-Exchange Rate Diff-Real]</v>
      </c>
      <c r="U982" s="22">
        <v>977</v>
      </c>
      <c r="W982" s="13" t="str">
        <f>LOOKUP(1,1/(Table1[[#This Row],[Level_0]:[Level 15]]&gt;0),(Table1[[#This Row],[Level_0]:[Level 15]]))</f>
        <v>8540100000 - [FX Exp-Financing-Exchange Rate Diff-Real]</v>
      </c>
    </row>
    <row r="983" spans="1:23" hidden="1" x14ac:dyDescent="0.25">
      <c r="A983">
        <v>8534000000</v>
      </c>
      <c r="B983" s="16" t="s">
        <v>22044</v>
      </c>
      <c r="C983" s="16" t="e">
        <f>VLOOKUP(Table1[[#This Row],[Node]],Parent!A:B,2,0)</f>
        <v>#N/A</v>
      </c>
      <c r="D983" s="25" t="s">
        <v>19346</v>
      </c>
      <c r="E983" s="26" t="s">
        <v>16544</v>
      </c>
      <c r="F983" s="27" t="s">
        <v>16830</v>
      </c>
      <c r="G983" s="27" t="s">
        <v>17468</v>
      </c>
      <c r="H983" s="27" t="s">
        <v>17491</v>
      </c>
      <c r="I983" s="27"/>
      <c r="J983" s="27"/>
      <c r="K983" s="27"/>
      <c r="L983" s="27"/>
      <c r="N983" s="27"/>
      <c r="T983" s="28" t="str">
        <f>LOOKUP(1,1/(Table1[[#This Row],[Level_0]:[Level 15]]&gt;0),(Table1[[#This Row],[Level_0]:[Level 15]]))</f>
        <v>8534000000 - [Loss Recycling Debt Inst FVOCI]</v>
      </c>
      <c r="U983" s="22">
        <v>978</v>
      </c>
      <c r="W983" s="13" t="str">
        <f>LOOKUP(1,1/(Table1[[#This Row],[Level_0]:[Level 15]]&gt;0),(Table1[[#This Row],[Level_0]:[Level 15]]))</f>
        <v>8534000000 - [Loss Recycling Debt Inst FVOCI]</v>
      </c>
    </row>
    <row r="984" spans="1:23" hidden="1" x14ac:dyDescent="0.25">
      <c r="A984">
        <v>8440900000</v>
      </c>
      <c r="B984" s="16" t="s">
        <v>22030</v>
      </c>
      <c r="C984" s="16" t="e">
        <f>VLOOKUP(Table1[[#This Row],[Node]],Parent!A:B,2,0)</f>
        <v>#N/A</v>
      </c>
      <c r="D984" s="25" t="s">
        <v>19346</v>
      </c>
      <c r="E984" s="26" t="s">
        <v>16544</v>
      </c>
      <c r="F984" s="27" t="s">
        <v>16830</v>
      </c>
      <c r="G984" s="27" t="s">
        <v>17468</v>
      </c>
      <c r="H984" s="27" t="s">
        <v>17492</v>
      </c>
      <c r="I984" s="27"/>
      <c r="J984" s="27"/>
      <c r="K984" s="27"/>
      <c r="L984" s="27"/>
      <c r="N984" s="27"/>
      <c r="T984" s="28" t="str">
        <f>LOOKUP(1,1/(Table1[[#This Row],[Level_0]:[Level 15]]&gt;0),(Table1[[#This Row],[Level_0]:[Level 15]]))</f>
        <v>8440900000 - [Interest Exp-Charg Fin Trans-Negat Inter]</v>
      </c>
      <c r="U984" s="22">
        <v>979</v>
      </c>
      <c r="W984" s="13" t="str">
        <f>LOOKUP(1,1/(Table1[[#This Row],[Level_0]:[Level 15]]&gt;0),(Table1[[#This Row],[Level_0]:[Level 15]]))</f>
        <v>8440900000 - [Interest Exp-Charg Fin Trans-Negat Inter]</v>
      </c>
    </row>
    <row r="985" spans="1:23" hidden="1" x14ac:dyDescent="0.25">
      <c r="A985">
        <v>8440100000</v>
      </c>
      <c r="B985" s="16" t="s">
        <v>22029</v>
      </c>
      <c r="C985" s="16" t="e">
        <f>VLOOKUP(Table1[[#This Row],[Node]],Parent!A:B,2,0)</f>
        <v>#N/A</v>
      </c>
      <c r="D985" s="25" t="s">
        <v>19346</v>
      </c>
      <c r="E985" s="26" t="s">
        <v>16544</v>
      </c>
      <c r="F985" s="27" t="s">
        <v>16830</v>
      </c>
      <c r="G985" s="27" t="s">
        <v>17468</v>
      </c>
      <c r="H985" s="27" t="s">
        <v>17493</v>
      </c>
      <c r="I985" s="27"/>
      <c r="J985" s="27"/>
      <c r="K985" s="27"/>
      <c r="L985" s="27"/>
      <c r="N985" s="27"/>
      <c r="T985" s="28" t="str">
        <f>LOOKUP(1,1/(Table1[[#This Row],[Level_0]:[Level 15]]&gt;0),(Table1[[#This Row],[Level_0]:[Level 15]]))</f>
        <v>8440100000 - [InterExp-Amort Prem/Discount Secur Bonds]</v>
      </c>
      <c r="U985" s="22">
        <v>980</v>
      </c>
      <c r="W985" s="13" t="str">
        <f>LOOKUP(1,1/(Table1[[#This Row],[Level_0]:[Level 15]]&gt;0),(Table1[[#This Row],[Level_0]:[Level 15]]))</f>
        <v>8440100000 - [InterExp-Amort Prem/Discount Secur Bonds]</v>
      </c>
    </row>
    <row r="986" spans="1:23" hidden="1" x14ac:dyDescent="0.25">
      <c r="A986">
        <v>8420000000</v>
      </c>
      <c r="B986" s="16" t="s">
        <v>22025</v>
      </c>
      <c r="C986" s="16" t="e">
        <f>VLOOKUP(Table1[[#This Row],[Node]],Parent!A:B,2,0)</f>
        <v>#N/A</v>
      </c>
      <c r="D986" s="25" t="s">
        <v>19346</v>
      </c>
      <c r="E986" s="26" t="s">
        <v>16544</v>
      </c>
      <c r="F986" s="27" t="s">
        <v>16830</v>
      </c>
      <c r="G986" s="27" t="s">
        <v>17468</v>
      </c>
      <c r="H986" s="27" t="s">
        <v>17494</v>
      </c>
      <c r="I986" s="27"/>
      <c r="J986" s="27"/>
      <c r="K986" s="27"/>
      <c r="L986" s="27"/>
      <c r="N986" s="27"/>
      <c r="T986" s="28" t="str">
        <f>LOOKUP(1,1/(Table1[[#This Row],[Level_0]:[Level 15]]&gt;0),(Table1[[#This Row],[Level_0]:[Level 15]]))</f>
        <v>8420000000 - [Interest Expenses (Int Derivatives) Paid]</v>
      </c>
      <c r="U986" s="22">
        <v>981</v>
      </c>
      <c r="W986" s="13" t="str">
        <f>LOOKUP(1,1/(Table1[[#This Row],[Level_0]:[Level 15]]&gt;0),(Table1[[#This Row],[Level_0]:[Level 15]]))</f>
        <v>8420000000 - [Interest Expenses (Int Derivatives) Paid]</v>
      </c>
    </row>
    <row r="987" spans="1:23" hidden="1" x14ac:dyDescent="0.25">
      <c r="A987">
        <v>8412000000</v>
      </c>
      <c r="B987" s="16" t="s">
        <v>22024</v>
      </c>
      <c r="C987" s="16" t="e">
        <f>VLOOKUP(Table1[[#This Row],[Node]],Parent!A:B,2,0)</f>
        <v>#N/A</v>
      </c>
      <c r="D987" s="25" t="s">
        <v>19346</v>
      </c>
      <c r="E987" s="26" t="s">
        <v>16544</v>
      </c>
      <c r="F987" s="27" t="s">
        <v>16830</v>
      </c>
      <c r="G987" s="27" t="s">
        <v>17468</v>
      </c>
      <c r="H987" s="27" t="s">
        <v>17495</v>
      </c>
      <c r="I987" s="27"/>
      <c r="J987" s="27"/>
      <c r="K987" s="27"/>
      <c r="L987" s="27"/>
      <c r="N987" s="27"/>
      <c r="T987" s="28" t="str">
        <f>LOOKUP(1,1/(Table1[[#This Row],[Level_0]:[Level 15]]&gt;0),(Table1[[#This Row],[Level_0]:[Level 15]]))</f>
        <v>8412000000 - [Other Interest Expenses Accr]</v>
      </c>
      <c r="U987" s="22">
        <v>982</v>
      </c>
      <c r="W987" s="13" t="str">
        <f>LOOKUP(1,1/(Table1[[#This Row],[Level_0]:[Level 15]]&gt;0),(Table1[[#This Row],[Level_0]:[Level 15]]))</f>
        <v>8412000000 - [Other Interest Expenses Accr]</v>
      </c>
    </row>
    <row r="988" spans="1:23" hidden="1" x14ac:dyDescent="0.25">
      <c r="A988">
        <v>8280310000</v>
      </c>
      <c r="B988" s="16" t="s">
        <v>22014</v>
      </c>
      <c r="C988" s="16" t="e">
        <f>VLOOKUP(Table1[[#This Row],[Node]],Parent!A:B,2,0)</f>
        <v>#N/A</v>
      </c>
      <c r="D988" s="25" t="s">
        <v>19346</v>
      </c>
      <c r="E988" s="26" t="s">
        <v>16544</v>
      </c>
      <c r="F988" s="27" t="s">
        <v>16830</v>
      </c>
      <c r="G988" s="27" t="s">
        <v>17468</v>
      </c>
      <c r="H988" s="27" t="s">
        <v>17496</v>
      </c>
      <c r="I988" s="27"/>
      <c r="J988" s="27"/>
      <c r="K988" s="27"/>
      <c r="L988" s="27"/>
      <c r="N988" s="27"/>
      <c r="T988" s="28" t="str">
        <f>LOOKUP(1,1/(Table1[[#This Row],[Level_0]:[Level 15]]&gt;0),(Table1[[#This Row],[Level_0]:[Level 15]]))</f>
        <v>8280310000 - [FXInc Revl-Fin-ZC-CO-CFH-IntrVal-Unrl-IC]</v>
      </c>
      <c r="U988" s="22">
        <v>983</v>
      </c>
      <c r="W988" s="13" t="str">
        <f>LOOKUP(1,1/(Table1[[#This Row],[Level_0]:[Level 15]]&gt;0),(Table1[[#This Row],[Level_0]:[Level 15]]))</f>
        <v>8280310000 - [FXInc Revl-Fin-ZC-CO-CFH-IntrVal-Unrl-IC]</v>
      </c>
    </row>
    <row r="989" spans="1:23" hidden="1" x14ac:dyDescent="0.25">
      <c r="A989">
        <v>8280110000</v>
      </c>
      <c r="B989" s="16" t="s">
        <v>22012</v>
      </c>
      <c r="C989" s="16" t="e">
        <f>VLOOKUP(Table1[[#This Row],[Node]],Parent!A:B,2,0)</f>
        <v>#N/A</v>
      </c>
      <c r="D989" s="25" t="s">
        <v>19346</v>
      </c>
      <c r="E989" s="26" t="s">
        <v>16544</v>
      </c>
      <c r="F989" s="27" t="s">
        <v>16830</v>
      </c>
      <c r="G989" s="27" t="s">
        <v>17468</v>
      </c>
      <c r="H989" s="27" t="s">
        <v>17497</v>
      </c>
      <c r="I989" s="27"/>
      <c r="J989" s="27"/>
      <c r="K989" s="27"/>
      <c r="L989" s="27"/>
      <c r="N989" s="27"/>
      <c r="T989" s="28" t="str">
        <f>LOOKUP(1,1/(Table1[[#This Row],[Level_0]:[Level 15]]&gt;0),(Table1[[#This Row],[Level_0]:[Level 15]]))</f>
        <v>8280110000 - [FXInc Setl-Fin-ZC-CurOpt-IntrVal-Real-IC]</v>
      </c>
      <c r="U989" s="22">
        <v>984</v>
      </c>
      <c r="W989" s="13" t="str">
        <f>LOOKUP(1,1/(Table1[[#This Row],[Level_0]:[Level 15]]&gt;0),(Table1[[#This Row],[Level_0]:[Level 15]]))</f>
        <v>8280110000 - [FXInc Setl-Fin-ZC-CurOpt-IntrVal-Real-IC]</v>
      </c>
    </row>
    <row r="990" spans="1:23" hidden="1" x14ac:dyDescent="0.25">
      <c r="A990">
        <v>8280100000</v>
      </c>
      <c r="B990" s="16" t="s">
        <v>22011</v>
      </c>
      <c r="C990" s="16" t="e">
        <f>VLOOKUP(Table1[[#This Row],[Node]],Parent!A:B,2,0)</f>
        <v>#N/A</v>
      </c>
      <c r="D990" s="25" t="s">
        <v>19346</v>
      </c>
      <c r="E990" s="26" t="s">
        <v>16544</v>
      </c>
      <c r="F990" s="27" t="s">
        <v>16830</v>
      </c>
      <c r="G990" s="27" t="s">
        <v>17468</v>
      </c>
      <c r="H990" s="27" t="s">
        <v>17498</v>
      </c>
      <c r="I990" s="27"/>
      <c r="J990" s="27"/>
      <c r="K990" s="27"/>
      <c r="L990" s="27"/>
      <c r="N990" s="27"/>
      <c r="T990" s="28" t="str">
        <f>LOOKUP(1,1/(Table1[[#This Row],[Level_0]:[Level 15]]&gt;0),(Table1[[#This Row],[Level_0]:[Level 15]]))</f>
        <v>8280100000 - [FX Inc Revl-Fin-CurrOpt-CFH-Inval-Unrl]</v>
      </c>
      <c r="U990" s="22">
        <v>985</v>
      </c>
      <c r="W990" s="13" t="str">
        <f>LOOKUP(1,1/(Table1[[#This Row],[Level_0]:[Level 15]]&gt;0),(Table1[[#This Row],[Level_0]:[Level 15]]))</f>
        <v>8280100000 - [FX Inc Revl-Fin-CurrOpt-CFH-Inval-Unrl]</v>
      </c>
    </row>
    <row r="991" spans="1:23" hidden="1" x14ac:dyDescent="0.25">
      <c r="A991">
        <v>8280010000</v>
      </c>
      <c r="B991" s="16" t="s">
        <v>22010</v>
      </c>
      <c r="C991" s="16" t="e">
        <f>VLOOKUP(Table1[[#This Row],[Node]],Parent!A:B,2,0)</f>
        <v>#N/A</v>
      </c>
      <c r="D991" s="25" t="s">
        <v>19346</v>
      </c>
      <c r="E991" s="26" t="s">
        <v>16544</v>
      </c>
      <c r="F991" s="27" t="s">
        <v>16830</v>
      </c>
      <c r="G991" s="27" t="s">
        <v>17468</v>
      </c>
      <c r="H991" s="27" t="s">
        <v>17499</v>
      </c>
      <c r="I991" s="27"/>
      <c r="J991" s="27"/>
      <c r="K991" s="27"/>
      <c r="L991" s="27"/>
      <c r="N991" s="27"/>
      <c r="T991" s="28" t="str">
        <f>LOOKUP(1,1/(Table1[[#This Row],[Level_0]:[Level 15]]&gt;0),(Table1[[#This Row],[Level_0]:[Level 15]]))</f>
        <v>8280010000 - [FX Inc Settl-Financing-Derivativ-Real-IC]</v>
      </c>
      <c r="U991" s="22">
        <v>986</v>
      </c>
      <c r="W991" s="13" t="str">
        <f>LOOKUP(1,1/(Table1[[#This Row],[Level_0]:[Level 15]]&gt;0),(Table1[[#This Row],[Level_0]:[Level 15]]))</f>
        <v>8280010000 - [FX Inc Settl-Financing-Derivativ-Real-IC]</v>
      </c>
    </row>
    <row r="992" spans="1:23" hidden="1" x14ac:dyDescent="0.25">
      <c r="A992">
        <v>8280000000</v>
      </c>
      <c r="B992" s="16" t="s">
        <v>22009</v>
      </c>
      <c r="C992" s="16" t="e">
        <f>VLOOKUP(Table1[[#This Row],[Node]],Parent!A:B,2,0)</f>
        <v>#N/A</v>
      </c>
      <c r="D992" s="25" t="s">
        <v>19346</v>
      </c>
      <c r="E992" s="26" t="s">
        <v>16544</v>
      </c>
      <c r="F992" s="27" t="s">
        <v>16830</v>
      </c>
      <c r="G992" s="27" t="s">
        <v>17468</v>
      </c>
      <c r="H992" s="27" t="s">
        <v>17500</v>
      </c>
      <c r="I992" s="27"/>
      <c r="J992" s="27"/>
      <c r="K992" s="27"/>
      <c r="L992" s="27"/>
      <c r="N992" s="27"/>
      <c r="T992" s="28" t="str">
        <f>LOOKUP(1,1/(Table1[[#This Row],[Level_0]:[Level 15]]&gt;0),(Table1[[#This Row],[Level_0]:[Level 15]]))</f>
        <v>8280000000 - [FX Inc Derivative - Financing - Realized]</v>
      </c>
      <c r="U992" s="22">
        <v>987</v>
      </c>
      <c r="W992" s="13" t="str">
        <f>LOOKUP(1,1/(Table1[[#This Row],[Level_0]:[Level 15]]&gt;0),(Table1[[#This Row],[Level_0]:[Level 15]]))</f>
        <v>8280000000 - [FX Inc Derivative - Financing - Realized]</v>
      </c>
    </row>
    <row r="993" spans="1:23" hidden="1" x14ac:dyDescent="0.25">
      <c r="A993">
        <v>8260200000</v>
      </c>
      <c r="B993" s="16" t="s">
        <v>22007</v>
      </c>
      <c r="C993" s="16" t="e">
        <f>VLOOKUP(Table1[[#This Row],[Node]],Parent!A:B,2,0)</f>
        <v>#N/A</v>
      </c>
      <c r="D993" s="25" t="s">
        <v>19346</v>
      </c>
      <c r="E993" s="26" t="s">
        <v>16544</v>
      </c>
      <c r="F993" s="27" t="s">
        <v>16830</v>
      </c>
      <c r="G993" s="27" t="s">
        <v>17468</v>
      </c>
      <c r="H993" s="27" t="s">
        <v>17501</v>
      </c>
      <c r="I993" s="27"/>
      <c r="J993" s="27"/>
      <c r="K993" s="27"/>
      <c r="L993" s="27"/>
      <c r="N993" s="27"/>
      <c r="T993" s="28" t="str">
        <f>LOOKUP(1,1/(Table1[[#This Row],[Level_0]:[Level 15]]&gt;0),(Table1[[#This Row],[Level_0]:[Level 15]]))</f>
        <v>8260200000 - [FXInc Revl-Op-ZC-CurOpt-CFH-TimeVal-Unrl]</v>
      </c>
      <c r="U993" s="22">
        <v>988</v>
      </c>
      <c r="W993" s="13" t="str">
        <f>LOOKUP(1,1/(Table1[[#This Row],[Level_0]:[Level 15]]&gt;0),(Table1[[#This Row],[Level_0]:[Level 15]]))</f>
        <v>8260200000 - [FXInc Revl-Op-ZC-CurOpt-CFH-TimeVal-Unrl]</v>
      </c>
    </row>
    <row r="994" spans="1:23" hidden="1" x14ac:dyDescent="0.25">
      <c r="A994">
        <v>8260100000</v>
      </c>
      <c r="B994" s="16" t="s">
        <v>22006</v>
      </c>
      <c r="C994" s="16" t="e">
        <f>VLOOKUP(Table1[[#This Row],[Node]],Parent!A:B,2,0)</f>
        <v>#N/A</v>
      </c>
      <c r="D994" s="25" t="s">
        <v>19346</v>
      </c>
      <c r="E994" s="26" t="s">
        <v>16544</v>
      </c>
      <c r="F994" s="27" t="s">
        <v>16830</v>
      </c>
      <c r="G994" s="27" t="s">
        <v>17468</v>
      </c>
      <c r="H994" s="27" t="s">
        <v>17502</v>
      </c>
      <c r="I994" s="27"/>
      <c r="J994" s="27"/>
      <c r="K994" s="27"/>
      <c r="L994" s="27"/>
      <c r="N994" s="27"/>
      <c r="T994" s="28" t="str">
        <f>LOOKUP(1,1/(Table1[[#This Row],[Level_0]:[Level 15]]&gt;0),(Table1[[#This Row],[Level_0]:[Level 15]]))</f>
        <v>8260100000 - [FX Inc Revl-Fin-CurrOpt-CFH-TimeVal-Unrl]</v>
      </c>
      <c r="U994" s="22">
        <v>989</v>
      </c>
      <c r="W994" s="13" t="str">
        <f>LOOKUP(1,1/(Table1[[#This Row],[Level_0]:[Level 15]]&gt;0),(Table1[[#This Row],[Level_0]:[Level 15]]))</f>
        <v>8260100000 - [FX Inc Revl-Fin-CurrOpt-CFH-TimeVal-Unrl]</v>
      </c>
    </row>
    <row r="995" spans="1:23" hidden="1" x14ac:dyDescent="0.25">
      <c r="A995">
        <v>8260000000</v>
      </c>
      <c r="B995" s="16" t="s">
        <v>22005</v>
      </c>
      <c r="C995" s="16" t="e">
        <f>VLOOKUP(Table1[[#This Row],[Node]],Parent!A:B,2,0)</f>
        <v>#N/A</v>
      </c>
      <c r="D995" s="25" t="s">
        <v>19346</v>
      </c>
      <c r="E995" s="26" t="s">
        <v>16544</v>
      </c>
      <c r="F995" s="27" t="s">
        <v>16830</v>
      </c>
      <c r="G995" s="27" t="s">
        <v>17468</v>
      </c>
      <c r="H995" s="27" t="s">
        <v>17503</v>
      </c>
      <c r="I995" s="27"/>
      <c r="J995" s="27"/>
      <c r="K995" s="27"/>
      <c r="L995" s="27"/>
      <c r="N995" s="27"/>
      <c r="T995" s="28" t="str">
        <f>LOOKUP(1,1/(Table1[[#This Row],[Level_0]:[Level 15]]&gt;0),(Table1[[#This Row],[Level_0]:[Level 15]]))</f>
        <v>8260000000 - [Inc Chn TimeVal of Options]</v>
      </c>
      <c r="U995" s="22">
        <v>990</v>
      </c>
      <c r="W995" s="13" t="str">
        <f>LOOKUP(1,1/(Table1[[#This Row],[Level_0]:[Level 15]]&gt;0),(Table1[[#This Row],[Level_0]:[Level 15]]))</f>
        <v>8260000000 - [Inc Chn TimeVal of Options]</v>
      </c>
    </row>
    <row r="996" spans="1:23" hidden="1" x14ac:dyDescent="0.25">
      <c r="A996">
        <v>8250210000</v>
      </c>
      <c r="B996" s="16" t="s">
        <v>22004</v>
      </c>
      <c r="C996" s="16" t="e">
        <f>VLOOKUP(Table1[[#This Row],[Node]],Parent!A:B,2,0)</f>
        <v>#N/A</v>
      </c>
      <c r="D996" s="25" t="s">
        <v>19346</v>
      </c>
      <c r="E996" s="26" t="s">
        <v>16544</v>
      </c>
      <c r="F996" s="27" t="s">
        <v>16830</v>
      </c>
      <c r="G996" s="27" t="s">
        <v>17468</v>
      </c>
      <c r="H996" s="27" t="s">
        <v>17504</v>
      </c>
      <c r="I996" s="27"/>
      <c r="J996" s="27"/>
      <c r="K996" s="27"/>
      <c r="L996" s="27"/>
      <c r="N996" s="27"/>
      <c r="T996" s="28" t="str">
        <f>LOOKUP(1,1/(Table1[[#This Row],[Level_0]:[Level 15]]&gt;0),(Table1[[#This Row],[Level_0]:[Level 15]]))</f>
        <v>8250210000 - [FX Inc Settl-Fin-Underlyng Asset-Real-IC]</v>
      </c>
      <c r="U996" s="22">
        <v>991</v>
      </c>
      <c r="W996" s="13" t="str">
        <f>LOOKUP(1,1/(Table1[[#This Row],[Level_0]:[Level 15]]&gt;0),(Table1[[#This Row],[Level_0]:[Level 15]]))</f>
        <v>8250210000 - [FX Inc Settl-Fin-Underlyng Asset-Real-IC]</v>
      </c>
    </row>
    <row r="997" spans="1:23" hidden="1" x14ac:dyDescent="0.25">
      <c r="A997">
        <v>8250110000</v>
      </c>
      <c r="B997" s="16" t="s">
        <v>22002</v>
      </c>
      <c r="C997" s="16" t="e">
        <f>VLOOKUP(Table1[[#This Row],[Node]],Parent!A:B,2,0)</f>
        <v>#N/A</v>
      </c>
      <c r="D997" s="25" t="s">
        <v>19346</v>
      </c>
      <c r="E997" s="26" t="s">
        <v>16544</v>
      </c>
      <c r="F997" s="27" t="s">
        <v>16830</v>
      </c>
      <c r="G997" s="27" t="s">
        <v>17468</v>
      </c>
      <c r="H997" s="27" t="s">
        <v>17505</v>
      </c>
      <c r="I997" s="27"/>
      <c r="J997" s="27"/>
      <c r="K997" s="27"/>
      <c r="L997" s="27"/>
      <c r="N997" s="27"/>
      <c r="T997" s="28" t="str">
        <f>LOOKUP(1,1/(Table1[[#This Row],[Level_0]:[Level 15]]&gt;0),(Table1[[#This Row],[Level_0]:[Level 15]]))</f>
        <v>8250110000 - [FX Inc Reval-Fin-Underlg Asset-Unreal-IC]</v>
      </c>
      <c r="U997" s="22">
        <v>992</v>
      </c>
      <c r="W997" s="13" t="str">
        <f>LOOKUP(1,1/(Table1[[#This Row],[Level_0]:[Level 15]]&gt;0),(Table1[[#This Row],[Level_0]:[Level 15]]))</f>
        <v>8250110000 - [FX Inc Reval-Fin-Underlg Asset-Unreal-IC]</v>
      </c>
    </row>
    <row r="998" spans="1:23" hidden="1" x14ac:dyDescent="0.25">
      <c r="A998">
        <v>8250100000</v>
      </c>
      <c r="B998" s="16" t="s">
        <v>22001</v>
      </c>
      <c r="C998" s="16" t="e">
        <f>VLOOKUP(Table1[[#This Row],[Node]],Parent!A:B,2,0)</f>
        <v>#N/A</v>
      </c>
      <c r="D998" s="25" t="s">
        <v>19346</v>
      </c>
      <c r="E998" s="26" t="s">
        <v>16544</v>
      </c>
      <c r="F998" s="27" t="s">
        <v>16830</v>
      </c>
      <c r="G998" s="27" t="s">
        <v>17468</v>
      </c>
      <c r="H998" s="27" t="s">
        <v>17506</v>
      </c>
      <c r="I998" s="27"/>
      <c r="J998" s="27"/>
      <c r="K998" s="27"/>
      <c r="L998" s="27"/>
      <c r="N998" s="27"/>
      <c r="T998" s="28" t="str">
        <f>LOOKUP(1,1/(Table1[[#This Row],[Level_0]:[Level 15]]&gt;0),(Table1[[#This Row],[Level_0]:[Level 15]]))</f>
        <v>8250100000 - [FX Inc Reval-Fin-Underlng Assets-Unrl-3P]</v>
      </c>
      <c r="U998" s="22">
        <v>993</v>
      </c>
      <c r="W998" s="13" t="str">
        <f>LOOKUP(1,1/(Table1[[#This Row],[Level_0]:[Level 15]]&gt;0),(Table1[[#This Row],[Level_0]:[Level 15]]))</f>
        <v>8250100000 - [FX Inc Reval-Fin-Underlng Assets-Unrl-3P]</v>
      </c>
    </row>
    <row r="999" spans="1:23" hidden="1" x14ac:dyDescent="0.25">
      <c r="A999">
        <v>8240908000</v>
      </c>
      <c r="B999" s="16" t="s">
        <v>21999</v>
      </c>
      <c r="C999" s="16" t="e">
        <f>VLOOKUP(Table1[[#This Row],[Node]],Parent!A:B,2,0)</f>
        <v>#N/A</v>
      </c>
      <c r="D999" s="25" t="s">
        <v>19346</v>
      </c>
      <c r="E999" s="26" t="s">
        <v>16544</v>
      </c>
      <c r="F999" s="27" t="s">
        <v>16830</v>
      </c>
      <c r="G999" s="27" t="s">
        <v>17468</v>
      </c>
      <c r="H999" s="27" t="s">
        <v>17507</v>
      </c>
      <c r="I999" s="27"/>
      <c r="J999" s="27"/>
      <c r="K999" s="27"/>
      <c r="L999" s="27"/>
      <c r="N999" s="27"/>
      <c r="T999" s="28" t="str">
        <f>LOOKUP(1,1/(Table1[[#This Row],[Level_0]:[Level 15]]&gt;0),(Table1[[#This Row],[Level_0]:[Level 15]]))</f>
        <v>8240908000 - [FX Inc-Revaluat-SAP-Quantum-Clearing Acc]</v>
      </c>
      <c r="U999" s="22">
        <v>994</v>
      </c>
      <c r="W999" s="13" t="str">
        <f>LOOKUP(1,1/(Table1[[#This Row],[Level_0]:[Level 15]]&gt;0),(Table1[[#This Row],[Level_0]:[Level 15]]))</f>
        <v>8240908000 - [FX Inc-Revaluat-SAP-Quantum-Clearing Acc]</v>
      </c>
    </row>
    <row r="1000" spans="1:23" hidden="1" x14ac:dyDescent="0.25">
      <c r="A1000">
        <v>8240100000</v>
      </c>
      <c r="B1000" s="16" t="s">
        <v>21998</v>
      </c>
      <c r="C1000" s="16" t="e">
        <f>VLOOKUP(Table1[[#This Row],[Node]],Parent!A:B,2,0)</f>
        <v>#N/A</v>
      </c>
      <c r="D1000" s="25" t="s">
        <v>19346</v>
      </c>
      <c r="E1000" s="26" t="s">
        <v>16544</v>
      </c>
      <c r="F1000" s="27" t="s">
        <v>16830</v>
      </c>
      <c r="G1000" s="27" t="s">
        <v>17468</v>
      </c>
      <c r="H1000" s="27" t="s">
        <v>17508</v>
      </c>
      <c r="I1000" s="27"/>
      <c r="J1000" s="27"/>
      <c r="K1000" s="27"/>
      <c r="L1000" s="27"/>
      <c r="N1000" s="27"/>
      <c r="T1000" s="28" t="str">
        <f>LOOKUP(1,1/(Table1[[#This Row],[Level_0]:[Level 15]]&gt;0),(Table1[[#This Row],[Level_0]:[Level 15]]))</f>
        <v>8240100000 - [FX Inc-Financing-Exchange Rate Diff-Real]</v>
      </c>
      <c r="U1000" s="22">
        <v>995</v>
      </c>
      <c r="W1000" s="13" t="str">
        <f>LOOKUP(1,1/(Table1[[#This Row],[Level_0]:[Level 15]]&gt;0),(Table1[[#This Row],[Level_0]:[Level 15]]))</f>
        <v>8240100000 - [FX Inc-Financing-Exchange Rate Diff-Real]</v>
      </c>
    </row>
    <row r="1001" spans="1:23" hidden="1" x14ac:dyDescent="0.25">
      <c r="A1001">
        <v>8235000000</v>
      </c>
      <c r="B1001" s="16" t="s">
        <v>21996</v>
      </c>
      <c r="C1001" s="16" t="e">
        <f>VLOOKUP(Table1[[#This Row],[Node]],Parent!A:B,2,0)</f>
        <v>#N/A</v>
      </c>
      <c r="D1001" s="25" t="s">
        <v>19346</v>
      </c>
      <c r="E1001" s="26" t="s">
        <v>16544</v>
      </c>
      <c r="F1001" s="27" t="s">
        <v>16830</v>
      </c>
      <c r="G1001" s="27" t="s">
        <v>17468</v>
      </c>
      <c r="H1001" s="27" t="s">
        <v>17509</v>
      </c>
      <c r="I1001" s="27"/>
      <c r="J1001" s="27"/>
      <c r="K1001" s="27"/>
      <c r="L1001" s="27"/>
      <c r="N1001" s="27"/>
      <c r="T1001" s="28" t="str">
        <f>LOOKUP(1,1/(Table1[[#This Row],[Level_0]:[Level 15]]&gt;0),(Table1[[#This Row],[Level_0]:[Level 15]]))</f>
        <v>8235000000 - [Inc f. FairValChanges Equity Inst FVtPL]</v>
      </c>
      <c r="U1001" s="22">
        <v>996</v>
      </c>
      <c r="W1001" s="13" t="str">
        <f>LOOKUP(1,1/(Table1[[#This Row],[Level_0]:[Level 15]]&gt;0),(Table1[[#This Row],[Level_0]:[Level 15]]))</f>
        <v>8235000000 - [Inc f. FairValChanges Equity Inst FVtPL]</v>
      </c>
    </row>
    <row r="1002" spans="1:23" hidden="1" x14ac:dyDescent="0.25">
      <c r="A1002">
        <v>8234000000</v>
      </c>
      <c r="B1002" s="16" t="s">
        <v>21993</v>
      </c>
      <c r="C1002" s="16" t="e">
        <f>VLOOKUP(Table1[[#This Row],[Node]],Parent!A:B,2,0)</f>
        <v>#N/A</v>
      </c>
      <c r="D1002" s="25" t="s">
        <v>19346</v>
      </c>
      <c r="E1002" s="26" t="s">
        <v>16544</v>
      </c>
      <c r="F1002" s="27" t="s">
        <v>16830</v>
      </c>
      <c r="G1002" s="27" t="s">
        <v>17468</v>
      </c>
      <c r="H1002" s="27" t="s">
        <v>17510</v>
      </c>
      <c r="I1002" s="27"/>
      <c r="J1002" s="27"/>
      <c r="K1002" s="27"/>
      <c r="L1002" s="27"/>
      <c r="N1002" s="27"/>
      <c r="T1002" s="28" t="str">
        <f>LOOKUP(1,1/(Table1[[#This Row],[Level_0]:[Level 15]]&gt;0),(Table1[[#This Row],[Level_0]:[Level 15]]))</f>
        <v>8234000000 - [Inc f. Recycling Debt Inst FVOCI]</v>
      </c>
      <c r="U1002" s="22">
        <v>997</v>
      </c>
      <c r="W1002" s="13" t="str">
        <f>LOOKUP(1,1/(Table1[[#This Row],[Level_0]:[Level 15]]&gt;0),(Table1[[#This Row],[Level_0]:[Level 15]]))</f>
        <v>8234000000 - [Inc f. Recycling Debt Inst FVOCI]</v>
      </c>
    </row>
    <row r="1003" spans="1:23" hidden="1" x14ac:dyDescent="0.25">
      <c r="A1003">
        <v>8112000000</v>
      </c>
      <c r="B1003" s="16" t="s">
        <v>21981</v>
      </c>
      <c r="C1003" s="16" t="e">
        <f>VLOOKUP(Table1[[#This Row],[Node]],Parent!A:B,2,0)</f>
        <v>#N/A</v>
      </c>
      <c r="D1003" s="25" t="s">
        <v>19346</v>
      </c>
      <c r="E1003" s="26" t="s">
        <v>16544</v>
      </c>
      <c r="F1003" s="27" t="s">
        <v>16830</v>
      </c>
      <c r="G1003" s="27" t="s">
        <v>17468</v>
      </c>
      <c r="H1003" s="27" t="s">
        <v>17511</v>
      </c>
      <c r="I1003" s="27"/>
      <c r="J1003" s="27"/>
      <c r="K1003" s="27"/>
      <c r="L1003" s="27"/>
      <c r="N1003" s="27"/>
      <c r="T1003" s="28" t="str">
        <f>LOOKUP(1,1/(Table1[[#This Row],[Level_0]:[Level 15]]&gt;0),(Table1[[#This Row],[Level_0]:[Level 15]]))</f>
        <v>8112000000 - [Other Interest Income Accr -  3P]</v>
      </c>
      <c r="U1003" s="22">
        <v>998</v>
      </c>
      <c r="W1003" s="13" t="str">
        <f>LOOKUP(1,1/(Table1[[#This Row],[Level_0]:[Level 15]]&gt;0),(Table1[[#This Row],[Level_0]:[Level 15]]))</f>
        <v>8112000000 - [Other Interest Income Accr -  3P]</v>
      </c>
    </row>
    <row r="1004" spans="1:23" hidden="1" x14ac:dyDescent="0.25">
      <c r="A1004">
        <v>8110110000</v>
      </c>
      <c r="B1004" s="16" t="s">
        <v>21979</v>
      </c>
      <c r="C1004" s="16" t="e">
        <f>VLOOKUP(Table1[[#This Row],[Node]],Parent!A:B,2,0)</f>
        <v>#N/A</v>
      </c>
      <c r="D1004" s="25" t="s">
        <v>19346</v>
      </c>
      <c r="E1004" s="26" t="s">
        <v>16544</v>
      </c>
      <c r="F1004" s="27" t="s">
        <v>16830</v>
      </c>
      <c r="G1004" s="27" t="s">
        <v>17468</v>
      </c>
      <c r="H1004" s="27" t="s">
        <v>17512</v>
      </c>
      <c r="I1004" s="27"/>
      <c r="J1004" s="27"/>
      <c r="K1004" s="27"/>
      <c r="L1004" s="27"/>
      <c r="N1004" s="27"/>
      <c r="T1004" s="28" t="str">
        <f>LOOKUP(1,1/(Table1[[#This Row],[Level_0]:[Level 15]]&gt;0),(Table1[[#This Row],[Level_0]:[Level 15]]))</f>
        <v>8110110000 - [Interest Income-Financial Investments-IC]</v>
      </c>
      <c r="U1004" s="22">
        <v>999</v>
      </c>
      <c r="W1004" s="13" t="str">
        <f>LOOKUP(1,1/(Table1[[#This Row],[Level_0]:[Level 15]]&gt;0),(Table1[[#This Row],[Level_0]:[Level 15]]))</f>
        <v>8110110000 - [Interest Income-Financial Investments-IC]</v>
      </c>
    </row>
    <row r="1005" spans="1:23" hidden="1" x14ac:dyDescent="0.25">
      <c r="A1005">
        <v>8100010002</v>
      </c>
      <c r="B1005" s="16" t="s">
        <v>21974</v>
      </c>
      <c r="C1005" s="16" t="e">
        <f>VLOOKUP(Table1[[#This Row],[Node]],Parent!A:B,2,0)</f>
        <v>#N/A</v>
      </c>
      <c r="D1005" s="25" t="s">
        <v>19346</v>
      </c>
      <c r="E1005" s="26" t="s">
        <v>16544</v>
      </c>
      <c r="F1005" s="27" t="s">
        <v>16830</v>
      </c>
      <c r="G1005" s="27" t="s">
        <v>17468</v>
      </c>
      <c r="H1005" s="27" t="s">
        <v>17513</v>
      </c>
      <c r="I1005" s="27"/>
      <c r="J1005" s="27"/>
      <c r="K1005" s="27"/>
      <c r="L1005" s="27"/>
      <c r="N1005" s="27"/>
      <c r="T1005" s="28" t="str">
        <f>LOOKUP(1,1/(Table1[[#This Row],[Level_0]:[Level 15]]&gt;0),(Table1[[#This Row],[Level_0]:[Level 15]]))</f>
        <v>8100010002 - [Interest Income Paid - IC - Account 2]</v>
      </c>
      <c r="U1005" s="22">
        <v>1000</v>
      </c>
      <c r="W1005" s="13" t="str">
        <f>LOOKUP(1,1/(Table1[[#This Row],[Level_0]:[Level 15]]&gt;0),(Table1[[#This Row],[Level_0]:[Level 15]]))</f>
        <v>8100010002 - [Interest Income Paid - IC - Account 2]</v>
      </c>
    </row>
    <row r="1006" spans="1:23" hidden="1" x14ac:dyDescent="0.25">
      <c r="A1006">
        <v>8580000000</v>
      </c>
      <c r="B1006" s="16" t="s">
        <v>22058</v>
      </c>
      <c r="C1006" s="16" t="e">
        <f>VLOOKUP(Table1[[#This Row],[Node]],Parent!A:B,2,0)</f>
        <v>#N/A</v>
      </c>
      <c r="D1006" s="25" t="s">
        <v>19346</v>
      </c>
      <c r="E1006" s="26" t="s">
        <v>16544</v>
      </c>
      <c r="F1006" s="27" t="s">
        <v>16830</v>
      </c>
      <c r="G1006" s="27" t="s">
        <v>17468</v>
      </c>
      <c r="H1006" s="27" t="s">
        <v>17514</v>
      </c>
      <c r="I1006" s="27"/>
      <c r="J1006" s="27"/>
      <c r="K1006" s="27"/>
      <c r="L1006" s="27"/>
      <c r="N1006" s="27"/>
      <c r="T1006" s="28" t="str">
        <f>LOOKUP(1,1/(Table1[[#This Row],[Level_0]:[Level 15]]&gt;0),(Table1[[#This Row],[Level_0]:[Level 15]]))</f>
        <v>8580000000 - [FX Exp Derivative - Financing - Realized]</v>
      </c>
      <c r="U1006" s="22">
        <v>1001</v>
      </c>
      <c r="W1006" s="13" t="str">
        <f>LOOKUP(1,1/(Table1[[#This Row],[Level_0]:[Level 15]]&gt;0),(Table1[[#This Row],[Level_0]:[Level 15]]))</f>
        <v>8580000000 - [FX Exp Derivative - Financing - Realized]</v>
      </c>
    </row>
    <row r="1007" spans="1:23" hidden="1" x14ac:dyDescent="0.25">
      <c r="A1007">
        <v>8570000000</v>
      </c>
      <c r="B1007" s="16" t="s">
        <v>22057</v>
      </c>
      <c r="C1007" s="16" t="e">
        <f>VLOOKUP(Table1[[#This Row],[Node]],Parent!A:B,2,0)</f>
        <v>#N/A</v>
      </c>
      <c r="D1007" s="25" t="s">
        <v>19346</v>
      </c>
      <c r="E1007" s="26" t="s">
        <v>16544</v>
      </c>
      <c r="F1007" s="27" t="s">
        <v>16830</v>
      </c>
      <c r="G1007" s="27" t="s">
        <v>17468</v>
      </c>
      <c r="H1007" s="27" t="s">
        <v>17515</v>
      </c>
      <c r="I1007" s="27"/>
      <c r="J1007" s="27"/>
      <c r="K1007" s="27"/>
      <c r="L1007" s="27"/>
      <c r="N1007" s="27"/>
      <c r="T1007" s="28" t="str">
        <f>LOOKUP(1,1/(Table1[[#This Row],[Level_0]:[Level 15]]&gt;0),(Table1[[#This Row],[Level_0]:[Level 15]]))</f>
        <v>8570000000 - [Exp Chn TimeVal of Share Based LTIP Prov]</v>
      </c>
      <c r="U1007" s="22">
        <v>1002</v>
      </c>
      <c r="W1007" s="13" t="str">
        <f>LOOKUP(1,1/(Table1[[#This Row],[Level_0]:[Level 15]]&gt;0),(Table1[[#This Row],[Level_0]:[Level 15]]))</f>
        <v>8570000000 - [Exp Chn TimeVal of Share Based LTIP Prov]</v>
      </c>
    </row>
    <row r="1008" spans="1:23" hidden="1" x14ac:dyDescent="0.25">
      <c r="A1008">
        <v>8560000000</v>
      </c>
      <c r="B1008" s="16" t="s">
        <v>22054</v>
      </c>
      <c r="C1008" s="16" t="e">
        <f>VLOOKUP(Table1[[#This Row],[Node]],Parent!A:B,2,0)</f>
        <v>#N/A</v>
      </c>
      <c r="D1008" s="25" t="s">
        <v>19346</v>
      </c>
      <c r="E1008" s="26" t="s">
        <v>16544</v>
      </c>
      <c r="F1008" s="27" t="s">
        <v>16830</v>
      </c>
      <c r="G1008" s="27" t="s">
        <v>17468</v>
      </c>
      <c r="H1008" s="27" t="s">
        <v>17516</v>
      </c>
      <c r="I1008" s="27"/>
      <c r="J1008" s="27"/>
      <c r="K1008" s="27"/>
      <c r="L1008" s="27"/>
      <c r="N1008" s="27"/>
      <c r="T1008" s="28" t="str">
        <f>LOOKUP(1,1/(Table1[[#This Row],[Level_0]:[Level 15]]&gt;0),(Table1[[#This Row],[Level_0]:[Level 15]]))</f>
        <v>8560000000 - [Exp Chn in TimeVal of Options]</v>
      </c>
      <c r="U1008" s="22">
        <v>1003</v>
      </c>
      <c r="W1008" s="13" t="str">
        <f>LOOKUP(1,1/(Table1[[#This Row],[Level_0]:[Level 15]]&gt;0),(Table1[[#This Row],[Level_0]:[Level 15]]))</f>
        <v>8560000000 - [Exp Chn in TimeVal of Options]</v>
      </c>
    </row>
    <row r="1009" spans="1:23" hidden="1" x14ac:dyDescent="0.25">
      <c r="A1009">
        <v>8550000000</v>
      </c>
      <c r="B1009" s="16" t="s">
        <v>22051</v>
      </c>
      <c r="C1009" s="16" t="e">
        <f>VLOOKUP(Table1[[#This Row],[Node]],Parent!A:B,2,0)</f>
        <v>#N/A</v>
      </c>
      <c r="D1009" s="25" t="s">
        <v>19346</v>
      </c>
      <c r="E1009" s="26" t="s">
        <v>16544</v>
      </c>
      <c r="F1009" s="27" t="s">
        <v>16830</v>
      </c>
      <c r="G1009" s="27" t="s">
        <v>17468</v>
      </c>
      <c r="H1009" s="27" t="s">
        <v>17517</v>
      </c>
      <c r="I1009" s="27"/>
      <c r="J1009" s="27"/>
      <c r="K1009" s="27"/>
      <c r="L1009" s="27"/>
      <c r="N1009" s="27"/>
      <c r="T1009" s="28" t="str">
        <f>LOOKUP(1,1/(Table1[[#This Row],[Level_0]:[Level 15]]&gt;0),(Table1[[#This Row],[Level_0]:[Level 15]]))</f>
        <v>8550000000 - [FX Exp - Financing -  Unrealized Other]</v>
      </c>
      <c r="U1009" s="22">
        <v>1004</v>
      </c>
      <c r="W1009" s="13" t="str">
        <f>LOOKUP(1,1/(Table1[[#This Row],[Level_0]:[Level 15]]&gt;0),(Table1[[#This Row],[Level_0]:[Level 15]]))</f>
        <v>8550000000 - [FX Exp - Financing -  Unrealized Other]</v>
      </c>
    </row>
    <row r="1010" spans="1:23" hidden="1" x14ac:dyDescent="0.25">
      <c r="A1010">
        <v>8540000000</v>
      </c>
      <c r="B1010" s="16" t="s">
        <v>22048</v>
      </c>
      <c r="C1010" s="16" t="e">
        <f>VLOOKUP(Table1[[#This Row],[Node]],Parent!A:B,2,0)</f>
        <v>#N/A</v>
      </c>
      <c r="D1010" s="25" t="s">
        <v>19346</v>
      </c>
      <c r="E1010" s="26" t="s">
        <v>16544</v>
      </c>
      <c r="F1010" s="27" t="s">
        <v>16830</v>
      </c>
      <c r="G1010" s="27" t="s">
        <v>17468</v>
      </c>
      <c r="H1010" s="27" t="s">
        <v>17518</v>
      </c>
      <c r="I1010" s="27"/>
      <c r="J1010" s="27"/>
      <c r="K1010" s="27"/>
      <c r="L1010" s="27"/>
      <c r="N1010" s="27"/>
      <c r="T1010" s="28" t="str">
        <f>LOOKUP(1,1/(Table1[[#This Row],[Level_0]:[Level 15]]&gt;0),(Table1[[#This Row],[Level_0]:[Level 15]]))</f>
        <v>8540000000 - [FX Exp - Financing - Realized Other]</v>
      </c>
      <c r="U1010" s="22">
        <v>1005</v>
      </c>
      <c r="W1010" s="13" t="str">
        <f>LOOKUP(1,1/(Table1[[#This Row],[Level_0]:[Level 15]]&gt;0),(Table1[[#This Row],[Level_0]:[Level 15]]))</f>
        <v>8540000000 - [FX Exp - Financing - Realized Other]</v>
      </c>
    </row>
    <row r="1011" spans="1:23" hidden="1" x14ac:dyDescent="0.25">
      <c r="A1011">
        <v>8510000000</v>
      </c>
      <c r="B1011" s="16" t="s">
        <v>22040</v>
      </c>
      <c r="C1011" s="16" t="e">
        <f>VLOOKUP(Table1[[#This Row],[Node]],Parent!A:B,2,0)</f>
        <v>#N/A</v>
      </c>
      <c r="D1011" s="25" t="s">
        <v>19346</v>
      </c>
      <c r="E1011" s="26" t="s">
        <v>16544</v>
      </c>
      <c r="F1011" s="27" t="s">
        <v>16830</v>
      </c>
      <c r="G1011" s="27" t="s">
        <v>17468</v>
      </c>
      <c r="H1011" s="27" t="s">
        <v>17519</v>
      </c>
      <c r="I1011" s="27"/>
      <c r="J1011" s="27"/>
      <c r="K1011" s="27"/>
      <c r="L1011" s="27"/>
      <c r="N1011" s="27"/>
      <c r="T1011" s="28" t="str">
        <f>LOOKUP(1,1/(Table1[[#This Row],[Level_0]:[Level 15]]&gt;0),(Table1[[#This Row],[Level_0]:[Level 15]]))</f>
        <v>8510000000 - [Exp Chn in Value of Emb Inter Derivat]</v>
      </c>
      <c r="U1011" s="22">
        <v>1006</v>
      </c>
      <c r="W1011" s="13" t="str">
        <f>LOOKUP(1,1/(Table1[[#This Row],[Level_0]:[Level 15]]&gt;0),(Table1[[#This Row],[Level_0]:[Level 15]]))</f>
        <v>8510000000 - [Exp Chn in Value of Emb Inter Derivat]</v>
      </c>
    </row>
    <row r="1012" spans="1:23" hidden="1" x14ac:dyDescent="0.25">
      <c r="A1012">
        <v>8480000000</v>
      </c>
      <c r="B1012" s="16" t="s">
        <v>22037</v>
      </c>
      <c r="C1012" s="16" t="e">
        <f>VLOOKUP(Table1[[#This Row],[Node]],Parent!A:B,2,0)</f>
        <v>#N/A</v>
      </c>
      <c r="D1012" s="25" t="s">
        <v>19346</v>
      </c>
      <c r="E1012" s="26" t="s">
        <v>16544</v>
      </c>
      <c r="F1012" s="27" t="s">
        <v>16830</v>
      </c>
      <c r="G1012" s="27" t="s">
        <v>17468</v>
      </c>
      <c r="H1012" s="27" t="s">
        <v>17520</v>
      </c>
      <c r="I1012" s="27"/>
      <c r="J1012" s="27"/>
      <c r="K1012" s="27"/>
      <c r="L1012" s="27"/>
      <c r="N1012" s="27"/>
      <c r="T1012" s="28" t="str">
        <f>LOOKUP(1,1/(Table1[[#This Row],[Level_0]:[Level 15]]&gt;0),(Table1[[#This Row],[Level_0]:[Level 15]]))</f>
        <v>8480000000 - [Int Exp on Leas Liab]</v>
      </c>
      <c r="U1012" s="22">
        <v>1007</v>
      </c>
      <c r="W1012" s="13" t="str">
        <f>LOOKUP(1,1/(Table1[[#This Row],[Level_0]:[Level 15]]&gt;0),(Table1[[#This Row],[Level_0]:[Level 15]]))</f>
        <v>8480000000 - [Int Exp on Leas Liab]</v>
      </c>
    </row>
    <row r="1013" spans="1:23" hidden="1" x14ac:dyDescent="0.25">
      <c r="A1013">
        <v>8475000000</v>
      </c>
      <c r="B1013" s="16" t="s">
        <v>22036</v>
      </c>
      <c r="C1013" s="16" t="e">
        <f>VLOOKUP(Table1[[#This Row],[Node]],Parent!A:B,2,0)</f>
        <v>#N/A</v>
      </c>
      <c r="D1013" s="25" t="s">
        <v>19346</v>
      </c>
      <c r="E1013" s="26" t="s">
        <v>16544</v>
      </c>
      <c r="F1013" s="27" t="s">
        <v>16830</v>
      </c>
      <c r="G1013" s="27" t="s">
        <v>17468</v>
      </c>
      <c r="H1013" s="27" t="s">
        <v>17521</v>
      </c>
      <c r="I1013" s="27"/>
      <c r="J1013" s="27"/>
      <c r="K1013" s="27"/>
      <c r="L1013" s="27"/>
      <c r="N1013" s="27"/>
      <c r="T1013" s="28" t="str">
        <f>LOOKUP(1,1/(Table1[[#This Row],[Level_0]:[Level 15]]&gt;0),(Table1[[#This Row],[Level_0]:[Level 15]]))</f>
        <v>8475000000 - [Capit Borrowing Costs - Intang Assets]</v>
      </c>
      <c r="U1013" s="22">
        <v>1008</v>
      </c>
      <c r="W1013" s="13" t="str">
        <f>LOOKUP(1,1/(Table1[[#This Row],[Level_0]:[Level 15]]&gt;0),(Table1[[#This Row],[Level_0]:[Level 15]]))</f>
        <v>8475000000 - [Capit Borrowing Costs - Intang Assets]</v>
      </c>
    </row>
    <row r="1014" spans="1:23" hidden="1" x14ac:dyDescent="0.25">
      <c r="A1014">
        <v>8460000000</v>
      </c>
      <c r="B1014" s="16" t="s">
        <v>22033</v>
      </c>
      <c r="C1014" s="16" t="e">
        <f>VLOOKUP(Table1[[#This Row],[Node]],Parent!A:B,2,0)</f>
        <v>#N/A</v>
      </c>
      <c r="D1014" s="25" t="s">
        <v>19346</v>
      </c>
      <c r="E1014" s="26" t="s">
        <v>16544</v>
      </c>
      <c r="F1014" s="27" t="s">
        <v>16830</v>
      </c>
      <c r="G1014" s="27" t="s">
        <v>17468</v>
      </c>
      <c r="H1014" s="27" t="s">
        <v>17522</v>
      </c>
      <c r="I1014" s="27"/>
      <c r="J1014" s="27"/>
      <c r="K1014" s="27"/>
      <c r="L1014" s="27"/>
      <c r="N1014" s="27"/>
      <c r="T1014" s="28" t="str">
        <f>LOOKUP(1,1/(Table1[[#This Row],[Level_0]:[Level 15]]&gt;0),(Table1[[#This Row],[Level_0]:[Level 15]]))</f>
        <v>8460000000 - [Interest Expenses - Pensions]</v>
      </c>
      <c r="U1014" s="22">
        <v>1009</v>
      </c>
      <c r="W1014" s="13" t="str">
        <f>LOOKUP(1,1/(Table1[[#This Row],[Level_0]:[Level 15]]&gt;0),(Table1[[#This Row],[Level_0]:[Level 15]]))</f>
        <v>8460000000 - [Interest Expenses - Pensions]</v>
      </c>
    </row>
    <row r="1015" spans="1:23" hidden="1" x14ac:dyDescent="0.25">
      <c r="A1015">
        <v>8450000000</v>
      </c>
      <c r="B1015" s="16" t="s">
        <v>22032</v>
      </c>
      <c r="C1015" s="16" t="e">
        <f>VLOOKUP(Table1[[#This Row],[Node]],Parent!A:B,2,0)</f>
        <v>#N/A</v>
      </c>
      <c r="D1015" s="25" t="s">
        <v>19346</v>
      </c>
      <c r="E1015" s="26" t="s">
        <v>16544</v>
      </c>
      <c r="F1015" s="27" t="s">
        <v>16830</v>
      </c>
      <c r="G1015" s="27" t="s">
        <v>17468</v>
      </c>
      <c r="H1015" s="27" t="s">
        <v>17523</v>
      </c>
      <c r="I1015" s="27"/>
      <c r="J1015" s="27"/>
      <c r="K1015" s="27"/>
      <c r="L1015" s="27"/>
      <c r="N1015" s="27"/>
      <c r="T1015" s="28" t="str">
        <f>LOOKUP(1,1/(Table1[[#This Row],[Level_0]:[Level 15]]&gt;0),(Table1[[#This Row],[Level_0]:[Level 15]]))</f>
        <v>8450000000 - [Interest Exp Discoun &amp; Reserval of Disc]</v>
      </c>
      <c r="U1015" s="22">
        <v>1010</v>
      </c>
      <c r="W1015" s="13" t="str">
        <f>LOOKUP(1,1/(Table1[[#This Row],[Level_0]:[Level 15]]&gt;0),(Table1[[#This Row],[Level_0]:[Level 15]]))</f>
        <v>8450000000 - [Interest Exp Discoun &amp; Reserval of Disc]</v>
      </c>
    </row>
    <row r="1016" spans="1:23" hidden="1" x14ac:dyDescent="0.25">
      <c r="A1016">
        <v>8440000000</v>
      </c>
      <c r="B1016" s="16" t="s">
        <v>22028</v>
      </c>
      <c r="C1016" s="16" t="e">
        <f>VLOOKUP(Table1[[#This Row],[Node]],Parent!A:B,2,0)</f>
        <v>#N/A</v>
      </c>
      <c r="D1016" s="25" t="s">
        <v>19346</v>
      </c>
      <c r="E1016" s="26" t="s">
        <v>16544</v>
      </c>
      <c r="F1016" s="27" t="s">
        <v>16830</v>
      </c>
      <c r="G1016" s="27" t="s">
        <v>17468</v>
      </c>
      <c r="H1016" s="27" t="s">
        <v>17524</v>
      </c>
      <c r="I1016" s="27"/>
      <c r="J1016" s="27"/>
      <c r="K1016" s="27"/>
      <c r="L1016" s="27"/>
      <c r="N1016" s="27"/>
      <c r="T1016" s="28" t="str">
        <f>LOOKUP(1,1/(Table1[[#This Row],[Level_0]:[Level 15]]&gt;0),(Table1[[#This Row],[Level_0]:[Level 15]]))</f>
        <v>8440000000 - [Int Exp Amor of Prem/Disc Int Bear Instr]</v>
      </c>
      <c r="U1016" s="22">
        <v>1011</v>
      </c>
      <c r="W1016" s="13" t="str">
        <f>LOOKUP(1,1/(Table1[[#This Row],[Level_0]:[Level 15]]&gt;0),(Table1[[#This Row],[Level_0]:[Level 15]]))</f>
        <v>8440000000 - [Int Exp Amor of Prem/Disc Int Bear Instr]</v>
      </c>
    </row>
    <row r="1017" spans="1:23" hidden="1" x14ac:dyDescent="0.25">
      <c r="A1017">
        <v>8430000000</v>
      </c>
      <c r="B1017" s="16" t="s">
        <v>22027</v>
      </c>
      <c r="C1017" s="16" t="e">
        <f>VLOOKUP(Table1[[#This Row],[Node]],Parent!A:B,2,0)</f>
        <v>#N/A</v>
      </c>
      <c r="D1017" s="25" t="s">
        <v>19346</v>
      </c>
      <c r="E1017" s="26" t="s">
        <v>16544</v>
      </c>
      <c r="F1017" s="27" t="s">
        <v>16830</v>
      </c>
      <c r="G1017" s="27" t="s">
        <v>17468</v>
      </c>
      <c r="H1017" s="27" t="s">
        <v>17525</v>
      </c>
      <c r="I1017" s="27"/>
      <c r="J1017" s="27"/>
      <c r="K1017" s="27"/>
      <c r="L1017" s="27"/>
      <c r="N1017" s="27"/>
      <c r="T1017" s="28" t="str">
        <f>LOOKUP(1,1/(Table1[[#This Row],[Level_0]:[Level 15]]&gt;0),(Table1[[#This Row],[Level_0]:[Level 15]]))</f>
        <v>8430000000 - [Interest Expenses (Int Deriv) Accrued]</v>
      </c>
      <c r="U1017" s="22">
        <v>1012</v>
      </c>
      <c r="W1017" s="13" t="str">
        <f>LOOKUP(1,1/(Table1[[#This Row],[Level_0]:[Level 15]]&gt;0),(Table1[[#This Row],[Level_0]:[Level 15]]))</f>
        <v>8430000000 - [Interest Expenses (Int Deriv) Accrued]</v>
      </c>
    </row>
    <row r="1018" spans="1:23" hidden="1" x14ac:dyDescent="0.25">
      <c r="A1018">
        <v>8282000000</v>
      </c>
      <c r="B1018" s="16" t="s">
        <v>22015</v>
      </c>
      <c r="C1018" s="16" t="e">
        <f>VLOOKUP(Table1[[#This Row],[Node]],Parent!A:B,2,0)</f>
        <v>#N/A</v>
      </c>
      <c r="D1018" s="25" t="s">
        <v>19346</v>
      </c>
      <c r="E1018" s="26" t="s">
        <v>16544</v>
      </c>
      <c r="F1018" s="27" t="s">
        <v>16830</v>
      </c>
      <c r="G1018" s="27" t="s">
        <v>17468</v>
      </c>
      <c r="H1018" s="27" t="s">
        <v>17526</v>
      </c>
      <c r="I1018" s="27"/>
      <c r="J1018" s="27"/>
      <c r="K1018" s="27"/>
      <c r="L1018" s="27"/>
      <c r="N1018" s="27"/>
      <c r="T1018" s="28" t="str">
        <f>LOOKUP(1,1/(Table1[[#This Row],[Level_0]:[Level 15]]&gt;0),(Table1[[#This Row],[Level_0]:[Level 15]]))</f>
        <v>8282000000 - [FX Inc Derivative - Financing-Unrealized]</v>
      </c>
      <c r="U1018" s="22">
        <v>1013</v>
      </c>
      <c r="W1018" s="13" t="str">
        <f>LOOKUP(1,1/(Table1[[#This Row],[Level_0]:[Level 15]]&gt;0),(Table1[[#This Row],[Level_0]:[Level 15]]))</f>
        <v>8282000000 - [FX Inc Derivative - Financing-Unrealized]</v>
      </c>
    </row>
    <row r="1019" spans="1:23" hidden="1" x14ac:dyDescent="0.25">
      <c r="A1019">
        <v>8270000000</v>
      </c>
      <c r="B1019" s="16" t="s">
        <v>22008</v>
      </c>
      <c r="C1019" s="16" t="e">
        <f>VLOOKUP(Table1[[#This Row],[Node]],Parent!A:B,2,0)</f>
        <v>#N/A</v>
      </c>
      <c r="D1019" s="25" t="s">
        <v>19346</v>
      </c>
      <c r="E1019" s="26" t="s">
        <v>16544</v>
      </c>
      <c r="F1019" s="27" t="s">
        <v>16830</v>
      </c>
      <c r="G1019" s="27" t="s">
        <v>17468</v>
      </c>
      <c r="H1019" s="27" t="s">
        <v>17527</v>
      </c>
      <c r="I1019" s="27"/>
      <c r="J1019" s="27"/>
      <c r="K1019" s="27"/>
      <c r="L1019" s="27"/>
      <c r="N1019" s="27"/>
      <c r="T1019" s="28" t="str">
        <f>LOOKUP(1,1/(Table1[[#This Row],[Level_0]:[Level 15]]&gt;0),(Table1[[#This Row],[Level_0]:[Level 15]]))</f>
        <v>8270000000 - [Inc Chn TimeVal of Share Based LTIP Prov]</v>
      </c>
      <c r="U1019" s="22">
        <v>1014</v>
      </c>
      <c r="W1019" s="13" t="str">
        <f>LOOKUP(1,1/(Table1[[#This Row],[Level_0]:[Level 15]]&gt;0),(Table1[[#This Row],[Level_0]:[Level 15]]))</f>
        <v>8270000000 - [Inc Chn TimeVal of Share Based LTIP Prov]</v>
      </c>
    </row>
    <row r="1020" spans="1:23" hidden="1" x14ac:dyDescent="0.25">
      <c r="A1020">
        <v>8250000000</v>
      </c>
      <c r="B1020" s="16" t="s">
        <v>22000</v>
      </c>
      <c r="C1020" s="16" t="e">
        <f>VLOOKUP(Table1[[#This Row],[Node]],Parent!A:B,2,0)</f>
        <v>#N/A</v>
      </c>
      <c r="D1020" s="25" t="s">
        <v>19346</v>
      </c>
      <c r="E1020" s="26" t="s">
        <v>16544</v>
      </c>
      <c r="F1020" s="27" t="s">
        <v>16830</v>
      </c>
      <c r="G1020" s="27" t="s">
        <v>17468</v>
      </c>
      <c r="H1020" s="27" t="s">
        <v>17528</v>
      </c>
      <c r="I1020" s="27"/>
      <c r="J1020" s="27"/>
      <c r="K1020" s="27"/>
      <c r="L1020" s="27"/>
      <c r="N1020" s="27"/>
      <c r="T1020" s="28" t="str">
        <f>LOOKUP(1,1/(Table1[[#This Row],[Level_0]:[Level 15]]&gt;0),(Table1[[#This Row],[Level_0]:[Level 15]]))</f>
        <v>8250000000 - [FX Inc - Financing - Unrealized Other]</v>
      </c>
      <c r="U1020" s="22">
        <v>1015</v>
      </c>
      <c r="W1020" s="13" t="str">
        <f>LOOKUP(1,1/(Table1[[#This Row],[Level_0]:[Level 15]]&gt;0),(Table1[[#This Row],[Level_0]:[Level 15]]))</f>
        <v>8250000000 - [FX Inc - Financing - Unrealized Other]</v>
      </c>
    </row>
    <row r="1021" spans="1:23" hidden="1" x14ac:dyDescent="0.25">
      <c r="A1021">
        <v>8210000000</v>
      </c>
      <c r="B1021" s="16" t="s">
        <v>21991</v>
      </c>
      <c r="C1021" s="16" t="e">
        <f>VLOOKUP(Table1[[#This Row],[Node]],Parent!A:B,2,0)</f>
        <v>#N/A</v>
      </c>
      <c r="D1021" s="25" t="s">
        <v>19346</v>
      </c>
      <c r="E1021" s="26" t="s">
        <v>16544</v>
      </c>
      <c r="F1021" s="27" t="s">
        <v>16830</v>
      </c>
      <c r="G1021" s="27" t="s">
        <v>17468</v>
      </c>
      <c r="H1021" s="27" t="s">
        <v>17529</v>
      </c>
      <c r="I1021" s="27"/>
      <c r="J1021" s="27"/>
      <c r="K1021" s="27"/>
      <c r="L1021" s="27"/>
      <c r="N1021" s="27"/>
      <c r="T1021" s="28" t="str">
        <f>LOOKUP(1,1/(Table1[[#This Row],[Level_0]:[Level 15]]&gt;0),(Table1[[#This Row],[Level_0]:[Level 15]]))</f>
        <v>8210000000 - [Inc Change in Val of Emb Int Derivative]</v>
      </c>
      <c r="U1021" s="22">
        <v>1016</v>
      </c>
      <c r="W1021" s="13" t="str">
        <f>LOOKUP(1,1/(Table1[[#This Row],[Level_0]:[Level 15]]&gt;0),(Table1[[#This Row],[Level_0]:[Level 15]]))</f>
        <v>8210000000 - [Inc Change in Val of Emb Int Derivative]</v>
      </c>
    </row>
    <row r="1022" spans="1:23" hidden="1" x14ac:dyDescent="0.25">
      <c r="A1022">
        <v>8160000000</v>
      </c>
      <c r="B1022" s="16" t="s">
        <v>21987</v>
      </c>
      <c r="C1022" s="16" t="e">
        <f>VLOOKUP(Table1[[#This Row],[Node]],Parent!A:B,2,0)</f>
        <v>#N/A</v>
      </c>
      <c r="D1022" s="25" t="s">
        <v>19346</v>
      </c>
      <c r="E1022" s="26" t="s">
        <v>16544</v>
      </c>
      <c r="F1022" s="27" t="s">
        <v>16830</v>
      </c>
      <c r="G1022" s="27" t="s">
        <v>17468</v>
      </c>
      <c r="H1022" s="27" t="s">
        <v>17530</v>
      </c>
      <c r="I1022" s="27"/>
      <c r="J1022" s="27"/>
      <c r="K1022" s="27"/>
      <c r="L1022" s="27"/>
      <c r="N1022" s="27"/>
      <c r="T1022" s="28" t="str">
        <f>LOOKUP(1,1/(Table1[[#This Row],[Level_0]:[Level 15]]&gt;0),(Table1[[#This Row],[Level_0]:[Level 15]]))</f>
        <v>8160000000 - [Interest Income - Plan Assets]</v>
      </c>
      <c r="U1022" s="22">
        <v>1017</v>
      </c>
      <c r="W1022" s="13" t="str">
        <f>LOOKUP(1,1/(Table1[[#This Row],[Level_0]:[Level 15]]&gt;0),(Table1[[#This Row],[Level_0]:[Level 15]]))</f>
        <v>8160000000 - [Interest Income - Plan Assets]</v>
      </c>
    </row>
    <row r="1023" spans="1:23" hidden="1" x14ac:dyDescent="0.25">
      <c r="A1023">
        <v>8150000000</v>
      </c>
      <c r="B1023" s="16" t="s">
        <v>21986</v>
      </c>
      <c r="C1023" s="16" t="e">
        <f>VLOOKUP(Table1[[#This Row],[Node]],Parent!A:B,2,0)</f>
        <v>#N/A</v>
      </c>
      <c r="D1023" s="25" t="s">
        <v>19346</v>
      </c>
      <c r="E1023" s="26" t="s">
        <v>16544</v>
      </c>
      <c r="F1023" s="27" t="s">
        <v>16830</v>
      </c>
      <c r="G1023" s="27" t="s">
        <v>17468</v>
      </c>
      <c r="H1023" s="27" t="s">
        <v>17531</v>
      </c>
      <c r="I1023" s="27"/>
      <c r="J1023" s="27"/>
      <c r="K1023" s="27"/>
      <c r="L1023" s="27"/>
      <c r="N1023" s="27"/>
      <c r="T1023" s="28" t="str">
        <f>LOOKUP(1,1/(Table1[[#This Row],[Level_0]:[Level 15]]&gt;0),(Table1[[#This Row],[Level_0]:[Level 15]]))</f>
        <v>8150000000 - [Interest Income f. Disc &amp; Revers of Disc]</v>
      </c>
      <c r="U1023" s="22">
        <v>1018</v>
      </c>
      <c r="W1023" s="13" t="str">
        <f>LOOKUP(1,1/(Table1[[#This Row],[Level_0]:[Level 15]]&gt;0),(Table1[[#This Row],[Level_0]:[Level 15]]))</f>
        <v>8150000000 - [Interest Income f. Disc &amp; Revers of Disc]</v>
      </c>
    </row>
    <row r="1024" spans="1:23" hidden="1" x14ac:dyDescent="0.25">
      <c r="A1024">
        <v>8140000000</v>
      </c>
      <c r="B1024" s="16" t="s">
        <v>21984</v>
      </c>
      <c r="C1024" s="16" t="e">
        <f>VLOOKUP(Table1[[#This Row],[Node]],Parent!A:B,2,0)</f>
        <v>#N/A</v>
      </c>
      <c r="D1024" s="25" t="s">
        <v>19346</v>
      </c>
      <c r="E1024" s="26" t="s">
        <v>16544</v>
      </c>
      <c r="F1024" s="27" t="s">
        <v>16830</v>
      </c>
      <c r="G1024" s="27" t="s">
        <v>17468</v>
      </c>
      <c r="H1024" s="27" t="s">
        <v>17532</v>
      </c>
      <c r="I1024" s="27"/>
      <c r="J1024" s="27"/>
      <c r="K1024" s="27"/>
      <c r="L1024" s="27"/>
      <c r="N1024" s="27"/>
      <c r="T1024" s="28" t="str">
        <f>LOOKUP(1,1/(Table1[[#This Row],[Level_0]:[Level 15]]&gt;0),(Table1[[#This Row],[Level_0]:[Level 15]]))</f>
        <v>8140000000 - [Int Inc Amor of Prem/Disc Int Bear Instr]</v>
      </c>
      <c r="U1024" s="22">
        <v>1019</v>
      </c>
      <c r="W1024" s="13" t="str">
        <f>LOOKUP(1,1/(Table1[[#This Row],[Level_0]:[Level 15]]&gt;0),(Table1[[#This Row],[Level_0]:[Level 15]]))</f>
        <v>8140000000 - [Int Inc Amor of Prem/Disc Int Bear Instr]</v>
      </c>
    </row>
    <row r="1025" spans="1:23" hidden="1" x14ac:dyDescent="0.25">
      <c r="A1025">
        <v>8120000000</v>
      </c>
      <c r="B1025" s="16" t="s">
        <v>21982</v>
      </c>
      <c r="C1025" s="16" t="e">
        <f>VLOOKUP(Table1[[#This Row],[Node]],Parent!A:B,2,0)</f>
        <v>#N/A</v>
      </c>
      <c r="D1025" s="25" t="s">
        <v>19346</v>
      </c>
      <c r="E1025" s="26" t="s">
        <v>16544</v>
      </c>
      <c r="F1025" s="27" t="s">
        <v>16830</v>
      </c>
      <c r="G1025" s="27" t="s">
        <v>17468</v>
      </c>
      <c r="H1025" s="27" t="s">
        <v>17533</v>
      </c>
      <c r="I1025" s="27"/>
      <c r="J1025" s="27"/>
      <c r="K1025" s="27"/>
      <c r="L1025" s="27"/>
      <c r="N1025" s="27"/>
      <c r="T1025" s="28" t="str">
        <f>LOOKUP(1,1/(Table1[[#This Row],[Level_0]:[Level 15]]&gt;0),(Table1[[#This Row],[Level_0]:[Level 15]]))</f>
        <v>8120000000 - [Interest Income (Int Derivatives) Paid]</v>
      </c>
      <c r="U1025" s="22">
        <v>1020</v>
      </c>
      <c r="W1025" s="13" t="str">
        <f>LOOKUP(1,1/(Table1[[#This Row],[Level_0]:[Level 15]]&gt;0),(Table1[[#This Row],[Level_0]:[Level 15]]))</f>
        <v>8120000000 - [Interest Income (Int Derivatives) Paid]</v>
      </c>
    </row>
    <row r="1026" spans="1:23" hidden="1" x14ac:dyDescent="0.25">
      <c r="A1026">
        <v>8000000000</v>
      </c>
      <c r="B1026" s="16" t="s">
        <v>21967</v>
      </c>
      <c r="C1026" s="16" t="e">
        <f>VLOOKUP(Table1[[#This Row],[Node]],Parent!A:B,2,0)</f>
        <v>#N/A</v>
      </c>
      <c r="D1026" s="25" t="s">
        <v>19346</v>
      </c>
      <c r="E1026" s="26" t="s">
        <v>16544</v>
      </c>
      <c r="F1026" s="27" t="s">
        <v>16830</v>
      </c>
      <c r="G1026" s="27" t="s">
        <v>17468</v>
      </c>
      <c r="H1026" s="27" t="s">
        <v>17534</v>
      </c>
      <c r="I1026" s="27"/>
      <c r="J1026" s="27"/>
      <c r="K1026" s="27"/>
      <c r="L1026" s="27"/>
      <c r="N1026" s="27"/>
      <c r="T1026" s="28" t="str">
        <f>LOOKUP(1,1/(Table1[[#This Row],[Level_0]:[Level 15]]&gt;0),(Table1[[#This Row],[Level_0]:[Level 15]]))</f>
        <v>8000000000 - [Dividend Income]</v>
      </c>
      <c r="U1026" s="22">
        <v>1021</v>
      </c>
      <c r="W1026" s="13" t="str">
        <f>LOOKUP(1,1/(Table1[[#This Row],[Level_0]:[Level 15]]&gt;0),(Table1[[#This Row],[Level_0]:[Level 15]]))</f>
        <v>8000000000 - [Dividend Income]</v>
      </c>
    </row>
    <row r="1027" spans="1:23" hidden="1" x14ac:dyDescent="0.25">
      <c r="A1027">
        <v>5961400000</v>
      </c>
      <c r="B1027" s="16" t="s">
        <v>20596</v>
      </c>
      <c r="C1027" s="16" t="e">
        <f>VLOOKUP(Table1[[#This Row],[Node]],Parent!A:B,2,0)</f>
        <v>#N/A</v>
      </c>
      <c r="D1027" s="25" t="s">
        <v>19346</v>
      </c>
      <c r="E1027" s="26" t="s">
        <v>16544</v>
      </c>
      <c r="F1027" s="27" t="s">
        <v>16830</v>
      </c>
      <c r="G1027" s="27" t="s">
        <v>17468</v>
      </c>
      <c r="H1027" s="27" t="s">
        <v>17535</v>
      </c>
      <c r="I1027" s="27"/>
      <c r="J1027" s="27"/>
      <c r="K1027" s="27"/>
      <c r="L1027" s="27"/>
      <c r="N1027" s="27"/>
      <c r="T1027" s="28" t="str">
        <f>LOOKUP(1,1/(Table1[[#This Row],[Level_0]:[Level 15]]&gt;0),(Table1[[#This Row],[Level_0]:[Level 15]]))</f>
        <v>5961400000 - [Oth Miscell Exp - Factoring Exp]</v>
      </c>
      <c r="U1027" s="22">
        <v>1022</v>
      </c>
      <c r="W1027" s="13" t="str">
        <f>LOOKUP(1,1/(Table1[[#This Row],[Level_0]:[Level 15]]&gt;0),(Table1[[#This Row],[Level_0]:[Level 15]]))</f>
        <v>5961400000 - [Oth Miscell Exp - Factoring Exp]</v>
      </c>
    </row>
    <row r="1028" spans="1:23" hidden="1" x14ac:dyDescent="0.25">
      <c r="A1028">
        <v>5945000000</v>
      </c>
      <c r="B1028" s="16" t="s">
        <v>20563</v>
      </c>
      <c r="C1028" s="16" t="e">
        <f>VLOOKUP(Table1[[#This Row],[Node]],Parent!A:B,2,0)</f>
        <v>#N/A</v>
      </c>
      <c r="D1028" s="25" t="s">
        <v>19346</v>
      </c>
      <c r="E1028" s="26" t="s">
        <v>16544</v>
      </c>
      <c r="F1028" s="27" t="s">
        <v>16830</v>
      </c>
      <c r="G1028" s="27" t="s">
        <v>17468</v>
      </c>
      <c r="H1028" s="27" t="s">
        <v>17536</v>
      </c>
      <c r="I1028" s="27"/>
      <c r="J1028" s="27"/>
      <c r="K1028" s="27"/>
      <c r="L1028" s="27"/>
      <c r="N1028" s="27"/>
      <c r="T1028" s="28" t="str">
        <f>LOOKUP(1,1/(Table1[[#This Row],[Level_0]:[Level 15]]&gt;0),(Table1[[#This Row],[Level_0]:[Level 15]]))</f>
        <v>5945000000 - [FX Exp Settl-Op-ZeroCostCurrOpt-CHF-Real]</v>
      </c>
      <c r="U1028" s="22">
        <v>1023</v>
      </c>
      <c r="W1028" s="13" t="str">
        <f>LOOKUP(1,1/(Table1[[#This Row],[Level_0]:[Level 15]]&gt;0),(Table1[[#This Row],[Level_0]:[Level 15]]))</f>
        <v>5945000000 - [FX Exp Settl-Op-ZeroCostCurrOpt-CHF-Real]</v>
      </c>
    </row>
    <row r="1029" spans="1:23" hidden="1" x14ac:dyDescent="0.25">
      <c r="A1029">
        <v>5944200000</v>
      </c>
      <c r="B1029" s="16" t="s">
        <v>20562</v>
      </c>
      <c r="C1029" s="16" t="e">
        <f>VLOOKUP(Table1[[#This Row],[Node]],Parent!A:B,2,0)</f>
        <v>#N/A</v>
      </c>
      <c r="D1029" s="25" t="s">
        <v>19346</v>
      </c>
      <c r="E1029" s="26" t="s">
        <v>16544</v>
      </c>
      <c r="F1029" s="27" t="s">
        <v>16830</v>
      </c>
      <c r="G1029" s="27" t="s">
        <v>17468</v>
      </c>
      <c r="H1029" s="27" t="s">
        <v>17537</v>
      </c>
      <c r="I1029" s="27"/>
      <c r="J1029" s="27"/>
      <c r="K1029" s="27"/>
      <c r="L1029" s="27"/>
      <c r="N1029" s="27"/>
      <c r="T1029" s="28" t="str">
        <f>LOOKUP(1,1/(Table1[[#This Row],[Level_0]:[Level 15]]&gt;0),(Table1[[#This Row],[Level_0]:[Level 15]]))</f>
        <v>5944200000 - [Exp FX Val-Derivatives-Unrealized]</v>
      </c>
      <c r="U1029" s="22">
        <v>1024</v>
      </c>
      <c r="W1029" s="13" t="str">
        <f>LOOKUP(1,1/(Table1[[#This Row],[Level_0]:[Level 15]]&gt;0),(Table1[[#This Row],[Level_0]:[Level 15]]))</f>
        <v>5944200000 - [Exp FX Val-Derivatives-Unrealized]</v>
      </c>
    </row>
    <row r="1030" spans="1:23" hidden="1" x14ac:dyDescent="0.25">
      <c r="A1030">
        <v>5944000000</v>
      </c>
      <c r="B1030" s="16" t="s">
        <v>20561</v>
      </c>
      <c r="C1030" s="16" t="e">
        <f>VLOOKUP(Table1[[#This Row],[Node]],Parent!A:B,2,0)</f>
        <v>#N/A</v>
      </c>
      <c r="D1030" s="25" t="s">
        <v>19346</v>
      </c>
      <c r="E1030" s="26" t="s">
        <v>16544</v>
      </c>
      <c r="F1030" s="27" t="s">
        <v>16830</v>
      </c>
      <c r="G1030" s="27" t="s">
        <v>17468</v>
      </c>
      <c r="H1030" s="27" t="s">
        <v>17538</v>
      </c>
      <c r="I1030" s="27"/>
      <c r="J1030" s="27"/>
      <c r="K1030" s="27"/>
      <c r="L1030" s="27"/>
      <c r="N1030" s="27"/>
      <c r="T1030" s="28" t="str">
        <f>LOOKUP(1,1/(Table1[[#This Row],[Level_0]:[Level 15]]&gt;0),(Table1[[#This Row],[Level_0]:[Level 15]]))</f>
        <v>5944000000 - [Exp FX Diff-Derivatives-Realized]</v>
      </c>
      <c r="U1030" s="22">
        <v>1025</v>
      </c>
      <c r="W1030" s="13" t="str">
        <f>LOOKUP(1,1/(Table1[[#This Row],[Level_0]:[Level 15]]&gt;0),(Table1[[#This Row],[Level_0]:[Level 15]]))</f>
        <v>5944000000 - [Exp FX Diff-Derivatives-Realized]</v>
      </c>
    </row>
    <row r="1031" spans="1:23" hidden="1" x14ac:dyDescent="0.25">
      <c r="A1031">
        <v>5941300000</v>
      </c>
      <c r="B1031" s="16" t="s">
        <v>20556</v>
      </c>
      <c r="C1031" s="16" t="e">
        <f>VLOOKUP(Table1[[#This Row],[Node]],Parent!A:B,2,0)</f>
        <v>#N/A</v>
      </c>
      <c r="D1031" s="25" t="s">
        <v>19346</v>
      </c>
      <c r="E1031" s="26" t="s">
        <v>16544</v>
      </c>
      <c r="F1031" s="27" t="s">
        <v>16830</v>
      </c>
      <c r="G1031" s="27" t="s">
        <v>17468</v>
      </c>
      <c r="H1031" s="27" t="s">
        <v>17539</v>
      </c>
      <c r="I1031" s="27"/>
      <c r="J1031" s="27"/>
      <c r="K1031" s="27"/>
      <c r="L1031" s="27"/>
      <c r="N1031" s="27"/>
      <c r="T1031" s="28" t="str">
        <f>LOOKUP(1,1/(Table1[[#This Row],[Level_0]:[Level 15]]&gt;0),(Table1[[#This Row],[Level_0]:[Level 15]]))</f>
        <v>5941300000 - [FX Exp Reval-Oper-Deriv-CFH-Result-Unrel]</v>
      </c>
      <c r="U1031" s="22">
        <v>1026</v>
      </c>
      <c r="W1031" s="13" t="str">
        <f>LOOKUP(1,1/(Table1[[#This Row],[Level_0]:[Level 15]]&gt;0),(Table1[[#This Row],[Level_0]:[Level 15]]))</f>
        <v>5941300000 - [FX Exp Reval-Oper-Deriv-CFH-Result-Unrel]</v>
      </c>
    </row>
    <row r="1032" spans="1:23" hidden="1" x14ac:dyDescent="0.25">
      <c r="A1032">
        <v>5941200000</v>
      </c>
      <c r="B1032" s="16" t="s">
        <v>20555</v>
      </c>
      <c r="C1032" s="16" t="e">
        <f>VLOOKUP(Table1[[#This Row],[Node]],Parent!A:B,2,0)</f>
        <v>#N/A</v>
      </c>
      <c r="D1032" s="25" t="s">
        <v>19346</v>
      </c>
      <c r="E1032" s="26" t="s">
        <v>16544</v>
      </c>
      <c r="F1032" s="27" t="s">
        <v>16830</v>
      </c>
      <c r="G1032" s="27" t="s">
        <v>17468</v>
      </c>
      <c r="H1032" s="27" t="s">
        <v>17540</v>
      </c>
      <c r="I1032" s="27"/>
      <c r="J1032" s="27"/>
      <c r="K1032" s="27"/>
      <c r="L1032" s="27"/>
      <c r="N1032" s="27"/>
      <c r="T1032" s="28" t="str">
        <f>LOOKUP(1,1/(Table1[[#This Row],[Level_0]:[Level 15]]&gt;0),(Table1[[#This Row],[Level_0]:[Level 15]]))</f>
        <v>5941200000 - [Exp from FX Val - CF-Hedges - Unrealized]</v>
      </c>
      <c r="U1032" s="22">
        <v>1027</v>
      </c>
      <c r="W1032" s="13" t="str">
        <f>LOOKUP(1,1/(Table1[[#This Row],[Level_0]:[Level 15]]&gt;0),(Table1[[#This Row],[Level_0]:[Level 15]]))</f>
        <v>5941200000 - [Exp from FX Val - CF-Hedges - Unrealized]</v>
      </c>
    </row>
    <row r="1033" spans="1:23" hidden="1" x14ac:dyDescent="0.25">
      <c r="A1033">
        <v>5941000000</v>
      </c>
      <c r="B1033" s="16" t="s">
        <v>20554</v>
      </c>
      <c r="C1033" s="16" t="e">
        <f>VLOOKUP(Table1[[#This Row],[Node]],Parent!A:B,2,0)</f>
        <v>#N/A</v>
      </c>
      <c r="D1033" s="25" t="s">
        <v>19346</v>
      </c>
      <c r="E1033" s="26" t="s">
        <v>16544</v>
      </c>
      <c r="F1033" s="27" t="s">
        <v>16830</v>
      </c>
      <c r="G1033" s="27" t="s">
        <v>17468</v>
      </c>
      <c r="H1033" s="27" t="s">
        <v>17541</v>
      </c>
      <c r="I1033" s="27"/>
      <c r="J1033" s="27"/>
      <c r="K1033" s="27"/>
      <c r="L1033" s="27"/>
      <c r="N1033" s="27"/>
      <c r="T1033" s="28" t="str">
        <f>LOOKUP(1,1/(Table1[[#This Row],[Level_0]:[Level 15]]&gt;0),(Table1[[#This Row],[Level_0]:[Level 15]]))</f>
        <v>5941000000 - [Exp from FX Diff - CF-Hedges - Realized]</v>
      </c>
      <c r="U1033" s="22">
        <v>1028</v>
      </c>
      <c r="W1033" s="13" t="str">
        <f>LOOKUP(1,1/(Table1[[#This Row],[Level_0]:[Level 15]]&gt;0),(Table1[[#This Row],[Level_0]:[Level 15]]))</f>
        <v>5941000000 - [Exp from FX Diff - CF-Hedges - Realized]</v>
      </c>
    </row>
    <row r="1034" spans="1:23" hidden="1" x14ac:dyDescent="0.25">
      <c r="A1034">
        <v>5931100000</v>
      </c>
      <c r="B1034" s="16" t="s">
        <v>20548</v>
      </c>
      <c r="C1034" s="16" t="e">
        <f>VLOOKUP(Table1[[#This Row],[Node]],Parent!A:B,2,0)</f>
        <v>#N/A</v>
      </c>
      <c r="D1034" s="25" t="s">
        <v>19346</v>
      </c>
      <c r="E1034" s="26" t="s">
        <v>16544</v>
      </c>
      <c r="F1034" s="27" t="s">
        <v>16830</v>
      </c>
      <c r="G1034" s="27" t="s">
        <v>17468</v>
      </c>
      <c r="H1034" s="27" t="s">
        <v>17542</v>
      </c>
      <c r="I1034" s="27"/>
      <c r="J1034" s="27"/>
      <c r="K1034" s="27"/>
      <c r="L1034" s="27"/>
      <c r="N1034" s="27"/>
      <c r="T1034" s="28" t="str">
        <f>LOOKUP(1,1/(Table1[[#This Row],[Level_0]:[Level 15]]&gt;0),(Table1[[#This Row],[Level_0]:[Level 15]]))</f>
        <v>5931100000 - [Impairment of FinAssets-DebtInstAC]</v>
      </c>
      <c r="U1034" s="22">
        <v>1029</v>
      </c>
      <c r="W1034" s="13" t="str">
        <f>LOOKUP(1,1/(Table1[[#This Row],[Level_0]:[Level 15]]&gt;0),(Table1[[#This Row],[Level_0]:[Level 15]]))</f>
        <v>5931100000 - [Impairment of FinAssets-DebtInstAC]</v>
      </c>
    </row>
    <row r="1035" spans="1:23" hidden="1" x14ac:dyDescent="0.25">
      <c r="A1035">
        <v>5925720000</v>
      </c>
      <c r="B1035" s="16" t="s">
        <v>20540</v>
      </c>
      <c r="C1035" s="16" t="e">
        <f>VLOOKUP(Table1[[#This Row],[Node]],Parent!A:B,2,0)</f>
        <v>#N/A</v>
      </c>
      <c r="D1035" s="25" t="s">
        <v>19346</v>
      </c>
      <c r="E1035" s="26" t="s">
        <v>16544</v>
      </c>
      <c r="F1035" s="27" t="s">
        <v>16830</v>
      </c>
      <c r="G1035" s="27" t="s">
        <v>17468</v>
      </c>
      <c r="H1035" s="27" t="s">
        <v>17543</v>
      </c>
      <c r="I1035" s="27"/>
      <c r="J1035" s="27"/>
      <c r="K1035" s="27"/>
      <c r="L1035" s="27"/>
      <c r="N1035" s="27"/>
      <c r="T1035" s="28" t="str">
        <f>LOOKUP(1,1/(Table1[[#This Row],[Level_0]:[Level 15]]&gt;0),(Table1[[#This Row],[Level_0]:[Level 15]]))</f>
        <v>5925720000 - [Los f. FairValChangesOperDerivtFVtPL-UR]</v>
      </c>
      <c r="U1035" s="22">
        <v>1030</v>
      </c>
      <c r="W1035" s="13" t="str">
        <f>LOOKUP(1,1/(Table1[[#This Row],[Level_0]:[Level 15]]&gt;0),(Table1[[#This Row],[Level_0]:[Level 15]]))</f>
        <v>5925720000 - [Los f. FairValChangesOperDerivtFVtPL-UR]</v>
      </c>
    </row>
    <row r="1036" spans="1:23" hidden="1" x14ac:dyDescent="0.25">
      <c r="A1036">
        <v>5925320000</v>
      </c>
      <c r="B1036" s="16" t="s">
        <v>20535</v>
      </c>
      <c r="C1036" s="16" t="e">
        <f>VLOOKUP(Table1[[#This Row],[Node]],Parent!A:B,2,0)</f>
        <v>#N/A</v>
      </c>
      <c r="D1036" s="25" t="s">
        <v>19346</v>
      </c>
      <c r="E1036" s="26" t="s">
        <v>16544</v>
      </c>
      <c r="F1036" s="27" t="s">
        <v>16830</v>
      </c>
      <c r="G1036" s="27" t="s">
        <v>17468</v>
      </c>
      <c r="H1036" s="27" t="s">
        <v>17544</v>
      </c>
      <c r="I1036" s="27"/>
      <c r="J1036" s="27"/>
      <c r="K1036" s="27"/>
      <c r="L1036" s="27"/>
      <c r="N1036" s="27"/>
      <c r="T1036" s="28" t="str">
        <f>LOOKUP(1,1/(Table1[[#This Row],[Level_0]:[Level 15]]&gt;0),(Table1[[#This Row],[Level_0]:[Level 15]]))</f>
        <v>5925320000 - [Los f. FairValChanges Debt Inst FVtPL-UR]</v>
      </c>
      <c r="U1036" s="22">
        <v>1031</v>
      </c>
      <c r="W1036" s="13" t="str">
        <f>LOOKUP(1,1/(Table1[[#This Row],[Level_0]:[Level 15]]&gt;0),(Table1[[#This Row],[Level_0]:[Level 15]]))</f>
        <v>5925320000 - [Los f. FairValChanges Debt Inst FVtPL-UR]</v>
      </c>
    </row>
    <row r="1037" spans="1:23" hidden="1" x14ac:dyDescent="0.25">
      <c r="A1037">
        <v>5444000000</v>
      </c>
      <c r="B1037" s="16" t="s">
        <v>20296</v>
      </c>
      <c r="C1037" s="16" t="e">
        <f>VLOOKUP(Table1[[#This Row],[Node]],Parent!A:B,2,0)</f>
        <v>#N/A</v>
      </c>
      <c r="D1037" s="25" t="s">
        <v>19346</v>
      </c>
      <c r="E1037" s="26" t="s">
        <v>16544</v>
      </c>
      <c r="F1037" s="27" t="s">
        <v>16830</v>
      </c>
      <c r="G1037" s="27" t="s">
        <v>17468</v>
      </c>
      <c r="H1037" s="27" t="s">
        <v>17545</v>
      </c>
      <c r="I1037" s="27"/>
      <c r="J1037" s="27"/>
      <c r="K1037" s="27"/>
      <c r="L1037" s="27"/>
      <c r="N1037" s="27"/>
      <c r="T1037" s="28" t="str">
        <f>LOOKUP(1,1/(Table1[[#This Row],[Level_0]:[Level 15]]&gt;0),(Table1[[#This Row],[Level_0]:[Level 15]]))</f>
        <v>5444000000 - [Profit Share Expenses]</v>
      </c>
      <c r="U1037" s="22">
        <v>1032</v>
      </c>
      <c r="W1037" s="13" t="str">
        <f>LOOKUP(1,1/(Table1[[#This Row],[Level_0]:[Level 15]]&gt;0),(Table1[[#This Row],[Level_0]:[Level 15]]))</f>
        <v>5444000000 - [Profit Share Expenses]</v>
      </c>
    </row>
    <row r="1038" spans="1:23" hidden="1" x14ac:dyDescent="0.25">
      <c r="A1038">
        <v>3945000000</v>
      </c>
      <c r="B1038" s="16" t="s">
        <v>19711</v>
      </c>
      <c r="C1038" s="16" t="e">
        <f>VLOOKUP(Table1[[#This Row],[Node]],Parent!A:B,2,0)</f>
        <v>#N/A</v>
      </c>
      <c r="D1038" s="25" t="s">
        <v>19346</v>
      </c>
      <c r="E1038" s="26" t="s">
        <v>16544</v>
      </c>
      <c r="F1038" s="27" t="s">
        <v>16830</v>
      </c>
      <c r="G1038" s="27" t="s">
        <v>17468</v>
      </c>
      <c r="H1038" s="27" t="s">
        <v>17546</v>
      </c>
      <c r="I1038" s="27"/>
      <c r="J1038" s="27"/>
      <c r="K1038" s="27"/>
      <c r="L1038" s="27"/>
      <c r="N1038" s="27"/>
      <c r="T1038" s="28" t="str">
        <f>LOOKUP(1,1/(Table1[[#This Row],[Level_0]:[Level 15]]&gt;0),(Table1[[#This Row],[Level_0]:[Level 15]]))</f>
        <v>3945000000 - [FX Inc Settl-Op-ZeroCostCurrOpt-CFH-Real]</v>
      </c>
      <c r="U1038" s="22">
        <v>1033</v>
      </c>
      <c r="W1038" s="13" t="str">
        <f>LOOKUP(1,1/(Table1[[#This Row],[Level_0]:[Level 15]]&gt;0),(Table1[[#This Row],[Level_0]:[Level 15]]))</f>
        <v>3945000000 - [FX Inc Settl-Op-ZeroCostCurrOpt-CFH-Real]</v>
      </c>
    </row>
    <row r="1039" spans="1:23" hidden="1" x14ac:dyDescent="0.25">
      <c r="A1039">
        <v>3944200000</v>
      </c>
      <c r="B1039" s="16" t="s">
        <v>19710</v>
      </c>
      <c r="C1039" s="16" t="e">
        <f>VLOOKUP(Table1[[#This Row],[Node]],Parent!A:B,2,0)</f>
        <v>#N/A</v>
      </c>
      <c r="D1039" s="25" t="s">
        <v>19346</v>
      </c>
      <c r="E1039" s="26" t="s">
        <v>16544</v>
      </c>
      <c r="F1039" s="27" t="s">
        <v>16830</v>
      </c>
      <c r="G1039" s="27" t="s">
        <v>17468</v>
      </c>
      <c r="H1039" s="27" t="s">
        <v>17547</v>
      </c>
      <c r="I1039" s="27"/>
      <c r="J1039" s="27"/>
      <c r="K1039" s="27"/>
      <c r="L1039" s="27"/>
      <c r="N1039" s="27"/>
      <c r="T1039" s="28" t="str">
        <f>LOOKUP(1,1/(Table1[[#This Row],[Level_0]:[Level 15]]&gt;0),(Table1[[#This Row],[Level_0]:[Level 15]]))</f>
        <v>3944200000 - [Inc fr FX Val - Derivatives- Unreal]</v>
      </c>
      <c r="U1039" s="22">
        <v>1034</v>
      </c>
      <c r="W1039" s="13" t="str">
        <f>LOOKUP(1,1/(Table1[[#This Row],[Level_0]:[Level 15]]&gt;0),(Table1[[#This Row],[Level_0]:[Level 15]]))</f>
        <v>3944200000 - [Inc fr FX Val - Derivatives- Unreal]</v>
      </c>
    </row>
    <row r="1040" spans="1:23" hidden="1" x14ac:dyDescent="0.25">
      <c r="A1040">
        <v>3944000000</v>
      </c>
      <c r="B1040" s="16" t="s">
        <v>19709</v>
      </c>
      <c r="C1040" s="16" t="e">
        <f>VLOOKUP(Table1[[#This Row],[Node]],Parent!A:B,2,0)</f>
        <v>#N/A</v>
      </c>
      <c r="D1040" s="25" t="s">
        <v>19346</v>
      </c>
      <c r="E1040" s="26" t="s">
        <v>16544</v>
      </c>
      <c r="F1040" s="27" t="s">
        <v>16830</v>
      </c>
      <c r="G1040" s="27" t="s">
        <v>17468</v>
      </c>
      <c r="H1040" s="27" t="s">
        <v>17548</v>
      </c>
      <c r="I1040" s="27"/>
      <c r="J1040" s="27"/>
      <c r="K1040" s="27"/>
      <c r="L1040" s="27"/>
      <c r="N1040" s="27"/>
      <c r="T1040" s="28" t="str">
        <f>LOOKUP(1,1/(Table1[[#This Row],[Level_0]:[Level 15]]&gt;0),(Table1[[#This Row],[Level_0]:[Level 15]]))</f>
        <v>3944000000 - [Inc fr FX Diff - Derivatives - Real]</v>
      </c>
      <c r="U1040" s="22">
        <v>1035</v>
      </c>
      <c r="W1040" s="13" t="str">
        <f>LOOKUP(1,1/(Table1[[#This Row],[Level_0]:[Level 15]]&gt;0),(Table1[[#This Row],[Level_0]:[Level 15]]))</f>
        <v>3944000000 - [Inc fr FX Diff - Derivatives - Real]</v>
      </c>
    </row>
    <row r="1041" spans="1:23" hidden="1" x14ac:dyDescent="0.25">
      <c r="A1041">
        <v>3941200000</v>
      </c>
      <c r="B1041" s="16" t="s">
        <v>19704</v>
      </c>
      <c r="C1041" s="16" t="e">
        <f>VLOOKUP(Table1[[#This Row],[Node]],Parent!A:B,2,0)</f>
        <v>#N/A</v>
      </c>
      <c r="D1041" s="25" t="s">
        <v>19346</v>
      </c>
      <c r="E1041" s="26" t="s">
        <v>16544</v>
      </c>
      <c r="F1041" s="27" t="s">
        <v>16830</v>
      </c>
      <c r="G1041" s="27" t="s">
        <v>17468</v>
      </c>
      <c r="H1041" s="27" t="s">
        <v>17549</v>
      </c>
      <c r="I1041" s="27"/>
      <c r="J1041" s="27"/>
      <c r="K1041" s="27"/>
      <c r="L1041" s="27"/>
      <c r="N1041" s="27"/>
      <c r="T1041" s="28" t="str">
        <f>LOOKUP(1,1/(Table1[[#This Row],[Level_0]:[Level 15]]&gt;0),(Table1[[#This Row],[Level_0]:[Level 15]]))</f>
        <v>3941200000 - [Inc fr FX Val - CF-Hedges - Unrealized]</v>
      </c>
      <c r="U1041" s="22">
        <v>1036</v>
      </c>
      <c r="W1041" s="13" t="str">
        <f>LOOKUP(1,1/(Table1[[#This Row],[Level_0]:[Level 15]]&gt;0),(Table1[[#This Row],[Level_0]:[Level 15]]))</f>
        <v>3941200000 - [Inc fr FX Val - CF-Hedges - Unrealized]</v>
      </c>
    </row>
    <row r="1042" spans="1:23" hidden="1" x14ac:dyDescent="0.25">
      <c r="A1042">
        <v>3941000000</v>
      </c>
      <c r="B1042" s="16" t="s">
        <v>19703</v>
      </c>
      <c r="C1042" s="16" t="e">
        <f>VLOOKUP(Table1[[#This Row],[Node]],Parent!A:B,2,0)</f>
        <v>#N/A</v>
      </c>
      <c r="D1042" s="25" t="s">
        <v>19346</v>
      </c>
      <c r="E1042" s="26" t="s">
        <v>16544</v>
      </c>
      <c r="F1042" s="27" t="s">
        <v>16830</v>
      </c>
      <c r="G1042" s="27" t="s">
        <v>17468</v>
      </c>
      <c r="H1042" s="27" t="s">
        <v>17550</v>
      </c>
      <c r="I1042" s="27"/>
      <c r="J1042" s="27"/>
      <c r="K1042" s="27"/>
      <c r="L1042" s="27"/>
      <c r="N1042" s="27"/>
      <c r="T1042" s="28" t="str">
        <f>LOOKUP(1,1/(Table1[[#This Row],[Level_0]:[Level 15]]&gt;0),(Table1[[#This Row],[Level_0]:[Level 15]]))</f>
        <v>3941000000 - [Inc fr FX Diff - CF-Hedges - Realized]</v>
      </c>
      <c r="U1042" s="22">
        <v>1037</v>
      </c>
      <c r="W1042" s="13" t="str">
        <f>LOOKUP(1,1/(Table1[[#This Row],[Level_0]:[Level 15]]&gt;0),(Table1[[#This Row],[Level_0]:[Level 15]]))</f>
        <v>3941000000 - [Inc fr FX Diff - CF-Hedges - Realized]</v>
      </c>
    </row>
    <row r="1043" spans="1:23" hidden="1" x14ac:dyDescent="0.25">
      <c r="A1043">
        <v>3926000000</v>
      </c>
      <c r="B1043" s="16" t="s">
        <v>19692</v>
      </c>
      <c r="C1043" s="16" t="e">
        <f>VLOOKUP(Table1[[#This Row],[Node]],Parent!A:B,2,0)</f>
        <v>#N/A</v>
      </c>
      <c r="D1043" s="25" t="s">
        <v>19346</v>
      </c>
      <c r="E1043" s="26" t="s">
        <v>16544</v>
      </c>
      <c r="F1043" s="27" t="s">
        <v>16830</v>
      </c>
      <c r="G1043" s="27" t="s">
        <v>17468</v>
      </c>
      <c r="H1043" s="27" t="s">
        <v>17551</v>
      </c>
      <c r="I1043" s="27"/>
      <c r="J1043" s="27"/>
      <c r="K1043" s="27"/>
      <c r="L1043" s="27"/>
      <c r="N1043" s="27"/>
      <c r="T1043" s="28" t="str">
        <f>LOOKUP(1,1/(Table1[[#This Row],[Level_0]:[Level 15]]&gt;0),(Table1[[#This Row],[Level_0]:[Level 15]]))</f>
        <v>3926000000 - [Income f. FairValChangesContCon-OP]</v>
      </c>
      <c r="U1043" s="22">
        <v>1038</v>
      </c>
      <c r="W1043" s="13" t="str">
        <f>LOOKUP(1,1/(Table1[[#This Row],[Level_0]:[Level 15]]&gt;0),(Table1[[#This Row],[Level_0]:[Level 15]]))</f>
        <v>3926000000 - [Income f. FairValChangesContCon-OP]</v>
      </c>
    </row>
    <row r="1044" spans="1:23" hidden="1" x14ac:dyDescent="0.25">
      <c r="A1044">
        <v>3925720000</v>
      </c>
      <c r="B1044" s="16" t="s">
        <v>19691</v>
      </c>
      <c r="C1044" s="16" t="e">
        <f>VLOOKUP(Table1[[#This Row],[Node]],Parent!A:B,2,0)</f>
        <v>#N/A</v>
      </c>
      <c r="D1044" s="25" t="s">
        <v>19346</v>
      </c>
      <c r="E1044" s="26" t="s">
        <v>16544</v>
      </c>
      <c r="F1044" s="27" t="s">
        <v>16830</v>
      </c>
      <c r="G1044" s="27" t="s">
        <v>17468</v>
      </c>
      <c r="H1044" s="27" t="s">
        <v>17552</v>
      </c>
      <c r="I1044" s="27"/>
      <c r="J1044" s="27"/>
      <c r="K1044" s="27"/>
      <c r="L1044" s="27"/>
      <c r="N1044" s="27"/>
      <c r="T1044" s="28" t="str">
        <f>LOOKUP(1,1/(Table1[[#This Row],[Level_0]:[Level 15]]&gt;0),(Table1[[#This Row],[Level_0]:[Level 15]]))</f>
        <v>3925720000 - [Gain f. FairValChangesOperDerFVtPL-UR]</v>
      </c>
      <c r="U1044" s="22">
        <v>1039</v>
      </c>
      <c r="W1044" s="13" t="str">
        <f>LOOKUP(1,1/(Table1[[#This Row],[Level_0]:[Level 15]]&gt;0),(Table1[[#This Row],[Level_0]:[Level 15]]))</f>
        <v>3925720000 - [Gain f. FairValChangesOperDerFVtPL-UR]</v>
      </c>
    </row>
    <row r="1045" spans="1:23" hidden="1" x14ac:dyDescent="0.25">
      <c r="A1045">
        <v>3925320000</v>
      </c>
      <c r="B1045" s="16" t="s">
        <v>19684</v>
      </c>
      <c r="C1045" s="16" t="e">
        <f>VLOOKUP(Table1[[#This Row],[Node]],Parent!A:B,2,0)</f>
        <v>#N/A</v>
      </c>
      <c r="D1045" s="25" t="s">
        <v>19346</v>
      </c>
      <c r="E1045" s="26" t="s">
        <v>16544</v>
      </c>
      <c r="F1045" s="27" t="s">
        <v>16830</v>
      </c>
      <c r="G1045" s="27" t="s">
        <v>17468</v>
      </c>
      <c r="H1045" s="27" t="s">
        <v>17553</v>
      </c>
      <c r="I1045" s="27"/>
      <c r="J1045" s="27"/>
      <c r="K1045" s="27"/>
      <c r="L1045" s="27"/>
      <c r="N1045" s="27"/>
      <c r="T1045" s="28" t="str">
        <f>LOOKUP(1,1/(Table1[[#This Row],[Level_0]:[Level 15]]&gt;0),(Table1[[#This Row],[Level_0]:[Level 15]]))</f>
        <v>3925320000 - [Gain f. FairValChangesDebt Inst FVtPL-UR]</v>
      </c>
      <c r="U1045" s="22">
        <v>1040</v>
      </c>
      <c r="W1045" s="13" t="str">
        <f>LOOKUP(1,1/(Table1[[#This Row],[Level_0]:[Level 15]]&gt;0),(Table1[[#This Row],[Level_0]:[Level 15]]))</f>
        <v>3925320000 - [Gain f. FairValChangesDebt Inst FVtPL-UR]</v>
      </c>
    </row>
    <row r="1046" spans="1:23" hidden="1" x14ac:dyDescent="0.25">
      <c r="A1046">
        <v>3925300000</v>
      </c>
      <c r="B1046" s="16" t="s">
        <v>19683</v>
      </c>
      <c r="C1046" s="16" t="e">
        <f>VLOOKUP(Table1[[#This Row],[Node]],Parent!A:B,2,0)</f>
        <v>#N/A</v>
      </c>
      <c r="D1046" s="25" t="s">
        <v>19346</v>
      </c>
      <c r="E1046" s="26" t="s">
        <v>16544</v>
      </c>
      <c r="F1046" s="27" t="s">
        <v>16830</v>
      </c>
      <c r="G1046" s="27" t="s">
        <v>17468</v>
      </c>
      <c r="H1046" s="27" t="s">
        <v>17554</v>
      </c>
      <c r="I1046" s="27"/>
      <c r="J1046" s="27"/>
      <c r="K1046" s="27"/>
      <c r="L1046" s="27"/>
      <c r="N1046" s="27"/>
      <c r="T1046" s="28" t="str">
        <f>LOOKUP(1,1/(Table1[[#This Row],[Level_0]:[Level 15]]&gt;0),(Table1[[#This Row],[Level_0]:[Level 15]]))</f>
        <v>3925300000 - [Gain f. FairValChangesDebt Inst FVtPL-Re]</v>
      </c>
      <c r="U1046" s="22">
        <v>1041</v>
      </c>
      <c r="W1046" s="13" t="str">
        <f>LOOKUP(1,1/(Table1[[#This Row],[Level_0]:[Level 15]]&gt;0),(Table1[[#This Row],[Level_0]:[Level 15]]))</f>
        <v>3925300000 - [Gain f. FairValChangesDebt Inst FVtPL-Re]</v>
      </c>
    </row>
    <row r="1047" spans="1:23" hidden="1" x14ac:dyDescent="0.25">
      <c r="A1047">
        <v>3318500000</v>
      </c>
      <c r="B1047" s="16" t="s">
        <v>19664</v>
      </c>
      <c r="C1047" s="16" t="e">
        <f>VLOOKUP(Table1[[#This Row],[Node]],Parent!A:B,2,0)</f>
        <v>#N/A</v>
      </c>
      <c r="D1047" s="25" t="s">
        <v>19346</v>
      </c>
      <c r="E1047" s="26" t="s">
        <v>16544</v>
      </c>
      <c r="F1047" s="27" t="s">
        <v>16830</v>
      </c>
      <c r="G1047" s="27" t="s">
        <v>17468</v>
      </c>
      <c r="H1047" s="27" t="s">
        <v>17555</v>
      </c>
      <c r="I1047" s="27"/>
      <c r="J1047" s="27"/>
      <c r="K1047" s="27"/>
      <c r="L1047" s="27"/>
      <c r="N1047" s="27"/>
      <c r="T1047" s="28" t="str">
        <f>LOOKUP(1,1/(Table1[[#This Row],[Level_0]:[Level 15]]&gt;0),(Table1[[#This Row],[Level_0]:[Level 15]]))</f>
        <v>3318500000 - [Cap - Post Capitalization of Assets]</v>
      </c>
      <c r="U1047" s="22">
        <v>1042</v>
      </c>
      <c r="W1047" s="13" t="str">
        <f>LOOKUP(1,1/(Table1[[#This Row],[Level_0]:[Level 15]]&gt;0),(Table1[[#This Row],[Level_0]:[Level 15]]))</f>
        <v>3318500000 - [Cap - Post Capitalization of Assets]</v>
      </c>
    </row>
    <row r="1048" spans="1:23" hidden="1" x14ac:dyDescent="0.25">
      <c r="A1048">
        <v>3305100010</v>
      </c>
      <c r="B1048" s="16" t="s">
        <v>19651</v>
      </c>
      <c r="C1048" s="16" t="e">
        <f>VLOOKUP(Table1[[#This Row],[Node]],Parent!A:B,2,0)</f>
        <v>#N/A</v>
      </c>
      <c r="D1048" s="25" t="s">
        <v>19346</v>
      </c>
      <c r="E1048" s="26" t="s">
        <v>16544</v>
      </c>
      <c r="F1048" s="27" t="s">
        <v>16830</v>
      </c>
      <c r="G1048" s="27" t="s">
        <v>17468</v>
      </c>
      <c r="H1048" s="27" t="s">
        <v>17556</v>
      </c>
      <c r="I1048" s="27"/>
      <c r="J1048" s="27"/>
      <c r="K1048" s="27"/>
      <c r="L1048" s="27"/>
      <c r="N1048" s="27"/>
      <c r="T1048" s="28" t="str">
        <f>LOOKUP(1,1/(Table1[[#This Row],[Level_0]:[Level 15]]&gt;0),(Table1[[#This Row],[Level_0]:[Level 15]]))</f>
        <v>3305100010 - [Gains from Sale-Financial Instruments AC]</v>
      </c>
      <c r="U1048" s="22">
        <v>1043</v>
      </c>
      <c r="W1048" s="13" t="str">
        <f>LOOKUP(1,1/(Table1[[#This Row],[Level_0]:[Level 15]]&gt;0),(Table1[[#This Row],[Level_0]:[Level 15]]))</f>
        <v>3305100010 - [Gains from Sale-Financial Instruments AC]</v>
      </c>
    </row>
    <row r="1049" spans="1:23" hidden="1" x14ac:dyDescent="0.25">
      <c r="A1049">
        <v>3304000000</v>
      </c>
      <c r="B1049" s="16" t="s">
        <v>19649</v>
      </c>
      <c r="C1049" s="16" t="e">
        <f>VLOOKUP(Table1[[#This Row],[Node]],Parent!A:B,2,0)</f>
        <v>#N/A</v>
      </c>
      <c r="D1049" s="25" t="s">
        <v>19346</v>
      </c>
      <c r="E1049" s="26" t="s">
        <v>16544</v>
      </c>
      <c r="F1049" s="27" t="s">
        <v>16830</v>
      </c>
      <c r="G1049" s="27" t="s">
        <v>17468</v>
      </c>
      <c r="H1049" s="27" t="s">
        <v>17557</v>
      </c>
      <c r="I1049" s="27"/>
      <c r="J1049" s="27"/>
      <c r="K1049" s="27"/>
      <c r="L1049" s="27"/>
      <c r="N1049" s="27"/>
      <c r="T1049" s="28" t="str">
        <f>LOOKUP(1,1/(Table1[[#This Row],[Level_0]:[Level 15]]&gt;0),(Table1[[#This Row],[Level_0]:[Level 15]]))</f>
        <v>3304000000 - [Gains from PPAdj of Business Combination]</v>
      </c>
      <c r="U1049" s="22">
        <v>1044</v>
      </c>
      <c r="W1049" s="13" t="str">
        <f>LOOKUP(1,1/(Table1[[#This Row],[Level_0]:[Level 15]]&gt;0),(Table1[[#This Row],[Level_0]:[Level 15]]))</f>
        <v>3304000000 - [Gains from PPAdj of Business Combination]</v>
      </c>
    </row>
    <row r="1050" spans="1:23" hidden="1" x14ac:dyDescent="0.25">
      <c r="A1050">
        <v>3303000000</v>
      </c>
      <c r="B1050" s="16" t="s">
        <v>19648</v>
      </c>
      <c r="C1050" s="16" t="e">
        <f>VLOOKUP(Table1[[#This Row],[Node]],Parent!A:B,2,0)</f>
        <v>#N/A</v>
      </c>
      <c r="D1050" s="25" t="s">
        <v>19346</v>
      </c>
      <c r="E1050" s="26" t="s">
        <v>16544</v>
      </c>
      <c r="F1050" s="27" t="s">
        <v>16830</v>
      </c>
      <c r="G1050" s="27" t="s">
        <v>17468</v>
      </c>
      <c r="H1050" s="27" t="s">
        <v>17558</v>
      </c>
      <c r="I1050" s="27"/>
      <c r="J1050" s="27"/>
      <c r="K1050" s="27"/>
      <c r="L1050" s="27"/>
      <c r="N1050" s="27"/>
      <c r="T1050" s="28" t="str">
        <f>LOOKUP(1,1/(Table1[[#This Row],[Level_0]:[Level 15]]&gt;0),(Table1[[#This Row],[Level_0]:[Level 15]]))</f>
        <v>3303000000 - [Gain Dissol Cont Consid/PPAdj/Barg Purch]</v>
      </c>
      <c r="U1050" s="22">
        <v>1045</v>
      </c>
      <c r="W1050" s="13" t="str">
        <f>LOOKUP(1,1/(Table1[[#This Row],[Level_0]:[Level 15]]&gt;0),(Table1[[#This Row],[Level_0]:[Level 15]]))</f>
        <v>3303000000 - [Gain Dissol Cont Consid/PPAdj/Barg Purch]</v>
      </c>
    </row>
    <row r="1051" spans="1:23" hidden="1" x14ac:dyDescent="0.25">
      <c r="A1051">
        <v>250100</v>
      </c>
      <c r="B1051" s="16" t="e">
        <v>#N/A</v>
      </c>
      <c r="C1051" s="16" t="e">
        <f>VLOOKUP(Table1[[#This Row],[Node]],Parent!A:B,2,0)</f>
        <v>#N/A</v>
      </c>
      <c r="D1051" s="25" t="s">
        <v>19346</v>
      </c>
      <c r="E1051" s="26" t="s">
        <v>16544</v>
      </c>
      <c r="F1051" s="27" t="s">
        <v>16830</v>
      </c>
      <c r="G1051" s="27" t="s">
        <v>17559</v>
      </c>
      <c r="H1051" s="27"/>
      <c r="I1051" s="27"/>
      <c r="J1051" s="27"/>
      <c r="K1051" s="27"/>
      <c r="L1051" s="27"/>
      <c r="N1051" s="27"/>
      <c r="T1051" s="28" t="str">
        <f>LOOKUP(1,1/(Table1[[#This Row],[Level_0]:[Level 15]]&gt;0),(Table1[[#This Row],[Level_0]:[Level 15]]))</f>
        <v>250100 - []</v>
      </c>
      <c r="U1051" s="22">
        <v>1046</v>
      </c>
      <c r="W1051" s="13" t="str">
        <f>LOOKUP(1,1/(Table1[[#This Row],[Level_0]:[Level 15]]&gt;0),(Table1[[#This Row],[Level_0]:[Level 15]]))</f>
        <v>250100 - []</v>
      </c>
    </row>
    <row r="1052" spans="1:23" hidden="1" x14ac:dyDescent="0.25">
      <c r="A1052">
        <v>3121000000</v>
      </c>
      <c r="B1052" s="16" t="s">
        <v>19595</v>
      </c>
      <c r="C1052" s="16" t="e">
        <f>VLOOKUP(Table1[[#This Row],[Node]],Parent!A:B,2,0)</f>
        <v>#N/A</v>
      </c>
      <c r="D1052" s="25" t="s">
        <v>19346</v>
      </c>
      <c r="E1052" s="26" t="s">
        <v>16544</v>
      </c>
      <c r="F1052" s="27" t="s">
        <v>16830</v>
      </c>
      <c r="G1052" s="27" t="s">
        <v>17559</v>
      </c>
      <c r="H1052" s="27" t="s">
        <v>17560</v>
      </c>
      <c r="I1052" s="27"/>
      <c r="J1052" s="27"/>
      <c r="K1052" s="27"/>
      <c r="L1052" s="27"/>
      <c r="N1052" s="27"/>
      <c r="T1052" s="28" t="str">
        <f>LOOKUP(1,1/(Table1[[#This Row],[Level_0]:[Level 15]]&gt;0),(Table1[[#This Row],[Level_0]:[Level 15]]))</f>
        <v>3121000000 - [Service - Cash Discount]</v>
      </c>
      <c r="U1052" s="22">
        <v>1047</v>
      </c>
      <c r="W1052" s="13" t="str">
        <f>LOOKUP(1,1/(Table1[[#This Row],[Level_0]:[Level 15]]&gt;0),(Table1[[#This Row],[Level_0]:[Level 15]]))</f>
        <v>3121000000 - [Service - Cash Discount]</v>
      </c>
    </row>
    <row r="1053" spans="1:23" hidden="1" x14ac:dyDescent="0.25">
      <c r="A1053">
        <v>4001800001</v>
      </c>
      <c r="B1053" s="16" t="s">
        <v>19816</v>
      </c>
      <c r="C1053" s="16" t="e">
        <f>VLOOKUP(Table1[[#This Row],[Node]],Parent!A:B,2,0)</f>
        <v>#N/A</v>
      </c>
      <c r="D1053" s="25" t="s">
        <v>19346</v>
      </c>
      <c r="E1053" s="26" t="s">
        <v>16544</v>
      </c>
      <c r="F1053" s="27" t="s">
        <v>16830</v>
      </c>
      <c r="G1053" s="27" t="s">
        <v>17559</v>
      </c>
      <c r="H1053" s="27" t="s">
        <v>17561</v>
      </c>
      <c r="I1053" s="27"/>
      <c r="J1053" s="27"/>
      <c r="K1053" s="27"/>
      <c r="L1053" s="27"/>
      <c r="N1053" s="27"/>
      <c r="T1053" s="28" t="str">
        <f>LOOKUP(1,1/(Table1[[#This Row],[Level_0]:[Level 15]]&gt;0),(Table1[[#This Row],[Level_0]:[Level 15]]))</f>
        <v>4001800001 - [COGS– Merchandise - TP Markup]</v>
      </c>
      <c r="U1053" s="22">
        <v>1048</v>
      </c>
      <c r="W1053" s="13" t="str">
        <f>LOOKUP(1,1/(Table1[[#This Row],[Level_0]:[Level 15]]&gt;0),(Table1[[#This Row],[Level_0]:[Level 15]]))</f>
        <v>4001800001 - [COGS– Merchandise - TP Markup]</v>
      </c>
    </row>
    <row r="1054" spans="1:23" hidden="1" x14ac:dyDescent="0.25">
      <c r="A1054">
        <v>4001212000</v>
      </c>
      <c r="B1054" s="16" t="s">
        <v>19814</v>
      </c>
      <c r="C1054" s="16" t="e">
        <f>VLOOKUP(Table1[[#This Row],[Node]],Parent!A:B,2,0)</f>
        <v>#N/A</v>
      </c>
      <c r="D1054" s="25" t="s">
        <v>19346</v>
      </c>
      <c r="E1054" s="26" t="s">
        <v>16544</v>
      </c>
      <c r="F1054" s="27" t="s">
        <v>16830</v>
      </c>
      <c r="G1054" s="27" t="s">
        <v>17559</v>
      </c>
      <c r="H1054" s="27" t="s">
        <v>17562</v>
      </c>
      <c r="I1054" s="27"/>
      <c r="J1054" s="27"/>
      <c r="K1054" s="27"/>
      <c r="L1054" s="27"/>
      <c r="N1054" s="27"/>
      <c r="T1054" s="28" t="str">
        <f>LOOKUP(1,1/(Table1[[#This Row],[Level_0]:[Level 15]]&gt;0),(Table1[[#This Row],[Level_0]:[Level 15]]))</f>
        <v>4001212000 - [COGS- Merch. - Reimb. internat. freight]</v>
      </c>
      <c r="U1054" s="22">
        <v>1049</v>
      </c>
      <c r="W1054" s="13" t="str">
        <f>LOOKUP(1,1/(Table1[[#This Row],[Level_0]:[Level 15]]&gt;0),(Table1[[#This Row],[Level_0]:[Level 15]]))</f>
        <v>4001212000 - [COGS- Merch. - Reimb. internat. freight]</v>
      </c>
    </row>
    <row r="1055" spans="1:23" hidden="1" x14ac:dyDescent="0.25">
      <c r="A1055">
        <v>4009000000</v>
      </c>
      <c r="B1055" s="16" t="s">
        <v>19834</v>
      </c>
      <c r="C1055" s="16" t="e">
        <f>VLOOKUP(Table1[[#This Row],[Node]],Parent!A:B,2,0)</f>
        <v>#N/A</v>
      </c>
      <c r="D1055" s="25" t="s">
        <v>19346</v>
      </c>
      <c r="E1055" s="26" t="s">
        <v>16544</v>
      </c>
      <c r="F1055" s="27" t="s">
        <v>16830</v>
      </c>
      <c r="G1055" s="27" t="s">
        <v>17559</v>
      </c>
      <c r="H1055" s="27" t="s">
        <v>17563</v>
      </c>
      <c r="I1055" s="27"/>
      <c r="J1055" s="27"/>
      <c r="K1055" s="27"/>
      <c r="L1055" s="27"/>
      <c r="N1055" s="27"/>
      <c r="T1055" s="28" t="str">
        <f>LOOKUP(1,1/(Table1[[#This Row],[Level_0]:[Level 15]]&gt;0),(Table1[[#This Row],[Level_0]:[Level 15]]))</f>
        <v>4009000000 - [COGS - Adjustments for Returns]</v>
      </c>
      <c r="U1055" s="22">
        <v>1050</v>
      </c>
      <c r="W1055" s="13" t="str">
        <f>LOOKUP(1,1/(Table1[[#This Row],[Level_0]:[Level 15]]&gt;0),(Table1[[#This Row],[Level_0]:[Level 15]]))</f>
        <v>4009000000 - [COGS - Adjustments for Returns]</v>
      </c>
    </row>
    <row r="1056" spans="1:23" hidden="1" x14ac:dyDescent="0.25">
      <c r="A1056">
        <v>7340000022</v>
      </c>
      <c r="B1056" s="16" t="s">
        <v>20941</v>
      </c>
      <c r="C1056" s="16" t="e">
        <f>VLOOKUP(Table1[[#This Row],[Node]],Parent!A:B,2,0)</f>
        <v>#N/A</v>
      </c>
      <c r="D1056" s="25" t="s">
        <v>19346</v>
      </c>
      <c r="E1056" s="26" t="s">
        <v>16544</v>
      </c>
      <c r="F1056" s="27" t="s">
        <v>16830</v>
      </c>
      <c r="G1056" s="27" t="s">
        <v>17559</v>
      </c>
      <c r="H1056" s="27" t="s">
        <v>17564</v>
      </c>
      <c r="I1056" s="27"/>
      <c r="J1056" s="27"/>
      <c r="K1056" s="27"/>
      <c r="L1056" s="27"/>
      <c r="N1056" s="27"/>
      <c r="T1056" s="28" t="str">
        <f>LOOKUP(1,1/(Table1[[#This Row],[Level_0]:[Level 15]]&gt;0),(Table1[[#This Row],[Level_0]:[Level 15]]))</f>
        <v>7340000022 - [SOM Revenue Settlement]</v>
      </c>
      <c r="U1056" s="22">
        <v>1051</v>
      </c>
      <c r="W1056" s="13" t="str">
        <f>LOOKUP(1,1/(Table1[[#This Row],[Level_0]:[Level 15]]&gt;0),(Table1[[#This Row],[Level_0]:[Level 15]]))</f>
        <v>7340000022 - [SOM Revenue Settlement]</v>
      </c>
    </row>
    <row r="1057" spans="1:23" hidden="1" x14ac:dyDescent="0.25">
      <c r="A1057">
        <v>4001000100</v>
      </c>
      <c r="B1057" s="16" t="s">
        <v>19807</v>
      </c>
      <c r="C1057" s="16" t="e">
        <f>VLOOKUP(Table1[[#This Row],[Node]],Parent!A:B,2,0)</f>
        <v>#N/A</v>
      </c>
      <c r="D1057" s="25" t="s">
        <v>19346</v>
      </c>
      <c r="E1057" s="26" t="s">
        <v>16544</v>
      </c>
      <c r="F1057" s="27" t="s">
        <v>16830</v>
      </c>
      <c r="G1057" s="27" t="s">
        <v>17559</v>
      </c>
      <c r="H1057" s="27" t="s">
        <v>17565</v>
      </c>
      <c r="I1057" s="27"/>
      <c r="J1057" s="27"/>
      <c r="K1057" s="27"/>
      <c r="L1057" s="27"/>
      <c r="N1057" s="27"/>
      <c r="T1057" s="28" t="str">
        <f>LOOKUP(1,1/(Table1[[#This Row],[Level_0]:[Level 15]]&gt;0),(Table1[[#This Row],[Level_0]:[Level 15]]))</f>
        <v>4001000100 - [COGS - Merchandise - IDOC]</v>
      </c>
      <c r="U1057" s="22">
        <v>1052</v>
      </c>
      <c r="W1057" s="13" t="str">
        <f>LOOKUP(1,1/(Table1[[#This Row],[Level_0]:[Level 15]]&gt;0),(Table1[[#This Row],[Level_0]:[Level 15]]))</f>
        <v>4001000100 - [COGS - Merchandise - IDOC]</v>
      </c>
    </row>
    <row r="1058" spans="1:23" hidden="1" x14ac:dyDescent="0.25">
      <c r="A1058">
        <v>4000006000</v>
      </c>
      <c r="B1058" s="16" t="s">
        <v>19778</v>
      </c>
      <c r="C1058" s="16" t="e">
        <f>VLOOKUP(Table1[[#This Row],[Node]],Parent!A:B,2,0)</f>
        <v>#N/A</v>
      </c>
      <c r="D1058" s="25" t="s">
        <v>19346</v>
      </c>
      <c r="E1058" s="26" t="s">
        <v>16544</v>
      </c>
      <c r="F1058" s="27" t="s">
        <v>16830</v>
      </c>
      <c r="G1058" s="27" t="s">
        <v>17559</v>
      </c>
      <c r="H1058" s="27" t="s">
        <v>17566</v>
      </c>
      <c r="I1058" s="27"/>
      <c r="J1058" s="27"/>
      <c r="K1058" s="27"/>
      <c r="L1058" s="27"/>
      <c r="N1058" s="27"/>
      <c r="T1058" s="28" t="str">
        <f>LOOKUP(1,1/(Table1[[#This Row],[Level_0]:[Level 15]]&gt;0),(Table1[[#This Row],[Level_0]:[Level 15]]))</f>
        <v>4000006000 - [COGS - Finished goods - Correction]</v>
      </c>
      <c r="U1058" s="22">
        <v>1053</v>
      </c>
      <c r="W1058" s="13" t="str">
        <f>LOOKUP(1,1/(Table1[[#This Row],[Level_0]:[Level 15]]&gt;0),(Table1[[#This Row],[Level_0]:[Level 15]]))</f>
        <v>4000006000 - [COGS - Finished goods - Correction]</v>
      </c>
    </row>
    <row r="1059" spans="1:23" hidden="1" x14ac:dyDescent="0.25">
      <c r="A1059">
        <v>7711101100</v>
      </c>
      <c r="B1059" s="16" t="s">
        <v>21596</v>
      </c>
      <c r="C1059" s="16" t="e">
        <f>VLOOKUP(Table1[[#This Row],[Node]],Parent!A:B,2,0)</f>
        <v>#N/A</v>
      </c>
      <c r="D1059" s="25" t="s">
        <v>19346</v>
      </c>
      <c r="E1059" s="26" t="s">
        <v>16544</v>
      </c>
      <c r="F1059" s="27" t="s">
        <v>16830</v>
      </c>
      <c r="G1059" s="27" t="s">
        <v>17559</v>
      </c>
      <c r="H1059" s="27" t="s">
        <v>17567</v>
      </c>
      <c r="I1059" s="27"/>
      <c r="J1059" s="27"/>
      <c r="K1059" s="27"/>
      <c r="L1059" s="27"/>
      <c r="N1059" s="27"/>
      <c r="T1059" s="28" t="str">
        <f>LOOKUP(1,1/(Table1[[#This Row],[Level_0]:[Level 15]]&gt;0),(Table1[[#This Row],[Level_0]:[Level 15]]))</f>
        <v>7711101100 - [SPA Material cost 4 3Party]</v>
      </c>
      <c r="U1059" s="22">
        <v>1054</v>
      </c>
      <c r="W1059" s="13" t="str">
        <f>LOOKUP(1,1/(Table1[[#This Row],[Level_0]:[Level 15]]&gt;0),(Table1[[#This Row],[Level_0]:[Level 15]]))</f>
        <v>7711101100 - [SPA Material cost 4 3Party]</v>
      </c>
    </row>
    <row r="1060" spans="1:23" hidden="1" x14ac:dyDescent="0.25">
      <c r="A1060">
        <v>4050100998</v>
      </c>
      <c r="B1060" s="16" t="s">
        <v>19841</v>
      </c>
      <c r="C1060" s="16" t="e">
        <f>VLOOKUP(Table1[[#This Row],[Node]],Parent!A:B,2,0)</f>
        <v>#N/A</v>
      </c>
      <c r="D1060" s="25" t="s">
        <v>19346</v>
      </c>
      <c r="E1060" s="26" t="s">
        <v>16544</v>
      </c>
      <c r="F1060" s="27" t="s">
        <v>16830</v>
      </c>
      <c r="G1060" s="27" t="s">
        <v>17559</v>
      </c>
      <c r="H1060" s="27" t="s">
        <v>17568</v>
      </c>
      <c r="I1060" s="27"/>
      <c r="J1060" s="27"/>
      <c r="K1060" s="27"/>
      <c r="L1060" s="27"/>
      <c r="N1060" s="27"/>
      <c r="T1060" s="28" t="str">
        <f>LOOKUP(1,1/(Table1[[#This Row],[Level_0]:[Level 15]]&gt;0),(Table1[[#This Row],[Level_0]:[Level 15]]))</f>
        <v>4050100998 - [COGM - Finished goods Custom - Inv inc]</v>
      </c>
      <c r="U1060" s="22">
        <v>1055</v>
      </c>
      <c r="W1060" s="13" t="str">
        <f>LOOKUP(1,1/(Table1[[#This Row],[Level_0]:[Level 15]]&gt;0),(Table1[[#This Row],[Level_0]:[Level 15]]))</f>
        <v>4050100998 - [COGM - Finished goods Custom - Inv inc]</v>
      </c>
    </row>
    <row r="1061" spans="1:23" hidden="1" x14ac:dyDescent="0.25">
      <c r="A1061">
        <v>4050000001</v>
      </c>
      <c r="B1061" s="16" t="s">
        <v>19840</v>
      </c>
      <c r="C1061" s="16" t="e">
        <f>VLOOKUP(Table1[[#This Row],[Node]],Parent!A:B,2,0)</f>
        <v>#N/A</v>
      </c>
      <c r="D1061" s="25" t="s">
        <v>19346</v>
      </c>
      <c r="E1061" s="26" t="s">
        <v>16544</v>
      </c>
      <c r="F1061" s="27" t="s">
        <v>16830</v>
      </c>
      <c r="G1061" s="27" t="s">
        <v>17559</v>
      </c>
      <c r="H1061" s="27" t="s">
        <v>17569</v>
      </c>
      <c r="I1061" s="27"/>
      <c r="J1061" s="27"/>
      <c r="K1061" s="27"/>
      <c r="L1061" s="27"/>
      <c r="N1061" s="27"/>
      <c r="T1061" s="28" t="str">
        <f>LOOKUP(1,1/(Table1[[#This Row],[Level_0]:[Level 15]]&gt;0),(Table1[[#This Row],[Level_0]:[Level 15]]))</f>
        <v>4050000001 - [COGM - Finished Goods - Custom - Inv Inc]</v>
      </c>
      <c r="U1061" s="22">
        <v>1056</v>
      </c>
      <c r="W1061" s="13" t="str">
        <f>LOOKUP(1,1/(Table1[[#This Row],[Level_0]:[Level 15]]&gt;0),(Table1[[#This Row],[Level_0]:[Level 15]]))</f>
        <v>4050000001 - [COGM - Finished Goods - Custom - Inv Inc]</v>
      </c>
    </row>
    <row r="1062" spans="1:23" hidden="1" x14ac:dyDescent="0.25">
      <c r="A1062">
        <v>4010200000</v>
      </c>
      <c r="B1062" s="16" t="s">
        <v>19836</v>
      </c>
      <c r="C1062" s="16" t="e">
        <f>VLOOKUP(Table1[[#This Row],[Node]],Parent!A:B,2,0)</f>
        <v>#N/A</v>
      </c>
      <c r="D1062" s="25" t="s">
        <v>19346</v>
      </c>
      <c r="E1062" s="26" t="s">
        <v>16544</v>
      </c>
      <c r="F1062" s="27" t="s">
        <v>16830</v>
      </c>
      <c r="G1062" s="27" t="s">
        <v>17559</v>
      </c>
      <c r="H1062" s="27" t="s">
        <v>17570</v>
      </c>
      <c r="I1062" s="27"/>
      <c r="J1062" s="27"/>
      <c r="K1062" s="27"/>
      <c r="L1062" s="27"/>
      <c r="N1062" s="27"/>
      <c r="T1062" s="28" t="str">
        <f>LOOKUP(1,1/(Table1[[#This Row],[Level_0]:[Level 15]]&gt;0),(Table1[[#This Row],[Level_0]:[Level 15]]))</f>
        <v>4010200000 - [COGS - Merchandise - DropShipment]</v>
      </c>
      <c r="U1062" s="22">
        <v>1057</v>
      </c>
      <c r="W1062" s="13" t="str">
        <f>LOOKUP(1,1/(Table1[[#This Row],[Level_0]:[Level 15]]&gt;0),(Table1[[#This Row],[Level_0]:[Level 15]]))</f>
        <v>4010200000 - [COGS - Merchandise - DropShipment]</v>
      </c>
    </row>
    <row r="1063" spans="1:23" hidden="1" x14ac:dyDescent="0.25">
      <c r="A1063">
        <v>4001106000</v>
      </c>
      <c r="B1063" s="16" t="s">
        <v>19810</v>
      </c>
      <c r="C1063" s="16" t="e">
        <f>VLOOKUP(Table1[[#This Row],[Node]],Parent!A:B,2,0)</f>
        <v>#N/A</v>
      </c>
      <c r="D1063" s="25" t="s">
        <v>19346</v>
      </c>
      <c r="E1063" s="26" t="s">
        <v>16544</v>
      </c>
      <c r="F1063" s="27" t="s">
        <v>16830</v>
      </c>
      <c r="G1063" s="27" t="s">
        <v>17559</v>
      </c>
      <c r="H1063" s="27" t="s">
        <v>17571</v>
      </c>
      <c r="I1063" s="27"/>
      <c r="J1063" s="27"/>
      <c r="K1063" s="27"/>
      <c r="L1063" s="27"/>
      <c r="N1063" s="27"/>
      <c r="T1063" s="28" t="str">
        <f>LOOKUP(1,1/(Table1[[#This Row],[Level_0]:[Level 15]]&gt;0),(Table1[[#This Row],[Level_0]:[Level 15]]))</f>
        <v>4001106000 - [COGS - Merchan - Material - 3P - CorAcc]</v>
      </c>
      <c r="U1063" s="22">
        <v>1058</v>
      </c>
      <c r="W1063" s="13" t="str">
        <f>LOOKUP(1,1/(Table1[[#This Row],[Level_0]:[Level 15]]&gt;0),(Table1[[#This Row],[Level_0]:[Level 15]]))</f>
        <v>4001106000 - [COGS - Merchan - Material - 3P - CorAcc]</v>
      </c>
    </row>
    <row r="1064" spans="1:23" hidden="1" x14ac:dyDescent="0.25">
      <c r="A1064">
        <v>4000400002</v>
      </c>
      <c r="B1064" s="16" t="s">
        <v>19790</v>
      </c>
      <c r="C1064" s="16" t="e">
        <f>VLOOKUP(Table1[[#This Row],[Node]],Parent!A:B,2,0)</f>
        <v>#N/A</v>
      </c>
      <c r="D1064" s="25" t="s">
        <v>19346</v>
      </c>
      <c r="E1064" s="26" t="s">
        <v>16544</v>
      </c>
      <c r="F1064" s="27" t="s">
        <v>16830</v>
      </c>
      <c r="G1064" s="27" t="s">
        <v>17559</v>
      </c>
      <c r="H1064" s="27" t="s">
        <v>17572</v>
      </c>
      <c r="I1064" s="27"/>
      <c r="J1064" s="27"/>
      <c r="K1064" s="27"/>
      <c r="L1064" s="27"/>
      <c r="N1064" s="27"/>
      <c r="T1064" s="28" t="str">
        <f>LOOKUP(1,1/(Table1[[#This Row],[Level_0]:[Level 15]]&gt;0),(Table1[[#This Row],[Level_0]:[Level 15]]))</f>
        <v>4000400002 - [COGS - Finished Goods - Conver - Overh]</v>
      </c>
      <c r="U1064" s="22">
        <v>1059</v>
      </c>
      <c r="W1064" s="13" t="str">
        <f>LOOKUP(1,1/(Table1[[#This Row],[Level_0]:[Level 15]]&gt;0),(Table1[[#This Row],[Level_0]:[Level 15]]))</f>
        <v>4000400002 - [COGS - Finished Goods - Conver - Overh]</v>
      </c>
    </row>
    <row r="1065" spans="1:23" hidden="1" x14ac:dyDescent="0.25">
      <c r="A1065">
        <v>4000400001</v>
      </c>
      <c r="B1065" s="16" t="s">
        <v>19789</v>
      </c>
      <c r="C1065" s="16" t="e">
        <f>VLOOKUP(Table1[[#This Row],[Node]],Parent!A:B,2,0)</f>
        <v>#N/A</v>
      </c>
      <c r="D1065" s="25" t="s">
        <v>19346</v>
      </c>
      <c r="E1065" s="26" t="s">
        <v>16544</v>
      </c>
      <c r="F1065" s="27" t="s">
        <v>16830</v>
      </c>
      <c r="G1065" s="27" t="s">
        <v>17559</v>
      </c>
      <c r="H1065" s="27" t="s">
        <v>17573</v>
      </c>
      <c r="I1065" s="27"/>
      <c r="J1065" s="27"/>
      <c r="K1065" s="27"/>
      <c r="L1065" s="27"/>
      <c r="N1065" s="27"/>
      <c r="T1065" s="28" t="str">
        <f>LOOKUP(1,1/(Table1[[#This Row],[Level_0]:[Level 15]]&gt;0),(Table1[[#This Row],[Level_0]:[Level 15]]))</f>
        <v>4000400001 - [COGS - Finished Goods - Conver - Labor]</v>
      </c>
      <c r="U1065" s="22">
        <v>1060</v>
      </c>
      <c r="W1065" s="13" t="str">
        <f>LOOKUP(1,1/(Table1[[#This Row],[Level_0]:[Level 15]]&gt;0),(Table1[[#This Row],[Level_0]:[Level 15]]))</f>
        <v>4000400001 - [COGS - Finished Goods - Conver - Labor]</v>
      </c>
    </row>
    <row r="1066" spans="1:23" hidden="1" x14ac:dyDescent="0.25">
      <c r="A1066">
        <v>4000116000</v>
      </c>
      <c r="B1066" s="16" t="s">
        <v>19783</v>
      </c>
      <c r="C1066" s="16" t="e">
        <f>VLOOKUP(Table1[[#This Row],[Node]],Parent!A:B,2,0)</f>
        <v>#N/A</v>
      </c>
      <c r="D1066" s="25" t="s">
        <v>19346</v>
      </c>
      <c r="E1066" s="26" t="s">
        <v>16544</v>
      </c>
      <c r="F1066" s="27" t="s">
        <v>16830</v>
      </c>
      <c r="G1066" s="27" t="s">
        <v>17559</v>
      </c>
      <c r="H1066" s="27" t="s">
        <v>17574</v>
      </c>
      <c r="I1066" s="27"/>
      <c r="J1066" s="27"/>
      <c r="K1066" s="27"/>
      <c r="L1066" s="27"/>
      <c r="N1066" s="27"/>
      <c r="T1066" s="28" t="str">
        <f>LOOKUP(1,1/(Table1[[#This Row],[Level_0]:[Level 15]]&gt;0),(Table1[[#This Row],[Level_0]:[Level 15]]))</f>
        <v>4000116000 - [COGS - Finished Goods - Mat - IC-CorAcc]</v>
      </c>
      <c r="U1066" s="22">
        <v>1061</v>
      </c>
      <c r="W1066" s="13" t="str">
        <f>LOOKUP(1,1/(Table1[[#This Row],[Level_0]:[Level 15]]&gt;0),(Table1[[#This Row],[Level_0]:[Level 15]]))</f>
        <v>4000116000 - [COGS - Finished Goods - Mat - IC-CorAcc]</v>
      </c>
    </row>
    <row r="1067" spans="1:23" hidden="1" x14ac:dyDescent="0.25">
      <c r="A1067">
        <v>3920000001</v>
      </c>
      <c r="B1067" s="16" t="s">
        <v>19672</v>
      </c>
      <c r="C1067" s="16" t="e">
        <f>VLOOKUP(Table1[[#This Row],[Node]],Parent!A:B,2,0)</f>
        <v>#N/A</v>
      </c>
      <c r="D1067" s="25" t="s">
        <v>19346</v>
      </c>
      <c r="E1067" s="26" t="s">
        <v>16544</v>
      </c>
      <c r="F1067" s="27" t="s">
        <v>16830</v>
      </c>
      <c r="G1067" s="27" t="s">
        <v>17559</v>
      </c>
      <c r="H1067" s="27" t="s">
        <v>17575</v>
      </c>
      <c r="I1067" s="27"/>
      <c r="J1067" s="27"/>
      <c r="K1067" s="27"/>
      <c r="L1067" s="27"/>
      <c r="N1067" s="27"/>
      <c r="T1067" s="28" t="str">
        <f>LOOKUP(1,1/(Table1[[#This Row],[Level_0]:[Level 15]]&gt;0),(Table1[[#This Row],[Level_0]:[Level 15]]))</f>
        <v>3920000001 - [Reimburse-Freight&amp;Duties-3P-ExciseDuty]</v>
      </c>
      <c r="U1067" s="22">
        <v>1062</v>
      </c>
      <c r="W1067" s="13" t="str">
        <f>LOOKUP(1,1/(Table1[[#This Row],[Level_0]:[Level 15]]&gt;0),(Table1[[#This Row],[Level_0]:[Level 15]]))</f>
        <v>3920000001 - [Reimburse-Freight&amp;Duties-3P-ExciseDuty]</v>
      </c>
    </row>
    <row r="1068" spans="1:23" hidden="1" x14ac:dyDescent="0.25">
      <c r="A1068">
        <v>3130006000</v>
      </c>
      <c r="B1068" s="16" t="s">
        <v>19608</v>
      </c>
      <c r="C1068" s="16" t="e">
        <f>VLOOKUP(Table1[[#This Row],[Node]],Parent!A:B,2,0)</f>
        <v>#N/A</v>
      </c>
      <c r="D1068" s="25" t="s">
        <v>19346</v>
      </c>
      <c r="E1068" s="26" t="s">
        <v>16544</v>
      </c>
      <c r="F1068" s="27" t="s">
        <v>16830</v>
      </c>
      <c r="G1068" s="27" t="s">
        <v>17559</v>
      </c>
      <c r="H1068" s="27" t="s">
        <v>17576</v>
      </c>
      <c r="I1068" s="27"/>
      <c r="J1068" s="27"/>
      <c r="K1068" s="27"/>
      <c r="L1068" s="27"/>
      <c r="N1068" s="27"/>
      <c r="T1068" s="28" t="str">
        <f>LOOKUP(1,1/(Table1[[#This Row],[Level_0]:[Level 15]]&gt;0),(Table1[[#This Row],[Level_0]:[Level 15]]))</f>
        <v>3130006000 - [Hardware - Rebates - CorrAcc]</v>
      </c>
      <c r="U1068" s="22">
        <v>1063</v>
      </c>
      <c r="W1068" s="13" t="str">
        <f>LOOKUP(1,1/(Table1[[#This Row],[Level_0]:[Level 15]]&gt;0),(Table1[[#This Row],[Level_0]:[Level 15]]))</f>
        <v>3130006000 - [Hardware - Rebates - CorrAcc]</v>
      </c>
    </row>
    <row r="1069" spans="1:23" hidden="1" x14ac:dyDescent="0.25">
      <c r="A1069">
        <v>3120006000</v>
      </c>
      <c r="B1069" s="16" t="s">
        <v>19593</v>
      </c>
      <c r="C1069" s="16" t="e">
        <f>VLOOKUP(Table1[[#This Row],[Node]],Parent!A:B,2,0)</f>
        <v>#N/A</v>
      </c>
      <c r="D1069" s="25" t="s">
        <v>19346</v>
      </c>
      <c r="E1069" s="26" t="s">
        <v>16544</v>
      </c>
      <c r="F1069" s="27" t="s">
        <v>16830</v>
      </c>
      <c r="G1069" s="27" t="s">
        <v>17559</v>
      </c>
      <c r="H1069" s="27" t="s">
        <v>17577</v>
      </c>
      <c r="I1069" s="27"/>
      <c r="J1069" s="27"/>
      <c r="K1069" s="27"/>
      <c r="L1069" s="27"/>
      <c r="N1069" s="27"/>
      <c r="T1069" s="28" t="str">
        <f>LOOKUP(1,1/(Table1[[#This Row],[Level_0]:[Level 15]]&gt;0),(Table1[[#This Row],[Level_0]:[Level 15]]))</f>
        <v>3120006000 - [Service - Rebates - CorrAcc]</v>
      </c>
      <c r="U1069" s="22">
        <v>1064</v>
      </c>
      <c r="W1069" s="13" t="str">
        <f>LOOKUP(1,1/(Table1[[#This Row],[Level_0]:[Level 15]]&gt;0),(Table1[[#This Row],[Level_0]:[Level 15]]))</f>
        <v>3120006000 - [Service - Rebates - CorrAcc]</v>
      </c>
    </row>
    <row r="1070" spans="1:23" hidden="1" x14ac:dyDescent="0.25">
      <c r="A1070">
        <v>4001700000</v>
      </c>
      <c r="B1070" s="16" t="s">
        <v>19815</v>
      </c>
      <c r="C1070" s="16" t="e">
        <f>VLOOKUP(Table1[[#This Row],[Node]],Parent!A:B,2,0)</f>
        <v>#N/A</v>
      </c>
      <c r="D1070" s="25" t="s">
        <v>19346</v>
      </c>
      <c r="E1070" s="26" t="s">
        <v>16544</v>
      </c>
      <c r="F1070" s="27" t="s">
        <v>16830</v>
      </c>
      <c r="G1070" s="27" t="s">
        <v>17559</v>
      </c>
      <c r="H1070" s="27" t="s">
        <v>17578</v>
      </c>
      <c r="I1070" s="27"/>
      <c r="J1070" s="27"/>
      <c r="K1070" s="27"/>
      <c r="L1070" s="27"/>
      <c r="N1070" s="27"/>
      <c r="T1070" s="28" t="str">
        <f>LOOKUP(1,1/(Table1[[#This Row],[Level_0]:[Level 15]]&gt;0),(Table1[[#This Row],[Level_0]:[Level 15]]))</f>
        <v>4001700000 - [Adjustments COGS - Merchandise]</v>
      </c>
      <c r="U1070" s="22">
        <v>1065</v>
      </c>
      <c r="W1070" s="13" t="str">
        <f>LOOKUP(1,1/(Table1[[#This Row],[Level_0]:[Level 15]]&gt;0),(Table1[[#This Row],[Level_0]:[Level 15]]))</f>
        <v>4001700000 - [Adjustments COGS - Merchandise]</v>
      </c>
    </row>
    <row r="1071" spans="1:23" hidden="1" x14ac:dyDescent="0.25">
      <c r="A1071">
        <v>4001200000</v>
      </c>
      <c r="B1071" s="16" t="s">
        <v>19813</v>
      </c>
      <c r="C1071" s="16" t="e">
        <f>VLOOKUP(Table1[[#This Row],[Node]],Parent!A:B,2,0)</f>
        <v>#N/A</v>
      </c>
      <c r="D1071" s="25" t="s">
        <v>19346</v>
      </c>
      <c r="E1071" s="26" t="s">
        <v>16544</v>
      </c>
      <c r="F1071" s="27" t="s">
        <v>16830</v>
      </c>
      <c r="G1071" s="27" t="s">
        <v>17559</v>
      </c>
      <c r="H1071" s="27" t="s">
        <v>17579</v>
      </c>
      <c r="I1071" s="27"/>
      <c r="J1071" s="27"/>
      <c r="K1071" s="27"/>
      <c r="L1071" s="27"/>
      <c r="N1071" s="27"/>
      <c r="T1071" s="28" t="str">
        <f>LOOKUP(1,1/(Table1[[#This Row],[Level_0]:[Level 15]]&gt;0),(Table1[[#This Row],[Level_0]:[Level 15]]))</f>
        <v>4001200000 - [COGS - Merchandise - Landing Costs]</v>
      </c>
      <c r="U1071" s="22">
        <v>1066</v>
      </c>
      <c r="W1071" s="13" t="str">
        <f>LOOKUP(1,1/(Table1[[#This Row],[Level_0]:[Level 15]]&gt;0),(Table1[[#This Row],[Level_0]:[Level 15]]))</f>
        <v>4001200000 - [COGS - Merchandise - Landing Costs]</v>
      </c>
    </row>
    <row r="1072" spans="1:23" hidden="1" x14ac:dyDescent="0.25">
      <c r="A1072">
        <v>4001116000</v>
      </c>
      <c r="B1072" s="16" t="s">
        <v>19812</v>
      </c>
      <c r="C1072" s="16" t="e">
        <f>VLOOKUP(Table1[[#This Row],[Node]],Parent!A:B,2,0)</f>
        <v>#N/A</v>
      </c>
      <c r="D1072" s="25" t="s">
        <v>19346</v>
      </c>
      <c r="E1072" s="26" t="s">
        <v>16544</v>
      </c>
      <c r="F1072" s="27" t="s">
        <v>16830</v>
      </c>
      <c r="G1072" s="27" t="s">
        <v>17559</v>
      </c>
      <c r="H1072" s="27" t="s">
        <v>17580</v>
      </c>
      <c r="I1072" s="27"/>
      <c r="J1072" s="27"/>
      <c r="K1072" s="27"/>
      <c r="L1072" s="27"/>
      <c r="N1072" s="27"/>
      <c r="T1072" s="28" t="str">
        <f>LOOKUP(1,1/(Table1[[#This Row],[Level_0]:[Level 15]]&gt;0),(Table1[[#This Row],[Level_0]:[Level 15]]))</f>
        <v>4001116000 - [COGS - Merchan - Material - IC - CorAcc]</v>
      </c>
      <c r="U1072" s="22">
        <v>1067</v>
      </c>
      <c r="W1072" s="13" t="str">
        <f>LOOKUP(1,1/(Table1[[#This Row],[Level_0]:[Level 15]]&gt;0),(Table1[[#This Row],[Level_0]:[Level 15]]))</f>
        <v>4001116000 - [COGS - Merchan - Material - IC - CorAcc]</v>
      </c>
    </row>
    <row r="1073" spans="1:23" hidden="1" x14ac:dyDescent="0.25">
      <c r="A1073">
        <v>4001100000</v>
      </c>
      <c r="B1073" s="16" t="s">
        <v>19808</v>
      </c>
      <c r="C1073" s="16" t="e">
        <f>VLOOKUP(Table1[[#This Row],[Node]],Parent!A:B,2,0)</f>
        <v>#N/A</v>
      </c>
      <c r="D1073" s="25" t="s">
        <v>19346</v>
      </c>
      <c r="E1073" s="26" t="s">
        <v>16544</v>
      </c>
      <c r="F1073" s="27" t="s">
        <v>16830</v>
      </c>
      <c r="G1073" s="27" t="s">
        <v>17559</v>
      </c>
      <c r="H1073" s="27" t="s">
        <v>17581</v>
      </c>
      <c r="I1073" s="27"/>
      <c r="J1073" s="27"/>
      <c r="K1073" s="27"/>
      <c r="L1073" s="27"/>
      <c r="N1073" s="27"/>
      <c r="T1073" s="28" t="str">
        <f>LOOKUP(1,1/(Table1[[#This Row],[Level_0]:[Level 15]]&gt;0),(Table1[[#This Row],[Level_0]:[Level 15]]))</f>
        <v>4001100000 - [COGS - Merchandise - Material - 3P]</v>
      </c>
      <c r="U1073" s="22">
        <v>1068</v>
      </c>
      <c r="W1073" s="13" t="str">
        <f>LOOKUP(1,1/(Table1[[#This Row],[Level_0]:[Level 15]]&gt;0),(Table1[[#This Row],[Level_0]:[Level 15]]))</f>
        <v>4001100000 - [COGS - Merchandise - Material - 3P]</v>
      </c>
    </row>
    <row r="1074" spans="1:23" hidden="1" x14ac:dyDescent="0.25">
      <c r="A1074">
        <v>4000700000</v>
      </c>
      <c r="B1074" s="16" t="s">
        <v>19803</v>
      </c>
      <c r="C1074" s="16" t="e">
        <f>VLOOKUP(Table1[[#This Row],[Node]],Parent!A:B,2,0)</f>
        <v>#N/A</v>
      </c>
      <c r="D1074" s="25" t="s">
        <v>19346</v>
      </c>
      <c r="E1074" s="26" t="s">
        <v>16544</v>
      </c>
      <c r="F1074" s="27" t="s">
        <v>16830</v>
      </c>
      <c r="G1074" s="27" t="s">
        <v>17559</v>
      </c>
      <c r="H1074" s="27" t="s">
        <v>17582</v>
      </c>
      <c r="I1074" s="27"/>
      <c r="J1074" s="27"/>
      <c r="K1074" s="27"/>
      <c r="L1074" s="27"/>
      <c r="N1074" s="27"/>
      <c r="T1074" s="28" t="str">
        <f>LOOKUP(1,1/(Table1[[#This Row],[Level_0]:[Level 15]]&gt;0),(Table1[[#This Row],[Level_0]:[Level 15]]))</f>
        <v>4000700000 - [Adjustments COGS - Finished Goods]</v>
      </c>
      <c r="U1074" s="22">
        <v>1069</v>
      </c>
      <c r="W1074" s="13" t="str">
        <f>LOOKUP(1,1/(Table1[[#This Row],[Level_0]:[Level 15]]&gt;0),(Table1[[#This Row],[Level_0]:[Level 15]]))</f>
        <v>4000700000 - [Adjustments COGS - Finished Goods]</v>
      </c>
    </row>
    <row r="1075" spans="1:23" hidden="1" x14ac:dyDescent="0.25">
      <c r="A1075">
        <v>4000616000</v>
      </c>
      <c r="B1075" s="16" t="s">
        <v>19802</v>
      </c>
      <c r="C1075" s="16" t="e">
        <f>VLOOKUP(Table1[[#This Row],[Node]],Parent!A:B,2,0)</f>
        <v>#N/A</v>
      </c>
      <c r="D1075" s="25" t="s">
        <v>19346</v>
      </c>
      <c r="E1075" s="26" t="s">
        <v>16544</v>
      </c>
      <c r="F1075" s="27" t="s">
        <v>16830</v>
      </c>
      <c r="G1075" s="27" t="s">
        <v>17559</v>
      </c>
      <c r="H1075" s="27" t="s">
        <v>17583</v>
      </c>
      <c r="I1075" s="27"/>
      <c r="J1075" s="27"/>
      <c r="K1075" s="27"/>
      <c r="L1075" s="27"/>
      <c r="N1075" s="27"/>
      <c r="T1075" s="28" t="str">
        <f>LOOKUP(1,1/(Table1[[#This Row],[Level_0]:[Level 15]]&gt;0),(Table1[[#This Row],[Level_0]:[Level 15]]))</f>
        <v>4000616000 - [COGS - Finished Goods - SubconFee-IC-Cor]</v>
      </c>
      <c r="U1075" s="22">
        <v>1070</v>
      </c>
      <c r="W1075" s="13" t="str">
        <f>LOOKUP(1,1/(Table1[[#This Row],[Level_0]:[Level 15]]&gt;0),(Table1[[#This Row],[Level_0]:[Level 15]]))</f>
        <v>4000616000 - [COGS - Finished Goods - SubconFee-IC-Cor]</v>
      </c>
    </row>
    <row r="1076" spans="1:23" hidden="1" x14ac:dyDescent="0.25">
      <c r="A1076">
        <v>4000610000</v>
      </c>
      <c r="B1076" s="16" t="s">
        <v>19801</v>
      </c>
      <c r="C1076" s="16" t="e">
        <f>VLOOKUP(Table1[[#This Row],[Node]],Parent!A:B,2,0)</f>
        <v>#N/A</v>
      </c>
      <c r="D1076" s="25" t="s">
        <v>19346</v>
      </c>
      <c r="E1076" s="26" t="s">
        <v>16544</v>
      </c>
      <c r="F1076" s="27" t="s">
        <v>16830</v>
      </c>
      <c r="G1076" s="27" t="s">
        <v>17559</v>
      </c>
      <c r="H1076" s="27" t="s">
        <v>17584</v>
      </c>
      <c r="I1076" s="27"/>
      <c r="J1076" s="27"/>
      <c r="K1076" s="27"/>
      <c r="L1076" s="27"/>
      <c r="N1076" s="27"/>
      <c r="T1076" s="28" t="str">
        <f>LOOKUP(1,1/(Table1[[#This Row],[Level_0]:[Level 15]]&gt;0),(Table1[[#This Row],[Level_0]:[Level 15]]))</f>
        <v>4000610000 - [COGS - Finished Goods - Subcon Fee - IC]</v>
      </c>
      <c r="U1076" s="22">
        <v>1071</v>
      </c>
      <c r="W1076" s="13" t="str">
        <f>LOOKUP(1,1/(Table1[[#This Row],[Level_0]:[Level 15]]&gt;0),(Table1[[#This Row],[Level_0]:[Level 15]]))</f>
        <v>4000610000 - [COGS - Finished Goods - Subcon Fee - IC]</v>
      </c>
    </row>
    <row r="1077" spans="1:23" hidden="1" x14ac:dyDescent="0.25">
      <c r="A1077">
        <v>4000600000</v>
      </c>
      <c r="B1077" s="16" t="s">
        <v>19799</v>
      </c>
      <c r="C1077" s="16" t="e">
        <f>VLOOKUP(Table1[[#This Row],[Node]],Parent!A:B,2,0)</f>
        <v>#N/A</v>
      </c>
      <c r="D1077" s="25" t="s">
        <v>19346</v>
      </c>
      <c r="E1077" s="26" t="s">
        <v>16544</v>
      </c>
      <c r="F1077" s="27" t="s">
        <v>16830</v>
      </c>
      <c r="G1077" s="27" t="s">
        <v>17559</v>
      </c>
      <c r="H1077" s="27" t="s">
        <v>17585</v>
      </c>
      <c r="I1077" s="27"/>
      <c r="J1077" s="27"/>
      <c r="K1077" s="27"/>
      <c r="L1077" s="27"/>
      <c r="N1077" s="27"/>
      <c r="T1077" s="28" t="str">
        <f>LOOKUP(1,1/(Table1[[#This Row],[Level_0]:[Level 15]]&gt;0),(Table1[[#This Row],[Level_0]:[Level 15]]))</f>
        <v>4000600000 - [COGS - Finished Goods - Subcon Fee - 3P]</v>
      </c>
      <c r="U1077" s="22">
        <v>1072</v>
      </c>
      <c r="W1077" s="13" t="str">
        <f>LOOKUP(1,1/(Table1[[#This Row],[Level_0]:[Level 15]]&gt;0),(Table1[[#This Row],[Level_0]:[Level 15]]))</f>
        <v>4000600000 - [COGS - Finished Goods - Subcon Fee - 3P]</v>
      </c>
    </row>
    <row r="1078" spans="1:23" hidden="1" x14ac:dyDescent="0.25">
      <c r="A1078">
        <v>4000500000</v>
      </c>
      <c r="B1078" s="16" t="s">
        <v>19797</v>
      </c>
      <c r="C1078" s="16" t="e">
        <f>VLOOKUP(Table1[[#This Row],[Node]],Parent!A:B,2,0)</f>
        <v>#N/A</v>
      </c>
      <c r="D1078" s="25" t="s">
        <v>19346</v>
      </c>
      <c r="E1078" s="26" t="s">
        <v>16544</v>
      </c>
      <c r="F1078" s="27" t="s">
        <v>16830</v>
      </c>
      <c r="G1078" s="27" t="s">
        <v>17559</v>
      </c>
      <c r="H1078" s="27" t="s">
        <v>17586</v>
      </c>
      <c r="I1078" s="27"/>
      <c r="J1078" s="27"/>
      <c r="K1078" s="27"/>
      <c r="L1078" s="27"/>
      <c r="N1078" s="27"/>
      <c r="T1078" s="28" t="str">
        <f>LOOKUP(1,1/(Table1[[#This Row],[Level_0]:[Level 15]]&gt;0),(Table1[[#This Row],[Level_0]:[Level 15]]))</f>
        <v>4000500000 - [COGS - Finished Goods - Mat Overhead Fix]</v>
      </c>
      <c r="U1078" s="22">
        <v>1073</v>
      </c>
      <c r="W1078" s="13" t="str">
        <f>LOOKUP(1,1/(Table1[[#This Row],[Level_0]:[Level 15]]&gt;0),(Table1[[#This Row],[Level_0]:[Level 15]]))</f>
        <v>4000500000 - [COGS - Finished Goods - Mat Overhead Fix]</v>
      </c>
    </row>
    <row r="1079" spans="1:23" hidden="1" x14ac:dyDescent="0.25">
      <c r="A1079">
        <v>4000406000</v>
      </c>
      <c r="B1079" s="16" t="s">
        <v>19794</v>
      </c>
      <c r="C1079" s="16" t="e">
        <f>VLOOKUP(Table1[[#This Row],[Node]],Parent!A:B,2,0)</f>
        <v>#N/A</v>
      </c>
      <c r="D1079" s="25" t="s">
        <v>19346</v>
      </c>
      <c r="E1079" s="26" t="s">
        <v>16544</v>
      </c>
      <c r="F1079" s="27" t="s">
        <v>16830</v>
      </c>
      <c r="G1079" s="27" t="s">
        <v>17559</v>
      </c>
      <c r="H1079" s="27" t="s">
        <v>17587</v>
      </c>
      <c r="I1079" s="27"/>
      <c r="J1079" s="27"/>
      <c r="K1079" s="27"/>
      <c r="L1079" s="27"/>
      <c r="N1079" s="27"/>
      <c r="T1079" s="28" t="str">
        <f>LOOKUP(1,1/(Table1[[#This Row],[Level_0]:[Level 15]]&gt;0),(Table1[[#This Row],[Level_0]:[Level 15]]))</f>
        <v>4000406000 - [COGS - Finished Goods - Con Co Fix Cor]</v>
      </c>
      <c r="U1079" s="22">
        <v>1074</v>
      </c>
      <c r="W1079" s="13" t="str">
        <f>LOOKUP(1,1/(Table1[[#This Row],[Level_0]:[Level 15]]&gt;0),(Table1[[#This Row],[Level_0]:[Level 15]]))</f>
        <v>4000406000 - [COGS - Finished Goods - Con Co Fix Cor]</v>
      </c>
    </row>
    <row r="1080" spans="1:23" hidden="1" x14ac:dyDescent="0.25">
      <c r="A1080">
        <v>4000400000</v>
      </c>
      <c r="B1080" s="16" t="s">
        <v>19788</v>
      </c>
      <c r="C1080" s="16" t="e">
        <f>VLOOKUP(Table1[[#This Row],[Node]],Parent!A:B,2,0)</f>
        <v>#N/A</v>
      </c>
      <c r="D1080" s="25" t="s">
        <v>19346</v>
      </c>
      <c r="E1080" s="26" t="s">
        <v>16544</v>
      </c>
      <c r="F1080" s="27" t="s">
        <v>16830</v>
      </c>
      <c r="G1080" s="27" t="s">
        <v>17559</v>
      </c>
      <c r="H1080" s="27" t="s">
        <v>17588</v>
      </c>
      <c r="I1080" s="27"/>
      <c r="J1080" s="27"/>
      <c r="K1080" s="27"/>
      <c r="L1080" s="27"/>
      <c r="N1080" s="27"/>
      <c r="T1080" s="28" t="str">
        <f>LOOKUP(1,1/(Table1[[#This Row],[Level_0]:[Level 15]]&gt;0),(Table1[[#This Row],[Level_0]:[Level 15]]))</f>
        <v>4000400000 - [COGS - Finished Goods - Conver Cost Fix]</v>
      </c>
      <c r="U1080" s="22">
        <v>1075</v>
      </c>
      <c r="W1080" s="13" t="str">
        <f>LOOKUP(1,1/(Table1[[#This Row],[Level_0]:[Level 15]]&gt;0),(Table1[[#This Row],[Level_0]:[Level 15]]))</f>
        <v>4000400000 - [COGS - Finished Goods - Conver Cost Fix]</v>
      </c>
    </row>
    <row r="1081" spans="1:23" hidden="1" x14ac:dyDescent="0.25">
      <c r="A1081">
        <v>4000306000</v>
      </c>
      <c r="B1081" s="16" t="s">
        <v>19787</v>
      </c>
      <c r="C1081" s="16" t="e">
        <f>VLOOKUP(Table1[[#This Row],[Node]],Parent!A:B,2,0)</f>
        <v>#N/A</v>
      </c>
      <c r="D1081" s="25" t="s">
        <v>19346</v>
      </c>
      <c r="E1081" s="26" t="s">
        <v>16544</v>
      </c>
      <c r="F1081" s="27" t="s">
        <v>16830</v>
      </c>
      <c r="G1081" s="27" t="s">
        <v>17559</v>
      </c>
      <c r="H1081" s="27" t="s">
        <v>17589</v>
      </c>
      <c r="I1081" s="27"/>
      <c r="J1081" s="27"/>
      <c r="K1081" s="27"/>
      <c r="L1081" s="27"/>
      <c r="N1081" s="27"/>
      <c r="T1081" s="28" t="str">
        <f>LOOKUP(1,1/(Table1[[#This Row],[Level_0]:[Level 15]]&gt;0),(Table1[[#This Row],[Level_0]:[Level 15]]))</f>
        <v>4000306000 - [COGS - Finished Goods - Con Co Var Cor]</v>
      </c>
      <c r="U1081" s="22">
        <v>1076</v>
      </c>
      <c r="W1081" s="13" t="str">
        <f>LOOKUP(1,1/(Table1[[#This Row],[Level_0]:[Level 15]]&gt;0),(Table1[[#This Row],[Level_0]:[Level 15]]))</f>
        <v>4000306000 - [COGS - Finished Goods - Con Co Var Cor]</v>
      </c>
    </row>
    <row r="1082" spans="1:23" hidden="1" x14ac:dyDescent="0.25">
      <c r="A1082">
        <v>4000000100</v>
      </c>
      <c r="B1082" s="16" t="s">
        <v>19777</v>
      </c>
      <c r="C1082" s="16" t="e">
        <f>VLOOKUP(Table1[[#This Row],[Node]],Parent!A:B,2,0)</f>
        <v>#N/A</v>
      </c>
      <c r="D1082" s="25" t="s">
        <v>19346</v>
      </c>
      <c r="E1082" s="26" t="s">
        <v>16544</v>
      </c>
      <c r="F1082" s="27" t="s">
        <v>16830</v>
      </c>
      <c r="G1082" s="27" t="s">
        <v>17559</v>
      </c>
      <c r="H1082" s="27" t="s">
        <v>17590</v>
      </c>
      <c r="I1082" s="27"/>
      <c r="J1082" s="27"/>
      <c r="K1082" s="27"/>
      <c r="L1082" s="27"/>
      <c r="N1082" s="27"/>
      <c r="T1082" s="28" t="str">
        <f>LOOKUP(1,1/(Table1[[#This Row],[Level_0]:[Level 15]]&gt;0),(Table1[[#This Row],[Level_0]:[Level 15]]))</f>
        <v>4000000100 - [COGS - Finished Goods - IDOC]</v>
      </c>
      <c r="U1082" s="22">
        <v>1077</v>
      </c>
      <c r="W1082" s="13" t="str">
        <f>LOOKUP(1,1/(Table1[[#This Row],[Level_0]:[Level 15]]&gt;0),(Table1[[#This Row],[Level_0]:[Level 15]]))</f>
        <v>4000000100 - [COGS - Finished Goods - IDOC]</v>
      </c>
    </row>
    <row r="1083" spans="1:23" hidden="1" x14ac:dyDescent="0.25">
      <c r="A1083">
        <v>3000000002</v>
      </c>
      <c r="B1083" s="16" t="s">
        <v>19509</v>
      </c>
      <c r="C1083" s="16" t="e">
        <f>VLOOKUP(Table1[[#This Row],[Node]],Parent!A:B,2,0)</f>
        <v>#N/A</v>
      </c>
      <c r="D1083" s="25" t="s">
        <v>19346</v>
      </c>
      <c r="E1083" s="26" t="s">
        <v>16544</v>
      </c>
      <c r="F1083" s="27" t="s">
        <v>16830</v>
      </c>
      <c r="G1083" s="27" t="s">
        <v>17559</v>
      </c>
      <c r="H1083" s="27" t="s">
        <v>17591</v>
      </c>
      <c r="I1083" s="27"/>
      <c r="J1083" s="27"/>
      <c r="K1083" s="27"/>
      <c r="L1083" s="27"/>
      <c r="N1083" s="27"/>
      <c r="T1083" s="28" t="str">
        <f>LOOKUP(1,1/(Table1[[#This Row],[Level_0]:[Level 15]]&gt;0),(Table1[[#This Row],[Level_0]:[Level 15]]))</f>
        <v>3000000002 - [Sales Revenue - Goods - Account 2]</v>
      </c>
      <c r="U1083" s="22">
        <v>1078</v>
      </c>
      <c r="W1083" s="13" t="str">
        <f>LOOKUP(1,1/(Table1[[#This Row],[Level_0]:[Level 15]]&gt;0),(Table1[[#This Row],[Level_0]:[Level 15]]))</f>
        <v>3000000002 - [Sales Revenue - Goods - Account 2]</v>
      </c>
    </row>
    <row r="1084" spans="1:23" hidden="1" x14ac:dyDescent="0.25">
      <c r="A1084">
        <v>4005000000</v>
      </c>
      <c r="B1084" s="16" t="s">
        <v>19820</v>
      </c>
      <c r="C1084" s="16" t="e">
        <f>VLOOKUP(Table1[[#This Row],[Node]],Parent!A:B,2,0)</f>
        <v>#N/A</v>
      </c>
      <c r="D1084" s="25" t="s">
        <v>19346</v>
      </c>
      <c r="E1084" s="26" t="s">
        <v>16544</v>
      </c>
      <c r="F1084" s="27" t="s">
        <v>16830</v>
      </c>
      <c r="G1084" s="27" t="s">
        <v>17559</v>
      </c>
      <c r="H1084" s="27" t="s">
        <v>17592</v>
      </c>
      <c r="I1084" s="27"/>
      <c r="J1084" s="27"/>
      <c r="K1084" s="27"/>
      <c r="L1084" s="27"/>
      <c r="N1084" s="27"/>
      <c r="T1084" s="28" t="str">
        <f>LOOKUP(1,1/(Table1[[#This Row],[Level_0]:[Level 15]]&gt;0),(Table1[[#This Row],[Level_0]:[Level 15]]))</f>
        <v>4005000000 - [Returns - Finished Goods]</v>
      </c>
      <c r="U1084" s="22">
        <v>1079</v>
      </c>
      <c r="W1084" s="13" t="str">
        <f>LOOKUP(1,1/(Table1[[#This Row],[Level_0]:[Level 15]]&gt;0),(Table1[[#This Row],[Level_0]:[Level 15]]))</f>
        <v>4005000000 - [Returns - Finished Goods]</v>
      </c>
    </row>
    <row r="1085" spans="1:23" hidden="1" x14ac:dyDescent="0.25">
      <c r="A1085">
        <v>7811210000</v>
      </c>
      <c r="B1085" s="16" t="s">
        <v>21784</v>
      </c>
      <c r="C1085" s="16" t="e">
        <f>VLOOKUP(Table1[[#This Row],[Node]],Parent!A:B,2,0)</f>
        <v>#N/A</v>
      </c>
      <c r="D1085" s="25" t="s">
        <v>19346</v>
      </c>
      <c r="E1085" s="26" t="s">
        <v>16544</v>
      </c>
      <c r="F1085" s="27" t="s">
        <v>16830</v>
      </c>
      <c r="G1085" s="27" t="s">
        <v>17559</v>
      </c>
      <c r="H1085" s="27" t="s">
        <v>17593</v>
      </c>
      <c r="I1085" s="27"/>
      <c r="J1085" s="27"/>
      <c r="K1085" s="27"/>
      <c r="L1085" s="27"/>
      <c r="N1085" s="27"/>
      <c r="T1085" s="28" t="str">
        <f>LOOKUP(1,1/(Table1[[#This Row],[Level_0]:[Level 15]]&gt;0),(Table1[[#This Row],[Level_0]:[Level 15]]))</f>
        <v>7811210000 - [APA AmoOthA - CapCo to Fulfill LT Contr]</v>
      </c>
      <c r="U1085" s="22">
        <v>1080</v>
      </c>
      <c r="W1085" s="13" t="str">
        <f>LOOKUP(1,1/(Table1[[#This Row],[Level_0]:[Level 15]]&gt;0),(Table1[[#This Row],[Level_0]:[Level 15]]))</f>
        <v>7811210000 - [APA AmoOthA - CapCo to Fulfill LT Contr]</v>
      </c>
    </row>
    <row r="1086" spans="1:23" hidden="1" x14ac:dyDescent="0.25">
      <c r="A1086">
        <v>7810140000</v>
      </c>
      <c r="B1086" s="16" t="s">
        <v>21763</v>
      </c>
      <c r="C1086" s="16" t="e">
        <f>VLOOKUP(Table1[[#This Row],[Node]],Parent!A:B,2,0)</f>
        <v>#N/A</v>
      </c>
      <c r="D1086" s="25" t="s">
        <v>19346</v>
      </c>
      <c r="E1086" s="26" t="s">
        <v>16544</v>
      </c>
      <c r="F1086" s="27" t="s">
        <v>16830</v>
      </c>
      <c r="G1086" s="27" t="s">
        <v>17559</v>
      </c>
      <c r="H1086" s="27" t="s">
        <v>17594</v>
      </c>
      <c r="I1086" s="27"/>
      <c r="J1086" s="27"/>
      <c r="K1086" s="27"/>
      <c r="L1086" s="27"/>
      <c r="N1086" s="27"/>
      <c r="T1086" s="28" t="str">
        <f>LOOKUP(1,1/(Table1[[#This Row],[Level_0]:[Level 15]]&gt;0),(Table1[[#This Row],[Level_0]:[Level 15]]))</f>
        <v>7810140000 - [APA Commission income]</v>
      </c>
      <c r="U1086" s="22">
        <v>1081</v>
      </c>
      <c r="W1086" s="13" t="str">
        <f>LOOKUP(1,1/(Table1[[#This Row],[Level_0]:[Level 15]]&gt;0),(Table1[[#This Row],[Level_0]:[Level 15]]))</f>
        <v>7810140000 - [APA Commission income]</v>
      </c>
    </row>
    <row r="1087" spans="1:23" hidden="1" x14ac:dyDescent="0.25">
      <c r="A1087">
        <v>7711172000</v>
      </c>
      <c r="B1087" s="16" t="s">
        <v>21611</v>
      </c>
      <c r="C1087" s="16" t="e">
        <f>VLOOKUP(Table1[[#This Row],[Node]],Parent!A:B,2,0)</f>
        <v>#N/A</v>
      </c>
      <c r="D1087" s="25" t="s">
        <v>19346</v>
      </c>
      <c r="E1087" s="26" t="s">
        <v>16544</v>
      </c>
      <c r="F1087" s="27" t="s">
        <v>16830</v>
      </c>
      <c r="G1087" s="27" t="s">
        <v>17559</v>
      </c>
      <c r="H1087" s="27" t="s">
        <v>17595</v>
      </c>
      <c r="I1087" s="27"/>
      <c r="J1087" s="27"/>
      <c r="K1087" s="27"/>
      <c r="L1087" s="27"/>
      <c r="N1087" s="27"/>
      <c r="T1087" s="28" t="str">
        <f>LOOKUP(1,1/(Table1[[#This Row],[Level_0]:[Level 15]]&gt;0),(Table1[[#This Row],[Level_0]:[Level 15]]))</f>
        <v>7711172000 - [SPA Order processing and logistics/ SCM]</v>
      </c>
      <c r="U1087" s="22">
        <v>1082</v>
      </c>
      <c r="W1087" s="13" t="str">
        <f>LOOKUP(1,1/(Table1[[#This Row],[Level_0]:[Level 15]]&gt;0),(Table1[[#This Row],[Level_0]:[Level 15]]))</f>
        <v>7711172000 - [SPA Order processing and logistics/ SCM]</v>
      </c>
    </row>
    <row r="1088" spans="1:23" hidden="1" x14ac:dyDescent="0.25">
      <c r="A1088">
        <v>7710120003</v>
      </c>
      <c r="B1088" s="16" t="s">
        <v>21591</v>
      </c>
      <c r="C1088" s="16" t="e">
        <f>VLOOKUP(Table1[[#This Row],[Node]],Parent!A:B,2,0)</f>
        <v>#N/A</v>
      </c>
      <c r="D1088" s="25" t="s">
        <v>19346</v>
      </c>
      <c r="E1088" s="26" t="s">
        <v>16544</v>
      </c>
      <c r="F1088" s="27" t="s">
        <v>16830</v>
      </c>
      <c r="G1088" s="27" t="s">
        <v>17559</v>
      </c>
      <c r="H1088" s="27" t="s">
        <v>17596</v>
      </c>
      <c r="I1088" s="27"/>
      <c r="J1088" s="27"/>
      <c r="K1088" s="27"/>
      <c r="L1088" s="27"/>
      <c r="N1088" s="27"/>
      <c r="T1088" s="28" t="str">
        <f>LOOKUP(1,1/(Table1[[#This Row],[Level_0]:[Level 15]]&gt;0),(Table1[[#This Row],[Level_0]:[Level 15]]))</f>
        <v>7710120003 - [SPA Service Bonus]</v>
      </c>
      <c r="U1088" s="22">
        <v>1083</v>
      </c>
      <c r="W1088" s="13" t="str">
        <f>LOOKUP(1,1/(Table1[[#This Row],[Level_0]:[Level 15]]&gt;0),(Table1[[#This Row],[Level_0]:[Level 15]]))</f>
        <v>7710120003 - [SPA Service Bonus]</v>
      </c>
    </row>
    <row r="1089" spans="1:23" hidden="1" x14ac:dyDescent="0.25">
      <c r="A1089">
        <v>7710120002</v>
      </c>
      <c r="B1089" s="16" t="s">
        <v>21590</v>
      </c>
      <c r="C1089" s="16" t="e">
        <f>VLOOKUP(Table1[[#This Row],[Node]],Parent!A:B,2,0)</f>
        <v>#N/A</v>
      </c>
      <c r="D1089" s="25" t="s">
        <v>19346</v>
      </c>
      <c r="E1089" s="26" t="s">
        <v>16544</v>
      </c>
      <c r="F1089" s="27" t="s">
        <v>16830</v>
      </c>
      <c r="G1089" s="27" t="s">
        <v>17559</v>
      </c>
      <c r="H1089" s="27" t="s">
        <v>17597</v>
      </c>
      <c r="I1089" s="27"/>
      <c r="J1089" s="27"/>
      <c r="K1089" s="27"/>
      <c r="L1089" s="27"/>
      <c r="N1089" s="27"/>
      <c r="T1089" s="28" t="str">
        <f>LOOKUP(1,1/(Table1[[#This Row],[Level_0]:[Level 15]]&gt;0),(Table1[[#This Row],[Level_0]:[Level 15]]))</f>
        <v>7710120002 - [SPA Service Cash Discounts]</v>
      </c>
      <c r="U1089" s="22">
        <v>1084</v>
      </c>
      <c r="W1089" s="13" t="str">
        <f>LOOKUP(1,1/(Table1[[#This Row],[Level_0]:[Level 15]]&gt;0),(Table1[[#This Row],[Level_0]:[Level 15]]))</f>
        <v>7710120002 - [SPA Service Cash Discounts]</v>
      </c>
    </row>
    <row r="1090" spans="1:23" hidden="1" x14ac:dyDescent="0.25">
      <c r="A1090">
        <v>7710120001</v>
      </c>
      <c r="B1090" s="16" t="s">
        <v>21589</v>
      </c>
      <c r="C1090" s="16" t="e">
        <f>VLOOKUP(Table1[[#This Row],[Node]],Parent!A:B,2,0)</f>
        <v>#N/A</v>
      </c>
      <c r="D1090" s="25" t="s">
        <v>19346</v>
      </c>
      <c r="E1090" s="26" t="s">
        <v>16544</v>
      </c>
      <c r="F1090" s="27" t="s">
        <v>16830</v>
      </c>
      <c r="G1090" s="27" t="s">
        <v>17559</v>
      </c>
      <c r="H1090" s="27" t="s">
        <v>17598</v>
      </c>
      <c r="I1090" s="27"/>
      <c r="J1090" s="27"/>
      <c r="K1090" s="27"/>
      <c r="L1090" s="27"/>
      <c r="N1090" s="27"/>
      <c r="T1090" s="28" t="str">
        <f>LOOKUP(1,1/(Table1[[#This Row],[Level_0]:[Level 15]]&gt;0),(Table1[[#This Row],[Level_0]:[Level 15]]))</f>
        <v>7710120001 - [SPA Service Rebates (on-invoice)]</v>
      </c>
      <c r="U1090" s="22">
        <v>1085</v>
      </c>
      <c r="W1090" s="13" t="str">
        <f>LOOKUP(1,1/(Table1[[#This Row],[Level_0]:[Level 15]]&gt;0),(Table1[[#This Row],[Level_0]:[Level 15]]))</f>
        <v>7710120001 - [SPA Service Rebates (on-invoice)]</v>
      </c>
    </row>
    <row r="1091" spans="1:23" hidden="1" x14ac:dyDescent="0.25">
      <c r="A1091">
        <v>7710120000</v>
      </c>
      <c r="B1091" s="16" t="s">
        <v>21588</v>
      </c>
      <c r="C1091" s="16" t="e">
        <f>VLOOKUP(Table1[[#This Row],[Node]],Parent!A:B,2,0)</f>
        <v>#N/A</v>
      </c>
      <c r="D1091" s="25" t="s">
        <v>19346</v>
      </c>
      <c r="E1091" s="26" t="s">
        <v>16544</v>
      </c>
      <c r="F1091" s="27" t="s">
        <v>16830</v>
      </c>
      <c r="G1091" s="27" t="s">
        <v>17559</v>
      </c>
      <c r="H1091" s="27" t="s">
        <v>17599</v>
      </c>
      <c r="I1091" s="27"/>
      <c r="J1091" s="27"/>
      <c r="K1091" s="27"/>
      <c r="L1091" s="27"/>
      <c r="N1091" s="27"/>
      <c r="T1091" s="28" t="str">
        <f>LOOKUP(1,1/(Table1[[#This Row],[Level_0]:[Level 15]]&gt;0),(Table1[[#This Row],[Level_0]:[Level 15]]))</f>
        <v>7710120000 - [SPA Services revenue]</v>
      </c>
      <c r="U1091" s="22">
        <v>1086</v>
      </c>
      <c r="W1091" s="13" t="str">
        <f>LOOKUP(1,1/(Table1[[#This Row],[Level_0]:[Level 15]]&gt;0),(Table1[[#This Row],[Level_0]:[Level 15]]))</f>
        <v>7710120000 - [SPA Services revenue]</v>
      </c>
    </row>
    <row r="1092" spans="1:23" hidden="1" x14ac:dyDescent="0.25">
      <c r="A1092">
        <v>7620000004</v>
      </c>
      <c r="B1092" s="16" t="s">
        <v>21532</v>
      </c>
      <c r="C1092" s="16" t="e">
        <f>VLOOKUP(Table1[[#This Row],[Node]],Parent!A:B,2,0)</f>
        <v>#N/A</v>
      </c>
      <c r="D1092" s="25" t="s">
        <v>19346</v>
      </c>
      <c r="E1092" s="26" t="s">
        <v>16544</v>
      </c>
      <c r="F1092" s="27" t="s">
        <v>16830</v>
      </c>
      <c r="G1092" s="27" t="s">
        <v>17559</v>
      </c>
      <c r="H1092" s="27" t="s">
        <v>17600</v>
      </c>
      <c r="I1092" s="27"/>
      <c r="J1092" s="27"/>
      <c r="K1092" s="27"/>
      <c r="L1092" s="27"/>
      <c r="N1092" s="27"/>
      <c r="T1092" s="28" t="str">
        <f>LOOKUP(1,1/(Table1[[#This Row],[Level_0]:[Level 15]]&gt;0),(Table1[[#This Row],[Level_0]:[Level 15]]))</f>
        <v>7620000004 - [AOM Cross-Project Capitalized Other Cost]</v>
      </c>
      <c r="U1092" s="22">
        <v>1087</v>
      </c>
      <c r="W1092" s="13" t="str">
        <f>LOOKUP(1,1/(Table1[[#This Row],[Level_0]:[Level 15]]&gt;0),(Table1[[#This Row],[Level_0]:[Level 15]]))</f>
        <v>7620000004 - [AOM Cross-Project Capitalized Other Cost]</v>
      </c>
    </row>
    <row r="1093" spans="1:23" hidden="1" x14ac:dyDescent="0.25">
      <c r="A1093">
        <v>7620000003</v>
      </c>
      <c r="B1093" s="16" t="s">
        <v>21531</v>
      </c>
      <c r="C1093" s="16" t="e">
        <f>VLOOKUP(Table1[[#This Row],[Node]],Parent!A:B,2,0)</f>
        <v>#N/A</v>
      </c>
      <c r="D1093" s="25" t="s">
        <v>19346</v>
      </c>
      <c r="E1093" s="26" t="s">
        <v>16544</v>
      </c>
      <c r="F1093" s="27" t="s">
        <v>16830</v>
      </c>
      <c r="G1093" s="27" t="s">
        <v>17559</v>
      </c>
      <c r="H1093" s="27" t="s">
        <v>17601</v>
      </c>
      <c r="I1093" s="27"/>
      <c r="J1093" s="27"/>
      <c r="K1093" s="27"/>
      <c r="L1093" s="27"/>
      <c r="N1093" s="27"/>
      <c r="T1093" s="28" t="str">
        <f>LOOKUP(1,1/(Table1[[#This Row],[Level_0]:[Level 15]]&gt;0),(Table1[[#This Row],[Level_0]:[Level 15]]))</f>
        <v>7620000003 - [AOM Cross-Proj OthCapexCapzed4FixedAssts]</v>
      </c>
      <c r="U1093" s="22">
        <v>1088</v>
      </c>
      <c r="W1093" s="13" t="str">
        <f>LOOKUP(1,1/(Table1[[#This Row],[Level_0]:[Level 15]]&gt;0),(Table1[[#This Row],[Level_0]:[Level 15]]))</f>
        <v>7620000003 - [AOM Cross-Proj OthCapexCapzed4FixedAssts]</v>
      </c>
    </row>
    <row r="1094" spans="1:23" hidden="1" x14ac:dyDescent="0.25">
      <c r="A1094">
        <v>7620000002</v>
      </c>
      <c r="B1094" s="16" t="s">
        <v>21530</v>
      </c>
      <c r="C1094" s="16" t="e">
        <f>VLOOKUP(Table1[[#This Row],[Node]],Parent!A:B,2,0)</f>
        <v>#N/A</v>
      </c>
      <c r="D1094" s="25" t="s">
        <v>19346</v>
      </c>
      <c r="E1094" s="26" t="s">
        <v>16544</v>
      </c>
      <c r="F1094" s="27" t="s">
        <v>16830</v>
      </c>
      <c r="G1094" s="27" t="s">
        <v>17559</v>
      </c>
      <c r="H1094" s="27" t="s">
        <v>17602</v>
      </c>
      <c r="I1094" s="27"/>
      <c r="J1094" s="27"/>
      <c r="K1094" s="27"/>
      <c r="L1094" s="27"/>
      <c r="N1094" s="27"/>
      <c r="T1094" s="28" t="str">
        <f>LOOKUP(1,1/(Table1[[#This Row],[Level_0]:[Level 15]]&gt;0),(Table1[[#This Row],[Level_0]:[Level 15]]))</f>
        <v>7620000002 - [AOM Cross-Proj Capex Material4FixedAssts]</v>
      </c>
      <c r="U1094" s="22">
        <v>1089</v>
      </c>
      <c r="W1094" s="13" t="str">
        <f>LOOKUP(1,1/(Table1[[#This Row],[Level_0]:[Level 15]]&gt;0),(Table1[[#This Row],[Level_0]:[Level 15]]))</f>
        <v>7620000002 - [AOM Cross-Proj Capex Material4FixedAssts]</v>
      </c>
    </row>
    <row r="1095" spans="1:23" hidden="1" x14ac:dyDescent="0.25">
      <c r="A1095">
        <v>7620000001</v>
      </c>
      <c r="B1095" s="16" t="s">
        <v>21529</v>
      </c>
      <c r="C1095" s="16" t="e">
        <f>VLOOKUP(Table1[[#This Row],[Node]],Parent!A:B,2,0)</f>
        <v>#N/A</v>
      </c>
      <c r="D1095" s="25" t="s">
        <v>19346</v>
      </c>
      <c r="E1095" s="26" t="s">
        <v>16544</v>
      </c>
      <c r="F1095" s="27" t="s">
        <v>16830</v>
      </c>
      <c r="G1095" s="27" t="s">
        <v>17559</v>
      </c>
      <c r="H1095" s="27" t="s">
        <v>17603</v>
      </c>
      <c r="I1095" s="27"/>
      <c r="J1095" s="27"/>
      <c r="K1095" s="27"/>
      <c r="L1095" s="27"/>
      <c r="N1095" s="27"/>
      <c r="T1095" s="28" t="str">
        <f>LOOKUP(1,1/(Table1[[#This Row],[Level_0]:[Level 15]]&gt;0),(Table1[[#This Row],[Level_0]:[Level 15]]))</f>
        <v>7620000001 - [AOM Cross-Proj Capex EXTServcs4FixdAssts]</v>
      </c>
      <c r="U1095" s="22">
        <v>1090</v>
      </c>
      <c r="W1095" s="13" t="str">
        <f>LOOKUP(1,1/(Table1[[#This Row],[Level_0]:[Level 15]]&gt;0),(Table1[[#This Row],[Level_0]:[Level 15]]))</f>
        <v>7620000001 - [AOM Cross-Proj Capex EXTServcs4FixdAssts]</v>
      </c>
    </row>
    <row r="1096" spans="1:23" hidden="1" x14ac:dyDescent="0.25">
      <c r="A1096">
        <v>7620000000</v>
      </c>
      <c r="B1096" s="16" t="s">
        <v>21528</v>
      </c>
      <c r="C1096" s="16" t="e">
        <f>VLOOKUP(Table1[[#This Row],[Node]],Parent!A:B,2,0)</f>
        <v>#N/A</v>
      </c>
      <c r="D1096" s="25" t="s">
        <v>19346</v>
      </c>
      <c r="E1096" s="26" t="s">
        <v>16544</v>
      </c>
      <c r="F1096" s="27" t="s">
        <v>16830</v>
      </c>
      <c r="G1096" s="27" t="s">
        <v>17559</v>
      </c>
      <c r="H1096" s="27" t="s">
        <v>17604</v>
      </c>
      <c r="I1096" s="27"/>
      <c r="J1096" s="27"/>
      <c r="K1096" s="27"/>
      <c r="L1096" s="27"/>
      <c r="N1096" s="27"/>
      <c r="T1096" s="28" t="str">
        <f>LOOKUP(1,1/(Table1[[#This Row],[Level_0]:[Level 15]]&gt;0),(Table1[[#This Row],[Level_0]:[Level 15]]))</f>
        <v>7620000000 - [AOM Cross-Proj Capex INTServcs4FixdAssts]</v>
      </c>
      <c r="U1096" s="22">
        <v>1091</v>
      </c>
      <c r="W1096" s="13" t="str">
        <f>LOOKUP(1,1/(Table1[[#This Row],[Level_0]:[Level 15]]&gt;0),(Table1[[#This Row],[Level_0]:[Level 15]]))</f>
        <v>7620000000 - [AOM Cross-Proj Capex INTServcs4FixdAssts]</v>
      </c>
    </row>
    <row r="1097" spans="1:23" hidden="1" x14ac:dyDescent="0.25">
      <c r="A1097">
        <v>5445000000</v>
      </c>
      <c r="B1097" s="16" t="s">
        <v>20297</v>
      </c>
      <c r="C1097" s="16" t="e">
        <f>VLOOKUP(Table1[[#This Row],[Node]],Parent!A:B,2,0)</f>
        <v>#N/A</v>
      </c>
      <c r="D1097" s="25" t="s">
        <v>19346</v>
      </c>
      <c r="E1097" s="26" t="s">
        <v>16544</v>
      </c>
      <c r="F1097" s="27" t="s">
        <v>16830</v>
      </c>
      <c r="G1097" s="27" t="s">
        <v>17559</v>
      </c>
      <c r="H1097" s="27" t="s">
        <v>17605</v>
      </c>
      <c r="I1097" s="27"/>
      <c r="J1097" s="27"/>
      <c r="K1097" s="27"/>
      <c r="L1097" s="27"/>
      <c r="N1097" s="27"/>
      <c r="T1097" s="28" t="str">
        <f>LOOKUP(1,1/(Table1[[#This Row],[Level_0]:[Level 15]]&gt;0),(Table1[[#This Row],[Level_0]:[Level 15]]))</f>
        <v>5445000000 - [Royalty Expenses - COGS]</v>
      </c>
      <c r="U1097" s="22">
        <v>1092</v>
      </c>
      <c r="W1097" s="13" t="str">
        <f>LOOKUP(1,1/(Table1[[#This Row],[Level_0]:[Level 15]]&gt;0),(Table1[[#This Row],[Level_0]:[Level 15]]))</f>
        <v>5445000000 - [Royalty Expenses - COGS]</v>
      </c>
    </row>
    <row r="1098" spans="1:23" hidden="1" x14ac:dyDescent="0.25">
      <c r="A1098">
        <v>4060000000</v>
      </c>
      <c r="B1098" s="16" t="s">
        <v>19848</v>
      </c>
      <c r="C1098" s="16" t="e">
        <f>VLOOKUP(Table1[[#This Row],[Node]],Parent!A:B,2,0)</f>
        <v>#N/A</v>
      </c>
      <c r="D1098" s="25" t="s">
        <v>19346</v>
      </c>
      <c r="E1098" s="26" t="s">
        <v>16544</v>
      </c>
      <c r="F1098" s="27" t="s">
        <v>16830</v>
      </c>
      <c r="G1098" s="27" t="s">
        <v>17559</v>
      </c>
      <c r="H1098" s="27" t="s">
        <v>17606</v>
      </c>
      <c r="I1098" s="27"/>
      <c r="J1098" s="27"/>
      <c r="K1098" s="27"/>
      <c r="L1098" s="27"/>
      <c r="N1098" s="27"/>
      <c r="T1098" s="28" t="str">
        <f>LOOKUP(1,1/(Table1[[#This Row],[Level_0]:[Level 15]]&gt;0),(Table1[[#This Row],[Level_0]:[Level 15]]))</f>
        <v>4060000000 - [COGS - Adjustment - Manual]</v>
      </c>
      <c r="U1098" s="22">
        <v>1093</v>
      </c>
      <c r="W1098" s="13" t="str">
        <f>LOOKUP(1,1/(Table1[[#This Row],[Level_0]:[Level 15]]&gt;0),(Table1[[#This Row],[Level_0]:[Level 15]]))</f>
        <v>4060000000 - [COGS - Adjustment - Manual]</v>
      </c>
    </row>
    <row r="1099" spans="1:23" hidden="1" x14ac:dyDescent="0.25">
      <c r="A1099">
        <v>4009006000</v>
      </c>
      <c r="B1099" s="16" t="s">
        <v>19835</v>
      </c>
      <c r="C1099" s="16" t="e">
        <f>VLOOKUP(Table1[[#This Row],[Node]],Parent!A:B,2,0)</f>
        <v>#N/A</v>
      </c>
      <c r="D1099" s="25" t="s">
        <v>19346</v>
      </c>
      <c r="E1099" s="26" t="s">
        <v>16544</v>
      </c>
      <c r="F1099" s="27" t="s">
        <v>16830</v>
      </c>
      <c r="G1099" s="27" t="s">
        <v>17559</v>
      </c>
      <c r="H1099" s="27" t="s">
        <v>17607</v>
      </c>
      <c r="I1099" s="27"/>
      <c r="J1099" s="27"/>
      <c r="K1099" s="27"/>
      <c r="L1099" s="27"/>
      <c r="N1099" s="27"/>
      <c r="T1099" s="28" t="str">
        <f>LOOKUP(1,1/(Table1[[#This Row],[Level_0]:[Level 15]]&gt;0),(Table1[[#This Row],[Level_0]:[Level 15]]))</f>
        <v>4009006000 - [COGS - Adjust for Returns-Correction Acc]</v>
      </c>
      <c r="U1099" s="22">
        <v>1094</v>
      </c>
      <c r="W1099" s="13" t="str">
        <f>LOOKUP(1,1/(Table1[[#This Row],[Level_0]:[Level 15]]&gt;0),(Table1[[#This Row],[Level_0]:[Level 15]]))</f>
        <v>4009006000 - [COGS - Adjust for Returns-Correction Acc]</v>
      </c>
    </row>
    <row r="1100" spans="1:23" hidden="1" x14ac:dyDescent="0.25">
      <c r="A1100">
        <v>4002000000</v>
      </c>
      <c r="B1100" s="16" t="s">
        <v>19817</v>
      </c>
      <c r="C1100" s="16" t="e">
        <f>VLOOKUP(Table1[[#This Row],[Node]],Parent!A:B,2,0)</f>
        <v>#N/A</v>
      </c>
      <c r="D1100" s="25" t="s">
        <v>19346</v>
      </c>
      <c r="E1100" s="26" t="s">
        <v>16544</v>
      </c>
      <c r="F1100" s="27" t="s">
        <v>16830</v>
      </c>
      <c r="G1100" s="27" t="s">
        <v>17559</v>
      </c>
      <c r="H1100" s="27" t="s">
        <v>17608</v>
      </c>
      <c r="I1100" s="27"/>
      <c r="J1100" s="27"/>
      <c r="K1100" s="27"/>
      <c r="L1100" s="27"/>
      <c r="N1100" s="27"/>
      <c r="T1100" s="28" t="str">
        <f>LOOKUP(1,1/(Table1[[#This Row],[Level_0]:[Level 15]]&gt;0),(Table1[[#This Row],[Level_0]:[Level 15]]))</f>
        <v>4002000000 - [COGS - Merchandise - Non-Stock]</v>
      </c>
      <c r="U1100" s="22">
        <v>1095</v>
      </c>
      <c r="W1100" s="13" t="str">
        <f>LOOKUP(1,1/(Table1[[#This Row],[Level_0]:[Level 15]]&gt;0),(Table1[[#This Row],[Level_0]:[Level 15]]))</f>
        <v>4002000000 - [COGS - Merchandise - Non-Stock]</v>
      </c>
    </row>
    <row r="1101" spans="1:23" hidden="1" x14ac:dyDescent="0.25">
      <c r="A1101">
        <v>4001110000</v>
      </c>
      <c r="B1101" s="16" t="s">
        <v>19811</v>
      </c>
      <c r="C1101" s="16" t="e">
        <f>VLOOKUP(Table1[[#This Row],[Node]],Parent!A:B,2,0)</f>
        <v>#N/A</v>
      </c>
      <c r="D1101" s="25" t="s">
        <v>19346</v>
      </c>
      <c r="E1101" s="26" t="s">
        <v>16544</v>
      </c>
      <c r="F1101" s="27" t="s">
        <v>16830</v>
      </c>
      <c r="G1101" s="27" t="s">
        <v>17559</v>
      </c>
      <c r="H1101" s="27" t="s">
        <v>17609</v>
      </c>
      <c r="I1101" s="27"/>
      <c r="J1101" s="27"/>
      <c r="K1101" s="27"/>
      <c r="L1101" s="27"/>
      <c r="N1101" s="27"/>
      <c r="T1101" s="28" t="str">
        <f>LOOKUP(1,1/(Table1[[#This Row],[Level_0]:[Level 15]]&gt;0),(Table1[[#This Row],[Level_0]:[Level 15]]))</f>
        <v>4001110000 - [COGS - Merchandise - Material - IC]</v>
      </c>
      <c r="U1101" s="22">
        <v>1096</v>
      </c>
      <c r="W1101" s="13" t="str">
        <f>LOOKUP(1,1/(Table1[[#This Row],[Level_0]:[Level 15]]&gt;0),(Table1[[#This Row],[Level_0]:[Level 15]]))</f>
        <v>4001110000 - [COGS - Merchandise - Material - IC]</v>
      </c>
    </row>
    <row r="1102" spans="1:23" hidden="1" x14ac:dyDescent="0.25">
      <c r="A1102">
        <v>4001000000</v>
      </c>
      <c r="B1102" s="16" t="s">
        <v>19806</v>
      </c>
      <c r="C1102" s="16" t="e">
        <f>VLOOKUP(Table1[[#This Row],[Node]],Parent!A:B,2,0)</f>
        <v>#N/A</v>
      </c>
      <c r="D1102" s="25" t="s">
        <v>19346</v>
      </c>
      <c r="E1102" s="26" t="s">
        <v>16544</v>
      </c>
      <c r="F1102" s="27" t="s">
        <v>16830</v>
      </c>
      <c r="G1102" s="27" t="s">
        <v>17559</v>
      </c>
      <c r="H1102" s="27" t="s">
        <v>17610</v>
      </c>
      <c r="I1102" s="27"/>
      <c r="J1102" s="27"/>
      <c r="K1102" s="27"/>
      <c r="L1102" s="27"/>
      <c r="N1102" s="27"/>
      <c r="T1102" s="28" t="str">
        <f>LOOKUP(1,1/(Table1[[#This Row],[Level_0]:[Level 15]]&gt;0),(Table1[[#This Row],[Level_0]:[Level 15]]))</f>
        <v>4001000000 - [COGS - Merchandise]</v>
      </c>
      <c r="U1102" s="22">
        <v>1097</v>
      </c>
      <c r="W1102" s="13" t="str">
        <f>LOOKUP(1,1/(Table1[[#This Row],[Level_0]:[Level 15]]&gt;0),(Table1[[#This Row],[Level_0]:[Level 15]]))</f>
        <v>4001000000 - [COGS - Merchandise]</v>
      </c>
    </row>
    <row r="1103" spans="1:23" hidden="1" x14ac:dyDescent="0.25">
      <c r="A1103">
        <v>4000800001</v>
      </c>
      <c r="B1103" s="16" t="s">
        <v>19805</v>
      </c>
      <c r="C1103" s="16" t="e">
        <f>VLOOKUP(Table1[[#This Row],[Node]],Parent!A:B,2,0)</f>
        <v>#N/A</v>
      </c>
      <c r="D1103" s="25" t="s">
        <v>19346</v>
      </c>
      <c r="E1103" s="26" t="s">
        <v>16544</v>
      </c>
      <c r="F1103" s="27" t="s">
        <v>16830</v>
      </c>
      <c r="G1103" s="27" t="s">
        <v>17559</v>
      </c>
      <c r="H1103" s="27" t="s">
        <v>17611</v>
      </c>
      <c r="I1103" s="27"/>
      <c r="J1103" s="27"/>
      <c r="K1103" s="27"/>
      <c r="L1103" s="27"/>
      <c r="N1103" s="27"/>
      <c r="T1103" s="28" t="str">
        <f>LOOKUP(1,1/(Table1[[#This Row],[Level_0]:[Level 15]]&gt;0),(Table1[[#This Row],[Level_0]:[Level 15]]))</f>
        <v>4000800001 - [COGS â€“ Finished goods - IC mark up]</v>
      </c>
      <c r="U1103" s="22">
        <v>1098</v>
      </c>
      <c r="W1103" s="13" t="str">
        <f>LOOKUP(1,1/(Table1[[#This Row],[Level_0]:[Level 15]]&gt;0),(Table1[[#This Row],[Level_0]:[Level 15]]))</f>
        <v>4000800001 - [COGS â€“ Finished goods - IC mark up]</v>
      </c>
    </row>
    <row r="1104" spans="1:23" hidden="1" x14ac:dyDescent="0.25">
      <c r="A1104">
        <v>4000700001</v>
      </c>
      <c r="B1104" s="16" t="s">
        <v>19804</v>
      </c>
      <c r="C1104" s="16" t="e">
        <f>VLOOKUP(Table1[[#This Row],[Node]],Parent!A:B,2,0)</f>
        <v>#N/A</v>
      </c>
      <c r="D1104" s="25" t="s">
        <v>19346</v>
      </c>
      <c r="E1104" s="26" t="s">
        <v>16544</v>
      </c>
      <c r="F1104" s="27" t="s">
        <v>16830</v>
      </c>
      <c r="G1104" s="27" t="s">
        <v>17559</v>
      </c>
      <c r="H1104" s="27" t="s">
        <v>17612</v>
      </c>
      <c r="I1104" s="27"/>
      <c r="J1104" s="27"/>
      <c r="K1104" s="27"/>
      <c r="L1104" s="27"/>
      <c r="N1104" s="27"/>
      <c r="T1104" s="28" t="str">
        <f>LOOKUP(1,1/(Table1[[#This Row],[Level_0]:[Level 15]]&gt;0),(Table1[[#This Row],[Level_0]:[Level 15]]))</f>
        <v>4000700001 - [Adjustments COGS - Prod Mat]</v>
      </c>
      <c r="U1104" s="22">
        <v>1099</v>
      </c>
      <c r="W1104" s="13" t="str">
        <f>LOOKUP(1,1/(Table1[[#This Row],[Level_0]:[Level 15]]&gt;0),(Table1[[#This Row],[Level_0]:[Level 15]]))</f>
        <v>4000700001 - [Adjustments COGS - Prod Mat]</v>
      </c>
    </row>
    <row r="1105" spans="1:23" hidden="1" x14ac:dyDescent="0.25">
      <c r="A1105">
        <v>4000402300</v>
      </c>
      <c r="B1105" s="16" t="s">
        <v>19793</v>
      </c>
      <c r="C1105" s="16" t="e">
        <f>VLOOKUP(Table1[[#This Row],[Node]],Parent!A:B,2,0)</f>
        <v>#N/A</v>
      </c>
      <c r="D1105" s="25" t="s">
        <v>19346</v>
      </c>
      <c r="E1105" s="26" t="s">
        <v>16544</v>
      </c>
      <c r="F1105" s="27" t="s">
        <v>16830</v>
      </c>
      <c r="G1105" s="27" t="s">
        <v>17559</v>
      </c>
      <c r="H1105" s="27" t="s">
        <v>17613</v>
      </c>
      <c r="I1105" s="27"/>
      <c r="J1105" s="27"/>
      <c r="K1105" s="27"/>
      <c r="L1105" s="27"/>
      <c r="N1105" s="27"/>
      <c r="T1105" s="28" t="str">
        <f>LOOKUP(1,1/(Table1[[#This Row],[Level_0]:[Level 15]]&gt;0),(Table1[[#This Row],[Level_0]:[Level 15]]))</f>
        <v>4000402300 - [COGS- Finished goods - fixed indir]</v>
      </c>
      <c r="U1105" s="22">
        <v>1100</v>
      </c>
      <c r="W1105" s="13" t="str">
        <f>LOOKUP(1,1/(Table1[[#This Row],[Level_0]:[Level 15]]&gt;0),(Table1[[#This Row],[Level_0]:[Level 15]]))</f>
        <v>4000402300 - [COGS- Finished goods - fixed indir]</v>
      </c>
    </row>
    <row r="1106" spans="1:23" hidden="1" x14ac:dyDescent="0.25">
      <c r="A1106">
        <v>4000402200</v>
      </c>
      <c r="B1106" s="16" t="s">
        <v>19792</v>
      </c>
      <c r="C1106" s="16" t="e">
        <f>VLOOKUP(Table1[[#This Row],[Node]],Parent!A:B,2,0)</f>
        <v>#N/A</v>
      </c>
      <c r="D1106" s="25" t="s">
        <v>19346</v>
      </c>
      <c r="E1106" s="26" t="s">
        <v>16544</v>
      </c>
      <c r="F1106" s="27" t="s">
        <v>16830</v>
      </c>
      <c r="G1106" s="27" t="s">
        <v>17559</v>
      </c>
      <c r="H1106" s="27" t="s">
        <v>17614</v>
      </c>
      <c r="I1106" s="27"/>
      <c r="J1106" s="27"/>
      <c r="K1106" s="27"/>
      <c r="L1106" s="27"/>
      <c r="N1106" s="27"/>
      <c r="T1106" s="28" t="str">
        <f>LOOKUP(1,1/(Table1[[#This Row],[Level_0]:[Level 15]]&gt;0),(Table1[[#This Row],[Level_0]:[Level 15]]))</f>
        <v>4000402200 - [COGS - Finished goods - direct dep]</v>
      </c>
      <c r="U1106" s="22">
        <v>1101</v>
      </c>
      <c r="W1106" s="13" t="str">
        <f>LOOKUP(1,1/(Table1[[#This Row],[Level_0]:[Level 15]]&gt;0),(Table1[[#This Row],[Level_0]:[Level 15]]))</f>
        <v>4000402200 - [COGS - Finished goods - direct dep]</v>
      </c>
    </row>
    <row r="1107" spans="1:23" hidden="1" x14ac:dyDescent="0.25">
      <c r="A1107">
        <v>4000402100</v>
      </c>
      <c r="B1107" s="16" t="s">
        <v>19791</v>
      </c>
      <c r="C1107" s="16" t="e">
        <f>VLOOKUP(Table1[[#This Row],[Node]],Parent!A:B,2,0)</f>
        <v>#N/A</v>
      </c>
      <c r="D1107" s="25" t="s">
        <v>19346</v>
      </c>
      <c r="E1107" s="26" t="s">
        <v>16544</v>
      </c>
      <c r="F1107" s="27" t="s">
        <v>16830</v>
      </c>
      <c r="G1107" s="27" t="s">
        <v>17559</v>
      </c>
      <c r="H1107" s="27" t="s">
        <v>17615</v>
      </c>
      <c r="I1107" s="27"/>
      <c r="J1107" s="27"/>
      <c r="K1107" s="27"/>
      <c r="L1107" s="27"/>
      <c r="N1107" s="27"/>
      <c r="T1107" s="28" t="str">
        <f>LOOKUP(1,1/(Table1[[#This Row],[Level_0]:[Level 15]]&gt;0),(Table1[[#This Row],[Level_0]:[Level 15]]))</f>
        <v>4000402100 - [COGS - Finished goods - Conv. fix]</v>
      </c>
      <c r="U1107" s="22">
        <v>1102</v>
      </c>
      <c r="W1107" s="13" t="str">
        <f>LOOKUP(1,1/(Table1[[#This Row],[Level_0]:[Level 15]]&gt;0),(Table1[[#This Row],[Level_0]:[Level 15]]))</f>
        <v>4000402100 - [COGS - Finished goods - Conv. fix]</v>
      </c>
    </row>
    <row r="1108" spans="1:23" hidden="1" x14ac:dyDescent="0.25">
      <c r="A1108">
        <v>4000300000</v>
      </c>
      <c r="B1108" s="16" t="s">
        <v>19786</v>
      </c>
      <c r="C1108" s="16" t="e">
        <f>VLOOKUP(Table1[[#This Row],[Node]],Parent!A:B,2,0)</f>
        <v>#N/A</v>
      </c>
      <c r="D1108" s="25" t="s">
        <v>19346</v>
      </c>
      <c r="E1108" s="26" t="s">
        <v>16544</v>
      </c>
      <c r="F1108" s="27" t="s">
        <v>16830</v>
      </c>
      <c r="G1108" s="27" t="s">
        <v>17559</v>
      </c>
      <c r="H1108" s="27" t="s">
        <v>17616</v>
      </c>
      <c r="I1108" s="27"/>
      <c r="J1108" s="27"/>
      <c r="K1108" s="27"/>
      <c r="L1108" s="27"/>
      <c r="N1108" s="27"/>
      <c r="T1108" s="28" t="str">
        <f>LOOKUP(1,1/(Table1[[#This Row],[Level_0]:[Level 15]]&gt;0),(Table1[[#This Row],[Level_0]:[Level 15]]))</f>
        <v>4000300000 - [COGS - Finished Goods - Conver Cost Var]</v>
      </c>
      <c r="U1108" s="22">
        <v>1103</v>
      </c>
      <c r="W1108" s="13" t="str">
        <f>LOOKUP(1,1/(Table1[[#This Row],[Level_0]:[Level 15]]&gt;0),(Table1[[#This Row],[Level_0]:[Level 15]]))</f>
        <v>4000300000 - [COGS - Finished Goods - Conver Cost Var]</v>
      </c>
    </row>
    <row r="1109" spans="1:23" hidden="1" x14ac:dyDescent="0.25">
      <c r="A1109">
        <v>4000212000</v>
      </c>
      <c r="B1109" s="16" t="s">
        <v>19785</v>
      </c>
      <c r="C1109" s="16" t="e">
        <f>VLOOKUP(Table1[[#This Row],[Node]],Parent!A:B,2,0)</f>
        <v>#N/A</v>
      </c>
      <c r="D1109" s="25" t="s">
        <v>19346</v>
      </c>
      <c r="E1109" s="26" t="s">
        <v>16544</v>
      </c>
      <c r="F1109" s="27" t="s">
        <v>16830</v>
      </c>
      <c r="G1109" s="27" t="s">
        <v>17559</v>
      </c>
      <c r="H1109" s="27" t="s">
        <v>17617</v>
      </c>
      <c r="I1109" s="27"/>
      <c r="J1109" s="27"/>
      <c r="K1109" s="27"/>
      <c r="L1109" s="27"/>
      <c r="N1109" s="27"/>
      <c r="T1109" s="28" t="str">
        <f>LOOKUP(1,1/(Table1[[#This Row],[Level_0]:[Level 15]]&gt;0),(Table1[[#This Row],[Level_0]:[Level 15]]))</f>
        <v>4000212000 - [COGS - FG - International reimb. frght]</v>
      </c>
      <c r="U1109" s="22">
        <v>1104</v>
      </c>
      <c r="W1109" s="13" t="str">
        <f>LOOKUP(1,1/(Table1[[#This Row],[Level_0]:[Level 15]]&gt;0),(Table1[[#This Row],[Level_0]:[Level 15]]))</f>
        <v>4000212000 - [COGS - FG - International reimb. frght]</v>
      </c>
    </row>
    <row r="1110" spans="1:23" hidden="1" x14ac:dyDescent="0.25">
      <c r="A1110">
        <v>4000200000</v>
      </c>
      <c r="B1110" s="16" t="s">
        <v>19784</v>
      </c>
      <c r="C1110" s="16" t="e">
        <f>VLOOKUP(Table1[[#This Row],[Node]],Parent!A:B,2,0)</f>
        <v>#N/A</v>
      </c>
      <c r="D1110" s="25" t="s">
        <v>19346</v>
      </c>
      <c r="E1110" s="26" t="s">
        <v>16544</v>
      </c>
      <c r="F1110" s="27" t="s">
        <v>16830</v>
      </c>
      <c r="G1110" s="27" t="s">
        <v>17559</v>
      </c>
      <c r="H1110" s="27" t="s">
        <v>17618</v>
      </c>
      <c r="I1110" s="27"/>
      <c r="J1110" s="27"/>
      <c r="K1110" s="27"/>
      <c r="L1110" s="27"/>
      <c r="N1110" s="27"/>
      <c r="T1110" s="28" t="str">
        <f>LOOKUP(1,1/(Table1[[#This Row],[Level_0]:[Level 15]]&gt;0),(Table1[[#This Row],[Level_0]:[Level 15]]))</f>
        <v>4000200000 - [COGS - Finished Goods - Landing Costs]</v>
      </c>
      <c r="U1110" s="22">
        <v>1105</v>
      </c>
      <c r="W1110" s="13" t="str">
        <f>LOOKUP(1,1/(Table1[[#This Row],[Level_0]:[Level 15]]&gt;0),(Table1[[#This Row],[Level_0]:[Level 15]]))</f>
        <v>4000200000 - [COGS - Finished Goods - Landing Costs]</v>
      </c>
    </row>
    <row r="1111" spans="1:23" hidden="1" x14ac:dyDescent="0.25">
      <c r="A1111">
        <v>4000110000</v>
      </c>
      <c r="B1111" s="16" t="s">
        <v>19782</v>
      </c>
      <c r="C1111" s="16" t="e">
        <f>VLOOKUP(Table1[[#This Row],[Node]],Parent!A:B,2,0)</f>
        <v>#N/A</v>
      </c>
      <c r="D1111" s="25" t="s">
        <v>19346</v>
      </c>
      <c r="E1111" s="26" t="s">
        <v>16544</v>
      </c>
      <c r="F1111" s="27" t="s">
        <v>16830</v>
      </c>
      <c r="G1111" s="27" t="s">
        <v>17559</v>
      </c>
      <c r="H1111" s="27" t="s">
        <v>17619</v>
      </c>
      <c r="I1111" s="27"/>
      <c r="J1111" s="27"/>
      <c r="K1111" s="27"/>
      <c r="L1111" s="27"/>
      <c r="N1111" s="27"/>
      <c r="T1111" s="28" t="str">
        <f>LOOKUP(1,1/(Table1[[#This Row],[Level_0]:[Level 15]]&gt;0),(Table1[[#This Row],[Level_0]:[Level 15]]))</f>
        <v>4000110000 - [COGS - Finished Goods - Material - IC]</v>
      </c>
      <c r="U1111" s="22">
        <v>1106</v>
      </c>
      <c r="W1111" s="13" t="str">
        <f>LOOKUP(1,1/(Table1[[#This Row],[Level_0]:[Level 15]]&gt;0),(Table1[[#This Row],[Level_0]:[Level 15]]))</f>
        <v>4000110000 - [COGS - Finished Goods - Material - IC]</v>
      </c>
    </row>
    <row r="1112" spans="1:23" hidden="1" x14ac:dyDescent="0.25">
      <c r="A1112">
        <v>4000106000</v>
      </c>
      <c r="B1112" s="16" t="s">
        <v>19781</v>
      </c>
      <c r="C1112" s="16" t="e">
        <f>VLOOKUP(Table1[[#This Row],[Node]],Parent!A:B,2,0)</f>
        <v>#N/A</v>
      </c>
      <c r="D1112" s="25" t="s">
        <v>19346</v>
      </c>
      <c r="E1112" s="26" t="s">
        <v>16544</v>
      </c>
      <c r="F1112" s="27" t="s">
        <v>16830</v>
      </c>
      <c r="G1112" s="27" t="s">
        <v>17559</v>
      </c>
      <c r="H1112" s="27" t="s">
        <v>17620</v>
      </c>
      <c r="I1112" s="27"/>
      <c r="J1112" s="27"/>
      <c r="K1112" s="27"/>
      <c r="L1112" s="27"/>
      <c r="N1112" s="27"/>
      <c r="T1112" s="28" t="str">
        <f>LOOKUP(1,1/(Table1[[#This Row],[Level_0]:[Level 15]]&gt;0),(Table1[[#This Row],[Level_0]:[Level 15]]))</f>
        <v>4000106000 - [COGS - Finish Goods - Mat - 3P - CorAcc]</v>
      </c>
      <c r="U1112" s="22">
        <v>1107</v>
      </c>
      <c r="W1112" s="13" t="str">
        <f>LOOKUP(1,1/(Table1[[#This Row],[Level_0]:[Level 15]]&gt;0),(Table1[[#This Row],[Level_0]:[Level 15]]))</f>
        <v>4000106000 - [COGS - Finish Goods - Mat - 3P - CorAcc]</v>
      </c>
    </row>
    <row r="1113" spans="1:23" hidden="1" x14ac:dyDescent="0.25">
      <c r="A1113">
        <v>4000100000</v>
      </c>
      <c r="B1113" s="16" t="s">
        <v>19780</v>
      </c>
      <c r="C1113" s="16" t="e">
        <f>VLOOKUP(Table1[[#This Row],[Node]],Parent!A:B,2,0)</f>
        <v>#N/A</v>
      </c>
      <c r="D1113" s="25" t="s">
        <v>19346</v>
      </c>
      <c r="E1113" s="26" t="s">
        <v>16544</v>
      </c>
      <c r="F1113" s="27" t="s">
        <v>16830</v>
      </c>
      <c r="G1113" s="27" t="s">
        <v>17559</v>
      </c>
      <c r="H1113" s="27" t="s">
        <v>17621</v>
      </c>
      <c r="I1113" s="27"/>
      <c r="J1113" s="27"/>
      <c r="K1113" s="27"/>
      <c r="L1113" s="27"/>
      <c r="N1113" s="27"/>
      <c r="T1113" s="28" t="str">
        <f>LOOKUP(1,1/(Table1[[#This Row],[Level_0]:[Level 15]]&gt;0),(Table1[[#This Row],[Level_0]:[Level 15]]))</f>
        <v>4000100000 - [COGS - Finished Goods - Material - 3P]</v>
      </c>
      <c r="U1113" s="22">
        <v>1108</v>
      </c>
      <c r="W1113" s="13" t="str">
        <f>LOOKUP(1,1/(Table1[[#This Row],[Level_0]:[Level 15]]&gt;0),(Table1[[#This Row],[Level_0]:[Level 15]]))</f>
        <v>4000100000 - [COGS - Finished Goods - Material - 3P]</v>
      </c>
    </row>
    <row r="1114" spans="1:23" hidden="1" x14ac:dyDescent="0.25">
      <c r="A1114">
        <v>4000000000</v>
      </c>
      <c r="B1114" s="16" t="s">
        <v>19776</v>
      </c>
      <c r="C1114" s="16" t="e">
        <f>VLOOKUP(Table1[[#This Row],[Node]],Parent!A:B,2,0)</f>
        <v>#N/A</v>
      </c>
      <c r="D1114" s="25" t="s">
        <v>19346</v>
      </c>
      <c r="E1114" s="26" t="s">
        <v>16544</v>
      </c>
      <c r="F1114" s="27" t="s">
        <v>16830</v>
      </c>
      <c r="G1114" s="27" t="s">
        <v>17559</v>
      </c>
      <c r="H1114" s="27" t="s">
        <v>17622</v>
      </c>
      <c r="I1114" s="27"/>
      <c r="J1114" s="27"/>
      <c r="K1114" s="27"/>
      <c r="L1114" s="27"/>
      <c r="N1114" s="27"/>
      <c r="T1114" s="28" t="str">
        <f>LOOKUP(1,1/(Table1[[#This Row],[Level_0]:[Level 15]]&gt;0),(Table1[[#This Row],[Level_0]:[Level 15]]))</f>
        <v>4000000000 - [COGS - Finished Goods]</v>
      </c>
      <c r="U1114" s="22">
        <v>1109</v>
      </c>
      <c r="W1114" s="13" t="str">
        <f>LOOKUP(1,1/(Table1[[#This Row],[Level_0]:[Level 15]]&gt;0),(Table1[[#This Row],[Level_0]:[Level 15]]))</f>
        <v>4000000000 - [COGS - Finished Goods]</v>
      </c>
    </row>
    <row r="1115" spans="1:23" hidden="1" x14ac:dyDescent="0.25">
      <c r="A1115">
        <v>3930000000</v>
      </c>
      <c r="B1115" s="16" t="s">
        <v>19695</v>
      </c>
      <c r="C1115" s="16" t="e">
        <f>VLOOKUP(Table1[[#This Row],[Node]],Parent!A:B,2,0)</f>
        <v>#N/A</v>
      </c>
      <c r="D1115" s="25" t="s">
        <v>19346</v>
      </c>
      <c r="E1115" s="26" t="s">
        <v>16544</v>
      </c>
      <c r="F1115" s="27" t="s">
        <v>16830</v>
      </c>
      <c r="G1115" s="27" t="s">
        <v>17559</v>
      </c>
      <c r="H1115" s="27" t="s">
        <v>17623</v>
      </c>
      <c r="I1115" s="27"/>
      <c r="J1115" s="27"/>
      <c r="K1115" s="27"/>
      <c r="L1115" s="27"/>
      <c r="N1115" s="27"/>
      <c r="T1115" s="28" t="str">
        <f>LOOKUP(1,1/(Table1[[#This Row],[Level_0]:[Level 15]]&gt;0),(Table1[[#This Row],[Level_0]:[Level 15]]))</f>
        <v>3930000000 - [Non-Core Serv Others - Rebates]</v>
      </c>
      <c r="U1115" s="22">
        <v>1110</v>
      </c>
      <c r="W1115" s="13" t="str">
        <f>LOOKUP(1,1/(Table1[[#This Row],[Level_0]:[Level 15]]&gt;0),(Table1[[#This Row],[Level_0]:[Level 15]]))</f>
        <v>3930000000 - [Non-Core Serv Others - Rebates]</v>
      </c>
    </row>
    <row r="1116" spans="1:23" hidden="1" x14ac:dyDescent="0.25">
      <c r="A1116">
        <v>3921000000</v>
      </c>
      <c r="B1116" s="16" t="s">
        <v>19677</v>
      </c>
      <c r="C1116" s="16" t="e">
        <f>VLOOKUP(Table1[[#This Row],[Node]],Parent!A:B,2,0)</f>
        <v>#N/A</v>
      </c>
      <c r="D1116" s="25" t="s">
        <v>19346</v>
      </c>
      <c r="E1116" s="26" t="s">
        <v>16544</v>
      </c>
      <c r="F1116" s="27" t="s">
        <v>16830</v>
      </c>
      <c r="G1116" s="27" t="s">
        <v>17559</v>
      </c>
      <c r="H1116" s="27" t="s">
        <v>17624</v>
      </c>
      <c r="I1116" s="27"/>
      <c r="J1116" s="27"/>
      <c r="K1116" s="27"/>
      <c r="L1116" s="27"/>
      <c r="N1116" s="27"/>
      <c r="T1116" s="28" t="str">
        <f>LOOKUP(1,1/(Table1[[#This Row],[Level_0]:[Level 15]]&gt;0),(Table1[[#This Row],[Level_0]:[Level 15]]))</f>
        <v>3921000000 - [Invoiced Restocking Fee]</v>
      </c>
      <c r="U1116" s="22">
        <v>1111</v>
      </c>
      <c r="W1116" s="13" t="str">
        <f>LOOKUP(1,1/(Table1[[#This Row],[Level_0]:[Level 15]]&gt;0),(Table1[[#This Row],[Level_0]:[Level 15]]))</f>
        <v>3921000000 - [Invoiced Restocking Fee]</v>
      </c>
    </row>
    <row r="1117" spans="1:23" hidden="1" x14ac:dyDescent="0.25">
      <c r="A1117">
        <v>3920010000</v>
      </c>
      <c r="B1117" s="16" t="s">
        <v>19673</v>
      </c>
      <c r="C1117" s="16" t="e">
        <f>VLOOKUP(Table1[[#This Row],[Node]],Parent!A:B,2,0)</f>
        <v>#N/A</v>
      </c>
      <c r="D1117" s="25" t="s">
        <v>19346</v>
      </c>
      <c r="E1117" s="26" t="s">
        <v>16544</v>
      </c>
      <c r="F1117" s="27" t="s">
        <v>16830</v>
      </c>
      <c r="G1117" s="27" t="s">
        <v>17559</v>
      </c>
      <c r="H1117" s="27" t="s">
        <v>17625</v>
      </c>
      <c r="I1117" s="27"/>
      <c r="J1117" s="27"/>
      <c r="K1117" s="27"/>
      <c r="L1117" s="27"/>
      <c r="N1117" s="27"/>
      <c r="T1117" s="28" t="str">
        <f>LOOKUP(1,1/(Table1[[#This Row],[Level_0]:[Level 15]]&gt;0),(Table1[[#This Row],[Level_0]:[Level 15]]))</f>
        <v>3920010000 - [Reimbursement - Freight and Duties - IC]</v>
      </c>
      <c r="U1117" s="22">
        <v>1112</v>
      </c>
      <c r="W1117" s="13" t="str">
        <f>LOOKUP(1,1/(Table1[[#This Row],[Level_0]:[Level 15]]&gt;0),(Table1[[#This Row],[Level_0]:[Level 15]]))</f>
        <v>3920010000 - [Reimbursement - Freight and Duties - IC]</v>
      </c>
    </row>
    <row r="1118" spans="1:23" hidden="1" x14ac:dyDescent="0.25">
      <c r="A1118">
        <v>3920000000</v>
      </c>
      <c r="B1118" s="16" t="s">
        <v>19671</v>
      </c>
      <c r="C1118" s="16" t="e">
        <f>VLOOKUP(Table1[[#This Row],[Node]],Parent!A:B,2,0)</f>
        <v>#N/A</v>
      </c>
      <c r="D1118" s="25" t="s">
        <v>19346</v>
      </c>
      <c r="E1118" s="26" t="s">
        <v>16544</v>
      </c>
      <c r="F1118" s="27" t="s">
        <v>16830</v>
      </c>
      <c r="G1118" s="27" t="s">
        <v>17559</v>
      </c>
      <c r="H1118" s="27" t="s">
        <v>17626</v>
      </c>
      <c r="I1118" s="27"/>
      <c r="J1118" s="27"/>
      <c r="K1118" s="27"/>
      <c r="L1118" s="27"/>
      <c r="N1118" s="27"/>
      <c r="T1118" s="28" t="str">
        <f>LOOKUP(1,1/(Table1[[#This Row],[Level_0]:[Level 15]]&gt;0),(Table1[[#This Row],[Level_0]:[Level 15]]))</f>
        <v>3920000000 - [Reimbursement - Freight and Duties - 3P]</v>
      </c>
      <c r="U1118" s="22">
        <v>1113</v>
      </c>
      <c r="W1118" s="13" t="str">
        <f>LOOKUP(1,1/(Table1[[#This Row],[Level_0]:[Level 15]]&gt;0),(Table1[[#This Row],[Level_0]:[Level 15]]))</f>
        <v>3920000000 - [Reimbursement - Freight and Duties - 3P]</v>
      </c>
    </row>
    <row r="1119" spans="1:23" hidden="1" x14ac:dyDescent="0.25">
      <c r="A1119">
        <v>3313100000</v>
      </c>
      <c r="B1119" s="16" t="s">
        <v>19660</v>
      </c>
      <c r="C1119" s="16" t="e">
        <f>VLOOKUP(Table1[[#This Row],[Node]],Parent!A:B,2,0)</f>
        <v>#N/A</v>
      </c>
      <c r="D1119" s="25" t="s">
        <v>19346</v>
      </c>
      <c r="E1119" s="26" t="s">
        <v>16544</v>
      </c>
      <c r="F1119" s="27" t="s">
        <v>16830</v>
      </c>
      <c r="G1119" s="27" t="s">
        <v>17559</v>
      </c>
      <c r="H1119" s="27" t="s">
        <v>17627</v>
      </c>
      <c r="I1119" s="27"/>
      <c r="J1119" s="27"/>
      <c r="K1119" s="27"/>
      <c r="L1119" s="27"/>
      <c r="N1119" s="27"/>
      <c r="T1119" s="28" t="str">
        <f>LOOKUP(1,1/(Table1[[#This Row],[Level_0]:[Level 15]]&gt;0),(Table1[[#This Row],[Level_0]:[Level 15]]))</f>
        <v>3313100000 - [Revers of Impairment-FA-DebtInstrum AC]</v>
      </c>
      <c r="U1119" s="22">
        <v>1114</v>
      </c>
      <c r="W1119" s="13" t="str">
        <f>LOOKUP(1,1/(Table1[[#This Row],[Level_0]:[Level 15]]&gt;0),(Table1[[#This Row],[Level_0]:[Level 15]]))</f>
        <v>3313100000 - [Revers of Impairment-FA-DebtInstrum AC]</v>
      </c>
    </row>
    <row r="1120" spans="1:23" hidden="1" x14ac:dyDescent="0.25">
      <c r="A1120">
        <v>3305100000</v>
      </c>
      <c r="B1120" s="16" t="s">
        <v>19651</v>
      </c>
      <c r="C1120" s="16" t="e">
        <f>VLOOKUP(Table1[[#This Row],[Node]],Parent!A:B,2,0)</f>
        <v>#N/A</v>
      </c>
      <c r="D1120" s="25" t="s">
        <v>19346</v>
      </c>
      <c r="E1120" s="26" t="s">
        <v>16544</v>
      </c>
      <c r="F1120" s="27" t="s">
        <v>16830</v>
      </c>
      <c r="G1120" s="27" t="s">
        <v>17559</v>
      </c>
      <c r="H1120" s="27" t="s">
        <v>17628</v>
      </c>
      <c r="I1120" s="27"/>
      <c r="J1120" s="27"/>
      <c r="K1120" s="27"/>
      <c r="L1120" s="27"/>
      <c r="N1120" s="27"/>
      <c r="T1120" s="28" t="str">
        <f>LOOKUP(1,1/(Table1[[#This Row],[Level_0]:[Level 15]]&gt;0),(Table1[[#This Row],[Level_0]:[Level 15]]))</f>
        <v>3305100000 - [Gains from Sale-Financial Instruments AC]</v>
      </c>
      <c r="U1120" s="22">
        <v>1115</v>
      </c>
      <c r="W1120" s="13" t="str">
        <f>LOOKUP(1,1/(Table1[[#This Row],[Level_0]:[Level 15]]&gt;0),(Table1[[#This Row],[Level_0]:[Level 15]]))</f>
        <v>3305100000 - [Gains from Sale-Financial Instruments AC]</v>
      </c>
    </row>
    <row r="1121" spans="1:23" hidden="1" x14ac:dyDescent="0.25">
      <c r="A1121">
        <v>3220000000</v>
      </c>
      <c r="B1121" s="16" t="s">
        <v>19639</v>
      </c>
      <c r="C1121" s="16" t="e">
        <f>VLOOKUP(Table1[[#This Row],[Node]],Parent!A:B,2,0)</f>
        <v>#N/A</v>
      </c>
      <c r="D1121" s="25" t="s">
        <v>19346</v>
      </c>
      <c r="E1121" s="26" t="s">
        <v>16544</v>
      </c>
      <c r="F1121" s="27" t="s">
        <v>16830</v>
      </c>
      <c r="G1121" s="27" t="s">
        <v>17559</v>
      </c>
      <c r="H1121" s="27" t="s">
        <v>17629</v>
      </c>
      <c r="I1121" s="27"/>
      <c r="J1121" s="27"/>
      <c r="K1121" s="27"/>
      <c r="L1121" s="27"/>
      <c r="N1121" s="27"/>
      <c r="T1121" s="28" t="str">
        <f>LOOKUP(1,1/(Table1[[#This Row],[Level_0]:[Level 15]]&gt;0),(Table1[[#This Row],[Level_0]:[Level 15]]))</f>
        <v>3220000000 - [Revenue - Commissions]</v>
      </c>
      <c r="U1121" s="22">
        <v>1116</v>
      </c>
      <c r="W1121" s="13" t="str">
        <f>LOOKUP(1,1/(Table1[[#This Row],[Level_0]:[Level 15]]&gt;0),(Table1[[#This Row],[Level_0]:[Level 15]]))</f>
        <v>3220000000 - [Revenue - Commissions]</v>
      </c>
    </row>
    <row r="1122" spans="1:23" hidden="1" x14ac:dyDescent="0.25">
      <c r="A1122">
        <v>3215100000</v>
      </c>
      <c r="B1122" s="16" t="s">
        <v>19638</v>
      </c>
      <c r="C1122" s="16" t="e">
        <f>VLOOKUP(Table1[[#This Row],[Node]],Parent!A:B,2,0)</f>
        <v>#N/A</v>
      </c>
      <c r="D1122" s="25" t="s">
        <v>19346</v>
      </c>
      <c r="E1122" s="26" t="s">
        <v>16544</v>
      </c>
      <c r="F1122" s="27" t="s">
        <v>16830</v>
      </c>
      <c r="G1122" s="27" t="s">
        <v>17559</v>
      </c>
      <c r="H1122" s="27" t="s">
        <v>17630</v>
      </c>
      <c r="I1122" s="27"/>
      <c r="J1122" s="27"/>
      <c r="K1122" s="27"/>
      <c r="L1122" s="27"/>
      <c r="N1122" s="27"/>
      <c r="T1122" s="28" t="str">
        <f>LOOKUP(1,1/(Table1[[#This Row],[Level_0]:[Level 15]]&gt;0),(Table1[[#This Row],[Level_0]:[Level 15]]))</f>
        <v>3215100000 - [Royalties Recognized over Time - 3P]</v>
      </c>
      <c r="U1122" s="22">
        <v>1117</v>
      </c>
      <c r="W1122" s="13" t="str">
        <f>LOOKUP(1,1/(Table1[[#This Row],[Level_0]:[Level 15]]&gt;0),(Table1[[#This Row],[Level_0]:[Level 15]]))</f>
        <v>3215100000 - [Royalties Recognized over Time - 3P]</v>
      </c>
    </row>
    <row r="1123" spans="1:23" hidden="1" x14ac:dyDescent="0.25">
      <c r="A1123">
        <v>3215000000</v>
      </c>
      <c r="B1123" s="16" t="s">
        <v>19637</v>
      </c>
      <c r="C1123" s="16" t="e">
        <f>VLOOKUP(Table1[[#This Row],[Node]],Parent!A:B,2,0)</f>
        <v>#N/A</v>
      </c>
      <c r="D1123" s="25" t="s">
        <v>19346</v>
      </c>
      <c r="E1123" s="26" t="s">
        <v>16544</v>
      </c>
      <c r="F1123" s="27" t="s">
        <v>16830</v>
      </c>
      <c r="G1123" s="27" t="s">
        <v>17559</v>
      </c>
      <c r="H1123" s="27" t="s">
        <v>17631</v>
      </c>
      <c r="I1123" s="27"/>
      <c r="J1123" s="27"/>
      <c r="K1123" s="27"/>
      <c r="L1123" s="27"/>
      <c r="N1123" s="27"/>
      <c r="T1123" s="28" t="str">
        <f>LOOKUP(1,1/(Table1[[#This Row],[Level_0]:[Level 15]]&gt;0),(Table1[[#This Row],[Level_0]:[Level 15]]))</f>
        <v>3215000000 - [Royalties Recogn at a Point in Time - 3P]</v>
      </c>
      <c r="U1123" s="22">
        <v>1118</v>
      </c>
      <c r="W1123" s="13" t="str">
        <f>LOOKUP(1,1/(Table1[[#This Row],[Level_0]:[Level 15]]&gt;0),(Table1[[#This Row],[Level_0]:[Level 15]]))</f>
        <v>3215000000 - [Royalties Recogn at a Point in Time - 3P]</v>
      </c>
    </row>
    <row r="1124" spans="1:23" hidden="1" x14ac:dyDescent="0.25">
      <c r="A1124">
        <v>3213006000</v>
      </c>
      <c r="B1124" s="16" t="s">
        <v>19634</v>
      </c>
      <c r="C1124" s="16" t="e">
        <f>VLOOKUP(Table1[[#This Row],[Node]],Parent!A:B,2,0)</f>
        <v>#N/A</v>
      </c>
      <c r="D1124" s="25" t="s">
        <v>19346</v>
      </c>
      <c r="E1124" s="26" t="s">
        <v>16544</v>
      </c>
      <c r="F1124" s="27" t="s">
        <v>16830</v>
      </c>
      <c r="G1124" s="27" t="s">
        <v>17559</v>
      </c>
      <c r="H1124" s="27" t="s">
        <v>17632</v>
      </c>
      <c r="I1124" s="27"/>
      <c r="J1124" s="27"/>
      <c r="K1124" s="27"/>
      <c r="L1124" s="27"/>
      <c r="N1124" s="27"/>
      <c r="T1124" s="28" t="str">
        <f>LOOKUP(1,1/(Table1[[#This Row],[Level_0]:[Level 15]]&gt;0),(Table1[[#This Row],[Level_0]:[Level 15]]))</f>
        <v>3213006000 - [Royalties - R&amp;D Related Global - FI]</v>
      </c>
      <c r="U1124" s="22">
        <v>1119</v>
      </c>
      <c r="W1124" s="13" t="str">
        <f>LOOKUP(1,1/(Table1[[#This Row],[Level_0]:[Level 15]]&gt;0),(Table1[[#This Row],[Level_0]:[Level 15]]))</f>
        <v>3213006000 - [Royalties - R&amp;D Related Global - FI]</v>
      </c>
    </row>
    <row r="1125" spans="1:23" hidden="1" x14ac:dyDescent="0.25">
      <c r="A1125">
        <v>3212006000</v>
      </c>
      <c r="B1125" s="16" t="s">
        <v>19632</v>
      </c>
      <c r="C1125" s="16" t="e">
        <f>VLOOKUP(Table1[[#This Row],[Node]],Parent!A:B,2,0)</f>
        <v>#N/A</v>
      </c>
      <c r="D1125" s="25" t="s">
        <v>19346</v>
      </c>
      <c r="E1125" s="26" t="s">
        <v>16544</v>
      </c>
      <c r="F1125" s="27" t="s">
        <v>16830</v>
      </c>
      <c r="G1125" s="27" t="s">
        <v>17559</v>
      </c>
      <c r="H1125" s="27" t="s">
        <v>17633</v>
      </c>
      <c r="I1125" s="27"/>
      <c r="J1125" s="27"/>
      <c r="K1125" s="27"/>
      <c r="L1125" s="27"/>
      <c r="N1125" s="27"/>
      <c r="T1125" s="28" t="str">
        <f>LOOKUP(1,1/(Table1[[#This Row],[Level_0]:[Level 15]]&gt;0),(Table1[[#This Row],[Level_0]:[Level 15]]))</f>
        <v>3212006000 - [Royalties - Marke &amp; Sell Related - FI]</v>
      </c>
      <c r="U1125" s="22">
        <v>1120</v>
      </c>
      <c r="W1125" s="13" t="str">
        <f>LOOKUP(1,1/(Table1[[#This Row],[Level_0]:[Level 15]]&gt;0),(Table1[[#This Row],[Level_0]:[Level 15]]))</f>
        <v>3212006000 - [Royalties - Marke &amp; Sell Related - FI]</v>
      </c>
    </row>
    <row r="1126" spans="1:23" hidden="1" x14ac:dyDescent="0.25">
      <c r="A1126">
        <v>3211006000</v>
      </c>
      <c r="B1126" s="16" t="s">
        <v>19630</v>
      </c>
      <c r="C1126" s="16" t="e">
        <f>VLOOKUP(Table1[[#This Row],[Node]],Parent!A:B,2,0)</f>
        <v>#N/A</v>
      </c>
      <c r="D1126" s="25" t="s">
        <v>19346</v>
      </c>
      <c r="E1126" s="26" t="s">
        <v>16544</v>
      </c>
      <c r="F1126" s="27" t="s">
        <v>16830</v>
      </c>
      <c r="G1126" s="27" t="s">
        <v>17559</v>
      </c>
      <c r="H1126" s="27" t="s">
        <v>17634</v>
      </c>
      <c r="I1126" s="27"/>
      <c r="J1126" s="27"/>
      <c r="K1126" s="27"/>
      <c r="L1126" s="27"/>
      <c r="N1126" s="27"/>
      <c r="T1126" s="28" t="str">
        <f>LOOKUP(1,1/(Table1[[#This Row],[Level_0]:[Level 15]]&gt;0),(Table1[[#This Row],[Level_0]:[Level 15]]))</f>
        <v>3211006000 - [Royalties  - Cost of Sales Relat - FI]</v>
      </c>
      <c r="U1126" s="22">
        <v>1121</v>
      </c>
      <c r="W1126" s="13" t="str">
        <f>LOOKUP(1,1/(Table1[[#This Row],[Level_0]:[Level 15]]&gt;0),(Table1[[#This Row],[Level_0]:[Level 15]]))</f>
        <v>3211006000 - [Royalties  - Cost of Sales Relat - FI]</v>
      </c>
    </row>
    <row r="1127" spans="1:23" hidden="1" x14ac:dyDescent="0.25">
      <c r="A1127">
        <v>3205100000</v>
      </c>
      <c r="B1127" s="16" t="s">
        <v>19628</v>
      </c>
      <c r="C1127" s="16" t="e">
        <f>VLOOKUP(Table1[[#This Row],[Node]],Parent!A:B,2,0)</f>
        <v>#N/A</v>
      </c>
      <c r="D1127" s="25" t="s">
        <v>19346</v>
      </c>
      <c r="E1127" s="26" t="s">
        <v>16544</v>
      </c>
      <c r="F1127" s="27" t="s">
        <v>16830</v>
      </c>
      <c r="G1127" s="27" t="s">
        <v>17559</v>
      </c>
      <c r="H1127" s="27" t="s">
        <v>17635</v>
      </c>
      <c r="I1127" s="27"/>
      <c r="J1127" s="27"/>
      <c r="K1127" s="27"/>
      <c r="L1127" s="27"/>
      <c r="N1127" s="27"/>
      <c r="T1127" s="28" t="str">
        <f>LOOKUP(1,1/(Table1[[#This Row],[Level_0]:[Level 15]]&gt;0),(Table1[[#This Row],[Level_0]:[Level 15]]))</f>
        <v>3205100000 - [Inc f. License Agr Recogn over Time - 3P]</v>
      </c>
      <c r="U1127" s="22">
        <v>1122</v>
      </c>
      <c r="W1127" s="13" t="str">
        <f>LOOKUP(1,1/(Table1[[#This Row],[Level_0]:[Level 15]]&gt;0),(Table1[[#This Row],[Level_0]:[Level 15]]))</f>
        <v>3205100000 - [Inc f. License Agr Recogn over Time - 3P]</v>
      </c>
    </row>
    <row r="1128" spans="1:23" hidden="1" x14ac:dyDescent="0.25">
      <c r="A1128">
        <v>3205000000</v>
      </c>
      <c r="B1128" s="16" t="s">
        <v>19627</v>
      </c>
      <c r="C1128" s="16" t="e">
        <f>VLOOKUP(Table1[[#This Row],[Node]],Parent!A:B,2,0)</f>
        <v>#N/A</v>
      </c>
      <c r="D1128" s="25" t="s">
        <v>19346</v>
      </c>
      <c r="E1128" s="26" t="s">
        <v>16544</v>
      </c>
      <c r="F1128" s="27" t="s">
        <v>16830</v>
      </c>
      <c r="G1128" s="27" t="s">
        <v>17559</v>
      </c>
      <c r="H1128" s="27" t="s">
        <v>17636</v>
      </c>
      <c r="I1128" s="27"/>
      <c r="J1128" s="27"/>
      <c r="K1128" s="27"/>
      <c r="L1128" s="27"/>
      <c r="N1128" s="27"/>
      <c r="T1128" s="28" t="str">
        <f>LOOKUP(1,1/(Table1[[#This Row],[Level_0]:[Level 15]]&gt;0),(Table1[[#This Row],[Level_0]:[Level 15]]))</f>
        <v>3205000000 - [Inc f. Lic Agr Rec at Point in Time - 3P]</v>
      </c>
      <c r="U1128" s="22">
        <v>1123</v>
      </c>
      <c r="W1128" s="13" t="str">
        <f>LOOKUP(1,1/(Table1[[#This Row],[Level_0]:[Level 15]]&gt;0),(Table1[[#This Row],[Level_0]:[Level 15]]))</f>
        <v>3205000000 - [Inc f. Lic Agr Rec at Point in Time - 3P]</v>
      </c>
    </row>
    <row r="1129" spans="1:23" hidden="1" x14ac:dyDescent="0.25">
      <c r="A1129">
        <v>3202006000</v>
      </c>
      <c r="B1129" s="16" t="s">
        <v>19624</v>
      </c>
      <c r="C1129" s="16" t="e">
        <f>VLOOKUP(Table1[[#This Row],[Node]],Parent!A:B,2,0)</f>
        <v>#N/A</v>
      </c>
      <c r="D1129" s="25" t="s">
        <v>19346</v>
      </c>
      <c r="E1129" s="26" t="s">
        <v>16544</v>
      </c>
      <c r="F1129" s="27" t="s">
        <v>16830</v>
      </c>
      <c r="G1129" s="27" t="s">
        <v>17559</v>
      </c>
      <c r="H1129" s="27" t="s">
        <v>17637</v>
      </c>
      <c r="I1129" s="27"/>
      <c r="J1129" s="27"/>
      <c r="K1129" s="27"/>
      <c r="L1129" s="27"/>
      <c r="N1129" s="27"/>
      <c r="T1129" s="28" t="str">
        <f>LOOKUP(1,1/(Table1[[#This Row],[Level_0]:[Level 15]]&gt;0),(Table1[[#This Row],[Level_0]:[Level 15]]))</f>
        <v>3202006000 - [Income f. Licen Agreem - M&amp;S Rel - FI]</v>
      </c>
      <c r="U1129" s="22">
        <v>1124</v>
      </c>
      <c r="W1129" s="13" t="str">
        <f>LOOKUP(1,1/(Table1[[#This Row],[Level_0]:[Level 15]]&gt;0),(Table1[[#This Row],[Level_0]:[Level 15]]))</f>
        <v>3202006000 - [Income f. Licen Agreem - M&amp;S Rel - FI]</v>
      </c>
    </row>
    <row r="1130" spans="1:23" hidden="1" x14ac:dyDescent="0.25">
      <c r="A1130">
        <v>3133000000</v>
      </c>
      <c r="B1130" s="16" t="s">
        <v>19613</v>
      </c>
      <c r="C1130" s="16" t="e">
        <f>VLOOKUP(Table1[[#This Row],[Node]],Parent!A:B,2,0)</f>
        <v>#N/A</v>
      </c>
      <c r="D1130" s="25" t="s">
        <v>19346</v>
      </c>
      <c r="E1130" s="26" t="s">
        <v>16544</v>
      </c>
      <c r="F1130" s="27" t="s">
        <v>16830</v>
      </c>
      <c r="G1130" s="27" t="s">
        <v>17559</v>
      </c>
      <c r="H1130" s="27" t="s">
        <v>17638</v>
      </c>
      <c r="I1130" s="27"/>
      <c r="J1130" s="27"/>
      <c r="K1130" s="27"/>
      <c r="L1130" s="27"/>
      <c r="N1130" s="27"/>
      <c r="T1130" s="28" t="str">
        <f>LOOKUP(1,1/(Table1[[#This Row],[Level_0]:[Level 15]]&gt;0),(Table1[[#This Row],[Level_0]:[Level 15]]))</f>
        <v>3133000000 - [Hardware - Goods FOC]</v>
      </c>
      <c r="U1130" s="22">
        <v>1125</v>
      </c>
      <c r="W1130" s="13" t="str">
        <f>LOOKUP(1,1/(Table1[[#This Row],[Level_0]:[Level 15]]&gt;0),(Table1[[#This Row],[Level_0]:[Level 15]]))</f>
        <v>3133000000 - [Hardware - Goods FOC]</v>
      </c>
    </row>
    <row r="1131" spans="1:23" hidden="1" x14ac:dyDescent="0.25">
      <c r="A1131">
        <v>3130000000</v>
      </c>
      <c r="B1131" s="16" t="s">
        <v>19607</v>
      </c>
      <c r="C1131" s="16" t="e">
        <f>VLOOKUP(Table1[[#This Row],[Node]],Parent!A:B,2,0)</f>
        <v>#N/A</v>
      </c>
      <c r="D1131" s="25" t="s">
        <v>19346</v>
      </c>
      <c r="E1131" s="26" t="s">
        <v>16544</v>
      </c>
      <c r="F1131" s="27" t="s">
        <v>16830</v>
      </c>
      <c r="G1131" s="27" t="s">
        <v>17559</v>
      </c>
      <c r="H1131" s="27" t="s">
        <v>17639</v>
      </c>
      <c r="I1131" s="27"/>
      <c r="J1131" s="27"/>
      <c r="K1131" s="27"/>
      <c r="L1131" s="27"/>
      <c r="N1131" s="27"/>
      <c r="T1131" s="28" t="str">
        <f>LOOKUP(1,1/(Table1[[#This Row],[Level_0]:[Level 15]]&gt;0),(Table1[[#This Row],[Level_0]:[Level 15]]))</f>
        <v>3130000000 - [Hardware - Rebates]</v>
      </c>
      <c r="U1131" s="22">
        <v>1126</v>
      </c>
      <c r="W1131" s="13" t="str">
        <f>LOOKUP(1,1/(Table1[[#This Row],[Level_0]:[Level 15]]&gt;0),(Table1[[#This Row],[Level_0]:[Level 15]]))</f>
        <v>3130000000 - [Hardware - Rebates]</v>
      </c>
    </row>
    <row r="1132" spans="1:23" hidden="1" x14ac:dyDescent="0.25">
      <c r="A1132">
        <v>3120100000</v>
      </c>
      <c r="B1132" s="16" t="s">
        <v>19594</v>
      </c>
      <c r="C1132" s="16" t="e">
        <f>VLOOKUP(Table1[[#This Row],[Node]],Parent!A:B,2,0)</f>
        <v>#N/A</v>
      </c>
      <c r="D1132" s="25" t="s">
        <v>19346</v>
      </c>
      <c r="E1132" s="26" t="s">
        <v>16544</v>
      </c>
      <c r="F1132" s="27" t="s">
        <v>16830</v>
      </c>
      <c r="G1132" s="27" t="s">
        <v>17559</v>
      </c>
      <c r="H1132" s="27" t="s">
        <v>17640</v>
      </c>
      <c r="I1132" s="27"/>
      <c r="J1132" s="27"/>
      <c r="K1132" s="27"/>
      <c r="L1132" s="27"/>
      <c r="N1132" s="27"/>
      <c r="T1132" s="28" t="str">
        <f>LOOKUP(1,1/(Table1[[#This Row],[Level_0]:[Level 15]]&gt;0),(Table1[[#This Row],[Level_0]:[Level 15]]))</f>
        <v>3120100000 - [Serv â€“ Reb â€“ Discount Cylinder Renta]</v>
      </c>
      <c r="U1132" s="22">
        <v>1127</v>
      </c>
      <c r="W1132" s="13" t="str">
        <f>LOOKUP(1,1/(Table1[[#This Row],[Level_0]:[Level 15]]&gt;0),(Table1[[#This Row],[Level_0]:[Level 15]]))</f>
        <v>3120100000 - [Serv â€“ Reb â€“ Discount Cylinder Renta]</v>
      </c>
    </row>
    <row r="1133" spans="1:23" hidden="1" x14ac:dyDescent="0.25">
      <c r="A1133">
        <v>3120000000</v>
      </c>
      <c r="B1133" s="16" t="s">
        <v>19592</v>
      </c>
      <c r="C1133" s="16" t="e">
        <f>VLOOKUP(Table1[[#This Row],[Node]],Parent!A:B,2,0)</f>
        <v>#N/A</v>
      </c>
      <c r="D1133" s="25" t="s">
        <v>19346</v>
      </c>
      <c r="E1133" s="26" t="s">
        <v>16544</v>
      </c>
      <c r="F1133" s="27" t="s">
        <v>16830</v>
      </c>
      <c r="G1133" s="27" t="s">
        <v>17559</v>
      </c>
      <c r="H1133" s="27" t="s">
        <v>17641</v>
      </c>
      <c r="I1133" s="27"/>
      <c r="J1133" s="27"/>
      <c r="K1133" s="27"/>
      <c r="L1133" s="27"/>
      <c r="N1133" s="27"/>
      <c r="T1133" s="28" t="str">
        <f>LOOKUP(1,1/(Table1[[#This Row],[Level_0]:[Level 15]]&gt;0),(Table1[[#This Row],[Level_0]:[Level 15]]))</f>
        <v>3120000000 - [Service - Rebates]</v>
      </c>
      <c r="U1133" s="22">
        <v>1128</v>
      </c>
      <c r="W1133" s="13" t="str">
        <f>LOOKUP(1,1/(Table1[[#This Row],[Level_0]:[Level 15]]&gt;0),(Table1[[#This Row],[Level_0]:[Level 15]]))</f>
        <v>3120000000 - [Service - Rebates]</v>
      </c>
    </row>
    <row r="1134" spans="1:23" hidden="1" x14ac:dyDescent="0.25">
      <c r="A1134">
        <v>3116006000</v>
      </c>
      <c r="B1134" s="16" t="s">
        <v>19590</v>
      </c>
      <c r="C1134" s="16" t="e">
        <f>VLOOKUP(Table1[[#This Row],[Node]],Parent!A:B,2,0)</f>
        <v>#N/A</v>
      </c>
      <c r="D1134" s="25" t="s">
        <v>19346</v>
      </c>
      <c r="E1134" s="26" t="s">
        <v>16544</v>
      </c>
      <c r="F1134" s="27" t="s">
        <v>16830</v>
      </c>
      <c r="G1134" s="27" t="s">
        <v>17559</v>
      </c>
      <c r="H1134" s="27" t="s">
        <v>17642</v>
      </c>
      <c r="I1134" s="27"/>
      <c r="J1134" s="27"/>
      <c r="K1134" s="27"/>
      <c r="L1134" s="27"/>
      <c r="N1134" s="27"/>
      <c r="T1134" s="28" t="str">
        <f>LOOKUP(1,1/(Table1[[#This Row],[Level_0]:[Level 15]]&gt;0),(Table1[[#This Row],[Level_0]:[Level 15]]))</f>
        <v>3116006000 - [Merchan - Compulsory Levies - CorrAcc]</v>
      </c>
      <c r="U1134" s="22">
        <v>1129</v>
      </c>
      <c r="W1134" s="13" t="str">
        <f>LOOKUP(1,1/(Table1[[#This Row],[Level_0]:[Level 15]]&gt;0),(Table1[[#This Row],[Level_0]:[Level 15]]))</f>
        <v>3116006000 - [Merchan - Compulsory Levies - CorrAcc]</v>
      </c>
    </row>
    <row r="1135" spans="1:23" hidden="1" x14ac:dyDescent="0.25">
      <c r="A1135">
        <v>3116000010</v>
      </c>
      <c r="B1135" s="16" t="s">
        <v>19588</v>
      </c>
      <c r="C1135" s="16" t="e">
        <f>VLOOKUP(Table1[[#This Row],[Node]],Parent!A:B,2,0)</f>
        <v>#N/A</v>
      </c>
      <c r="D1135" s="25" t="s">
        <v>19346</v>
      </c>
      <c r="E1135" s="26" t="s">
        <v>16544</v>
      </c>
      <c r="F1135" s="27" t="s">
        <v>16830</v>
      </c>
      <c r="G1135" s="27" t="s">
        <v>17559</v>
      </c>
      <c r="H1135" s="27" t="s">
        <v>17643</v>
      </c>
      <c r="I1135" s="27"/>
      <c r="J1135" s="27"/>
      <c r="K1135" s="27"/>
      <c r="L1135" s="27"/>
      <c r="N1135" s="27"/>
      <c r="T1135" s="28" t="str">
        <f>LOOKUP(1,1/(Table1[[#This Row],[Level_0]:[Level 15]]&gt;0),(Table1[[#This Row],[Level_0]:[Level 15]]))</f>
        <v>3116000010 - [Merchan - Compulsory Levies - Account 10]</v>
      </c>
      <c r="U1135" s="22">
        <v>1130</v>
      </c>
      <c r="W1135" s="13" t="str">
        <f>LOOKUP(1,1/(Table1[[#This Row],[Level_0]:[Level 15]]&gt;0),(Table1[[#This Row],[Level_0]:[Level 15]]))</f>
        <v>3116000010 - [Merchan - Compulsory Levies - Account 10]</v>
      </c>
    </row>
    <row r="1136" spans="1:23" hidden="1" x14ac:dyDescent="0.25">
      <c r="A1136">
        <v>3116000002</v>
      </c>
      <c r="B1136" s="16" t="s">
        <v>19587</v>
      </c>
      <c r="C1136" s="16" t="e">
        <f>VLOOKUP(Table1[[#This Row],[Node]],Parent!A:B,2,0)</f>
        <v>#N/A</v>
      </c>
      <c r="D1136" s="25" t="s">
        <v>19346</v>
      </c>
      <c r="E1136" s="26" t="s">
        <v>16544</v>
      </c>
      <c r="F1136" s="27" t="s">
        <v>16830</v>
      </c>
      <c r="G1136" s="27" t="s">
        <v>17559</v>
      </c>
      <c r="H1136" s="27" t="s">
        <v>17644</v>
      </c>
      <c r="I1136" s="27"/>
      <c r="J1136" s="27"/>
      <c r="K1136" s="27"/>
      <c r="L1136" s="27"/>
      <c r="N1136" s="27"/>
      <c r="T1136" s="28" t="str">
        <f>LOOKUP(1,1/(Table1[[#This Row],[Level_0]:[Level 15]]&gt;0),(Table1[[#This Row],[Level_0]:[Level 15]]))</f>
        <v>3116000002 - [Merchan - Compulsory Levies - Account 2]</v>
      </c>
      <c r="U1136" s="22">
        <v>1131</v>
      </c>
      <c r="W1136" s="13" t="str">
        <f>LOOKUP(1,1/(Table1[[#This Row],[Level_0]:[Level 15]]&gt;0),(Table1[[#This Row],[Level_0]:[Level 15]]))</f>
        <v>3116000002 - [Merchan - Compulsory Levies - Account 2]</v>
      </c>
    </row>
    <row r="1137" spans="1:23" hidden="1" x14ac:dyDescent="0.25">
      <c r="A1137">
        <v>3116000001</v>
      </c>
      <c r="B1137" s="16" t="s">
        <v>19586</v>
      </c>
      <c r="C1137" s="16" t="e">
        <f>VLOOKUP(Table1[[#This Row],[Node]],Parent!A:B,2,0)</f>
        <v>#N/A</v>
      </c>
      <c r="D1137" s="25" t="s">
        <v>19346</v>
      </c>
      <c r="E1137" s="26" t="s">
        <v>16544</v>
      </c>
      <c r="F1137" s="27" t="s">
        <v>16830</v>
      </c>
      <c r="G1137" s="27" t="s">
        <v>17559</v>
      </c>
      <c r="H1137" s="27" t="s">
        <v>17645</v>
      </c>
      <c r="I1137" s="27"/>
      <c r="J1137" s="27"/>
      <c r="K1137" s="27"/>
      <c r="L1137" s="27"/>
      <c r="N1137" s="27"/>
      <c r="T1137" s="28" t="str">
        <f>LOOKUP(1,1/(Table1[[#This Row],[Level_0]:[Level 15]]&gt;0),(Table1[[#This Row],[Level_0]:[Level 15]]))</f>
        <v>3116000001 - [Merchan - Compulsory Levies - Account 1]</v>
      </c>
      <c r="U1137" s="22">
        <v>1132</v>
      </c>
      <c r="W1137" s="13" t="str">
        <f>LOOKUP(1,1/(Table1[[#This Row],[Level_0]:[Level 15]]&gt;0),(Table1[[#This Row],[Level_0]:[Level 15]]))</f>
        <v>3116000001 - [Merchan - Compulsory Levies - Account 1]</v>
      </c>
    </row>
    <row r="1138" spans="1:23" hidden="1" x14ac:dyDescent="0.25">
      <c r="A1138">
        <v>3116000000</v>
      </c>
      <c r="B1138" s="16" t="s">
        <v>19585</v>
      </c>
      <c r="C1138" s="16" t="e">
        <f>VLOOKUP(Table1[[#This Row],[Node]],Parent!A:B,2,0)</f>
        <v>#N/A</v>
      </c>
      <c r="D1138" s="25" t="s">
        <v>19346</v>
      </c>
      <c r="E1138" s="26" t="s">
        <v>16544</v>
      </c>
      <c r="F1138" s="27" t="s">
        <v>16830</v>
      </c>
      <c r="G1138" s="27" t="s">
        <v>17559</v>
      </c>
      <c r="H1138" s="27" t="s">
        <v>17646</v>
      </c>
      <c r="I1138" s="27"/>
      <c r="J1138" s="27"/>
      <c r="K1138" s="27"/>
      <c r="L1138" s="27"/>
      <c r="N1138" s="27"/>
      <c r="T1138" s="28" t="str">
        <f>LOOKUP(1,1/(Table1[[#This Row],[Level_0]:[Level 15]]&gt;0),(Table1[[#This Row],[Level_0]:[Level 15]]))</f>
        <v>3116000000 - [Merchan - Compulsory Levies]</v>
      </c>
      <c r="U1138" s="22">
        <v>1133</v>
      </c>
      <c r="W1138" s="13" t="str">
        <f>LOOKUP(1,1/(Table1[[#This Row],[Level_0]:[Level 15]]&gt;0),(Table1[[#This Row],[Level_0]:[Level 15]]))</f>
        <v>3116000000 - [Merchan - Compulsory Levies]</v>
      </c>
    </row>
    <row r="1139" spans="1:23" hidden="1" x14ac:dyDescent="0.25">
      <c r="A1139">
        <v>3115006000</v>
      </c>
      <c r="B1139" s="16" t="s">
        <v>19583</v>
      </c>
      <c r="C1139" s="16" t="e">
        <f>VLOOKUP(Table1[[#This Row],[Node]],Parent!A:B,2,0)</f>
        <v>#N/A</v>
      </c>
      <c r="D1139" s="25" t="s">
        <v>19346</v>
      </c>
      <c r="E1139" s="26" t="s">
        <v>16544</v>
      </c>
      <c r="F1139" s="27" t="s">
        <v>16830</v>
      </c>
      <c r="G1139" s="27" t="s">
        <v>17559</v>
      </c>
      <c r="H1139" s="27" t="s">
        <v>17647</v>
      </c>
      <c r="I1139" s="27"/>
      <c r="J1139" s="27"/>
      <c r="K1139" s="27"/>
      <c r="L1139" s="27"/>
      <c r="N1139" s="27"/>
      <c r="T1139" s="28" t="str">
        <f>LOOKUP(1,1/(Table1[[#This Row],[Level_0]:[Level 15]]&gt;0),(Table1[[#This Row],[Level_0]:[Level 15]]))</f>
        <v>3115006000 - [Merchan - Sales Returns - CorrAcc]</v>
      </c>
      <c r="U1139" s="22">
        <v>1134</v>
      </c>
      <c r="W1139" s="13" t="str">
        <f>LOOKUP(1,1/(Table1[[#This Row],[Level_0]:[Level 15]]&gt;0),(Table1[[#This Row],[Level_0]:[Level 15]]))</f>
        <v>3115006000 - [Merchan - Sales Returns - CorrAcc]</v>
      </c>
    </row>
    <row r="1140" spans="1:23" hidden="1" x14ac:dyDescent="0.25">
      <c r="A1140">
        <v>3115000001</v>
      </c>
      <c r="B1140" s="16" t="s">
        <v>19581</v>
      </c>
      <c r="C1140" s="16" t="e">
        <f>VLOOKUP(Table1[[#This Row],[Node]],Parent!A:B,2,0)</f>
        <v>#N/A</v>
      </c>
      <c r="D1140" s="25" t="s">
        <v>19346</v>
      </c>
      <c r="E1140" s="26" t="s">
        <v>16544</v>
      </c>
      <c r="F1140" s="27" t="s">
        <v>16830</v>
      </c>
      <c r="G1140" s="27" t="s">
        <v>17559</v>
      </c>
      <c r="H1140" s="27" t="s">
        <v>17648</v>
      </c>
      <c r="I1140" s="27"/>
      <c r="J1140" s="27"/>
      <c r="K1140" s="27"/>
      <c r="L1140" s="27"/>
      <c r="N1140" s="27"/>
      <c r="T1140" s="28" t="str">
        <f>LOOKUP(1,1/(Table1[[#This Row],[Level_0]:[Level 15]]&gt;0),(Table1[[#This Row],[Level_0]:[Level 15]]))</f>
        <v>3115000001 - [Merchan - Sales Returns-Acc1]</v>
      </c>
      <c r="U1140" s="22">
        <v>1135</v>
      </c>
      <c r="W1140" s="13" t="str">
        <f>LOOKUP(1,1/(Table1[[#This Row],[Level_0]:[Level 15]]&gt;0),(Table1[[#This Row],[Level_0]:[Level 15]]))</f>
        <v>3115000001 - [Merchan - Sales Returns-Acc1]</v>
      </c>
    </row>
    <row r="1141" spans="1:23" hidden="1" x14ac:dyDescent="0.25">
      <c r="A1141">
        <v>3115000000</v>
      </c>
      <c r="B1141" s="16" t="s">
        <v>19580</v>
      </c>
      <c r="C1141" s="16" t="e">
        <f>VLOOKUP(Table1[[#This Row],[Node]],Parent!A:B,2,0)</f>
        <v>#N/A</v>
      </c>
      <c r="D1141" s="25" t="s">
        <v>19346</v>
      </c>
      <c r="E1141" s="26" t="s">
        <v>16544</v>
      </c>
      <c r="F1141" s="27" t="s">
        <v>16830</v>
      </c>
      <c r="G1141" s="27" t="s">
        <v>17559</v>
      </c>
      <c r="H1141" s="27" t="s">
        <v>17649</v>
      </c>
      <c r="I1141" s="27"/>
      <c r="J1141" s="27"/>
      <c r="K1141" s="27"/>
      <c r="L1141" s="27"/>
      <c r="N1141" s="27"/>
      <c r="T1141" s="28" t="str">
        <f>LOOKUP(1,1/(Table1[[#This Row],[Level_0]:[Level 15]]&gt;0),(Table1[[#This Row],[Level_0]:[Level 15]]))</f>
        <v>3115000000 - [Merchan - Sales Returns]</v>
      </c>
      <c r="U1141" s="22">
        <v>1136</v>
      </c>
      <c r="W1141" s="13" t="str">
        <f>LOOKUP(1,1/(Table1[[#This Row],[Level_0]:[Level 15]]&gt;0),(Table1[[#This Row],[Level_0]:[Level 15]]))</f>
        <v>3115000000 - [Merchan - Sales Returns]</v>
      </c>
    </row>
    <row r="1142" spans="1:23" hidden="1" x14ac:dyDescent="0.25">
      <c r="A1142">
        <v>3113006000</v>
      </c>
      <c r="B1142" s="16" t="s">
        <v>19577</v>
      </c>
      <c r="C1142" s="16" t="e">
        <f>VLOOKUP(Table1[[#This Row],[Node]],Parent!A:B,2,0)</f>
        <v>#N/A</v>
      </c>
      <c r="D1142" s="25" t="s">
        <v>19346</v>
      </c>
      <c r="E1142" s="26" t="s">
        <v>16544</v>
      </c>
      <c r="F1142" s="27" t="s">
        <v>16830</v>
      </c>
      <c r="G1142" s="27" t="s">
        <v>17559</v>
      </c>
      <c r="H1142" s="27" t="s">
        <v>17650</v>
      </c>
      <c r="I1142" s="27"/>
      <c r="J1142" s="27"/>
      <c r="K1142" s="27"/>
      <c r="L1142" s="27"/>
      <c r="N1142" s="27"/>
      <c r="T1142" s="28" t="str">
        <f>LOOKUP(1,1/(Table1[[#This Row],[Level_0]:[Level 15]]&gt;0),(Table1[[#This Row],[Level_0]:[Level 15]]))</f>
        <v>3113006000 - [Merchan - Goods FOC - CorrAcc]</v>
      </c>
      <c r="U1142" s="22">
        <v>1137</v>
      </c>
      <c r="W1142" s="13" t="str">
        <f>LOOKUP(1,1/(Table1[[#This Row],[Level_0]:[Level 15]]&gt;0),(Table1[[#This Row],[Level_0]:[Level 15]]))</f>
        <v>3113006000 - [Merchan - Goods FOC - CorrAcc]</v>
      </c>
    </row>
    <row r="1143" spans="1:23" hidden="1" x14ac:dyDescent="0.25">
      <c r="A1143">
        <v>3113000000</v>
      </c>
      <c r="B1143" s="16" t="s">
        <v>19576</v>
      </c>
      <c r="C1143" s="16" t="e">
        <f>VLOOKUP(Table1[[#This Row],[Node]],Parent!A:B,2,0)</f>
        <v>#N/A</v>
      </c>
      <c r="D1143" s="25" t="s">
        <v>19346</v>
      </c>
      <c r="E1143" s="26" t="s">
        <v>16544</v>
      </c>
      <c r="F1143" s="27" t="s">
        <v>16830</v>
      </c>
      <c r="G1143" s="27" t="s">
        <v>17559</v>
      </c>
      <c r="H1143" s="27" t="s">
        <v>17651</v>
      </c>
      <c r="I1143" s="27"/>
      <c r="J1143" s="27"/>
      <c r="K1143" s="27"/>
      <c r="L1143" s="27"/>
      <c r="N1143" s="27"/>
      <c r="T1143" s="28" t="str">
        <f>LOOKUP(1,1/(Table1[[#This Row],[Level_0]:[Level 15]]&gt;0),(Table1[[#This Row],[Level_0]:[Level 15]]))</f>
        <v>3113000000 - [Merchan - Goods FOC]</v>
      </c>
      <c r="U1143" s="22">
        <v>1138</v>
      </c>
      <c r="W1143" s="13" t="str">
        <f>LOOKUP(1,1/(Table1[[#This Row],[Level_0]:[Level 15]]&gt;0),(Table1[[#This Row],[Level_0]:[Level 15]]))</f>
        <v>3113000000 - [Merchan - Goods FOC]</v>
      </c>
    </row>
    <row r="1144" spans="1:23" hidden="1" x14ac:dyDescent="0.25">
      <c r="A1144">
        <v>3112006000</v>
      </c>
      <c r="B1144" s="16" t="s">
        <v>19575</v>
      </c>
      <c r="C1144" s="16" t="e">
        <f>VLOOKUP(Table1[[#This Row],[Node]],Parent!A:B,2,0)</f>
        <v>#N/A</v>
      </c>
      <c r="D1144" s="25" t="s">
        <v>19346</v>
      </c>
      <c r="E1144" s="26" t="s">
        <v>16544</v>
      </c>
      <c r="F1144" s="27" t="s">
        <v>16830</v>
      </c>
      <c r="G1144" s="27" t="s">
        <v>17559</v>
      </c>
      <c r="H1144" s="27" t="s">
        <v>17652</v>
      </c>
      <c r="I1144" s="27"/>
      <c r="J1144" s="27"/>
      <c r="K1144" s="27"/>
      <c r="L1144" s="27"/>
      <c r="N1144" s="27"/>
      <c r="T1144" s="28" t="str">
        <f>LOOKUP(1,1/(Table1[[#This Row],[Level_0]:[Level 15]]&gt;0),(Table1[[#This Row],[Level_0]:[Level 15]]))</f>
        <v>3112006000 - [Merchan - Bonus - CorrAcc]</v>
      </c>
      <c r="U1144" s="22">
        <v>1139</v>
      </c>
      <c r="W1144" s="13" t="str">
        <f>LOOKUP(1,1/(Table1[[#This Row],[Level_0]:[Level 15]]&gt;0),(Table1[[#This Row],[Level_0]:[Level 15]]))</f>
        <v>3112006000 - [Merchan - Bonus - CorrAcc]</v>
      </c>
    </row>
    <row r="1145" spans="1:23" hidden="1" x14ac:dyDescent="0.25">
      <c r="A1145">
        <v>3112000000</v>
      </c>
      <c r="B1145" s="16" t="s">
        <v>19573</v>
      </c>
      <c r="C1145" s="16" t="e">
        <f>VLOOKUP(Table1[[#This Row],[Node]],Parent!A:B,2,0)</f>
        <v>#N/A</v>
      </c>
      <c r="D1145" s="25" t="s">
        <v>19346</v>
      </c>
      <c r="E1145" s="26" t="s">
        <v>16544</v>
      </c>
      <c r="F1145" s="27" t="s">
        <v>16830</v>
      </c>
      <c r="G1145" s="27" t="s">
        <v>17559</v>
      </c>
      <c r="H1145" s="27" t="s">
        <v>17653</v>
      </c>
      <c r="I1145" s="27"/>
      <c r="J1145" s="27"/>
      <c r="K1145" s="27"/>
      <c r="L1145" s="27"/>
      <c r="N1145" s="27"/>
      <c r="T1145" s="28" t="str">
        <f>LOOKUP(1,1/(Table1[[#This Row],[Level_0]:[Level 15]]&gt;0),(Table1[[#This Row],[Level_0]:[Level 15]]))</f>
        <v>3112000000 - [Merchan - Bonus]</v>
      </c>
      <c r="U1145" s="22">
        <v>1140</v>
      </c>
      <c r="W1145" s="13" t="str">
        <f>LOOKUP(1,1/(Table1[[#This Row],[Level_0]:[Level 15]]&gt;0),(Table1[[#This Row],[Level_0]:[Level 15]]))</f>
        <v>3112000000 - [Merchan - Bonus]</v>
      </c>
    </row>
    <row r="1146" spans="1:23" hidden="1" x14ac:dyDescent="0.25">
      <c r="A1146">
        <v>3111006000</v>
      </c>
      <c r="B1146" s="16" t="s">
        <v>19570</v>
      </c>
      <c r="C1146" s="16" t="e">
        <f>VLOOKUP(Table1[[#This Row],[Node]],Parent!A:B,2,0)</f>
        <v>#N/A</v>
      </c>
      <c r="D1146" s="25" t="s">
        <v>19346</v>
      </c>
      <c r="E1146" s="26" t="s">
        <v>16544</v>
      </c>
      <c r="F1146" s="27" t="s">
        <v>16830</v>
      </c>
      <c r="G1146" s="27" t="s">
        <v>17559</v>
      </c>
      <c r="H1146" s="27" t="s">
        <v>17654</v>
      </c>
      <c r="I1146" s="27"/>
      <c r="J1146" s="27"/>
      <c r="K1146" s="27"/>
      <c r="L1146" s="27"/>
      <c r="N1146" s="27"/>
      <c r="T1146" s="28" t="str">
        <f>LOOKUP(1,1/(Table1[[#This Row],[Level_0]:[Level 15]]&gt;0),(Table1[[#This Row],[Level_0]:[Level 15]]))</f>
        <v>3111006000 - [Merchan - Cash Discount - CorrAcc]</v>
      </c>
      <c r="U1146" s="22">
        <v>1141</v>
      </c>
      <c r="W1146" s="13" t="str">
        <f>LOOKUP(1,1/(Table1[[#This Row],[Level_0]:[Level 15]]&gt;0),(Table1[[#This Row],[Level_0]:[Level 15]]))</f>
        <v>3111006000 - [Merchan - Cash Discount - CorrAcc]</v>
      </c>
    </row>
    <row r="1147" spans="1:23" hidden="1" x14ac:dyDescent="0.25">
      <c r="A1147">
        <v>3111000000</v>
      </c>
      <c r="B1147" s="16" t="s">
        <v>19568</v>
      </c>
      <c r="C1147" s="16" t="e">
        <f>VLOOKUP(Table1[[#This Row],[Node]],Parent!A:B,2,0)</f>
        <v>#N/A</v>
      </c>
      <c r="D1147" s="25" t="s">
        <v>19346</v>
      </c>
      <c r="E1147" s="26" t="s">
        <v>16544</v>
      </c>
      <c r="F1147" s="27" t="s">
        <v>16830</v>
      </c>
      <c r="G1147" s="27" t="s">
        <v>17559</v>
      </c>
      <c r="H1147" s="27" t="s">
        <v>17655</v>
      </c>
      <c r="I1147" s="27"/>
      <c r="J1147" s="27"/>
      <c r="K1147" s="27"/>
      <c r="L1147" s="27"/>
      <c r="N1147" s="27"/>
      <c r="T1147" s="28" t="str">
        <f>LOOKUP(1,1/(Table1[[#This Row],[Level_0]:[Level 15]]&gt;0),(Table1[[#This Row],[Level_0]:[Level 15]]))</f>
        <v>3111000000 - [Merchan - Cash Discount]</v>
      </c>
      <c r="U1147" s="22">
        <v>1142</v>
      </c>
      <c r="W1147" s="13" t="str">
        <f>LOOKUP(1,1/(Table1[[#This Row],[Level_0]:[Level 15]]&gt;0),(Table1[[#This Row],[Level_0]:[Level 15]]))</f>
        <v>3111000000 - [Merchan - Cash Discount]</v>
      </c>
    </row>
    <row r="1148" spans="1:23" hidden="1" x14ac:dyDescent="0.25">
      <c r="A1148">
        <v>3110006000</v>
      </c>
      <c r="B1148" s="16" t="s">
        <v>19567</v>
      </c>
      <c r="C1148" s="16" t="e">
        <f>VLOOKUP(Table1[[#This Row],[Node]],Parent!A:B,2,0)</f>
        <v>#N/A</v>
      </c>
      <c r="D1148" s="25" t="s">
        <v>19346</v>
      </c>
      <c r="E1148" s="26" t="s">
        <v>16544</v>
      </c>
      <c r="F1148" s="27" t="s">
        <v>16830</v>
      </c>
      <c r="G1148" s="27" t="s">
        <v>17559</v>
      </c>
      <c r="H1148" s="27" t="s">
        <v>17656</v>
      </c>
      <c r="I1148" s="27"/>
      <c r="J1148" s="27"/>
      <c r="K1148" s="27"/>
      <c r="L1148" s="27"/>
      <c r="N1148" s="27"/>
      <c r="T1148" s="28" t="str">
        <f>LOOKUP(1,1/(Table1[[#This Row],[Level_0]:[Level 15]]&gt;0),(Table1[[#This Row],[Level_0]:[Level 15]]))</f>
        <v>3110006000 - [Merchan - Rebates - CorrAcc]</v>
      </c>
      <c r="U1148" s="22">
        <v>1143</v>
      </c>
      <c r="W1148" s="13" t="str">
        <f>LOOKUP(1,1/(Table1[[#This Row],[Level_0]:[Level 15]]&gt;0),(Table1[[#This Row],[Level_0]:[Level 15]]))</f>
        <v>3110006000 - [Merchan - Rebates - CorrAcc]</v>
      </c>
    </row>
    <row r="1149" spans="1:23" hidden="1" x14ac:dyDescent="0.25">
      <c r="A1149">
        <v>3110000000</v>
      </c>
      <c r="B1149" s="16" t="s">
        <v>19563</v>
      </c>
      <c r="C1149" s="16" t="e">
        <f>VLOOKUP(Table1[[#This Row],[Node]],Parent!A:B,2,0)</f>
        <v>#N/A</v>
      </c>
      <c r="D1149" s="25" t="s">
        <v>19346</v>
      </c>
      <c r="E1149" s="26" t="s">
        <v>16544</v>
      </c>
      <c r="F1149" s="27" t="s">
        <v>16830</v>
      </c>
      <c r="G1149" s="27" t="s">
        <v>17559</v>
      </c>
      <c r="H1149" s="27" t="s">
        <v>17657</v>
      </c>
      <c r="I1149" s="27"/>
      <c r="J1149" s="27"/>
      <c r="K1149" s="27"/>
      <c r="L1149" s="27"/>
      <c r="N1149" s="27"/>
      <c r="T1149" s="28" t="str">
        <f>LOOKUP(1,1/(Table1[[#This Row],[Level_0]:[Level 15]]&gt;0),(Table1[[#This Row],[Level_0]:[Level 15]]))</f>
        <v>3110000000 - [Merchan - Rebates]</v>
      </c>
      <c r="U1149" s="22">
        <v>1144</v>
      </c>
      <c r="W1149" s="13" t="str">
        <f>LOOKUP(1,1/(Table1[[#This Row],[Level_0]:[Level 15]]&gt;0),(Table1[[#This Row],[Level_0]:[Level 15]]))</f>
        <v>3110000000 - [Merchan - Rebates]</v>
      </c>
    </row>
    <row r="1150" spans="1:23" hidden="1" x14ac:dyDescent="0.25">
      <c r="A1150">
        <v>3106006000</v>
      </c>
      <c r="B1150" s="16" t="s">
        <v>19561</v>
      </c>
      <c r="C1150" s="16" t="e">
        <f>VLOOKUP(Table1[[#This Row],[Node]],Parent!A:B,2,0)</f>
        <v>#N/A</v>
      </c>
      <c r="D1150" s="25" t="s">
        <v>19346</v>
      </c>
      <c r="E1150" s="26" t="s">
        <v>16544</v>
      </c>
      <c r="F1150" s="27" t="s">
        <v>16830</v>
      </c>
      <c r="G1150" s="27" t="s">
        <v>17559</v>
      </c>
      <c r="H1150" s="27" t="s">
        <v>17658</v>
      </c>
      <c r="I1150" s="27"/>
      <c r="J1150" s="27"/>
      <c r="K1150" s="27"/>
      <c r="L1150" s="27"/>
      <c r="N1150" s="27"/>
      <c r="T1150" s="28" t="str">
        <f>LOOKUP(1,1/(Table1[[#This Row],[Level_0]:[Level 15]]&gt;0),(Table1[[#This Row],[Level_0]:[Level 15]]))</f>
        <v>3106006000 - [Goods - Compulsory Levies - CorrAcc]</v>
      </c>
      <c r="U1150" s="22">
        <v>1145</v>
      </c>
      <c r="W1150" s="13" t="str">
        <f>LOOKUP(1,1/(Table1[[#This Row],[Level_0]:[Level 15]]&gt;0),(Table1[[#This Row],[Level_0]:[Level 15]]))</f>
        <v>3106006000 - [Goods - Compulsory Levies - CorrAcc]</v>
      </c>
    </row>
    <row r="1151" spans="1:23" hidden="1" x14ac:dyDescent="0.25">
      <c r="A1151">
        <v>3106000010</v>
      </c>
      <c r="B1151" s="16" t="s">
        <v>19559</v>
      </c>
      <c r="C1151" s="16" t="e">
        <f>VLOOKUP(Table1[[#This Row],[Node]],Parent!A:B,2,0)</f>
        <v>#N/A</v>
      </c>
      <c r="D1151" s="25" t="s">
        <v>19346</v>
      </c>
      <c r="E1151" s="26" t="s">
        <v>16544</v>
      </c>
      <c r="F1151" s="27" t="s">
        <v>16830</v>
      </c>
      <c r="G1151" s="27" t="s">
        <v>17559</v>
      </c>
      <c r="H1151" s="27" t="s">
        <v>17659</v>
      </c>
      <c r="I1151" s="27"/>
      <c r="J1151" s="27"/>
      <c r="K1151" s="27"/>
      <c r="L1151" s="27"/>
      <c r="N1151" s="27"/>
      <c r="T1151" s="28" t="str">
        <f>LOOKUP(1,1/(Table1[[#This Row],[Level_0]:[Level 15]]&gt;0),(Table1[[#This Row],[Level_0]:[Level 15]]))</f>
        <v>3106000010 - [Goods - Compulsory Levies - Account 10]</v>
      </c>
      <c r="U1151" s="22">
        <v>1146</v>
      </c>
      <c r="W1151" s="13" t="str">
        <f>LOOKUP(1,1/(Table1[[#This Row],[Level_0]:[Level 15]]&gt;0),(Table1[[#This Row],[Level_0]:[Level 15]]))</f>
        <v>3106000010 - [Goods - Compulsory Levies - Account 10]</v>
      </c>
    </row>
    <row r="1152" spans="1:23" hidden="1" x14ac:dyDescent="0.25">
      <c r="A1152">
        <v>3106000002</v>
      </c>
      <c r="B1152" s="16" t="s">
        <v>19558</v>
      </c>
      <c r="C1152" s="16" t="e">
        <f>VLOOKUP(Table1[[#This Row],[Node]],Parent!A:B,2,0)</f>
        <v>#N/A</v>
      </c>
      <c r="D1152" s="25" t="s">
        <v>19346</v>
      </c>
      <c r="E1152" s="26" t="s">
        <v>16544</v>
      </c>
      <c r="F1152" s="27" t="s">
        <v>16830</v>
      </c>
      <c r="G1152" s="27" t="s">
        <v>17559</v>
      </c>
      <c r="H1152" s="27" t="s">
        <v>17660</v>
      </c>
      <c r="I1152" s="27"/>
      <c r="J1152" s="27"/>
      <c r="K1152" s="27"/>
      <c r="L1152" s="27"/>
      <c r="N1152" s="27"/>
      <c r="T1152" s="28" t="str">
        <f>LOOKUP(1,1/(Table1[[#This Row],[Level_0]:[Level 15]]&gt;0),(Table1[[#This Row],[Level_0]:[Level 15]]))</f>
        <v>3106000002 - [Goods - Compulsory Levies - Account 2]</v>
      </c>
      <c r="U1152" s="22">
        <v>1147</v>
      </c>
      <c r="W1152" s="13" t="str">
        <f>LOOKUP(1,1/(Table1[[#This Row],[Level_0]:[Level 15]]&gt;0),(Table1[[#This Row],[Level_0]:[Level 15]]))</f>
        <v>3106000002 - [Goods - Compulsory Levies - Account 2]</v>
      </c>
    </row>
    <row r="1153" spans="1:23" hidden="1" x14ac:dyDescent="0.25">
      <c r="A1153">
        <v>3106000000</v>
      </c>
      <c r="B1153" s="16" t="s">
        <v>19556</v>
      </c>
      <c r="C1153" s="16" t="e">
        <f>VLOOKUP(Table1[[#This Row],[Node]],Parent!A:B,2,0)</f>
        <v>#N/A</v>
      </c>
      <c r="D1153" s="25" t="s">
        <v>19346</v>
      </c>
      <c r="E1153" s="26" t="s">
        <v>16544</v>
      </c>
      <c r="F1153" s="27" t="s">
        <v>16830</v>
      </c>
      <c r="G1153" s="27" t="s">
        <v>17559</v>
      </c>
      <c r="H1153" s="27" t="s">
        <v>17661</v>
      </c>
      <c r="I1153" s="27"/>
      <c r="J1153" s="27"/>
      <c r="K1153" s="27"/>
      <c r="L1153" s="27"/>
      <c r="N1153" s="27"/>
      <c r="T1153" s="28" t="str">
        <f>LOOKUP(1,1/(Table1[[#This Row],[Level_0]:[Level 15]]&gt;0),(Table1[[#This Row],[Level_0]:[Level 15]]))</f>
        <v>3106000000 - [Goods - Compulsory Levies]</v>
      </c>
      <c r="U1153" s="22">
        <v>1148</v>
      </c>
      <c r="W1153" s="13" t="str">
        <f>LOOKUP(1,1/(Table1[[#This Row],[Level_0]:[Level 15]]&gt;0),(Table1[[#This Row],[Level_0]:[Level 15]]))</f>
        <v>3106000000 - [Goods - Compulsory Levies]</v>
      </c>
    </row>
    <row r="1154" spans="1:23" hidden="1" x14ac:dyDescent="0.25">
      <c r="A1154">
        <v>3105006000</v>
      </c>
      <c r="B1154" s="16" t="s">
        <v>19554</v>
      </c>
      <c r="C1154" s="16" t="e">
        <f>VLOOKUP(Table1[[#This Row],[Node]],Parent!A:B,2,0)</f>
        <v>#N/A</v>
      </c>
      <c r="D1154" s="25" t="s">
        <v>19346</v>
      </c>
      <c r="E1154" s="26" t="s">
        <v>16544</v>
      </c>
      <c r="F1154" s="27" t="s">
        <v>16830</v>
      </c>
      <c r="G1154" s="27" t="s">
        <v>17559</v>
      </c>
      <c r="H1154" s="27" t="s">
        <v>17662</v>
      </c>
      <c r="I1154" s="27"/>
      <c r="J1154" s="27"/>
      <c r="K1154" s="27"/>
      <c r="L1154" s="27"/>
      <c r="N1154" s="27"/>
      <c r="T1154" s="28" t="str">
        <f>LOOKUP(1,1/(Table1[[#This Row],[Level_0]:[Level 15]]&gt;0),(Table1[[#This Row],[Level_0]:[Level 15]]))</f>
        <v>3105006000 - [Goods - Sales Returns - CorrAcc]</v>
      </c>
      <c r="U1154" s="22">
        <v>1149</v>
      </c>
      <c r="W1154" s="13" t="str">
        <f>LOOKUP(1,1/(Table1[[#This Row],[Level_0]:[Level 15]]&gt;0),(Table1[[#This Row],[Level_0]:[Level 15]]))</f>
        <v>3105006000 - [Goods - Sales Returns - CorrAcc]</v>
      </c>
    </row>
    <row r="1155" spans="1:23" hidden="1" x14ac:dyDescent="0.25">
      <c r="A1155">
        <v>3105000000</v>
      </c>
      <c r="B1155" s="16" t="s">
        <v>19553</v>
      </c>
      <c r="C1155" s="16" t="e">
        <f>VLOOKUP(Table1[[#This Row],[Node]],Parent!A:B,2,0)</f>
        <v>#N/A</v>
      </c>
      <c r="D1155" s="25" t="s">
        <v>19346</v>
      </c>
      <c r="E1155" s="26" t="s">
        <v>16544</v>
      </c>
      <c r="F1155" s="27" t="s">
        <v>16830</v>
      </c>
      <c r="G1155" s="27" t="s">
        <v>17559</v>
      </c>
      <c r="H1155" s="27" t="s">
        <v>17663</v>
      </c>
      <c r="I1155" s="27"/>
      <c r="J1155" s="27"/>
      <c r="K1155" s="27"/>
      <c r="L1155" s="27"/>
      <c r="N1155" s="27"/>
      <c r="T1155" s="28" t="str">
        <f>LOOKUP(1,1/(Table1[[#This Row],[Level_0]:[Level 15]]&gt;0),(Table1[[#This Row],[Level_0]:[Level 15]]))</f>
        <v>3105000000 - [Goods - Sales Returns]</v>
      </c>
      <c r="U1155" s="22">
        <v>1150</v>
      </c>
      <c r="W1155" s="13" t="str">
        <f>LOOKUP(1,1/(Table1[[#This Row],[Level_0]:[Level 15]]&gt;0),(Table1[[#This Row],[Level_0]:[Level 15]]))</f>
        <v>3105000000 - [Goods - Sales Returns]</v>
      </c>
    </row>
    <row r="1156" spans="1:23" hidden="1" x14ac:dyDescent="0.25">
      <c r="A1156">
        <v>3103006000</v>
      </c>
      <c r="B1156" s="16" t="s">
        <v>19550</v>
      </c>
      <c r="C1156" s="16" t="e">
        <f>VLOOKUP(Table1[[#This Row],[Node]],Parent!A:B,2,0)</f>
        <v>#N/A</v>
      </c>
      <c r="D1156" s="25" t="s">
        <v>19346</v>
      </c>
      <c r="E1156" s="26" t="s">
        <v>16544</v>
      </c>
      <c r="F1156" s="27" t="s">
        <v>16830</v>
      </c>
      <c r="G1156" s="27" t="s">
        <v>17559</v>
      </c>
      <c r="H1156" s="27" t="s">
        <v>17664</v>
      </c>
      <c r="I1156" s="27"/>
      <c r="J1156" s="27"/>
      <c r="K1156" s="27"/>
      <c r="L1156" s="27"/>
      <c r="N1156" s="27"/>
      <c r="T1156" s="28" t="str">
        <f>LOOKUP(1,1/(Table1[[#This Row],[Level_0]:[Level 15]]&gt;0),(Table1[[#This Row],[Level_0]:[Level 15]]))</f>
        <v>3103006000 - [Goods - Goods FOC - CorrAcc]</v>
      </c>
      <c r="U1156" s="22">
        <v>1151</v>
      </c>
      <c r="W1156" s="13" t="str">
        <f>LOOKUP(1,1/(Table1[[#This Row],[Level_0]:[Level 15]]&gt;0),(Table1[[#This Row],[Level_0]:[Level 15]]))</f>
        <v>3103006000 - [Goods - Goods FOC - CorrAcc]</v>
      </c>
    </row>
    <row r="1157" spans="1:23" hidden="1" x14ac:dyDescent="0.25">
      <c r="A1157">
        <v>3103000000</v>
      </c>
      <c r="B1157" s="16" t="s">
        <v>19549</v>
      </c>
      <c r="C1157" s="16" t="e">
        <f>VLOOKUP(Table1[[#This Row],[Node]],Parent!A:B,2,0)</f>
        <v>#N/A</v>
      </c>
      <c r="D1157" s="25" t="s">
        <v>19346</v>
      </c>
      <c r="E1157" s="26" t="s">
        <v>16544</v>
      </c>
      <c r="F1157" s="27" t="s">
        <v>16830</v>
      </c>
      <c r="G1157" s="27" t="s">
        <v>17559</v>
      </c>
      <c r="H1157" s="27" t="s">
        <v>17665</v>
      </c>
      <c r="I1157" s="27"/>
      <c r="J1157" s="27"/>
      <c r="K1157" s="27"/>
      <c r="L1157" s="27"/>
      <c r="N1157" s="27"/>
      <c r="T1157" s="28" t="str">
        <f>LOOKUP(1,1/(Table1[[#This Row],[Level_0]:[Level 15]]&gt;0),(Table1[[#This Row],[Level_0]:[Level 15]]))</f>
        <v>3103000000 - [Goods - Goods FOC]</v>
      </c>
      <c r="U1157" s="22">
        <v>1152</v>
      </c>
      <c r="W1157" s="13" t="str">
        <f>LOOKUP(1,1/(Table1[[#This Row],[Level_0]:[Level 15]]&gt;0),(Table1[[#This Row],[Level_0]:[Level 15]]))</f>
        <v>3103000000 - [Goods - Goods FOC]</v>
      </c>
    </row>
    <row r="1158" spans="1:23" hidden="1" x14ac:dyDescent="0.25">
      <c r="A1158">
        <v>3102006000</v>
      </c>
      <c r="B1158" s="16" t="s">
        <v>19548</v>
      </c>
      <c r="C1158" s="16" t="e">
        <f>VLOOKUP(Table1[[#This Row],[Node]],Parent!A:B,2,0)</f>
        <v>#N/A</v>
      </c>
      <c r="D1158" s="25" t="s">
        <v>19346</v>
      </c>
      <c r="E1158" s="26" t="s">
        <v>16544</v>
      </c>
      <c r="F1158" s="27" t="s">
        <v>16830</v>
      </c>
      <c r="G1158" s="27" t="s">
        <v>17559</v>
      </c>
      <c r="H1158" s="27" t="s">
        <v>17666</v>
      </c>
      <c r="I1158" s="27"/>
      <c r="J1158" s="27"/>
      <c r="K1158" s="27"/>
      <c r="L1158" s="27"/>
      <c r="N1158" s="27"/>
      <c r="T1158" s="28" t="str">
        <f>LOOKUP(1,1/(Table1[[#This Row],[Level_0]:[Level 15]]&gt;0),(Table1[[#This Row],[Level_0]:[Level 15]]))</f>
        <v>3102006000 - [Goods - Bonus - CorrAcc]</v>
      </c>
      <c r="U1158" s="22">
        <v>1153</v>
      </c>
      <c r="W1158" s="13" t="str">
        <f>LOOKUP(1,1/(Table1[[#This Row],[Level_0]:[Level 15]]&gt;0),(Table1[[#This Row],[Level_0]:[Level 15]]))</f>
        <v>3102006000 - [Goods - Bonus - CorrAcc]</v>
      </c>
    </row>
    <row r="1159" spans="1:23" hidden="1" x14ac:dyDescent="0.25">
      <c r="A1159">
        <v>3101006000</v>
      </c>
      <c r="B1159" s="16" t="s">
        <v>19546</v>
      </c>
      <c r="C1159" s="16" t="e">
        <f>VLOOKUP(Table1[[#This Row],[Node]],Parent!A:B,2,0)</f>
        <v>#N/A</v>
      </c>
      <c r="D1159" s="25" t="s">
        <v>19346</v>
      </c>
      <c r="E1159" s="26" t="s">
        <v>16544</v>
      </c>
      <c r="F1159" s="27" t="s">
        <v>16830</v>
      </c>
      <c r="G1159" s="27" t="s">
        <v>17559</v>
      </c>
      <c r="H1159" s="27" t="s">
        <v>17667</v>
      </c>
      <c r="I1159" s="27"/>
      <c r="J1159" s="27"/>
      <c r="K1159" s="27"/>
      <c r="L1159" s="27"/>
      <c r="N1159" s="27"/>
      <c r="T1159" s="28" t="str">
        <f>LOOKUP(1,1/(Table1[[#This Row],[Level_0]:[Level 15]]&gt;0),(Table1[[#This Row],[Level_0]:[Level 15]]))</f>
        <v>3101006000 - [Goods - Cash Discount - CorrAcc]</v>
      </c>
      <c r="U1159" s="22">
        <v>1154</v>
      </c>
      <c r="W1159" s="13" t="str">
        <f>LOOKUP(1,1/(Table1[[#This Row],[Level_0]:[Level 15]]&gt;0),(Table1[[#This Row],[Level_0]:[Level 15]]))</f>
        <v>3101006000 - [Goods - Cash Discount - CorrAcc]</v>
      </c>
    </row>
    <row r="1160" spans="1:23" hidden="1" x14ac:dyDescent="0.25">
      <c r="A1160">
        <v>3101000000</v>
      </c>
      <c r="B1160" s="16" t="s">
        <v>19545</v>
      </c>
      <c r="C1160" s="16" t="e">
        <f>VLOOKUP(Table1[[#This Row],[Node]],Parent!A:B,2,0)</f>
        <v>#N/A</v>
      </c>
      <c r="D1160" s="25" t="s">
        <v>19346</v>
      </c>
      <c r="E1160" s="26" t="s">
        <v>16544</v>
      </c>
      <c r="F1160" s="27" t="s">
        <v>16830</v>
      </c>
      <c r="G1160" s="27" t="s">
        <v>17559</v>
      </c>
      <c r="H1160" s="27" t="s">
        <v>17668</v>
      </c>
      <c r="I1160" s="27"/>
      <c r="J1160" s="27"/>
      <c r="K1160" s="27"/>
      <c r="L1160" s="27"/>
      <c r="N1160" s="27"/>
      <c r="T1160" s="28" t="str">
        <f>LOOKUP(1,1/(Table1[[#This Row],[Level_0]:[Level 15]]&gt;0),(Table1[[#This Row],[Level_0]:[Level 15]]))</f>
        <v>3101000000 - [Goods - Cash Discount]</v>
      </c>
      <c r="U1160" s="22">
        <v>1155</v>
      </c>
      <c r="W1160" s="13" t="str">
        <f>LOOKUP(1,1/(Table1[[#This Row],[Level_0]:[Level 15]]&gt;0),(Table1[[#This Row],[Level_0]:[Level 15]]))</f>
        <v>3101000000 - [Goods - Cash Discount]</v>
      </c>
    </row>
    <row r="1161" spans="1:23" hidden="1" x14ac:dyDescent="0.25">
      <c r="A1161">
        <v>3100006000</v>
      </c>
      <c r="B1161" s="16" t="s">
        <v>19544</v>
      </c>
      <c r="C1161" s="16" t="e">
        <f>VLOOKUP(Table1[[#This Row],[Node]],Parent!A:B,2,0)</f>
        <v>#N/A</v>
      </c>
      <c r="D1161" s="25" t="s">
        <v>19346</v>
      </c>
      <c r="E1161" s="26" t="s">
        <v>16544</v>
      </c>
      <c r="F1161" s="27" t="s">
        <v>16830</v>
      </c>
      <c r="G1161" s="27" t="s">
        <v>17559</v>
      </c>
      <c r="H1161" s="27" t="s">
        <v>17669</v>
      </c>
      <c r="I1161" s="27"/>
      <c r="J1161" s="27"/>
      <c r="K1161" s="27"/>
      <c r="L1161" s="27"/>
      <c r="N1161" s="27"/>
      <c r="T1161" s="28" t="str">
        <f>LOOKUP(1,1/(Table1[[#This Row],[Level_0]:[Level 15]]&gt;0),(Table1[[#This Row],[Level_0]:[Level 15]]))</f>
        <v>3100006000 - [Goods - Rebates - CorrAcc]</v>
      </c>
      <c r="U1161" s="22">
        <v>1156</v>
      </c>
      <c r="W1161" s="13" t="str">
        <f>LOOKUP(1,1/(Table1[[#This Row],[Level_0]:[Level 15]]&gt;0),(Table1[[#This Row],[Level_0]:[Level 15]]))</f>
        <v>3100006000 - [Goods - Rebates - CorrAcc]</v>
      </c>
    </row>
    <row r="1162" spans="1:23" hidden="1" x14ac:dyDescent="0.25">
      <c r="A1162">
        <v>3100000000</v>
      </c>
      <c r="B1162" s="16" t="s">
        <v>19543</v>
      </c>
      <c r="C1162" s="16" t="e">
        <f>VLOOKUP(Table1[[#This Row],[Node]],Parent!A:B,2,0)</f>
        <v>#N/A</v>
      </c>
      <c r="D1162" s="25" t="s">
        <v>19346</v>
      </c>
      <c r="E1162" s="26" t="s">
        <v>16544</v>
      </c>
      <c r="F1162" s="27" t="s">
        <v>16830</v>
      </c>
      <c r="G1162" s="27" t="s">
        <v>17559</v>
      </c>
      <c r="H1162" s="27" t="s">
        <v>17670</v>
      </c>
      <c r="I1162" s="27"/>
      <c r="J1162" s="27"/>
      <c r="K1162" s="27"/>
      <c r="L1162" s="27"/>
      <c r="N1162" s="27"/>
      <c r="T1162" s="28" t="str">
        <f>LOOKUP(1,1/(Table1[[#This Row],[Level_0]:[Level 15]]&gt;0),(Table1[[#This Row],[Level_0]:[Level 15]]))</f>
        <v>3100000000 - [Goods - Rebates]</v>
      </c>
      <c r="U1162" s="22">
        <v>1157</v>
      </c>
      <c r="W1162" s="13" t="str">
        <f>LOOKUP(1,1/(Table1[[#This Row],[Level_0]:[Level 15]]&gt;0),(Table1[[#This Row],[Level_0]:[Level 15]]))</f>
        <v>3100000000 - [Goods - Rebates]</v>
      </c>
    </row>
    <row r="1163" spans="1:23" hidden="1" x14ac:dyDescent="0.25">
      <c r="A1163">
        <v>3060000000</v>
      </c>
      <c r="B1163" s="16" t="s">
        <v>19542</v>
      </c>
      <c r="C1163" s="16" t="e">
        <f>VLOOKUP(Table1[[#This Row],[Node]],Parent!A:B,2,0)</f>
        <v>#N/A</v>
      </c>
      <c r="D1163" s="25" t="s">
        <v>19346</v>
      </c>
      <c r="E1163" s="26" t="s">
        <v>16544</v>
      </c>
      <c r="F1163" s="27" t="s">
        <v>16830</v>
      </c>
      <c r="G1163" s="27" t="s">
        <v>17559</v>
      </c>
      <c r="H1163" s="27" t="s">
        <v>17671</v>
      </c>
      <c r="I1163" s="27"/>
      <c r="J1163" s="27"/>
      <c r="K1163" s="27"/>
      <c r="L1163" s="27"/>
      <c r="N1163" s="27"/>
      <c r="T1163" s="28" t="str">
        <f>LOOKUP(1,1/(Table1[[#This Row],[Level_0]:[Level 15]]&gt;0),(Table1[[#This Row],[Level_0]:[Level 15]]))</f>
        <v>3060000000 - [Sales Revenues - Adjustment - Manual]</v>
      </c>
      <c r="U1163" s="22">
        <v>1158</v>
      </c>
      <c r="W1163" s="13" t="str">
        <f>LOOKUP(1,1/(Table1[[#This Row],[Level_0]:[Level 15]]&gt;0),(Table1[[#This Row],[Level_0]:[Level 15]]))</f>
        <v>3060000000 - [Sales Revenues - Adjustment - Manual]</v>
      </c>
    </row>
    <row r="1164" spans="1:23" hidden="1" x14ac:dyDescent="0.25">
      <c r="A1164">
        <v>3040000000</v>
      </c>
      <c r="B1164" s="16" t="s">
        <v>19538</v>
      </c>
      <c r="C1164" s="16" t="e">
        <f>VLOOKUP(Table1[[#This Row],[Node]],Parent!A:B,2,0)</f>
        <v>#N/A</v>
      </c>
      <c r="D1164" s="25" t="s">
        <v>19346</v>
      </c>
      <c r="E1164" s="26" t="s">
        <v>16544</v>
      </c>
      <c r="F1164" s="27" t="s">
        <v>16830</v>
      </c>
      <c r="G1164" s="27" t="s">
        <v>17559</v>
      </c>
      <c r="H1164" s="27" t="s">
        <v>17672</v>
      </c>
      <c r="I1164" s="27"/>
      <c r="J1164" s="27"/>
      <c r="K1164" s="27"/>
      <c r="L1164" s="27"/>
      <c r="N1164" s="27"/>
      <c r="T1164" s="28" t="str">
        <f>LOOKUP(1,1/(Table1[[#This Row],[Level_0]:[Level 15]]&gt;0),(Table1[[#This Row],[Level_0]:[Level 15]]))</f>
        <v>3040000000 - [Sales Revenue - Royalties]</v>
      </c>
      <c r="U1164" s="22">
        <v>1159</v>
      </c>
      <c r="W1164" s="13" t="str">
        <f>LOOKUP(1,1/(Table1[[#This Row],[Level_0]:[Level 15]]&gt;0),(Table1[[#This Row],[Level_0]:[Level 15]]))</f>
        <v>3040000000 - [Sales Revenue - Royalties]</v>
      </c>
    </row>
    <row r="1165" spans="1:23" hidden="1" x14ac:dyDescent="0.25">
      <c r="A1165">
        <v>3031000000</v>
      </c>
      <c r="B1165" s="16" t="s">
        <v>19537</v>
      </c>
      <c r="C1165" s="16" t="e">
        <f>VLOOKUP(Table1[[#This Row],[Node]],Parent!A:B,2,0)</f>
        <v>#N/A</v>
      </c>
      <c r="D1165" s="25" t="s">
        <v>19346</v>
      </c>
      <c r="E1165" s="26" t="s">
        <v>16544</v>
      </c>
      <c r="F1165" s="27" t="s">
        <v>16830</v>
      </c>
      <c r="G1165" s="27" t="s">
        <v>17559</v>
      </c>
      <c r="H1165" s="27" t="s">
        <v>17673</v>
      </c>
      <c r="I1165" s="27"/>
      <c r="J1165" s="27"/>
      <c r="K1165" s="27"/>
      <c r="L1165" s="27"/>
      <c r="N1165" s="27"/>
      <c r="T1165" s="28" t="str">
        <f>LOOKUP(1,1/(Table1[[#This Row],[Level_0]:[Level 15]]&gt;0),(Table1[[#This Row],[Level_0]:[Level 15]]))</f>
        <v>3031000000 - [Sales Revenue Recognition - Hardware]</v>
      </c>
      <c r="U1165" s="22">
        <v>1160</v>
      </c>
      <c r="W1165" s="13" t="str">
        <f>LOOKUP(1,1/(Table1[[#This Row],[Level_0]:[Level 15]]&gt;0),(Table1[[#This Row],[Level_0]:[Level 15]]))</f>
        <v>3031000000 - [Sales Revenue Recognition - Hardware]</v>
      </c>
    </row>
    <row r="1166" spans="1:23" hidden="1" x14ac:dyDescent="0.25">
      <c r="A1166">
        <v>3030006000</v>
      </c>
      <c r="B1166" s="16" t="s">
        <v>19536</v>
      </c>
      <c r="C1166" s="16" t="e">
        <f>VLOOKUP(Table1[[#This Row],[Node]],Parent!A:B,2,0)</f>
        <v>#N/A</v>
      </c>
      <c r="D1166" s="25" t="s">
        <v>19346</v>
      </c>
      <c r="E1166" s="26" t="s">
        <v>16544</v>
      </c>
      <c r="F1166" s="27" t="s">
        <v>16830</v>
      </c>
      <c r="G1166" s="27" t="s">
        <v>17559</v>
      </c>
      <c r="H1166" s="27" t="s">
        <v>17674</v>
      </c>
      <c r="I1166" s="27"/>
      <c r="J1166" s="27"/>
      <c r="K1166" s="27"/>
      <c r="L1166" s="27"/>
      <c r="N1166" s="27"/>
      <c r="T1166" s="28" t="str">
        <f>LOOKUP(1,1/(Table1[[#This Row],[Level_0]:[Level 15]]&gt;0),(Table1[[#This Row],[Level_0]:[Level 15]]))</f>
        <v>3030006000 - [Sales Revenue - Hardware - CorrAcc]</v>
      </c>
      <c r="U1166" s="22">
        <v>1161</v>
      </c>
      <c r="W1166" s="13" t="str">
        <f>LOOKUP(1,1/(Table1[[#This Row],[Level_0]:[Level 15]]&gt;0),(Table1[[#This Row],[Level_0]:[Level 15]]))</f>
        <v>3030006000 - [Sales Revenue - Hardware - CorrAcc]</v>
      </c>
    </row>
    <row r="1167" spans="1:23" hidden="1" x14ac:dyDescent="0.25">
      <c r="A1167">
        <v>3030000000</v>
      </c>
      <c r="B1167" s="16" t="s">
        <v>19535</v>
      </c>
      <c r="C1167" s="16" t="e">
        <f>VLOOKUP(Table1[[#This Row],[Node]],Parent!A:B,2,0)</f>
        <v>#N/A</v>
      </c>
      <c r="D1167" s="25" t="s">
        <v>19346</v>
      </c>
      <c r="E1167" s="26" t="s">
        <v>16544</v>
      </c>
      <c r="F1167" s="27" t="s">
        <v>16830</v>
      </c>
      <c r="G1167" s="27" t="s">
        <v>17559</v>
      </c>
      <c r="H1167" s="27" t="s">
        <v>17675</v>
      </c>
      <c r="I1167" s="27"/>
      <c r="J1167" s="27"/>
      <c r="K1167" s="27"/>
      <c r="L1167" s="27"/>
      <c r="N1167" s="27"/>
      <c r="T1167" s="28" t="str">
        <f>LOOKUP(1,1/(Table1[[#This Row],[Level_0]:[Level 15]]&gt;0),(Table1[[#This Row],[Level_0]:[Level 15]]))</f>
        <v>3030000000 - [Sales Revenue - Hardware]</v>
      </c>
      <c r="U1167" s="22">
        <v>1162</v>
      </c>
      <c r="W1167" s="13" t="str">
        <f>LOOKUP(1,1/(Table1[[#This Row],[Level_0]:[Level 15]]&gt;0),(Table1[[#This Row],[Level_0]:[Level 15]]))</f>
        <v>3030000000 - [Sales Revenue - Hardware]</v>
      </c>
    </row>
    <row r="1168" spans="1:23" hidden="1" x14ac:dyDescent="0.25">
      <c r="A1168">
        <v>3029000000</v>
      </c>
      <c r="B1168" s="16" t="s">
        <v>19534</v>
      </c>
      <c r="C1168" s="16" t="e">
        <f>VLOOKUP(Table1[[#This Row],[Node]],Parent!A:B,2,0)</f>
        <v>#N/A</v>
      </c>
      <c r="D1168" s="25" t="s">
        <v>19346</v>
      </c>
      <c r="E1168" s="26" t="s">
        <v>16544</v>
      </c>
      <c r="F1168" s="27" t="s">
        <v>16830</v>
      </c>
      <c r="G1168" s="27" t="s">
        <v>17559</v>
      </c>
      <c r="H1168" s="27" t="s">
        <v>17676</v>
      </c>
      <c r="I1168" s="27"/>
      <c r="J1168" s="27"/>
      <c r="K1168" s="27"/>
      <c r="L1168" s="27"/>
      <c r="N1168" s="27"/>
      <c r="T1168" s="28" t="str">
        <f>LOOKUP(1,1/(Table1[[#This Row],[Level_0]:[Level 15]]&gt;0),(Table1[[#This Row],[Level_0]:[Level 15]]))</f>
        <v>3029000000 - [Sales Revenue Recognition - Services]</v>
      </c>
      <c r="U1168" s="22">
        <v>1163</v>
      </c>
      <c r="W1168" s="13" t="str">
        <f>LOOKUP(1,1/(Table1[[#This Row],[Level_0]:[Level 15]]&gt;0),(Table1[[#This Row],[Level_0]:[Level 15]]))</f>
        <v>3029000000 - [Sales Revenue Recognition - Services]</v>
      </c>
    </row>
    <row r="1169" spans="1:23" hidden="1" x14ac:dyDescent="0.25">
      <c r="A1169">
        <v>3020200000</v>
      </c>
      <c r="B1169" s="16" t="s">
        <v>19532</v>
      </c>
      <c r="C1169" s="16" t="e">
        <f>VLOOKUP(Table1[[#This Row],[Node]],Parent!A:B,2,0)</f>
        <v>#N/A</v>
      </c>
      <c r="D1169" s="25" t="s">
        <v>19346</v>
      </c>
      <c r="E1169" s="26" t="s">
        <v>16544</v>
      </c>
      <c r="F1169" s="27" t="s">
        <v>16830</v>
      </c>
      <c r="G1169" s="27" t="s">
        <v>17559</v>
      </c>
      <c r="H1169" s="27" t="s">
        <v>17677</v>
      </c>
      <c r="I1169" s="27"/>
      <c r="J1169" s="27"/>
      <c r="K1169" s="27"/>
      <c r="L1169" s="27"/>
      <c r="N1169" s="27"/>
      <c r="T1169" s="28" t="str">
        <f>LOOKUP(1,1/(Table1[[#This Row],[Level_0]:[Level 15]]&gt;0),(Table1[[#This Row],[Level_0]:[Level 15]]))</f>
        <v>3020200000 - [Sales revenue â€“ Monthly Service Charge]</v>
      </c>
      <c r="U1169" s="22">
        <v>1164</v>
      </c>
      <c r="W1169" s="13" t="str">
        <f>LOOKUP(1,1/(Table1[[#This Row],[Level_0]:[Level 15]]&gt;0),(Table1[[#This Row],[Level_0]:[Level 15]]))</f>
        <v>3020200000 - [Sales revenue â€“ Monthly Service Charge]</v>
      </c>
    </row>
    <row r="1170" spans="1:23" hidden="1" x14ac:dyDescent="0.25">
      <c r="A1170">
        <v>3020100000</v>
      </c>
      <c r="B1170" s="16" t="s">
        <v>19531</v>
      </c>
      <c r="C1170" s="16" t="e">
        <f>VLOOKUP(Table1[[#This Row],[Node]],Parent!A:B,2,0)</f>
        <v>#N/A</v>
      </c>
      <c r="D1170" s="25" t="s">
        <v>19346</v>
      </c>
      <c r="E1170" s="26" t="s">
        <v>16544</v>
      </c>
      <c r="F1170" s="27" t="s">
        <v>16830</v>
      </c>
      <c r="G1170" s="27" t="s">
        <v>17559</v>
      </c>
      <c r="H1170" s="27" t="s">
        <v>17678</v>
      </c>
      <c r="I1170" s="27"/>
      <c r="J1170" s="27"/>
      <c r="K1170" s="27"/>
      <c r="L1170" s="27"/>
      <c r="N1170" s="27"/>
      <c r="T1170" s="28" t="str">
        <f>LOOKUP(1,1/(Table1[[#This Row],[Level_0]:[Level 15]]&gt;0),(Table1[[#This Row],[Level_0]:[Level 15]]))</f>
        <v>3020100000 - [Sales revenue â€“ Cylinder Rental Income]</v>
      </c>
      <c r="U1170" s="22">
        <v>1165</v>
      </c>
      <c r="W1170" s="13" t="str">
        <f>LOOKUP(1,1/(Table1[[#This Row],[Level_0]:[Level 15]]&gt;0),(Table1[[#This Row],[Level_0]:[Level 15]]))</f>
        <v>3020100000 - [Sales revenue â€“ Cylinder Rental Income]</v>
      </c>
    </row>
    <row r="1171" spans="1:23" hidden="1" x14ac:dyDescent="0.25">
      <c r="A1171">
        <v>3020006000</v>
      </c>
      <c r="B1171" s="16" t="s">
        <v>19530</v>
      </c>
      <c r="C1171" s="16" t="e">
        <f>VLOOKUP(Table1[[#This Row],[Node]],Parent!A:B,2,0)</f>
        <v>#N/A</v>
      </c>
      <c r="D1171" s="25" t="s">
        <v>19346</v>
      </c>
      <c r="E1171" s="26" t="s">
        <v>16544</v>
      </c>
      <c r="F1171" s="27" t="s">
        <v>16830</v>
      </c>
      <c r="G1171" s="27" t="s">
        <v>17559</v>
      </c>
      <c r="H1171" s="27" t="s">
        <v>17679</v>
      </c>
      <c r="I1171" s="27"/>
      <c r="J1171" s="27"/>
      <c r="K1171" s="27"/>
      <c r="L1171" s="27"/>
      <c r="N1171" s="27"/>
      <c r="T1171" s="28" t="str">
        <f>LOOKUP(1,1/(Table1[[#This Row],[Level_0]:[Level 15]]&gt;0),(Table1[[#This Row],[Level_0]:[Level 15]]))</f>
        <v>3020006000 - [Sales Revenue - Services - CorrAcc]</v>
      </c>
      <c r="U1171" s="22">
        <v>1166</v>
      </c>
      <c r="W1171" s="13" t="str">
        <f>LOOKUP(1,1/(Table1[[#This Row],[Level_0]:[Level 15]]&gt;0),(Table1[[#This Row],[Level_0]:[Level 15]]))</f>
        <v>3020006000 - [Sales Revenue - Services - CorrAcc]</v>
      </c>
    </row>
    <row r="1172" spans="1:23" hidden="1" x14ac:dyDescent="0.25">
      <c r="A1172">
        <v>3020000000</v>
      </c>
      <c r="B1172" s="16" t="s">
        <v>19529</v>
      </c>
      <c r="C1172" s="16" t="e">
        <f>VLOOKUP(Table1[[#This Row],[Node]],Parent!A:B,2,0)</f>
        <v>#N/A</v>
      </c>
      <c r="D1172" s="25" t="s">
        <v>19346</v>
      </c>
      <c r="E1172" s="26" t="s">
        <v>16544</v>
      </c>
      <c r="F1172" s="27" t="s">
        <v>16830</v>
      </c>
      <c r="G1172" s="27" t="s">
        <v>17559</v>
      </c>
      <c r="H1172" s="27" t="s">
        <v>17680</v>
      </c>
      <c r="I1172" s="27"/>
      <c r="J1172" s="27"/>
      <c r="K1172" s="27"/>
      <c r="L1172" s="27"/>
      <c r="N1172" s="27"/>
      <c r="T1172" s="28" t="str">
        <f>LOOKUP(1,1/(Table1[[#This Row],[Level_0]:[Level 15]]&gt;0),(Table1[[#This Row],[Level_0]:[Level 15]]))</f>
        <v>3020000000 - [Sales Revenue - Services]</v>
      </c>
      <c r="U1172" s="22">
        <v>1167</v>
      </c>
      <c r="W1172" s="13" t="str">
        <f>LOOKUP(1,1/(Table1[[#This Row],[Level_0]:[Level 15]]&gt;0),(Table1[[#This Row],[Level_0]:[Level 15]]))</f>
        <v>3020000000 - [Sales Revenue - Services]</v>
      </c>
    </row>
    <row r="1173" spans="1:23" hidden="1" x14ac:dyDescent="0.25">
      <c r="A1173">
        <v>3011000000</v>
      </c>
      <c r="B1173" s="16" t="s">
        <v>19526</v>
      </c>
      <c r="C1173" s="16" t="e">
        <f>VLOOKUP(Table1[[#This Row],[Node]],Parent!A:B,2,0)</f>
        <v>#N/A</v>
      </c>
      <c r="D1173" s="25" t="s">
        <v>19346</v>
      </c>
      <c r="E1173" s="26" t="s">
        <v>16544</v>
      </c>
      <c r="F1173" s="27" t="s">
        <v>16830</v>
      </c>
      <c r="G1173" s="27" t="s">
        <v>17559</v>
      </c>
      <c r="H1173" s="27" t="s">
        <v>17681</v>
      </c>
      <c r="I1173" s="27"/>
      <c r="J1173" s="27"/>
      <c r="K1173" s="27"/>
      <c r="L1173" s="27"/>
      <c r="N1173" s="27"/>
      <c r="T1173" s="28" t="str">
        <f>LOOKUP(1,1/(Table1[[#This Row],[Level_0]:[Level 15]]&gt;0),(Table1[[#This Row],[Level_0]:[Level 15]]))</f>
        <v>3011000000 - [Sales Revenue Recognition - Merchandise]</v>
      </c>
      <c r="U1173" s="22">
        <v>1168</v>
      </c>
      <c r="W1173" s="13" t="str">
        <f>LOOKUP(1,1/(Table1[[#This Row],[Level_0]:[Level 15]]&gt;0),(Table1[[#This Row],[Level_0]:[Level 15]]))</f>
        <v>3011000000 - [Sales Revenue Recognition - Merchandise]</v>
      </c>
    </row>
    <row r="1174" spans="1:23" hidden="1" x14ac:dyDescent="0.25">
      <c r="A1174">
        <v>3010006000</v>
      </c>
      <c r="B1174" s="16" t="s">
        <v>19519</v>
      </c>
      <c r="C1174" s="16" t="e">
        <f>VLOOKUP(Table1[[#This Row],[Node]],Parent!A:B,2,0)</f>
        <v>#N/A</v>
      </c>
      <c r="D1174" s="25" t="s">
        <v>19346</v>
      </c>
      <c r="E1174" s="26" t="s">
        <v>16544</v>
      </c>
      <c r="F1174" s="27" t="s">
        <v>16830</v>
      </c>
      <c r="G1174" s="27" t="s">
        <v>17559</v>
      </c>
      <c r="H1174" s="27" t="s">
        <v>17682</v>
      </c>
      <c r="I1174" s="27"/>
      <c r="J1174" s="27"/>
      <c r="K1174" s="27"/>
      <c r="L1174" s="27"/>
      <c r="N1174" s="27"/>
      <c r="T1174" s="28" t="str">
        <f>LOOKUP(1,1/(Table1[[#This Row],[Level_0]:[Level 15]]&gt;0),(Table1[[#This Row],[Level_0]:[Level 15]]))</f>
        <v>3010006000 - [Sales Revenue - Merchandise - CorrAcc]</v>
      </c>
      <c r="U1174" s="22">
        <v>1169</v>
      </c>
      <c r="W1174" s="13" t="str">
        <f>LOOKUP(1,1/(Table1[[#This Row],[Level_0]:[Level 15]]&gt;0),(Table1[[#This Row],[Level_0]:[Level 15]]))</f>
        <v>3010006000 - [Sales Revenue - Merchandise - CorrAcc]</v>
      </c>
    </row>
    <row r="1175" spans="1:23" hidden="1" x14ac:dyDescent="0.25">
      <c r="A1175">
        <v>3010000000</v>
      </c>
      <c r="B1175" s="16" t="s">
        <v>19516</v>
      </c>
      <c r="C1175" s="16" t="e">
        <f>VLOOKUP(Table1[[#This Row],[Node]],Parent!A:B,2,0)</f>
        <v>#N/A</v>
      </c>
      <c r="D1175" s="25" t="s">
        <v>19346</v>
      </c>
      <c r="E1175" s="26" t="s">
        <v>16544</v>
      </c>
      <c r="F1175" s="27" t="s">
        <v>16830</v>
      </c>
      <c r="G1175" s="27" t="s">
        <v>17559</v>
      </c>
      <c r="H1175" s="27" t="s">
        <v>17683</v>
      </c>
      <c r="I1175" s="27"/>
      <c r="J1175" s="27"/>
      <c r="K1175" s="27"/>
      <c r="L1175" s="27"/>
      <c r="N1175" s="27"/>
      <c r="T1175" s="28" t="str">
        <f>LOOKUP(1,1/(Table1[[#This Row],[Level_0]:[Level 15]]&gt;0),(Table1[[#This Row],[Level_0]:[Level 15]]))</f>
        <v>3010000000 - [Sales Revenue - Merchandise]</v>
      </c>
      <c r="U1175" s="22">
        <v>1170</v>
      </c>
      <c r="W1175" s="13" t="str">
        <f>LOOKUP(1,1/(Table1[[#This Row],[Level_0]:[Level 15]]&gt;0),(Table1[[#This Row],[Level_0]:[Level 15]]))</f>
        <v>3010000000 - [Sales Revenue - Merchandise]</v>
      </c>
    </row>
    <row r="1176" spans="1:23" hidden="1" x14ac:dyDescent="0.25">
      <c r="A1176">
        <v>3001000000</v>
      </c>
      <c r="B1176" s="16" t="s">
        <v>19515</v>
      </c>
      <c r="C1176" s="16" t="e">
        <f>VLOOKUP(Table1[[#This Row],[Node]],Parent!A:B,2,0)</f>
        <v>#N/A</v>
      </c>
      <c r="D1176" s="25" t="s">
        <v>19346</v>
      </c>
      <c r="E1176" s="26" t="s">
        <v>16544</v>
      </c>
      <c r="F1176" s="27" t="s">
        <v>16830</v>
      </c>
      <c r="G1176" s="27" t="s">
        <v>17559</v>
      </c>
      <c r="H1176" s="27" t="s">
        <v>17684</v>
      </c>
      <c r="I1176" s="27"/>
      <c r="J1176" s="27"/>
      <c r="K1176" s="27"/>
      <c r="L1176" s="27"/>
      <c r="N1176" s="27"/>
      <c r="T1176" s="28" t="str">
        <f>LOOKUP(1,1/(Table1[[#This Row],[Level_0]:[Level 15]]&gt;0),(Table1[[#This Row],[Level_0]:[Level 15]]))</f>
        <v>3001000000 - [Sales Revenue Recognition - Goods]</v>
      </c>
      <c r="U1176" s="22">
        <v>1171</v>
      </c>
      <c r="W1176" s="13" t="str">
        <f>LOOKUP(1,1/(Table1[[#This Row],[Level_0]:[Level 15]]&gt;0),(Table1[[#This Row],[Level_0]:[Level 15]]))</f>
        <v>3001000000 - [Sales Revenue Recognition - Goods]</v>
      </c>
    </row>
    <row r="1177" spans="1:23" hidden="1" x14ac:dyDescent="0.25">
      <c r="A1177">
        <v>3000100000</v>
      </c>
      <c r="B1177" s="16" t="s">
        <v>19512</v>
      </c>
      <c r="C1177" s="16" t="e">
        <f>VLOOKUP(Table1[[#This Row],[Node]],Parent!A:B,2,0)</f>
        <v>#N/A</v>
      </c>
      <c r="D1177" s="25" t="s">
        <v>19346</v>
      </c>
      <c r="E1177" s="26" t="s">
        <v>16544</v>
      </c>
      <c r="F1177" s="27" t="s">
        <v>16830</v>
      </c>
      <c r="G1177" s="27" t="s">
        <v>17559</v>
      </c>
      <c r="H1177" s="27" t="s">
        <v>17685</v>
      </c>
      <c r="I1177" s="27"/>
      <c r="J1177" s="27"/>
      <c r="K1177" s="27"/>
      <c r="L1177" s="27"/>
      <c r="N1177" s="27"/>
      <c r="T1177" s="28" t="str">
        <f>LOOKUP(1,1/(Table1[[#This Row],[Level_0]:[Level 15]]&gt;0),(Table1[[#This Row],[Level_0]:[Level 15]]))</f>
        <v>3000100000 - [Sales Revenue Goods - Product Surcharge]</v>
      </c>
      <c r="U1177" s="22">
        <v>1172</v>
      </c>
      <c r="W1177" s="13" t="str">
        <f>LOOKUP(1,1/(Table1[[#This Row],[Level_0]:[Level 15]]&gt;0),(Table1[[#This Row],[Level_0]:[Level 15]]))</f>
        <v>3000100000 - [Sales Revenue Goods - Product Surcharge]</v>
      </c>
    </row>
    <row r="1178" spans="1:23" hidden="1" x14ac:dyDescent="0.25">
      <c r="A1178">
        <v>3000007777</v>
      </c>
      <c r="B1178" s="16" t="s">
        <v>19511</v>
      </c>
      <c r="C1178" s="16" t="e">
        <f>VLOOKUP(Table1[[#This Row],[Node]],Parent!A:B,2,0)</f>
        <v>#N/A</v>
      </c>
      <c r="D1178" s="25" t="s">
        <v>19346</v>
      </c>
      <c r="E1178" s="26" t="s">
        <v>16544</v>
      </c>
      <c r="F1178" s="27" t="s">
        <v>16830</v>
      </c>
      <c r="G1178" s="27" t="s">
        <v>17559</v>
      </c>
      <c r="H1178" s="27" t="s">
        <v>17686</v>
      </c>
      <c r="I1178" s="27"/>
      <c r="J1178" s="27"/>
      <c r="K1178" s="27"/>
      <c r="L1178" s="27"/>
      <c r="N1178" s="27"/>
      <c r="T1178" s="28" t="str">
        <f>LOOKUP(1,1/(Table1[[#This Row],[Level_0]:[Level 15]]&gt;0),(Table1[[#This Row],[Level_0]:[Level 15]]))</f>
        <v>3000007777 - [DO NOT USE_Sales Revenue - Legacy Versum]</v>
      </c>
      <c r="U1178" s="22">
        <v>1173</v>
      </c>
      <c r="W1178" s="13" t="str">
        <f>LOOKUP(1,1/(Table1[[#This Row],[Level_0]:[Level 15]]&gt;0),(Table1[[#This Row],[Level_0]:[Level 15]]))</f>
        <v>3000007777 - [DO NOT USE_Sales Revenue - Legacy Versum]</v>
      </c>
    </row>
    <row r="1179" spans="1:23" hidden="1" x14ac:dyDescent="0.25">
      <c r="A1179">
        <v>3000006000</v>
      </c>
      <c r="B1179" s="16" t="s">
        <v>19510</v>
      </c>
      <c r="C1179" s="16" t="e">
        <f>VLOOKUP(Table1[[#This Row],[Node]],Parent!A:B,2,0)</f>
        <v>#N/A</v>
      </c>
      <c r="D1179" s="25" t="s">
        <v>19346</v>
      </c>
      <c r="E1179" s="26" t="s">
        <v>16544</v>
      </c>
      <c r="F1179" s="27" t="s">
        <v>16830</v>
      </c>
      <c r="G1179" s="27" t="s">
        <v>17559</v>
      </c>
      <c r="H1179" s="27" t="s">
        <v>17687</v>
      </c>
      <c r="I1179" s="27"/>
      <c r="J1179" s="27"/>
      <c r="K1179" s="27"/>
      <c r="L1179" s="27"/>
      <c r="N1179" s="27"/>
      <c r="T1179" s="28" t="str">
        <f>LOOKUP(1,1/(Table1[[#This Row],[Level_0]:[Level 15]]&gt;0),(Table1[[#This Row],[Level_0]:[Level 15]]))</f>
        <v>3000006000 - [Sales Revenue - Goods - CorrAcc]</v>
      </c>
      <c r="U1179" s="22">
        <v>1174</v>
      </c>
      <c r="W1179" s="13" t="str">
        <f>LOOKUP(1,1/(Table1[[#This Row],[Level_0]:[Level 15]]&gt;0),(Table1[[#This Row],[Level_0]:[Level 15]]))</f>
        <v>3000006000 - [Sales Revenue - Goods - CorrAcc]</v>
      </c>
    </row>
    <row r="1180" spans="1:23" hidden="1" x14ac:dyDescent="0.25">
      <c r="A1180">
        <v>3000000001</v>
      </c>
      <c r="B1180" s="16" t="s">
        <v>19508</v>
      </c>
      <c r="C1180" s="16" t="e">
        <f>VLOOKUP(Table1[[#This Row],[Node]],Parent!A:B,2,0)</f>
        <v>#N/A</v>
      </c>
      <c r="D1180" s="25" t="s">
        <v>19346</v>
      </c>
      <c r="E1180" s="26" t="s">
        <v>16544</v>
      </c>
      <c r="F1180" s="27" t="s">
        <v>16830</v>
      </c>
      <c r="G1180" s="27" t="s">
        <v>17559</v>
      </c>
      <c r="H1180" s="27" t="s">
        <v>17688</v>
      </c>
      <c r="I1180" s="27"/>
      <c r="J1180" s="27"/>
      <c r="K1180" s="27"/>
      <c r="L1180" s="27"/>
      <c r="N1180" s="27"/>
      <c r="T1180" s="28" t="str">
        <f>LOOKUP(1,1/(Table1[[#This Row],[Level_0]:[Level 15]]&gt;0),(Table1[[#This Row],[Level_0]:[Level 15]]))</f>
        <v>3000000001 - [Sales Revenue - Goods - Customs Duties]</v>
      </c>
      <c r="U1180" s="22">
        <v>1175</v>
      </c>
      <c r="W1180" s="13" t="str">
        <f>LOOKUP(1,1/(Table1[[#This Row],[Level_0]:[Level 15]]&gt;0),(Table1[[#This Row],[Level_0]:[Level 15]]))</f>
        <v>3000000001 - [Sales Revenue - Goods - Customs Duties]</v>
      </c>
    </row>
    <row r="1181" spans="1:23" hidden="1" x14ac:dyDescent="0.25">
      <c r="A1181">
        <v>3000000000</v>
      </c>
      <c r="B1181" s="16" t="s">
        <v>19507</v>
      </c>
      <c r="C1181" s="16" t="e">
        <f>VLOOKUP(Table1[[#This Row],[Node]],Parent!A:B,2,0)</f>
        <v>#N/A</v>
      </c>
      <c r="D1181" s="25" t="s">
        <v>19346</v>
      </c>
      <c r="E1181" s="26" t="s">
        <v>16544</v>
      </c>
      <c r="F1181" s="27" t="s">
        <v>16830</v>
      </c>
      <c r="G1181" s="27" t="s">
        <v>17559</v>
      </c>
      <c r="H1181" s="27" t="s">
        <v>17689</v>
      </c>
      <c r="I1181" s="27"/>
      <c r="J1181" s="27"/>
      <c r="K1181" s="27"/>
      <c r="L1181" s="27"/>
      <c r="N1181" s="27"/>
      <c r="T1181" s="28" t="str">
        <f>LOOKUP(1,1/(Table1[[#This Row],[Level_0]:[Level 15]]&gt;0),(Table1[[#This Row],[Level_0]:[Level 15]]))</f>
        <v>3000000000 - [Sales Revenue - Goods]</v>
      </c>
      <c r="U1181" s="22">
        <v>1176</v>
      </c>
      <c r="W1181" s="13" t="str">
        <f>LOOKUP(1,1/(Table1[[#This Row],[Level_0]:[Level 15]]&gt;0),(Table1[[#This Row],[Level_0]:[Level 15]]))</f>
        <v>3000000000 - [Sales Revenue - Goods]</v>
      </c>
    </row>
    <row r="1182" spans="1:23" hidden="1" x14ac:dyDescent="0.25">
      <c r="A1182">
        <v>3201006000</v>
      </c>
      <c r="B1182" s="16" t="s">
        <v>19622</v>
      </c>
      <c r="C1182" s="16" t="e">
        <f>VLOOKUP(Table1[[#This Row],[Node]],Parent!A:B,2,0)</f>
        <v>#N/A</v>
      </c>
      <c r="D1182" s="25" t="s">
        <v>19346</v>
      </c>
      <c r="E1182" s="26" t="s">
        <v>16544</v>
      </c>
      <c r="F1182" s="27" t="s">
        <v>16830</v>
      </c>
      <c r="G1182" s="27" t="s">
        <v>17559</v>
      </c>
      <c r="H1182" s="27" t="s">
        <v>17690</v>
      </c>
      <c r="I1182" s="27"/>
      <c r="J1182" s="27"/>
      <c r="K1182" s="27"/>
      <c r="L1182" s="27"/>
      <c r="N1182" s="27"/>
      <c r="T1182" s="28" t="str">
        <f>LOOKUP(1,1/(Table1[[#This Row],[Level_0]:[Level 15]]&gt;0),(Table1[[#This Row],[Level_0]:[Level 15]]))</f>
        <v>3201006000 - [Income f. Licen Agreem - COS Rel - FI]</v>
      </c>
      <c r="U1182" s="22">
        <v>1177</v>
      </c>
      <c r="W1182" s="13" t="str">
        <f>LOOKUP(1,1/(Table1[[#This Row],[Level_0]:[Level 15]]&gt;0),(Table1[[#This Row],[Level_0]:[Level 15]]))</f>
        <v>3201006000 - [Income f. Licen Agreem - COS Rel - FI]</v>
      </c>
    </row>
    <row r="1183" spans="1:23" hidden="1" x14ac:dyDescent="0.25">
      <c r="A1183">
        <v>4006000000</v>
      </c>
      <c r="B1183" s="16" t="s">
        <v>19829</v>
      </c>
      <c r="C1183" s="16" t="e">
        <f>VLOOKUP(Table1[[#This Row],[Node]],Parent!A:B,2,0)</f>
        <v>#N/A</v>
      </c>
      <c r="D1183" s="25" t="s">
        <v>19346</v>
      </c>
      <c r="E1183" s="26" t="s">
        <v>16544</v>
      </c>
      <c r="F1183" s="27" t="s">
        <v>16830</v>
      </c>
      <c r="G1183" s="27" t="s">
        <v>17559</v>
      </c>
      <c r="H1183" s="27" t="s">
        <v>17691</v>
      </c>
      <c r="I1183" s="27"/>
      <c r="J1183" s="27"/>
      <c r="K1183" s="27"/>
      <c r="L1183" s="27"/>
      <c r="N1183" s="27"/>
      <c r="T1183" s="28" t="str">
        <f>LOOKUP(1,1/(Table1[[#This Row],[Level_0]:[Level 15]]&gt;0),(Table1[[#This Row],[Level_0]:[Level 15]]))</f>
        <v>4006000000 - [Returns - Merchandise]</v>
      </c>
      <c r="U1183" s="22">
        <v>1178</v>
      </c>
      <c r="W1183" s="13" t="str">
        <f>LOOKUP(1,1/(Table1[[#This Row],[Level_0]:[Level 15]]&gt;0),(Table1[[#This Row],[Level_0]:[Level 15]]))</f>
        <v>4006000000 - [Returns - Merchandise]</v>
      </c>
    </row>
    <row r="1184" spans="1:23" hidden="1" x14ac:dyDescent="0.25">
      <c r="A1184">
        <v>3929000000</v>
      </c>
      <c r="B1184" s="16" t="s">
        <v>19694</v>
      </c>
      <c r="C1184" s="16" t="e">
        <f>VLOOKUP(Table1[[#This Row],[Node]],Parent!A:B,2,0)</f>
        <v>#N/A</v>
      </c>
      <c r="D1184" s="25" t="s">
        <v>19346</v>
      </c>
      <c r="E1184" s="26" t="s">
        <v>16544</v>
      </c>
      <c r="F1184" s="27" t="s">
        <v>16830</v>
      </c>
      <c r="G1184" s="27" t="s">
        <v>17559</v>
      </c>
      <c r="H1184" s="27" t="s">
        <v>17692</v>
      </c>
      <c r="I1184" s="27"/>
      <c r="J1184" s="27"/>
      <c r="K1184" s="27"/>
      <c r="L1184" s="27"/>
      <c r="N1184" s="27"/>
      <c r="T1184" s="28" t="str">
        <f>LOOKUP(1,1/(Table1[[#This Row],[Level_0]:[Level 15]]&gt;0),(Table1[[#This Row],[Level_0]:[Level 15]]))</f>
        <v>3929000000 - [Inv Freight&amp;Duties – IFRS15 Rev Recog]</v>
      </c>
      <c r="U1184" s="22">
        <v>1179</v>
      </c>
      <c r="W1184" s="13" t="str">
        <f>LOOKUP(1,1/(Table1[[#This Row],[Level_0]:[Level 15]]&gt;0),(Table1[[#This Row],[Level_0]:[Level 15]]))</f>
        <v>3929000000 - [Inv Freight&amp;Duties – IFRS15 Rev Recog]</v>
      </c>
    </row>
    <row r="1185" spans="1:23" hidden="1" x14ac:dyDescent="0.25">
      <c r="A1185">
        <v>230000</v>
      </c>
      <c r="B1185" s="16" t="e">
        <v>#N/A</v>
      </c>
      <c r="C1185" s="16" t="e">
        <f>VLOOKUP(Table1[[#This Row],[Node]],Parent!A:B,2,0)</f>
        <v>#N/A</v>
      </c>
      <c r="D1185" s="25" t="s">
        <v>19346</v>
      </c>
      <c r="E1185" s="26" t="s">
        <v>16544</v>
      </c>
      <c r="F1185" s="27" t="s">
        <v>17693</v>
      </c>
      <c r="G1185" s="27"/>
      <c r="H1185" s="27"/>
      <c r="I1185" s="27"/>
      <c r="J1185" s="27"/>
      <c r="K1185" s="27"/>
      <c r="L1185" s="27"/>
      <c r="N1185" s="27"/>
      <c r="T1185" s="28" t="str">
        <f>LOOKUP(1,1/(Table1[[#This Row],[Level_0]:[Level 15]]&gt;0),(Table1[[#This Row],[Level_0]:[Level 15]]))</f>
        <v>230000 - []</v>
      </c>
      <c r="U1185" s="22">
        <v>1180</v>
      </c>
      <c r="W1185" s="13" t="str">
        <f>LOOKUP(1,1/(Table1[[#This Row],[Level_0]:[Level 15]]&gt;0),(Table1[[#This Row],[Level_0]:[Level 15]]))</f>
        <v>230000 - []</v>
      </c>
    </row>
    <row r="1186" spans="1:23" hidden="1" x14ac:dyDescent="0.25">
      <c r="A1186">
        <v>232000</v>
      </c>
      <c r="B1186" s="16" t="e">
        <v>#N/A</v>
      </c>
      <c r="C1186" s="16" t="e">
        <f>VLOOKUP(Table1[[#This Row],[Node]],Parent!A:B,2,0)</f>
        <v>#N/A</v>
      </c>
      <c r="D1186" s="25" t="s">
        <v>19346</v>
      </c>
      <c r="E1186" s="26" t="s">
        <v>16544</v>
      </c>
      <c r="F1186" s="27" t="s">
        <v>17693</v>
      </c>
      <c r="G1186" s="27" t="s">
        <v>17694</v>
      </c>
      <c r="H1186" s="27"/>
      <c r="I1186" s="27"/>
      <c r="J1186" s="27"/>
      <c r="K1186" s="27"/>
      <c r="L1186" s="27"/>
      <c r="N1186" s="27"/>
      <c r="T1186" s="28" t="str">
        <f>LOOKUP(1,1/(Table1[[#This Row],[Level_0]:[Level 15]]&gt;0),(Table1[[#This Row],[Level_0]:[Level 15]]))</f>
        <v>232000 - []</v>
      </c>
      <c r="U1186" s="22">
        <v>1181</v>
      </c>
      <c r="W1186" s="13" t="str">
        <f>LOOKUP(1,1/(Table1[[#This Row],[Level_0]:[Level 15]]&gt;0),(Table1[[#This Row],[Level_0]:[Level 15]]))</f>
        <v>232000 - []</v>
      </c>
    </row>
    <row r="1187" spans="1:23" hidden="1" x14ac:dyDescent="0.25">
      <c r="A1187">
        <v>7711160000</v>
      </c>
      <c r="B1187" s="16" t="s">
        <v>21607</v>
      </c>
      <c r="C1187" s="16" t="e">
        <f>VLOOKUP(Table1[[#This Row],[Node]],Parent!A:B,2,0)</f>
        <v>#N/A</v>
      </c>
      <c r="D1187" s="25" t="s">
        <v>19346</v>
      </c>
      <c r="E1187" s="26" t="s">
        <v>16544</v>
      </c>
      <c r="F1187" s="27" t="s">
        <v>17693</v>
      </c>
      <c r="G1187" s="27" t="s">
        <v>17694</v>
      </c>
      <c r="H1187" s="27" t="s">
        <v>17695</v>
      </c>
      <c r="I1187" s="27"/>
      <c r="J1187" s="27"/>
      <c r="K1187" s="27"/>
      <c r="L1187" s="27"/>
      <c r="N1187" s="27"/>
      <c r="T1187" s="28" t="str">
        <f>LOOKUP(1,1/(Table1[[#This Row],[Level_0]:[Level 15]]&gt;0),(Table1[[#This Row],[Level_0]:[Level 15]]))</f>
        <v>7711160000 - [SPA Start-up expenses]</v>
      </c>
      <c r="U1187" s="22">
        <v>1182</v>
      </c>
      <c r="W1187" s="13" t="str">
        <f>LOOKUP(1,1/(Table1[[#This Row],[Level_0]:[Level 15]]&gt;0),(Table1[[#This Row],[Level_0]:[Level 15]]))</f>
        <v>7711160000 - [SPA Start-up expenses]</v>
      </c>
    </row>
    <row r="1188" spans="1:23" hidden="1" x14ac:dyDescent="0.25">
      <c r="A1188">
        <v>7300110020</v>
      </c>
      <c r="B1188" s="16" t="s">
        <v>20756</v>
      </c>
      <c r="C1188" s="16" t="e">
        <f>VLOOKUP(Table1[[#This Row],[Node]],Parent!A:B,2,0)</f>
        <v>#N/A</v>
      </c>
      <c r="D1188" s="25" t="s">
        <v>19346</v>
      </c>
      <c r="E1188" s="26" t="s">
        <v>16544</v>
      </c>
      <c r="F1188" s="27" t="s">
        <v>17693</v>
      </c>
      <c r="G1188" s="27" t="s">
        <v>17694</v>
      </c>
      <c r="H1188" s="27" t="s">
        <v>17696</v>
      </c>
      <c r="I1188" s="27"/>
      <c r="J1188" s="27"/>
      <c r="K1188" s="27"/>
      <c r="L1188" s="27"/>
      <c r="N1188" s="27"/>
      <c r="T1188" s="28" t="str">
        <f>LOOKUP(1,1/(Table1[[#This Row],[Level_0]:[Level 15]]&gt;0),(Table1[[#This Row],[Level_0]:[Level 15]]))</f>
        <v>7300110020 - [DAA PRO Start-up expenses]</v>
      </c>
      <c r="U1188" s="22">
        <v>1183</v>
      </c>
      <c r="W1188" s="13" t="str">
        <f>LOOKUP(1,1/(Table1[[#This Row],[Level_0]:[Level 15]]&gt;0),(Table1[[#This Row],[Level_0]:[Level 15]]))</f>
        <v>7300110020 - [DAA PRO Start-up expenses]</v>
      </c>
    </row>
    <row r="1189" spans="1:23" hidden="1" x14ac:dyDescent="0.25">
      <c r="A1189">
        <v>231000</v>
      </c>
      <c r="B1189" s="16" t="e">
        <v>#N/A</v>
      </c>
      <c r="C1189" s="16" t="e">
        <f>VLOOKUP(Table1[[#This Row],[Node]],Parent!A:B,2,0)</f>
        <v>#N/A</v>
      </c>
      <c r="D1189" s="25" t="s">
        <v>19346</v>
      </c>
      <c r="E1189" s="26" t="s">
        <v>16544</v>
      </c>
      <c r="F1189" s="27" t="s">
        <v>17693</v>
      </c>
      <c r="G1189" s="27" t="s">
        <v>17697</v>
      </c>
      <c r="H1189" s="27"/>
      <c r="I1189" s="27"/>
      <c r="J1189" s="27"/>
      <c r="K1189" s="27"/>
      <c r="L1189" s="27"/>
      <c r="N1189" s="27"/>
      <c r="T1189" s="28" t="str">
        <f>LOOKUP(1,1/(Table1[[#This Row],[Level_0]:[Level 15]]&gt;0),(Table1[[#This Row],[Level_0]:[Level 15]]))</f>
        <v>231000 - []</v>
      </c>
      <c r="U1189" s="22">
        <v>1184</v>
      </c>
      <c r="W1189" s="13" t="str">
        <f>LOOKUP(1,1/(Table1[[#This Row],[Level_0]:[Level 15]]&gt;0),(Table1[[#This Row],[Level_0]:[Level 15]]))</f>
        <v>231000 - []</v>
      </c>
    </row>
    <row r="1190" spans="1:23" hidden="1" x14ac:dyDescent="0.25">
      <c r="A1190">
        <v>7711150000</v>
      </c>
      <c r="B1190" s="16" t="s">
        <v>21606</v>
      </c>
      <c r="C1190" s="16" t="e">
        <f>VLOOKUP(Table1[[#This Row],[Node]],Parent!A:B,2,0)</f>
        <v>#N/A</v>
      </c>
      <c r="D1190" s="25" t="s">
        <v>19346</v>
      </c>
      <c r="E1190" s="26" t="s">
        <v>16544</v>
      </c>
      <c r="F1190" s="27" t="s">
        <v>17693</v>
      </c>
      <c r="G1190" s="27" t="s">
        <v>17697</v>
      </c>
      <c r="H1190" s="27" t="s">
        <v>17698</v>
      </c>
      <c r="I1190" s="27"/>
      <c r="J1190" s="27"/>
      <c r="K1190" s="27"/>
      <c r="L1190" s="27"/>
      <c r="N1190" s="27"/>
      <c r="T1190" s="28" t="str">
        <f>LOOKUP(1,1/(Table1[[#This Row],[Level_0]:[Level 15]]&gt;0),(Table1[[#This Row],[Level_0]:[Level 15]]))</f>
        <v>7711150000 - [SPA Idle capacity expenses]</v>
      </c>
      <c r="U1190" s="22">
        <v>1185</v>
      </c>
      <c r="W1190" s="13" t="str">
        <f>LOOKUP(1,1/(Table1[[#This Row],[Level_0]:[Level 15]]&gt;0),(Table1[[#This Row],[Level_0]:[Level 15]]))</f>
        <v>7711150000 - [SPA Idle capacity expenses]</v>
      </c>
    </row>
    <row r="1191" spans="1:23" hidden="1" x14ac:dyDescent="0.25">
      <c r="A1191">
        <v>7320110015</v>
      </c>
      <c r="B1191" s="16" t="s">
        <v>20849</v>
      </c>
      <c r="C1191" s="16" t="e">
        <f>VLOOKUP(Table1[[#This Row],[Node]],Parent!A:B,2,0)</f>
        <v>#N/A</v>
      </c>
      <c r="D1191" s="25" t="s">
        <v>19346</v>
      </c>
      <c r="E1191" s="26" t="s">
        <v>16544</v>
      </c>
      <c r="F1191" s="27" t="s">
        <v>17693</v>
      </c>
      <c r="G1191" s="27" t="s">
        <v>17697</v>
      </c>
      <c r="H1191" s="27" t="s">
        <v>17699</v>
      </c>
      <c r="I1191" s="27"/>
      <c r="J1191" s="27"/>
      <c r="K1191" s="27"/>
      <c r="L1191" s="27"/>
      <c r="N1191" s="27"/>
      <c r="T1191" s="28" t="str">
        <f>LOOKUP(1,1/(Table1[[#This Row],[Level_0]:[Level 15]]&gt;0),(Table1[[#This Row],[Level_0]:[Level 15]]))</f>
        <v>7320110015 - [AOM dle capacity expenses]</v>
      </c>
      <c r="U1191" s="22">
        <v>1186</v>
      </c>
      <c r="W1191" s="13" t="str">
        <f>LOOKUP(1,1/(Table1[[#This Row],[Level_0]:[Level 15]]&gt;0),(Table1[[#This Row],[Level_0]:[Level 15]]))</f>
        <v>7320110015 - [AOM dle capacity expenses]</v>
      </c>
    </row>
    <row r="1192" spans="1:23" hidden="1" x14ac:dyDescent="0.25">
      <c r="A1192">
        <v>220000</v>
      </c>
      <c r="B1192" s="16" t="s">
        <v>19502</v>
      </c>
      <c r="C1192" s="16" t="e">
        <f>VLOOKUP(Table1[[#This Row],[Node]],Parent!A:B,2,0)</f>
        <v>#N/A</v>
      </c>
      <c r="D1192" s="25" t="s">
        <v>19346</v>
      </c>
      <c r="E1192" s="26" t="s">
        <v>16544</v>
      </c>
      <c r="F1192" s="27" t="s">
        <v>17700</v>
      </c>
      <c r="G1192" s="27"/>
      <c r="H1192" s="27"/>
      <c r="I1192" s="27"/>
      <c r="J1192" s="27"/>
      <c r="K1192" s="27"/>
      <c r="L1192" s="27"/>
      <c r="N1192" s="27"/>
      <c r="T1192" s="28" t="str">
        <f>LOOKUP(1,1/(Table1[[#This Row],[Level_0]:[Level 15]]&gt;0),(Table1[[#This Row],[Level_0]:[Level 15]]))</f>
        <v>220000 - [Operations Credit]</v>
      </c>
      <c r="U1192" s="22">
        <v>1187</v>
      </c>
      <c r="W1192" s="13" t="str">
        <f>LOOKUP(1,1/(Table1[[#This Row],[Level_0]:[Level 15]]&gt;0),(Table1[[#This Row],[Level_0]:[Level 15]]))</f>
        <v>220000 - [Operations Credit]</v>
      </c>
    </row>
    <row r="1193" spans="1:23" hidden="1" x14ac:dyDescent="0.25">
      <c r="A1193">
        <v>225000</v>
      </c>
      <c r="B1193" s="16" t="e">
        <v>#N/A</v>
      </c>
      <c r="C1193" s="16" t="e">
        <f>VLOOKUP(Table1[[#This Row],[Node]],Parent!A:B,2,0)</f>
        <v>#N/A</v>
      </c>
      <c r="D1193" s="25" t="s">
        <v>19346</v>
      </c>
      <c r="E1193" s="26" t="s">
        <v>16544</v>
      </c>
      <c r="F1193" s="27" t="s">
        <v>17700</v>
      </c>
      <c r="G1193" s="27" t="s">
        <v>17701</v>
      </c>
      <c r="H1193" s="27"/>
      <c r="I1193" s="27"/>
      <c r="J1193" s="27"/>
      <c r="K1193" s="27"/>
      <c r="L1193" s="27"/>
      <c r="N1193" s="27"/>
      <c r="T1193" s="28" t="str">
        <f>LOOKUP(1,1/(Table1[[#This Row],[Level_0]:[Level 15]]&gt;0),(Table1[[#This Row],[Level_0]:[Level 15]]))</f>
        <v>225000 - []</v>
      </c>
      <c r="U1193" s="22">
        <v>1188</v>
      </c>
      <c r="W1193" s="13" t="str">
        <f>LOOKUP(1,1/(Table1[[#This Row],[Level_0]:[Level 15]]&gt;0),(Table1[[#This Row],[Level_0]:[Level 15]]))</f>
        <v>225000 - []</v>
      </c>
    </row>
    <row r="1194" spans="1:23" hidden="1" x14ac:dyDescent="0.25">
      <c r="A1194">
        <v>7811122000</v>
      </c>
      <c r="B1194" s="16" t="s">
        <v>21775</v>
      </c>
      <c r="C1194" s="16" t="e">
        <f>VLOOKUP(Table1[[#This Row],[Node]],Parent!A:B,2,0)</f>
        <v>#N/A</v>
      </c>
      <c r="D1194" s="25" t="s">
        <v>19346</v>
      </c>
      <c r="E1194" s="26" t="s">
        <v>16544</v>
      </c>
      <c r="F1194" s="27" t="s">
        <v>17700</v>
      </c>
      <c r="G1194" s="27" t="s">
        <v>17701</v>
      </c>
      <c r="H1194" s="27" t="s">
        <v>17702</v>
      </c>
      <c r="I1194" s="27"/>
      <c r="J1194" s="27"/>
      <c r="K1194" s="27"/>
      <c r="L1194" s="27"/>
      <c r="N1194" s="27"/>
      <c r="T1194" s="28" t="str">
        <f>LOOKUP(1,1/(Table1[[#This Row],[Level_0]:[Level 15]]&gt;0),(Table1[[#This Row],[Level_0]:[Level 15]]))</f>
        <v>7811122000 - [APA Service business cost variance]</v>
      </c>
      <c r="U1194" s="22">
        <v>1189</v>
      </c>
      <c r="W1194" s="13" t="str">
        <f>LOOKUP(1,1/(Table1[[#This Row],[Level_0]:[Level 15]]&gt;0),(Table1[[#This Row],[Level_0]:[Level 15]]))</f>
        <v>7811122000 - [APA Service business cost variance]</v>
      </c>
    </row>
    <row r="1195" spans="1:23" hidden="1" x14ac:dyDescent="0.25">
      <c r="A1195">
        <v>7600000050</v>
      </c>
      <c r="B1195" s="16" t="s">
        <v>21093</v>
      </c>
      <c r="C1195" s="16" t="e">
        <f>VLOOKUP(Table1[[#This Row],[Node]],Parent!A:B,2,0)</f>
        <v>#N/A</v>
      </c>
      <c r="D1195" s="25" t="s">
        <v>19346</v>
      </c>
      <c r="E1195" s="26" t="s">
        <v>16544</v>
      </c>
      <c r="F1195" s="27" t="s">
        <v>17700</v>
      </c>
      <c r="G1195" s="27" t="s">
        <v>17701</v>
      </c>
      <c r="H1195" s="27" t="s">
        <v>17703</v>
      </c>
      <c r="I1195" s="27"/>
      <c r="J1195" s="27"/>
      <c r="K1195" s="27"/>
      <c r="L1195" s="27"/>
      <c r="N1195" s="27"/>
      <c r="T1195" s="28" t="str">
        <f>LOOKUP(1,1/(Table1[[#This Row],[Level_0]:[Level 15]]&gt;0),(Table1[[#This Row],[Level_0]:[Level 15]]))</f>
        <v>7600000050 - [DAA - External contractor expense]</v>
      </c>
      <c r="U1195" s="22">
        <v>1190</v>
      </c>
      <c r="W1195" s="13" t="str">
        <f>LOOKUP(1,1/(Table1[[#This Row],[Level_0]:[Level 15]]&gt;0),(Table1[[#This Row],[Level_0]:[Level 15]]))</f>
        <v>7600000050 - [DAA - External contractor expense]</v>
      </c>
    </row>
    <row r="1196" spans="1:23" hidden="1" x14ac:dyDescent="0.25">
      <c r="A1196">
        <v>7600000049</v>
      </c>
      <c r="B1196" s="16" t="s">
        <v>21092</v>
      </c>
      <c r="C1196" s="16" t="e">
        <f>VLOOKUP(Table1[[#This Row],[Node]],Parent!A:B,2,0)</f>
        <v>#N/A</v>
      </c>
      <c r="D1196" s="25" t="s">
        <v>19346</v>
      </c>
      <c r="E1196" s="26" t="s">
        <v>16544</v>
      </c>
      <c r="F1196" s="27" t="s">
        <v>17700</v>
      </c>
      <c r="G1196" s="27" t="s">
        <v>17701</v>
      </c>
      <c r="H1196" s="27" t="s">
        <v>17704</v>
      </c>
      <c r="I1196" s="27"/>
      <c r="J1196" s="27"/>
      <c r="K1196" s="27"/>
      <c r="L1196" s="27"/>
      <c r="N1196" s="27"/>
      <c r="T1196" s="28" t="str">
        <f>LOOKUP(1,1/(Table1[[#This Row],[Level_0]:[Level 15]]&gt;0),(Table1[[#This Row],[Level_0]:[Level 15]]))</f>
        <v>7600000049 - [DAA - External product expense]</v>
      </c>
      <c r="U1196" s="22">
        <v>1191</v>
      </c>
      <c r="W1196" s="13" t="str">
        <f>LOOKUP(1,1/(Table1[[#This Row],[Level_0]:[Level 15]]&gt;0),(Table1[[#This Row],[Level_0]:[Level 15]]))</f>
        <v>7600000049 - [DAA - External product expense]</v>
      </c>
    </row>
    <row r="1197" spans="1:23" hidden="1" x14ac:dyDescent="0.25">
      <c r="A1197">
        <v>7600000048</v>
      </c>
      <c r="B1197" s="16" t="s">
        <v>21091</v>
      </c>
      <c r="C1197" s="16" t="e">
        <f>VLOOKUP(Table1[[#This Row],[Node]],Parent!A:B,2,0)</f>
        <v>#N/A</v>
      </c>
      <c r="D1197" s="25" t="s">
        <v>19346</v>
      </c>
      <c r="E1197" s="26" t="s">
        <v>16544</v>
      </c>
      <c r="F1197" s="27" t="s">
        <v>17700</v>
      </c>
      <c r="G1197" s="27" t="s">
        <v>17701</v>
      </c>
      <c r="H1197" s="27" t="s">
        <v>17705</v>
      </c>
      <c r="I1197" s="27"/>
      <c r="J1197" s="27"/>
      <c r="K1197" s="27"/>
      <c r="L1197" s="27"/>
      <c r="N1197" s="27"/>
      <c r="T1197" s="28" t="str">
        <f>LOOKUP(1,1/(Table1[[#This Row],[Level_0]:[Level 15]]&gt;0),(Table1[[#This Row],[Level_0]:[Level 15]]))</f>
        <v>7600000048 - [DAA - Travel expenses external]</v>
      </c>
      <c r="U1197" s="22">
        <v>1192</v>
      </c>
      <c r="W1197" s="13" t="str">
        <f>LOOKUP(1,1/(Table1[[#This Row],[Level_0]:[Level 15]]&gt;0),(Table1[[#This Row],[Level_0]:[Level 15]]))</f>
        <v>7600000048 - [DAA - Travel expenses external]</v>
      </c>
    </row>
    <row r="1198" spans="1:23" hidden="1" x14ac:dyDescent="0.25">
      <c r="A1198">
        <v>7600000047</v>
      </c>
      <c r="B1198" s="16" t="s">
        <v>21090</v>
      </c>
      <c r="C1198" s="16" t="e">
        <f>VLOOKUP(Table1[[#This Row],[Node]],Parent!A:B,2,0)</f>
        <v>#N/A</v>
      </c>
      <c r="D1198" s="25" t="s">
        <v>19346</v>
      </c>
      <c r="E1198" s="26" t="s">
        <v>16544</v>
      </c>
      <c r="F1198" s="27" t="s">
        <v>17700</v>
      </c>
      <c r="G1198" s="27" t="s">
        <v>17701</v>
      </c>
      <c r="H1198" s="27" t="s">
        <v>17706</v>
      </c>
      <c r="I1198" s="27"/>
      <c r="J1198" s="27"/>
      <c r="K1198" s="27"/>
      <c r="L1198" s="27"/>
      <c r="N1198" s="27"/>
      <c r="T1198" s="28" t="str">
        <f>LOOKUP(1,1/(Table1[[#This Row],[Level_0]:[Level 15]]&gt;0),(Table1[[#This Row],[Level_0]:[Level 15]]))</f>
        <v>7600000047 - [DAA - Travel expenses internal]</v>
      </c>
      <c r="U1198" s="22">
        <v>1193</v>
      </c>
      <c r="W1198" s="13" t="str">
        <f>LOOKUP(1,1/(Table1[[#This Row],[Level_0]:[Level 15]]&gt;0),(Table1[[#This Row],[Level_0]:[Level 15]]))</f>
        <v>7600000047 - [DAA - Travel expenses internal]</v>
      </c>
    </row>
    <row r="1199" spans="1:23" hidden="1" x14ac:dyDescent="0.25">
      <c r="A1199">
        <v>7600000046</v>
      </c>
      <c r="B1199" s="16" t="s">
        <v>21089</v>
      </c>
      <c r="C1199" s="16" t="e">
        <f>VLOOKUP(Table1[[#This Row],[Node]],Parent!A:B,2,0)</f>
        <v>#N/A</v>
      </c>
      <c r="D1199" s="25" t="s">
        <v>19346</v>
      </c>
      <c r="E1199" s="26" t="s">
        <v>16544</v>
      </c>
      <c r="F1199" s="27" t="s">
        <v>17700</v>
      </c>
      <c r="G1199" s="27" t="s">
        <v>17701</v>
      </c>
      <c r="H1199" s="27" t="s">
        <v>17707</v>
      </c>
      <c r="I1199" s="27"/>
      <c r="J1199" s="27"/>
      <c r="K1199" s="27"/>
      <c r="L1199" s="27"/>
      <c r="N1199" s="27"/>
      <c r="T1199" s="28" t="str">
        <f>LOOKUP(1,1/(Table1[[#This Row],[Level_0]:[Level 15]]&gt;0),(Table1[[#This Row],[Level_0]:[Level 15]]))</f>
        <v>7600000046 - [DAA - Validation documentation]</v>
      </c>
      <c r="U1199" s="22">
        <v>1194</v>
      </c>
      <c r="W1199" s="13" t="str">
        <f>LOOKUP(1,1/(Table1[[#This Row],[Level_0]:[Level 15]]&gt;0),(Table1[[#This Row],[Level_0]:[Level 15]]))</f>
        <v>7600000046 - [DAA - Validation documentation]</v>
      </c>
    </row>
    <row r="1200" spans="1:23" hidden="1" x14ac:dyDescent="0.25">
      <c r="A1200">
        <v>7600000045</v>
      </c>
      <c r="B1200" s="16" t="s">
        <v>21088</v>
      </c>
      <c r="C1200" s="16" t="e">
        <f>VLOOKUP(Table1[[#This Row],[Node]],Parent!A:B,2,0)</f>
        <v>#N/A</v>
      </c>
      <c r="D1200" s="25" t="s">
        <v>19346</v>
      </c>
      <c r="E1200" s="26" t="s">
        <v>16544</v>
      </c>
      <c r="F1200" s="27" t="s">
        <v>17700</v>
      </c>
      <c r="G1200" s="27" t="s">
        <v>17701</v>
      </c>
      <c r="H1200" s="27" t="s">
        <v>17708</v>
      </c>
      <c r="I1200" s="27"/>
      <c r="J1200" s="27"/>
      <c r="K1200" s="27"/>
      <c r="L1200" s="27"/>
      <c r="N1200" s="27"/>
      <c r="T1200" s="28" t="str">
        <f>LOOKUP(1,1/(Table1[[#This Row],[Level_0]:[Level 15]]&gt;0),(Table1[[#This Row],[Level_0]:[Level 15]]))</f>
        <v>7600000045 - [DAA - Labour hours external]</v>
      </c>
      <c r="U1200" s="22">
        <v>1195</v>
      </c>
      <c r="W1200" s="13" t="str">
        <f>LOOKUP(1,1/(Table1[[#This Row],[Level_0]:[Level 15]]&gt;0),(Table1[[#This Row],[Level_0]:[Level 15]]))</f>
        <v>7600000045 - [DAA - Labour hours external]</v>
      </c>
    </row>
    <row r="1201" spans="1:23" hidden="1" x14ac:dyDescent="0.25">
      <c r="A1201">
        <v>7600000044</v>
      </c>
      <c r="B1201" s="16" t="s">
        <v>21087</v>
      </c>
      <c r="C1201" s="16" t="e">
        <f>VLOOKUP(Table1[[#This Row],[Node]],Parent!A:B,2,0)</f>
        <v>#N/A</v>
      </c>
      <c r="D1201" s="25" t="s">
        <v>19346</v>
      </c>
      <c r="E1201" s="26" t="s">
        <v>16544</v>
      </c>
      <c r="F1201" s="27" t="s">
        <v>17700</v>
      </c>
      <c r="G1201" s="27" t="s">
        <v>17701</v>
      </c>
      <c r="H1201" s="27" t="s">
        <v>17709</v>
      </c>
      <c r="I1201" s="27"/>
      <c r="J1201" s="27"/>
      <c r="K1201" s="27"/>
      <c r="L1201" s="27"/>
      <c r="N1201" s="27"/>
      <c r="T1201" s="28" t="str">
        <f>LOOKUP(1,1/(Table1[[#This Row],[Level_0]:[Level 15]]&gt;0),(Table1[[#This Row],[Level_0]:[Level 15]]))</f>
        <v>7600000044 - [DAA - Travel hours non-standard internal]</v>
      </c>
      <c r="U1201" s="22">
        <v>1196</v>
      </c>
      <c r="W1201" s="13" t="str">
        <f>LOOKUP(1,1/(Table1[[#This Row],[Level_0]:[Level 15]]&gt;0),(Table1[[#This Row],[Level_0]:[Level 15]]))</f>
        <v>7600000044 - [DAA - Travel hours non-standard internal]</v>
      </c>
    </row>
    <row r="1202" spans="1:23" hidden="1" x14ac:dyDescent="0.25">
      <c r="A1202">
        <v>7600000043</v>
      </c>
      <c r="B1202" s="16" t="s">
        <v>21086</v>
      </c>
      <c r="C1202" s="16" t="e">
        <f>VLOOKUP(Table1[[#This Row],[Node]],Parent!A:B,2,0)</f>
        <v>#N/A</v>
      </c>
      <c r="D1202" s="25" t="s">
        <v>19346</v>
      </c>
      <c r="E1202" s="26" t="s">
        <v>16544</v>
      </c>
      <c r="F1202" s="27" t="s">
        <v>17700</v>
      </c>
      <c r="G1202" s="27" t="s">
        <v>17701</v>
      </c>
      <c r="H1202" s="27" t="s">
        <v>17710</v>
      </c>
      <c r="I1202" s="27"/>
      <c r="J1202" s="27"/>
      <c r="K1202" s="27"/>
      <c r="L1202" s="27"/>
      <c r="N1202" s="27"/>
      <c r="T1202" s="28" t="str">
        <f>LOOKUP(1,1/(Table1[[#This Row],[Level_0]:[Level 15]]&gt;0),(Table1[[#This Row],[Level_0]:[Level 15]]))</f>
        <v>7600000043 - [DAA - Labour hours non-standard internal]</v>
      </c>
      <c r="U1202" s="22">
        <v>1197</v>
      </c>
      <c r="W1202" s="13" t="str">
        <f>LOOKUP(1,1/(Table1[[#This Row],[Level_0]:[Level 15]]&gt;0),(Table1[[#This Row],[Level_0]:[Level 15]]))</f>
        <v>7600000043 - [DAA - Labour hours non-standard internal]</v>
      </c>
    </row>
    <row r="1203" spans="1:23" hidden="1" x14ac:dyDescent="0.25">
      <c r="A1203">
        <v>7600000042</v>
      </c>
      <c r="B1203" s="16" t="s">
        <v>21085</v>
      </c>
      <c r="C1203" s="16" t="e">
        <f>VLOOKUP(Table1[[#This Row],[Node]],Parent!A:B,2,0)</f>
        <v>#N/A</v>
      </c>
      <c r="D1203" s="25" t="s">
        <v>19346</v>
      </c>
      <c r="E1203" s="26" t="s">
        <v>16544</v>
      </c>
      <c r="F1203" s="27" t="s">
        <v>17700</v>
      </c>
      <c r="G1203" s="27" t="s">
        <v>17701</v>
      </c>
      <c r="H1203" s="27" t="s">
        <v>17711</v>
      </c>
      <c r="I1203" s="27"/>
      <c r="J1203" s="27"/>
      <c r="K1203" s="27"/>
      <c r="L1203" s="27"/>
      <c r="N1203" s="27"/>
      <c r="T1203" s="28" t="str">
        <f>LOOKUP(1,1/(Table1[[#This Row],[Level_0]:[Level 15]]&gt;0),(Table1[[#This Row],[Level_0]:[Level 15]]))</f>
        <v>7600000042 - [DAA - Labour hours standard internal]</v>
      </c>
      <c r="U1203" s="22">
        <v>1198</v>
      </c>
      <c r="W1203" s="13" t="str">
        <f>LOOKUP(1,1/(Table1[[#This Row],[Level_0]:[Level 15]]&gt;0),(Table1[[#This Row],[Level_0]:[Level 15]]))</f>
        <v>7600000042 - [DAA - Labour hours standard internal]</v>
      </c>
    </row>
    <row r="1204" spans="1:23" hidden="1" x14ac:dyDescent="0.25">
      <c r="A1204">
        <v>7600000041</v>
      </c>
      <c r="B1204" s="16" t="s">
        <v>21084</v>
      </c>
      <c r="C1204" s="16" t="e">
        <f>VLOOKUP(Table1[[#This Row],[Node]],Parent!A:B,2,0)</f>
        <v>#N/A</v>
      </c>
      <c r="D1204" s="25" t="s">
        <v>19346</v>
      </c>
      <c r="E1204" s="26" t="s">
        <v>16544</v>
      </c>
      <c r="F1204" s="27" t="s">
        <v>17700</v>
      </c>
      <c r="G1204" s="27" t="s">
        <v>17701</v>
      </c>
      <c r="H1204" s="27" t="s">
        <v>17712</v>
      </c>
      <c r="I1204" s="27"/>
      <c r="J1204" s="27"/>
      <c r="K1204" s="27"/>
      <c r="L1204" s="27"/>
      <c r="N1204" s="27"/>
      <c r="T1204" s="28" t="str">
        <f>LOOKUP(1,1/(Table1[[#This Row],[Level_0]:[Level 15]]&gt;0),(Table1[[#This Row],[Level_0]:[Level 15]]))</f>
        <v>7600000041 - [DAA - Travel hours external]</v>
      </c>
      <c r="U1204" s="22">
        <v>1199</v>
      </c>
      <c r="W1204" s="13" t="str">
        <f>LOOKUP(1,1/(Table1[[#This Row],[Level_0]:[Level 15]]&gt;0),(Table1[[#This Row],[Level_0]:[Level 15]]))</f>
        <v>7600000041 - [DAA - Travel hours external]</v>
      </c>
    </row>
    <row r="1205" spans="1:23" hidden="1" x14ac:dyDescent="0.25">
      <c r="A1205">
        <v>7600000040</v>
      </c>
      <c r="B1205" s="16" t="s">
        <v>21083</v>
      </c>
      <c r="C1205" s="16" t="e">
        <f>VLOOKUP(Table1[[#This Row],[Node]],Parent!A:B,2,0)</f>
        <v>#N/A</v>
      </c>
      <c r="D1205" s="25" t="s">
        <v>19346</v>
      </c>
      <c r="E1205" s="26" t="s">
        <v>16544</v>
      </c>
      <c r="F1205" s="27" t="s">
        <v>17700</v>
      </c>
      <c r="G1205" s="27" t="s">
        <v>17701</v>
      </c>
      <c r="H1205" s="27" t="s">
        <v>17713</v>
      </c>
      <c r="I1205" s="27"/>
      <c r="J1205" s="27"/>
      <c r="K1205" s="27"/>
      <c r="L1205" s="27"/>
      <c r="N1205" s="27"/>
      <c r="T1205" s="28" t="str">
        <f>LOOKUP(1,1/(Table1[[#This Row],[Level_0]:[Level 15]]&gt;0),(Table1[[#This Row],[Level_0]:[Level 15]]))</f>
        <v>7600000040 - [DAA - Travel hours internal]</v>
      </c>
      <c r="U1205" s="22">
        <v>1200</v>
      </c>
      <c r="W1205" s="13" t="str">
        <f>LOOKUP(1,1/(Table1[[#This Row],[Level_0]:[Level 15]]&gt;0),(Table1[[#This Row],[Level_0]:[Level 15]]))</f>
        <v>7600000040 - [DAA - Travel hours internal]</v>
      </c>
    </row>
    <row r="1206" spans="1:23" hidden="1" x14ac:dyDescent="0.25">
      <c r="A1206">
        <v>7600000038</v>
      </c>
      <c r="B1206" s="16" t="s">
        <v>21082</v>
      </c>
      <c r="C1206" s="16" t="e">
        <f>VLOOKUP(Table1[[#This Row],[Node]],Parent!A:B,2,0)</f>
        <v>#N/A</v>
      </c>
      <c r="D1206" s="25" t="s">
        <v>19346</v>
      </c>
      <c r="E1206" s="26" t="s">
        <v>16544</v>
      </c>
      <c r="F1206" s="27" t="s">
        <v>17700</v>
      </c>
      <c r="G1206" s="27" t="s">
        <v>17701</v>
      </c>
      <c r="H1206" s="27" t="s">
        <v>17714</v>
      </c>
      <c r="I1206" s="27"/>
      <c r="J1206" s="27"/>
      <c r="K1206" s="27"/>
      <c r="L1206" s="27"/>
      <c r="N1206" s="27"/>
      <c r="T1206" s="28" t="str">
        <f>LOOKUP(1,1/(Table1[[#This Row],[Level_0]:[Level 15]]&gt;0),(Table1[[#This Row],[Level_0]:[Level 15]]))</f>
        <v>7600000038 - [DAA - Fees]</v>
      </c>
      <c r="U1206" s="22">
        <v>1201</v>
      </c>
      <c r="W1206" s="13" t="str">
        <f>LOOKUP(1,1/(Table1[[#This Row],[Level_0]:[Level 15]]&gt;0),(Table1[[#This Row],[Level_0]:[Level 15]]))</f>
        <v>7600000038 - [DAA - Fees]</v>
      </c>
    </row>
    <row r="1207" spans="1:23" hidden="1" x14ac:dyDescent="0.25">
      <c r="A1207">
        <v>7600000037</v>
      </c>
      <c r="B1207" s="16" t="s">
        <v>21081</v>
      </c>
      <c r="C1207" s="16" t="e">
        <f>VLOOKUP(Table1[[#This Row],[Node]],Parent!A:B,2,0)</f>
        <v>#N/A</v>
      </c>
      <c r="D1207" s="25" t="s">
        <v>19346</v>
      </c>
      <c r="E1207" s="26" t="s">
        <v>16544</v>
      </c>
      <c r="F1207" s="27" t="s">
        <v>17700</v>
      </c>
      <c r="G1207" s="27" t="s">
        <v>17701</v>
      </c>
      <c r="H1207" s="27" t="s">
        <v>17715</v>
      </c>
      <c r="I1207" s="27"/>
      <c r="J1207" s="27"/>
      <c r="K1207" s="27"/>
      <c r="L1207" s="27"/>
      <c r="N1207" s="27"/>
      <c r="T1207" s="28" t="str">
        <f>LOOKUP(1,1/(Table1[[#This Row],[Level_0]:[Level 15]]&gt;0),(Table1[[#This Row],[Level_0]:[Level 15]]))</f>
        <v>7600000037 - [DAA - Consulting]</v>
      </c>
      <c r="U1207" s="22">
        <v>1202</v>
      </c>
      <c r="W1207" s="13" t="str">
        <f>LOOKUP(1,1/(Table1[[#This Row],[Level_0]:[Level 15]]&gt;0),(Table1[[#This Row],[Level_0]:[Level 15]]))</f>
        <v>7600000037 - [DAA - Consulting]</v>
      </c>
    </row>
    <row r="1208" spans="1:23" hidden="1" x14ac:dyDescent="0.25">
      <c r="A1208">
        <v>7600000036</v>
      </c>
      <c r="B1208" s="16" t="s">
        <v>21080</v>
      </c>
      <c r="C1208" s="16" t="e">
        <f>VLOOKUP(Table1[[#This Row],[Node]],Parent!A:B,2,0)</f>
        <v>#N/A</v>
      </c>
      <c r="D1208" s="25" t="s">
        <v>19346</v>
      </c>
      <c r="E1208" s="26" t="s">
        <v>16544</v>
      </c>
      <c r="F1208" s="27" t="s">
        <v>17700</v>
      </c>
      <c r="G1208" s="27" t="s">
        <v>17701</v>
      </c>
      <c r="H1208" s="27" t="s">
        <v>17716</v>
      </c>
      <c r="I1208" s="27"/>
      <c r="J1208" s="27"/>
      <c r="K1208" s="27"/>
      <c r="L1208" s="27"/>
      <c r="N1208" s="27"/>
      <c r="T1208" s="28" t="str">
        <f>LOOKUP(1,1/(Table1[[#This Row],[Level_0]:[Level 15]]&gt;0),(Table1[[#This Row],[Level_0]:[Level 15]]))</f>
        <v>7600000036 - [DAA - Nonconformance]</v>
      </c>
      <c r="U1208" s="22">
        <v>1203</v>
      </c>
      <c r="W1208" s="13" t="str">
        <f>LOOKUP(1,1/(Table1[[#This Row],[Level_0]:[Level 15]]&gt;0),(Table1[[#This Row],[Level_0]:[Level 15]]))</f>
        <v>7600000036 - [DAA - Nonconformance]</v>
      </c>
    </row>
    <row r="1209" spans="1:23" hidden="1" x14ac:dyDescent="0.25">
      <c r="A1209">
        <v>7600000035</v>
      </c>
      <c r="B1209" s="16" t="s">
        <v>21079</v>
      </c>
      <c r="C1209" s="16" t="e">
        <f>VLOOKUP(Table1[[#This Row],[Node]],Parent!A:B,2,0)</f>
        <v>#N/A</v>
      </c>
      <c r="D1209" s="25" t="s">
        <v>19346</v>
      </c>
      <c r="E1209" s="26" t="s">
        <v>16544</v>
      </c>
      <c r="F1209" s="27" t="s">
        <v>17700</v>
      </c>
      <c r="G1209" s="27" t="s">
        <v>17701</v>
      </c>
      <c r="H1209" s="27" t="s">
        <v>17717</v>
      </c>
      <c r="I1209" s="27"/>
      <c r="J1209" s="27"/>
      <c r="K1209" s="27"/>
      <c r="L1209" s="27"/>
      <c r="N1209" s="27"/>
      <c r="T1209" s="28" t="str">
        <f>LOOKUP(1,1/(Table1[[#This Row],[Level_0]:[Level 15]]&gt;0),(Table1[[#This Row],[Level_0]:[Level 15]]))</f>
        <v>7600000035 - [DAA - Compliance/Regulatory]</v>
      </c>
      <c r="U1209" s="22">
        <v>1204</v>
      </c>
      <c r="W1209" s="13" t="str">
        <f>LOOKUP(1,1/(Table1[[#This Row],[Level_0]:[Level 15]]&gt;0),(Table1[[#This Row],[Level_0]:[Level 15]]))</f>
        <v>7600000035 - [DAA - Compliance/Regulatory]</v>
      </c>
    </row>
    <row r="1210" spans="1:23" hidden="1" x14ac:dyDescent="0.25">
      <c r="A1210">
        <v>7600000034</v>
      </c>
      <c r="B1210" s="16" t="s">
        <v>21078</v>
      </c>
      <c r="C1210" s="16" t="e">
        <f>VLOOKUP(Table1[[#This Row],[Node]],Parent!A:B,2,0)</f>
        <v>#N/A</v>
      </c>
      <c r="D1210" s="25" t="s">
        <v>19346</v>
      </c>
      <c r="E1210" s="26" t="s">
        <v>16544</v>
      </c>
      <c r="F1210" s="27" t="s">
        <v>17700</v>
      </c>
      <c r="G1210" s="27" t="s">
        <v>17701</v>
      </c>
      <c r="H1210" s="27" t="s">
        <v>17718</v>
      </c>
      <c r="I1210" s="27"/>
      <c r="J1210" s="27"/>
      <c r="K1210" s="27"/>
      <c r="L1210" s="27"/>
      <c r="N1210" s="27"/>
      <c r="T1210" s="28" t="str">
        <f>LOOKUP(1,1/(Table1[[#This Row],[Level_0]:[Level 15]]&gt;0),(Table1[[#This Row],[Level_0]:[Level 15]]))</f>
        <v>7600000034 - [DAA - Qualification Run]</v>
      </c>
      <c r="U1210" s="22">
        <v>1205</v>
      </c>
      <c r="W1210" s="13" t="str">
        <f>LOOKUP(1,1/(Table1[[#This Row],[Level_0]:[Level 15]]&gt;0),(Table1[[#This Row],[Level_0]:[Level 15]]))</f>
        <v>7600000034 - [DAA - Qualification Run]</v>
      </c>
    </row>
    <row r="1211" spans="1:23" hidden="1" x14ac:dyDescent="0.25">
      <c r="A1211">
        <v>7600000033</v>
      </c>
      <c r="B1211" s="16" t="s">
        <v>21077</v>
      </c>
      <c r="C1211" s="16" t="e">
        <f>VLOOKUP(Table1[[#This Row],[Node]],Parent!A:B,2,0)</f>
        <v>#N/A</v>
      </c>
      <c r="D1211" s="25" t="s">
        <v>19346</v>
      </c>
      <c r="E1211" s="26" t="s">
        <v>16544</v>
      </c>
      <c r="F1211" s="27" t="s">
        <v>17700</v>
      </c>
      <c r="G1211" s="27" t="s">
        <v>17701</v>
      </c>
      <c r="H1211" s="27" t="s">
        <v>17719</v>
      </c>
      <c r="I1211" s="27"/>
      <c r="J1211" s="27"/>
      <c r="K1211" s="27"/>
      <c r="L1211" s="27"/>
      <c r="N1211" s="27"/>
      <c r="T1211" s="28" t="str">
        <f>LOOKUP(1,1/(Table1[[#This Row],[Level_0]:[Level 15]]&gt;0),(Table1[[#This Row],[Level_0]:[Level 15]]))</f>
        <v>7600000033 - [DAA - Process Validation]</v>
      </c>
      <c r="U1211" s="22">
        <v>1206</v>
      </c>
      <c r="W1211" s="13" t="str">
        <f>LOOKUP(1,1/(Table1[[#This Row],[Level_0]:[Level 15]]&gt;0),(Table1[[#This Row],[Level_0]:[Level 15]]))</f>
        <v>7600000033 - [DAA - Process Validation]</v>
      </c>
    </row>
    <row r="1212" spans="1:23" hidden="1" x14ac:dyDescent="0.25">
      <c r="A1212">
        <v>7600000032</v>
      </c>
      <c r="B1212" s="16" t="s">
        <v>21076</v>
      </c>
      <c r="C1212" s="16" t="e">
        <f>VLOOKUP(Table1[[#This Row],[Node]],Parent!A:B,2,0)</f>
        <v>#N/A</v>
      </c>
      <c r="D1212" s="25" t="s">
        <v>19346</v>
      </c>
      <c r="E1212" s="26" t="s">
        <v>16544</v>
      </c>
      <c r="F1212" s="27" t="s">
        <v>17700</v>
      </c>
      <c r="G1212" s="27" t="s">
        <v>17701</v>
      </c>
      <c r="H1212" s="27" t="s">
        <v>17720</v>
      </c>
      <c r="I1212" s="27"/>
      <c r="J1212" s="27"/>
      <c r="K1212" s="27"/>
      <c r="L1212" s="27"/>
      <c r="N1212" s="27"/>
      <c r="T1212" s="28" t="str">
        <f>LOOKUP(1,1/(Table1[[#This Row],[Level_0]:[Level 15]]&gt;0),(Table1[[#This Row],[Level_0]:[Level 15]]))</f>
        <v>7600000032 - [DAA - Operations]</v>
      </c>
      <c r="U1212" s="22">
        <v>1207</v>
      </c>
      <c r="W1212" s="13" t="str">
        <f>LOOKUP(1,1/(Table1[[#This Row],[Level_0]:[Level 15]]&gt;0),(Table1[[#This Row],[Level_0]:[Level 15]]))</f>
        <v>7600000032 - [DAA - Operations]</v>
      </c>
    </row>
    <row r="1213" spans="1:23" hidden="1" x14ac:dyDescent="0.25">
      <c r="A1213">
        <v>7600000031</v>
      </c>
      <c r="B1213" s="16" t="s">
        <v>21075</v>
      </c>
      <c r="C1213" s="16" t="e">
        <f>VLOOKUP(Table1[[#This Row],[Node]],Parent!A:B,2,0)</f>
        <v>#N/A</v>
      </c>
      <c r="D1213" s="25" t="s">
        <v>19346</v>
      </c>
      <c r="E1213" s="26" t="s">
        <v>16544</v>
      </c>
      <c r="F1213" s="27" t="s">
        <v>17700</v>
      </c>
      <c r="G1213" s="27" t="s">
        <v>17701</v>
      </c>
      <c r="H1213" s="27" t="s">
        <v>17721</v>
      </c>
      <c r="I1213" s="27"/>
      <c r="J1213" s="27"/>
      <c r="K1213" s="27"/>
      <c r="L1213" s="27"/>
      <c r="N1213" s="27"/>
      <c r="T1213" s="28" t="str">
        <f>LOOKUP(1,1/(Table1[[#This Row],[Level_0]:[Level 15]]&gt;0),(Table1[[#This Row],[Level_0]:[Level 15]]))</f>
        <v>7600000031 - [DAA - Manufacture]</v>
      </c>
      <c r="U1213" s="22">
        <v>1208</v>
      </c>
      <c r="W1213" s="13" t="str">
        <f>LOOKUP(1,1/(Table1[[#This Row],[Level_0]:[Level 15]]&gt;0),(Table1[[#This Row],[Level_0]:[Level 15]]))</f>
        <v>7600000031 - [DAA - Manufacture]</v>
      </c>
    </row>
    <row r="1214" spans="1:23" hidden="1" x14ac:dyDescent="0.25">
      <c r="A1214">
        <v>7600000030</v>
      </c>
      <c r="B1214" s="16" t="s">
        <v>21074</v>
      </c>
      <c r="C1214" s="16" t="e">
        <f>VLOOKUP(Table1[[#This Row],[Node]],Parent!A:B,2,0)</f>
        <v>#N/A</v>
      </c>
      <c r="D1214" s="25" t="s">
        <v>19346</v>
      </c>
      <c r="E1214" s="26" t="s">
        <v>16544</v>
      </c>
      <c r="F1214" s="27" t="s">
        <v>17700</v>
      </c>
      <c r="G1214" s="27" t="s">
        <v>17701</v>
      </c>
      <c r="H1214" s="27" t="s">
        <v>17722</v>
      </c>
      <c r="I1214" s="27"/>
      <c r="J1214" s="27"/>
      <c r="K1214" s="27"/>
      <c r="L1214" s="27"/>
      <c r="N1214" s="27"/>
      <c r="T1214" s="28" t="str">
        <f>LOOKUP(1,1/(Table1[[#This Row],[Level_0]:[Level 15]]&gt;0),(Table1[[#This Row],[Level_0]:[Level 15]]))</f>
        <v>7600000030 - [DAA - Engineering Run]</v>
      </c>
      <c r="U1214" s="22">
        <v>1209</v>
      </c>
      <c r="W1214" s="13" t="str">
        <f>LOOKUP(1,1/(Table1[[#This Row],[Level_0]:[Level 15]]&gt;0),(Table1[[#This Row],[Level_0]:[Level 15]]))</f>
        <v>7600000030 - [DAA - Engineering Run]</v>
      </c>
    </row>
    <row r="1215" spans="1:23" hidden="1" x14ac:dyDescent="0.25">
      <c r="A1215">
        <v>7600000029</v>
      </c>
      <c r="B1215" s="16" t="s">
        <v>21073</v>
      </c>
      <c r="C1215" s="16" t="e">
        <f>VLOOKUP(Table1[[#This Row],[Node]],Parent!A:B,2,0)</f>
        <v>#N/A</v>
      </c>
      <c r="D1215" s="25" t="s">
        <v>19346</v>
      </c>
      <c r="E1215" s="26" t="s">
        <v>16544</v>
      </c>
      <c r="F1215" s="27" t="s">
        <v>17700</v>
      </c>
      <c r="G1215" s="27" t="s">
        <v>17701</v>
      </c>
      <c r="H1215" s="27" t="s">
        <v>17723</v>
      </c>
      <c r="I1215" s="27"/>
      <c r="J1215" s="27"/>
      <c r="K1215" s="27"/>
      <c r="L1215" s="27"/>
      <c r="N1215" s="27"/>
      <c r="T1215" s="28" t="str">
        <f>LOOKUP(1,1/(Table1[[#This Row],[Level_0]:[Level 15]]&gt;0),(Table1[[#This Row],[Level_0]:[Level 15]]))</f>
        <v>7600000029 - [DAA - Customer Equipment]</v>
      </c>
      <c r="U1215" s="22">
        <v>1210</v>
      </c>
      <c r="W1215" s="13" t="str">
        <f>LOOKUP(1,1/(Table1[[#This Row],[Level_0]:[Level 15]]&gt;0),(Table1[[#This Row],[Level_0]:[Level 15]]))</f>
        <v>7600000029 - [DAA - Customer Equipment]</v>
      </c>
    </row>
    <row r="1216" spans="1:23" hidden="1" x14ac:dyDescent="0.25">
      <c r="A1216">
        <v>7600000028</v>
      </c>
      <c r="B1216" s="16" t="s">
        <v>21072</v>
      </c>
      <c r="C1216" s="16" t="e">
        <f>VLOOKUP(Table1[[#This Row],[Node]],Parent!A:B,2,0)</f>
        <v>#N/A</v>
      </c>
      <c r="D1216" s="25" t="s">
        <v>19346</v>
      </c>
      <c r="E1216" s="26" t="s">
        <v>16544</v>
      </c>
      <c r="F1216" s="27" t="s">
        <v>17700</v>
      </c>
      <c r="G1216" s="27" t="s">
        <v>17701</v>
      </c>
      <c r="H1216" s="27" t="s">
        <v>17724</v>
      </c>
      <c r="I1216" s="27"/>
      <c r="J1216" s="27"/>
      <c r="K1216" s="27"/>
      <c r="L1216" s="27"/>
      <c r="N1216" s="27"/>
      <c r="T1216" s="28" t="str">
        <f>LOOKUP(1,1/(Table1[[#This Row],[Level_0]:[Level 15]]&gt;0),(Table1[[#This Row],[Level_0]:[Level 15]]))</f>
        <v>7600000028 - [DAA - Project Management]</v>
      </c>
      <c r="U1216" s="22">
        <v>1211</v>
      </c>
      <c r="W1216" s="13" t="str">
        <f>LOOKUP(1,1/(Table1[[#This Row],[Level_0]:[Level 15]]&gt;0),(Table1[[#This Row],[Level_0]:[Level 15]]))</f>
        <v>7600000028 - [DAA - Project Management]</v>
      </c>
    </row>
    <row r="1217" spans="1:23" hidden="1" x14ac:dyDescent="0.25">
      <c r="A1217">
        <v>7600000027</v>
      </c>
      <c r="B1217" s="16" t="s">
        <v>21071</v>
      </c>
      <c r="C1217" s="16" t="e">
        <f>VLOOKUP(Table1[[#This Row],[Node]],Parent!A:B,2,0)</f>
        <v>#N/A</v>
      </c>
      <c r="D1217" s="25" t="s">
        <v>19346</v>
      </c>
      <c r="E1217" s="26" t="s">
        <v>16544</v>
      </c>
      <c r="F1217" s="27" t="s">
        <v>17700</v>
      </c>
      <c r="G1217" s="27" t="s">
        <v>17701</v>
      </c>
      <c r="H1217" s="27" t="s">
        <v>17725</v>
      </c>
      <c r="I1217" s="27"/>
      <c r="J1217" s="27"/>
      <c r="K1217" s="27"/>
      <c r="L1217" s="27"/>
      <c r="N1217" s="27"/>
      <c r="T1217" s="28" t="str">
        <f>LOOKUP(1,1/(Table1[[#This Row],[Level_0]:[Level 15]]&gt;0),(Table1[[#This Row],[Level_0]:[Level 15]]))</f>
        <v>7600000027 - [DAA - Initiate Project]</v>
      </c>
      <c r="U1217" s="22">
        <v>1212</v>
      </c>
      <c r="W1217" s="13" t="str">
        <f>LOOKUP(1,1/(Table1[[#This Row],[Level_0]:[Level 15]]&gt;0),(Table1[[#This Row],[Level_0]:[Level 15]]))</f>
        <v>7600000027 - [DAA - Initiate Project]</v>
      </c>
    </row>
    <row r="1218" spans="1:23" hidden="1" x14ac:dyDescent="0.25">
      <c r="A1218">
        <v>7600000026</v>
      </c>
      <c r="B1218" s="16" t="s">
        <v>21070</v>
      </c>
      <c r="C1218" s="16" t="e">
        <f>VLOOKUP(Table1[[#This Row],[Node]],Parent!A:B,2,0)</f>
        <v>#N/A</v>
      </c>
      <c r="D1218" s="25" t="s">
        <v>19346</v>
      </c>
      <c r="E1218" s="26" t="s">
        <v>16544</v>
      </c>
      <c r="F1218" s="27" t="s">
        <v>17700</v>
      </c>
      <c r="G1218" s="27" t="s">
        <v>17701</v>
      </c>
      <c r="H1218" s="27" t="s">
        <v>17726</v>
      </c>
      <c r="I1218" s="27"/>
      <c r="J1218" s="27"/>
      <c r="K1218" s="27"/>
      <c r="L1218" s="27"/>
      <c r="N1218" s="27"/>
      <c r="T1218" s="28" t="str">
        <f>LOOKUP(1,1/(Table1[[#This Row],[Level_0]:[Level 15]]&gt;0),(Table1[[#This Row],[Level_0]:[Level 15]]))</f>
        <v>7600000026 - [DAA - Down Payment Request]</v>
      </c>
      <c r="U1218" s="22">
        <v>1213</v>
      </c>
      <c r="W1218" s="13" t="str">
        <f>LOOKUP(1,1/(Table1[[#This Row],[Level_0]:[Level 15]]&gt;0),(Table1[[#This Row],[Level_0]:[Level 15]]))</f>
        <v>7600000026 - [DAA - Down Payment Request]</v>
      </c>
    </row>
    <row r="1219" spans="1:23" hidden="1" x14ac:dyDescent="0.25">
      <c r="A1219">
        <v>7600000025</v>
      </c>
      <c r="B1219" s="16" t="s">
        <v>21069</v>
      </c>
      <c r="C1219" s="16" t="e">
        <f>VLOOKUP(Table1[[#This Row],[Node]],Parent!A:B,2,0)</f>
        <v>#N/A</v>
      </c>
      <c r="D1219" s="25" t="s">
        <v>19346</v>
      </c>
      <c r="E1219" s="26" t="s">
        <v>16544</v>
      </c>
      <c r="F1219" s="27" t="s">
        <v>17700</v>
      </c>
      <c r="G1219" s="27" t="s">
        <v>17701</v>
      </c>
      <c r="H1219" s="27" t="s">
        <v>17727</v>
      </c>
      <c r="I1219" s="27"/>
      <c r="J1219" s="27"/>
      <c r="K1219" s="27"/>
      <c r="L1219" s="27"/>
      <c r="N1219" s="27"/>
      <c r="T1219" s="28" t="str">
        <f>LOOKUP(1,1/(Table1[[#This Row],[Level_0]:[Level 15]]&gt;0),(Table1[[#This Row],[Level_0]:[Level 15]]))</f>
        <v>7600000025 - [DAA - Create Quote]</v>
      </c>
      <c r="U1219" s="22">
        <v>1214</v>
      </c>
      <c r="W1219" s="13" t="str">
        <f>LOOKUP(1,1/(Table1[[#This Row],[Level_0]:[Level 15]]&gt;0),(Table1[[#This Row],[Level_0]:[Level 15]]))</f>
        <v>7600000025 - [DAA - Create Quote]</v>
      </c>
    </row>
    <row r="1220" spans="1:23" hidden="1" x14ac:dyDescent="0.25">
      <c r="A1220">
        <v>7600000024</v>
      </c>
      <c r="B1220" s="16" t="s">
        <v>21068</v>
      </c>
      <c r="C1220" s="16" t="e">
        <f>VLOOKUP(Table1[[#This Row],[Node]],Parent!A:B,2,0)</f>
        <v>#N/A</v>
      </c>
      <c r="D1220" s="25" t="s">
        <v>19346</v>
      </c>
      <c r="E1220" s="26" t="s">
        <v>16544</v>
      </c>
      <c r="F1220" s="27" t="s">
        <v>17700</v>
      </c>
      <c r="G1220" s="27" t="s">
        <v>17701</v>
      </c>
      <c r="H1220" s="27" t="s">
        <v>17728</v>
      </c>
      <c r="I1220" s="27"/>
      <c r="J1220" s="27"/>
      <c r="K1220" s="27"/>
      <c r="L1220" s="27"/>
      <c r="N1220" s="27"/>
      <c r="T1220" s="28" t="str">
        <f>LOOKUP(1,1/(Table1[[#This Row],[Level_0]:[Level 15]]&gt;0),(Table1[[#This Row],[Level_0]:[Level 15]]))</f>
        <v>7600000024 - [DAA - Technology Transfer]</v>
      </c>
      <c r="U1220" s="22">
        <v>1215</v>
      </c>
      <c r="W1220" s="13" t="str">
        <f>LOOKUP(1,1/(Table1[[#This Row],[Level_0]:[Level 15]]&gt;0),(Table1[[#This Row],[Level_0]:[Level 15]]))</f>
        <v>7600000024 - [DAA - Technology Transfer]</v>
      </c>
    </row>
    <row r="1221" spans="1:23" hidden="1" x14ac:dyDescent="0.25">
      <c r="A1221">
        <v>7600000023</v>
      </c>
      <c r="B1221" s="16" t="s">
        <v>21067</v>
      </c>
      <c r="C1221" s="16" t="e">
        <f>VLOOKUP(Table1[[#This Row],[Node]],Parent!A:B,2,0)</f>
        <v>#N/A</v>
      </c>
      <c r="D1221" s="25" t="s">
        <v>19346</v>
      </c>
      <c r="E1221" s="26" t="s">
        <v>16544</v>
      </c>
      <c r="F1221" s="27" t="s">
        <v>17700</v>
      </c>
      <c r="G1221" s="27" t="s">
        <v>17701</v>
      </c>
      <c r="H1221" s="27" t="s">
        <v>17729</v>
      </c>
      <c r="I1221" s="27"/>
      <c r="J1221" s="27"/>
      <c r="K1221" s="27"/>
      <c r="L1221" s="27"/>
      <c r="N1221" s="27"/>
      <c r="T1221" s="28" t="str">
        <f>LOOKUP(1,1/(Table1[[#This Row],[Level_0]:[Level 15]]&gt;0),(Table1[[#This Row],[Level_0]:[Level 15]]))</f>
        <v>7600000023 - [DAA - System Service/Modification]</v>
      </c>
      <c r="U1221" s="22">
        <v>1216</v>
      </c>
      <c r="W1221" s="13" t="str">
        <f>LOOKUP(1,1/(Table1[[#This Row],[Level_0]:[Level 15]]&gt;0),(Table1[[#This Row],[Level_0]:[Level 15]]))</f>
        <v>7600000023 - [DAA - System Service/Modification]</v>
      </c>
    </row>
    <row r="1222" spans="1:23" hidden="1" x14ac:dyDescent="0.25">
      <c r="A1222">
        <v>7600000022</v>
      </c>
      <c r="B1222" s="16" t="s">
        <v>21066</v>
      </c>
      <c r="C1222" s="16" t="e">
        <f>VLOOKUP(Table1[[#This Row],[Node]],Parent!A:B,2,0)</f>
        <v>#N/A</v>
      </c>
      <c r="D1222" s="25" t="s">
        <v>19346</v>
      </c>
      <c r="E1222" s="26" t="s">
        <v>16544</v>
      </c>
      <c r="F1222" s="27" t="s">
        <v>17700</v>
      </c>
      <c r="G1222" s="27" t="s">
        <v>17701</v>
      </c>
      <c r="H1222" s="27" t="s">
        <v>17730</v>
      </c>
      <c r="I1222" s="27"/>
      <c r="J1222" s="27"/>
      <c r="K1222" s="27"/>
      <c r="L1222" s="27"/>
      <c r="N1222" s="27"/>
      <c r="T1222" s="28" t="str">
        <f>LOOKUP(1,1/(Table1[[#This Row],[Level_0]:[Level 15]]&gt;0),(Table1[[#This Row],[Level_0]:[Level 15]]))</f>
        <v>7600000022 - [DAA - Supplier / Material Qualification]</v>
      </c>
      <c r="U1222" s="22">
        <v>1217</v>
      </c>
      <c r="W1222" s="13" t="str">
        <f>LOOKUP(1,1/(Table1[[#This Row],[Level_0]:[Level 15]]&gt;0),(Table1[[#This Row],[Level_0]:[Level 15]]))</f>
        <v>7600000022 - [DAA - Supplier / Material Qualification]</v>
      </c>
    </row>
    <row r="1223" spans="1:23" hidden="1" x14ac:dyDescent="0.25">
      <c r="A1223">
        <v>7600000021</v>
      </c>
      <c r="B1223" s="16" t="s">
        <v>21065</v>
      </c>
      <c r="C1223" s="16" t="e">
        <f>VLOOKUP(Table1[[#This Row],[Node]],Parent!A:B,2,0)</f>
        <v>#N/A</v>
      </c>
      <c r="D1223" s="25" t="s">
        <v>19346</v>
      </c>
      <c r="E1223" s="26" t="s">
        <v>16544</v>
      </c>
      <c r="F1223" s="27" t="s">
        <v>17700</v>
      </c>
      <c r="G1223" s="27" t="s">
        <v>17701</v>
      </c>
      <c r="H1223" s="27" t="s">
        <v>17731</v>
      </c>
      <c r="I1223" s="27"/>
      <c r="J1223" s="27"/>
      <c r="K1223" s="27"/>
      <c r="L1223" s="27"/>
      <c r="N1223" s="27"/>
      <c r="T1223" s="28" t="str">
        <f>LOOKUP(1,1/(Table1[[#This Row],[Level_0]:[Level 15]]&gt;0),(Table1[[#This Row],[Level_0]:[Level 15]]))</f>
        <v>7600000021 - [DAA - Risk Assessment]</v>
      </c>
      <c r="U1223" s="22">
        <v>1218</v>
      </c>
      <c r="W1223" s="13" t="str">
        <f>LOOKUP(1,1/(Table1[[#This Row],[Level_0]:[Level 15]]&gt;0),(Table1[[#This Row],[Level_0]:[Level 15]]))</f>
        <v>7600000021 - [DAA - Risk Assessment]</v>
      </c>
    </row>
    <row r="1224" spans="1:23" hidden="1" x14ac:dyDescent="0.25">
      <c r="A1224">
        <v>7600000020</v>
      </c>
      <c r="B1224" s="16" t="s">
        <v>21064</v>
      </c>
      <c r="C1224" s="16" t="e">
        <f>VLOOKUP(Table1[[#This Row],[Node]],Parent!A:B,2,0)</f>
        <v>#N/A</v>
      </c>
      <c r="D1224" s="25" t="s">
        <v>19346</v>
      </c>
      <c r="E1224" s="26" t="s">
        <v>16544</v>
      </c>
      <c r="F1224" s="27" t="s">
        <v>17700</v>
      </c>
      <c r="G1224" s="27" t="s">
        <v>17701</v>
      </c>
      <c r="H1224" s="27" t="s">
        <v>17732</v>
      </c>
      <c r="I1224" s="27"/>
      <c r="J1224" s="27"/>
      <c r="K1224" s="27"/>
      <c r="L1224" s="27"/>
      <c r="N1224" s="27"/>
      <c r="T1224" s="28" t="str">
        <f>LOOKUP(1,1/(Table1[[#This Row],[Level_0]:[Level 15]]&gt;0),(Table1[[#This Row],[Level_0]:[Level 15]]))</f>
        <v>7600000020 - [DAA - Process Development]</v>
      </c>
      <c r="U1224" s="22">
        <v>1219</v>
      </c>
      <c r="W1224" s="13" t="str">
        <f>LOOKUP(1,1/(Table1[[#This Row],[Level_0]:[Level 15]]&gt;0),(Table1[[#This Row],[Level_0]:[Level 15]]))</f>
        <v>7600000020 - [DAA - Process Development]</v>
      </c>
    </row>
    <row r="1225" spans="1:23" hidden="1" x14ac:dyDescent="0.25">
      <c r="A1225">
        <v>7600000019</v>
      </c>
      <c r="B1225" s="16" t="s">
        <v>21063</v>
      </c>
      <c r="C1225" s="16" t="e">
        <f>VLOOKUP(Table1[[#This Row],[Node]],Parent!A:B,2,0)</f>
        <v>#N/A</v>
      </c>
      <c r="D1225" s="25" t="s">
        <v>19346</v>
      </c>
      <c r="E1225" s="26" t="s">
        <v>16544</v>
      </c>
      <c r="F1225" s="27" t="s">
        <v>17700</v>
      </c>
      <c r="G1225" s="27" t="s">
        <v>17701</v>
      </c>
      <c r="H1225" s="27" t="s">
        <v>17733</v>
      </c>
      <c r="I1225" s="27"/>
      <c r="J1225" s="27"/>
      <c r="K1225" s="27"/>
      <c r="L1225" s="27"/>
      <c r="N1225" s="27"/>
      <c r="T1225" s="28" t="str">
        <f>LOOKUP(1,1/(Table1[[#This Row],[Level_0]:[Level 15]]&gt;0),(Table1[[#This Row],[Level_0]:[Level 15]]))</f>
        <v>7600000019 - [DAA - Material Procurement]</v>
      </c>
      <c r="U1225" s="22">
        <v>1220</v>
      </c>
      <c r="W1225" s="13" t="str">
        <f>LOOKUP(1,1/(Table1[[#This Row],[Level_0]:[Level 15]]&gt;0),(Table1[[#This Row],[Level_0]:[Level 15]]))</f>
        <v>7600000019 - [DAA - Material Procurement]</v>
      </c>
    </row>
    <row r="1226" spans="1:23" hidden="1" x14ac:dyDescent="0.25">
      <c r="A1226">
        <v>7600000018</v>
      </c>
      <c r="B1226" s="16" t="s">
        <v>21062</v>
      </c>
      <c r="C1226" s="16" t="e">
        <f>VLOOKUP(Table1[[#This Row],[Node]],Parent!A:B,2,0)</f>
        <v>#N/A</v>
      </c>
      <c r="D1226" s="25" t="s">
        <v>19346</v>
      </c>
      <c r="E1226" s="26" t="s">
        <v>16544</v>
      </c>
      <c r="F1226" s="27" t="s">
        <v>17700</v>
      </c>
      <c r="G1226" s="27" t="s">
        <v>17701</v>
      </c>
      <c r="H1226" s="27" t="s">
        <v>17734</v>
      </c>
      <c r="I1226" s="27"/>
      <c r="J1226" s="27"/>
      <c r="K1226" s="27"/>
      <c r="L1226" s="27"/>
      <c r="N1226" s="27"/>
      <c r="T1226" s="28" t="str">
        <f>LOOKUP(1,1/(Table1[[#This Row],[Level_0]:[Level 15]]&gt;0),(Table1[[#This Row],[Level_0]:[Level 15]]))</f>
        <v>7600000018 - [DAA - Hazard Evaluation]</v>
      </c>
      <c r="U1226" s="22">
        <v>1221</v>
      </c>
      <c r="W1226" s="13" t="str">
        <f>LOOKUP(1,1/(Table1[[#This Row],[Level_0]:[Level 15]]&gt;0),(Table1[[#This Row],[Level_0]:[Level 15]]))</f>
        <v>7600000018 - [DAA - Hazard Evaluation]</v>
      </c>
    </row>
    <row r="1227" spans="1:23" hidden="1" x14ac:dyDescent="0.25">
      <c r="A1227">
        <v>7600000017</v>
      </c>
      <c r="B1227" s="16" t="s">
        <v>21061</v>
      </c>
      <c r="C1227" s="16" t="e">
        <f>VLOOKUP(Table1[[#This Row],[Node]],Parent!A:B,2,0)</f>
        <v>#N/A</v>
      </c>
      <c r="D1227" s="25" t="s">
        <v>19346</v>
      </c>
      <c r="E1227" s="26" t="s">
        <v>16544</v>
      </c>
      <c r="F1227" s="27" t="s">
        <v>17700</v>
      </c>
      <c r="G1227" s="27" t="s">
        <v>17701</v>
      </c>
      <c r="H1227" s="27" t="s">
        <v>17735</v>
      </c>
      <c r="I1227" s="27"/>
      <c r="J1227" s="27"/>
      <c r="K1227" s="27"/>
      <c r="L1227" s="27"/>
      <c r="N1227" s="27"/>
      <c r="T1227" s="28" t="str">
        <f>LOOKUP(1,1/(Table1[[#This Row],[Level_0]:[Level 15]]&gt;0),(Table1[[#This Row],[Level_0]:[Level 15]]))</f>
        <v>7600000017 - [DAA - Feasibility Assessment]</v>
      </c>
      <c r="U1227" s="22">
        <v>1222</v>
      </c>
      <c r="W1227" s="13" t="str">
        <f>LOOKUP(1,1/(Table1[[#This Row],[Level_0]:[Level 15]]&gt;0),(Table1[[#This Row],[Level_0]:[Level 15]]))</f>
        <v>7600000017 - [DAA - Feasibility Assessment]</v>
      </c>
    </row>
    <row r="1228" spans="1:23" hidden="1" x14ac:dyDescent="0.25">
      <c r="A1228">
        <v>7600000016</v>
      </c>
      <c r="B1228" s="16" t="s">
        <v>21060</v>
      </c>
      <c r="C1228" s="16" t="e">
        <f>VLOOKUP(Table1[[#This Row],[Node]],Parent!A:B,2,0)</f>
        <v>#N/A</v>
      </c>
      <c r="D1228" s="25" t="s">
        <v>19346</v>
      </c>
      <c r="E1228" s="26" t="s">
        <v>16544</v>
      </c>
      <c r="F1228" s="27" t="s">
        <v>17700</v>
      </c>
      <c r="G1228" s="27" t="s">
        <v>17701</v>
      </c>
      <c r="H1228" s="27" t="s">
        <v>17736</v>
      </c>
      <c r="I1228" s="27"/>
      <c r="J1228" s="27"/>
      <c r="K1228" s="27"/>
      <c r="L1228" s="27"/>
      <c r="N1228" s="27"/>
      <c r="T1228" s="28" t="str">
        <f>LOOKUP(1,1/(Table1[[#This Row],[Level_0]:[Level 15]]&gt;0),(Table1[[#This Row],[Level_0]:[Level 15]]))</f>
        <v>7600000016 - [DAA - Documentation]</v>
      </c>
      <c r="U1228" s="22">
        <v>1223</v>
      </c>
      <c r="W1228" s="13" t="str">
        <f>LOOKUP(1,1/(Table1[[#This Row],[Level_0]:[Level 15]]&gt;0),(Table1[[#This Row],[Level_0]:[Level 15]]))</f>
        <v>7600000016 - [DAA - Documentation]</v>
      </c>
    </row>
    <row r="1229" spans="1:23" hidden="1" x14ac:dyDescent="0.25">
      <c r="A1229">
        <v>7600000015</v>
      </c>
      <c r="B1229" s="16" t="s">
        <v>21059</v>
      </c>
      <c r="C1229" s="16" t="e">
        <f>VLOOKUP(Table1[[#This Row],[Node]],Parent!A:B,2,0)</f>
        <v>#N/A</v>
      </c>
      <c r="D1229" s="25" t="s">
        <v>19346</v>
      </c>
      <c r="E1229" s="26" t="s">
        <v>16544</v>
      </c>
      <c r="F1229" s="27" t="s">
        <v>17700</v>
      </c>
      <c r="G1229" s="27" t="s">
        <v>17701</v>
      </c>
      <c r="H1229" s="27" t="s">
        <v>17737</v>
      </c>
      <c r="I1229" s="27"/>
      <c r="J1229" s="27"/>
      <c r="K1229" s="27"/>
      <c r="L1229" s="27"/>
      <c r="N1229" s="27"/>
      <c r="T1229" s="28" t="str">
        <f>LOOKUP(1,1/(Table1[[#This Row],[Level_0]:[Level 15]]&gt;0),(Table1[[#This Row],[Level_0]:[Level 15]]))</f>
        <v>7600000015 - [DAA - Design]</v>
      </c>
      <c r="U1229" s="22">
        <v>1224</v>
      </c>
      <c r="W1229" s="13" t="str">
        <f>LOOKUP(1,1/(Table1[[#This Row],[Level_0]:[Level 15]]&gt;0),(Table1[[#This Row],[Level_0]:[Level 15]]))</f>
        <v>7600000015 - [DAA - Design]</v>
      </c>
    </row>
    <row r="1230" spans="1:23" hidden="1" x14ac:dyDescent="0.25">
      <c r="A1230">
        <v>7600000014</v>
      </c>
      <c r="B1230" s="16" t="s">
        <v>21058</v>
      </c>
      <c r="C1230" s="16" t="e">
        <f>VLOOKUP(Table1[[#This Row],[Node]],Parent!A:B,2,0)</f>
        <v>#N/A</v>
      </c>
      <c r="D1230" s="25" t="s">
        <v>19346</v>
      </c>
      <c r="E1230" s="26" t="s">
        <v>16544</v>
      </c>
      <c r="F1230" s="27" t="s">
        <v>17700</v>
      </c>
      <c r="G1230" s="27" t="s">
        <v>17701</v>
      </c>
      <c r="H1230" s="27" t="s">
        <v>17738</v>
      </c>
      <c r="I1230" s="27"/>
      <c r="J1230" s="27"/>
      <c r="K1230" s="27"/>
      <c r="L1230" s="27"/>
      <c r="N1230" s="27"/>
      <c r="T1230" s="28" t="str">
        <f>LOOKUP(1,1/(Table1[[#This Row],[Level_0]:[Level 15]]&gt;0),(Table1[[#This Row],[Level_0]:[Level 15]]))</f>
        <v>7600000014 - [DAA - Cell Line Services]</v>
      </c>
      <c r="U1230" s="22">
        <v>1225</v>
      </c>
      <c r="W1230" s="13" t="str">
        <f>LOOKUP(1,1/(Table1[[#This Row],[Level_0]:[Level 15]]&gt;0),(Table1[[#This Row],[Level_0]:[Level 15]]))</f>
        <v>7600000014 - [DAA - Cell Line Services]</v>
      </c>
    </row>
    <row r="1231" spans="1:23" hidden="1" x14ac:dyDescent="0.25">
      <c r="A1231">
        <v>7600000013</v>
      </c>
      <c r="B1231" s="16" t="s">
        <v>21057</v>
      </c>
      <c r="C1231" s="16" t="e">
        <f>VLOOKUP(Table1[[#This Row],[Node]],Parent!A:B,2,0)</f>
        <v>#N/A</v>
      </c>
      <c r="D1231" s="25" t="s">
        <v>19346</v>
      </c>
      <c r="E1231" s="26" t="s">
        <v>16544</v>
      </c>
      <c r="F1231" s="27" t="s">
        <v>17700</v>
      </c>
      <c r="G1231" s="27" t="s">
        <v>17701</v>
      </c>
      <c r="H1231" s="27" t="s">
        <v>17739</v>
      </c>
      <c r="I1231" s="27"/>
      <c r="J1231" s="27"/>
      <c r="K1231" s="27"/>
      <c r="L1231" s="27"/>
      <c r="N1231" s="27"/>
      <c r="T1231" s="28" t="str">
        <f>LOOKUP(1,1/(Table1[[#This Row],[Level_0]:[Level 15]]&gt;0),(Table1[[#This Row],[Level_0]:[Level 15]]))</f>
        <v>7600000013 - [DAA - Testing]</v>
      </c>
      <c r="U1231" s="22">
        <v>1226</v>
      </c>
      <c r="W1231" s="13" t="str">
        <f>LOOKUP(1,1/(Table1[[#This Row],[Level_0]:[Level 15]]&gt;0),(Table1[[#This Row],[Level_0]:[Level 15]]))</f>
        <v>7600000013 - [DAA - Testing]</v>
      </c>
    </row>
    <row r="1232" spans="1:23" hidden="1" x14ac:dyDescent="0.25">
      <c r="A1232">
        <v>7600000012</v>
      </c>
      <c r="B1232" s="16" t="s">
        <v>21056</v>
      </c>
      <c r="C1232" s="16" t="e">
        <f>VLOOKUP(Table1[[#This Row],[Node]],Parent!A:B,2,0)</f>
        <v>#N/A</v>
      </c>
      <c r="D1232" s="25" t="s">
        <v>19346</v>
      </c>
      <c r="E1232" s="26" t="s">
        <v>16544</v>
      </c>
      <c r="F1232" s="27" t="s">
        <v>17700</v>
      </c>
      <c r="G1232" s="27" t="s">
        <v>17701</v>
      </c>
      <c r="H1232" s="27" t="s">
        <v>17740</v>
      </c>
      <c r="I1232" s="27"/>
      <c r="J1232" s="27"/>
      <c r="K1232" s="27"/>
      <c r="L1232" s="27"/>
      <c r="N1232" s="27"/>
      <c r="T1232" s="28" t="str">
        <f>LOOKUP(1,1/(Table1[[#This Row],[Level_0]:[Level 15]]&gt;0),(Table1[[#This Row],[Level_0]:[Level 15]]))</f>
        <v>7600000012 - [DAA - Stability]</v>
      </c>
      <c r="U1232" s="22">
        <v>1227</v>
      </c>
      <c r="W1232" s="13" t="str">
        <f>LOOKUP(1,1/(Table1[[#This Row],[Level_0]:[Level 15]]&gt;0),(Table1[[#This Row],[Level_0]:[Level 15]]))</f>
        <v>7600000012 - [DAA - Stability]</v>
      </c>
    </row>
    <row r="1233" spans="1:23" hidden="1" x14ac:dyDescent="0.25">
      <c r="A1233">
        <v>7600000002</v>
      </c>
      <c r="B1233" s="16" t="s">
        <v>21046</v>
      </c>
      <c r="C1233" s="16" t="e">
        <f>VLOOKUP(Table1[[#This Row],[Node]],Parent!A:B,2,0)</f>
        <v>#N/A</v>
      </c>
      <c r="D1233" s="25" t="s">
        <v>19346</v>
      </c>
      <c r="E1233" s="26" t="s">
        <v>16544</v>
      </c>
      <c r="F1233" s="27" t="s">
        <v>17700</v>
      </c>
      <c r="G1233" s="27" t="s">
        <v>17701</v>
      </c>
      <c r="H1233" s="27" t="s">
        <v>17741</v>
      </c>
      <c r="I1233" s="27"/>
      <c r="J1233" s="27"/>
      <c r="K1233" s="27"/>
      <c r="L1233" s="27"/>
      <c r="N1233" s="27"/>
      <c r="T1233" s="28" t="str">
        <f>LOOKUP(1,1/(Table1[[#This Row],[Level_0]:[Level 15]]&gt;0),(Table1[[#This Row],[Level_0]:[Level 15]]))</f>
        <v>7600000002 - [DAA - Analytical Method Qualification]</v>
      </c>
      <c r="U1233" s="22">
        <v>1228</v>
      </c>
      <c r="W1233" s="13" t="str">
        <f>LOOKUP(1,1/(Table1[[#This Row],[Level_0]:[Level 15]]&gt;0),(Table1[[#This Row],[Level_0]:[Level 15]]))</f>
        <v>7600000002 - [DAA - Analytical Method Qualification]</v>
      </c>
    </row>
    <row r="1234" spans="1:23" hidden="1" x14ac:dyDescent="0.25">
      <c r="A1234">
        <v>7600000001</v>
      </c>
      <c r="B1234" s="16" t="s">
        <v>21045</v>
      </c>
      <c r="C1234" s="16" t="e">
        <f>VLOOKUP(Table1[[#This Row],[Node]],Parent!A:B,2,0)</f>
        <v>#N/A</v>
      </c>
      <c r="D1234" s="25" t="s">
        <v>19346</v>
      </c>
      <c r="E1234" s="26" t="s">
        <v>16544</v>
      </c>
      <c r="F1234" s="27" t="s">
        <v>17700</v>
      </c>
      <c r="G1234" s="27" t="s">
        <v>17701</v>
      </c>
      <c r="H1234" s="27" t="s">
        <v>17742</v>
      </c>
      <c r="I1234" s="27"/>
      <c r="J1234" s="27"/>
      <c r="K1234" s="27"/>
      <c r="L1234" s="27"/>
      <c r="N1234" s="27"/>
      <c r="T1234" s="28" t="str">
        <f>LOOKUP(1,1/(Table1[[#This Row],[Level_0]:[Level 15]]&gt;0),(Table1[[#This Row],[Level_0]:[Level 15]]))</f>
        <v>7600000001 - [DAA - Analytical Method Development]</v>
      </c>
      <c r="U1234" s="22">
        <v>1229</v>
      </c>
      <c r="W1234" s="13" t="str">
        <f>LOOKUP(1,1/(Table1[[#This Row],[Level_0]:[Level 15]]&gt;0),(Table1[[#This Row],[Level_0]:[Level 15]]))</f>
        <v>7600000001 - [DAA - Analytical Method Development]</v>
      </c>
    </row>
    <row r="1235" spans="1:23" hidden="1" x14ac:dyDescent="0.25">
      <c r="A1235">
        <v>224000</v>
      </c>
      <c r="B1235" s="16" t="e">
        <v>#N/A</v>
      </c>
      <c r="C1235" s="16" t="e">
        <f>VLOOKUP(Table1[[#This Row],[Node]],Parent!A:B,2,0)</f>
        <v>#N/A</v>
      </c>
      <c r="D1235" s="25" t="s">
        <v>19346</v>
      </c>
      <c r="E1235" s="26" t="s">
        <v>16544</v>
      </c>
      <c r="F1235" s="27" t="s">
        <v>17700</v>
      </c>
      <c r="G1235" s="27" t="s">
        <v>17743</v>
      </c>
      <c r="H1235" s="27"/>
      <c r="I1235" s="27"/>
      <c r="J1235" s="27"/>
      <c r="K1235" s="27"/>
      <c r="L1235" s="27"/>
      <c r="N1235" s="27"/>
      <c r="T1235" s="28" t="str">
        <f>LOOKUP(1,1/(Table1[[#This Row],[Level_0]:[Level 15]]&gt;0),(Table1[[#This Row],[Level_0]:[Level 15]]))</f>
        <v>224000 - []</v>
      </c>
      <c r="U1235" s="22">
        <v>1230</v>
      </c>
      <c r="W1235" s="13" t="str">
        <f>LOOKUP(1,1/(Table1[[#This Row],[Level_0]:[Level 15]]&gt;0),(Table1[[#This Row],[Level_0]:[Level 15]]))</f>
        <v>224000 - []</v>
      </c>
    </row>
    <row r="1236" spans="1:23" hidden="1" x14ac:dyDescent="0.25">
      <c r="A1236">
        <v>9009300911</v>
      </c>
      <c r="B1236" s="16" t="s">
        <v>22098</v>
      </c>
      <c r="C1236" s="16" t="e">
        <f>VLOOKUP(Table1[[#This Row],[Node]],Parent!A:B,2,0)</f>
        <v>#N/A</v>
      </c>
      <c r="D1236" s="25" t="s">
        <v>19346</v>
      </c>
      <c r="E1236" s="26" t="s">
        <v>16544</v>
      </c>
      <c r="F1236" s="27" t="s">
        <v>17700</v>
      </c>
      <c r="G1236" s="27" t="s">
        <v>17743</v>
      </c>
      <c r="H1236" s="27" t="s">
        <v>17744</v>
      </c>
      <c r="I1236" s="27"/>
      <c r="J1236" s="27"/>
      <c r="K1236" s="27"/>
      <c r="L1236" s="27"/>
      <c r="N1236" s="27"/>
      <c r="T1236" s="28" t="str">
        <f>LOOKUP(1,1/(Table1[[#This Row],[Level_0]:[Level 15]]&gt;0),(Table1[[#This Row],[Level_0]:[Level 15]]))</f>
        <v>9009300911 - [CAPVAR LY ProcessOrderVar IC Migration]</v>
      </c>
      <c r="U1236" s="22">
        <v>1231</v>
      </c>
      <c r="W1236" s="13" t="str">
        <f>LOOKUP(1,1/(Table1[[#This Row],[Level_0]:[Level 15]]&gt;0),(Table1[[#This Row],[Level_0]:[Level 15]]))</f>
        <v>9009300911 - [CAPVAR LY ProcessOrderVar IC Migration]</v>
      </c>
    </row>
    <row r="1237" spans="1:23" hidden="1" x14ac:dyDescent="0.25">
      <c r="A1237">
        <v>9009300901</v>
      </c>
      <c r="B1237" s="16" t="s">
        <v>22093</v>
      </c>
      <c r="C1237" s="16" t="e">
        <f>VLOOKUP(Table1[[#This Row],[Node]],Parent!A:B,2,0)</f>
        <v>#N/A</v>
      </c>
      <c r="D1237" s="25" t="s">
        <v>19346</v>
      </c>
      <c r="E1237" s="26" t="s">
        <v>16544</v>
      </c>
      <c r="F1237" s="27" t="s">
        <v>17700</v>
      </c>
      <c r="G1237" s="27" t="s">
        <v>17743</v>
      </c>
      <c r="H1237" s="27" t="s">
        <v>17745</v>
      </c>
      <c r="I1237" s="27"/>
      <c r="J1237" s="27"/>
      <c r="K1237" s="27"/>
      <c r="L1237" s="27"/>
      <c r="N1237" s="27"/>
      <c r="T1237" s="28" t="str">
        <f>LOOKUP(1,1/(Table1[[#This Row],[Level_0]:[Level 15]]&gt;0),(Table1[[#This Row],[Level_0]:[Level 15]]))</f>
        <v>9009300901 - [CAPVAR ProcessOrderVariance IC Migration]</v>
      </c>
      <c r="U1237" s="22">
        <v>1232</v>
      </c>
      <c r="W1237" s="13" t="str">
        <f>LOOKUP(1,1/(Table1[[#This Row],[Level_0]:[Level 15]]&gt;0),(Table1[[#This Row],[Level_0]:[Level 15]]))</f>
        <v>9009300901 - [CAPVAR ProcessOrderVariance IC Migration]</v>
      </c>
    </row>
    <row r="1238" spans="1:23" hidden="1" x14ac:dyDescent="0.25">
      <c r="A1238">
        <v>9009300912</v>
      </c>
      <c r="B1238" s="16" t="s">
        <v>22099</v>
      </c>
      <c r="C1238" s="16" t="e">
        <f>VLOOKUP(Table1[[#This Row],[Node]],Parent!A:B,2,0)</f>
        <v>#N/A</v>
      </c>
      <c r="D1238" s="25" t="s">
        <v>19346</v>
      </c>
      <c r="E1238" s="26" t="s">
        <v>16544</v>
      </c>
      <c r="F1238" s="27" t="s">
        <v>17700</v>
      </c>
      <c r="G1238" s="27" t="s">
        <v>17743</v>
      </c>
      <c r="H1238" s="27" t="s">
        <v>17746</v>
      </c>
      <c r="I1238" s="27"/>
      <c r="J1238" s="27"/>
      <c r="K1238" s="27"/>
      <c r="L1238" s="27"/>
      <c r="N1238" s="27"/>
      <c r="T1238" s="28" t="str">
        <f>LOOKUP(1,1/(Table1[[#This Row],[Level_0]:[Level 15]]&gt;0),(Table1[[#This Row],[Level_0]:[Level 15]]))</f>
        <v>9009300912 - [CAPVAR LY ProcessOrderVar EX Migration]</v>
      </c>
      <c r="U1238" s="22">
        <v>1233</v>
      </c>
      <c r="W1238" s="13" t="str">
        <f>LOOKUP(1,1/(Table1[[#This Row],[Level_0]:[Level 15]]&gt;0),(Table1[[#This Row],[Level_0]:[Level 15]]))</f>
        <v>9009300912 - [CAPVAR LY ProcessOrderVar EX Migration]</v>
      </c>
    </row>
    <row r="1239" spans="1:23" hidden="1" x14ac:dyDescent="0.25">
      <c r="A1239">
        <v>9009300902</v>
      </c>
      <c r="B1239" s="16" t="s">
        <v>22094</v>
      </c>
      <c r="C1239" s="16" t="e">
        <f>VLOOKUP(Table1[[#This Row],[Node]],Parent!A:B,2,0)</f>
        <v>#N/A</v>
      </c>
      <c r="D1239" s="25" t="s">
        <v>19346</v>
      </c>
      <c r="E1239" s="26" t="s">
        <v>16544</v>
      </c>
      <c r="F1239" s="27" t="s">
        <v>17700</v>
      </c>
      <c r="G1239" s="27" t="s">
        <v>17743</v>
      </c>
      <c r="H1239" s="27" t="s">
        <v>17747</v>
      </c>
      <c r="I1239" s="27"/>
      <c r="J1239" s="27"/>
      <c r="K1239" s="27"/>
      <c r="L1239" s="27"/>
      <c r="N1239" s="27"/>
      <c r="T1239" s="28" t="str">
        <f>LOOKUP(1,1/(Table1[[#This Row],[Level_0]:[Level 15]]&gt;0),(Table1[[#This Row],[Level_0]:[Level 15]]))</f>
        <v>9009300902 - [CAPVAR ProcessOrderVariance EX Migration]</v>
      </c>
      <c r="U1239" s="22">
        <v>1234</v>
      </c>
      <c r="W1239" s="13" t="str">
        <f>LOOKUP(1,1/(Table1[[#This Row],[Level_0]:[Level 15]]&gt;0),(Table1[[#This Row],[Level_0]:[Level 15]]))</f>
        <v>9009300902 - [CAPVAR ProcessOrderVariance EX Migration]</v>
      </c>
    </row>
    <row r="1240" spans="1:23" hidden="1" x14ac:dyDescent="0.25">
      <c r="A1240">
        <v>7340000017</v>
      </c>
      <c r="B1240" s="16" t="s">
        <v>20936</v>
      </c>
      <c r="C1240" s="16" t="e">
        <f>VLOOKUP(Table1[[#This Row],[Node]],Parent!A:B,2,0)</f>
        <v>#N/A</v>
      </c>
      <c r="D1240" s="25" t="s">
        <v>19346</v>
      </c>
      <c r="E1240" s="26" t="s">
        <v>16544</v>
      </c>
      <c r="F1240" s="27" t="s">
        <v>17700</v>
      </c>
      <c r="G1240" s="27" t="s">
        <v>17743</v>
      </c>
      <c r="H1240" s="27" t="s">
        <v>17748</v>
      </c>
      <c r="I1240" s="27"/>
      <c r="J1240" s="27"/>
      <c r="K1240" s="27"/>
      <c r="L1240" s="27"/>
      <c r="N1240" s="27"/>
      <c r="T1240" s="28" t="str">
        <f>LOOKUP(1,1/(Table1[[#This Row],[Level_0]:[Level 15]]&gt;0),(Table1[[#This Row],[Level_0]:[Level 15]]))</f>
        <v>7340000017 - [SOM Other Material Settlement]</v>
      </c>
      <c r="U1240" s="22">
        <v>1235</v>
      </c>
      <c r="W1240" s="13" t="str">
        <f>LOOKUP(1,1/(Table1[[#This Row],[Level_0]:[Level 15]]&gt;0),(Table1[[#This Row],[Level_0]:[Level 15]]))</f>
        <v>7340000017 - [SOM Other Material Settlement]</v>
      </c>
    </row>
    <row r="1241" spans="1:23" hidden="1" x14ac:dyDescent="0.25">
      <c r="A1241">
        <v>7811113005</v>
      </c>
      <c r="B1241" s="16" t="s">
        <v>21770</v>
      </c>
      <c r="C1241" s="16" t="e">
        <f>VLOOKUP(Table1[[#This Row],[Node]],Parent!A:B,2,0)</f>
        <v>#N/A</v>
      </c>
      <c r="D1241" s="25" t="s">
        <v>19346</v>
      </c>
      <c r="E1241" s="26" t="s">
        <v>16544</v>
      </c>
      <c r="F1241" s="27" t="s">
        <v>17700</v>
      </c>
      <c r="G1241" s="27" t="s">
        <v>17743</v>
      </c>
      <c r="H1241" s="27" t="s">
        <v>17749</v>
      </c>
      <c r="I1241" s="27"/>
      <c r="J1241" s="27"/>
      <c r="K1241" s="27"/>
      <c r="L1241" s="27"/>
      <c r="N1241" s="27"/>
      <c r="T1241" s="28" t="str">
        <f>LOOKUP(1,1/(Table1[[#This Row],[Level_0]:[Level 15]]&gt;0),(Table1[[#This Row],[Level_0]:[Level 15]]))</f>
        <v>7811113005 - [APA Production part]</v>
      </c>
      <c r="U1241" s="22">
        <v>1236</v>
      </c>
      <c r="W1241" s="13" t="str">
        <f>LOOKUP(1,1/(Table1[[#This Row],[Level_0]:[Level 15]]&gt;0),(Table1[[#This Row],[Level_0]:[Level 15]]))</f>
        <v>7811113005 - [APA Production part]</v>
      </c>
    </row>
    <row r="1242" spans="1:23" hidden="1" x14ac:dyDescent="0.25">
      <c r="A1242">
        <v>7811113003</v>
      </c>
      <c r="B1242" s="16" t="s">
        <v>21768</v>
      </c>
      <c r="C1242" s="16" t="e">
        <f>VLOOKUP(Table1[[#This Row],[Node]],Parent!A:B,2,0)</f>
        <v>#N/A</v>
      </c>
      <c r="D1242" s="25" t="s">
        <v>19346</v>
      </c>
      <c r="E1242" s="26" t="s">
        <v>16544</v>
      </c>
      <c r="F1242" s="27" t="s">
        <v>17700</v>
      </c>
      <c r="G1242" s="27" t="s">
        <v>17743</v>
      </c>
      <c r="H1242" s="27" t="s">
        <v>17750</v>
      </c>
      <c r="I1242" s="27"/>
      <c r="J1242" s="27"/>
      <c r="K1242" s="27"/>
      <c r="L1242" s="27"/>
      <c r="N1242" s="27"/>
      <c r="T1242" s="28" t="str">
        <f>LOOKUP(1,1/(Table1[[#This Row],[Level_0]:[Level 15]]&gt;0),(Table1[[#This Row],[Level_0]:[Level 15]]))</f>
        <v>7811113003 - [APA Spending Variance - Fix]</v>
      </c>
      <c r="U1242" s="22">
        <v>1237</v>
      </c>
      <c r="W1242" s="13" t="str">
        <f>LOOKUP(1,1/(Table1[[#This Row],[Level_0]:[Level 15]]&gt;0),(Table1[[#This Row],[Level_0]:[Level 15]]))</f>
        <v>7811113003 - [APA Spending Variance - Fix]</v>
      </c>
    </row>
    <row r="1243" spans="1:23" hidden="1" x14ac:dyDescent="0.25">
      <c r="A1243">
        <v>7811113002</v>
      </c>
      <c r="B1243" s="16" t="s">
        <v>21767</v>
      </c>
      <c r="C1243" s="16" t="e">
        <f>VLOOKUP(Table1[[#This Row],[Node]],Parent!A:B,2,0)</f>
        <v>#N/A</v>
      </c>
      <c r="D1243" s="25" t="s">
        <v>19346</v>
      </c>
      <c r="E1243" s="26" t="s">
        <v>16544</v>
      </c>
      <c r="F1243" s="27" t="s">
        <v>17700</v>
      </c>
      <c r="G1243" s="27" t="s">
        <v>17743</v>
      </c>
      <c r="H1243" s="27" t="s">
        <v>17751</v>
      </c>
      <c r="I1243" s="27"/>
      <c r="J1243" s="27"/>
      <c r="K1243" s="27"/>
      <c r="L1243" s="27"/>
      <c r="N1243" s="27"/>
      <c r="T1243" s="28" t="str">
        <f>LOOKUP(1,1/(Table1[[#This Row],[Level_0]:[Level 15]]&gt;0),(Table1[[#This Row],[Level_0]:[Level 15]]))</f>
        <v>7811113002 - [APA Spend. Variance - Var. Personnel]</v>
      </c>
      <c r="U1243" s="22">
        <v>1238</v>
      </c>
      <c r="W1243" s="13" t="str">
        <f>LOOKUP(1,1/(Table1[[#This Row],[Level_0]:[Level 15]]&gt;0),(Table1[[#This Row],[Level_0]:[Level 15]]))</f>
        <v>7811113002 - [APA Spend. Variance - Var. Personnel]</v>
      </c>
    </row>
    <row r="1244" spans="1:23" hidden="1" x14ac:dyDescent="0.25">
      <c r="A1244">
        <v>7811113001</v>
      </c>
      <c r="B1244" s="16" t="s">
        <v>21766</v>
      </c>
      <c r="C1244" s="16" t="e">
        <f>VLOOKUP(Table1[[#This Row],[Node]],Parent!A:B,2,0)</f>
        <v>#N/A</v>
      </c>
      <c r="D1244" s="25" t="s">
        <v>19346</v>
      </c>
      <c r="E1244" s="26" t="s">
        <v>16544</v>
      </c>
      <c r="F1244" s="27" t="s">
        <v>17700</v>
      </c>
      <c r="G1244" s="27" t="s">
        <v>17743</v>
      </c>
      <c r="H1244" s="27" t="s">
        <v>17752</v>
      </c>
      <c r="I1244" s="27"/>
      <c r="J1244" s="27"/>
      <c r="K1244" s="27"/>
      <c r="L1244" s="27"/>
      <c r="N1244" s="27"/>
      <c r="T1244" s="28" t="str">
        <f>LOOKUP(1,1/(Table1[[#This Row],[Level_0]:[Level 15]]&gt;0),(Table1[[#This Row],[Level_0]:[Level 15]]))</f>
        <v>7811113001 - [APA Spending Variance - Variable]</v>
      </c>
      <c r="U1244" s="22">
        <v>1239</v>
      </c>
      <c r="W1244" s="13" t="str">
        <f>LOOKUP(1,1/(Table1[[#This Row],[Level_0]:[Level 15]]&gt;0),(Table1[[#This Row],[Level_0]:[Level 15]]))</f>
        <v>7811113001 - [APA Spending Variance - Variable]</v>
      </c>
    </row>
    <row r="1245" spans="1:23" hidden="1" x14ac:dyDescent="0.25">
      <c r="A1245">
        <v>7711112000</v>
      </c>
      <c r="B1245" s="16" t="s">
        <v>21600</v>
      </c>
      <c r="C1245" s="16" t="e">
        <f>VLOOKUP(Table1[[#This Row],[Node]],Parent!A:B,2,0)</f>
        <v>#N/A</v>
      </c>
      <c r="D1245" s="25" t="s">
        <v>19346</v>
      </c>
      <c r="E1245" s="26" t="s">
        <v>16544</v>
      </c>
      <c r="F1245" s="27" t="s">
        <v>17700</v>
      </c>
      <c r="G1245" s="27" t="s">
        <v>17743</v>
      </c>
      <c r="H1245" s="27" t="s">
        <v>17753</v>
      </c>
      <c r="I1245" s="27"/>
      <c r="J1245" s="27"/>
      <c r="K1245" s="27"/>
      <c r="L1245" s="27"/>
      <c r="N1245" s="27"/>
      <c r="T1245" s="28" t="str">
        <f>LOOKUP(1,1/(Table1[[#This Row],[Level_0]:[Level 15]]&gt;0),(Table1[[#This Row],[Level_0]:[Level 15]]))</f>
        <v>7711112000 - [SPA Volume Variances]</v>
      </c>
      <c r="U1245" s="22">
        <v>1240</v>
      </c>
      <c r="W1245" s="13" t="str">
        <f>LOOKUP(1,1/(Table1[[#This Row],[Level_0]:[Level 15]]&gt;0),(Table1[[#This Row],[Level_0]:[Level 15]]))</f>
        <v>7711112000 - [SPA Volume Variances]</v>
      </c>
    </row>
    <row r="1246" spans="1:23" hidden="1" x14ac:dyDescent="0.25">
      <c r="A1246">
        <v>7320110010</v>
      </c>
      <c r="B1246" s="16" t="s">
        <v>20844</v>
      </c>
      <c r="C1246" s="16" t="e">
        <f>VLOOKUP(Table1[[#This Row],[Node]],Parent!A:B,2,0)</f>
        <v>#N/A</v>
      </c>
      <c r="D1246" s="25" t="s">
        <v>19346</v>
      </c>
      <c r="E1246" s="26" t="s">
        <v>16544</v>
      </c>
      <c r="F1246" s="27" t="s">
        <v>17700</v>
      </c>
      <c r="G1246" s="27" t="s">
        <v>17743</v>
      </c>
      <c r="H1246" s="27" t="s">
        <v>17754</v>
      </c>
      <c r="I1246" s="27"/>
      <c r="J1246" s="27"/>
      <c r="K1246" s="27"/>
      <c r="L1246" s="27"/>
      <c r="N1246" s="27"/>
      <c r="T1246" s="28" t="str">
        <f>LOOKUP(1,1/(Table1[[#This Row],[Level_0]:[Level 15]]&gt;0),(Table1[[#This Row],[Level_0]:[Level 15]]))</f>
        <v>7320110010 - [AOM Direct Personnel Pool Production]</v>
      </c>
      <c r="U1246" s="22">
        <v>1241</v>
      </c>
      <c r="W1246" s="13" t="str">
        <f>LOOKUP(1,1/(Table1[[#This Row],[Level_0]:[Level 15]]&gt;0),(Table1[[#This Row],[Level_0]:[Level 15]]))</f>
        <v>7320110010 - [AOM Direct Personnel Pool Production]</v>
      </c>
    </row>
    <row r="1247" spans="1:23" hidden="1" x14ac:dyDescent="0.25">
      <c r="A1247">
        <v>7300110003</v>
      </c>
      <c r="B1247" s="16" t="s">
        <v>20739</v>
      </c>
      <c r="C1247" s="16" t="e">
        <f>VLOOKUP(Table1[[#This Row],[Node]],Parent!A:B,2,0)</f>
        <v>#N/A</v>
      </c>
      <c r="D1247" s="25" t="s">
        <v>19346</v>
      </c>
      <c r="E1247" s="26" t="s">
        <v>16544</v>
      </c>
      <c r="F1247" s="27" t="s">
        <v>17700</v>
      </c>
      <c r="G1247" s="27" t="s">
        <v>17743</v>
      </c>
      <c r="H1247" s="27" t="s">
        <v>17755</v>
      </c>
      <c r="I1247" s="27"/>
      <c r="J1247" s="27"/>
      <c r="K1247" s="27"/>
      <c r="L1247" s="27"/>
      <c r="N1247" s="27"/>
      <c r="T1247" s="28" t="str">
        <f>LOOKUP(1,1/(Table1[[#This Row],[Level_0]:[Level 15]]&gt;0),(Table1[[#This Row],[Level_0]:[Level 15]]))</f>
        <v>7300110003 - [DAA PRO Volume Variance]</v>
      </c>
      <c r="U1247" s="22">
        <v>1242</v>
      </c>
      <c r="W1247" s="13" t="str">
        <f>LOOKUP(1,1/(Table1[[#This Row],[Level_0]:[Level 15]]&gt;0),(Table1[[#This Row],[Level_0]:[Level 15]]))</f>
        <v>7300110003 - [DAA PRO Volume Variance]</v>
      </c>
    </row>
    <row r="1248" spans="1:23" hidden="1" x14ac:dyDescent="0.25">
      <c r="A1248">
        <v>5929000000</v>
      </c>
      <c r="B1248" s="16" t="s">
        <v>20546</v>
      </c>
      <c r="C1248" s="16" t="e">
        <f>VLOOKUP(Table1[[#This Row],[Node]],Parent!A:B,2,0)</f>
        <v>#N/A</v>
      </c>
      <c r="D1248" s="25" t="s">
        <v>19346</v>
      </c>
      <c r="E1248" s="26" t="s">
        <v>16544</v>
      </c>
      <c r="F1248" s="27" t="s">
        <v>17700</v>
      </c>
      <c r="G1248" s="27" t="s">
        <v>17743</v>
      </c>
      <c r="H1248" s="27" t="s">
        <v>17756</v>
      </c>
      <c r="I1248" s="27"/>
      <c r="J1248" s="27"/>
      <c r="K1248" s="27"/>
      <c r="L1248" s="27"/>
      <c r="N1248" s="27"/>
      <c r="T1248" s="28" t="str">
        <f>LOOKUP(1,1/(Table1[[#This Row],[Level_0]:[Level 15]]&gt;0),(Table1[[#This Row],[Level_0]:[Level 15]]))</f>
        <v>5929000000 - [Loss f. FairValChangesContCon-OP]</v>
      </c>
      <c r="U1248" s="22">
        <v>1243</v>
      </c>
      <c r="W1248" s="13" t="str">
        <f>LOOKUP(1,1/(Table1[[#This Row],[Level_0]:[Level 15]]&gt;0),(Table1[[#This Row],[Level_0]:[Level 15]]))</f>
        <v>5929000000 - [Loss f. FairValChangesContCon-OP]</v>
      </c>
    </row>
    <row r="1249" spans="1:23" hidden="1" x14ac:dyDescent="0.25">
      <c r="A1249">
        <v>4242200000</v>
      </c>
      <c r="B1249" s="16" t="s">
        <v>19911</v>
      </c>
      <c r="C1249" s="16" t="e">
        <f>VLOOKUP(Table1[[#This Row],[Node]],Parent!A:B,2,0)</f>
        <v>#N/A</v>
      </c>
      <c r="D1249" s="25" t="s">
        <v>19346</v>
      </c>
      <c r="E1249" s="26" t="s">
        <v>16544</v>
      </c>
      <c r="F1249" s="27" t="s">
        <v>17700</v>
      </c>
      <c r="G1249" s="27" t="s">
        <v>17743</v>
      </c>
      <c r="H1249" s="27" t="s">
        <v>17757</v>
      </c>
      <c r="I1249" s="27"/>
      <c r="J1249" s="27"/>
      <c r="K1249" s="27"/>
      <c r="L1249" s="27"/>
      <c r="N1249" s="27"/>
      <c r="T1249" s="28" t="str">
        <f>LOOKUP(1,1/(Table1[[#This Row],[Level_0]:[Level 15]]&gt;0),(Table1[[#This Row],[Level_0]:[Level 15]]))</f>
        <v>4242200000 - [Cap var - ML Variance reclasses]</v>
      </c>
      <c r="U1249" s="22">
        <v>1244</v>
      </c>
      <c r="W1249" s="13" t="str">
        <f>LOOKUP(1,1/(Table1[[#This Row],[Level_0]:[Level 15]]&gt;0),(Table1[[#This Row],[Level_0]:[Level 15]]))</f>
        <v>4242200000 - [Cap var - ML Variance reclasses]</v>
      </c>
    </row>
    <row r="1250" spans="1:23" hidden="1" x14ac:dyDescent="0.25">
      <c r="A1250">
        <v>4242100000</v>
      </c>
      <c r="B1250" s="16" t="s">
        <v>19910</v>
      </c>
      <c r="C1250" s="16" t="e">
        <f>VLOOKUP(Table1[[#This Row],[Node]],Parent!A:B,2,0)</f>
        <v>#N/A</v>
      </c>
      <c r="D1250" s="25" t="s">
        <v>19346</v>
      </c>
      <c r="E1250" s="26" t="s">
        <v>16544</v>
      </c>
      <c r="F1250" s="27" t="s">
        <v>17700</v>
      </c>
      <c r="G1250" s="27" t="s">
        <v>17743</v>
      </c>
      <c r="H1250" s="27" t="s">
        <v>17758</v>
      </c>
      <c r="I1250" s="27"/>
      <c r="J1250" s="27"/>
      <c r="K1250" s="27"/>
      <c r="L1250" s="27"/>
      <c r="N1250" s="27"/>
      <c r="T1250" s="28" t="str">
        <f>LOOKUP(1,1/(Table1[[#This Row],[Level_0]:[Level 15]]&gt;0),(Table1[[#This Row],[Level_0]:[Level 15]]))</f>
        <v>4242100000 - [Cap Var - ML PPV &amp; Process order rev]</v>
      </c>
      <c r="U1250" s="22">
        <v>1245</v>
      </c>
      <c r="W1250" s="13" t="str">
        <f>LOOKUP(1,1/(Table1[[#This Row],[Level_0]:[Level 15]]&gt;0),(Table1[[#This Row],[Level_0]:[Level 15]]))</f>
        <v>4242100000 - [Cap Var - ML PPV &amp; Process order rev]</v>
      </c>
    </row>
    <row r="1251" spans="1:23" hidden="1" x14ac:dyDescent="0.25">
      <c r="A1251">
        <v>4100302900</v>
      </c>
      <c r="B1251" s="16" t="s">
        <v>19880</v>
      </c>
      <c r="C1251" s="16" t="e">
        <f>VLOOKUP(Table1[[#This Row],[Node]],Parent!A:B,2,0)</f>
        <v>#N/A</v>
      </c>
      <c r="D1251" s="25" t="s">
        <v>19346</v>
      </c>
      <c r="E1251" s="26" t="s">
        <v>16544</v>
      </c>
      <c r="F1251" s="27" t="s">
        <v>17700</v>
      </c>
      <c r="G1251" s="27" t="s">
        <v>17743</v>
      </c>
      <c r="H1251" s="27" t="s">
        <v>17759</v>
      </c>
      <c r="I1251" s="27"/>
      <c r="J1251" s="27"/>
      <c r="K1251" s="27"/>
      <c r="L1251" s="27"/>
      <c r="N1251" s="27"/>
      <c r="T1251" s="28" t="str">
        <f>LOOKUP(1,1/(Table1[[#This Row],[Level_0]:[Level 15]]&gt;0),(Table1[[#This Row],[Level_0]:[Level 15]]))</f>
        <v>4100302900 - [POV Remaining - Conversion *]</v>
      </c>
      <c r="U1251" s="22">
        <v>1246</v>
      </c>
      <c r="W1251" s="13" t="str">
        <f>LOOKUP(1,1/(Table1[[#This Row],[Level_0]:[Level 15]]&gt;0),(Table1[[#This Row],[Level_0]:[Level 15]]))</f>
        <v>4100302900 - [POV Remaining - Conversion *]</v>
      </c>
    </row>
    <row r="1252" spans="1:23" hidden="1" x14ac:dyDescent="0.25">
      <c r="A1252">
        <v>4100302800</v>
      </c>
      <c r="B1252" s="16" t="s">
        <v>19879</v>
      </c>
      <c r="C1252" s="16" t="e">
        <f>VLOOKUP(Table1[[#This Row],[Node]],Parent!A:B,2,0)</f>
        <v>#N/A</v>
      </c>
      <c r="D1252" s="25" t="s">
        <v>19346</v>
      </c>
      <c r="E1252" s="26" t="s">
        <v>16544</v>
      </c>
      <c r="F1252" s="27" t="s">
        <v>17700</v>
      </c>
      <c r="G1252" s="27" t="s">
        <v>17743</v>
      </c>
      <c r="H1252" s="27" t="s">
        <v>17760</v>
      </c>
      <c r="I1252" s="27"/>
      <c r="J1252" s="27"/>
      <c r="K1252" s="27"/>
      <c r="L1252" s="27"/>
      <c r="N1252" s="27"/>
      <c r="T1252" s="28" t="str">
        <f>LOOKUP(1,1/(Table1[[#This Row],[Level_0]:[Level 15]]&gt;0),(Table1[[#This Row],[Level_0]:[Level 15]]))</f>
        <v>4100302800 - [POV Lot Size - Conversion *]</v>
      </c>
      <c r="U1252" s="22">
        <v>1247</v>
      </c>
      <c r="W1252" s="13" t="str">
        <f>LOOKUP(1,1/(Table1[[#This Row],[Level_0]:[Level 15]]&gt;0),(Table1[[#This Row],[Level_0]:[Level 15]]))</f>
        <v>4100302800 - [POV Lot Size - Conversion *]</v>
      </c>
    </row>
    <row r="1253" spans="1:23" hidden="1" x14ac:dyDescent="0.25">
      <c r="A1253">
        <v>4100302700</v>
      </c>
      <c r="B1253" s="16" t="s">
        <v>19878</v>
      </c>
      <c r="C1253" s="16" t="e">
        <f>VLOOKUP(Table1[[#This Row],[Node]],Parent!A:B,2,0)</f>
        <v>#N/A</v>
      </c>
      <c r="D1253" s="25" t="s">
        <v>19346</v>
      </c>
      <c r="E1253" s="26" t="s">
        <v>16544</v>
      </c>
      <c r="F1253" s="27" t="s">
        <v>17700</v>
      </c>
      <c r="G1253" s="27" t="s">
        <v>17743</v>
      </c>
      <c r="H1253" s="27" t="s">
        <v>17761</v>
      </c>
      <c r="I1253" s="27"/>
      <c r="J1253" s="27"/>
      <c r="K1253" s="27"/>
      <c r="L1253" s="27"/>
      <c r="N1253" s="27"/>
      <c r="T1253" s="28" t="str">
        <f>LOOKUP(1,1/(Table1[[#This Row],[Level_0]:[Level 15]]&gt;0),(Table1[[#This Row],[Level_0]:[Level 15]]))</f>
        <v>4100302700 - [POV Output Price - Conversion *]</v>
      </c>
      <c r="U1253" s="22">
        <v>1248</v>
      </c>
      <c r="W1253" s="13" t="str">
        <f>LOOKUP(1,1/(Table1[[#This Row],[Level_0]:[Level 15]]&gt;0),(Table1[[#This Row],[Level_0]:[Level 15]]))</f>
        <v>4100302700 - [POV Output Price - Conversion *]</v>
      </c>
    </row>
    <row r="1254" spans="1:23" hidden="1" x14ac:dyDescent="0.25">
      <c r="A1254">
        <v>4100302600</v>
      </c>
      <c r="B1254" s="16" t="s">
        <v>19877</v>
      </c>
      <c r="C1254" s="16" t="e">
        <f>VLOOKUP(Table1[[#This Row],[Node]],Parent!A:B,2,0)</f>
        <v>#N/A</v>
      </c>
      <c r="D1254" s="25" t="s">
        <v>19346</v>
      </c>
      <c r="E1254" s="26" t="s">
        <v>16544</v>
      </c>
      <c r="F1254" s="27" t="s">
        <v>17700</v>
      </c>
      <c r="G1254" s="27" t="s">
        <v>17743</v>
      </c>
      <c r="H1254" s="27" t="s">
        <v>17762</v>
      </c>
      <c r="I1254" s="27"/>
      <c r="J1254" s="27"/>
      <c r="K1254" s="27"/>
      <c r="L1254" s="27"/>
      <c r="N1254" s="27"/>
      <c r="T1254" s="28" t="str">
        <f>LOOKUP(1,1/(Table1[[#This Row],[Level_0]:[Level 15]]&gt;0),(Table1[[#This Row],[Level_0]:[Level 15]]))</f>
        <v>4100302600 - [POV Mixed Price - Conversion *]</v>
      </c>
      <c r="U1254" s="22">
        <v>1249</v>
      </c>
      <c r="W1254" s="13" t="str">
        <f>LOOKUP(1,1/(Table1[[#This Row],[Level_0]:[Level 15]]&gt;0),(Table1[[#This Row],[Level_0]:[Level 15]]))</f>
        <v>4100302600 - [POV Mixed Price - Conversion *]</v>
      </c>
    </row>
    <row r="1255" spans="1:23" hidden="1" x14ac:dyDescent="0.25">
      <c r="A1255">
        <v>4100302500</v>
      </c>
      <c r="B1255" s="16" t="s">
        <v>19876</v>
      </c>
      <c r="C1255" s="16" t="e">
        <f>VLOOKUP(Table1[[#This Row],[Node]],Parent!A:B,2,0)</f>
        <v>#N/A</v>
      </c>
      <c r="D1255" s="25" t="s">
        <v>19346</v>
      </c>
      <c r="E1255" s="26" t="s">
        <v>16544</v>
      </c>
      <c r="F1255" s="27" t="s">
        <v>17700</v>
      </c>
      <c r="G1255" s="27" t="s">
        <v>17743</v>
      </c>
      <c r="H1255" s="27" t="s">
        <v>17763</v>
      </c>
      <c r="I1255" s="27"/>
      <c r="J1255" s="27"/>
      <c r="K1255" s="27"/>
      <c r="L1255" s="27"/>
      <c r="N1255" s="27"/>
      <c r="T1255" s="28" t="str">
        <f>LOOKUP(1,1/(Table1[[#This Row],[Level_0]:[Level 15]]&gt;0),(Table1[[#This Row],[Level_0]:[Level 15]]))</f>
        <v>4100302500 - [POV Scrap - Conversion *]</v>
      </c>
      <c r="U1255" s="22">
        <v>1250</v>
      </c>
      <c r="W1255" s="13" t="str">
        <f>LOOKUP(1,1/(Table1[[#This Row],[Level_0]:[Level 15]]&gt;0),(Table1[[#This Row],[Level_0]:[Level 15]]))</f>
        <v>4100302500 - [POV Scrap - Conversion *]</v>
      </c>
    </row>
    <row r="1256" spans="1:23" hidden="1" x14ac:dyDescent="0.25">
      <c r="A1256">
        <v>4100302400</v>
      </c>
      <c r="B1256" s="16" t="s">
        <v>19875</v>
      </c>
      <c r="C1256" s="16" t="e">
        <f>VLOOKUP(Table1[[#This Row],[Node]],Parent!A:B,2,0)</f>
        <v>#N/A</v>
      </c>
      <c r="D1256" s="25" t="s">
        <v>19346</v>
      </c>
      <c r="E1256" s="26" t="s">
        <v>16544</v>
      </c>
      <c r="F1256" s="27" t="s">
        <v>17700</v>
      </c>
      <c r="G1256" s="27" t="s">
        <v>17743</v>
      </c>
      <c r="H1256" s="27" t="s">
        <v>17764</v>
      </c>
      <c r="I1256" s="27"/>
      <c r="J1256" s="27"/>
      <c r="K1256" s="27"/>
      <c r="L1256" s="27"/>
      <c r="N1256" s="27"/>
      <c r="T1256" s="28" t="str">
        <f>LOOKUP(1,1/(Table1[[#This Row],[Level_0]:[Level 15]]&gt;0),(Table1[[#This Row],[Level_0]:[Level 15]]))</f>
        <v>4100302400 - [POV Remaining Input - Conversion *]</v>
      </c>
      <c r="U1256" s="22">
        <v>1251</v>
      </c>
      <c r="W1256" s="13" t="str">
        <f>LOOKUP(1,1/(Table1[[#This Row],[Level_0]:[Level 15]]&gt;0),(Table1[[#This Row],[Level_0]:[Level 15]]))</f>
        <v>4100302400 - [POV Remaining Input - Conversion *]</v>
      </c>
    </row>
    <row r="1257" spans="1:23" hidden="1" x14ac:dyDescent="0.25">
      <c r="A1257">
        <v>4100302300</v>
      </c>
      <c r="B1257" s="16" t="s">
        <v>19874</v>
      </c>
      <c r="C1257" s="16" t="e">
        <f>VLOOKUP(Table1[[#This Row],[Node]],Parent!A:B,2,0)</f>
        <v>#N/A</v>
      </c>
      <c r="D1257" s="25" t="s">
        <v>19346</v>
      </c>
      <c r="E1257" s="26" t="s">
        <v>16544</v>
      </c>
      <c r="F1257" s="27" t="s">
        <v>17700</v>
      </c>
      <c r="G1257" s="27" t="s">
        <v>17743</v>
      </c>
      <c r="H1257" s="27" t="s">
        <v>17765</v>
      </c>
      <c r="I1257" s="27"/>
      <c r="J1257" s="27"/>
      <c r="K1257" s="27"/>
      <c r="L1257" s="27"/>
      <c r="N1257" s="27"/>
      <c r="T1257" s="28" t="str">
        <f>LOOKUP(1,1/(Table1[[#This Row],[Level_0]:[Level 15]]&gt;0),(Table1[[#This Row],[Level_0]:[Level 15]]))</f>
        <v>4100302300 - [POV Input Quantity - Conversion *]</v>
      </c>
      <c r="U1257" s="22">
        <v>1252</v>
      </c>
      <c r="W1257" s="13" t="str">
        <f>LOOKUP(1,1/(Table1[[#This Row],[Level_0]:[Level 15]]&gt;0),(Table1[[#This Row],[Level_0]:[Level 15]]))</f>
        <v>4100302300 - [POV Input Quantity - Conversion *]</v>
      </c>
    </row>
    <row r="1258" spans="1:23" hidden="1" x14ac:dyDescent="0.25">
      <c r="A1258">
        <v>4100302200</v>
      </c>
      <c r="B1258" s="16" t="s">
        <v>19873</v>
      </c>
      <c r="C1258" s="16" t="e">
        <f>VLOOKUP(Table1[[#This Row],[Node]],Parent!A:B,2,0)</f>
        <v>#N/A</v>
      </c>
      <c r="D1258" s="25" t="s">
        <v>19346</v>
      </c>
      <c r="E1258" s="26" t="s">
        <v>16544</v>
      </c>
      <c r="F1258" s="27" t="s">
        <v>17700</v>
      </c>
      <c r="G1258" s="27" t="s">
        <v>17743</v>
      </c>
      <c r="H1258" s="27" t="s">
        <v>17766</v>
      </c>
      <c r="I1258" s="27"/>
      <c r="J1258" s="27"/>
      <c r="K1258" s="27"/>
      <c r="L1258" s="27"/>
      <c r="N1258" s="27"/>
      <c r="T1258" s="28" t="str">
        <f>LOOKUP(1,1/(Table1[[#This Row],[Level_0]:[Level 15]]&gt;0),(Table1[[#This Row],[Level_0]:[Level 15]]))</f>
        <v>4100302200 - [POV Resource Usage - Conversion *]</v>
      </c>
      <c r="U1258" s="22">
        <v>1253</v>
      </c>
      <c r="W1258" s="13" t="str">
        <f>LOOKUP(1,1/(Table1[[#This Row],[Level_0]:[Level 15]]&gt;0),(Table1[[#This Row],[Level_0]:[Level 15]]))</f>
        <v>4100302200 - [POV Resource Usage - Conversion *]</v>
      </c>
    </row>
    <row r="1259" spans="1:23" hidden="1" x14ac:dyDescent="0.25">
      <c r="A1259">
        <v>4100302100</v>
      </c>
      <c r="B1259" s="16" t="s">
        <v>19872</v>
      </c>
      <c r="C1259" s="16" t="e">
        <f>VLOOKUP(Table1[[#This Row],[Node]],Parent!A:B,2,0)</f>
        <v>#N/A</v>
      </c>
      <c r="D1259" s="25" t="s">
        <v>19346</v>
      </c>
      <c r="E1259" s="26" t="s">
        <v>16544</v>
      </c>
      <c r="F1259" s="27" t="s">
        <v>17700</v>
      </c>
      <c r="G1259" s="27" t="s">
        <v>17743</v>
      </c>
      <c r="H1259" s="27" t="s">
        <v>17767</v>
      </c>
      <c r="I1259" s="27"/>
      <c r="J1259" s="27"/>
      <c r="K1259" s="27"/>
      <c r="L1259" s="27"/>
      <c r="N1259" s="27"/>
      <c r="T1259" s="28" t="str">
        <f>LOOKUP(1,1/(Table1[[#This Row],[Level_0]:[Level 15]]&gt;0),(Table1[[#This Row],[Level_0]:[Level 15]]))</f>
        <v>4100302100 - [POV Input Price - Conversion *]</v>
      </c>
      <c r="U1259" s="22">
        <v>1254</v>
      </c>
      <c r="W1259" s="13" t="str">
        <f>LOOKUP(1,1/(Table1[[#This Row],[Level_0]:[Level 15]]&gt;0),(Table1[[#This Row],[Level_0]:[Level 15]]))</f>
        <v>4100302100 - [POV Input Price - Conversion *]</v>
      </c>
    </row>
    <row r="1260" spans="1:23" hidden="1" x14ac:dyDescent="0.25">
      <c r="A1260">
        <v>4100300097</v>
      </c>
      <c r="B1260" s="16" t="s">
        <v>19871</v>
      </c>
      <c r="C1260" s="16" t="e">
        <f>VLOOKUP(Table1[[#This Row],[Node]],Parent!A:B,2,0)</f>
        <v>#N/A</v>
      </c>
      <c r="D1260" s="25" t="s">
        <v>19346</v>
      </c>
      <c r="E1260" s="26" t="s">
        <v>16544</v>
      </c>
      <c r="F1260" s="27" t="s">
        <v>17700</v>
      </c>
      <c r="G1260" s="27" t="s">
        <v>17743</v>
      </c>
      <c r="H1260" s="27" t="s">
        <v>17768</v>
      </c>
      <c r="I1260" s="27"/>
      <c r="J1260" s="27"/>
      <c r="K1260" s="27"/>
      <c r="L1260" s="27"/>
      <c r="N1260" s="27"/>
      <c r="T1260" s="28" t="str">
        <f>LOOKUP(1,1/(Table1[[#This Row],[Level_0]:[Level 15]]&gt;0),(Table1[[#This Row],[Level_0]:[Level 15]]))</f>
        <v>4100300097 - [POV - Fin &amp; Unf Goods - Conv - Overhead]</v>
      </c>
      <c r="U1260" s="22">
        <v>1255</v>
      </c>
      <c r="W1260" s="13" t="str">
        <f>LOOKUP(1,1/(Table1[[#This Row],[Level_0]:[Level 15]]&gt;0),(Table1[[#This Row],[Level_0]:[Level 15]]))</f>
        <v>4100300097 - [POV - Fin &amp; Unf Goods - Conv - Overhead]</v>
      </c>
    </row>
    <row r="1261" spans="1:23" hidden="1" x14ac:dyDescent="0.25">
      <c r="A1261">
        <v>4100300000</v>
      </c>
      <c r="B1261" s="16" t="s">
        <v>19869</v>
      </c>
      <c r="C1261" s="16" t="e">
        <f>VLOOKUP(Table1[[#This Row],[Node]],Parent!A:B,2,0)</f>
        <v>#N/A</v>
      </c>
      <c r="D1261" s="25" t="s">
        <v>19346</v>
      </c>
      <c r="E1261" s="26" t="s">
        <v>16544</v>
      </c>
      <c r="F1261" s="27" t="s">
        <v>17700</v>
      </c>
      <c r="G1261" s="27" t="s">
        <v>17743</v>
      </c>
      <c r="H1261" s="27" t="s">
        <v>17769</v>
      </c>
      <c r="I1261" s="27"/>
      <c r="J1261" s="27"/>
      <c r="K1261" s="27"/>
      <c r="L1261" s="27"/>
      <c r="N1261" s="27"/>
      <c r="T1261" s="28" t="str">
        <f>LOOKUP(1,1/(Table1[[#This Row],[Level_0]:[Level 15]]&gt;0),(Table1[[#This Row],[Level_0]:[Level 15]]))</f>
        <v>4100300000 - [POV - Finished &amp; Unf Goods - Conversion]</v>
      </c>
      <c r="U1261" s="22">
        <v>1256</v>
      </c>
      <c r="W1261" s="13" t="str">
        <f>LOOKUP(1,1/(Table1[[#This Row],[Level_0]:[Level 15]]&gt;0),(Table1[[#This Row],[Level_0]:[Level 15]]))</f>
        <v>4100300000 - [POV - Finished &amp; Unf Goods - Conversion]</v>
      </c>
    </row>
    <row r="1262" spans="1:23" hidden="1" x14ac:dyDescent="0.25">
      <c r="A1262">
        <v>4100112900</v>
      </c>
      <c r="B1262" s="16" t="s">
        <v>19868</v>
      </c>
      <c r="C1262" s="16" t="e">
        <f>VLOOKUP(Table1[[#This Row],[Node]],Parent!A:B,2,0)</f>
        <v>#N/A</v>
      </c>
      <c r="D1262" s="25" t="s">
        <v>19346</v>
      </c>
      <c r="E1262" s="26" t="s">
        <v>16544</v>
      </c>
      <c r="F1262" s="27" t="s">
        <v>17700</v>
      </c>
      <c r="G1262" s="27" t="s">
        <v>17743</v>
      </c>
      <c r="H1262" s="27" t="s">
        <v>17770</v>
      </c>
      <c r="I1262" s="27"/>
      <c r="J1262" s="27"/>
      <c r="K1262" s="27"/>
      <c r="L1262" s="27"/>
      <c r="N1262" s="27"/>
      <c r="T1262" s="28" t="str">
        <f>LOOKUP(1,1/(Table1[[#This Row],[Level_0]:[Level 15]]&gt;0),(Table1[[#This Row],[Level_0]:[Level 15]]))</f>
        <v>4100112900 - [POV Remaining - IC *]</v>
      </c>
      <c r="U1262" s="22">
        <v>1257</v>
      </c>
      <c r="W1262" s="13" t="str">
        <f>LOOKUP(1,1/(Table1[[#This Row],[Level_0]:[Level 15]]&gt;0),(Table1[[#This Row],[Level_0]:[Level 15]]))</f>
        <v>4100112900 - [POV Remaining - IC *]</v>
      </c>
    </row>
    <row r="1263" spans="1:23" hidden="1" x14ac:dyDescent="0.25">
      <c r="A1263">
        <v>4100112800</v>
      </c>
      <c r="B1263" s="16" t="s">
        <v>19867</v>
      </c>
      <c r="C1263" s="16" t="e">
        <f>VLOOKUP(Table1[[#This Row],[Node]],Parent!A:B,2,0)</f>
        <v>#N/A</v>
      </c>
      <c r="D1263" s="25" t="s">
        <v>19346</v>
      </c>
      <c r="E1263" s="26" t="s">
        <v>16544</v>
      </c>
      <c r="F1263" s="27" t="s">
        <v>17700</v>
      </c>
      <c r="G1263" s="27" t="s">
        <v>17743</v>
      </c>
      <c r="H1263" s="27" t="s">
        <v>17771</v>
      </c>
      <c r="I1263" s="27"/>
      <c r="J1263" s="27"/>
      <c r="K1263" s="27"/>
      <c r="L1263" s="27"/>
      <c r="N1263" s="27"/>
      <c r="T1263" s="28" t="str">
        <f>LOOKUP(1,1/(Table1[[#This Row],[Level_0]:[Level 15]]&gt;0),(Table1[[#This Row],[Level_0]:[Level 15]]))</f>
        <v>4100112800 - [POV Lot Size - IC *]</v>
      </c>
      <c r="U1263" s="22">
        <v>1258</v>
      </c>
      <c r="W1263" s="13" t="str">
        <f>LOOKUP(1,1/(Table1[[#This Row],[Level_0]:[Level 15]]&gt;0),(Table1[[#This Row],[Level_0]:[Level 15]]))</f>
        <v>4100112800 - [POV Lot Size - IC *]</v>
      </c>
    </row>
    <row r="1264" spans="1:23" hidden="1" x14ac:dyDescent="0.25">
      <c r="A1264">
        <v>4100112700</v>
      </c>
      <c r="B1264" s="16" t="s">
        <v>19866</v>
      </c>
      <c r="C1264" s="16" t="e">
        <f>VLOOKUP(Table1[[#This Row],[Node]],Parent!A:B,2,0)</f>
        <v>#N/A</v>
      </c>
      <c r="D1264" s="25" t="s">
        <v>19346</v>
      </c>
      <c r="E1264" s="26" t="s">
        <v>16544</v>
      </c>
      <c r="F1264" s="27" t="s">
        <v>17700</v>
      </c>
      <c r="G1264" s="27" t="s">
        <v>17743</v>
      </c>
      <c r="H1264" s="27" t="s">
        <v>17772</v>
      </c>
      <c r="I1264" s="27"/>
      <c r="J1264" s="27"/>
      <c r="K1264" s="27"/>
      <c r="L1264" s="27"/>
      <c r="N1264" s="27"/>
      <c r="T1264" s="28" t="str">
        <f>LOOKUP(1,1/(Table1[[#This Row],[Level_0]:[Level 15]]&gt;0),(Table1[[#This Row],[Level_0]:[Level 15]]))</f>
        <v>4100112700 - [POV Output Price - IC *]</v>
      </c>
      <c r="U1264" s="22">
        <v>1259</v>
      </c>
      <c r="W1264" s="13" t="str">
        <f>LOOKUP(1,1/(Table1[[#This Row],[Level_0]:[Level 15]]&gt;0),(Table1[[#This Row],[Level_0]:[Level 15]]))</f>
        <v>4100112700 - [POV Output Price - IC *]</v>
      </c>
    </row>
    <row r="1265" spans="1:23" hidden="1" x14ac:dyDescent="0.25">
      <c r="A1265">
        <v>4100112600</v>
      </c>
      <c r="B1265" s="16" t="s">
        <v>19865</v>
      </c>
      <c r="C1265" s="16" t="e">
        <f>VLOOKUP(Table1[[#This Row],[Node]],Parent!A:B,2,0)</f>
        <v>#N/A</v>
      </c>
      <c r="D1265" s="25" t="s">
        <v>19346</v>
      </c>
      <c r="E1265" s="26" t="s">
        <v>16544</v>
      </c>
      <c r="F1265" s="27" t="s">
        <v>17700</v>
      </c>
      <c r="G1265" s="27" t="s">
        <v>17743</v>
      </c>
      <c r="H1265" s="27" t="s">
        <v>17773</v>
      </c>
      <c r="I1265" s="27"/>
      <c r="J1265" s="27"/>
      <c r="K1265" s="27"/>
      <c r="L1265" s="27"/>
      <c r="N1265" s="27"/>
      <c r="T1265" s="28" t="str">
        <f>LOOKUP(1,1/(Table1[[#This Row],[Level_0]:[Level 15]]&gt;0),(Table1[[#This Row],[Level_0]:[Level 15]]))</f>
        <v>4100112600 - [POV Mixed Price - IC *]</v>
      </c>
      <c r="U1265" s="22">
        <v>1260</v>
      </c>
      <c r="W1265" s="13" t="str">
        <f>LOOKUP(1,1/(Table1[[#This Row],[Level_0]:[Level 15]]&gt;0),(Table1[[#This Row],[Level_0]:[Level 15]]))</f>
        <v>4100112600 - [POV Mixed Price - IC *]</v>
      </c>
    </row>
    <row r="1266" spans="1:23" hidden="1" x14ac:dyDescent="0.25">
      <c r="A1266">
        <v>4100112500</v>
      </c>
      <c r="B1266" s="16" t="s">
        <v>19864</v>
      </c>
      <c r="C1266" s="16" t="e">
        <f>VLOOKUP(Table1[[#This Row],[Node]],Parent!A:B,2,0)</f>
        <v>#N/A</v>
      </c>
      <c r="D1266" s="25" t="s">
        <v>19346</v>
      </c>
      <c r="E1266" s="26" t="s">
        <v>16544</v>
      </c>
      <c r="F1266" s="27" t="s">
        <v>17700</v>
      </c>
      <c r="G1266" s="27" t="s">
        <v>17743</v>
      </c>
      <c r="H1266" s="27" t="s">
        <v>17774</v>
      </c>
      <c r="I1266" s="27"/>
      <c r="J1266" s="27"/>
      <c r="K1266" s="27"/>
      <c r="L1266" s="27"/>
      <c r="N1266" s="27"/>
      <c r="T1266" s="28" t="str">
        <f>LOOKUP(1,1/(Table1[[#This Row],[Level_0]:[Level 15]]&gt;0),(Table1[[#This Row],[Level_0]:[Level 15]]))</f>
        <v>4100112500 - [POV Scrap - IC *]</v>
      </c>
      <c r="U1266" s="22">
        <v>1261</v>
      </c>
      <c r="W1266" s="13" t="str">
        <f>LOOKUP(1,1/(Table1[[#This Row],[Level_0]:[Level 15]]&gt;0),(Table1[[#This Row],[Level_0]:[Level 15]]))</f>
        <v>4100112500 - [POV Scrap - IC *]</v>
      </c>
    </row>
    <row r="1267" spans="1:23" hidden="1" x14ac:dyDescent="0.25">
      <c r="A1267">
        <v>4100112400</v>
      </c>
      <c r="B1267" s="16" t="s">
        <v>19863</v>
      </c>
      <c r="C1267" s="16" t="e">
        <f>VLOOKUP(Table1[[#This Row],[Node]],Parent!A:B,2,0)</f>
        <v>#N/A</v>
      </c>
      <c r="D1267" s="25" t="s">
        <v>19346</v>
      </c>
      <c r="E1267" s="26" t="s">
        <v>16544</v>
      </c>
      <c r="F1267" s="27" t="s">
        <v>17700</v>
      </c>
      <c r="G1267" s="27" t="s">
        <v>17743</v>
      </c>
      <c r="H1267" s="27" t="s">
        <v>17775</v>
      </c>
      <c r="I1267" s="27"/>
      <c r="J1267" s="27"/>
      <c r="K1267" s="27"/>
      <c r="L1267" s="27"/>
      <c r="N1267" s="27"/>
      <c r="T1267" s="28" t="str">
        <f>LOOKUP(1,1/(Table1[[#This Row],[Level_0]:[Level 15]]&gt;0),(Table1[[#This Row],[Level_0]:[Level 15]]))</f>
        <v>4100112400 - [POV Remaining Input - IC *]</v>
      </c>
      <c r="U1267" s="22">
        <v>1262</v>
      </c>
      <c r="W1267" s="13" t="str">
        <f>LOOKUP(1,1/(Table1[[#This Row],[Level_0]:[Level 15]]&gt;0),(Table1[[#This Row],[Level_0]:[Level 15]]))</f>
        <v>4100112400 - [POV Remaining Input - IC *]</v>
      </c>
    </row>
    <row r="1268" spans="1:23" hidden="1" x14ac:dyDescent="0.25">
      <c r="A1268">
        <v>4100112300</v>
      </c>
      <c r="B1268" s="16" t="s">
        <v>19862</v>
      </c>
      <c r="C1268" s="16" t="e">
        <f>VLOOKUP(Table1[[#This Row],[Node]],Parent!A:B,2,0)</f>
        <v>#N/A</v>
      </c>
      <c r="D1268" s="25" t="s">
        <v>19346</v>
      </c>
      <c r="E1268" s="26" t="s">
        <v>16544</v>
      </c>
      <c r="F1268" s="27" t="s">
        <v>17700</v>
      </c>
      <c r="G1268" s="27" t="s">
        <v>17743</v>
      </c>
      <c r="H1268" s="27" t="s">
        <v>17776</v>
      </c>
      <c r="I1268" s="27"/>
      <c r="J1268" s="27"/>
      <c r="K1268" s="27"/>
      <c r="L1268" s="27"/>
      <c r="N1268" s="27"/>
      <c r="T1268" s="28" t="str">
        <f>LOOKUP(1,1/(Table1[[#This Row],[Level_0]:[Level 15]]&gt;0),(Table1[[#This Row],[Level_0]:[Level 15]]))</f>
        <v>4100112300 - [POV Input Quantity - IC *]</v>
      </c>
      <c r="U1268" s="22">
        <v>1263</v>
      </c>
      <c r="W1268" s="13" t="str">
        <f>LOOKUP(1,1/(Table1[[#This Row],[Level_0]:[Level 15]]&gt;0),(Table1[[#This Row],[Level_0]:[Level 15]]))</f>
        <v>4100112300 - [POV Input Quantity - IC *]</v>
      </c>
    </row>
    <row r="1269" spans="1:23" hidden="1" x14ac:dyDescent="0.25">
      <c r="A1269">
        <v>4100112200</v>
      </c>
      <c r="B1269" s="16" t="s">
        <v>19861</v>
      </c>
      <c r="C1269" s="16" t="e">
        <f>VLOOKUP(Table1[[#This Row],[Node]],Parent!A:B,2,0)</f>
        <v>#N/A</v>
      </c>
      <c r="D1269" s="25" t="s">
        <v>19346</v>
      </c>
      <c r="E1269" s="26" t="s">
        <v>16544</v>
      </c>
      <c r="F1269" s="27" t="s">
        <v>17700</v>
      </c>
      <c r="G1269" s="27" t="s">
        <v>17743</v>
      </c>
      <c r="H1269" s="27" t="s">
        <v>17777</v>
      </c>
      <c r="I1269" s="27"/>
      <c r="J1269" s="27"/>
      <c r="K1269" s="27"/>
      <c r="L1269" s="27"/>
      <c r="N1269" s="27"/>
      <c r="T1269" s="28" t="str">
        <f>LOOKUP(1,1/(Table1[[#This Row],[Level_0]:[Level 15]]&gt;0),(Table1[[#This Row],[Level_0]:[Level 15]]))</f>
        <v>4100112200 - [POV Resource Usage - IC *]</v>
      </c>
      <c r="U1269" s="22">
        <v>1264</v>
      </c>
      <c r="W1269" s="13" t="str">
        <f>LOOKUP(1,1/(Table1[[#This Row],[Level_0]:[Level 15]]&gt;0),(Table1[[#This Row],[Level_0]:[Level 15]]))</f>
        <v>4100112200 - [POV Resource Usage - IC *]</v>
      </c>
    </row>
    <row r="1270" spans="1:23" hidden="1" x14ac:dyDescent="0.25">
      <c r="A1270">
        <v>4100112100</v>
      </c>
      <c r="B1270" s="16" t="s">
        <v>19860</v>
      </c>
      <c r="C1270" s="16" t="e">
        <f>VLOOKUP(Table1[[#This Row],[Node]],Parent!A:B,2,0)</f>
        <v>#N/A</v>
      </c>
      <c r="D1270" s="25" t="s">
        <v>19346</v>
      </c>
      <c r="E1270" s="26" t="s">
        <v>16544</v>
      </c>
      <c r="F1270" s="27" t="s">
        <v>17700</v>
      </c>
      <c r="G1270" s="27" t="s">
        <v>17743</v>
      </c>
      <c r="H1270" s="27" t="s">
        <v>17778</v>
      </c>
      <c r="I1270" s="27"/>
      <c r="J1270" s="27"/>
      <c r="K1270" s="27"/>
      <c r="L1270" s="27"/>
      <c r="N1270" s="27"/>
      <c r="T1270" s="28" t="str">
        <f>LOOKUP(1,1/(Table1[[#This Row],[Level_0]:[Level 15]]&gt;0),(Table1[[#This Row],[Level_0]:[Level 15]]))</f>
        <v>4100112100 - [POV Input Price - IC *]</v>
      </c>
      <c r="U1270" s="22">
        <v>1265</v>
      </c>
      <c r="W1270" s="13" t="str">
        <f>LOOKUP(1,1/(Table1[[#This Row],[Level_0]:[Level 15]]&gt;0),(Table1[[#This Row],[Level_0]:[Level 15]]))</f>
        <v>4100112100 - [POV Input Price - IC *]</v>
      </c>
    </row>
    <row r="1271" spans="1:23" hidden="1" x14ac:dyDescent="0.25">
      <c r="A1271">
        <v>4100110000</v>
      </c>
      <c r="B1271" s="16" t="s">
        <v>19859</v>
      </c>
      <c r="C1271" s="16" t="e">
        <f>VLOOKUP(Table1[[#This Row],[Node]],Parent!A:B,2,0)</f>
        <v>#N/A</v>
      </c>
      <c r="D1271" s="25" t="s">
        <v>19346</v>
      </c>
      <c r="E1271" s="26" t="s">
        <v>16544</v>
      </c>
      <c r="F1271" s="27" t="s">
        <v>17700</v>
      </c>
      <c r="G1271" s="27" t="s">
        <v>17743</v>
      </c>
      <c r="H1271" s="27" t="s">
        <v>17779</v>
      </c>
      <c r="I1271" s="27"/>
      <c r="J1271" s="27"/>
      <c r="K1271" s="27"/>
      <c r="L1271" s="27"/>
      <c r="N1271" s="27"/>
      <c r="T1271" s="28" t="str">
        <f>LOOKUP(1,1/(Table1[[#This Row],[Level_0]:[Level 15]]&gt;0),(Table1[[#This Row],[Level_0]:[Level 15]]))</f>
        <v>4100110000 - [POV - Finished &amp; Unf Goods - Mat - IC]</v>
      </c>
      <c r="U1271" s="22">
        <v>1266</v>
      </c>
      <c r="W1271" s="13" t="str">
        <f>LOOKUP(1,1/(Table1[[#This Row],[Level_0]:[Level 15]]&gt;0),(Table1[[#This Row],[Level_0]:[Level 15]]))</f>
        <v>4100110000 - [POV - Finished &amp; Unf Goods - Mat - IC]</v>
      </c>
    </row>
    <row r="1272" spans="1:23" hidden="1" x14ac:dyDescent="0.25">
      <c r="A1272">
        <v>4100102900</v>
      </c>
      <c r="B1272" s="16" t="s">
        <v>19858</v>
      </c>
      <c r="C1272" s="16" t="e">
        <f>VLOOKUP(Table1[[#This Row],[Node]],Parent!A:B,2,0)</f>
        <v>#N/A</v>
      </c>
      <c r="D1272" s="25" t="s">
        <v>19346</v>
      </c>
      <c r="E1272" s="26" t="s">
        <v>16544</v>
      </c>
      <c r="F1272" s="27" t="s">
        <v>17700</v>
      </c>
      <c r="G1272" s="27" t="s">
        <v>17743</v>
      </c>
      <c r="H1272" s="27" t="s">
        <v>17780</v>
      </c>
      <c r="I1272" s="27"/>
      <c r="J1272" s="27"/>
      <c r="K1272" s="27"/>
      <c r="L1272" s="27"/>
      <c r="N1272" s="27"/>
      <c r="T1272" s="28" t="str">
        <f>LOOKUP(1,1/(Table1[[#This Row],[Level_0]:[Level 15]]&gt;0),(Table1[[#This Row],[Level_0]:[Level 15]]))</f>
        <v>4100102900 - [POV Remaining - 3P]</v>
      </c>
      <c r="U1272" s="22">
        <v>1267</v>
      </c>
      <c r="W1272" s="13" t="str">
        <f>LOOKUP(1,1/(Table1[[#This Row],[Level_0]:[Level 15]]&gt;0),(Table1[[#This Row],[Level_0]:[Level 15]]))</f>
        <v>4100102900 - [POV Remaining - 3P]</v>
      </c>
    </row>
    <row r="1273" spans="1:23" hidden="1" x14ac:dyDescent="0.25">
      <c r="A1273">
        <v>4100102800</v>
      </c>
      <c r="B1273" s="16" t="s">
        <v>19857</v>
      </c>
      <c r="C1273" s="16" t="e">
        <f>VLOOKUP(Table1[[#This Row],[Node]],Parent!A:B,2,0)</f>
        <v>#N/A</v>
      </c>
      <c r="D1273" s="25" t="s">
        <v>19346</v>
      </c>
      <c r="E1273" s="26" t="s">
        <v>16544</v>
      </c>
      <c r="F1273" s="27" t="s">
        <v>17700</v>
      </c>
      <c r="G1273" s="27" t="s">
        <v>17743</v>
      </c>
      <c r="H1273" s="27" t="s">
        <v>17781</v>
      </c>
      <c r="I1273" s="27"/>
      <c r="J1273" s="27"/>
      <c r="K1273" s="27"/>
      <c r="L1273" s="27"/>
      <c r="N1273" s="27"/>
      <c r="T1273" s="28" t="str">
        <f>LOOKUP(1,1/(Table1[[#This Row],[Level_0]:[Level 15]]&gt;0),(Table1[[#This Row],[Level_0]:[Level 15]]))</f>
        <v>4100102800 - [POV Lot Size - 3P]</v>
      </c>
      <c r="U1273" s="22">
        <v>1268</v>
      </c>
      <c r="W1273" s="13" t="str">
        <f>LOOKUP(1,1/(Table1[[#This Row],[Level_0]:[Level 15]]&gt;0),(Table1[[#This Row],[Level_0]:[Level 15]]))</f>
        <v>4100102800 - [POV Lot Size - 3P]</v>
      </c>
    </row>
    <row r="1274" spans="1:23" hidden="1" x14ac:dyDescent="0.25">
      <c r="A1274">
        <v>4100102700</v>
      </c>
      <c r="B1274" s="16" t="s">
        <v>19856</v>
      </c>
      <c r="C1274" s="16" t="e">
        <f>VLOOKUP(Table1[[#This Row],[Node]],Parent!A:B,2,0)</f>
        <v>#N/A</v>
      </c>
      <c r="D1274" s="25" t="s">
        <v>19346</v>
      </c>
      <c r="E1274" s="26" t="s">
        <v>16544</v>
      </c>
      <c r="F1274" s="27" t="s">
        <v>17700</v>
      </c>
      <c r="G1274" s="27" t="s">
        <v>17743</v>
      </c>
      <c r="H1274" s="27" t="s">
        <v>17782</v>
      </c>
      <c r="I1274" s="27"/>
      <c r="J1274" s="27"/>
      <c r="K1274" s="27"/>
      <c r="L1274" s="27"/>
      <c r="N1274" s="27"/>
      <c r="T1274" s="28" t="str">
        <f>LOOKUP(1,1/(Table1[[#This Row],[Level_0]:[Level 15]]&gt;0),(Table1[[#This Row],[Level_0]:[Level 15]]))</f>
        <v>4100102700 - [POV Output Price - 3P]</v>
      </c>
      <c r="U1274" s="22">
        <v>1269</v>
      </c>
      <c r="W1274" s="13" t="str">
        <f>LOOKUP(1,1/(Table1[[#This Row],[Level_0]:[Level 15]]&gt;0),(Table1[[#This Row],[Level_0]:[Level 15]]))</f>
        <v>4100102700 - [POV Output Price - 3P]</v>
      </c>
    </row>
    <row r="1275" spans="1:23" hidden="1" x14ac:dyDescent="0.25">
      <c r="A1275">
        <v>4100102600</v>
      </c>
      <c r="B1275" s="16" t="s">
        <v>19855</v>
      </c>
      <c r="C1275" s="16" t="e">
        <f>VLOOKUP(Table1[[#This Row],[Node]],Parent!A:B,2,0)</f>
        <v>#N/A</v>
      </c>
      <c r="D1275" s="25" t="s">
        <v>19346</v>
      </c>
      <c r="E1275" s="26" t="s">
        <v>16544</v>
      </c>
      <c r="F1275" s="27" t="s">
        <v>17700</v>
      </c>
      <c r="G1275" s="27" t="s">
        <v>17743</v>
      </c>
      <c r="H1275" s="27" t="s">
        <v>17783</v>
      </c>
      <c r="I1275" s="27"/>
      <c r="J1275" s="27"/>
      <c r="K1275" s="27"/>
      <c r="L1275" s="27"/>
      <c r="N1275" s="27"/>
      <c r="T1275" s="28" t="str">
        <f>LOOKUP(1,1/(Table1[[#This Row],[Level_0]:[Level 15]]&gt;0),(Table1[[#This Row],[Level_0]:[Level 15]]))</f>
        <v>4100102600 - [POV Mixed Price - 3P]</v>
      </c>
      <c r="U1275" s="22">
        <v>1270</v>
      </c>
      <c r="W1275" s="13" t="str">
        <f>LOOKUP(1,1/(Table1[[#This Row],[Level_0]:[Level 15]]&gt;0),(Table1[[#This Row],[Level_0]:[Level 15]]))</f>
        <v>4100102600 - [POV Mixed Price - 3P]</v>
      </c>
    </row>
    <row r="1276" spans="1:23" hidden="1" x14ac:dyDescent="0.25">
      <c r="A1276">
        <v>4100102500</v>
      </c>
      <c r="B1276" s="16" t="s">
        <v>19854</v>
      </c>
      <c r="C1276" s="16" t="e">
        <f>VLOOKUP(Table1[[#This Row],[Node]],Parent!A:B,2,0)</f>
        <v>#N/A</v>
      </c>
      <c r="D1276" s="25" t="s">
        <v>19346</v>
      </c>
      <c r="E1276" s="26" t="s">
        <v>16544</v>
      </c>
      <c r="F1276" s="27" t="s">
        <v>17700</v>
      </c>
      <c r="G1276" s="27" t="s">
        <v>17743</v>
      </c>
      <c r="H1276" s="27" t="s">
        <v>17784</v>
      </c>
      <c r="I1276" s="27"/>
      <c r="J1276" s="27"/>
      <c r="K1276" s="27"/>
      <c r="L1276" s="27"/>
      <c r="N1276" s="27"/>
      <c r="T1276" s="28" t="str">
        <f>LOOKUP(1,1/(Table1[[#This Row],[Level_0]:[Level 15]]&gt;0),(Table1[[#This Row],[Level_0]:[Level 15]]))</f>
        <v>4100102500 - [POV Scrap - 3P]</v>
      </c>
      <c r="U1276" s="22">
        <v>1271</v>
      </c>
      <c r="W1276" s="13" t="str">
        <f>LOOKUP(1,1/(Table1[[#This Row],[Level_0]:[Level 15]]&gt;0),(Table1[[#This Row],[Level_0]:[Level 15]]))</f>
        <v>4100102500 - [POV Scrap - 3P]</v>
      </c>
    </row>
    <row r="1277" spans="1:23" hidden="1" x14ac:dyDescent="0.25">
      <c r="A1277">
        <v>4100102400</v>
      </c>
      <c r="B1277" s="16" t="s">
        <v>19853</v>
      </c>
      <c r="C1277" s="16" t="e">
        <f>VLOOKUP(Table1[[#This Row],[Node]],Parent!A:B,2,0)</f>
        <v>#N/A</v>
      </c>
      <c r="D1277" s="25" t="s">
        <v>19346</v>
      </c>
      <c r="E1277" s="26" t="s">
        <v>16544</v>
      </c>
      <c r="F1277" s="27" t="s">
        <v>17700</v>
      </c>
      <c r="G1277" s="27" t="s">
        <v>17743</v>
      </c>
      <c r="H1277" s="27" t="s">
        <v>17785</v>
      </c>
      <c r="I1277" s="27"/>
      <c r="J1277" s="27"/>
      <c r="K1277" s="27"/>
      <c r="L1277" s="27"/>
      <c r="N1277" s="27"/>
      <c r="T1277" s="28" t="str">
        <f>LOOKUP(1,1/(Table1[[#This Row],[Level_0]:[Level 15]]&gt;0),(Table1[[#This Row],[Level_0]:[Level 15]]))</f>
        <v>4100102400 - [POV Remaining Input - 3P]</v>
      </c>
      <c r="U1277" s="22">
        <v>1272</v>
      </c>
      <c r="W1277" s="13" t="str">
        <f>LOOKUP(1,1/(Table1[[#This Row],[Level_0]:[Level 15]]&gt;0),(Table1[[#This Row],[Level_0]:[Level 15]]))</f>
        <v>4100102400 - [POV Remaining Input - 3P]</v>
      </c>
    </row>
    <row r="1278" spans="1:23" hidden="1" x14ac:dyDescent="0.25">
      <c r="A1278">
        <v>4100102300</v>
      </c>
      <c r="B1278" s="16" t="s">
        <v>19852</v>
      </c>
      <c r="C1278" s="16" t="e">
        <f>VLOOKUP(Table1[[#This Row],[Node]],Parent!A:B,2,0)</f>
        <v>#N/A</v>
      </c>
      <c r="D1278" s="25" t="s">
        <v>19346</v>
      </c>
      <c r="E1278" s="26" t="s">
        <v>16544</v>
      </c>
      <c r="F1278" s="27" t="s">
        <v>17700</v>
      </c>
      <c r="G1278" s="27" t="s">
        <v>17743</v>
      </c>
      <c r="H1278" s="27" t="s">
        <v>17786</v>
      </c>
      <c r="I1278" s="27"/>
      <c r="J1278" s="27"/>
      <c r="K1278" s="27"/>
      <c r="L1278" s="27"/>
      <c r="N1278" s="27"/>
      <c r="T1278" s="28" t="str">
        <f>LOOKUP(1,1/(Table1[[#This Row],[Level_0]:[Level 15]]&gt;0),(Table1[[#This Row],[Level_0]:[Level 15]]))</f>
        <v>4100102300 - [POV Input Quantity - 3P]</v>
      </c>
      <c r="U1278" s="22">
        <v>1273</v>
      </c>
      <c r="W1278" s="13" t="str">
        <f>LOOKUP(1,1/(Table1[[#This Row],[Level_0]:[Level 15]]&gt;0),(Table1[[#This Row],[Level_0]:[Level 15]]))</f>
        <v>4100102300 - [POV Input Quantity - 3P]</v>
      </c>
    </row>
    <row r="1279" spans="1:23" hidden="1" x14ac:dyDescent="0.25">
      <c r="A1279">
        <v>4100102200</v>
      </c>
      <c r="B1279" s="16" t="s">
        <v>19851</v>
      </c>
      <c r="C1279" s="16" t="e">
        <f>VLOOKUP(Table1[[#This Row],[Node]],Parent!A:B,2,0)</f>
        <v>#N/A</v>
      </c>
      <c r="D1279" s="25" t="s">
        <v>19346</v>
      </c>
      <c r="E1279" s="26" t="s">
        <v>16544</v>
      </c>
      <c r="F1279" s="27" t="s">
        <v>17700</v>
      </c>
      <c r="G1279" s="27" t="s">
        <v>17743</v>
      </c>
      <c r="H1279" s="27" t="s">
        <v>17787</v>
      </c>
      <c r="I1279" s="27"/>
      <c r="J1279" s="27"/>
      <c r="K1279" s="27"/>
      <c r="L1279" s="27"/>
      <c r="N1279" s="27"/>
      <c r="T1279" s="28" t="str">
        <f>LOOKUP(1,1/(Table1[[#This Row],[Level_0]:[Level 15]]&gt;0),(Table1[[#This Row],[Level_0]:[Level 15]]))</f>
        <v>4100102200 - [POV Resource Usage - 3P]</v>
      </c>
      <c r="U1279" s="22">
        <v>1274</v>
      </c>
      <c r="W1279" s="13" t="str">
        <f>LOOKUP(1,1/(Table1[[#This Row],[Level_0]:[Level 15]]&gt;0),(Table1[[#This Row],[Level_0]:[Level 15]]))</f>
        <v>4100102200 - [POV Resource Usage - 3P]</v>
      </c>
    </row>
    <row r="1280" spans="1:23" hidden="1" x14ac:dyDescent="0.25">
      <c r="A1280">
        <v>4100102100</v>
      </c>
      <c r="B1280" s="16" t="s">
        <v>19850</v>
      </c>
      <c r="C1280" s="16" t="e">
        <f>VLOOKUP(Table1[[#This Row],[Node]],Parent!A:B,2,0)</f>
        <v>#N/A</v>
      </c>
      <c r="D1280" s="25" t="s">
        <v>19346</v>
      </c>
      <c r="E1280" s="26" t="s">
        <v>16544</v>
      </c>
      <c r="F1280" s="27" t="s">
        <v>17700</v>
      </c>
      <c r="G1280" s="27" t="s">
        <v>17743</v>
      </c>
      <c r="H1280" s="27" t="s">
        <v>17788</v>
      </c>
      <c r="I1280" s="27"/>
      <c r="J1280" s="27"/>
      <c r="K1280" s="27"/>
      <c r="L1280" s="27"/>
      <c r="N1280" s="27"/>
      <c r="T1280" s="28" t="str">
        <f>LOOKUP(1,1/(Table1[[#This Row],[Level_0]:[Level 15]]&gt;0),(Table1[[#This Row],[Level_0]:[Level 15]]))</f>
        <v>4100102100 - [POV Input Price - 3P]</v>
      </c>
      <c r="U1280" s="22">
        <v>1275</v>
      </c>
      <c r="W1280" s="13" t="str">
        <f>LOOKUP(1,1/(Table1[[#This Row],[Level_0]:[Level 15]]&gt;0),(Table1[[#This Row],[Level_0]:[Level 15]]))</f>
        <v>4100102100 - [POV Input Price - 3P]</v>
      </c>
    </row>
    <row r="1281" spans="1:23" hidden="1" x14ac:dyDescent="0.25">
      <c r="A1281">
        <v>4100100000</v>
      </c>
      <c r="B1281" s="16" t="s">
        <v>19849</v>
      </c>
      <c r="C1281" s="16" t="e">
        <f>VLOOKUP(Table1[[#This Row],[Node]],Parent!A:B,2,0)</f>
        <v>#N/A</v>
      </c>
      <c r="D1281" s="25" t="s">
        <v>19346</v>
      </c>
      <c r="E1281" s="26" t="s">
        <v>16544</v>
      </c>
      <c r="F1281" s="27" t="s">
        <v>17700</v>
      </c>
      <c r="G1281" s="27" t="s">
        <v>17743</v>
      </c>
      <c r="H1281" s="27" t="s">
        <v>17789</v>
      </c>
      <c r="I1281" s="27"/>
      <c r="J1281" s="27"/>
      <c r="K1281" s="27"/>
      <c r="L1281" s="27"/>
      <c r="N1281" s="27"/>
      <c r="T1281" s="28" t="str">
        <f>LOOKUP(1,1/(Table1[[#This Row],[Level_0]:[Level 15]]&gt;0),(Table1[[#This Row],[Level_0]:[Level 15]]))</f>
        <v>4100100000 - [POV - Finished &amp; Unf Goods - Mat - 3P]</v>
      </c>
      <c r="U1281" s="22">
        <v>1276</v>
      </c>
      <c r="W1281" s="13" t="str">
        <f>LOOKUP(1,1/(Table1[[#This Row],[Level_0]:[Level 15]]&gt;0),(Table1[[#This Row],[Level_0]:[Level 15]]))</f>
        <v>4100100000 - [POV - Finished &amp; Unf Goods - Mat - 3P]</v>
      </c>
    </row>
    <row r="1282" spans="1:23" hidden="1" x14ac:dyDescent="0.25">
      <c r="A1282">
        <v>4055000000</v>
      </c>
      <c r="B1282" s="16" t="s">
        <v>19847</v>
      </c>
      <c r="C1282" s="16" t="e">
        <f>VLOOKUP(Table1[[#This Row],[Node]],Parent!A:B,2,0)</f>
        <v>#N/A</v>
      </c>
      <c r="D1282" s="25" t="s">
        <v>19346</v>
      </c>
      <c r="E1282" s="26" t="s">
        <v>16544</v>
      </c>
      <c r="F1282" s="27" t="s">
        <v>17700</v>
      </c>
      <c r="G1282" s="27" t="s">
        <v>17743</v>
      </c>
      <c r="H1282" s="27" t="s">
        <v>17790</v>
      </c>
      <c r="I1282" s="27"/>
      <c r="J1282" s="27"/>
      <c r="K1282" s="27"/>
      <c r="L1282" s="27"/>
      <c r="N1282" s="27"/>
      <c r="T1282" s="28" t="str">
        <f>LOOKUP(1,1/(Table1[[#This Row],[Level_0]:[Level 15]]&gt;0),(Table1[[#This Row],[Level_0]:[Level 15]]))</f>
        <v>4055000000 - [COGM - By-Product - Inventory Increase]</v>
      </c>
      <c r="U1282" s="22">
        <v>1277</v>
      </c>
      <c r="W1282" s="13" t="str">
        <f>LOOKUP(1,1/(Table1[[#This Row],[Level_0]:[Level 15]]&gt;0),(Table1[[#This Row],[Level_0]:[Level 15]]))</f>
        <v>4055000000 - [COGM - By-Product - Inventory Increase]</v>
      </c>
    </row>
    <row r="1283" spans="1:23" hidden="1" x14ac:dyDescent="0.25">
      <c r="A1283">
        <v>4054000000</v>
      </c>
      <c r="B1283" s="16" t="s">
        <v>19846</v>
      </c>
      <c r="C1283" s="16" t="e">
        <f>VLOOKUP(Table1[[#This Row],[Node]],Parent!A:B,2,0)</f>
        <v>#N/A</v>
      </c>
      <c r="D1283" s="25" t="s">
        <v>19346</v>
      </c>
      <c r="E1283" s="26" t="s">
        <v>16544</v>
      </c>
      <c r="F1283" s="27" t="s">
        <v>17700</v>
      </c>
      <c r="G1283" s="27" t="s">
        <v>17743</v>
      </c>
      <c r="H1283" s="27" t="s">
        <v>17791</v>
      </c>
      <c r="I1283" s="27"/>
      <c r="J1283" s="27"/>
      <c r="K1283" s="27"/>
      <c r="L1283" s="27"/>
      <c r="N1283" s="27"/>
      <c r="T1283" s="28" t="str">
        <f>LOOKUP(1,1/(Table1[[#This Row],[Level_0]:[Level 15]]&gt;0),(Table1[[#This Row],[Level_0]:[Level 15]]))</f>
        <v>4054000000 - [COGM - Other - Inventory Increase]</v>
      </c>
      <c r="U1283" s="22">
        <v>1278</v>
      </c>
      <c r="W1283" s="13" t="str">
        <f>LOOKUP(1,1/(Table1[[#This Row],[Level_0]:[Level 15]]&gt;0),(Table1[[#This Row],[Level_0]:[Level 15]]))</f>
        <v>4054000000 - [COGM - Other - Inventory Increase]</v>
      </c>
    </row>
    <row r="1284" spans="1:23" hidden="1" x14ac:dyDescent="0.25">
      <c r="A1284">
        <v>4053000000</v>
      </c>
      <c r="B1284" s="16" t="s">
        <v>19845</v>
      </c>
      <c r="C1284" s="16" t="e">
        <f>VLOOKUP(Table1[[#This Row],[Node]],Parent!A:B,2,0)</f>
        <v>#N/A</v>
      </c>
      <c r="D1284" s="25" t="s">
        <v>19346</v>
      </c>
      <c r="E1284" s="26" t="s">
        <v>16544</v>
      </c>
      <c r="F1284" s="27" t="s">
        <v>17700</v>
      </c>
      <c r="G1284" s="27" t="s">
        <v>17743</v>
      </c>
      <c r="H1284" s="27" t="s">
        <v>17792</v>
      </c>
      <c r="I1284" s="27"/>
      <c r="J1284" s="27"/>
      <c r="K1284" s="27"/>
      <c r="L1284" s="27"/>
      <c r="N1284" s="27"/>
      <c r="T1284" s="28" t="str">
        <f>LOOKUP(1,1/(Table1[[#This Row],[Level_0]:[Level 15]]&gt;0),(Table1[[#This Row],[Level_0]:[Level 15]]))</f>
        <v>4053000000 - [COGM - Unfinished Goods - SubContracting]</v>
      </c>
      <c r="U1284" s="22">
        <v>1279</v>
      </c>
      <c r="W1284" s="13" t="str">
        <f>LOOKUP(1,1/(Table1[[#This Row],[Level_0]:[Level 15]]&gt;0),(Table1[[#This Row],[Level_0]:[Level 15]]))</f>
        <v>4053000000 - [COGM - Unfinished Goods - SubContracting]</v>
      </c>
    </row>
    <row r="1285" spans="1:23" hidden="1" x14ac:dyDescent="0.25">
      <c r="A1285">
        <v>4052000000</v>
      </c>
      <c r="B1285" s="16" t="s">
        <v>19844</v>
      </c>
      <c r="C1285" s="16" t="e">
        <f>VLOOKUP(Table1[[#This Row],[Node]],Parent!A:B,2,0)</f>
        <v>#N/A</v>
      </c>
      <c r="D1285" s="25" t="s">
        <v>19346</v>
      </c>
      <c r="E1285" s="26" t="s">
        <v>16544</v>
      </c>
      <c r="F1285" s="27" t="s">
        <v>17700</v>
      </c>
      <c r="G1285" s="27" t="s">
        <v>17743</v>
      </c>
      <c r="H1285" s="27" t="s">
        <v>17793</v>
      </c>
      <c r="I1285" s="27"/>
      <c r="J1285" s="27"/>
      <c r="K1285" s="27"/>
      <c r="L1285" s="27"/>
      <c r="N1285" s="27"/>
      <c r="T1285" s="28" t="str">
        <f>LOOKUP(1,1/(Table1[[#This Row],[Level_0]:[Level 15]]&gt;0),(Table1[[#This Row],[Level_0]:[Level 15]]))</f>
        <v>4052000000 - [COGM - Unfinished Goods - Inv Increase]</v>
      </c>
      <c r="U1285" s="22">
        <v>1280</v>
      </c>
      <c r="W1285" s="13" t="str">
        <f>LOOKUP(1,1/(Table1[[#This Row],[Level_0]:[Level 15]]&gt;0),(Table1[[#This Row],[Level_0]:[Level 15]]))</f>
        <v>4052000000 - [COGM - Unfinished Goods - Inv Increase]</v>
      </c>
    </row>
    <row r="1286" spans="1:23" hidden="1" x14ac:dyDescent="0.25">
      <c r="A1286">
        <v>4051900000</v>
      </c>
      <c r="B1286" s="16" t="s">
        <v>19843</v>
      </c>
      <c r="C1286" s="16" t="e">
        <f>VLOOKUP(Table1[[#This Row],[Node]],Parent!A:B,2,0)</f>
        <v>#N/A</v>
      </c>
      <c r="D1286" s="25" t="s">
        <v>19346</v>
      </c>
      <c r="E1286" s="26" t="s">
        <v>16544</v>
      </c>
      <c r="F1286" s="27" t="s">
        <v>17700</v>
      </c>
      <c r="G1286" s="27" t="s">
        <v>17743</v>
      </c>
      <c r="H1286" s="27" t="s">
        <v>17794</v>
      </c>
      <c r="I1286" s="27"/>
      <c r="J1286" s="27"/>
      <c r="K1286" s="27"/>
      <c r="L1286" s="27"/>
      <c r="N1286" s="27"/>
      <c r="T1286" s="28" t="str">
        <f>LOOKUP(1,1/(Table1[[#This Row],[Level_0]:[Level 15]]&gt;0),(Table1[[#This Row],[Level_0]:[Level 15]]))</f>
        <v>4051900000 - [CO P&amp;SM - Finished Goods - Inv Increase]</v>
      </c>
      <c r="U1286" s="22">
        <v>1281</v>
      </c>
      <c r="W1286" s="13" t="str">
        <f>LOOKUP(1,1/(Table1[[#This Row],[Level_0]:[Level 15]]&gt;0),(Table1[[#This Row],[Level_0]:[Level 15]]))</f>
        <v>4051900000 - [CO P&amp;SM - Finished Goods - Inv Increase]</v>
      </c>
    </row>
    <row r="1287" spans="1:23" hidden="1" x14ac:dyDescent="0.25">
      <c r="A1287">
        <v>4051000000</v>
      </c>
      <c r="B1287" s="16" t="s">
        <v>19842</v>
      </c>
      <c r="C1287" s="16" t="e">
        <f>VLOOKUP(Table1[[#This Row],[Node]],Parent!A:B,2,0)</f>
        <v>#N/A</v>
      </c>
      <c r="D1287" s="25" t="s">
        <v>19346</v>
      </c>
      <c r="E1287" s="26" t="s">
        <v>16544</v>
      </c>
      <c r="F1287" s="27" t="s">
        <v>17700</v>
      </c>
      <c r="G1287" s="27" t="s">
        <v>17743</v>
      </c>
      <c r="H1287" s="27" t="s">
        <v>17795</v>
      </c>
      <c r="I1287" s="27"/>
      <c r="J1287" s="27"/>
      <c r="K1287" s="27"/>
      <c r="L1287" s="27"/>
      <c r="N1287" s="27"/>
      <c r="T1287" s="28" t="str">
        <f>LOOKUP(1,1/(Table1[[#This Row],[Level_0]:[Level 15]]&gt;0),(Table1[[#This Row],[Level_0]:[Level 15]]))</f>
        <v>4051000000 - [COGM - Finished Goods - SubContracting]</v>
      </c>
      <c r="U1287" s="22">
        <v>1282</v>
      </c>
      <c r="W1287" s="13" t="str">
        <f>LOOKUP(1,1/(Table1[[#This Row],[Level_0]:[Level 15]]&gt;0),(Table1[[#This Row],[Level_0]:[Level 15]]))</f>
        <v>4051000000 - [COGM - Finished Goods - SubContracting]</v>
      </c>
    </row>
    <row r="1288" spans="1:23" hidden="1" x14ac:dyDescent="0.25">
      <c r="A1288">
        <v>4050000000</v>
      </c>
      <c r="B1288" s="16" t="s">
        <v>19839</v>
      </c>
      <c r="C1288" s="16" t="e">
        <f>VLOOKUP(Table1[[#This Row],[Node]],Parent!A:B,2,0)</f>
        <v>#N/A</v>
      </c>
      <c r="D1288" s="25" t="s">
        <v>19346</v>
      </c>
      <c r="E1288" s="26" t="s">
        <v>16544</v>
      </c>
      <c r="F1288" s="27" t="s">
        <v>17700</v>
      </c>
      <c r="G1288" s="27" t="s">
        <v>17743</v>
      </c>
      <c r="H1288" s="27" t="s">
        <v>17796</v>
      </c>
      <c r="I1288" s="27"/>
      <c r="J1288" s="27"/>
      <c r="K1288" s="27"/>
      <c r="L1288" s="27"/>
      <c r="N1288" s="27"/>
      <c r="T1288" s="28" t="str">
        <f>LOOKUP(1,1/(Table1[[#This Row],[Level_0]:[Level 15]]&gt;0),(Table1[[#This Row],[Level_0]:[Level 15]]))</f>
        <v>4050000000 - [COGM - Finished Goods - Inv Increase]</v>
      </c>
      <c r="U1288" s="22">
        <v>1283</v>
      </c>
      <c r="W1288" s="13" t="str">
        <f>LOOKUP(1,1/(Table1[[#This Row],[Level_0]:[Level 15]]&gt;0),(Table1[[#This Row],[Level_0]:[Level 15]]))</f>
        <v>4050000000 - [COGM - Finished Goods - Inv Increase]</v>
      </c>
    </row>
    <row r="1289" spans="1:23" hidden="1" x14ac:dyDescent="0.25">
      <c r="A1289">
        <v>7811113009</v>
      </c>
      <c r="B1289" s="16" t="s">
        <v>21771</v>
      </c>
      <c r="C1289" s="16" t="e">
        <f>VLOOKUP(Table1[[#This Row],[Node]],Parent!A:B,2,0)</f>
        <v>#N/A</v>
      </c>
      <c r="D1289" s="25" t="s">
        <v>19346</v>
      </c>
      <c r="E1289" s="26" t="s">
        <v>16544</v>
      </c>
      <c r="F1289" s="27" t="s">
        <v>17700</v>
      </c>
      <c r="G1289" s="27" t="s">
        <v>17743</v>
      </c>
      <c r="H1289" s="27" t="s">
        <v>17797</v>
      </c>
      <c r="I1289" s="27"/>
      <c r="J1289" s="27"/>
      <c r="K1289" s="27"/>
      <c r="L1289" s="27"/>
      <c r="N1289" s="27"/>
      <c r="T1289" s="28" t="str">
        <f>LOOKUP(1,1/(Table1[[#This Row],[Level_0]:[Level 15]]&gt;0),(Table1[[#This Row],[Level_0]:[Level 15]]))</f>
        <v>7811113009 - [APA CCV CAPVAR Migration History]</v>
      </c>
      <c r="U1289" s="22">
        <v>1284</v>
      </c>
      <c r="W1289" s="13" t="str">
        <f>LOOKUP(1,1/(Table1[[#This Row],[Level_0]:[Level 15]]&gt;0),(Table1[[#This Row],[Level_0]:[Level 15]]))</f>
        <v>7811113009 - [APA CCV CAPVAR Migration History]</v>
      </c>
    </row>
    <row r="1290" spans="1:23" hidden="1" x14ac:dyDescent="0.25">
      <c r="A1290">
        <v>7811113010</v>
      </c>
      <c r="B1290" s="16" t="s">
        <v>21772</v>
      </c>
      <c r="C1290" s="16" t="e">
        <f>VLOOKUP(Table1[[#This Row],[Node]],Parent!A:B,2,0)</f>
        <v>#N/A</v>
      </c>
      <c r="D1290" s="25" t="s">
        <v>19346</v>
      </c>
      <c r="E1290" s="26" t="s">
        <v>16544</v>
      </c>
      <c r="F1290" s="27" t="s">
        <v>17700</v>
      </c>
      <c r="G1290" s="27" t="s">
        <v>17743</v>
      </c>
      <c r="H1290" s="27" t="s">
        <v>17798</v>
      </c>
      <c r="I1290" s="27"/>
      <c r="J1290" s="27"/>
      <c r="K1290" s="27"/>
      <c r="L1290" s="27"/>
      <c r="N1290" s="27"/>
      <c r="T1290" s="28" t="str">
        <f>LOOKUP(1,1/(Table1[[#This Row],[Level_0]:[Level 15]]&gt;0),(Table1[[#This Row],[Level_0]:[Level 15]]))</f>
        <v>7811113010 - [APA LY CCV CAPVARMigrationHistory]</v>
      </c>
      <c r="U1290" s="22">
        <v>1285</v>
      </c>
      <c r="W1290" s="13" t="str">
        <f>LOOKUP(1,1/(Table1[[#This Row],[Level_0]:[Level 15]]&gt;0),(Table1[[#This Row],[Level_0]:[Level 15]]))</f>
        <v>7811113010 - [APA LY CCV CAPVARMigrationHistory]</v>
      </c>
    </row>
    <row r="1291" spans="1:23" hidden="1" x14ac:dyDescent="0.25">
      <c r="A1291">
        <v>223300</v>
      </c>
      <c r="B1291" s="16" t="e">
        <v>#N/A</v>
      </c>
      <c r="C1291" s="16" t="e">
        <f>VLOOKUP(Table1[[#This Row],[Node]],Parent!A:B,2,0)</f>
        <v>#N/A</v>
      </c>
      <c r="D1291" s="25" t="s">
        <v>19346</v>
      </c>
      <c r="E1291" s="26" t="s">
        <v>16544</v>
      </c>
      <c r="F1291" s="27" t="s">
        <v>17700</v>
      </c>
      <c r="G1291" s="27" t="s">
        <v>17799</v>
      </c>
      <c r="H1291" s="27"/>
      <c r="I1291" s="27"/>
      <c r="J1291" s="27"/>
      <c r="K1291" s="27"/>
      <c r="L1291" s="27"/>
      <c r="N1291" s="27"/>
      <c r="T1291" s="28" t="str">
        <f>LOOKUP(1,1/(Table1[[#This Row],[Level_0]:[Level 15]]&gt;0),(Table1[[#This Row],[Level_0]:[Level 15]]))</f>
        <v>223300 - []</v>
      </c>
      <c r="U1291" s="22">
        <v>1286</v>
      </c>
      <c r="W1291" s="13" t="str">
        <f>LOOKUP(1,1/(Table1[[#This Row],[Level_0]:[Level 15]]&gt;0),(Table1[[#This Row],[Level_0]:[Level 15]]))</f>
        <v>223300 - []</v>
      </c>
    </row>
    <row r="1292" spans="1:23" hidden="1" x14ac:dyDescent="0.25">
      <c r="A1292">
        <v>7300110022</v>
      </c>
      <c r="B1292" s="16" t="s">
        <v>20758</v>
      </c>
      <c r="C1292" s="16" t="e">
        <f>VLOOKUP(Table1[[#This Row],[Node]],Parent!A:B,2,0)</f>
        <v>#N/A</v>
      </c>
      <c r="D1292" s="25" t="s">
        <v>19346</v>
      </c>
      <c r="E1292" s="26" t="s">
        <v>16544</v>
      </c>
      <c r="F1292" s="27" t="s">
        <v>17700</v>
      </c>
      <c r="G1292" s="27" t="s">
        <v>17799</v>
      </c>
      <c r="H1292" s="27" t="s">
        <v>17800</v>
      </c>
      <c r="I1292" s="27"/>
      <c r="J1292" s="27"/>
      <c r="K1292" s="27"/>
      <c r="L1292" s="27"/>
      <c r="N1292" s="27"/>
      <c r="T1292" s="28" t="str">
        <f>LOOKUP(1,1/(Table1[[#This Row],[Level_0]:[Level 15]]&gt;0),(Table1[[#This Row],[Level_0]:[Level 15]]))</f>
        <v>7300110022 - [DAA PRO - Returnable Items (AU)]</v>
      </c>
      <c r="U1292" s="22">
        <v>1287</v>
      </c>
      <c r="W1292" s="13" t="str">
        <f>LOOKUP(1,1/(Table1[[#This Row],[Level_0]:[Level 15]]&gt;0),(Table1[[#This Row],[Level_0]:[Level 15]]))</f>
        <v>7300110022 - [DAA PRO - Returnable Items (AU)]</v>
      </c>
    </row>
    <row r="1293" spans="1:23" hidden="1" x14ac:dyDescent="0.25">
      <c r="A1293">
        <v>7300110018</v>
      </c>
      <c r="B1293" s="16" t="s">
        <v>20754</v>
      </c>
      <c r="C1293" s="16" t="e">
        <f>VLOOKUP(Table1[[#This Row],[Node]],Parent!A:B,2,0)</f>
        <v>#N/A</v>
      </c>
      <c r="D1293" s="25" t="s">
        <v>19346</v>
      </c>
      <c r="E1293" s="26" t="s">
        <v>16544</v>
      </c>
      <c r="F1293" s="27" t="s">
        <v>17700</v>
      </c>
      <c r="G1293" s="27" t="s">
        <v>17799</v>
      </c>
      <c r="H1293" s="27" t="s">
        <v>17801</v>
      </c>
      <c r="I1293" s="27"/>
      <c r="J1293" s="27"/>
      <c r="K1293" s="27"/>
      <c r="L1293" s="27"/>
      <c r="N1293" s="27"/>
      <c r="T1293" s="28" t="str">
        <f>LOOKUP(1,1/(Table1[[#This Row],[Level_0]:[Level 15]]&gt;0),(Table1[[#This Row],[Level_0]:[Level 15]]))</f>
        <v>7300110018 - [PRO - Sole (kwh)]</v>
      </c>
      <c r="U1293" s="22">
        <v>1288</v>
      </c>
      <c r="W1293" s="13" t="str">
        <f>LOOKUP(1,1/(Table1[[#This Row],[Level_0]:[Level 15]]&gt;0),(Table1[[#This Row],[Level_0]:[Level 15]]))</f>
        <v>7300110018 - [PRO - Sole (kwh)]</v>
      </c>
    </row>
    <row r="1294" spans="1:23" hidden="1" x14ac:dyDescent="0.25">
      <c r="A1294">
        <v>7300110017</v>
      </c>
      <c r="B1294" s="16" t="s">
        <v>20753</v>
      </c>
      <c r="C1294" s="16" t="e">
        <f>VLOOKUP(Table1[[#This Row],[Node]],Parent!A:B,2,0)</f>
        <v>#N/A</v>
      </c>
      <c r="D1294" s="25" t="s">
        <v>19346</v>
      </c>
      <c r="E1294" s="26" t="s">
        <v>16544</v>
      </c>
      <c r="F1294" s="27" t="s">
        <v>17700</v>
      </c>
      <c r="G1294" s="27" t="s">
        <v>17799</v>
      </c>
      <c r="H1294" s="27" t="s">
        <v>17802</v>
      </c>
      <c r="I1294" s="27"/>
      <c r="J1294" s="27"/>
      <c r="K1294" s="27"/>
      <c r="L1294" s="27"/>
      <c r="N1294" s="27"/>
      <c r="T1294" s="28" t="str">
        <f>LOOKUP(1,1/(Table1[[#This Row],[Level_0]:[Level 15]]&gt;0),(Table1[[#This Row],[Level_0]:[Level 15]]))</f>
        <v>7300110017 - [PRO - water cooling (M3)]</v>
      </c>
      <c r="U1294" s="22">
        <v>1289</v>
      </c>
      <c r="W1294" s="13" t="str">
        <f>LOOKUP(1,1/(Table1[[#This Row],[Level_0]:[Level 15]]&gt;0),(Table1[[#This Row],[Level_0]:[Level 15]]))</f>
        <v>7300110017 - [PRO - water cooling (M3)]</v>
      </c>
    </row>
    <row r="1295" spans="1:23" hidden="1" x14ac:dyDescent="0.25">
      <c r="A1295">
        <v>7300110016</v>
      </c>
      <c r="B1295" s="16" t="s">
        <v>20752</v>
      </c>
      <c r="C1295" s="16" t="e">
        <f>VLOOKUP(Table1[[#This Row],[Node]],Parent!A:B,2,0)</f>
        <v>#N/A</v>
      </c>
      <c r="D1295" s="25" t="s">
        <v>19346</v>
      </c>
      <c r="E1295" s="26" t="s">
        <v>16544</v>
      </c>
      <c r="F1295" s="27" t="s">
        <v>17700</v>
      </c>
      <c r="G1295" s="27" t="s">
        <v>17799</v>
      </c>
      <c r="H1295" s="27" t="s">
        <v>17803</v>
      </c>
      <c r="I1295" s="27"/>
      <c r="J1295" s="27"/>
      <c r="K1295" s="27"/>
      <c r="L1295" s="27"/>
      <c r="N1295" s="27"/>
      <c r="T1295" s="28" t="str">
        <f>LOOKUP(1,1/(Table1[[#This Row],[Level_0]:[Level 15]]&gt;0),(Table1[[#This Row],[Level_0]:[Level 15]]))</f>
        <v>7300110016 - [DAA PRO - Other Environmental]</v>
      </c>
      <c r="U1295" s="22">
        <v>1290</v>
      </c>
      <c r="W1295" s="13" t="str">
        <f>LOOKUP(1,1/(Table1[[#This Row],[Level_0]:[Level 15]]&gt;0),(Table1[[#This Row],[Level_0]:[Level 15]]))</f>
        <v>7300110016 - [DAA PRO - Other Environmental]</v>
      </c>
    </row>
    <row r="1296" spans="1:23" hidden="1" x14ac:dyDescent="0.25">
      <c r="A1296">
        <v>7300110014</v>
      </c>
      <c r="B1296" s="16" t="s">
        <v>20750</v>
      </c>
      <c r="C1296" s="16" t="e">
        <f>VLOOKUP(Table1[[#This Row],[Node]],Parent!A:B,2,0)</f>
        <v>#N/A</v>
      </c>
      <c r="D1296" s="25" t="s">
        <v>19346</v>
      </c>
      <c r="E1296" s="26" t="s">
        <v>16544</v>
      </c>
      <c r="F1296" s="27" t="s">
        <v>17700</v>
      </c>
      <c r="G1296" s="27" t="s">
        <v>17799</v>
      </c>
      <c r="H1296" s="27" t="s">
        <v>17804</v>
      </c>
      <c r="I1296" s="27"/>
      <c r="J1296" s="27"/>
      <c r="K1296" s="27"/>
      <c r="L1296" s="27"/>
      <c r="N1296" s="27"/>
      <c r="T1296" s="28" t="str">
        <f>LOOKUP(1,1/(Table1[[#This Row],[Level_0]:[Level 15]]&gt;0),(Table1[[#This Row],[Level_0]:[Level 15]]))</f>
        <v>7300110014 - [DAA PRO - Waste Solid Treatment]</v>
      </c>
      <c r="U1296" s="22">
        <v>1291</v>
      </c>
      <c r="W1296" s="13" t="str">
        <f>LOOKUP(1,1/(Table1[[#This Row],[Level_0]:[Level 15]]&gt;0),(Table1[[#This Row],[Level_0]:[Level 15]]))</f>
        <v>7300110014 - [DAA PRO - Waste Solid Treatment]</v>
      </c>
    </row>
    <row r="1297" spans="1:23" hidden="1" x14ac:dyDescent="0.25">
      <c r="A1297">
        <v>7300110013</v>
      </c>
      <c r="B1297" s="16" t="s">
        <v>20749</v>
      </c>
      <c r="C1297" s="16" t="e">
        <f>VLOOKUP(Table1[[#This Row],[Node]],Parent!A:B,2,0)</f>
        <v>#N/A</v>
      </c>
      <c r="D1297" s="25" t="s">
        <v>19346</v>
      </c>
      <c r="E1297" s="26" t="s">
        <v>16544</v>
      </c>
      <c r="F1297" s="27" t="s">
        <v>17700</v>
      </c>
      <c r="G1297" s="27" t="s">
        <v>17799</v>
      </c>
      <c r="H1297" s="27" t="s">
        <v>17805</v>
      </c>
      <c r="I1297" s="27"/>
      <c r="J1297" s="27"/>
      <c r="K1297" s="27"/>
      <c r="L1297" s="27"/>
      <c r="N1297" s="27"/>
      <c r="T1297" s="28" t="str">
        <f>LOOKUP(1,1/(Table1[[#This Row],[Level_0]:[Level 15]]&gt;0),(Table1[[#This Row],[Level_0]:[Level 15]]))</f>
        <v>7300110013 - [DAA PRO - Waste Water Treatment]</v>
      </c>
      <c r="U1297" s="22">
        <v>1292</v>
      </c>
      <c r="W1297" s="13" t="str">
        <f>LOOKUP(1,1/(Table1[[#This Row],[Level_0]:[Level 15]]&gt;0),(Table1[[#This Row],[Level_0]:[Level 15]]))</f>
        <v>7300110013 - [DAA PRO - Waste Water Treatment]</v>
      </c>
    </row>
    <row r="1298" spans="1:23" hidden="1" x14ac:dyDescent="0.25">
      <c r="A1298">
        <v>7300110012</v>
      </c>
      <c r="B1298" s="16" t="s">
        <v>20748</v>
      </c>
      <c r="C1298" s="16" t="e">
        <f>VLOOKUP(Table1[[#This Row],[Node]],Parent!A:B,2,0)</f>
        <v>#N/A</v>
      </c>
      <c r="D1298" s="25" t="s">
        <v>19346</v>
      </c>
      <c r="E1298" s="26" t="s">
        <v>16544</v>
      </c>
      <c r="F1298" s="27" t="s">
        <v>17700</v>
      </c>
      <c r="G1298" s="27" t="s">
        <v>17799</v>
      </c>
      <c r="H1298" s="27" t="s">
        <v>17806</v>
      </c>
      <c r="I1298" s="27"/>
      <c r="J1298" s="27"/>
      <c r="K1298" s="27"/>
      <c r="L1298" s="27"/>
      <c r="N1298" s="27"/>
      <c r="T1298" s="28" t="str">
        <f>LOOKUP(1,1/(Table1[[#This Row],[Level_0]:[Level 15]]&gt;0),(Table1[[#This Row],[Level_0]:[Level 15]]))</f>
        <v>7300110012 - [DAA PRO - Other Utilities]</v>
      </c>
      <c r="U1298" s="22">
        <v>1293</v>
      </c>
      <c r="W1298" s="13" t="str">
        <f>LOOKUP(1,1/(Table1[[#This Row],[Level_0]:[Level 15]]&gt;0),(Table1[[#This Row],[Level_0]:[Level 15]]))</f>
        <v>7300110012 - [DAA PRO - Other Utilities]</v>
      </c>
    </row>
    <row r="1299" spans="1:23" hidden="1" x14ac:dyDescent="0.25">
      <c r="A1299">
        <v>7300110011</v>
      </c>
      <c r="B1299" s="16" t="s">
        <v>20747</v>
      </c>
      <c r="C1299" s="16" t="e">
        <f>VLOOKUP(Table1[[#This Row],[Node]],Parent!A:B,2,0)</f>
        <v>#N/A</v>
      </c>
      <c r="D1299" s="25" t="s">
        <v>19346</v>
      </c>
      <c r="E1299" s="26" t="s">
        <v>16544</v>
      </c>
      <c r="F1299" s="27" t="s">
        <v>17700</v>
      </c>
      <c r="G1299" s="27" t="s">
        <v>17799</v>
      </c>
      <c r="H1299" s="27" t="s">
        <v>17807</v>
      </c>
      <c r="I1299" s="27"/>
      <c r="J1299" s="27"/>
      <c r="K1299" s="27"/>
      <c r="L1299" s="27"/>
      <c r="N1299" s="27"/>
      <c r="T1299" s="28" t="str">
        <f>LOOKUP(1,1/(Table1[[#This Row],[Level_0]:[Level 15]]&gt;0),(Table1[[#This Row],[Level_0]:[Level 15]]))</f>
        <v>7300110011 - [DAA PRO - Other Energies]</v>
      </c>
      <c r="U1299" s="22">
        <v>1294</v>
      </c>
      <c r="W1299" s="13" t="str">
        <f>LOOKUP(1,1/(Table1[[#This Row],[Level_0]:[Level 15]]&gt;0),(Table1[[#This Row],[Level_0]:[Level 15]]))</f>
        <v>7300110011 - [DAA PRO - Other Energies]</v>
      </c>
    </row>
    <row r="1300" spans="1:23" hidden="1" x14ac:dyDescent="0.25">
      <c r="A1300">
        <v>7300110010</v>
      </c>
      <c r="B1300" s="16" t="s">
        <v>20746</v>
      </c>
      <c r="C1300" s="16" t="e">
        <f>VLOOKUP(Table1[[#This Row],[Node]],Parent!A:B,2,0)</f>
        <v>#N/A</v>
      </c>
      <c r="D1300" s="25" t="s">
        <v>19346</v>
      </c>
      <c r="E1300" s="26" t="s">
        <v>16544</v>
      </c>
      <c r="F1300" s="27" t="s">
        <v>17700</v>
      </c>
      <c r="G1300" s="27" t="s">
        <v>17799</v>
      </c>
      <c r="H1300" s="27" t="s">
        <v>17808</v>
      </c>
      <c r="I1300" s="27"/>
      <c r="J1300" s="27"/>
      <c r="K1300" s="27"/>
      <c r="L1300" s="27"/>
      <c r="N1300" s="27"/>
      <c r="T1300" s="28" t="str">
        <f>LOOKUP(1,1/(Table1[[#This Row],[Level_0]:[Level 15]]&gt;0),(Table1[[#This Row],[Level_0]:[Level 15]]))</f>
        <v>7300110010 - [DAA PRO - Water]</v>
      </c>
      <c r="U1300" s="22">
        <v>1295</v>
      </c>
      <c r="W1300" s="13" t="str">
        <f>LOOKUP(1,1/(Table1[[#This Row],[Level_0]:[Level 15]]&gt;0),(Table1[[#This Row],[Level_0]:[Level 15]]))</f>
        <v>7300110010 - [DAA PRO - Water]</v>
      </c>
    </row>
    <row r="1301" spans="1:23" hidden="1" x14ac:dyDescent="0.25">
      <c r="A1301">
        <v>7300110009</v>
      </c>
      <c r="B1301" s="16" t="s">
        <v>20745</v>
      </c>
      <c r="C1301" s="16" t="e">
        <f>VLOOKUP(Table1[[#This Row],[Node]],Parent!A:B,2,0)</f>
        <v>#N/A</v>
      </c>
      <c r="D1301" s="25" t="s">
        <v>19346</v>
      </c>
      <c r="E1301" s="26" t="s">
        <v>16544</v>
      </c>
      <c r="F1301" s="27" t="s">
        <v>17700</v>
      </c>
      <c r="G1301" s="27" t="s">
        <v>17799</v>
      </c>
      <c r="H1301" s="27" t="s">
        <v>17809</v>
      </c>
      <c r="I1301" s="27"/>
      <c r="J1301" s="27"/>
      <c r="K1301" s="27"/>
      <c r="L1301" s="27"/>
      <c r="N1301" s="27"/>
      <c r="T1301" s="28" t="str">
        <f>LOOKUP(1,1/(Table1[[#This Row],[Level_0]:[Level 15]]&gt;0),(Table1[[#This Row],[Level_0]:[Level 15]]))</f>
        <v>7300110009 - [DAA PRO - Compressed Air]</v>
      </c>
      <c r="U1301" s="22">
        <v>1296</v>
      </c>
      <c r="W1301" s="13" t="str">
        <f>LOOKUP(1,1/(Table1[[#This Row],[Level_0]:[Level 15]]&gt;0),(Table1[[#This Row],[Level_0]:[Level 15]]))</f>
        <v>7300110009 - [DAA PRO - Compressed Air]</v>
      </c>
    </row>
    <row r="1302" spans="1:23" hidden="1" x14ac:dyDescent="0.25">
      <c r="A1302">
        <v>7300110008</v>
      </c>
      <c r="B1302" s="16" t="s">
        <v>20744</v>
      </c>
      <c r="C1302" s="16" t="e">
        <f>VLOOKUP(Table1[[#This Row],[Node]],Parent!A:B,2,0)</f>
        <v>#N/A</v>
      </c>
      <c r="D1302" s="25" t="s">
        <v>19346</v>
      </c>
      <c r="E1302" s="26" t="s">
        <v>16544</v>
      </c>
      <c r="F1302" s="27" t="s">
        <v>17700</v>
      </c>
      <c r="G1302" s="27" t="s">
        <v>17799</v>
      </c>
      <c r="H1302" s="27" t="s">
        <v>17810</v>
      </c>
      <c r="I1302" s="27"/>
      <c r="J1302" s="27"/>
      <c r="K1302" s="27"/>
      <c r="L1302" s="27"/>
      <c r="N1302" s="27"/>
      <c r="T1302" s="28" t="str">
        <f>LOOKUP(1,1/(Table1[[#This Row],[Level_0]:[Level 15]]&gt;0),(Table1[[#This Row],[Level_0]:[Level 15]]))</f>
        <v>7300110008 - [DAA PRO - Steam]</v>
      </c>
      <c r="U1302" s="22">
        <v>1297</v>
      </c>
      <c r="W1302" s="13" t="str">
        <f>LOOKUP(1,1/(Table1[[#This Row],[Level_0]:[Level 15]]&gt;0),(Table1[[#This Row],[Level_0]:[Level 15]]))</f>
        <v>7300110008 - [DAA PRO - Steam]</v>
      </c>
    </row>
    <row r="1303" spans="1:23" hidden="1" x14ac:dyDescent="0.25">
      <c r="A1303">
        <v>7300110007</v>
      </c>
      <c r="B1303" s="16" t="s">
        <v>20743</v>
      </c>
      <c r="C1303" s="16" t="e">
        <f>VLOOKUP(Table1[[#This Row],[Node]],Parent!A:B,2,0)</f>
        <v>#N/A</v>
      </c>
      <c r="D1303" s="25" t="s">
        <v>19346</v>
      </c>
      <c r="E1303" s="26" t="s">
        <v>16544</v>
      </c>
      <c r="F1303" s="27" t="s">
        <v>17700</v>
      </c>
      <c r="G1303" s="27" t="s">
        <v>17799</v>
      </c>
      <c r="H1303" s="27" t="s">
        <v>17811</v>
      </c>
      <c r="I1303" s="27"/>
      <c r="J1303" s="27"/>
      <c r="K1303" s="27"/>
      <c r="L1303" s="27"/>
      <c r="N1303" s="27"/>
      <c r="T1303" s="28" t="str">
        <f>LOOKUP(1,1/(Table1[[#This Row],[Level_0]:[Level 15]]&gt;0),(Table1[[#This Row],[Level_0]:[Level 15]]))</f>
        <v>7300110007 - [DAA PRO - Natural Gas]</v>
      </c>
      <c r="U1303" s="22">
        <v>1298</v>
      </c>
      <c r="W1303" s="13" t="str">
        <f>LOOKUP(1,1/(Table1[[#This Row],[Level_0]:[Level 15]]&gt;0),(Table1[[#This Row],[Level_0]:[Level 15]]))</f>
        <v>7300110007 - [DAA PRO - Natural Gas]</v>
      </c>
    </row>
    <row r="1304" spans="1:23" hidden="1" x14ac:dyDescent="0.25">
      <c r="A1304">
        <v>7300110006</v>
      </c>
      <c r="B1304" s="16" t="s">
        <v>20742</v>
      </c>
      <c r="C1304" s="16" t="e">
        <f>VLOOKUP(Table1[[#This Row],[Node]],Parent!A:B,2,0)</f>
        <v>#N/A</v>
      </c>
      <c r="D1304" s="25" t="s">
        <v>19346</v>
      </c>
      <c r="E1304" s="26" t="s">
        <v>16544</v>
      </c>
      <c r="F1304" s="27" t="s">
        <v>17700</v>
      </c>
      <c r="G1304" s="27" t="s">
        <v>17799</v>
      </c>
      <c r="H1304" s="27" t="s">
        <v>17812</v>
      </c>
      <c r="I1304" s="27"/>
      <c r="J1304" s="27"/>
      <c r="K1304" s="27"/>
      <c r="L1304" s="27"/>
      <c r="N1304" s="27"/>
      <c r="T1304" s="28" t="str">
        <f>LOOKUP(1,1/(Table1[[#This Row],[Level_0]:[Level 15]]&gt;0),(Table1[[#This Row],[Level_0]:[Level 15]]))</f>
        <v>7300110006 - [DAA PRO - Electricity]</v>
      </c>
      <c r="U1304" s="22">
        <v>1299</v>
      </c>
      <c r="W1304" s="13" t="str">
        <f>LOOKUP(1,1/(Table1[[#This Row],[Level_0]:[Level 15]]&gt;0),(Table1[[#This Row],[Level_0]:[Level 15]]))</f>
        <v>7300110006 - [DAA PRO - Electricity]</v>
      </c>
    </row>
    <row r="1305" spans="1:23" hidden="1" x14ac:dyDescent="0.25">
      <c r="A1305">
        <v>223200</v>
      </c>
      <c r="B1305" s="16" t="e">
        <v>#N/A</v>
      </c>
      <c r="C1305" s="16" t="e">
        <f>VLOOKUP(Table1[[#This Row],[Node]],Parent!A:B,2,0)</f>
        <v>#N/A</v>
      </c>
      <c r="D1305" s="25" t="s">
        <v>19346</v>
      </c>
      <c r="E1305" s="26" t="s">
        <v>16544</v>
      </c>
      <c r="F1305" s="27" t="s">
        <v>17700</v>
      </c>
      <c r="G1305" s="27" t="s">
        <v>17813</v>
      </c>
      <c r="H1305" s="27"/>
      <c r="I1305" s="27"/>
      <c r="J1305" s="27"/>
      <c r="K1305" s="27"/>
      <c r="L1305" s="27"/>
      <c r="N1305" s="27"/>
      <c r="T1305" s="28" t="str">
        <f>LOOKUP(1,1/(Table1[[#This Row],[Level_0]:[Level 15]]&gt;0),(Table1[[#This Row],[Level_0]:[Level 15]]))</f>
        <v>223200 - []</v>
      </c>
      <c r="U1305" s="22">
        <v>1300</v>
      </c>
      <c r="W1305" s="13" t="str">
        <f>LOOKUP(1,1/(Table1[[#This Row],[Level_0]:[Level 15]]&gt;0),(Table1[[#This Row],[Level_0]:[Level 15]]))</f>
        <v>223200 - []</v>
      </c>
    </row>
    <row r="1306" spans="1:23" hidden="1" x14ac:dyDescent="0.25">
      <c r="A1306">
        <v>7300110041</v>
      </c>
      <c r="B1306" s="16" t="s">
        <v>20771</v>
      </c>
      <c r="C1306" s="16" t="e">
        <f>VLOOKUP(Table1[[#This Row],[Node]],Parent!A:B,2,0)</f>
        <v>#N/A</v>
      </c>
      <c r="D1306" s="25" t="s">
        <v>19346</v>
      </c>
      <c r="E1306" s="26" t="s">
        <v>16544</v>
      </c>
      <c r="F1306" s="27" t="s">
        <v>17700</v>
      </c>
      <c r="G1306" s="27" t="s">
        <v>17813</v>
      </c>
      <c r="H1306" s="27" t="s">
        <v>17814</v>
      </c>
      <c r="I1306" s="27"/>
      <c r="J1306" s="27"/>
      <c r="K1306" s="27"/>
      <c r="L1306" s="27"/>
      <c r="N1306" s="27"/>
      <c r="T1306" s="28" t="str">
        <f>LOOKUP(1,1/(Table1[[#This Row],[Level_0]:[Level 15]]&gt;0),(Table1[[#This Row],[Level_0]:[Level 15]]))</f>
        <v>7300110041 - [DAA PRO DM Engineering Labor Activity]</v>
      </c>
      <c r="U1306" s="22">
        <v>1301</v>
      </c>
      <c r="W1306" s="13" t="str">
        <f>LOOKUP(1,1/(Table1[[#This Row],[Level_0]:[Level 15]]&gt;0),(Table1[[#This Row],[Level_0]:[Level 15]]))</f>
        <v>7300110041 - [DAA PRO DM Engineering Labor Activity]</v>
      </c>
    </row>
    <row r="1307" spans="1:23" hidden="1" x14ac:dyDescent="0.25">
      <c r="A1307">
        <v>7300110040</v>
      </c>
      <c r="B1307" s="16" t="s">
        <v>20770</v>
      </c>
      <c r="C1307" s="16" t="e">
        <f>VLOOKUP(Table1[[#This Row],[Node]],Parent!A:B,2,0)</f>
        <v>#N/A</v>
      </c>
      <c r="D1307" s="25" t="s">
        <v>19346</v>
      </c>
      <c r="E1307" s="26" t="s">
        <v>16544</v>
      </c>
      <c r="F1307" s="27" t="s">
        <v>17700</v>
      </c>
      <c r="G1307" s="27" t="s">
        <v>17813</v>
      </c>
      <c r="H1307" s="27" t="s">
        <v>17815</v>
      </c>
      <c r="I1307" s="27"/>
      <c r="J1307" s="27"/>
      <c r="K1307" s="27"/>
      <c r="L1307" s="27"/>
      <c r="N1307" s="27"/>
      <c r="T1307" s="28" t="str">
        <f>LOOKUP(1,1/(Table1[[#This Row],[Level_0]:[Level 15]]&gt;0),(Table1[[#This Row],[Level_0]:[Level 15]]))</f>
        <v>7300110040 - [DAA PRO DM Staff Labor Activity]</v>
      </c>
      <c r="U1307" s="22">
        <v>1302</v>
      </c>
      <c r="W1307" s="13" t="str">
        <f>LOOKUP(1,1/(Table1[[#This Row],[Level_0]:[Level 15]]&gt;0),(Table1[[#This Row],[Level_0]:[Level 15]]))</f>
        <v>7300110040 - [DAA PRO DM Staff Labor Activity]</v>
      </c>
    </row>
    <row r="1308" spans="1:23" hidden="1" x14ac:dyDescent="0.25">
      <c r="A1308">
        <v>7300110039</v>
      </c>
      <c r="B1308" s="16" t="s">
        <v>20769</v>
      </c>
      <c r="C1308" s="16" t="e">
        <f>VLOOKUP(Table1[[#This Row],[Node]],Parent!A:B,2,0)</f>
        <v>#N/A</v>
      </c>
      <c r="D1308" s="25" t="s">
        <v>19346</v>
      </c>
      <c r="E1308" s="26" t="s">
        <v>16544</v>
      </c>
      <c r="F1308" s="27" t="s">
        <v>17700</v>
      </c>
      <c r="G1308" s="27" t="s">
        <v>17813</v>
      </c>
      <c r="H1308" s="27" t="s">
        <v>17816</v>
      </c>
      <c r="I1308" s="27"/>
      <c r="J1308" s="27"/>
      <c r="K1308" s="27"/>
      <c r="L1308" s="27"/>
      <c r="N1308" s="27"/>
      <c r="T1308" s="28" t="str">
        <f>LOOKUP(1,1/(Table1[[#This Row],[Level_0]:[Level 15]]&gt;0),(Table1[[#This Row],[Level_0]:[Level 15]]))</f>
        <v>7300110039 - [DAA PRO DM ShopLaborActivity]</v>
      </c>
      <c r="U1308" s="22">
        <v>1303</v>
      </c>
      <c r="W1308" s="13" t="str">
        <f>LOOKUP(1,1/(Table1[[#This Row],[Level_0]:[Level 15]]&gt;0),(Table1[[#This Row],[Level_0]:[Level 15]]))</f>
        <v>7300110039 - [DAA PRO DM ShopLaborActivity]</v>
      </c>
    </row>
    <row r="1309" spans="1:23" hidden="1" x14ac:dyDescent="0.25">
      <c r="A1309">
        <v>7300110038</v>
      </c>
      <c r="B1309" s="16" t="s">
        <v>20768</v>
      </c>
      <c r="C1309" s="16" t="e">
        <f>VLOOKUP(Table1[[#This Row],[Node]],Parent!A:B,2,0)</f>
        <v>#N/A</v>
      </c>
      <c r="D1309" s="25" t="s">
        <v>19346</v>
      </c>
      <c r="E1309" s="26" t="s">
        <v>16544</v>
      </c>
      <c r="F1309" s="27" t="s">
        <v>17700</v>
      </c>
      <c r="G1309" s="27" t="s">
        <v>17813</v>
      </c>
      <c r="H1309" s="27" t="s">
        <v>17817</v>
      </c>
      <c r="I1309" s="27"/>
      <c r="J1309" s="27"/>
      <c r="K1309" s="27"/>
      <c r="L1309" s="27"/>
      <c r="N1309" s="27"/>
      <c r="T1309" s="28" t="str">
        <f>LOOKUP(1,1/(Table1[[#This Row],[Level_0]:[Level 15]]&gt;0),(Table1[[#This Row],[Level_0]:[Level 15]]))</f>
        <v>7300110038 - [DAA PRO Cylinder ContainerPrepSettlement]</v>
      </c>
      <c r="U1309" s="22">
        <v>1304</v>
      </c>
      <c r="W1309" s="13" t="str">
        <f>LOOKUP(1,1/(Table1[[#This Row],[Level_0]:[Level 15]]&gt;0),(Table1[[#This Row],[Level_0]:[Level 15]]))</f>
        <v>7300110038 - [DAA PRO Cylinder ContainerPrepSettlement]</v>
      </c>
    </row>
    <row r="1310" spans="1:23" hidden="1" x14ac:dyDescent="0.25">
      <c r="A1310">
        <v>7300110037</v>
      </c>
      <c r="B1310" s="16" t="s">
        <v>20767</v>
      </c>
      <c r="C1310" s="16" t="e">
        <f>VLOOKUP(Table1[[#This Row],[Node]],Parent!A:B,2,0)</f>
        <v>#N/A</v>
      </c>
      <c r="D1310" s="25" t="s">
        <v>19346</v>
      </c>
      <c r="E1310" s="26" t="s">
        <v>16544</v>
      </c>
      <c r="F1310" s="27" t="s">
        <v>17700</v>
      </c>
      <c r="G1310" s="27" t="s">
        <v>17813</v>
      </c>
      <c r="H1310" s="27" t="s">
        <v>17818</v>
      </c>
      <c r="I1310" s="27"/>
      <c r="J1310" s="27"/>
      <c r="K1310" s="27"/>
      <c r="L1310" s="27"/>
      <c r="N1310" s="27"/>
      <c r="T1310" s="28" t="str">
        <f>LOOKUP(1,1/(Table1[[#This Row],[Level_0]:[Level 15]]&gt;0),(Table1[[#This Row],[Level_0]:[Level 15]]))</f>
        <v>7300110037 - [DAA PRO Bulk Container Prep Settlement]</v>
      </c>
      <c r="U1310" s="22">
        <v>1305</v>
      </c>
      <c r="W1310" s="13" t="str">
        <f>LOOKUP(1,1/(Table1[[#This Row],[Level_0]:[Level 15]]&gt;0),(Table1[[#This Row],[Level_0]:[Level 15]]))</f>
        <v>7300110037 - [DAA PRO Bulk Container Prep Settlement]</v>
      </c>
    </row>
    <row r="1311" spans="1:23" hidden="1" x14ac:dyDescent="0.25">
      <c r="A1311">
        <v>7300110033</v>
      </c>
      <c r="B1311" s="16" t="s">
        <v>20763</v>
      </c>
      <c r="C1311" s="16" t="e">
        <f>VLOOKUP(Table1[[#This Row],[Node]],Parent!A:B,2,0)</f>
        <v>#N/A</v>
      </c>
      <c r="D1311" s="25" t="s">
        <v>19346</v>
      </c>
      <c r="E1311" s="26" t="s">
        <v>16544</v>
      </c>
      <c r="F1311" s="27" t="s">
        <v>17700</v>
      </c>
      <c r="G1311" s="27" t="s">
        <v>17813</v>
      </c>
      <c r="H1311" s="27" t="s">
        <v>17819</v>
      </c>
      <c r="I1311" s="27"/>
      <c r="J1311" s="27"/>
      <c r="K1311" s="27"/>
      <c r="L1311" s="27"/>
      <c r="N1311" s="27"/>
      <c r="T1311" s="28" t="str">
        <f>LOOKUP(1,1/(Table1[[#This Row],[Level_0]:[Level 15]]&gt;0),(Table1[[#This Row],[Level_0]:[Level 15]]))</f>
        <v>7300110033 - [DAA PRO StainlessSteelContainerPrepSettl]</v>
      </c>
      <c r="U1311" s="22">
        <v>1306</v>
      </c>
      <c r="W1311" s="13" t="str">
        <f>LOOKUP(1,1/(Table1[[#This Row],[Level_0]:[Level 15]]&gt;0),(Table1[[#This Row],[Level_0]:[Level 15]]))</f>
        <v>7300110033 - [DAA PRO StainlessSteelContainerPrepSettl]</v>
      </c>
    </row>
    <row r="1312" spans="1:23" hidden="1" x14ac:dyDescent="0.25">
      <c r="A1312">
        <v>7300110032</v>
      </c>
      <c r="B1312" s="16" t="s">
        <v>20762</v>
      </c>
      <c r="C1312" s="16" t="e">
        <f>VLOOKUP(Table1[[#This Row],[Node]],Parent!A:B,2,0)</f>
        <v>#N/A</v>
      </c>
      <c r="D1312" s="25" t="s">
        <v>19346</v>
      </c>
      <c r="E1312" s="26" t="s">
        <v>16544</v>
      </c>
      <c r="F1312" s="27" t="s">
        <v>17700</v>
      </c>
      <c r="G1312" s="27" t="s">
        <v>17813</v>
      </c>
      <c r="H1312" s="27" t="s">
        <v>17820</v>
      </c>
      <c r="I1312" s="27"/>
      <c r="J1312" s="27"/>
      <c r="K1312" s="27"/>
      <c r="L1312" s="27"/>
      <c r="N1312" s="27"/>
      <c r="T1312" s="28" t="str">
        <f>LOOKUP(1,1/(Table1[[#This Row],[Level_0]:[Level 15]]&gt;0),(Table1[[#This Row],[Level_0]:[Level 15]]))</f>
        <v>7300110032 - [DAA PRO Quartz Container Prep Settlement]</v>
      </c>
      <c r="U1312" s="22">
        <v>1307</v>
      </c>
      <c r="W1312" s="13" t="str">
        <f>LOOKUP(1,1/(Table1[[#This Row],[Level_0]:[Level 15]]&gt;0),(Table1[[#This Row],[Level_0]:[Level 15]]))</f>
        <v>7300110032 - [DAA PRO Quartz Container Prep Settlement]</v>
      </c>
    </row>
    <row r="1313" spans="1:23" hidden="1" x14ac:dyDescent="0.25">
      <c r="A1313">
        <v>7300110005</v>
      </c>
      <c r="B1313" s="16" t="s">
        <v>20741</v>
      </c>
      <c r="C1313" s="16" t="e">
        <f>VLOOKUP(Table1[[#This Row],[Node]],Parent!A:B,2,0)</f>
        <v>#N/A</v>
      </c>
      <c r="D1313" s="25" t="s">
        <v>19346</v>
      </c>
      <c r="E1313" s="26" t="s">
        <v>16544</v>
      </c>
      <c r="F1313" s="27" t="s">
        <v>17700</v>
      </c>
      <c r="G1313" s="27" t="s">
        <v>17813</v>
      </c>
      <c r="H1313" s="27" t="s">
        <v>17821</v>
      </c>
      <c r="I1313" s="27"/>
      <c r="J1313" s="27"/>
      <c r="K1313" s="27"/>
      <c r="L1313" s="27"/>
      <c r="N1313" s="27"/>
      <c r="T1313" s="28" t="str">
        <f>LOOKUP(1,1/(Table1[[#This Row],[Level_0]:[Level 15]]&gt;0),(Table1[[#This Row],[Level_0]:[Level 15]]))</f>
        <v>7300110005 - [DAA PRO Quality Control (Monitor.) Unit]</v>
      </c>
      <c r="U1313" s="22">
        <v>1308</v>
      </c>
      <c r="W1313" s="13" t="str">
        <f>LOOKUP(1,1/(Table1[[#This Row],[Level_0]:[Level 15]]&gt;0),(Table1[[#This Row],[Level_0]:[Level 15]]))</f>
        <v>7300110005 - [DAA PRO Quality Control (Monitor.) Unit]</v>
      </c>
    </row>
    <row r="1314" spans="1:23" hidden="1" x14ac:dyDescent="0.25">
      <c r="A1314">
        <v>7300110004</v>
      </c>
      <c r="B1314" s="16" t="s">
        <v>20740</v>
      </c>
      <c r="C1314" s="16" t="e">
        <f>VLOOKUP(Table1[[#This Row],[Node]],Parent!A:B,2,0)</f>
        <v>#N/A</v>
      </c>
      <c r="D1314" s="25" t="s">
        <v>19346</v>
      </c>
      <c r="E1314" s="26" t="s">
        <v>16544</v>
      </c>
      <c r="F1314" s="27" t="s">
        <v>17700</v>
      </c>
      <c r="G1314" s="27" t="s">
        <v>17813</v>
      </c>
      <c r="H1314" s="27" t="s">
        <v>17822</v>
      </c>
      <c r="I1314" s="27"/>
      <c r="J1314" s="27"/>
      <c r="K1314" s="27"/>
      <c r="L1314" s="27"/>
      <c r="N1314" s="27"/>
      <c r="T1314" s="28" t="str">
        <f>LOOKUP(1,1/(Table1[[#This Row],[Level_0]:[Level 15]]&gt;0),(Table1[[#This Row],[Level_0]:[Level 15]]))</f>
        <v>7300110004 - [DAA PRO Quality Control (Monitor.) Hour]</v>
      </c>
      <c r="U1314" s="22">
        <v>1309</v>
      </c>
      <c r="W1314" s="13" t="str">
        <f>LOOKUP(1,1/(Table1[[#This Row],[Level_0]:[Level 15]]&gt;0),(Table1[[#This Row],[Level_0]:[Level 15]]))</f>
        <v>7300110004 - [DAA PRO Quality Control (Monitor.) Hour]</v>
      </c>
    </row>
    <row r="1315" spans="1:23" hidden="1" x14ac:dyDescent="0.25">
      <c r="A1315">
        <v>7300110001</v>
      </c>
      <c r="B1315" s="16" t="s">
        <v>20737</v>
      </c>
      <c r="C1315" s="16" t="e">
        <f>VLOOKUP(Table1[[#This Row],[Node]],Parent!A:B,2,0)</f>
        <v>#N/A</v>
      </c>
      <c r="D1315" s="25" t="s">
        <v>19346</v>
      </c>
      <c r="E1315" s="26" t="s">
        <v>16544</v>
      </c>
      <c r="F1315" s="27" t="s">
        <v>17700</v>
      </c>
      <c r="G1315" s="27" t="s">
        <v>17813</v>
      </c>
      <c r="H1315" s="27" t="s">
        <v>17823</v>
      </c>
      <c r="I1315" s="27"/>
      <c r="J1315" s="27"/>
      <c r="K1315" s="27"/>
      <c r="L1315" s="27"/>
      <c r="N1315" s="27"/>
      <c r="T1315" s="28" t="str">
        <f>LOOKUP(1,1/(Table1[[#This Row],[Level_0]:[Level 15]]&gt;0),(Table1[[#This Row],[Level_0]:[Level 15]]))</f>
        <v>7300110001 - [DAA PRO - Direct Labour]</v>
      </c>
      <c r="U1315" s="22">
        <v>1310</v>
      </c>
      <c r="W1315" s="13" t="str">
        <f>LOOKUP(1,1/(Table1[[#This Row],[Level_0]:[Level 15]]&gt;0),(Table1[[#This Row],[Level_0]:[Level 15]]))</f>
        <v>7300110001 - [DAA PRO - Direct Labour]</v>
      </c>
    </row>
    <row r="1316" spans="1:23" hidden="1" x14ac:dyDescent="0.25">
      <c r="A1316">
        <v>223100</v>
      </c>
      <c r="B1316" s="16" t="e">
        <v>#N/A</v>
      </c>
      <c r="C1316" s="16" t="e">
        <f>VLOOKUP(Table1[[#This Row],[Node]],Parent!A:B,2,0)</f>
        <v>#N/A</v>
      </c>
      <c r="D1316" s="25" t="s">
        <v>19346</v>
      </c>
      <c r="E1316" s="26" t="s">
        <v>16544</v>
      </c>
      <c r="F1316" s="27" t="s">
        <v>17700</v>
      </c>
      <c r="G1316" s="27" t="s">
        <v>17824</v>
      </c>
      <c r="H1316" s="27"/>
      <c r="I1316" s="27"/>
      <c r="J1316" s="27"/>
      <c r="K1316" s="27"/>
      <c r="L1316" s="27"/>
      <c r="N1316" s="27"/>
      <c r="T1316" s="28" t="str">
        <f>LOOKUP(1,1/(Table1[[#This Row],[Level_0]:[Level 15]]&gt;0),(Table1[[#This Row],[Level_0]:[Level 15]]))</f>
        <v>223100 - []</v>
      </c>
      <c r="U1316" s="22">
        <v>1311</v>
      </c>
      <c r="W1316" s="13" t="str">
        <f>LOOKUP(1,1/(Table1[[#This Row],[Level_0]:[Level 15]]&gt;0),(Table1[[#This Row],[Level_0]:[Level 15]]))</f>
        <v>223100 - []</v>
      </c>
    </row>
    <row r="1317" spans="1:23" hidden="1" x14ac:dyDescent="0.25">
      <c r="A1317">
        <v>7300110036</v>
      </c>
      <c r="B1317" s="16" t="s">
        <v>20766</v>
      </c>
      <c r="C1317" s="16" t="e">
        <f>VLOOKUP(Table1[[#This Row],[Node]],Parent!A:B,2,0)</f>
        <v>#N/A</v>
      </c>
      <c r="D1317" s="25" t="s">
        <v>19346</v>
      </c>
      <c r="E1317" s="26" t="s">
        <v>16544</v>
      </c>
      <c r="F1317" s="27" t="s">
        <v>17700</v>
      </c>
      <c r="G1317" s="27" t="s">
        <v>17824</v>
      </c>
      <c r="H1317" s="27" t="s">
        <v>17825</v>
      </c>
      <c r="I1317" s="27"/>
      <c r="J1317" s="27"/>
      <c r="K1317" s="27"/>
      <c r="L1317" s="27"/>
      <c r="N1317" s="27"/>
      <c r="T1317" s="28" t="str">
        <f>LOOKUP(1,1/(Table1[[#This Row],[Level_0]:[Level 15]]&gt;0),(Table1[[#This Row],[Level_0]:[Level 15]]))</f>
        <v>7300110036 - [DAA PRO FixedProcessingCostIndirectSettl]</v>
      </c>
      <c r="U1317" s="22">
        <v>1312</v>
      </c>
      <c r="W1317" s="13" t="str">
        <f>LOOKUP(1,1/(Table1[[#This Row],[Level_0]:[Level 15]]&gt;0),(Table1[[#This Row],[Level_0]:[Level 15]]))</f>
        <v>7300110036 - [DAA PRO FixedProcessingCostIndirectSettl]</v>
      </c>
    </row>
    <row r="1318" spans="1:23" hidden="1" x14ac:dyDescent="0.25">
      <c r="A1318">
        <v>7300110035</v>
      </c>
      <c r="B1318" s="16" t="s">
        <v>20765</v>
      </c>
      <c r="C1318" s="16" t="e">
        <f>VLOOKUP(Table1[[#This Row],[Node]],Parent!A:B,2,0)</f>
        <v>#N/A</v>
      </c>
      <c r="D1318" s="25" t="s">
        <v>19346</v>
      </c>
      <c r="E1318" s="26" t="s">
        <v>16544</v>
      </c>
      <c r="F1318" s="27" t="s">
        <v>17700</v>
      </c>
      <c r="G1318" s="27" t="s">
        <v>17824</v>
      </c>
      <c r="H1318" s="27" t="s">
        <v>17826</v>
      </c>
      <c r="I1318" s="27"/>
      <c r="J1318" s="27"/>
      <c r="K1318" s="27"/>
      <c r="L1318" s="27"/>
      <c r="N1318" s="27"/>
      <c r="T1318" s="28" t="str">
        <f>LOOKUP(1,1/(Table1[[#This Row],[Level_0]:[Level 15]]&gt;0),(Table1[[#This Row],[Level_0]:[Level 15]]))</f>
        <v>7300110035 - [DAA PRO Fixed ProcessingCostDepreciation]</v>
      </c>
      <c r="U1318" s="22">
        <v>1313</v>
      </c>
      <c r="W1318" s="13" t="str">
        <f>LOOKUP(1,1/(Table1[[#This Row],[Level_0]:[Level 15]]&gt;0),(Table1[[#This Row],[Level_0]:[Level 15]]))</f>
        <v>7300110035 - [DAA PRO Fixed ProcessingCostDepreciation]</v>
      </c>
    </row>
    <row r="1319" spans="1:23" hidden="1" x14ac:dyDescent="0.25">
      <c r="A1319">
        <v>7300110034</v>
      </c>
      <c r="B1319" s="16" t="s">
        <v>20764</v>
      </c>
      <c r="C1319" s="16" t="e">
        <f>VLOOKUP(Table1[[#This Row],[Node]],Parent!A:B,2,0)</f>
        <v>#N/A</v>
      </c>
      <c r="D1319" s="25" t="s">
        <v>19346</v>
      </c>
      <c r="E1319" s="26" t="s">
        <v>16544</v>
      </c>
      <c r="F1319" s="27" t="s">
        <v>17700</v>
      </c>
      <c r="G1319" s="27" t="s">
        <v>17824</v>
      </c>
      <c r="H1319" s="27" t="s">
        <v>17827</v>
      </c>
      <c r="I1319" s="27"/>
      <c r="J1319" s="27"/>
      <c r="K1319" s="27"/>
      <c r="L1319" s="27"/>
      <c r="N1319" s="27"/>
      <c r="T1319" s="28" t="str">
        <f>LOOKUP(1,1/(Table1[[#This Row],[Level_0]:[Level 15]]&gt;0),(Table1[[#This Row],[Level_0]:[Level 15]]))</f>
        <v>7300110034 - [DAA PRO FixedProcessingCostActivitySettl]</v>
      </c>
      <c r="U1319" s="22">
        <v>1314</v>
      </c>
      <c r="W1319" s="13" t="str">
        <f>LOOKUP(1,1/(Table1[[#This Row],[Level_0]:[Level 15]]&gt;0),(Table1[[#This Row],[Level_0]:[Level 15]]))</f>
        <v>7300110034 - [DAA PRO FixedProcessingCostActivitySettl]</v>
      </c>
    </row>
    <row r="1320" spans="1:23" hidden="1" x14ac:dyDescent="0.25">
      <c r="A1320">
        <v>7300110002</v>
      </c>
      <c r="B1320" s="16" t="s">
        <v>20738</v>
      </c>
      <c r="C1320" s="16" t="e">
        <f>VLOOKUP(Table1[[#This Row],[Node]],Parent!A:B,2,0)</f>
        <v>#N/A</v>
      </c>
      <c r="D1320" s="25" t="s">
        <v>19346</v>
      </c>
      <c r="E1320" s="26" t="s">
        <v>16544</v>
      </c>
      <c r="F1320" s="27" t="s">
        <v>17700</v>
      </c>
      <c r="G1320" s="27" t="s">
        <v>17824</v>
      </c>
      <c r="H1320" s="27" t="s">
        <v>17828</v>
      </c>
      <c r="I1320" s="27"/>
      <c r="J1320" s="27"/>
      <c r="K1320" s="27"/>
      <c r="L1320" s="27"/>
      <c r="N1320" s="27"/>
      <c r="T1320" s="28" t="str">
        <f>LOOKUP(1,1/(Table1[[#This Row],[Level_0]:[Level 15]]&gt;0),(Table1[[#This Row],[Level_0]:[Level 15]]))</f>
        <v>7300110002 - [DAA PRO - Operating Hours Equipment]</v>
      </c>
      <c r="U1320" s="22">
        <v>1315</v>
      </c>
      <c r="W1320" s="13" t="str">
        <f>LOOKUP(1,1/(Table1[[#This Row],[Level_0]:[Level 15]]&gt;0),(Table1[[#This Row],[Level_0]:[Level 15]]))</f>
        <v>7300110002 - [DAA PRO - Operating Hours Equipment]</v>
      </c>
    </row>
    <row r="1321" spans="1:23" hidden="1" x14ac:dyDescent="0.25">
      <c r="A1321">
        <v>222000</v>
      </c>
      <c r="B1321" s="16" t="s">
        <v>19504</v>
      </c>
      <c r="C1321" s="16" t="e">
        <f>VLOOKUP(Table1[[#This Row],[Node]],Parent!A:B,2,0)</f>
        <v>#N/A</v>
      </c>
      <c r="D1321" s="25" t="s">
        <v>19346</v>
      </c>
      <c r="E1321" s="26" t="s">
        <v>16544</v>
      </c>
      <c r="F1321" s="27" t="s">
        <v>17700</v>
      </c>
      <c r="G1321" s="27" t="s">
        <v>17829</v>
      </c>
      <c r="H1321" s="27"/>
      <c r="I1321" s="27"/>
      <c r="J1321" s="27"/>
      <c r="K1321" s="27"/>
      <c r="L1321" s="27"/>
      <c r="N1321" s="27"/>
      <c r="T1321" s="28" t="str">
        <f>LOOKUP(1,1/(Table1[[#This Row],[Level_0]:[Level 15]]&gt;0),(Table1[[#This Row],[Level_0]:[Level 15]]))</f>
        <v>222000 - [Material Overhead Variances]</v>
      </c>
      <c r="U1321" s="22">
        <v>1316</v>
      </c>
      <c r="W1321" s="13" t="str">
        <f>LOOKUP(1,1/(Table1[[#This Row],[Level_0]:[Level 15]]&gt;0),(Table1[[#This Row],[Level_0]:[Level 15]]))</f>
        <v>222000 - [Material Overhead Variances]</v>
      </c>
    </row>
    <row r="1322" spans="1:23" hidden="1" x14ac:dyDescent="0.25">
      <c r="A1322">
        <v>7811113004</v>
      </c>
      <c r="B1322" s="16" t="s">
        <v>21769</v>
      </c>
      <c r="C1322" s="16" t="e">
        <f>VLOOKUP(Table1[[#This Row],[Node]],Parent!A:B,2,0)</f>
        <v>#N/A</v>
      </c>
      <c r="D1322" s="25" t="s">
        <v>19346</v>
      </c>
      <c r="E1322" s="26" t="s">
        <v>16544</v>
      </c>
      <c r="F1322" s="27" t="s">
        <v>17700</v>
      </c>
      <c r="G1322" s="27" t="s">
        <v>17829</v>
      </c>
      <c r="H1322" s="27" t="s">
        <v>17830</v>
      </c>
      <c r="I1322" s="27"/>
      <c r="J1322" s="27"/>
      <c r="K1322" s="27"/>
      <c r="L1322" s="27"/>
      <c r="N1322" s="27"/>
      <c r="T1322" s="28" t="str">
        <f>LOOKUP(1,1/(Table1[[#This Row],[Level_0]:[Level 15]]&gt;0),(Table1[[#This Row],[Level_0]:[Level 15]]))</f>
        <v>7811113004 - [APA Variance Material Overh. Surcharge]</v>
      </c>
      <c r="U1322" s="22">
        <v>1317</v>
      </c>
      <c r="W1322" s="13" t="str">
        <f>LOOKUP(1,1/(Table1[[#This Row],[Level_0]:[Level 15]]&gt;0),(Table1[[#This Row],[Level_0]:[Level 15]]))</f>
        <v>7811113004 - [APA Variance Material Overh. Surcharge]</v>
      </c>
    </row>
    <row r="1323" spans="1:23" hidden="1" x14ac:dyDescent="0.25">
      <c r="A1323">
        <v>7340000016</v>
      </c>
      <c r="B1323" s="16" t="s">
        <v>20935</v>
      </c>
      <c r="C1323" s="16" t="e">
        <f>VLOOKUP(Table1[[#This Row],[Node]],Parent!A:B,2,0)</f>
        <v>#N/A</v>
      </c>
      <c r="D1323" s="25" t="s">
        <v>19346</v>
      </c>
      <c r="E1323" s="26" t="s">
        <v>16544</v>
      </c>
      <c r="F1323" s="27" t="s">
        <v>17700</v>
      </c>
      <c r="G1323" s="27" t="s">
        <v>17829</v>
      </c>
      <c r="H1323" s="27" t="s">
        <v>17831</v>
      </c>
      <c r="I1323" s="27"/>
      <c r="J1323" s="27"/>
      <c r="K1323" s="27"/>
      <c r="L1323" s="27"/>
      <c r="N1323" s="27"/>
      <c r="T1323" s="28" t="str">
        <f>LOOKUP(1,1/(Table1[[#This Row],[Level_0]:[Level 15]]&gt;0),(Table1[[#This Row],[Level_0]:[Level 15]]))</f>
        <v>7340000016 - [SOM ReMfg Settlement]</v>
      </c>
      <c r="U1323" s="22">
        <v>1318</v>
      </c>
      <c r="W1323" s="13" t="str">
        <f>LOOKUP(1,1/(Table1[[#This Row],[Level_0]:[Level 15]]&gt;0),(Table1[[#This Row],[Level_0]:[Level 15]]))</f>
        <v>7340000016 - [SOM ReMfg Settlement]</v>
      </c>
    </row>
    <row r="1324" spans="1:23" hidden="1" x14ac:dyDescent="0.25">
      <c r="A1324">
        <v>7711110000</v>
      </c>
      <c r="B1324" s="16" t="s">
        <v>21598</v>
      </c>
      <c r="C1324" s="16" t="e">
        <f>VLOOKUP(Table1[[#This Row],[Node]],Parent!A:B,2,0)</f>
        <v>#N/A</v>
      </c>
      <c r="D1324" s="25" t="s">
        <v>19346</v>
      </c>
      <c r="E1324" s="26" t="s">
        <v>16544</v>
      </c>
      <c r="F1324" s="27" t="s">
        <v>17700</v>
      </c>
      <c r="G1324" s="27" t="s">
        <v>17829</v>
      </c>
      <c r="H1324" s="27" t="s">
        <v>17832</v>
      </c>
      <c r="I1324" s="27"/>
      <c r="J1324" s="27"/>
      <c r="K1324" s="27"/>
      <c r="L1324" s="27"/>
      <c r="N1324" s="27"/>
      <c r="T1324" s="28" t="str">
        <f>LOOKUP(1,1/(Table1[[#This Row],[Level_0]:[Level 15]]&gt;0),(Table1[[#This Row],[Level_0]:[Level 15]]))</f>
        <v>7711110000 - [SPA MPV Variances]</v>
      </c>
      <c r="U1324" s="22">
        <v>1319</v>
      </c>
      <c r="W1324" s="13" t="str">
        <f>LOOKUP(1,1/(Table1[[#This Row],[Level_0]:[Level 15]]&gt;0),(Table1[[#This Row],[Level_0]:[Level 15]]))</f>
        <v>7711110000 - [SPA MPV Variances]</v>
      </c>
    </row>
    <row r="1325" spans="1:23" hidden="1" x14ac:dyDescent="0.25">
      <c r="A1325">
        <v>7330170005</v>
      </c>
      <c r="B1325" s="16" t="s">
        <v>20913</v>
      </c>
      <c r="C1325" s="16" t="e">
        <f>VLOOKUP(Table1[[#This Row],[Node]],Parent!A:B,2,0)</f>
        <v>#N/A</v>
      </c>
      <c r="D1325" s="25" t="s">
        <v>19346</v>
      </c>
      <c r="E1325" s="26" t="s">
        <v>16544</v>
      </c>
      <c r="F1325" s="27" t="s">
        <v>17700</v>
      </c>
      <c r="G1325" s="27" t="s">
        <v>17829</v>
      </c>
      <c r="H1325" s="27" t="s">
        <v>17833</v>
      </c>
      <c r="I1325" s="27"/>
      <c r="J1325" s="27"/>
      <c r="K1325" s="27"/>
      <c r="L1325" s="27"/>
      <c r="N1325" s="27"/>
      <c r="T1325" s="28" t="str">
        <f>LOOKUP(1,1/(Table1[[#This Row],[Level_0]:[Level 15]]&gt;0),(Table1[[#This Row],[Level_0]:[Level 15]]))</f>
        <v>7330170005 - [OSU Resale Business Components]</v>
      </c>
      <c r="U1325" s="22">
        <v>1320</v>
      </c>
      <c r="W1325" s="13" t="str">
        <f>LOOKUP(1,1/(Table1[[#This Row],[Level_0]:[Level 15]]&gt;0),(Table1[[#This Row],[Level_0]:[Level 15]]))</f>
        <v>7330170005 - [OSU Resale Business Components]</v>
      </c>
    </row>
    <row r="1326" spans="1:23" hidden="1" x14ac:dyDescent="0.25">
      <c r="A1326">
        <v>221000</v>
      </c>
      <c r="B1326" s="16" t="s">
        <v>19503</v>
      </c>
      <c r="C1326" s="16" t="e">
        <f>VLOOKUP(Table1[[#This Row],[Node]],Parent!A:B,2,0)</f>
        <v>#N/A</v>
      </c>
      <c r="D1326" s="25" t="s">
        <v>19346</v>
      </c>
      <c r="E1326" s="26" t="s">
        <v>16544</v>
      </c>
      <c r="F1326" s="27" t="s">
        <v>17700</v>
      </c>
      <c r="G1326" s="27" t="s">
        <v>17834</v>
      </c>
      <c r="H1326" s="27"/>
      <c r="I1326" s="27"/>
      <c r="J1326" s="27"/>
      <c r="K1326" s="27"/>
      <c r="L1326" s="27"/>
      <c r="N1326" s="27"/>
      <c r="T1326" s="28" t="str">
        <f>LOOKUP(1,1/(Table1[[#This Row],[Level_0]:[Level 15]]&gt;0),(Table1[[#This Row],[Level_0]:[Level 15]]))</f>
        <v>221000 - [Material Overhead Surcharges]</v>
      </c>
      <c r="U1326" s="22">
        <v>1321</v>
      </c>
      <c r="W1326" s="13" t="str">
        <f>LOOKUP(1,1/(Table1[[#This Row],[Level_0]:[Level 15]]&gt;0),(Table1[[#This Row],[Level_0]:[Level 15]]))</f>
        <v>221000 - [Material Overhead Surcharges]</v>
      </c>
    </row>
    <row r="1327" spans="1:23" hidden="1" x14ac:dyDescent="0.25">
      <c r="A1327">
        <v>7330170002</v>
      </c>
      <c r="B1327" s="16" t="s">
        <v>20910</v>
      </c>
      <c r="C1327" s="16" t="e">
        <f>VLOOKUP(Table1[[#This Row],[Node]],Parent!A:B,2,0)</f>
        <v>#N/A</v>
      </c>
      <c r="D1327" s="25" t="s">
        <v>19346</v>
      </c>
      <c r="E1327" s="26" t="s">
        <v>16544</v>
      </c>
      <c r="F1327" s="27" t="s">
        <v>17700</v>
      </c>
      <c r="G1327" s="27" t="s">
        <v>17834</v>
      </c>
      <c r="H1327" s="27" t="s">
        <v>17835</v>
      </c>
      <c r="I1327" s="27"/>
      <c r="J1327" s="27"/>
      <c r="K1327" s="27"/>
      <c r="L1327" s="27"/>
      <c r="N1327" s="27"/>
      <c r="T1327" s="28" t="str">
        <f>LOOKUP(1,1/(Table1[[#This Row],[Level_0]:[Level 15]]&gt;0),(Table1[[#This Row],[Level_0]:[Level 15]]))</f>
        <v>7330170002 - [OSU Subcontracting Overhead Surcharge]</v>
      </c>
      <c r="U1327" s="22">
        <v>1322</v>
      </c>
      <c r="W1327" s="13" t="str">
        <f>LOOKUP(1,1/(Table1[[#This Row],[Level_0]:[Level 15]]&gt;0),(Table1[[#This Row],[Level_0]:[Level 15]]))</f>
        <v>7330170002 - [OSU Subcontracting Overhead Surcharge]</v>
      </c>
    </row>
    <row r="1328" spans="1:23" hidden="1" x14ac:dyDescent="0.25">
      <c r="A1328">
        <v>7330170011</v>
      </c>
      <c r="B1328" s="16" t="s">
        <v>20919</v>
      </c>
      <c r="C1328" s="16" t="e">
        <f>VLOOKUP(Table1[[#This Row],[Node]],Parent!A:B,2,0)</f>
        <v>#N/A</v>
      </c>
      <c r="D1328" s="25" t="s">
        <v>19346</v>
      </c>
      <c r="E1328" s="26" t="s">
        <v>16544</v>
      </c>
      <c r="F1328" s="27" t="s">
        <v>17700</v>
      </c>
      <c r="G1328" s="27" t="s">
        <v>17834</v>
      </c>
      <c r="H1328" s="27" t="s">
        <v>17836</v>
      </c>
      <c r="I1328" s="27"/>
      <c r="J1328" s="27"/>
      <c r="K1328" s="27"/>
      <c r="L1328" s="27"/>
      <c r="N1328" s="27"/>
      <c r="T1328" s="28" t="str">
        <f>LOOKUP(1,1/(Table1[[#This Row],[Level_0]:[Level 15]]&gt;0),(Table1[[#This Row],[Level_0]:[Level 15]]))</f>
        <v>7330170011 - [OSU Intercompany Freight-Rebilled Additi]</v>
      </c>
      <c r="U1328" s="22">
        <v>1323</v>
      </c>
      <c r="W1328" s="13" t="str">
        <f>LOOKUP(1,1/(Table1[[#This Row],[Level_0]:[Level 15]]&gt;0),(Table1[[#This Row],[Level_0]:[Level 15]]))</f>
        <v>7330170011 - [OSU Intercompany Freight-Rebilled Additi]</v>
      </c>
    </row>
    <row r="1329" spans="1:23" hidden="1" x14ac:dyDescent="0.25">
      <c r="A1329">
        <v>7330170010</v>
      </c>
      <c r="B1329" s="16" t="s">
        <v>20918</v>
      </c>
      <c r="C1329" s="16" t="e">
        <f>VLOOKUP(Table1[[#This Row],[Node]],Parent!A:B,2,0)</f>
        <v>#N/A</v>
      </c>
      <c r="D1329" s="25" t="s">
        <v>19346</v>
      </c>
      <c r="E1329" s="26" t="s">
        <v>16544</v>
      </c>
      <c r="F1329" s="27" t="s">
        <v>17700</v>
      </c>
      <c r="G1329" s="27" t="s">
        <v>17834</v>
      </c>
      <c r="H1329" s="27" t="s">
        <v>17837</v>
      </c>
      <c r="I1329" s="27"/>
      <c r="J1329" s="27"/>
      <c r="K1329" s="27"/>
      <c r="L1329" s="27"/>
      <c r="N1329" s="27"/>
      <c r="T1329" s="28" t="str">
        <f>LOOKUP(1,1/(Table1[[#This Row],[Level_0]:[Level 15]]&gt;0),(Table1[[#This Row],[Level_0]:[Level 15]]))</f>
        <v>7330170010 - [OSU Inbound Freight Additive Cost Settle]</v>
      </c>
      <c r="U1329" s="22">
        <v>1324</v>
      </c>
      <c r="W1329" s="13" t="str">
        <f>LOOKUP(1,1/(Table1[[#This Row],[Level_0]:[Level 15]]&gt;0),(Table1[[#This Row],[Level_0]:[Level 15]]))</f>
        <v>7330170010 - [OSU Inbound Freight Additive Cost Settle]</v>
      </c>
    </row>
    <row r="1330" spans="1:23" hidden="1" x14ac:dyDescent="0.25">
      <c r="A1330">
        <v>7330170008</v>
      </c>
      <c r="B1330" s="16" t="s">
        <v>20916</v>
      </c>
      <c r="C1330" s="16" t="e">
        <f>VLOOKUP(Table1[[#This Row],[Node]],Parent!A:B,2,0)</f>
        <v>#N/A</v>
      </c>
      <c r="D1330" s="25" t="s">
        <v>19346</v>
      </c>
      <c r="E1330" s="26" t="s">
        <v>16544</v>
      </c>
      <c r="F1330" s="27" t="s">
        <v>17700</v>
      </c>
      <c r="G1330" s="27" t="s">
        <v>17834</v>
      </c>
      <c r="H1330" s="27" t="s">
        <v>17838</v>
      </c>
      <c r="I1330" s="27"/>
      <c r="J1330" s="27"/>
      <c r="K1330" s="27"/>
      <c r="L1330" s="27"/>
      <c r="N1330" s="27"/>
      <c r="T1330" s="28" t="str">
        <f>LOOKUP(1,1/(Table1[[#This Row],[Level_0]:[Level 15]]&gt;0),(Table1[[#This Row],[Level_0]:[Level 15]]))</f>
        <v>7330170008 - [OSU Mfg Admin Purch OverheadCostingSheet]</v>
      </c>
      <c r="U1330" s="22">
        <v>1325</v>
      </c>
      <c r="W1330" s="13" t="str">
        <f>LOOKUP(1,1/(Table1[[#This Row],[Level_0]:[Level 15]]&gt;0),(Table1[[#This Row],[Level_0]:[Level 15]]))</f>
        <v>7330170008 - [OSU Mfg Admin Purch OverheadCostingSheet]</v>
      </c>
    </row>
    <row r="1331" spans="1:23" hidden="1" x14ac:dyDescent="0.25">
      <c r="A1331">
        <v>7330170004</v>
      </c>
      <c r="B1331" s="16" t="s">
        <v>20912</v>
      </c>
      <c r="C1331" s="16" t="e">
        <f>VLOOKUP(Table1[[#This Row],[Node]],Parent!A:B,2,0)</f>
        <v>#N/A</v>
      </c>
      <c r="D1331" s="25" t="s">
        <v>19346</v>
      </c>
      <c r="E1331" s="26" t="s">
        <v>16544</v>
      </c>
      <c r="F1331" s="27" t="s">
        <v>17700</v>
      </c>
      <c r="G1331" s="27" t="s">
        <v>17834</v>
      </c>
      <c r="H1331" s="27" t="s">
        <v>17839</v>
      </c>
      <c r="I1331" s="27"/>
      <c r="J1331" s="27"/>
      <c r="K1331" s="27"/>
      <c r="L1331" s="27"/>
      <c r="N1331" s="27"/>
      <c r="T1331" s="28" t="str">
        <f>LOOKUP(1,1/(Table1[[#This Row],[Level_0]:[Level 15]]&gt;0),(Table1[[#This Row],[Level_0]:[Level 15]]))</f>
        <v>7330170004 - [OSU RM Material Overhead  Surcharge]</v>
      </c>
      <c r="U1331" s="22">
        <v>1326</v>
      </c>
      <c r="W1331" s="13" t="str">
        <f>LOOKUP(1,1/(Table1[[#This Row],[Level_0]:[Level 15]]&gt;0),(Table1[[#This Row],[Level_0]:[Level 15]]))</f>
        <v>7330170004 - [OSU RM Material Overhead  Surcharge]</v>
      </c>
    </row>
    <row r="1332" spans="1:23" hidden="1" x14ac:dyDescent="0.25">
      <c r="A1332">
        <v>7330170003</v>
      </c>
      <c r="B1332" s="16" t="s">
        <v>20911</v>
      </c>
      <c r="C1332" s="16" t="e">
        <f>VLOOKUP(Table1[[#This Row],[Node]],Parent!A:B,2,0)</f>
        <v>#N/A</v>
      </c>
      <c r="D1332" s="25" t="s">
        <v>19346</v>
      </c>
      <c r="E1332" s="26" t="s">
        <v>16544</v>
      </c>
      <c r="F1332" s="27" t="s">
        <v>17700</v>
      </c>
      <c r="G1332" s="27" t="s">
        <v>17834</v>
      </c>
      <c r="H1332" s="27" t="s">
        <v>17840</v>
      </c>
      <c r="I1332" s="27"/>
      <c r="J1332" s="27"/>
      <c r="K1332" s="27"/>
      <c r="L1332" s="27"/>
      <c r="N1332" s="27"/>
      <c r="T1332" s="28" t="str">
        <f>LOOKUP(1,1/(Table1[[#This Row],[Level_0]:[Level 15]]&gt;0),(Table1[[#This Row],[Level_0]:[Level 15]]))</f>
        <v>7330170003 - [OSU PM Packag. Material Overh. Surcharge]</v>
      </c>
      <c r="U1332" s="22">
        <v>1327</v>
      </c>
      <c r="W1332" s="13" t="str">
        <f>LOOKUP(1,1/(Table1[[#This Row],[Level_0]:[Level 15]]&gt;0),(Table1[[#This Row],[Level_0]:[Level 15]]))</f>
        <v>7330170003 - [OSU PM Packag. Material Overh. Surcharge]</v>
      </c>
    </row>
    <row r="1333" spans="1:23" hidden="1" x14ac:dyDescent="0.25">
      <c r="A1333">
        <v>7330170001</v>
      </c>
      <c r="B1333" s="16" t="s">
        <v>20909</v>
      </c>
      <c r="C1333" s="16" t="e">
        <f>VLOOKUP(Table1[[#This Row],[Node]],Parent!A:B,2,0)</f>
        <v>#N/A</v>
      </c>
      <c r="D1333" s="25" t="s">
        <v>19346</v>
      </c>
      <c r="E1333" s="26" t="s">
        <v>16544</v>
      </c>
      <c r="F1333" s="27" t="s">
        <v>17700</v>
      </c>
      <c r="G1333" s="27" t="s">
        <v>17834</v>
      </c>
      <c r="H1333" s="27" t="s">
        <v>17841</v>
      </c>
      <c r="I1333" s="27"/>
      <c r="J1333" s="27"/>
      <c r="K1333" s="27"/>
      <c r="L1333" s="27"/>
      <c r="N1333" s="27"/>
      <c r="T1333" s="28" t="str">
        <f>LOOKUP(1,1/(Table1[[#This Row],[Level_0]:[Level 15]]&gt;0),(Table1[[#This Row],[Level_0]:[Level 15]]))</f>
        <v>7330170001 - [OSU IC Outbound Freight Group Costing]</v>
      </c>
      <c r="U1333" s="22">
        <v>1328</v>
      </c>
      <c r="W1333" s="13" t="str">
        <f>LOOKUP(1,1/(Table1[[#This Row],[Level_0]:[Level 15]]&gt;0),(Table1[[#This Row],[Level_0]:[Level 15]]))</f>
        <v>7330170001 - [OSU IC Outbound Freight Group Costing]</v>
      </c>
    </row>
    <row r="1334" spans="1:23" hidden="1" x14ac:dyDescent="0.25">
      <c r="A1334">
        <v>7330170006</v>
      </c>
      <c r="B1334" s="16" t="s">
        <v>20914</v>
      </c>
      <c r="C1334" s="16" t="e">
        <f>VLOOKUP(Table1[[#This Row],[Node]],Parent!A:B,2,0)</f>
        <v>#N/A</v>
      </c>
      <c r="D1334" s="25" t="s">
        <v>19346</v>
      </c>
      <c r="E1334" s="26" t="s">
        <v>16544</v>
      </c>
      <c r="F1334" s="27" t="s">
        <v>17700</v>
      </c>
      <c r="G1334" s="27" t="s">
        <v>17834</v>
      </c>
      <c r="H1334" s="27" t="s">
        <v>17842</v>
      </c>
      <c r="I1334" s="27"/>
      <c r="J1334" s="27"/>
      <c r="K1334" s="27"/>
      <c r="L1334" s="27"/>
      <c r="N1334" s="27"/>
      <c r="T1334" s="28" t="str">
        <f>LOOKUP(1,1/(Table1[[#This Row],[Level_0]:[Level 15]]&gt;0),(Table1[[#This Row],[Level_0]:[Level 15]]))</f>
        <v>7330170006 - [OSU Analytical Surcharge]</v>
      </c>
      <c r="U1334" s="22">
        <v>1329</v>
      </c>
      <c r="W1334" s="13" t="str">
        <f>LOOKUP(1,1/(Table1[[#This Row],[Level_0]:[Level 15]]&gt;0),(Table1[[#This Row],[Level_0]:[Level 15]]))</f>
        <v>7330170006 - [OSU Analytical Surcharge]</v>
      </c>
    </row>
    <row r="1335" spans="1:23" hidden="1" x14ac:dyDescent="0.25">
      <c r="A1335">
        <v>210000</v>
      </c>
      <c r="B1335" s="16" t="s">
        <v>11829</v>
      </c>
      <c r="C1335" s="16" t="e">
        <f>VLOOKUP(Table1[[#This Row],[Node]],Parent!A:B,2,0)</f>
        <v>#N/A</v>
      </c>
      <c r="D1335" s="25" t="s">
        <v>19346</v>
      </c>
      <c r="E1335" s="26" t="s">
        <v>16544</v>
      </c>
      <c r="F1335" s="27" t="s">
        <v>17843</v>
      </c>
      <c r="G1335" s="27"/>
      <c r="H1335" s="27"/>
      <c r="I1335" s="27"/>
      <c r="J1335" s="27"/>
      <c r="K1335" s="27"/>
      <c r="L1335" s="27"/>
      <c r="N1335" s="27"/>
      <c r="T1335" s="28" t="str">
        <f>LOOKUP(1,1/(Table1[[#This Row],[Level_0]:[Level 15]]&gt;0),(Table1[[#This Row],[Level_0]:[Level 15]]))</f>
        <v>210000 - [Miscellaneous]</v>
      </c>
      <c r="U1335" s="22">
        <v>1330</v>
      </c>
      <c r="W1335" s="13" t="str">
        <f>LOOKUP(1,1/(Table1[[#This Row],[Level_0]:[Level 15]]&gt;0),(Table1[[#This Row],[Level_0]:[Level 15]]))</f>
        <v>210000 - [Miscellaneous]</v>
      </c>
    </row>
    <row r="1336" spans="1:23" hidden="1" x14ac:dyDescent="0.25">
      <c r="A1336">
        <v>210500</v>
      </c>
      <c r="B1336" s="16" t="s">
        <v>19501</v>
      </c>
      <c r="C1336" s="16" t="e">
        <f>VLOOKUP(Table1[[#This Row],[Node]],Parent!A:B,2,0)</f>
        <v>#N/A</v>
      </c>
      <c r="D1336" s="25" t="s">
        <v>19346</v>
      </c>
      <c r="E1336" s="26" t="s">
        <v>16544</v>
      </c>
      <c r="F1336" s="27" t="s">
        <v>17843</v>
      </c>
      <c r="G1336" s="27" t="s">
        <v>17844</v>
      </c>
      <c r="H1336" s="27"/>
      <c r="I1336" s="27"/>
      <c r="J1336" s="27"/>
      <c r="K1336" s="27"/>
      <c r="L1336" s="27"/>
      <c r="N1336" s="27"/>
      <c r="T1336" s="28" t="str">
        <f>LOOKUP(1,1/(Table1[[#This Row],[Level_0]:[Level 15]]&gt;0),(Table1[[#This Row],[Level_0]:[Level 15]]))</f>
        <v>210500 - [IC Remain. Oth. Inc/Exp. and Mark up]</v>
      </c>
      <c r="U1336" s="22">
        <v>1331</v>
      </c>
      <c r="W1336" s="13" t="str">
        <f>LOOKUP(1,1/(Table1[[#This Row],[Level_0]:[Level 15]]&gt;0),(Table1[[#This Row],[Level_0]:[Level 15]]))</f>
        <v>210500 - [IC Remain. Oth. Inc/Exp. and Mark up]</v>
      </c>
    </row>
    <row r="1337" spans="1:23" hidden="1" x14ac:dyDescent="0.25">
      <c r="A1337">
        <v>3952110000</v>
      </c>
      <c r="B1337" s="16" t="s">
        <v>19721</v>
      </c>
      <c r="C1337" s="16" t="e">
        <f>VLOOKUP(Table1[[#This Row],[Node]],Parent!A:B,2,0)</f>
        <v>#N/A</v>
      </c>
      <c r="D1337" s="25" t="s">
        <v>19346</v>
      </c>
      <c r="E1337" s="26" t="s">
        <v>16544</v>
      </c>
      <c r="F1337" s="27" t="s">
        <v>17843</v>
      </c>
      <c r="G1337" s="27" t="s">
        <v>17844</v>
      </c>
      <c r="H1337" s="27" t="s">
        <v>17845</v>
      </c>
      <c r="I1337" s="27"/>
      <c r="J1337" s="27"/>
      <c r="K1337" s="27"/>
      <c r="L1337" s="27"/>
      <c r="N1337" s="27"/>
      <c r="T1337" s="28" t="str">
        <f>LOOKUP(1,1/(Table1[[#This Row],[Level_0]:[Level 15]]&gt;0),(Table1[[#This Row],[Level_0]:[Level 15]]))</f>
        <v>3952110000 - [Rem Oth Inc IC - L&amp;C Services]</v>
      </c>
      <c r="U1337" s="22">
        <v>1332</v>
      </c>
      <c r="W1337" s="13" t="str">
        <f>LOOKUP(1,1/(Table1[[#This Row],[Level_0]:[Level 15]]&gt;0),(Table1[[#This Row],[Level_0]:[Level 15]]))</f>
        <v>3952110000 - [Rem Oth Inc IC - L&amp;C Services]</v>
      </c>
    </row>
    <row r="1338" spans="1:23" hidden="1" x14ac:dyDescent="0.25">
      <c r="A1338">
        <v>3954116000</v>
      </c>
      <c r="B1338" s="16" t="s">
        <v>19737</v>
      </c>
      <c r="C1338" s="16" t="e">
        <f>VLOOKUP(Table1[[#This Row],[Node]],Parent!A:B,2,0)</f>
        <v>#N/A</v>
      </c>
      <c r="D1338" s="25" t="s">
        <v>19346</v>
      </c>
      <c r="E1338" s="26" t="s">
        <v>16544</v>
      </c>
      <c r="F1338" s="27" t="s">
        <v>17843</v>
      </c>
      <c r="G1338" s="27" t="s">
        <v>17844</v>
      </c>
      <c r="H1338" s="27" t="s">
        <v>17846</v>
      </c>
      <c r="I1338" s="27"/>
      <c r="J1338" s="27"/>
      <c r="K1338" s="27"/>
      <c r="L1338" s="27"/>
      <c r="N1338" s="27"/>
      <c r="T1338" s="28" t="str">
        <f>LOOKUP(1,1/(Table1[[#This Row],[Level_0]:[Level 15]]&gt;0),(Table1[[#This Row],[Level_0]:[Level 15]]))</f>
        <v>3954116000 - [Rem Oth Inc IC - M&amp;S - Manual - CorrAcc]</v>
      </c>
      <c r="U1338" s="22">
        <v>1333</v>
      </c>
      <c r="W1338" s="13" t="str">
        <f>LOOKUP(1,1/(Table1[[#This Row],[Level_0]:[Level 15]]&gt;0),(Table1[[#This Row],[Level_0]:[Level 15]]))</f>
        <v>3954116000 - [Rem Oth Inc IC - M&amp;S - Manual - CorrAcc]</v>
      </c>
    </row>
    <row r="1339" spans="1:23" hidden="1" x14ac:dyDescent="0.25">
      <c r="A1339">
        <v>3951610000</v>
      </c>
      <c r="B1339" s="16" t="s">
        <v>19717</v>
      </c>
      <c r="C1339" s="16" t="e">
        <f>VLOOKUP(Table1[[#This Row],[Node]],Parent!A:B,2,0)</f>
        <v>#N/A</v>
      </c>
      <c r="D1339" s="25" t="s">
        <v>19346</v>
      </c>
      <c r="E1339" s="26" t="s">
        <v>16544</v>
      </c>
      <c r="F1339" s="27" t="s">
        <v>17843</v>
      </c>
      <c r="G1339" s="27" t="s">
        <v>17844</v>
      </c>
      <c r="H1339" s="27" t="s">
        <v>17847</v>
      </c>
      <c r="I1339" s="27"/>
      <c r="J1339" s="27"/>
      <c r="K1339" s="27"/>
      <c r="L1339" s="27"/>
      <c r="N1339" s="27"/>
      <c r="T1339" s="28" t="str">
        <f>LOOKUP(1,1/(Table1[[#This Row],[Level_0]:[Level 15]]&gt;0),(Table1[[#This Row],[Level_0]:[Level 15]]))</f>
        <v>3951610000 - [Rem Oth Inc IC - HR Services]</v>
      </c>
      <c r="U1339" s="22">
        <v>1334</v>
      </c>
      <c r="W1339" s="13" t="str">
        <f>LOOKUP(1,1/(Table1[[#This Row],[Level_0]:[Level 15]]&gt;0),(Table1[[#This Row],[Level_0]:[Level 15]]))</f>
        <v>3951610000 - [Rem Oth Inc IC - HR Services]</v>
      </c>
    </row>
    <row r="1340" spans="1:23" hidden="1" x14ac:dyDescent="0.25">
      <c r="A1340">
        <v>3970010000</v>
      </c>
      <c r="B1340" s="16" t="s">
        <v>19773</v>
      </c>
      <c r="C1340" s="16" t="e">
        <f>VLOOKUP(Table1[[#This Row],[Node]],Parent!A:B,2,0)</f>
        <v>#N/A</v>
      </c>
      <c r="D1340" s="25" t="s">
        <v>19346</v>
      </c>
      <c r="E1340" s="26" t="s">
        <v>16544</v>
      </c>
      <c r="F1340" s="27" t="s">
        <v>17843</v>
      </c>
      <c r="G1340" s="27" t="s">
        <v>17844</v>
      </c>
      <c r="H1340" s="27" t="s">
        <v>17848</v>
      </c>
      <c r="I1340" s="27"/>
      <c r="J1340" s="27"/>
      <c r="K1340" s="27"/>
      <c r="L1340" s="27"/>
      <c r="N1340" s="27"/>
      <c r="T1340" s="28" t="str">
        <f>LOOKUP(1,1/(Table1[[#This Row],[Level_0]:[Level 15]]&gt;0),(Table1[[#This Row],[Level_0]:[Level 15]]))</f>
        <v>3970010000 - [Markup Income IC]</v>
      </c>
      <c r="U1340" s="22">
        <v>1335</v>
      </c>
      <c r="W1340" s="13" t="str">
        <f>LOOKUP(1,1/(Table1[[#This Row],[Level_0]:[Level 15]]&gt;0),(Table1[[#This Row],[Level_0]:[Level 15]]))</f>
        <v>3970010000 - [Markup Income IC]</v>
      </c>
    </row>
    <row r="1341" spans="1:23" hidden="1" x14ac:dyDescent="0.25">
      <c r="A1341">
        <v>3951410000</v>
      </c>
      <c r="B1341" s="16" t="s">
        <v>19715</v>
      </c>
      <c r="C1341" s="16" t="e">
        <f>VLOOKUP(Table1[[#This Row],[Node]],Parent!A:B,2,0)</f>
        <v>#N/A</v>
      </c>
      <c r="D1341" s="25" t="s">
        <v>19346</v>
      </c>
      <c r="E1341" s="26" t="s">
        <v>16544</v>
      </c>
      <c r="F1341" s="27" t="s">
        <v>17843</v>
      </c>
      <c r="G1341" s="27" t="s">
        <v>17844</v>
      </c>
      <c r="H1341" s="27" t="s">
        <v>17849</v>
      </c>
      <c r="I1341" s="27"/>
      <c r="J1341" s="27"/>
      <c r="K1341" s="27"/>
      <c r="L1341" s="27"/>
      <c r="N1341" s="27"/>
      <c r="T1341" s="28" t="str">
        <f>LOOKUP(1,1/(Table1[[#This Row],[Level_0]:[Level 15]]&gt;0),(Table1[[#This Row],[Level_0]:[Level 15]]))</f>
        <v>3951410000 - [Rem Oth Inc IC - E&amp;Q Services]</v>
      </c>
      <c r="U1341" s="22">
        <v>1336</v>
      </c>
      <c r="W1341" s="13" t="str">
        <f>LOOKUP(1,1/(Table1[[#This Row],[Level_0]:[Level 15]]&gt;0),(Table1[[#This Row],[Level_0]:[Level 15]]))</f>
        <v>3951410000 - [Rem Oth Inc IC - E&amp;Q Services]</v>
      </c>
    </row>
    <row r="1342" spans="1:23" hidden="1" x14ac:dyDescent="0.25">
      <c r="A1342">
        <v>3951310000</v>
      </c>
      <c r="B1342" s="16" t="s">
        <v>19714</v>
      </c>
      <c r="C1342" s="16" t="e">
        <f>VLOOKUP(Table1[[#This Row],[Node]],Parent!A:B,2,0)</f>
        <v>#N/A</v>
      </c>
      <c r="D1342" s="25" t="s">
        <v>19346</v>
      </c>
      <c r="E1342" s="26" t="s">
        <v>16544</v>
      </c>
      <c r="F1342" s="27" t="s">
        <v>17843</v>
      </c>
      <c r="G1342" s="27" t="s">
        <v>17844</v>
      </c>
      <c r="H1342" s="27" t="s">
        <v>17850</v>
      </c>
      <c r="I1342" s="27"/>
      <c r="J1342" s="27"/>
      <c r="K1342" s="27"/>
      <c r="L1342" s="27"/>
      <c r="N1342" s="27"/>
      <c r="T1342" s="28" t="str">
        <f>LOOKUP(1,1/(Table1[[#This Row],[Level_0]:[Level 15]]&gt;0),(Table1[[#This Row],[Level_0]:[Level 15]]))</f>
        <v>3951310000 - [Rem Oth Inc IC - Controlling Services]</v>
      </c>
      <c r="U1342" s="22">
        <v>1337</v>
      </c>
      <c r="W1342" s="13" t="str">
        <f>LOOKUP(1,1/(Table1[[#This Row],[Level_0]:[Level 15]]&gt;0),(Table1[[#This Row],[Level_0]:[Level 15]]))</f>
        <v>3951310000 - [Rem Oth Inc IC - Controlling Services]</v>
      </c>
    </row>
    <row r="1343" spans="1:23" hidden="1" x14ac:dyDescent="0.25">
      <c r="A1343">
        <v>3951010000</v>
      </c>
      <c r="B1343" s="16" t="s">
        <v>19713</v>
      </c>
      <c r="C1343" s="16" t="e">
        <f>VLOOKUP(Table1[[#This Row],[Node]],Parent!A:B,2,0)</f>
        <v>#N/A</v>
      </c>
      <c r="D1343" s="25" t="s">
        <v>19346</v>
      </c>
      <c r="E1343" s="26" t="s">
        <v>16544</v>
      </c>
      <c r="F1343" s="27" t="s">
        <v>17843</v>
      </c>
      <c r="G1343" s="27" t="s">
        <v>17844</v>
      </c>
      <c r="H1343" s="27" t="s">
        <v>17851</v>
      </c>
      <c r="I1343" s="27"/>
      <c r="J1343" s="27"/>
      <c r="K1343" s="27"/>
      <c r="L1343" s="27"/>
      <c r="N1343" s="27"/>
      <c r="T1343" s="28" t="str">
        <f>LOOKUP(1,1/(Table1[[#This Row],[Level_0]:[Level 15]]&gt;0),(Table1[[#This Row],[Level_0]:[Level 15]]))</f>
        <v>3951010000 - [Rem Oth Inc IC - Accounting Services]</v>
      </c>
      <c r="U1343" s="22">
        <v>1338</v>
      </c>
      <c r="W1343" s="13" t="str">
        <f>LOOKUP(1,1/(Table1[[#This Row],[Level_0]:[Level 15]]&gt;0),(Table1[[#This Row],[Level_0]:[Level 15]]))</f>
        <v>3951010000 - [Rem Oth Inc IC - Accounting Services]</v>
      </c>
    </row>
    <row r="1344" spans="1:23" hidden="1" x14ac:dyDescent="0.25">
      <c r="A1344">
        <v>5392000000</v>
      </c>
      <c r="B1344" s="16" t="s">
        <v>20251</v>
      </c>
      <c r="C1344" s="16" t="e">
        <f>VLOOKUP(Table1[[#This Row],[Node]],Parent!A:B,2,0)</f>
        <v>#N/A</v>
      </c>
      <c r="D1344" s="25" t="s">
        <v>19346</v>
      </c>
      <c r="E1344" s="26" t="s">
        <v>16544</v>
      </c>
      <c r="F1344" s="27" t="s">
        <v>17843</v>
      </c>
      <c r="G1344" s="27" t="s">
        <v>17844</v>
      </c>
      <c r="H1344" s="27" t="s">
        <v>17852</v>
      </c>
      <c r="I1344" s="27"/>
      <c r="J1344" s="27"/>
      <c r="K1344" s="27"/>
      <c r="L1344" s="27"/>
      <c r="N1344" s="27"/>
      <c r="T1344" s="28" t="str">
        <f>LOOKUP(1,1/(Table1[[#This Row],[Level_0]:[Level 15]]&gt;0),(Table1[[#This Row],[Level_0]:[Level 15]]))</f>
        <v>5392000000 - [Consumption of technical material - S2S]</v>
      </c>
      <c r="U1344" s="22">
        <v>1339</v>
      </c>
      <c r="W1344" s="13" t="str">
        <f>LOOKUP(1,1/(Table1[[#This Row],[Level_0]:[Level 15]]&gt;0),(Table1[[#This Row],[Level_0]:[Level 15]]))</f>
        <v>5392000000 - [Consumption of technical material - S2S]</v>
      </c>
    </row>
    <row r="1345" spans="1:23" hidden="1" x14ac:dyDescent="0.25">
      <c r="A1345">
        <v>3953310000</v>
      </c>
      <c r="B1345" s="16" t="s">
        <v>19728</v>
      </c>
      <c r="C1345" s="16" t="e">
        <f>VLOOKUP(Table1[[#This Row],[Node]],Parent!A:B,2,0)</f>
        <v>#N/A</v>
      </c>
      <c r="D1345" s="25" t="s">
        <v>19346</v>
      </c>
      <c r="E1345" s="26" t="s">
        <v>16544</v>
      </c>
      <c r="F1345" s="27" t="s">
        <v>17843</v>
      </c>
      <c r="G1345" s="27" t="s">
        <v>17844</v>
      </c>
      <c r="H1345" s="27" t="s">
        <v>17853</v>
      </c>
      <c r="I1345" s="27"/>
      <c r="J1345" s="27"/>
      <c r="K1345" s="27"/>
      <c r="L1345" s="27"/>
      <c r="N1345" s="27"/>
      <c r="T1345" s="28" t="str">
        <f>LOOKUP(1,1/(Table1[[#This Row],[Level_0]:[Level 15]]&gt;0),(Table1[[#This Row],[Level_0]:[Level 15]]))</f>
        <v>3953310000 - [Rem Oth Inc IC - R&amp;D - Local]</v>
      </c>
      <c r="U1345" s="22">
        <v>1340</v>
      </c>
      <c r="W1345" s="13" t="str">
        <f>LOOKUP(1,1/(Table1[[#This Row],[Level_0]:[Level 15]]&gt;0),(Table1[[#This Row],[Level_0]:[Level 15]]))</f>
        <v>3953310000 - [Rem Oth Inc IC - R&amp;D - Local]</v>
      </c>
    </row>
    <row r="1346" spans="1:23" hidden="1" x14ac:dyDescent="0.25">
      <c r="A1346">
        <v>3952710000</v>
      </c>
      <c r="B1346" s="16" t="s">
        <v>19726</v>
      </c>
      <c r="C1346" s="16" t="e">
        <f>VLOOKUP(Table1[[#This Row],[Node]],Parent!A:B,2,0)</f>
        <v>#N/A</v>
      </c>
      <c r="D1346" s="25" t="s">
        <v>19346</v>
      </c>
      <c r="E1346" s="26" t="s">
        <v>16544</v>
      </c>
      <c r="F1346" s="27" t="s">
        <v>17843</v>
      </c>
      <c r="G1346" s="27" t="s">
        <v>17844</v>
      </c>
      <c r="H1346" s="27" t="s">
        <v>17854</v>
      </c>
      <c r="I1346" s="27"/>
      <c r="J1346" s="27"/>
      <c r="K1346" s="27"/>
      <c r="L1346" s="27"/>
      <c r="N1346" s="27"/>
      <c r="T1346" s="28" t="str">
        <f>LOOKUP(1,1/(Table1[[#This Row],[Level_0]:[Level 15]]&gt;0),(Table1[[#This Row],[Level_0]:[Level 15]]))</f>
        <v>3952710000 - [Rem Oth Inc IC - Communication Services]</v>
      </c>
      <c r="U1346" s="22">
        <v>1341</v>
      </c>
      <c r="W1346" s="13" t="str">
        <f>LOOKUP(1,1/(Table1[[#This Row],[Level_0]:[Level 15]]&gt;0),(Table1[[#This Row],[Level_0]:[Level 15]]))</f>
        <v>3952710000 - [Rem Oth Inc IC - Communication Services]</v>
      </c>
    </row>
    <row r="1347" spans="1:23" hidden="1" x14ac:dyDescent="0.25">
      <c r="A1347">
        <v>3952610000</v>
      </c>
      <c r="B1347" s="16" t="s">
        <v>19725</v>
      </c>
      <c r="C1347" s="16" t="e">
        <f>VLOOKUP(Table1[[#This Row],[Node]],Parent!A:B,2,0)</f>
        <v>#N/A</v>
      </c>
      <c r="D1347" s="25" t="s">
        <v>19346</v>
      </c>
      <c r="E1347" s="26" t="s">
        <v>16544</v>
      </c>
      <c r="F1347" s="27" t="s">
        <v>17843</v>
      </c>
      <c r="G1347" s="27" t="s">
        <v>17844</v>
      </c>
      <c r="H1347" s="27" t="s">
        <v>17855</v>
      </c>
      <c r="I1347" s="27"/>
      <c r="J1347" s="27"/>
      <c r="K1347" s="27"/>
      <c r="L1347" s="27"/>
      <c r="N1347" s="27"/>
      <c r="T1347" s="28" t="str">
        <f>LOOKUP(1,1/(Table1[[#This Row],[Level_0]:[Level 15]]&gt;0),(Table1[[#This Row],[Level_0]:[Level 15]]))</f>
        <v>3952610000 - [Rem Oth Inc IC - Procurem Services]</v>
      </c>
      <c r="U1347" s="22">
        <v>1342</v>
      </c>
      <c r="W1347" s="13" t="str">
        <f>LOOKUP(1,1/(Table1[[#This Row],[Level_0]:[Level 15]]&gt;0),(Table1[[#This Row],[Level_0]:[Level 15]]))</f>
        <v>3952610000 - [Rem Oth Inc IC - Procurem Services]</v>
      </c>
    </row>
    <row r="1348" spans="1:23" hidden="1" x14ac:dyDescent="0.25">
      <c r="A1348">
        <v>3952310000</v>
      </c>
      <c r="B1348" s="16" t="s">
        <v>19722</v>
      </c>
      <c r="C1348" s="16" t="e">
        <f>VLOOKUP(Table1[[#This Row],[Node]],Parent!A:B,2,0)</f>
        <v>#N/A</v>
      </c>
      <c r="D1348" s="25" t="s">
        <v>19346</v>
      </c>
      <c r="E1348" s="26" t="s">
        <v>16544</v>
      </c>
      <c r="F1348" s="27" t="s">
        <v>17843</v>
      </c>
      <c r="G1348" s="27" t="s">
        <v>17844</v>
      </c>
      <c r="H1348" s="27" t="s">
        <v>17856</v>
      </c>
      <c r="I1348" s="27"/>
      <c r="J1348" s="27"/>
      <c r="K1348" s="27"/>
      <c r="L1348" s="27"/>
      <c r="N1348" s="27"/>
      <c r="T1348" s="28" t="str">
        <f>LOOKUP(1,1/(Table1[[#This Row],[Level_0]:[Level 15]]&gt;0),(Table1[[#This Row],[Level_0]:[Level 15]]))</f>
        <v>3952310000 - [Rem Oth Inc IC - MD Activities]</v>
      </c>
      <c r="U1348" s="22">
        <v>1343</v>
      </c>
      <c r="W1348" s="13" t="str">
        <f>LOOKUP(1,1/(Table1[[#This Row],[Level_0]:[Level 15]]&gt;0),(Table1[[#This Row],[Level_0]:[Level 15]]))</f>
        <v>3952310000 - [Rem Oth Inc IC - MD Activities]</v>
      </c>
    </row>
    <row r="1349" spans="1:23" hidden="1" x14ac:dyDescent="0.25">
      <c r="A1349">
        <v>3954610000</v>
      </c>
      <c r="B1349" s="16" t="s">
        <v>19741</v>
      </c>
      <c r="C1349" s="16" t="e">
        <f>VLOOKUP(Table1[[#This Row],[Node]],Parent!A:B,2,0)</f>
        <v>#N/A</v>
      </c>
      <c r="D1349" s="25" t="s">
        <v>19346</v>
      </c>
      <c r="E1349" s="26" t="s">
        <v>16544</v>
      </c>
      <c r="F1349" s="27" t="s">
        <v>17843</v>
      </c>
      <c r="G1349" s="27" t="s">
        <v>17844</v>
      </c>
      <c r="H1349" s="27" t="s">
        <v>17857</v>
      </c>
      <c r="I1349" s="27"/>
      <c r="J1349" s="27"/>
      <c r="K1349" s="27"/>
      <c r="L1349" s="27"/>
      <c r="N1349" s="27"/>
      <c r="T1349" s="28" t="str">
        <f>LOOKUP(1,1/(Table1[[#This Row],[Level_0]:[Level 15]]&gt;0),(Table1[[#This Row],[Level_0]:[Level 15]]))</f>
        <v>3954610000 - [Rem Oth Inc IC - Internal Sales Service]</v>
      </c>
      <c r="U1349" s="22">
        <v>1344</v>
      </c>
      <c r="W1349" s="13" t="str">
        <f>LOOKUP(1,1/(Table1[[#This Row],[Level_0]:[Level 15]]&gt;0),(Table1[[#This Row],[Level_0]:[Level 15]]))</f>
        <v>3954610000 - [Rem Oth Inc IC - Internal Sales Service]</v>
      </c>
    </row>
    <row r="1350" spans="1:23" hidden="1" x14ac:dyDescent="0.25">
      <c r="A1350">
        <v>3955010000</v>
      </c>
      <c r="B1350" s="16" t="s">
        <v>19747</v>
      </c>
      <c r="C1350" s="16" t="e">
        <f>VLOOKUP(Table1[[#This Row],[Node]],Parent!A:B,2,0)</f>
        <v>#N/A</v>
      </c>
      <c r="D1350" s="25" t="s">
        <v>19346</v>
      </c>
      <c r="E1350" s="26" t="s">
        <v>16544</v>
      </c>
      <c r="F1350" s="27" t="s">
        <v>17843</v>
      </c>
      <c r="G1350" s="27" t="s">
        <v>17844</v>
      </c>
      <c r="H1350" s="27" t="s">
        <v>17858</v>
      </c>
      <c r="I1350" s="27"/>
      <c r="J1350" s="27"/>
      <c r="K1350" s="27"/>
      <c r="L1350" s="27"/>
      <c r="N1350" s="27"/>
      <c r="T1350" s="28" t="str">
        <f>LOOKUP(1,1/(Table1[[#This Row],[Level_0]:[Level 15]]&gt;0),(Table1[[#This Row],[Level_0]:[Level 15]]))</f>
        <v>3955010000 - [Rem Oth Inc IC - Site Services]</v>
      </c>
      <c r="U1350" s="22">
        <v>1345</v>
      </c>
      <c r="W1350" s="13" t="str">
        <f>LOOKUP(1,1/(Table1[[#This Row],[Level_0]:[Level 15]]&gt;0),(Table1[[#This Row],[Level_0]:[Level 15]]))</f>
        <v>3955010000 - [Rem Oth Inc IC - Site Services]</v>
      </c>
    </row>
    <row r="1351" spans="1:23" hidden="1" x14ac:dyDescent="0.25">
      <c r="A1351">
        <v>3952810000</v>
      </c>
      <c r="B1351" s="16" t="s">
        <v>19727</v>
      </c>
      <c r="C1351" s="16" t="e">
        <f>VLOOKUP(Table1[[#This Row],[Node]],Parent!A:B,2,0)</f>
        <v>#N/A</v>
      </c>
      <c r="D1351" s="25" t="s">
        <v>19346</v>
      </c>
      <c r="E1351" s="26" t="s">
        <v>16544</v>
      </c>
      <c r="F1351" s="27" t="s">
        <v>17843</v>
      </c>
      <c r="G1351" s="27" t="s">
        <v>17844</v>
      </c>
      <c r="H1351" s="27" t="s">
        <v>17859</v>
      </c>
      <c r="I1351" s="27"/>
      <c r="J1351" s="27"/>
      <c r="K1351" s="27"/>
      <c r="L1351" s="27"/>
      <c r="N1351" s="27"/>
      <c r="T1351" s="28" t="str">
        <f>LOOKUP(1,1/(Table1[[#This Row],[Level_0]:[Level 15]]&gt;0),(Table1[[#This Row],[Level_0]:[Level 15]]))</f>
        <v>3952810000 - [Rem Oth Inc IC - Tax Services]</v>
      </c>
      <c r="U1351" s="22">
        <v>1346</v>
      </c>
      <c r="W1351" s="13" t="str">
        <f>LOOKUP(1,1/(Table1[[#This Row],[Level_0]:[Level 15]]&gt;0),(Table1[[#This Row],[Level_0]:[Level 15]]))</f>
        <v>3952810000 - [Rem Oth Inc IC - Tax Services]</v>
      </c>
    </row>
    <row r="1352" spans="1:23" hidden="1" x14ac:dyDescent="0.25">
      <c r="A1352">
        <v>3952510000</v>
      </c>
      <c r="B1352" s="16" t="s">
        <v>19724</v>
      </c>
      <c r="C1352" s="16" t="e">
        <f>VLOOKUP(Table1[[#This Row],[Node]],Parent!A:B,2,0)</f>
        <v>#N/A</v>
      </c>
      <c r="D1352" s="25" t="s">
        <v>19346</v>
      </c>
      <c r="E1352" s="26" t="s">
        <v>16544</v>
      </c>
      <c r="F1352" s="27" t="s">
        <v>17843</v>
      </c>
      <c r="G1352" s="27" t="s">
        <v>17844</v>
      </c>
      <c r="H1352" s="27" t="s">
        <v>17860</v>
      </c>
      <c r="I1352" s="27"/>
      <c r="J1352" s="27"/>
      <c r="K1352" s="27"/>
      <c r="L1352" s="27"/>
      <c r="N1352" s="27"/>
      <c r="T1352" s="28" t="str">
        <f>LOOKUP(1,1/(Table1[[#This Row],[Level_0]:[Level 15]]&gt;0),(Table1[[#This Row],[Level_0]:[Level 15]]))</f>
        <v>3952510000 - [Rem Oth Inc IC - P&amp;S IS]</v>
      </c>
      <c r="U1352" s="22">
        <v>1347</v>
      </c>
      <c r="W1352" s="13" t="str">
        <f>LOOKUP(1,1/(Table1[[#This Row],[Level_0]:[Level 15]]&gt;0),(Table1[[#This Row],[Level_0]:[Level 15]]))</f>
        <v>3952510000 - [Rem Oth Inc IC - P&amp;S IS]</v>
      </c>
    </row>
    <row r="1353" spans="1:23" hidden="1" x14ac:dyDescent="0.25">
      <c r="A1353">
        <v>3951810000</v>
      </c>
      <c r="B1353" s="16" t="s">
        <v>19719</v>
      </c>
      <c r="C1353" s="16" t="e">
        <f>VLOOKUP(Table1[[#This Row],[Node]],Parent!A:B,2,0)</f>
        <v>#N/A</v>
      </c>
      <c r="D1353" s="25" t="s">
        <v>19346</v>
      </c>
      <c r="E1353" s="26" t="s">
        <v>16544</v>
      </c>
      <c r="F1353" s="27" t="s">
        <v>17843</v>
      </c>
      <c r="G1353" s="27" t="s">
        <v>17844</v>
      </c>
      <c r="H1353" s="27" t="s">
        <v>17861</v>
      </c>
      <c r="I1353" s="27"/>
      <c r="J1353" s="27"/>
      <c r="K1353" s="27"/>
      <c r="L1353" s="27"/>
      <c r="N1353" s="27"/>
      <c r="T1353" s="28" t="str">
        <f>LOOKUP(1,1/(Table1[[#This Row],[Level_0]:[Level 15]]&gt;0),(Table1[[#This Row],[Level_0]:[Level 15]]))</f>
        <v>3951810000 - [Rem Oth Inc IC - Other Marketing&amp;Selling]</v>
      </c>
      <c r="U1353" s="22">
        <v>1348</v>
      </c>
      <c r="W1353" s="13" t="str">
        <f>LOOKUP(1,1/(Table1[[#This Row],[Level_0]:[Level 15]]&gt;0),(Table1[[#This Row],[Level_0]:[Level 15]]))</f>
        <v>3951810000 - [Rem Oth Inc IC - Other Marketing&amp;Selling]</v>
      </c>
    </row>
    <row r="1354" spans="1:23" hidden="1" x14ac:dyDescent="0.25">
      <c r="A1354">
        <v>3951710000</v>
      </c>
      <c r="B1354" s="16" t="s">
        <v>19718</v>
      </c>
      <c r="C1354" s="16" t="e">
        <f>VLOOKUP(Table1[[#This Row],[Node]],Parent!A:B,2,0)</f>
        <v>#N/A</v>
      </c>
      <c r="D1354" s="25" t="s">
        <v>19346</v>
      </c>
      <c r="E1354" s="26" t="s">
        <v>16544</v>
      </c>
      <c r="F1354" s="27" t="s">
        <v>17843</v>
      </c>
      <c r="G1354" s="27" t="s">
        <v>17844</v>
      </c>
      <c r="H1354" s="27" t="s">
        <v>17862</v>
      </c>
      <c r="I1354" s="27"/>
      <c r="J1354" s="27"/>
      <c r="K1354" s="27"/>
      <c r="L1354" s="27"/>
      <c r="N1354" s="27"/>
      <c r="T1354" s="28" t="str">
        <f>LOOKUP(1,1/(Table1[[#This Row],[Level_0]:[Level 15]]&gt;0),(Table1[[#This Row],[Level_0]:[Level 15]]))</f>
        <v>3951710000 - [Rem Oth Inc IC - Insurance Services]</v>
      </c>
      <c r="U1354" s="22">
        <v>1349</v>
      </c>
      <c r="W1354" s="13" t="str">
        <f>LOOKUP(1,1/(Table1[[#This Row],[Level_0]:[Level 15]]&gt;0),(Table1[[#This Row],[Level_0]:[Level 15]]))</f>
        <v>3951710000 - [Rem Oth Inc IC - Insurance Services]</v>
      </c>
    </row>
    <row r="1355" spans="1:23" hidden="1" x14ac:dyDescent="0.25">
      <c r="A1355">
        <v>3951510000</v>
      </c>
      <c r="B1355" s="16" t="s">
        <v>19716</v>
      </c>
      <c r="C1355" s="16" t="e">
        <f>VLOOKUP(Table1[[#This Row],[Node]],Parent!A:B,2,0)</f>
        <v>#N/A</v>
      </c>
      <c r="D1355" s="25" t="s">
        <v>19346</v>
      </c>
      <c r="E1355" s="26" t="s">
        <v>16544</v>
      </c>
      <c r="F1355" s="27" t="s">
        <v>17843</v>
      </c>
      <c r="G1355" s="27" t="s">
        <v>17844</v>
      </c>
      <c r="H1355" s="27" t="s">
        <v>17863</v>
      </c>
      <c r="I1355" s="27"/>
      <c r="J1355" s="27"/>
      <c r="K1355" s="27"/>
      <c r="L1355" s="27"/>
      <c r="N1355" s="27"/>
      <c r="T1355" s="28" t="str">
        <f>LOOKUP(1,1/(Table1[[#This Row],[Level_0]:[Level 15]]&gt;0),(Table1[[#This Row],[Level_0]:[Level 15]]))</f>
        <v>3951510000 - [Rem Oth Inc IC - Group Treasury]</v>
      </c>
      <c r="U1355" s="22">
        <v>1350</v>
      </c>
      <c r="W1355" s="13" t="str">
        <f>LOOKUP(1,1/(Table1[[#This Row],[Level_0]:[Level 15]]&gt;0),(Table1[[#This Row],[Level_0]:[Level 15]]))</f>
        <v>3951510000 - [Rem Oth Inc IC - Group Treasury]</v>
      </c>
    </row>
    <row r="1356" spans="1:23" hidden="1" x14ac:dyDescent="0.25">
      <c r="A1356">
        <v>3050000001</v>
      </c>
      <c r="B1356" s="16" t="s">
        <v>19541</v>
      </c>
      <c r="C1356" s="16" t="e">
        <f>VLOOKUP(Table1[[#This Row],[Node]],Parent!A:B,2,0)</f>
        <v>#N/A</v>
      </c>
      <c r="D1356" s="25" t="s">
        <v>19346</v>
      </c>
      <c r="E1356" s="26" t="s">
        <v>16544</v>
      </c>
      <c r="F1356" s="27" t="s">
        <v>17843</v>
      </c>
      <c r="G1356" s="27" t="s">
        <v>17844</v>
      </c>
      <c r="H1356" s="27" t="s">
        <v>17864</v>
      </c>
      <c r="I1356" s="27"/>
      <c r="J1356" s="27"/>
      <c r="K1356" s="27"/>
      <c r="L1356" s="27"/>
      <c r="N1356" s="27"/>
      <c r="T1356" s="28" t="str">
        <f>LOOKUP(1,1/(Table1[[#This Row],[Level_0]:[Level 15]]&gt;0),(Table1[[#This Row],[Level_0]:[Level 15]]))</f>
        <v>3050000001 - [Sales Revenue - Licenses - Manual]</v>
      </c>
      <c r="U1356" s="22">
        <v>1351</v>
      </c>
      <c r="W1356" s="13" t="str">
        <f>LOOKUP(1,1/(Table1[[#This Row],[Level_0]:[Level 15]]&gt;0),(Table1[[#This Row],[Level_0]:[Level 15]]))</f>
        <v>3050000001 - [Sales Revenue - Licenses - Manual]</v>
      </c>
    </row>
    <row r="1357" spans="1:23" hidden="1" x14ac:dyDescent="0.25">
      <c r="A1357">
        <v>7824220000</v>
      </c>
      <c r="B1357" s="16" t="s">
        <v>21893</v>
      </c>
      <c r="C1357" s="16" t="e">
        <f>VLOOKUP(Table1[[#This Row],[Node]],Parent!A:B,2,0)</f>
        <v>#N/A</v>
      </c>
      <c r="D1357" s="25" t="s">
        <v>19346</v>
      </c>
      <c r="E1357" s="26" t="s">
        <v>16544</v>
      </c>
      <c r="F1357" s="27" t="s">
        <v>17843</v>
      </c>
      <c r="G1357" s="27" t="s">
        <v>17844</v>
      </c>
      <c r="H1357" s="27" t="s">
        <v>17865</v>
      </c>
      <c r="I1357" s="27"/>
      <c r="J1357" s="27"/>
      <c r="K1357" s="27"/>
      <c r="L1357" s="27"/>
      <c r="N1357" s="27"/>
      <c r="T1357" s="28" t="str">
        <f>LOOKUP(1,1/(Table1[[#This Row],[Level_0]:[Level 15]]&gt;0),(Table1[[#This Row],[Level_0]:[Level 15]]))</f>
        <v>7824220000 - [APA Special Reimb Expenses IC]</v>
      </c>
      <c r="U1357" s="22">
        <v>1352</v>
      </c>
      <c r="W1357" s="13" t="str">
        <f>LOOKUP(1,1/(Table1[[#This Row],[Level_0]:[Level 15]]&gt;0),(Table1[[#This Row],[Level_0]:[Level 15]]))</f>
        <v>7824220000 - [APA Special Reimb Expenses IC]</v>
      </c>
    </row>
    <row r="1358" spans="1:23" hidden="1" x14ac:dyDescent="0.25">
      <c r="A1358">
        <v>7824180000</v>
      </c>
      <c r="B1358" s="16" t="s">
        <v>21889</v>
      </c>
      <c r="C1358" s="16" t="e">
        <f>VLOOKUP(Table1[[#This Row],[Node]],Parent!A:B,2,0)</f>
        <v>#N/A</v>
      </c>
      <c r="D1358" s="25" t="s">
        <v>19346</v>
      </c>
      <c r="E1358" s="26" t="s">
        <v>16544</v>
      </c>
      <c r="F1358" s="27" t="s">
        <v>17843</v>
      </c>
      <c r="G1358" s="27" t="s">
        <v>17844</v>
      </c>
      <c r="H1358" s="27" t="s">
        <v>17866</v>
      </c>
      <c r="I1358" s="27"/>
      <c r="J1358" s="27"/>
      <c r="K1358" s="27"/>
      <c r="L1358" s="27"/>
      <c r="N1358" s="27"/>
      <c r="T1358" s="28" t="str">
        <f>LOOKUP(1,1/(Table1[[#This Row],[Level_0]:[Level 15]]&gt;0),(Table1[[#This Row],[Level_0]:[Level 15]]))</f>
        <v>7824180000 - [APA Mark-up expense IC]</v>
      </c>
      <c r="U1358" s="22">
        <v>1353</v>
      </c>
      <c r="W1358" s="13" t="str">
        <f>LOOKUP(1,1/(Table1[[#This Row],[Level_0]:[Level 15]]&gt;0),(Table1[[#This Row],[Level_0]:[Level 15]]))</f>
        <v>7824180000 - [APA Mark-up expense IC]</v>
      </c>
    </row>
    <row r="1359" spans="1:23" hidden="1" x14ac:dyDescent="0.25">
      <c r="A1359">
        <v>5970016000</v>
      </c>
      <c r="B1359" s="16" t="s">
        <v>20608</v>
      </c>
      <c r="C1359" s="16" t="e">
        <f>VLOOKUP(Table1[[#This Row],[Node]],Parent!A:B,2,0)</f>
        <v>#N/A</v>
      </c>
      <c r="D1359" s="25" t="s">
        <v>19346</v>
      </c>
      <c r="E1359" s="26" t="s">
        <v>16544</v>
      </c>
      <c r="F1359" s="27" t="s">
        <v>17843</v>
      </c>
      <c r="G1359" s="27" t="s">
        <v>17844</v>
      </c>
      <c r="H1359" s="27" t="s">
        <v>17867</v>
      </c>
      <c r="I1359" s="27"/>
      <c r="J1359" s="27"/>
      <c r="K1359" s="27"/>
      <c r="L1359" s="27"/>
      <c r="N1359" s="27"/>
      <c r="T1359" s="28" t="str">
        <f>LOOKUP(1,1/(Table1[[#This Row],[Level_0]:[Level 15]]&gt;0),(Table1[[#This Row],[Level_0]:[Level 15]]))</f>
        <v>5970016000 - [Markup Expenses IC - Manual]</v>
      </c>
      <c r="U1359" s="22">
        <v>1354</v>
      </c>
      <c r="W1359" s="13" t="str">
        <f>LOOKUP(1,1/(Table1[[#This Row],[Level_0]:[Level 15]]&gt;0),(Table1[[#This Row],[Level_0]:[Level 15]]))</f>
        <v>5970016000 - [Markup Expenses IC - Manual]</v>
      </c>
    </row>
    <row r="1360" spans="1:23" hidden="1" x14ac:dyDescent="0.25">
      <c r="A1360">
        <v>5970010000</v>
      </c>
      <c r="B1360" s="16" t="s">
        <v>20607</v>
      </c>
      <c r="C1360" s="16" t="e">
        <f>VLOOKUP(Table1[[#This Row],[Node]],Parent!A:B,2,0)</f>
        <v>#N/A</v>
      </c>
      <c r="D1360" s="25" t="s">
        <v>19346</v>
      </c>
      <c r="E1360" s="26" t="s">
        <v>16544</v>
      </c>
      <c r="F1360" s="27" t="s">
        <v>17843</v>
      </c>
      <c r="G1360" s="27" t="s">
        <v>17844</v>
      </c>
      <c r="H1360" s="27" t="s">
        <v>17868</v>
      </c>
      <c r="I1360" s="27"/>
      <c r="J1360" s="27"/>
      <c r="K1360" s="27"/>
      <c r="L1360" s="27"/>
      <c r="N1360" s="27"/>
      <c r="T1360" s="28" t="str">
        <f>LOOKUP(1,1/(Table1[[#This Row],[Level_0]:[Level 15]]&gt;0),(Table1[[#This Row],[Level_0]:[Level 15]]))</f>
        <v>5970010000 - [Markup Expenses IC]</v>
      </c>
      <c r="U1360" s="22">
        <v>1355</v>
      </c>
      <c r="W1360" s="13" t="str">
        <f>LOOKUP(1,1/(Table1[[#This Row],[Level_0]:[Level 15]]&gt;0),(Table1[[#This Row],[Level_0]:[Level 15]]))</f>
        <v>5970010000 - [Markup Expenses IC]</v>
      </c>
    </row>
    <row r="1361" spans="1:23" hidden="1" x14ac:dyDescent="0.25">
      <c r="A1361">
        <v>5960111000</v>
      </c>
      <c r="B1361" s="16" t="s">
        <v>20588</v>
      </c>
      <c r="C1361" s="16" t="e">
        <f>VLOOKUP(Table1[[#This Row],[Node]],Parent!A:B,2,0)</f>
        <v>#N/A</v>
      </c>
      <c r="D1361" s="25" t="s">
        <v>19346</v>
      </c>
      <c r="E1361" s="26" t="s">
        <v>16544</v>
      </c>
      <c r="F1361" s="27" t="s">
        <v>17843</v>
      </c>
      <c r="G1361" s="27" t="s">
        <v>17844</v>
      </c>
      <c r="H1361" s="27" t="s">
        <v>17869</v>
      </c>
      <c r="I1361" s="27"/>
      <c r="J1361" s="27"/>
      <c r="K1361" s="27"/>
      <c r="L1361" s="27"/>
      <c r="N1361" s="27"/>
      <c r="T1361" s="28" t="str">
        <f>LOOKUP(1,1/(Table1[[#This Row],[Level_0]:[Level 15]]&gt;0),(Table1[[#This Row],[Level_0]:[Level 15]]))</f>
        <v>5960111000 - [IC Exp - Rem Other Exp - ICON Offset]</v>
      </c>
      <c r="U1361" s="22">
        <v>1356</v>
      </c>
      <c r="W1361" s="13" t="str">
        <f>LOOKUP(1,1/(Table1[[#This Row],[Level_0]:[Level 15]]&gt;0),(Table1[[#This Row],[Level_0]:[Level 15]]))</f>
        <v>5960111000 - [IC Exp - Rem Other Exp - ICON Offset]</v>
      </c>
    </row>
    <row r="1362" spans="1:23" hidden="1" x14ac:dyDescent="0.25">
      <c r="A1362">
        <v>5960110000</v>
      </c>
      <c r="B1362" s="16" t="s">
        <v>20587</v>
      </c>
      <c r="C1362" s="16" t="e">
        <f>VLOOKUP(Table1[[#This Row],[Node]],Parent!A:B,2,0)</f>
        <v>#N/A</v>
      </c>
      <c r="D1362" s="25" t="s">
        <v>19346</v>
      </c>
      <c r="E1362" s="26" t="s">
        <v>16544</v>
      </c>
      <c r="F1362" s="27" t="s">
        <v>17843</v>
      </c>
      <c r="G1362" s="27" t="s">
        <v>17844</v>
      </c>
      <c r="H1362" s="27" t="s">
        <v>17870</v>
      </c>
      <c r="I1362" s="27"/>
      <c r="J1362" s="27"/>
      <c r="K1362" s="27"/>
      <c r="L1362" s="27"/>
      <c r="N1362" s="27"/>
      <c r="T1362" s="28" t="str">
        <f>LOOKUP(1,1/(Table1[[#This Row],[Level_0]:[Level 15]]&gt;0),(Table1[[#This Row],[Level_0]:[Level 15]]))</f>
        <v>5960110000 - [IC Expenses - Remaining Other Expenses]</v>
      </c>
      <c r="U1362" s="22">
        <v>1357</v>
      </c>
      <c r="W1362" s="13" t="str">
        <f>LOOKUP(1,1/(Table1[[#This Row],[Level_0]:[Level 15]]&gt;0),(Table1[[#This Row],[Level_0]:[Level 15]]))</f>
        <v>5960110000 - [IC Expenses - Remaining Other Expenses]</v>
      </c>
    </row>
    <row r="1363" spans="1:23" hidden="1" x14ac:dyDescent="0.25">
      <c r="A1363">
        <v>5940010000</v>
      </c>
      <c r="B1363" s="16" t="s">
        <v>20552</v>
      </c>
      <c r="C1363" s="16" t="e">
        <f>VLOOKUP(Table1[[#This Row],[Node]],Parent!A:B,2,0)</f>
        <v>#N/A</v>
      </c>
      <c r="D1363" s="25" t="s">
        <v>19346</v>
      </c>
      <c r="E1363" s="26" t="s">
        <v>16544</v>
      </c>
      <c r="F1363" s="27" t="s">
        <v>17843</v>
      </c>
      <c r="G1363" s="27" t="s">
        <v>17844</v>
      </c>
      <c r="H1363" s="27" t="s">
        <v>17871</v>
      </c>
      <c r="I1363" s="27"/>
      <c r="J1363" s="27"/>
      <c r="K1363" s="27"/>
      <c r="L1363" s="27"/>
      <c r="N1363" s="27"/>
      <c r="T1363" s="28" t="str">
        <f>LOOKUP(1,1/(Table1[[#This Row],[Level_0]:[Level 15]]&gt;0),(Table1[[#This Row],[Level_0]:[Level 15]]))</f>
        <v>5940010000 - [Exp from FX Diff - Realized - IC]</v>
      </c>
      <c r="U1363" s="22">
        <v>1358</v>
      </c>
      <c r="W1363" s="13" t="str">
        <f>LOOKUP(1,1/(Table1[[#This Row],[Level_0]:[Level 15]]&gt;0),(Table1[[#This Row],[Level_0]:[Level 15]]))</f>
        <v>5940010000 - [Exp from FX Diff - Realized - IC]</v>
      </c>
    </row>
    <row r="1364" spans="1:23" hidden="1" x14ac:dyDescent="0.25">
      <c r="A1364">
        <v>5763910000</v>
      </c>
      <c r="B1364" s="16" t="s">
        <v>20444</v>
      </c>
      <c r="C1364" s="16" t="e">
        <f>VLOOKUP(Table1[[#This Row],[Node]],Parent!A:B,2,0)</f>
        <v>#N/A</v>
      </c>
      <c r="D1364" s="25" t="s">
        <v>19346</v>
      </c>
      <c r="E1364" s="26" t="s">
        <v>16544</v>
      </c>
      <c r="F1364" s="27" t="s">
        <v>17843</v>
      </c>
      <c r="G1364" s="27" t="s">
        <v>17844</v>
      </c>
      <c r="H1364" s="27" t="s">
        <v>17872</v>
      </c>
      <c r="I1364" s="27"/>
      <c r="J1364" s="27"/>
      <c r="K1364" s="27"/>
      <c r="L1364" s="27"/>
      <c r="N1364" s="27"/>
      <c r="T1364" s="28" t="str">
        <f>LOOKUP(1,1/(Table1[[#This Row],[Level_0]:[Level 15]]&gt;0),(Table1[[#This Row],[Level_0]:[Level 15]]))</f>
        <v>5763910000 - [IC Exp - Divisional - Other Services]</v>
      </c>
      <c r="U1364" s="22">
        <v>1359</v>
      </c>
      <c r="W1364" s="13" t="str">
        <f>LOOKUP(1,1/(Table1[[#This Row],[Level_0]:[Level 15]]&gt;0),(Table1[[#This Row],[Level_0]:[Level 15]]))</f>
        <v>5763910000 - [IC Exp - Divisional - Other Services]</v>
      </c>
    </row>
    <row r="1365" spans="1:23" hidden="1" x14ac:dyDescent="0.25">
      <c r="A1365">
        <v>3970016000</v>
      </c>
      <c r="B1365" s="16" t="s">
        <v>19775</v>
      </c>
      <c r="C1365" s="16" t="e">
        <f>VLOOKUP(Table1[[#This Row],[Node]],Parent!A:B,2,0)</f>
        <v>#N/A</v>
      </c>
      <c r="D1365" s="25" t="s">
        <v>19346</v>
      </c>
      <c r="E1365" s="26" t="s">
        <v>16544</v>
      </c>
      <c r="F1365" s="27" t="s">
        <v>17843</v>
      </c>
      <c r="G1365" s="27" t="s">
        <v>17844</v>
      </c>
      <c r="H1365" s="27" t="s">
        <v>17873</v>
      </c>
      <c r="I1365" s="27"/>
      <c r="J1365" s="27"/>
      <c r="K1365" s="27"/>
      <c r="L1365" s="27"/>
      <c r="N1365" s="27"/>
      <c r="T1365" s="28" t="str">
        <f>LOOKUP(1,1/(Table1[[#This Row],[Level_0]:[Level 15]]&gt;0),(Table1[[#This Row],[Level_0]:[Level 15]]))</f>
        <v>3970016000 - [Markup Income IC - Manual]</v>
      </c>
      <c r="U1365" s="22">
        <v>1360</v>
      </c>
      <c r="W1365" s="13" t="str">
        <f>LOOKUP(1,1/(Table1[[#This Row],[Level_0]:[Level 15]]&gt;0),(Table1[[#This Row],[Level_0]:[Level 15]]))</f>
        <v>3970016000 - [Markup Income IC - Manual]</v>
      </c>
    </row>
    <row r="1366" spans="1:23" hidden="1" x14ac:dyDescent="0.25">
      <c r="A1366">
        <v>3954710000</v>
      </c>
      <c r="B1366" s="16" t="s">
        <v>19742</v>
      </c>
      <c r="C1366" s="16" t="e">
        <f>VLOOKUP(Table1[[#This Row],[Node]],Parent!A:B,2,0)</f>
        <v>#N/A</v>
      </c>
      <c r="D1366" s="25" t="s">
        <v>19346</v>
      </c>
      <c r="E1366" s="26" t="s">
        <v>16544</v>
      </c>
      <c r="F1366" s="27" t="s">
        <v>17843</v>
      </c>
      <c r="G1366" s="27" t="s">
        <v>17844</v>
      </c>
      <c r="H1366" s="27" t="s">
        <v>17874</v>
      </c>
      <c r="I1366" s="27"/>
      <c r="J1366" s="27"/>
      <c r="K1366" s="27"/>
      <c r="L1366" s="27"/>
      <c r="N1366" s="27"/>
      <c r="T1366" s="28" t="str">
        <f>LOOKUP(1,1/(Table1[[#This Row],[Level_0]:[Level 15]]&gt;0),(Table1[[#This Row],[Level_0]:[Level 15]]))</f>
        <v>3954710000 - [Rem Oth Inc IC - Sales Promotion]</v>
      </c>
      <c r="U1366" s="22">
        <v>1361</v>
      </c>
      <c r="W1366" s="13" t="str">
        <f>LOOKUP(1,1/(Table1[[#This Row],[Level_0]:[Level 15]]&gt;0),(Table1[[#This Row],[Level_0]:[Level 15]]))</f>
        <v>3954710000 - [Rem Oth Inc IC - Sales Promotion]</v>
      </c>
    </row>
    <row r="1367" spans="1:23" hidden="1" x14ac:dyDescent="0.25">
      <c r="A1367">
        <v>3954510000</v>
      </c>
      <c r="B1367" s="16" t="s">
        <v>19740</v>
      </c>
      <c r="C1367" s="16" t="e">
        <f>VLOOKUP(Table1[[#This Row],[Node]],Parent!A:B,2,0)</f>
        <v>#N/A</v>
      </c>
      <c r="D1367" s="25" t="s">
        <v>19346</v>
      </c>
      <c r="E1367" s="26" t="s">
        <v>16544</v>
      </c>
      <c r="F1367" s="27" t="s">
        <v>17843</v>
      </c>
      <c r="G1367" s="27" t="s">
        <v>17844</v>
      </c>
      <c r="H1367" s="27" t="s">
        <v>17875</v>
      </c>
      <c r="I1367" s="27"/>
      <c r="J1367" s="27"/>
      <c r="K1367" s="27"/>
      <c r="L1367" s="27"/>
      <c r="N1367" s="27"/>
      <c r="T1367" s="28" t="str">
        <f>LOOKUP(1,1/(Table1[[#This Row],[Level_0]:[Level 15]]&gt;0),(Table1[[#This Row],[Level_0]:[Level 15]]))</f>
        <v>3954510000 - [Rem Oth Inc IC - Other Miscellaneous]</v>
      </c>
      <c r="U1367" s="22">
        <v>1362</v>
      </c>
      <c r="W1367" s="13" t="str">
        <f>LOOKUP(1,1/(Table1[[#This Row],[Level_0]:[Level 15]]&gt;0),(Table1[[#This Row],[Level_0]:[Level 15]]))</f>
        <v>3954510000 - [Rem Oth Inc IC - Other Miscellaneous]</v>
      </c>
    </row>
    <row r="1368" spans="1:23" hidden="1" x14ac:dyDescent="0.25">
      <c r="A1368">
        <v>3954010000</v>
      </c>
      <c r="B1368" s="16" t="s">
        <v>19736</v>
      </c>
      <c r="C1368" s="16" t="e">
        <f>VLOOKUP(Table1[[#This Row],[Node]],Parent!A:B,2,0)</f>
        <v>#N/A</v>
      </c>
      <c r="D1368" s="25" t="s">
        <v>19346</v>
      </c>
      <c r="E1368" s="26" t="s">
        <v>16544</v>
      </c>
      <c r="F1368" s="27" t="s">
        <v>17843</v>
      </c>
      <c r="G1368" s="27" t="s">
        <v>17844</v>
      </c>
      <c r="H1368" s="27" t="s">
        <v>17876</v>
      </c>
      <c r="I1368" s="27"/>
      <c r="J1368" s="27"/>
      <c r="K1368" s="27"/>
      <c r="L1368" s="27"/>
      <c r="N1368" s="27"/>
      <c r="T1368" s="28" t="str">
        <f>LOOKUP(1,1/(Table1[[#This Row],[Level_0]:[Level 15]]&gt;0),(Table1[[#This Row],[Level_0]:[Level 15]]))</f>
        <v>3954010000 - [Rem Oth Inc IC - Other Administration]</v>
      </c>
      <c r="U1368" s="22">
        <v>1363</v>
      </c>
      <c r="W1368" s="13" t="str">
        <f>LOOKUP(1,1/(Table1[[#This Row],[Level_0]:[Level 15]]&gt;0),(Table1[[#This Row],[Level_0]:[Level 15]]))</f>
        <v>3954010000 - [Rem Oth Inc IC - Other Administration]</v>
      </c>
    </row>
    <row r="1369" spans="1:23" hidden="1" x14ac:dyDescent="0.25">
      <c r="A1369">
        <v>3953610000</v>
      </c>
      <c r="B1369" s="16" t="s">
        <v>19729</v>
      </c>
      <c r="C1369" s="16" t="e">
        <f>VLOOKUP(Table1[[#This Row],[Node]],Parent!A:B,2,0)</f>
        <v>#N/A</v>
      </c>
      <c r="D1369" s="25" t="s">
        <v>19346</v>
      </c>
      <c r="E1369" s="26" t="s">
        <v>16544</v>
      </c>
      <c r="F1369" s="27" t="s">
        <v>17843</v>
      </c>
      <c r="G1369" s="27" t="s">
        <v>17844</v>
      </c>
      <c r="H1369" s="27" t="s">
        <v>17877</v>
      </c>
      <c r="I1369" s="27"/>
      <c r="J1369" s="27"/>
      <c r="K1369" s="27"/>
      <c r="L1369" s="27"/>
      <c r="N1369" s="27"/>
      <c r="T1369" s="28" t="str">
        <f>LOOKUP(1,1/(Table1[[#This Row],[Level_0]:[Level 15]]&gt;0),(Table1[[#This Row],[Level_0]:[Level 15]]))</f>
        <v>3953610000 - [Rem Oth Inc IC - R&amp;D - Global]</v>
      </c>
      <c r="U1369" s="22">
        <v>1364</v>
      </c>
      <c r="W1369" s="13" t="str">
        <f>LOOKUP(1,1/(Table1[[#This Row],[Level_0]:[Level 15]]&gt;0),(Table1[[#This Row],[Level_0]:[Level 15]]))</f>
        <v>3953610000 - [Rem Oth Inc IC - R&amp;D - Global]</v>
      </c>
    </row>
    <row r="1370" spans="1:23" hidden="1" x14ac:dyDescent="0.25">
      <c r="A1370">
        <v>3951910000</v>
      </c>
      <c r="B1370" s="16" t="s">
        <v>19720</v>
      </c>
      <c r="C1370" s="16" t="e">
        <f>VLOOKUP(Table1[[#This Row],[Node]],Parent!A:B,2,0)</f>
        <v>#N/A</v>
      </c>
      <c r="D1370" s="25" t="s">
        <v>19346</v>
      </c>
      <c r="E1370" s="26" t="s">
        <v>16544</v>
      </c>
      <c r="F1370" s="27" t="s">
        <v>17843</v>
      </c>
      <c r="G1370" s="27" t="s">
        <v>17844</v>
      </c>
      <c r="H1370" s="27" t="s">
        <v>17878</v>
      </c>
      <c r="I1370" s="27"/>
      <c r="J1370" s="27"/>
      <c r="K1370" s="27"/>
      <c r="L1370" s="27"/>
      <c r="N1370" s="27"/>
      <c r="T1370" s="28" t="str">
        <f>LOOKUP(1,1/(Table1[[#This Row],[Level_0]:[Level 15]]&gt;0),(Table1[[#This Row],[Level_0]:[Level 15]]))</f>
        <v>3951910000 - [Rem Oth Inc IC - IT Services]</v>
      </c>
      <c r="U1370" s="22">
        <v>1365</v>
      </c>
      <c r="W1370" s="13" t="str">
        <f>LOOKUP(1,1/(Table1[[#This Row],[Level_0]:[Level 15]]&gt;0),(Table1[[#This Row],[Level_0]:[Level 15]]))</f>
        <v>3951910000 - [Rem Oth Inc IC - IT Services]</v>
      </c>
    </row>
    <row r="1371" spans="1:23" hidden="1" x14ac:dyDescent="0.25">
      <c r="A1371">
        <v>3950110000</v>
      </c>
      <c r="B1371" s="16" t="s">
        <v>19712</v>
      </c>
      <c r="C1371" s="16" t="e">
        <f>VLOOKUP(Table1[[#This Row],[Node]],Parent!A:B,2,0)</f>
        <v>#N/A</v>
      </c>
      <c r="D1371" s="25" t="s">
        <v>19346</v>
      </c>
      <c r="E1371" s="26" t="s">
        <v>16544</v>
      </c>
      <c r="F1371" s="27" t="s">
        <v>17843</v>
      </c>
      <c r="G1371" s="27" t="s">
        <v>17844</v>
      </c>
      <c r="H1371" s="27" t="s">
        <v>17879</v>
      </c>
      <c r="I1371" s="27"/>
      <c r="J1371" s="27"/>
      <c r="K1371" s="27"/>
      <c r="L1371" s="27"/>
      <c r="N1371" s="27"/>
      <c r="T1371" s="28" t="str">
        <f>LOOKUP(1,1/(Table1[[#This Row],[Level_0]:[Level 15]]&gt;0),(Table1[[#This Row],[Level_0]:[Level 15]]))</f>
        <v>3950110000 - [Rem Oth Inc IC]</v>
      </c>
      <c r="U1371" s="22">
        <v>1366</v>
      </c>
      <c r="W1371" s="13" t="str">
        <f>LOOKUP(1,1/(Table1[[#This Row],[Level_0]:[Level 15]]&gt;0),(Table1[[#This Row],[Level_0]:[Level 15]]))</f>
        <v>3950110000 - [Rem Oth Inc IC]</v>
      </c>
    </row>
    <row r="1372" spans="1:23" hidden="1" x14ac:dyDescent="0.25">
      <c r="A1372">
        <v>7724177001</v>
      </c>
      <c r="B1372" s="16" t="s">
        <v>21760</v>
      </c>
      <c r="C1372" s="16" t="e">
        <f>VLOOKUP(Table1[[#This Row],[Node]],Parent!A:B,2,0)</f>
        <v>#N/A</v>
      </c>
      <c r="D1372" s="25" t="s">
        <v>19346</v>
      </c>
      <c r="E1372" s="26" t="s">
        <v>16544</v>
      </c>
      <c r="F1372" s="27" t="s">
        <v>17843</v>
      </c>
      <c r="G1372" s="27" t="s">
        <v>17844</v>
      </c>
      <c r="H1372" s="27" t="s">
        <v>17880</v>
      </c>
      <c r="I1372" s="27"/>
      <c r="J1372" s="27"/>
      <c r="K1372" s="27"/>
      <c r="L1372" s="27"/>
      <c r="N1372" s="27"/>
      <c r="T1372" s="28" t="str">
        <f>LOOKUP(1,1/(Table1[[#This Row],[Level_0]:[Level 15]]&gt;0),(Table1[[#This Row],[Level_0]:[Level 15]]))</f>
        <v>7724177001 - [SPA ICON Sundry Rem.Oth.Exp.]</v>
      </c>
      <c r="U1372" s="22">
        <v>1367</v>
      </c>
      <c r="W1372" s="13" t="str">
        <f>LOOKUP(1,1/(Table1[[#This Row],[Level_0]:[Level 15]]&gt;0),(Table1[[#This Row],[Level_0]:[Level 15]]))</f>
        <v>7724177001 - [SPA ICON Sundry Rem.Oth.Exp.]</v>
      </c>
    </row>
    <row r="1373" spans="1:23" hidden="1" x14ac:dyDescent="0.25">
      <c r="A1373">
        <v>210400</v>
      </c>
      <c r="B1373" s="16" t="s">
        <v>19500</v>
      </c>
      <c r="C1373" s="16" t="e">
        <f>VLOOKUP(Table1[[#This Row],[Node]],Parent!A:B,2,0)</f>
        <v>#N/A</v>
      </c>
      <c r="D1373" s="25" t="s">
        <v>19346</v>
      </c>
      <c r="E1373" s="26" t="s">
        <v>16544</v>
      </c>
      <c r="F1373" s="27" t="s">
        <v>17843</v>
      </c>
      <c r="G1373" s="27" t="s">
        <v>17881</v>
      </c>
      <c r="H1373" s="27"/>
      <c r="I1373" s="27"/>
      <c r="J1373" s="27"/>
      <c r="K1373" s="27"/>
      <c r="L1373" s="27"/>
      <c r="N1373" s="27"/>
      <c r="T1373" s="28" t="str">
        <f>LOOKUP(1,1/(Table1[[#This Row],[Level_0]:[Level 15]]&gt;0),(Table1[[#This Row],[Level_0]:[Level 15]]))</f>
        <v>210400 - [Fixed assets Gains/Losses]</v>
      </c>
      <c r="U1373" s="22">
        <v>1368</v>
      </c>
      <c r="W1373" s="13" t="str">
        <f>LOOKUP(1,1/(Table1[[#This Row],[Level_0]:[Level 15]]&gt;0),(Table1[[#This Row],[Level_0]:[Level 15]]))</f>
        <v>210400 - [Fixed assets Gains/Losses]</v>
      </c>
    </row>
    <row r="1374" spans="1:23" hidden="1" x14ac:dyDescent="0.25">
      <c r="A1374">
        <v>5921400010</v>
      </c>
      <c r="B1374" s="16" t="s">
        <v>20527</v>
      </c>
      <c r="C1374" s="16" t="e">
        <f>VLOOKUP(Table1[[#This Row],[Node]],Parent!A:B,2,0)</f>
        <v>#N/A</v>
      </c>
      <c r="D1374" s="25" t="s">
        <v>19346</v>
      </c>
      <c r="E1374" s="26" t="s">
        <v>16544</v>
      </c>
      <c r="F1374" s="27" t="s">
        <v>17843</v>
      </c>
      <c r="G1374" s="27" t="s">
        <v>17881</v>
      </c>
      <c r="H1374" s="27" t="s">
        <v>17882</v>
      </c>
      <c r="I1374" s="27"/>
      <c r="J1374" s="27"/>
      <c r="K1374" s="27"/>
      <c r="L1374" s="27"/>
      <c r="N1374" s="27"/>
      <c r="T1374" s="28" t="str">
        <f>LOOKUP(1,1/(Table1[[#This Row],[Level_0]:[Level 15]]&gt;0),(Table1[[#This Row],[Level_0]:[Level 15]]))</f>
        <v>5921400010 - [Losses on Retire w/o Reven - TA- PPA]</v>
      </c>
      <c r="U1374" s="22">
        <v>1369</v>
      </c>
      <c r="W1374" s="13" t="str">
        <f>LOOKUP(1,1/(Table1[[#This Row],[Level_0]:[Level 15]]&gt;0),(Table1[[#This Row],[Level_0]:[Level 15]]))</f>
        <v>5921400010 - [Losses on Retire w/o Reven - TA- PPA]</v>
      </c>
    </row>
    <row r="1375" spans="1:23" hidden="1" x14ac:dyDescent="0.25">
      <c r="A1375">
        <v>8530000000</v>
      </c>
      <c r="B1375" s="16" t="s">
        <v>22041</v>
      </c>
      <c r="C1375" s="16" t="e">
        <f>VLOOKUP(Table1[[#This Row],[Node]],Parent!A:B,2,0)</f>
        <v>#N/A</v>
      </c>
      <c r="D1375" s="25" t="s">
        <v>19346</v>
      </c>
      <c r="E1375" s="26" t="s">
        <v>16544</v>
      </c>
      <c r="F1375" s="27" t="s">
        <v>17843</v>
      </c>
      <c r="G1375" s="27" t="s">
        <v>17881</v>
      </c>
      <c r="H1375" s="27" t="s">
        <v>17883</v>
      </c>
      <c r="I1375" s="27"/>
      <c r="J1375" s="27"/>
      <c r="K1375" s="27"/>
      <c r="L1375" s="27"/>
      <c r="N1375" s="27"/>
      <c r="T1375" s="28" t="str">
        <f>LOOKUP(1,1/(Table1[[#This Row],[Level_0]:[Level 15]]&gt;0),(Table1[[#This Row],[Level_0]:[Level 15]]))</f>
        <v>8530000000 - [Loss from Financial Instruments]</v>
      </c>
      <c r="U1375" s="22">
        <v>1370</v>
      </c>
      <c r="W1375" s="13" t="str">
        <f>LOOKUP(1,1/(Table1[[#This Row],[Level_0]:[Level 15]]&gt;0),(Table1[[#This Row],[Level_0]:[Level 15]]))</f>
        <v>8530000000 - [Loss from Financial Instruments]</v>
      </c>
    </row>
    <row r="1376" spans="1:23" hidden="1" x14ac:dyDescent="0.25">
      <c r="A1376">
        <v>8230000000</v>
      </c>
      <c r="B1376" s="16" t="s">
        <v>21994</v>
      </c>
      <c r="C1376" s="16" t="e">
        <f>VLOOKUP(Table1[[#This Row],[Node]],Parent!A:B,2,0)</f>
        <v>#N/A</v>
      </c>
      <c r="D1376" s="25" t="s">
        <v>19346</v>
      </c>
      <c r="E1376" s="26" t="s">
        <v>16544</v>
      </c>
      <c r="F1376" s="27" t="s">
        <v>17843</v>
      </c>
      <c r="G1376" s="27" t="s">
        <v>17881</v>
      </c>
      <c r="H1376" s="27" t="s">
        <v>17884</v>
      </c>
      <c r="I1376" s="27"/>
      <c r="J1376" s="27"/>
      <c r="K1376" s="27"/>
      <c r="L1376" s="27"/>
      <c r="N1376" s="27"/>
      <c r="T1376" s="28" t="str">
        <f>LOOKUP(1,1/(Table1[[#This Row],[Level_0]:[Level 15]]&gt;0),(Table1[[#This Row],[Level_0]:[Level 15]]))</f>
        <v>8230000000 - [Gain from Financial Instruments]</v>
      </c>
      <c r="U1376" s="22">
        <v>1371</v>
      </c>
      <c r="W1376" s="13" t="str">
        <f>LOOKUP(1,1/(Table1[[#This Row],[Level_0]:[Level 15]]&gt;0),(Table1[[#This Row],[Level_0]:[Level 15]]))</f>
        <v>8230000000 - [Gain from Financial Instruments]</v>
      </c>
    </row>
    <row r="1377" spans="1:23" hidden="1" x14ac:dyDescent="0.25">
      <c r="A1377">
        <v>7824131200</v>
      </c>
      <c r="B1377" s="16" t="s">
        <v>21866</v>
      </c>
      <c r="C1377" s="16" t="e">
        <f>VLOOKUP(Table1[[#This Row],[Node]],Parent!A:B,2,0)</f>
        <v>#N/A</v>
      </c>
      <c r="D1377" s="25" t="s">
        <v>19346</v>
      </c>
      <c r="E1377" s="26" t="s">
        <v>16544</v>
      </c>
      <c r="F1377" s="27" t="s">
        <v>17843</v>
      </c>
      <c r="G1377" s="27" t="s">
        <v>17881</v>
      </c>
      <c r="H1377" s="27" t="s">
        <v>17885</v>
      </c>
      <c r="I1377" s="27"/>
      <c r="J1377" s="27"/>
      <c r="K1377" s="27"/>
      <c r="L1377" s="27"/>
      <c r="N1377" s="27"/>
      <c r="T1377" s="28" t="str">
        <f>LOOKUP(1,1/(Table1[[#This Row],[Level_0]:[Level 15]]&gt;0),(Table1[[#This Row],[Level_0]:[Level 15]]))</f>
        <v>7824131200 - [APA Cap. loss. f. sale of tang. assets]</v>
      </c>
      <c r="U1377" s="22">
        <v>1372</v>
      </c>
      <c r="W1377" s="13" t="str">
        <f>LOOKUP(1,1/(Table1[[#This Row],[Level_0]:[Level 15]]&gt;0),(Table1[[#This Row],[Level_0]:[Level 15]]))</f>
        <v>7824131200 - [APA Cap. loss. f. sale of tang. assets]</v>
      </c>
    </row>
    <row r="1378" spans="1:23" hidden="1" x14ac:dyDescent="0.25">
      <c r="A1378">
        <v>7824131100</v>
      </c>
      <c r="B1378" s="16" t="s">
        <v>21865</v>
      </c>
      <c r="C1378" s="16" t="e">
        <f>VLOOKUP(Table1[[#This Row],[Node]],Parent!A:B,2,0)</f>
        <v>#N/A</v>
      </c>
      <c r="D1378" s="25" t="s">
        <v>19346</v>
      </c>
      <c r="E1378" s="26" t="s">
        <v>16544</v>
      </c>
      <c r="F1378" s="27" t="s">
        <v>17843</v>
      </c>
      <c r="G1378" s="27" t="s">
        <v>17881</v>
      </c>
      <c r="H1378" s="27" t="s">
        <v>17886</v>
      </c>
      <c r="I1378" s="27"/>
      <c r="J1378" s="27"/>
      <c r="K1378" s="27"/>
      <c r="L1378" s="27"/>
      <c r="N1378" s="27"/>
      <c r="T1378" s="28" t="str">
        <f>LOOKUP(1,1/(Table1[[#This Row],[Level_0]:[Level 15]]&gt;0),(Table1[[#This Row],[Level_0]:[Level 15]]))</f>
        <v>7824131100 - [APA Cap. loss. f. sale of intang. assets]</v>
      </c>
      <c r="U1378" s="22">
        <v>1373</v>
      </c>
      <c r="W1378" s="13" t="str">
        <f>LOOKUP(1,1/(Table1[[#This Row],[Level_0]:[Level 15]]&gt;0),(Table1[[#This Row],[Level_0]:[Level 15]]))</f>
        <v>7824131100 - [APA Cap. loss. f. sale of intang. assets]</v>
      </c>
    </row>
    <row r="1379" spans="1:23" hidden="1" x14ac:dyDescent="0.25">
      <c r="A1379">
        <v>7823301100</v>
      </c>
      <c r="B1379" s="16" t="s">
        <v>21842</v>
      </c>
      <c r="C1379" s="16" t="e">
        <f>VLOOKUP(Table1[[#This Row],[Node]],Parent!A:B,2,0)</f>
        <v>#N/A</v>
      </c>
      <c r="D1379" s="25" t="s">
        <v>19346</v>
      </c>
      <c r="E1379" s="26" t="s">
        <v>16544</v>
      </c>
      <c r="F1379" s="27" t="s">
        <v>17843</v>
      </c>
      <c r="G1379" s="27" t="s">
        <v>17881</v>
      </c>
      <c r="H1379" s="27" t="s">
        <v>17887</v>
      </c>
      <c r="I1379" s="27"/>
      <c r="J1379" s="27"/>
      <c r="K1379" s="27"/>
      <c r="L1379" s="27"/>
      <c r="N1379" s="27"/>
      <c r="T1379" s="28" t="str">
        <f>LOOKUP(1,1/(Table1[[#This Row],[Level_0]:[Level 15]]&gt;0),(Table1[[#This Row],[Level_0]:[Level 15]]))</f>
        <v>7823301100 - [APA Cap. gains f. sale of intang. assets]</v>
      </c>
      <c r="U1379" s="22">
        <v>1374</v>
      </c>
      <c r="W1379" s="13" t="str">
        <f>LOOKUP(1,1/(Table1[[#This Row],[Level_0]:[Level 15]]&gt;0),(Table1[[#This Row],[Level_0]:[Level 15]]))</f>
        <v>7823301100 - [APA Cap. gains f. sale of intang. assets]</v>
      </c>
    </row>
    <row r="1380" spans="1:23" hidden="1" x14ac:dyDescent="0.25">
      <c r="A1380">
        <v>5967600000</v>
      </c>
      <c r="B1380" s="16" t="s">
        <v>20605</v>
      </c>
      <c r="C1380" s="16" t="e">
        <f>VLOOKUP(Table1[[#This Row],[Node]],Parent!A:B,2,0)</f>
        <v>#N/A</v>
      </c>
      <c r="D1380" s="25" t="s">
        <v>19346</v>
      </c>
      <c r="E1380" s="26" t="s">
        <v>16544</v>
      </c>
      <c r="F1380" s="27" t="s">
        <v>17843</v>
      </c>
      <c r="G1380" s="27" t="s">
        <v>17881</v>
      </c>
      <c r="H1380" s="27" t="s">
        <v>17888</v>
      </c>
      <c r="I1380" s="27"/>
      <c r="J1380" s="27"/>
      <c r="K1380" s="27"/>
      <c r="L1380" s="27"/>
      <c r="N1380" s="27"/>
      <c r="T1380" s="28" t="str">
        <f>LOOKUP(1,1/(Table1[[#This Row],[Level_0]:[Level 15]]&gt;0),(Table1[[#This Row],[Level_0]:[Level 15]]))</f>
        <v>5967600000 - [Oth Exp - FV Changes of Emb Derivatives]</v>
      </c>
      <c r="U1380" s="22">
        <v>1375</v>
      </c>
      <c r="W1380" s="13" t="str">
        <f>LOOKUP(1,1/(Table1[[#This Row],[Level_0]:[Level 15]]&gt;0),(Table1[[#This Row],[Level_0]:[Level 15]]))</f>
        <v>5967600000 - [Oth Exp - FV Changes of Emb Derivatives]</v>
      </c>
    </row>
    <row r="1381" spans="1:23" hidden="1" x14ac:dyDescent="0.25">
      <c r="A1381">
        <v>5928400000</v>
      </c>
      <c r="B1381" s="16" t="s">
        <v>20545</v>
      </c>
      <c r="C1381" s="16" t="e">
        <f>VLOOKUP(Table1[[#This Row],[Node]],Parent!A:B,2,0)</f>
        <v>#N/A</v>
      </c>
      <c r="D1381" s="25" t="s">
        <v>19346</v>
      </c>
      <c r="E1381" s="26" t="s">
        <v>16544</v>
      </c>
      <c r="F1381" s="27" t="s">
        <v>17843</v>
      </c>
      <c r="G1381" s="27" t="s">
        <v>17881</v>
      </c>
      <c r="H1381" s="27" t="s">
        <v>17889</v>
      </c>
      <c r="I1381" s="27"/>
      <c r="J1381" s="27"/>
      <c r="K1381" s="27"/>
      <c r="L1381" s="27"/>
      <c r="N1381" s="27"/>
      <c r="T1381" s="28" t="str">
        <f>LOOKUP(1,1/(Table1[[#This Row],[Level_0]:[Level 15]]&gt;0),(Table1[[#This Row],[Level_0]:[Level 15]]))</f>
        <v>5928400000 - [Loss on Retire w/o Reven - LeasOutAssets]</v>
      </c>
      <c r="U1381" s="22">
        <v>1376</v>
      </c>
      <c r="W1381" s="13" t="str">
        <f>LOOKUP(1,1/(Table1[[#This Row],[Level_0]:[Level 15]]&gt;0),(Table1[[#This Row],[Level_0]:[Level 15]]))</f>
        <v>5928400000 - [Loss on Retire w/o Reven - LeasOutAssets]</v>
      </c>
    </row>
    <row r="1382" spans="1:23" hidden="1" x14ac:dyDescent="0.25">
      <c r="A1382">
        <v>5927400010</v>
      </c>
      <c r="B1382" s="16" t="s">
        <v>20544</v>
      </c>
      <c r="C1382" s="16" t="e">
        <f>VLOOKUP(Table1[[#This Row],[Node]],Parent!A:B,2,0)</f>
        <v>#N/A</v>
      </c>
      <c r="D1382" s="25" t="s">
        <v>19346</v>
      </c>
      <c r="E1382" s="26" t="s">
        <v>16544</v>
      </c>
      <c r="F1382" s="27" t="s">
        <v>17843</v>
      </c>
      <c r="G1382" s="27" t="s">
        <v>17881</v>
      </c>
      <c r="H1382" s="27" t="s">
        <v>17890</v>
      </c>
      <c r="I1382" s="27"/>
      <c r="J1382" s="27"/>
      <c r="K1382" s="27"/>
      <c r="L1382" s="27"/>
      <c r="N1382" s="27"/>
      <c r="T1382" s="28" t="str">
        <f>LOOKUP(1,1/(Table1[[#This Row],[Level_0]:[Level 15]]&gt;0),(Table1[[#This Row],[Level_0]:[Level 15]]))</f>
        <v>5927400010 - [Loss on Retire w/oRev - Leased Assts PPA]</v>
      </c>
      <c r="U1382" s="22">
        <v>1377</v>
      </c>
      <c r="W1382" s="13" t="str">
        <f>LOOKUP(1,1/(Table1[[#This Row],[Level_0]:[Level 15]]&gt;0),(Table1[[#This Row],[Level_0]:[Level 15]]))</f>
        <v>5927400010 - [Loss on Retire w/oRev - Leased Assts PPA]</v>
      </c>
    </row>
    <row r="1383" spans="1:23" hidden="1" x14ac:dyDescent="0.25">
      <c r="A1383">
        <v>5927400000</v>
      </c>
      <c r="B1383" s="16" t="s">
        <v>20543</v>
      </c>
      <c r="C1383" s="16" t="e">
        <f>VLOOKUP(Table1[[#This Row],[Node]],Parent!A:B,2,0)</f>
        <v>#N/A</v>
      </c>
      <c r="D1383" s="25" t="s">
        <v>19346</v>
      </c>
      <c r="E1383" s="26" t="s">
        <v>16544</v>
      </c>
      <c r="F1383" s="27" t="s">
        <v>17843</v>
      </c>
      <c r="G1383" s="27" t="s">
        <v>17881</v>
      </c>
      <c r="H1383" s="27" t="s">
        <v>17891</v>
      </c>
      <c r="I1383" s="27"/>
      <c r="J1383" s="27"/>
      <c r="K1383" s="27"/>
      <c r="L1383" s="27"/>
      <c r="N1383" s="27"/>
      <c r="T1383" s="28" t="str">
        <f>LOOKUP(1,1/(Table1[[#This Row],[Level_0]:[Level 15]]&gt;0),(Table1[[#This Row],[Level_0]:[Level 15]]))</f>
        <v>5927400000 - [Loss on Retire w/o Reven - Leased Assets]</v>
      </c>
      <c r="U1383" s="22">
        <v>1378</v>
      </c>
      <c r="W1383" s="13" t="str">
        <f>LOOKUP(1,1/(Table1[[#This Row],[Level_0]:[Level 15]]&gt;0),(Table1[[#This Row],[Level_0]:[Level 15]]))</f>
        <v>5927400000 - [Loss on Retire w/o Reven - Leased Assets]</v>
      </c>
    </row>
    <row r="1384" spans="1:23" hidden="1" x14ac:dyDescent="0.25">
      <c r="A1384">
        <v>5926400000</v>
      </c>
      <c r="B1384" s="16" t="s">
        <v>20542</v>
      </c>
      <c r="C1384" s="16" t="e">
        <f>VLOOKUP(Table1[[#This Row],[Node]],Parent!A:B,2,0)</f>
        <v>#N/A</v>
      </c>
      <c r="D1384" s="25" t="s">
        <v>19346</v>
      </c>
      <c r="E1384" s="26" t="s">
        <v>16544</v>
      </c>
      <c r="F1384" s="27" t="s">
        <v>17843</v>
      </c>
      <c r="G1384" s="27" t="s">
        <v>17881</v>
      </c>
      <c r="H1384" s="27" t="s">
        <v>17892</v>
      </c>
      <c r="I1384" s="27"/>
      <c r="J1384" s="27"/>
      <c r="K1384" s="27"/>
      <c r="L1384" s="27"/>
      <c r="N1384" s="27"/>
      <c r="T1384" s="28" t="str">
        <f>LOOKUP(1,1/(Table1[[#This Row],[Level_0]:[Level 15]]&gt;0),(Table1[[#This Row],[Level_0]:[Level 15]]))</f>
        <v>5926400000 - [Loss on Retire w/o Reven - Asset HFS]</v>
      </c>
      <c r="U1384" s="22">
        <v>1379</v>
      </c>
      <c r="W1384" s="13" t="str">
        <f>LOOKUP(1,1/(Table1[[#This Row],[Level_0]:[Level 15]]&gt;0),(Table1[[#This Row],[Level_0]:[Level 15]]))</f>
        <v>5926400000 - [Loss on Retire w/o Reven - Asset HFS]</v>
      </c>
    </row>
    <row r="1385" spans="1:23" hidden="1" x14ac:dyDescent="0.25">
      <c r="A1385">
        <v>5926000000</v>
      </c>
      <c r="B1385" s="16" t="s">
        <v>20541</v>
      </c>
      <c r="C1385" s="16" t="e">
        <f>VLOOKUP(Table1[[#This Row],[Node]],Parent!A:B,2,0)</f>
        <v>#N/A</v>
      </c>
      <c r="D1385" s="25" t="s">
        <v>19346</v>
      </c>
      <c r="E1385" s="26" t="s">
        <v>16544</v>
      </c>
      <c r="F1385" s="27" t="s">
        <v>17843</v>
      </c>
      <c r="G1385" s="27" t="s">
        <v>17881</v>
      </c>
      <c r="H1385" s="27" t="s">
        <v>17893</v>
      </c>
      <c r="I1385" s="27"/>
      <c r="J1385" s="27"/>
      <c r="K1385" s="27"/>
      <c r="L1385" s="27"/>
      <c r="N1385" s="27"/>
      <c r="T1385" s="28" t="str">
        <f>LOOKUP(1,1/(Table1[[#This Row],[Level_0]:[Level 15]]&gt;0),(Table1[[#This Row],[Level_0]:[Level 15]]))</f>
        <v>5926000000 - [Losses from Disposal - Assets HFS]</v>
      </c>
      <c r="U1385" s="22">
        <v>1380</v>
      </c>
      <c r="W1385" s="13" t="str">
        <f>LOOKUP(1,1/(Table1[[#This Row],[Level_0]:[Level 15]]&gt;0),(Table1[[#This Row],[Level_0]:[Level 15]]))</f>
        <v>5926000000 - [Losses from Disposal - Assets HFS]</v>
      </c>
    </row>
    <row r="1386" spans="1:23" hidden="1" x14ac:dyDescent="0.25">
      <c r="A1386">
        <v>5925000000</v>
      </c>
      <c r="B1386" s="16" t="s">
        <v>20530</v>
      </c>
      <c r="C1386" s="16" t="e">
        <f>VLOOKUP(Table1[[#This Row],[Node]],Parent!A:B,2,0)</f>
        <v>#N/A</v>
      </c>
      <c r="D1386" s="25" t="s">
        <v>19346</v>
      </c>
      <c r="E1386" s="26" t="s">
        <v>16544</v>
      </c>
      <c r="F1386" s="27" t="s">
        <v>17843</v>
      </c>
      <c r="G1386" s="27" t="s">
        <v>17881</v>
      </c>
      <c r="H1386" s="27" t="s">
        <v>17894</v>
      </c>
      <c r="I1386" s="27"/>
      <c r="J1386" s="27"/>
      <c r="K1386" s="27"/>
      <c r="L1386" s="27"/>
      <c r="N1386" s="27"/>
      <c r="T1386" s="28" t="str">
        <f>LOOKUP(1,1/(Table1[[#This Row],[Level_0]:[Level 15]]&gt;0),(Table1[[#This Row],[Level_0]:[Level 15]]))</f>
        <v>5925000000 - [Losses from Sale/Disposal of Fin Instr]</v>
      </c>
      <c r="U1386" s="22">
        <v>1381</v>
      </c>
      <c r="W1386" s="13" t="str">
        <f>LOOKUP(1,1/(Table1[[#This Row],[Level_0]:[Level 15]]&gt;0),(Table1[[#This Row],[Level_0]:[Level 15]]))</f>
        <v>5925000000 - [Losses from Sale/Disposal of Fin Instr]</v>
      </c>
    </row>
    <row r="1387" spans="1:23" hidden="1" x14ac:dyDescent="0.25">
      <c r="A1387">
        <v>5924000000</v>
      </c>
      <c r="B1387" s="16" t="s">
        <v>20529</v>
      </c>
      <c r="C1387" s="16" t="e">
        <f>VLOOKUP(Table1[[#This Row],[Node]],Parent!A:B,2,0)</f>
        <v>#N/A</v>
      </c>
      <c r="D1387" s="25" t="s">
        <v>19346</v>
      </c>
      <c r="E1387" s="26" t="s">
        <v>16544</v>
      </c>
      <c r="F1387" s="27" t="s">
        <v>17843</v>
      </c>
      <c r="G1387" s="27" t="s">
        <v>17881</v>
      </c>
      <c r="H1387" s="27" t="s">
        <v>17895</v>
      </c>
      <c r="I1387" s="27"/>
      <c r="J1387" s="27"/>
      <c r="K1387" s="27"/>
      <c r="L1387" s="27"/>
      <c r="N1387" s="27"/>
      <c r="T1387" s="28" t="str">
        <f>LOOKUP(1,1/(Table1[[#This Row],[Level_0]:[Level 15]]&gt;0),(Table1[[#This Row],[Level_0]:[Level 15]]))</f>
        <v>5924000000 - [Loss from PPAdj of Business Combination]</v>
      </c>
      <c r="U1387" s="22">
        <v>1382</v>
      </c>
      <c r="W1387" s="13" t="str">
        <f>LOOKUP(1,1/(Table1[[#This Row],[Level_0]:[Level 15]]&gt;0),(Table1[[#This Row],[Level_0]:[Level 15]]))</f>
        <v>5924000000 - [Loss from PPAdj of Business Combination]</v>
      </c>
    </row>
    <row r="1388" spans="1:23" hidden="1" x14ac:dyDescent="0.25">
      <c r="A1388">
        <v>5923000000</v>
      </c>
      <c r="B1388" s="16" t="s">
        <v>20528</v>
      </c>
      <c r="C1388" s="16" t="e">
        <f>VLOOKUP(Table1[[#This Row],[Node]],Parent!A:B,2,0)</f>
        <v>#N/A</v>
      </c>
      <c r="D1388" s="25" t="s">
        <v>19346</v>
      </c>
      <c r="E1388" s="26" t="s">
        <v>16544</v>
      </c>
      <c r="F1388" s="27" t="s">
        <v>17843</v>
      </c>
      <c r="G1388" s="27" t="s">
        <v>17881</v>
      </c>
      <c r="H1388" s="27" t="s">
        <v>17896</v>
      </c>
      <c r="I1388" s="27"/>
      <c r="J1388" s="27"/>
      <c r="K1388" s="27"/>
      <c r="L1388" s="27"/>
      <c r="N1388" s="27"/>
      <c r="T1388" s="28" t="str">
        <f>LOOKUP(1,1/(Table1[[#This Row],[Level_0]:[Level 15]]&gt;0),(Table1[[#This Row],[Level_0]:[Level 15]]))</f>
        <v>5923000000 - [Loss Dissol Cont Consid/PPAdj/Barg Purch]</v>
      </c>
      <c r="U1388" s="22">
        <v>1383</v>
      </c>
      <c r="W1388" s="13" t="str">
        <f>LOOKUP(1,1/(Table1[[#This Row],[Level_0]:[Level 15]]&gt;0),(Table1[[#This Row],[Level_0]:[Level 15]]))</f>
        <v>5923000000 - [Loss Dissol Cont Consid/PPAdj/Barg Purch]</v>
      </c>
    </row>
    <row r="1389" spans="1:23" hidden="1" x14ac:dyDescent="0.25">
      <c r="A1389">
        <v>5921400001</v>
      </c>
      <c r="B1389" s="16" t="s">
        <v>20526</v>
      </c>
      <c r="C1389" s="16" t="e">
        <f>VLOOKUP(Table1[[#This Row],[Node]],Parent!A:B,2,0)</f>
        <v>#N/A</v>
      </c>
      <c r="D1389" s="25" t="s">
        <v>19346</v>
      </c>
      <c r="E1389" s="26" t="s">
        <v>16544</v>
      </c>
      <c r="F1389" s="27" t="s">
        <v>17843</v>
      </c>
      <c r="G1389" s="27" t="s">
        <v>17881</v>
      </c>
      <c r="H1389" s="27" t="s">
        <v>17897</v>
      </c>
      <c r="I1389" s="27"/>
      <c r="J1389" s="27"/>
      <c r="K1389" s="27"/>
      <c r="L1389" s="27"/>
      <c r="N1389" s="27"/>
      <c r="T1389" s="28" t="str">
        <f>LOOKUP(1,1/(Table1[[#This Row],[Level_0]:[Level 15]]&gt;0),(Table1[[#This Row],[Level_0]:[Level 15]]))</f>
        <v>5921400001 - [Losses on Retire w/o Reven - Tang A-Acc1]</v>
      </c>
      <c r="U1389" s="22">
        <v>1384</v>
      </c>
      <c r="W1389" s="13" t="str">
        <f>LOOKUP(1,1/(Table1[[#This Row],[Level_0]:[Level 15]]&gt;0),(Table1[[#This Row],[Level_0]:[Level 15]]))</f>
        <v>5921400001 - [Losses on Retire w/o Reven - Tang A-Acc1]</v>
      </c>
    </row>
    <row r="1390" spans="1:23" hidden="1" x14ac:dyDescent="0.25">
      <c r="A1390">
        <v>5921400000</v>
      </c>
      <c r="B1390" s="16" t="s">
        <v>20525</v>
      </c>
      <c r="C1390" s="16" t="e">
        <f>VLOOKUP(Table1[[#This Row],[Node]],Parent!A:B,2,0)</f>
        <v>#N/A</v>
      </c>
      <c r="D1390" s="25" t="s">
        <v>19346</v>
      </c>
      <c r="E1390" s="26" t="s">
        <v>16544</v>
      </c>
      <c r="F1390" s="27" t="s">
        <v>17843</v>
      </c>
      <c r="G1390" s="27" t="s">
        <v>17881</v>
      </c>
      <c r="H1390" s="27" t="s">
        <v>17898</v>
      </c>
      <c r="I1390" s="27"/>
      <c r="J1390" s="27"/>
      <c r="K1390" s="27"/>
      <c r="L1390" s="27"/>
      <c r="N1390" s="27"/>
      <c r="T1390" s="28" t="str">
        <f>LOOKUP(1,1/(Table1[[#This Row],[Level_0]:[Level 15]]&gt;0),(Table1[[#This Row],[Level_0]:[Level 15]]))</f>
        <v>5921400000 - [Losses on Retire w/o Reven - Tang Assets]</v>
      </c>
      <c r="U1390" s="22">
        <v>1385</v>
      </c>
      <c r="W1390" s="13" t="str">
        <f>LOOKUP(1,1/(Table1[[#This Row],[Level_0]:[Level 15]]&gt;0),(Table1[[#This Row],[Level_0]:[Level 15]]))</f>
        <v>5921400000 - [Losses on Retire w/o Reven - Tang Assets]</v>
      </c>
    </row>
    <row r="1391" spans="1:23" hidden="1" x14ac:dyDescent="0.25">
      <c r="A1391">
        <v>5921000001</v>
      </c>
      <c r="B1391" s="16" t="s">
        <v>20524</v>
      </c>
      <c r="C1391" s="16" t="e">
        <f>VLOOKUP(Table1[[#This Row],[Node]],Parent!A:B,2,0)</f>
        <v>#N/A</v>
      </c>
      <c r="D1391" s="25" t="s">
        <v>19346</v>
      </c>
      <c r="E1391" s="26" t="s">
        <v>16544</v>
      </c>
      <c r="F1391" s="27" t="s">
        <v>17843</v>
      </c>
      <c r="G1391" s="27" t="s">
        <v>17881</v>
      </c>
      <c r="H1391" s="27" t="s">
        <v>17899</v>
      </c>
      <c r="I1391" s="27"/>
      <c r="J1391" s="27"/>
      <c r="K1391" s="27"/>
      <c r="L1391" s="27"/>
      <c r="N1391" s="27"/>
      <c r="T1391" s="28" t="str">
        <f>LOOKUP(1,1/(Table1[[#This Row],[Level_0]:[Level 15]]&gt;0),(Table1[[#This Row],[Level_0]:[Level 15]]))</f>
        <v>5921000001 - [Losses from Disposal - Tang Assets-Acc1]</v>
      </c>
      <c r="U1391" s="22">
        <v>1386</v>
      </c>
      <c r="W1391" s="13" t="str">
        <f>LOOKUP(1,1/(Table1[[#This Row],[Level_0]:[Level 15]]&gt;0),(Table1[[#This Row],[Level_0]:[Level 15]]))</f>
        <v>5921000001 - [Losses from Disposal - Tang Assets-Acc1]</v>
      </c>
    </row>
    <row r="1392" spans="1:23" hidden="1" x14ac:dyDescent="0.25">
      <c r="A1392">
        <v>5921000000</v>
      </c>
      <c r="B1392" s="16" t="s">
        <v>20523</v>
      </c>
      <c r="C1392" s="16" t="e">
        <f>VLOOKUP(Table1[[#This Row],[Node]],Parent!A:B,2,0)</f>
        <v>#N/A</v>
      </c>
      <c r="D1392" s="25" t="s">
        <v>19346</v>
      </c>
      <c r="E1392" s="26" t="s">
        <v>16544</v>
      </c>
      <c r="F1392" s="27" t="s">
        <v>17843</v>
      </c>
      <c r="G1392" s="27" t="s">
        <v>17881</v>
      </c>
      <c r="H1392" s="27" t="s">
        <v>17900</v>
      </c>
      <c r="I1392" s="27"/>
      <c r="J1392" s="27"/>
      <c r="K1392" s="27"/>
      <c r="L1392" s="27"/>
      <c r="N1392" s="27"/>
      <c r="T1392" s="28" t="str">
        <f>LOOKUP(1,1/(Table1[[#This Row],[Level_0]:[Level 15]]&gt;0),(Table1[[#This Row],[Level_0]:[Level 15]]))</f>
        <v>5921000000 - [Losses from Disposal - Tangible Assets]</v>
      </c>
      <c r="U1392" s="22">
        <v>1387</v>
      </c>
      <c r="W1392" s="13" t="str">
        <f>LOOKUP(1,1/(Table1[[#This Row],[Level_0]:[Level 15]]&gt;0),(Table1[[#This Row],[Level_0]:[Level 15]]))</f>
        <v>5921000000 - [Losses from Disposal - Tangible Assets]</v>
      </c>
    </row>
    <row r="1393" spans="1:23" hidden="1" x14ac:dyDescent="0.25">
      <c r="A1393">
        <v>5920400010</v>
      </c>
      <c r="B1393" s="16" t="s">
        <v>20522</v>
      </c>
      <c r="C1393" s="16" t="e">
        <f>VLOOKUP(Table1[[#This Row],[Node]],Parent!A:B,2,0)</f>
        <v>#N/A</v>
      </c>
      <c r="D1393" s="25" t="s">
        <v>19346</v>
      </c>
      <c r="E1393" s="26" t="s">
        <v>16544</v>
      </c>
      <c r="F1393" s="27" t="s">
        <v>17843</v>
      </c>
      <c r="G1393" s="27" t="s">
        <v>17881</v>
      </c>
      <c r="H1393" s="27" t="s">
        <v>17901</v>
      </c>
      <c r="I1393" s="27"/>
      <c r="J1393" s="27"/>
      <c r="K1393" s="27"/>
      <c r="L1393" s="27"/>
      <c r="N1393" s="27"/>
      <c r="T1393" s="28" t="str">
        <f>LOOKUP(1,1/(Table1[[#This Row],[Level_0]:[Level 15]]&gt;0),(Table1[[#This Row],[Level_0]:[Level 15]]))</f>
        <v>5920400010 - [Loss on Ret w/oRev - Intang Assets PPA]</v>
      </c>
      <c r="U1393" s="22">
        <v>1388</v>
      </c>
      <c r="W1393" s="13" t="str">
        <f>LOOKUP(1,1/(Table1[[#This Row],[Level_0]:[Level 15]]&gt;0),(Table1[[#This Row],[Level_0]:[Level 15]]))</f>
        <v>5920400010 - [Loss on Ret w/oRev - Intang Assets PPA]</v>
      </c>
    </row>
    <row r="1394" spans="1:23" hidden="1" x14ac:dyDescent="0.25">
      <c r="A1394">
        <v>5920400001</v>
      </c>
      <c r="B1394" s="16" t="s">
        <v>20521</v>
      </c>
      <c r="C1394" s="16" t="e">
        <f>VLOOKUP(Table1[[#This Row],[Node]],Parent!A:B,2,0)</f>
        <v>#N/A</v>
      </c>
      <c r="D1394" s="25" t="s">
        <v>19346</v>
      </c>
      <c r="E1394" s="26" t="s">
        <v>16544</v>
      </c>
      <c r="F1394" s="27" t="s">
        <v>17843</v>
      </c>
      <c r="G1394" s="27" t="s">
        <v>17881</v>
      </c>
      <c r="H1394" s="27" t="s">
        <v>17902</v>
      </c>
      <c r="I1394" s="27"/>
      <c r="J1394" s="27"/>
      <c r="K1394" s="27"/>
      <c r="L1394" s="27"/>
      <c r="N1394" s="27"/>
      <c r="T1394" s="28" t="str">
        <f>LOOKUP(1,1/(Table1[[#This Row],[Level_0]:[Level 15]]&gt;0),(Table1[[#This Row],[Level_0]:[Level 15]]))</f>
        <v>5920400001 - [Loss on Retire w/o Reven-IntangAsset-Ac1]</v>
      </c>
      <c r="U1394" s="22">
        <v>1389</v>
      </c>
      <c r="W1394" s="13" t="str">
        <f>LOOKUP(1,1/(Table1[[#This Row],[Level_0]:[Level 15]]&gt;0),(Table1[[#This Row],[Level_0]:[Level 15]]))</f>
        <v>5920400001 - [Loss on Retire w/o Reven-IntangAsset-Ac1]</v>
      </c>
    </row>
    <row r="1395" spans="1:23" hidden="1" x14ac:dyDescent="0.25">
      <c r="A1395">
        <v>5920400000</v>
      </c>
      <c r="B1395" s="16" t="s">
        <v>20520</v>
      </c>
      <c r="C1395" s="16" t="e">
        <f>VLOOKUP(Table1[[#This Row],[Node]],Parent!A:B,2,0)</f>
        <v>#N/A</v>
      </c>
      <c r="D1395" s="25" t="s">
        <v>19346</v>
      </c>
      <c r="E1395" s="26" t="s">
        <v>16544</v>
      </c>
      <c r="F1395" s="27" t="s">
        <v>17843</v>
      </c>
      <c r="G1395" s="27" t="s">
        <v>17881</v>
      </c>
      <c r="H1395" s="27" t="s">
        <v>17903</v>
      </c>
      <c r="I1395" s="27"/>
      <c r="J1395" s="27"/>
      <c r="K1395" s="27"/>
      <c r="L1395" s="27"/>
      <c r="N1395" s="27"/>
      <c r="T1395" s="28" t="str">
        <f>LOOKUP(1,1/(Table1[[#This Row],[Level_0]:[Level 15]]&gt;0),(Table1[[#This Row],[Level_0]:[Level 15]]))</f>
        <v>5920400000 - [Loss on Retire w/o Reven - Intang Assets]</v>
      </c>
      <c r="U1395" s="22">
        <v>1390</v>
      </c>
      <c r="W1395" s="13" t="str">
        <f>LOOKUP(1,1/(Table1[[#This Row],[Level_0]:[Level 15]]&gt;0),(Table1[[#This Row],[Level_0]:[Level 15]]))</f>
        <v>5920400000 - [Loss on Retire w/o Reven - Intang Assets]</v>
      </c>
    </row>
    <row r="1396" spans="1:23" hidden="1" x14ac:dyDescent="0.25">
      <c r="A1396">
        <v>5920000001</v>
      </c>
      <c r="B1396" s="16" t="s">
        <v>20519</v>
      </c>
      <c r="C1396" s="16" t="e">
        <f>VLOOKUP(Table1[[#This Row],[Node]],Parent!A:B,2,0)</f>
        <v>#N/A</v>
      </c>
      <c r="D1396" s="25" t="s">
        <v>19346</v>
      </c>
      <c r="E1396" s="26" t="s">
        <v>16544</v>
      </c>
      <c r="F1396" s="27" t="s">
        <v>17843</v>
      </c>
      <c r="G1396" s="27" t="s">
        <v>17881</v>
      </c>
      <c r="H1396" s="27" t="s">
        <v>17904</v>
      </c>
      <c r="I1396" s="27"/>
      <c r="J1396" s="27"/>
      <c r="K1396" s="27"/>
      <c r="L1396" s="27"/>
      <c r="N1396" s="27"/>
      <c r="T1396" s="28" t="str">
        <f>LOOKUP(1,1/(Table1[[#This Row],[Level_0]:[Level 15]]&gt;0),(Table1[[#This Row],[Level_0]:[Level 15]]))</f>
        <v>5920000001 - [Losses f. Disposal - Intang Assets-Acc1]</v>
      </c>
      <c r="U1396" s="22">
        <v>1391</v>
      </c>
      <c r="W1396" s="13" t="str">
        <f>LOOKUP(1,1/(Table1[[#This Row],[Level_0]:[Level 15]]&gt;0),(Table1[[#This Row],[Level_0]:[Level 15]]))</f>
        <v>5920000001 - [Losses f. Disposal - Intang Assets-Acc1]</v>
      </c>
    </row>
    <row r="1397" spans="1:23" hidden="1" x14ac:dyDescent="0.25">
      <c r="A1397">
        <v>5920000000</v>
      </c>
      <c r="B1397" s="16" t="s">
        <v>20518</v>
      </c>
      <c r="C1397" s="16" t="e">
        <f>VLOOKUP(Table1[[#This Row],[Node]],Parent!A:B,2,0)</f>
        <v>#N/A</v>
      </c>
      <c r="D1397" s="25" t="s">
        <v>19346</v>
      </c>
      <c r="E1397" s="26" t="s">
        <v>16544</v>
      </c>
      <c r="F1397" s="27" t="s">
        <v>17843</v>
      </c>
      <c r="G1397" s="27" t="s">
        <v>17881</v>
      </c>
      <c r="H1397" s="27" t="s">
        <v>17905</v>
      </c>
      <c r="I1397" s="27"/>
      <c r="J1397" s="27"/>
      <c r="K1397" s="27"/>
      <c r="L1397" s="27"/>
      <c r="N1397" s="27"/>
      <c r="T1397" s="28" t="str">
        <f>LOOKUP(1,1/(Table1[[#This Row],[Level_0]:[Level 15]]&gt;0),(Table1[[#This Row],[Level_0]:[Level 15]]))</f>
        <v>5920000000 - [Losses from Disposal - Intangible Assets]</v>
      </c>
      <c r="U1397" s="22">
        <v>1392</v>
      </c>
      <c r="W1397" s="13" t="str">
        <f>LOOKUP(1,1/(Table1[[#This Row],[Level_0]:[Level 15]]&gt;0),(Table1[[#This Row],[Level_0]:[Level 15]]))</f>
        <v>5920000000 - [Losses from Disposal - Intangible Assets]</v>
      </c>
    </row>
    <row r="1398" spans="1:23" hidden="1" x14ac:dyDescent="0.25">
      <c r="A1398">
        <v>3301000000</v>
      </c>
      <c r="B1398" s="16" t="s">
        <v>19646</v>
      </c>
      <c r="C1398" s="16" t="e">
        <f>VLOOKUP(Table1[[#This Row],[Node]],Parent!A:B,2,0)</f>
        <v>#N/A</v>
      </c>
      <c r="D1398" s="25" t="s">
        <v>19346</v>
      </c>
      <c r="E1398" s="26" t="s">
        <v>16544</v>
      </c>
      <c r="F1398" s="27" t="s">
        <v>17843</v>
      </c>
      <c r="G1398" s="27" t="s">
        <v>17881</v>
      </c>
      <c r="H1398" s="27" t="s">
        <v>17906</v>
      </c>
      <c r="I1398" s="27"/>
      <c r="J1398" s="27"/>
      <c r="K1398" s="27"/>
      <c r="L1398" s="27"/>
      <c r="N1398" s="27"/>
      <c r="T1398" s="28" t="str">
        <f>LOOKUP(1,1/(Table1[[#This Row],[Level_0]:[Level 15]]&gt;0),(Table1[[#This Row],[Level_0]:[Level 15]]))</f>
        <v>3301000000 - [Gains from Disposal - Tangible Assets]</v>
      </c>
      <c r="U1398" s="22">
        <v>1393</v>
      </c>
      <c r="W1398" s="13" t="str">
        <f>LOOKUP(1,1/(Table1[[#This Row],[Level_0]:[Level 15]]&gt;0),(Table1[[#This Row],[Level_0]:[Level 15]]))</f>
        <v>3301000000 - [Gains from Disposal - Tangible Assets]</v>
      </c>
    </row>
    <row r="1399" spans="1:23" hidden="1" x14ac:dyDescent="0.25">
      <c r="A1399">
        <v>3300018000</v>
      </c>
      <c r="B1399" s="16" t="s">
        <v>19645</v>
      </c>
      <c r="C1399" s="16" t="e">
        <f>VLOOKUP(Table1[[#This Row],[Node]],Parent!A:B,2,0)</f>
        <v>#N/A</v>
      </c>
      <c r="D1399" s="25" t="s">
        <v>19346</v>
      </c>
      <c r="E1399" s="26" t="s">
        <v>16544</v>
      </c>
      <c r="F1399" s="27" t="s">
        <v>17843</v>
      </c>
      <c r="G1399" s="27" t="s">
        <v>17881</v>
      </c>
      <c r="H1399" s="27" t="s">
        <v>17907</v>
      </c>
      <c r="I1399" s="27"/>
      <c r="J1399" s="27"/>
      <c r="K1399" s="27"/>
      <c r="L1399" s="27"/>
      <c r="N1399" s="27"/>
      <c r="T1399" s="28" t="str">
        <f>LOOKUP(1,1/(Table1[[#This Row],[Level_0]:[Level 15]]&gt;0),(Table1[[#This Row],[Level_0]:[Level 15]]))</f>
        <v>3300018000 - [Asset Disposal - IC - Clearing Account]</v>
      </c>
      <c r="U1399" s="22">
        <v>1394</v>
      </c>
      <c r="W1399" s="13" t="str">
        <f>LOOKUP(1,1/(Table1[[#This Row],[Level_0]:[Level 15]]&gt;0),(Table1[[#This Row],[Level_0]:[Level 15]]))</f>
        <v>3300018000 - [Asset Disposal - IC - Clearing Account]</v>
      </c>
    </row>
    <row r="1400" spans="1:23" hidden="1" x14ac:dyDescent="0.25">
      <c r="A1400">
        <v>3300008000</v>
      </c>
      <c r="B1400" s="16" t="s">
        <v>19643</v>
      </c>
      <c r="C1400" s="16" t="e">
        <f>VLOOKUP(Table1[[#This Row],[Node]],Parent!A:B,2,0)</f>
        <v>#N/A</v>
      </c>
      <c r="D1400" s="25" t="s">
        <v>19346</v>
      </c>
      <c r="E1400" s="26" t="s">
        <v>16544</v>
      </c>
      <c r="F1400" s="27" t="s">
        <v>17843</v>
      </c>
      <c r="G1400" s="27" t="s">
        <v>17881</v>
      </c>
      <c r="H1400" s="27" t="s">
        <v>17908</v>
      </c>
      <c r="I1400" s="27"/>
      <c r="J1400" s="27"/>
      <c r="K1400" s="27"/>
      <c r="L1400" s="27"/>
      <c r="N1400" s="27"/>
      <c r="T1400" s="28" t="str">
        <f>LOOKUP(1,1/(Table1[[#This Row],[Level_0]:[Level 15]]&gt;0),(Table1[[#This Row],[Level_0]:[Level 15]]))</f>
        <v>3300008000 - [Asset Disposal - 3P - Clearing Account]</v>
      </c>
      <c r="U1400" s="22">
        <v>1395</v>
      </c>
      <c r="W1400" s="13" t="str">
        <f>LOOKUP(1,1/(Table1[[#This Row],[Level_0]:[Level 15]]&gt;0),(Table1[[#This Row],[Level_0]:[Level 15]]))</f>
        <v>3300008000 - [Asset Disposal - 3P - Clearing Account]</v>
      </c>
    </row>
    <row r="1401" spans="1:23" hidden="1" x14ac:dyDescent="0.25">
      <c r="A1401">
        <v>3300016000</v>
      </c>
      <c r="B1401" s="16" t="s">
        <v>19644</v>
      </c>
      <c r="C1401" s="16" t="e">
        <f>VLOOKUP(Table1[[#This Row],[Node]],Parent!A:B,2,0)</f>
        <v>#N/A</v>
      </c>
      <c r="D1401" s="25" t="s">
        <v>19346</v>
      </c>
      <c r="E1401" s="26" t="s">
        <v>16544</v>
      </c>
      <c r="F1401" s="27" t="s">
        <v>17843</v>
      </c>
      <c r="G1401" s="27" t="s">
        <v>17881</v>
      </c>
      <c r="H1401" s="27" t="s">
        <v>17909</v>
      </c>
      <c r="I1401" s="27"/>
      <c r="J1401" s="27"/>
      <c r="K1401" s="27"/>
      <c r="L1401" s="27"/>
      <c r="N1401" s="27"/>
      <c r="T1401" s="28" t="str">
        <f>LOOKUP(1,1/(Table1[[#This Row],[Level_0]:[Level 15]]&gt;0),(Table1[[#This Row],[Level_0]:[Level 15]]))</f>
        <v>3300016000 - [Gains fr Dispos-Int Assets-IC-IFRS Corr]</v>
      </c>
      <c r="U1401" s="22">
        <v>1396</v>
      </c>
      <c r="W1401" s="13" t="str">
        <f>LOOKUP(1,1/(Table1[[#This Row],[Level_0]:[Level 15]]&gt;0),(Table1[[#This Row],[Level_0]:[Level 15]]))</f>
        <v>3300016000 - [Gains fr Dispos-Int Assets-IC-IFRS Corr]</v>
      </c>
    </row>
    <row r="1402" spans="1:23" hidden="1" x14ac:dyDescent="0.25">
      <c r="A1402">
        <v>3300000001</v>
      </c>
      <c r="B1402" s="16" t="s">
        <v>19642</v>
      </c>
      <c r="C1402" s="16" t="e">
        <f>VLOOKUP(Table1[[#This Row],[Node]],Parent!A:B,2,0)</f>
        <v>#N/A</v>
      </c>
      <c r="D1402" s="25" t="s">
        <v>19346</v>
      </c>
      <c r="E1402" s="26" t="s">
        <v>16544</v>
      </c>
      <c r="F1402" s="27" t="s">
        <v>17843</v>
      </c>
      <c r="G1402" s="27" t="s">
        <v>17881</v>
      </c>
      <c r="H1402" s="27" t="s">
        <v>17910</v>
      </c>
      <c r="I1402" s="27"/>
      <c r="J1402" s="27"/>
      <c r="K1402" s="27"/>
      <c r="L1402" s="27"/>
      <c r="N1402" s="27"/>
      <c r="T1402" s="28" t="str">
        <f>LOOKUP(1,1/(Table1[[#This Row],[Level_0]:[Level 15]]&gt;0),(Table1[[#This Row],[Level_0]:[Level 15]]))</f>
        <v>3300000001 - [Gains f. Disposal - Intang Assets-Acc1]</v>
      </c>
      <c r="U1402" s="22">
        <v>1397</v>
      </c>
      <c r="W1402" s="13" t="str">
        <f>LOOKUP(1,1/(Table1[[#This Row],[Level_0]:[Level 15]]&gt;0),(Table1[[#This Row],[Level_0]:[Level 15]]))</f>
        <v>3300000001 - [Gains f. Disposal - Intang Assets-Acc1]</v>
      </c>
    </row>
    <row r="1403" spans="1:23" hidden="1" x14ac:dyDescent="0.25">
      <c r="A1403">
        <v>3300000000</v>
      </c>
      <c r="B1403" s="16" t="s">
        <v>19641</v>
      </c>
      <c r="C1403" s="16" t="e">
        <f>VLOOKUP(Table1[[#This Row],[Node]],Parent!A:B,2,0)</f>
        <v>#N/A</v>
      </c>
      <c r="D1403" s="25" t="s">
        <v>19346</v>
      </c>
      <c r="E1403" s="26" t="s">
        <v>16544</v>
      </c>
      <c r="F1403" s="27" t="s">
        <v>17843</v>
      </c>
      <c r="G1403" s="27" t="s">
        <v>17881</v>
      </c>
      <c r="H1403" s="27" t="s">
        <v>17911</v>
      </c>
      <c r="I1403" s="27"/>
      <c r="J1403" s="27"/>
      <c r="K1403" s="27"/>
      <c r="L1403" s="27"/>
      <c r="N1403" s="27"/>
      <c r="T1403" s="28" t="str">
        <f>LOOKUP(1,1/(Table1[[#This Row],[Level_0]:[Level 15]]&gt;0),(Table1[[#This Row],[Level_0]:[Level 15]]))</f>
        <v>3300000000 - [Gains from Disposal - Intangible Assets]</v>
      </c>
      <c r="U1403" s="22">
        <v>1398</v>
      </c>
      <c r="W1403" s="13" t="str">
        <f>LOOKUP(1,1/(Table1[[#This Row],[Level_0]:[Level 15]]&gt;0),(Table1[[#This Row],[Level_0]:[Level 15]]))</f>
        <v>3300000000 - [Gains from Disposal - Intangible Assets]</v>
      </c>
    </row>
    <row r="1404" spans="1:23" hidden="1" x14ac:dyDescent="0.25">
      <c r="A1404">
        <v>210300</v>
      </c>
      <c r="B1404" s="16" t="s">
        <v>19499</v>
      </c>
      <c r="C1404" s="16" t="e">
        <f>VLOOKUP(Table1[[#This Row],[Node]],Parent!A:B,2,0)</f>
        <v>#N/A</v>
      </c>
      <c r="D1404" s="25" t="s">
        <v>19346</v>
      </c>
      <c r="E1404" s="26" t="s">
        <v>16544</v>
      </c>
      <c r="F1404" s="27" t="s">
        <v>17843</v>
      </c>
      <c r="G1404" s="27" t="s">
        <v>17912</v>
      </c>
      <c r="H1404" s="27"/>
      <c r="I1404" s="27"/>
      <c r="J1404" s="27"/>
      <c r="K1404" s="27"/>
      <c r="L1404" s="27"/>
      <c r="N1404" s="27"/>
      <c r="T1404" s="28" t="str">
        <f>LOOKUP(1,1/(Table1[[#This Row],[Level_0]:[Level 15]]&gt;0),(Table1[[#This Row],[Level_0]:[Level 15]]))</f>
        <v>210300 - [Other operating Income/Expense]</v>
      </c>
      <c r="U1404" s="22">
        <v>1399</v>
      </c>
      <c r="W1404" s="13" t="str">
        <f>LOOKUP(1,1/(Table1[[#This Row],[Level_0]:[Level 15]]&gt;0),(Table1[[#This Row],[Level_0]:[Level 15]]))</f>
        <v>210300 - [Other operating Income/Expense]</v>
      </c>
    </row>
    <row r="1405" spans="1:23" hidden="1" x14ac:dyDescent="0.25">
      <c r="A1405">
        <v>7620301103</v>
      </c>
      <c r="B1405" s="16" t="s">
        <v>21563</v>
      </c>
      <c r="C1405" s="16" t="e">
        <f>VLOOKUP(Table1[[#This Row],[Node]],Parent!A:B,2,0)</f>
        <v>#N/A</v>
      </c>
      <c r="D1405" s="25" t="s">
        <v>19346</v>
      </c>
      <c r="E1405" s="26" t="s">
        <v>16544</v>
      </c>
      <c r="F1405" s="27" t="s">
        <v>17843</v>
      </c>
      <c r="G1405" s="27" t="s">
        <v>17912</v>
      </c>
      <c r="H1405" s="27" t="s">
        <v>17913</v>
      </c>
      <c r="I1405" s="27"/>
      <c r="J1405" s="27"/>
      <c r="K1405" s="27"/>
      <c r="L1405" s="27"/>
      <c r="N1405" s="27"/>
      <c r="T1405" s="28" t="str">
        <f>LOOKUP(1,1/(Table1[[#This Row],[Level_0]:[Level 15]]&gt;0),(Table1[[#This Row],[Level_0]:[Level 15]]))</f>
        <v>7620301103 - [AOM_Maint. Other Costs]</v>
      </c>
      <c r="U1405" s="22">
        <v>1400</v>
      </c>
      <c r="W1405" s="13" t="str">
        <f>LOOKUP(1,1/(Table1[[#This Row],[Level_0]:[Level 15]]&gt;0),(Table1[[#This Row],[Level_0]:[Level 15]]))</f>
        <v>7620301103 - [AOM_Maint. Other Costs]</v>
      </c>
    </row>
    <row r="1406" spans="1:23" hidden="1" x14ac:dyDescent="0.25">
      <c r="A1406">
        <v>7340000005</v>
      </c>
      <c r="B1406" s="16" t="s">
        <v>20924</v>
      </c>
      <c r="C1406" s="16" t="e">
        <f>VLOOKUP(Table1[[#This Row],[Node]],Parent!A:B,2,0)</f>
        <v>#N/A</v>
      </c>
      <c r="D1406" s="25" t="s">
        <v>19346</v>
      </c>
      <c r="E1406" s="26" t="s">
        <v>16544</v>
      </c>
      <c r="F1406" s="27" t="s">
        <v>17843</v>
      </c>
      <c r="G1406" s="27" t="s">
        <v>17912</v>
      </c>
      <c r="H1406" s="27" t="s">
        <v>17914</v>
      </c>
      <c r="I1406" s="27"/>
      <c r="J1406" s="27"/>
      <c r="K1406" s="27"/>
      <c r="L1406" s="27"/>
      <c r="N1406" s="27"/>
      <c r="T1406" s="28" t="str">
        <f>LOOKUP(1,1/(Table1[[#This Row],[Level_0]:[Level 15]]&gt;0),(Table1[[#This Row],[Level_0]:[Level 15]]))</f>
        <v>7340000005 - [SOM PM others]</v>
      </c>
      <c r="U1406" s="22">
        <v>1401</v>
      </c>
      <c r="W1406" s="13" t="str">
        <f>LOOKUP(1,1/(Table1[[#This Row],[Level_0]:[Level 15]]&gt;0),(Table1[[#This Row],[Level_0]:[Level 15]]))</f>
        <v>7340000005 - [SOM PM others]</v>
      </c>
    </row>
    <row r="1407" spans="1:23" hidden="1" x14ac:dyDescent="0.25">
      <c r="A1407">
        <v>7340000018</v>
      </c>
      <c r="B1407" s="16" t="s">
        <v>20937</v>
      </c>
      <c r="C1407" s="16" t="e">
        <f>VLOOKUP(Table1[[#This Row],[Node]],Parent!A:B,2,0)</f>
        <v>#N/A</v>
      </c>
      <c r="D1407" s="25" t="s">
        <v>19346</v>
      </c>
      <c r="E1407" s="26" t="s">
        <v>16544</v>
      </c>
      <c r="F1407" s="27" t="s">
        <v>17843</v>
      </c>
      <c r="G1407" s="27" t="s">
        <v>17912</v>
      </c>
      <c r="H1407" s="27" t="s">
        <v>17915</v>
      </c>
      <c r="I1407" s="27"/>
      <c r="J1407" s="27"/>
      <c r="K1407" s="27"/>
      <c r="L1407" s="27"/>
      <c r="N1407" s="27"/>
      <c r="T1407" s="28" t="str">
        <f>LOOKUP(1,1/(Table1[[#This Row],[Level_0]:[Level 15]]&gt;0),(Table1[[#This Row],[Level_0]:[Level 15]]))</f>
        <v>7340000018 - [SOM Other Operating Expense Settlement]</v>
      </c>
      <c r="U1407" s="22">
        <v>1402</v>
      </c>
      <c r="W1407" s="13" t="str">
        <f>LOOKUP(1,1/(Table1[[#This Row],[Level_0]:[Level 15]]&gt;0),(Table1[[#This Row],[Level_0]:[Level 15]]))</f>
        <v>7340000018 - [SOM Other Operating Expense Settlement]</v>
      </c>
    </row>
    <row r="1408" spans="1:23" hidden="1" x14ac:dyDescent="0.25">
      <c r="A1408">
        <v>8800000001</v>
      </c>
      <c r="B1408" s="16" t="s">
        <v>22088</v>
      </c>
      <c r="C1408" s="16" t="e">
        <f>VLOOKUP(Table1[[#This Row],[Node]],Parent!A:B,2,0)</f>
        <v>#N/A</v>
      </c>
      <c r="D1408" s="25" t="s">
        <v>19346</v>
      </c>
      <c r="E1408" s="26" t="s">
        <v>16544</v>
      </c>
      <c r="F1408" s="27" t="s">
        <v>17843</v>
      </c>
      <c r="G1408" s="27" t="s">
        <v>17912</v>
      </c>
      <c r="H1408" s="27" t="s">
        <v>17916</v>
      </c>
      <c r="I1408" s="27"/>
      <c r="J1408" s="27"/>
      <c r="K1408" s="27"/>
      <c r="L1408" s="27"/>
      <c r="N1408" s="27"/>
      <c r="T1408" s="28" t="str">
        <f>LOOKUP(1,1/(Table1[[#This Row],[Level_0]:[Level 15]]&gt;0),(Table1[[#This Row],[Level_0]:[Level 15]]))</f>
        <v>8800000001 - [Profit and Loss (Technical Account)-Acc1]</v>
      </c>
      <c r="U1408" s="22">
        <v>1403</v>
      </c>
      <c r="W1408" s="13" t="str">
        <f>LOOKUP(1,1/(Table1[[#This Row],[Level_0]:[Level 15]]&gt;0),(Table1[[#This Row],[Level_0]:[Level 15]]))</f>
        <v>8800000001 - [Profit and Loss (Technical Account)-Acc1]</v>
      </c>
    </row>
    <row r="1409" spans="1:23" hidden="1" x14ac:dyDescent="0.25">
      <c r="A1409">
        <v>8799970000</v>
      </c>
      <c r="B1409" s="16" t="s">
        <v>22087</v>
      </c>
      <c r="C1409" s="16" t="e">
        <f>VLOOKUP(Table1[[#This Row],[Node]],Parent!A:B,2,0)</f>
        <v>#N/A</v>
      </c>
      <c r="D1409" s="25" t="s">
        <v>19346</v>
      </c>
      <c r="E1409" s="26" t="s">
        <v>16544</v>
      </c>
      <c r="F1409" s="27" t="s">
        <v>17843</v>
      </c>
      <c r="G1409" s="27" t="s">
        <v>17912</v>
      </c>
      <c r="H1409" s="27" t="s">
        <v>17917</v>
      </c>
      <c r="I1409" s="27"/>
      <c r="J1409" s="27"/>
      <c r="K1409" s="27"/>
      <c r="L1409" s="27"/>
      <c r="N1409" s="27"/>
      <c r="T1409" s="28" t="str">
        <f>LOOKUP(1,1/(Table1[[#This Row],[Level_0]:[Level 15]]&gt;0),(Table1[[#This Row],[Level_0]:[Level 15]]))</f>
        <v>8799970000 - [Acc park items out of early scan]</v>
      </c>
      <c r="U1409" s="22">
        <v>1404</v>
      </c>
      <c r="W1409" s="13" t="str">
        <f>LOOKUP(1,1/(Table1[[#This Row],[Level_0]:[Level 15]]&gt;0),(Table1[[#This Row],[Level_0]:[Level 15]]))</f>
        <v>8799970000 - [Acc park items out of early scan]</v>
      </c>
    </row>
    <row r="1410" spans="1:23" hidden="1" x14ac:dyDescent="0.25">
      <c r="A1410">
        <v>7620000009</v>
      </c>
      <c r="B1410" s="16" t="s">
        <v>21535</v>
      </c>
      <c r="C1410" s="16" t="e">
        <f>VLOOKUP(Table1[[#This Row],[Node]],Parent!A:B,2,0)</f>
        <v>#N/A</v>
      </c>
      <c r="D1410" s="25" t="s">
        <v>19346</v>
      </c>
      <c r="E1410" s="26" t="s">
        <v>16544</v>
      </c>
      <c r="F1410" s="27" t="s">
        <v>17843</v>
      </c>
      <c r="G1410" s="27" t="s">
        <v>17912</v>
      </c>
      <c r="H1410" s="27" t="s">
        <v>17918</v>
      </c>
      <c r="I1410" s="27"/>
      <c r="J1410" s="27"/>
      <c r="K1410" s="27"/>
      <c r="L1410" s="27"/>
      <c r="N1410" s="27"/>
      <c r="T1410" s="28" t="str">
        <f>LOOKUP(1,1/(Table1[[#This Row],[Level_0]:[Level 15]]&gt;0),(Table1[[#This Row],[Level_0]:[Level 15]]))</f>
        <v>7620000009 - [AOM Verr.Fremdl. RST]</v>
      </c>
      <c r="U1410" s="22">
        <v>1405</v>
      </c>
      <c r="W1410" s="13" t="str">
        <f>LOOKUP(1,1/(Table1[[#This Row],[Level_0]:[Level 15]]&gt;0),(Table1[[#This Row],[Level_0]:[Level 15]]))</f>
        <v>7620000009 - [AOM Verr.Fremdl. RST]</v>
      </c>
    </row>
    <row r="1411" spans="1:23" hidden="1" x14ac:dyDescent="0.25">
      <c r="A1411">
        <v>7600304232</v>
      </c>
      <c r="B1411" s="16" t="s">
        <v>21423</v>
      </c>
      <c r="C1411" s="16" t="e">
        <f>VLOOKUP(Table1[[#This Row],[Node]],Parent!A:B,2,0)</f>
        <v>#N/A</v>
      </c>
      <c r="D1411" s="25" t="s">
        <v>19346</v>
      </c>
      <c r="E1411" s="26" t="s">
        <v>16544</v>
      </c>
      <c r="F1411" s="27" t="s">
        <v>17843</v>
      </c>
      <c r="G1411" s="27" t="s">
        <v>17912</v>
      </c>
      <c r="H1411" s="27" t="s">
        <v>17919</v>
      </c>
      <c r="I1411" s="27"/>
      <c r="J1411" s="27"/>
      <c r="K1411" s="27"/>
      <c r="L1411" s="27"/>
      <c r="N1411" s="27"/>
      <c r="T1411" s="28" t="str">
        <f>LOOKUP(1,1/(Table1[[#This Row],[Level_0]:[Level 15]]&gt;0),(Table1[[#This Row],[Level_0]:[Level 15]]))</f>
        <v>7600304232 - [DAA_IC Exp - SMS - Contractor Mgt O]</v>
      </c>
      <c r="U1411" s="22">
        <v>1406</v>
      </c>
      <c r="W1411" s="13" t="str">
        <f>LOOKUP(1,1/(Table1[[#This Row],[Level_0]:[Level 15]]&gt;0),(Table1[[#This Row],[Level_0]:[Level 15]]))</f>
        <v>7600304232 - [DAA_IC Exp - SMS - Contractor Mgt O]</v>
      </c>
    </row>
    <row r="1412" spans="1:23" hidden="1" x14ac:dyDescent="0.25">
      <c r="A1412">
        <v>7600304157</v>
      </c>
      <c r="B1412" s="16" t="s">
        <v>21355</v>
      </c>
      <c r="C1412" s="16" t="e">
        <f>VLOOKUP(Table1[[#This Row],[Node]],Parent!A:B,2,0)</f>
        <v>#N/A</v>
      </c>
      <c r="D1412" s="25" t="s">
        <v>19346</v>
      </c>
      <c r="E1412" s="26" t="s">
        <v>16544</v>
      </c>
      <c r="F1412" s="27" t="s">
        <v>17843</v>
      </c>
      <c r="G1412" s="27" t="s">
        <v>17912</v>
      </c>
      <c r="H1412" s="27" t="s">
        <v>17920</v>
      </c>
      <c r="I1412" s="27"/>
      <c r="J1412" s="27"/>
      <c r="K1412" s="27"/>
      <c r="L1412" s="27"/>
      <c r="N1412" s="27"/>
      <c r="T1412" s="28" t="str">
        <f>LOOKUP(1,1/(Table1[[#This Row],[Level_0]:[Level 15]]&gt;0),(Table1[[#This Row],[Level_0]:[Level 15]]))</f>
        <v>7600304157 - [DAA Catering Services]</v>
      </c>
      <c r="U1412" s="22">
        <v>1407</v>
      </c>
      <c r="W1412" s="13" t="str">
        <f>LOOKUP(1,1/(Table1[[#This Row],[Level_0]:[Level 15]]&gt;0),(Table1[[#This Row],[Level_0]:[Level 15]]))</f>
        <v>7600304157 - [DAA Catering Services]</v>
      </c>
    </row>
    <row r="1413" spans="1:23" hidden="1" x14ac:dyDescent="0.25">
      <c r="A1413">
        <v>7220000020</v>
      </c>
      <c r="B1413" s="16" t="s">
        <v>20721</v>
      </c>
      <c r="C1413" s="16" t="e">
        <f>VLOOKUP(Table1[[#This Row],[Node]],Parent!A:B,2,0)</f>
        <v>#N/A</v>
      </c>
      <c r="D1413" s="25" t="s">
        <v>19346</v>
      </c>
      <c r="E1413" s="26" t="s">
        <v>16544</v>
      </c>
      <c r="F1413" s="27" t="s">
        <v>17843</v>
      </c>
      <c r="G1413" s="27" t="s">
        <v>17912</v>
      </c>
      <c r="H1413" s="27" t="s">
        <v>17921</v>
      </c>
      <c r="I1413" s="27"/>
      <c r="J1413" s="27"/>
      <c r="K1413" s="27"/>
      <c r="L1413" s="27"/>
      <c r="N1413" s="27"/>
      <c r="T1413" s="28" t="str">
        <f>LOOKUP(1,1/(Table1[[#This Row],[Level_0]:[Level 15]]&gt;0),(Table1[[#This Row],[Level_0]:[Level 15]]))</f>
        <v>7220000020 - [AOM Special Projects]</v>
      </c>
      <c r="U1413" s="22">
        <v>1408</v>
      </c>
      <c r="W1413" s="13" t="str">
        <f>LOOKUP(1,1/(Table1[[#This Row],[Level_0]:[Level 15]]&gt;0),(Table1[[#This Row],[Level_0]:[Level 15]]))</f>
        <v>7220000020 - [AOM Special Projects]</v>
      </c>
    </row>
    <row r="1414" spans="1:23" hidden="1" x14ac:dyDescent="0.25">
      <c r="A1414">
        <v>7100000013</v>
      </c>
      <c r="B1414" s="16" t="s">
        <v>20665</v>
      </c>
      <c r="C1414" s="16" t="e">
        <f>VLOOKUP(Table1[[#This Row],[Node]],Parent!A:B,2,0)</f>
        <v>#N/A</v>
      </c>
      <c r="D1414" s="25" t="s">
        <v>19346</v>
      </c>
      <c r="E1414" s="26" t="s">
        <v>16544</v>
      </c>
      <c r="F1414" s="27" t="s">
        <v>17843</v>
      </c>
      <c r="G1414" s="27" t="s">
        <v>17912</v>
      </c>
      <c r="H1414" s="27" t="s">
        <v>17922</v>
      </c>
      <c r="I1414" s="27"/>
      <c r="J1414" s="27"/>
      <c r="K1414" s="27"/>
      <c r="L1414" s="27"/>
      <c r="N1414" s="27"/>
      <c r="T1414" s="28" t="str">
        <f>LOOKUP(1,1/(Table1[[#This Row],[Level_0]:[Level 15]]&gt;0),(Table1[[#This Row],[Level_0]:[Level 15]]))</f>
        <v>7100000013 - [DAA_BPDO-Projects]</v>
      </c>
      <c r="U1414" s="22">
        <v>1409</v>
      </c>
      <c r="W1414" s="13" t="str">
        <f>LOOKUP(1,1/(Table1[[#This Row],[Level_0]:[Level 15]]&gt;0),(Table1[[#This Row],[Level_0]:[Level 15]]))</f>
        <v>7100000013 - [DAA_BPDO-Projects]</v>
      </c>
    </row>
    <row r="1415" spans="1:23" hidden="1" x14ac:dyDescent="0.25">
      <c r="A1415">
        <v>7100000012</v>
      </c>
      <c r="B1415" s="16" t="s">
        <v>20664</v>
      </c>
      <c r="C1415" s="16" t="e">
        <f>VLOOKUP(Table1[[#This Row],[Node]],Parent!A:B,2,0)</f>
        <v>#N/A</v>
      </c>
      <c r="D1415" s="25" t="s">
        <v>19346</v>
      </c>
      <c r="E1415" s="26" t="s">
        <v>16544</v>
      </c>
      <c r="F1415" s="27" t="s">
        <v>17843</v>
      </c>
      <c r="G1415" s="27" t="s">
        <v>17912</v>
      </c>
      <c r="H1415" s="27" t="s">
        <v>17923</v>
      </c>
      <c r="I1415" s="27"/>
      <c r="J1415" s="27"/>
      <c r="K1415" s="27"/>
      <c r="L1415" s="27"/>
      <c r="N1415" s="27"/>
      <c r="T1415" s="28" t="str">
        <f>LOOKUP(1,1/(Table1[[#This Row],[Level_0]:[Level 15]]&gt;0),(Table1[[#This Row],[Level_0]:[Level 15]]))</f>
        <v>7100000012 - [DAA_BPDO Corporate]</v>
      </c>
      <c r="U1415" s="22">
        <v>1410</v>
      </c>
      <c r="W1415" s="13" t="str">
        <f>LOOKUP(1,1/(Table1[[#This Row],[Level_0]:[Level 15]]&gt;0),(Table1[[#This Row],[Level_0]:[Level 15]]))</f>
        <v>7100000012 - [DAA_BPDO Corporate]</v>
      </c>
    </row>
    <row r="1416" spans="1:23" hidden="1" x14ac:dyDescent="0.25">
      <c r="A1416">
        <v>5966000000</v>
      </c>
      <c r="B1416" s="16" t="s">
        <v>20604</v>
      </c>
      <c r="C1416" s="16" t="e">
        <f>VLOOKUP(Table1[[#This Row],[Node]],Parent!A:B,2,0)</f>
        <v>#N/A</v>
      </c>
      <c r="D1416" s="25" t="s">
        <v>19346</v>
      </c>
      <c r="E1416" s="26" t="s">
        <v>16544</v>
      </c>
      <c r="F1416" s="27" t="s">
        <v>17843</v>
      </c>
      <c r="G1416" s="27" t="s">
        <v>17912</v>
      </c>
      <c r="H1416" s="27" t="s">
        <v>17924</v>
      </c>
      <c r="I1416" s="27"/>
      <c r="J1416" s="27"/>
      <c r="K1416" s="27"/>
      <c r="L1416" s="27"/>
      <c r="N1416" s="27"/>
      <c r="T1416" s="28" t="str">
        <f>LOOKUP(1,1/(Table1[[#This Row],[Level_0]:[Level 15]]&gt;0),(Table1[[#This Row],[Level_0]:[Level 15]]))</f>
        <v>5966000000 - [Loss from Termin Lessor OL]</v>
      </c>
      <c r="U1416" s="22">
        <v>1411</v>
      </c>
      <c r="W1416" s="13" t="str">
        <f>LOOKUP(1,1/(Table1[[#This Row],[Level_0]:[Level 15]]&gt;0),(Table1[[#This Row],[Level_0]:[Level 15]]))</f>
        <v>5966000000 - [Loss from Termin Lessor OL]</v>
      </c>
    </row>
    <row r="1417" spans="1:23" hidden="1" x14ac:dyDescent="0.25">
      <c r="A1417">
        <v>5965000000</v>
      </c>
      <c r="B1417" s="16" t="s">
        <v>20603</v>
      </c>
      <c r="C1417" s="16" t="e">
        <f>VLOOKUP(Table1[[#This Row],[Node]],Parent!A:B,2,0)</f>
        <v>#N/A</v>
      </c>
      <c r="D1417" s="25" t="s">
        <v>19346</v>
      </c>
      <c r="E1417" s="26" t="s">
        <v>16544</v>
      </c>
      <c r="F1417" s="27" t="s">
        <v>17843</v>
      </c>
      <c r="G1417" s="27" t="s">
        <v>17912</v>
      </c>
      <c r="H1417" s="27" t="s">
        <v>17925</v>
      </c>
      <c r="I1417" s="27"/>
      <c r="J1417" s="27"/>
      <c r="K1417" s="27"/>
      <c r="L1417" s="27"/>
      <c r="N1417" s="27"/>
      <c r="T1417" s="28" t="str">
        <f>LOOKUP(1,1/(Table1[[#This Row],[Level_0]:[Level 15]]&gt;0),(Table1[[#This Row],[Level_0]:[Level 15]]))</f>
        <v>5965000000 - [Loss from Termin Lessor FL]</v>
      </c>
      <c r="U1417" s="22">
        <v>1412</v>
      </c>
      <c r="W1417" s="13" t="str">
        <f>LOOKUP(1,1/(Table1[[#This Row],[Level_0]:[Level 15]]&gt;0),(Table1[[#This Row],[Level_0]:[Level 15]]))</f>
        <v>5965000000 - [Loss from Termin Lessor FL]</v>
      </c>
    </row>
    <row r="1418" spans="1:23" hidden="1" x14ac:dyDescent="0.25">
      <c r="A1418">
        <v>5964000000</v>
      </c>
      <c r="B1418" s="16" t="s">
        <v>20602</v>
      </c>
      <c r="C1418" s="16" t="e">
        <f>VLOOKUP(Table1[[#This Row],[Node]],Parent!A:B,2,0)</f>
        <v>#N/A</v>
      </c>
      <c r="D1418" s="25" t="s">
        <v>19346</v>
      </c>
      <c r="E1418" s="26" t="s">
        <v>16544</v>
      </c>
      <c r="F1418" s="27" t="s">
        <v>17843</v>
      </c>
      <c r="G1418" s="27" t="s">
        <v>17912</v>
      </c>
      <c r="H1418" s="27" t="s">
        <v>17926</v>
      </c>
      <c r="I1418" s="27"/>
      <c r="J1418" s="27"/>
      <c r="K1418" s="27"/>
      <c r="L1418" s="27"/>
      <c r="N1418" s="27"/>
      <c r="T1418" s="28" t="str">
        <f>LOOKUP(1,1/(Table1[[#This Row],[Level_0]:[Level 15]]&gt;0),(Table1[[#This Row],[Level_0]:[Level 15]]))</f>
        <v>5964000000 - [Loss from Hyperinflation]</v>
      </c>
      <c r="U1418" s="22">
        <v>1413</v>
      </c>
      <c r="W1418" s="13" t="str">
        <f>LOOKUP(1,1/(Table1[[#This Row],[Level_0]:[Level 15]]&gt;0),(Table1[[#This Row],[Level_0]:[Level 15]]))</f>
        <v>5964000000 - [Loss from Hyperinflation]</v>
      </c>
    </row>
    <row r="1419" spans="1:23" hidden="1" x14ac:dyDescent="0.25">
      <c r="A1419">
        <v>5963000000</v>
      </c>
      <c r="B1419" s="16" t="s">
        <v>20600</v>
      </c>
      <c r="C1419" s="16" t="e">
        <f>VLOOKUP(Table1[[#This Row],[Node]],Parent!A:B,2,0)</f>
        <v>#N/A</v>
      </c>
      <c r="D1419" s="25" t="s">
        <v>19346</v>
      </c>
      <c r="E1419" s="26" t="s">
        <v>16544</v>
      </c>
      <c r="F1419" s="27" t="s">
        <v>17843</v>
      </c>
      <c r="G1419" s="27" t="s">
        <v>17912</v>
      </c>
      <c r="H1419" s="27" t="s">
        <v>17927</v>
      </c>
      <c r="I1419" s="27"/>
      <c r="J1419" s="27"/>
      <c r="K1419" s="27"/>
      <c r="L1419" s="27"/>
      <c r="N1419" s="27"/>
      <c r="T1419" s="28" t="str">
        <f>LOOKUP(1,1/(Table1[[#This Row],[Level_0]:[Level 15]]&gt;0),(Table1[[#This Row],[Level_0]:[Level 15]]))</f>
        <v>5963000000 - [Expenses from Transfer Price Adjustments]</v>
      </c>
      <c r="U1419" s="22">
        <v>1414</v>
      </c>
      <c r="W1419" s="13" t="str">
        <f>LOOKUP(1,1/(Table1[[#This Row],[Level_0]:[Level 15]]&gt;0),(Table1[[#This Row],[Level_0]:[Level 15]]))</f>
        <v>5963000000 - [Expenses from Transfer Price Adjustments]</v>
      </c>
    </row>
    <row r="1420" spans="1:23" hidden="1" x14ac:dyDescent="0.25">
      <c r="A1420">
        <v>5961800000</v>
      </c>
      <c r="B1420" s="16" t="s">
        <v>20597</v>
      </c>
      <c r="C1420" s="16" t="e">
        <f>VLOOKUP(Table1[[#This Row],[Node]],Parent!A:B,2,0)</f>
        <v>#N/A</v>
      </c>
      <c r="D1420" s="25" t="s">
        <v>19346</v>
      </c>
      <c r="E1420" s="26" t="s">
        <v>16544</v>
      </c>
      <c r="F1420" s="27" t="s">
        <v>17843</v>
      </c>
      <c r="G1420" s="27" t="s">
        <v>17912</v>
      </c>
      <c r="H1420" s="27" t="s">
        <v>17928</v>
      </c>
      <c r="I1420" s="27"/>
      <c r="J1420" s="27"/>
      <c r="K1420" s="27"/>
      <c r="L1420" s="27"/>
      <c r="N1420" s="27"/>
      <c r="T1420" s="28" t="str">
        <f>LOOKUP(1,1/(Table1[[#This Row],[Level_0]:[Level 15]]&gt;0),(Table1[[#This Row],[Level_0]:[Level 15]]))</f>
        <v>5961800000 - [Oth Miscell Exp - Special Charges]</v>
      </c>
      <c r="U1420" s="22">
        <v>1415</v>
      </c>
      <c r="W1420" s="13" t="str">
        <f>LOOKUP(1,1/(Table1[[#This Row],[Level_0]:[Level 15]]&gt;0),(Table1[[#This Row],[Level_0]:[Level 15]]))</f>
        <v>5961800000 - [Oth Miscell Exp - Special Charges]</v>
      </c>
    </row>
    <row r="1421" spans="1:23" hidden="1" x14ac:dyDescent="0.25">
      <c r="A1421">
        <v>5961200000</v>
      </c>
      <c r="B1421" s="16" t="s">
        <v>20594</v>
      </c>
      <c r="C1421" s="16" t="e">
        <f>VLOOKUP(Table1[[#This Row],[Node]],Parent!A:B,2,0)</f>
        <v>#N/A</v>
      </c>
      <c r="D1421" s="25" t="s">
        <v>19346</v>
      </c>
      <c r="E1421" s="26" t="s">
        <v>16544</v>
      </c>
      <c r="F1421" s="27" t="s">
        <v>17843</v>
      </c>
      <c r="G1421" s="27" t="s">
        <v>17912</v>
      </c>
      <c r="H1421" s="27" t="s">
        <v>17929</v>
      </c>
      <c r="I1421" s="27"/>
      <c r="J1421" s="27"/>
      <c r="K1421" s="27"/>
      <c r="L1421" s="27"/>
      <c r="N1421" s="27"/>
      <c r="T1421" s="28" t="str">
        <f>LOOKUP(1,1/(Table1[[#This Row],[Level_0]:[Level 15]]&gt;0),(Table1[[#This Row],[Level_0]:[Level 15]]))</f>
        <v>5961200000 - [Oth Miscell Exp - Exp f. Supervis Board]</v>
      </c>
      <c r="U1421" s="22">
        <v>1416</v>
      </c>
      <c r="W1421" s="13" t="str">
        <f>LOOKUP(1,1/(Table1[[#This Row],[Level_0]:[Level 15]]&gt;0),(Table1[[#This Row],[Level_0]:[Level 15]]))</f>
        <v>5961200000 - [Oth Miscell Exp - Exp f. Supervis Board]</v>
      </c>
    </row>
    <row r="1422" spans="1:23" hidden="1" x14ac:dyDescent="0.25">
      <c r="A1422">
        <v>5961000000</v>
      </c>
      <c r="B1422" s="16" t="s">
        <v>20593</v>
      </c>
      <c r="C1422" s="16" t="e">
        <f>VLOOKUP(Table1[[#This Row],[Node]],Parent!A:B,2,0)</f>
        <v>#N/A</v>
      </c>
      <c r="D1422" s="25" t="s">
        <v>19346</v>
      </c>
      <c r="E1422" s="26" t="s">
        <v>16544</v>
      </c>
      <c r="F1422" s="27" t="s">
        <v>17843</v>
      </c>
      <c r="G1422" s="27" t="s">
        <v>17912</v>
      </c>
      <c r="H1422" s="27" t="s">
        <v>17930</v>
      </c>
      <c r="I1422" s="27"/>
      <c r="J1422" s="27"/>
      <c r="K1422" s="27"/>
      <c r="L1422" s="27"/>
      <c r="N1422" s="27"/>
      <c r="T1422" s="28" t="str">
        <f>LOOKUP(1,1/(Table1[[#This Row],[Level_0]:[Level 15]]&gt;0),(Table1[[#This Row],[Level_0]:[Level 15]]))</f>
        <v>5961000000 - [Oth Miscell Exp - Min Diff f. Postings]</v>
      </c>
      <c r="U1422" s="22">
        <v>1417</v>
      </c>
      <c r="W1422" s="13" t="str">
        <f>LOOKUP(1,1/(Table1[[#This Row],[Level_0]:[Level 15]]&gt;0),(Table1[[#This Row],[Level_0]:[Level 15]]))</f>
        <v>5961000000 - [Oth Miscell Exp - Min Diff f. Postings]</v>
      </c>
    </row>
    <row r="1423" spans="1:23" hidden="1" x14ac:dyDescent="0.25">
      <c r="A1423">
        <v>5960500000</v>
      </c>
      <c r="B1423" s="16" t="s">
        <v>20592</v>
      </c>
      <c r="C1423" s="16" t="e">
        <f>VLOOKUP(Table1[[#This Row],[Node]],Parent!A:B,2,0)</f>
        <v>#N/A</v>
      </c>
      <c r="D1423" s="25" t="s">
        <v>19346</v>
      </c>
      <c r="E1423" s="26" t="s">
        <v>16544</v>
      </c>
      <c r="F1423" s="27" t="s">
        <v>17843</v>
      </c>
      <c r="G1423" s="27" t="s">
        <v>17912</v>
      </c>
      <c r="H1423" s="27" t="s">
        <v>17931</v>
      </c>
      <c r="I1423" s="27"/>
      <c r="J1423" s="27"/>
      <c r="K1423" s="27"/>
      <c r="L1423" s="27"/>
      <c r="N1423" s="27"/>
      <c r="T1423" s="28" t="str">
        <f>LOOKUP(1,1/(Table1[[#This Row],[Level_0]:[Level 15]]&gt;0),(Table1[[#This Row],[Level_0]:[Level 15]]))</f>
        <v>5960500000 - [Special items integration]</v>
      </c>
      <c r="U1423" s="22">
        <v>1418</v>
      </c>
      <c r="W1423" s="13" t="str">
        <f>LOOKUP(1,1/(Table1[[#This Row],[Level_0]:[Level 15]]&gt;0),(Table1[[#This Row],[Level_0]:[Level 15]]))</f>
        <v>5960500000 - [Special items integration]</v>
      </c>
    </row>
    <row r="1424" spans="1:23" hidden="1" x14ac:dyDescent="0.25">
      <c r="A1424">
        <v>5960400001</v>
      </c>
      <c r="B1424" s="16" t="s">
        <v>20591</v>
      </c>
      <c r="C1424" s="16" t="e">
        <f>VLOOKUP(Table1[[#This Row],[Node]],Parent!A:B,2,0)</f>
        <v>#N/A</v>
      </c>
      <c r="D1424" s="25" t="s">
        <v>19346</v>
      </c>
      <c r="E1424" s="26" t="s">
        <v>16544</v>
      </c>
      <c r="F1424" s="27" t="s">
        <v>17843</v>
      </c>
      <c r="G1424" s="27" t="s">
        <v>17912</v>
      </c>
      <c r="H1424" s="27" t="s">
        <v>17932</v>
      </c>
      <c r="I1424" s="27"/>
      <c r="J1424" s="27"/>
      <c r="K1424" s="27"/>
      <c r="L1424" s="27"/>
      <c r="N1424" s="27"/>
      <c r="T1424" s="28" t="str">
        <f>LOOKUP(1,1/(Table1[[#This Row],[Level_0]:[Level 15]]&gt;0),(Table1[[#This Row],[Level_0]:[Level 15]]))</f>
        <v>5960400001 - [Oth Misc Exp - Special Cost - Recharge]</v>
      </c>
      <c r="U1424" s="22">
        <v>1419</v>
      </c>
      <c r="W1424" s="13" t="str">
        <f>LOOKUP(1,1/(Table1[[#This Row],[Level_0]:[Level 15]]&gt;0),(Table1[[#This Row],[Level_0]:[Level 15]]))</f>
        <v>5960400001 - [Oth Misc Exp - Special Cost - Recharge]</v>
      </c>
    </row>
    <row r="1425" spans="1:23" hidden="1" x14ac:dyDescent="0.25">
      <c r="A1425">
        <v>5960400000</v>
      </c>
      <c r="B1425" s="16" t="s">
        <v>20590</v>
      </c>
      <c r="C1425" s="16" t="e">
        <f>VLOOKUP(Table1[[#This Row],[Node]],Parent!A:B,2,0)</f>
        <v>#N/A</v>
      </c>
      <c r="D1425" s="25" t="s">
        <v>19346</v>
      </c>
      <c r="E1425" s="26" t="s">
        <v>16544</v>
      </c>
      <c r="F1425" s="27" t="s">
        <v>17843</v>
      </c>
      <c r="G1425" s="27" t="s">
        <v>17912</v>
      </c>
      <c r="H1425" s="27" t="s">
        <v>17933</v>
      </c>
      <c r="I1425" s="27"/>
      <c r="J1425" s="27"/>
      <c r="K1425" s="27"/>
      <c r="L1425" s="27"/>
      <c r="N1425" s="27"/>
      <c r="T1425" s="28" t="str">
        <f>LOOKUP(1,1/(Table1[[#This Row],[Level_0]:[Level 15]]&gt;0),(Table1[[#This Row],[Level_0]:[Level 15]]))</f>
        <v>5960400000 - [Oth Miscell Exp - Exceptional Costs]</v>
      </c>
      <c r="U1425" s="22">
        <v>1420</v>
      </c>
      <c r="W1425" s="13" t="str">
        <f>LOOKUP(1,1/(Table1[[#This Row],[Level_0]:[Level 15]]&gt;0),(Table1[[#This Row],[Level_0]:[Level 15]]))</f>
        <v>5960400000 - [Oth Miscell Exp - Exceptional Costs]</v>
      </c>
    </row>
    <row r="1426" spans="1:23" hidden="1" x14ac:dyDescent="0.25">
      <c r="A1426">
        <v>5960200000</v>
      </c>
      <c r="B1426" s="16" t="s">
        <v>20589</v>
      </c>
      <c r="C1426" s="16" t="e">
        <f>VLOOKUP(Table1[[#This Row],[Node]],Parent!A:B,2,0)</f>
        <v>#N/A</v>
      </c>
      <c r="D1426" s="25" t="s">
        <v>19346</v>
      </c>
      <c r="E1426" s="26" t="s">
        <v>16544</v>
      </c>
      <c r="F1426" s="27" t="s">
        <v>17843</v>
      </c>
      <c r="G1426" s="27" t="s">
        <v>17912</v>
      </c>
      <c r="H1426" s="27" t="s">
        <v>17934</v>
      </c>
      <c r="I1426" s="27"/>
      <c r="J1426" s="27"/>
      <c r="K1426" s="27"/>
      <c r="L1426" s="27"/>
      <c r="N1426" s="27"/>
      <c r="T1426" s="28" t="str">
        <f>LOOKUP(1,1/(Table1[[#This Row],[Level_0]:[Level 15]]&gt;0),(Table1[[#This Row],[Level_0]:[Level 15]]))</f>
        <v>5960200000 - [Oth Miscell Exp - Prov f. Uncoll Receiv]</v>
      </c>
      <c r="U1426" s="22">
        <v>1421</v>
      </c>
      <c r="W1426" s="13" t="str">
        <f>LOOKUP(1,1/(Table1[[#This Row],[Level_0]:[Level 15]]&gt;0),(Table1[[#This Row],[Level_0]:[Level 15]]))</f>
        <v>5960200000 - [Oth Miscell Exp - Prov f. Uncoll Receiv]</v>
      </c>
    </row>
    <row r="1427" spans="1:23" hidden="1" x14ac:dyDescent="0.25">
      <c r="A1427">
        <v>5960100000</v>
      </c>
      <c r="B1427" s="16" t="s">
        <v>20585</v>
      </c>
      <c r="C1427" s="16" t="e">
        <f>VLOOKUP(Table1[[#This Row],[Node]],Parent!A:B,2,0)</f>
        <v>#N/A</v>
      </c>
      <c r="D1427" s="25" t="s">
        <v>19346</v>
      </c>
      <c r="E1427" s="26" t="s">
        <v>16544</v>
      </c>
      <c r="F1427" s="27" t="s">
        <v>17843</v>
      </c>
      <c r="G1427" s="27" t="s">
        <v>17912</v>
      </c>
      <c r="H1427" s="27" t="s">
        <v>17935</v>
      </c>
      <c r="I1427" s="27"/>
      <c r="J1427" s="27"/>
      <c r="K1427" s="27"/>
      <c r="L1427" s="27"/>
      <c r="N1427" s="27"/>
      <c r="T1427" s="28" t="str">
        <f>LOOKUP(1,1/(Table1[[#This Row],[Level_0]:[Level 15]]&gt;0),(Table1[[#This Row],[Level_0]:[Level 15]]))</f>
        <v>5960100000 - [Oth Miscell Exp - Remaining Oth Expenses]</v>
      </c>
      <c r="U1427" s="22">
        <v>1422</v>
      </c>
      <c r="W1427" s="13" t="str">
        <f>LOOKUP(1,1/(Table1[[#This Row],[Level_0]:[Level 15]]&gt;0),(Table1[[#This Row],[Level_0]:[Level 15]]))</f>
        <v>5960100000 - [Oth Miscell Exp - Remaining Oth Expenses]</v>
      </c>
    </row>
    <row r="1428" spans="1:23" hidden="1" x14ac:dyDescent="0.25">
      <c r="A1428">
        <v>5960000000</v>
      </c>
      <c r="B1428" s="16" t="s">
        <v>20584</v>
      </c>
      <c r="C1428" s="16" t="e">
        <f>VLOOKUP(Table1[[#This Row],[Node]],Parent!A:B,2,0)</f>
        <v>#N/A</v>
      </c>
      <c r="D1428" s="25" t="s">
        <v>19346</v>
      </c>
      <c r="E1428" s="26" t="s">
        <v>16544</v>
      </c>
      <c r="F1428" s="27" t="s">
        <v>17843</v>
      </c>
      <c r="G1428" s="27" t="s">
        <v>17912</v>
      </c>
      <c r="H1428" s="27" t="s">
        <v>17936</v>
      </c>
      <c r="I1428" s="27"/>
      <c r="J1428" s="27"/>
      <c r="K1428" s="27"/>
      <c r="L1428" s="27"/>
      <c r="N1428" s="27"/>
      <c r="T1428" s="28" t="str">
        <f>LOOKUP(1,1/(Table1[[#This Row],[Level_0]:[Level 15]]&gt;0),(Table1[[#This Row],[Level_0]:[Level 15]]))</f>
        <v>5960000000 - [Oth Miscell Exp - Loss f. Uncoll Receiv]</v>
      </c>
      <c r="U1428" s="22">
        <v>1423</v>
      </c>
      <c r="W1428" s="13" t="str">
        <f>LOOKUP(1,1/(Table1[[#This Row],[Level_0]:[Level 15]]&gt;0),(Table1[[#This Row],[Level_0]:[Level 15]]))</f>
        <v>5960000000 - [Oth Miscell Exp - Loss f. Uncoll Receiv]</v>
      </c>
    </row>
    <row r="1429" spans="1:23" hidden="1" x14ac:dyDescent="0.25">
      <c r="A1429">
        <v>4420000000</v>
      </c>
      <c r="B1429" s="16" t="s">
        <v>19930</v>
      </c>
      <c r="C1429" s="16" t="e">
        <f>VLOOKUP(Table1[[#This Row],[Node]],Parent!A:B,2,0)</f>
        <v>#N/A</v>
      </c>
      <c r="D1429" s="25" t="s">
        <v>19346</v>
      </c>
      <c r="E1429" s="26" t="s">
        <v>16544</v>
      </c>
      <c r="F1429" s="27" t="s">
        <v>17843</v>
      </c>
      <c r="G1429" s="27" t="s">
        <v>17912</v>
      </c>
      <c r="H1429" s="27" t="s">
        <v>17937</v>
      </c>
      <c r="I1429" s="27"/>
      <c r="J1429" s="27"/>
      <c r="K1429" s="27"/>
      <c r="L1429" s="27"/>
      <c r="N1429" s="27"/>
      <c r="T1429" s="28" t="str">
        <f>LOOKUP(1,1/(Table1[[#This Row],[Level_0]:[Level 15]]&gt;0),(Table1[[#This Row],[Level_0]:[Level 15]]))</f>
        <v>4420000000 - [Oth Op Exp - Retained Cash Discounts]</v>
      </c>
      <c r="U1429" s="22">
        <v>1424</v>
      </c>
      <c r="W1429" s="13" t="str">
        <f>LOOKUP(1,1/(Table1[[#This Row],[Level_0]:[Level 15]]&gt;0),(Table1[[#This Row],[Level_0]:[Level 15]]))</f>
        <v>4420000000 - [Oth Op Exp - Retained Cash Discounts]</v>
      </c>
    </row>
    <row r="1430" spans="1:23" hidden="1" x14ac:dyDescent="0.25">
      <c r="A1430">
        <v>3959000001</v>
      </c>
      <c r="B1430" s="16" t="s">
        <v>19768</v>
      </c>
      <c r="C1430" s="16" t="e">
        <f>VLOOKUP(Table1[[#This Row],[Node]],Parent!A:B,2,0)</f>
        <v>#N/A</v>
      </c>
      <c r="D1430" s="25" t="s">
        <v>19346</v>
      </c>
      <c r="E1430" s="26" t="s">
        <v>16544</v>
      </c>
      <c r="F1430" s="27" t="s">
        <v>17843</v>
      </c>
      <c r="G1430" s="27" t="s">
        <v>17912</v>
      </c>
      <c r="H1430" s="27" t="s">
        <v>17938</v>
      </c>
      <c r="I1430" s="27"/>
      <c r="J1430" s="27"/>
      <c r="K1430" s="27"/>
      <c r="L1430" s="27"/>
      <c r="N1430" s="27"/>
      <c r="T1430" s="28" t="str">
        <f>LOOKUP(1,1/(Table1[[#This Row],[Level_0]:[Level 15]]&gt;0),(Table1[[#This Row],[Level_0]:[Level 15]]))</f>
        <v>3959000001 - [Other Income - Other Exceptional Income]</v>
      </c>
      <c r="U1430" s="22">
        <v>1425</v>
      </c>
      <c r="W1430" s="13" t="str">
        <f>LOOKUP(1,1/(Table1[[#This Row],[Level_0]:[Level 15]]&gt;0),(Table1[[#This Row],[Level_0]:[Level 15]]))</f>
        <v>3959000001 - [Other Income - Other Exceptional Income]</v>
      </c>
    </row>
    <row r="1431" spans="1:23" hidden="1" x14ac:dyDescent="0.25">
      <c r="A1431">
        <v>3959000000</v>
      </c>
      <c r="B1431" s="16" t="s">
        <v>19767</v>
      </c>
      <c r="C1431" s="16" t="e">
        <f>VLOOKUP(Table1[[#This Row],[Node]],Parent!A:B,2,0)</f>
        <v>#N/A</v>
      </c>
      <c r="D1431" s="25" t="s">
        <v>19346</v>
      </c>
      <c r="E1431" s="26" t="s">
        <v>16544</v>
      </c>
      <c r="F1431" s="27" t="s">
        <v>17843</v>
      </c>
      <c r="G1431" s="27" t="s">
        <v>17912</v>
      </c>
      <c r="H1431" s="27" t="s">
        <v>17939</v>
      </c>
      <c r="I1431" s="27"/>
      <c r="J1431" s="27"/>
      <c r="K1431" s="27"/>
      <c r="L1431" s="27"/>
      <c r="N1431" s="27"/>
      <c r="T1431" s="28" t="str">
        <f>LOOKUP(1,1/(Table1[[#This Row],[Level_0]:[Level 15]]&gt;0),(Table1[[#This Row],[Level_0]:[Level 15]]))</f>
        <v>3959000000 - [Oth Inc - Other Operating Income]</v>
      </c>
      <c r="U1431" s="22">
        <v>1426</v>
      </c>
      <c r="W1431" s="13" t="str">
        <f>LOOKUP(1,1/(Table1[[#This Row],[Level_0]:[Level 15]]&gt;0),(Table1[[#This Row],[Level_0]:[Level 15]]))</f>
        <v>3959000000 - [Oth Inc - Other Operating Income]</v>
      </c>
    </row>
    <row r="1432" spans="1:23" hidden="1" x14ac:dyDescent="0.25">
      <c r="A1432">
        <v>3958800000</v>
      </c>
      <c r="B1432" s="16" t="s">
        <v>19766</v>
      </c>
      <c r="C1432" s="16" t="e">
        <f>VLOOKUP(Table1[[#This Row],[Node]],Parent!A:B,2,0)</f>
        <v>#N/A</v>
      </c>
      <c r="D1432" s="25" t="s">
        <v>19346</v>
      </c>
      <c r="E1432" s="26" t="s">
        <v>16544</v>
      </c>
      <c r="F1432" s="27" t="s">
        <v>17843</v>
      </c>
      <c r="G1432" s="27" t="s">
        <v>17912</v>
      </c>
      <c r="H1432" s="27" t="s">
        <v>17940</v>
      </c>
      <c r="I1432" s="27"/>
      <c r="J1432" s="27"/>
      <c r="K1432" s="27"/>
      <c r="L1432" s="27"/>
      <c r="N1432" s="27"/>
      <c r="T1432" s="28" t="str">
        <f>LOOKUP(1,1/(Table1[[#This Row],[Level_0]:[Level 15]]&gt;0),(Table1[[#This Row],[Level_0]:[Level 15]]))</f>
        <v>3958800000 - [OthInc-Gains CashDisc-Underpay to Suppl]</v>
      </c>
      <c r="U1432" s="22">
        <v>1427</v>
      </c>
      <c r="W1432" s="13" t="str">
        <f>LOOKUP(1,1/(Table1[[#This Row],[Level_0]:[Level 15]]&gt;0),(Table1[[#This Row],[Level_0]:[Level 15]]))</f>
        <v>3958800000 - [OthInc-Gains CashDisc-Underpay to Suppl]</v>
      </c>
    </row>
    <row r="1433" spans="1:23" hidden="1" x14ac:dyDescent="0.25">
      <c r="A1433">
        <v>3957600000</v>
      </c>
      <c r="B1433" s="16" t="s">
        <v>19764</v>
      </c>
      <c r="C1433" s="16" t="e">
        <f>VLOOKUP(Table1[[#This Row],[Node]],Parent!A:B,2,0)</f>
        <v>#N/A</v>
      </c>
      <c r="D1433" s="25" t="s">
        <v>19346</v>
      </c>
      <c r="E1433" s="26" t="s">
        <v>16544</v>
      </c>
      <c r="F1433" s="27" t="s">
        <v>17843</v>
      </c>
      <c r="G1433" s="27" t="s">
        <v>17912</v>
      </c>
      <c r="H1433" s="27" t="s">
        <v>17941</v>
      </c>
      <c r="I1433" s="27"/>
      <c r="J1433" s="27"/>
      <c r="K1433" s="27"/>
      <c r="L1433" s="27"/>
      <c r="N1433" s="27"/>
      <c r="T1433" s="28" t="str">
        <f>LOOKUP(1,1/(Table1[[#This Row],[Level_0]:[Level 15]]&gt;0),(Table1[[#This Row],[Level_0]:[Level 15]]))</f>
        <v>3957600000 - [Oth Inc - Fair Value Changes of Emb Der]</v>
      </c>
      <c r="U1433" s="22">
        <v>1428</v>
      </c>
      <c r="W1433" s="13" t="str">
        <f>LOOKUP(1,1/(Table1[[#This Row],[Level_0]:[Level 15]]&gt;0),(Table1[[#This Row],[Level_0]:[Level 15]]))</f>
        <v>3957600000 - [Oth Inc - Fair Value Changes of Emb Der]</v>
      </c>
    </row>
    <row r="1434" spans="1:23" hidden="1" x14ac:dyDescent="0.25">
      <c r="A1434">
        <v>3957500000</v>
      </c>
      <c r="B1434" s="16" t="s">
        <v>19763</v>
      </c>
      <c r="C1434" s="16" t="e">
        <f>VLOOKUP(Table1[[#This Row],[Node]],Parent!A:B,2,0)</f>
        <v>#N/A</v>
      </c>
      <c r="D1434" s="25" t="s">
        <v>19346</v>
      </c>
      <c r="E1434" s="26" t="s">
        <v>16544</v>
      </c>
      <c r="F1434" s="27" t="s">
        <v>17843</v>
      </c>
      <c r="G1434" s="27" t="s">
        <v>17912</v>
      </c>
      <c r="H1434" s="27" t="s">
        <v>17942</v>
      </c>
      <c r="I1434" s="27"/>
      <c r="J1434" s="27"/>
      <c r="K1434" s="27"/>
      <c r="L1434" s="27"/>
      <c r="N1434" s="27"/>
      <c r="T1434" s="28" t="str">
        <f>LOOKUP(1,1/(Table1[[#This Row],[Level_0]:[Level 15]]&gt;0),(Table1[[#This Row],[Level_0]:[Level 15]]))</f>
        <v>3957500000 - [Oth Inc - Gain from Hyperinflation]</v>
      </c>
      <c r="U1434" s="22">
        <v>1429</v>
      </c>
      <c r="W1434" s="13" t="str">
        <f>LOOKUP(1,1/(Table1[[#This Row],[Level_0]:[Level 15]]&gt;0),(Table1[[#This Row],[Level_0]:[Level 15]]))</f>
        <v>3957500000 - [Oth Inc - Gain from Hyperinflation]</v>
      </c>
    </row>
    <row r="1435" spans="1:23" hidden="1" x14ac:dyDescent="0.25">
      <c r="A1435">
        <v>3957230000</v>
      </c>
      <c r="B1435" s="16" t="s">
        <v>19761</v>
      </c>
      <c r="C1435" s="16" t="e">
        <f>VLOOKUP(Table1[[#This Row],[Node]],Parent!A:B,2,0)</f>
        <v>#N/A</v>
      </c>
      <c r="D1435" s="25" t="s">
        <v>19346</v>
      </c>
      <c r="E1435" s="26" t="s">
        <v>16544</v>
      </c>
      <c r="F1435" s="27" t="s">
        <v>17843</v>
      </c>
      <c r="G1435" s="27" t="s">
        <v>17912</v>
      </c>
      <c r="H1435" s="27" t="s">
        <v>17943</v>
      </c>
      <c r="I1435" s="27"/>
      <c r="J1435" s="27"/>
      <c r="K1435" s="27"/>
      <c r="L1435" s="27"/>
      <c r="N1435" s="27"/>
      <c r="T1435" s="28" t="str">
        <f>LOOKUP(1,1/(Table1[[#This Row],[Level_0]:[Level 15]]&gt;0),(Table1[[#This Row],[Level_0]:[Level 15]]))</f>
        <v>3957230000 - [Oth Inc - Min Diff f. Postings (SD)]</v>
      </c>
      <c r="U1435" s="22">
        <v>1430</v>
      </c>
      <c r="W1435" s="13" t="str">
        <f>LOOKUP(1,1/(Table1[[#This Row],[Level_0]:[Level 15]]&gt;0),(Table1[[#This Row],[Level_0]:[Level 15]]))</f>
        <v>3957230000 - [Oth Inc - Min Diff f. Postings (SD)]</v>
      </c>
    </row>
    <row r="1436" spans="1:23" hidden="1" x14ac:dyDescent="0.25">
      <c r="A1436">
        <v>3957200000</v>
      </c>
      <c r="B1436" s="16" t="s">
        <v>19760</v>
      </c>
      <c r="C1436" s="16" t="e">
        <f>VLOOKUP(Table1[[#This Row],[Node]],Parent!A:B,2,0)</f>
        <v>#N/A</v>
      </c>
      <c r="D1436" s="25" t="s">
        <v>19346</v>
      </c>
      <c r="E1436" s="26" t="s">
        <v>16544</v>
      </c>
      <c r="F1436" s="27" t="s">
        <v>17843</v>
      </c>
      <c r="G1436" s="27" t="s">
        <v>17912</v>
      </c>
      <c r="H1436" s="27" t="s">
        <v>17944</v>
      </c>
      <c r="I1436" s="27"/>
      <c r="J1436" s="27"/>
      <c r="K1436" s="27"/>
      <c r="L1436" s="27"/>
      <c r="N1436" s="27"/>
      <c r="T1436" s="28" t="str">
        <f>LOOKUP(1,1/(Table1[[#This Row],[Level_0]:[Level 15]]&gt;0),(Table1[[#This Row],[Level_0]:[Level 15]]))</f>
        <v>3957200000 - [Oth Inc - Min Diff f. Postings]</v>
      </c>
      <c r="U1436" s="22">
        <v>1431</v>
      </c>
      <c r="W1436" s="13" t="str">
        <f>LOOKUP(1,1/(Table1[[#This Row],[Level_0]:[Level 15]]&gt;0),(Table1[[#This Row],[Level_0]:[Level 15]]))</f>
        <v>3957200000 - [Oth Inc - Min Diff f. Postings]</v>
      </c>
    </row>
    <row r="1437" spans="1:23" hidden="1" x14ac:dyDescent="0.25">
      <c r="A1437">
        <v>3956300001</v>
      </c>
      <c r="B1437" s="16" t="s">
        <v>19757</v>
      </c>
      <c r="C1437" s="16" t="e">
        <f>VLOOKUP(Table1[[#This Row],[Node]],Parent!A:B,2,0)</f>
        <v>#N/A</v>
      </c>
      <c r="D1437" s="25" t="s">
        <v>19346</v>
      </c>
      <c r="E1437" s="26" t="s">
        <v>16544</v>
      </c>
      <c r="F1437" s="27" t="s">
        <v>17843</v>
      </c>
      <c r="G1437" s="27" t="s">
        <v>17912</v>
      </c>
      <c r="H1437" s="27" t="s">
        <v>17945</v>
      </c>
      <c r="I1437" s="27"/>
      <c r="J1437" s="27"/>
      <c r="K1437" s="27"/>
      <c r="L1437" s="27"/>
      <c r="N1437" s="27"/>
      <c r="T1437" s="28" t="str">
        <f>LOOKUP(1,1/(Table1[[#This Row],[Level_0]:[Level 15]]&gt;0),(Table1[[#This Row],[Level_0]:[Level 15]]))</f>
        <v>3956300001 - [Oth Inc-ReverofLitigationProvision-Acc1]</v>
      </c>
      <c r="U1437" s="22">
        <v>1432</v>
      </c>
      <c r="W1437" s="13" t="str">
        <f>LOOKUP(1,1/(Table1[[#This Row],[Level_0]:[Level 15]]&gt;0),(Table1[[#This Row],[Level_0]:[Level 15]]))</f>
        <v>3956300001 - [Oth Inc-ReverofLitigationProvision-Acc1]</v>
      </c>
    </row>
    <row r="1438" spans="1:23" hidden="1" x14ac:dyDescent="0.25">
      <c r="A1438">
        <v>3956300000</v>
      </c>
      <c r="B1438" s="16" t="s">
        <v>19756</v>
      </c>
      <c r="C1438" s="16" t="e">
        <f>VLOOKUP(Table1[[#This Row],[Node]],Parent!A:B,2,0)</f>
        <v>#N/A</v>
      </c>
      <c r="D1438" s="25" t="s">
        <v>19346</v>
      </c>
      <c r="E1438" s="26" t="s">
        <v>16544</v>
      </c>
      <c r="F1438" s="27" t="s">
        <v>17843</v>
      </c>
      <c r="G1438" s="27" t="s">
        <v>17912</v>
      </c>
      <c r="H1438" s="27" t="s">
        <v>17946</v>
      </c>
      <c r="I1438" s="27"/>
      <c r="J1438" s="27"/>
      <c r="K1438" s="27"/>
      <c r="L1438" s="27"/>
      <c r="N1438" s="27"/>
      <c r="T1438" s="28" t="str">
        <f>LOOKUP(1,1/(Table1[[#This Row],[Level_0]:[Level 15]]&gt;0),(Table1[[#This Row],[Level_0]:[Level 15]]))</f>
        <v>3956300000 - [Oth Inc - Rever of Litigation Provision]</v>
      </c>
      <c r="U1438" s="22">
        <v>1433</v>
      </c>
      <c r="W1438" s="13" t="str">
        <f>LOOKUP(1,1/(Table1[[#This Row],[Level_0]:[Level 15]]&gt;0),(Table1[[#This Row],[Level_0]:[Level 15]]))</f>
        <v>3956300000 - [Oth Inc - Rever of Litigation Provision]</v>
      </c>
    </row>
    <row r="1439" spans="1:23" hidden="1" x14ac:dyDescent="0.25">
      <c r="A1439">
        <v>3956200000</v>
      </c>
      <c r="B1439" s="16" t="s">
        <v>19755</v>
      </c>
      <c r="C1439" s="16" t="e">
        <f>VLOOKUP(Table1[[#This Row],[Node]],Parent!A:B,2,0)</f>
        <v>#N/A</v>
      </c>
      <c r="D1439" s="25" t="s">
        <v>19346</v>
      </c>
      <c r="E1439" s="26" t="s">
        <v>16544</v>
      </c>
      <c r="F1439" s="27" t="s">
        <v>17843</v>
      </c>
      <c r="G1439" s="27" t="s">
        <v>17912</v>
      </c>
      <c r="H1439" s="27" t="s">
        <v>17947</v>
      </c>
      <c r="I1439" s="27"/>
      <c r="J1439" s="27"/>
      <c r="K1439" s="27"/>
      <c r="L1439" s="27"/>
      <c r="N1439" s="27"/>
      <c r="T1439" s="28" t="str">
        <f>LOOKUP(1,1/(Table1[[#This Row],[Level_0]:[Level 15]]&gt;0),(Table1[[#This Row],[Level_0]:[Level 15]]))</f>
        <v>3956200000 - [Oth Inc - Rever of Written-off Receiv]</v>
      </c>
      <c r="U1439" s="22">
        <v>1434</v>
      </c>
      <c r="W1439" s="13" t="str">
        <f>LOOKUP(1,1/(Table1[[#This Row],[Level_0]:[Level 15]]&gt;0),(Table1[[#This Row],[Level_0]:[Level 15]]))</f>
        <v>3956200000 - [Oth Inc - Rever of Written-off Receiv]</v>
      </c>
    </row>
    <row r="1440" spans="1:23" hidden="1" x14ac:dyDescent="0.25">
      <c r="A1440">
        <v>3956100000</v>
      </c>
      <c r="B1440" s="16" t="s">
        <v>19754</v>
      </c>
      <c r="C1440" s="16" t="e">
        <f>VLOOKUP(Table1[[#This Row],[Node]],Parent!A:B,2,0)</f>
        <v>#N/A</v>
      </c>
      <c r="D1440" s="25" t="s">
        <v>19346</v>
      </c>
      <c r="E1440" s="26" t="s">
        <v>16544</v>
      </c>
      <c r="F1440" s="27" t="s">
        <v>17843</v>
      </c>
      <c r="G1440" s="27" t="s">
        <v>17912</v>
      </c>
      <c r="H1440" s="27" t="s">
        <v>17948</v>
      </c>
      <c r="I1440" s="27"/>
      <c r="J1440" s="27"/>
      <c r="K1440" s="27"/>
      <c r="L1440" s="27"/>
      <c r="N1440" s="27"/>
      <c r="T1440" s="28" t="str">
        <f>LOOKUP(1,1/(Table1[[#This Row],[Level_0]:[Level 15]]&gt;0),(Table1[[#This Row],[Level_0]:[Level 15]]))</f>
        <v>3956100000 - [Oth Inc - Rever of Prov f. Uncoll Receiv]</v>
      </c>
      <c r="U1440" s="22">
        <v>1435</v>
      </c>
      <c r="W1440" s="13" t="str">
        <f>LOOKUP(1,1/(Table1[[#This Row],[Level_0]:[Level 15]]&gt;0),(Table1[[#This Row],[Level_0]:[Level 15]]))</f>
        <v>3956100000 - [Oth Inc - Rever of Prov f. Uncoll Receiv]</v>
      </c>
    </row>
    <row r="1441" spans="1:23" hidden="1" x14ac:dyDescent="0.25">
      <c r="A1441">
        <v>3956000000</v>
      </c>
      <c r="B1441" s="16" t="s">
        <v>19753</v>
      </c>
      <c r="C1441" s="16" t="e">
        <f>VLOOKUP(Table1[[#This Row],[Node]],Parent!A:B,2,0)</f>
        <v>#N/A</v>
      </c>
      <c r="D1441" s="25" t="s">
        <v>19346</v>
      </c>
      <c r="E1441" s="26" t="s">
        <v>16544</v>
      </c>
      <c r="F1441" s="27" t="s">
        <v>17843</v>
      </c>
      <c r="G1441" s="27" t="s">
        <v>17912</v>
      </c>
      <c r="H1441" s="27" t="s">
        <v>17949</v>
      </c>
      <c r="I1441" s="27"/>
      <c r="J1441" s="27"/>
      <c r="K1441" s="27"/>
      <c r="L1441" s="27"/>
      <c r="N1441" s="27"/>
      <c r="T1441" s="28" t="str">
        <f>LOOKUP(1,1/(Table1[[#This Row],[Level_0]:[Level 15]]&gt;0),(Table1[[#This Row],[Level_0]:[Level 15]]))</f>
        <v>3956000000 - [Oth Inc - Rever Prov &amp; Accr Liabilities]</v>
      </c>
      <c r="U1441" s="22">
        <v>1436</v>
      </c>
      <c r="W1441" s="13" t="str">
        <f>LOOKUP(1,1/(Table1[[#This Row],[Level_0]:[Level 15]]&gt;0),(Table1[[#This Row],[Level_0]:[Level 15]]))</f>
        <v>3956000000 - [Oth Inc - Rever Prov &amp; Accr Liabilities]</v>
      </c>
    </row>
    <row r="1442" spans="1:23" hidden="1" x14ac:dyDescent="0.25">
      <c r="A1442">
        <v>3955600000</v>
      </c>
      <c r="B1442" s="16" t="s">
        <v>19752</v>
      </c>
      <c r="C1442" s="16" t="e">
        <f>VLOOKUP(Table1[[#This Row],[Node]],Parent!A:B,2,0)</f>
        <v>#N/A</v>
      </c>
      <c r="D1442" s="25" t="s">
        <v>19346</v>
      </c>
      <c r="E1442" s="26" t="s">
        <v>16544</v>
      </c>
      <c r="F1442" s="27" t="s">
        <v>17843</v>
      </c>
      <c r="G1442" s="27" t="s">
        <v>17912</v>
      </c>
      <c r="H1442" s="27" t="s">
        <v>17950</v>
      </c>
      <c r="I1442" s="27"/>
      <c r="J1442" s="27"/>
      <c r="K1442" s="27"/>
      <c r="L1442" s="27"/>
      <c r="N1442" s="27"/>
      <c r="T1442" s="28" t="str">
        <f>LOOKUP(1,1/(Table1[[#This Row],[Level_0]:[Level 15]]&gt;0),(Table1[[#This Row],[Level_0]:[Level 15]]))</f>
        <v>3955600000 - [Oth Inc - ReFund of Emp Priv Use - TAcc]</v>
      </c>
      <c r="U1442" s="22">
        <v>1437</v>
      </c>
      <c r="W1442" s="13" t="str">
        <f>LOOKUP(1,1/(Table1[[#This Row],[Level_0]:[Level 15]]&gt;0),(Table1[[#This Row],[Level_0]:[Level 15]]))</f>
        <v>3955600000 - [Oth Inc - ReFund of Emp Priv Use - TAcc]</v>
      </c>
    </row>
    <row r="1443" spans="1:23" hidden="1" x14ac:dyDescent="0.25">
      <c r="A1443">
        <v>3955500003</v>
      </c>
      <c r="B1443" s="16" t="s">
        <v>19751</v>
      </c>
      <c r="C1443" s="16" t="e">
        <f>VLOOKUP(Table1[[#This Row],[Node]],Parent!A:B,2,0)</f>
        <v>#N/A</v>
      </c>
      <c r="D1443" s="25" t="s">
        <v>19346</v>
      </c>
      <c r="E1443" s="26" t="s">
        <v>16544</v>
      </c>
      <c r="F1443" s="27" t="s">
        <v>17843</v>
      </c>
      <c r="G1443" s="27" t="s">
        <v>17912</v>
      </c>
      <c r="H1443" s="27" t="s">
        <v>17951</v>
      </c>
      <c r="I1443" s="27"/>
      <c r="J1443" s="27"/>
      <c r="K1443" s="27"/>
      <c r="L1443" s="27"/>
      <c r="N1443" s="27"/>
      <c r="T1443" s="28" t="str">
        <f>LOOKUP(1,1/(Table1[[#This Row],[Level_0]:[Level 15]]&gt;0),(Table1[[#This Row],[Level_0]:[Level 15]]))</f>
        <v>3955500003 - [Oth Inc - Rent paid by the employee]</v>
      </c>
      <c r="U1443" s="22">
        <v>1438</v>
      </c>
      <c r="W1443" s="13" t="str">
        <f>LOOKUP(1,1/(Table1[[#This Row],[Level_0]:[Level 15]]&gt;0),(Table1[[#This Row],[Level_0]:[Level 15]]))</f>
        <v>3955500003 - [Oth Inc - Rent paid by the employee]</v>
      </c>
    </row>
    <row r="1444" spans="1:23" hidden="1" x14ac:dyDescent="0.25">
      <c r="A1444">
        <v>3955500002</v>
      </c>
      <c r="B1444" s="16" t="s">
        <v>19750</v>
      </c>
      <c r="C1444" s="16" t="e">
        <f>VLOOKUP(Table1[[#This Row],[Node]],Parent!A:B,2,0)</f>
        <v>#N/A</v>
      </c>
      <c r="D1444" s="25" t="s">
        <v>19346</v>
      </c>
      <c r="E1444" s="26" t="s">
        <v>16544</v>
      </c>
      <c r="F1444" s="27" t="s">
        <v>17843</v>
      </c>
      <c r="G1444" s="27" t="s">
        <v>17912</v>
      </c>
      <c r="H1444" s="27" t="s">
        <v>17952</v>
      </c>
      <c r="I1444" s="27"/>
      <c r="J1444" s="27"/>
      <c r="K1444" s="27"/>
      <c r="L1444" s="27"/>
      <c r="N1444" s="27"/>
      <c r="T1444" s="28" t="str">
        <f>LOOKUP(1,1/(Table1[[#This Row],[Level_0]:[Level 15]]&gt;0),(Table1[[#This Row],[Level_0]:[Level 15]]))</f>
        <v>3955500002 - [Oth Inc - ReFund of EmployeePrivUse-Ac2]</v>
      </c>
      <c r="U1444" s="22">
        <v>1439</v>
      </c>
      <c r="W1444" s="13" t="str">
        <f>LOOKUP(1,1/(Table1[[#This Row],[Level_0]:[Level 15]]&gt;0),(Table1[[#This Row],[Level_0]:[Level 15]]))</f>
        <v>3955500002 - [Oth Inc - ReFund of EmployeePrivUse-Ac2]</v>
      </c>
    </row>
    <row r="1445" spans="1:23" hidden="1" x14ac:dyDescent="0.25">
      <c r="A1445">
        <v>3955500001</v>
      </c>
      <c r="B1445" s="16" t="s">
        <v>19749</v>
      </c>
      <c r="C1445" s="16" t="e">
        <f>VLOOKUP(Table1[[#This Row],[Node]],Parent!A:B,2,0)</f>
        <v>#N/A</v>
      </c>
      <c r="D1445" s="25" t="s">
        <v>19346</v>
      </c>
      <c r="E1445" s="26" t="s">
        <v>16544</v>
      </c>
      <c r="F1445" s="27" t="s">
        <v>17843</v>
      </c>
      <c r="G1445" s="27" t="s">
        <v>17912</v>
      </c>
      <c r="H1445" s="27" t="s">
        <v>17953</v>
      </c>
      <c r="I1445" s="27"/>
      <c r="J1445" s="27"/>
      <c r="K1445" s="27"/>
      <c r="L1445" s="27"/>
      <c r="N1445" s="27"/>
      <c r="T1445" s="28" t="str">
        <f>LOOKUP(1,1/(Table1[[#This Row],[Level_0]:[Level 15]]&gt;0),(Table1[[#This Row],[Level_0]:[Level 15]]))</f>
        <v>3955500001 - [Oth Inc - ReFund of EmployeePrivUse-Ac1]</v>
      </c>
      <c r="U1445" s="22">
        <v>1440</v>
      </c>
      <c r="W1445" s="13" t="str">
        <f>LOOKUP(1,1/(Table1[[#This Row],[Level_0]:[Level 15]]&gt;0),(Table1[[#This Row],[Level_0]:[Level 15]]))</f>
        <v>3955500001 - [Oth Inc - ReFund of EmployeePrivUse-Ac1]</v>
      </c>
    </row>
    <row r="1446" spans="1:23" hidden="1" x14ac:dyDescent="0.25">
      <c r="A1446">
        <v>3955000001</v>
      </c>
      <c r="B1446" s="16" t="s">
        <v>19746</v>
      </c>
      <c r="C1446" s="16" t="e">
        <f>VLOOKUP(Table1[[#This Row],[Node]],Parent!A:B,2,0)</f>
        <v>#N/A</v>
      </c>
      <c r="D1446" s="25" t="s">
        <v>19346</v>
      </c>
      <c r="E1446" s="26" t="s">
        <v>16544</v>
      </c>
      <c r="F1446" s="27" t="s">
        <v>17843</v>
      </c>
      <c r="G1446" s="27" t="s">
        <v>17912</v>
      </c>
      <c r="H1446" s="27" t="s">
        <v>17954</v>
      </c>
      <c r="I1446" s="27"/>
      <c r="J1446" s="27"/>
      <c r="K1446" s="27"/>
      <c r="L1446" s="27"/>
      <c r="N1446" s="27"/>
      <c r="T1446" s="28" t="str">
        <f>LOOKUP(1,1/(Table1[[#This Row],[Level_0]:[Level 15]]&gt;0),(Table1[[#This Row],[Level_0]:[Level 15]]))</f>
        <v>3955000001 - [Oth Inc - Canteen and Employee Sales-Ac1]</v>
      </c>
      <c r="U1446" s="22">
        <v>1441</v>
      </c>
      <c r="W1446" s="13" t="str">
        <f>LOOKUP(1,1/(Table1[[#This Row],[Level_0]:[Level 15]]&gt;0),(Table1[[#This Row],[Level_0]:[Level 15]]))</f>
        <v>3955000001 - [Oth Inc - Canteen and Employee Sales-Ac1]</v>
      </c>
    </row>
    <row r="1447" spans="1:23" hidden="1" x14ac:dyDescent="0.25">
      <c r="A1447">
        <v>3955000000</v>
      </c>
      <c r="B1447" s="16" t="s">
        <v>19745</v>
      </c>
      <c r="C1447" s="16" t="e">
        <f>VLOOKUP(Table1[[#This Row],[Node]],Parent!A:B,2,0)</f>
        <v>#N/A</v>
      </c>
      <c r="D1447" s="25" t="s">
        <v>19346</v>
      </c>
      <c r="E1447" s="26" t="s">
        <v>16544</v>
      </c>
      <c r="F1447" s="27" t="s">
        <v>17843</v>
      </c>
      <c r="G1447" s="27" t="s">
        <v>17912</v>
      </c>
      <c r="H1447" s="27" t="s">
        <v>17955</v>
      </c>
      <c r="I1447" s="27"/>
      <c r="J1447" s="27"/>
      <c r="K1447" s="27"/>
      <c r="L1447" s="27"/>
      <c r="N1447" s="27"/>
      <c r="T1447" s="28" t="str">
        <f>LOOKUP(1,1/(Table1[[#This Row],[Level_0]:[Level 15]]&gt;0),(Table1[[#This Row],[Level_0]:[Level 15]]))</f>
        <v>3955000000 - [Oth Inc - Canteen and Employee Sales]</v>
      </c>
      <c r="U1447" s="22">
        <v>1442</v>
      </c>
      <c r="W1447" s="13" t="str">
        <f>LOOKUP(1,1/(Table1[[#This Row],[Level_0]:[Level 15]]&gt;0),(Table1[[#This Row],[Level_0]:[Level 15]]))</f>
        <v>3955000000 - [Oth Inc - Canteen and Employee Sales]</v>
      </c>
    </row>
    <row r="1448" spans="1:23" hidden="1" x14ac:dyDescent="0.25">
      <c r="A1448">
        <v>3954502000</v>
      </c>
      <c r="B1448" s="16" t="s">
        <v>19738</v>
      </c>
      <c r="C1448" s="16" t="e">
        <f>VLOOKUP(Table1[[#This Row],[Node]],Parent!A:B,2,0)</f>
        <v>#N/A</v>
      </c>
      <c r="D1448" s="25" t="s">
        <v>19346</v>
      </c>
      <c r="E1448" s="26" t="s">
        <v>16544</v>
      </c>
      <c r="F1448" s="27" t="s">
        <v>17843</v>
      </c>
      <c r="G1448" s="27" t="s">
        <v>17912</v>
      </c>
      <c r="H1448" s="27" t="s">
        <v>17956</v>
      </c>
      <c r="I1448" s="27"/>
      <c r="J1448" s="27"/>
      <c r="K1448" s="27"/>
      <c r="L1448" s="27"/>
      <c r="N1448" s="27"/>
      <c r="T1448" s="28" t="str">
        <f>LOOKUP(1,1/(Table1[[#This Row],[Level_0]:[Level 15]]&gt;0),(Table1[[#This Row],[Level_0]:[Level 15]]))</f>
        <v>3954502000 - [Rem Oth Inc 3P - Sundry]</v>
      </c>
      <c r="U1448" s="22">
        <v>1443</v>
      </c>
      <c r="W1448" s="13" t="str">
        <f>LOOKUP(1,1/(Table1[[#This Row],[Level_0]:[Level 15]]&gt;0),(Table1[[#This Row],[Level_0]:[Level 15]]))</f>
        <v>3954502000 - [Rem Oth Inc 3P - Sundry]</v>
      </c>
    </row>
    <row r="1449" spans="1:23" hidden="1" x14ac:dyDescent="0.25">
      <c r="A1449">
        <v>3954500010</v>
      </c>
      <c r="B1449" s="16" t="s">
        <v>19738</v>
      </c>
      <c r="C1449" s="16" t="e">
        <f>VLOOKUP(Table1[[#This Row],[Node]],Parent!A:B,2,0)</f>
        <v>#N/A</v>
      </c>
      <c r="D1449" s="25" t="s">
        <v>19346</v>
      </c>
      <c r="E1449" s="26" t="s">
        <v>16544</v>
      </c>
      <c r="F1449" s="27" t="s">
        <v>17843</v>
      </c>
      <c r="G1449" s="27" t="s">
        <v>17912</v>
      </c>
      <c r="H1449" s="27" t="s">
        <v>17957</v>
      </c>
      <c r="I1449" s="27"/>
      <c r="J1449" s="27"/>
      <c r="K1449" s="27"/>
      <c r="L1449" s="27"/>
      <c r="N1449" s="27"/>
      <c r="T1449" s="28" t="str">
        <f>LOOKUP(1,1/(Table1[[#This Row],[Level_0]:[Level 15]]&gt;0),(Table1[[#This Row],[Level_0]:[Level 15]]))</f>
        <v>3954500010 - [Rem Oth Inc 3P - Sundry]</v>
      </c>
      <c r="U1449" s="22">
        <v>1444</v>
      </c>
      <c r="W1449" s="13" t="str">
        <f>LOOKUP(1,1/(Table1[[#This Row],[Level_0]:[Level 15]]&gt;0),(Table1[[#This Row],[Level_0]:[Level 15]]))</f>
        <v>3954500010 - [Rem Oth Inc 3P - Sundry]</v>
      </c>
    </row>
    <row r="1450" spans="1:23" hidden="1" x14ac:dyDescent="0.25">
      <c r="A1450">
        <v>3954500000</v>
      </c>
      <c r="B1450" s="16" t="s">
        <v>19738</v>
      </c>
      <c r="C1450" s="16" t="e">
        <f>VLOOKUP(Table1[[#This Row],[Node]],Parent!A:B,2,0)</f>
        <v>#N/A</v>
      </c>
      <c r="D1450" s="25" t="s">
        <v>19346</v>
      </c>
      <c r="E1450" s="26" t="s">
        <v>16544</v>
      </c>
      <c r="F1450" s="27" t="s">
        <v>17843</v>
      </c>
      <c r="G1450" s="27" t="s">
        <v>17912</v>
      </c>
      <c r="H1450" s="27" t="s">
        <v>17958</v>
      </c>
      <c r="I1450" s="27"/>
      <c r="J1450" s="27"/>
      <c r="K1450" s="27"/>
      <c r="L1450" s="27"/>
      <c r="N1450" s="27"/>
      <c r="T1450" s="28" t="str">
        <f>LOOKUP(1,1/(Table1[[#This Row],[Level_0]:[Level 15]]&gt;0),(Table1[[#This Row],[Level_0]:[Level 15]]))</f>
        <v>3954500000 - [Rem Oth Inc 3P - Sundry]</v>
      </c>
      <c r="U1450" s="22">
        <v>1445</v>
      </c>
      <c r="W1450" s="13" t="str">
        <f>LOOKUP(1,1/(Table1[[#This Row],[Level_0]:[Level 15]]&gt;0),(Table1[[#This Row],[Level_0]:[Level 15]]))</f>
        <v>3954500000 - [Rem Oth Inc 3P - Sundry]</v>
      </c>
    </row>
    <row r="1451" spans="1:23" hidden="1" x14ac:dyDescent="0.25">
      <c r="A1451">
        <v>3953710001</v>
      </c>
      <c r="B1451" s="16" t="s">
        <v>19734</v>
      </c>
      <c r="C1451" s="16" t="e">
        <f>VLOOKUP(Table1[[#This Row],[Node]],Parent!A:B,2,0)</f>
        <v>#N/A</v>
      </c>
      <c r="D1451" s="25" t="s">
        <v>19346</v>
      </c>
      <c r="E1451" s="26" t="s">
        <v>16544</v>
      </c>
      <c r="F1451" s="27" t="s">
        <v>17843</v>
      </c>
      <c r="G1451" s="27" t="s">
        <v>17912</v>
      </c>
      <c r="H1451" s="27" t="s">
        <v>17959</v>
      </c>
      <c r="I1451" s="27"/>
      <c r="J1451" s="27"/>
      <c r="K1451" s="27"/>
      <c r="L1451" s="27"/>
      <c r="N1451" s="27"/>
      <c r="T1451" s="28" t="str">
        <f>LOOKUP(1,1/(Table1[[#This Row],[Level_0]:[Level 15]]&gt;0),(Table1[[#This Row],[Level_0]:[Level 15]]))</f>
        <v>3953710001 - [Income from Non-Core Activities-IC-Acc1]</v>
      </c>
      <c r="U1451" s="22">
        <v>1446</v>
      </c>
      <c r="W1451" s="13" t="str">
        <f>LOOKUP(1,1/(Table1[[#This Row],[Level_0]:[Level 15]]&gt;0),(Table1[[#This Row],[Level_0]:[Level 15]]))</f>
        <v>3953710001 - [Income from Non-Core Activities-IC-Acc1]</v>
      </c>
    </row>
    <row r="1452" spans="1:23" hidden="1" x14ac:dyDescent="0.25">
      <c r="A1452">
        <v>3953700001</v>
      </c>
      <c r="B1452" s="16" t="s">
        <v>19731</v>
      </c>
      <c r="C1452" s="16" t="e">
        <f>VLOOKUP(Table1[[#This Row],[Node]],Parent!A:B,2,0)</f>
        <v>#N/A</v>
      </c>
      <c r="D1452" s="25" t="s">
        <v>19346</v>
      </c>
      <c r="E1452" s="26" t="s">
        <v>16544</v>
      </c>
      <c r="F1452" s="27" t="s">
        <v>17843</v>
      </c>
      <c r="G1452" s="27" t="s">
        <v>17912</v>
      </c>
      <c r="H1452" s="27" t="s">
        <v>17960</v>
      </c>
      <c r="I1452" s="27"/>
      <c r="J1452" s="27"/>
      <c r="K1452" s="27"/>
      <c r="L1452" s="27"/>
      <c r="N1452" s="27"/>
      <c r="T1452" s="28" t="str">
        <f>LOOKUP(1,1/(Table1[[#This Row],[Level_0]:[Level 15]]&gt;0),(Table1[[#This Row],[Level_0]:[Level 15]]))</f>
        <v>3953700001 - [Income from Non-Core Activities-3P- Acc1]</v>
      </c>
      <c r="U1452" s="22">
        <v>1447</v>
      </c>
      <c r="W1452" s="13" t="str">
        <f>LOOKUP(1,1/(Table1[[#This Row],[Level_0]:[Level 15]]&gt;0),(Table1[[#This Row],[Level_0]:[Level 15]]))</f>
        <v>3953700001 - [Income from Non-Core Activities-3P- Acc1]</v>
      </c>
    </row>
    <row r="1453" spans="1:23" hidden="1" x14ac:dyDescent="0.25">
      <c r="A1453">
        <v>3953700000</v>
      </c>
      <c r="B1453" s="16" t="s">
        <v>19730</v>
      </c>
      <c r="C1453" s="16" t="e">
        <f>VLOOKUP(Table1[[#This Row],[Node]],Parent!A:B,2,0)</f>
        <v>#N/A</v>
      </c>
      <c r="D1453" s="25" t="s">
        <v>19346</v>
      </c>
      <c r="E1453" s="26" t="s">
        <v>16544</v>
      </c>
      <c r="F1453" s="27" t="s">
        <v>17843</v>
      </c>
      <c r="G1453" s="27" t="s">
        <v>17912</v>
      </c>
      <c r="H1453" s="27" t="s">
        <v>17961</v>
      </c>
      <c r="I1453" s="27"/>
      <c r="J1453" s="27"/>
      <c r="K1453" s="27"/>
      <c r="L1453" s="27"/>
      <c r="N1453" s="27"/>
      <c r="T1453" s="28" t="str">
        <f>LOOKUP(1,1/(Table1[[#This Row],[Level_0]:[Level 15]]&gt;0),(Table1[[#This Row],[Level_0]:[Level 15]]))</f>
        <v>3953700000 - [Income from Non-Core Activities - 3P]</v>
      </c>
      <c r="U1453" s="22">
        <v>1448</v>
      </c>
      <c r="W1453" s="13" t="str">
        <f>LOOKUP(1,1/(Table1[[#This Row],[Level_0]:[Level 15]]&gt;0),(Table1[[#This Row],[Level_0]:[Level 15]]))</f>
        <v>3953700000 - [Income from Non-Core Activities - 3P]</v>
      </c>
    </row>
    <row r="1454" spans="1:23" hidden="1" x14ac:dyDescent="0.25">
      <c r="A1454">
        <v>3930006000</v>
      </c>
      <c r="B1454" s="16" t="s">
        <v>19696</v>
      </c>
      <c r="C1454" s="16" t="e">
        <f>VLOOKUP(Table1[[#This Row],[Node]],Parent!A:B,2,0)</f>
        <v>#N/A</v>
      </c>
      <c r="D1454" s="25" t="s">
        <v>19346</v>
      </c>
      <c r="E1454" s="26" t="s">
        <v>16544</v>
      </c>
      <c r="F1454" s="27" t="s">
        <v>17843</v>
      </c>
      <c r="G1454" s="27" t="s">
        <v>17912</v>
      </c>
      <c r="H1454" s="27" t="s">
        <v>17962</v>
      </c>
      <c r="I1454" s="27"/>
      <c r="J1454" s="27"/>
      <c r="K1454" s="27"/>
      <c r="L1454" s="27"/>
      <c r="N1454" s="27"/>
      <c r="T1454" s="28" t="str">
        <f>LOOKUP(1,1/(Table1[[#This Row],[Level_0]:[Level 15]]&gt;0),(Table1[[#This Row],[Level_0]:[Level 15]]))</f>
        <v>3930006000 - [Non-Core Serv Others - Rebates - CorrAcc]</v>
      </c>
      <c r="U1454" s="22">
        <v>1449</v>
      </c>
      <c r="W1454" s="13" t="str">
        <f>LOOKUP(1,1/(Table1[[#This Row],[Level_0]:[Level 15]]&gt;0),(Table1[[#This Row],[Level_0]:[Level 15]]))</f>
        <v>3930006000 - [Non-Core Serv Others - Rebates - CorrAcc]</v>
      </c>
    </row>
    <row r="1455" spans="1:23" hidden="1" x14ac:dyDescent="0.25">
      <c r="A1455">
        <v>3910000000</v>
      </c>
      <c r="B1455" s="16" t="s">
        <v>19666</v>
      </c>
      <c r="C1455" s="16" t="e">
        <f>VLOOKUP(Table1[[#This Row],[Node]],Parent!A:B,2,0)</f>
        <v>#N/A</v>
      </c>
      <c r="D1455" s="25" t="s">
        <v>19346</v>
      </c>
      <c r="E1455" s="26" t="s">
        <v>16544</v>
      </c>
      <c r="F1455" s="27" t="s">
        <v>17843</v>
      </c>
      <c r="G1455" s="27" t="s">
        <v>17912</v>
      </c>
      <c r="H1455" s="27" t="s">
        <v>17963</v>
      </c>
      <c r="I1455" s="27"/>
      <c r="J1455" s="27"/>
      <c r="K1455" s="27"/>
      <c r="L1455" s="27"/>
      <c r="N1455" s="27"/>
      <c r="T1455" s="28" t="str">
        <f>LOOKUP(1,1/(Table1[[#This Row],[Level_0]:[Level 15]]&gt;0),(Table1[[#This Row],[Level_0]:[Level 15]]))</f>
        <v>3910000000 - [Rental Income from Investment Property]</v>
      </c>
      <c r="U1455" s="22">
        <v>1450</v>
      </c>
      <c r="W1455" s="13" t="str">
        <f>LOOKUP(1,1/(Table1[[#This Row],[Level_0]:[Level 15]]&gt;0),(Table1[[#This Row],[Level_0]:[Level 15]]))</f>
        <v>3910000000 - [Rental Income from Investment Property]</v>
      </c>
    </row>
    <row r="1456" spans="1:23" hidden="1" x14ac:dyDescent="0.25">
      <c r="A1456">
        <v>3953700002</v>
      </c>
      <c r="B1456" s="16" t="s">
        <v>19732</v>
      </c>
      <c r="C1456" s="16" t="e">
        <f>VLOOKUP(Table1[[#This Row],[Node]],Parent!A:B,2,0)</f>
        <v>#N/A</v>
      </c>
      <c r="D1456" s="25" t="s">
        <v>19346</v>
      </c>
      <c r="E1456" s="26" t="s">
        <v>16544</v>
      </c>
      <c r="F1456" s="27" t="s">
        <v>17843</v>
      </c>
      <c r="G1456" s="27" t="s">
        <v>17912</v>
      </c>
      <c r="H1456" s="27" t="s">
        <v>17964</v>
      </c>
      <c r="I1456" s="27"/>
      <c r="J1456" s="27"/>
      <c r="K1456" s="27"/>
      <c r="L1456" s="27"/>
      <c r="N1456" s="27"/>
      <c r="T1456" s="28" t="str">
        <f>LOOKUP(1,1/(Table1[[#This Row],[Level_0]:[Level 15]]&gt;0),(Table1[[#This Row],[Level_0]:[Level 15]]))</f>
        <v>3953700002 - [Income Non-Core Act-3P-Electricity Sales]</v>
      </c>
      <c r="U1456" s="22">
        <v>1451</v>
      </c>
      <c r="W1456" s="13" t="str">
        <f>LOOKUP(1,1/(Table1[[#This Row],[Level_0]:[Level 15]]&gt;0),(Table1[[#This Row],[Level_0]:[Level 15]]))</f>
        <v>3953700002 - [Income Non-Core Act-3P-Electricity Sales]</v>
      </c>
    </row>
    <row r="1457" spans="1:23" hidden="1" x14ac:dyDescent="0.25">
      <c r="A1457">
        <v>5961500000</v>
      </c>
      <c r="B1457" s="16" t="s">
        <v>20593</v>
      </c>
      <c r="C1457" s="16" t="e">
        <f>VLOOKUP(Table1[[#This Row],[Node]],Parent!A:B,2,0)</f>
        <v>#N/A</v>
      </c>
      <c r="D1457" s="25" t="s">
        <v>19346</v>
      </c>
      <c r="E1457" s="26" t="s">
        <v>16544</v>
      </c>
      <c r="F1457" s="27" t="s">
        <v>17843</v>
      </c>
      <c r="G1457" s="27" t="s">
        <v>17912</v>
      </c>
      <c r="H1457" s="27" t="s">
        <v>17965</v>
      </c>
      <c r="I1457" s="27"/>
      <c r="J1457" s="27"/>
      <c r="K1457" s="27"/>
      <c r="L1457" s="27"/>
      <c r="N1457" s="27"/>
      <c r="T1457" s="28" t="str">
        <f>LOOKUP(1,1/(Table1[[#This Row],[Level_0]:[Level 15]]&gt;0),(Table1[[#This Row],[Level_0]:[Level 15]]))</f>
        <v>5961500000 - [Oth Miscell Exp - Min Diff f. Postings]</v>
      </c>
      <c r="U1457" s="22">
        <v>1452</v>
      </c>
      <c r="W1457" s="13" t="str">
        <f>LOOKUP(1,1/(Table1[[#This Row],[Level_0]:[Level 15]]&gt;0),(Table1[[#This Row],[Level_0]:[Level 15]]))</f>
        <v>5961500000 - [Oth Miscell Exp - Min Diff f. Postings]</v>
      </c>
    </row>
    <row r="1458" spans="1:23" hidden="1" x14ac:dyDescent="0.25">
      <c r="A1458">
        <v>3954500001</v>
      </c>
      <c r="B1458" s="16" t="s">
        <v>19739</v>
      </c>
      <c r="C1458" s="16" t="e">
        <f>VLOOKUP(Table1[[#This Row],[Node]],Parent!A:B,2,0)</f>
        <v>#N/A</v>
      </c>
      <c r="D1458" s="25" t="s">
        <v>19346</v>
      </c>
      <c r="E1458" s="26" t="s">
        <v>16544</v>
      </c>
      <c r="F1458" s="27" t="s">
        <v>17843</v>
      </c>
      <c r="G1458" s="27" t="s">
        <v>17912</v>
      </c>
      <c r="H1458" s="27" t="s">
        <v>17966</v>
      </c>
      <c r="I1458" s="27"/>
      <c r="J1458" s="27"/>
      <c r="K1458" s="27"/>
      <c r="L1458" s="27"/>
      <c r="N1458" s="27"/>
      <c r="T1458" s="28" t="str">
        <f>LOOKUP(1,1/(Table1[[#This Row],[Level_0]:[Level 15]]&gt;0),(Table1[[#This Row],[Level_0]:[Level 15]]))</f>
        <v>3954500001 - [Tax Discount Income]</v>
      </c>
      <c r="U1458" s="22">
        <v>1453</v>
      </c>
      <c r="W1458" s="13" t="str">
        <f>LOOKUP(1,1/(Table1[[#This Row],[Level_0]:[Level 15]]&gt;0),(Table1[[#This Row],[Level_0]:[Level 15]]))</f>
        <v>3954500001 - [Tax Discount Income]</v>
      </c>
    </row>
    <row r="1459" spans="1:23" hidden="1" x14ac:dyDescent="0.25">
      <c r="A1459">
        <v>210200</v>
      </c>
      <c r="B1459" s="16" t="s">
        <v>19496</v>
      </c>
      <c r="C1459" s="16" t="e">
        <f>VLOOKUP(Table1[[#This Row],[Node]],Parent!A:B,2,0)</f>
        <v>#N/A</v>
      </c>
      <c r="D1459" s="25" t="s">
        <v>19346</v>
      </c>
      <c r="E1459" s="26" t="s">
        <v>16544</v>
      </c>
      <c r="F1459" s="27" t="s">
        <v>17843</v>
      </c>
      <c r="G1459" s="27" t="s">
        <v>17967</v>
      </c>
      <c r="H1459" s="27"/>
      <c r="I1459" s="27"/>
      <c r="J1459" s="27"/>
      <c r="K1459" s="27"/>
      <c r="L1459" s="27"/>
      <c r="N1459" s="27"/>
      <c r="T1459" s="28" t="str">
        <f>LOOKUP(1,1/(Table1[[#This Row],[Level_0]:[Level 15]]&gt;0),(Table1[[#This Row],[Level_0]:[Level 15]]))</f>
        <v>210200 - [Operative FX, Tax, Interest inc/exp]</v>
      </c>
      <c r="U1459" s="22">
        <v>1454</v>
      </c>
      <c r="W1459" s="13" t="str">
        <f>LOOKUP(1,1/(Table1[[#This Row],[Level_0]:[Level 15]]&gt;0),(Table1[[#This Row],[Level_0]:[Level 15]]))</f>
        <v>210200 - [Operative FX, Tax, Interest inc/exp]</v>
      </c>
    </row>
    <row r="1460" spans="1:23" hidden="1" x14ac:dyDescent="0.25">
      <c r="A1460">
        <v>210202</v>
      </c>
      <c r="B1460" s="16" t="s">
        <v>19498</v>
      </c>
      <c r="C1460" s="16" t="e">
        <f>VLOOKUP(Table1[[#This Row],[Node]],Parent!A:B,2,0)</f>
        <v>#N/A</v>
      </c>
      <c r="D1460" s="25" t="s">
        <v>19346</v>
      </c>
      <c r="E1460" s="26" t="s">
        <v>16544</v>
      </c>
      <c r="F1460" s="27" t="s">
        <v>17843</v>
      </c>
      <c r="G1460" s="27" t="s">
        <v>17967</v>
      </c>
      <c r="H1460" s="27" t="s">
        <v>17968</v>
      </c>
      <c r="I1460" s="27"/>
      <c r="J1460" s="27"/>
      <c r="K1460" s="27"/>
      <c r="L1460" s="27"/>
      <c r="N1460" s="27"/>
      <c r="T1460" s="28" t="str">
        <f>LOOKUP(1,1/(Table1[[#This Row],[Level_0]:[Level 15]]&gt;0),(Table1[[#This Row],[Level_0]:[Level 15]]))</f>
        <v>210202 - [Operating taxes]</v>
      </c>
      <c r="U1460" s="22">
        <v>1455</v>
      </c>
      <c r="W1460" s="13" t="str">
        <f>LOOKUP(1,1/(Table1[[#This Row],[Level_0]:[Level 15]]&gt;0),(Table1[[#This Row],[Level_0]:[Level 15]]))</f>
        <v>210202 - [Operating taxes]</v>
      </c>
    </row>
    <row r="1461" spans="1:23" hidden="1" x14ac:dyDescent="0.25">
      <c r="A1461">
        <v>5950000001</v>
      </c>
      <c r="B1461" s="16" t="s">
        <v>20565</v>
      </c>
      <c r="C1461" s="16" t="e">
        <f>VLOOKUP(Table1[[#This Row],[Node]],Parent!A:B,2,0)</f>
        <v>#N/A</v>
      </c>
      <c r="D1461" s="25" t="s">
        <v>19346</v>
      </c>
      <c r="E1461" s="26" t="s">
        <v>16544</v>
      </c>
      <c r="F1461" s="27" t="s">
        <v>17843</v>
      </c>
      <c r="G1461" s="27" t="s">
        <v>17967</v>
      </c>
      <c r="H1461" s="27" t="s">
        <v>17968</v>
      </c>
      <c r="I1461" s="27" t="s">
        <v>17969</v>
      </c>
      <c r="J1461" s="27"/>
      <c r="K1461" s="27"/>
      <c r="L1461" s="27"/>
      <c r="N1461" s="27"/>
      <c r="T1461" s="28" t="str">
        <f>LOOKUP(1,1/(Table1[[#This Row],[Level_0]:[Level 15]]&gt;0),(Table1[[#This Row],[Level_0]:[Level 15]]))</f>
        <v>5950000001 - [Operating Taxes - Account 1]</v>
      </c>
      <c r="U1461" s="22">
        <v>1456</v>
      </c>
      <c r="W1461" s="13" t="str">
        <f>LOOKUP(1,1/(Table1[[#This Row],[Level_0]:[Level 15]]&gt;0),(Table1[[#This Row],[Level_0]:[Level 15]]))</f>
        <v>5950000001 - [Operating Taxes - Account 1]</v>
      </c>
    </row>
    <row r="1462" spans="1:23" hidden="1" x14ac:dyDescent="0.25">
      <c r="A1462">
        <v>5950000003</v>
      </c>
      <c r="B1462" s="16" t="s">
        <v>20567</v>
      </c>
      <c r="C1462" s="16" t="e">
        <f>VLOOKUP(Table1[[#This Row],[Node]],Parent!A:B,2,0)</f>
        <v>#N/A</v>
      </c>
      <c r="D1462" s="25" t="s">
        <v>19346</v>
      </c>
      <c r="E1462" s="26" t="s">
        <v>16544</v>
      </c>
      <c r="F1462" s="27" t="s">
        <v>17843</v>
      </c>
      <c r="G1462" s="27" t="s">
        <v>17967</v>
      </c>
      <c r="H1462" s="27" t="s">
        <v>17968</v>
      </c>
      <c r="I1462" s="27" t="s">
        <v>17970</v>
      </c>
      <c r="J1462" s="27"/>
      <c r="K1462" s="27"/>
      <c r="L1462" s="27"/>
      <c r="N1462" s="27"/>
      <c r="T1462" s="28" t="str">
        <f>LOOKUP(1,1/(Table1[[#This Row],[Level_0]:[Level 15]]&gt;0),(Table1[[#This Row],[Level_0]:[Level 15]]))</f>
        <v>5950000003 - [Operating taxes - Account 3]</v>
      </c>
      <c r="U1462" s="22">
        <v>1457</v>
      </c>
      <c r="W1462" s="13" t="str">
        <f>LOOKUP(1,1/(Table1[[#This Row],[Level_0]:[Level 15]]&gt;0),(Table1[[#This Row],[Level_0]:[Level 15]]))</f>
        <v>5950000003 - [Operating taxes - Account 3]</v>
      </c>
    </row>
    <row r="1463" spans="1:23" hidden="1" x14ac:dyDescent="0.25">
      <c r="A1463">
        <v>8600000001</v>
      </c>
      <c r="B1463" s="16" t="s">
        <v>22068</v>
      </c>
      <c r="C1463" s="16" t="e">
        <f>VLOOKUP(Table1[[#This Row],[Node]],Parent!A:B,2,0)</f>
        <v>#N/A</v>
      </c>
      <c r="D1463" s="25" t="s">
        <v>19346</v>
      </c>
      <c r="E1463" s="26" t="s">
        <v>16544</v>
      </c>
      <c r="F1463" s="27" t="s">
        <v>17843</v>
      </c>
      <c r="G1463" s="27" t="s">
        <v>17967</v>
      </c>
      <c r="H1463" s="27" t="s">
        <v>17968</v>
      </c>
      <c r="I1463" s="27" t="s">
        <v>17971</v>
      </c>
      <c r="J1463" s="27"/>
      <c r="K1463" s="27"/>
      <c r="L1463" s="27"/>
      <c r="N1463" s="27"/>
      <c r="T1463" s="28" t="str">
        <f>LOOKUP(1,1/(Table1[[#This Row],[Level_0]:[Level 15]]&gt;0),(Table1[[#This Row],[Level_0]:[Level 15]]))</f>
        <v>8600000001 - [Current Tax - Local Bus Tax]</v>
      </c>
      <c r="U1463" s="22">
        <v>1458</v>
      </c>
      <c r="W1463" s="13" t="str">
        <f>LOOKUP(1,1/(Table1[[#This Row],[Level_0]:[Level 15]]&gt;0),(Table1[[#This Row],[Level_0]:[Level 15]]))</f>
        <v>8600000001 - [Current Tax - Local Bus Tax]</v>
      </c>
    </row>
    <row r="1464" spans="1:23" hidden="1" x14ac:dyDescent="0.25">
      <c r="A1464">
        <v>5953000000</v>
      </c>
      <c r="B1464" s="16" t="s">
        <v>20583</v>
      </c>
      <c r="C1464" s="16" t="e">
        <f>VLOOKUP(Table1[[#This Row],[Node]],Parent!A:B,2,0)</f>
        <v>#N/A</v>
      </c>
      <c r="D1464" s="25" t="s">
        <v>19346</v>
      </c>
      <c r="E1464" s="26" t="s">
        <v>16544</v>
      </c>
      <c r="F1464" s="27" t="s">
        <v>17843</v>
      </c>
      <c r="G1464" s="27" t="s">
        <v>17967</v>
      </c>
      <c r="H1464" s="27" t="s">
        <v>17968</v>
      </c>
      <c r="I1464" s="27" t="s">
        <v>17972</v>
      </c>
      <c r="J1464" s="27"/>
      <c r="K1464" s="27"/>
      <c r="L1464" s="27"/>
      <c r="N1464" s="27"/>
      <c r="T1464" s="28" t="str">
        <f>LOOKUP(1,1/(Table1[[#This Row],[Level_0]:[Level 15]]&gt;0),(Table1[[#This Row],[Level_0]:[Level 15]]))</f>
        <v>5953000000 - [Operating Taxes - Trade Capital Tax]</v>
      </c>
      <c r="U1464" s="22">
        <v>1459</v>
      </c>
      <c r="W1464" s="13" t="str">
        <f>LOOKUP(1,1/(Table1[[#This Row],[Level_0]:[Level 15]]&gt;0),(Table1[[#This Row],[Level_0]:[Level 15]]))</f>
        <v>5953000000 - [Operating Taxes - Trade Capital Tax]</v>
      </c>
    </row>
    <row r="1465" spans="1:23" hidden="1" x14ac:dyDescent="0.25">
      <c r="A1465">
        <v>5952000000</v>
      </c>
      <c r="B1465" s="16" t="s">
        <v>20582</v>
      </c>
      <c r="C1465" s="16" t="e">
        <f>VLOOKUP(Table1[[#This Row],[Node]],Parent!A:B,2,0)</f>
        <v>#N/A</v>
      </c>
      <c r="D1465" s="25" t="s">
        <v>19346</v>
      </c>
      <c r="E1465" s="26" t="s">
        <v>16544</v>
      </c>
      <c r="F1465" s="27" t="s">
        <v>17843</v>
      </c>
      <c r="G1465" s="27" t="s">
        <v>17967</v>
      </c>
      <c r="H1465" s="27" t="s">
        <v>17968</v>
      </c>
      <c r="I1465" s="27" t="s">
        <v>17973</v>
      </c>
      <c r="J1465" s="27"/>
      <c r="K1465" s="27"/>
      <c r="L1465" s="27"/>
      <c r="N1465" s="27"/>
      <c r="T1465" s="28" t="str">
        <f>LOOKUP(1,1/(Table1[[#This Row],[Level_0]:[Level 15]]&gt;0),(Table1[[#This Row],[Level_0]:[Level 15]]))</f>
        <v>5952000000 - [Operating Taxes - Real Estate Tax]</v>
      </c>
      <c r="U1465" s="22">
        <v>1460</v>
      </c>
      <c r="W1465" s="13" t="str">
        <f>LOOKUP(1,1/(Table1[[#This Row],[Level_0]:[Level 15]]&gt;0),(Table1[[#This Row],[Level_0]:[Level 15]]))</f>
        <v>5952000000 - [Operating Taxes - Real Estate Tax]</v>
      </c>
    </row>
    <row r="1466" spans="1:23" hidden="1" x14ac:dyDescent="0.25">
      <c r="A1466">
        <v>5950200000</v>
      </c>
      <c r="B1466" s="16" t="s">
        <v>20581</v>
      </c>
      <c r="C1466" s="16" t="e">
        <f>VLOOKUP(Table1[[#This Row],[Node]],Parent!A:B,2,0)</f>
        <v>#N/A</v>
      </c>
      <c r="D1466" s="25" t="s">
        <v>19346</v>
      </c>
      <c r="E1466" s="26" t="s">
        <v>16544</v>
      </c>
      <c r="F1466" s="27" t="s">
        <v>17843</v>
      </c>
      <c r="G1466" s="27" t="s">
        <v>17967</v>
      </c>
      <c r="H1466" s="27" t="s">
        <v>17968</v>
      </c>
      <c r="I1466" s="27" t="s">
        <v>17974</v>
      </c>
      <c r="J1466" s="27"/>
      <c r="K1466" s="27"/>
      <c r="L1466" s="27"/>
      <c r="N1466" s="27"/>
      <c r="T1466" s="28" t="str">
        <f>LOOKUP(1,1/(Table1[[#This Row],[Level_0]:[Level 15]]&gt;0),(Table1[[#This Row],[Level_0]:[Level 15]]))</f>
        <v>5950200000 - [Operating Taxes - Non-Deductible]</v>
      </c>
      <c r="U1466" s="22">
        <v>1461</v>
      </c>
      <c r="W1466" s="13" t="str">
        <f>LOOKUP(1,1/(Table1[[#This Row],[Level_0]:[Level 15]]&gt;0),(Table1[[#This Row],[Level_0]:[Level 15]]))</f>
        <v>5950200000 - [Operating Taxes - Non-Deductible]</v>
      </c>
    </row>
    <row r="1467" spans="1:23" hidden="1" x14ac:dyDescent="0.25">
      <c r="A1467">
        <v>5950000300</v>
      </c>
      <c r="B1467" s="16" t="s">
        <v>20580</v>
      </c>
      <c r="C1467" s="16" t="e">
        <f>VLOOKUP(Table1[[#This Row],[Node]],Parent!A:B,2,0)</f>
        <v>#N/A</v>
      </c>
      <c r="D1467" s="25" t="s">
        <v>19346</v>
      </c>
      <c r="E1467" s="26" t="s">
        <v>16544</v>
      </c>
      <c r="F1467" s="27" t="s">
        <v>17843</v>
      </c>
      <c r="G1467" s="27" t="s">
        <v>17967</v>
      </c>
      <c r="H1467" s="27" t="s">
        <v>17968</v>
      </c>
      <c r="I1467" s="27" t="s">
        <v>17975</v>
      </c>
      <c r="J1467" s="27"/>
      <c r="K1467" s="27"/>
      <c r="L1467" s="27"/>
      <c r="N1467" s="27"/>
      <c r="T1467" s="28" t="str">
        <f>LOOKUP(1,1/(Table1[[#This Row],[Level_0]:[Level 15]]&gt;0),(Table1[[#This Row],[Level_0]:[Level 15]]))</f>
        <v>5950000300 - [Operating Taxes - Account 300]</v>
      </c>
      <c r="U1467" s="22">
        <v>1462</v>
      </c>
      <c r="W1467" s="13" t="str">
        <f>LOOKUP(1,1/(Table1[[#This Row],[Level_0]:[Level 15]]&gt;0),(Table1[[#This Row],[Level_0]:[Level 15]]))</f>
        <v>5950000300 - [Operating Taxes - Account 300]</v>
      </c>
    </row>
    <row r="1468" spans="1:23" hidden="1" x14ac:dyDescent="0.25">
      <c r="A1468">
        <v>5950000200</v>
      </c>
      <c r="B1468" s="16" t="s">
        <v>20579</v>
      </c>
      <c r="C1468" s="16" t="e">
        <f>VLOOKUP(Table1[[#This Row],[Node]],Parent!A:B,2,0)</f>
        <v>#N/A</v>
      </c>
      <c r="D1468" s="25" t="s">
        <v>19346</v>
      </c>
      <c r="E1468" s="26" t="s">
        <v>16544</v>
      </c>
      <c r="F1468" s="27" t="s">
        <v>17843</v>
      </c>
      <c r="G1468" s="27" t="s">
        <v>17967</v>
      </c>
      <c r="H1468" s="27" t="s">
        <v>17968</v>
      </c>
      <c r="I1468" s="27" t="s">
        <v>17976</v>
      </c>
      <c r="J1468" s="27"/>
      <c r="K1468" s="27"/>
      <c r="L1468" s="27"/>
      <c r="N1468" s="27"/>
      <c r="T1468" s="28" t="str">
        <f>LOOKUP(1,1/(Table1[[#This Row],[Level_0]:[Level 15]]&gt;0),(Table1[[#This Row],[Level_0]:[Level 15]]))</f>
        <v>5950000200 - [Operating Taxes - Account 200]</v>
      </c>
      <c r="U1468" s="22">
        <v>1463</v>
      </c>
      <c r="W1468" s="13" t="str">
        <f>LOOKUP(1,1/(Table1[[#This Row],[Level_0]:[Level 15]]&gt;0),(Table1[[#This Row],[Level_0]:[Level 15]]))</f>
        <v>5950000200 - [Operating Taxes - Account 200]</v>
      </c>
    </row>
    <row r="1469" spans="1:23" hidden="1" x14ac:dyDescent="0.25">
      <c r="A1469">
        <v>5950000100</v>
      </c>
      <c r="B1469" s="16" t="s">
        <v>20578</v>
      </c>
      <c r="C1469" s="16" t="e">
        <f>VLOOKUP(Table1[[#This Row],[Node]],Parent!A:B,2,0)</f>
        <v>#N/A</v>
      </c>
      <c r="D1469" s="25" t="s">
        <v>19346</v>
      </c>
      <c r="E1469" s="26" t="s">
        <v>16544</v>
      </c>
      <c r="F1469" s="27" t="s">
        <v>17843</v>
      </c>
      <c r="G1469" s="27" t="s">
        <v>17967</v>
      </c>
      <c r="H1469" s="27" t="s">
        <v>17968</v>
      </c>
      <c r="I1469" s="27" t="s">
        <v>17977</v>
      </c>
      <c r="J1469" s="27"/>
      <c r="K1469" s="27"/>
      <c r="L1469" s="27"/>
      <c r="N1469" s="27"/>
      <c r="T1469" s="28" t="str">
        <f>LOOKUP(1,1/(Table1[[#This Row],[Level_0]:[Level 15]]&gt;0),(Table1[[#This Row],[Level_0]:[Level 15]]))</f>
        <v>5950000100 - [Operating Taxes - Account 100]</v>
      </c>
      <c r="U1469" s="22">
        <v>1464</v>
      </c>
      <c r="W1469" s="13" t="str">
        <f>LOOKUP(1,1/(Table1[[#This Row],[Level_0]:[Level 15]]&gt;0),(Table1[[#This Row],[Level_0]:[Level 15]]))</f>
        <v>5950000100 - [Operating Taxes - Account 100]</v>
      </c>
    </row>
    <row r="1470" spans="1:23" hidden="1" x14ac:dyDescent="0.25">
      <c r="A1470">
        <v>5950000008</v>
      </c>
      <c r="B1470" s="16" t="s">
        <v>20572</v>
      </c>
      <c r="C1470" s="16" t="e">
        <f>VLOOKUP(Table1[[#This Row],[Node]],Parent!A:B,2,0)</f>
        <v>#N/A</v>
      </c>
      <c r="D1470" s="25" t="s">
        <v>19346</v>
      </c>
      <c r="E1470" s="26" t="s">
        <v>16544</v>
      </c>
      <c r="F1470" s="27" t="s">
        <v>17843</v>
      </c>
      <c r="G1470" s="27" t="s">
        <v>17967</v>
      </c>
      <c r="H1470" s="27" t="s">
        <v>17968</v>
      </c>
      <c r="I1470" s="27" t="s">
        <v>17978</v>
      </c>
      <c r="J1470" s="27"/>
      <c r="K1470" s="27"/>
      <c r="L1470" s="27"/>
      <c r="N1470" s="27"/>
      <c r="T1470" s="28" t="str">
        <f>LOOKUP(1,1/(Table1[[#This Row],[Level_0]:[Level 15]]&gt;0),(Table1[[#This Row],[Level_0]:[Level 15]]))</f>
        <v>5950000008 - [Operating Taxes - Business tax OIE]</v>
      </c>
      <c r="U1470" s="22">
        <v>1465</v>
      </c>
      <c r="W1470" s="13" t="str">
        <f>LOOKUP(1,1/(Table1[[#This Row],[Level_0]:[Level 15]]&gt;0),(Table1[[#This Row],[Level_0]:[Level 15]]))</f>
        <v>5950000008 - [Operating Taxes - Business tax OIE]</v>
      </c>
    </row>
    <row r="1471" spans="1:23" hidden="1" x14ac:dyDescent="0.25">
      <c r="A1471">
        <v>5950000006</v>
      </c>
      <c r="B1471" s="16" t="s">
        <v>20570</v>
      </c>
      <c r="C1471" s="16" t="e">
        <f>VLOOKUP(Table1[[#This Row],[Node]],Parent!A:B,2,0)</f>
        <v>#N/A</v>
      </c>
      <c r="D1471" s="25" t="s">
        <v>19346</v>
      </c>
      <c r="E1471" s="26" t="s">
        <v>16544</v>
      </c>
      <c r="F1471" s="27" t="s">
        <v>17843</v>
      </c>
      <c r="G1471" s="27" t="s">
        <v>17967</v>
      </c>
      <c r="H1471" s="27" t="s">
        <v>17968</v>
      </c>
      <c r="I1471" s="27" t="s">
        <v>17979</v>
      </c>
      <c r="J1471" s="27"/>
      <c r="K1471" s="27"/>
      <c r="L1471" s="27"/>
      <c r="N1471" s="27"/>
      <c r="T1471" s="28" t="str">
        <f>LOOKUP(1,1/(Table1[[#This Row],[Level_0]:[Level 15]]&gt;0),(Table1[[#This Row],[Level_0]:[Level 15]]))</f>
        <v>5950000006 - [OperateTax - Rehabilitation Contribution]</v>
      </c>
      <c r="U1471" s="22">
        <v>1466</v>
      </c>
      <c r="W1471" s="13" t="str">
        <f>LOOKUP(1,1/(Table1[[#This Row],[Level_0]:[Level 15]]&gt;0),(Table1[[#This Row],[Level_0]:[Level 15]]))</f>
        <v>5950000006 - [OperateTax - Rehabilitation Contribution]</v>
      </c>
    </row>
    <row r="1472" spans="1:23" hidden="1" x14ac:dyDescent="0.25">
      <c r="A1472">
        <v>5950000007</v>
      </c>
      <c r="B1472" s="16" t="s">
        <v>20571</v>
      </c>
      <c r="C1472" s="16" t="e">
        <f>VLOOKUP(Table1[[#This Row],[Node]],Parent!A:B,2,0)</f>
        <v>#N/A</v>
      </c>
      <c r="D1472" s="25" t="s">
        <v>19346</v>
      </c>
      <c r="E1472" s="26" t="s">
        <v>16544</v>
      </c>
      <c r="F1472" s="27" t="s">
        <v>17843</v>
      </c>
      <c r="G1472" s="27" t="s">
        <v>17967</v>
      </c>
      <c r="H1472" s="27" t="s">
        <v>17968</v>
      </c>
      <c r="I1472" s="27" t="s">
        <v>17980</v>
      </c>
      <c r="J1472" s="27"/>
      <c r="K1472" s="27"/>
      <c r="L1472" s="27"/>
      <c r="N1472" s="27"/>
      <c r="T1472" s="28" t="str">
        <f>LOOKUP(1,1/(Table1[[#This Row],[Level_0]:[Level 15]]&gt;0),(Table1[[#This Row],[Level_0]:[Level 15]]))</f>
        <v>5950000007 - [OpTax - Urban Construction Tax - China]</v>
      </c>
      <c r="U1472" s="22">
        <v>1467</v>
      </c>
      <c r="W1472" s="13" t="str">
        <f>LOOKUP(1,1/(Table1[[#This Row],[Level_0]:[Level 15]]&gt;0),(Table1[[#This Row],[Level_0]:[Level 15]]))</f>
        <v>5950000007 - [OpTax - Urban Construction Tax - China]</v>
      </c>
    </row>
    <row r="1473" spans="1:23" hidden="1" x14ac:dyDescent="0.25">
      <c r="A1473">
        <v>5950000014</v>
      </c>
      <c r="B1473" s="16" t="s">
        <v>20576</v>
      </c>
      <c r="C1473" s="16" t="e">
        <f>VLOOKUP(Table1[[#This Row],[Node]],Parent!A:B,2,0)</f>
        <v>#N/A</v>
      </c>
      <c r="D1473" s="25" t="s">
        <v>19346</v>
      </c>
      <c r="E1473" s="26" t="s">
        <v>16544</v>
      </c>
      <c r="F1473" s="27" t="s">
        <v>17843</v>
      </c>
      <c r="G1473" s="27" t="s">
        <v>17967</v>
      </c>
      <c r="H1473" s="27" t="s">
        <v>17968</v>
      </c>
      <c r="I1473" s="27" t="s">
        <v>17981</v>
      </c>
      <c r="J1473" s="27"/>
      <c r="K1473" s="27"/>
      <c r="L1473" s="27"/>
      <c r="N1473" s="27"/>
      <c r="T1473" s="28" t="str">
        <f>LOOKUP(1,1/(Table1[[#This Row],[Level_0]:[Level 15]]&gt;0),(Table1[[#This Row],[Level_0]:[Level 15]]))</f>
        <v>5950000014 - [Operating Tax - Local Tax for Tenders]</v>
      </c>
      <c r="U1473" s="22">
        <v>1468</v>
      </c>
      <c r="W1473" s="13" t="str">
        <f>LOOKUP(1,1/(Table1[[#This Row],[Level_0]:[Level 15]]&gt;0),(Table1[[#This Row],[Level_0]:[Level 15]]))</f>
        <v>5950000014 - [Operating Tax - Local Tax for Tenders]</v>
      </c>
    </row>
    <row r="1474" spans="1:23" hidden="1" x14ac:dyDescent="0.25">
      <c r="A1474">
        <v>5950000013</v>
      </c>
      <c r="B1474" s="16" t="s">
        <v>20575</v>
      </c>
      <c r="C1474" s="16" t="e">
        <f>VLOOKUP(Table1[[#This Row],[Node]],Parent!A:B,2,0)</f>
        <v>#N/A</v>
      </c>
      <c r="D1474" s="25" t="s">
        <v>19346</v>
      </c>
      <c r="E1474" s="26" t="s">
        <v>16544</v>
      </c>
      <c r="F1474" s="27" t="s">
        <v>17843</v>
      </c>
      <c r="G1474" s="27" t="s">
        <v>17967</v>
      </c>
      <c r="H1474" s="27" t="s">
        <v>17968</v>
      </c>
      <c r="I1474" s="27" t="s">
        <v>17982</v>
      </c>
      <c r="J1474" s="27"/>
      <c r="K1474" s="27"/>
      <c r="L1474" s="27"/>
      <c r="N1474" s="27"/>
      <c r="T1474" s="28" t="str">
        <f>LOOKUP(1,1/(Table1[[#This Row],[Level_0]:[Level 15]]&gt;0),(Table1[[#This Row],[Level_0]:[Level 15]]))</f>
        <v>5950000013 - [Operating Tax - Local Energy Prod Tax]</v>
      </c>
      <c r="U1474" s="22">
        <v>1469</v>
      </c>
      <c r="W1474" s="13" t="str">
        <f>LOOKUP(1,1/(Table1[[#This Row],[Level_0]:[Level 15]]&gt;0),(Table1[[#This Row],[Level_0]:[Level 15]]))</f>
        <v>5950000013 - [Operating Tax - Local Energy Prod Tax]</v>
      </c>
    </row>
    <row r="1475" spans="1:23" hidden="1" x14ac:dyDescent="0.25">
      <c r="A1475">
        <v>5950000012</v>
      </c>
      <c r="B1475" s="16" t="s">
        <v>20574</v>
      </c>
      <c r="C1475" s="16" t="e">
        <f>VLOOKUP(Table1[[#This Row],[Node]],Parent!A:B,2,0)</f>
        <v>#N/A</v>
      </c>
      <c r="D1475" s="25" t="s">
        <v>19346</v>
      </c>
      <c r="E1475" s="26" t="s">
        <v>16544</v>
      </c>
      <c r="F1475" s="27" t="s">
        <v>17843</v>
      </c>
      <c r="G1475" s="27" t="s">
        <v>17967</v>
      </c>
      <c r="H1475" s="27" t="s">
        <v>17968</v>
      </c>
      <c r="I1475" s="27" t="s">
        <v>17983</v>
      </c>
      <c r="J1475" s="27"/>
      <c r="K1475" s="27"/>
      <c r="L1475" s="27"/>
      <c r="N1475" s="27"/>
      <c r="T1475" s="28" t="str">
        <f>LOOKUP(1,1/(Table1[[#This Row],[Level_0]:[Level 15]]&gt;0),(Table1[[#This Row],[Level_0]:[Level 15]]))</f>
        <v>5950000012 - [Operating Tax - Local Document Stamp Tax]</v>
      </c>
      <c r="U1475" s="22">
        <v>1470</v>
      </c>
      <c r="W1475" s="13" t="str">
        <f>LOOKUP(1,1/(Table1[[#This Row],[Level_0]:[Level 15]]&gt;0),(Table1[[#This Row],[Level_0]:[Level 15]]))</f>
        <v>5950000012 - [Operating Tax - Local Document Stamp Tax]</v>
      </c>
    </row>
    <row r="1476" spans="1:23" hidden="1" x14ac:dyDescent="0.25">
      <c r="A1476">
        <v>5950000011</v>
      </c>
      <c r="B1476" s="16" t="s">
        <v>20573</v>
      </c>
      <c r="C1476" s="16" t="e">
        <f>VLOOKUP(Table1[[#This Row],[Node]],Parent!A:B,2,0)</f>
        <v>#N/A</v>
      </c>
      <c r="D1476" s="25" t="s">
        <v>19346</v>
      </c>
      <c r="E1476" s="26" t="s">
        <v>16544</v>
      </c>
      <c r="F1476" s="27" t="s">
        <v>17843</v>
      </c>
      <c r="G1476" s="27" t="s">
        <v>17967</v>
      </c>
      <c r="H1476" s="27" t="s">
        <v>17968</v>
      </c>
      <c r="I1476" s="27" t="s">
        <v>17984</v>
      </c>
      <c r="J1476" s="27"/>
      <c r="K1476" s="27"/>
      <c r="L1476" s="27"/>
      <c r="N1476" s="27"/>
      <c r="T1476" s="28" t="str">
        <f>LOOKUP(1,1/(Table1[[#This Row],[Level_0]:[Level 15]]&gt;0),(Table1[[#This Row],[Level_0]:[Level 15]]))</f>
        <v>5950000011 - [Operating Tax - Local Waste Tax]</v>
      </c>
      <c r="U1476" s="22">
        <v>1471</v>
      </c>
      <c r="W1476" s="13" t="str">
        <f>LOOKUP(1,1/(Table1[[#This Row],[Level_0]:[Level 15]]&gt;0),(Table1[[#This Row],[Level_0]:[Level 15]]))</f>
        <v>5950000011 - [Operating Tax - Local Waste Tax]</v>
      </c>
    </row>
    <row r="1477" spans="1:23" hidden="1" x14ac:dyDescent="0.25">
      <c r="A1477">
        <v>5950000015</v>
      </c>
      <c r="B1477" s="16" t="s">
        <v>20577</v>
      </c>
      <c r="C1477" s="16" t="e">
        <f>VLOOKUP(Table1[[#This Row],[Node]],Parent!A:B,2,0)</f>
        <v>#N/A</v>
      </c>
      <c r="D1477" s="25" t="s">
        <v>19346</v>
      </c>
      <c r="E1477" s="26" t="s">
        <v>16544</v>
      </c>
      <c r="F1477" s="27" t="s">
        <v>17843</v>
      </c>
      <c r="G1477" s="27" t="s">
        <v>17967</v>
      </c>
      <c r="H1477" s="27" t="s">
        <v>17968</v>
      </c>
      <c r="I1477" s="27" t="s">
        <v>17985</v>
      </c>
      <c r="J1477" s="27"/>
      <c r="K1477" s="27"/>
      <c r="L1477" s="27"/>
      <c r="N1477" s="27"/>
      <c r="T1477" s="28" t="str">
        <f>LOOKUP(1,1/(Table1[[#This Row],[Level_0]:[Level 15]]&gt;0),(Table1[[#This Row],[Level_0]:[Level 15]]))</f>
        <v>5950000015 - [Operating Tax - Local Book Stamp Tax]</v>
      </c>
      <c r="U1477" s="22">
        <v>1472</v>
      </c>
      <c r="W1477" s="13" t="str">
        <f>LOOKUP(1,1/(Table1[[#This Row],[Level_0]:[Level 15]]&gt;0),(Table1[[#This Row],[Level_0]:[Level 15]]))</f>
        <v>5950000015 - [Operating Tax - Local Book Stamp Tax]</v>
      </c>
    </row>
    <row r="1478" spans="1:23" hidden="1" x14ac:dyDescent="0.25">
      <c r="A1478">
        <v>5950000005</v>
      </c>
      <c r="B1478" s="16" t="s">
        <v>20569</v>
      </c>
      <c r="C1478" s="16" t="e">
        <f>VLOOKUP(Table1[[#This Row],[Node]],Parent!A:B,2,0)</f>
        <v>#N/A</v>
      </c>
      <c r="D1478" s="25" t="s">
        <v>19346</v>
      </c>
      <c r="E1478" s="26" t="s">
        <v>16544</v>
      </c>
      <c r="F1478" s="27" t="s">
        <v>17843</v>
      </c>
      <c r="G1478" s="27" t="s">
        <v>17967</v>
      </c>
      <c r="H1478" s="27" t="s">
        <v>17968</v>
      </c>
      <c r="I1478" s="27" t="s">
        <v>17986</v>
      </c>
      <c r="J1478" s="27"/>
      <c r="K1478" s="27"/>
      <c r="L1478" s="27"/>
      <c r="N1478" s="27"/>
      <c r="T1478" s="28" t="str">
        <f>LOOKUP(1,1/(Table1[[#This Row],[Level_0]:[Level 15]]&gt;0),(Table1[[#This Row],[Level_0]:[Level 15]]))</f>
        <v>5950000005 - [Operating Taxes - Innovation Tax]</v>
      </c>
      <c r="U1478" s="22">
        <v>1473</v>
      </c>
      <c r="W1478" s="13" t="str">
        <f>LOOKUP(1,1/(Table1[[#This Row],[Level_0]:[Level 15]]&gt;0),(Table1[[#This Row],[Level_0]:[Level 15]]))</f>
        <v>5950000005 - [Operating Taxes - Innovation Tax]</v>
      </c>
    </row>
    <row r="1479" spans="1:23" hidden="1" x14ac:dyDescent="0.25">
      <c r="A1479">
        <v>5950000002</v>
      </c>
      <c r="B1479" s="16" t="s">
        <v>20566</v>
      </c>
      <c r="C1479" s="16" t="e">
        <f>VLOOKUP(Table1[[#This Row],[Node]],Parent!A:B,2,0)</f>
        <v>#N/A</v>
      </c>
      <c r="D1479" s="25" t="s">
        <v>19346</v>
      </c>
      <c r="E1479" s="26" t="s">
        <v>16544</v>
      </c>
      <c r="F1479" s="27" t="s">
        <v>17843</v>
      </c>
      <c r="G1479" s="27" t="s">
        <v>17967</v>
      </c>
      <c r="H1479" s="27" t="s">
        <v>17968</v>
      </c>
      <c r="I1479" s="27" t="s">
        <v>17987</v>
      </c>
      <c r="J1479" s="27"/>
      <c r="K1479" s="27"/>
      <c r="L1479" s="27"/>
      <c r="N1479" s="27"/>
      <c r="T1479" s="28" t="str">
        <f>LOOKUP(1,1/(Table1[[#This Row],[Level_0]:[Level 15]]&gt;0),(Table1[[#This Row],[Level_0]:[Level 15]]))</f>
        <v>5950000002 - [Operating taxes - Account 2]</v>
      </c>
      <c r="U1479" s="22">
        <v>1474</v>
      </c>
      <c r="W1479" s="13" t="str">
        <f>LOOKUP(1,1/(Table1[[#This Row],[Level_0]:[Level 15]]&gt;0),(Table1[[#This Row],[Level_0]:[Level 15]]))</f>
        <v>5950000002 - [Operating taxes - Account 2]</v>
      </c>
    </row>
    <row r="1480" spans="1:23" hidden="1" x14ac:dyDescent="0.25">
      <c r="A1480">
        <v>5950000000</v>
      </c>
      <c r="B1480" s="16" t="s">
        <v>20564</v>
      </c>
      <c r="C1480" s="16" t="e">
        <f>VLOOKUP(Table1[[#This Row],[Node]],Parent!A:B,2,0)</f>
        <v>#N/A</v>
      </c>
      <c r="D1480" s="25" t="s">
        <v>19346</v>
      </c>
      <c r="E1480" s="26" t="s">
        <v>16544</v>
      </c>
      <c r="F1480" s="27" t="s">
        <v>17843</v>
      </c>
      <c r="G1480" s="27" t="s">
        <v>17967</v>
      </c>
      <c r="H1480" s="27" t="s">
        <v>17968</v>
      </c>
      <c r="I1480" s="27" t="s">
        <v>17988</v>
      </c>
      <c r="J1480" s="27"/>
      <c r="K1480" s="27"/>
      <c r="L1480" s="27"/>
      <c r="N1480" s="27"/>
      <c r="T1480" s="28" t="str">
        <f>LOOKUP(1,1/(Table1[[#This Row],[Level_0]:[Level 15]]&gt;0),(Table1[[#This Row],[Level_0]:[Level 15]]))</f>
        <v>5950000000 - [Operating Taxes - Deductible]</v>
      </c>
      <c r="U1480" s="22">
        <v>1475</v>
      </c>
      <c r="W1480" s="13" t="str">
        <f>LOOKUP(1,1/(Table1[[#This Row],[Level_0]:[Level 15]]&gt;0),(Table1[[#This Row],[Level_0]:[Level 15]]))</f>
        <v>5950000000 - [Operating Taxes - Deductible]</v>
      </c>
    </row>
    <row r="1481" spans="1:23" hidden="1" x14ac:dyDescent="0.25">
      <c r="A1481">
        <v>5701400000</v>
      </c>
      <c r="B1481" s="16" t="s">
        <v>20406</v>
      </c>
      <c r="C1481" s="16" t="e">
        <f>VLOOKUP(Table1[[#This Row],[Node]],Parent!A:B,2,0)</f>
        <v>#N/A</v>
      </c>
      <c r="D1481" s="25" t="s">
        <v>19346</v>
      </c>
      <c r="E1481" s="26" t="s">
        <v>16544</v>
      </c>
      <c r="F1481" s="27" t="s">
        <v>17843</v>
      </c>
      <c r="G1481" s="27" t="s">
        <v>17967</v>
      </c>
      <c r="H1481" s="27" t="s">
        <v>17968</v>
      </c>
      <c r="I1481" s="27" t="s">
        <v>17989</v>
      </c>
      <c r="J1481" s="27"/>
      <c r="K1481" s="27"/>
      <c r="L1481" s="27"/>
      <c r="N1481" s="27"/>
      <c r="T1481" s="28" t="str">
        <f>LOOKUP(1,1/(Table1[[#This Row],[Level_0]:[Level 15]]&gt;0),(Table1[[#This Row],[Level_0]:[Level 15]]))</f>
        <v>5701400000 - [L&amp;P Fees - Monetary Taxes]</v>
      </c>
      <c r="U1481" s="22">
        <v>1476</v>
      </c>
      <c r="W1481" s="13" t="str">
        <f>LOOKUP(1,1/(Table1[[#This Row],[Level_0]:[Level 15]]&gt;0),(Table1[[#This Row],[Level_0]:[Level 15]]))</f>
        <v>5701400000 - [L&amp;P Fees - Monetary Taxes]</v>
      </c>
    </row>
    <row r="1482" spans="1:23" hidden="1" x14ac:dyDescent="0.25">
      <c r="A1482">
        <v>5221000000</v>
      </c>
      <c r="B1482" s="16" t="s">
        <v>20159</v>
      </c>
      <c r="C1482" s="16" t="e">
        <f>VLOOKUP(Table1[[#This Row],[Node]],Parent!A:B,2,0)</f>
        <v>#N/A</v>
      </c>
      <c r="D1482" s="25" t="s">
        <v>19346</v>
      </c>
      <c r="E1482" s="26" t="s">
        <v>16544</v>
      </c>
      <c r="F1482" s="27" t="s">
        <v>17843</v>
      </c>
      <c r="G1482" s="27" t="s">
        <v>17967</v>
      </c>
      <c r="H1482" s="27" t="s">
        <v>17968</v>
      </c>
      <c r="I1482" s="27" t="s">
        <v>17990</v>
      </c>
      <c r="J1482" s="27"/>
      <c r="K1482" s="27"/>
      <c r="L1482" s="27"/>
      <c r="N1482" s="27"/>
      <c r="T1482" s="28" t="str">
        <f>LOOKUP(1,1/(Table1[[#This Row],[Level_0]:[Level 15]]&gt;0),(Table1[[#This Row],[Level_0]:[Level 15]]))</f>
        <v>5221000000 - [Real Estate - Municip Co f. Real Estates]</v>
      </c>
      <c r="U1482" s="22">
        <v>1477</v>
      </c>
      <c r="W1482" s="13" t="str">
        <f>LOOKUP(1,1/(Table1[[#This Row],[Level_0]:[Level 15]]&gt;0),(Table1[[#This Row],[Level_0]:[Level 15]]))</f>
        <v>5221000000 - [Real Estate - Municip Co f. Real Estates]</v>
      </c>
    </row>
    <row r="1483" spans="1:23" hidden="1" x14ac:dyDescent="0.25">
      <c r="A1483">
        <v>3957300000</v>
      </c>
      <c r="B1483" s="16" t="s">
        <v>19762</v>
      </c>
      <c r="C1483" s="16" t="e">
        <f>VLOOKUP(Table1[[#This Row],[Node]],Parent!A:B,2,0)</f>
        <v>#N/A</v>
      </c>
      <c r="D1483" s="25" t="s">
        <v>19346</v>
      </c>
      <c r="E1483" s="26" t="s">
        <v>16544</v>
      </c>
      <c r="F1483" s="27" t="s">
        <v>17843</v>
      </c>
      <c r="G1483" s="27" t="s">
        <v>17967</v>
      </c>
      <c r="H1483" s="27" t="s">
        <v>17968</v>
      </c>
      <c r="I1483" s="27" t="s">
        <v>17991</v>
      </c>
      <c r="J1483" s="27"/>
      <c r="K1483" s="27"/>
      <c r="L1483" s="27"/>
      <c r="N1483" s="27"/>
      <c r="T1483" s="28" t="str">
        <f>LOOKUP(1,1/(Table1[[#This Row],[Level_0]:[Level 15]]&gt;0),(Table1[[#This Row],[Level_0]:[Level 15]]))</f>
        <v>3957300000 - [Oth Inc - Recovery of Taxes/VAT]</v>
      </c>
      <c r="U1483" s="22">
        <v>1478</v>
      </c>
      <c r="W1483" s="13" t="str">
        <f>LOOKUP(1,1/(Table1[[#This Row],[Level_0]:[Level 15]]&gt;0),(Table1[[#This Row],[Level_0]:[Level 15]]))</f>
        <v>3957300000 - [Oth Inc - Recovery of Taxes/VAT]</v>
      </c>
    </row>
    <row r="1484" spans="1:23" hidden="1" x14ac:dyDescent="0.25">
      <c r="A1484">
        <v>210201</v>
      </c>
      <c r="B1484" s="16" t="s">
        <v>19497</v>
      </c>
      <c r="C1484" s="16" t="e">
        <f>VLOOKUP(Table1[[#This Row],[Node]],Parent!A:B,2,0)</f>
        <v>#N/A</v>
      </c>
      <c r="D1484" s="25" t="s">
        <v>19346</v>
      </c>
      <c r="E1484" s="26" t="s">
        <v>16544</v>
      </c>
      <c r="F1484" s="27" t="s">
        <v>17843</v>
      </c>
      <c r="G1484" s="27" t="s">
        <v>17967</v>
      </c>
      <c r="H1484" s="27" t="s">
        <v>17992</v>
      </c>
      <c r="I1484" s="27"/>
      <c r="J1484" s="27"/>
      <c r="K1484" s="27"/>
      <c r="L1484" s="27"/>
      <c r="N1484" s="27"/>
      <c r="T1484" s="28" t="str">
        <f>LOOKUP(1,1/(Table1[[#This Row],[Level_0]:[Level 15]]&gt;0),(Table1[[#This Row],[Level_0]:[Level 15]]))</f>
        <v>210201 - [Operative FX expenses, interest inc/exp]</v>
      </c>
      <c r="U1484" s="22">
        <v>1479</v>
      </c>
      <c r="W1484" s="13" t="str">
        <f>LOOKUP(1,1/(Table1[[#This Row],[Level_0]:[Level 15]]&gt;0),(Table1[[#This Row],[Level_0]:[Level 15]]))</f>
        <v>210201 - [Operative FX expenses, interest inc/exp]</v>
      </c>
    </row>
    <row r="1485" spans="1:23" hidden="1" x14ac:dyDescent="0.25">
      <c r="A1485">
        <v>5925100000</v>
      </c>
      <c r="B1485" s="16" t="s">
        <v>20531</v>
      </c>
      <c r="C1485" s="16" t="e">
        <f>VLOOKUP(Table1[[#This Row],[Node]],Parent!A:B,2,0)</f>
        <v>#N/A</v>
      </c>
      <c r="D1485" s="25" t="s">
        <v>19346</v>
      </c>
      <c r="E1485" s="26" t="s">
        <v>16544</v>
      </c>
      <c r="F1485" s="27" t="s">
        <v>17843</v>
      </c>
      <c r="G1485" s="27" t="s">
        <v>17967</v>
      </c>
      <c r="H1485" s="27" t="s">
        <v>17992</v>
      </c>
      <c r="I1485" s="27" t="s">
        <v>17993</v>
      </c>
      <c r="J1485" s="27"/>
      <c r="K1485" s="27"/>
      <c r="L1485" s="27"/>
      <c r="N1485" s="27"/>
      <c r="T1485" s="28" t="str">
        <f>LOOKUP(1,1/(Table1[[#This Row],[Level_0]:[Level 15]]&gt;0),(Table1[[#This Row],[Level_0]:[Level 15]]))</f>
        <v>5925100000 - [Losses f Sale/Disp of FinInstr-DebInstAC]</v>
      </c>
      <c r="U1485" s="22">
        <v>1480</v>
      </c>
      <c r="W1485" s="13" t="str">
        <f>LOOKUP(1,1/(Table1[[#This Row],[Level_0]:[Level 15]]&gt;0),(Table1[[#This Row],[Level_0]:[Level 15]]))</f>
        <v>5925100000 - [Losses f Sale/Disp of FinInstr-DebInstAC]</v>
      </c>
    </row>
    <row r="1486" spans="1:23" hidden="1" x14ac:dyDescent="0.25">
      <c r="A1486">
        <v>8411000000</v>
      </c>
      <c r="B1486" s="16" t="s">
        <v>22023</v>
      </c>
      <c r="C1486" s="16" t="e">
        <f>VLOOKUP(Table1[[#This Row],[Node]],Parent!A:B,2,0)</f>
        <v>#N/A</v>
      </c>
      <c r="D1486" s="25" t="s">
        <v>19346</v>
      </c>
      <c r="E1486" s="26" t="s">
        <v>16544</v>
      </c>
      <c r="F1486" s="27" t="s">
        <v>17843</v>
      </c>
      <c r="G1486" s="27" t="s">
        <v>17967</v>
      </c>
      <c r="H1486" s="27" t="s">
        <v>17992</v>
      </c>
      <c r="I1486" s="27" t="s">
        <v>17994</v>
      </c>
      <c r="J1486" s="27"/>
      <c r="K1486" s="27"/>
      <c r="L1486" s="27"/>
      <c r="N1486" s="27"/>
      <c r="T1486" s="28" t="str">
        <f>LOOKUP(1,1/(Table1[[#This Row],[Level_0]:[Level 15]]&gt;0),(Table1[[#This Row],[Level_0]:[Level 15]]))</f>
        <v>8411000000 - [Interest ExpensesTax Liabilities Accr]</v>
      </c>
      <c r="U1486" s="22">
        <v>1481</v>
      </c>
      <c r="W1486" s="13" t="str">
        <f>LOOKUP(1,1/(Table1[[#This Row],[Level_0]:[Level 15]]&gt;0),(Table1[[#This Row],[Level_0]:[Level 15]]))</f>
        <v>8411000000 - [Interest ExpensesTax Liabilities Accr]</v>
      </c>
    </row>
    <row r="1487" spans="1:23" hidden="1" x14ac:dyDescent="0.25">
      <c r="A1487">
        <v>8410000000</v>
      </c>
      <c r="B1487" s="16" t="s">
        <v>22022</v>
      </c>
      <c r="C1487" s="16" t="e">
        <f>VLOOKUP(Table1[[#This Row],[Node]],Parent!A:B,2,0)</f>
        <v>#N/A</v>
      </c>
      <c r="D1487" s="25" t="s">
        <v>19346</v>
      </c>
      <c r="E1487" s="26" t="s">
        <v>16544</v>
      </c>
      <c r="F1487" s="27" t="s">
        <v>17843</v>
      </c>
      <c r="G1487" s="27" t="s">
        <v>17967</v>
      </c>
      <c r="H1487" s="27" t="s">
        <v>17992</v>
      </c>
      <c r="I1487" s="27" t="s">
        <v>17995</v>
      </c>
      <c r="J1487" s="27"/>
      <c r="K1487" s="27"/>
      <c r="L1487" s="27"/>
      <c r="N1487" s="27"/>
      <c r="T1487" s="28" t="str">
        <f>LOOKUP(1,1/(Table1[[#This Row],[Level_0]:[Level 15]]&gt;0),(Table1[[#This Row],[Level_0]:[Level 15]]))</f>
        <v>8410000000 - [Interest Expenses Accrued]</v>
      </c>
      <c r="U1487" s="22">
        <v>1482</v>
      </c>
      <c r="W1487" s="13" t="str">
        <f>LOOKUP(1,1/(Table1[[#This Row],[Level_0]:[Level 15]]&gt;0),(Table1[[#This Row],[Level_0]:[Level 15]]))</f>
        <v>8410000000 - [Interest Expenses Accrued]</v>
      </c>
    </row>
    <row r="1488" spans="1:23" hidden="1" x14ac:dyDescent="0.25">
      <c r="A1488">
        <v>8401000000</v>
      </c>
      <c r="B1488" s="16" t="s">
        <v>22020</v>
      </c>
      <c r="C1488" s="16" t="e">
        <f>VLOOKUP(Table1[[#This Row],[Node]],Parent!A:B,2,0)</f>
        <v>#N/A</v>
      </c>
      <c r="D1488" s="25" t="s">
        <v>19346</v>
      </c>
      <c r="E1488" s="26" t="s">
        <v>16544</v>
      </c>
      <c r="F1488" s="27" t="s">
        <v>17843</v>
      </c>
      <c r="G1488" s="27" t="s">
        <v>17967</v>
      </c>
      <c r="H1488" s="27" t="s">
        <v>17992</v>
      </c>
      <c r="I1488" s="27" t="s">
        <v>17996</v>
      </c>
      <c r="J1488" s="27"/>
      <c r="K1488" s="27"/>
      <c r="L1488" s="27"/>
      <c r="N1488" s="27"/>
      <c r="T1488" s="28" t="str">
        <f>LOOKUP(1,1/(Table1[[#This Row],[Level_0]:[Level 15]]&gt;0),(Table1[[#This Row],[Level_0]:[Level 15]]))</f>
        <v>8401000000 - [Interest ExpensesTax Liabilities Paid]</v>
      </c>
      <c r="U1488" s="22">
        <v>1483</v>
      </c>
      <c r="W1488" s="13" t="str">
        <f>LOOKUP(1,1/(Table1[[#This Row],[Level_0]:[Level 15]]&gt;0),(Table1[[#This Row],[Level_0]:[Level 15]]))</f>
        <v>8401000000 - [Interest ExpensesTax Liabilities Paid]</v>
      </c>
    </row>
    <row r="1489" spans="1:23" hidden="1" x14ac:dyDescent="0.25">
      <c r="A1489">
        <v>8400010000</v>
      </c>
      <c r="B1489" s="16" t="s">
        <v>22018</v>
      </c>
      <c r="C1489" s="16" t="e">
        <f>VLOOKUP(Table1[[#This Row],[Node]],Parent!A:B,2,0)</f>
        <v>#N/A</v>
      </c>
      <c r="D1489" s="25" t="s">
        <v>19346</v>
      </c>
      <c r="E1489" s="26" t="s">
        <v>16544</v>
      </c>
      <c r="F1489" s="27" t="s">
        <v>17843</v>
      </c>
      <c r="G1489" s="27" t="s">
        <v>17967</v>
      </c>
      <c r="H1489" s="27" t="s">
        <v>17992</v>
      </c>
      <c r="I1489" s="27" t="s">
        <v>17997</v>
      </c>
      <c r="J1489" s="27"/>
      <c r="K1489" s="27"/>
      <c r="L1489" s="27"/>
      <c r="N1489" s="27"/>
      <c r="T1489" s="28" t="str">
        <f>LOOKUP(1,1/(Table1[[#This Row],[Level_0]:[Level 15]]&gt;0),(Table1[[#This Row],[Level_0]:[Level 15]]))</f>
        <v>8400010000 - [Interest Expenses Paid - IC]</v>
      </c>
      <c r="U1489" s="22">
        <v>1484</v>
      </c>
      <c r="W1489" s="13" t="str">
        <f>LOOKUP(1,1/(Table1[[#This Row],[Level_0]:[Level 15]]&gt;0),(Table1[[#This Row],[Level_0]:[Level 15]]))</f>
        <v>8400010000 - [Interest Expenses Paid - IC]</v>
      </c>
    </row>
    <row r="1490" spans="1:23" hidden="1" x14ac:dyDescent="0.25">
      <c r="A1490">
        <v>8400000000</v>
      </c>
      <c r="B1490" s="16" t="s">
        <v>22016</v>
      </c>
      <c r="C1490" s="16" t="e">
        <f>VLOOKUP(Table1[[#This Row],[Node]],Parent!A:B,2,0)</f>
        <v>#N/A</v>
      </c>
      <c r="D1490" s="25" t="s">
        <v>19346</v>
      </c>
      <c r="E1490" s="26" t="s">
        <v>16544</v>
      </c>
      <c r="F1490" s="27" t="s">
        <v>17843</v>
      </c>
      <c r="G1490" s="27" t="s">
        <v>17967</v>
      </c>
      <c r="H1490" s="27" t="s">
        <v>17992</v>
      </c>
      <c r="I1490" s="27" t="s">
        <v>17998</v>
      </c>
      <c r="J1490" s="27"/>
      <c r="K1490" s="27"/>
      <c r="L1490" s="27"/>
      <c r="N1490" s="27"/>
      <c r="T1490" s="28" t="str">
        <f>LOOKUP(1,1/(Table1[[#This Row],[Level_0]:[Level 15]]&gt;0),(Table1[[#This Row],[Level_0]:[Level 15]]))</f>
        <v>8400000000 - [Interest Expenses Paid]</v>
      </c>
      <c r="U1490" s="22">
        <v>1485</v>
      </c>
      <c r="W1490" s="13" t="str">
        <f>LOOKUP(1,1/(Table1[[#This Row],[Level_0]:[Level 15]]&gt;0),(Table1[[#This Row],[Level_0]:[Level 15]]))</f>
        <v>8400000000 - [Interest Expenses Paid]</v>
      </c>
    </row>
    <row r="1491" spans="1:23" hidden="1" x14ac:dyDescent="0.25">
      <c r="A1491">
        <v>8111000000</v>
      </c>
      <c r="B1491" s="16" t="s">
        <v>21980</v>
      </c>
      <c r="C1491" s="16" t="e">
        <f>VLOOKUP(Table1[[#This Row],[Node]],Parent!A:B,2,0)</f>
        <v>#N/A</v>
      </c>
      <c r="D1491" s="25" t="s">
        <v>19346</v>
      </c>
      <c r="E1491" s="26" t="s">
        <v>16544</v>
      </c>
      <c r="F1491" s="27" t="s">
        <v>17843</v>
      </c>
      <c r="G1491" s="27" t="s">
        <v>17967</v>
      </c>
      <c r="H1491" s="27" t="s">
        <v>17992</v>
      </c>
      <c r="I1491" s="27" t="s">
        <v>17999</v>
      </c>
      <c r="J1491" s="27"/>
      <c r="K1491" s="27"/>
      <c r="L1491" s="27"/>
      <c r="N1491" s="27"/>
      <c r="T1491" s="28" t="str">
        <f>LOOKUP(1,1/(Table1[[#This Row],[Level_0]:[Level 15]]&gt;0),(Table1[[#This Row],[Level_0]:[Level 15]]))</f>
        <v>8111000000 - [Interest Income Tax Receivables Accr]</v>
      </c>
      <c r="U1491" s="22">
        <v>1486</v>
      </c>
      <c r="W1491" s="13" t="str">
        <f>LOOKUP(1,1/(Table1[[#This Row],[Level_0]:[Level 15]]&gt;0),(Table1[[#This Row],[Level_0]:[Level 15]]))</f>
        <v>8111000000 - [Interest Income Tax Receivables Accr]</v>
      </c>
    </row>
    <row r="1492" spans="1:23" hidden="1" x14ac:dyDescent="0.25">
      <c r="A1492">
        <v>8110100000</v>
      </c>
      <c r="B1492" s="16" t="s">
        <v>21978</v>
      </c>
      <c r="C1492" s="16" t="e">
        <f>VLOOKUP(Table1[[#This Row],[Node]],Parent!A:B,2,0)</f>
        <v>#N/A</v>
      </c>
      <c r="D1492" s="25" t="s">
        <v>19346</v>
      </c>
      <c r="E1492" s="26" t="s">
        <v>16544</v>
      </c>
      <c r="F1492" s="27" t="s">
        <v>17843</v>
      </c>
      <c r="G1492" s="27" t="s">
        <v>17967</v>
      </c>
      <c r="H1492" s="27" t="s">
        <v>17992</v>
      </c>
      <c r="I1492" s="27" t="s">
        <v>18000</v>
      </c>
      <c r="J1492" s="27"/>
      <c r="K1492" s="27"/>
      <c r="L1492" s="27"/>
      <c r="N1492" s="27"/>
      <c r="T1492" s="28" t="str">
        <f>LOOKUP(1,1/(Table1[[#This Row],[Level_0]:[Level 15]]&gt;0),(Table1[[#This Row],[Level_0]:[Level 15]]))</f>
        <v>8110100000 - [Interest Income-Financial Investments-3P]</v>
      </c>
      <c r="U1492" s="22">
        <v>1487</v>
      </c>
      <c r="W1492" s="13" t="str">
        <f>LOOKUP(1,1/(Table1[[#This Row],[Level_0]:[Level 15]]&gt;0),(Table1[[#This Row],[Level_0]:[Level 15]]))</f>
        <v>8110100000 - [Interest Income-Financial Investments-3P]</v>
      </c>
    </row>
    <row r="1493" spans="1:23" hidden="1" x14ac:dyDescent="0.25">
      <c r="A1493">
        <v>8110000000</v>
      </c>
      <c r="B1493" s="16" t="s">
        <v>21977</v>
      </c>
      <c r="C1493" s="16" t="e">
        <f>VLOOKUP(Table1[[#This Row],[Node]],Parent!A:B,2,0)</f>
        <v>#N/A</v>
      </c>
      <c r="D1493" s="25" t="s">
        <v>19346</v>
      </c>
      <c r="E1493" s="26" t="s">
        <v>16544</v>
      </c>
      <c r="F1493" s="27" t="s">
        <v>17843</v>
      </c>
      <c r="G1493" s="27" t="s">
        <v>17967</v>
      </c>
      <c r="H1493" s="27" t="s">
        <v>17992</v>
      </c>
      <c r="I1493" s="27" t="s">
        <v>18001</v>
      </c>
      <c r="J1493" s="27"/>
      <c r="K1493" s="27"/>
      <c r="L1493" s="27"/>
      <c r="N1493" s="27"/>
      <c r="T1493" s="28" t="str">
        <f>LOOKUP(1,1/(Table1[[#This Row],[Level_0]:[Level 15]]&gt;0),(Table1[[#This Row],[Level_0]:[Level 15]]))</f>
        <v>8110000000 - [Interest Income Accrued]</v>
      </c>
      <c r="U1493" s="22">
        <v>1488</v>
      </c>
      <c r="W1493" s="13" t="str">
        <f>LOOKUP(1,1/(Table1[[#This Row],[Level_0]:[Level 15]]&gt;0),(Table1[[#This Row],[Level_0]:[Level 15]]))</f>
        <v>8110000000 - [Interest Income Accrued]</v>
      </c>
    </row>
    <row r="1494" spans="1:23" hidden="1" x14ac:dyDescent="0.25">
      <c r="A1494">
        <v>8101000000</v>
      </c>
      <c r="B1494" s="16" t="s">
        <v>21975</v>
      </c>
      <c r="C1494" s="16" t="e">
        <f>VLOOKUP(Table1[[#This Row],[Node]],Parent!A:B,2,0)</f>
        <v>#N/A</v>
      </c>
      <c r="D1494" s="25" t="s">
        <v>19346</v>
      </c>
      <c r="E1494" s="26" t="s">
        <v>16544</v>
      </c>
      <c r="F1494" s="27" t="s">
        <v>17843</v>
      </c>
      <c r="G1494" s="27" t="s">
        <v>17967</v>
      </c>
      <c r="H1494" s="27" t="s">
        <v>17992</v>
      </c>
      <c r="I1494" s="27" t="s">
        <v>18002</v>
      </c>
      <c r="J1494" s="27"/>
      <c r="K1494" s="27"/>
      <c r="L1494" s="27"/>
      <c r="N1494" s="27"/>
      <c r="T1494" s="28" t="str">
        <f>LOOKUP(1,1/(Table1[[#This Row],[Level_0]:[Level 15]]&gt;0),(Table1[[#This Row],[Level_0]:[Level 15]]))</f>
        <v>8101000000 - [Interest Income Tax Receivables Rec]</v>
      </c>
      <c r="U1494" s="22">
        <v>1489</v>
      </c>
      <c r="W1494" s="13" t="str">
        <f>LOOKUP(1,1/(Table1[[#This Row],[Level_0]:[Level 15]]&gt;0),(Table1[[#This Row],[Level_0]:[Level 15]]))</f>
        <v>8101000000 - [Interest Income Tax Receivables Rec]</v>
      </c>
    </row>
    <row r="1495" spans="1:23" hidden="1" x14ac:dyDescent="0.25">
      <c r="A1495">
        <v>8100010000</v>
      </c>
      <c r="B1495" s="16" t="s">
        <v>21972</v>
      </c>
      <c r="C1495" s="16" t="e">
        <f>VLOOKUP(Table1[[#This Row],[Node]],Parent!A:B,2,0)</f>
        <v>#N/A</v>
      </c>
      <c r="D1495" s="25" t="s">
        <v>19346</v>
      </c>
      <c r="E1495" s="26" t="s">
        <v>16544</v>
      </c>
      <c r="F1495" s="27" t="s">
        <v>17843</v>
      </c>
      <c r="G1495" s="27" t="s">
        <v>17967</v>
      </c>
      <c r="H1495" s="27" t="s">
        <v>17992</v>
      </c>
      <c r="I1495" s="27" t="s">
        <v>18003</v>
      </c>
      <c r="J1495" s="27"/>
      <c r="K1495" s="27"/>
      <c r="L1495" s="27"/>
      <c r="N1495" s="27"/>
      <c r="T1495" s="28" t="str">
        <f>LOOKUP(1,1/(Table1[[#This Row],[Level_0]:[Level 15]]&gt;0),(Table1[[#This Row],[Level_0]:[Level 15]]))</f>
        <v>8100010000 - [Interest Income Paid - IC]</v>
      </c>
      <c r="U1495" s="22">
        <v>1490</v>
      </c>
      <c r="W1495" s="13" t="str">
        <f>LOOKUP(1,1/(Table1[[#This Row],[Level_0]:[Level 15]]&gt;0),(Table1[[#This Row],[Level_0]:[Level 15]]))</f>
        <v>8100010000 - [Interest Income Paid - IC]</v>
      </c>
    </row>
    <row r="1496" spans="1:23" hidden="1" x14ac:dyDescent="0.25">
      <c r="A1496">
        <v>8100000001</v>
      </c>
      <c r="B1496" s="16" t="s">
        <v>21970</v>
      </c>
      <c r="C1496" s="16" t="e">
        <f>VLOOKUP(Table1[[#This Row],[Node]],Parent!A:B,2,0)</f>
        <v>#N/A</v>
      </c>
      <c r="D1496" s="25" t="s">
        <v>19346</v>
      </c>
      <c r="E1496" s="26" t="s">
        <v>16544</v>
      </c>
      <c r="F1496" s="27" t="s">
        <v>17843</v>
      </c>
      <c r="G1496" s="27" t="s">
        <v>17967</v>
      </c>
      <c r="H1496" s="27" t="s">
        <v>17992</v>
      </c>
      <c r="I1496" s="27" t="s">
        <v>18004</v>
      </c>
      <c r="J1496" s="27"/>
      <c r="K1496" s="27"/>
      <c r="L1496" s="27"/>
      <c r="N1496" s="27"/>
      <c r="T1496" s="28" t="str">
        <f>LOOKUP(1,1/(Table1[[#This Row],[Level_0]:[Level 15]]&gt;0),(Table1[[#This Row],[Level_0]:[Level 15]]))</f>
        <v>8100000001 - [Interest Income Paid - Account 1]</v>
      </c>
      <c r="U1496" s="22">
        <v>1491</v>
      </c>
      <c r="W1496" s="13" t="str">
        <f>LOOKUP(1,1/(Table1[[#This Row],[Level_0]:[Level 15]]&gt;0),(Table1[[#This Row],[Level_0]:[Level 15]]))</f>
        <v>8100000001 - [Interest Income Paid - Account 1]</v>
      </c>
    </row>
    <row r="1497" spans="1:23" hidden="1" x14ac:dyDescent="0.25">
      <c r="A1497">
        <v>8100000000</v>
      </c>
      <c r="B1497" s="16" t="s">
        <v>21969</v>
      </c>
      <c r="C1497" s="16" t="e">
        <f>VLOOKUP(Table1[[#This Row],[Node]],Parent!A:B,2,0)</f>
        <v>#N/A</v>
      </c>
      <c r="D1497" s="25" t="s">
        <v>19346</v>
      </c>
      <c r="E1497" s="26" t="s">
        <v>16544</v>
      </c>
      <c r="F1497" s="27" t="s">
        <v>17843</v>
      </c>
      <c r="G1497" s="27" t="s">
        <v>17967</v>
      </c>
      <c r="H1497" s="27" t="s">
        <v>17992</v>
      </c>
      <c r="I1497" s="27" t="s">
        <v>18005</v>
      </c>
      <c r="J1497" s="27"/>
      <c r="K1497" s="27"/>
      <c r="L1497" s="27"/>
      <c r="N1497" s="27"/>
      <c r="T1497" s="28" t="str">
        <f>LOOKUP(1,1/(Table1[[#This Row],[Level_0]:[Level 15]]&gt;0),(Table1[[#This Row],[Level_0]:[Level 15]]))</f>
        <v>8100000000 - [Interest Income Paid]</v>
      </c>
      <c r="U1497" s="22">
        <v>1492</v>
      </c>
      <c r="W1497" s="13" t="str">
        <f>LOOKUP(1,1/(Table1[[#This Row],[Level_0]:[Level 15]]&gt;0),(Table1[[#This Row],[Level_0]:[Level 15]]))</f>
        <v>8100000000 - [Interest Income Paid]</v>
      </c>
    </row>
    <row r="1498" spans="1:23" hidden="1" x14ac:dyDescent="0.25">
      <c r="A1498">
        <v>5943200000</v>
      </c>
      <c r="B1498" s="16" t="s">
        <v>20560</v>
      </c>
      <c r="C1498" s="16" t="e">
        <f>VLOOKUP(Table1[[#This Row],[Node]],Parent!A:B,2,0)</f>
        <v>#N/A</v>
      </c>
      <c r="D1498" s="25" t="s">
        <v>19346</v>
      </c>
      <c r="E1498" s="26" t="s">
        <v>16544</v>
      </c>
      <c r="F1498" s="27" t="s">
        <v>17843</v>
      </c>
      <c r="G1498" s="27" t="s">
        <v>17967</v>
      </c>
      <c r="H1498" s="27" t="s">
        <v>17992</v>
      </c>
      <c r="I1498" s="27" t="s">
        <v>18006</v>
      </c>
      <c r="J1498" s="27"/>
      <c r="K1498" s="27"/>
      <c r="L1498" s="27"/>
      <c r="N1498" s="27"/>
      <c r="T1498" s="28" t="str">
        <f>LOOKUP(1,1/(Table1[[#This Row],[Level_0]:[Level 15]]&gt;0),(Table1[[#This Row],[Level_0]:[Level 15]]))</f>
        <v>5943200000 - [Exp FX Val-Operative Hedging-Unrealized]</v>
      </c>
      <c r="U1498" s="22">
        <v>1493</v>
      </c>
      <c r="W1498" s="13" t="str">
        <f>LOOKUP(1,1/(Table1[[#This Row],[Level_0]:[Level 15]]&gt;0),(Table1[[#This Row],[Level_0]:[Level 15]]))</f>
        <v>5943200000 - [Exp FX Val-Operative Hedging-Unrealized]</v>
      </c>
    </row>
    <row r="1499" spans="1:23" hidden="1" x14ac:dyDescent="0.25">
      <c r="A1499">
        <v>5943000000</v>
      </c>
      <c r="B1499" s="16" t="s">
        <v>20559</v>
      </c>
      <c r="C1499" s="16" t="e">
        <f>VLOOKUP(Table1[[#This Row],[Node]],Parent!A:B,2,0)</f>
        <v>#N/A</v>
      </c>
      <c r="D1499" s="25" t="s">
        <v>19346</v>
      </c>
      <c r="E1499" s="26" t="s">
        <v>16544</v>
      </c>
      <c r="F1499" s="27" t="s">
        <v>17843</v>
      </c>
      <c r="G1499" s="27" t="s">
        <v>17967</v>
      </c>
      <c r="H1499" s="27" t="s">
        <v>17992</v>
      </c>
      <c r="I1499" s="27" t="s">
        <v>18007</v>
      </c>
      <c r="J1499" s="27"/>
      <c r="K1499" s="27"/>
      <c r="L1499" s="27"/>
      <c r="N1499" s="27"/>
      <c r="T1499" s="28" t="str">
        <f>LOOKUP(1,1/(Table1[[#This Row],[Level_0]:[Level 15]]&gt;0),(Table1[[#This Row],[Level_0]:[Level 15]]))</f>
        <v>5943000000 - [Exp FX Diff-Operative Hedging-Realized]</v>
      </c>
      <c r="U1499" s="22">
        <v>1494</v>
      </c>
      <c r="W1499" s="13" t="str">
        <f>LOOKUP(1,1/(Table1[[#This Row],[Level_0]:[Level 15]]&gt;0),(Table1[[#This Row],[Level_0]:[Level 15]]))</f>
        <v>5943000000 - [Exp FX Diff-Operative Hedging-Realized]</v>
      </c>
    </row>
    <row r="1500" spans="1:23" hidden="1" x14ac:dyDescent="0.25">
      <c r="A1500">
        <v>5942200000</v>
      </c>
      <c r="B1500" s="16" t="s">
        <v>20558</v>
      </c>
      <c r="C1500" s="16" t="e">
        <f>VLOOKUP(Table1[[#This Row],[Node]],Parent!A:B,2,0)</f>
        <v>#N/A</v>
      </c>
      <c r="D1500" s="25" t="s">
        <v>19346</v>
      </c>
      <c r="E1500" s="26" t="s">
        <v>16544</v>
      </c>
      <c r="F1500" s="27" t="s">
        <v>17843</v>
      </c>
      <c r="G1500" s="27" t="s">
        <v>17967</v>
      </c>
      <c r="H1500" s="27" t="s">
        <v>17992</v>
      </c>
      <c r="I1500" s="27" t="s">
        <v>18008</v>
      </c>
      <c r="J1500" s="27"/>
      <c r="K1500" s="27"/>
      <c r="L1500" s="27"/>
      <c r="N1500" s="27"/>
      <c r="T1500" s="28" t="str">
        <f>LOOKUP(1,1/(Table1[[#This Row],[Level_0]:[Level 15]]&gt;0),(Table1[[#This Row],[Level_0]:[Level 15]]))</f>
        <v>5942200000 - [Exp from FX Val - Provisions- Unrealized]</v>
      </c>
      <c r="U1500" s="22">
        <v>1495</v>
      </c>
      <c r="W1500" s="13" t="str">
        <f>LOOKUP(1,1/(Table1[[#This Row],[Level_0]:[Level 15]]&gt;0),(Table1[[#This Row],[Level_0]:[Level 15]]))</f>
        <v>5942200000 - [Exp from FX Val - Provisions- Unrealized]</v>
      </c>
    </row>
    <row r="1501" spans="1:23" hidden="1" x14ac:dyDescent="0.25">
      <c r="A1501">
        <v>5942000000</v>
      </c>
      <c r="B1501" s="16" t="s">
        <v>20557</v>
      </c>
      <c r="C1501" s="16" t="e">
        <f>VLOOKUP(Table1[[#This Row],[Node]],Parent!A:B,2,0)</f>
        <v>#N/A</v>
      </c>
      <c r="D1501" s="25" t="s">
        <v>19346</v>
      </c>
      <c r="E1501" s="26" t="s">
        <v>16544</v>
      </c>
      <c r="F1501" s="27" t="s">
        <v>17843</v>
      </c>
      <c r="G1501" s="27" t="s">
        <v>17967</v>
      </c>
      <c r="H1501" s="27" t="s">
        <v>17992</v>
      </c>
      <c r="I1501" s="27" t="s">
        <v>18009</v>
      </c>
      <c r="J1501" s="27"/>
      <c r="K1501" s="27"/>
      <c r="L1501" s="27"/>
      <c r="N1501" s="27"/>
      <c r="T1501" s="28" t="str">
        <f>LOOKUP(1,1/(Table1[[#This Row],[Level_0]:[Level 15]]&gt;0),(Table1[[#This Row],[Level_0]:[Level 15]]))</f>
        <v>5942000000 - [Exp from FX Diff - Provisions - Realized]</v>
      </c>
      <c r="U1501" s="22">
        <v>1496</v>
      </c>
      <c r="W1501" s="13" t="str">
        <f>LOOKUP(1,1/(Table1[[#This Row],[Level_0]:[Level 15]]&gt;0),(Table1[[#This Row],[Level_0]:[Level 15]]))</f>
        <v>5942000000 - [Exp from FX Diff - Provisions - Realized]</v>
      </c>
    </row>
    <row r="1502" spans="1:23" hidden="1" x14ac:dyDescent="0.25">
      <c r="A1502">
        <v>5940200000</v>
      </c>
      <c r="B1502" s="16" t="s">
        <v>20553</v>
      </c>
      <c r="C1502" s="16" t="e">
        <f>VLOOKUP(Table1[[#This Row],[Node]],Parent!A:B,2,0)</f>
        <v>#N/A</v>
      </c>
      <c r="D1502" s="25" t="s">
        <v>19346</v>
      </c>
      <c r="E1502" s="26" t="s">
        <v>16544</v>
      </c>
      <c r="F1502" s="27" t="s">
        <v>17843</v>
      </c>
      <c r="G1502" s="27" t="s">
        <v>17967</v>
      </c>
      <c r="H1502" s="27" t="s">
        <v>17992</v>
      </c>
      <c r="I1502" s="27" t="s">
        <v>18010</v>
      </c>
      <c r="J1502" s="27"/>
      <c r="K1502" s="27"/>
      <c r="L1502" s="27"/>
      <c r="N1502" s="27"/>
      <c r="T1502" s="28" t="str">
        <f>LOOKUP(1,1/(Table1[[#This Row],[Level_0]:[Level 15]]&gt;0),(Table1[[#This Row],[Level_0]:[Level 15]]))</f>
        <v>5940200000 - [Exp from FX Val - Unrealized]</v>
      </c>
      <c r="U1502" s="22">
        <v>1497</v>
      </c>
      <c r="W1502" s="13" t="str">
        <f>LOOKUP(1,1/(Table1[[#This Row],[Level_0]:[Level 15]]&gt;0),(Table1[[#This Row],[Level_0]:[Level 15]]))</f>
        <v>5940200000 - [Exp from FX Val - Unrealized]</v>
      </c>
    </row>
    <row r="1503" spans="1:23" hidden="1" x14ac:dyDescent="0.25">
      <c r="A1503">
        <v>5940000000</v>
      </c>
      <c r="B1503" s="16" t="s">
        <v>20551</v>
      </c>
      <c r="C1503" s="16" t="e">
        <f>VLOOKUP(Table1[[#This Row],[Node]],Parent!A:B,2,0)</f>
        <v>#N/A</v>
      </c>
      <c r="D1503" s="25" t="s">
        <v>19346</v>
      </c>
      <c r="E1503" s="26" t="s">
        <v>16544</v>
      </c>
      <c r="F1503" s="27" t="s">
        <v>17843</v>
      </c>
      <c r="G1503" s="27" t="s">
        <v>17967</v>
      </c>
      <c r="H1503" s="27" t="s">
        <v>17992</v>
      </c>
      <c r="I1503" s="27" t="s">
        <v>18011</v>
      </c>
      <c r="J1503" s="27"/>
      <c r="K1503" s="27"/>
      <c r="L1503" s="27"/>
      <c r="N1503" s="27"/>
      <c r="T1503" s="28" t="str">
        <f>LOOKUP(1,1/(Table1[[#This Row],[Level_0]:[Level 15]]&gt;0),(Table1[[#This Row],[Level_0]:[Level 15]]))</f>
        <v>5940000000 - [Exp from FX Diff - Realized]</v>
      </c>
      <c r="U1503" s="22">
        <v>1498</v>
      </c>
      <c r="W1503" s="13" t="str">
        <f>LOOKUP(1,1/(Table1[[#This Row],[Level_0]:[Level 15]]&gt;0),(Table1[[#This Row],[Level_0]:[Level 15]]))</f>
        <v>5940000000 - [Exp from FX Diff - Realized]</v>
      </c>
    </row>
    <row r="1504" spans="1:23" hidden="1" x14ac:dyDescent="0.25">
      <c r="A1504">
        <v>3943200000</v>
      </c>
      <c r="B1504" s="16" t="s">
        <v>19708</v>
      </c>
      <c r="C1504" s="16" t="e">
        <f>VLOOKUP(Table1[[#This Row],[Node]],Parent!A:B,2,0)</f>
        <v>#N/A</v>
      </c>
      <c r="D1504" s="25" t="s">
        <v>19346</v>
      </c>
      <c r="E1504" s="26" t="s">
        <v>16544</v>
      </c>
      <c r="F1504" s="27" t="s">
        <v>17843</v>
      </c>
      <c r="G1504" s="27" t="s">
        <v>17967</v>
      </c>
      <c r="H1504" s="27" t="s">
        <v>17992</v>
      </c>
      <c r="I1504" s="27" t="s">
        <v>18012</v>
      </c>
      <c r="J1504" s="27"/>
      <c r="K1504" s="27"/>
      <c r="L1504" s="27"/>
      <c r="N1504" s="27"/>
      <c r="T1504" s="28" t="str">
        <f>LOOKUP(1,1/(Table1[[#This Row],[Level_0]:[Level 15]]&gt;0),(Table1[[#This Row],[Level_0]:[Level 15]]))</f>
        <v>3943200000 - [Inc fr FX Val - Operativ Hedging- Unreal]</v>
      </c>
      <c r="U1504" s="22">
        <v>1499</v>
      </c>
      <c r="W1504" s="13" t="str">
        <f>LOOKUP(1,1/(Table1[[#This Row],[Level_0]:[Level 15]]&gt;0),(Table1[[#This Row],[Level_0]:[Level 15]]))</f>
        <v>3943200000 - [Inc fr FX Val - Operativ Hedging- Unreal]</v>
      </c>
    </row>
    <row r="1505" spans="1:23" hidden="1" x14ac:dyDescent="0.25">
      <c r="A1505">
        <v>3942200000</v>
      </c>
      <c r="B1505" s="16" t="s">
        <v>19706</v>
      </c>
      <c r="C1505" s="16" t="e">
        <f>VLOOKUP(Table1[[#This Row],[Node]],Parent!A:B,2,0)</f>
        <v>#N/A</v>
      </c>
      <c r="D1505" s="25" t="s">
        <v>19346</v>
      </c>
      <c r="E1505" s="26" t="s">
        <v>16544</v>
      </c>
      <c r="F1505" s="27" t="s">
        <v>17843</v>
      </c>
      <c r="G1505" s="27" t="s">
        <v>17967</v>
      </c>
      <c r="H1505" s="27" t="s">
        <v>17992</v>
      </c>
      <c r="I1505" s="27" t="s">
        <v>18013</v>
      </c>
      <c r="J1505" s="27"/>
      <c r="K1505" s="27"/>
      <c r="L1505" s="27"/>
      <c r="N1505" s="27"/>
      <c r="T1505" s="28" t="str">
        <f>LOOKUP(1,1/(Table1[[#This Row],[Level_0]:[Level 15]]&gt;0),(Table1[[#This Row],[Level_0]:[Level 15]]))</f>
        <v>3942200000 - [Inc fr FX Val - Provisions - Unrealized]</v>
      </c>
      <c r="U1505" s="22">
        <v>1500</v>
      </c>
      <c r="W1505" s="13" t="str">
        <f>LOOKUP(1,1/(Table1[[#This Row],[Level_0]:[Level 15]]&gt;0),(Table1[[#This Row],[Level_0]:[Level 15]]))</f>
        <v>3942200000 - [Inc fr FX Val - Provisions - Unrealized]</v>
      </c>
    </row>
    <row r="1506" spans="1:23" hidden="1" x14ac:dyDescent="0.25">
      <c r="A1506">
        <v>3942000000</v>
      </c>
      <c r="B1506" s="16" t="s">
        <v>19705</v>
      </c>
      <c r="C1506" s="16" t="e">
        <f>VLOOKUP(Table1[[#This Row],[Node]],Parent!A:B,2,0)</f>
        <v>#N/A</v>
      </c>
      <c r="D1506" s="25" t="s">
        <v>19346</v>
      </c>
      <c r="E1506" s="26" t="s">
        <v>16544</v>
      </c>
      <c r="F1506" s="27" t="s">
        <v>17843</v>
      </c>
      <c r="G1506" s="27" t="s">
        <v>17967</v>
      </c>
      <c r="H1506" s="27" t="s">
        <v>17992</v>
      </c>
      <c r="I1506" s="27" t="s">
        <v>18014</v>
      </c>
      <c r="J1506" s="27"/>
      <c r="K1506" s="27"/>
      <c r="L1506" s="27"/>
      <c r="N1506" s="27"/>
      <c r="T1506" s="28" t="str">
        <f>LOOKUP(1,1/(Table1[[#This Row],[Level_0]:[Level 15]]&gt;0),(Table1[[#This Row],[Level_0]:[Level 15]]))</f>
        <v>3942000000 - [Inc fr FX Diff - Provisions - Realized]</v>
      </c>
      <c r="U1506" s="22">
        <v>1501</v>
      </c>
      <c r="W1506" s="13" t="str">
        <f>LOOKUP(1,1/(Table1[[#This Row],[Level_0]:[Level 15]]&gt;0),(Table1[[#This Row],[Level_0]:[Level 15]]))</f>
        <v>3942000000 - [Inc fr FX Diff - Provisions - Realized]</v>
      </c>
    </row>
    <row r="1507" spans="1:23" hidden="1" x14ac:dyDescent="0.25">
      <c r="A1507">
        <v>3940200000</v>
      </c>
      <c r="B1507" s="16" t="s">
        <v>19702</v>
      </c>
      <c r="C1507" s="16" t="e">
        <f>VLOOKUP(Table1[[#This Row],[Node]],Parent!A:B,2,0)</f>
        <v>#N/A</v>
      </c>
      <c r="D1507" s="25" t="s">
        <v>19346</v>
      </c>
      <c r="E1507" s="26" t="s">
        <v>16544</v>
      </c>
      <c r="F1507" s="27" t="s">
        <v>17843</v>
      </c>
      <c r="G1507" s="27" t="s">
        <v>17967</v>
      </c>
      <c r="H1507" s="27" t="s">
        <v>17992</v>
      </c>
      <c r="I1507" s="27" t="s">
        <v>18015</v>
      </c>
      <c r="J1507" s="27"/>
      <c r="K1507" s="27"/>
      <c r="L1507" s="27"/>
      <c r="N1507" s="27"/>
      <c r="T1507" s="28" t="str">
        <f>LOOKUP(1,1/(Table1[[#This Row],[Level_0]:[Level 15]]&gt;0),(Table1[[#This Row],[Level_0]:[Level 15]]))</f>
        <v>3940200000 - [Income from FX Valuation - Unrealized]</v>
      </c>
      <c r="U1507" s="22">
        <v>1502</v>
      </c>
      <c r="W1507" s="13" t="str">
        <f>LOOKUP(1,1/(Table1[[#This Row],[Level_0]:[Level 15]]&gt;0),(Table1[[#This Row],[Level_0]:[Level 15]]))</f>
        <v>3940200000 - [Income from FX Valuation - Unrealized]</v>
      </c>
    </row>
    <row r="1508" spans="1:23" hidden="1" x14ac:dyDescent="0.25">
      <c r="A1508">
        <v>3940000000</v>
      </c>
      <c r="B1508" s="16" t="s">
        <v>19701</v>
      </c>
      <c r="C1508" s="16" t="e">
        <f>VLOOKUP(Table1[[#This Row],[Node]],Parent!A:B,2,0)</f>
        <v>#N/A</v>
      </c>
      <c r="D1508" s="25" t="s">
        <v>19346</v>
      </c>
      <c r="E1508" s="26" t="s">
        <v>16544</v>
      </c>
      <c r="F1508" s="27" t="s">
        <v>17843</v>
      </c>
      <c r="G1508" s="27" t="s">
        <v>17967</v>
      </c>
      <c r="H1508" s="27" t="s">
        <v>17992</v>
      </c>
      <c r="I1508" s="27" t="s">
        <v>18016</v>
      </c>
      <c r="J1508" s="27"/>
      <c r="K1508" s="27"/>
      <c r="L1508" s="27"/>
      <c r="N1508" s="27"/>
      <c r="T1508" s="28" t="str">
        <f>LOOKUP(1,1/(Table1[[#This Row],[Level_0]:[Level 15]]&gt;0),(Table1[[#This Row],[Level_0]:[Level 15]]))</f>
        <v>3940000000 - [Income from FX Differences - Realized]</v>
      </c>
      <c r="U1508" s="22">
        <v>1503</v>
      </c>
      <c r="W1508" s="13" t="str">
        <f>LOOKUP(1,1/(Table1[[#This Row],[Level_0]:[Level 15]]&gt;0),(Table1[[#This Row],[Level_0]:[Level 15]]))</f>
        <v>3940000000 - [Income from FX Differences - Realized]</v>
      </c>
    </row>
    <row r="1509" spans="1:23" hidden="1" x14ac:dyDescent="0.25">
      <c r="A1509">
        <v>8400000003</v>
      </c>
      <c r="B1509" s="16" t="s">
        <v>22017</v>
      </c>
      <c r="C1509" s="16" t="e">
        <f>VLOOKUP(Table1[[#This Row],[Node]],Parent!A:B,2,0)</f>
        <v>#N/A</v>
      </c>
      <c r="D1509" s="25" t="s">
        <v>19346</v>
      </c>
      <c r="E1509" s="26" t="s">
        <v>16544</v>
      </c>
      <c r="F1509" s="27" t="s">
        <v>17843</v>
      </c>
      <c r="G1509" s="27" t="s">
        <v>17967</v>
      </c>
      <c r="H1509" s="27" t="s">
        <v>17992</v>
      </c>
      <c r="I1509" s="27" t="s">
        <v>18017</v>
      </c>
      <c r="J1509" s="27"/>
      <c r="K1509" s="27"/>
      <c r="L1509" s="27"/>
      <c r="N1509" s="27"/>
      <c r="T1509" s="28" t="str">
        <f>LOOKUP(1,1/(Table1[[#This Row],[Level_0]:[Level 15]]&gt;0),(Table1[[#This Row],[Level_0]:[Level 15]]))</f>
        <v>8400000003 - [Interest Expenses - MM Funds]</v>
      </c>
      <c r="U1509" s="22">
        <v>1504</v>
      </c>
      <c r="W1509" s="13" t="str">
        <f>LOOKUP(1,1/(Table1[[#This Row],[Level_0]:[Level 15]]&gt;0),(Table1[[#This Row],[Level_0]:[Level 15]]))</f>
        <v>8400000003 - [Interest Expenses - MM Funds]</v>
      </c>
    </row>
    <row r="1510" spans="1:23" hidden="1" x14ac:dyDescent="0.25">
      <c r="A1510">
        <v>8100000003</v>
      </c>
      <c r="B1510" s="16" t="s">
        <v>21971</v>
      </c>
      <c r="C1510" s="16" t="e">
        <f>VLOOKUP(Table1[[#This Row],[Node]],Parent!A:B,2,0)</f>
        <v>#N/A</v>
      </c>
      <c r="D1510" s="25" t="s">
        <v>19346</v>
      </c>
      <c r="E1510" s="26" t="s">
        <v>16544</v>
      </c>
      <c r="F1510" s="27" t="s">
        <v>17843</v>
      </c>
      <c r="G1510" s="27" t="s">
        <v>17967</v>
      </c>
      <c r="H1510" s="27" t="s">
        <v>17992</v>
      </c>
      <c r="I1510" s="27" t="s">
        <v>18018</v>
      </c>
      <c r="J1510" s="27"/>
      <c r="K1510" s="27"/>
      <c r="L1510" s="27"/>
      <c r="N1510" s="27"/>
      <c r="T1510" s="28" t="str">
        <f>LOOKUP(1,1/(Table1[[#This Row],[Level_0]:[Level 15]]&gt;0),(Table1[[#This Row],[Level_0]:[Level 15]]))</f>
        <v>8100000003 - [Interest Income - MM Funds]</v>
      </c>
      <c r="U1510" s="22">
        <v>1505</v>
      </c>
      <c r="W1510" s="13" t="str">
        <f>LOOKUP(1,1/(Table1[[#This Row],[Level_0]:[Level 15]]&gt;0),(Table1[[#This Row],[Level_0]:[Level 15]]))</f>
        <v>8100000003 - [Interest Income - MM Funds]</v>
      </c>
    </row>
    <row r="1511" spans="1:23" hidden="1" x14ac:dyDescent="0.25">
      <c r="A1511">
        <v>8402000000</v>
      </c>
      <c r="B1511" s="16" t="s">
        <v>22021</v>
      </c>
      <c r="C1511" s="16" t="e">
        <f>VLOOKUP(Table1[[#This Row],[Node]],Parent!A:B,2,0)</f>
        <v>#N/A</v>
      </c>
      <c r="D1511" s="25" t="s">
        <v>19346</v>
      </c>
      <c r="E1511" s="26" t="s">
        <v>16544</v>
      </c>
      <c r="F1511" s="27" t="s">
        <v>17843</v>
      </c>
      <c r="G1511" s="27" t="s">
        <v>17967</v>
      </c>
      <c r="H1511" s="27" t="s">
        <v>17992</v>
      </c>
      <c r="I1511" s="27" t="s">
        <v>18019</v>
      </c>
      <c r="J1511" s="27"/>
      <c r="K1511" s="27"/>
      <c r="L1511" s="27"/>
      <c r="N1511" s="27"/>
      <c r="T1511" s="28" t="str">
        <f>LOOKUP(1,1/(Table1[[#This Row],[Level_0]:[Level 15]]&gt;0),(Table1[[#This Row],[Level_0]:[Level 15]]))</f>
        <v>8402000000 - [Other Interest Expenses Paid]</v>
      </c>
      <c r="U1511" s="22">
        <v>1506</v>
      </c>
      <c r="W1511" s="13" t="str">
        <f>LOOKUP(1,1/(Table1[[#This Row],[Level_0]:[Level 15]]&gt;0),(Table1[[#This Row],[Level_0]:[Level 15]]))</f>
        <v>8402000000 - [Other Interest Expenses Paid]</v>
      </c>
    </row>
    <row r="1512" spans="1:23" hidden="1" x14ac:dyDescent="0.25">
      <c r="A1512">
        <v>210100</v>
      </c>
      <c r="B1512" s="16" t="s">
        <v>19495</v>
      </c>
      <c r="C1512" s="16" t="e">
        <f>VLOOKUP(Table1[[#This Row],[Node]],Parent!A:B,2,0)</f>
        <v>#N/A</v>
      </c>
      <c r="D1512" s="25" t="s">
        <v>19346</v>
      </c>
      <c r="E1512" s="26" t="s">
        <v>16544</v>
      </c>
      <c r="F1512" s="27" t="s">
        <v>17843</v>
      </c>
      <c r="G1512" s="27" t="s">
        <v>18020</v>
      </c>
      <c r="H1512" s="27"/>
      <c r="I1512" s="27"/>
      <c r="J1512" s="27"/>
      <c r="K1512" s="27"/>
      <c r="L1512" s="27"/>
      <c r="N1512" s="27"/>
      <c r="T1512" s="28" t="str">
        <f>LOOKUP(1,1/(Table1[[#This Row],[Level_0]:[Level 15]]&gt;0),(Table1[[#This Row],[Level_0]:[Level 15]]))</f>
        <v>210100 - [Office supplies, Postage &amp; Admin. Exp]</v>
      </c>
      <c r="U1512" s="22">
        <v>1507</v>
      </c>
      <c r="W1512" s="13" t="str">
        <f>LOOKUP(1,1/(Table1[[#This Row],[Level_0]:[Level 15]]&gt;0),(Table1[[#This Row],[Level_0]:[Level 15]]))</f>
        <v>210100 - [Office supplies, Postage &amp; Admin. Exp]</v>
      </c>
    </row>
    <row r="1513" spans="1:23" hidden="1" x14ac:dyDescent="0.25">
      <c r="A1513">
        <v>7620301110</v>
      </c>
      <c r="B1513" s="16" t="s">
        <v>21570</v>
      </c>
      <c r="C1513" s="16" t="e">
        <f>VLOOKUP(Table1[[#This Row],[Node]],Parent!A:B,2,0)</f>
        <v>#N/A</v>
      </c>
      <c r="D1513" s="25" t="s">
        <v>19346</v>
      </c>
      <c r="E1513" s="26" t="s">
        <v>16544</v>
      </c>
      <c r="F1513" s="27" t="s">
        <v>17843</v>
      </c>
      <c r="G1513" s="27" t="s">
        <v>18020</v>
      </c>
      <c r="H1513" s="27" t="s">
        <v>18021</v>
      </c>
      <c r="I1513" s="27"/>
      <c r="J1513" s="27"/>
      <c r="K1513" s="27"/>
      <c r="L1513" s="27"/>
      <c r="N1513" s="27"/>
      <c r="T1513" s="28" t="str">
        <f>LOOKUP(1,1/(Table1[[#This Row],[Level_0]:[Level 15]]&gt;0),(Table1[[#This Row],[Level_0]:[Level 15]]))</f>
        <v>7620301110 - [AOM_Tech Proj Reimbursem.]</v>
      </c>
      <c r="U1513" s="22">
        <v>1508</v>
      </c>
      <c r="W1513" s="13" t="str">
        <f>LOOKUP(1,1/(Table1[[#This Row],[Level_0]:[Level 15]]&gt;0),(Table1[[#This Row],[Level_0]:[Level 15]]))</f>
        <v>7620301110 - [AOM_Tech Proj Reimbursem.]</v>
      </c>
    </row>
    <row r="1514" spans="1:23" hidden="1" x14ac:dyDescent="0.25">
      <c r="A1514">
        <v>7620301108</v>
      </c>
      <c r="B1514" s="16" t="s">
        <v>21568</v>
      </c>
      <c r="C1514" s="16" t="e">
        <f>VLOOKUP(Table1[[#This Row],[Node]],Parent!A:B,2,0)</f>
        <v>#N/A</v>
      </c>
      <c r="D1514" s="25" t="s">
        <v>19346</v>
      </c>
      <c r="E1514" s="26" t="s">
        <v>16544</v>
      </c>
      <c r="F1514" s="27" t="s">
        <v>17843</v>
      </c>
      <c r="G1514" s="27" t="s">
        <v>18020</v>
      </c>
      <c r="H1514" s="27" t="s">
        <v>18022</v>
      </c>
      <c r="I1514" s="27"/>
      <c r="J1514" s="27"/>
      <c r="K1514" s="27"/>
      <c r="L1514" s="27"/>
      <c r="N1514" s="27"/>
      <c r="T1514" s="28" t="str">
        <f>LOOKUP(1,1/(Table1[[#This Row],[Level_0]:[Level 15]]&gt;0),(Table1[[#This Row],[Level_0]:[Level 15]]))</f>
        <v>7620301108 - [AOM_Tech Proj Other Costs]</v>
      </c>
      <c r="U1514" s="22">
        <v>1509</v>
      </c>
      <c r="W1514" s="13" t="str">
        <f>LOOKUP(1,1/(Table1[[#This Row],[Level_0]:[Level 15]]&gt;0),(Table1[[#This Row],[Level_0]:[Level 15]]))</f>
        <v>7620301108 - [AOM_Tech Proj Other Costs]</v>
      </c>
    </row>
    <row r="1515" spans="1:23" hidden="1" x14ac:dyDescent="0.25">
      <c r="A1515">
        <v>7620301107</v>
      </c>
      <c r="B1515" s="16" t="s">
        <v>21567</v>
      </c>
      <c r="C1515" s="16" t="e">
        <f>VLOOKUP(Table1[[#This Row],[Node]],Parent!A:B,2,0)</f>
        <v>#N/A</v>
      </c>
      <c r="D1515" s="25" t="s">
        <v>19346</v>
      </c>
      <c r="E1515" s="26" t="s">
        <v>16544</v>
      </c>
      <c r="F1515" s="27" t="s">
        <v>17843</v>
      </c>
      <c r="G1515" s="27" t="s">
        <v>18020</v>
      </c>
      <c r="H1515" s="27" t="s">
        <v>18023</v>
      </c>
      <c r="I1515" s="27"/>
      <c r="J1515" s="27"/>
      <c r="K1515" s="27"/>
      <c r="L1515" s="27"/>
      <c r="N1515" s="27"/>
      <c r="T1515" s="28" t="str">
        <f>LOOKUP(1,1/(Table1[[#This Row],[Level_0]:[Level 15]]&gt;0),(Table1[[#This Row],[Level_0]:[Level 15]]))</f>
        <v>7620301107 - [AOM_Tech Proj. Capex]</v>
      </c>
      <c r="U1515" s="22">
        <v>1510</v>
      </c>
      <c r="W1515" s="13" t="str">
        <f>LOOKUP(1,1/(Table1[[#This Row],[Level_0]:[Level 15]]&gt;0),(Table1[[#This Row],[Level_0]:[Level 15]]))</f>
        <v>7620301107 - [AOM_Tech Proj. Capex]</v>
      </c>
    </row>
    <row r="1516" spans="1:23" hidden="1" x14ac:dyDescent="0.25">
      <c r="A1516">
        <v>7620301106</v>
      </c>
      <c r="B1516" s="16" t="s">
        <v>21566</v>
      </c>
      <c r="C1516" s="16" t="e">
        <f>VLOOKUP(Table1[[#This Row],[Node]],Parent!A:B,2,0)</f>
        <v>#N/A</v>
      </c>
      <c r="D1516" s="25" t="s">
        <v>19346</v>
      </c>
      <c r="E1516" s="26" t="s">
        <v>16544</v>
      </c>
      <c r="F1516" s="27" t="s">
        <v>17843</v>
      </c>
      <c r="G1516" s="27" t="s">
        <v>18020</v>
      </c>
      <c r="H1516" s="27" t="s">
        <v>18024</v>
      </c>
      <c r="I1516" s="27"/>
      <c r="J1516" s="27"/>
      <c r="K1516" s="27"/>
      <c r="L1516" s="27"/>
      <c r="N1516" s="27"/>
      <c r="T1516" s="28" t="str">
        <f>LOOKUP(1,1/(Table1[[#This Row],[Level_0]:[Level 15]]&gt;0),(Table1[[#This Row],[Level_0]:[Level 15]]))</f>
        <v>7620301106 - [AOM_Tech Proj. Material]</v>
      </c>
      <c r="U1516" s="22">
        <v>1511</v>
      </c>
      <c r="W1516" s="13" t="str">
        <f>LOOKUP(1,1/(Table1[[#This Row],[Level_0]:[Level 15]]&gt;0),(Table1[[#This Row],[Level_0]:[Level 15]]))</f>
        <v>7620301106 - [AOM_Tech Proj. Material]</v>
      </c>
    </row>
    <row r="1517" spans="1:23" hidden="1" x14ac:dyDescent="0.25">
      <c r="A1517">
        <v>7620301105</v>
      </c>
      <c r="B1517" s="16" t="s">
        <v>21565</v>
      </c>
      <c r="C1517" s="16" t="e">
        <f>VLOOKUP(Table1[[#This Row],[Node]],Parent!A:B,2,0)</f>
        <v>#N/A</v>
      </c>
      <c r="D1517" s="25" t="s">
        <v>19346</v>
      </c>
      <c r="E1517" s="26" t="s">
        <v>16544</v>
      </c>
      <c r="F1517" s="27" t="s">
        <v>17843</v>
      </c>
      <c r="G1517" s="27" t="s">
        <v>18020</v>
      </c>
      <c r="H1517" s="27" t="s">
        <v>18025</v>
      </c>
      <c r="I1517" s="27"/>
      <c r="J1517" s="27"/>
      <c r="K1517" s="27"/>
      <c r="L1517" s="27"/>
      <c r="N1517" s="27"/>
      <c r="T1517" s="28" t="str">
        <f>LOOKUP(1,1/(Table1[[#This Row],[Level_0]:[Level 15]]&gt;0),(Table1[[#This Row],[Level_0]:[Level 15]]))</f>
        <v>7620301105 - [AOM_Tech Proj. internal]</v>
      </c>
      <c r="U1517" s="22">
        <v>1512</v>
      </c>
      <c r="W1517" s="13" t="str">
        <f>LOOKUP(1,1/(Table1[[#This Row],[Level_0]:[Level 15]]&gt;0),(Table1[[#This Row],[Level_0]:[Level 15]]))</f>
        <v>7620301105 - [AOM_Tech Proj. internal]</v>
      </c>
    </row>
    <row r="1518" spans="1:23" hidden="1" x14ac:dyDescent="0.25">
      <c r="A1518">
        <v>7620301104</v>
      </c>
      <c r="B1518" s="16" t="s">
        <v>21564</v>
      </c>
      <c r="C1518" s="16" t="e">
        <f>VLOOKUP(Table1[[#This Row],[Node]],Parent!A:B,2,0)</f>
        <v>#N/A</v>
      </c>
      <c r="D1518" s="25" t="s">
        <v>19346</v>
      </c>
      <c r="E1518" s="26" t="s">
        <v>16544</v>
      </c>
      <c r="F1518" s="27" t="s">
        <v>17843</v>
      </c>
      <c r="G1518" s="27" t="s">
        <v>18020</v>
      </c>
      <c r="H1518" s="27" t="s">
        <v>18026</v>
      </c>
      <c r="I1518" s="27"/>
      <c r="J1518" s="27"/>
      <c r="K1518" s="27"/>
      <c r="L1518" s="27"/>
      <c r="N1518" s="27"/>
      <c r="T1518" s="28" t="str">
        <f>LOOKUP(1,1/(Table1[[#This Row],[Level_0]:[Level 15]]&gt;0),(Table1[[#This Row],[Level_0]:[Level 15]]))</f>
        <v>7620301104 - [AOM_Tech Proj. external]</v>
      </c>
      <c r="U1518" s="22">
        <v>1513</v>
      </c>
      <c r="W1518" s="13" t="str">
        <f>LOOKUP(1,1/(Table1[[#This Row],[Level_0]:[Level 15]]&gt;0),(Table1[[#This Row],[Level_0]:[Level 15]]))</f>
        <v>7620301104 - [AOM_Tech Proj. external]</v>
      </c>
    </row>
    <row r="1519" spans="1:23" hidden="1" x14ac:dyDescent="0.25">
      <c r="A1519">
        <v>7600309010</v>
      </c>
      <c r="B1519" s="16" t="s">
        <v>21450</v>
      </c>
      <c r="C1519" s="16" t="e">
        <f>VLOOKUP(Table1[[#This Row],[Node]],Parent!A:B,2,0)</f>
        <v>#N/A</v>
      </c>
      <c r="D1519" s="25" t="s">
        <v>19346</v>
      </c>
      <c r="E1519" s="26" t="s">
        <v>16544</v>
      </c>
      <c r="F1519" s="27" t="s">
        <v>17843</v>
      </c>
      <c r="G1519" s="27" t="s">
        <v>18020</v>
      </c>
      <c r="H1519" s="27" t="s">
        <v>18027</v>
      </c>
      <c r="I1519" s="27"/>
      <c r="J1519" s="27"/>
      <c r="K1519" s="27"/>
      <c r="L1519" s="27"/>
      <c r="N1519" s="27"/>
      <c r="T1519" s="28" t="str">
        <f>LOOKUP(1,1/(Table1[[#This Row],[Level_0]:[Level 15]]&gt;0),(Table1[[#This Row],[Level_0]:[Level 15]]))</f>
        <v>7600309010 - [DAA_Dummy]</v>
      </c>
      <c r="U1519" s="22">
        <v>1514</v>
      </c>
      <c r="W1519" s="13" t="str">
        <f>LOOKUP(1,1/(Table1[[#This Row],[Level_0]:[Level 15]]&gt;0),(Table1[[#This Row],[Level_0]:[Level 15]]))</f>
        <v>7600309010 - [DAA_Dummy]</v>
      </c>
    </row>
    <row r="1520" spans="1:23" hidden="1" x14ac:dyDescent="0.25">
      <c r="A1520">
        <v>7600304258</v>
      </c>
      <c r="B1520" s="16" t="s">
        <v>21439</v>
      </c>
      <c r="C1520" s="16" t="e">
        <f>VLOOKUP(Table1[[#This Row],[Node]],Parent!A:B,2,0)</f>
        <v>#N/A</v>
      </c>
      <c r="D1520" s="25" t="s">
        <v>19346</v>
      </c>
      <c r="E1520" s="26" t="s">
        <v>16544</v>
      </c>
      <c r="F1520" s="27" t="s">
        <v>17843</v>
      </c>
      <c r="G1520" s="27" t="s">
        <v>18020</v>
      </c>
      <c r="H1520" s="27" t="s">
        <v>18028</v>
      </c>
      <c r="I1520" s="27"/>
      <c r="J1520" s="27"/>
      <c r="K1520" s="27"/>
      <c r="L1520" s="27"/>
      <c r="N1520" s="27"/>
      <c r="T1520" s="28" t="str">
        <f>LOOKUP(1,1/(Table1[[#This Row],[Level_0]:[Level 15]]&gt;0),(Table1[[#This Row],[Level_0]:[Level 15]]))</f>
        <v>7600304258 - [DAA_Fuel External]</v>
      </c>
      <c r="U1520" s="22">
        <v>1515</v>
      </c>
      <c r="W1520" s="13" t="str">
        <f>LOOKUP(1,1/(Table1[[#This Row],[Level_0]:[Level 15]]&gt;0),(Table1[[#This Row],[Level_0]:[Level 15]]))</f>
        <v>7600304258 - [DAA_Fuel External]</v>
      </c>
    </row>
    <row r="1521" spans="1:23" hidden="1" x14ac:dyDescent="0.25">
      <c r="A1521">
        <v>7600304250</v>
      </c>
      <c r="B1521" s="16" t="s">
        <v>21431</v>
      </c>
      <c r="C1521" s="16" t="e">
        <f>VLOOKUP(Table1[[#This Row],[Node]],Parent!A:B,2,0)</f>
        <v>#N/A</v>
      </c>
      <c r="D1521" s="25" t="s">
        <v>19346</v>
      </c>
      <c r="E1521" s="26" t="s">
        <v>16544</v>
      </c>
      <c r="F1521" s="27" t="s">
        <v>17843</v>
      </c>
      <c r="G1521" s="27" t="s">
        <v>18020</v>
      </c>
      <c r="H1521" s="27" t="s">
        <v>18029</v>
      </c>
      <c r="I1521" s="27"/>
      <c r="J1521" s="27"/>
      <c r="K1521" s="27"/>
      <c r="L1521" s="27"/>
      <c r="N1521" s="27"/>
      <c r="T1521" s="28" t="str">
        <f>LOOKUP(1,1/(Table1[[#This Row],[Level_0]:[Level 15]]&gt;0),(Table1[[#This Row],[Level_0]:[Level 15]]))</f>
        <v>7600304250 - [DAA_Wash. Kitchenw.]</v>
      </c>
      <c r="U1521" s="22">
        <v>1516</v>
      </c>
      <c r="W1521" s="13" t="str">
        <f>LOOKUP(1,1/(Table1[[#This Row],[Level_0]:[Level 15]]&gt;0),(Table1[[#This Row],[Level_0]:[Level 15]]))</f>
        <v>7600304250 - [DAA_Wash. Kitchenw.]</v>
      </c>
    </row>
    <row r="1522" spans="1:23" hidden="1" x14ac:dyDescent="0.25">
      <c r="A1522">
        <v>7600304227</v>
      </c>
      <c r="B1522" s="16" t="s">
        <v>21418</v>
      </c>
      <c r="C1522" s="16" t="e">
        <f>VLOOKUP(Table1[[#This Row],[Node]],Parent!A:B,2,0)</f>
        <v>#N/A</v>
      </c>
      <c r="D1522" s="25" t="s">
        <v>19346</v>
      </c>
      <c r="E1522" s="26" t="s">
        <v>16544</v>
      </c>
      <c r="F1522" s="27" t="s">
        <v>17843</v>
      </c>
      <c r="G1522" s="27" t="s">
        <v>18020</v>
      </c>
      <c r="H1522" s="27" t="s">
        <v>18030</v>
      </c>
      <c r="I1522" s="27"/>
      <c r="J1522" s="27"/>
      <c r="K1522" s="27"/>
      <c r="L1522" s="27"/>
      <c r="N1522" s="27"/>
      <c r="T1522" s="28" t="str">
        <f>LOOKUP(1,1/(Table1[[#This Row],[Level_0]:[Level 15]]&gt;0),(Table1[[#This Row],[Level_0]:[Level 15]]))</f>
        <v>7600304227 - [DAA_Event Service]</v>
      </c>
      <c r="U1522" s="22">
        <v>1517</v>
      </c>
      <c r="W1522" s="13" t="str">
        <f>LOOKUP(1,1/(Table1[[#This Row],[Level_0]:[Level 15]]&gt;0),(Table1[[#This Row],[Level_0]:[Level 15]]))</f>
        <v>7600304227 - [DAA_Event Service]</v>
      </c>
    </row>
    <row r="1523" spans="1:23" hidden="1" x14ac:dyDescent="0.25">
      <c r="A1523">
        <v>7600304226</v>
      </c>
      <c r="B1523" s="16" t="s">
        <v>21417</v>
      </c>
      <c r="C1523" s="16" t="e">
        <f>VLOOKUP(Table1[[#This Row],[Node]],Parent!A:B,2,0)</f>
        <v>#N/A</v>
      </c>
      <c r="D1523" s="25" t="s">
        <v>19346</v>
      </c>
      <c r="E1523" s="26" t="s">
        <v>16544</v>
      </c>
      <c r="F1523" s="27" t="s">
        <v>17843</v>
      </c>
      <c r="G1523" s="27" t="s">
        <v>18020</v>
      </c>
      <c r="H1523" s="27" t="s">
        <v>18031</v>
      </c>
      <c r="I1523" s="27"/>
      <c r="J1523" s="27"/>
      <c r="K1523" s="27"/>
      <c r="L1523" s="27"/>
      <c r="N1523" s="27"/>
      <c r="T1523" s="28" t="str">
        <f>LOOKUP(1,1/(Table1[[#This Row],[Level_0]:[Level 15]]&gt;0),(Table1[[#This Row],[Level_0]:[Level 15]]))</f>
        <v>7600304226 - [DAA_Cleaning Kitchen]</v>
      </c>
      <c r="U1523" s="22">
        <v>1518</v>
      </c>
      <c r="W1523" s="13" t="str">
        <f>LOOKUP(1,1/(Table1[[#This Row],[Level_0]:[Level 15]]&gt;0),(Table1[[#This Row],[Level_0]:[Level 15]]))</f>
        <v>7600304226 - [DAA_Cleaning Kitchen]</v>
      </c>
    </row>
    <row r="1524" spans="1:23" hidden="1" x14ac:dyDescent="0.25">
      <c r="A1524">
        <v>7600304224</v>
      </c>
      <c r="B1524" s="16" t="s">
        <v>21415</v>
      </c>
      <c r="C1524" s="16" t="e">
        <f>VLOOKUP(Table1[[#This Row],[Node]],Parent!A:B,2,0)</f>
        <v>#N/A</v>
      </c>
      <c r="D1524" s="25" t="s">
        <v>19346</v>
      </c>
      <c r="E1524" s="26" t="s">
        <v>16544</v>
      </c>
      <c r="F1524" s="27" t="s">
        <v>17843</v>
      </c>
      <c r="G1524" s="27" t="s">
        <v>18020</v>
      </c>
      <c r="H1524" s="27" t="s">
        <v>18032</v>
      </c>
      <c r="I1524" s="27"/>
      <c r="J1524" s="27"/>
      <c r="K1524" s="27"/>
      <c r="L1524" s="27"/>
      <c r="N1524" s="27"/>
      <c r="T1524" s="28" t="str">
        <f>LOOKUP(1,1/(Table1[[#This Row],[Level_0]:[Level 15]]&gt;0),(Table1[[#This Row],[Level_0]:[Level 15]]))</f>
        <v>7600304224 - [DAA_Wash. Lab Equip.]</v>
      </c>
      <c r="U1524" s="22">
        <v>1519</v>
      </c>
      <c r="W1524" s="13" t="str">
        <f>LOOKUP(1,1/(Table1[[#This Row],[Level_0]:[Level 15]]&gt;0),(Table1[[#This Row],[Level_0]:[Level 15]]))</f>
        <v>7600304224 - [DAA_Wash. Lab Equip.]</v>
      </c>
    </row>
    <row r="1525" spans="1:23" hidden="1" x14ac:dyDescent="0.25">
      <c r="A1525">
        <v>7600304223</v>
      </c>
      <c r="B1525" s="16" t="s">
        <v>21414</v>
      </c>
      <c r="C1525" s="16" t="e">
        <f>VLOOKUP(Table1[[#This Row],[Node]],Parent!A:B,2,0)</f>
        <v>#N/A</v>
      </c>
      <c r="D1525" s="25" t="s">
        <v>19346</v>
      </c>
      <c r="E1525" s="26" t="s">
        <v>16544</v>
      </c>
      <c r="F1525" s="27" t="s">
        <v>17843</v>
      </c>
      <c r="G1525" s="27" t="s">
        <v>18020</v>
      </c>
      <c r="H1525" s="27" t="s">
        <v>18033</v>
      </c>
      <c r="I1525" s="27"/>
      <c r="J1525" s="27"/>
      <c r="K1525" s="27"/>
      <c r="L1525" s="27"/>
      <c r="N1525" s="27"/>
      <c r="T1525" s="28" t="str">
        <f>LOOKUP(1,1/(Table1[[#This Row],[Level_0]:[Level 15]]&gt;0),(Table1[[#This Row],[Level_0]:[Level 15]]))</f>
        <v>7600304223 - [DAA_Estate Serv.]</v>
      </c>
      <c r="U1525" s="22">
        <v>1520</v>
      </c>
      <c r="W1525" s="13" t="str">
        <f>LOOKUP(1,1/(Table1[[#This Row],[Level_0]:[Level 15]]&gt;0),(Table1[[#This Row],[Level_0]:[Level 15]]))</f>
        <v>7600304223 - [DAA_Estate Serv.]</v>
      </c>
    </row>
    <row r="1526" spans="1:23" hidden="1" x14ac:dyDescent="0.25">
      <c r="A1526">
        <v>7600304220</v>
      </c>
      <c r="B1526" s="16" t="s">
        <v>21411</v>
      </c>
      <c r="C1526" s="16" t="e">
        <f>VLOOKUP(Table1[[#This Row],[Node]],Parent!A:B,2,0)</f>
        <v>#N/A</v>
      </c>
      <c r="D1526" s="25" t="s">
        <v>19346</v>
      </c>
      <c r="E1526" s="26" t="s">
        <v>16544</v>
      </c>
      <c r="F1526" s="27" t="s">
        <v>17843</v>
      </c>
      <c r="G1526" s="27" t="s">
        <v>18020</v>
      </c>
      <c r="H1526" s="27" t="s">
        <v>18034</v>
      </c>
      <c r="I1526" s="27"/>
      <c r="J1526" s="27"/>
      <c r="K1526" s="27"/>
      <c r="L1526" s="27"/>
      <c r="N1526" s="27"/>
      <c r="T1526" s="28" t="str">
        <f>LOOKUP(1,1/(Table1[[#This Row],[Level_0]:[Level 15]]&gt;0),(Table1[[#This Row],[Level_0]:[Level 15]]))</f>
        <v>7600304220 - [DAA_Gen.Lab.Services]</v>
      </c>
      <c r="U1526" s="22">
        <v>1521</v>
      </c>
      <c r="W1526" s="13" t="str">
        <f>LOOKUP(1,1/(Table1[[#This Row],[Level_0]:[Level 15]]&gt;0),(Table1[[#This Row],[Level_0]:[Level 15]]))</f>
        <v>7600304220 - [DAA_Gen.Lab.Services]</v>
      </c>
    </row>
    <row r="1527" spans="1:23" hidden="1" x14ac:dyDescent="0.25">
      <c r="A1527">
        <v>7600304218</v>
      </c>
      <c r="B1527" s="16" t="s">
        <v>21409</v>
      </c>
      <c r="C1527" s="16" t="e">
        <f>VLOOKUP(Table1[[#This Row],[Node]],Parent!A:B,2,0)</f>
        <v>#N/A</v>
      </c>
      <c r="D1527" s="25" t="s">
        <v>19346</v>
      </c>
      <c r="E1527" s="26" t="s">
        <v>16544</v>
      </c>
      <c r="F1527" s="27" t="s">
        <v>17843</v>
      </c>
      <c r="G1527" s="27" t="s">
        <v>18020</v>
      </c>
      <c r="H1527" s="27" t="s">
        <v>18035</v>
      </c>
      <c r="I1527" s="27"/>
      <c r="J1527" s="27"/>
      <c r="K1527" s="27"/>
      <c r="L1527" s="27"/>
      <c r="N1527" s="27"/>
      <c r="T1527" s="28" t="str">
        <f>LOOKUP(1,1/(Table1[[#This Row],[Level_0]:[Level 15]]&gt;0),(Table1[[#This Row],[Level_0]:[Level 15]]))</f>
        <v>7600304218 - [DAA_Verkehrsflächen Mgt]</v>
      </c>
      <c r="U1527" s="22">
        <v>1522</v>
      </c>
      <c r="W1527" s="13" t="str">
        <f>LOOKUP(1,1/(Table1[[#This Row],[Level_0]:[Level 15]]&gt;0),(Table1[[#This Row],[Level_0]:[Level 15]]))</f>
        <v>7600304218 - [DAA_Verkehrsflächen Mgt]</v>
      </c>
    </row>
    <row r="1528" spans="1:23" hidden="1" x14ac:dyDescent="0.25">
      <c r="A1528">
        <v>7600304190</v>
      </c>
      <c r="B1528" s="16" t="s">
        <v>21383</v>
      </c>
      <c r="C1528" s="16" t="e">
        <f>VLOOKUP(Table1[[#This Row],[Node]],Parent!A:B,2,0)</f>
        <v>#N/A</v>
      </c>
      <c r="D1528" s="25" t="s">
        <v>19346</v>
      </c>
      <c r="E1528" s="26" t="s">
        <v>16544</v>
      </c>
      <c r="F1528" s="27" t="s">
        <v>17843</v>
      </c>
      <c r="G1528" s="27" t="s">
        <v>18020</v>
      </c>
      <c r="H1528" s="27" t="s">
        <v>18036</v>
      </c>
      <c r="I1528" s="27"/>
      <c r="J1528" s="27"/>
      <c r="K1528" s="27"/>
      <c r="L1528" s="27"/>
      <c r="N1528" s="27"/>
      <c r="T1528" s="28" t="str">
        <f>LOOKUP(1,1/(Table1[[#This Row],[Level_0]:[Level 15]]&gt;0),(Table1[[#This Row],[Level_0]:[Level 15]]))</f>
        <v>7600304190 - [DAA_ZPR]</v>
      </c>
      <c r="U1528" s="22">
        <v>1523</v>
      </c>
      <c r="W1528" s="13" t="str">
        <f>LOOKUP(1,1/(Table1[[#This Row],[Level_0]:[Level 15]]&gt;0),(Table1[[#This Row],[Level_0]:[Level 15]]))</f>
        <v>7600304190 - [DAA_ZPR]</v>
      </c>
    </row>
    <row r="1529" spans="1:23" hidden="1" x14ac:dyDescent="0.25">
      <c r="A1529">
        <v>7600304184</v>
      </c>
      <c r="B1529" s="16" t="s">
        <v>21379</v>
      </c>
      <c r="C1529" s="16" t="e">
        <f>VLOOKUP(Table1[[#This Row],[Node]],Parent!A:B,2,0)</f>
        <v>#N/A</v>
      </c>
      <c r="D1529" s="25" t="s">
        <v>19346</v>
      </c>
      <c r="E1529" s="26" t="s">
        <v>16544</v>
      </c>
      <c r="F1529" s="27" t="s">
        <v>17843</v>
      </c>
      <c r="G1529" s="27" t="s">
        <v>18020</v>
      </c>
      <c r="H1529" s="27" t="s">
        <v>18037</v>
      </c>
      <c r="I1529" s="27"/>
      <c r="J1529" s="27"/>
      <c r="K1529" s="27"/>
      <c r="L1529" s="27"/>
      <c r="N1529" s="27"/>
      <c r="T1529" s="28" t="str">
        <f>LOOKUP(1,1/(Table1[[#This Row],[Level_0]:[Level 15]]&gt;0),(Table1[[#This Row],[Level_0]:[Level 15]]))</f>
        <v>7600304184 - [DAA_Strat.Con.Inv.]</v>
      </c>
      <c r="U1529" s="22">
        <v>1524</v>
      </c>
      <c r="W1529" s="13" t="str">
        <f>LOOKUP(1,1/(Table1[[#This Row],[Level_0]:[Level 15]]&gt;0),(Table1[[#This Row],[Level_0]:[Level 15]]))</f>
        <v>7600304184 - [DAA_Strat.Con.Inv.]</v>
      </c>
    </row>
    <row r="1530" spans="1:23" hidden="1" x14ac:dyDescent="0.25">
      <c r="A1530">
        <v>7600304183</v>
      </c>
      <c r="B1530" s="16" t="s">
        <v>21378</v>
      </c>
      <c r="C1530" s="16" t="e">
        <f>VLOOKUP(Table1[[#This Row],[Node]],Parent!A:B,2,0)</f>
        <v>#N/A</v>
      </c>
      <c r="D1530" s="25" t="s">
        <v>19346</v>
      </c>
      <c r="E1530" s="26" t="s">
        <v>16544</v>
      </c>
      <c r="F1530" s="27" t="s">
        <v>17843</v>
      </c>
      <c r="G1530" s="27" t="s">
        <v>18020</v>
      </c>
      <c r="H1530" s="27" t="s">
        <v>18038</v>
      </c>
      <c r="I1530" s="27"/>
      <c r="J1530" s="27"/>
      <c r="K1530" s="27"/>
      <c r="L1530" s="27"/>
      <c r="N1530" s="27"/>
      <c r="T1530" s="28" t="str">
        <f>LOOKUP(1,1/(Table1[[#This Row],[Level_0]:[Level 15]]&gt;0),(Table1[[#This Row],[Level_0]:[Level 15]]))</f>
        <v>7600304183 - [DAA_SM_Service_Oth]</v>
      </c>
      <c r="U1530" s="22">
        <v>1525</v>
      </c>
      <c r="W1530" s="13" t="str">
        <f>LOOKUP(1,1/(Table1[[#This Row],[Level_0]:[Level 15]]&gt;0),(Table1[[#This Row],[Level_0]:[Level 15]]))</f>
        <v>7600304183 - [DAA_SM_Service_Oth]</v>
      </c>
    </row>
    <row r="1531" spans="1:23" hidden="1" x14ac:dyDescent="0.25">
      <c r="A1531">
        <v>7600304172</v>
      </c>
      <c r="B1531" s="16" t="s">
        <v>21370</v>
      </c>
      <c r="C1531" s="16" t="e">
        <f>VLOOKUP(Table1[[#This Row],[Node]],Parent!A:B,2,0)</f>
        <v>#N/A</v>
      </c>
      <c r="D1531" s="25" t="s">
        <v>19346</v>
      </c>
      <c r="E1531" s="26" t="s">
        <v>16544</v>
      </c>
      <c r="F1531" s="27" t="s">
        <v>17843</v>
      </c>
      <c r="G1531" s="27" t="s">
        <v>18020</v>
      </c>
      <c r="H1531" s="27" t="s">
        <v>18039</v>
      </c>
      <c r="I1531" s="27"/>
      <c r="J1531" s="27"/>
      <c r="K1531" s="27"/>
      <c r="L1531" s="27"/>
      <c r="N1531" s="27"/>
      <c r="T1531" s="28" t="str">
        <f>LOOKUP(1,1/(Table1[[#This Row],[Level_0]:[Level 15]]&gt;0),(Table1[[#This Row],[Level_0]:[Level 15]]))</f>
        <v>7600304172 - [DAA Access Service]</v>
      </c>
      <c r="U1531" s="22">
        <v>1526</v>
      </c>
      <c r="W1531" s="13" t="str">
        <f>LOOKUP(1,1/(Table1[[#This Row],[Level_0]:[Level 15]]&gt;0),(Table1[[#This Row],[Level_0]:[Level 15]]))</f>
        <v>7600304172 - [DAA Access Service]</v>
      </c>
    </row>
    <row r="1532" spans="1:23" hidden="1" x14ac:dyDescent="0.25">
      <c r="A1532">
        <v>7600304165</v>
      </c>
      <c r="B1532" s="16" t="s">
        <v>21363</v>
      </c>
      <c r="C1532" s="16" t="e">
        <f>VLOOKUP(Table1[[#This Row],[Node]],Parent!A:B,2,0)</f>
        <v>#N/A</v>
      </c>
      <c r="D1532" s="25" t="s">
        <v>19346</v>
      </c>
      <c r="E1532" s="26" t="s">
        <v>16544</v>
      </c>
      <c r="F1532" s="27" t="s">
        <v>17843</v>
      </c>
      <c r="G1532" s="27" t="s">
        <v>18020</v>
      </c>
      <c r="H1532" s="27" t="s">
        <v>18040</v>
      </c>
      <c r="I1532" s="27"/>
      <c r="J1532" s="27"/>
      <c r="K1532" s="27"/>
      <c r="L1532" s="27"/>
      <c r="N1532" s="27"/>
      <c r="T1532" s="28" t="str">
        <f>LOOKUP(1,1/(Table1[[#This Row],[Level_0]:[Level 15]]&gt;0),(Table1[[#This Row],[Level_0]:[Level 15]]))</f>
        <v>7600304165 - [DAA Safety Services]</v>
      </c>
      <c r="U1532" s="22">
        <v>1527</v>
      </c>
      <c r="W1532" s="13" t="str">
        <f>LOOKUP(1,1/(Table1[[#This Row],[Level_0]:[Level 15]]&gt;0),(Table1[[#This Row],[Level_0]:[Level 15]]))</f>
        <v>7600304165 - [DAA Safety Services]</v>
      </c>
    </row>
    <row r="1533" spans="1:23" hidden="1" x14ac:dyDescent="0.25">
      <c r="A1533">
        <v>7600304161</v>
      </c>
      <c r="B1533" s="16" t="s">
        <v>21359</v>
      </c>
      <c r="C1533" s="16" t="e">
        <f>VLOOKUP(Table1[[#This Row],[Node]],Parent!A:B,2,0)</f>
        <v>#N/A</v>
      </c>
      <c r="D1533" s="25" t="s">
        <v>19346</v>
      </c>
      <c r="E1533" s="26" t="s">
        <v>16544</v>
      </c>
      <c r="F1533" s="27" t="s">
        <v>17843</v>
      </c>
      <c r="G1533" s="27" t="s">
        <v>18020</v>
      </c>
      <c r="H1533" s="27" t="s">
        <v>18041</v>
      </c>
      <c r="I1533" s="27"/>
      <c r="J1533" s="27"/>
      <c r="K1533" s="27"/>
      <c r="L1533" s="27"/>
      <c r="N1533" s="27"/>
      <c r="T1533" s="28" t="str">
        <f>LOOKUP(1,1/(Table1[[#This Row],[Level_0]:[Level 15]]&gt;0),(Table1[[#This Row],[Level_0]:[Level 15]]))</f>
        <v>7600304161 - [DAA HQ Campus]</v>
      </c>
      <c r="U1533" s="22">
        <v>1528</v>
      </c>
      <c r="W1533" s="13" t="str">
        <f>LOOKUP(1,1/(Table1[[#This Row],[Level_0]:[Level 15]]&gt;0),(Table1[[#This Row],[Level_0]:[Level 15]]))</f>
        <v>7600304161 - [DAA HQ Campus]</v>
      </c>
    </row>
    <row r="1534" spans="1:23" hidden="1" x14ac:dyDescent="0.25">
      <c r="A1534">
        <v>7600304154</v>
      </c>
      <c r="B1534" s="16" t="s">
        <v>21352</v>
      </c>
      <c r="C1534" s="16" t="e">
        <f>VLOOKUP(Table1[[#This Row],[Node]],Parent!A:B,2,0)</f>
        <v>#N/A</v>
      </c>
      <c r="D1534" s="25" t="s">
        <v>19346</v>
      </c>
      <c r="E1534" s="26" t="s">
        <v>16544</v>
      </c>
      <c r="F1534" s="27" t="s">
        <v>17843</v>
      </c>
      <c r="G1534" s="27" t="s">
        <v>18020</v>
      </c>
      <c r="H1534" s="27" t="s">
        <v>18042</v>
      </c>
      <c r="I1534" s="27"/>
      <c r="J1534" s="27"/>
      <c r="K1534" s="27"/>
      <c r="L1534" s="27"/>
      <c r="N1534" s="27"/>
      <c r="T1534" s="28" t="str">
        <f>LOOKUP(1,1/(Table1[[#This Row],[Level_0]:[Level 15]]&gt;0),(Table1[[#This Row],[Level_0]:[Level 15]]))</f>
        <v>7600304154 - [DAA Letter Processing]</v>
      </c>
      <c r="U1534" s="22">
        <v>1529</v>
      </c>
      <c r="W1534" s="13" t="str">
        <f>LOOKUP(1,1/(Table1[[#This Row],[Level_0]:[Level 15]]&gt;0),(Table1[[#This Row],[Level_0]:[Level 15]]))</f>
        <v>7600304154 - [DAA Letter Processing]</v>
      </c>
    </row>
    <row r="1535" spans="1:23" hidden="1" x14ac:dyDescent="0.25">
      <c r="A1535">
        <v>7600304146</v>
      </c>
      <c r="B1535" s="16" t="s">
        <v>21344</v>
      </c>
      <c r="C1535" s="16" t="e">
        <f>VLOOKUP(Table1[[#This Row],[Node]],Parent!A:B,2,0)</f>
        <v>#N/A</v>
      </c>
      <c r="D1535" s="25" t="s">
        <v>19346</v>
      </c>
      <c r="E1535" s="26" t="s">
        <v>16544</v>
      </c>
      <c r="F1535" s="27" t="s">
        <v>17843</v>
      </c>
      <c r="G1535" s="27" t="s">
        <v>18020</v>
      </c>
      <c r="H1535" s="27" t="s">
        <v>18043</v>
      </c>
      <c r="I1535" s="27"/>
      <c r="J1535" s="27"/>
      <c r="K1535" s="27"/>
      <c r="L1535" s="27"/>
      <c r="N1535" s="27"/>
      <c r="T1535" s="28" t="str">
        <f>LOOKUP(1,1/(Table1[[#This Row],[Level_0]:[Level 15]]&gt;0),(Table1[[#This Row],[Level_0]:[Level 15]]))</f>
        <v>7600304146 - [DAA Preventive Health Services]</v>
      </c>
      <c r="U1535" s="22">
        <v>1530</v>
      </c>
      <c r="W1535" s="13" t="str">
        <f>LOOKUP(1,1/(Table1[[#This Row],[Level_0]:[Level 15]]&gt;0),(Table1[[#This Row],[Level_0]:[Level 15]]))</f>
        <v>7600304146 - [DAA Preventive Health Services]</v>
      </c>
    </row>
    <row r="1536" spans="1:23" hidden="1" x14ac:dyDescent="0.25">
      <c r="A1536">
        <v>7600304145</v>
      </c>
      <c r="B1536" s="16" t="s">
        <v>21343</v>
      </c>
      <c r="C1536" s="16" t="e">
        <f>VLOOKUP(Table1[[#This Row],[Node]],Parent!A:B,2,0)</f>
        <v>#N/A</v>
      </c>
      <c r="D1536" s="25" t="s">
        <v>19346</v>
      </c>
      <c r="E1536" s="26" t="s">
        <v>16544</v>
      </c>
      <c r="F1536" s="27" t="s">
        <v>17843</v>
      </c>
      <c r="G1536" s="27" t="s">
        <v>18020</v>
      </c>
      <c r="H1536" s="27" t="s">
        <v>18044</v>
      </c>
      <c r="I1536" s="27"/>
      <c r="J1536" s="27"/>
      <c r="K1536" s="27"/>
      <c r="L1536" s="27"/>
      <c r="N1536" s="27"/>
      <c r="T1536" s="28" t="str">
        <f>LOOKUP(1,1/(Table1[[#This Row],[Level_0]:[Level 15]]&gt;0),(Table1[[#This Row],[Level_0]:[Level 15]]))</f>
        <v>7600304145 - [DAA Health Counselling]</v>
      </c>
      <c r="U1536" s="22">
        <v>1531</v>
      </c>
      <c r="W1536" s="13" t="str">
        <f>LOOKUP(1,1/(Table1[[#This Row],[Level_0]:[Level 15]]&gt;0),(Table1[[#This Row],[Level_0]:[Level 15]]))</f>
        <v>7600304145 - [DAA Health Counselling]</v>
      </c>
    </row>
    <row r="1537" spans="1:23" hidden="1" x14ac:dyDescent="0.25">
      <c r="A1537">
        <v>7600304141</v>
      </c>
      <c r="B1537" s="16" t="s">
        <v>21339</v>
      </c>
      <c r="C1537" s="16" t="e">
        <f>VLOOKUP(Table1[[#This Row],[Node]],Parent!A:B,2,0)</f>
        <v>#N/A</v>
      </c>
      <c r="D1537" s="25" t="s">
        <v>19346</v>
      </c>
      <c r="E1537" s="26" t="s">
        <v>16544</v>
      </c>
      <c r="F1537" s="27" t="s">
        <v>17843</v>
      </c>
      <c r="G1537" s="27" t="s">
        <v>18020</v>
      </c>
      <c r="H1537" s="27" t="s">
        <v>18045</v>
      </c>
      <c r="I1537" s="27"/>
      <c r="J1537" s="27"/>
      <c r="K1537" s="27"/>
      <c r="L1537" s="27"/>
      <c r="N1537" s="27"/>
      <c r="T1537" s="28" t="str">
        <f>LOOKUP(1,1/(Table1[[#This Row],[Level_0]:[Level 15]]&gt;0),(Table1[[#This Row],[Level_0]:[Level 15]]))</f>
        <v>7600304141 - [DAA Support Health Projects]</v>
      </c>
      <c r="U1537" s="22">
        <v>1532</v>
      </c>
      <c r="W1537" s="13" t="str">
        <f>LOOKUP(1,1/(Table1[[#This Row],[Level_0]:[Level 15]]&gt;0),(Table1[[#This Row],[Level_0]:[Level 15]]))</f>
        <v>7600304141 - [DAA Support Health Projects]</v>
      </c>
    </row>
    <row r="1538" spans="1:23" hidden="1" x14ac:dyDescent="0.25">
      <c r="A1538">
        <v>7600304128</v>
      </c>
      <c r="B1538" s="16" t="s">
        <v>21326</v>
      </c>
      <c r="C1538" s="16" t="e">
        <f>VLOOKUP(Table1[[#This Row],[Node]],Parent!A:B,2,0)</f>
        <v>#N/A</v>
      </c>
      <c r="D1538" s="25" t="s">
        <v>19346</v>
      </c>
      <c r="E1538" s="26" t="s">
        <v>16544</v>
      </c>
      <c r="F1538" s="27" t="s">
        <v>17843</v>
      </c>
      <c r="G1538" s="27" t="s">
        <v>18020</v>
      </c>
      <c r="H1538" s="27" t="s">
        <v>18046</v>
      </c>
      <c r="I1538" s="27"/>
      <c r="J1538" s="27"/>
      <c r="K1538" s="27"/>
      <c r="L1538" s="27"/>
      <c r="N1538" s="27"/>
      <c r="T1538" s="28" t="str">
        <f>LOOKUP(1,1/(Table1[[#This Row],[Level_0]:[Level 15]]&gt;0),(Table1[[#This Row],[Level_0]:[Level 15]]))</f>
        <v>7600304128 - [DAA Ambulance]</v>
      </c>
      <c r="U1538" s="22">
        <v>1533</v>
      </c>
      <c r="W1538" s="13" t="str">
        <f>LOOKUP(1,1/(Table1[[#This Row],[Level_0]:[Level 15]]&gt;0),(Table1[[#This Row],[Level_0]:[Level 15]]))</f>
        <v>7600304128 - [DAA Ambulance]</v>
      </c>
    </row>
    <row r="1539" spans="1:23" hidden="1" x14ac:dyDescent="0.25">
      <c r="A1539">
        <v>7600304127</v>
      </c>
      <c r="B1539" s="16" t="s">
        <v>21325</v>
      </c>
      <c r="C1539" s="16" t="e">
        <f>VLOOKUP(Table1[[#This Row],[Node]],Parent!A:B,2,0)</f>
        <v>#N/A</v>
      </c>
      <c r="D1539" s="25" t="s">
        <v>19346</v>
      </c>
      <c r="E1539" s="26" t="s">
        <v>16544</v>
      </c>
      <c r="F1539" s="27" t="s">
        <v>17843</v>
      </c>
      <c r="G1539" s="27" t="s">
        <v>18020</v>
      </c>
      <c r="H1539" s="27" t="s">
        <v>18047</v>
      </c>
      <c r="I1539" s="27"/>
      <c r="J1539" s="27"/>
      <c r="K1539" s="27"/>
      <c r="L1539" s="27"/>
      <c r="N1539" s="27"/>
      <c r="T1539" s="28" t="str">
        <f>LOOKUP(1,1/(Table1[[#This Row],[Level_0]:[Level 15]]&gt;0),(Table1[[#This Row],[Level_0]:[Level 15]]))</f>
        <v>7600304127 - [DAA Enviro.Analyt.Ground]</v>
      </c>
      <c r="U1539" s="22">
        <v>1534</v>
      </c>
      <c r="W1539" s="13" t="str">
        <f>LOOKUP(1,1/(Table1[[#This Row],[Level_0]:[Level 15]]&gt;0),(Table1[[#This Row],[Level_0]:[Level 15]]))</f>
        <v>7600304127 - [DAA Enviro.Analyt.Ground]</v>
      </c>
    </row>
    <row r="1540" spans="1:23" hidden="1" x14ac:dyDescent="0.25">
      <c r="A1540">
        <v>7600304123</v>
      </c>
      <c r="B1540" s="16" t="s">
        <v>21279</v>
      </c>
      <c r="C1540" s="16" t="e">
        <f>VLOOKUP(Table1[[#This Row],[Node]],Parent!A:B,2,0)</f>
        <v>#N/A</v>
      </c>
      <c r="D1540" s="25" t="s">
        <v>19346</v>
      </c>
      <c r="E1540" s="26" t="s">
        <v>16544</v>
      </c>
      <c r="F1540" s="27" t="s">
        <v>17843</v>
      </c>
      <c r="G1540" s="27" t="s">
        <v>18020</v>
      </c>
      <c r="H1540" s="27" t="s">
        <v>18048</v>
      </c>
      <c r="I1540" s="27"/>
      <c r="J1540" s="27"/>
      <c r="K1540" s="27"/>
      <c r="L1540" s="27"/>
      <c r="N1540" s="27"/>
      <c r="T1540" s="28" t="str">
        <f>LOOKUP(1,1/(Table1[[#This Row],[Level_0]:[Level 15]]&gt;0),(Table1[[#This Row],[Level_0]:[Level 15]]))</f>
        <v>7600304123 - [DAA Supervision &amp; control work safety]</v>
      </c>
      <c r="U1540" s="22">
        <v>1535</v>
      </c>
      <c r="W1540" s="13" t="str">
        <f>LOOKUP(1,1/(Table1[[#This Row],[Level_0]:[Level 15]]&gt;0),(Table1[[#This Row],[Level_0]:[Level 15]]))</f>
        <v>7600304123 - [DAA Supervision &amp; control work safety]</v>
      </c>
    </row>
    <row r="1541" spans="1:23" hidden="1" x14ac:dyDescent="0.25">
      <c r="A1541">
        <v>7600304105</v>
      </c>
      <c r="B1541" s="16" t="s">
        <v>21304</v>
      </c>
      <c r="C1541" s="16" t="e">
        <f>VLOOKUP(Table1[[#This Row],[Node]],Parent!A:B,2,0)</f>
        <v>#N/A</v>
      </c>
      <c r="D1541" s="25" t="s">
        <v>19346</v>
      </c>
      <c r="E1541" s="26" t="s">
        <v>16544</v>
      </c>
      <c r="F1541" s="27" t="s">
        <v>17843</v>
      </c>
      <c r="G1541" s="27" t="s">
        <v>18020</v>
      </c>
      <c r="H1541" s="27" t="s">
        <v>18049</v>
      </c>
      <c r="I1541" s="27"/>
      <c r="J1541" s="27"/>
      <c r="K1541" s="27"/>
      <c r="L1541" s="27"/>
      <c r="N1541" s="27"/>
      <c r="T1541" s="28" t="str">
        <f>LOOKUP(1,1/(Table1[[#This Row],[Level_0]:[Level 15]]&gt;0),(Table1[[#This Row],[Level_0]:[Level 15]]))</f>
        <v>7600304105 - [DAA Site Development]</v>
      </c>
      <c r="U1541" s="22">
        <v>1536</v>
      </c>
      <c r="W1541" s="13" t="str">
        <f>LOOKUP(1,1/(Table1[[#This Row],[Level_0]:[Level 15]]&gt;0),(Table1[[#This Row],[Level_0]:[Level 15]]))</f>
        <v>7600304105 - [DAA Site Development]</v>
      </c>
    </row>
    <row r="1542" spans="1:23" hidden="1" x14ac:dyDescent="0.25">
      <c r="A1542">
        <v>7600304101</v>
      </c>
      <c r="B1542" s="16" t="s">
        <v>21300</v>
      </c>
      <c r="C1542" s="16" t="e">
        <f>VLOOKUP(Table1[[#This Row],[Node]],Parent!A:B,2,0)</f>
        <v>#N/A</v>
      </c>
      <c r="D1542" s="25" t="s">
        <v>19346</v>
      </c>
      <c r="E1542" s="26" t="s">
        <v>16544</v>
      </c>
      <c r="F1542" s="27" t="s">
        <v>17843</v>
      </c>
      <c r="G1542" s="27" t="s">
        <v>18020</v>
      </c>
      <c r="H1542" s="27" t="s">
        <v>18050</v>
      </c>
      <c r="I1542" s="27"/>
      <c r="J1542" s="27"/>
      <c r="K1542" s="27"/>
      <c r="L1542" s="27"/>
      <c r="N1542" s="27"/>
      <c r="T1542" s="28" t="str">
        <f>LOOKUP(1,1/(Table1[[#This Row],[Level_0]:[Level 15]]&gt;0),(Table1[[#This Row],[Level_0]:[Level 15]]))</f>
        <v>7600304101 - [DAA Commercial renting]</v>
      </c>
      <c r="U1542" s="22">
        <v>1537</v>
      </c>
      <c r="W1542" s="13" t="str">
        <f>LOOKUP(1,1/(Table1[[#This Row],[Level_0]:[Level 15]]&gt;0),(Table1[[#This Row],[Level_0]:[Level 15]]))</f>
        <v>7600304101 - [DAA Commercial renting]</v>
      </c>
    </row>
    <row r="1543" spans="1:23" hidden="1" x14ac:dyDescent="0.25">
      <c r="A1543">
        <v>7600304100</v>
      </c>
      <c r="B1543" s="16" t="s">
        <v>21299</v>
      </c>
      <c r="C1543" s="16" t="e">
        <f>VLOOKUP(Table1[[#This Row],[Node]],Parent!A:B,2,0)</f>
        <v>#N/A</v>
      </c>
      <c r="D1543" s="25" t="s">
        <v>19346</v>
      </c>
      <c r="E1543" s="26" t="s">
        <v>16544</v>
      </c>
      <c r="F1543" s="27" t="s">
        <v>17843</v>
      </c>
      <c r="G1543" s="27" t="s">
        <v>18020</v>
      </c>
      <c r="H1543" s="27" t="s">
        <v>18051</v>
      </c>
      <c r="I1543" s="27"/>
      <c r="J1543" s="27"/>
      <c r="K1543" s="27"/>
      <c r="L1543" s="27"/>
      <c r="N1543" s="27"/>
      <c r="T1543" s="28" t="str">
        <f>LOOKUP(1,1/(Table1[[#This Row],[Level_0]:[Level 15]]&gt;0),(Table1[[#This Row],[Level_0]:[Level 15]]))</f>
        <v>7600304100 - [DAA Apartment rental]</v>
      </c>
      <c r="U1543" s="22">
        <v>1538</v>
      </c>
      <c r="W1543" s="13" t="str">
        <f>LOOKUP(1,1/(Table1[[#This Row],[Level_0]:[Level 15]]&gt;0),(Table1[[#This Row],[Level_0]:[Level 15]]))</f>
        <v>7600304100 - [DAA Apartment rental]</v>
      </c>
    </row>
    <row r="1544" spans="1:23" hidden="1" x14ac:dyDescent="0.25">
      <c r="A1544">
        <v>7600304096</v>
      </c>
      <c r="B1544" s="16" t="s">
        <v>21295</v>
      </c>
      <c r="C1544" s="16" t="e">
        <f>VLOOKUP(Table1[[#This Row],[Node]],Parent!A:B,2,0)</f>
        <v>#N/A</v>
      </c>
      <c r="D1544" s="25" t="s">
        <v>19346</v>
      </c>
      <c r="E1544" s="26" t="s">
        <v>16544</v>
      </c>
      <c r="F1544" s="27" t="s">
        <v>17843</v>
      </c>
      <c r="G1544" s="27" t="s">
        <v>18020</v>
      </c>
      <c r="H1544" s="27" t="s">
        <v>18052</v>
      </c>
      <c r="I1544" s="27"/>
      <c r="J1544" s="27"/>
      <c r="K1544" s="27"/>
      <c r="L1544" s="27"/>
      <c r="N1544" s="27"/>
      <c r="T1544" s="28" t="str">
        <f>LOOKUP(1,1/(Table1[[#This Row],[Level_0]:[Level 15]]&gt;0),(Table1[[#This Row],[Level_0]:[Level 15]]))</f>
        <v>7600304096 - [DAA Add. Property services]</v>
      </c>
      <c r="U1544" s="22">
        <v>1539</v>
      </c>
      <c r="W1544" s="13" t="str">
        <f>LOOKUP(1,1/(Table1[[#This Row],[Level_0]:[Level 15]]&gt;0),(Table1[[#This Row],[Level_0]:[Level 15]]))</f>
        <v>7600304096 - [DAA Add. Property services]</v>
      </c>
    </row>
    <row r="1545" spans="1:23" hidden="1" x14ac:dyDescent="0.25">
      <c r="A1545">
        <v>7600304091</v>
      </c>
      <c r="B1545" s="16" t="s">
        <v>21290</v>
      </c>
      <c r="C1545" s="16" t="e">
        <f>VLOOKUP(Table1[[#This Row],[Node]],Parent!A:B,2,0)</f>
        <v>#N/A</v>
      </c>
      <c r="D1545" s="25" t="s">
        <v>19346</v>
      </c>
      <c r="E1545" s="26" t="s">
        <v>16544</v>
      </c>
      <c r="F1545" s="27" t="s">
        <v>17843</v>
      </c>
      <c r="G1545" s="27" t="s">
        <v>18020</v>
      </c>
      <c r="H1545" s="27" t="s">
        <v>18053</v>
      </c>
      <c r="I1545" s="27"/>
      <c r="J1545" s="27"/>
      <c r="K1545" s="27"/>
      <c r="L1545" s="27"/>
      <c r="N1545" s="27"/>
      <c r="T1545" s="28" t="str">
        <f>LOOKUP(1,1/(Table1[[#This Row],[Level_0]:[Level 15]]&gt;0),(Table1[[#This Row],[Level_0]:[Level 15]]))</f>
        <v>7600304091 - [DAA Site Affairs]</v>
      </c>
      <c r="U1545" s="22">
        <v>1540</v>
      </c>
      <c r="W1545" s="13" t="str">
        <f>LOOKUP(1,1/(Table1[[#This Row],[Level_0]:[Level 15]]&gt;0),(Table1[[#This Row],[Level_0]:[Level 15]]))</f>
        <v>7600304091 - [DAA Site Affairs]</v>
      </c>
    </row>
    <row r="1546" spans="1:23" hidden="1" x14ac:dyDescent="0.25">
      <c r="A1546">
        <v>7600304079</v>
      </c>
      <c r="B1546" s="16" t="s">
        <v>21279</v>
      </c>
      <c r="C1546" s="16" t="e">
        <f>VLOOKUP(Table1[[#This Row],[Node]],Parent!A:B,2,0)</f>
        <v>#N/A</v>
      </c>
      <c r="D1546" s="25" t="s">
        <v>19346</v>
      </c>
      <c r="E1546" s="26" t="s">
        <v>16544</v>
      </c>
      <c r="F1546" s="27" t="s">
        <v>17843</v>
      </c>
      <c r="G1546" s="27" t="s">
        <v>18020</v>
      </c>
      <c r="H1546" s="27" t="s">
        <v>18054</v>
      </c>
      <c r="I1546" s="27"/>
      <c r="J1546" s="27"/>
      <c r="K1546" s="27"/>
      <c r="L1546" s="27"/>
      <c r="N1546" s="27"/>
      <c r="T1546" s="28" t="str">
        <f>LOOKUP(1,1/(Table1[[#This Row],[Level_0]:[Level 15]]&gt;0),(Table1[[#This Row],[Level_0]:[Level 15]]))</f>
        <v>7600304079 - [DAA Supervision &amp; control work safety]</v>
      </c>
      <c r="U1546" s="22">
        <v>1541</v>
      </c>
      <c r="W1546" s="13" t="str">
        <f>LOOKUP(1,1/(Table1[[#This Row],[Level_0]:[Level 15]]&gt;0),(Table1[[#This Row],[Level_0]:[Level 15]]))</f>
        <v>7600304079 - [DAA Supervision &amp; control work safety]</v>
      </c>
    </row>
    <row r="1547" spans="1:23" hidden="1" x14ac:dyDescent="0.25">
      <c r="A1547">
        <v>7600304076</v>
      </c>
      <c r="B1547" s="16" t="s">
        <v>21276</v>
      </c>
      <c r="C1547" s="16" t="e">
        <f>VLOOKUP(Table1[[#This Row],[Node]],Parent!A:B,2,0)</f>
        <v>#N/A</v>
      </c>
      <c r="D1547" s="25" t="s">
        <v>19346</v>
      </c>
      <c r="E1547" s="26" t="s">
        <v>16544</v>
      </c>
      <c r="F1547" s="27" t="s">
        <v>17843</v>
      </c>
      <c r="G1547" s="27" t="s">
        <v>18020</v>
      </c>
      <c r="H1547" s="27" t="s">
        <v>18055</v>
      </c>
      <c r="I1547" s="27"/>
      <c r="J1547" s="27"/>
      <c r="K1547" s="27"/>
      <c r="L1547" s="27"/>
      <c r="N1547" s="27"/>
      <c r="T1547" s="28" t="str">
        <f>LOOKUP(1,1/(Table1[[#This Row],[Level_0]:[Level 15]]&gt;0),(Table1[[#This Row],[Level_0]:[Level 15]]))</f>
        <v>7600304076 - [DAA Site waste services]</v>
      </c>
      <c r="U1547" s="22">
        <v>1542</v>
      </c>
      <c r="W1547" s="13" t="str">
        <f>LOOKUP(1,1/(Table1[[#This Row],[Level_0]:[Level 15]]&gt;0),(Table1[[#This Row],[Level_0]:[Level 15]]))</f>
        <v>7600304076 - [DAA Site waste services]</v>
      </c>
    </row>
    <row r="1548" spans="1:23" hidden="1" x14ac:dyDescent="0.25">
      <c r="A1548">
        <v>7600304075</v>
      </c>
      <c r="B1548" s="16" t="s">
        <v>21276</v>
      </c>
      <c r="C1548" s="16" t="e">
        <f>VLOOKUP(Table1[[#This Row],[Node]],Parent!A:B,2,0)</f>
        <v>#N/A</v>
      </c>
      <c r="D1548" s="25" t="s">
        <v>19346</v>
      </c>
      <c r="E1548" s="26" t="s">
        <v>16544</v>
      </c>
      <c r="F1548" s="27" t="s">
        <v>17843</v>
      </c>
      <c r="G1548" s="27" t="s">
        <v>18020</v>
      </c>
      <c r="H1548" s="27" t="s">
        <v>18056</v>
      </c>
      <c r="I1548" s="27"/>
      <c r="J1548" s="27"/>
      <c r="K1548" s="27"/>
      <c r="L1548" s="27"/>
      <c r="N1548" s="27"/>
      <c r="T1548" s="28" t="str">
        <f>LOOKUP(1,1/(Table1[[#This Row],[Level_0]:[Level 15]]&gt;0),(Table1[[#This Row],[Level_0]:[Level 15]]))</f>
        <v>7600304075 - [DAA Site waste services]</v>
      </c>
      <c r="U1548" s="22">
        <v>1543</v>
      </c>
      <c r="W1548" s="13" t="str">
        <f>LOOKUP(1,1/(Table1[[#This Row],[Level_0]:[Level 15]]&gt;0),(Table1[[#This Row],[Level_0]:[Level 15]]))</f>
        <v>7600304075 - [DAA Site waste services]</v>
      </c>
    </row>
    <row r="1549" spans="1:23" hidden="1" x14ac:dyDescent="0.25">
      <c r="A1549">
        <v>7600304042</v>
      </c>
      <c r="B1549" s="16" t="s">
        <v>21243</v>
      </c>
      <c r="C1549" s="16" t="e">
        <f>VLOOKUP(Table1[[#This Row],[Node]],Parent!A:B,2,0)</f>
        <v>#N/A</v>
      </c>
      <c r="D1549" s="25" t="s">
        <v>19346</v>
      </c>
      <c r="E1549" s="26" t="s">
        <v>16544</v>
      </c>
      <c r="F1549" s="27" t="s">
        <v>17843</v>
      </c>
      <c r="G1549" s="27" t="s">
        <v>18020</v>
      </c>
      <c r="H1549" s="27" t="s">
        <v>18057</v>
      </c>
      <c r="I1549" s="27"/>
      <c r="J1549" s="27"/>
      <c r="K1549" s="27"/>
      <c r="L1549" s="27"/>
      <c r="N1549" s="27"/>
      <c r="T1549" s="28" t="str">
        <f>LOOKUP(1,1/(Table1[[#This Row],[Level_0]:[Level 15]]&gt;0),(Table1[[#This Row],[Level_0]:[Level 15]]))</f>
        <v>7600304042 - [DAA Consulting Energy Mgt &amp; Efficiency]</v>
      </c>
      <c r="U1549" s="22">
        <v>1544</v>
      </c>
      <c r="W1549" s="13" t="str">
        <f>LOOKUP(1,1/(Table1[[#This Row],[Level_0]:[Level 15]]&gt;0),(Table1[[#This Row],[Level_0]:[Level 15]]))</f>
        <v>7600304042 - [DAA Consulting Energy Mgt &amp; Efficiency]</v>
      </c>
    </row>
    <row r="1550" spans="1:23" hidden="1" x14ac:dyDescent="0.25">
      <c r="A1550">
        <v>7600304026</v>
      </c>
      <c r="B1550" s="16" t="s">
        <v>21227</v>
      </c>
      <c r="C1550" s="16" t="e">
        <f>VLOOKUP(Table1[[#This Row],[Node]],Parent!A:B,2,0)</f>
        <v>#N/A</v>
      </c>
      <c r="D1550" s="25" t="s">
        <v>19346</v>
      </c>
      <c r="E1550" s="26" t="s">
        <v>16544</v>
      </c>
      <c r="F1550" s="27" t="s">
        <v>17843</v>
      </c>
      <c r="G1550" s="27" t="s">
        <v>18020</v>
      </c>
      <c r="H1550" s="27" t="s">
        <v>18058</v>
      </c>
      <c r="I1550" s="27"/>
      <c r="J1550" s="27"/>
      <c r="K1550" s="27"/>
      <c r="L1550" s="27"/>
      <c r="N1550" s="27"/>
      <c r="T1550" s="28" t="str">
        <f>LOOKUP(1,1/(Table1[[#This Row],[Level_0]:[Level 15]]&gt;0),(Table1[[#This Row],[Level_0]:[Level 15]]))</f>
        <v>7600304026 - [DAA Idea management system]</v>
      </c>
      <c r="U1550" s="22">
        <v>1545</v>
      </c>
      <c r="W1550" s="13" t="str">
        <f>LOOKUP(1,1/(Table1[[#This Row],[Level_0]:[Level 15]]&gt;0),(Table1[[#This Row],[Level_0]:[Level 15]]))</f>
        <v>7600304026 - [DAA Idea management system]</v>
      </c>
    </row>
    <row r="1551" spans="1:23" hidden="1" x14ac:dyDescent="0.25">
      <c r="A1551">
        <v>7600304018</v>
      </c>
      <c r="B1551" s="16" t="s">
        <v>21219</v>
      </c>
      <c r="C1551" s="16" t="e">
        <f>VLOOKUP(Table1[[#This Row],[Node]],Parent!A:B,2,0)</f>
        <v>#N/A</v>
      </c>
      <c r="D1551" s="25" t="s">
        <v>19346</v>
      </c>
      <c r="E1551" s="26" t="s">
        <v>16544</v>
      </c>
      <c r="F1551" s="27" t="s">
        <v>17843</v>
      </c>
      <c r="G1551" s="27" t="s">
        <v>18020</v>
      </c>
      <c r="H1551" s="27" t="s">
        <v>18059</v>
      </c>
      <c r="I1551" s="27"/>
      <c r="J1551" s="27"/>
      <c r="K1551" s="27"/>
      <c r="L1551" s="27"/>
      <c r="N1551" s="27"/>
      <c r="T1551" s="28" t="str">
        <f>LOOKUP(1,1/(Table1[[#This Row],[Level_0]:[Level 15]]&gt;0),(Table1[[#This Row],[Level_0]:[Level 15]]))</f>
        <v>7600304018 - [DAA Packaging Mat. Handling]</v>
      </c>
      <c r="U1551" s="22">
        <v>1546</v>
      </c>
      <c r="W1551" s="13" t="str">
        <f>LOOKUP(1,1/(Table1[[#This Row],[Level_0]:[Level 15]]&gt;0),(Table1[[#This Row],[Level_0]:[Level 15]]))</f>
        <v>7600304018 - [DAA Packaging Mat. Handling]</v>
      </c>
    </row>
    <row r="1552" spans="1:23" hidden="1" x14ac:dyDescent="0.25">
      <c r="A1552">
        <v>7600304017</v>
      </c>
      <c r="B1552" s="16" t="s">
        <v>21218</v>
      </c>
      <c r="C1552" s="16" t="e">
        <f>VLOOKUP(Table1[[#This Row],[Node]],Parent!A:B,2,0)</f>
        <v>#N/A</v>
      </c>
      <c r="D1552" s="25" t="s">
        <v>19346</v>
      </c>
      <c r="E1552" s="26" t="s">
        <v>16544</v>
      </c>
      <c r="F1552" s="27" t="s">
        <v>17843</v>
      </c>
      <c r="G1552" s="27" t="s">
        <v>18020</v>
      </c>
      <c r="H1552" s="27" t="s">
        <v>18060</v>
      </c>
      <c r="I1552" s="27"/>
      <c r="J1552" s="27"/>
      <c r="K1552" s="27"/>
      <c r="L1552" s="27"/>
      <c r="N1552" s="27"/>
      <c r="T1552" s="28" t="str">
        <f>LOOKUP(1,1/(Table1[[#This Row],[Level_0]:[Level 15]]&gt;0),(Table1[[#This Row],[Level_0]:[Level 15]]))</f>
        <v>7600304017 - [DAA Mgmt of packaging mat.]</v>
      </c>
      <c r="U1552" s="22">
        <v>1547</v>
      </c>
      <c r="W1552" s="13" t="str">
        <f>LOOKUP(1,1/(Table1[[#This Row],[Level_0]:[Level 15]]&gt;0),(Table1[[#This Row],[Level_0]:[Level 15]]))</f>
        <v>7600304017 - [DAA Mgmt of packaging mat.]</v>
      </c>
    </row>
    <row r="1553" spans="1:23" hidden="1" x14ac:dyDescent="0.25">
      <c r="A1553">
        <v>7600304011</v>
      </c>
      <c r="B1553" s="16" t="s">
        <v>21212</v>
      </c>
      <c r="C1553" s="16" t="e">
        <f>VLOOKUP(Table1[[#This Row],[Node]],Parent!A:B,2,0)</f>
        <v>#N/A</v>
      </c>
      <c r="D1553" s="25" t="s">
        <v>19346</v>
      </c>
      <c r="E1553" s="26" t="s">
        <v>16544</v>
      </c>
      <c r="F1553" s="27" t="s">
        <v>17843</v>
      </c>
      <c r="G1553" s="27" t="s">
        <v>18020</v>
      </c>
      <c r="H1553" s="27" t="s">
        <v>18061</v>
      </c>
      <c r="I1553" s="27"/>
      <c r="J1553" s="27"/>
      <c r="K1553" s="27"/>
      <c r="L1553" s="27"/>
      <c r="N1553" s="27"/>
      <c r="T1553" s="28" t="str">
        <f>LOOKUP(1,1/(Table1[[#This Row],[Level_0]:[Level 15]]&gt;0),(Table1[[#This Row],[Level_0]:[Level 15]]))</f>
        <v>7600304011 - [DAA Service Charging &amp; Catalog]</v>
      </c>
      <c r="U1553" s="22">
        <v>1548</v>
      </c>
      <c r="W1553" s="13" t="str">
        <f>LOOKUP(1,1/(Table1[[#This Row],[Level_0]:[Level 15]]&gt;0),(Table1[[#This Row],[Level_0]:[Level 15]]))</f>
        <v>7600304011 - [DAA Service Charging &amp; Catalog]</v>
      </c>
    </row>
    <row r="1554" spans="1:23" hidden="1" x14ac:dyDescent="0.25">
      <c r="A1554">
        <v>7600304009</v>
      </c>
      <c r="B1554" s="16" t="s">
        <v>21210</v>
      </c>
      <c r="C1554" s="16" t="e">
        <f>VLOOKUP(Table1[[#This Row],[Node]],Parent!A:B,2,0)</f>
        <v>#N/A</v>
      </c>
      <c r="D1554" s="25" t="s">
        <v>19346</v>
      </c>
      <c r="E1554" s="26" t="s">
        <v>16544</v>
      </c>
      <c r="F1554" s="27" t="s">
        <v>17843</v>
      </c>
      <c r="G1554" s="27" t="s">
        <v>18020</v>
      </c>
      <c r="H1554" s="27" t="s">
        <v>18062</v>
      </c>
      <c r="I1554" s="27"/>
      <c r="J1554" s="27"/>
      <c r="K1554" s="27"/>
      <c r="L1554" s="27"/>
      <c r="N1554" s="27"/>
      <c r="T1554" s="28" t="str">
        <f>LOOKUP(1,1/(Table1[[#This Row],[Level_0]:[Level 15]]&gt;0),(Table1[[#This Row],[Level_0]:[Level 15]]))</f>
        <v>7600304009 - [DAA Vehicles Support]</v>
      </c>
      <c r="U1554" s="22">
        <v>1549</v>
      </c>
      <c r="W1554" s="13" t="str">
        <f>LOOKUP(1,1/(Table1[[#This Row],[Level_0]:[Level 15]]&gt;0),(Table1[[#This Row],[Level_0]:[Level 15]]))</f>
        <v>7600304009 - [DAA Vehicles Support]</v>
      </c>
    </row>
    <row r="1555" spans="1:23" hidden="1" x14ac:dyDescent="0.25">
      <c r="A1555">
        <v>7600304007</v>
      </c>
      <c r="B1555" s="16" t="s">
        <v>21208</v>
      </c>
      <c r="C1555" s="16" t="e">
        <f>VLOOKUP(Table1[[#This Row],[Node]],Parent!A:B,2,0)</f>
        <v>#N/A</v>
      </c>
      <c r="D1555" s="25" t="s">
        <v>19346</v>
      </c>
      <c r="E1555" s="26" t="s">
        <v>16544</v>
      </c>
      <c r="F1555" s="27" t="s">
        <v>17843</v>
      </c>
      <c r="G1555" s="27" t="s">
        <v>18020</v>
      </c>
      <c r="H1555" s="27" t="s">
        <v>18063</v>
      </c>
      <c r="I1555" s="27"/>
      <c r="J1555" s="27"/>
      <c r="K1555" s="27"/>
      <c r="L1555" s="27"/>
      <c r="N1555" s="27"/>
      <c r="T1555" s="28" t="str">
        <f>LOOKUP(1,1/(Table1[[#This Row],[Level_0]:[Level 15]]&gt;0),(Table1[[#This Row],[Level_0]:[Level 15]]))</f>
        <v>7600304007 - [DAA_Container &amp; Packaging Mgmt]</v>
      </c>
      <c r="U1555" s="22">
        <v>1550</v>
      </c>
      <c r="W1555" s="13" t="str">
        <f>LOOKUP(1,1/(Table1[[#This Row],[Level_0]:[Level 15]]&gt;0),(Table1[[#This Row],[Level_0]:[Level 15]]))</f>
        <v>7600304007 - [DAA_Container &amp; Packaging Mgmt]</v>
      </c>
    </row>
    <row r="1556" spans="1:23" hidden="1" x14ac:dyDescent="0.25">
      <c r="A1556">
        <v>7600304006</v>
      </c>
      <c r="B1556" s="16" t="s">
        <v>21207</v>
      </c>
      <c r="C1556" s="16" t="e">
        <f>VLOOKUP(Table1[[#This Row],[Node]],Parent!A:B,2,0)</f>
        <v>#N/A</v>
      </c>
      <c r="D1556" s="25" t="s">
        <v>19346</v>
      </c>
      <c r="E1556" s="26" t="s">
        <v>16544</v>
      </c>
      <c r="F1556" s="27" t="s">
        <v>17843</v>
      </c>
      <c r="G1556" s="27" t="s">
        <v>18020</v>
      </c>
      <c r="H1556" s="27" t="s">
        <v>18064</v>
      </c>
      <c r="I1556" s="27"/>
      <c r="J1556" s="27"/>
      <c r="K1556" s="27"/>
      <c r="L1556" s="27"/>
      <c r="N1556" s="27"/>
      <c r="T1556" s="28" t="str">
        <f>LOOKUP(1,1/(Table1[[#This Row],[Level_0]:[Level 15]]&gt;0),(Table1[[#This Row],[Level_0]:[Level 15]]))</f>
        <v>7600304006 - [DAA Communication Services]</v>
      </c>
      <c r="U1556" s="22">
        <v>1551</v>
      </c>
      <c r="W1556" s="13" t="str">
        <f>LOOKUP(1,1/(Table1[[#This Row],[Level_0]:[Level 15]]&gt;0),(Table1[[#This Row],[Level_0]:[Level 15]]))</f>
        <v>7600304006 - [DAA Communication Services]</v>
      </c>
    </row>
    <row r="1557" spans="1:23" hidden="1" x14ac:dyDescent="0.25">
      <c r="A1557">
        <v>7600304001</v>
      </c>
      <c r="B1557" s="16" t="s">
        <v>21202</v>
      </c>
      <c r="C1557" s="16" t="e">
        <f>VLOOKUP(Table1[[#This Row],[Node]],Parent!A:B,2,0)</f>
        <v>#N/A</v>
      </c>
      <c r="D1557" s="25" t="s">
        <v>19346</v>
      </c>
      <c r="E1557" s="26" t="s">
        <v>16544</v>
      </c>
      <c r="F1557" s="27" t="s">
        <v>17843</v>
      </c>
      <c r="G1557" s="27" t="s">
        <v>18020</v>
      </c>
      <c r="H1557" s="27" t="s">
        <v>18065</v>
      </c>
      <c r="I1557" s="27"/>
      <c r="J1557" s="27"/>
      <c r="K1557" s="27"/>
      <c r="L1557" s="27"/>
      <c r="N1557" s="27"/>
      <c r="T1557" s="28" t="str">
        <f>LOOKUP(1,1/(Table1[[#This Row],[Level_0]:[Level 15]]&gt;0),(Table1[[#This Row],[Level_0]:[Level 15]]))</f>
        <v>7600304001 - [DAA Document logistics]</v>
      </c>
      <c r="U1557" s="22">
        <v>1552</v>
      </c>
      <c r="W1557" s="13" t="str">
        <f>LOOKUP(1,1/(Table1[[#This Row],[Level_0]:[Level 15]]&gt;0),(Table1[[#This Row],[Level_0]:[Level 15]]))</f>
        <v>7600304001 - [DAA Document logistics]</v>
      </c>
    </row>
    <row r="1558" spans="1:23" hidden="1" x14ac:dyDescent="0.25">
      <c r="A1558">
        <v>7600301085</v>
      </c>
      <c r="B1558" s="16" t="s">
        <v>21197</v>
      </c>
      <c r="C1558" s="16" t="e">
        <f>VLOOKUP(Table1[[#This Row],[Node]],Parent!A:B,2,0)</f>
        <v>#N/A</v>
      </c>
      <c r="D1558" s="25" t="s">
        <v>19346</v>
      </c>
      <c r="E1558" s="26" t="s">
        <v>16544</v>
      </c>
      <c r="F1558" s="27" t="s">
        <v>17843</v>
      </c>
      <c r="G1558" s="27" t="s">
        <v>18020</v>
      </c>
      <c r="H1558" s="27" t="s">
        <v>18066</v>
      </c>
      <c r="I1558" s="27"/>
      <c r="J1558" s="27"/>
      <c r="K1558" s="27"/>
      <c r="L1558" s="27"/>
      <c r="N1558" s="27"/>
      <c r="T1558" s="28" t="str">
        <f>LOOKUP(1,1/(Table1[[#This Row],[Level_0]:[Level 15]]&gt;0),(Table1[[#This Row],[Level_0]:[Level 15]]))</f>
        <v>7600301085 - [DAA Plotting centre]</v>
      </c>
      <c r="U1558" s="22">
        <v>1553</v>
      </c>
      <c r="W1558" s="13" t="str">
        <f>LOOKUP(1,1/(Table1[[#This Row],[Level_0]:[Level 15]]&gt;0),(Table1[[#This Row],[Level_0]:[Level 15]]))</f>
        <v>7600301085 - [DAA Plotting centre]</v>
      </c>
    </row>
    <row r="1559" spans="1:23" hidden="1" x14ac:dyDescent="0.25">
      <c r="A1559">
        <v>7600301063</v>
      </c>
      <c r="B1559" s="16" t="s">
        <v>21176</v>
      </c>
      <c r="C1559" s="16" t="e">
        <f>VLOOKUP(Table1[[#This Row],[Node]],Parent!A:B,2,0)</f>
        <v>#N/A</v>
      </c>
      <c r="D1559" s="25" t="s">
        <v>19346</v>
      </c>
      <c r="E1559" s="26" t="s">
        <v>16544</v>
      </c>
      <c r="F1559" s="27" t="s">
        <v>17843</v>
      </c>
      <c r="G1559" s="27" t="s">
        <v>18020</v>
      </c>
      <c r="H1559" s="27" t="s">
        <v>18067</v>
      </c>
      <c r="I1559" s="27"/>
      <c r="J1559" s="27"/>
      <c r="K1559" s="27"/>
      <c r="L1559" s="27"/>
      <c r="N1559" s="27"/>
      <c r="T1559" s="28" t="str">
        <f>LOOKUP(1,1/(Table1[[#This Row],[Level_0]:[Level 15]]&gt;0),(Table1[[#This Row],[Level_0]:[Level 15]]))</f>
        <v>7600301063 - [DAA Maint./inspect. Concept]</v>
      </c>
      <c r="U1559" s="22">
        <v>1554</v>
      </c>
      <c r="W1559" s="13" t="str">
        <f>LOOKUP(1,1/(Table1[[#This Row],[Level_0]:[Level 15]]&gt;0),(Table1[[#This Row],[Level_0]:[Level 15]]))</f>
        <v>7600301063 - [DAA Maint./inspect. Concept]</v>
      </c>
    </row>
    <row r="1560" spans="1:23" hidden="1" x14ac:dyDescent="0.25">
      <c r="A1560">
        <v>7600301054</v>
      </c>
      <c r="B1560" s="16" t="s">
        <v>21168</v>
      </c>
      <c r="C1560" s="16" t="e">
        <f>VLOOKUP(Table1[[#This Row],[Node]],Parent!A:B,2,0)</f>
        <v>#N/A</v>
      </c>
      <c r="D1560" s="25" t="s">
        <v>19346</v>
      </c>
      <c r="E1560" s="26" t="s">
        <v>16544</v>
      </c>
      <c r="F1560" s="27" t="s">
        <v>17843</v>
      </c>
      <c r="G1560" s="27" t="s">
        <v>18020</v>
      </c>
      <c r="H1560" s="27" t="s">
        <v>18068</v>
      </c>
      <c r="I1560" s="27"/>
      <c r="J1560" s="27"/>
      <c r="K1560" s="27"/>
      <c r="L1560" s="27"/>
      <c r="N1560" s="27"/>
      <c r="T1560" s="28" t="str">
        <f>LOOKUP(1,1/(Table1[[#This Row],[Level_0]:[Level 15]]&gt;0),(Table1[[#This Row],[Level_0]:[Level 15]]))</f>
        <v>7600301054 - [DAA Technical Project Exec.]</v>
      </c>
      <c r="U1560" s="22">
        <v>1555</v>
      </c>
      <c r="W1560" s="13" t="str">
        <f>LOOKUP(1,1/(Table1[[#This Row],[Level_0]:[Level 15]]&gt;0),(Table1[[#This Row],[Level_0]:[Level 15]]))</f>
        <v>7600301054 - [DAA Technical Project Exec.]</v>
      </c>
    </row>
    <row r="1561" spans="1:23" hidden="1" x14ac:dyDescent="0.25">
      <c r="A1561">
        <v>7600301050</v>
      </c>
      <c r="B1561" s="16" t="s">
        <v>21164</v>
      </c>
      <c r="C1561" s="16" t="e">
        <f>VLOOKUP(Table1[[#This Row],[Node]],Parent!A:B,2,0)</f>
        <v>#N/A</v>
      </c>
      <c r="D1561" s="25" t="s">
        <v>19346</v>
      </c>
      <c r="E1561" s="26" t="s">
        <v>16544</v>
      </c>
      <c r="F1561" s="27" t="s">
        <v>17843</v>
      </c>
      <c r="G1561" s="27" t="s">
        <v>18020</v>
      </c>
      <c r="H1561" s="27" t="s">
        <v>18069</v>
      </c>
      <c r="I1561" s="27"/>
      <c r="J1561" s="27"/>
      <c r="K1561" s="27"/>
      <c r="L1561" s="27"/>
      <c r="N1561" s="27"/>
      <c r="T1561" s="28" t="str">
        <f>LOOKUP(1,1/(Table1[[#This Row],[Level_0]:[Level 15]]&gt;0),(Table1[[#This Row],[Level_0]:[Level 15]]))</f>
        <v>7600301050 - [DAA Tech. project control]</v>
      </c>
      <c r="U1561" s="22">
        <v>1556</v>
      </c>
      <c r="W1561" s="13" t="str">
        <f>LOOKUP(1,1/(Table1[[#This Row],[Level_0]:[Level 15]]&gt;0),(Table1[[#This Row],[Level_0]:[Level 15]]))</f>
        <v>7600301050 - [DAA Tech. project control]</v>
      </c>
    </row>
    <row r="1562" spans="1:23" hidden="1" x14ac:dyDescent="0.25">
      <c r="A1562">
        <v>7600301039</v>
      </c>
      <c r="B1562" s="16" t="s">
        <v>21154</v>
      </c>
      <c r="C1562" s="16" t="e">
        <f>VLOOKUP(Table1[[#This Row],[Node]],Parent!A:B,2,0)</f>
        <v>#N/A</v>
      </c>
      <c r="D1562" s="25" t="s">
        <v>19346</v>
      </c>
      <c r="E1562" s="26" t="s">
        <v>16544</v>
      </c>
      <c r="F1562" s="27" t="s">
        <v>17843</v>
      </c>
      <c r="G1562" s="27" t="s">
        <v>18020</v>
      </c>
      <c r="H1562" s="27" t="s">
        <v>18070</v>
      </c>
      <c r="I1562" s="27"/>
      <c r="J1562" s="27"/>
      <c r="K1562" s="27"/>
      <c r="L1562" s="27"/>
      <c r="N1562" s="27"/>
      <c r="T1562" s="28" t="str">
        <f>LOOKUP(1,1/(Table1[[#This Row],[Level_0]:[Level 15]]&gt;0),(Table1[[#This Row],[Level_0]:[Level 15]]))</f>
        <v>7600301039 - [DAA Detail Engin.Techn.Proj.]</v>
      </c>
      <c r="U1562" s="22">
        <v>1557</v>
      </c>
      <c r="W1562" s="13" t="str">
        <f>LOOKUP(1,1/(Table1[[#This Row],[Level_0]:[Level 15]]&gt;0),(Table1[[#This Row],[Level_0]:[Level 15]]))</f>
        <v>7600301039 - [DAA Detail Engin.Techn.Proj.]</v>
      </c>
    </row>
    <row r="1563" spans="1:23" hidden="1" x14ac:dyDescent="0.25">
      <c r="A1563">
        <v>7600301036</v>
      </c>
      <c r="B1563" s="16" t="s">
        <v>21152</v>
      </c>
      <c r="C1563" s="16" t="e">
        <f>VLOOKUP(Table1[[#This Row],[Node]],Parent!A:B,2,0)</f>
        <v>#N/A</v>
      </c>
      <c r="D1563" s="25" t="s">
        <v>19346</v>
      </c>
      <c r="E1563" s="26" t="s">
        <v>16544</v>
      </c>
      <c r="F1563" s="27" t="s">
        <v>17843</v>
      </c>
      <c r="G1563" s="27" t="s">
        <v>18020</v>
      </c>
      <c r="H1563" s="27" t="s">
        <v>18071</v>
      </c>
      <c r="I1563" s="27"/>
      <c r="J1563" s="27"/>
      <c r="K1563" s="27"/>
      <c r="L1563" s="27"/>
      <c r="N1563" s="27"/>
      <c r="T1563" s="28" t="str">
        <f>LOOKUP(1,1/(Table1[[#This Row],[Level_0]:[Level 15]]&gt;0),(Table1[[#This Row],[Level_0]:[Level 15]]))</f>
        <v>7600301036 - [DAA Inspect. safety sys.]</v>
      </c>
      <c r="U1563" s="22">
        <v>1558</v>
      </c>
      <c r="W1563" s="13" t="str">
        <f>LOOKUP(1,1/(Table1[[#This Row],[Level_0]:[Level 15]]&gt;0),(Table1[[#This Row],[Level_0]:[Level 15]]))</f>
        <v>7600301036 - [DAA Inspect. safety sys.]</v>
      </c>
    </row>
    <row r="1564" spans="1:23" hidden="1" x14ac:dyDescent="0.25">
      <c r="A1564">
        <v>7600301025</v>
      </c>
      <c r="B1564" s="16" t="s">
        <v>21142</v>
      </c>
      <c r="C1564" s="16" t="e">
        <f>VLOOKUP(Table1[[#This Row],[Node]],Parent!A:B,2,0)</f>
        <v>#N/A</v>
      </c>
      <c r="D1564" s="25" t="s">
        <v>19346</v>
      </c>
      <c r="E1564" s="26" t="s">
        <v>16544</v>
      </c>
      <c r="F1564" s="27" t="s">
        <v>17843</v>
      </c>
      <c r="G1564" s="27" t="s">
        <v>18020</v>
      </c>
      <c r="H1564" s="27" t="s">
        <v>18072</v>
      </c>
      <c r="I1564" s="27"/>
      <c r="J1564" s="27"/>
      <c r="K1564" s="27"/>
      <c r="L1564" s="27"/>
      <c r="N1564" s="27"/>
      <c r="T1564" s="28" t="str">
        <f>LOOKUP(1,1/(Table1[[#This Row],[Level_0]:[Level 15]]&gt;0),(Table1[[#This Row],[Level_0]:[Level 15]]))</f>
        <v>7600301025 - [DAA Manufact. Vessel/equip.]</v>
      </c>
      <c r="U1564" s="22">
        <v>1559</v>
      </c>
      <c r="W1564" s="13" t="str">
        <f>LOOKUP(1,1/(Table1[[#This Row],[Level_0]:[Level 15]]&gt;0),(Table1[[#This Row],[Level_0]:[Level 15]]))</f>
        <v>7600301025 - [DAA Manufact. Vessel/equip.]</v>
      </c>
    </row>
    <row r="1565" spans="1:23" hidden="1" x14ac:dyDescent="0.25">
      <c r="A1565">
        <v>7600301020</v>
      </c>
      <c r="B1565" s="16" t="s">
        <v>21137</v>
      </c>
      <c r="C1565" s="16" t="e">
        <f>VLOOKUP(Table1[[#This Row],[Node]],Parent!A:B,2,0)</f>
        <v>#N/A</v>
      </c>
      <c r="D1565" s="25" t="s">
        <v>19346</v>
      </c>
      <c r="E1565" s="26" t="s">
        <v>16544</v>
      </c>
      <c r="F1565" s="27" t="s">
        <v>17843</v>
      </c>
      <c r="G1565" s="27" t="s">
        <v>18020</v>
      </c>
      <c r="H1565" s="27" t="s">
        <v>18073</v>
      </c>
      <c r="I1565" s="27"/>
      <c r="J1565" s="27"/>
      <c r="K1565" s="27"/>
      <c r="L1565" s="27"/>
      <c r="N1565" s="27"/>
      <c r="T1565" s="28" t="str">
        <f>LOOKUP(1,1/(Table1[[#This Row],[Level_0]:[Level 15]]&gt;0),(Table1[[#This Row],[Level_0]:[Level 15]]))</f>
        <v>7600301020 - [DAA Specialized assembly]</v>
      </c>
      <c r="U1565" s="22">
        <v>1560</v>
      </c>
      <c r="W1565" s="13" t="str">
        <f>LOOKUP(1,1/(Table1[[#This Row],[Level_0]:[Level 15]]&gt;0),(Table1[[#This Row],[Level_0]:[Level 15]]))</f>
        <v>7600301020 - [DAA Specialized assembly]</v>
      </c>
    </row>
    <row r="1566" spans="1:23" hidden="1" x14ac:dyDescent="0.25">
      <c r="A1566">
        <v>7600301014</v>
      </c>
      <c r="B1566" s="16" t="s">
        <v>21131</v>
      </c>
      <c r="C1566" s="16" t="e">
        <f>VLOOKUP(Table1[[#This Row],[Node]],Parent!A:B,2,0)</f>
        <v>#N/A</v>
      </c>
      <c r="D1566" s="25" t="s">
        <v>19346</v>
      </c>
      <c r="E1566" s="26" t="s">
        <v>16544</v>
      </c>
      <c r="F1566" s="27" t="s">
        <v>17843</v>
      </c>
      <c r="G1566" s="27" t="s">
        <v>18020</v>
      </c>
      <c r="H1566" s="27" t="s">
        <v>18074</v>
      </c>
      <c r="I1566" s="27"/>
      <c r="J1566" s="27"/>
      <c r="K1566" s="27"/>
      <c r="L1566" s="27"/>
      <c r="N1566" s="27"/>
      <c r="T1566" s="28" t="str">
        <f>LOOKUP(1,1/(Table1[[#This Row],[Level_0]:[Level 15]]&gt;0),(Table1[[#This Row],[Level_0]:[Level 15]]))</f>
        <v>7600301014 - [DAA Corrective maintenance]</v>
      </c>
      <c r="U1566" s="22">
        <v>1561</v>
      </c>
      <c r="W1566" s="13" t="str">
        <f>LOOKUP(1,1/(Table1[[#This Row],[Level_0]:[Level 15]]&gt;0),(Table1[[#This Row],[Level_0]:[Level 15]]))</f>
        <v>7600301014 - [DAA Corrective maintenance]</v>
      </c>
    </row>
    <row r="1567" spans="1:23" hidden="1" x14ac:dyDescent="0.25">
      <c r="A1567">
        <v>7600301003</v>
      </c>
      <c r="B1567" s="16" t="s">
        <v>21120</v>
      </c>
      <c r="C1567" s="16" t="e">
        <f>VLOOKUP(Table1[[#This Row],[Node]],Parent!A:B,2,0)</f>
        <v>#N/A</v>
      </c>
      <c r="D1567" s="25" t="s">
        <v>19346</v>
      </c>
      <c r="E1567" s="26" t="s">
        <v>16544</v>
      </c>
      <c r="F1567" s="27" t="s">
        <v>17843</v>
      </c>
      <c r="G1567" s="27" t="s">
        <v>18020</v>
      </c>
      <c r="H1567" s="27" t="s">
        <v>18075</v>
      </c>
      <c r="I1567" s="27"/>
      <c r="J1567" s="27"/>
      <c r="K1567" s="27"/>
      <c r="L1567" s="27"/>
      <c r="N1567" s="27"/>
      <c r="T1567" s="28" t="str">
        <f>LOOKUP(1,1/(Table1[[#This Row],[Level_0]:[Level 15]]&gt;0),(Table1[[#This Row],[Level_0]:[Level 15]]))</f>
        <v>7600301003 - [DAA Engin./Techn. Consult.]</v>
      </c>
      <c r="U1567" s="22">
        <v>1562</v>
      </c>
      <c r="W1567" s="13" t="str">
        <f>LOOKUP(1,1/(Table1[[#This Row],[Level_0]:[Level 15]]&gt;0),(Table1[[#This Row],[Level_0]:[Level 15]]))</f>
        <v>7600301003 - [DAA Engin./Techn. Consult.]</v>
      </c>
    </row>
    <row r="1568" spans="1:23" hidden="1" x14ac:dyDescent="0.25">
      <c r="A1568">
        <v>7600301002</v>
      </c>
      <c r="B1568" s="16" t="s">
        <v>21119</v>
      </c>
      <c r="C1568" s="16" t="e">
        <f>VLOOKUP(Table1[[#This Row],[Node]],Parent!A:B,2,0)</f>
        <v>#N/A</v>
      </c>
      <c r="D1568" s="25" t="s">
        <v>19346</v>
      </c>
      <c r="E1568" s="26" t="s">
        <v>16544</v>
      </c>
      <c r="F1568" s="27" t="s">
        <v>17843</v>
      </c>
      <c r="G1568" s="27" t="s">
        <v>18020</v>
      </c>
      <c r="H1568" s="27" t="s">
        <v>18076</v>
      </c>
      <c r="I1568" s="27"/>
      <c r="J1568" s="27"/>
      <c r="K1568" s="27"/>
      <c r="L1568" s="27"/>
      <c r="N1568" s="27"/>
      <c r="T1568" s="28" t="str">
        <f>LOOKUP(1,1/(Table1[[#This Row],[Level_0]:[Level 15]]&gt;0),(Table1[[#This Row],[Level_0]:[Level 15]]))</f>
        <v>7600301002 - [DAA CAD]</v>
      </c>
      <c r="U1568" s="22">
        <v>1563</v>
      </c>
      <c r="W1568" s="13" t="str">
        <f>LOOKUP(1,1/(Table1[[#This Row],[Level_0]:[Level 15]]&gt;0),(Table1[[#This Row],[Level_0]:[Level 15]]))</f>
        <v>7600301002 - [DAA CAD]</v>
      </c>
    </row>
    <row r="1569" spans="1:23" hidden="1" x14ac:dyDescent="0.25">
      <c r="A1569">
        <v>7600301001</v>
      </c>
      <c r="B1569" s="16" t="s">
        <v>21118</v>
      </c>
      <c r="C1569" s="16" t="e">
        <f>VLOOKUP(Table1[[#This Row],[Node]],Parent!A:B,2,0)</f>
        <v>#N/A</v>
      </c>
      <c r="D1569" s="25" t="s">
        <v>19346</v>
      </c>
      <c r="E1569" s="26" t="s">
        <v>16544</v>
      </c>
      <c r="F1569" s="27" t="s">
        <v>17843</v>
      </c>
      <c r="G1569" s="27" t="s">
        <v>18020</v>
      </c>
      <c r="H1569" s="27" t="s">
        <v>18077</v>
      </c>
      <c r="I1569" s="27"/>
      <c r="J1569" s="27"/>
      <c r="K1569" s="27"/>
      <c r="L1569" s="27"/>
      <c r="N1569" s="27"/>
      <c r="T1569" s="28" t="str">
        <f>LOOKUP(1,1/(Table1[[#This Row],[Level_0]:[Level 15]]&gt;0),(Table1[[#This Row],[Level_0]:[Level 15]]))</f>
        <v>7600301001 - [DAA Improvement of plant equipment]</v>
      </c>
      <c r="U1569" s="22">
        <v>1564</v>
      </c>
      <c r="W1569" s="13" t="str">
        <f>LOOKUP(1,1/(Table1[[#This Row],[Level_0]:[Level 15]]&gt;0),(Table1[[#This Row],[Level_0]:[Level 15]]))</f>
        <v>7600301001 - [DAA Improvement of plant equipment]</v>
      </c>
    </row>
    <row r="1570" spans="1:23" hidden="1" x14ac:dyDescent="0.25">
      <c r="A1570">
        <v>7320160001</v>
      </c>
      <c r="B1570" s="16" t="s">
        <v>20889</v>
      </c>
      <c r="C1570" s="16" t="e">
        <f>VLOOKUP(Table1[[#This Row],[Node]],Parent!A:B,2,0)</f>
        <v>#N/A</v>
      </c>
      <c r="D1570" s="25" t="s">
        <v>19346</v>
      </c>
      <c r="E1570" s="26" t="s">
        <v>16544</v>
      </c>
      <c r="F1570" s="27" t="s">
        <v>17843</v>
      </c>
      <c r="G1570" s="27" t="s">
        <v>18020</v>
      </c>
      <c r="H1570" s="27" t="s">
        <v>18078</v>
      </c>
      <c r="I1570" s="27"/>
      <c r="J1570" s="27"/>
      <c r="K1570" s="27"/>
      <c r="L1570" s="27"/>
      <c r="N1570" s="27"/>
      <c r="T1570" s="28" t="str">
        <f>LOOKUP(1,1/(Table1[[#This Row],[Level_0]:[Level 15]]&gt;0),(Table1[[#This Row],[Level_0]:[Level 15]]))</f>
        <v>7320160001 - [AOM CCV Alloc. T-Function non production]</v>
      </c>
      <c r="U1570" s="22">
        <v>1565</v>
      </c>
      <c r="W1570" s="13" t="str">
        <f>LOOKUP(1,1/(Table1[[#This Row],[Level_0]:[Level 15]]&gt;0),(Table1[[#This Row],[Level_0]:[Level 15]]))</f>
        <v>7320160001 - [AOM CCV Alloc. T-Function non production]</v>
      </c>
    </row>
    <row r="1571" spans="1:23" hidden="1" x14ac:dyDescent="0.25">
      <c r="A1571">
        <v>7320140004</v>
      </c>
      <c r="B1571" s="16" t="s">
        <v>20860</v>
      </c>
      <c r="C1571" s="16" t="e">
        <f>VLOOKUP(Table1[[#This Row],[Node]],Parent!A:B,2,0)</f>
        <v>#N/A</v>
      </c>
      <c r="D1571" s="25" t="s">
        <v>19346</v>
      </c>
      <c r="E1571" s="26" t="s">
        <v>16544</v>
      </c>
      <c r="F1571" s="27" t="s">
        <v>17843</v>
      </c>
      <c r="G1571" s="27" t="s">
        <v>18020</v>
      </c>
      <c r="H1571" s="27" t="s">
        <v>18079</v>
      </c>
      <c r="I1571" s="27"/>
      <c r="J1571" s="27"/>
      <c r="K1571" s="27"/>
      <c r="L1571" s="27"/>
      <c r="N1571" s="27"/>
      <c r="T1571" s="28" t="str">
        <f>LOOKUP(1,1/(Table1[[#This Row],[Level_0]:[Level 15]]&gt;0),(Table1[[#This Row],[Level_0]:[Level 15]]))</f>
        <v>7320140004 - [AOM Other CO Costs]</v>
      </c>
      <c r="U1571" s="22">
        <v>1566</v>
      </c>
      <c r="W1571" s="13" t="str">
        <f>LOOKUP(1,1/(Table1[[#This Row],[Level_0]:[Level 15]]&gt;0),(Table1[[#This Row],[Level_0]:[Level 15]]))</f>
        <v>7320140004 - [AOM Other CO Costs]</v>
      </c>
    </row>
    <row r="1572" spans="1:23" hidden="1" x14ac:dyDescent="0.25">
      <c r="A1572">
        <v>7240000010</v>
      </c>
      <c r="B1572" s="16" t="s">
        <v>20731</v>
      </c>
      <c r="C1572" s="16" t="e">
        <f>VLOOKUP(Table1[[#This Row],[Node]],Parent!A:B,2,0)</f>
        <v>#N/A</v>
      </c>
      <c r="D1572" s="25" t="s">
        <v>19346</v>
      </c>
      <c r="E1572" s="26" t="s">
        <v>16544</v>
      </c>
      <c r="F1572" s="27" t="s">
        <v>17843</v>
      </c>
      <c r="G1572" s="27" t="s">
        <v>18020</v>
      </c>
      <c r="H1572" s="27" t="s">
        <v>18080</v>
      </c>
      <c r="I1572" s="27"/>
      <c r="J1572" s="27"/>
      <c r="K1572" s="27"/>
      <c r="L1572" s="27"/>
      <c r="N1572" s="27"/>
      <c r="T1572" s="28" t="str">
        <f>LOOKUP(1,1/(Table1[[#This Row],[Level_0]:[Level 15]]&gt;0),(Table1[[#This Row],[Level_0]:[Level 15]]))</f>
        <v>7240000010 - [SOM Admin Settlement]</v>
      </c>
      <c r="U1572" s="22">
        <v>1567</v>
      </c>
      <c r="W1572" s="13" t="str">
        <f>LOOKUP(1,1/(Table1[[#This Row],[Level_0]:[Level 15]]&gt;0),(Table1[[#This Row],[Level_0]:[Level 15]]))</f>
        <v>7240000010 - [SOM Admin Settlement]</v>
      </c>
    </row>
    <row r="1573" spans="1:23" hidden="1" x14ac:dyDescent="0.25">
      <c r="A1573">
        <v>7020000008</v>
      </c>
      <c r="B1573" s="16" t="s">
        <v>20647</v>
      </c>
      <c r="C1573" s="16" t="e">
        <f>VLOOKUP(Table1[[#This Row],[Node]],Parent!A:B,2,0)</f>
        <v>#N/A</v>
      </c>
      <c r="D1573" s="25" t="s">
        <v>19346</v>
      </c>
      <c r="E1573" s="26" t="s">
        <v>16544</v>
      </c>
      <c r="F1573" s="27" t="s">
        <v>17843</v>
      </c>
      <c r="G1573" s="27" t="s">
        <v>18020</v>
      </c>
      <c r="H1573" s="27" t="s">
        <v>18081</v>
      </c>
      <c r="I1573" s="27"/>
      <c r="J1573" s="27"/>
      <c r="K1573" s="27"/>
      <c r="L1573" s="27"/>
      <c r="N1573" s="27"/>
      <c r="T1573" s="28" t="str">
        <f>LOOKUP(1,1/(Table1[[#This Row],[Level_0]:[Level 15]]&gt;0),(Table1[[#This Row],[Level_0]:[Level 15]]))</f>
        <v>7020000008 - [AOM Cost transfer Other Cost]</v>
      </c>
      <c r="U1573" s="22">
        <v>1568</v>
      </c>
      <c r="W1573" s="13" t="str">
        <f>LOOKUP(1,1/(Table1[[#This Row],[Level_0]:[Level 15]]&gt;0),(Table1[[#This Row],[Level_0]:[Level 15]]))</f>
        <v>7020000008 - [AOM Cost transfer Other Cost]</v>
      </c>
    </row>
    <row r="1574" spans="1:23" hidden="1" x14ac:dyDescent="0.25">
      <c r="A1574">
        <v>5912000000</v>
      </c>
      <c r="B1574" s="16" t="s">
        <v>20514</v>
      </c>
      <c r="C1574" s="16" t="e">
        <f>VLOOKUP(Table1[[#This Row],[Node]],Parent!A:B,2,0)</f>
        <v>#N/A</v>
      </c>
      <c r="D1574" s="25" t="s">
        <v>19346</v>
      </c>
      <c r="E1574" s="26" t="s">
        <v>16544</v>
      </c>
      <c r="F1574" s="27" t="s">
        <v>17843</v>
      </c>
      <c r="G1574" s="27" t="s">
        <v>18020</v>
      </c>
      <c r="H1574" s="27" t="s">
        <v>18082</v>
      </c>
      <c r="I1574" s="27"/>
      <c r="J1574" s="27"/>
      <c r="K1574" s="27"/>
      <c r="L1574" s="27"/>
      <c r="N1574" s="27"/>
      <c r="T1574" s="28" t="str">
        <f>LOOKUP(1,1/(Table1[[#This Row],[Level_0]:[Level 15]]&gt;0),(Table1[[#This Row],[Level_0]:[Level 15]]))</f>
        <v>5912000000 - [Other Consumables - Office Material]</v>
      </c>
      <c r="U1574" s="22">
        <v>1569</v>
      </c>
      <c r="W1574" s="13" t="str">
        <f>LOOKUP(1,1/(Table1[[#This Row],[Level_0]:[Level 15]]&gt;0),(Table1[[#This Row],[Level_0]:[Level 15]]))</f>
        <v>5912000000 - [Other Consumables - Office Material]</v>
      </c>
    </row>
    <row r="1575" spans="1:23" hidden="1" x14ac:dyDescent="0.25">
      <c r="A1575">
        <v>5909000008</v>
      </c>
      <c r="B1575" s="16" t="s">
        <v>20511</v>
      </c>
      <c r="C1575" s="16" t="e">
        <f>VLOOKUP(Table1[[#This Row],[Node]],Parent!A:B,2,0)</f>
        <v>#N/A</v>
      </c>
      <c r="D1575" s="25" t="s">
        <v>19346</v>
      </c>
      <c r="E1575" s="26" t="s">
        <v>16544</v>
      </c>
      <c r="F1575" s="27" t="s">
        <v>17843</v>
      </c>
      <c r="G1575" s="27" t="s">
        <v>18020</v>
      </c>
      <c r="H1575" s="27" t="s">
        <v>18083</v>
      </c>
      <c r="I1575" s="27"/>
      <c r="J1575" s="27"/>
      <c r="K1575" s="27"/>
      <c r="L1575" s="27"/>
      <c r="N1575" s="27"/>
      <c r="T1575" s="28" t="str">
        <f>LOOKUP(1,1/(Table1[[#This Row],[Level_0]:[Level 15]]&gt;0),(Table1[[#This Row],[Level_0]:[Level 15]]))</f>
        <v>5909000008 - [Human resources (TBO)]</v>
      </c>
      <c r="U1575" s="22">
        <v>1570</v>
      </c>
      <c r="W1575" s="13" t="str">
        <f>LOOKUP(1,1/(Table1[[#This Row],[Level_0]:[Level 15]]&gt;0),(Table1[[#This Row],[Level_0]:[Level 15]]))</f>
        <v>5909000008 - [Human resources (TBO)]</v>
      </c>
    </row>
    <row r="1576" spans="1:23" hidden="1" x14ac:dyDescent="0.25">
      <c r="A1576">
        <v>5909000006</v>
      </c>
      <c r="B1576" s="16" t="s">
        <v>20509</v>
      </c>
      <c r="C1576" s="16" t="e">
        <f>VLOOKUP(Table1[[#This Row],[Node]],Parent!A:B,2,0)</f>
        <v>#N/A</v>
      </c>
      <c r="D1576" s="25" t="s">
        <v>19346</v>
      </c>
      <c r="E1576" s="26" t="s">
        <v>16544</v>
      </c>
      <c r="F1576" s="27" t="s">
        <v>17843</v>
      </c>
      <c r="G1576" s="27" t="s">
        <v>18020</v>
      </c>
      <c r="H1576" s="27" t="s">
        <v>18084</v>
      </c>
      <c r="I1576" s="27"/>
      <c r="J1576" s="27"/>
      <c r="K1576" s="27"/>
      <c r="L1576" s="27"/>
      <c r="N1576" s="27"/>
      <c r="T1576" s="28" t="str">
        <f>LOOKUP(1,1/(Table1[[#This Row],[Level_0]:[Level 15]]&gt;0),(Table1[[#This Row],[Level_0]:[Level 15]]))</f>
        <v>5909000006 - [Legal (TBO)]</v>
      </c>
      <c r="U1576" s="22">
        <v>1571</v>
      </c>
      <c r="W1576" s="13" t="str">
        <f>LOOKUP(1,1/(Table1[[#This Row],[Level_0]:[Level 15]]&gt;0),(Table1[[#This Row],[Level_0]:[Level 15]]))</f>
        <v>5909000006 - [Legal (TBO)]</v>
      </c>
    </row>
    <row r="1577" spans="1:23" hidden="1" x14ac:dyDescent="0.25">
      <c r="A1577">
        <v>5909000005</v>
      </c>
      <c r="B1577" s="16" t="s">
        <v>20508</v>
      </c>
      <c r="C1577" s="16" t="e">
        <f>VLOOKUP(Table1[[#This Row],[Node]],Parent!A:B,2,0)</f>
        <v>#N/A</v>
      </c>
      <c r="D1577" s="25" t="s">
        <v>19346</v>
      </c>
      <c r="E1577" s="26" t="s">
        <v>16544</v>
      </c>
      <c r="F1577" s="27" t="s">
        <v>17843</v>
      </c>
      <c r="G1577" s="27" t="s">
        <v>18020</v>
      </c>
      <c r="H1577" s="27" t="s">
        <v>18085</v>
      </c>
      <c r="I1577" s="27"/>
      <c r="J1577" s="27"/>
      <c r="K1577" s="27"/>
      <c r="L1577" s="27"/>
      <c r="N1577" s="27"/>
      <c r="T1577" s="28" t="str">
        <f>LOOKUP(1,1/(Table1[[#This Row],[Level_0]:[Level 15]]&gt;0),(Table1[[#This Row],[Level_0]:[Level 15]]))</f>
        <v>5909000005 - [Human Resources (TBO)]</v>
      </c>
      <c r="U1577" s="22">
        <v>1572</v>
      </c>
      <c r="W1577" s="13" t="str">
        <f>LOOKUP(1,1/(Table1[[#This Row],[Level_0]:[Level 15]]&gt;0),(Table1[[#This Row],[Level_0]:[Level 15]]))</f>
        <v>5909000005 - [Human Resources (TBO)]</v>
      </c>
    </row>
    <row r="1578" spans="1:23" hidden="1" x14ac:dyDescent="0.25">
      <c r="A1578">
        <v>5909000004</v>
      </c>
      <c r="B1578" s="16" t="s">
        <v>20507</v>
      </c>
      <c r="C1578" s="16" t="e">
        <f>VLOOKUP(Table1[[#This Row],[Node]],Parent!A:B,2,0)</f>
        <v>#N/A</v>
      </c>
      <c r="D1578" s="25" t="s">
        <v>19346</v>
      </c>
      <c r="E1578" s="26" t="s">
        <v>16544</v>
      </c>
      <c r="F1578" s="27" t="s">
        <v>17843</v>
      </c>
      <c r="G1578" s="27" t="s">
        <v>18020</v>
      </c>
      <c r="H1578" s="27" t="s">
        <v>18086</v>
      </c>
      <c r="I1578" s="27"/>
      <c r="J1578" s="27"/>
      <c r="K1578" s="27"/>
      <c r="L1578" s="27"/>
      <c r="N1578" s="27"/>
      <c r="T1578" s="28" t="str">
        <f>LOOKUP(1,1/(Table1[[#This Row],[Level_0]:[Level 15]]&gt;0),(Table1[[#This Row],[Level_0]:[Level 15]]))</f>
        <v>5909000004 - [MBS Finance (TBO)]</v>
      </c>
      <c r="U1578" s="22">
        <v>1573</v>
      </c>
      <c r="W1578" s="13" t="str">
        <f>LOOKUP(1,1/(Table1[[#This Row],[Level_0]:[Level 15]]&gt;0),(Table1[[#This Row],[Level_0]:[Level 15]]))</f>
        <v>5909000004 - [MBS Finance (TBO)]</v>
      </c>
    </row>
    <row r="1579" spans="1:23" hidden="1" x14ac:dyDescent="0.25">
      <c r="A1579">
        <v>5909000003</v>
      </c>
      <c r="B1579" s="16" t="s">
        <v>20506</v>
      </c>
      <c r="C1579" s="16" t="e">
        <f>VLOOKUP(Table1[[#This Row],[Node]],Parent!A:B,2,0)</f>
        <v>#N/A</v>
      </c>
      <c r="D1579" s="25" t="s">
        <v>19346</v>
      </c>
      <c r="E1579" s="26" t="s">
        <v>16544</v>
      </c>
      <c r="F1579" s="27" t="s">
        <v>17843</v>
      </c>
      <c r="G1579" s="27" t="s">
        <v>18020</v>
      </c>
      <c r="H1579" s="27" t="s">
        <v>18087</v>
      </c>
      <c r="I1579" s="27"/>
      <c r="J1579" s="27"/>
      <c r="K1579" s="27"/>
      <c r="L1579" s="27"/>
      <c r="N1579" s="27"/>
      <c r="T1579" s="28" t="str">
        <f>LOOKUP(1,1/(Table1[[#This Row],[Level_0]:[Level 15]]&gt;0),(Table1[[#This Row],[Level_0]:[Level 15]]))</f>
        <v>5909000003 - [Finance (TBO)]</v>
      </c>
      <c r="U1579" s="22">
        <v>1574</v>
      </c>
      <c r="W1579" s="13" t="str">
        <f>LOOKUP(1,1/(Table1[[#This Row],[Level_0]:[Level 15]]&gt;0),(Table1[[#This Row],[Level_0]:[Level 15]]))</f>
        <v>5909000003 - [Finance (TBO)]</v>
      </c>
    </row>
    <row r="1580" spans="1:23" hidden="1" x14ac:dyDescent="0.25">
      <c r="A1580">
        <v>5909000002</v>
      </c>
      <c r="B1580" s="16" t="s">
        <v>20505</v>
      </c>
      <c r="C1580" s="16" t="e">
        <f>VLOOKUP(Table1[[#This Row],[Node]],Parent!A:B,2,0)</f>
        <v>#N/A</v>
      </c>
      <c r="D1580" s="25" t="s">
        <v>19346</v>
      </c>
      <c r="E1580" s="26" t="s">
        <v>16544</v>
      </c>
      <c r="F1580" s="27" t="s">
        <v>17843</v>
      </c>
      <c r="G1580" s="27" t="s">
        <v>18020</v>
      </c>
      <c r="H1580" s="27" t="s">
        <v>18088</v>
      </c>
      <c r="I1580" s="27"/>
      <c r="J1580" s="27"/>
      <c r="K1580" s="27"/>
      <c r="L1580" s="27"/>
      <c r="N1580" s="27"/>
      <c r="T1580" s="28" t="str">
        <f>LOOKUP(1,1/(Table1[[#This Row],[Level_0]:[Level 15]]&gt;0),(Table1[[#This Row],[Level_0]:[Level 15]]))</f>
        <v>5909000002 - [General and Admin Procurement (TBO)]</v>
      </c>
      <c r="U1580" s="22">
        <v>1575</v>
      </c>
      <c r="W1580" s="13" t="str">
        <f>LOOKUP(1,1/(Table1[[#This Row],[Level_0]:[Level 15]]&gt;0),(Table1[[#This Row],[Level_0]:[Level 15]]))</f>
        <v>5909000002 - [General and Admin Procurement (TBO)]</v>
      </c>
    </row>
    <row r="1581" spans="1:23" hidden="1" x14ac:dyDescent="0.25">
      <c r="A1581">
        <v>5909000001</v>
      </c>
      <c r="B1581" s="16" t="s">
        <v>20504</v>
      </c>
      <c r="C1581" s="16" t="e">
        <f>VLOOKUP(Table1[[#This Row],[Node]],Parent!A:B,2,0)</f>
        <v>#N/A</v>
      </c>
      <c r="D1581" s="25" t="s">
        <v>19346</v>
      </c>
      <c r="E1581" s="26" t="s">
        <v>16544</v>
      </c>
      <c r="F1581" s="27" t="s">
        <v>17843</v>
      </c>
      <c r="G1581" s="27" t="s">
        <v>18020</v>
      </c>
      <c r="H1581" s="27" t="s">
        <v>18089</v>
      </c>
      <c r="I1581" s="27"/>
      <c r="J1581" s="27"/>
      <c r="K1581" s="27"/>
      <c r="L1581" s="27"/>
      <c r="N1581" s="27"/>
      <c r="T1581" s="28" t="str">
        <f>LOOKUP(1,1/(Table1[[#This Row],[Level_0]:[Level 15]]&gt;0),(Table1[[#This Row],[Level_0]:[Level 15]]))</f>
        <v>5909000001 - [General and Admin Exp IT]</v>
      </c>
      <c r="U1581" s="22">
        <v>1576</v>
      </c>
      <c r="W1581" s="13" t="str">
        <f>LOOKUP(1,1/(Table1[[#This Row],[Level_0]:[Level 15]]&gt;0),(Table1[[#This Row],[Level_0]:[Level 15]]))</f>
        <v>5909000001 - [General and Admin Exp IT]</v>
      </c>
    </row>
    <row r="1582" spans="1:23" hidden="1" x14ac:dyDescent="0.25">
      <c r="A1582">
        <v>5909000000</v>
      </c>
      <c r="B1582" s="16" t="s">
        <v>20503</v>
      </c>
      <c r="C1582" s="16" t="e">
        <f>VLOOKUP(Table1[[#This Row],[Node]],Parent!A:B,2,0)</f>
        <v>#N/A</v>
      </c>
      <c r="D1582" s="25" t="s">
        <v>19346</v>
      </c>
      <c r="E1582" s="26" t="s">
        <v>16544</v>
      </c>
      <c r="F1582" s="27" t="s">
        <v>17843</v>
      </c>
      <c r="G1582" s="27" t="s">
        <v>18020</v>
      </c>
      <c r="H1582" s="27" t="s">
        <v>18090</v>
      </c>
      <c r="I1582" s="27"/>
      <c r="J1582" s="27"/>
      <c r="K1582" s="27"/>
      <c r="L1582" s="27"/>
      <c r="N1582" s="27"/>
      <c r="T1582" s="28" t="str">
        <f>LOOKUP(1,1/(Table1[[#This Row],[Level_0]:[Level 15]]&gt;0),(Table1[[#This Row],[Level_0]:[Level 15]]))</f>
        <v>5909000000 - [Oth miscellaneous Exp - Oth Admin Exp]</v>
      </c>
      <c r="U1582" s="22">
        <v>1577</v>
      </c>
      <c r="W1582" s="13" t="str">
        <f>LOOKUP(1,1/(Table1[[#This Row],[Level_0]:[Level 15]]&gt;0),(Table1[[#This Row],[Level_0]:[Level 15]]))</f>
        <v>5909000000 - [Oth miscellaneous Exp - Oth Admin Exp]</v>
      </c>
    </row>
    <row r="1583" spans="1:23" hidden="1" x14ac:dyDescent="0.25">
      <c r="A1583">
        <v>5900000000</v>
      </c>
      <c r="B1583" s="16" t="s">
        <v>20496</v>
      </c>
      <c r="C1583" s="16" t="e">
        <f>VLOOKUP(Table1[[#This Row],[Node]],Parent!A:B,2,0)</f>
        <v>#N/A</v>
      </c>
      <c r="D1583" s="25" t="s">
        <v>19346</v>
      </c>
      <c r="E1583" s="26" t="s">
        <v>16544</v>
      </c>
      <c r="F1583" s="27" t="s">
        <v>17843</v>
      </c>
      <c r="G1583" s="27" t="s">
        <v>18020</v>
      </c>
      <c r="H1583" s="27" t="s">
        <v>18091</v>
      </c>
      <c r="I1583" s="27"/>
      <c r="J1583" s="27"/>
      <c r="K1583" s="27"/>
      <c r="L1583" s="27"/>
      <c r="N1583" s="27"/>
      <c r="T1583" s="28" t="str">
        <f>LOOKUP(1,1/(Table1[[#This Row],[Level_0]:[Level 15]]&gt;0),(Table1[[#This Row],[Level_0]:[Level 15]]))</f>
        <v>5900000000 - [Oth Admin Exp - Postage]</v>
      </c>
      <c r="U1583" s="22">
        <v>1578</v>
      </c>
      <c r="W1583" s="13" t="str">
        <f>LOOKUP(1,1/(Table1[[#This Row],[Level_0]:[Level 15]]&gt;0),(Table1[[#This Row],[Level_0]:[Level 15]]))</f>
        <v>5900000000 - [Oth Admin Exp - Postage]</v>
      </c>
    </row>
    <row r="1584" spans="1:23" hidden="1" x14ac:dyDescent="0.25">
      <c r="A1584">
        <v>5410110000</v>
      </c>
      <c r="B1584" s="16" t="s">
        <v>20269</v>
      </c>
      <c r="C1584" s="16" t="e">
        <f>VLOOKUP(Table1[[#This Row],[Node]],Parent!A:B,2,0)</f>
        <v>#N/A</v>
      </c>
      <c r="D1584" s="25" t="s">
        <v>19346</v>
      </c>
      <c r="E1584" s="26" t="s">
        <v>16544</v>
      </c>
      <c r="F1584" s="27" t="s">
        <v>17843</v>
      </c>
      <c r="G1584" s="27" t="s">
        <v>18020</v>
      </c>
      <c r="H1584" s="27" t="s">
        <v>18092</v>
      </c>
      <c r="I1584" s="27"/>
      <c r="J1584" s="27"/>
      <c r="K1584" s="27"/>
      <c r="L1584" s="27"/>
      <c r="N1584" s="27"/>
      <c r="T1584" s="28" t="str">
        <f>LOOKUP(1,1/(Table1[[#This Row],[Level_0]:[Level 15]]&gt;0),(Table1[[#This Row],[Level_0]:[Level 15]]))</f>
        <v>5410110000 - [IC Exp - SMS - Printed Products]</v>
      </c>
      <c r="U1584" s="22">
        <v>1579</v>
      </c>
      <c r="W1584" s="13" t="str">
        <f>LOOKUP(1,1/(Table1[[#This Row],[Level_0]:[Level 15]]&gt;0),(Table1[[#This Row],[Level_0]:[Level 15]]))</f>
        <v>5410110000 - [IC Exp - SMS - Printed Products]</v>
      </c>
    </row>
    <row r="1585" spans="1:23" hidden="1" x14ac:dyDescent="0.25">
      <c r="A1585">
        <v>5334010000</v>
      </c>
      <c r="B1585" s="16" t="s">
        <v>20229</v>
      </c>
      <c r="C1585" s="16" t="e">
        <f>VLOOKUP(Table1[[#This Row],[Node]],Parent!A:B,2,0)</f>
        <v>#N/A</v>
      </c>
      <c r="D1585" s="25" t="s">
        <v>19346</v>
      </c>
      <c r="E1585" s="26" t="s">
        <v>16544</v>
      </c>
      <c r="F1585" s="27" t="s">
        <v>17843</v>
      </c>
      <c r="G1585" s="27" t="s">
        <v>18020</v>
      </c>
      <c r="H1585" s="27" t="s">
        <v>18093</v>
      </c>
      <c r="I1585" s="27"/>
      <c r="J1585" s="27"/>
      <c r="K1585" s="27"/>
      <c r="L1585" s="27"/>
      <c r="N1585" s="27"/>
      <c r="T1585" s="28" t="str">
        <f>LOOKUP(1,1/(Table1[[#This Row],[Level_0]:[Level 15]]&gt;0),(Table1[[#This Row],[Level_0]:[Level 15]]))</f>
        <v>5334010000 - [IC Exp - SMS - PackagMaterialHandl&amp;Mgmnt]</v>
      </c>
      <c r="U1585" s="22">
        <v>1580</v>
      </c>
      <c r="W1585" s="13" t="str">
        <f>LOOKUP(1,1/(Table1[[#This Row],[Level_0]:[Level 15]]&gt;0),(Table1[[#This Row],[Level_0]:[Level 15]]))</f>
        <v>5334010000 - [IC Exp - SMS - PackagMaterialHandl&amp;Mgmnt]</v>
      </c>
    </row>
    <row r="1586" spans="1:23" hidden="1" x14ac:dyDescent="0.25">
      <c r="A1586">
        <v>7620000029</v>
      </c>
      <c r="B1586" s="16" t="s">
        <v>21554</v>
      </c>
      <c r="C1586" s="16" t="e">
        <f>VLOOKUP(Table1[[#This Row],[Node]],Parent!A:B,2,0)</f>
        <v>#N/A</v>
      </c>
      <c r="D1586" s="25" t="s">
        <v>19346</v>
      </c>
      <c r="E1586" s="26" t="s">
        <v>16544</v>
      </c>
      <c r="F1586" s="27" t="s">
        <v>17843</v>
      </c>
      <c r="G1586" s="27" t="s">
        <v>18020</v>
      </c>
      <c r="H1586" s="27" t="s">
        <v>18094</v>
      </c>
      <c r="I1586" s="27"/>
      <c r="J1586" s="27"/>
      <c r="K1586" s="27"/>
      <c r="L1586" s="27"/>
      <c r="N1586" s="27"/>
      <c r="T1586" s="28" t="str">
        <f>LOOKUP(1,1/(Table1[[#This Row],[Level_0]:[Level 15]]&gt;0),(Table1[[#This Row],[Level_0]:[Level 15]]))</f>
        <v>7620000029 - [AOM CC over-underabs]</v>
      </c>
      <c r="U1586" s="22">
        <v>1581</v>
      </c>
      <c r="W1586" s="13" t="str">
        <f>LOOKUP(1,1/(Table1[[#This Row],[Level_0]:[Level 15]]&gt;0),(Table1[[#This Row],[Level_0]:[Level 15]]))</f>
        <v>7620000029 - [AOM CC over-underabs]</v>
      </c>
    </row>
    <row r="1587" spans="1:23" hidden="1" x14ac:dyDescent="0.25">
      <c r="A1587">
        <v>200000</v>
      </c>
      <c r="B1587" s="16" t="s">
        <v>19492</v>
      </c>
      <c r="C1587" s="16" t="e">
        <f>VLOOKUP(Table1[[#This Row],[Node]],Parent!A:B,2,0)</f>
        <v>#N/A</v>
      </c>
      <c r="D1587" s="25" t="s">
        <v>19346</v>
      </c>
      <c r="E1587" s="26" t="s">
        <v>16544</v>
      </c>
      <c r="F1587" s="27" t="s">
        <v>18095</v>
      </c>
      <c r="G1587" s="27"/>
      <c r="H1587" s="27"/>
      <c r="I1587" s="27"/>
      <c r="J1587" s="27"/>
      <c r="K1587" s="27"/>
      <c r="L1587" s="27"/>
      <c r="N1587" s="27"/>
      <c r="T1587" s="28" t="str">
        <f>LOOKUP(1,1/(Table1[[#This Row],[Level_0]:[Level 15]]&gt;0),(Table1[[#This Row],[Level_0]:[Level 15]]))</f>
        <v>200000 - [Travel &amp; Entertainment]</v>
      </c>
      <c r="U1587" s="22">
        <v>1582</v>
      </c>
      <c r="W1587" s="13" t="str">
        <f>LOOKUP(1,1/(Table1[[#This Row],[Level_0]:[Level 15]]&gt;0),(Table1[[#This Row],[Level_0]:[Level 15]]))</f>
        <v>200000 - [Travel &amp; Entertainment]</v>
      </c>
    </row>
    <row r="1588" spans="1:23" hidden="1" x14ac:dyDescent="0.25">
      <c r="A1588">
        <v>200200</v>
      </c>
      <c r="B1588" s="16" t="s">
        <v>19494</v>
      </c>
      <c r="C1588" s="16" t="e">
        <f>VLOOKUP(Table1[[#This Row],[Node]],Parent!A:B,2,0)</f>
        <v>#N/A</v>
      </c>
      <c r="D1588" s="25" t="s">
        <v>19346</v>
      </c>
      <c r="E1588" s="26" t="s">
        <v>16544</v>
      </c>
      <c r="F1588" s="27" t="s">
        <v>18095</v>
      </c>
      <c r="G1588" s="27" t="s">
        <v>18096</v>
      </c>
      <c r="H1588" s="27"/>
      <c r="I1588" s="27"/>
      <c r="J1588" s="27"/>
      <c r="K1588" s="27"/>
      <c r="L1588" s="27"/>
      <c r="N1588" s="27"/>
      <c r="T1588" s="28" t="str">
        <f>LOOKUP(1,1/(Table1[[#This Row],[Level_0]:[Level 15]]&gt;0),(Table1[[#This Row],[Level_0]:[Level 15]]))</f>
        <v>200200 - [Entertainment Expenses]</v>
      </c>
      <c r="U1588" s="22">
        <v>1583</v>
      </c>
      <c r="W1588" s="13" t="str">
        <f>LOOKUP(1,1/(Table1[[#This Row],[Level_0]:[Level 15]]&gt;0),(Table1[[#This Row],[Level_0]:[Level 15]]))</f>
        <v>200200 - [Entertainment Expenses]</v>
      </c>
    </row>
    <row r="1589" spans="1:23" hidden="1" x14ac:dyDescent="0.25">
      <c r="A1589">
        <v>5820010000</v>
      </c>
      <c r="B1589" s="16" t="s">
        <v>20495</v>
      </c>
      <c r="C1589" s="16" t="e">
        <f>VLOOKUP(Table1[[#This Row],[Node]],Parent!A:B,2,0)</f>
        <v>#N/A</v>
      </c>
      <c r="D1589" s="25" t="s">
        <v>19346</v>
      </c>
      <c r="E1589" s="26" t="s">
        <v>16544</v>
      </c>
      <c r="F1589" s="27" t="s">
        <v>18095</v>
      </c>
      <c r="G1589" s="27" t="s">
        <v>18096</v>
      </c>
      <c r="H1589" s="27" t="s">
        <v>18097</v>
      </c>
      <c r="I1589" s="27"/>
      <c r="J1589" s="27"/>
      <c r="K1589" s="27"/>
      <c r="L1589" s="27"/>
      <c r="N1589" s="27"/>
      <c r="T1589" s="28" t="str">
        <f>LOOKUP(1,1/(Table1[[#This Row],[Level_0]:[Level 15]]&gt;0),(Table1[[#This Row],[Level_0]:[Level 15]]))</f>
        <v>5820010000 - [IC Exp - SMS - Restaurant&amp;ConferenceServ]</v>
      </c>
      <c r="U1589" s="22">
        <v>1584</v>
      </c>
      <c r="W1589" s="13" t="str">
        <f>LOOKUP(1,1/(Table1[[#This Row],[Level_0]:[Level 15]]&gt;0),(Table1[[#This Row],[Level_0]:[Level 15]]))</f>
        <v>5820010000 - [IC Exp - SMS - Restaurant&amp;ConferenceServ]</v>
      </c>
    </row>
    <row r="1590" spans="1:23" hidden="1" x14ac:dyDescent="0.25">
      <c r="A1590">
        <v>7600304155</v>
      </c>
      <c r="B1590" s="16" t="s">
        <v>21353</v>
      </c>
      <c r="C1590" s="16" t="e">
        <f>VLOOKUP(Table1[[#This Row],[Node]],Parent!A:B,2,0)</f>
        <v>#N/A</v>
      </c>
      <c r="D1590" s="25" t="s">
        <v>19346</v>
      </c>
      <c r="E1590" s="26" t="s">
        <v>16544</v>
      </c>
      <c r="F1590" s="27" t="s">
        <v>18095</v>
      </c>
      <c r="G1590" s="27" t="s">
        <v>18096</v>
      </c>
      <c r="H1590" s="27" t="s">
        <v>18098</v>
      </c>
      <c r="I1590" s="27"/>
      <c r="J1590" s="27"/>
      <c r="K1590" s="27"/>
      <c r="L1590" s="27"/>
      <c r="N1590" s="27"/>
      <c r="T1590" s="28" t="str">
        <f>LOOKUP(1,1/(Table1[[#This Row],[Level_0]:[Level 15]]&gt;0),(Table1[[#This Row],[Level_0]:[Level 15]]))</f>
        <v>7600304155 - [DAA Conference Center]</v>
      </c>
      <c r="U1590" s="22">
        <v>1585</v>
      </c>
      <c r="W1590" s="13" t="str">
        <f>LOOKUP(1,1/(Table1[[#This Row],[Level_0]:[Level 15]]&gt;0),(Table1[[#This Row],[Level_0]:[Level 15]]))</f>
        <v>7600304155 - [DAA Conference Center]</v>
      </c>
    </row>
    <row r="1591" spans="1:23" hidden="1" x14ac:dyDescent="0.25">
      <c r="A1591">
        <v>7600304116</v>
      </c>
      <c r="B1591" s="16" t="s">
        <v>21315</v>
      </c>
      <c r="C1591" s="16" t="e">
        <f>VLOOKUP(Table1[[#This Row],[Node]],Parent!A:B,2,0)</f>
        <v>#N/A</v>
      </c>
      <c r="D1591" s="25" t="s">
        <v>19346</v>
      </c>
      <c r="E1591" s="26" t="s">
        <v>16544</v>
      </c>
      <c r="F1591" s="27" t="s">
        <v>18095</v>
      </c>
      <c r="G1591" s="27" t="s">
        <v>18096</v>
      </c>
      <c r="H1591" s="27" t="s">
        <v>18099</v>
      </c>
      <c r="I1591" s="27"/>
      <c r="J1591" s="27"/>
      <c r="K1591" s="27"/>
      <c r="L1591" s="27"/>
      <c r="N1591" s="27"/>
      <c r="T1591" s="28" t="str">
        <f>LOOKUP(1,1/(Table1[[#This Row],[Level_0]:[Level 15]]&gt;0),(Table1[[#This Row],[Level_0]:[Level 15]]))</f>
        <v>7600304116 - [DAA Project Mgmt_Construct.]</v>
      </c>
      <c r="U1591" s="22">
        <v>1586</v>
      </c>
      <c r="W1591" s="13" t="str">
        <f>LOOKUP(1,1/(Table1[[#This Row],[Level_0]:[Level 15]]&gt;0),(Table1[[#This Row],[Level_0]:[Level 15]]))</f>
        <v>7600304116 - [DAA Project Mgmt_Construct.]</v>
      </c>
    </row>
    <row r="1592" spans="1:23" hidden="1" x14ac:dyDescent="0.25">
      <c r="A1592">
        <v>7600304016</v>
      </c>
      <c r="B1592" s="16" t="s">
        <v>21217</v>
      </c>
      <c r="C1592" s="16" t="e">
        <f>VLOOKUP(Table1[[#This Row],[Node]],Parent!A:B,2,0)</f>
        <v>#N/A</v>
      </c>
      <c r="D1592" s="25" t="s">
        <v>19346</v>
      </c>
      <c r="E1592" s="26" t="s">
        <v>16544</v>
      </c>
      <c r="F1592" s="27" t="s">
        <v>18095</v>
      </c>
      <c r="G1592" s="27" t="s">
        <v>18096</v>
      </c>
      <c r="H1592" s="27" t="s">
        <v>18100</v>
      </c>
      <c r="I1592" s="27"/>
      <c r="J1592" s="27"/>
      <c r="K1592" s="27"/>
      <c r="L1592" s="27"/>
      <c r="N1592" s="27"/>
      <c r="T1592" s="28" t="str">
        <f>LOOKUP(1,1/(Table1[[#This Row],[Level_0]:[Level 15]]&gt;0),(Table1[[#This Row],[Level_0]:[Level 15]]))</f>
        <v>7600304016 - [DAA Restaurant &amp; Conference Services]</v>
      </c>
      <c r="U1592" s="22">
        <v>1587</v>
      </c>
      <c r="W1592" s="13" t="str">
        <f>LOOKUP(1,1/(Table1[[#This Row],[Level_0]:[Level 15]]&gt;0),(Table1[[#This Row],[Level_0]:[Level 15]]))</f>
        <v>7600304016 - [DAA Restaurant &amp; Conference Services]</v>
      </c>
    </row>
    <row r="1593" spans="1:23" hidden="1" x14ac:dyDescent="0.25">
      <c r="A1593">
        <v>7020000007</v>
      </c>
      <c r="B1593" s="16" t="s">
        <v>20646</v>
      </c>
      <c r="C1593" s="16" t="e">
        <f>VLOOKUP(Table1[[#This Row],[Node]],Parent!A:B,2,0)</f>
        <v>#N/A</v>
      </c>
      <c r="D1593" s="25" t="s">
        <v>19346</v>
      </c>
      <c r="E1593" s="26" t="s">
        <v>16544</v>
      </c>
      <c r="F1593" s="27" t="s">
        <v>18095</v>
      </c>
      <c r="G1593" s="27" t="s">
        <v>18096</v>
      </c>
      <c r="H1593" s="27" t="s">
        <v>18101</v>
      </c>
      <c r="I1593" s="27"/>
      <c r="J1593" s="27"/>
      <c r="K1593" s="27"/>
      <c r="L1593" s="27"/>
      <c r="N1593" s="27"/>
      <c r="T1593" s="28" t="str">
        <f>LOOKUP(1,1/(Table1[[#This Row],[Level_0]:[Level 15]]&gt;0),(Table1[[#This Row],[Level_0]:[Level 15]]))</f>
        <v>7020000007 - [AOM Cost transfer Travelling &amp; Entertaim]</v>
      </c>
      <c r="U1593" s="22">
        <v>1588</v>
      </c>
      <c r="W1593" s="13" t="str">
        <f>LOOKUP(1,1/(Table1[[#This Row],[Level_0]:[Level 15]]&gt;0),(Table1[[#This Row],[Level_0]:[Level 15]]))</f>
        <v>7020000007 - [AOM Cost transfer Travelling &amp; Entertaim]</v>
      </c>
    </row>
    <row r="1594" spans="1:23" hidden="1" x14ac:dyDescent="0.25">
      <c r="A1594">
        <v>5812000000</v>
      </c>
      <c r="B1594" s="16" t="s">
        <v>20494</v>
      </c>
      <c r="C1594" s="16" t="e">
        <f>VLOOKUP(Table1[[#This Row],[Node]],Parent!A:B,2,0)</f>
        <v>#N/A</v>
      </c>
      <c r="D1594" s="25" t="s">
        <v>19346</v>
      </c>
      <c r="E1594" s="26" t="s">
        <v>16544</v>
      </c>
      <c r="F1594" s="27" t="s">
        <v>18095</v>
      </c>
      <c r="G1594" s="27" t="s">
        <v>18096</v>
      </c>
      <c r="H1594" s="27" t="s">
        <v>18102</v>
      </c>
      <c r="I1594" s="27"/>
      <c r="J1594" s="27"/>
      <c r="K1594" s="27"/>
      <c r="L1594" s="27"/>
      <c r="N1594" s="27"/>
      <c r="T1594" s="28" t="str">
        <f>LOOKUP(1,1/(Table1[[#This Row],[Level_0]:[Level 15]]&gt;0),(Table1[[#This Row],[Level_0]:[Level 15]]))</f>
        <v>5812000000 - [Entertainment Exp - Representation Exp]</v>
      </c>
      <c r="U1594" s="22">
        <v>1589</v>
      </c>
      <c r="W1594" s="13" t="str">
        <f>LOOKUP(1,1/(Table1[[#This Row],[Level_0]:[Level 15]]&gt;0),(Table1[[#This Row],[Level_0]:[Level 15]]))</f>
        <v>5812000000 - [Entertainment Exp - Representation Exp]</v>
      </c>
    </row>
    <row r="1595" spans="1:23" hidden="1" x14ac:dyDescent="0.25">
      <c r="A1595">
        <v>5810000010</v>
      </c>
      <c r="B1595" s="16" t="s">
        <v>20493</v>
      </c>
      <c r="C1595" s="16" t="e">
        <f>VLOOKUP(Table1[[#This Row],[Node]],Parent!A:B,2,0)</f>
        <v>#N/A</v>
      </c>
      <c r="D1595" s="25" t="s">
        <v>19346</v>
      </c>
      <c r="E1595" s="26" t="s">
        <v>16544</v>
      </c>
      <c r="F1595" s="27" t="s">
        <v>18095</v>
      </c>
      <c r="G1595" s="27" t="s">
        <v>18096</v>
      </c>
      <c r="H1595" s="27" t="s">
        <v>18103</v>
      </c>
      <c r="I1595" s="27"/>
      <c r="J1595" s="27"/>
      <c r="K1595" s="27"/>
      <c r="L1595" s="27"/>
      <c r="N1595" s="27"/>
      <c r="T1595" s="28" t="str">
        <f>LOOKUP(1,1/(Table1[[#This Row],[Level_0]:[Level 15]]&gt;0),(Table1[[#This Row],[Level_0]:[Level 15]]))</f>
        <v>5810000010 - [Entertainment Expenses OLL - Account 1]</v>
      </c>
      <c r="U1595" s="22">
        <v>1590</v>
      </c>
      <c r="W1595" s="13" t="str">
        <f>LOOKUP(1,1/(Table1[[#This Row],[Level_0]:[Level 15]]&gt;0),(Table1[[#This Row],[Level_0]:[Level 15]]))</f>
        <v>5810000010 - [Entertainment Expenses OLL - Account 1]</v>
      </c>
    </row>
    <row r="1596" spans="1:23" hidden="1" x14ac:dyDescent="0.25">
      <c r="A1596">
        <v>5810000004</v>
      </c>
      <c r="B1596" s="16" t="s">
        <v>20492</v>
      </c>
      <c r="C1596" s="16" t="e">
        <f>VLOOKUP(Table1[[#This Row],[Node]],Parent!A:B,2,0)</f>
        <v>#N/A</v>
      </c>
      <c r="D1596" s="25" t="s">
        <v>19346</v>
      </c>
      <c r="E1596" s="26" t="s">
        <v>16544</v>
      </c>
      <c r="F1596" s="27" t="s">
        <v>18095</v>
      </c>
      <c r="G1596" s="27" t="s">
        <v>18096</v>
      </c>
      <c r="H1596" s="27" t="s">
        <v>18104</v>
      </c>
      <c r="I1596" s="27"/>
      <c r="J1596" s="27"/>
      <c r="K1596" s="27"/>
      <c r="L1596" s="27"/>
      <c r="N1596" s="27"/>
      <c r="T1596" s="28" t="str">
        <f>LOOKUP(1,1/(Table1[[#This Row],[Level_0]:[Level 15]]&gt;0),(Table1[[#This Row],[Level_0]:[Level 15]]))</f>
        <v>5810000004 - [Entertainment Exp - 70% Deductible]</v>
      </c>
      <c r="U1596" s="22">
        <v>1591</v>
      </c>
      <c r="W1596" s="13" t="str">
        <f>LOOKUP(1,1/(Table1[[#This Row],[Level_0]:[Level 15]]&gt;0),(Table1[[#This Row],[Level_0]:[Level 15]]))</f>
        <v>5810000004 - [Entertainment Exp - 70% Deductible]</v>
      </c>
    </row>
    <row r="1597" spans="1:23" hidden="1" x14ac:dyDescent="0.25">
      <c r="A1597">
        <v>5810000002</v>
      </c>
      <c r="B1597" s="16" t="s">
        <v>20490</v>
      </c>
      <c r="C1597" s="16" t="e">
        <f>VLOOKUP(Table1[[#This Row],[Node]],Parent!A:B,2,0)</f>
        <v>#N/A</v>
      </c>
      <c r="D1597" s="25" t="s">
        <v>19346</v>
      </c>
      <c r="E1597" s="26" t="s">
        <v>16544</v>
      </c>
      <c r="F1597" s="27" t="s">
        <v>18095</v>
      </c>
      <c r="G1597" s="27" t="s">
        <v>18096</v>
      </c>
      <c r="H1597" s="27" t="s">
        <v>18105</v>
      </c>
      <c r="I1597" s="27"/>
      <c r="J1597" s="27"/>
      <c r="K1597" s="27"/>
      <c r="L1597" s="27"/>
      <c r="N1597" s="27"/>
      <c r="T1597" s="28" t="str">
        <f>LOOKUP(1,1/(Table1[[#This Row],[Level_0]:[Level 15]]&gt;0),(Table1[[#This Row],[Level_0]:[Level 15]]))</f>
        <v>5810000002 - [Entertainment Expenses ULL - Account 1]</v>
      </c>
      <c r="U1597" s="22">
        <v>1592</v>
      </c>
      <c r="W1597" s="13" t="str">
        <f>LOOKUP(1,1/(Table1[[#This Row],[Level_0]:[Level 15]]&gt;0),(Table1[[#This Row],[Level_0]:[Level 15]]))</f>
        <v>5810000002 - [Entertainment Expenses ULL - Account 1]</v>
      </c>
    </row>
    <row r="1598" spans="1:23" hidden="1" x14ac:dyDescent="0.25">
      <c r="A1598">
        <v>5810000001</v>
      </c>
      <c r="B1598" s="16" t="s">
        <v>20489</v>
      </c>
      <c r="C1598" s="16" t="e">
        <f>VLOOKUP(Table1[[#This Row],[Node]],Parent!A:B,2,0)</f>
        <v>#N/A</v>
      </c>
      <c r="D1598" s="25" t="s">
        <v>19346</v>
      </c>
      <c r="E1598" s="26" t="s">
        <v>16544</v>
      </c>
      <c r="F1598" s="27" t="s">
        <v>18095</v>
      </c>
      <c r="G1598" s="27" t="s">
        <v>18096</v>
      </c>
      <c r="H1598" s="27" t="s">
        <v>18106</v>
      </c>
      <c r="I1598" s="27"/>
      <c r="J1598" s="27"/>
      <c r="K1598" s="27"/>
      <c r="L1598" s="27"/>
      <c r="N1598" s="27"/>
      <c r="T1598" s="28" t="str">
        <f>LOOKUP(1,1/(Table1[[#This Row],[Level_0]:[Level 15]]&gt;0),(Table1[[#This Row],[Level_0]:[Level 15]]))</f>
        <v>5810000001 - [Entertainment Expenses OLL]</v>
      </c>
      <c r="U1598" s="22">
        <v>1593</v>
      </c>
      <c r="W1598" s="13" t="str">
        <f>LOOKUP(1,1/(Table1[[#This Row],[Level_0]:[Level 15]]&gt;0),(Table1[[#This Row],[Level_0]:[Level 15]]))</f>
        <v>5810000001 - [Entertainment Expenses OLL]</v>
      </c>
    </row>
    <row r="1599" spans="1:23" hidden="1" x14ac:dyDescent="0.25">
      <c r="A1599">
        <v>5810000000</v>
      </c>
      <c r="B1599" s="16" t="s">
        <v>20488</v>
      </c>
      <c r="C1599" s="16" t="e">
        <f>VLOOKUP(Table1[[#This Row],[Node]],Parent!A:B,2,0)</f>
        <v>#N/A</v>
      </c>
      <c r="D1599" s="25" t="s">
        <v>19346</v>
      </c>
      <c r="E1599" s="26" t="s">
        <v>16544</v>
      </c>
      <c r="F1599" s="27" t="s">
        <v>18095</v>
      </c>
      <c r="G1599" s="27" t="s">
        <v>18096</v>
      </c>
      <c r="H1599" s="27" t="s">
        <v>18107</v>
      </c>
      <c r="I1599" s="27"/>
      <c r="J1599" s="27"/>
      <c r="K1599" s="27"/>
      <c r="L1599" s="27"/>
      <c r="N1599" s="27"/>
      <c r="T1599" s="28" t="str">
        <f>LOOKUP(1,1/(Table1[[#This Row],[Level_0]:[Level 15]]&gt;0),(Table1[[#This Row],[Level_0]:[Level 15]]))</f>
        <v>5810000000 - [Entertainment Expenses ULL]</v>
      </c>
      <c r="U1599" s="22">
        <v>1594</v>
      </c>
      <c r="W1599" s="13" t="str">
        <f>LOOKUP(1,1/(Table1[[#This Row],[Level_0]:[Level 15]]&gt;0),(Table1[[#This Row],[Level_0]:[Level 15]]))</f>
        <v>5810000000 - [Entertainment Expenses ULL]</v>
      </c>
    </row>
    <row r="1600" spans="1:23" hidden="1" x14ac:dyDescent="0.25">
      <c r="A1600">
        <v>200100</v>
      </c>
      <c r="B1600" s="16" t="s">
        <v>19493</v>
      </c>
      <c r="C1600" s="16" t="e">
        <f>VLOOKUP(Table1[[#This Row],[Node]],Parent!A:B,2,0)</f>
        <v>#N/A</v>
      </c>
      <c r="D1600" s="25" t="s">
        <v>19346</v>
      </c>
      <c r="E1600" s="26" t="s">
        <v>16544</v>
      </c>
      <c r="F1600" s="27" t="s">
        <v>18095</v>
      </c>
      <c r="G1600" s="27" t="s">
        <v>18108</v>
      </c>
      <c r="H1600" s="27"/>
      <c r="I1600" s="27"/>
      <c r="J1600" s="27"/>
      <c r="K1600" s="27"/>
      <c r="L1600" s="27"/>
      <c r="N1600" s="27"/>
      <c r="T1600" s="28" t="str">
        <f>LOOKUP(1,1/(Table1[[#This Row],[Level_0]:[Level 15]]&gt;0),(Table1[[#This Row],[Level_0]:[Level 15]]))</f>
        <v>200100 - [Travel Costs]</v>
      </c>
      <c r="U1600" s="22">
        <v>1595</v>
      </c>
      <c r="W1600" s="13" t="str">
        <f>LOOKUP(1,1/(Table1[[#This Row],[Level_0]:[Level 15]]&gt;0),(Table1[[#This Row],[Level_0]:[Level 15]]))</f>
        <v>200100 - [Travel Costs]</v>
      </c>
    </row>
    <row r="1601" spans="1:23" hidden="1" x14ac:dyDescent="0.25">
      <c r="A1601">
        <v>7820120006</v>
      </c>
      <c r="B1601" s="16" t="s">
        <v>21793</v>
      </c>
      <c r="C1601" s="16" t="e">
        <f>VLOOKUP(Table1[[#This Row],[Node]],Parent!A:B,2,0)</f>
        <v>#N/A</v>
      </c>
      <c r="D1601" s="25" t="s">
        <v>19346</v>
      </c>
      <c r="E1601" s="26" t="s">
        <v>16544</v>
      </c>
      <c r="F1601" s="27" t="s">
        <v>18095</v>
      </c>
      <c r="G1601" s="27" t="s">
        <v>18108</v>
      </c>
      <c r="H1601" s="27" t="s">
        <v>18109</v>
      </c>
      <c r="I1601" s="27"/>
      <c r="J1601" s="27"/>
      <c r="K1601" s="27"/>
      <c r="L1601" s="27"/>
      <c r="N1601" s="27"/>
      <c r="T1601" s="28" t="str">
        <f>LOOKUP(1,1/(Table1[[#This Row],[Level_0]:[Level 15]]&gt;0),(Table1[[#This Row],[Level_0]:[Level 15]]))</f>
        <v>7820120006 - [APA Field force - T&amp;E]</v>
      </c>
      <c r="U1601" s="22">
        <v>1596</v>
      </c>
      <c r="W1601" s="13" t="str">
        <f>LOOKUP(1,1/(Table1[[#This Row],[Level_0]:[Level 15]]&gt;0),(Table1[[#This Row],[Level_0]:[Level 15]]))</f>
        <v>7820120006 - [APA Field force - T&amp;E]</v>
      </c>
    </row>
    <row r="1602" spans="1:23" hidden="1" x14ac:dyDescent="0.25">
      <c r="A1602">
        <v>5809000000</v>
      </c>
      <c r="B1602" s="16" t="s">
        <v>20487</v>
      </c>
      <c r="C1602" s="16" t="e">
        <f>VLOOKUP(Table1[[#This Row],[Node]],Parent!A:B,2,0)</f>
        <v>#N/A</v>
      </c>
      <c r="D1602" s="25" t="s">
        <v>19346</v>
      </c>
      <c r="E1602" s="26" t="s">
        <v>16544</v>
      </c>
      <c r="F1602" s="27" t="s">
        <v>18095</v>
      </c>
      <c r="G1602" s="27" t="s">
        <v>18108</v>
      </c>
      <c r="H1602" s="27" t="s">
        <v>18110</v>
      </c>
      <c r="I1602" s="27"/>
      <c r="J1602" s="27"/>
      <c r="K1602" s="27"/>
      <c r="L1602" s="27"/>
      <c r="N1602" s="27"/>
      <c r="T1602" s="28" t="str">
        <f>LOOKUP(1,1/(Table1[[#This Row],[Level_0]:[Level 15]]&gt;0),(Table1[[#This Row],[Level_0]:[Level 15]]))</f>
        <v>5809000000 - [Travel Exp - Other Travel Expenses]</v>
      </c>
      <c r="U1602" s="22">
        <v>1597</v>
      </c>
      <c r="W1602" s="13" t="str">
        <f>LOOKUP(1,1/(Table1[[#This Row],[Level_0]:[Level 15]]&gt;0),(Table1[[#This Row],[Level_0]:[Level 15]]))</f>
        <v>5809000000 - [Travel Exp - Other Travel Expenses]</v>
      </c>
    </row>
    <row r="1603" spans="1:23" hidden="1" x14ac:dyDescent="0.25">
      <c r="A1603">
        <v>5806000000</v>
      </c>
      <c r="B1603" s="16" t="s">
        <v>20486</v>
      </c>
      <c r="C1603" s="16" t="e">
        <f>VLOOKUP(Table1[[#This Row],[Node]],Parent!A:B,2,0)</f>
        <v>#N/A</v>
      </c>
      <c r="D1603" s="25" t="s">
        <v>19346</v>
      </c>
      <c r="E1603" s="26" t="s">
        <v>16544</v>
      </c>
      <c r="F1603" s="27" t="s">
        <v>18095</v>
      </c>
      <c r="G1603" s="27" t="s">
        <v>18108</v>
      </c>
      <c r="H1603" s="27" t="s">
        <v>18111</v>
      </c>
      <c r="I1603" s="27"/>
      <c r="J1603" s="27"/>
      <c r="K1603" s="27"/>
      <c r="L1603" s="27"/>
      <c r="N1603" s="27"/>
      <c r="T1603" s="28" t="str">
        <f>LOOKUP(1,1/(Table1[[#This Row],[Level_0]:[Level 15]]&gt;0),(Table1[[#This Row],[Level_0]:[Level 15]]))</f>
        <v>5806000000 - [Travel Exp - Other Fares]</v>
      </c>
      <c r="U1603" s="22">
        <v>1598</v>
      </c>
      <c r="W1603" s="13" t="str">
        <f>LOOKUP(1,1/(Table1[[#This Row],[Level_0]:[Level 15]]&gt;0),(Table1[[#This Row],[Level_0]:[Level 15]]))</f>
        <v>5806000000 - [Travel Exp - Other Fares]</v>
      </c>
    </row>
    <row r="1604" spans="1:23" hidden="1" x14ac:dyDescent="0.25">
      <c r="A1604">
        <v>5805000000</v>
      </c>
      <c r="B1604" s="16" t="s">
        <v>20485</v>
      </c>
      <c r="C1604" s="16" t="e">
        <f>VLOOKUP(Table1[[#This Row],[Node]],Parent!A:B,2,0)</f>
        <v>#N/A</v>
      </c>
      <c r="D1604" s="25" t="s">
        <v>19346</v>
      </c>
      <c r="E1604" s="26" t="s">
        <v>16544</v>
      </c>
      <c r="F1604" s="27" t="s">
        <v>18095</v>
      </c>
      <c r="G1604" s="27" t="s">
        <v>18108</v>
      </c>
      <c r="H1604" s="27" t="s">
        <v>18112</v>
      </c>
      <c r="I1604" s="27"/>
      <c r="J1604" s="27"/>
      <c r="K1604" s="27"/>
      <c r="L1604" s="27"/>
      <c r="N1604" s="27"/>
      <c r="T1604" s="28" t="str">
        <f>LOOKUP(1,1/(Table1[[#This Row],[Level_0]:[Level 15]]&gt;0),(Table1[[#This Row],[Level_0]:[Level 15]]))</f>
        <v>5805000000 - [Travel Exp - Rental Cars]</v>
      </c>
      <c r="U1604" s="22">
        <v>1599</v>
      </c>
      <c r="W1604" s="13" t="str">
        <f>LOOKUP(1,1/(Table1[[#This Row],[Level_0]:[Level 15]]&gt;0),(Table1[[#This Row],[Level_0]:[Level 15]]))</f>
        <v>5805000000 - [Travel Exp - Rental Cars]</v>
      </c>
    </row>
    <row r="1605" spans="1:23" hidden="1" x14ac:dyDescent="0.25">
      <c r="A1605">
        <v>5804000000</v>
      </c>
      <c r="B1605" s="16" t="s">
        <v>20484</v>
      </c>
      <c r="C1605" s="16" t="e">
        <f>VLOOKUP(Table1[[#This Row],[Node]],Parent!A:B,2,0)</f>
        <v>#N/A</v>
      </c>
      <c r="D1605" s="25" t="s">
        <v>19346</v>
      </c>
      <c r="E1605" s="26" t="s">
        <v>16544</v>
      </c>
      <c r="F1605" s="27" t="s">
        <v>18095</v>
      </c>
      <c r="G1605" s="27" t="s">
        <v>18108</v>
      </c>
      <c r="H1605" s="27" t="s">
        <v>18113</v>
      </c>
      <c r="I1605" s="27"/>
      <c r="J1605" s="27"/>
      <c r="K1605" s="27"/>
      <c r="L1605" s="27"/>
      <c r="N1605" s="27"/>
      <c r="T1605" s="28" t="str">
        <f>LOOKUP(1,1/(Table1[[#This Row],[Level_0]:[Level 15]]&gt;0),(Table1[[#This Row],[Level_0]:[Level 15]]))</f>
        <v>5804000000 - [Travel Exp - Public Transportation]</v>
      </c>
      <c r="U1605" s="22">
        <v>1600</v>
      </c>
      <c r="W1605" s="13" t="str">
        <f>LOOKUP(1,1/(Table1[[#This Row],[Level_0]:[Level 15]]&gt;0),(Table1[[#This Row],[Level_0]:[Level 15]]))</f>
        <v>5804000000 - [Travel Exp - Public Transportation]</v>
      </c>
    </row>
    <row r="1606" spans="1:23" hidden="1" x14ac:dyDescent="0.25">
      <c r="A1606">
        <v>5803000001</v>
      </c>
      <c r="B1606" s="16" t="s">
        <v>20483</v>
      </c>
      <c r="C1606" s="16" t="e">
        <f>VLOOKUP(Table1[[#This Row],[Node]],Parent!A:B,2,0)</f>
        <v>#N/A</v>
      </c>
      <c r="D1606" s="25" t="s">
        <v>19346</v>
      </c>
      <c r="E1606" s="26" t="s">
        <v>16544</v>
      </c>
      <c r="F1606" s="27" t="s">
        <v>18095</v>
      </c>
      <c r="G1606" s="27" t="s">
        <v>18108</v>
      </c>
      <c r="H1606" s="27" t="s">
        <v>18114</v>
      </c>
      <c r="I1606" s="27"/>
      <c r="J1606" s="27"/>
      <c r="K1606" s="27"/>
      <c r="L1606" s="27"/>
      <c r="N1606" s="27"/>
      <c r="T1606" s="28" t="str">
        <f>LOOKUP(1,1/(Table1[[#This Row],[Level_0]:[Level 15]]&gt;0),(Table1[[#This Row],[Level_0]:[Level 15]]))</f>
        <v>5803000001 - [Travel Exp - Flight 1]</v>
      </c>
      <c r="U1606" s="22">
        <v>1601</v>
      </c>
      <c r="W1606" s="13" t="str">
        <f>LOOKUP(1,1/(Table1[[#This Row],[Level_0]:[Level 15]]&gt;0),(Table1[[#This Row],[Level_0]:[Level 15]]))</f>
        <v>5803000001 - [Travel Exp - Flight 1]</v>
      </c>
    </row>
    <row r="1607" spans="1:23" hidden="1" x14ac:dyDescent="0.25">
      <c r="A1607">
        <v>5803000000</v>
      </c>
      <c r="B1607" s="16" t="s">
        <v>20482</v>
      </c>
      <c r="C1607" s="16" t="e">
        <f>VLOOKUP(Table1[[#This Row],[Node]],Parent!A:B,2,0)</f>
        <v>#N/A</v>
      </c>
      <c r="D1607" s="25" t="s">
        <v>19346</v>
      </c>
      <c r="E1607" s="26" t="s">
        <v>16544</v>
      </c>
      <c r="F1607" s="27" t="s">
        <v>18095</v>
      </c>
      <c r="G1607" s="27" t="s">
        <v>18108</v>
      </c>
      <c r="H1607" s="27" t="s">
        <v>18115</v>
      </c>
      <c r="I1607" s="27"/>
      <c r="J1607" s="27"/>
      <c r="K1607" s="27"/>
      <c r="L1607" s="27"/>
      <c r="N1607" s="27"/>
      <c r="T1607" s="28" t="str">
        <f>LOOKUP(1,1/(Table1[[#This Row],[Level_0]:[Level 15]]&gt;0),(Table1[[#This Row],[Level_0]:[Level 15]]))</f>
        <v>5803000000 - [Travel Exp - Flight]</v>
      </c>
      <c r="U1607" s="22">
        <v>1602</v>
      </c>
      <c r="W1607" s="13" t="str">
        <f>LOOKUP(1,1/(Table1[[#This Row],[Level_0]:[Level 15]]&gt;0),(Table1[[#This Row],[Level_0]:[Level 15]]))</f>
        <v>5803000000 - [Travel Exp - Flight]</v>
      </c>
    </row>
    <row r="1608" spans="1:23" hidden="1" x14ac:dyDescent="0.25">
      <c r="A1608">
        <v>5802000001</v>
      </c>
      <c r="B1608" s="16" t="s">
        <v>20481</v>
      </c>
      <c r="C1608" s="16" t="e">
        <f>VLOOKUP(Table1[[#This Row],[Node]],Parent!A:B,2,0)</f>
        <v>#N/A</v>
      </c>
      <c r="D1608" s="25" t="s">
        <v>19346</v>
      </c>
      <c r="E1608" s="26" t="s">
        <v>16544</v>
      </c>
      <c r="F1608" s="27" t="s">
        <v>18095</v>
      </c>
      <c r="G1608" s="27" t="s">
        <v>18108</v>
      </c>
      <c r="H1608" s="27" t="s">
        <v>18116</v>
      </c>
      <c r="I1608" s="27"/>
      <c r="J1608" s="27"/>
      <c r="K1608" s="27"/>
      <c r="L1608" s="27"/>
      <c r="N1608" s="27"/>
      <c r="T1608" s="28" t="str">
        <f>LOOKUP(1,1/(Table1[[#This Row],[Level_0]:[Level 15]]&gt;0),(Table1[[#This Row],[Level_0]:[Level 15]]))</f>
        <v>5802000001 - [Travel Exp - Hotel Accomodation Exp 1]</v>
      </c>
      <c r="U1608" s="22">
        <v>1603</v>
      </c>
      <c r="W1608" s="13" t="str">
        <f>LOOKUP(1,1/(Table1[[#This Row],[Level_0]:[Level 15]]&gt;0),(Table1[[#This Row],[Level_0]:[Level 15]]))</f>
        <v>5802000001 - [Travel Exp - Hotel Accomodation Exp 1]</v>
      </c>
    </row>
    <row r="1609" spans="1:23" hidden="1" x14ac:dyDescent="0.25">
      <c r="A1609">
        <v>5802000000</v>
      </c>
      <c r="B1609" s="16" t="s">
        <v>20480</v>
      </c>
      <c r="C1609" s="16" t="e">
        <f>VLOOKUP(Table1[[#This Row],[Node]],Parent!A:B,2,0)</f>
        <v>#N/A</v>
      </c>
      <c r="D1609" s="25" t="s">
        <v>19346</v>
      </c>
      <c r="E1609" s="26" t="s">
        <v>16544</v>
      </c>
      <c r="F1609" s="27" t="s">
        <v>18095</v>
      </c>
      <c r="G1609" s="27" t="s">
        <v>18108</v>
      </c>
      <c r="H1609" s="27" t="s">
        <v>18117</v>
      </c>
      <c r="I1609" s="27"/>
      <c r="J1609" s="27"/>
      <c r="K1609" s="27"/>
      <c r="L1609" s="27"/>
      <c r="N1609" s="27"/>
      <c r="T1609" s="28" t="str">
        <f>LOOKUP(1,1/(Table1[[#This Row],[Level_0]:[Level 15]]&gt;0),(Table1[[#This Row],[Level_0]:[Level 15]]))</f>
        <v>5802000000 - [Travel Exp - Hotel and Accomodation Exp]</v>
      </c>
      <c r="U1609" s="22">
        <v>1604</v>
      </c>
      <c r="W1609" s="13" t="str">
        <f>LOOKUP(1,1/(Table1[[#This Row],[Level_0]:[Level 15]]&gt;0),(Table1[[#This Row],[Level_0]:[Level 15]]))</f>
        <v>5802000000 - [Travel Exp - Hotel and Accomodation Exp]</v>
      </c>
    </row>
    <row r="1610" spans="1:23" hidden="1" x14ac:dyDescent="0.25">
      <c r="A1610">
        <v>5801000000</v>
      </c>
      <c r="B1610" s="16" t="s">
        <v>20479</v>
      </c>
      <c r="C1610" s="16" t="e">
        <f>VLOOKUP(Table1[[#This Row],[Node]],Parent!A:B,2,0)</f>
        <v>#N/A</v>
      </c>
      <c r="D1610" s="25" t="s">
        <v>19346</v>
      </c>
      <c r="E1610" s="26" t="s">
        <v>16544</v>
      </c>
      <c r="F1610" s="27" t="s">
        <v>18095</v>
      </c>
      <c r="G1610" s="27" t="s">
        <v>18108</v>
      </c>
      <c r="H1610" s="27" t="s">
        <v>18118</v>
      </c>
      <c r="I1610" s="27"/>
      <c r="J1610" s="27"/>
      <c r="K1610" s="27"/>
      <c r="L1610" s="27"/>
      <c r="N1610" s="27"/>
      <c r="T1610" s="28" t="str">
        <f>LOOKUP(1,1/(Table1[[#This Row],[Level_0]:[Level 15]]&gt;0),(Table1[[#This Row],[Level_0]:[Level 15]]))</f>
        <v>5801000000 - [Travel Exp - Meal Allowance]</v>
      </c>
      <c r="U1610" s="22">
        <v>1605</v>
      </c>
      <c r="W1610" s="13" t="str">
        <f>LOOKUP(1,1/(Table1[[#This Row],[Level_0]:[Level 15]]&gt;0),(Table1[[#This Row],[Level_0]:[Level 15]]))</f>
        <v>5801000000 - [Travel Exp - Meal Allowance]</v>
      </c>
    </row>
    <row r="1611" spans="1:23" hidden="1" x14ac:dyDescent="0.25">
      <c r="A1611">
        <v>190000</v>
      </c>
      <c r="B1611" s="16" t="s">
        <v>19476</v>
      </c>
      <c r="C1611" s="16" t="e">
        <f>VLOOKUP(Table1[[#This Row],[Node]],Parent!A:B,2,0)</f>
        <v>#N/A</v>
      </c>
      <c r="D1611" s="25" t="s">
        <v>19346</v>
      </c>
      <c r="E1611" s="26" t="s">
        <v>16544</v>
      </c>
      <c r="F1611" s="27" t="s">
        <v>18119</v>
      </c>
      <c r="G1611" s="27"/>
      <c r="H1611" s="27"/>
      <c r="I1611" s="27"/>
      <c r="J1611" s="27"/>
      <c r="K1611" s="27"/>
      <c r="L1611" s="27"/>
      <c r="N1611" s="27"/>
      <c r="T1611" s="28" t="str">
        <f>LOOKUP(1,1/(Table1[[#This Row],[Level_0]:[Level 15]]&gt;0),(Table1[[#This Row],[Level_0]:[Level 15]]))</f>
        <v>190000 - [Consulting Services &amp; Fees]</v>
      </c>
      <c r="U1611" s="22">
        <v>1606</v>
      </c>
      <c r="W1611" s="13" t="str">
        <f>LOOKUP(1,1/(Table1[[#This Row],[Level_0]:[Level 15]]&gt;0),(Table1[[#This Row],[Level_0]:[Level 15]]))</f>
        <v>190000 - [Consulting Services &amp; Fees]</v>
      </c>
    </row>
    <row r="1612" spans="1:23" hidden="1" x14ac:dyDescent="0.25">
      <c r="A1612">
        <v>190300</v>
      </c>
      <c r="B1612" s="16" t="s">
        <v>19489</v>
      </c>
      <c r="C1612" s="16" t="e">
        <f>VLOOKUP(Table1[[#This Row],[Node]],Parent!A:B,2,0)</f>
        <v>#N/A</v>
      </c>
      <c r="D1612" s="25" t="s">
        <v>19346</v>
      </c>
      <c r="E1612" s="26" t="s">
        <v>16544</v>
      </c>
      <c r="F1612" s="27" t="s">
        <v>18119</v>
      </c>
      <c r="G1612" s="27" t="s">
        <v>18120</v>
      </c>
      <c r="H1612" s="27"/>
      <c r="I1612" s="27"/>
      <c r="J1612" s="27"/>
      <c r="K1612" s="27"/>
      <c r="L1612" s="27"/>
      <c r="N1612" s="27"/>
      <c r="T1612" s="28" t="str">
        <f>LOOKUP(1,1/(Table1[[#This Row],[Level_0]:[Level 15]]&gt;0),(Table1[[#This Row],[Level_0]:[Level 15]]))</f>
        <v>190300 - [Other IC Services non MGF (OX,RS)]</v>
      </c>
      <c r="U1612" s="22">
        <v>1607</v>
      </c>
      <c r="W1612" s="13" t="str">
        <f>LOOKUP(1,1/(Table1[[#This Row],[Level_0]:[Level 15]]&gt;0),(Table1[[#This Row],[Level_0]:[Level 15]]))</f>
        <v>190300 - [Other IC Services non MGF (OX,RS)]</v>
      </c>
    </row>
    <row r="1613" spans="1:23" hidden="1" x14ac:dyDescent="0.25">
      <c r="A1613">
        <v>190200</v>
      </c>
      <c r="B1613" s="16" t="s">
        <v>19486</v>
      </c>
      <c r="C1613" s="16" t="e">
        <f>VLOOKUP(Table1[[#This Row],[Node]],Parent!A:B,2,0)</f>
        <v>#N/A</v>
      </c>
      <c r="D1613" s="25" t="s">
        <v>19346</v>
      </c>
      <c r="E1613" s="26" t="s">
        <v>16544</v>
      </c>
      <c r="F1613" s="27" t="s">
        <v>18119</v>
      </c>
      <c r="G1613" s="27" t="s">
        <v>18121</v>
      </c>
      <c r="H1613" s="27"/>
      <c r="I1613" s="27"/>
      <c r="J1613" s="27"/>
      <c r="K1613" s="27"/>
      <c r="L1613" s="27"/>
      <c r="N1613" s="27"/>
      <c r="T1613" s="28" t="str">
        <f>LOOKUP(1,1/(Table1[[#This Row],[Level_0]:[Level 15]]&gt;0),(Table1[[#This Row],[Level_0]:[Level 15]]))</f>
        <v>190200 - [Management Consulting]</v>
      </c>
      <c r="U1613" s="22">
        <v>1608</v>
      </c>
      <c r="W1613" s="13" t="str">
        <f>LOOKUP(1,1/(Table1[[#This Row],[Level_0]:[Level 15]]&gt;0),(Table1[[#This Row],[Level_0]:[Level 15]]))</f>
        <v>190200 - [Management Consulting]</v>
      </c>
    </row>
    <row r="1614" spans="1:23" hidden="1" x14ac:dyDescent="0.25">
      <c r="A1614">
        <v>190202</v>
      </c>
      <c r="B1614" s="16" t="s">
        <v>19488</v>
      </c>
      <c r="C1614" s="16" t="e">
        <f>VLOOKUP(Table1[[#This Row],[Node]],Parent!A:B,2,0)</f>
        <v>#N/A</v>
      </c>
      <c r="D1614" s="25" t="s">
        <v>19346</v>
      </c>
      <c r="E1614" s="26" t="s">
        <v>16544</v>
      </c>
      <c r="F1614" s="27" t="s">
        <v>18119</v>
      </c>
      <c r="G1614" s="27" t="s">
        <v>18121</v>
      </c>
      <c r="H1614" s="27" t="s">
        <v>18122</v>
      </c>
      <c r="I1614" s="27"/>
      <c r="J1614" s="27"/>
      <c r="K1614" s="27"/>
      <c r="L1614" s="27"/>
      <c r="N1614" s="27"/>
      <c r="T1614" s="28" t="str">
        <f>LOOKUP(1,1/(Table1[[#This Row],[Level_0]:[Level 15]]&gt;0),(Table1[[#This Row],[Level_0]:[Level 15]]))</f>
        <v>190202 - [Internal Consulting costs IC (CS)]</v>
      </c>
      <c r="U1614" s="22">
        <v>1609</v>
      </c>
      <c r="W1614" s="13" t="str">
        <f>LOOKUP(1,1/(Table1[[#This Row],[Level_0]:[Level 15]]&gt;0),(Table1[[#This Row],[Level_0]:[Level 15]]))</f>
        <v>190202 - [Internal Consulting costs IC (CS)]</v>
      </c>
    </row>
    <row r="1615" spans="1:23" hidden="1" x14ac:dyDescent="0.25">
      <c r="A1615">
        <v>5981210000</v>
      </c>
      <c r="B1615" s="16" t="s">
        <v>20620</v>
      </c>
      <c r="C1615" s="16" t="e">
        <f>VLOOKUP(Table1[[#This Row],[Node]],Parent!A:B,2,0)</f>
        <v>#N/A</v>
      </c>
      <c r="D1615" s="25" t="s">
        <v>19346</v>
      </c>
      <c r="E1615" s="26" t="s">
        <v>16544</v>
      </c>
      <c r="F1615" s="27" t="s">
        <v>18119</v>
      </c>
      <c r="G1615" s="27" t="s">
        <v>18121</v>
      </c>
      <c r="H1615" s="27" t="s">
        <v>18122</v>
      </c>
      <c r="I1615" s="27" t="s">
        <v>18123</v>
      </c>
      <c r="J1615" s="27"/>
      <c r="K1615" s="27"/>
      <c r="L1615" s="27"/>
      <c r="N1615" s="27"/>
      <c r="T1615" s="28" t="str">
        <f>LOOKUP(1,1/(Table1[[#This Row],[Level_0]:[Level 15]]&gt;0),(Table1[[#This Row],[Level_0]:[Level 15]]))</f>
        <v>5981210000 - [Reimbursement IC - Consulting - Non-IT]</v>
      </c>
      <c r="U1615" s="22">
        <v>1610</v>
      </c>
      <c r="W1615" s="13" t="str">
        <f>LOOKUP(1,1/(Table1[[#This Row],[Level_0]:[Level 15]]&gt;0),(Table1[[#This Row],[Level_0]:[Level 15]]))</f>
        <v>5981210000 - [Reimbursement IC - Consulting - Non-IT]</v>
      </c>
    </row>
    <row r="1616" spans="1:23" hidden="1" x14ac:dyDescent="0.25">
      <c r="A1616">
        <v>7560000002</v>
      </c>
      <c r="B1616" s="16" t="s">
        <v>21043</v>
      </c>
      <c r="C1616" s="16" t="e">
        <f>VLOOKUP(Table1[[#This Row],[Node]],Parent!A:B,2,0)</f>
        <v>#N/A</v>
      </c>
      <c r="D1616" s="25" t="s">
        <v>19346</v>
      </c>
      <c r="E1616" s="26" t="s">
        <v>16544</v>
      </c>
      <c r="F1616" s="27" t="s">
        <v>18119</v>
      </c>
      <c r="G1616" s="27" t="s">
        <v>18121</v>
      </c>
      <c r="H1616" s="27" t="s">
        <v>18122</v>
      </c>
      <c r="I1616" s="27" t="s">
        <v>18124</v>
      </c>
      <c r="J1616" s="27"/>
      <c r="K1616" s="27"/>
      <c r="L1616" s="27"/>
      <c r="N1616" s="27"/>
      <c r="T1616" s="28" t="str">
        <f>LOOKUP(1,1/(Table1[[#This Row],[Level_0]:[Level 15]]&gt;0),(Table1[[#This Row],[Level_0]:[Level 15]]))</f>
        <v>7560000002 - [AOM IC Consulting Services]</v>
      </c>
      <c r="U1616" s="22">
        <v>1611</v>
      </c>
      <c r="W1616" s="13" t="str">
        <f>LOOKUP(1,1/(Table1[[#This Row],[Level_0]:[Level 15]]&gt;0),(Table1[[#This Row],[Level_0]:[Level 15]]))</f>
        <v>7560000002 - [AOM IC Consulting Services]</v>
      </c>
    </row>
    <row r="1617" spans="1:23" hidden="1" x14ac:dyDescent="0.25">
      <c r="A1617">
        <v>7200000001</v>
      </c>
      <c r="B1617" s="16" t="s">
        <v>20691</v>
      </c>
      <c r="C1617" s="16" t="e">
        <f>VLOOKUP(Table1[[#This Row],[Node]],Parent!A:B,2,0)</f>
        <v>#N/A</v>
      </c>
      <c r="D1617" s="25" t="s">
        <v>19346</v>
      </c>
      <c r="E1617" s="26" t="s">
        <v>16544</v>
      </c>
      <c r="F1617" s="27" t="s">
        <v>18119</v>
      </c>
      <c r="G1617" s="27" t="s">
        <v>18121</v>
      </c>
      <c r="H1617" s="27" t="s">
        <v>18122</v>
      </c>
      <c r="I1617" s="27" t="s">
        <v>18125</v>
      </c>
      <c r="J1617" s="27"/>
      <c r="K1617" s="27"/>
      <c r="L1617" s="27"/>
      <c r="N1617" s="27"/>
      <c r="T1617" s="28" t="str">
        <f>LOOKUP(1,1/(Table1[[#This Row],[Level_0]:[Level 15]]&gt;0),(Table1[[#This Row],[Level_0]:[Level 15]]))</f>
        <v>7200000001 - [DAA Consulting Inhouse]</v>
      </c>
      <c r="U1617" s="22">
        <v>1612</v>
      </c>
      <c r="W1617" s="13" t="str">
        <f>LOOKUP(1,1/(Table1[[#This Row],[Level_0]:[Level 15]]&gt;0),(Table1[[#This Row],[Level_0]:[Level 15]]))</f>
        <v>7200000001 - [DAA Consulting Inhouse]</v>
      </c>
    </row>
    <row r="1618" spans="1:23" hidden="1" x14ac:dyDescent="0.25">
      <c r="A1618">
        <v>7100000004</v>
      </c>
      <c r="B1618" s="16" t="s">
        <v>20656</v>
      </c>
      <c r="C1618" s="16" t="e">
        <f>VLOOKUP(Table1[[#This Row],[Node]],Parent!A:B,2,0)</f>
        <v>#N/A</v>
      </c>
      <c r="D1618" s="25" t="s">
        <v>19346</v>
      </c>
      <c r="E1618" s="26" t="s">
        <v>16544</v>
      </c>
      <c r="F1618" s="27" t="s">
        <v>18119</v>
      </c>
      <c r="G1618" s="27" t="s">
        <v>18121</v>
      </c>
      <c r="H1618" s="27" t="s">
        <v>18122</v>
      </c>
      <c r="I1618" s="27" t="s">
        <v>18126</v>
      </c>
      <c r="J1618" s="27"/>
      <c r="K1618" s="27"/>
      <c r="L1618" s="27"/>
      <c r="N1618" s="27"/>
      <c r="T1618" s="28" t="str">
        <f>LOOKUP(1,1/(Table1[[#This Row],[Level_0]:[Level 15]]&gt;0),(Table1[[#This Row],[Level_0]:[Level 15]]))</f>
        <v>7100000004 - [DAA CONSULT INH.]</v>
      </c>
      <c r="U1618" s="22">
        <v>1613</v>
      </c>
      <c r="W1618" s="13" t="str">
        <f>LOOKUP(1,1/(Table1[[#This Row],[Level_0]:[Level 15]]&gt;0),(Table1[[#This Row],[Level_0]:[Level 15]]))</f>
        <v>7100000004 - [DAA CONSULT INH.]</v>
      </c>
    </row>
    <row r="1619" spans="1:23" hidden="1" x14ac:dyDescent="0.25">
      <c r="A1619">
        <v>5712410000</v>
      </c>
      <c r="B1619" s="16" t="s">
        <v>20417</v>
      </c>
      <c r="C1619" s="16" t="e">
        <f>VLOOKUP(Table1[[#This Row],[Node]],Parent!A:B,2,0)</f>
        <v>#N/A</v>
      </c>
      <c r="D1619" s="25" t="s">
        <v>19346</v>
      </c>
      <c r="E1619" s="26" t="s">
        <v>16544</v>
      </c>
      <c r="F1619" s="27" t="s">
        <v>18119</v>
      </c>
      <c r="G1619" s="27" t="s">
        <v>18121</v>
      </c>
      <c r="H1619" s="27" t="s">
        <v>18122</v>
      </c>
      <c r="I1619" s="27" t="s">
        <v>18127</v>
      </c>
      <c r="J1619" s="27"/>
      <c r="K1619" s="27"/>
      <c r="L1619" s="27"/>
      <c r="N1619" s="27"/>
      <c r="T1619" s="28" t="str">
        <f>LOOKUP(1,1/(Table1[[#This Row],[Level_0]:[Level 15]]&gt;0),(Table1[[#This Row],[Level_0]:[Level 15]]))</f>
        <v>5712410000 - [IC Expenses - Consult Serv - Non-IT]</v>
      </c>
      <c r="U1619" s="22">
        <v>1614</v>
      </c>
      <c r="W1619" s="13" t="str">
        <f>LOOKUP(1,1/(Table1[[#This Row],[Level_0]:[Level 15]]&gt;0),(Table1[[#This Row],[Level_0]:[Level 15]]))</f>
        <v>5712410000 - [IC Expenses - Consult Serv - Non-IT]</v>
      </c>
    </row>
    <row r="1620" spans="1:23" hidden="1" x14ac:dyDescent="0.25">
      <c r="A1620">
        <v>190201</v>
      </c>
      <c r="B1620" s="16" t="s">
        <v>19487</v>
      </c>
      <c r="C1620" s="16" t="e">
        <f>VLOOKUP(Table1[[#This Row],[Node]],Parent!A:B,2,0)</f>
        <v>#N/A</v>
      </c>
      <c r="D1620" s="25" t="s">
        <v>19346</v>
      </c>
      <c r="E1620" s="26" t="s">
        <v>16544</v>
      </c>
      <c r="F1620" s="27" t="s">
        <v>18119</v>
      </c>
      <c r="G1620" s="27" t="s">
        <v>18121</v>
      </c>
      <c r="H1620" s="27" t="s">
        <v>18128</v>
      </c>
      <c r="I1620" s="27"/>
      <c r="J1620" s="27"/>
      <c r="K1620" s="27"/>
      <c r="L1620" s="27"/>
      <c r="N1620" s="27"/>
      <c r="T1620" s="28" t="str">
        <f>LOOKUP(1,1/(Table1[[#This Row],[Level_0]:[Level 15]]&gt;0),(Table1[[#This Row],[Level_0]:[Level 15]]))</f>
        <v>190201 - [Strategy,Innovation,Bus.Devel.consulting]</v>
      </c>
      <c r="U1620" s="22">
        <v>1615</v>
      </c>
      <c r="W1620" s="13" t="str">
        <f>LOOKUP(1,1/(Table1[[#This Row],[Level_0]:[Level 15]]&gt;0),(Table1[[#This Row],[Level_0]:[Level 15]]))</f>
        <v>190201 - [Strategy,Innovation,Bus.Devel.consulting]</v>
      </c>
    </row>
    <row r="1621" spans="1:23" hidden="1" x14ac:dyDescent="0.25">
      <c r="A1621">
        <v>5710000000</v>
      </c>
      <c r="B1621" s="16" t="s">
        <v>20414</v>
      </c>
      <c r="C1621" s="16" t="e">
        <f>VLOOKUP(Table1[[#This Row],[Node]],Parent!A:B,2,0)</f>
        <v>#N/A</v>
      </c>
      <c r="D1621" s="25" t="s">
        <v>19346</v>
      </c>
      <c r="E1621" s="26" t="s">
        <v>16544</v>
      </c>
      <c r="F1621" s="27" t="s">
        <v>18119</v>
      </c>
      <c r="G1621" s="27" t="s">
        <v>18121</v>
      </c>
      <c r="H1621" s="27" t="s">
        <v>18128</v>
      </c>
      <c r="I1621" s="27" t="s">
        <v>18129</v>
      </c>
      <c r="J1621" s="27"/>
      <c r="K1621" s="27"/>
      <c r="L1621" s="27"/>
      <c r="N1621" s="27"/>
      <c r="T1621" s="28" t="str">
        <f>LOOKUP(1,1/(Table1[[#This Row],[Level_0]:[Level 15]]&gt;0),(Table1[[#This Row],[Level_0]:[Level 15]]))</f>
        <v>5710000000 - [Consultancy Expenses]</v>
      </c>
      <c r="U1621" s="22">
        <v>1616</v>
      </c>
      <c r="W1621" s="13" t="str">
        <f>LOOKUP(1,1/(Table1[[#This Row],[Level_0]:[Level 15]]&gt;0),(Table1[[#This Row],[Level_0]:[Level 15]]))</f>
        <v>5710000000 - [Consultancy Expenses]</v>
      </c>
    </row>
    <row r="1622" spans="1:23" hidden="1" x14ac:dyDescent="0.25">
      <c r="A1622">
        <v>190100</v>
      </c>
      <c r="B1622" s="16" t="s">
        <v>19477</v>
      </c>
      <c r="C1622" s="16" t="e">
        <f>VLOOKUP(Table1[[#This Row],[Node]],Parent!A:B,2,0)</f>
        <v>#N/A</v>
      </c>
      <c r="D1622" s="25" t="s">
        <v>19346</v>
      </c>
      <c r="E1622" s="26" t="s">
        <v>16544</v>
      </c>
      <c r="F1622" s="27" t="s">
        <v>18119</v>
      </c>
      <c r="G1622" s="27" t="s">
        <v>18130</v>
      </c>
      <c r="H1622" s="27"/>
      <c r="I1622" s="27"/>
      <c r="J1622" s="27"/>
      <c r="K1622" s="27"/>
      <c r="L1622" s="27"/>
      <c r="N1622" s="27"/>
      <c r="T1622" s="28" t="str">
        <f>LOOKUP(1,1/(Table1[[#This Row],[Level_0]:[Level 15]]&gt;0),(Table1[[#This Row],[Level_0]:[Level 15]]))</f>
        <v>190100 - [Legal,Bank &amp; Professional fees]</v>
      </c>
      <c r="U1622" s="22">
        <v>1617</v>
      </c>
      <c r="W1622" s="13" t="str">
        <f>LOOKUP(1,1/(Table1[[#This Row],[Level_0]:[Level 15]]&gt;0),(Table1[[#This Row],[Level_0]:[Level 15]]))</f>
        <v>190100 - [Legal,Bank &amp; Professional fees]</v>
      </c>
    </row>
    <row r="1623" spans="1:23" hidden="1" x14ac:dyDescent="0.25">
      <c r="A1623">
        <v>190105</v>
      </c>
      <c r="B1623" s="16" t="s">
        <v>19482</v>
      </c>
      <c r="C1623" s="16" t="e">
        <f>VLOOKUP(Table1[[#This Row],[Node]],Parent!A:B,2,0)</f>
        <v>#N/A</v>
      </c>
      <c r="D1623" s="25" t="s">
        <v>19346</v>
      </c>
      <c r="E1623" s="26" t="s">
        <v>16544</v>
      </c>
      <c r="F1623" s="27" t="s">
        <v>18119</v>
      </c>
      <c r="G1623" s="27" t="s">
        <v>18130</v>
      </c>
      <c r="H1623" s="27" t="s">
        <v>18131</v>
      </c>
      <c r="I1623" s="27"/>
      <c r="J1623" s="27"/>
      <c r="K1623" s="27"/>
      <c r="L1623" s="27"/>
      <c r="N1623" s="27"/>
      <c r="T1623" s="28" t="str">
        <f>LOOKUP(1,1/(Table1[[#This Row],[Level_0]:[Level 15]]&gt;0),(Table1[[#This Row],[Level_0]:[Level 15]]))</f>
        <v>190105 - [Other charges and fees]</v>
      </c>
      <c r="U1623" s="22">
        <v>1618</v>
      </c>
      <c r="W1623" s="13" t="str">
        <f>LOOKUP(1,1/(Table1[[#This Row],[Level_0]:[Level 15]]&gt;0),(Table1[[#This Row],[Level_0]:[Level 15]]))</f>
        <v>190105 - [Other charges and fees]</v>
      </c>
    </row>
    <row r="1624" spans="1:23" hidden="1" x14ac:dyDescent="0.25">
      <c r="A1624">
        <v>190135</v>
      </c>
      <c r="B1624" s="16" t="s">
        <v>19485</v>
      </c>
      <c r="C1624" s="16" t="e">
        <f>VLOOKUP(Table1[[#This Row],[Node]],Parent!A:B,2,0)</f>
        <v>#N/A</v>
      </c>
      <c r="D1624" s="25" t="s">
        <v>19346</v>
      </c>
      <c r="E1624" s="26" t="s">
        <v>16544</v>
      </c>
      <c r="F1624" s="27" t="s">
        <v>18119</v>
      </c>
      <c r="G1624" s="27" t="s">
        <v>18130</v>
      </c>
      <c r="H1624" s="27" t="s">
        <v>18131</v>
      </c>
      <c r="I1624" s="27" t="s">
        <v>18132</v>
      </c>
      <c r="J1624" s="27"/>
      <c r="K1624" s="27"/>
      <c r="L1624" s="27"/>
      <c r="N1624" s="27"/>
      <c r="T1624" s="28" t="str">
        <f>LOOKUP(1,1/(Table1[[#This Row],[Level_0]:[Level 15]]&gt;0),(Table1[[#This Row],[Level_0]:[Level 15]]))</f>
        <v>190135 - [Penalties/Fines for tax and social ctrb.]</v>
      </c>
      <c r="U1624" s="22">
        <v>1619</v>
      </c>
      <c r="W1624" s="13" t="str">
        <f>LOOKUP(1,1/(Table1[[#This Row],[Level_0]:[Level 15]]&gt;0),(Table1[[#This Row],[Level_0]:[Level 15]]))</f>
        <v>190135 - [Penalties/Fines for tax and social ctrb.]</v>
      </c>
    </row>
    <row r="1625" spans="1:23" hidden="1" x14ac:dyDescent="0.25">
      <c r="A1625">
        <v>5701600001</v>
      </c>
      <c r="B1625" s="16" t="s">
        <v>20409</v>
      </c>
      <c r="C1625" s="16" t="e">
        <f>VLOOKUP(Table1[[#This Row],[Node]],Parent!A:B,2,0)</f>
        <v>#N/A</v>
      </c>
      <c r="D1625" s="25" t="s">
        <v>19346</v>
      </c>
      <c r="E1625" s="26" t="s">
        <v>16544</v>
      </c>
      <c r="F1625" s="27" t="s">
        <v>18119</v>
      </c>
      <c r="G1625" s="27" t="s">
        <v>18130</v>
      </c>
      <c r="H1625" s="27" t="s">
        <v>18131</v>
      </c>
      <c r="I1625" s="27" t="s">
        <v>18132</v>
      </c>
      <c r="J1625" s="27" t="s">
        <v>18133</v>
      </c>
      <c r="K1625" s="27"/>
      <c r="L1625" s="27"/>
      <c r="N1625" s="27"/>
      <c r="T1625" s="28" t="str">
        <f>LOOKUP(1,1/(Table1[[#This Row],[Level_0]:[Level 15]]&gt;0),(Table1[[#This Row],[Level_0]:[Level 15]]))</f>
        <v>5701600001 - [L&amp;P Fees - Commercial Penalties]</v>
      </c>
      <c r="U1625" s="22">
        <v>1620</v>
      </c>
      <c r="W1625" s="13" t="str">
        <f>LOOKUP(1,1/(Table1[[#This Row],[Level_0]:[Level 15]]&gt;0),(Table1[[#This Row],[Level_0]:[Level 15]]))</f>
        <v>5701600001 - [L&amp;P Fees - Commercial Penalties]</v>
      </c>
    </row>
    <row r="1626" spans="1:23" hidden="1" x14ac:dyDescent="0.25">
      <c r="A1626">
        <v>5701600000</v>
      </c>
      <c r="B1626" s="16" t="s">
        <v>20408</v>
      </c>
      <c r="C1626" s="16" t="e">
        <f>VLOOKUP(Table1[[#This Row],[Node]],Parent!A:B,2,0)</f>
        <v>#N/A</v>
      </c>
      <c r="D1626" s="25" t="s">
        <v>19346</v>
      </c>
      <c r="E1626" s="26" t="s">
        <v>16544</v>
      </c>
      <c r="F1626" s="27" t="s">
        <v>18119</v>
      </c>
      <c r="G1626" s="27" t="s">
        <v>18130</v>
      </c>
      <c r="H1626" s="27" t="s">
        <v>18131</v>
      </c>
      <c r="I1626" s="27" t="s">
        <v>18132</v>
      </c>
      <c r="J1626" s="27" t="s">
        <v>18134</v>
      </c>
      <c r="K1626" s="27"/>
      <c r="L1626" s="27"/>
      <c r="N1626" s="27"/>
      <c r="T1626" s="28" t="str">
        <f>LOOKUP(1,1/(Table1[[#This Row],[Level_0]:[Level 15]]&gt;0),(Table1[[#This Row],[Level_0]:[Level 15]]))</f>
        <v>5701600000 - [L&amp;P Fees - Pen &amp; Fines for Tax &amp; SocChr]</v>
      </c>
      <c r="U1626" s="22">
        <v>1621</v>
      </c>
      <c r="W1626" s="13" t="str">
        <f>LOOKUP(1,1/(Table1[[#This Row],[Level_0]:[Level 15]]&gt;0),(Table1[[#This Row],[Level_0]:[Level 15]]))</f>
        <v>5701600000 - [L&amp;P Fees - Pen &amp; Fines for Tax &amp; SocChr]</v>
      </c>
    </row>
    <row r="1627" spans="1:23" hidden="1" x14ac:dyDescent="0.25">
      <c r="A1627">
        <v>5701500000</v>
      </c>
      <c r="B1627" s="16" t="s">
        <v>20407</v>
      </c>
      <c r="C1627" s="16" t="e">
        <f>VLOOKUP(Table1[[#This Row],[Node]],Parent!A:B,2,0)</f>
        <v>#N/A</v>
      </c>
      <c r="D1627" s="25" t="s">
        <v>19346</v>
      </c>
      <c r="E1627" s="26" t="s">
        <v>16544</v>
      </c>
      <c r="F1627" s="27" t="s">
        <v>18119</v>
      </c>
      <c r="G1627" s="27" t="s">
        <v>18130</v>
      </c>
      <c r="H1627" s="27" t="s">
        <v>18131</v>
      </c>
      <c r="I1627" s="27" t="s">
        <v>18132</v>
      </c>
      <c r="J1627" s="27" t="s">
        <v>18135</v>
      </c>
      <c r="K1627" s="27"/>
      <c r="L1627" s="27"/>
      <c r="N1627" s="27"/>
      <c r="T1627" s="28" t="str">
        <f>LOOKUP(1,1/(Table1[[#This Row],[Level_0]:[Level 15]]&gt;0),(Table1[[#This Row],[Level_0]:[Level 15]]))</f>
        <v>5701500000 - [L&amp;P Fees - Penal &amp; Fine for Inc-Tax Only]</v>
      </c>
      <c r="U1627" s="22">
        <v>1622</v>
      </c>
      <c r="W1627" s="13" t="str">
        <f>LOOKUP(1,1/(Table1[[#This Row],[Level_0]:[Level 15]]&gt;0),(Table1[[#This Row],[Level_0]:[Level 15]]))</f>
        <v>5701500000 - [L&amp;P Fees - Penal &amp; Fine for Inc-Tax Only]</v>
      </c>
    </row>
    <row r="1628" spans="1:23" hidden="1" x14ac:dyDescent="0.25">
      <c r="A1628">
        <v>190125</v>
      </c>
      <c r="B1628" s="16" t="s">
        <v>19484</v>
      </c>
      <c r="C1628" s="16" t="e">
        <f>VLOOKUP(Table1[[#This Row],[Node]],Parent!A:B,2,0)</f>
        <v>#N/A</v>
      </c>
      <c r="D1628" s="25" t="s">
        <v>19346</v>
      </c>
      <c r="E1628" s="26" t="s">
        <v>16544</v>
      </c>
      <c r="F1628" s="27" t="s">
        <v>18119</v>
      </c>
      <c r="G1628" s="27" t="s">
        <v>18130</v>
      </c>
      <c r="H1628" s="27" t="s">
        <v>18131</v>
      </c>
      <c r="I1628" s="27" t="s">
        <v>18136</v>
      </c>
      <c r="J1628" s="27"/>
      <c r="K1628" s="27"/>
      <c r="L1628" s="27"/>
      <c r="N1628" s="27"/>
      <c r="T1628" s="28" t="str">
        <f>LOOKUP(1,1/(Table1[[#This Row],[Level_0]:[Level 15]]&gt;0),(Table1[[#This Row],[Level_0]:[Level 15]]))</f>
        <v>190125 - [Membership &amp; Subscription fees]</v>
      </c>
      <c r="U1628" s="22">
        <v>1623</v>
      </c>
      <c r="W1628" s="13" t="str">
        <f>LOOKUP(1,1/(Table1[[#This Row],[Level_0]:[Level 15]]&gt;0),(Table1[[#This Row],[Level_0]:[Level 15]]))</f>
        <v>190125 - [Membership &amp; Subscription fees]</v>
      </c>
    </row>
    <row r="1629" spans="1:23" hidden="1" x14ac:dyDescent="0.25">
      <c r="A1629">
        <v>5914000000</v>
      </c>
      <c r="B1629" s="16" t="s">
        <v>20516</v>
      </c>
      <c r="C1629" s="16" t="e">
        <f>VLOOKUP(Table1[[#This Row],[Node]],Parent!A:B,2,0)</f>
        <v>#N/A</v>
      </c>
      <c r="D1629" s="25" t="s">
        <v>19346</v>
      </c>
      <c r="E1629" s="26" t="s">
        <v>16544</v>
      </c>
      <c r="F1629" s="27" t="s">
        <v>18119</v>
      </c>
      <c r="G1629" s="27" t="s">
        <v>18130</v>
      </c>
      <c r="H1629" s="27" t="s">
        <v>18131</v>
      </c>
      <c r="I1629" s="27" t="s">
        <v>18136</v>
      </c>
      <c r="J1629" s="27" t="s">
        <v>18137</v>
      </c>
      <c r="K1629" s="27"/>
      <c r="L1629" s="27"/>
      <c r="N1629" s="27"/>
      <c r="T1629" s="28" t="str">
        <f>LOOKUP(1,1/(Table1[[#This Row],[Level_0]:[Level 15]]&gt;0),(Table1[[#This Row],[Level_0]:[Level 15]]))</f>
        <v>5914000000 - [Other Consumables - Publications]</v>
      </c>
      <c r="U1629" s="22">
        <v>1624</v>
      </c>
      <c r="W1629" s="13" t="str">
        <f>LOOKUP(1,1/(Table1[[#This Row],[Level_0]:[Level 15]]&gt;0),(Table1[[#This Row],[Level_0]:[Level 15]]))</f>
        <v>5914000000 - [Other Consumables - Publications]</v>
      </c>
    </row>
    <row r="1630" spans="1:23" hidden="1" x14ac:dyDescent="0.25">
      <c r="A1630">
        <v>5913000000</v>
      </c>
      <c r="B1630" s="16" t="s">
        <v>20515</v>
      </c>
      <c r="C1630" s="16" t="e">
        <f>VLOOKUP(Table1[[#This Row],[Node]],Parent!A:B,2,0)</f>
        <v>#N/A</v>
      </c>
      <c r="D1630" s="25" t="s">
        <v>19346</v>
      </c>
      <c r="E1630" s="26" t="s">
        <v>16544</v>
      </c>
      <c r="F1630" s="27" t="s">
        <v>18119</v>
      </c>
      <c r="G1630" s="27" t="s">
        <v>18130</v>
      </c>
      <c r="H1630" s="27" t="s">
        <v>18131</v>
      </c>
      <c r="I1630" s="27" t="s">
        <v>18136</v>
      </c>
      <c r="J1630" s="27" t="s">
        <v>18138</v>
      </c>
      <c r="K1630" s="27"/>
      <c r="L1630" s="27"/>
      <c r="N1630" s="27"/>
      <c r="T1630" s="28" t="str">
        <f>LOOKUP(1,1/(Table1[[#This Row],[Level_0]:[Level 15]]&gt;0),(Table1[[#This Row],[Level_0]:[Level 15]]))</f>
        <v>5913000000 - [Other Consumables - Literature]</v>
      </c>
      <c r="U1630" s="22">
        <v>1625</v>
      </c>
      <c r="W1630" s="13" t="str">
        <f>LOOKUP(1,1/(Table1[[#This Row],[Level_0]:[Level 15]]&gt;0),(Table1[[#This Row],[Level_0]:[Level 15]]))</f>
        <v>5913000000 - [Other Consumables - Literature]</v>
      </c>
    </row>
    <row r="1631" spans="1:23" hidden="1" x14ac:dyDescent="0.25">
      <c r="A1631">
        <v>5700800000</v>
      </c>
      <c r="B1631" s="16" t="s">
        <v>20403</v>
      </c>
      <c r="C1631" s="16" t="e">
        <f>VLOOKUP(Table1[[#This Row],[Node]],Parent!A:B,2,0)</f>
        <v>#N/A</v>
      </c>
      <c r="D1631" s="25" t="s">
        <v>19346</v>
      </c>
      <c r="E1631" s="26" t="s">
        <v>16544</v>
      </c>
      <c r="F1631" s="27" t="s">
        <v>18119</v>
      </c>
      <c r="G1631" s="27" t="s">
        <v>18130</v>
      </c>
      <c r="H1631" s="27" t="s">
        <v>18131</v>
      </c>
      <c r="I1631" s="27" t="s">
        <v>18136</v>
      </c>
      <c r="J1631" s="27" t="s">
        <v>18139</v>
      </c>
      <c r="K1631" s="27"/>
      <c r="L1631" s="27"/>
      <c r="N1631" s="27"/>
      <c r="T1631" s="28" t="str">
        <f>LOOKUP(1,1/(Table1[[#This Row],[Level_0]:[Level 15]]&gt;0),(Table1[[#This Row],[Level_0]:[Level 15]]))</f>
        <v>5700800000 - [L&amp;P Fees - Membership Fees]</v>
      </c>
      <c r="U1631" s="22">
        <v>1626</v>
      </c>
      <c r="W1631" s="13" t="str">
        <f>LOOKUP(1,1/(Table1[[#This Row],[Level_0]:[Level 15]]&gt;0),(Table1[[#This Row],[Level_0]:[Level 15]]))</f>
        <v>5700800000 - [L&amp;P Fees - Membership Fees]</v>
      </c>
    </row>
    <row r="1632" spans="1:23" hidden="1" x14ac:dyDescent="0.25">
      <c r="A1632">
        <v>190115</v>
      </c>
      <c r="B1632" s="16" t="s">
        <v>19483</v>
      </c>
      <c r="C1632" s="16" t="e">
        <f>VLOOKUP(Table1[[#This Row],[Node]],Parent!A:B,2,0)</f>
        <v>#N/A</v>
      </c>
      <c r="D1632" s="25" t="s">
        <v>19346</v>
      </c>
      <c r="E1632" s="26" t="s">
        <v>16544</v>
      </c>
      <c r="F1632" s="27" t="s">
        <v>18119</v>
      </c>
      <c r="G1632" s="27" t="s">
        <v>18130</v>
      </c>
      <c r="H1632" s="27" t="s">
        <v>18131</v>
      </c>
      <c r="I1632" s="27" t="s">
        <v>18140</v>
      </c>
      <c r="J1632" s="27"/>
      <c r="K1632" s="27"/>
      <c r="L1632" s="27"/>
      <c r="N1632" s="27"/>
      <c r="T1632" s="28" t="str">
        <f>LOOKUP(1,1/(Table1[[#This Row],[Level_0]:[Level 15]]&gt;0),(Table1[[#This Row],[Level_0]:[Level 15]]))</f>
        <v>190115 - [Premiums Insurance Fees]</v>
      </c>
      <c r="U1632" s="22">
        <v>1627</v>
      </c>
      <c r="W1632" s="13" t="str">
        <f>LOOKUP(1,1/(Table1[[#This Row],[Level_0]:[Level 15]]&gt;0),(Table1[[#This Row],[Level_0]:[Level 15]]))</f>
        <v>190115 - [Premiums Insurance Fees]</v>
      </c>
    </row>
    <row r="1633" spans="1:23" hidden="1" x14ac:dyDescent="0.25">
      <c r="A1633">
        <v>5901900000</v>
      </c>
      <c r="B1633" s="16" t="s">
        <v>20501</v>
      </c>
      <c r="C1633" s="16" t="e">
        <f>VLOOKUP(Table1[[#This Row],[Node]],Parent!A:B,2,0)</f>
        <v>#N/A</v>
      </c>
      <c r="D1633" s="25" t="s">
        <v>19346</v>
      </c>
      <c r="E1633" s="26" t="s">
        <v>16544</v>
      </c>
      <c r="F1633" s="27" t="s">
        <v>18119</v>
      </c>
      <c r="G1633" s="27" t="s">
        <v>18130</v>
      </c>
      <c r="H1633" s="27" t="s">
        <v>18131</v>
      </c>
      <c r="I1633" s="27" t="s">
        <v>18140</v>
      </c>
      <c r="J1633" s="27" t="s">
        <v>18141</v>
      </c>
      <c r="K1633" s="27"/>
      <c r="L1633" s="27"/>
      <c r="N1633" s="27"/>
      <c r="T1633" s="28" t="str">
        <f>LOOKUP(1,1/(Table1[[#This Row],[Level_0]:[Level 15]]&gt;0),(Table1[[#This Row],[Level_0]:[Level 15]]))</f>
        <v>5901900000 - [Oth Insur Exp - Other Insurances]</v>
      </c>
      <c r="U1633" s="22">
        <v>1628</v>
      </c>
      <c r="W1633" s="13" t="str">
        <f>LOOKUP(1,1/(Table1[[#This Row],[Level_0]:[Level 15]]&gt;0),(Table1[[#This Row],[Level_0]:[Level 15]]))</f>
        <v>5901900000 - [Oth Insur Exp - Other Insurances]</v>
      </c>
    </row>
    <row r="1634" spans="1:23" hidden="1" x14ac:dyDescent="0.25">
      <c r="A1634">
        <v>5901400000</v>
      </c>
      <c r="B1634" s="16" t="s">
        <v>20499</v>
      </c>
      <c r="C1634" s="16" t="e">
        <f>VLOOKUP(Table1[[#This Row],[Node]],Parent!A:B,2,0)</f>
        <v>#N/A</v>
      </c>
      <c r="D1634" s="25" t="s">
        <v>19346</v>
      </c>
      <c r="E1634" s="26" t="s">
        <v>16544</v>
      </c>
      <c r="F1634" s="27" t="s">
        <v>18119</v>
      </c>
      <c r="G1634" s="27" t="s">
        <v>18130</v>
      </c>
      <c r="H1634" s="27" t="s">
        <v>18131</v>
      </c>
      <c r="I1634" s="27" t="s">
        <v>18140</v>
      </c>
      <c r="J1634" s="27" t="s">
        <v>18142</v>
      </c>
      <c r="K1634" s="27"/>
      <c r="L1634" s="27"/>
      <c r="N1634" s="27"/>
      <c r="T1634" s="28" t="str">
        <f>LOOKUP(1,1/(Table1[[#This Row],[Level_0]:[Level 15]]&gt;0),(Table1[[#This Row],[Level_0]:[Level 15]]))</f>
        <v>5901400000 - [Oth Insur Exp - Machinery Insurance]</v>
      </c>
      <c r="U1634" s="22">
        <v>1629</v>
      </c>
      <c r="W1634" s="13" t="str">
        <f>LOOKUP(1,1/(Table1[[#This Row],[Level_0]:[Level 15]]&gt;0),(Table1[[#This Row],[Level_0]:[Level 15]]))</f>
        <v>5901400000 - [Oth Insur Exp - Machinery Insurance]</v>
      </c>
    </row>
    <row r="1635" spans="1:23" hidden="1" x14ac:dyDescent="0.25">
      <c r="A1635">
        <v>5901200000</v>
      </c>
      <c r="B1635" s="16" t="s">
        <v>20498</v>
      </c>
      <c r="C1635" s="16" t="e">
        <f>VLOOKUP(Table1[[#This Row],[Node]],Parent!A:B,2,0)</f>
        <v>#N/A</v>
      </c>
      <c r="D1635" s="25" t="s">
        <v>19346</v>
      </c>
      <c r="E1635" s="26" t="s">
        <v>16544</v>
      </c>
      <c r="F1635" s="27" t="s">
        <v>18119</v>
      </c>
      <c r="G1635" s="27" t="s">
        <v>18130</v>
      </c>
      <c r="H1635" s="27" t="s">
        <v>18131</v>
      </c>
      <c r="I1635" s="27" t="s">
        <v>18140</v>
      </c>
      <c r="J1635" s="27" t="s">
        <v>18143</v>
      </c>
      <c r="K1635" s="27"/>
      <c r="L1635" s="27"/>
      <c r="N1635" s="27"/>
      <c r="T1635" s="28" t="str">
        <f>LOOKUP(1,1/(Table1[[#This Row],[Level_0]:[Level 15]]&gt;0),(Table1[[#This Row],[Level_0]:[Level 15]]))</f>
        <v>5901200000 - [Oth Insur Exp - Product liability Insur]</v>
      </c>
      <c r="U1635" s="22">
        <v>1630</v>
      </c>
      <c r="W1635" s="13" t="str">
        <f>LOOKUP(1,1/(Table1[[#This Row],[Level_0]:[Level 15]]&gt;0),(Table1[[#This Row],[Level_0]:[Level 15]]))</f>
        <v>5901200000 - [Oth Insur Exp - Product liability Insur]</v>
      </c>
    </row>
    <row r="1636" spans="1:23" hidden="1" x14ac:dyDescent="0.25">
      <c r="A1636">
        <v>5901000000</v>
      </c>
      <c r="B1636" s="16" t="s">
        <v>20497</v>
      </c>
      <c r="C1636" s="16" t="e">
        <f>VLOOKUP(Table1[[#This Row],[Node]],Parent!A:B,2,0)</f>
        <v>#N/A</v>
      </c>
      <c r="D1636" s="25" t="s">
        <v>19346</v>
      </c>
      <c r="E1636" s="26" t="s">
        <v>16544</v>
      </c>
      <c r="F1636" s="27" t="s">
        <v>18119</v>
      </c>
      <c r="G1636" s="27" t="s">
        <v>18130</v>
      </c>
      <c r="H1636" s="27" t="s">
        <v>18131</v>
      </c>
      <c r="I1636" s="27" t="s">
        <v>18140</v>
      </c>
      <c r="J1636" s="27" t="s">
        <v>18144</v>
      </c>
      <c r="K1636" s="27"/>
      <c r="L1636" s="27"/>
      <c r="N1636" s="27"/>
      <c r="T1636" s="28" t="str">
        <f>LOOKUP(1,1/(Table1[[#This Row],[Level_0]:[Level 15]]&gt;0),(Table1[[#This Row],[Level_0]:[Level 15]]))</f>
        <v>5901000000 - [Oth Insur Exp - Business Interrup Insur]</v>
      </c>
      <c r="U1636" s="22">
        <v>1631</v>
      </c>
      <c r="W1636" s="13" t="str">
        <f>LOOKUP(1,1/(Table1[[#This Row],[Level_0]:[Level 15]]&gt;0),(Table1[[#This Row],[Level_0]:[Level 15]]))</f>
        <v>5901000000 - [Oth Insur Exp - Business Interrup Insur]</v>
      </c>
    </row>
    <row r="1637" spans="1:23" hidden="1" x14ac:dyDescent="0.25">
      <c r="A1637">
        <v>5483000000</v>
      </c>
      <c r="B1637" s="16" t="s">
        <v>20308</v>
      </c>
      <c r="C1637" s="16" t="e">
        <f>VLOOKUP(Table1[[#This Row],[Node]],Parent!A:B,2,0)</f>
        <v>#N/A</v>
      </c>
      <c r="D1637" s="25" t="s">
        <v>19346</v>
      </c>
      <c r="E1637" s="26" t="s">
        <v>16544</v>
      </c>
      <c r="F1637" s="27" t="s">
        <v>18119</v>
      </c>
      <c r="G1637" s="27" t="s">
        <v>18130</v>
      </c>
      <c r="H1637" s="27" t="s">
        <v>18131</v>
      </c>
      <c r="I1637" s="27" t="s">
        <v>18140</v>
      </c>
      <c r="J1637" s="27" t="s">
        <v>18145</v>
      </c>
      <c r="K1637" s="27"/>
      <c r="L1637" s="27"/>
      <c r="N1637" s="27"/>
      <c r="T1637" s="28" t="str">
        <f>LOOKUP(1,1/(Table1[[#This Row],[Level_0]:[Level 15]]&gt;0),(Table1[[#This Row],[Level_0]:[Level 15]]))</f>
        <v>5483000000 - [Transport Insurance]</v>
      </c>
      <c r="U1637" s="22">
        <v>1632</v>
      </c>
      <c r="W1637" s="13" t="str">
        <f>LOOKUP(1,1/(Table1[[#This Row],[Level_0]:[Level 15]]&gt;0),(Table1[[#This Row],[Level_0]:[Level 15]]))</f>
        <v>5483000000 - [Transport Insurance]</v>
      </c>
    </row>
    <row r="1638" spans="1:23" hidden="1" x14ac:dyDescent="0.25">
      <c r="A1638">
        <v>5201010000</v>
      </c>
      <c r="B1638" s="16" t="s">
        <v>20094</v>
      </c>
      <c r="C1638" s="16" t="e">
        <f>VLOOKUP(Table1[[#This Row],[Node]],Parent!A:B,2,0)</f>
        <v>#N/A</v>
      </c>
      <c r="D1638" s="25" t="s">
        <v>19346</v>
      </c>
      <c r="E1638" s="26" t="s">
        <v>16544</v>
      </c>
      <c r="F1638" s="27" t="s">
        <v>18119</v>
      </c>
      <c r="G1638" s="27" t="s">
        <v>18130</v>
      </c>
      <c r="H1638" s="27" t="s">
        <v>18131</v>
      </c>
      <c r="I1638" s="27" t="s">
        <v>18140</v>
      </c>
      <c r="J1638" s="27" t="s">
        <v>18146</v>
      </c>
      <c r="K1638" s="27"/>
      <c r="L1638" s="27"/>
      <c r="N1638" s="27"/>
      <c r="T1638" s="28" t="str">
        <f>LOOKUP(1,1/(Table1[[#This Row],[Level_0]:[Level 15]]&gt;0),(Table1[[#This Row],[Level_0]:[Level 15]]))</f>
        <v>5201010000 - [Vehicle - Insurance]</v>
      </c>
      <c r="U1638" s="22">
        <v>1633</v>
      </c>
      <c r="W1638" s="13" t="str">
        <f>LOOKUP(1,1/(Table1[[#This Row],[Level_0]:[Level 15]]&gt;0),(Table1[[#This Row],[Level_0]:[Level 15]]))</f>
        <v>5201010000 - [Vehicle - Insurance]</v>
      </c>
    </row>
    <row r="1639" spans="1:23" hidden="1" x14ac:dyDescent="0.25">
      <c r="A1639">
        <v>3957000000</v>
      </c>
      <c r="B1639" s="16" t="s">
        <v>19758</v>
      </c>
      <c r="C1639" s="16" t="e">
        <f>VLOOKUP(Table1[[#This Row],[Node]],Parent!A:B,2,0)</f>
        <v>#N/A</v>
      </c>
      <c r="D1639" s="25" t="s">
        <v>19346</v>
      </c>
      <c r="E1639" s="26" t="s">
        <v>16544</v>
      </c>
      <c r="F1639" s="27" t="s">
        <v>18119</v>
      </c>
      <c r="G1639" s="27" t="s">
        <v>18130</v>
      </c>
      <c r="H1639" s="27" t="s">
        <v>18131</v>
      </c>
      <c r="I1639" s="27" t="s">
        <v>18140</v>
      </c>
      <c r="J1639" s="27" t="s">
        <v>18147</v>
      </c>
      <c r="K1639" s="27"/>
      <c r="L1639" s="27"/>
      <c r="N1639" s="27"/>
      <c r="T1639" s="28" t="str">
        <f>LOOKUP(1,1/(Table1[[#This Row],[Level_0]:[Level 15]]&gt;0),(Table1[[#This Row],[Level_0]:[Level 15]]))</f>
        <v>3957000000 - [Oth Inc - Insur ReFunds f. Claim Settlem]</v>
      </c>
      <c r="U1639" s="22">
        <v>1634</v>
      </c>
      <c r="W1639" s="13" t="str">
        <f>LOOKUP(1,1/(Table1[[#This Row],[Level_0]:[Level 15]]&gt;0),(Table1[[#This Row],[Level_0]:[Level 15]]))</f>
        <v>3957000000 - [Oth Inc - Insur ReFunds f. Claim Settlem]</v>
      </c>
    </row>
    <row r="1640" spans="1:23" hidden="1" x14ac:dyDescent="0.25">
      <c r="A1640">
        <v>5901900001</v>
      </c>
      <c r="B1640" s="16" t="s">
        <v>20502</v>
      </c>
      <c r="C1640" s="16" t="e">
        <f>VLOOKUP(Table1[[#This Row],[Node]],Parent!A:B,2,0)</f>
        <v>#N/A</v>
      </c>
      <c r="D1640" s="25" t="s">
        <v>19346</v>
      </c>
      <c r="E1640" s="26" t="s">
        <v>16544</v>
      </c>
      <c r="F1640" s="27" t="s">
        <v>18119</v>
      </c>
      <c r="G1640" s="27" t="s">
        <v>18130</v>
      </c>
      <c r="H1640" s="27" t="s">
        <v>18131</v>
      </c>
      <c r="I1640" s="27" t="s">
        <v>18140</v>
      </c>
      <c r="J1640" s="27" t="s">
        <v>18148</v>
      </c>
      <c r="K1640" s="27"/>
      <c r="L1640" s="27"/>
      <c r="N1640" s="27"/>
      <c r="T1640" s="28" t="str">
        <f>LOOKUP(1,1/(Table1[[#This Row],[Level_0]:[Level 15]]&gt;0),(Table1[[#This Row],[Level_0]:[Level 15]]))</f>
        <v>5901900001 - [Oth Insur Exp - Other Insurances 1]</v>
      </c>
      <c r="U1640" s="22">
        <v>1635</v>
      </c>
      <c r="W1640" s="13" t="str">
        <f>LOOKUP(1,1/(Table1[[#This Row],[Level_0]:[Level 15]]&gt;0),(Table1[[#This Row],[Level_0]:[Level 15]]))</f>
        <v>5901900001 - [Oth Insur Exp - Other Insurances 1]</v>
      </c>
    </row>
    <row r="1641" spans="1:23" hidden="1" x14ac:dyDescent="0.25">
      <c r="A1641">
        <v>190104</v>
      </c>
      <c r="B1641" s="16" t="s">
        <v>19481</v>
      </c>
      <c r="C1641" s="16" t="e">
        <f>VLOOKUP(Table1[[#This Row],[Node]],Parent!A:B,2,0)</f>
        <v>#N/A</v>
      </c>
      <c r="D1641" s="25" t="s">
        <v>19346</v>
      </c>
      <c r="E1641" s="26" t="s">
        <v>16544</v>
      </c>
      <c r="F1641" s="27" t="s">
        <v>18119</v>
      </c>
      <c r="G1641" s="27" t="s">
        <v>18130</v>
      </c>
      <c r="H1641" s="27" t="s">
        <v>18149</v>
      </c>
      <c r="I1641" s="27"/>
      <c r="J1641" s="27"/>
      <c r="K1641" s="27"/>
      <c r="L1641" s="27"/>
      <c r="N1641" s="27"/>
      <c r="T1641" s="28" t="str">
        <f>LOOKUP(1,1/(Table1[[#This Row],[Level_0]:[Level 15]]&gt;0),(Table1[[#This Row],[Level_0]:[Level 15]]))</f>
        <v>190104 - [Profession.Fees(collect,translat,milest)]</v>
      </c>
      <c r="U1641" s="22">
        <v>1636</v>
      </c>
      <c r="W1641" s="13" t="str">
        <f>LOOKUP(1,1/(Table1[[#This Row],[Level_0]:[Level 15]]&gt;0),(Table1[[#This Row],[Level_0]:[Level 15]]))</f>
        <v>190104 - [Profession.Fees(collect,translat,milest)]</v>
      </c>
    </row>
    <row r="1642" spans="1:23" hidden="1" x14ac:dyDescent="0.25">
      <c r="A1642">
        <v>5712000000</v>
      </c>
      <c r="B1642" s="16" t="s">
        <v>20416</v>
      </c>
      <c r="C1642" s="16" t="e">
        <f>VLOOKUP(Table1[[#This Row],[Node]],Parent!A:B,2,0)</f>
        <v>#N/A</v>
      </c>
      <c r="D1642" s="25" t="s">
        <v>19346</v>
      </c>
      <c r="E1642" s="26" t="s">
        <v>16544</v>
      </c>
      <c r="F1642" s="27" t="s">
        <v>18119</v>
      </c>
      <c r="G1642" s="27" t="s">
        <v>18130</v>
      </c>
      <c r="H1642" s="27" t="s">
        <v>18149</v>
      </c>
      <c r="I1642" s="27" t="s">
        <v>18150</v>
      </c>
      <c r="J1642" s="27"/>
      <c r="K1642" s="27"/>
      <c r="L1642" s="27"/>
      <c r="N1642" s="27"/>
      <c r="T1642" s="28" t="str">
        <f>LOOKUP(1,1/(Table1[[#This Row],[Level_0]:[Level 15]]&gt;0),(Table1[[#This Row],[Level_0]:[Level 15]]))</f>
        <v>5712000000 - [Accounting Services and Fin Consulting]</v>
      </c>
      <c r="U1642" s="22">
        <v>1637</v>
      </c>
      <c r="W1642" s="13" t="str">
        <f>LOOKUP(1,1/(Table1[[#This Row],[Level_0]:[Level 15]]&gt;0),(Table1[[#This Row],[Level_0]:[Level 15]]))</f>
        <v>5712000000 - [Accounting Services and Fin Consulting]</v>
      </c>
    </row>
    <row r="1643" spans="1:23" hidden="1" x14ac:dyDescent="0.25">
      <c r="A1643">
        <v>7340000020</v>
      </c>
      <c r="B1643" s="16" t="s">
        <v>20939</v>
      </c>
      <c r="C1643" s="16" t="e">
        <f>VLOOKUP(Table1[[#This Row],[Node]],Parent!A:B,2,0)</f>
        <v>#N/A</v>
      </c>
      <c r="D1643" s="25" t="s">
        <v>19346</v>
      </c>
      <c r="E1643" s="26" t="s">
        <v>16544</v>
      </c>
      <c r="F1643" s="27" t="s">
        <v>18119</v>
      </c>
      <c r="G1643" s="27" t="s">
        <v>18130</v>
      </c>
      <c r="H1643" s="27" t="s">
        <v>18149</v>
      </c>
      <c r="I1643" s="27" t="s">
        <v>18151</v>
      </c>
      <c r="J1643" s="27"/>
      <c r="K1643" s="27"/>
      <c r="L1643" s="27"/>
      <c r="N1643" s="27"/>
      <c r="T1643" s="28" t="str">
        <f>LOOKUP(1,1/(Table1[[#This Row],[Level_0]:[Level 15]]&gt;0),(Table1[[#This Row],[Level_0]:[Level 15]]))</f>
        <v>7340000020 - [SOM Outside Services Settlement]</v>
      </c>
      <c r="U1643" s="22">
        <v>1638</v>
      </c>
      <c r="W1643" s="13" t="str">
        <f>LOOKUP(1,1/(Table1[[#This Row],[Level_0]:[Level 15]]&gt;0),(Table1[[#This Row],[Level_0]:[Level 15]]))</f>
        <v>7340000020 - [SOM Outside Services Settlement]</v>
      </c>
    </row>
    <row r="1644" spans="1:23" hidden="1" x14ac:dyDescent="0.25">
      <c r="A1644">
        <v>5709000000</v>
      </c>
      <c r="B1644" s="16" t="s">
        <v>20413</v>
      </c>
      <c r="C1644" s="16" t="e">
        <f>VLOOKUP(Table1[[#This Row],[Node]],Parent!A:B,2,0)</f>
        <v>#N/A</v>
      </c>
      <c r="D1644" s="25" t="s">
        <v>19346</v>
      </c>
      <c r="E1644" s="26" t="s">
        <v>16544</v>
      </c>
      <c r="F1644" s="27" t="s">
        <v>18119</v>
      </c>
      <c r="G1644" s="27" t="s">
        <v>18130</v>
      </c>
      <c r="H1644" s="27" t="s">
        <v>18149</v>
      </c>
      <c r="I1644" s="27" t="s">
        <v>18152</v>
      </c>
      <c r="J1644" s="27"/>
      <c r="K1644" s="27"/>
      <c r="L1644" s="27"/>
      <c r="N1644" s="27"/>
      <c r="T1644" s="28" t="str">
        <f>LOOKUP(1,1/(Table1[[#This Row],[Level_0]:[Level 15]]&gt;0),(Table1[[#This Row],[Level_0]:[Level 15]]))</f>
        <v>5709000000 - [L&amp;P Fees - Other Charges and Fees]</v>
      </c>
      <c r="U1644" s="22">
        <v>1639</v>
      </c>
      <c r="W1644" s="13" t="str">
        <f>LOOKUP(1,1/(Table1[[#This Row],[Level_0]:[Level 15]]&gt;0),(Table1[[#This Row],[Level_0]:[Level 15]]))</f>
        <v>5709000000 - [L&amp;P Fees - Other Charges and Fees]</v>
      </c>
    </row>
    <row r="1645" spans="1:23" hidden="1" x14ac:dyDescent="0.25">
      <c r="A1645">
        <v>5702200000</v>
      </c>
      <c r="B1645" s="16" t="s">
        <v>20412</v>
      </c>
      <c r="C1645" s="16" t="e">
        <f>VLOOKUP(Table1[[#This Row],[Node]],Parent!A:B,2,0)</f>
        <v>#N/A</v>
      </c>
      <c r="D1645" s="25" t="s">
        <v>19346</v>
      </c>
      <c r="E1645" s="26" t="s">
        <v>16544</v>
      </c>
      <c r="F1645" s="27" t="s">
        <v>18119</v>
      </c>
      <c r="G1645" s="27" t="s">
        <v>18130</v>
      </c>
      <c r="H1645" s="27" t="s">
        <v>18149</v>
      </c>
      <c r="I1645" s="27" t="s">
        <v>18153</v>
      </c>
      <c r="J1645" s="27"/>
      <c r="K1645" s="27"/>
      <c r="L1645" s="27"/>
      <c r="N1645" s="27"/>
      <c r="T1645" s="28" t="str">
        <f>LOOKUP(1,1/(Table1[[#This Row],[Level_0]:[Level 15]]&gt;0),(Table1[[#This Row],[Level_0]:[Level 15]]))</f>
        <v>5702200000 - [L&amp;P Fees - Other External Services]</v>
      </c>
      <c r="U1645" s="22">
        <v>1640</v>
      </c>
      <c r="W1645" s="13" t="str">
        <f>LOOKUP(1,1/(Table1[[#This Row],[Level_0]:[Level 15]]&gt;0),(Table1[[#This Row],[Level_0]:[Level 15]]))</f>
        <v>5702200000 - [L&amp;P Fees - Other External Services]</v>
      </c>
    </row>
    <row r="1646" spans="1:23" hidden="1" x14ac:dyDescent="0.25">
      <c r="A1646">
        <v>5702000000</v>
      </c>
      <c r="B1646" s="16" t="s">
        <v>20411</v>
      </c>
      <c r="C1646" s="16" t="e">
        <f>VLOOKUP(Table1[[#This Row],[Node]],Parent!A:B,2,0)</f>
        <v>#N/A</v>
      </c>
      <c r="D1646" s="25" t="s">
        <v>19346</v>
      </c>
      <c r="E1646" s="26" t="s">
        <v>16544</v>
      </c>
      <c r="F1646" s="27" t="s">
        <v>18119</v>
      </c>
      <c r="G1646" s="27" t="s">
        <v>18130</v>
      </c>
      <c r="H1646" s="27" t="s">
        <v>18149</v>
      </c>
      <c r="I1646" s="27" t="s">
        <v>18154</v>
      </c>
      <c r="J1646" s="27"/>
      <c r="K1646" s="27"/>
      <c r="L1646" s="27"/>
      <c r="N1646" s="27"/>
      <c r="T1646" s="28" t="str">
        <f>LOOKUP(1,1/(Table1[[#This Row],[Level_0]:[Level 15]]&gt;0),(Table1[[#This Row],[Level_0]:[Level 15]]))</f>
        <v>5702000000 - [L&amp;P Fees - Translation Services]</v>
      </c>
      <c r="U1646" s="22">
        <v>1641</v>
      </c>
      <c r="W1646" s="13" t="str">
        <f>LOOKUP(1,1/(Table1[[#This Row],[Level_0]:[Level 15]]&gt;0),(Table1[[#This Row],[Level_0]:[Level 15]]))</f>
        <v>5702000000 - [L&amp;P Fees - Translation Services]</v>
      </c>
    </row>
    <row r="1647" spans="1:23" hidden="1" x14ac:dyDescent="0.25">
      <c r="A1647">
        <v>5700600000</v>
      </c>
      <c r="B1647" s="16" t="s">
        <v>20402</v>
      </c>
      <c r="C1647" s="16" t="e">
        <f>VLOOKUP(Table1[[#This Row],[Node]],Parent!A:B,2,0)</f>
        <v>#N/A</v>
      </c>
      <c r="D1647" s="25" t="s">
        <v>19346</v>
      </c>
      <c r="E1647" s="26" t="s">
        <v>16544</v>
      </c>
      <c r="F1647" s="27" t="s">
        <v>18119</v>
      </c>
      <c r="G1647" s="27" t="s">
        <v>18130</v>
      </c>
      <c r="H1647" s="27" t="s">
        <v>18149</v>
      </c>
      <c r="I1647" s="27" t="s">
        <v>18155</v>
      </c>
      <c r="J1647" s="27"/>
      <c r="K1647" s="27"/>
      <c r="L1647" s="27"/>
      <c r="N1647" s="27"/>
      <c r="T1647" s="28" t="str">
        <f>LOOKUP(1,1/(Table1[[#This Row],[Level_0]:[Level 15]]&gt;0),(Table1[[#This Row],[Level_0]:[Level 15]]))</f>
        <v>5700600000 - [L&amp;P Fees - Milestone Payments]</v>
      </c>
      <c r="U1647" s="22">
        <v>1642</v>
      </c>
      <c r="W1647" s="13" t="str">
        <f>LOOKUP(1,1/(Table1[[#This Row],[Level_0]:[Level 15]]&gt;0),(Table1[[#This Row],[Level_0]:[Level 15]]))</f>
        <v>5700600000 - [L&amp;P Fees - Milestone Payments]</v>
      </c>
    </row>
    <row r="1648" spans="1:23" hidden="1" x14ac:dyDescent="0.25">
      <c r="A1648">
        <v>190103</v>
      </c>
      <c r="B1648" s="16" t="s">
        <v>19480</v>
      </c>
      <c r="C1648" s="16" t="e">
        <f>VLOOKUP(Table1[[#This Row],[Node]],Parent!A:B,2,0)</f>
        <v>#N/A</v>
      </c>
      <c r="D1648" s="25" t="s">
        <v>19346</v>
      </c>
      <c r="E1648" s="26" t="s">
        <v>16544</v>
      </c>
      <c r="F1648" s="27" t="s">
        <v>18119</v>
      </c>
      <c r="G1648" s="27" t="s">
        <v>18130</v>
      </c>
      <c r="H1648" s="27" t="s">
        <v>18156</v>
      </c>
      <c r="I1648" s="27"/>
      <c r="J1648" s="27"/>
      <c r="K1648" s="27"/>
      <c r="L1648" s="27"/>
      <c r="N1648" s="27"/>
      <c r="T1648" s="28" t="str">
        <f>LOOKUP(1,1/(Table1[[#This Row],[Level_0]:[Level 15]]&gt;0),(Table1[[#This Row],[Level_0]:[Level 15]]))</f>
        <v>190103 - [Legal &amp; Court expenses]</v>
      </c>
      <c r="U1648" s="22">
        <v>1643</v>
      </c>
      <c r="W1648" s="13" t="str">
        <f>LOOKUP(1,1/(Table1[[#This Row],[Level_0]:[Level 15]]&gt;0),(Table1[[#This Row],[Level_0]:[Level 15]]))</f>
        <v>190103 - [Legal &amp; Court expenses]</v>
      </c>
    </row>
    <row r="1649" spans="1:23" hidden="1" x14ac:dyDescent="0.25">
      <c r="A1649">
        <v>5700040000</v>
      </c>
      <c r="B1649" s="16" t="s">
        <v>20395</v>
      </c>
      <c r="C1649" s="16" t="e">
        <f>VLOOKUP(Table1[[#This Row],[Node]],Parent!A:B,2,0)</f>
        <v>#N/A</v>
      </c>
      <c r="D1649" s="25" t="s">
        <v>19346</v>
      </c>
      <c r="E1649" s="26" t="s">
        <v>16544</v>
      </c>
      <c r="F1649" s="27" t="s">
        <v>18119</v>
      </c>
      <c r="G1649" s="27" t="s">
        <v>18130</v>
      </c>
      <c r="H1649" s="27" t="s">
        <v>18156</v>
      </c>
      <c r="I1649" s="27" t="s">
        <v>18157</v>
      </c>
      <c r="J1649" s="27"/>
      <c r="K1649" s="27"/>
      <c r="L1649" s="27"/>
      <c r="N1649" s="27"/>
      <c r="T1649" s="28" t="str">
        <f>LOOKUP(1,1/(Table1[[#This Row],[Level_0]:[Level 15]]&gt;0),(Table1[[#This Row],[Level_0]:[Level 15]]))</f>
        <v>5700040000 - [L&amp;P Fees - M&amp;A Legal Advice]</v>
      </c>
      <c r="U1649" s="22">
        <v>1644</v>
      </c>
      <c r="W1649" s="13" t="str">
        <f>LOOKUP(1,1/(Table1[[#This Row],[Level_0]:[Level 15]]&gt;0),(Table1[[#This Row],[Level_0]:[Level 15]]))</f>
        <v>5700040000 - [L&amp;P Fees - M&amp;A Legal Advice]</v>
      </c>
    </row>
    <row r="1650" spans="1:23" hidden="1" x14ac:dyDescent="0.25">
      <c r="A1650">
        <v>5711000000</v>
      </c>
      <c r="B1650" s="16" t="s">
        <v>20415</v>
      </c>
      <c r="C1650" s="16" t="e">
        <f>VLOOKUP(Table1[[#This Row],[Node]],Parent!A:B,2,0)</f>
        <v>#N/A</v>
      </c>
      <c r="D1650" s="25" t="s">
        <v>19346</v>
      </c>
      <c r="E1650" s="26" t="s">
        <v>16544</v>
      </c>
      <c r="F1650" s="27" t="s">
        <v>18119</v>
      </c>
      <c r="G1650" s="27" t="s">
        <v>18130</v>
      </c>
      <c r="H1650" s="27" t="s">
        <v>18156</v>
      </c>
      <c r="I1650" s="27" t="s">
        <v>18158</v>
      </c>
      <c r="J1650" s="27"/>
      <c r="K1650" s="27"/>
      <c r="L1650" s="27"/>
      <c r="N1650" s="27"/>
      <c r="T1650" s="28" t="str">
        <f>LOOKUP(1,1/(Table1[[#This Row],[Level_0]:[Level 15]]&gt;0),(Table1[[#This Row],[Level_0]:[Level 15]]))</f>
        <v>5711000000 - [Legal Consulting]</v>
      </c>
      <c r="U1650" s="22">
        <v>1645</v>
      </c>
      <c r="W1650" s="13" t="str">
        <f>LOOKUP(1,1/(Table1[[#This Row],[Level_0]:[Level 15]]&gt;0),(Table1[[#This Row],[Level_0]:[Level 15]]))</f>
        <v>5711000000 - [Legal Consulting]</v>
      </c>
    </row>
    <row r="1651" spans="1:23" hidden="1" x14ac:dyDescent="0.25">
      <c r="A1651">
        <v>5701800000</v>
      </c>
      <c r="B1651" s="16" t="s">
        <v>20410</v>
      </c>
      <c r="C1651" s="16" t="e">
        <f>VLOOKUP(Table1[[#This Row],[Node]],Parent!A:B,2,0)</f>
        <v>#N/A</v>
      </c>
      <c r="D1651" s="25" t="s">
        <v>19346</v>
      </c>
      <c r="E1651" s="26" t="s">
        <v>16544</v>
      </c>
      <c r="F1651" s="27" t="s">
        <v>18119</v>
      </c>
      <c r="G1651" s="27" t="s">
        <v>18130</v>
      </c>
      <c r="H1651" s="27" t="s">
        <v>18156</v>
      </c>
      <c r="I1651" s="27" t="s">
        <v>18159</v>
      </c>
      <c r="J1651" s="27"/>
      <c r="K1651" s="27"/>
      <c r="L1651" s="27"/>
      <c r="N1651" s="27"/>
      <c r="T1651" s="28" t="str">
        <f>LOOKUP(1,1/(Table1[[#This Row],[Level_0]:[Level 15]]&gt;0),(Table1[[#This Row],[Level_0]:[Level 15]]))</f>
        <v>5701800000 - [L&amp;P Fees - Outsourced Services]</v>
      </c>
      <c r="U1651" s="22">
        <v>1646</v>
      </c>
      <c r="W1651" s="13" t="str">
        <f>LOOKUP(1,1/(Table1[[#This Row],[Level_0]:[Level 15]]&gt;0),(Table1[[#This Row],[Level_0]:[Level 15]]))</f>
        <v>5701800000 - [L&amp;P Fees - Outsourced Services]</v>
      </c>
    </row>
    <row r="1652" spans="1:23" hidden="1" x14ac:dyDescent="0.25">
      <c r="A1652">
        <v>5700300000</v>
      </c>
      <c r="B1652" s="16" t="s">
        <v>20397</v>
      </c>
      <c r="C1652" s="16" t="e">
        <f>VLOOKUP(Table1[[#This Row],[Node]],Parent!A:B,2,0)</f>
        <v>#N/A</v>
      </c>
      <c r="D1652" s="25" t="s">
        <v>19346</v>
      </c>
      <c r="E1652" s="26" t="s">
        <v>16544</v>
      </c>
      <c r="F1652" s="27" t="s">
        <v>18119</v>
      </c>
      <c r="G1652" s="27" t="s">
        <v>18130</v>
      </c>
      <c r="H1652" s="27" t="s">
        <v>18156</v>
      </c>
      <c r="I1652" s="27" t="s">
        <v>18160</v>
      </c>
      <c r="J1652" s="27"/>
      <c r="K1652" s="27"/>
      <c r="L1652" s="27"/>
      <c r="N1652" s="27"/>
      <c r="T1652" s="28" t="str">
        <f>LOOKUP(1,1/(Table1[[#This Row],[Level_0]:[Level 15]]&gt;0),(Table1[[#This Row],[Level_0]:[Level 15]]))</f>
        <v>5700300000 - [L&amp;P Fees - External Legal Fees]</v>
      </c>
      <c r="U1652" s="22">
        <v>1647</v>
      </c>
      <c r="W1652" s="13" t="str">
        <f>LOOKUP(1,1/(Table1[[#This Row],[Level_0]:[Level 15]]&gt;0),(Table1[[#This Row],[Level_0]:[Level 15]]))</f>
        <v>5700300000 - [L&amp;P Fees - External Legal Fees]</v>
      </c>
    </row>
    <row r="1653" spans="1:23" hidden="1" x14ac:dyDescent="0.25">
      <c r="A1653">
        <v>5700200000</v>
      </c>
      <c r="B1653" s="16" t="s">
        <v>20397</v>
      </c>
      <c r="C1653" s="16" t="e">
        <f>VLOOKUP(Table1[[#This Row],[Node]],Parent!A:B,2,0)</f>
        <v>#N/A</v>
      </c>
      <c r="D1653" s="25" t="s">
        <v>19346</v>
      </c>
      <c r="E1653" s="26" t="s">
        <v>16544</v>
      </c>
      <c r="F1653" s="27" t="s">
        <v>18119</v>
      </c>
      <c r="G1653" s="27" t="s">
        <v>18130</v>
      </c>
      <c r="H1653" s="27" t="s">
        <v>18156</v>
      </c>
      <c r="I1653" s="27" t="s">
        <v>18161</v>
      </c>
      <c r="J1653" s="27"/>
      <c r="K1653" s="27"/>
      <c r="L1653" s="27"/>
      <c r="N1653" s="27"/>
      <c r="T1653" s="28" t="str">
        <f>LOOKUP(1,1/(Table1[[#This Row],[Level_0]:[Level 15]]&gt;0),(Table1[[#This Row],[Level_0]:[Level 15]]))</f>
        <v>5700200000 - [L&amp;P Fees - External Legal Fees]</v>
      </c>
      <c r="U1653" s="22">
        <v>1648</v>
      </c>
      <c r="W1653" s="13" t="str">
        <f>LOOKUP(1,1/(Table1[[#This Row],[Level_0]:[Level 15]]&gt;0),(Table1[[#This Row],[Level_0]:[Level 15]]))</f>
        <v>5700200000 - [L&amp;P Fees - External Legal Fees]</v>
      </c>
    </row>
    <row r="1654" spans="1:23" hidden="1" x14ac:dyDescent="0.25">
      <c r="A1654">
        <v>5700050000</v>
      </c>
      <c r="B1654" s="16" t="s">
        <v>20396</v>
      </c>
      <c r="C1654" s="16" t="e">
        <f>VLOOKUP(Table1[[#This Row],[Node]],Parent!A:B,2,0)</f>
        <v>#N/A</v>
      </c>
      <c r="D1654" s="25" t="s">
        <v>19346</v>
      </c>
      <c r="E1654" s="26" t="s">
        <v>16544</v>
      </c>
      <c r="F1654" s="27" t="s">
        <v>18119</v>
      </c>
      <c r="G1654" s="27" t="s">
        <v>18130</v>
      </c>
      <c r="H1654" s="27" t="s">
        <v>18156</v>
      </c>
      <c r="I1654" s="27" t="s">
        <v>18162</v>
      </c>
      <c r="J1654" s="27"/>
      <c r="K1654" s="27"/>
      <c r="L1654" s="27"/>
      <c r="N1654" s="27"/>
      <c r="T1654" s="28" t="str">
        <f>LOOKUP(1,1/(Table1[[#This Row],[Level_0]:[Level 15]]&gt;0),(Table1[[#This Row],[Level_0]:[Level 15]]))</f>
        <v>5700050000 - [L&amp;P Fees - Patent Litigation]</v>
      </c>
      <c r="U1654" s="22">
        <v>1649</v>
      </c>
      <c r="W1654" s="13" t="str">
        <f>LOOKUP(1,1/(Table1[[#This Row],[Level_0]:[Level 15]]&gt;0),(Table1[[#This Row],[Level_0]:[Level 15]]))</f>
        <v>5700050000 - [L&amp;P Fees - Patent Litigation]</v>
      </c>
    </row>
    <row r="1655" spans="1:23" hidden="1" x14ac:dyDescent="0.25">
      <c r="A1655">
        <v>5700030000</v>
      </c>
      <c r="B1655" s="16" t="s">
        <v>20394</v>
      </c>
      <c r="C1655" s="16" t="e">
        <f>VLOOKUP(Table1[[#This Row],[Node]],Parent!A:B,2,0)</f>
        <v>#N/A</v>
      </c>
      <c r="D1655" s="25" t="s">
        <v>19346</v>
      </c>
      <c r="E1655" s="26" t="s">
        <v>16544</v>
      </c>
      <c r="F1655" s="27" t="s">
        <v>18119</v>
      </c>
      <c r="G1655" s="27" t="s">
        <v>18130</v>
      </c>
      <c r="H1655" s="27" t="s">
        <v>18156</v>
      </c>
      <c r="I1655" s="27" t="s">
        <v>18163</v>
      </c>
      <c r="J1655" s="27"/>
      <c r="K1655" s="27"/>
      <c r="L1655" s="27"/>
      <c r="N1655" s="27"/>
      <c r="T1655" s="28" t="str">
        <f>LOOKUP(1,1/(Table1[[#This Row],[Level_0]:[Level 15]]&gt;0),(Table1[[#This Row],[Level_0]:[Level 15]]))</f>
        <v>5700030000 - [L&amp;P Fees - Project Legal Advice]</v>
      </c>
      <c r="U1655" s="22">
        <v>1650</v>
      </c>
      <c r="W1655" s="13" t="str">
        <f>LOOKUP(1,1/(Table1[[#This Row],[Level_0]:[Level 15]]&gt;0),(Table1[[#This Row],[Level_0]:[Level 15]]))</f>
        <v>5700030000 - [L&amp;P Fees - Project Legal Advice]</v>
      </c>
    </row>
    <row r="1656" spans="1:23" hidden="1" x14ac:dyDescent="0.25">
      <c r="A1656">
        <v>5700020000</v>
      </c>
      <c r="B1656" s="16" t="s">
        <v>20393</v>
      </c>
      <c r="C1656" s="16" t="e">
        <f>VLOOKUP(Table1[[#This Row],[Node]],Parent!A:B,2,0)</f>
        <v>#N/A</v>
      </c>
      <c r="D1656" s="25" t="s">
        <v>19346</v>
      </c>
      <c r="E1656" s="26" t="s">
        <v>16544</v>
      </c>
      <c r="F1656" s="27" t="s">
        <v>18119</v>
      </c>
      <c r="G1656" s="27" t="s">
        <v>18130</v>
      </c>
      <c r="H1656" s="27" t="s">
        <v>18156</v>
      </c>
      <c r="I1656" s="27" t="s">
        <v>18164</v>
      </c>
      <c r="J1656" s="27"/>
      <c r="K1656" s="27"/>
      <c r="L1656" s="27"/>
      <c r="N1656" s="27"/>
      <c r="T1656" s="28" t="str">
        <f>LOOKUP(1,1/(Table1[[#This Row],[Level_0]:[Level 15]]&gt;0),(Table1[[#This Row],[Level_0]:[Level 15]]))</f>
        <v>5700020000 - [L&amp;P Fees - Day 2 Day Legal Advice]</v>
      </c>
      <c r="U1656" s="22">
        <v>1651</v>
      </c>
      <c r="W1656" s="13" t="str">
        <f>LOOKUP(1,1/(Table1[[#This Row],[Level_0]:[Level 15]]&gt;0),(Table1[[#This Row],[Level_0]:[Level 15]]))</f>
        <v>5700020000 - [L&amp;P Fees - Day 2 Day Legal Advice]</v>
      </c>
    </row>
    <row r="1657" spans="1:23" hidden="1" x14ac:dyDescent="0.25">
      <c r="A1657">
        <v>5700010000</v>
      </c>
      <c r="B1657" s="16" t="s">
        <v>20392</v>
      </c>
      <c r="C1657" s="16" t="e">
        <f>VLOOKUP(Table1[[#This Row],[Node]],Parent!A:B,2,0)</f>
        <v>#N/A</v>
      </c>
      <c r="D1657" s="25" t="s">
        <v>19346</v>
      </c>
      <c r="E1657" s="26" t="s">
        <v>16544</v>
      </c>
      <c r="F1657" s="27" t="s">
        <v>18119</v>
      </c>
      <c r="G1657" s="27" t="s">
        <v>18130</v>
      </c>
      <c r="H1657" s="27" t="s">
        <v>18156</v>
      </c>
      <c r="I1657" s="27" t="s">
        <v>18165</v>
      </c>
      <c r="J1657" s="27"/>
      <c r="K1657" s="27"/>
      <c r="L1657" s="27"/>
      <c r="N1657" s="27"/>
      <c r="T1657" s="28" t="str">
        <f>LOOKUP(1,1/(Table1[[#This Row],[Level_0]:[Level 15]]&gt;0),(Table1[[#This Row],[Level_0]:[Level 15]]))</f>
        <v>5700010000 - [L&amp;P Fees - Litigation Advice]</v>
      </c>
      <c r="U1657" s="22">
        <v>1652</v>
      </c>
      <c r="W1657" s="13" t="str">
        <f>LOOKUP(1,1/(Table1[[#This Row],[Level_0]:[Level 15]]&gt;0),(Table1[[#This Row],[Level_0]:[Level 15]]))</f>
        <v>5700010000 - [L&amp;P Fees - Litigation Advice]</v>
      </c>
    </row>
    <row r="1658" spans="1:23" hidden="1" x14ac:dyDescent="0.25">
      <c r="A1658">
        <v>5700000000</v>
      </c>
      <c r="B1658" s="16" t="s">
        <v>20391</v>
      </c>
      <c r="C1658" s="16" t="e">
        <f>VLOOKUP(Table1[[#This Row],[Node]],Parent!A:B,2,0)</f>
        <v>#N/A</v>
      </c>
      <c r="D1658" s="25" t="s">
        <v>19346</v>
      </c>
      <c r="E1658" s="26" t="s">
        <v>16544</v>
      </c>
      <c r="F1658" s="27" t="s">
        <v>18119</v>
      </c>
      <c r="G1658" s="27" t="s">
        <v>18130</v>
      </c>
      <c r="H1658" s="27" t="s">
        <v>18156</v>
      </c>
      <c r="I1658" s="27" t="s">
        <v>18166</v>
      </c>
      <c r="J1658" s="27"/>
      <c r="K1658" s="27"/>
      <c r="L1658" s="27"/>
      <c r="N1658" s="27"/>
      <c r="T1658" s="28" t="str">
        <f>LOOKUP(1,1/(Table1[[#This Row],[Level_0]:[Level 15]]&gt;0),(Table1[[#This Row],[Level_0]:[Level 15]]))</f>
        <v>5700000000 - [L&amp;P Fees - Court Expenses]</v>
      </c>
      <c r="U1658" s="22">
        <v>1653</v>
      </c>
      <c r="W1658" s="13" t="str">
        <f>LOOKUP(1,1/(Table1[[#This Row],[Level_0]:[Level 15]]&gt;0),(Table1[[#This Row],[Level_0]:[Level 15]]))</f>
        <v>5700000000 - [L&amp;P Fees - Court Expenses]</v>
      </c>
    </row>
    <row r="1659" spans="1:23" hidden="1" x14ac:dyDescent="0.25">
      <c r="A1659">
        <v>5530000000</v>
      </c>
      <c r="B1659" s="16" t="s">
        <v>20374</v>
      </c>
      <c r="C1659" s="16" t="e">
        <f>VLOOKUP(Table1[[#This Row],[Node]],Parent!A:B,2,0)</f>
        <v>#N/A</v>
      </c>
      <c r="D1659" s="25" t="s">
        <v>19346</v>
      </c>
      <c r="E1659" s="26" t="s">
        <v>16544</v>
      </c>
      <c r="F1659" s="27" t="s">
        <v>18119</v>
      </c>
      <c r="G1659" s="27" t="s">
        <v>18130</v>
      </c>
      <c r="H1659" s="27" t="s">
        <v>18156</v>
      </c>
      <c r="I1659" s="27" t="s">
        <v>18167</v>
      </c>
      <c r="J1659" s="27"/>
      <c r="K1659" s="27"/>
      <c r="L1659" s="27"/>
      <c r="N1659" s="27"/>
      <c r="T1659" s="28" t="str">
        <f>LOOKUP(1,1/(Table1[[#This Row],[Level_0]:[Level 15]]&gt;0),(Table1[[#This Row],[Level_0]:[Level 15]]))</f>
        <v>5530000000 - [R&amp;D - Patent Expenses External]</v>
      </c>
      <c r="U1659" s="22">
        <v>1654</v>
      </c>
      <c r="W1659" s="13" t="str">
        <f>LOOKUP(1,1/(Table1[[#This Row],[Level_0]:[Level 15]]&gt;0),(Table1[[#This Row],[Level_0]:[Level 15]]))</f>
        <v>5530000000 - [R&amp;D - Patent Expenses External]</v>
      </c>
    </row>
    <row r="1660" spans="1:23" hidden="1" x14ac:dyDescent="0.25">
      <c r="A1660">
        <v>5440000000</v>
      </c>
      <c r="B1660" s="16" t="s">
        <v>20291</v>
      </c>
      <c r="C1660" s="16" t="e">
        <f>VLOOKUP(Table1[[#This Row],[Node]],Parent!A:B,2,0)</f>
        <v>#N/A</v>
      </c>
      <c r="D1660" s="25" t="s">
        <v>19346</v>
      </c>
      <c r="E1660" s="26" t="s">
        <v>16544</v>
      </c>
      <c r="F1660" s="27" t="s">
        <v>18119</v>
      </c>
      <c r="G1660" s="27" t="s">
        <v>18130</v>
      </c>
      <c r="H1660" s="27" t="s">
        <v>18156</v>
      </c>
      <c r="I1660" s="27" t="s">
        <v>18168</v>
      </c>
      <c r="J1660" s="27"/>
      <c r="K1660" s="27"/>
      <c r="L1660" s="27"/>
      <c r="N1660" s="27"/>
      <c r="T1660" s="28" t="str">
        <f>LOOKUP(1,1/(Table1[[#This Row],[Level_0]:[Level 15]]&gt;0),(Table1[[#This Row],[Level_0]:[Level 15]]))</f>
        <v>5440000000 - [Trademark Expenses]</v>
      </c>
      <c r="U1660" s="22">
        <v>1655</v>
      </c>
      <c r="W1660" s="13" t="str">
        <f>LOOKUP(1,1/(Table1[[#This Row],[Level_0]:[Level 15]]&gt;0),(Table1[[#This Row],[Level_0]:[Level 15]]))</f>
        <v>5440000000 - [Trademark Expenses]</v>
      </c>
    </row>
    <row r="1661" spans="1:23" hidden="1" x14ac:dyDescent="0.25">
      <c r="A1661">
        <v>190102</v>
      </c>
      <c r="B1661" s="16" t="s">
        <v>19479</v>
      </c>
      <c r="C1661" s="16" t="e">
        <f>VLOOKUP(Table1[[#This Row],[Node]],Parent!A:B,2,0)</f>
        <v>#N/A</v>
      </c>
      <c r="D1661" s="25" t="s">
        <v>19346</v>
      </c>
      <c r="E1661" s="26" t="s">
        <v>16544</v>
      </c>
      <c r="F1661" s="27" t="s">
        <v>18119</v>
      </c>
      <c r="G1661" s="27" t="s">
        <v>18130</v>
      </c>
      <c r="H1661" s="27" t="s">
        <v>18169</v>
      </c>
      <c r="I1661" s="27"/>
      <c r="J1661" s="27"/>
      <c r="K1661" s="27"/>
      <c r="L1661" s="27"/>
      <c r="N1661" s="27"/>
      <c r="T1661" s="28" t="str">
        <f>LOOKUP(1,1/(Table1[[#This Row],[Level_0]:[Level 15]]&gt;0),(Table1[[#This Row],[Level_0]:[Level 15]]))</f>
        <v>190102 - [Bank charges]</v>
      </c>
      <c r="U1661" s="22">
        <v>1656</v>
      </c>
      <c r="W1661" s="13" t="str">
        <f>LOOKUP(1,1/(Table1[[#This Row],[Level_0]:[Level 15]]&gt;0),(Table1[[#This Row],[Level_0]:[Level 15]]))</f>
        <v>190102 - [Bank charges]</v>
      </c>
    </row>
    <row r="1662" spans="1:23" hidden="1" x14ac:dyDescent="0.25">
      <c r="A1662">
        <v>5701000001</v>
      </c>
      <c r="B1662" s="16" t="s">
        <v>20405</v>
      </c>
      <c r="C1662" s="16" t="e">
        <f>VLOOKUP(Table1[[#This Row],[Node]],Parent!A:B,2,0)</f>
        <v>#N/A</v>
      </c>
      <c r="D1662" s="25" t="s">
        <v>19346</v>
      </c>
      <c r="E1662" s="26" t="s">
        <v>16544</v>
      </c>
      <c r="F1662" s="27" t="s">
        <v>18119</v>
      </c>
      <c r="G1662" s="27" t="s">
        <v>18130</v>
      </c>
      <c r="H1662" s="27" t="s">
        <v>18169</v>
      </c>
      <c r="I1662" s="27" t="s">
        <v>18170</v>
      </c>
      <c r="J1662" s="27"/>
      <c r="K1662" s="27"/>
      <c r="L1662" s="27"/>
      <c r="N1662" s="27"/>
      <c r="T1662" s="28" t="str">
        <f>LOOKUP(1,1/(Table1[[#This Row],[Level_0]:[Level 15]]&gt;0),(Table1[[#This Row],[Level_0]:[Level 15]]))</f>
        <v>5701000001 - [L&amp;P Fees - Foreign Bank Charges]</v>
      </c>
      <c r="U1662" s="22">
        <v>1657</v>
      </c>
      <c r="W1662" s="13" t="str">
        <f>LOOKUP(1,1/(Table1[[#This Row],[Level_0]:[Level 15]]&gt;0),(Table1[[#This Row],[Level_0]:[Level 15]]))</f>
        <v>5701000001 - [L&amp;P Fees - Foreign Bank Charges]</v>
      </c>
    </row>
    <row r="1663" spans="1:23" hidden="1" x14ac:dyDescent="0.25">
      <c r="A1663">
        <v>5701000000</v>
      </c>
      <c r="B1663" s="16" t="s">
        <v>20404</v>
      </c>
      <c r="C1663" s="16" t="e">
        <f>VLOOKUP(Table1[[#This Row],[Node]],Parent!A:B,2,0)</f>
        <v>#N/A</v>
      </c>
      <c r="D1663" s="25" t="s">
        <v>19346</v>
      </c>
      <c r="E1663" s="26" t="s">
        <v>16544</v>
      </c>
      <c r="F1663" s="27" t="s">
        <v>18119</v>
      </c>
      <c r="G1663" s="27" t="s">
        <v>18130</v>
      </c>
      <c r="H1663" s="27" t="s">
        <v>18169</v>
      </c>
      <c r="I1663" s="27" t="s">
        <v>18171</v>
      </c>
      <c r="J1663" s="27"/>
      <c r="K1663" s="27"/>
      <c r="L1663" s="27"/>
      <c r="N1663" s="27"/>
      <c r="T1663" s="28" t="str">
        <f>LOOKUP(1,1/(Table1[[#This Row],[Level_0]:[Level 15]]&gt;0),(Table1[[#This Row],[Level_0]:[Level 15]]))</f>
        <v>5701000000 - [L&amp;P Fees - Bank Charges]</v>
      </c>
      <c r="U1663" s="22">
        <v>1658</v>
      </c>
      <c r="W1663" s="13" t="str">
        <f>LOOKUP(1,1/(Table1[[#This Row],[Level_0]:[Level 15]]&gt;0),(Table1[[#This Row],[Level_0]:[Level 15]]))</f>
        <v>5701000000 - [L&amp;P Fees - Bank Charges]</v>
      </c>
    </row>
    <row r="1664" spans="1:23" hidden="1" x14ac:dyDescent="0.25">
      <c r="A1664">
        <v>190101</v>
      </c>
      <c r="B1664" s="16" t="s">
        <v>19478</v>
      </c>
      <c r="C1664" s="16" t="e">
        <f>VLOOKUP(Table1[[#This Row],[Node]],Parent!A:B,2,0)</f>
        <v>#N/A</v>
      </c>
      <c r="D1664" s="25" t="s">
        <v>19346</v>
      </c>
      <c r="E1664" s="26" t="s">
        <v>16544</v>
      </c>
      <c r="F1664" s="27" t="s">
        <v>18119</v>
      </c>
      <c r="G1664" s="27" t="s">
        <v>18130</v>
      </c>
      <c r="H1664" s="27" t="s">
        <v>18172</v>
      </c>
      <c r="I1664" s="27"/>
      <c r="J1664" s="27"/>
      <c r="K1664" s="27"/>
      <c r="L1664" s="27"/>
      <c r="N1664" s="27"/>
      <c r="T1664" s="28" t="str">
        <f>LOOKUP(1,1/(Table1[[#This Row],[Level_0]:[Level 15]]&gt;0),(Table1[[#This Row],[Level_0]:[Level 15]]))</f>
        <v>190101 - [Auditors &amp; Tax Consulting fees]</v>
      </c>
      <c r="U1664" s="22">
        <v>1659</v>
      </c>
      <c r="W1664" s="13" t="str">
        <f>LOOKUP(1,1/(Table1[[#This Row],[Level_0]:[Level 15]]&gt;0),(Table1[[#This Row],[Level_0]:[Level 15]]))</f>
        <v>190101 - [Auditors &amp; Tax Consulting fees]</v>
      </c>
    </row>
    <row r="1665" spans="1:23" hidden="1" x14ac:dyDescent="0.25">
      <c r="A1665">
        <v>5700430000</v>
      </c>
      <c r="B1665" s="16" t="s">
        <v>20401</v>
      </c>
      <c r="C1665" s="16" t="e">
        <f>VLOOKUP(Table1[[#This Row],[Node]],Parent!A:B,2,0)</f>
        <v>#N/A</v>
      </c>
      <c r="D1665" s="25" t="s">
        <v>19346</v>
      </c>
      <c r="E1665" s="26" t="s">
        <v>16544</v>
      </c>
      <c r="F1665" s="27" t="s">
        <v>18119</v>
      </c>
      <c r="G1665" s="27" t="s">
        <v>18130</v>
      </c>
      <c r="H1665" s="27" t="s">
        <v>18172</v>
      </c>
      <c r="I1665" s="27" t="s">
        <v>18173</v>
      </c>
      <c r="J1665" s="27"/>
      <c r="K1665" s="27"/>
      <c r="L1665" s="27"/>
      <c r="N1665" s="27"/>
      <c r="T1665" s="28" t="str">
        <f>LOOKUP(1,1/(Table1[[#This Row],[Level_0]:[Level 15]]&gt;0),(Table1[[#This Row],[Level_0]:[Level 15]]))</f>
        <v>5700430000 - [L&amp;P Fees - Aud Fees - Oth Exp f. AudServ]</v>
      </c>
      <c r="U1665" s="22">
        <v>1660</v>
      </c>
      <c r="W1665" s="13" t="str">
        <f>LOOKUP(1,1/(Table1[[#This Row],[Level_0]:[Level 15]]&gt;0),(Table1[[#This Row],[Level_0]:[Level 15]]))</f>
        <v>5700430000 - [L&amp;P Fees - Aud Fees - Oth Exp f. AudServ]</v>
      </c>
    </row>
    <row r="1666" spans="1:23" hidden="1" x14ac:dyDescent="0.25">
      <c r="A1666">
        <v>5700420000</v>
      </c>
      <c r="B1666" s="16" t="s">
        <v>20400</v>
      </c>
      <c r="C1666" s="16" t="e">
        <f>VLOOKUP(Table1[[#This Row],[Node]],Parent!A:B,2,0)</f>
        <v>#N/A</v>
      </c>
      <c r="D1666" s="25" t="s">
        <v>19346</v>
      </c>
      <c r="E1666" s="26" t="s">
        <v>16544</v>
      </c>
      <c r="F1666" s="27" t="s">
        <v>18119</v>
      </c>
      <c r="G1666" s="27" t="s">
        <v>18130</v>
      </c>
      <c r="H1666" s="27" t="s">
        <v>18172</v>
      </c>
      <c r="I1666" s="27" t="s">
        <v>18174</v>
      </c>
      <c r="J1666" s="27"/>
      <c r="K1666" s="27"/>
      <c r="L1666" s="27"/>
      <c r="N1666" s="27"/>
      <c r="T1666" s="28" t="str">
        <f>LOOKUP(1,1/(Table1[[#This Row],[Level_0]:[Level 15]]&gt;0),(Table1[[#This Row],[Level_0]:[Level 15]]))</f>
        <v>5700420000 - [L&amp;P Fees - Aud Fees - Tax Consult Serv]</v>
      </c>
      <c r="U1666" s="22">
        <v>1661</v>
      </c>
      <c r="W1666" s="13" t="str">
        <f>LOOKUP(1,1/(Table1[[#This Row],[Level_0]:[Level 15]]&gt;0),(Table1[[#This Row],[Level_0]:[Level 15]]))</f>
        <v>5700420000 - [L&amp;P Fees - Aud Fees - Tax Consult Serv]</v>
      </c>
    </row>
    <row r="1667" spans="1:23" hidden="1" x14ac:dyDescent="0.25">
      <c r="A1667">
        <v>5700410000</v>
      </c>
      <c r="B1667" s="16" t="s">
        <v>20399</v>
      </c>
      <c r="C1667" s="16" t="e">
        <f>VLOOKUP(Table1[[#This Row],[Node]],Parent!A:B,2,0)</f>
        <v>#N/A</v>
      </c>
      <c r="D1667" s="25" t="s">
        <v>19346</v>
      </c>
      <c r="E1667" s="26" t="s">
        <v>16544</v>
      </c>
      <c r="F1667" s="27" t="s">
        <v>18119</v>
      </c>
      <c r="G1667" s="27" t="s">
        <v>18130</v>
      </c>
      <c r="H1667" s="27" t="s">
        <v>18172</v>
      </c>
      <c r="I1667" s="27" t="s">
        <v>18175</v>
      </c>
      <c r="J1667" s="27"/>
      <c r="K1667" s="27"/>
      <c r="L1667" s="27"/>
      <c r="N1667" s="27"/>
      <c r="T1667" s="28" t="str">
        <f>LOOKUP(1,1/(Table1[[#This Row],[Level_0]:[Level 15]]&gt;0),(Table1[[#This Row],[Level_0]:[Level 15]]))</f>
        <v>5700410000 - [L&amp;P Fees - Aud Fees - Oth aff or ValServ]</v>
      </c>
      <c r="U1667" s="22">
        <v>1662</v>
      </c>
      <c r="W1667" s="13" t="str">
        <f>LOOKUP(1,1/(Table1[[#This Row],[Level_0]:[Level 15]]&gt;0),(Table1[[#This Row],[Level_0]:[Level 15]]))</f>
        <v>5700410000 - [L&amp;P Fees - Aud Fees - Oth aff or ValServ]</v>
      </c>
    </row>
    <row r="1668" spans="1:23" hidden="1" x14ac:dyDescent="0.25">
      <c r="A1668">
        <v>5700400000</v>
      </c>
      <c r="B1668" s="16" t="s">
        <v>20398</v>
      </c>
      <c r="C1668" s="16" t="e">
        <f>VLOOKUP(Table1[[#This Row],[Node]],Parent!A:B,2,0)</f>
        <v>#N/A</v>
      </c>
      <c r="D1668" s="25" t="s">
        <v>19346</v>
      </c>
      <c r="E1668" s="26" t="s">
        <v>16544</v>
      </c>
      <c r="F1668" s="27" t="s">
        <v>18119</v>
      </c>
      <c r="G1668" s="27" t="s">
        <v>18130</v>
      </c>
      <c r="H1668" s="27" t="s">
        <v>18172</v>
      </c>
      <c r="I1668" s="27" t="s">
        <v>18176</v>
      </c>
      <c r="J1668" s="27"/>
      <c r="K1668" s="27"/>
      <c r="L1668" s="27"/>
      <c r="N1668" s="27"/>
      <c r="T1668" s="28" t="str">
        <f>LOOKUP(1,1/(Table1[[#This Row],[Level_0]:[Level 15]]&gt;0),(Table1[[#This Row],[Level_0]:[Level 15]]))</f>
        <v>5700400000 - [L&amp;P Fees - Aud Fees - Ann Aud incl. HC]</v>
      </c>
      <c r="U1668" s="22">
        <v>1663</v>
      </c>
      <c r="W1668" s="13" t="str">
        <f>LOOKUP(1,1/(Table1[[#This Row],[Level_0]:[Level 15]]&gt;0),(Table1[[#This Row],[Level_0]:[Level 15]]))</f>
        <v>5700400000 - [L&amp;P Fees - Aud Fees - Ann Aud incl. HC]</v>
      </c>
    </row>
    <row r="1669" spans="1:23" hidden="1" x14ac:dyDescent="0.25">
      <c r="A1669">
        <v>180000</v>
      </c>
      <c r="B1669" s="16" t="s">
        <v>19460</v>
      </c>
      <c r="C1669" s="16" t="e">
        <f>VLOOKUP(Table1[[#This Row],[Node]],Parent!A:B,2,0)</f>
        <v>#N/A</v>
      </c>
      <c r="D1669" s="25" t="s">
        <v>19346</v>
      </c>
      <c r="E1669" s="26" t="s">
        <v>16544</v>
      </c>
      <c r="F1669" s="27" t="s">
        <v>18177</v>
      </c>
      <c r="G1669" s="27"/>
      <c r="H1669" s="27"/>
      <c r="I1669" s="27"/>
      <c r="J1669" s="27"/>
      <c r="K1669" s="27"/>
      <c r="L1669" s="27"/>
      <c r="N1669" s="27"/>
      <c r="T1669" s="28" t="str">
        <f>LOOKUP(1,1/(Table1[[#This Row],[Level_0]:[Level 15]]&gt;0),(Table1[[#This Row],[Level_0]:[Level 15]]))</f>
        <v>180000 - [IT &amp; Telecommunication Costs]</v>
      </c>
      <c r="U1669" s="22">
        <v>1664</v>
      </c>
      <c r="W1669" s="13" t="str">
        <f>LOOKUP(1,1/(Table1[[#This Row],[Level_0]:[Level 15]]&gt;0),(Table1[[#This Row],[Level_0]:[Level 15]]))</f>
        <v>180000 - [IT &amp; Telecommunication Costs]</v>
      </c>
    </row>
    <row r="1670" spans="1:23" hidden="1" x14ac:dyDescent="0.25">
      <c r="A1670">
        <v>180400</v>
      </c>
      <c r="B1670" s="16" t="s">
        <v>19472</v>
      </c>
      <c r="C1670" s="16" t="e">
        <f>VLOOKUP(Table1[[#This Row],[Node]],Parent!A:B,2,0)</f>
        <v>#N/A</v>
      </c>
      <c r="D1670" s="25" t="s">
        <v>19346</v>
      </c>
      <c r="E1670" s="26" t="s">
        <v>16544</v>
      </c>
      <c r="F1670" s="27" t="s">
        <v>18177</v>
      </c>
      <c r="G1670" s="27" t="s">
        <v>18178</v>
      </c>
      <c r="H1670" s="27"/>
      <c r="I1670" s="27"/>
      <c r="J1670" s="27"/>
      <c r="K1670" s="27"/>
      <c r="L1670" s="27"/>
      <c r="N1670" s="27"/>
      <c r="T1670" s="28" t="str">
        <f>LOOKUP(1,1/(Table1[[#This Row],[Level_0]:[Level 15]]&gt;0),(Table1[[#This Row],[Level_0]:[Level 15]]))</f>
        <v>180400 - [Allocated internal &amp; external IT Project]</v>
      </c>
      <c r="U1670" s="22">
        <v>1665</v>
      </c>
      <c r="W1670" s="13" t="str">
        <f>LOOKUP(1,1/(Table1[[#This Row],[Level_0]:[Level 15]]&gt;0),(Table1[[#This Row],[Level_0]:[Level 15]]))</f>
        <v>180400 - [Allocated internal &amp; external IT Project]</v>
      </c>
    </row>
    <row r="1671" spans="1:23" hidden="1" x14ac:dyDescent="0.25">
      <c r="A1671">
        <v>180403</v>
      </c>
      <c r="B1671" s="16" t="s">
        <v>19475</v>
      </c>
      <c r="C1671" s="16" t="e">
        <f>VLOOKUP(Table1[[#This Row],[Node]],Parent!A:B,2,0)</f>
        <v>#N/A</v>
      </c>
      <c r="D1671" s="25" t="s">
        <v>19346</v>
      </c>
      <c r="E1671" s="26" t="s">
        <v>16544</v>
      </c>
      <c r="F1671" s="27" t="s">
        <v>18177</v>
      </c>
      <c r="G1671" s="27" t="s">
        <v>18178</v>
      </c>
      <c r="H1671" s="27" t="s">
        <v>18179</v>
      </c>
      <c r="I1671" s="27"/>
      <c r="J1671" s="27"/>
      <c r="K1671" s="27"/>
      <c r="L1671" s="27"/>
      <c r="N1671" s="27"/>
      <c r="T1671" s="28" t="str">
        <f>LOOKUP(1,1/(Table1[[#This Row],[Level_0]:[Level 15]]&gt;0),(Table1[[#This Row],[Level_0]:[Level 15]]))</f>
        <v>180403 - [Allocated Other IT Project Costs]</v>
      </c>
      <c r="U1671" s="22">
        <v>1666</v>
      </c>
      <c r="W1671" s="13" t="str">
        <f>LOOKUP(1,1/(Table1[[#This Row],[Level_0]:[Level 15]]&gt;0),(Table1[[#This Row],[Level_0]:[Level 15]]))</f>
        <v>180403 - [Allocated Other IT Project Costs]</v>
      </c>
    </row>
    <row r="1672" spans="1:23" hidden="1" x14ac:dyDescent="0.25">
      <c r="A1672">
        <v>7140000007</v>
      </c>
      <c r="B1672" s="16" t="s">
        <v>20689</v>
      </c>
      <c r="C1672" s="16" t="e">
        <f>VLOOKUP(Table1[[#This Row],[Node]],Parent!A:B,2,0)</f>
        <v>#N/A</v>
      </c>
      <c r="D1672" s="25" t="s">
        <v>19346</v>
      </c>
      <c r="E1672" s="26" t="s">
        <v>16544</v>
      </c>
      <c r="F1672" s="27" t="s">
        <v>18177</v>
      </c>
      <c r="G1672" s="27" t="s">
        <v>18178</v>
      </c>
      <c r="H1672" s="27" t="s">
        <v>18179</v>
      </c>
      <c r="I1672" s="27" t="s">
        <v>18180</v>
      </c>
      <c r="J1672" s="27"/>
      <c r="K1672" s="27"/>
      <c r="L1672" s="27"/>
      <c r="N1672" s="27"/>
      <c r="T1672" s="28" t="str">
        <f>LOOKUP(1,1/(Table1[[#This Row],[Level_0]:[Level 15]]&gt;0),(Table1[[#This Row],[Level_0]:[Level 15]]))</f>
        <v>7140000007 - [SOM IT Projects Other Costs]</v>
      </c>
      <c r="U1672" s="22">
        <v>1667</v>
      </c>
      <c r="W1672" s="13" t="str">
        <f>LOOKUP(1,1/(Table1[[#This Row],[Level_0]:[Level 15]]&gt;0),(Table1[[#This Row],[Level_0]:[Level 15]]))</f>
        <v>7140000007 - [SOM IT Projects Other Costs]</v>
      </c>
    </row>
    <row r="1673" spans="1:23" hidden="1" x14ac:dyDescent="0.25">
      <c r="A1673">
        <v>7140000006</v>
      </c>
      <c r="B1673" s="16" t="s">
        <v>20688</v>
      </c>
      <c r="C1673" s="16" t="e">
        <f>VLOOKUP(Table1[[#This Row],[Node]],Parent!A:B,2,0)</f>
        <v>#N/A</v>
      </c>
      <c r="D1673" s="25" t="s">
        <v>19346</v>
      </c>
      <c r="E1673" s="26" t="s">
        <v>16544</v>
      </c>
      <c r="F1673" s="27" t="s">
        <v>18177</v>
      </c>
      <c r="G1673" s="27" t="s">
        <v>18178</v>
      </c>
      <c r="H1673" s="27" t="s">
        <v>18179</v>
      </c>
      <c r="I1673" s="27" t="s">
        <v>18181</v>
      </c>
      <c r="J1673" s="27"/>
      <c r="K1673" s="27"/>
      <c r="L1673" s="27"/>
      <c r="N1673" s="27"/>
      <c r="T1673" s="28" t="str">
        <f>LOOKUP(1,1/(Table1[[#This Row],[Level_0]:[Level 15]]&gt;0),(Table1[[#This Row],[Level_0]:[Level 15]]))</f>
        <v>7140000006 - [SOM IT Projects nonactiv. borrowing Cost]</v>
      </c>
      <c r="U1673" s="22">
        <v>1668</v>
      </c>
      <c r="W1673" s="13" t="str">
        <f>LOOKUP(1,1/(Table1[[#This Row],[Level_0]:[Level 15]]&gt;0),(Table1[[#This Row],[Level_0]:[Level 15]]))</f>
        <v>7140000006 - [SOM IT Projects nonactiv. borrowing Cost]</v>
      </c>
    </row>
    <row r="1674" spans="1:23" hidden="1" x14ac:dyDescent="0.25">
      <c r="A1674">
        <v>7140000005</v>
      </c>
      <c r="B1674" s="16" t="s">
        <v>20687</v>
      </c>
      <c r="C1674" s="16" t="e">
        <f>VLOOKUP(Table1[[#This Row],[Node]],Parent!A:B,2,0)</f>
        <v>#N/A</v>
      </c>
      <c r="D1674" s="25" t="s">
        <v>19346</v>
      </c>
      <c r="E1674" s="26" t="s">
        <v>16544</v>
      </c>
      <c r="F1674" s="27" t="s">
        <v>18177</v>
      </c>
      <c r="G1674" s="27" t="s">
        <v>18178</v>
      </c>
      <c r="H1674" s="27" t="s">
        <v>18179</v>
      </c>
      <c r="I1674" s="27" t="s">
        <v>18182</v>
      </c>
      <c r="J1674" s="27"/>
      <c r="K1674" s="27"/>
      <c r="L1674" s="27"/>
      <c r="N1674" s="27"/>
      <c r="T1674" s="28" t="str">
        <f>LOOKUP(1,1/(Table1[[#This Row],[Level_0]:[Level 15]]&gt;0),(Table1[[#This Row],[Level_0]:[Level 15]]))</f>
        <v>7140000005 - [SOM IT Projects Material Costs]</v>
      </c>
      <c r="U1674" s="22">
        <v>1669</v>
      </c>
      <c r="W1674" s="13" t="str">
        <f>LOOKUP(1,1/(Table1[[#This Row],[Level_0]:[Level 15]]&gt;0),(Table1[[#This Row],[Level_0]:[Level 15]]))</f>
        <v>7140000005 - [SOM IT Projects Material Costs]</v>
      </c>
    </row>
    <row r="1675" spans="1:23" hidden="1" x14ac:dyDescent="0.25">
      <c r="A1675">
        <v>180402</v>
      </c>
      <c r="B1675" s="16" t="s">
        <v>19474</v>
      </c>
      <c r="C1675" s="16" t="e">
        <f>VLOOKUP(Table1[[#This Row],[Node]],Parent!A:B,2,0)</f>
        <v>#N/A</v>
      </c>
      <c r="D1675" s="25" t="s">
        <v>19346</v>
      </c>
      <c r="E1675" s="26" t="s">
        <v>16544</v>
      </c>
      <c r="F1675" s="27" t="s">
        <v>18177</v>
      </c>
      <c r="G1675" s="27" t="s">
        <v>18178</v>
      </c>
      <c r="H1675" s="27" t="s">
        <v>18183</v>
      </c>
      <c r="I1675" s="27"/>
      <c r="J1675" s="27"/>
      <c r="K1675" s="27"/>
      <c r="L1675" s="27"/>
      <c r="N1675" s="27"/>
      <c r="T1675" s="28" t="str">
        <f>LOOKUP(1,1/(Table1[[#This Row],[Level_0]:[Level 15]]&gt;0),(Table1[[#This Row],[Level_0]:[Level 15]]))</f>
        <v>180402 - [Alloc. IT Project Costs (ext. &amp; int.)]</v>
      </c>
      <c r="U1675" s="22">
        <v>1670</v>
      </c>
      <c r="W1675" s="13" t="str">
        <f>LOOKUP(1,1/(Table1[[#This Row],[Level_0]:[Level 15]]&gt;0),(Table1[[#This Row],[Level_0]:[Level 15]]))</f>
        <v>180402 - [Alloc. IT Project Costs (ext. &amp; int.)]</v>
      </c>
    </row>
    <row r="1676" spans="1:23" hidden="1" x14ac:dyDescent="0.25">
      <c r="A1676">
        <v>7140000003</v>
      </c>
      <c r="B1676" s="16" t="s">
        <v>20685</v>
      </c>
      <c r="C1676" s="16" t="e">
        <f>VLOOKUP(Table1[[#This Row],[Node]],Parent!A:B,2,0)</f>
        <v>#N/A</v>
      </c>
      <c r="D1676" s="25" t="s">
        <v>19346</v>
      </c>
      <c r="E1676" s="26" t="s">
        <v>16544</v>
      </c>
      <c r="F1676" s="27" t="s">
        <v>18177</v>
      </c>
      <c r="G1676" s="27" t="s">
        <v>18178</v>
      </c>
      <c r="H1676" s="27" t="s">
        <v>18183</v>
      </c>
      <c r="I1676" s="27" t="s">
        <v>18184</v>
      </c>
      <c r="J1676" s="27"/>
      <c r="K1676" s="27"/>
      <c r="L1676" s="27"/>
      <c r="N1676" s="27"/>
      <c r="T1676" s="28" t="str">
        <f>LOOKUP(1,1/(Table1[[#This Row],[Level_0]:[Level 15]]&gt;0),(Table1[[#This Row],[Level_0]:[Level 15]]))</f>
        <v>7140000003 - [SOM IT Projects Internal Services]</v>
      </c>
      <c r="U1676" s="22">
        <v>1671</v>
      </c>
      <c r="W1676" s="13" t="str">
        <f>LOOKUP(1,1/(Table1[[#This Row],[Level_0]:[Level 15]]&gt;0),(Table1[[#This Row],[Level_0]:[Level 15]]))</f>
        <v>7140000003 - [SOM IT Projects Internal Services]</v>
      </c>
    </row>
    <row r="1677" spans="1:23" hidden="1" x14ac:dyDescent="0.25">
      <c r="A1677">
        <v>7140000002</v>
      </c>
      <c r="B1677" s="16" t="s">
        <v>20684</v>
      </c>
      <c r="C1677" s="16" t="e">
        <f>VLOOKUP(Table1[[#This Row],[Node]],Parent!A:B,2,0)</f>
        <v>#N/A</v>
      </c>
      <c r="D1677" s="25" t="s">
        <v>19346</v>
      </c>
      <c r="E1677" s="26" t="s">
        <v>16544</v>
      </c>
      <c r="F1677" s="27" t="s">
        <v>18177</v>
      </c>
      <c r="G1677" s="27" t="s">
        <v>18178</v>
      </c>
      <c r="H1677" s="27" t="s">
        <v>18183</v>
      </c>
      <c r="I1677" s="27" t="s">
        <v>18185</v>
      </c>
      <c r="J1677" s="27"/>
      <c r="K1677" s="27"/>
      <c r="L1677" s="27"/>
      <c r="N1677" s="27"/>
      <c r="T1677" s="28" t="str">
        <f>LOOKUP(1,1/(Table1[[#This Row],[Level_0]:[Level 15]]&gt;0),(Table1[[#This Row],[Level_0]:[Level 15]]))</f>
        <v>7140000002 - [SOM IT Projects External Services]</v>
      </c>
      <c r="U1677" s="22">
        <v>1672</v>
      </c>
      <c r="W1677" s="13" t="str">
        <f>LOOKUP(1,1/(Table1[[#This Row],[Level_0]:[Level 15]]&gt;0),(Table1[[#This Row],[Level_0]:[Level 15]]))</f>
        <v>7140000002 - [SOM IT Projects External Services]</v>
      </c>
    </row>
    <row r="1678" spans="1:23" hidden="1" x14ac:dyDescent="0.25">
      <c r="A1678">
        <v>180401</v>
      </c>
      <c r="B1678" s="16" t="s">
        <v>19473</v>
      </c>
      <c r="C1678" s="16" t="e">
        <f>VLOOKUP(Table1[[#This Row],[Node]],Parent!A:B,2,0)</f>
        <v>#N/A</v>
      </c>
      <c r="D1678" s="25" t="s">
        <v>19346</v>
      </c>
      <c r="E1678" s="26" t="s">
        <v>16544</v>
      </c>
      <c r="F1678" s="27" t="s">
        <v>18177</v>
      </c>
      <c r="G1678" s="27" t="s">
        <v>18178</v>
      </c>
      <c r="H1678" s="27" t="s">
        <v>18186</v>
      </c>
      <c r="I1678" s="27"/>
      <c r="J1678" s="27"/>
      <c r="K1678" s="27"/>
      <c r="L1678" s="27"/>
      <c r="N1678" s="27"/>
      <c r="T1678" s="28" t="str">
        <f>LOOKUP(1,1/(Table1[[#This Row],[Level_0]:[Level 15]]&gt;0),(Table1[[#This Row],[Level_0]:[Level 15]]))</f>
        <v>180401 - [Internal cost charging to projects]</v>
      </c>
      <c r="U1678" s="22">
        <v>1673</v>
      </c>
      <c r="W1678" s="13" t="str">
        <f>LOOKUP(1,1/(Table1[[#This Row],[Level_0]:[Level 15]]&gt;0),(Table1[[#This Row],[Level_0]:[Level 15]]))</f>
        <v>180401 - [Internal cost charging to projects]</v>
      </c>
    </row>
    <row r="1679" spans="1:23" hidden="1" x14ac:dyDescent="0.25">
      <c r="A1679">
        <v>7100000024</v>
      </c>
      <c r="B1679" s="16" t="s">
        <v>20676</v>
      </c>
      <c r="C1679" s="16" t="e">
        <f>VLOOKUP(Table1[[#This Row],[Node]],Parent!A:B,2,0)</f>
        <v>#N/A</v>
      </c>
      <c r="D1679" s="25" t="s">
        <v>19346</v>
      </c>
      <c r="E1679" s="26" t="s">
        <v>16544</v>
      </c>
      <c r="F1679" s="27" t="s">
        <v>18177</v>
      </c>
      <c r="G1679" s="27" t="s">
        <v>18178</v>
      </c>
      <c r="H1679" s="27" t="s">
        <v>18186</v>
      </c>
      <c r="I1679" s="27" t="s">
        <v>18187</v>
      </c>
      <c r="J1679" s="27"/>
      <c r="K1679" s="27"/>
      <c r="L1679" s="27"/>
      <c r="N1679" s="27"/>
      <c r="T1679" s="28" t="str">
        <f>LOOKUP(1,1/(Table1[[#This Row],[Level_0]:[Level 15]]&gt;0),(Table1[[#This Row],[Level_0]:[Level 15]]))</f>
        <v>7100000024 - [DAA_IT Project Special]</v>
      </c>
      <c r="U1679" s="22">
        <v>1674</v>
      </c>
      <c r="W1679" s="13" t="str">
        <f>LOOKUP(1,1/(Table1[[#This Row],[Level_0]:[Level 15]]&gt;0),(Table1[[#This Row],[Level_0]:[Level 15]]))</f>
        <v>7100000024 - [DAA_IT Project Special]</v>
      </c>
    </row>
    <row r="1680" spans="1:23" hidden="1" x14ac:dyDescent="0.25">
      <c r="A1680">
        <v>7100000021</v>
      </c>
      <c r="B1680" s="16" t="s">
        <v>20673</v>
      </c>
      <c r="C1680" s="16" t="e">
        <f>VLOOKUP(Table1[[#This Row],[Node]],Parent!A:B,2,0)</f>
        <v>#N/A</v>
      </c>
      <c r="D1680" s="25" t="s">
        <v>19346</v>
      </c>
      <c r="E1680" s="26" t="s">
        <v>16544</v>
      </c>
      <c r="F1680" s="27" t="s">
        <v>18177</v>
      </c>
      <c r="G1680" s="27" t="s">
        <v>18178</v>
      </c>
      <c r="H1680" s="27" t="s">
        <v>18186</v>
      </c>
      <c r="I1680" s="27" t="s">
        <v>18188</v>
      </c>
      <c r="J1680" s="27"/>
      <c r="K1680" s="27"/>
      <c r="L1680" s="27"/>
      <c r="N1680" s="27"/>
      <c r="T1680" s="28" t="str">
        <f>LOOKUP(1,1/(Table1[[#This Row],[Level_0]:[Level 15]]&gt;0),(Table1[[#This Row],[Level_0]:[Level 15]]))</f>
        <v>7100000021 - [DAA_IT Project Hours]</v>
      </c>
      <c r="U1680" s="22">
        <v>1675</v>
      </c>
      <c r="W1680" s="13" t="str">
        <f>LOOKUP(1,1/(Table1[[#This Row],[Level_0]:[Level 15]]&gt;0),(Table1[[#This Row],[Level_0]:[Level 15]]))</f>
        <v>7100000021 - [DAA_IT Project Hours]</v>
      </c>
    </row>
    <row r="1681" spans="1:23" hidden="1" x14ac:dyDescent="0.25">
      <c r="A1681">
        <v>7100000018</v>
      </c>
      <c r="B1681" s="16" t="s">
        <v>20670</v>
      </c>
      <c r="C1681" s="16" t="e">
        <f>VLOOKUP(Table1[[#This Row],[Node]],Parent!A:B,2,0)</f>
        <v>#N/A</v>
      </c>
      <c r="D1681" s="25" t="s">
        <v>19346</v>
      </c>
      <c r="E1681" s="26" t="s">
        <v>16544</v>
      </c>
      <c r="F1681" s="27" t="s">
        <v>18177</v>
      </c>
      <c r="G1681" s="27" t="s">
        <v>18178</v>
      </c>
      <c r="H1681" s="27" t="s">
        <v>18186</v>
      </c>
      <c r="I1681" s="27" t="s">
        <v>18189</v>
      </c>
      <c r="J1681" s="27"/>
      <c r="K1681" s="27"/>
      <c r="L1681" s="27"/>
      <c r="N1681" s="27"/>
      <c r="T1681" s="28" t="str">
        <f>LOOKUP(1,1/(Table1[[#This Row],[Level_0]:[Level 15]]&gt;0),(Table1[[#This Row],[Level_0]:[Level 15]]))</f>
        <v>7100000018 - [DAA_IT Project Plan]</v>
      </c>
      <c r="U1681" s="22">
        <v>1676</v>
      </c>
      <c r="W1681" s="13" t="str">
        <f>LOOKUP(1,1/(Table1[[#This Row],[Level_0]:[Level 15]]&gt;0),(Table1[[#This Row],[Level_0]:[Level 15]]))</f>
        <v>7100000018 - [DAA_IT Project Plan]</v>
      </c>
    </row>
    <row r="1682" spans="1:23" hidden="1" x14ac:dyDescent="0.25">
      <c r="A1682">
        <v>7100000016</v>
      </c>
      <c r="B1682" s="16" t="s">
        <v>20668</v>
      </c>
      <c r="C1682" s="16" t="e">
        <f>VLOOKUP(Table1[[#This Row],[Node]],Parent!A:B,2,0)</f>
        <v>#N/A</v>
      </c>
      <c r="D1682" s="25" t="s">
        <v>19346</v>
      </c>
      <c r="E1682" s="26" t="s">
        <v>16544</v>
      </c>
      <c r="F1682" s="27" t="s">
        <v>18177</v>
      </c>
      <c r="G1682" s="27" t="s">
        <v>18178</v>
      </c>
      <c r="H1682" s="27" t="s">
        <v>18186</v>
      </c>
      <c r="I1682" s="27" t="s">
        <v>18190</v>
      </c>
      <c r="J1682" s="27"/>
      <c r="K1682" s="27"/>
      <c r="L1682" s="27"/>
      <c r="N1682" s="27"/>
      <c r="T1682" s="28" t="str">
        <f>LOOKUP(1,1/(Table1[[#This Row],[Level_0]:[Level 15]]&gt;0),(Table1[[#This Row],[Level_0]:[Level 15]]))</f>
        <v>7100000016 - [DAA_IT Project Hours Stat.]</v>
      </c>
      <c r="U1682" s="22">
        <v>1677</v>
      </c>
      <c r="W1682" s="13" t="str">
        <f>LOOKUP(1,1/(Table1[[#This Row],[Level_0]:[Level 15]]&gt;0),(Table1[[#This Row],[Level_0]:[Level 15]]))</f>
        <v>7100000016 - [DAA_IT Project Hours Stat.]</v>
      </c>
    </row>
    <row r="1683" spans="1:23" hidden="1" x14ac:dyDescent="0.25">
      <c r="A1683">
        <v>7100000023</v>
      </c>
      <c r="B1683" s="16" t="s">
        <v>20675</v>
      </c>
      <c r="C1683" s="16" t="e">
        <f>VLOOKUP(Table1[[#This Row],[Node]],Parent!A:B,2,0)</f>
        <v>#N/A</v>
      </c>
      <c r="D1683" s="25" t="s">
        <v>19346</v>
      </c>
      <c r="E1683" s="26" t="s">
        <v>16544</v>
      </c>
      <c r="F1683" s="27" t="s">
        <v>18177</v>
      </c>
      <c r="G1683" s="27" t="s">
        <v>18178</v>
      </c>
      <c r="H1683" s="27" t="s">
        <v>18186</v>
      </c>
      <c r="I1683" s="27" t="s">
        <v>18191</v>
      </c>
      <c r="J1683" s="27"/>
      <c r="K1683" s="27"/>
      <c r="L1683" s="27"/>
      <c r="N1683" s="27"/>
      <c r="T1683" s="28" t="str">
        <f>LOOKUP(1,1/(Table1[[#This Row],[Level_0]:[Level 15]]&gt;0),(Table1[[#This Row],[Level_0]:[Level 15]]))</f>
        <v>7100000023 - [DAA_PPMC int. Costs]</v>
      </c>
      <c r="U1683" s="22">
        <v>1678</v>
      </c>
      <c r="W1683" s="13" t="str">
        <f>LOOKUP(1,1/(Table1[[#This Row],[Level_0]:[Level 15]]&gt;0),(Table1[[#This Row],[Level_0]:[Level 15]]))</f>
        <v>7100000023 - [DAA_PPMC int. Costs]</v>
      </c>
    </row>
    <row r="1684" spans="1:23" hidden="1" x14ac:dyDescent="0.25">
      <c r="A1684">
        <v>7600301068</v>
      </c>
      <c r="B1684" s="16" t="s">
        <v>21181</v>
      </c>
      <c r="C1684" s="16" t="e">
        <f>VLOOKUP(Table1[[#This Row],[Node]],Parent!A:B,2,0)</f>
        <v>#N/A</v>
      </c>
      <c r="D1684" s="25" t="s">
        <v>19346</v>
      </c>
      <c r="E1684" s="26" t="s">
        <v>16544</v>
      </c>
      <c r="F1684" s="27" t="s">
        <v>18177</v>
      </c>
      <c r="G1684" s="27" t="s">
        <v>18178</v>
      </c>
      <c r="H1684" s="27" t="s">
        <v>18186</v>
      </c>
      <c r="I1684" s="27" t="s">
        <v>18192</v>
      </c>
      <c r="J1684" s="27"/>
      <c r="K1684" s="27"/>
      <c r="L1684" s="27"/>
      <c r="N1684" s="27"/>
      <c r="T1684" s="28" t="str">
        <f>LOOKUP(1,1/(Table1[[#This Row],[Level_0]:[Level 15]]&gt;0),(Table1[[#This Row],[Level_0]:[Level 15]]))</f>
        <v>7600301068 - [DAA Building Mgmt Systems]</v>
      </c>
      <c r="U1684" s="22">
        <v>1679</v>
      </c>
      <c r="W1684" s="13" t="str">
        <f>LOOKUP(1,1/(Table1[[#This Row],[Level_0]:[Level 15]]&gt;0),(Table1[[#This Row],[Level_0]:[Level 15]]))</f>
        <v>7600301068 - [DAA Building Mgmt Systems]</v>
      </c>
    </row>
    <row r="1685" spans="1:23" hidden="1" x14ac:dyDescent="0.25">
      <c r="A1685">
        <v>7100000005</v>
      </c>
      <c r="B1685" s="16" t="s">
        <v>20657</v>
      </c>
      <c r="C1685" s="16" t="e">
        <f>VLOOKUP(Table1[[#This Row],[Node]],Parent!A:B,2,0)</f>
        <v>#N/A</v>
      </c>
      <c r="D1685" s="25" t="s">
        <v>19346</v>
      </c>
      <c r="E1685" s="26" t="s">
        <v>16544</v>
      </c>
      <c r="F1685" s="27" t="s">
        <v>18177</v>
      </c>
      <c r="G1685" s="27" t="s">
        <v>18178</v>
      </c>
      <c r="H1685" s="27" t="s">
        <v>18186</v>
      </c>
      <c r="I1685" s="27" t="s">
        <v>18193</v>
      </c>
      <c r="J1685" s="27"/>
      <c r="K1685" s="27"/>
      <c r="L1685" s="27"/>
      <c r="N1685" s="27"/>
      <c r="T1685" s="28" t="str">
        <f>LOOKUP(1,1/(Table1[[#This Row],[Level_0]:[Level 15]]&gt;0),(Table1[[#This Row],[Level_0]:[Level 15]]))</f>
        <v>7100000005 - [DAA PROJECT HRS IS]</v>
      </c>
      <c r="U1685" s="22">
        <v>1680</v>
      </c>
      <c r="W1685" s="13" t="str">
        <f>LOOKUP(1,1/(Table1[[#This Row],[Level_0]:[Level 15]]&gt;0),(Table1[[#This Row],[Level_0]:[Level 15]]))</f>
        <v>7100000005 - [DAA PROJECT HRS IS]</v>
      </c>
    </row>
    <row r="1686" spans="1:23" hidden="1" x14ac:dyDescent="0.25">
      <c r="A1686">
        <v>180300</v>
      </c>
      <c r="B1686" s="16" t="s">
        <v>19471</v>
      </c>
      <c r="C1686" s="16" t="e">
        <f>VLOOKUP(Table1[[#This Row],[Node]],Parent!A:B,2,0)</f>
        <v>#N/A</v>
      </c>
      <c r="D1686" s="25" t="s">
        <v>19346</v>
      </c>
      <c r="E1686" s="26" t="s">
        <v>16544</v>
      </c>
      <c r="F1686" s="27" t="s">
        <v>18177</v>
      </c>
      <c r="G1686" s="27" t="s">
        <v>18194</v>
      </c>
      <c r="H1686" s="27"/>
      <c r="I1686" s="27"/>
      <c r="J1686" s="27"/>
      <c r="K1686" s="27"/>
      <c r="L1686" s="27"/>
      <c r="N1686" s="27"/>
      <c r="T1686" s="28" t="str">
        <f>LOOKUP(1,1/(Table1[[#This Row],[Level_0]:[Level 15]]&gt;0),(Table1[[#This Row],[Level_0]:[Level 15]]))</f>
        <v>180300 - [Global IT Run Collection&amp;IT Proj.ICON-IS]</v>
      </c>
      <c r="U1686" s="22">
        <v>1681</v>
      </c>
      <c r="W1686" s="13" t="str">
        <f>LOOKUP(1,1/(Table1[[#This Row],[Level_0]:[Level 15]]&gt;0),(Table1[[#This Row],[Level_0]:[Level 15]]))</f>
        <v>180300 - [Global IT Run Collection&amp;IT Proj.ICON-IS]</v>
      </c>
    </row>
    <row r="1687" spans="1:23" hidden="1" x14ac:dyDescent="0.25">
      <c r="A1687">
        <v>7140000008</v>
      </c>
      <c r="B1687" s="16" t="s">
        <v>20690</v>
      </c>
      <c r="C1687" s="16" t="e">
        <f>VLOOKUP(Table1[[#This Row],[Node]],Parent!A:B,2,0)</f>
        <v>#N/A</v>
      </c>
      <c r="D1687" s="25" t="s">
        <v>19346</v>
      </c>
      <c r="E1687" s="26" t="s">
        <v>16544</v>
      </c>
      <c r="F1687" s="27" t="s">
        <v>18177</v>
      </c>
      <c r="G1687" s="27" t="s">
        <v>18194</v>
      </c>
      <c r="H1687" s="27" t="s">
        <v>18195</v>
      </c>
      <c r="I1687" s="27"/>
      <c r="J1687" s="27"/>
      <c r="K1687" s="27"/>
      <c r="L1687" s="27"/>
      <c r="N1687" s="27"/>
      <c r="T1687" s="28" t="str">
        <f>LOOKUP(1,1/(Table1[[#This Row],[Level_0]:[Level 15]]&gt;0),(Table1[[#This Row],[Level_0]:[Level 15]]))</f>
        <v>7140000008 - [SOM Intercompany Charge IT Consulting]</v>
      </c>
      <c r="U1687" s="22">
        <v>1682</v>
      </c>
      <c r="W1687" s="13" t="str">
        <f>LOOKUP(1,1/(Table1[[#This Row],[Level_0]:[Level 15]]&gt;0),(Table1[[#This Row],[Level_0]:[Level 15]]))</f>
        <v>7140000008 - [SOM Intercompany Charge IT Consulting]</v>
      </c>
    </row>
    <row r="1688" spans="1:23" hidden="1" x14ac:dyDescent="0.25">
      <c r="A1688">
        <v>7140000001</v>
      </c>
      <c r="B1688" s="16" t="s">
        <v>20683</v>
      </c>
      <c r="C1688" s="16" t="e">
        <f>VLOOKUP(Table1[[#This Row],[Node]],Parent!A:B,2,0)</f>
        <v>#N/A</v>
      </c>
      <c r="D1688" s="25" t="s">
        <v>19346</v>
      </c>
      <c r="E1688" s="26" t="s">
        <v>16544</v>
      </c>
      <c r="F1688" s="27" t="s">
        <v>18177</v>
      </c>
      <c r="G1688" s="27" t="s">
        <v>18194</v>
      </c>
      <c r="H1688" s="27" t="s">
        <v>18196</v>
      </c>
      <c r="I1688" s="27"/>
      <c r="J1688" s="27"/>
      <c r="K1688" s="27"/>
      <c r="L1688" s="27"/>
      <c r="N1688" s="27"/>
      <c r="T1688" s="28" t="str">
        <f>LOOKUP(1,1/(Table1[[#This Row],[Level_0]:[Level 15]]&gt;0),(Table1[[#This Row],[Level_0]:[Level 15]]))</f>
        <v>7140000001 - [SOM Intercompany Charge IT Services]</v>
      </c>
      <c r="U1688" s="22">
        <v>1683</v>
      </c>
      <c r="W1688" s="13" t="str">
        <f>LOOKUP(1,1/(Table1[[#This Row],[Level_0]:[Level 15]]&gt;0),(Table1[[#This Row],[Level_0]:[Level 15]]))</f>
        <v>7140000001 - [SOM Intercompany Charge IT Services]</v>
      </c>
    </row>
    <row r="1689" spans="1:23" hidden="1" x14ac:dyDescent="0.25">
      <c r="A1689">
        <v>7120000002</v>
      </c>
      <c r="B1689" s="16" t="s">
        <v>20678</v>
      </c>
      <c r="C1689" s="16" t="e">
        <f>VLOOKUP(Table1[[#This Row],[Node]],Parent!A:B,2,0)</f>
        <v>#N/A</v>
      </c>
      <c r="D1689" s="25" t="s">
        <v>19346</v>
      </c>
      <c r="E1689" s="26" t="s">
        <v>16544</v>
      </c>
      <c r="F1689" s="27" t="s">
        <v>18177</v>
      </c>
      <c r="G1689" s="27" t="s">
        <v>18194</v>
      </c>
      <c r="H1689" s="27" t="s">
        <v>18197</v>
      </c>
      <c r="I1689" s="27"/>
      <c r="J1689" s="27"/>
      <c r="K1689" s="27"/>
      <c r="L1689" s="27"/>
      <c r="N1689" s="27"/>
      <c r="T1689" s="28" t="str">
        <f>LOOKUP(1,1/(Table1[[#This Row],[Level_0]:[Level 15]]&gt;0),(Table1[[#This Row],[Level_0]:[Level 15]]))</f>
        <v>7120000002 - [AOM  MGF IT COSTS]</v>
      </c>
      <c r="U1689" s="22">
        <v>1684</v>
      </c>
      <c r="W1689" s="13" t="str">
        <f>LOOKUP(1,1/(Table1[[#This Row],[Level_0]:[Level 15]]&gt;0),(Table1[[#This Row],[Level_0]:[Level 15]]))</f>
        <v>7120000002 - [AOM  MGF IT COSTS]</v>
      </c>
    </row>
    <row r="1690" spans="1:23" hidden="1" x14ac:dyDescent="0.25">
      <c r="A1690">
        <v>5983310000</v>
      </c>
      <c r="B1690" s="16" t="s">
        <v>20629</v>
      </c>
      <c r="C1690" s="16" t="e">
        <f>VLOOKUP(Table1[[#This Row],[Node]],Parent!A:B,2,0)</f>
        <v>#N/A</v>
      </c>
      <c r="D1690" s="25" t="s">
        <v>19346</v>
      </c>
      <c r="E1690" s="26" t="s">
        <v>16544</v>
      </c>
      <c r="F1690" s="27" t="s">
        <v>18177</v>
      </c>
      <c r="G1690" s="27" t="s">
        <v>18194</v>
      </c>
      <c r="H1690" s="27" t="s">
        <v>18198</v>
      </c>
      <c r="I1690" s="27"/>
      <c r="J1690" s="27"/>
      <c r="K1690" s="27"/>
      <c r="L1690" s="27"/>
      <c r="N1690" s="27"/>
      <c r="T1690" s="28" t="str">
        <f>LOOKUP(1,1/(Table1[[#This Row],[Level_0]:[Level 15]]&gt;0),(Table1[[#This Row],[Level_0]:[Level 15]]))</f>
        <v>5983310000 - [Reimbursement IC - IT Services]</v>
      </c>
      <c r="U1690" s="22">
        <v>1685</v>
      </c>
      <c r="W1690" s="13" t="str">
        <f>LOOKUP(1,1/(Table1[[#This Row],[Level_0]:[Level 15]]&gt;0),(Table1[[#This Row],[Level_0]:[Level 15]]))</f>
        <v>5983310000 - [Reimbursement IC - IT Services]</v>
      </c>
    </row>
    <row r="1691" spans="1:23" hidden="1" x14ac:dyDescent="0.25">
      <c r="A1691">
        <v>5651910000</v>
      </c>
      <c r="B1691" s="16" t="s">
        <v>20390</v>
      </c>
      <c r="C1691" s="16" t="e">
        <f>VLOOKUP(Table1[[#This Row],[Node]],Parent!A:B,2,0)</f>
        <v>#N/A</v>
      </c>
      <c r="D1691" s="25" t="s">
        <v>19346</v>
      </c>
      <c r="E1691" s="26" t="s">
        <v>16544</v>
      </c>
      <c r="F1691" s="27" t="s">
        <v>18177</v>
      </c>
      <c r="G1691" s="27" t="s">
        <v>18194</v>
      </c>
      <c r="H1691" s="27" t="s">
        <v>18199</v>
      </c>
      <c r="I1691" s="27"/>
      <c r="J1691" s="27"/>
      <c r="K1691" s="27"/>
      <c r="L1691" s="27"/>
      <c r="N1691" s="27"/>
      <c r="T1691" s="28" t="str">
        <f>LOOKUP(1,1/(Table1[[#This Row],[Level_0]:[Level 15]]&gt;0),(Table1[[#This Row],[Level_0]:[Level 15]]))</f>
        <v>5651910000 - [IC Expenses - IT Services and Materials]</v>
      </c>
      <c r="U1691" s="22">
        <v>1686</v>
      </c>
      <c r="W1691" s="13" t="str">
        <f>LOOKUP(1,1/(Table1[[#This Row],[Level_0]:[Level 15]]&gt;0),(Table1[[#This Row],[Level_0]:[Level 15]]))</f>
        <v>5651910000 - [IC Expenses - IT Services and Materials]</v>
      </c>
    </row>
    <row r="1692" spans="1:23" hidden="1" x14ac:dyDescent="0.25">
      <c r="A1692">
        <v>5622210000</v>
      </c>
      <c r="B1692" s="16" t="s">
        <v>20382</v>
      </c>
      <c r="C1692" s="16" t="e">
        <f>VLOOKUP(Table1[[#This Row],[Node]],Parent!A:B,2,0)</f>
        <v>#N/A</v>
      </c>
      <c r="D1692" s="25" t="s">
        <v>19346</v>
      </c>
      <c r="E1692" s="26" t="s">
        <v>16544</v>
      </c>
      <c r="F1692" s="27" t="s">
        <v>18177</v>
      </c>
      <c r="G1692" s="27" t="s">
        <v>18194</v>
      </c>
      <c r="H1692" s="27" t="s">
        <v>18200</v>
      </c>
      <c r="I1692" s="27"/>
      <c r="J1692" s="27"/>
      <c r="K1692" s="27"/>
      <c r="L1692" s="27"/>
      <c r="N1692" s="27"/>
      <c r="T1692" s="28" t="str">
        <f>LOOKUP(1,1/(Table1[[#This Row],[Level_0]:[Level 15]]&gt;0),(Table1[[#This Row],[Level_0]:[Level 15]]))</f>
        <v>5622210000 - [IC Expenses -  IT Consulting]</v>
      </c>
      <c r="U1692" s="22">
        <v>1687</v>
      </c>
      <c r="W1692" s="13" t="str">
        <f>LOOKUP(1,1/(Table1[[#This Row],[Level_0]:[Level 15]]&gt;0),(Table1[[#This Row],[Level_0]:[Level 15]]))</f>
        <v>5622210000 - [IC Expenses -  IT Consulting]</v>
      </c>
    </row>
    <row r="1693" spans="1:23" hidden="1" x14ac:dyDescent="0.25">
      <c r="A1693">
        <v>180200</v>
      </c>
      <c r="B1693" s="16" t="s">
        <v>19467</v>
      </c>
      <c r="C1693" s="16" t="e">
        <f>VLOOKUP(Table1[[#This Row],[Node]],Parent!A:B,2,0)</f>
        <v>#N/A</v>
      </c>
      <c r="D1693" s="25" t="s">
        <v>19346</v>
      </c>
      <c r="E1693" s="26" t="s">
        <v>16544</v>
      </c>
      <c r="F1693" s="27" t="s">
        <v>18177</v>
      </c>
      <c r="G1693" s="27" t="s">
        <v>18201</v>
      </c>
      <c r="H1693" s="27"/>
      <c r="I1693" s="27"/>
      <c r="J1693" s="27"/>
      <c r="K1693" s="27"/>
      <c r="L1693" s="27"/>
      <c r="N1693" s="27"/>
      <c r="T1693" s="28" t="str">
        <f>LOOKUP(1,1/(Table1[[#This Row],[Level_0]:[Level 15]]&gt;0),(Table1[[#This Row],[Level_0]:[Level 15]]))</f>
        <v>180200 - [Allocated IT Cost (not project related)]</v>
      </c>
      <c r="U1693" s="22">
        <v>1688</v>
      </c>
      <c r="W1693" s="13" t="str">
        <f>LOOKUP(1,1/(Table1[[#This Row],[Level_0]:[Level 15]]&gt;0),(Table1[[#This Row],[Level_0]:[Level 15]]))</f>
        <v>180200 - [Allocated IT Cost (not project related)]</v>
      </c>
    </row>
    <row r="1694" spans="1:23" hidden="1" x14ac:dyDescent="0.25">
      <c r="A1694">
        <v>180203</v>
      </c>
      <c r="B1694" s="16" t="s">
        <v>19470</v>
      </c>
      <c r="C1694" s="16" t="e">
        <f>VLOOKUP(Table1[[#This Row],[Node]],Parent!A:B,2,0)</f>
        <v>#N/A</v>
      </c>
      <c r="D1694" s="25" t="s">
        <v>19346</v>
      </c>
      <c r="E1694" s="26" t="s">
        <v>16544</v>
      </c>
      <c r="F1694" s="27" t="s">
        <v>18177</v>
      </c>
      <c r="G1694" s="27" t="s">
        <v>18201</v>
      </c>
      <c r="H1694" s="27" t="s">
        <v>18202</v>
      </c>
      <c r="I1694" s="27"/>
      <c r="J1694" s="27"/>
      <c r="K1694" s="27"/>
      <c r="L1694" s="27"/>
      <c r="N1694" s="27"/>
      <c r="T1694" s="28" t="str">
        <f>LOOKUP(1,1/(Table1[[#This Row],[Level_0]:[Level 15]]&gt;0),(Table1[[#This Row],[Level_0]:[Level 15]]))</f>
        <v>180203 - [Allocated Telecommunication services]</v>
      </c>
      <c r="U1694" s="22">
        <v>1689</v>
      </c>
      <c r="W1694" s="13" t="str">
        <f>LOOKUP(1,1/(Table1[[#This Row],[Level_0]:[Level 15]]&gt;0),(Table1[[#This Row],[Level_0]:[Level 15]]))</f>
        <v>180203 - [Allocated Telecommunication services]</v>
      </c>
    </row>
    <row r="1695" spans="1:23" hidden="1" x14ac:dyDescent="0.25">
      <c r="A1695">
        <v>7120000003</v>
      </c>
      <c r="B1695" s="16" t="s">
        <v>20679</v>
      </c>
      <c r="C1695" s="16" t="e">
        <f>VLOOKUP(Table1[[#This Row],[Node]],Parent!A:B,2,0)</f>
        <v>#N/A</v>
      </c>
      <c r="D1695" s="25" t="s">
        <v>19346</v>
      </c>
      <c r="E1695" s="26" t="s">
        <v>16544</v>
      </c>
      <c r="F1695" s="27" t="s">
        <v>18177</v>
      </c>
      <c r="G1695" s="27" t="s">
        <v>18201</v>
      </c>
      <c r="H1695" s="27" t="s">
        <v>18202</v>
      </c>
      <c r="I1695" s="27" t="s">
        <v>18203</v>
      </c>
      <c r="J1695" s="27"/>
      <c r="K1695" s="27"/>
      <c r="L1695" s="27"/>
      <c r="N1695" s="27"/>
      <c r="T1695" s="28" t="str">
        <f>LOOKUP(1,1/(Table1[[#This Row],[Level_0]:[Level 15]]&gt;0),(Table1[[#This Row],[Level_0]:[Level 15]]))</f>
        <v>7120000003 - [AOM TELECOMM. COSTS]</v>
      </c>
      <c r="U1695" s="22">
        <v>1690</v>
      </c>
      <c r="W1695" s="13" t="str">
        <f>LOOKUP(1,1/(Table1[[#This Row],[Level_0]:[Level 15]]&gt;0),(Table1[[#This Row],[Level_0]:[Level 15]]))</f>
        <v>7120000003 - [AOM TELECOMM. COSTS]</v>
      </c>
    </row>
    <row r="1696" spans="1:23" hidden="1" x14ac:dyDescent="0.25">
      <c r="A1696">
        <v>7100000003</v>
      </c>
      <c r="B1696" s="16" t="s">
        <v>20655</v>
      </c>
      <c r="C1696" s="16" t="e">
        <f>VLOOKUP(Table1[[#This Row],[Node]],Parent!A:B,2,0)</f>
        <v>#N/A</v>
      </c>
      <c r="D1696" s="25" t="s">
        <v>19346</v>
      </c>
      <c r="E1696" s="26" t="s">
        <v>16544</v>
      </c>
      <c r="F1696" s="27" t="s">
        <v>18177</v>
      </c>
      <c r="G1696" s="27" t="s">
        <v>18201</v>
      </c>
      <c r="H1696" s="27" t="s">
        <v>18202</v>
      </c>
      <c r="I1696" s="27" t="s">
        <v>18204</v>
      </c>
      <c r="J1696" s="27"/>
      <c r="K1696" s="27"/>
      <c r="L1696" s="27"/>
      <c r="N1696" s="27"/>
      <c r="T1696" s="28" t="str">
        <f>LOOKUP(1,1/(Table1[[#This Row],[Level_0]:[Level 15]]&gt;0),(Table1[[#This Row],[Level_0]:[Level 15]]))</f>
        <v>7100000003 - [DAA Telco Services var.]</v>
      </c>
      <c r="U1696" s="22">
        <v>1691</v>
      </c>
      <c r="W1696" s="13" t="str">
        <f>LOOKUP(1,1/(Table1[[#This Row],[Level_0]:[Level 15]]&gt;0),(Table1[[#This Row],[Level_0]:[Level 15]]))</f>
        <v>7100000003 - [DAA Telco Services var.]</v>
      </c>
    </row>
    <row r="1697" spans="1:23" hidden="1" x14ac:dyDescent="0.25">
      <c r="A1697">
        <v>7100000002</v>
      </c>
      <c r="B1697" s="16" t="s">
        <v>20654</v>
      </c>
      <c r="C1697" s="16" t="e">
        <f>VLOOKUP(Table1[[#This Row],[Node]],Parent!A:B,2,0)</f>
        <v>#N/A</v>
      </c>
      <c r="D1697" s="25" t="s">
        <v>19346</v>
      </c>
      <c r="E1697" s="26" t="s">
        <v>16544</v>
      </c>
      <c r="F1697" s="27" t="s">
        <v>18177</v>
      </c>
      <c r="G1697" s="27" t="s">
        <v>18201</v>
      </c>
      <c r="H1697" s="27" t="s">
        <v>18202</v>
      </c>
      <c r="I1697" s="27" t="s">
        <v>18205</v>
      </c>
      <c r="J1697" s="27"/>
      <c r="K1697" s="27"/>
      <c r="L1697" s="27"/>
      <c r="N1697" s="27"/>
      <c r="T1697" s="28" t="str">
        <f>LOOKUP(1,1/(Table1[[#This Row],[Level_0]:[Level 15]]&gt;0),(Table1[[#This Row],[Level_0]:[Level 15]]))</f>
        <v>7100000002 - [DAA Telco Services fix]</v>
      </c>
      <c r="U1697" s="22">
        <v>1692</v>
      </c>
      <c r="W1697" s="13" t="str">
        <f>LOOKUP(1,1/(Table1[[#This Row],[Level_0]:[Level 15]]&gt;0),(Table1[[#This Row],[Level_0]:[Level 15]]))</f>
        <v>7100000002 - [DAA Telco Services fix]</v>
      </c>
    </row>
    <row r="1698" spans="1:23" hidden="1" x14ac:dyDescent="0.25">
      <c r="A1698">
        <v>180202</v>
      </c>
      <c r="B1698" s="16" t="s">
        <v>19469</v>
      </c>
      <c r="C1698" s="16" t="e">
        <f>VLOOKUP(Table1[[#This Row],[Node]],Parent!A:B,2,0)</f>
        <v>#N/A</v>
      </c>
      <c r="D1698" s="25" t="s">
        <v>19346</v>
      </c>
      <c r="E1698" s="26" t="s">
        <v>16544</v>
      </c>
      <c r="F1698" s="27" t="s">
        <v>18177</v>
      </c>
      <c r="G1698" s="27" t="s">
        <v>18201</v>
      </c>
      <c r="H1698" s="27" t="s">
        <v>18206</v>
      </c>
      <c r="I1698" s="27"/>
      <c r="J1698" s="27"/>
      <c r="K1698" s="27"/>
      <c r="L1698" s="27"/>
      <c r="N1698" s="27"/>
      <c r="T1698" s="28" t="str">
        <f>LOOKUP(1,1/(Table1[[#This Row],[Level_0]:[Level 15]]&gt;0),(Table1[[#This Row],[Level_0]:[Level 15]]))</f>
        <v>180202 - [Other IT Costs]</v>
      </c>
      <c r="U1698" s="22">
        <v>1693</v>
      </c>
      <c r="W1698" s="13" t="str">
        <f>LOOKUP(1,1/(Table1[[#This Row],[Level_0]:[Level 15]]&gt;0),(Table1[[#This Row],[Level_0]:[Level 15]]))</f>
        <v>180202 - [Other IT Costs]</v>
      </c>
    </row>
    <row r="1699" spans="1:23" hidden="1" x14ac:dyDescent="0.25">
      <c r="A1699">
        <v>7600304230</v>
      </c>
      <c r="B1699" s="16" t="s">
        <v>21421</v>
      </c>
      <c r="C1699" s="16" t="e">
        <f>VLOOKUP(Table1[[#This Row],[Node]],Parent!A:B,2,0)</f>
        <v>#N/A</v>
      </c>
      <c r="D1699" s="25" t="s">
        <v>19346</v>
      </c>
      <c r="E1699" s="26" t="s">
        <v>16544</v>
      </c>
      <c r="F1699" s="27" t="s">
        <v>18177</v>
      </c>
      <c r="G1699" s="27" t="s">
        <v>18201</v>
      </c>
      <c r="H1699" s="27" t="s">
        <v>18206</v>
      </c>
      <c r="I1699" s="27" t="s">
        <v>18207</v>
      </c>
      <c r="J1699" s="27"/>
      <c r="K1699" s="27"/>
      <c r="L1699" s="27"/>
      <c r="N1699" s="27"/>
      <c r="T1699" s="28" t="str">
        <f>LOOKUP(1,1/(Table1[[#This Row],[Level_0]:[Level 15]]&gt;0),(Table1[[#This Row],[Level_0]:[Level 15]]))</f>
        <v>7600304230 - [DAA_Contractor Mgt I]</v>
      </c>
      <c r="U1699" s="22">
        <v>1694</v>
      </c>
      <c r="W1699" s="13" t="str">
        <f>LOOKUP(1,1/(Table1[[#This Row],[Level_0]:[Level 15]]&gt;0),(Table1[[#This Row],[Level_0]:[Level 15]]))</f>
        <v>7600304230 - [DAA_Contractor Mgt I]</v>
      </c>
    </row>
    <row r="1700" spans="1:23" hidden="1" x14ac:dyDescent="0.25">
      <c r="A1700">
        <v>7600304210</v>
      </c>
      <c r="B1700" s="16" t="s">
        <v>21401</v>
      </c>
      <c r="C1700" s="16" t="e">
        <f>VLOOKUP(Table1[[#This Row],[Node]],Parent!A:B,2,0)</f>
        <v>#N/A</v>
      </c>
      <c r="D1700" s="25" t="s">
        <v>19346</v>
      </c>
      <c r="E1700" s="26" t="s">
        <v>16544</v>
      </c>
      <c r="F1700" s="27" t="s">
        <v>18177</v>
      </c>
      <c r="G1700" s="27" t="s">
        <v>18201</v>
      </c>
      <c r="H1700" s="27" t="s">
        <v>18206</v>
      </c>
      <c r="I1700" s="27" t="s">
        <v>18208</v>
      </c>
      <c r="J1700" s="27"/>
      <c r="K1700" s="27"/>
      <c r="L1700" s="27"/>
      <c r="N1700" s="27"/>
      <c r="T1700" s="28" t="str">
        <f>LOOKUP(1,1/(Table1[[#This Row],[Level_0]:[Level 15]]&gt;0),(Table1[[#This Row],[Level_0]:[Level 15]]))</f>
        <v>7600304210 - [DAA_MRE_IT_Tools]</v>
      </c>
      <c r="U1700" s="22">
        <v>1695</v>
      </c>
      <c r="W1700" s="13" t="str">
        <f>LOOKUP(1,1/(Table1[[#This Row],[Level_0]:[Level 15]]&gt;0),(Table1[[#This Row],[Level_0]:[Level 15]]))</f>
        <v>7600304210 - [DAA_MRE_IT_Tools]</v>
      </c>
    </row>
    <row r="1701" spans="1:23" hidden="1" x14ac:dyDescent="0.25">
      <c r="A1701">
        <v>7600301082</v>
      </c>
      <c r="B1701" s="16" t="s">
        <v>21195</v>
      </c>
      <c r="C1701" s="16" t="e">
        <f>VLOOKUP(Table1[[#This Row],[Node]],Parent!A:B,2,0)</f>
        <v>#N/A</v>
      </c>
      <c r="D1701" s="25" t="s">
        <v>19346</v>
      </c>
      <c r="E1701" s="26" t="s">
        <v>16544</v>
      </c>
      <c r="F1701" s="27" t="s">
        <v>18177</v>
      </c>
      <c r="G1701" s="27" t="s">
        <v>18201</v>
      </c>
      <c r="H1701" s="27" t="s">
        <v>18206</v>
      </c>
      <c r="I1701" s="27" t="s">
        <v>18209</v>
      </c>
      <c r="J1701" s="27"/>
      <c r="K1701" s="27"/>
      <c r="L1701" s="27"/>
      <c r="N1701" s="27"/>
      <c r="T1701" s="28" t="str">
        <f>LOOKUP(1,1/(Table1[[#This Row],[Level_0]:[Level 15]]&gt;0),(Table1[[#This Row],[Level_0]:[Level 15]]))</f>
        <v>7600301082 - [DAA_E&amp;M App.Mgt_oth.]</v>
      </c>
      <c r="U1701" s="22">
        <v>1696</v>
      </c>
      <c r="W1701" s="13" t="str">
        <f>LOOKUP(1,1/(Table1[[#This Row],[Level_0]:[Level 15]]&gt;0),(Table1[[#This Row],[Level_0]:[Level 15]]))</f>
        <v>7600301082 - [DAA_E&amp;M App.Mgt_oth.]</v>
      </c>
    </row>
    <row r="1702" spans="1:23" hidden="1" x14ac:dyDescent="0.25">
      <c r="A1702">
        <v>7140000004</v>
      </c>
      <c r="B1702" s="16" t="s">
        <v>20686</v>
      </c>
      <c r="C1702" s="16" t="e">
        <f>VLOOKUP(Table1[[#This Row],[Node]],Parent!A:B,2,0)</f>
        <v>#N/A</v>
      </c>
      <c r="D1702" s="25" t="s">
        <v>19346</v>
      </c>
      <c r="E1702" s="26" t="s">
        <v>16544</v>
      </c>
      <c r="F1702" s="27" t="s">
        <v>18177</v>
      </c>
      <c r="G1702" s="27" t="s">
        <v>18201</v>
      </c>
      <c r="H1702" s="27" t="s">
        <v>18206</v>
      </c>
      <c r="I1702" s="27" t="s">
        <v>18210</v>
      </c>
      <c r="J1702" s="27"/>
      <c r="K1702" s="27"/>
      <c r="L1702" s="27"/>
      <c r="N1702" s="27"/>
      <c r="T1702" s="28" t="str">
        <f>LOOKUP(1,1/(Table1[[#This Row],[Level_0]:[Level 15]]&gt;0),(Table1[[#This Row],[Level_0]:[Level 15]]))</f>
        <v>7140000004 - [SOM IS Governance]</v>
      </c>
      <c r="U1702" s="22">
        <v>1697</v>
      </c>
      <c r="W1702" s="13" t="str">
        <f>LOOKUP(1,1/(Table1[[#This Row],[Level_0]:[Level 15]]&gt;0),(Table1[[#This Row],[Level_0]:[Level 15]]))</f>
        <v>7140000004 - [SOM IS Governance]</v>
      </c>
    </row>
    <row r="1703" spans="1:23" hidden="1" x14ac:dyDescent="0.25">
      <c r="A1703">
        <v>7120000006</v>
      </c>
      <c r="B1703" s="16" t="s">
        <v>20682</v>
      </c>
      <c r="C1703" s="16" t="e">
        <f>VLOOKUP(Table1[[#This Row],[Node]],Parent!A:B,2,0)</f>
        <v>#N/A</v>
      </c>
      <c r="D1703" s="25" t="s">
        <v>19346</v>
      </c>
      <c r="E1703" s="26" t="s">
        <v>16544</v>
      </c>
      <c r="F1703" s="27" t="s">
        <v>18177</v>
      </c>
      <c r="G1703" s="27" t="s">
        <v>18201</v>
      </c>
      <c r="H1703" s="27" t="s">
        <v>18206</v>
      </c>
      <c r="I1703" s="27" t="s">
        <v>18211</v>
      </c>
      <c r="J1703" s="27"/>
      <c r="K1703" s="27"/>
      <c r="L1703" s="27"/>
      <c r="N1703" s="27"/>
      <c r="T1703" s="28" t="str">
        <f>LOOKUP(1,1/(Table1[[#This Row],[Level_0]:[Level 15]]&gt;0),(Table1[[#This Row],[Level_0]:[Level 15]]))</f>
        <v>7120000006 - [AOM Intercompany Charge IT Consulting]</v>
      </c>
      <c r="U1703" s="22">
        <v>1698</v>
      </c>
      <c r="W1703" s="13" t="str">
        <f>LOOKUP(1,1/(Table1[[#This Row],[Level_0]:[Level 15]]&gt;0),(Table1[[#This Row],[Level_0]:[Level 15]]))</f>
        <v>7120000006 - [AOM Intercompany Charge IT Consulting]</v>
      </c>
    </row>
    <row r="1704" spans="1:23" hidden="1" x14ac:dyDescent="0.25">
      <c r="A1704">
        <v>7120000005</v>
      </c>
      <c r="B1704" s="16" t="s">
        <v>20681</v>
      </c>
      <c r="C1704" s="16" t="e">
        <f>VLOOKUP(Table1[[#This Row],[Node]],Parent!A:B,2,0)</f>
        <v>#N/A</v>
      </c>
      <c r="D1704" s="25" t="s">
        <v>19346</v>
      </c>
      <c r="E1704" s="26" t="s">
        <v>16544</v>
      </c>
      <c r="F1704" s="27" t="s">
        <v>18177</v>
      </c>
      <c r="G1704" s="27" t="s">
        <v>18201</v>
      </c>
      <c r="H1704" s="27" t="s">
        <v>18206</v>
      </c>
      <c r="I1704" s="27" t="s">
        <v>18212</v>
      </c>
      <c r="J1704" s="27"/>
      <c r="K1704" s="27"/>
      <c r="L1704" s="27"/>
      <c r="N1704" s="27"/>
      <c r="T1704" s="28" t="str">
        <f>LOOKUP(1,1/(Table1[[#This Row],[Level_0]:[Level 15]]&gt;0),(Table1[[#This Row],[Level_0]:[Level 15]]))</f>
        <v>7120000005 - [AOM Intercompany Charge IT Services]</v>
      </c>
      <c r="U1704" s="22">
        <v>1699</v>
      </c>
      <c r="W1704" s="13" t="str">
        <f>LOOKUP(1,1/(Table1[[#This Row],[Level_0]:[Level 15]]&gt;0),(Table1[[#This Row],[Level_0]:[Level 15]]))</f>
        <v>7120000005 - [AOM Intercompany Charge IT Services]</v>
      </c>
    </row>
    <row r="1705" spans="1:23" hidden="1" x14ac:dyDescent="0.25">
      <c r="A1705">
        <v>7100000022</v>
      </c>
      <c r="B1705" s="16" t="s">
        <v>20674</v>
      </c>
      <c r="C1705" s="16" t="e">
        <f>VLOOKUP(Table1[[#This Row],[Node]],Parent!A:B,2,0)</f>
        <v>#N/A</v>
      </c>
      <c r="D1705" s="25" t="s">
        <v>19346</v>
      </c>
      <c r="E1705" s="26" t="s">
        <v>16544</v>
      </c>
      <c r="F1705" s="27" t="s">
        <v>18177</v>
      </c>
      <c r="G1705" s="27" t="s">
        <v>18201</v>
      </c>
      <c r="H1705" s="27" t="s">
        <v>18206</v>
      </c>
      <c r="I1705" s="27" t="s">
        <v>18213</v>
      </c>
      <c r="J1705" s="27"/>
      <c r="K1705" s="27"/>
      <c r="L1705" s="27"/>
      <c r="N1705" s="27"/>
      <c r="T1705" s="28" t="str">
        <f>LOOKUP(1,1/(Table1[[#This Row],[Level_0]:[Level 15]]&gt;0),(Table1[[#This Row],[Level_0]:[Level 15]]))</f>
        <v>7100000022 - [DAA_IT Products PC Desk]</v>
      </c>
      <c r="U1705" s="22">
        <v>1700</v>
      </c>
      <c r="W1705" s="13" t="str">
        <f>LOOKUP(1,1/(Table1[[#This Row],[Level_0]:[Level 15]]&gt;0),(Table1[[#This Row],[Level_0]:[Level 15]]))</f>
        <v>7100000022 - [DAA_IT Products PC Desk]</v>
      </c>
    </row>
    <row r="1706" spans="1:23" hidden="1" x14ac:dyDescent="0.25">
      <c r="A1706">
        <v>7100000019</v>
      </c>
      <c r="B1706" s="16" t="s">
        <v>20671</v>
      </c>
      <c r="C1706" s="16" t="e">
        <f>VLOOKUP(Table1[[#This Row],[Node]],Parent!A:B,2,0)</f>
        <v>#N/A</v>
      </c>
      <c r="D1706" s="25" t="s">
        <v>19346</v>
      </c>
      <c r="E1706" s="26" t="s">
        <v>16544</v>
      </c>
      <c r="F1706" s="27" t="s">
        <v>18177</v>
      </c>
      <c r="G1706" s="27" t="s">
        <v>18201</v>
      </c>
      <c r="H1706" s="27" t="s">
        <v>18206</v>
      </c>
      <c r="I1706" s="27" t="s">
        <v>18214</v>
      </c>
      <c r="J1706" s="27"/>
      <c r="K1706" s="27"/>
      <c r="L1706" s="27"/>
      <c r="N1706" s="27"/>
      <c r="T1706" s="28" t="str">
        <f>LOOKUP(1,1/(Table1[[#This Row],[Level_0]:[Level 15]]&gt;0),(Table1[[#This Row],[Level_0]:[Level 15]]))</f>
        <v>7100000019 - [DAA_IT Service Contracts]</v>
      </c>
      <c r="U1706" s="22">
        <v>1701</v>
      </c>
      <c r="W1706" s="13" t="str">
        <f>LOOKUP(1,1/(Table1[[#This Row],[Level_0]:[Level 15]]&gt;0),(Table1[[#This Row],[Level_0]:[Level 15]]))</f>
        <v>7100000019 - [DAA_IT Service Contracts]</v>
      </c>
    </row>
    <row r="1707" spans="1:23" hidden="1" x14ac:dyDescent="0.25">
      <c r="A1707">
        <v>7100000015</v>
      </c>
      <c r="B1707" s="16" t="s">
        <v>20667</v>
      </c>
      <c r="C1707" s="16" t="e">
        <f>VLOOKUP(Table1[[#This Row],[Node]],Parent!A:B,2,0)</f>
        <v>#N/A</v>
      </c>
      <c r="D1707" s="25" t="s">
        <v>19346</v>
      </c>
      <c r="E1707" s="26" t="s">
        <v>16544</v>
      </c>
      <c r="F1707" s="27" t="s">
        <v>18177</v>
      </c>
      <c r="G1707" s="27" t="s">
        <v>18201</v>
      </c>
      <c r="H1707" s="27" t="s">
        <v>18206</v>
      </c>
      <c r="I1707" s="27" t="s">
        <v>18215</v>
      </c>
      <c r="J1707" s="27"/>
      <c r="K1707" s="27"/>
      <c r="L1707" s="27"/>
      <c r="N1707" s="27"/>
      <c r="T1707" s="28" t="str">
        <f>LOOKUP(1,1/(Table1[[#This Row],[Level_0]:[Level 15]]&gt;0),(Table1[[#This Row],[Level_0]:[Level 15]]))</f>
        <v>7100000015 - [DAA_IT Special Services]</v>
      </c>
      <c r="U1707" s="22">
        <v>1702</v>
      </c>
      <c r="W1707" s="13" t="str">
        <f>LOOKUP(1,1/(Table1[[#This Row],[Level_0]:[Level 15]]&gt;0),(Table1[[#This Row],[Level_0]:[Level 15]]))</f>
        <v>7100000015 - [DAA_IT Special Services]</v>
      </c>
    </row>
    <row r="1708" spans="1:23" hidden="1" x14ac:dyDescent="0.25">
      <c r="A1708">
        <v>7100000011</v>
      </c>
      <c r="B1708" s="16" t="s">
        <v>20663</v>
      </c>
      <c r="C1708" s="16" t="e">
        <f>VLOOKUP(Table1[[#This Row],[Node]],Parent!A:B,2,0)</f>
        <v>#N/A</v>
      </c>
      <c r="D1708" s="25" t="s">
        <v>19346</v>
      </c>
      <c r="E1708" s="26" t="s">
        <v>16544</v>
      </c>
      <c r="F1708" s="27" t="s">
        <v>18177</v>
      </c>
      <c r="G1708" s="27" t="s">
        <v>18201</v>
      </c>
      <c r="H1708" s="27" t="s">
        <v>18206</v>
      </c>
      <c r="I1708" s="27" t="s">
        <v>18216</v>
      </c>
      <c r="J1708" s="27"/>
      <c r="K1708" s="27"/>
      <c r="L1708" s="27"/>
      <c r="N1708" s="27"/>
      <c r="T1708" s="28" t="str">
        <f>LOOKUP(1,1/(Table1[[#This Row],[Level_0]:[Level 15]]&gt;0),(Table1[[#This Row],[Level_0]:[Level 15]]))</f>
        <v>7100000011 - [DAA SPECIAL IT SER]</v>
      </c>
      <c r="U1708" s="22">
        <v>1703</v>
      </c>
      <c r="W1708" s="13" t="str">
        <f>LOOKUP(1,1/(Table1[[#This Row],[Level_0]:[Level 15]]&gt;0),(Table1[[#This Row],[Level_0]:[Level 15]]))</f>
        <v>7100000011 - [DAA SPECIAL IT SER]</v>
      </c>
    </row>
    <row r="1709" spans="1:23" hidden="1" x14ac:dyDescent="0.25">
      <c r="A1709">
        <v>7100000010</v>
      </c>
      <c r="B1709" s="16" t="s">
        <v>20662</v>
      </c>
      <c r="C1709" s="16" t="e">
        <f>VLOOKUP(Table1[[#This Row],[Node]],Parent!A:B,2,0)</f>
        <v>#N/A</v>
      </c>
      <c r="D1709" s="25" t="s">
        <v>19346</v>
      </c>
      <c r="E1709" s="26" t="s">
        <v>16544</v>
      </c>
      <c r="F1709" s="27" t="s">
        <v>18177</v>
      </c>
      <c r="G1709" s="27" t="s">
        <v>18201</v>
      </c>
      <c r="H1709" s="27" t="s">
        <v>18206</v>
      </c>
      <c r="I1709" s="27" t="s">
        <v>18217</v>
      </c>
      <c r="J1709" s="27"/>
      <c r="K1709" s="27"/>
      <c r="L1709" s="27"/>
      <c r="N1709" s="27"/>
      <c r="T1709" s="28" t="str">
        <f>LOOKUP(1,1/(Table1[[#This Row],[Level_0]:[Level 15]]&gt;0),(Table1[[#This Row],[Level_0]:[Level 15]]))</f>
        <v>7100000010 - [DAA LOC. IT SERV.]</v>
      </c>
      <c r="U1709" s="22">
        <v>1704</v>
      </c>
      <c r="W1709" s="13" t="str">
        <f>LOOKUP(1,1/(Table1[[#This Row],[Level_0]:[Level 15]]&gt;0),(Table1[[#This Row],[Level_0]:[Level 15]]))</f>
        <v>7100000010 - [DAA LOC. IT SERV.]</v>
      </c>
    </row>
    <row r="1710" spans="1:23" hidden="1" x14ac:dyDescent="0.25">
      <c r="A1710">
        <v>7100000007</v>
      </c>
      <c r="B1710" s="16" t="s">
        <v>20659</v>
      </c>
      <c r="C1710" s="16" t="e">
        <f>VLOOKUP(Table1[[#This Row],[Node]],Parent!A:B,2,0)</f>
        <v>#N/A</v>
      </c>
      <c r="D1710" s="25" t="s">
        <v>19346</v>
      </c>
      <c r="E1710" s="26" t="s">
        <v>16544</v>
      </c>
      <c r="F1710" s="27" t="s">
        <v>18177</v>
      </c>
      <c r="G1710" s="27" t="s">
        <v>18201</v>
      </c>
      <c r="H1710" s="27" t="s">
        <v>18206</v>
      </c>
      <c r="I1710" s="27" t="s">
        <v>18218</v>
      </c>
      <c r="J1710" s="27"/>
      <c r="K1710" s="27"/>
      <c r="L1710" s="27"/>
      <c r="N1710" s="27"/>
      <c r="T1710" s="28" t="str">
        <f>LOOKUP(1,1/(Table1[[#This Row],[Level_0]:[Level 15]]&gt;0),(Table1[[#This Row],[Level_0]:[Level 15]]))</f>
        <v>7100000007 - [DAA OTHER IT SERV.]</v>
      </c>
      <c r="U1710" s="22">
        <v>1705</v>
      </c>
      <c r="W1710" s="13" t="str">
        <f>LOOKUP(1,1/(Table1[[#This Row],[Level_0]:[Level 15]]&gt;0),(Table1[[#This Row],[Level_0]:[Level 15]]))</f>
        <v>7100000007 - [DAA OTHER IT SERV.]</v>
      </c>
    </row>
    <row r="1711" spans="1:23" hidden="1" x14ac:dyDescent="0.25">
      <c r="A1711">
        <v>180201</v>
      </c>
      <c r="B1711" s="16" t="s">
        <v>19468</v>
      </c>
      <c r="C1711" s="16" t="e">
        <f>VLOOKUP(Table1[[#This Row],[Node]],Parent!A:B,2,0)</f>
        <v>#N/A</v>
      </c>
      <c r="D1711" s="25" t="s">
        <v>19346</v>
      </c>
      <c r="E1711" s="26" t="s">
        <v>16544</v>
      </c>
      <c r="F1711" s="27" t="s">
        <v>18177</v>
      </c>
      <c r="G1711" s="27" t="s">
        <v>18201</v>
      </c>
      <c r="H1711" s="27" t="s">
        <v>18219</v>
      </c>
      <c r="I1711" s="27"/>
      <c r="J1711" s="27"/>
      <c r="K1711" s="27"/>
      <c r="L1711" s="27"/>
      <c r="N1711" s="27"/>
      <c r="T1711" s="28" t="str">
        <f>LOOKUP(1,1/(Table1[[#This Row],[Level_0]:[Level 15]]&gt;0),(Table1[[#This Row],[Level_0]:[Level 15]]))</f>
        <v>180201 - [Allocated IT Application Service]</v>
      </c>
      <c r="U1711" s="22">
        <v>1706</v>
      </c>
      <c r="W1711" s="13" t="str">
        <f>LOOKUP(1,1/(Table1[[#This Row],[Level_0]:[Level 15]]&gt;0),(Table1[[#This Row],[Level_0]:[Level 15]]))</f>
        <v>180201 - [Allocated IT Application Service]</v>
      </c>
    </row>
    <row r="1712" spans="1:23" hidden="1" x14ac:dyDescent="0.25">
      <c r="A1712">
        <v>7120000001</v>
      </c>
      <c r="B1712" s="16" t="s">
        <v>20677</v>
      </c>
      <c r="C1712" s="16" t="e">
        <f>VLOOKUP(Table1[[#This Row],[Node]],Parent!A:B,2,0)</f>
        <v>#N/A</v>
      </c>
      <c r="D1712" s="25" t="s">
        <v>19346</v>
      </c>
      <c r="E1712" s="26" t="s">
        <v>16544</v>
      </c>
      <c r="F1712" s="27" t="s">
        <v>18177</v>
      </c>
      <c r="G1712" s="27" t="s">
        <v>18201</v>
      </c>
      <c r="H1712" s="27" t="s">
        <v>18219</v>
      </c>
      <c r="I1712" s="27" t="s">
        <v>18220</v>
      </c>
      <c r="J1712" s="27"/>
      <c r="K1712" s="27"/>
      <c r="L1712" s="27"/>
      <c r="N1712" s="27"/>
      <c r="T1712" s="28" t="str">
        <f>LOOKUP(1,1/(Table1[[#This Row],[Level_0]:[Level 15]]&gt;0),(Table1[[#This Row],[Level_0]:[Level 15]]))</f>
        <v>7120000001 - [AOM IT Local Service]</v>
      </c>
      <c r="U1712" s="22">
        <v>1707</v>
      </c>
      <c r="W1712" s="13" t="str">
        <f>LOOKUP(1,1/(Table1[[#This Row],[Level_0]:[Level 15]]&gt;0),(Table1[[#This Row],[Level_0]:[Level 15]]))</f>
        <v>7120000001 - [AOM IT Local Service]</v>
      </c>
    </row>
    <row r="1713" spans="1:23" hidden="1" x14ac:dyDescent="0.25">
      <c r="A1713">
        <v>7100000017</v>
      </c>
      <c r="B1713" s="16" t="s">
        <v>20669</v>
      </c>
      <c r="C1713" s="16" t="e">
        <f>VLOOKUP(Table1[[#This Row],[Node]],Parent!A:B,2,0)</f>
        <v>#N/A</v>
      </c>
      <c r="D1713" s="25" t="s">
        <v>19346</v>
      </c>
      <c r="E1713" s="26" t="s">
        <v>16544</v>
      </c>
      <c r="F1713" s="27" t="s">
        <v>18177</v>
      </c>
      <c r="G1713" s="27" t="s">
        <v>18201</v>
      </c>
      <c r="H1713" s="27" t="s">
        <v>18219</v>
      </c>
      <c r="I1713" s="27" t="s">
        <v>18221</v>
      </c>
      <c r="J1713" s="27"/>
      <c r="K1713" s="27"/>
      <c r="L1713" s="27"/>
      <c r="N1713" s="27"/>
      <c r="T1713" s="28" t="str">
        <f>LOOKUP(1,1/(Table1[[#This Row],[Level_0]:[Level 15]]&gt;0),(Table1[[#This Row],[Level_0]:[Level 15]]))</f>
        <v>7100000017 - [DAA_IT Applic. Plan]</v>
      </c>
      <c r="U1713" s="22">
        <v>1708</v>
      </c>
      <c r="W1713" s="13" t="str">
        <f>LOOKUP(1,1/(Table1[[#This Row],[Level_0]:[Level 15]]&gt;0),(Table1[[#This Row],[Level_0]:[Level 15]]))</f>
        <v>7100000017 - [DAA_IT Applic. Plan]</v>
      </c>
    </row>
    <row r="1714" spans="1:23" hidden="1" x14ac:dyDescent="0.25">
      <c r="A1714">
        <v>7100000008</v>
      </c>
      <c r="B1714" s="16" t="s">
        <v>20660</v>
      </c>
      <c r="C1714" s="16" t="e">
        <f>VLOOKUP(Table1[[#This Row],[Node]],Parent!A:B,2,0)</f>
        <v>#N/A</v>
      </c>
      <c r="D1714" s="25" t="s">
        <v>19346</v>
      </c>
      <c r="E1714" s="26" t="s">
        <v>16544</v>
      </c>
      <c r="F1714" s="27" t="s">
        <v>18177</v>
      </c>
      <c r="G1714" s="27" t="s">
        <v>18201</v>
      </c>
      <c r="H1714" s="27" t="s">
        <v>18219</v>
      </c>
      <c r="I1714" s="27" t="s">
        <v>18222</v>
      </c>
      <c r="J1714" s="27"/>
      <c r="K1714" s="27"/>
      <c r="L1714" s="27"/>
      <c r="N1714" s="27"/>
      <c r="T1714" s="28" t="str">
        <f>LOOKUP(1,1/(Table1[[#This Row],[Level_0]:[Level 15]]&gt;0),(Table1[[#This Row],[Level_0]:[Level 15]]))</f>
        <v>7100000008 - [DAA MDA DESKT SERV]</v>
      </c>
      <c r="U1714" s="22">
        <v>1709</v>
      </c>
      <c r="W1714" s="13" t="str">
        <f>LOOKUP(1,1/(Table1[[#This Row],[Level_0]:[Level 15]]&gt;0),(Table1[[#This Row],[Level_0]:[Level 15]]))</f>
        <v>7100000008 - [DAA MDA DESKT SERV]</v>
      </c>
    </row>
    <row r="1715" spans="1:23" hidden="1" x14ac:dyDescent="0.25">
      <c r="A1715">
        <v>7100000006</v>
      </c>
      <c r="B1715" s="16" t="s">
        <v>20658</v>
      </c>
      <c r="C1715" s="16" t="e">
        <f>VLOOKUP(Table1[[#This Row],[Node]],Parent!A:B,2,0)</f>
        <v>#N/A</v>
      </c>
      <c r="D1715" s="25" t="s">
        <v>19346</v>
      </c>
      <c r="E1715" s="26" t="s">
        <v>16544</v>
      </c>
      <c r="F1715" s="27" t="s">
        <v>18177</v>
      </c>
      <c r="G1715" s="27" t="s">
        <v>18201</v>
      </c>
      <c r="H1715" s="27" t="s">
        <v>18219</v>
      </c>
      <c r="I1715" s="27" t="s">
        <v>18223</v>
      </c>
      <c r="J1715" s="27"/>
      <c r="K1715" s="27"/>
      <c r="L1715" s="27"/>
      <c r="N1715" s="27"/>
      <c r="T1715" s="28" t="str">
        <f>LOOKUP(1,1/(Table1[[#This Row],[Level_0]:[Level 15]]&gt;0),(Table1[[#This Row],[Level_0]:[Level 15]]))</f>
        <v>7100000006 - [DAA ERP SERVICES]</v>
      </c>
      <c r="U1715" s="22">
        <v>1710</v>
      </c>
      <c r="W1715" s="13" t="str">
        <f>LOOKUP(1,1/(Table1[[#This Row],[Level_0]:[Level 15]]&gt;0),(Table1[[#This Row],[Level_0]:[Level 15]]))</f>
        <v>7100000006 - [DAA ERP SERVICES]</v>
      </c>
    </row>
    <row r="1716" spans="1:23" hidden="1" x14ac:dyDescent="0.25">
      <c r="A1716">
        <v>7100000001</v>
      </c>
      <c r="B1716" s="16" t="s">
        <v>20653</v>
      </c>
      <c r="C1716" s="16" t="e">
        <f>VLOOKUP(Table1[[#This Row],[Node]],Parent!A:B,2,0)</f>
        <v>#N/A</v>
      </c>
      <c r="D1716" s="25" t="s">
        <v>19346</v>
      </c>
      <c r="E1716" s="26" t="s">
        <v>16544</v>
      </c>
      <c r="F1716" s="27" t="s">
        <v>18177</v>
      </c>
      <c r="G1716" s="27" t="s">
        <v>18201</v>
      </c>
      <c r="H1716" s="27" t="s">
        <v>18219</v>
      </c>
      <c r="I1716" s="27" t="s">
        <v>18224</v>
      </c>
      <c r="J1716" s="27"/>
      <c r="K1716" s="27"/>
      <c r="L1716" s="27"/>
      <c r="N1716" s="27"/>
      <c r="T1716" s="28" t="str">
        <f>LOOKUP(1,1/(Table1[[#This Row],[Level_0]:[Level 15]]&gt;0),(Table1[[#This Row],[Level_0]:[Level 15]]))</f>
        <v>7100000001 - [DAA EWORKPLACE GLO]</v>
      </c>
      <c r="U1716" s="22">
        <v>1711</v>
      </c>
      <c r="W1716" s="13" t="str">
        <f>LOOKUP(1,1/(Table1[[#This Row],[Level_0]:[Level 15]]&gt;0),(Table1[[#This Row],[Level_0]:[Level 15]]))</f>
        <v>7100000001 - [DAA EWORKPLACE GLO]</v>
      </c>
    </row>
    <row r="1717" spans="1:23" hidden="1" x14ac:dyDescent="0.25">
      <c r="A1717">
        <v>180100</v>
      </c>
      <c r="B1717" s="16" t="s">
        <v>19461</v>
      </c>
      <c r="C1717" s="16" t="e">
        <f>VLOOKUP(Table1[[#This Row],[Node]],Parent!A:B,2,0)</f>
        <v>#N/A</v>
      </c>
      <c r="D1717" s="25" t="s">
        <v>19346</v>
      </c>
      <c r="E1717" s="26" t="s">
        <v>16544</v>
      </c>
      <c r="F1717" s="27" t="s">
        <v>18177</v>
      </c>
      <c r="G1717" s="27" t="s">
        <v>18225</v>
      </c>
      <c r="H1717" s="27"/>
      <c r="I1717" s="27"/>
      <c r="J1717" s="27"/>
      <c r="K1717" s="27"/>
      <c r="L1717" s="27"/>
      <c r="N1717" s="27"/>
      <c r="T1717" s="28" t="str">
        <f>LOOKUP(1,1/(Table1[[#This Row],[Level_0]:[Level 15]]&gt;0),(Table1[[#This Row],[Level_0]:[Level 15]]))</f>
        <v>180100 - [IT Costs 3rd party(Network,HW,SW,Lic.)]</v>
      </c>
      <c r="U1717" s="22">
        <v>1712</v>
      </c>
      <c r="W1717" s="13" t="str">
        <f>LOOKUP(1,1/(Table1[[#This Row],[Level_0]:[Level 15]]&gt;0),(Table1[[#This Row],[Level_0]:[Level 15]]))</f>
        <v>180100 - [IT Costs 3rd party(Network,HW,SW,Lic.)]</v>
      </c>
    </row>
    <row r="1718" spans="1:23" hidden="1" x14ac:dyDescent="0.25">
      <c r="A1718">
        <v>180105</v>
      </c>
      <c r="B1718" s="16" t="s">
        <v>19466</v>
      </c>
      <c r="C1718" s="16" t="e">
        <f>VLOOKUP(Table1[[#This Row],[Node]],Parent!A:B,2,0)</f>
        <v>#N/A</v>
      </c>
      <c r="D1718" s="25" t="s">
        <v>19346</v>
      </c>
      <c r="E1718" s="26" t="s">
        <v>16544</v>
      </c>
      <c r="F1718" s="27" t="s">
        <v>18177</v>
      </c>
      <c r="G1718" s="27" t="s">
        <v>18225</v>
      </c>
      <c r="H1718" s="27" t="s">
        <v>18226</v>
      </c>
      <c r="I1718" s="27"/>
      <c r="J1718" s="27"/>
      <c r="K1718" s="27"/>
      <c r="L1718" s="27"/>
      <c r="N1718" s="27"/>
      <c r="T1718" s="28" t="str">
        <f>LOOKUP(1,1/(Table1[[#This Row],[Level_0]:[Level 15]]&gt;0),(Table1[[#This Row],[Level_0]:[Level 15]]))</f>
        <v>180105 - [IT Licenses]</v>
      </c>
      <c r="U1718" s="22">
        <v>1713</v>
      </c>
      <c r="W1718" s="13" t="str">
        <f>LOOKUP(1,1/(Table1[[#This Row],[Level_0]:[Level 15]]&gt;0),(Table1[[#This Row],[Level_0]:[Level 15]]))</f>
        <v>180105 - [IT Licenses]</v>
      </c>
    </row>
    <row r="1719" spans="1:23" hidden="1" x14ac:dyDescent="0.25">
      <c r="A1719">
        <v>5640000000</v>
      </c>
      <c r="B1719" s="16" t="s">
        <v>20386</v>
      </c>
      <c r="C1719" s="16" t="e">
        <f>VLOOKUP(Table1[[#This Row],[Node]],Parent!A:B,2,0)</f>
        <v>#N/A</v>
      </c>
      <c r="D1719" s="25" t="s">
        <v>19346</v>
      </c>
      <c r="E1719" s="26" t="s">
        <v>16544</v>
      </c>
      <c r="F1719" s="27" t="s">
        <v>18177</v>
      </c>
      <c r="G1719" s="27" t="s">
        <v>18225</v>
      </c>
      <c r="H1719" s="27" t="s">
        <v>18226</v>
      </c>
      <c r="I1719" s="27" t="s">
        <v>18227</v>
      </c>
      <c r="J1719" s="27"/>
      <c r="K1719" s="27"/>
      <c r="L1719" s="27"/>
      <c r="N1719" s="27"/>
      <c r="T1719" s="28" t="str">
        <f>LOOKUP(1,1/(Table1[[#This Row],[Level_0]:[Level 15]]&gt;0),(Table1[[#This Row],[Level_0]:[Level 15]]))</f>
        <v>5640000000 - [Application Licenses]</v>
      </c>
      <c r="U1719" s="22">
        <v>1714</v>
      </c>
      <c r="W1719" s="13" t="str">
        <f>LOOKUP(1,1/(Table1[[#This Row],[Level_0]:[Level 15]]&gt;0),(Table1[[#This Row],[Level_0]:[Level 15]]))</f>
        <v>5640000000 - [Application Licenses]</v>
      </c>
    </row>
    <row r="1720" spans="1:23" hidden="1" x14ac:dyDescent="0.25">
      <c r="A1720">
        <v>5631000000</v>
      </c>
      <c r="B1720" s="16" t="s">
        <v>20384</v>
      </c>
      <c r="C1720" s="16" t="e">
        <f>VLOOKUP(Table1[[#This Row],[Node]],Parent!A:B,2,0)</f>
        <v>#N/A</v>
      </c>
      <c r="D1720" s="25" t="s">
        <v>19346</v>
      </c>
      <c r="E1720" s="26" t="s">
        <v>16544</v>
      </c>
      <c r="F1720" s="27" t="s">
        <v>18177</v>
      </c>
      <c r="G1720" s="27" t="s">
        <v>18225</v>
      </c>
      <c r="H1720" s="27" t="s">
        <v>18226</v>
      </c>
      <c r="I1720" s="27" t="s">
        <v>18228</v>
      </c>
      <c r="J1720" s="27"/>
      <c r="K1720" s="27"/>
      <c r="L1720" s="27"/>
      <c r="N1720" s="27"/>
      <c r="T1720" s="28" t="str">
        <f>LOOKUP(1,1/(Table1[[#This Row],[Level_0]:[Level 15]]&gt;0),(Table1[[#This Row],[Level_0]:[Level 15]]))</f>
        <v>5631000000 - [IT Software Purchases]</v>
      </c>
      <c r="U1720" s="22">
        <v>1715</v>
      </c>
      <c r="W1720" s="13" t="str">
        <f>LOOKUP(1,1/(Table1[[#This Row],[Level_0]:[Level 15]]&gt;0),(Table1[[#This Row],[Level_0]:[Level 15]]))</f>
        <v>5631000000 - [IT Software Purchases]</v>
      </c>
    </row>
    <row r="1721" spans="1:23" hidden="1" x14ac:dyDescent="0.25">
      <c r="A1721">
        <v>180104</v>
      </c>
      <c r="B1721" s="16" t="s">
        <v>19465</v>
      </c>
      <c r="C1721" s="16" t="e">
        <f>VLOOKUP(Table1[[#This Row],[Node]],Parent!A:B,2,0)</f>
        <v>#N/A</v>
      </c>
      <c r="D1721" s="25" t="s">
        <v>19346</v>
      </c>
      <c r="E1721" s="26" t="s">
        <v>16544</v>
      </c>
      <c r="F1721" s="27" t="s">
        <v>18177</v>
      </c>
      <c r="G1721" s="27" t="s">
        <v>18225</v>
      </c>
      <c r="H1721" s="27" t="s">
        <v>18229</v>
      </c>
      <c r="I1721" s="27"/>
      <c r="J1721" s="27"/>
      <c r="K1721" s="27"/>
      <c r="L1721" s="27"/>
      <c r="N1721" s="27"/>
      <c r="T1721" s="28" t="str">
        <f>LOOKUP(1,1/(Table1[[#This Row],[Level_0]:[Level 15]]&gt;0),(Table1[[#This Row],[Level_0]:[Level 15]]))</f>
        <v>180104 - [External Service Contracts]</v>
      </c>
      <c r="U1721" s="22">
        <v>1716</v>
      </c>
      <c r="W1721" s="13" t="str">
        <f>LOOKUP(1,1/(Table1[[#This Row],[Level_0]:[Level 15]]&gt;0),(Table1[[#This Row],[Level_0]:[Level 15]]))</f>
        <v>180104 - [External Service Contracts]</v>
      </c>
    </row>
    <row r="1722" spans="1:23" hidden="1" x14ac:dyDescent="0.25">
      <c r="A1722">
        <v>5643000000</v>
      </c>
      <c r="B1722" s="16" t="s">
        <v>20389</v>
      </c>
      <c r="C1722" s="16" t="e">
        <f>VLOOKUP(Table1[[#This Row],[Node]],Parent!A:B,2,0)</f>
        <v>#N/A</v>
      </c>
      <c r="D1722" s="25" t="s">
        <v>19346</v>
      </c>
      <c r="E1722" s="26" t="s">
        <v>16544</v>
      </c>
      <c r="F1722" s="27" t="s">
        <v>18177</v>
      </c>
      <c r="G1722" s="27" t="s">
        <v>18225</v>
      </c>
      <c r="H1722" s="27" t="s">
        <v>18229</v>
      </c>
      <c r="I1722" s="27" t="s">
        <v>18230</v>
      </c>
      <c r="J1722" s="27"/>
      <c r="K1722" s="27"/>
      <c r="L1722" s="27"/>
      <c r="N1722" s="27"/>
      <c r="T1722" s="28" t="str">
        <f>LOOKUP(1,1/(Table1[[#This Row],[Level_0]:[Level 15]]&gt;0),(Table1[[#This Row],[Level_0]:[Level 15]]))</f>
        <v>5643000000 - [Printer Services]</v>
      </c>
      <c r="U1722" s="22">
        <v>1717</v>
      </c>
      <c r="W1722" s="13" t="str">
        <f>LOOKUP(1,1/(Table1[[#This Row],[Level_0]:[Level 15]]&gt;0),(Table1[[#This Row],[Level_0]:[Level 15]]))</f>
        <v>5643000000 - [Printer Services]</v>
      </c>
    </row>
    <row r="1723" spans="1:23" hidden="1" x14ac:dyDescent="0.25">
      <c r="A1723">
        <v>5642000000</v>
      </c>
      <c r="B1723" s="16" t="s">
        <v>20388</v>
      </c>
      <c r="C1723" s="16" t="e">
        <f>VLOOKUP(Table1[[#This Row],[Node]],Parent!A:B,2,0)</f>
        <v>#N/A</v>
      </c>
      <c r="D1723" s="25" t="s">
        <v>19346</v>
      </c>
      <c r="E1723" s="26" t="s">
        <v>16544</v>
      </c>
      <c r="F1723" s="27" t="s">
        <v>18177</v>
      </c>
      <c r="G1723" s="27" t="s">
        <v>18225</v>
      </c>
      <c r="H1723" s="27" t="s">
        <v>18229</v>
      </c>
      <c r="I1723" s="27" t="s">
        <v>18231</v>
      </c>
      <c r="J1723" s="27"/>
      <c r="K1723" s="27"/>
      <c r="L1723" s="27"/>
      <c r="N1723" s="27"/>
      <c r="T1723" s="28" t="str">
        <f>LOOKUP(1,1/(Table1[[#This Row],[Level_0]:[Level 15]]&gt;0),(Table1[[#This Row],[Level_0]:[Level 15]]))</f>
        <v>5642000000 - [IT Service Contracts]</v>
      </c>
      <c r="U1723" s="22">
        <v>1718</v>
      </c>
      <c r="W1723" s="13" t="str">
        <f>LOOKUP(1,1/(Table1[[#This Row],[Level_0]:[Level 15]]&gt;0),(Table1[[#This Row],[Level_0]:[Level 15]]))</f>
        <v>5642000000 - [IT Service Contracts]</v>
      </c>
    </row>
    <row r="1724" spans="1:23" hidden="1" x14ac:dyDescent="0.25">
      <c r="A1724">
        <v>5641000000</v>
      </c>
      <c r="B1724" s="16" t="s">
        <v>20387</v>
      </c>
      <c r="C1724" s="16" t="e">
        <f>VLOOKUP(Table1[[#This Row],[Node]],Parent!A:B,2,0)</f>
        <v>#N/A</v>
      </c>
      <c r="D1724" s="25" t="s">
        <v>19346</v>
      </c>
      <c r="E1724" s="26" t="s">
        <v>16544</v>
      </c>
      <c r="F1724" s="27" t="s">
        <v>18177</v>
      </c>
      <c r="G1724" s="27" t="s">
        <v>18225</v>
      </c>
      <c r="H1724" s="27" t="s">
        <v>18229</v>
      </c>
      <c r="I1724" s="27" t="s">
        <v>18232</v>
      </c>
      <c r="J1724" s="27"/>
      <c r="K1724" s="27"/>
      <c r="L1724" s="27"/>
      <c r="N1724" s="27"/>
      <c r="T1724" s="28" t="str">
        <f>LOOKUP(1,1/(Table1[[#This Row],[Level_0]:[Level 15]]&gt;0),(Table1[[#This Row],[Level_0]:[Level 15]]))</f>
        <v>5641000000 - [Application Services]</v>
      </c>
      <c r="U1724" s="22">
        <v>1719</v>
      </c>
      <c r="W1724" s="13" t="str">
        <f>LOOKUP(1,1/(Table1[[#This Row],[Level_0]:[Level 15]]&gt;0),(Table1[[#This Row],[Level_0]:[Level 15]]))</f>
        <v>5641000000 - [Application Services]</v>
      </c>
    </row>
    <row r="1725" spans="1:23" hidden="1" x14ac:dyDescent="0.25">
      <c r="A1725">
        <v>180103</v>
      </c>
      <c r="B1725" s="16" t="s">
        <v>19464</v>
      </c>
      <c r="C1725" s="16" t="e">
        <f>VLOOKUP(Table1[[#This Row],[Node]],Parent!A:B,2,0)</f>
        <v>#N/A</v>
      </c>
      <c r="D1725" s="25" t="s">
        <v>19346</v>
      </c>
      <c r="E1725" s="26" t="s">
        <v>16544</v>
      </c>
      <c r="F1725" s="27" t="s">
        <v>18177</v>
      </c>
      <c r="G1725" s="27" t="s">
        <v>18225</v>
      </c>
      <c r="H1725" s="27" t="s">
        <v>18233</v>
      </c>
      <c r="I1725" s="27"/>
      <c r="J1725" s="27"/>
      <c r="K1725" s="27"/>
      <c r="L1725" s="27"/>
      <c r="N1725" s="27"/>
      <c r="T1725" s="28" t="str">
        <f>LOOKUP(1,1/(Table1[[#This Row],[Level_0]:[Level 15]]&gt;0),(Table1[[#This Row],[Level_0]:[Level 15]]))</f>
        <v>180103 - [Hard- and Software]</v>
      </c>
      <c r="U1725" s="22">
        <v>1720</v>
      </c>
      <c r="W1725" s="13" t="str">
        <f>LOOKUP(1,1/(Table1[[#This Row],[Level_0]:[Level 15]]&gt;0),(Table1[[#This Row],[Level_0]:[Level 15]]))</f>
        <v>180103 - [Hard- and Software]</v>
      </c>
    </row>
    <row r="1726" spans="1:23" hidden="1" x14ac:dyDescent="0.25">
      <c r="A1726">
        <v>5632000000</v>
      </c>
      <c r="B1726" s="16" t="s">
        <v>20385</v>
      </c>
      <c r="C1726" s="16" t="e">
        <f>VLOOKUP(Table1[[#This Row],[Node]],Parent!A:B,2,0)</f>
        <v>#N/A</v>
      </c>
      <c r="D1726" s="25" t="s">
        <v>19346</v>
      </c>
      <c r="E1726" s="26" t="s">
        <v>16544</v>
      </c>
      <c r="F1726" s="27" t="s">
        <v>18177</v>
      </c>
      <c r="G1726" s="27" t="s">
        <v>18225</v>
      </c>
      <c r="H1726" s="27" t="s">
        <v>18233</v>
      </c>
      <c r="I1726" s="27" t="s">
        <v>18234</v>
      </c>
      <c r="J1726" s="27"/>
      <c r="K1726" s="27"/>
      <c r="L1726" s="27"/>
      <c r="N1726" s="27"/>
      <c r="T1726" s="28" t="str">
        <f>LOOKUP(1,1/(Table1[[#This Row],[Level_0]:[Level 15]]&gt;0),(Table1[[#This Row],[Level_0]:[Level 15]]))</f>
        <v>5632000000 - [IT Hardware Rentals]</v>
      </c>
      <c r="U1726" s="22">
        <v>1721</v>
      </c>
      <c r="W1726" s="13" t="str">
        <f>LOOKUP(1,1/(Table1[[#This Row],[Level_0]:[Level 15]]&gt;0),(Table1[[#This Row],[Level_0]:[Level 15]]))</f>
        <v>5632000000 - [IT Hardware Rentals]</v>
      </c>
    </row>
    <row r="1727" spans="1:23" hidden="1" x14ac:dyDescent="0.25">
      <c r="A1727">
        <v>5630000000</v>
      </c>
      <c r="B1727" s="16" t="s">
        <v>20383</v>
      </c>
      <c r="C1727" s="16" t="e">
        <f>VLOOKUP(Table1[[#This Row],[Node]],Parent!A:B,2,0)</f>
        <v>#N/A</v>
      </c>
      <c r="D1727" s="25" t="s">
        <v>19346</v>
      </c>
      <c r="E1727" s="26" t="s">
        <v>16544</v>
      </c>
      <c r="F1727" s="27" t="s">
        <v>18177</v>
      </c>
      <c r="G1727" s="27" t="s">
        <v>18225</v>
      </c>
      <c r="H1727" s="27" t="s">
        <v>18233</v>
      </c>
      <c r="I1727" s="27" t="s">
        <v>18235</v>
      </c>
      <c r="J1727" s="27"/>
      <c r="K1727" s="27"/>
      <c r="L1727" s="27"/>
      <c r="N1727" s="27"/>
      <c r="T1727" s="28" t="str">
        <f>LOOKUP(1,1/(Table1[[#This Row],[Level_0]:[Level 15]]&gt;0),(Table1[[#This Row],[Level_0]:[Level 15]]))</f>
        <v>5630000000 - [IT Hardware Purchases]</v>
      </c>
      <c r="U1727" s="22">
        <v>1722</v>
      </c>
      <c r="W1727" s="13" t="str">
        <f>LOOKUP(1,1/(Table1[[#This Row],[Level_0]:[Level 15]]&gt;0),(Table1[[#This Row],[Level_0]:[Level 15]]))</f>
        <v>5630000000 - [IT Hardware Purchases]</v>
      </c>
    </row>
    <row r="1728" spans="1:23" hidden="1" x14ac:dyDescent="0.25">
      <c r="A1728">
        <v>180102</v>
      </c>
      <c r="B1728" s="16" t="s">
        <v>19463</v>
      </c>
      <c r="C1728" s="16" t="e">
        <f>VLOOKUP(Table1[[#This Row],[Node]],Parent!A:B,2,0)</f>
        <v>#N/A</v>
      </c>
      <c r="D1728" s="25" t="s">
        <v>19346</v>
      </c>
      <c r="E1728" s="26" t="s">
        <v>16544</v>
      </c>
      <c r="F1728" s="27" t="s">
        <v>18177</v>
      </c>
      <c r="G1728" s="27" t="s">
        <v>18225</v>
      </c>
      <c r="H1728" s="27" t="s">
        <v>18236</v>
      </c>
      <c r="I1728" s="27"/>
      <c r="J1728" s="27"/>
      <c r="K1728" s="27"/>
      <c r="L1728" s="27"/>
      <c r="N1728" s="27"/>
      <c r="T1728" s="28" t="str">
        <f>LOOKUP(1,1/(Table1[[#This Row],[Level_0]:[Level 15]]&gt;0),(Table1[[#This Row],[Level_0]:[Level 15]]))</f>
        <v>180102 - [IT Contracting Services]</v>
      </c>
      <c r="U1728" s="22">
        <v>1723</v>
      </c>
      <c r="W1728" s="13" t="str">
        <f>LOOKUP(1,1/(Table1[[#This Row],[Level_0]:[Level 15]]&gt;0),(Table1[[#This Row],[Level_0]:[Level 15]]))</f>
        <v>180102 - [IT Contracting Services]</v>
      </c>
    </row>
    <row r="1729" spans="1:23" hidden="1" x14ac:dyDescent="0.25">
      <c r="A1729">
        <v>5620000000</v>
      </c>
      <c r="B1729" s="16" t="s">
        <v>20381</v>
      </c>
      <c r="C1729" s="16" t="e">
        <f>VLOOKUP(Table1[[#This Row],[Node]],Parent!A:B,2,0)</f>
        <v>#N/A</v>
      </c>
      <c r="D1729" s="25" t="s">
        <v>19346</v>
      </c>
      <c r="E1729" s="26" t="s">
        <v>16544</v>
      </c>
      <c r="F1729" s="27" t="s">
        <v>18177</v>
      </c>
      <c r="G1729" s="27" t="s">
        <v>18225</v>
      </c>
      <c r="H1729" s="27" t="s">
        <v>18236</v>
      </c>
      <c r="I1729" s="27" t="s">
        <v>18237</v>
      </c>
      <c r="J1729" s="27"/>
      <c r="K1729" s="27"/>
      <c r="L1729" s="27"/>
      <c r="N1729" s="27"/>
      <c r="T1729" s="28" t="str">
        <f>LOOKUP(1,1/(Table1[[#This Row],[Level_0]:[Level 15]]&gt;0),(Table1[[#This Row],[Level_0]:[Level 15]]))</f>
        <v>5620000000 - [IT Consulting]</v>
      </c>
      <c r="U1729" s="22">
        <v>1724</v>
      </c>
      <c r="W1729" s="13" t="str">
        <f>LOOKUP(1,1/(Table1[[#This Row],[Level_0]:[Level 15]]&gt;0),(Table1[[#This Row],[Level_0]:[Level 15]]))</f>
        <v>5620000000 - [IT Consulting]</v>
      </c>
    </row>
    <row r="1730" spans="1:23" hidden="1" x14ac:dyDescent="0.25">
      <c r="A1730">
        <v>180101</v>
      </c>
      <c r="B1730" s="16" t="s">
        <v>19462</v>
      </c>
      <c r="C1730" s="16" t="e">
        <f>VLOOKUP(Table1[[#This Row],[Node]],Parent!A:B,2,0)</f>
        <v>#N/A</v>
      </c>
      <c r="D1730" s="25" t="s">
        <v>19346</v>
      </c>
      <c r="E1730" s="26" t="s">
        <v>16544</v>
      </c>
      <c r="F1730" s="27" t="s">
        <v>18177</v>
      </c>
      <c r="G1730" s="27" t="s">
        <v>18225</v>
      </c>
      <c r="H1730" s="27" t="s">
        <v>18238</v>
      </c>
      <c r="I1730" s="27"/>
      <c r="J1730" s="27"/>
      <c r="K1730" s="27"/>
      <c r="L1730" s="27"/>
      <c r="N1730" s="27"/>
      <c r="T1730" s="28" t="str">
        <f>LOOKUP(1,1/(Table1[[#This Row],[Level_0]:[Level 15]]&gt;0),(Table1[[#This Row],[Level_0]:[Level 15]]))</f>
        <v>180101 - [Network / Telecommunication]</v>
      </c>
      <c r="U1730" s="22">
        <v>1725</v>
      </c>
      <c r="W1730" s="13" t="str">
        <f>LOOKUP(1,1/(Table1[[#This Row],[Level_0]:[Level 15]]&gt;0),(Table1[[#This Row],[Level_0]:[Level 15]]))</f>
        <v>180101 - [Network / Telecommunication]</v>
      </c>
    </row>
    <row r="1731" spans="1:23" hidden="1" x14ac:dyDescent="0.25">
      <c r="A1731">
        <v>5610000000</v>
      </c>
      <c r="B1731" s="16" t="s">
        <v>20380</v>
      </c>
      <c r="C1731" s="16" t="e">
        <f>VLOOKUP(Table1[[#This Row],[Node]],Parent!A:B,2,0)</f>
        <v>#N/A</v>
      </c>
      <c r="D1731" s="25" t="s">
        <v>19346</v>
      </c>
      <c r="E1731" s="26" t="s">
        <v>16544</v>
      </c>
      <c r="F1731" s="27" t="s">
        <v>18177</v>
      </c>
      <c r="G1731" s="27" t="s">
        <v>18225</v>
      </c>
      <c r="H1731" s="27" t="s">
        <v>18238</v>
      </c>
      <c r="I1731" s="27" t="s">
        <v>18239</v>
      </c>
      <c r="J1731" s="27"/>
      <c r="K1731" s="27"/>
      <c r="L1731" s="27"/>
      <c r="N1731" s="27"/>
      <c r="T1731" s="28" t="str">
        <f>LOOKUP(1,1/(Table1[[#This Row],[Level_0]:[Level 15]]&gt;0),(Table1[[#This Row],[Level_0]:[Level 15]]))</f>
        <v>5610000000 - [Network Expenses]</v>
      </c>
      <c r="U1731" s="22">
        <v>1726</v>
      </c>
      <c r="W1731" s="13" t="str">
        <f>LOOKUP(1,1/(Table1[[#This Row],[Level_0]:[Level 15]]&gt;0),(Table1[[#This Row],[Level_0]:[Level 15]]))</f>
        <v>5610000000 - [Network Expenses]</v>
      </c>
    </row>
    <row r="1732" spans="1:23" hidden="1" x14ac:dyDescent="0.25">
      <c r="A1732">
        <v>5600000001</v>
      </c>
      <c r="B1732" s="16" t="s">
        <v>20379</v>
      </c>
      <c r="C1732" s="16" t="e">
        <f>VLOOKUP(Table1[[#This Row],[Node]],Parent!A:B,2,0)</f>
        <v>#N/A</v>
      </c>
      <c r="D1732" s="25" t="s">
        <v>19346</v>
      </c>
      <c r="E1732" s="26" t="s">
        <v>16544</v>
      </c>
      <c r="F1732" s="27" t="s">
        <v>18177</v>
      </c>
      <c r="G1732" s="27" t="s">
        <v>18225</v>
      </c>
      <c r="H1732" s="27" t="s">
        <v>18238</v>
      </c>
      <c r="I1732" s="27" t="s">
        <v>18240</v>
      </c>
      <c r="J1732" s="27"/>
      <c r="K1732" s="27"/>
      <c r="L1732" s="27"/>
      <c r="N1732" s="27"/>
      <c r="T1732" s="28" t="str">
        <f>LOOKUP(1,1/(Table1[[#This Row],[Level_0]:[Level 15]]&gt;0),(Table1[[#This Row],[Level_0]:[Level 15]]))</f>
        <v>5600000001 - [Telecommunication Expenses - Mobile]</v>
      </c>
      <c r="U1732" s="22">
        <v>1727</v>
      </c>
      <c r="W1732" s="13" t="str">
        <f>LOOKUP(1,1/(Table1[[#This Row],[Level_0]:[Level 15]]&gt;0),(Table1[[#This Row],[Level_0]:[Level 15]]))</f>
        <v>5600000001 - [Telecommunication Expenses - Mobile]</v>
      </c>
    </row>
    <row r="1733" spans="1:23" hidden="1" x14ac:dyDescent="0.25">
      <c r="A1733">
        <v>5600000000</v>
      </c>
      <c r="B1733" s="16" t="s">
        <v>20378</v>
      </c>
      <c r="C1733" s="16" t="e">
        <f>VLOOKUP(Table1[[#This Row],[Node]],Parent!A:B,2,0)</f>
        <v>#N/A</v>
      </c>
      <c r="D1733" s="25" t="s">
        <v>19346</v>
      </c>
      <c r="E1733" s="26" t="s">
        <v>16544</v>
      </c>
      <c r="F1733" s="27" t="s">
        <v>18177</v>
      </c>
      <c r="G1733" s="27" t="s">
        <v>18225</v>
      </c>
      <c r="H1733" s="27" t="s">
        <v>18238</v>
      </c>
      <c r="I1733" s="27" t="s">
        <v>18241</v>
      </c>
      <c r="J1733" s="27"/>
      <c r="K1733" s="27"/>
      <c r="L1733" s="27"/>
      <c r="N1733" s="27"/>
      <c r="T1733" s="28" t="str">
        <f>LOOKUP(1,1/(Table1[[#This Row],[Level_0]:[Level 15]]&gt;0),(Table1[[#This Row],[Level_0]:[Level 15]]))</f>
        <v>5600000000 - [Telecommunication Expenses]</v>
      </c>
      <c r="U1733" s="22">
        <v>1728</v>
      </c>
      <c r="W1733" s="13" t="str">
        <f>LOOKUP(1,1/(Table1[[#This Row],[Level_0]:[Level 15]]&gt;0),(Table1[[#This Row],[Level_0]:[Level 15]]))</f>
        <v>5600000000 - [Telecommunication Expenses]</v>
      </c>
    </row>
    <row r="1734" spans="1:23" hidden="1" x14ac:dyDescent="0.25">
      <c r="A1734">
        <v>170000</v>
      </c>
      <c r="B1734" s="16" t="s">
        <v>16445</v>
      </c>
      <c r="C1734" s="16" t="e">
        <f>VLOOKUP(Table1[[#This Row],[Node]],Parent!A:B,2,0)</f>
        <v>#N/A</v>
      </c>
      <c r="D1734" s="25" t="s">
        <v>19346</v>
      </c>
      <c r="E1734" s="26" t="s">
        <v>16544</v>
      </c>
      <c r="F1734" s="27" t="s">
        <v>18242</v>
      </c>
      <c r="G1734" s="27"/>
      <c r="H1734" s="27"/>
      <c r="I1734" s="27"/>
      <c r="J1734" s="27"/>
      <c r="K1734" s="27"/>
      <c r="L1734" s="27"/>
      <c r="N1734" s="27"/>
      <c r="T1734" s="28" t="str">
        <f>LOOKUP(1,1/(Table1[[#This Row],[Level_0]:[Level 15]]&gt;0),(Table1[[#This Row],[Level_0]:[Level 15]]))</f>
        <v>170000 - [Research &amp; Development]</v>
      </c>
      <c r="U1734" s="22">
        <v>1729</v>
      </c>
      <c r="W1734" s="13" t="str">
        <f>LOOKUP(1,1/(Table1[[#This Row],[Level_0]:[Level 15]]&gt;0),(Table1[[#This Row],[Level_0]:[Level 15]]))</f>
        <v>170000 - [Research &amp; Development]</v>
      </c>
    </row>
    <row r="1735" spans="1:23" hidden="1" x14ac:dyDescent="0.25">
      <c r="A1735">
        <v>170500</v>
      </c>
      <c r="B1735" s="16" t="s">
        <v>19457</v>
      </c>
      <c r="C1735" s="16" t="e">
        <f>VLOOKUP(Table1[[#This Row],[Node]],Parent!A:B,2,0)</f>
        <v>#N/A</v>
      </c>
      <c r="D1735" s="25" t="s">
        <v>19346</v>
      </c>
      <c r="E1735" s="26" t="s">
        <v>16544</v>
      </c>
      <c r="F1735" s="27" t="s">
        <v>18242</v>
      </c>
      <c r="G1735" s="27" t="s">
        <v>18243</v>
      </c>
      <c r="H1735" s="27"/>
      <c r="I1735" s="27"/>
      <c r="J1735" s="27"/>
      <c r="K1735" s="27"/>
      <c r="L1735" s="27"/>
      <c r="N1735" s="27"/>
      <c r="T1735" s="28" t="str">
        <f>LOOKUP(1,1/(Table1[[#This Row],[Level_0]:[Level 15]]&gt;0),(Table1[[#This Row],[Level_0]:[Level 15]]))</f>
        <v>170500 - [R&amp;D Intercompany Business]</v>
      </c>
      <c r="U1735" s="22">
        <v>1730</v>
      </c>
      <c r="W1735" s="13" t="str">
        <f>LOOKUP(1,1/(Table1[[#This Row],[Level_0]:[Level 15]]&gt;0),(Table1[[#This Row],[Level_0]:[Level 15]]))</f>
        <v>170500 - [R&amp;D Intercompany Business]</v>
      </c>
    </row>
    <row r="1736" spans="1:23" hidden="1" x14ac:dyDescent="0.25">
      <c r="A1736">
        <v>170502</v>
      </c>
      <c r="B1736" s="16" t="s">
        <v>19459</v>
      </c>
      <c r="C1736" s="16" t="e">
        <f>VLOOKUP(Table1[[#This Row],[Node]],Parent!A:B,2,0)</f>
        <v>#N/A</v>
      </c>
      <c r="D1736" s="25" t="s">
        <v>19346</v>
      </c>
      <c r="E1736" s="26" t="s">
        <v>16544</v>
      </c>
      <c r="F1736" s="27" t="s">
        <v>18242</v>
      </c>
      <c r="G1736" s="27" t="s">
        <v>18243</v>
      </c>
      <c r="H1736" s="27" t="s">
        <v>18244</v>
      </c>
      <c r="I1736" s="27"/>
      <c r="J1736" s="27"/>
      <c r="K1736" s="27"/>
      <c r="L1736" s="27"/>
      <c r="N1736" s="27"/>
      <c r="T1736" s="28" t="str">
        <f>LOOKUP(1,1/(Table1[[#This Row],[Level_0]:[Level 15]]&gt;0),(Table1[[#This Row],[Level_0]:[Level 15]]))</f>
        <v>170502 - [R&amp;D Intra Group Services]</v>
      </c>
      <c r="U1736" s="22">
        <v>1731</v>
      </c>
      <c r="W1736" s="13" t="str">
        <f>LOOKUP(1,1/(Table1[[#This Row],[Level_0]:[Level 15]]&gt;0),(Table1[[#This Row],[Level_0]:[Level 15]]))</f>
        <v>170502 - [R&amp;D Intra Group Services]</v>
      </c>
    </row>
    <row r="1737" spans="1:23" hidden="1" x14ac:dyDescent="0.25">
      <c r="A1737">
        <v>7400000001</v>
      </c>
      <c r="B1737" s="16" t="s">
        <v>21016</v>
      </c>
      <c r="C1737" s="16" t="e">
        <f>VLOOKUP(Table1[[#This Row],[Node]],Parent!A:B,2,0)</f>
        <v>#N/A</v>
      </c>
      <c r="D1737" s="25" t="s">
        <v>19346</v>
      </c>
      <c r="E1737" s="26" t="s">
        <v>16544</v>
      </c>
      <c r="F1737" s="27" t="s">
        <v>18242</v>
      </c>
      <c r="G1737" s="27" t="s">
        <v>18243</v>
      </c>
      <c r="H1737" s="27" t="s">
        <v>18244</v>
      </c>
      <c r="I1737" s="27" t="s">
        <v>18245</v>
      </c>
      <c r="J1737" s="27"/>
      <c r="K1737" s="27"/>
      <c r="L1737" s="27"/>
      <c r="N1737" s="27"/>
      <c r="T1737" s="28" t="str">
        <f>LOOKUP(1,1/(Table1[[#This Row],[Level_0]:[Level 15]]&gt;0),(Table1[[#This Row],[Level_0]:[Level 15]]))</f>
        <v>7400000001 - [DAA R&amp;D Pha hours to non HC Business]</v>
      </c>
      <c r="U1737" s="22">
        <v>1732</v>
      </c>
      <c r="W1737" s="13" t="str">
        <f>LOOKUP(1,1/(Table1[[#This Row],[Level_0]:[Level 15]]&gt;0),(Table1[[#This Row],[Level_0]:[Level 15]]))</f>
        <v>7400000001 - [DAA R&amp;D Pha hours to non HC Business]</v>
      </c>
    </row>
    <row r="1738" spans="1:23" hidden="1" x14ac:dyDescent="0.25">
      <c r="A1738">
        <v>5771360000</v>
      </c>
      <c r="B1738" s="16" t="s">
        <v>20457</v>
      </c>
      <c r="C1738" s="16" t="e">
        <f>VLOOKUP(Table1[[#This Row],[Node]],Parent!A:B,2,0)</f>
        <v>#N/A</v>
      </c>
      <c r="D1738" s="25" t="s">
        <v>19346</v>
      </c>
      <c r="E1738" s="26" t="s">
        <v>16544</v>
      </c>
      <c r="F1738" s="27" t="s">
        <v>18242</v>
      </c>
      <c r="G1738" s="27" t="s">
        <v>18243</v>
      </c>
      <c r="H1738" s="27" t="s">
        <v>18244</v>
      </c>
      <c r="I1738" s="27" t="s">
        <v>18246</v>
      </c>
      <c r="J1738" s="27"/>
      <c r="K1738" s="27"/>
      <c r="L1738" s="27"/>
      <c r="N1738" s="27"/>
      <c r="T1738" s="28" t="str">
        <f>LOOKUP(1,1/(Table1[[#This Row],[Level_0]:[Level 15]]&gt;0),(Table1[[#This Row],[Level_0]:[Level 15]]))</f>
        <v>5771360000 - [IC EXP - EL - Gas react._pilot scale]</v>
      </c>
      <c r="U1738" s="22">
        <v>1733</v>
      </c>
      <c r="W1738" s="13" t="str">
        <f>LOOKUP(1,1/(Table1[[#This Row],[Level_0]:[Level 15]]&gt;0),(Table1[[#This Row],[Level_0]:[Level 15]]))</f>
        <v>5771360000 - [IC EXP - EL - Gas react._pilot scale]</v>
      </c>
    </row>
    <row r="1739" spans="1:23" hidden="1" x14ac:dyDescent="0.25">
      <c r="A1739">
        <v>5771290000</v>
      </c>
      <c r="B1739" s="16" t="s">
        <v>20456</v>
      </c>
      <c r="C1739" s="16" t="e">
        <f>VLOOKUP(Table1[[#This Row],[Node]],Parent!A:B,2,0)</f>
        <v>#N/A</v>
      </c>
      <c r="D1739" s="25" t="s">
        <v>19346</v>
      </c>
      <c r="E1739" s="26" t="s">
        <v>16544</v>
      </c>
      <c r="F1739" s="27" t="s">
        <v>18242</v>
      </c>
      <c r="G1739" s="27" t="s">
        <v>18243</v>
      </c>
      <c r="H1739" s="27" t="s">
        <v>18244</v>
      </c>
      <c r="I1739" s="27" t="s">
        <v>18247</v>
      </c>
      <c r="J1739" s="27"/>
      <c r="K1739" s="27"/>
      <c r="L1739" s="27"/>
      <c r="N1739" s="27"/>
      <c r="T1739" s="28" t="str">
        <f>LOOKUP(1,1/(Table1[[#This Row],[Level_0]:[Level 15]]&gt;0),(Table1[[#This Row],[Level_0]:[Level 15]]))</f>
        <v>5771290000 - [IC EXP - EL - Invest. material fail.]</v>
      </c>
      <c r="U1739" s="22">
        <v>1734</v>
      </c>
      <c r="W1739" s="13" t="str">
        <f>LOOKUP(1,1/(Table1[[#This Row],[Level_0]:[Level 15]]&gt;0),(Table1[[#This Row],[Level_0]:[Level 15]]))</f>
        <v>5771290000 - [IC EXP - EL - Invest. material fail.]</v>
      </c>
    </row>
    <row r="1740" spans="1:23" hidden="1" x14ac:dyDescent="0.25">
      <c r="A1740">
        <v>5771210000</v>
      </c>
      <c r="B1740" s="16" t="s">
        <v>20453</v>
      </c>
      <c r="C1740" s="16" t="e">
        <f>VLOOKUP(Table1[[#This Row],[Node]],Parent!A:B,2,0)</f>
        <v>#N/A</v>
      </c>
      <c r="D1740" s="25" t="s">
        <v>19346</v>
      </c>
      <c r="E1740" s="26" t="s">
        <v>16544</v>
      </c>
      <c r="F1740" s="27" t="s">
        <v>18242</v>
      </c>
      <c r="G1740" s="27" t="s">
        <v>18243</v>
      </c>
      <c r="H1740" s="27" t="s">
        <v>18244</v>
      </c>
      <c r="I1740" s="27" t="s">
        <v>18248</v>
      </c>
      <c r="J1740" s="27"/>
      <c r="K1740" s="27"/>
      <c r="L1740" s="27"/>
      <c r="N1740" s="27"/>
      <c r="T1740" s="28" t="str">
        <f>LOOKUP(1,1/(Table1[[#This Row],[Level_0]:[Level 15]]&gt;0),(Table1[[#This Row],[Level_0]:[Level 15]]))</f>
        <v>5771210000 - [IC EXP - EL - OT Services]</v>
      </c>
      <c r="U1740" s="22">
        <v>1735</v>
      </c>
      <c r="W1740" s="13" t="str">
        <f>LOOKUP(1,1/(Table1[[#This Row],[Level_0]:[Level 15]]&gt;0),(Table1[[#This Row],[Level_0]:[Level 15]]))</f>
        <v>5771210000 - [IC EXP - EL - OT Services]</v>
      </c>
    </row>
    <row r="1741" spans="1:23" hidden="1" x14ac:dyDescent="0.25">
      <c r="A1741">
        <v>5771220000</v>
      </c>
      <c r="B1741" s="16" t="s">
        <v>20454</v>
      </c>
      <c r="C1741" s="16" t="e">
        <f>VLOOKUP(Table1[[#This Row],[Node]],Parent!A:B,2,0)</f>
        <v>#N/A</v>
      </c>
      <c r="D1741" s="25" t="s">
        <v>19346</v>
      </c>
      <c r="E1741" s="26" t="s">
        <v>16544</v>
      </c>
      <c r="F1741" s="27" t="s">
        <v>18242</v>
      </c>
      <c r="G1741" s="27" t="s">
        <v>18243</v>
      </c>
      <c r="H1741" s="27" t="s">
        <v>18244</v>
      </c>
      <c r="I1741" s="27" t="s">
        <v>18249</v>
      </c>
      <c r="J1741" s="27"/>
      <c r="K1741" s="27"/>
      <c r="L1741" s="27"/>
      <c r="N1741" s="27"/>
      <c r="T1741" s="28" t="str">
        <f>LOOKUP(1,1/(Table1[[#This Row],[Level_0]:[Level 15]]&gt;0),(Table1[[#This Row],[Level_0]:[Level 15]]))</f>
        <v>5771220000 - [IC EXP - EL - OT Pass-through]</v>
      </c>
      <c r="U1741" s="22">
        <v>1736</v>
      </c>
      <c r="W1741" s="13" t="str">
        <f>LOOKUP(1,1/(Table1[[#This Row],[Level_0]:[Level 15]]&gt;0),(Table1[[#This Row],[Level_0]:[Level 15]]))</f>
        <v>5771220000 - [IC EXP - EL - OT Pass-through]</v>
      </c>
    </row>
    <row r="1742" spans="1:23" hidden="1" x14ac:dyDescent="0.25">
      <c r="A1742">
        <v>5772400000</v>
      </c>
      <c r="B1742" s="16" t="s">
        <v>20467</v>
      </c>
      <c r="C1742" s="16" t="e">
        <f>VLOOKUP(Table1[[#This Row],[Node]],Parent!A:B,2,0)</f>
        <v>#N/A</v>
      </c>
      <c r="D1742" s="25" t="s">
        <v>19346</v>
      </c>
      <c r="E1742" s="26" t="s">
        <v>16544</v>
      </c>
      <c r="F1742" s="27" t="s">
        <v>18242</v>
      </c>
      <c r="G1742" s="27" t="s">
        <v>18243</v>
      </c>
      <c r="H1742" s="27" t="s">
        <v>18244</v>
      </c>
      <c r="I1742" s="27" t="s">
        <v>18250</v>
      </c>
      <c r="J1742" s="27"/>
      <c r="K1742" s="27"/>
      <c r="L1742" s="27"/>
      <c r="N1742" s="27"/>
      <c r="T1742" s="28" t="str">
        <f>LOOKUP(1,1/(Table1[[#This Row],[Level_0]:[Level 15]]&gt;0),(Table1[[#This Row],[Level_0]:[Level 15]]))</f>
        <v>5772400000 - [IC EXP - HC - True-up/Mark-up]</v>
      </c>
      <c r="U1742" s="22">
        <v>1737</v>
      </c>
      <c r="W1742" s="13" t="str">
        <f>LOOKUP(1,1/(Table1[[#This Row],[Level_0]:[Level 15]]&gt;0),(Table1[[#This Row],[Level_0]:[Level 15]]))</f>
        <v>5772400000 - [IC EXP - HC - True-up/Mark-up]</v>
      </c>
    </row>
    <row r="1743" spans="1:23" hidden="1" x14ac:dyDescent="0.25">
      <c r="A1743">
        <v>5772050000</v>
      </c>
      <c r="B1743" s="16" t="s">
        <v>20464</v>
      </c>
      <c r="C1743" s="16" t="e">
        <f>VLOOKUP(Table1[[#This Row],[Node]],Parent!A:B,2,0)</f>
        <v>#N/A</v>
      </c>
      <c r="D1743" s="25" t="s">
        <v>19346</v>
      </c>
      <c r="E1743" s="26" t="s">
        <v>16544</v>
      </c>
      <c r="F1743" s="27" t="s">
        <v>18242</v>
      </c>
      <c r="G1743" s="27" t="s">
        <v>18243</v>
      </c>
      <c r="H1743" s="27" t="s">
        <v>18244</v>
      </c>
      <c r="I1743" s="27" t="s">
        <v>18251</v>
      </c>
      <c r="J1743" s="27"/>
      <c r="K1743" s="27"/>
      <c r="L1743" s="27"/>
      <c r="N1743" s="27"/>
      <c r="T1743" s="28" t="str">
        <f>LOOKUP(1,1/(Table1[[#This Row],[Level_0]:[Level 15]]&gt;0),(Table1[[#This Row],[Level_0]:[Level 15]]))</f>
        <v>5772050000 - [IC EXP - HC - Application/Data Mgmnt]</v>
      </c>
      <c r="U1743" s="22">
        <v>1738</v>
      </c>
      <c r="W1743" s="13" t="str">
        <f>LOOKUP(1,1/(Table1[[#This Row],[Level_0]:[Level 15]]&gt;0),(Table1[[#This Row],[Level_0]:[Level 15]]))</f>
        <v>5772050000 - [IC EXP - HC - Application/Data Mgmnt]</v>
      </c>
    </row>
    <row r="1744" spans="1:23" hidden="1" x14ac:dyDescent="0.25">
      <c r="A1744">
        <v>5772070000</v>
      </c>
      <c r="B1744" s="16" t="s">
        <v>20466</v>
      </c>
      <c r="C1744" s="16" t="e">
        <f>VLOOKUP(Table1[[#This Row],[Node]],Parent!A:B,2,0)</f>
        <v>#N/A</v>
      </c>
      <c r="D1744" s="25" t="s">
        <v>19346</v>
      </c>
      <c r="E1744" s="26" t="s">
        <v>16544</v>
      </c>
      <c r="F1744" s="27" t="s">
        <v>18242</v>
      </c>
      <c r="G1744" s="27" t="s">
        <v>18243</v>
      </c>
      <c r="H1744" s="27" t="s">
        <v>18244</v>
      </c>
      <c r="I1744" s="27" t="s">
        <v>18252</v>
      </c>
      <c r="J1744" s="27"/>
      <c r="K1744" s="27"/>
      <c r="L1744" s="27"/>
      <c r="N1744" s="27"/>
      <c r="T1744" s="28" t="str">
        <f>LOOKUP(1,1/(Table1[[#This Row],[Level_0]:[Level 15]]&gt;0),(Table1[[#This Row],[Level_0]:[Level 15]]))</f>
        <v>5772070000 - [IC EXP - HC - Toxicological R&amp;D (ext)]</v>
      </c>
      <c r="U1744" s="22">
        <v>1739</v>
      </c>
      <c r="W1744" s="13" t="str">
        <f>LOOKUP(1,1/(Table1[[#This Row],[Level_0]:[Level 15]]&gt;0),(Table1[[#This Row],[Level_0]:[Level 15]]))</f>
        <v>5772070000 - [IC EXP - HC - Toxicological R&amp;D (ext)]</v>
      </c>
    </row>
    <row r="1745" spans="1:23" hidden="1" x14ac:dyDescent="0.25">
      <c r="A1745">
        <v>5772060000</v>
      </c>
      <c r="B1745" s="16" t="s">
        <v>20465</v>
      </c>
      <c r="C1745" s="16" t="e">
        <f>VLOOKUP(Table1[[#This Row],[Node]],Parent!A:B,2,0)</f>
        <v>#N/A</v>
      </c>
      <c r="D1745" s="25" t="s">
        <v>19346</v>
      </c>
      <c r="E1745" s="26" t="s">
        <v>16544</v>
      </c>
      <c r="F1745" s="27" t="s">
        <v>18242</v>
      </c>
      <c r="G1745" s="27" t="s">
        <v>18243</v>
      </c>
      <c r="H1745" s="27" t="s">
        <v>18244</v>
      </c>
      <c r="I1745" s="27" t="s">
        <v>18253</v>
      </c>
      <c r="J1745" s="27"/>
      <c r="K1745" s="27"/>
      <c r="L1745" s="27"/>
      <c r="N1745" s="27"/>
      <c r="T1745" s="28" t="str">
        <f>LOOKUP(1,1/(Table1[[#This Row],[Level_0]:[Level 15]]&gt;0),(Table1[[#This Row],[Level_0]:[Level 15]]))</f>
        <v>5772060000 - [IC Exp - HC - Toxicological R&amp;D]</v>
      </c>
      <c r="U1745" s="22">
        <v>1740</v>
      </c>
      <c r="W1745" s="13" t="str">
        <f>LOOKUP(1,1/(Table1[[#This Row],[Level_0]:[Level 15]]&gt;0),(Table1[[#This Row],[Level_0]:[Level 15]]))</f>
        <v>5772060000 - [IC Exp - HC - Toxicological R&amp;D]</v>
      </c>
    </row>
    <row r="1746" spans="1:23" hidden="1" x14ac:dyDescent="0.25">
      <c r="A1746">
        <v>5772040000</v>
      </c>
      <c r="B1746" s="16" t="s">
        <v>20463</v>
      </c>
      <c r="C1746" s="16" t="e">
        <f>VLOOKUP(Table1[[#This Row],[Node]],Parent!A:B,2,0)</f>
        <v>#N/A</v>
      </c>
      <c r="D1746" s="25" t="s">
        <v>19346</v>
      </c>
      <c r="E1746" s="26" t="s">
        <v>16544</v>
      </c>
      <c r="F1746" s="27" t="s">
        <v>18242</v>
      </c>
      <c r="G1746" s="27" t="s">
        <v>18243</v>
      </c>
      <c r="H1746" s="27" t="s">
        <v>18244</v>
      </c>
      <c r="I1746" s="27" t="s">
        <v>18254</v>
      </c>
      <c r="J1746" s="27"/>
      <c r="K1746" s="27"/>
      <c r="L1746" s="27"/>
      <c r="N1746" s="27"/>
      <c r="T1746" s="28" t="str">
        <f>LOOKUP(1,1/(Table1[[#This Row],[Level_0]:[Level 15]]&gt;0),(Table1[[#This Row],[Level_0]:[Level 15]]))</f>
        <v>5772040000 - [IC EXP - HC - R&amp;D Project Service_ext]</v>
      </c>
      <c r="U1746" s="22">
        <v>1741</v>
      </c>
      <c r="W1746" s="13" t="str">
        <f>LOOKUP(1,1/(Table1[[#This Row],[Level_0]:[Level 15]]&gt;0),(Table1[[#This Row],[Level_0]:[Level 15]]))</f>
        <v>5772040000 - [IC EXP - HC - R&amp;D Project Service_ext]</v>
      </c>
    </row>
    <row r="1747" spans="1:23" hidden="1" x14ac:dyDescent="0.25">
      <c r="A1747">
        <v>5772030000</v>
      </c>
      <c r="B1747" s="16" t="s">
        <v>20462</v>
      </c>
      <c r="C1747" s="16" t="e">
        <f>VLOOKUP(Table1[[#This Row],[Node]],Parent!A:B,2,0)</f>
        <v>#N/A</v>
      </c>
      <c r="D1747" s="25" t="s">
        <v>19346</v>
      </c>
      <c r="E1747" s="26" t="s">
        <v>16544</v>
      </c>
      <c r="F1747" s="27" t="s">
        <v>18242</v>
      </c>
      <c r="G1747" s="27" t="s">
        <v>18243</v>
      </c>
      <c r="H1747" s="27" t="s">
        <v>18244</v>
      </c>
      <c r="I1747" s="27" t="s">
        <v>18255</v>
      </c>
      <c r="J1747" s="27"/>
      <c r="K1747" s="27"/>
      <c r="L1747" s="27"/>
      <c r="N1747" s="27"/>
      <c r="T1747" s="28" t="str">
        <f>LOOKUP(1,1/(Table1[[#This Row],[Level_0]:[Level 15]]&gt;0),(Table1[[#This Row],[Level_0]:[Level 15]]))</f>
        <v>5772030000 - [IC EXP - HC - R&amp;D Project Service]</v>
      </c>
      <c r="U1747" s="22">
        <v>1742</v>
      </c>
      <c r="W1747" s="13" t="str">
        <f>LOOKUP(1,1/(Table1[[#This Row],[Level_0]:[Level 15]]&gt;0),(Table1[[#This Row],[Level_0]:[Level 15]]))</f>
        <v>5772030000 - [IC EXP - HC - R&amp;D Project Service]</v>
      </c>
    </row>
    <row r="1748" spans="1:23" hidden="1" x14ac:dyDescent="0.25">
      <c r="A1748">
        <v>5772020000</v>
      </c>
      <c r="B1748" s="16" t="s">
        <v>20461</v>
      </c>
      <c r="C1748" s="16" t="e">
        <f>VLOOKUP(Table1[[#This Row],[Node]],Parent!A:B,2,0)</f>
        <v>#N/A</v>
      </c>
      <c r="D1748" s="25" t="s">
        <v>19346</v>
      </c>
      <c r="E1748" s="26" t="s">
        <v>16544</v>
      </c>
      <c r="F1748" s="27" t="s">
        <v>18242</v>
      </c>
      <c r="G1748" s="27" t="s">
        <v>18243</v>
      </c>
      <c r="H1748" s="27" t="s">
        <v>18244</v>
      </c>
      <c r="I1748" s="27" t="s">
        <v>18256</v>
      </c>
      <c r="J1748" s="27"/>
      <c r="K1748" s="27"/>
      <c r="L1748" s="27"/>
      <c r="N1748" s="27"/>
      <c r="T1748" s="28" t="str">
        <f>LOOKUP(1,1/(Table1[[#This Row],[Level_0]:[Level 15]]&gt;0),(Table1[[#This Row],[Level_0]:[Level 15]]))</f>
        <v>5772020000 - [IC EXP - HC - Regulatory Project Sup.]</v>
      </c>
      <c r="U1748" s="22">
        <v>1743</v>
      </c>
      <c r="W1748" s="13" t="str">
        <f>LOOKUP(1,1/(Table1[[#This Row],[Level_0]:[Level 15]]&gt;0),(Table1[[#This Row],[Level_0]:[Level 15]]))</f>
        <v>5772020000 - [IC EXP - HC - Regulatory Project Sup.]</v>
      </c>
    </row>
    <row r="1749" spans="1:23" hidden="1" x14ac:dyDescent="0.25">
      <c r="A1749">
        <v>5771280000</v>
      </c>
      <c r="B1749" s="16" t="s">
        <v>20455</v>
      </c>
      <c r="C1749" s="16" t="e">
        <f>VLOOKUP(Table1[[#This Row],[Node]],Parent!A:B,2,0)</f>
        <v>#N/A</v>
      </c>
      <c r="D1749" s="25" t="s">
        <v>19346</v>
      </c>
      <c r="E1749" s="26" t="s">
        <v>16544</v>
      </c>
      <c r="F1749" s="27" t="s">
        <v>18242</v>
      </c>
      <c r="G1749" s="27" t="s">
        <v>18243</v>
      </c>
      <c r="H1749" s="27" t="s">
        <v>18244</v>
      </c>
      <c r="I1749" s="27" t="s">
        <v>18257</v>
      </c>
      <c r="J1749" s="27"/>
      <c r="K1749" s="27"/>
      <c r="L1749" s="27"/>
      <c r="N1749" s="27"/>
      <c r="T1749" s="28" t="str">
        <f>LOOKUP(1,1/(Table1[[#This Row],[Level_0]:[Level 15]]&gt;0),(Table1[[#This Row],[Level_0]:[Level 15]]))</f>
        <v>5771280000 - [IC EXP - EL - Corrosion test_special]</v>
      </c>
      <c r="U1749" s="22">
        <v>1744</v>
      </c>
      <c r="W1749" s="13" t="str">
        <f>LOOKUP(1,1/(Table1[[#This Row],[Level_0]:[Level 15]]&gt;0),(Table1[[#This Row],[Level_0]:[Level 15]]))</f>
        <v>5771280000 - [IC EXP - EL - Corrosion test_special]</v>
      </c>
    </row>
    <row r="1750" spans="1:23" hidden="1" x14ac:dyDescent="0.25">
      <c r="A1750">
        <v>7440000002</v>
      </c>
      <c r="B1750" s="16" t="s">
        <v>21030</v>
      </c>
      <c r="C1750" s="16" t="e">
        <f>VLOOKUP(Table1[[#This Row],[Node]],Parent!A:B,2,0)</f>
        <v>#N/A</v>
      </c>
      <c r="D1750" s="25" t="s">
        <v>19346</v>
      </c>
      <c r="E1750" s="26" t="s">
        <v>16544</v>
      </c>
      <c r="F1750" s="27" t="s">
        <v>18242</v>
      </c>
      <c r="G1750" s="27" t="s">
        <v>18243</v>
      </c>
      <c r="H1750" s="27" t="s">
        <v>18244</v>
      </c>
      <c r="I1750" s="27" t="s">
        <v>18258</v>
      </c>
      <c r="J1750" s="27"/>
      <c r="K1750" s="27"/>
      <c r="L1750" s="27"/>
      <c r="N1750" s="27"/>
      <c r="T1750" s="28" t="str">
        <f>LOOKUP(1,1/(Table1[[#This Row],[Level_0]:[Level 15]]&gt;0),(Table1[[#This Row],[Level_0]:[Level 15]]))</f>
        <v>7440000002 - [SOM Intercompany Charge R&amp;D indirect]</v>
      </c>
      <c r="U1750" s="22">
        <v>1745</v>
      </c>
      <c r="W1750" s="13" t="str">
        <f>LOOKUP(1,1/(Table1[[#This Row],[Level_0]:[Level 15]]&gt;0),(Table1[[#This Row],[Level_0]:[Level 15]]))</f>
        <v>7440000002 - [SOM Intercompany Charge R&amp;D indirect]</v>
      </c>
    </row>
    <row r="1751" spans="1:23" hidden="1" x14ac:dyDescent="0.25">
      <c r="A1751">
        <v>7420000004</v>
      </c>
      <c r="B1751" s="16" t="s">
        <v>21027</v>
      </c>
      <c r="C1751" s="16" t="e">
        <f>VLOOKUP(Table1[[#This Row],[Node]],Parent!A:B,2,0)</f>
        <v>#N/A</v>
      </c>
      <c r="D1751" s="25" t="s">
        <v>19346</v>
      </c>
      <c r="E1751" s="26" t="s">
        <v>16544</v>
      </c>
      <c r="F1751" s="27" t="s">
        <v>18242</v>
      </c>
      <c r="G1751" s="27" t="s">
        <v>18243</v>
      </c>
      <c r="H1751" s="27" t="s">
        <v>18244</v>
      </c>
      <c r="I1751" s="27" t="s">
        <v>18259</v>
      </c>
      <c r="J1751" s="27"/>
      <c r="K1751" s="27"/>
      <c r="L1751" s="27"/>
      <c r="N1751" s="27"/>
      <c r="T1751" s="28" t="str">
        <f>LOOKUP(1,1/(Table1[[#This Row],[Level_0]:[Level 15]]&gt;0),(Table1[[#This Row],[Level_0]:[Level 15]]))</f>
        <v>7420000004 - [AOM Intercompany Charge R&amp;D local]</v>
      </c>
      <c r="U1751" s="22">
        <v>1746</v>
      </c>
      <c r="W1751" s="13" t="str">
        <f>LOOKUP(1,1/(Table1[[#This Row],[Level_0]:[Level 15]]&gt;0),(Table1[[#This Row],[Level_0]:[Level 15]]))</f>
        <v>7420000004 - [AOM Intercompany Charge R&amp;D local]</v>
      </c>
    </row>
    <row r="1752" spans="1:23" hidden="1" x14ac:dyDescent="0.25">
      <c r="A1752">
        <v>7200000005</v>
      </c>
      <c r="B1752" s="16" t="s">
        <v>20695</v>
      </c>
      <c r="C1752" s="16" t="e">
        <f>VLOOKUP(Table1[[#This Row],[Node]],Parent!A:B,2,0)</f>
        <v>#N/A</v>
      </c>
      <c r="D1752" s="25" t="s">
        <v>19346</v>
      </c>
      <c r="E1752" s="26" t="s">
        <v>16544</v>
      </c>
      <c r="F1752" s="27" t="s">
        <v>18242</v>
      </c>
      <c r="G1752" s="27" t="s">
        <v>18243</v>
      </c>
      <c r="H1752" s="27" t="s">
        <v>18244</v>
      </c>
      <c r="I1752" s="27" t="s">
        <v>18260</v>
      </c>
      <c r="J1752" s="27"/>
      <c r="K1752" s="27"/>
      <c r="L1752" s="27"/>
      <c r="N1752" s="27"/>
      <c r="T1752" s="28" t="str">
        <f>LOOKUP(1,1/(Table1[[#This Row],[Level_0]:[Level 15]]&gt;0),(Table1[[#This Row],[Level_0]:[Level 15]]))</f>
        <v>7200000005 - [DAA PS Translation Services]</v>
      </c>
      <c r="U1752" s="22">
        <v>1747</v>
      </c>
      <c r="W1752" s="13" t="str">
        <f>LOOKUP(1,1/(Table1[[#This Row],[Level_0]:[Level 15]]&gt;0),(Table1[[#This Row],[Level_0]:[Level 15]]))</f>
        <v>7200000005 - [DAA PS Translation Services]</v>
      </c>
    </row>
    <row r="1753" spans="1:23" hidden="1" x14ac:dyDescent="0.25">
      <c r="A1753">
        <v>5981610000</v>
      </c>
      <c r="B1753" s="16" t="s">
        <v>20624</v>
      </c>
      <c r="C1753" s="16" t="e">
        <f>VLOOKUP(Table1[[#This Row],[Node]],Parent!A:B,2,0)</f>
        <v>#N/A</v>
      </c>
      <c r="D1753" s="25" t="s">
        <v>19346</v>
      </c>
      <c r="E1753" s="26" t="s">
        <v>16544</v>
      </c>
      <c r="F1753" s="27" t="s">
        <v>18242</v>
      </c>
      <c r="G1753" s="27" t="s">
        <v>18243</v>
      </c>
      <c r="H1753" s="27" t="s">
        <v>18244</v>
      </c>
      <c r="I1753" s="27" t="s">
        <v>18261</v>
      </c>
      <c r="J1753" s="27"/>
      <c r="K1753" s="27"/>
      <c r="L1753" s="27"/>
      <c r="N1753" s="27"/>
      <c r="T1753" s="28" t="str">
        <f>LOOKUP(1,1/(Table1[[#This Row],[Level_0]:[Level 15]]&gt;0),(Table1[[#This Row],[Level_0]:[Level 15]]))</f>
        <v>5981610000 - [Reimbursement IC - Local R&amp;D]</v>
      </c>
      <c r="U1753" s="22">
        <v>1748</v>
      </c>
      <c r="W1753" s="13" t="str">
        <f>LOOKUP(1,1/(Table1[[#This Row],[Level_0]:[Level 15]]&gt;0),(Table1[[#This Row],[Level_0]:[Level 15]]))</f>
        <v>5981610000 - [Reimbursement IC - Local R&amp;D]</v>
      </c>
    </row>
    <row r="1754" spans="1:23" hidden="1" x14ac:dyDescent="0.25">
      <c r="A1754">
        <v>5516910000</v>
      </c>
      <c r="B1754" s="16" t="s">
        <v>20373</v>
      </c>
      <c r="C1754" s="16" t="e">
        <f>VLOOKUP(Table1[[#This Row],[Node]],Parent!A:B,2,0)</f>
        <v>#N/A</v>
      </c>
      <c r="D1754" s="25" t="s">
        <v>19346</v>
      </c>
      <c r="E1754" s="26" t="s">
        <v>16544</v>
      </c>
      <c r="F1754" s="27" t="s">
        <v>18242</v>
      </c>
      <c r="G1754" s="27" t="s">
        <v>18243</v>
      </c>
      <c r="H1754" s="27" t="s">
        <v>18244</v>
      </c>
      <c r="I1754" s="27" t="s">
        <v>18262</v>
      </c>
      <c r="J1754" s="27"/>
      <c r="K1754" s="27"/>
      <c r="L1754" s="27"/>
      <c r="N1754" s="27"/>
      <c r="T1754" s="28" t="str">
        <f>LOOKUP(1,1/(Table1[[#This Row],[Level_0]:[Level 15]]&gt;0),(Table1[[#This Row],[Level_0]:[Level 15]]))</f>
        <v>5516910000 - [IC Exp - SMS - R&amp;D Blood Samples]</v>
      </c>
      <c r="U1754" s="22">
        <v>1749</v>
      </c>
      <c r="W1754" s="13" t="str">
        <f>LOOKUP(1,1/(Table1[[#This Row],[Level_0]:[Level 15]]&gt;0),(Table1[[#This Row],[Level_0]:[Level 15]]))</f>
        <v>5516910000 - [IC Exp - SMS - R&amp;D Blood Samples]</v>
      </c>
    </row>
    <row r="1755" spans="1:23" hidden="1" x14ac:dyDescent="0.25">
      <c r="A1755">
        <v>5516710000</v>
      </c>
      <c r="B1755" s="16" t="s">
        <v>20372</v>
      </c>
      <c r="C1755" s="16" t="e">
        <f>VLOOKUP(Table1[[#This Row],[Node]],Parent!A:B,2,0)</f>
        <v>#N/A</v>
      </c>
      <c r="D1755" s="25" t="s">
        <v>19346</v>
      </c>
      <c r="E1755" s="26" t="s">
        <v>16544</v>
      </c>
      <c r="F1755" s="27" t="s">
        <v>18242</v>
      </c>
      <c r="G1755" s="27" t="s">
        <v>18243</v>
      </c>
      <c r="H1755" s="27" t="s">
        <v>18244</v>
      </c>
      <c r="I1755" s="27" t="s">
        <v>18263</v>
      </c>
      <c r="J1755" s="27"/>
      <c r="K1755" s="27"/>
      <c r="L1755" s="27"/>
      <c r="N1755" s="27"/>
      <c r="T1755" s="28" t="str">
        <f>LOOKUP(1,1/(Table1[[#This Row],[Level_0]:[Level 15]]&gt;0),(Table1[[#This Row],[Level_0]:[Level 15]]))</f>
        <v>5516710000 - [IC Exp - SMS - R&amp;D Blood Samples for GMS]</v>
      </c>
      <c r="U1755" s="22">
        <v>1750</v>
      </c>
      <c r="W1755" s="13" t="str">
        <f>LOOKUP(1,1/(Table1[[#This Row],[Level_0]:[Level 15]]&gt;0),(Table1[[#This Row],[Level_0]:[Level 15]]))</f>
        <v>5516710000 - [IC Exp - SMS - R&amp;D Blood Samples for GMS]</v>
      </c>
    </row>
    <row r="1756" spans="1:23" hidden="1" x14ac:dyDescent="0.25">
      <c r="A1756">
        <v>5516610000</v>
      </c>
      <c r="B1756" s="16" t="s">
        <v>20371</v>
      </c>
      <c r="C1756" s="16" t="e">
        <f>VLOOKUP(Table1[[#This Row],[Node]],Parent!A:B,2,0)</f>
        <v>#N/A</v>
      </c>
      <c r="D1756" s="25" t="s">
        <v>19346</v>
      </c>
      <c r="E1756" s="26" t="s">
        <v>16544</v>
      </c>
      <c r="F1756" s="27" t="s">
        <v>18242</v>
      </c>
      <c r="G1756" s="27" t="s">
        <v>18243</v>
      </c>
      <c r="H1756" s="27" t="s">
        <v>18244</v>
      </c>
      <c r="I1756" s="27" t="s">
        <v>18264</v>
      </c>
      <c r="J1756" s="27"/>
      <c r="K1756" s="27"/>
      <c r="L1756" s="27"/>
      <c r="N1756" s="27"/>
      <c r="T1756" s="28" t="str">
        <f>LOOKUP(1,1/(Table1[[#This Row],[Level_0]:[Level 15]]&gt;0),(Table1[[#This Row],[Level_0]:[Level 15]]))</f>
        <v>5516610000 - [IC Exp - SMS - R&amp;D Blood Samples f.EXTIN]</v>
      </c>
      <c r="U1756" s="22">
        <v>1751</v>
      </c>
      <c r="W1756" s="13" t="str">
        <f>LOOKUP(1,1/(Table1[[#This Row],[Level_0]:[Level 15]]&gt;0),(Table1[[#This Row],[Level_0]:[Level 15]]))</f>
        <v>5516610000 - [IC Exp - SMS - R&amp;D Blood Samples f.EXTIN]</v>
      </c>
    </row>
    <row r="1757" spans="1:23" hidden="1" x14ac:dyDescent="0.25">
      <c r="A1757">
        <v>5516510000</v>
      </c>
      <c r="B1757" s="16" t="s">
        <v>20370</v>
      </c>
      <c r="C1757" s="16" t="e">
        <f>VLOOKUP(Table1[[#This Row],[Node]],Parent!A:B,2,0)</f>
        <v>#N/A</v>
      </c>
      <c r="D1757" s="25" t="s">
        <v>19346</v>
      </c>
      <c r="E1757" s="26" t="s">
        <v>16544</v>
      </c>
      <c r="F1757" s="27" t="s">
        <v>18242</v>
      </c>
      <c r="G1757" s="27" t="s">
        <v>18243</v>
      </c>
      <c r="H1757" s="27" t="s">
        <v>18244</v>
      </c>
      <c r="I1757" s="27" t="s">
        <v>18265</v>
      </c>
      <c r="J1757" s="27"/>
      <c r="K1757" s="27"/>
      <c r="L1757" s="27"/>
      <c r="N1757" s="27"/>
      <c r="T1757" s="28" t="str">
        <f>LOOKUP(1,1/(Table1[[#This Row],[Level_0]:[Level 15]]&gt;0),(Table1[[#This Row],[Level_0]:[Level 15]]))</f>
        <v>5516510000 - [IC Exp - SMS - R&amp;D Blood Samples for CPD]</v>
      </c>
      <c r="U1757" s="22">
        <v>1752</v>
      </c>
      <c r="W1757" s="13" t="str">
        <f>LOOKUP(1,1/(Table1[[#This Row],[Level_0]:[Level 15]]&gt;0),(Table1[[#This Row],[Level_0]:[Level 15]]))</f>
        <v>5516510000 - [IC Exp - SMS - R&amp;D Blood Samples for CPD]</v>
      </c>
    </row>
    <row r="1758" spans="1:23" hidden="1" x14ac:dyDescent="0.25">
      <c r="A1758">
        <v>5516410000</v>
      </c>
      <c r="B1758" s="16" t="s">
        <v>20369</v>
      </c>
      <c r="C1758" s="16" t="e">
        <f>VLOOKUP(Table1[[#This Row],[Node]],Parent!A:B,2,0)</f>
        <v>#N/A</v>
      </c>
      <c r="D1758" s="25" t="s">
        <v>19346</v>
      </c>
      <c r="E1758" s="26" t="s">
        <v>16544</v>
      </c>
      <c r="F1758" s="27" t="s">
        <v>18242</v>
      </c>
      <c r="G1758" s="27" t="s">
        <v>18243</v>
      </c>
      <c r="H1758" s="27" t="s">
        <v>18244</v>
      </c>
      <c r="I1758" s="27" t="s">
        <v>18266</v>
      </c>
      <c r="J1758" s="27"/>
      <c r="K1758" s="27"/>
      <c r="L1758" s="27"/>
      <c r="N1758" s="27"/>
      <c r="T1758" s="28" t="str">
        <f>LOOKUP(1,1/(Table1[[#This Row],[Level_0]:[Level 15]]&gt;0),(Table1[[#This Row],[Level_0]:[Level 15]]))</f>
        <v>5516410000 - [IC Exp - SMS - R&amp;D Blood Samples for GED]</v>
      </c>
      <c r="U1758" s="22">
        <v>1753</v>
      </c>
      <c r="W1758" s="13" t="str">
        <f>LOOKUP(1,1/(Table1[[#This Row],[Level_0]:[Level 15]]&gt;0),(Table1[[#This Row],[Level_0]:[Level 15]]))</f>
        <v>5516410000 - [IC Exp - SMS - R&amp;D Blood Samples for GED]</v>
      </c>
    </row>
    <row r="1759" spans="1:23" hidden="1" x14ac:dyDescent="0.25">
      <c r="A1759">
        <v>5516310000</v>
      </c>
      <c r="B1759" s="16" t="s">
        <v>20368</v>
      </c>
      <c r="C1759" s="16" t="e">
        <f>VLOOKUP(Table1[[#This Row],[Node]],Parent!A:B,2,0)</f>
        <v>#N/A</v>
      </c>
      <c r="D1759" s="25" t="s">
        <v>19346</v>
      </c>
      <c r="E1759" s="26" t="s">
        <v>16544</v>
      </c>
      <c r="F1759" s="27" t="s">
        <v>18242</v>
      </c>
      <c r="G1759" s="27" t="s">
        <v>18243</v>
      </c>
      <c r="H1759" s="27" t="s">
        <v>18244</v>
      </c>
      <c r="I1759" s="27" t="s">
        <v>18267</v>
      </c>
      <c r="J1759" s="27"/>
      <c r="K1759" s="27"/>
      <c r="L1759" s="27"/>
      <c r="N1759" s="27"/>
      <c r="T1759" s="28" t="str">
        <f>LOOKUP(1,1/(Table1[[#This Row],[Level_0]:[Level 15]]&gt;0),(Table1[[#This Row],[Level_0]:[Level 15]]))</f>
        <v>5516310000 - [IC Exp - SMS - R&amp;D Blood Sampl- TIP iONC]</v>
      </c>
      <c r="U1759" s="22">
        <v>1754</v>
      </c>
      <c r="W1759" s="13" t="str">
        <f>LOOKUP(1,1/(Table1[[#This Row],[Level_0]:[Level 15]]&gt;0),(Table1[[#This Row],[Level_0]:[Level 15]]))</f>
        <v>5516310000 - [IC Exp - SMS - R&amp;D Blood Sampl- TIP iONC]</v>
      </c>
    </row>
    <row r="1760" spans="1:23" hidden="1" x14ac:dyDescent="0.25">
      <c r="A1760">
        <v>5516210000</v>
      </c>
      <c r="B1760" s="16" t="s">
        <v>20367</v>
      </c>
      <c r="C1760" s="16" t="e">
        <f>VLOOKUP(Table1[[#This Row],[Node]],Parent!A:B,2,0)</f>
        <v>#N/A</v>
      </c>
      <c r="D1760" s="25" t="s">
        <v>19346</v>
      </c>
      <c r="E1760" s="26" t="s">
        <v>16544</v>
      </c>
      <c r="F1760" s="27" t="s">
        <v>18242</v>
      </c>
      <c r="G1760" s="27" t="s">
        <v>18243</v>
      </c>
      <c r="H1760" s="27" t="s">
        <v>18244</v>
      </c>
      <c r="I1760" s="27" t="s">
        <v>18268</v>
      </c>
      <c r="J1760" s="27"/>
      <c r="K1760" s="27"/>
      <c r="L1760" s="27"/>
      <c r="N1760" s="27"/>
      <c r="T1760" s="28" t="str">
        <f>LOOKUP(1,1/(Table1[[#This Row],[Level_0]:[Level 15]]&gt;0),(Table1[[#This Row],[Level_0]:[Level 15]]))</f>
        <v>5516210000 - [IC Exp - SMS - R&amp;D Blood Sampl f.TIP ONC]</v>
      </c>
      <c r="U1760" s="22">
        <v>1755</v>
      </c>
      <c r="W1760" s="13" t="str">
        <f>LOOKUP(1,1/(Table1[[#This Row],[Level_0]:[Level 15]]&gt;0),(Table1[[#This Row],[Level_0]:[Level 15]]))</f>
        <v>5516210000 - [IC Exp - SMS - R&amp;D Blood Sampl f.TIP ONC]</v>
      </c>
    </row>
    <row r="1761" spans="1:23" hidden="1" x14ac:dyDescent="0.25">
      <c r="A1761">
        <v>5516110000</v>
      </c>
      <c r="B1761" s="16" t="s">
        <v>20366</v>
      </c>
      <c r="C1761" s="16" t="e">
        <f>VLOOKUP(Table1[[#This Row],[Node]],Parent!A:B,2,0)</f>
        <v>#N/A</v>
      </c>
      <c r="D1761" s="25" t="s">
        <v>19346</v>
      </c>
      <c r="E1761" s="26" t="s">
        <v>16544</v>
      </c>
      <c r="F1761" s="27" t="s">
        <v>18242</v>
      </c>
      <c r="G1761" s="27" t="s">
        <v>18243</v>
      </c>
      <c r="H1761" s="27" t="s">
        <v>18244</v>
      </c>
      <c r="I1761" s="27" t="s">
        <v>18269</v>
      </c>
      <c r="J1761" s="27"/>
      <c r="K1761" s="27"/>
      <c r="L1761" s="27"/>
      <c r="N1761" s="27"/>
      <c r="T1761" s="28" t="str">
        <f>LOOKUP(1,1/(Table1[[#This Row],[Level_0]:[Level 15]]&gt;0),(Table1[[#This Row],[Level_0]:[Level 15]]))</f>
        <v>5516110000 - [IC Exp - SMS - R&amp;D Blood Samples-TIP IMM]</v>
      </c>
      <c r="U1761" s="22">
        <v>1756</v>
      </c>
      <c r="W1761" s="13" t="str">
        <f>LOOKUP(1,1/(Table1[[#This Row],[Level_0]:[Level 15]]&gt;0),(Table1[[#This Row],[Level_0]:[Level 15]]))</f>
        <v>5516110000 - [IC Exp - SMS - R&amp;D Blood Samples-TIP IMM]</v>
      </c>
    </row>
    <row r="1762" spans="1:23" hidden="1" x14ac:dyDescent="0.25">
      <c r="A1762">
        <v>5516010000</v>
      </c>
      <c r="B1762" s="16" t="s">
        <v>20365</v>
      </c>
      <c r="C1762" s="16" t="e">
        <f>VLOOKUP(Table1[[#This Row],[Node]],Parent!A:B,2,0)</f>
        <v>#N/A</v>
      </c>
      <c r="D1762" s="25" t="s">
        <v>19346</v>
      </c>
      <c r="E1762" s="26" t="s">
        <v>16544</v>
      </c>
      <c r="F1762" s="27" t="s">
        <v>18242</v>
      </c>
      <c r="G1762" s="27" t="s">
        <v>18243</v>
      </c>
      <c r="H1762" s="27" t="s">
        <v>18244</v>
      </c>
      <c r="I1762" s="27" t="s">
        <v>18270</v>
      </c>
      <c r="J1762" s="27"/>
      <c r="K1762" s="27"/>
      <c r="L1762" s="27"/>
      <c r="N1762" s="27"/>
      <c r="T1762" s="28" t="str">
        <f>LOOKUP(1,1/(Table1[[#This Row],[Level_0]:[Level 15]]&gt;0),(Table1[[#This Row],[Level_0]:[Level 15]]))</f>
        <v>5516010000 - [IC Exp - SMS - R&amp;D Blood Samples for DT]</v>
      </c>
      <c r="U1762" s="22">
        <v>1757</v>
      </c>
      <c r="W1762" s="13" t="str">
        <f>LOOKUP(1,1/(Table1[[#This Row],[Level_0]:[Level 15]]&gt;0),(Table1[[#This Row],[Level_0]:[Level 15]]))</f>
        <v>5516010000 - [IC Exp - SMS - R&amp;D Blood Samples for DT]</v>
      </c>
    </row>
    <row r="1763" spans="1:23" hidden="1" x14ac:dyDescent="0.25">
      <c r="A1763">
        <v>5515710000</v>
      </c>
      <c r="B1763" s="16" t="s">
        <v>20364</v>
      </c>
      <c r="C1763" s="16" t="e">
        <f>VLOOKUP(Table1[[#This Row],[Node]],Parent!A:B,2,0)</f>
        <v>#N/A</v>
      </c>
      <c r="D1763" s="25" t="s">
        <v>19346</v>
      </c>
      <c r="E1763" s="26" t="s">
        <v>16544</v>
      </c>
      <c r="F1763" s="27" t="s">
        <v>18242</v>
      </c>
      <c r="G1763" s="27" t="s">
        <v>18243</v>
      </c>
      <c r="H1763" s="27" t="s">
        <v>18244</v>
      </c>
      <c r="I1763" s="27" t="s">
        <v>18271</v>
      </c>
      <c r="J1763" s="27"/>
      <c r="K1763" s="27"/>
      <c r="L1763" s="27"/>
      <c r="N1763" s="27"/>
      <c r="T1763" s="28" t="str">
        <f>LOOKUP(1,1/(Table1[[#This Row],[Level_0]:[Level 15]]&gt;0),(Table1[[#This Row],[Level_0]:[Level 15]]))</f>
        <v>5515710000 - [IC Exp - SMS - R&amp;D Analytic-10% for GMS]</v>
      </c>
      <c r="U1763" s="22">
        <v>1758</v>
      </c>
      <c r="W1763" s="13" t="str">
        <f>LOOKUP(1,1/(Table1[[#This Row],[Level_0]:[Level 15]]&gt;0),(Table1[[#This Row],[Level_0]:[Level 15]]))</f>
        <v>5515710000 - [IC Exp - SMS - R&amp;D Analytic-10% for GMS]</v>
      </c>
    </row>
    <row r="1764" spans="1:23" hidden="1" x14ac:dyDescent="0.25">
      <c r="A1764">
        <v>5515610000</v>
      </c>
      <c r="B1764" s="16" t="s">
        <v>20363</v>
      </c>
      <c r="C1764" s="16" t="e">
        <f>VLOOKUP(Table1[[#This Row],[Node]],Parent!A:B,2,0)</f>
        <v>#N/A</v>
      </c>
      <c r="D1764" s="25" t="s">
        <v>19346</v>
      </c>
      <c r="E1764" s="26" t="s">
        <v>16544</v>
      </c>
      <c r="F1764" s="27" t="s">
        <v>18242</v>
      </c>
      <c r="G1764" s="27" t="s">
        <v>18243</v>
      </c>
      <c r="H1764" s="27" t="s">
        <v>18244</v>
      </c>
      <c r="I1764" s="27" t="s">
        <v>18272</v>
      </c>
      <c r="J1764" s="27"/>
      <c r="K1764" s="27"/>
      <c r="L1764" s="27"/>
      <c r="N1764" s="27"/>
      <c r="T1764" s="28" t="str">
        <f>LOOKUP(1,1/(Table1[[#This Row],[Level_0]:[Level 15]]&gt;0),(Table1[[#This Row],[Level_0]:[Level 15]]))</f>
        <v>5515610000 - [IC Exp - SMS - R&amp;D Analytic-10% forEXTIN]</v>
      </c>
      <c r="U1764" s="22">
        <v>1759</v>
      </c>
      <c r="W1764" s="13" t="str">
        <f>LOOKUP(1,1/(Table1[[#This Row],[Level_0]:[Level 15]]&gt;0),(Table1[[#This Row],[Level_0]:[Level 15]]))</f>
        <v>5515610000 - [IC Exp - SMS - R&amp;D Analytic-10% forEXTIN]</v>
      </c>
    </row>
    <row r="1765" spans="1:23" hidden="1" x14ac:dyDescent="0.25">
      <c r="A1765">
        <v>5515510000</v>
      </c>
      <c r="B1765" s="16" t="s">
        <v>20362</v>
      </c>
      <c r="C1765" s="16" t="e">
        <f>VLOOKUP(Table1[[#This Row],[Node]],Parent!A:B,2,0)</f>
        <v>#N/A</v>
      </c>
      <c r="D1765" s="25" t="s">
        <v>19346</v>
      </c>
      <c r="E1765" s="26" t="s">
        <v>16544</v>
      </c>
      <c r="F1765" s="27" t="s">
        <v>18242</v>
      </c>
      <c r="G1765" s="27" t="s">
        <v>18243</v>
      </c>
      <c r="H1765" s="27" t="s">
        <v>18244</v>
      </c>
      <c r="I1765" s="27" t="s">
        <v>18273</v>
      </c>
      <c r="J1765" s="27"/>
      <c r="K1765" s="27"/>
      <c r="L1765" s="27"/>
      <c r="N1765" s="27"/>
      <c r="T1765" s="28" t="str">
        <f>LOOKUP(1,1/(Table1[[#This Row],[Level_0]:[Level 15]]&gt;0),(Table1[[#This Row],[Level_0]:[Level 15]]))</f>
        <v>5515510000 - [IC Exp - SMS - R&amp;D Analytic-10% for CPD]</v>
      </c>
      <c r="U1765" s="22">
        <v>1760</v>
      </c>
      <c r="W1765" s="13" t="str">
        <f>LOOKUP(1,1/(Table1[[#This Row],[Level_0]:[Level 15]]&gt;0),(Table1[[#This Row],[Level_0]:[Level 15]]))</f>
        <v>5515510000 - [IC Exp - SMS - R&amp;D Analytic-10% for CPD]</v>
      </c>
    </row>
    <row r="1766" spans="1:23" hidden="1" x14ac:dyDescent="0.25">
      <c r="A1766">
        <v>5515410000</v>
      </c>
      <c r="B1766" s="16" t="s">
        <v>20361</v>
      </c>
      <c r="C1766" s="16" t="e">
        <f>VLOOKUP(Table1[[#This Row],[Node]],Parent!A:B,2,0)</f>
        <v>#N/A</v>
      </c>
      <c r="D1766" s="25" t="s">
        <v>19346</v>
      </c>
      <c r="E1766" s="26" t="s">
        <v>16544</v>
      </c>
      <c r="F1766" s="27" t="s">
        <v>18242</v>
      </c>
      <c r="G1766" s="27" t="s">
        <v>18243</v>
      </c>
      <c r="H1766" s="27" t="s">
        <v>18244</v>
      </c>
      <c r="I1766" s="27" t="s">
        <v>18274</v>
      </c>
      <c r="J1766" s="27"/>
      <c r="K1766" s="27"/>
      <c r="L1766" s="27"/>
      <c r="N1766" s="27"/>
      <c r="T1766" s="28" t="str">
        <f>LOOKUP(1,1/(Table1[[#This Row],[Level_0]:[Level 15]]&gt;0),(Table1[[#This Row],[Level_0]:[Level 15]]))</f>
        <v>5515410000 - [IC Exp - SMS - R&amp;D Analytic-10% for GED]</v>
      </c>
      <c r="U1766" s="22">
        <v>1761</v>
      </c>
      <c r="W1766" s="13" t="str">
        <f>LOOKUP(1,1/(Table1[[#This Row],[Level_0]:[Level 15]]&gt;0),(Table1[[#This Row],[Level_0]:[Level 15]]))</f>
        <v>5515410000 - [IC Exp - SMS - R&amp;D Analytic-10% for GED]</v>
      </c>
    </row>
    <row r="1767" spans="1:23" hidden="1" x14ac:dyDescent="0.25">
      <c r="A1767">
        <v>5515310000</v>
      </c>
      <c r="B1767" s="16" t="s">
        <v>20360</v>
      </c>
      <c r="C1767" s="16" t="e">
        <f>VLOOKUP(Table1[[#This Row],[Node]],Parent!A:B,2,0)</f>
        <v>#N/A</v>
      </c>
      <c r="D1767" s="25" t="s">
        <v>19346</v>
      </c>
      <c r="E1767" s="26" t="s">
        <v>16544</v>
      </c>
      <c r="F1767" s="27" t="s">
        <v>18242</v>
      </c>
      <c r="G1767" s="27" t="s">
        <v>18243</v>
      </c>
      <c r="H1767" s="27" t="s">
        <v>18244</v>
      </c>
      <c r="I1767" s="27" t="s">
        <v>18275</v>
      </c>
      <c r="J1767" s="27"/>
      <c r="K1767" s="27"/>
      <c r="L1767" s="27"/>
      <c r="N1767" s="27"/>
      <c r="T1767" s="28" t="str">
        <f>LOOKUP(1,1/(Table1[[#This Row],[Level_0]:[Level 15]]&gt;0),(Table1[[#This Row],[Level_0]:[Level 15]]))</f>
        <v>5515310000 - [IC Exp - SMS - R&amp;D Analytic-10%-TIP iONC]</v>
      </c>
      <c r="U1767" s="22">
        <v>1762</v>
      </c>
      <c r="W1767" s="13" t="str">
        <f>LOOKUP(1,1/(Table1[[#This Row],[Level_0]:[Level 15]]&gt;0),(Table1[[#This Row],[Level_0]:[Level 15]]))</f>
        <v>5515310000 - [IC Exp - SMS - R&amp;D Analytic-10%-TIP iONC]</v>
      </c>
    </row>
    <row r="1768" spans="1:23" hidden="1" x14ac:dyDescent="0.25">
      <c r="A1768">
        <v>5515210000</v>
      </c>
      <c r="B1768" s="16" t="s">
        <v>20359</v>
      </c>
      <c r="C1768" s="16" t="e">
        <f>VLOOKUP(Table1[[#This Row],[Node]],Parent!A:B,2,0)</f>
        <v>#N/A</v>
      </c>
      <c r="D1768" s="25" t="s">
        <v>19346</v>
      </c>
      <c r="E1768" s="26" t="s">
        <v>16544</v>
      </c>
      <c r="F1768" s="27" t="s">
        <v>18242</v>
      </c>
      <c r="G1768" s="27" t="s">
        <v>18243</v>
      </c>
      <c r="H1768" s="27" t="s">
        <v>18244</v>
      </c>
      <c r="I1768" s="27" t="s">
        <v>18276</v>
      </c>
      <c r="J1768" s="27"/>
      <c r="K1768" s="27"/>
      <c r="L1768" s="27"/>
      <c r="N1768" s="27"/>
      <c r="T1768" s="28" t="str">
        <f>LOOKUP(1,1/(Table1[[#This Row],[Level_0]:[Level 15]]&gt;0),(Table1[[#This Row],[Level_0]:[Level 15]]))</f>
        <v>5515210000 - [IC Exp - SMS - R&amp;D Analytic-10%- TIP ONC]</v>
      </c>
      <c r="U1768" s="22">
        <v>1763</v>
      </c>
      <c r="W1768" s="13" t="str">
        <f>LOOKUP(1,1/(Table1[[#This Row],[Level_0]:[Level 15]]&gt;0),(Table1[[#This Row],[Level_0]:[Level 15]]))</f>
        <v>5515210000 - [IC Exp - SMS - R&amp;D Analytic-10%- TIP ONC]</v>
      </c>
    </row>
    <row r="1769" spans="1:23" hidden="1" x14ac:dyDescent="0.25">
      <c r="A1769">
        <v>5515110000</v>
      </c>
      <c r="B1769" s="16" t="s">
        <v>20358</v>
      </c>
      <c r="C1769" s="16" t="e">
        <f>VLOOKUP(Table1[[#This Row],[Node]],Parent!A:B,2,0)</f>
        <v>#N/A</v>
      </c>
      <c r="D1769" s="25" t="s">
        <v>19346</v>
      </c>
      <c r="E1769" s="26" t="s">
        <v>16544</v>
      </c>
      <c r="F1769" s="27" t="s">
        <v>18242</v>
      </c>
      <c r="G1769" s="27" t="s">
        <v>18243</v>
      </c>
      <c r="H1769" s="27" t="s">
        <v>18244</v>
      </c>
      <c r="I1769" s="27" t="s">
        <v>18277</v>
      </c>
      <c r="J1769" s="27"/>
      <c r="K1769" s="27"/>
      <c r="L1769" s="27"/>
      <c r="N1769" s="27"/>
      <c r="T1769" s="28" t="str">
        <f>LOOKUP(1,1/(Table1[[#This Row],[Level_0]:[Level 15]]&gt;0),(Table1[[#This Row],[Level_0]:[Level 15]]))</f>
        <v>5515110000 - [IC Exp - SMS - R&amp;D Analytic-10%- TIP IMM]</v>
      </c>
      <c r="U1769" s="22">
        <v>1764</v>
      </c>
      <c r="W1769" s="13" t="str">
        <f>LOOKUP(1,1/(Table1[[#This Row],[Level_0]:[Level 15]]&gt;0),(Table1[[#This Row],[Level_0]:[Level 15]]))</f>
        <v>5515110000 - [IC Exp - SMS - R&amp;D Analytic-10%- TIP IMM]</v>
      </c>
    </row>
    <row r="1770" spans="1:23" hidden="1" x14ac:dyDescent="0.25">
      <c r="A1770">
        <v>5515010000</v>
      </c>
      <c r="B1770" s="16" t="s">
        <v>20357</v>
      </c>
      <c r="C1770" s="16" t="e">
        <f>VLOOKUP(Table1[[#This Row],[Node]],Parent!A:B,2,0)</f>
        <v>#N/A</v>
      </c>
      <c r="D1770" s="25" t="s">
        <v>19346</v>
      </c>
      <c r="E1770" s="26" t="s">
        <v>16544</v>
      </c>
      <c r="F1770" s="27" t="s">
        <v>18242</v>
      </c>
      <c r="G1770" s="27" t="s">
        <v>18243</v>
      </c>
      <c r="H1770" s="27" t="s">
        <v>18244</v>
      </c>
      <c r="I1770" s="27" t="s">
        <v>18278</v>
      </c>
      <c r="J1770" s="27"/>
      <c r="K1770" s="27"/>
      <c r="L1770" s="27"/>
      <c r="N1770" s="27"/>
      <c r="T1770" s="28" t="str">
        <f>LOOKUP(1,1/(Table1[[#This Row],[Level_0]:[Level 15]]&gt;0),(Table1[[#This Row],[Level_0]:[Level 15]]))</f>
        <v>5515010000 - [IC Exp - SMS - R&amp;D Analytic-10% for DT]</v>
      </c>
      <c r="U1770" s="22">
        <v>1765</v>
      </c>
      <c r="W1770" s="13" t="str">
        <f>LOOKUP(1,1/(Table1[[#This Row],[Level_0]:[Level 15]]&gt;0),(Table1[[#This Row],[Level_0]:[Level 15]]))</f>
        <v>5515010000 - [IC Exp - SMS - R&amp;D Analytic-10% for DT]</v>
      </c>
    </row>
    <row r="1771" spans="1:23" hidden="1" x14ac:dyDescent="0.25">
      <c r="A1771">
        <v>5514410000</v>
      </c>
      <c r="B1771" s="16" t="s">
        <v>20356</v>
      </c>
      <c r="C1771" s="16" t="e">
        <f>VLOOKUP(Table1[[#This Row],[Node]],Parent!A:B,2,0)</f>
        <v>#N/A</v>
      </c>
      <c r="D1771" s="25" t="s">
        <v>19346</v>
      </c>
      <c r="E1771" s="26" t="s">
        <v>16544</v>
      </c>
      <c r="F1771" s="27" t="s">
        <v>18242</v>
      </c>
      <c r="G1771" s="27" t="s">
        <v>18243</v>
      </c>
      <c r="H1771" s="27" t="s">
        <v>18244</v>
      </c>
      <c r="I1771" s="27" t="s">
        <v>18279</v>
      </c>
      <c r="J1771" s="27"/>
      <c r="K1771" s="27"/>
      <c r="L1771" s="27"/>
      <c r="N1771" s="27"/>
      <c r="T1771" s="28" t="str">
        <f>LOOKUP(1,1/(Table1[[#This Row],[Level_0]:[Level 15]]&gt;0),(Table1[[#This Row],[Level_0]:[Level 15]]))</f>
        <v>5514410000 - [IC Exp - DIV - External R&amp;D costs]</v>
      </c>
      <c r="U1771" s="22">
        <v>1766</v>
      </c>
      <c r="W1771" s="13" t="str">
        <f>LOOKUP(1,1/(Table1[[#This Row],[Level_0]:[Level 15]]&gt;0),(Table1[[#This Row],[Level_0]:[Level 15]]))</f>
        <v>5514410000 - [IC Exp - DIV - External R&amp;D costs]</v>
      </c>
    </row>
    <row r="1772" spans="1:23" hidden="1" x14ac:dyDescent="0.25">
      <c r="A1772">
        <v>5514310000</v>
      </c>
      <c r="B1772" s="16" t="s">
        <v>20355</v>
      </c>
      <c r="C1772" s="16" t="e">
        <f>VLOOKUP(Table1[[#This Row],[Node]],Parent!A:B,2,0)</f>
        <v>#N/A</v>
      </c>
      <c r="D1772" s="25" t="s">
        <v>19346</v>
      </c>
      <c r="E1772" s="26" t="s">
        <v>16544</v>
      </c>
      <c r="F1772" s="27" t="s">
        <v>18242</v>
      </c>
      <c r="G1772" s="27" t="s">
        <v>18243</v>
      </c>
      <c r="H1772" s="27" t="s">
        <v>18244</v>
      </c>
      <c r="I1772" s="27" t="s">
        <v>18280</v>
      </c>
      <c r="J1772" s="27"/>
      <c r="K1772" s="27"/>
      <c r="L1772" s="27"/>
      <c r="N1772" s="27"/>
      <c r="T1772" s="28" t="str">
        <f>LOOKUP(1,1/(Table1[[#This Row],[Level_0]:[Level 15]]&gt;0),(Table1[[#This Row],[Level_0]:[Level 15]]))</f>
        <v>5514310000 - [IC Exp - DIV - R&amp;D Extend Toxiclgcl Serv]</v>
      </c>
      <c r="U1772" s="22">
        <v>1767</v>
      </c>
      <c r="W1772" s="13" t="str">
        <f>LOOKUP(1,1/(Table1[[#This Row],[Level_0]:[Level 15]]&gt;0),(Table1[[#This Row],[Level_0]:[Level 15]]))</f>
        <v>5514310000 - [IC Exp - DIV - R&amp;D Extend Toxiclgcl Serv]</v>
      </c>
    </row>
    <row r="1773" spans="1:23" hidden="1" x14ac:dyDescent="0.25">
      <c r="A1773">
        <v>5514210000</v>
      </c>
      <c r="B1773" s="16" t="s">
        <v>20354</v>
      </c>
      <c r="C1773" s="16" t="e">
        <f>VLOOKUP(Table1[[#This Row],[Node]],Parent!A:B,2,0)</f>
        <v>#N/A</v>
      </c>
      <c r="D1773" s="25" t="s">
        <v>19346</v>
      </c>
      <c r="E1773" s="26" t="s">
        <v>16544</v>
      </c>
      <c r="F1773" s="27" t="s">
        <v>18242</v>
      </c>
      <c r="G1773" s="27" t="s">
        <v>18243</v>
      </c>
      <c r="H1773" s="27" t="s">
        <v>18244</v>
      </c>
      <c r="I1773" s="27" t="s">
        <v>18281</v>
      </c>
      <c r="J1773" s="27"/>
      <c r="K1773" s="27"/>
      <c r="L1773" s="27"/>
      <c r="N1773" s="27"/>
      <c r="T1773" s="28" t="str">
        <f>LOOKUP(1,1/(Table1[[#This Row],[Level_0]:[Level 15]]&gt;0),(Table1[[#This Row],[Level_0]:[Level 15]]))</f>
        <v>5514210000 - [IC Exp - DIV - R&amp;D Project Services]</v>
      </c>
      <c r="U1773" s="22">
        <v>1768</v>
      </c>
      <c r="W1773" s="13" t="str">
        <f>LOOKUP(1,1/(Table1[[#This Row],[Level_0]:[Level 15]]&gt;0),(Table1[[#This Row],[Level_0]:[Level 15]]))</f>
        <v>5514210000 - [IC Exp - DIV - R&amp;D Project Services]</v>
      </c>
    </row>
    <row r="1774" spans="1:23" hidden="1" x14ac:dyDescent="0.25">
      <c r="A1774">
        <v>5514110000</v>
      </c>
      <c r="B1774" s="16" t="s">
        <v>20353</v>
      </c>
      <c r="C1774" s="16" t="e">
        <f>VLOOKUP(Table1[[#This Row],[Node]],Parent!A:B,2,0)</f>
        <v>#N/A</v>
      </c>
      <c r="D1774" s="25" t="s">
        <v>19346</v>
      </c>
      <c r="E1774" s="26" t="s">
        <v>16544</v>
      </c>
      <c r="F1774" s="27" t="s">
        <v>18242</v>
      </c>
      <c r="G1774" s="27" t="s">
        <v>18243</v>
      </c>
      <c r="H1774" s="27" t="s">
        <v>18244</v>
      </c>
      <c r="I1774" s="27" t="s">
        <v>18282</v>
      </c>
      <c r="J1774" s="27"/>
      <c r="K1774" s="27"/>
      <c r="L1774" s="27"/>
      <c r="N1774" s="27"/>
      <c r="T1774" s="28" t="str">
        <f>LOOKUP(1,1/(Table1[[#This Row],[Level_0]:[Level 15]]&gt;0),(Table1[[#This Row],[Level_0]:[Level 15]]))</f>
        <v>5514110000 - [IC Exp - DIV - R&amp;D Basic Toxiclgcl Serv]</v>
      </c>
      <c r="U1774" s="22">
        <v>1769</v>
      </c>
      <c r="W1774" s="13" t="str">
        <f>LOOKUP(1,1/(Table1[[#This Row],[Level_0]:[Level 15]]&gt;0),(Table1[[#This Row],[Level_0]:[Level 15]]))</f>
        <v>5514110000 - [IC Exp - DIV - R&amp;D Basic Toxiclgcl Serv]</v>
      </c>
    </row>
    <row r="1775" spans="1:23" hidden="1" x14ac:dyDescent="0.25">
      <c r="A1775">
        <v>5514010000</v>
      </c>
      <c r="B1775" s="16" t="s">
        <v>20352</v>
      </c>
      <c r="C1775" s="16" t="e">
        <f>VLOOKUP(Table1[[#This Row],[Node]],Parent!A:B,2,0)</f>
        <v>#N/A</v>
      </c>
      <c r="D1775" s="25" t="s">
        <v>19346</v>
      </c>
      <c r="E1775" s="26" t="s">
        <v>16544</v>
      </c>
      <c r="F1775" s="27" t="s">
        <v>18242</v>
      </c>
      <c r="G1775" s="27" t="s">
        <v>18243</v>
      </c>
      <c r="H1775" s="27" t="s">
        <v>18244</v>
      </c>
      <c r="I1775" s="27" t="s">
        <v>18283</v>
      </c>
      <c r="J1775" s="27"/>
      <c r="K1775" s="27"/>
      <c r="L1775" s="27"/>
      <c r="N1775" s="27"/>
      <c r="T1775" s="28" t="str">
        <f>LOOKUP(1,1/(Table1[[#This Row],[Level_0]:[Level 15]]&gt;0),(Table1[[#This Row],[Level_0]:[Level 15]]))</f>
        <v>5514010000 - [IC Exp - DIV - R&amp;D Special Services]</v>
      </c>
      <c r="U1775" s="22">
        <v>1770</v>
      </c>
      <c r="W1775" s="13" t="str">
        <f>LOOKUP(1,1/(Table1[[#This Row],[Level_0]:[Level 15]]&gt;0),(Table1[[#This Row],[Level_0]:[Level 15]]))</f>
        <v>5514010000 - [IC Exp - DIV - R&amp;D Special Services]</v>
      </c>
    </row>
    <row r="1776" spans="1:23" hidden="1" x14ac:dyDescent="0.25">
      <c r="A1776">
        <v>5513710000</v>
      </c>
      <c r="B1776" s="16" t="s">
        <v>20351</v>
      </c>
      <c r="C1776" s="16" t="e">
        <f>VLOOKUP(Table1[[#This Row],[Node]],Parent!A:B,2,0)</f>
        <v>#N/A</v>
      </c>
      <c r="D1776" s="25" t="s">
        <v>19346</v>
      </c>
      <c r="E1776" s="26" t="s">
        <v>16544</v>
      </c>
      <c r="F1776" s="27" t="s">
        <v>18242</v>
      </c>
      <c r="G1776" s="27" t="s">
        <v>18243</v>
      </c>
      <c r="H1776" s="27" t="s">
        <v>18244</v>
      </c>
      <c r="I1776" s="27" t="s">
        <v>18284</v>
      </c>
      <c r="J1776" s="27"/>
      <c r="K1776" s="27"/>
      <c r="L1776" s="27"/>
      <c r="N1776" s="27"/>
      <c r="T1776" s="28" t="str">
        <f>LOOKUP(1,1/(Table1[[#This Row],[Level_0]:[Level 15]]&gt;0),(Table1[[#This Row],[Level_0]:[Level 15]]))</f>
        <v>5513710000 - [IC Exp - SMS - R&amp;D Analytic-5% for GMS]</v>
      </c>
      <c r="U1776" s="22">
        <v>1771</v>
      </c>
      <c r="W1776" s="13" t="str">
        <f>LOOKUP(1,1/(Table1[[#This Row],[Level_0]:[Level 15]]&gt;0),(Table1[[#This Row],[Level_0]:[Level 15]]))</f>
        <v>5513710000 - [IC Exp - SMS - R&amp;D Analytic-5% for GMS]</v>
      </c>
    </row>
    <row r="1777" spans="1:23" hidden="1" x14ac:dyDescent="0.25">
      <c r="A1777">
        <v>5513610000</v>
      </c>
      <c r="B1777" s="16" t="s">
        <v>20350</v>
      </c>
      <c r="C1777" s="16" t="e">
        <f>VLOOKUP(Table1[[#This Row],[Node]],Parent!A:B,2,0)</f>
        <v>#N/A</v>
      </c>
      <c r="D1777" s="25" t="s">
        <v>19346</v>
      </c>
      <c r="E1777" s="26" t="s">
        <v>16544</v>
      </c>
      <c r="F1777" s="27" t="s">
        <v>18242</v>
      </c>
      <c r="G1777" s="27" t="s">
        <v>18243</v>
      </c>
      <c r="H1777" s="27" t="s">
        <v>18244</v>
      </c>
      <c r="I1777" s="27" t="s">
        <v>18285</v>
      </c>
      <c r="J1777" s="27"/>
      <c r="K1777" s="27"/>
      <c r="L1777" s="27"/>
      <c r="N1777" s="27"/>
      <c r="T1777" s="28" t="str">
        <f>LOOKUP(1,1/(Table1[[#This Row],[Level_0]:[Level 15]]&gt;0),(Table1[[#This Row],[Level_0]:[Level 15]]))</f>
        <v>5513610000 - [IC Exp - SMS - R&amp;D Analytic-5% for EXTIN]</v>
      </c>
      <c r="U1777" s="22">
        <v>1772</v>
      </c>
      <c r="W1777" s="13" t="str">
        <f>LOOKUP(1,1/(Table1[[#This Row],[Level_0]:[Level 15]]&gt;0),(Table1[[#This Row],[Level_0]:[Level 15]]))</f>
        <v>5513610000 - [IC Exp - SMS - R&amp;D Analytic-5% for EXTIN]</v>
      </c>
    </row>
    <row r="1778" spans="1:23" hidden="1" x14ac:dyDescent="0.25">
      <c r="A1778">
        <v>5513510000</v>
      </c>
      <c r="B1778" s="16" t="s">
        <v>20349</v>
      </c>
      <c r="C1778" s="16" t="e">
        <f>VLOOKUP(Table1[[#This Row],[Node]],Parent!A:B,2,0)</f>
        <v>#N/A</v>
      </c>
      <c r="D1778" s="25" t="s">
        <v>19346</v>
      </c>
      <c r="E1778" s="26" t="s">
        <v>16544</v>
      </c>
      <c r="F1778" s="27" t="s">
        <v>18242</v>
      </c>
      <c r="G1778" s="27" t="s">
        <v>18243</v>
      </c>
      <c r="H1778" s="27" t="s">
        <v>18244</v>
      </c>
      <c r="I1778" s="27" t="s">
        <v>18286</v>
      </c>
      <c r="J1778" s="27"/>
      <c r="K1778" s="27"/>
      <c r="L1778" s="27"/>
      <c r="N1778" s="27"/>
      <c r="T1778" s="28" t="str">
        <f>LOOKUP(1,1/(Table1[[#This Row],[Level_0]:[Level 15]]&gt;0),(Table1[[#This Row],[Level_0]:[Level 15]]))</f>
        <v>5513510000 - [IC Exp - SMS - R&amp;D Analytic-5% for CPD]</v>
      </c>
      <c r="U1778" s="22">
        <v>1773</v>
      </c>
      <c r="W1778" s="13" t="str">
        <f>LOOKUP(1,1/(Table1[[#This Row],[Level_0]:[Level 15]]&gt;0),(Table1[[#This Row],[Level_0]:[Level 15]]))</f>
        <v>5513510000 - [IC Exp - SMS - R&amp;D Analytic-5% for CPD]</v>
      </c>
    </row>
    <row r="1779" spans="1:23" hidden="1" x14ac:dyDescent="0.25">
      <c r="A1779">
        <v>5513410000</v>
      </c>
      <c r="B1779" s="16" t="s">
        <v>20348</v>
      </c>
      <c r="C1779" s="16" t="e">
        <f>VLOOKUP(Table1[[#This Row],[Node]],Parent!A:B,2,0)</f>
        <v>#N/A</v>
      </c>
      <c r="D1779" s="25" t="s">
        <v>19346</v>
      </c>
      <c r="E1779" s="26" t="s">
        <v>16544</v>
      </c>
      <c r="F1779" s="27" t="s">
        <v>18242</v>
      </c>
      <c r="G1779" s="27" t="s">
        <v>18243</v>
      </c>
      <c r="H1779" s="27" t="s">
        <v>18244</v>
      </c>
      <c r="I1779" s="27" t="s">
        <v>18287</v>
      </c>
      <c r="J1779" s="27"/>
      <c r="K1779" s="27"/>
      <c r="L1779" s="27"/>
      <c r="N1779" s="27"/>
      <c r="T1779" s="28" t="str">
        <f>LOOKUP(1,1/(Table1[[#This Row],[Level_0]:[Level 15]]&gt;0),(Table1[[#This Row],[Level_0]:[Level 15]]))</f>
        <v>5513410000 - [IC Exp - SMS - R&amp;D Analytic-5% for GED]</v>
      </c>
      <c r="U1779" s="22">
        <v>1774</v>
      </c>
      <c r="W1779" s="13" t="str">
        <f>LOOKUP(1,1/(Table1[[#This Row],[Level_0]:[Level 15]]&gt;0),(Table1[[#This Row],[Level_0]:[Level 15]]))</f>
        <v>5513410000 - [IC Exp - SMS - R&amp;D Analytic-5% for GED]</v>
      </c>
    </row>
    <row r="1780" spans="1:23" hidden="1" x14ac:dyDescent="0.25">
      <c r="A1780">
        <v>5513310000</v>
      </c>
      <c r="B1780" s="16" t="s">
        <v>20347</v>
      </c>
      <c r="C1780" s="16" t="e">
        <f>VLOOKUP(Table1[[#This Row],[Node]],Parent!A:B,2,0)</f>
        <v>#N/A</v>
      </c>
      <c r="D1780" s="25" t="s">
        <v>19346</v>
      </c>
      <c r="E1780" s="26" t="s">
        <v>16544</v>
      </c>
      <c r="F1780" s="27" t="s">
        <v>18242</v>
      </c>
      <c r="G1780" s="27" t="s">
        <v>18243</v>
      </c>
      <c r="H1780" s="27" t="s">
        <v>18244</v>
      </c>
      <c r="I1780" s="27" t="s">
        <v>18288</v>
      </c>
      <c r="J1780" s="27"/>
      <c r="K1780" s="27"/>
      <c r="L1780" s="27"/>
      <c r="N1780" s="27"/>
      <c r="T1780" s="28" t="str">
        <f>LOOKUP(1,1/(Table1[[#This Row],[Level_0]:[Level 15]]&gt;0),(Table1[[#This Row],[Level_0]:[Level 15]]))</f>
        <v>5513310000 - [IC Exp - SMS - R&amp;D Analytic-5%- TIP iONC]</v>
      </c>
      <c r="U1780" s="22">
        <v>1775</v>
      </c>
      <c r="W1780" s="13" t="str">
        <f>LOOKUP(1,1/(Table1[[#This Row],[Level_0]:[Level 15]]&gt;0),(Table1[[#This Row],[Level_0]:[Level 15]]))</f>
        <v>5513310000 - [IC Exp - SMS - R&amp;D Analytic-5%- TIP iONC]</v>
      </c>
    </row>
    <row r="1781" spans="1:23" hidden="1" x14ac:dyDescent="0.25">
      <c r="A1781">
        <v>5513210000</v>
      </c>
      <c r="B1781" s="16" t="s">
        <v>20346</v>
      </c>
      <c r="C1781" s="16" t="e">
        <f>VLOOKUP(Table1[[#This Row],[Node]],Parent!A:B,2,0)</f>
        <v>#N/A</v>
      </c>
      <c r="D1781" s="25" t="s">
        <v>19346</v>
      </c>
      <c r="E1781" s="26" t="s">
        <v>16544</v>
      </c>
      <c r="F1781" s="27" t="s">
        <v>18242</v>
      </c>
      <c r="G1781" s="27" t="s">
        <v>18243</v>
      </c>
      <c r="H1781" s="27" t="s">
        <v>18244</v>
      </c>
      <c r="I1781" s="27" t="s">
        <v>18289</v>
      </c>
      <c r="J1781" s="27"/>
      <c r="K1781" s="27"/>
      <c r="L1781" s="27"/>
      <c r="N1781" s="27"/>
      <c r="T1781" s="28" t="str">
        <f>LOOKUP(1,1/(Table1[[#This Row],[Level_0]:[Level 15]]&gt;0),(Table1[[#This Row],[Level_0]:[Level 15]]))</f>
        <v>5513210000 - [IC Exp - SMS - R&amp;D Analytic-5% - TIP ONC]</v>
      </c>
      <c r="U1781" s="22">
        <v>1776</v>
      </c>
      <c r="W1781" s="13" t="str">
        <f>LOOKUP(1,1/(Table1[[#This Row],[Level_0]:[Level 15]]&gt;0),(Table1[[#This Row],[Level_0]:[Level 15]]))</f>
        <v>5513210000 - [IC Exp - SMS - R&amp;D Analytic-5% - TIP ONC]</v>
      </c>
    </row>
    <row r="1782" spans="1:23" hidden="1" x14ac:dyDescent="0.25">
      <c r="A1782">
        <v>5513110000</v>
      </c>
      <c r="B1782" s="16" t="s">
        <v>20345</v>
      </c>
      <c r="C1782" s="16" t="e">
        <f>VLOOKUP(Table1[[#This Row],[Node]],Parent!A:B,2,0)</f>
        <v>#N/A</v>
      </c>
      <c r="D1782" s="25" t="s">
        <v>19346</v>
      </c>
      <c r="E1782" s="26" t="s">
        <v>16544</v>
      </c>
      <c r="F1782" s="27" t="s">
        <v>18242</v>
      </c>
      <c r="G1782" s="27" t="s">
        <v>18243</v>
      </c>
      <c r="H1782" s="27" t="s">
        <v>18244</v>
      </c>
      <c r="I1782" s="27" t="s">
        <v>18290</v>
      </c>
      <c r="J1782" s="27"/>
      <c r="K1782" s="27"/>
      <c r="L1782" s="27"/>
      <c r="N1782" s="27"/>
      <c r="T1782" s="28" t="str">
        <f>LOOKUP(1,1/(Table1[[#This Row],[Level_0]:[Level 15]]&gt;0),(Table1[[#This Row],[Level_0]:[Level 15]]))</f>
        <v>5513110000 - [IC Exp - SMS - R&amp;D Analytic-5% - TIP IMM]</v>
      </c>
      <c r="U1782" s="22">
        <v>1777</v>
      </c>
      <c r="W1782" s="13" t="str">
        <f>LOOKUP(1,1/(Table1[[#This Row],[Level_0]:[Level 15]]&gt;0),(Table1[[#This Row],[Level_0]:[Level 15]]))</f>
        <v>5513110000 - [IC Exp - SMS - R&amp;D Analytic-5% - TIP IMM]</v>
      </c>
    </row>
    <row r="1783" spans="1:23" hidden="1" x14ac:dyDescent="0.25">
      <c r="A1783">
        <v>5513010000</v>
      </c>
      <c r="B1783" s="16" t="s">
        <v>20344</v>
      </c>
      <c r="C1783" s="16" t="e">
        <f>VLOOKUP(Table1[[#This Row],[Node]],Parent!A:B,2,0)</f>
        <v>#N/A</v>
      </c>
      <c r="D1783" s="25" t="s">
        <v>19346</v>
      </c>
      <c r="E1783" s="26" t="s">
        <v>16544</v>
      </c>
      <c r="F1783" s="27" t="s">
        <v>18242</v>
      </c>
      <c r="G1783" s="27" t="s">
        <v>18243</v>
      </c>
      <c r="H1783" s="27" t="s">
        <v>18244</v>
      </c>
      <c r="I1783" s="27" t="s">
        <v>18291</v>
      </c>
      <c r="J1783" s="27"/>
      <c r="K1783" s="27"/>
      <c r="L1783" s="27"/>
      <c r="N1783" s="27"/>
      <c r="T1783" s="28" t="str">
        <f>LOOKUP(1,1/(Table1[[#This Row],[Level_0]:[Level 15]]&gt;0),(Table1[[#This Row],[Level_0]:[Level 15]]))</f>
        <v>5513010000 - [IC Exp - SMS - R&amp;D Analytic-5% for DT]</v>
      </c>
      <c r="U1783" s="22">
        <v>1778</v>
      </c>
      <c r="W1783" s="13" t="str">
        <f>LOOKUP(1,1/(Table1[[#This Row],[Level_0]:[Level 15]]&gt;0),(Table1[[#This Row],[Level_0]:[Level 15]]))</f>
        <v>5513010000 - [IC Exp - SMS - R&amp;D Analytic-5% for DT]</v>
      </c>
    </row>
    <row r="1784" spans="1:23" hidden="1" x14ac:dyDescent="0.25">
      <c r="A1784">
        <v>5512416000</v>
      </c>
      <c r="B1784" s="16" t="s">
        <v>20341</v>
      </c>
      <c r="C1784" s="16" t="e">
        <f>VLOOKUP(Table1[[#This Row],[Node]],Parent!A:B,2,0)</f>
        <v>#N/A</v>
      </c>
      <c r="D1784" s="25" t="s">
        <v>19346</v>
      </c>
      <c r="E1784" s="26" t="s">
        <v>16544</v>
      </c>
      <c r="F1784" s="27" t="s">
        <v>18242</v>
      </c>
      <c r="G1784" s="27" t="s">
        <v>18243</v>
      </c>
      <c r="H1784" s="27" t="s">
        <v>18244</v>
      </c>
      <c r="I1784" s="27" t="s">
        <v>18292</v>
      </c>
      <c r="J1784" s="27"/>
      <c r="K1784" s="27"/>
      <c r="L1784" s="27"/>
      <c r="N1784" s="27"/>
      <c r="T1784" s="28" t="str">
        <f>LOOKUP(1,1/(Table1[[#This Row],[Level_0]:[Level 15]]&gt;0),(Table1[[#This Row],[Level_0]:[Level 15]]))</f>
        <v>5512416000 - [IC Expenses - R&amp;D - Manual - CorrAcc]</v>
      </c>
      <c r="U1784" s="22">
        <v>1779</v>
      </c>
      <c r="W1784" s="13" t="str">
        <f>LOOKUP(1,1/(Table1[[#This Row],[Level_0]:[Level 15]]&gt;0),(Table1[[#This Row],[Level_0]:[Level 15]]))</f>
        <v>5512416000 - [IC Expenses - R&amp;D - Manual - CorrAcc]</v>
      </c>
    </row>
    <row r="1785" spans="1:23" hidden="1" x14ac:dyDescent="0.25">
      <c r="A1785">
        <v>5230020000</v>
      </c>
      <c r="B1785" s="16" t="s">
        <v>20208</v>
      </c>
      <c r="C1785" s="16" t="e">
        <f>VLOOKUP(Table1[[#This Row],[Node]],Parent!A:B,2,0)</f>
        <v>#N/A</v>
      </c>
      <c r="D1785" s="25" t="s">
        <v>19346</v>
      </c>
      <c r="E1785" s="26" t="s">
        <v>16544</v>
      </c>
      <c r="F1785" s="27" t="s">
        <v>18242</v>
      </c>
      <c r="G1785" s="27" t="s">
        <v>18243</v>
      </c>
      <c r="H1785" s="27" t="s">
        <v>18244</v>
      </c>
      <c r="I1785" s="27" t="s">
        <v>18293</v>
      </c>
      <c r="J1785" s="27"/>
      <c r="K1785" s="27"/>
      <c r="L1785" s="27"/>
      <c r="N1785" s="27"/>
      <c r="T1785" s="28" t="str">
        <f>LOOKUP(1,1/(Table1[[#This Row],[Level_0]:[Level 15]]&gt;0),(Table1[[#This Row],[Level_0]:[Level 15]]))</f>
        <v>5230020000 - [IC Exp - SMS - Analytics]</v>
      </c>
      <c r="U1785" s="22">
        <v>1780</v>
      </c>
      <c r="W1785" s="13" t="str">
        <f>LOOKUP(1,1/(Table1[[#This Row],[Level_0]:[Level 15]]&gt;0),(Table1[[#This Row],[Level_0]:[Level 15]]))</f>
        <v>5230020000 - [IC Exp - SMS - Analytics]</v>
      </c>
    </row>
    <row r="1786" spans="1:23" hidden="1" x14ac:dyDescent="0.25">
      <c r="A1786">
        <v>7600320011</v>
      </c>
      <c r="B1786" s="16" t="s">
        <v>21459</v>
      </c>
      <c r="C1786" s="16" t="e">
        <f>VLOOKUP(Table1[[#This Row],[Node]],Parent!A:B,2,0)</f>
        <v>#N/A</v>
      </c>
      <c r="D1786" s="25" t="s">
        <v>19346</v>
      </c>
      <c r="E1786" s="26" t="s">
        <v>16544</v>
      </c>
      <c r="F1786" s="27" t="s">
        <v>18242</v>
      </c>
      <c r="G1786" s="27" t="s">
        <v>18243</v>
      </c>
      <c r="H1786" s="27" t="s">
        <v>18244</v>
      </c>
      <c r="I1786" s="27" t="s">
        <v>18294</v>
      </c>
      <c r="J1786" s="27"/>
      <c r="K1786" s="27"/>
      <c r="L1786" s="27"/>
      <c r="N1786" s="27"/>
      <c r="T1786" s="28" t="str">
        <f>LOOKUP(1,1/(Table1[[#This Row],[Level_0]:[Level 15]]&gt;0),(Table1[[#This Row],[Level_0]:[Level 15]]))</f>
        <v>7600320011 - [DAA_Regulatory Project Support_H]</v>
      </c>
      <c r="U1786" s="22">
        <v>1781</v>
      </c>
      <c r="W1786" s="13" t="str">
        <f>LOOKUP(1,1/(Table1[[#This Row],[Level_0]:[Level 15]]&gt;0),(Table1[[#This Row],[Level_0]:[Level 15]]))</f>
        <v>7600320011 - [DAA_Regulatory Project Support_H]</v>
      </c>
    </row>
    <row r="1787" spans="1:23" hidden="1" x14ac:dyDescent="0.25">
      <c r="A1787">
        <v>7600320006</v>
      </c>
      <c r="B1787" s="16" t="s">
        <v>21457</v>
      </c>
      <c r="C1787" s="16" t="e">
        <f>VLOOKUP(Table1[[#This Row],[Node]],Parent!A:B,2,0)</f>
        <v>#N/A</v>
      </c>
      <c r="D1787" s="25" t="s">
        <v>19346</v>
      </c>
      <c r="E1787" s="26" t="s">
        <v>16544</v>
      </c>
      <c r="F1787" s="27" t="s">
        <v>18242</v>
      </c>
      <c r="G1787" s="27" t="s">
        <v>18243</v>
      </c>
      <c r="H1787" s="27" t="s">
        <v>18244</v>
      </c>
      <c r="I1787" s="27" t="s">
        <v>18295</v>
      </c>
      <c r="J1787" s="27"/>
      <c r="K1787" s="27"/>
      <c r="L1787" s="27"/>
      <c r="N1787" s="27"/>
      <c r="T1787" s="28" t="str">
        <f>LOOKUP(1,1/(Table1[[#This Row],[Level_0]:[Level 15]]&gt;0),(Table1[[#This Row],[Level_0]:[Level 15]]))</f>
        <v>7600320006 - [DAA_Toxicological R&amp;D Services_H]</v>
      </c>
      <c r="U1787" s="22">
        <v>1782</v>
      </c>
      <c r="W1787" s="13" t="str">
        <f>LOOKUP(1,1/(Table1[[#This Row],[Level_0]:[Level 15]]&gt;0),(Table1[[#This Row],[Level_0]:[Level 15]]))</f>
        <v>7600320006 - [DAA_Toxicological R&amp;D Services_H]</v>
      </c>
    </row>
    <row r="1788" spans="1:23" hidden="1" x14ac:dyDescent="0.25">
      <c r="A1788">
        <v>170501</v>
      </c>
      <c r="B1788" s="16" t="s">
        <v>19458</v>
      </c>
      <c r="C1788" s="16" t="e">
        <f>VLOOKUP(Table1[[#This Row],[Node]],Parent!A:B,2,0)</f>
        <v>#N/A</v>
      </c>
      <c r="D1788" s="25" t="s">
        <v>19346</v>
      </c>
      <c r="E1788" s="26" t="s">
        <v>16544</v>
      </c>
      <c r="F1788" s="27" t="s">
        <v>18242</v>
      </c>
      <c r="G1788" s="27" t="s">
        <v>18243</v>
      </c>
      <c r="H1788" s="27" t="s">
        <v>18296</v>
      </c>
      <c r="I1788" s="27"/>
      <c r="J1788" s="27"/>
      <c r="K1788" s="27"/>
      <c r="L1788" s="27"/>
      <c r="N1788" s="27"/>
      <c r="T1788" s="28" t="str">
        <f>LOOKUP(1,1/(Table1[[#This Row],[Level_0]:[Level 15]]&gt;0),(Table1[[#This Row],[Level_0]:[Level 15]]))</f>
        <v>170501 - [R&amp;D IPR Holder]</v>
      </c>
      <c r="U1788" s="22">
        <v>1783</v>
      </c>
      <c r="W1788" s="13" t="str">
        <f>LOOKUP(1,1/(Table1[[#This Row],[Level_0]:[Level 15]]&gt;0),(Table1[[#This Row],[Level_0]:[Level 15]]))</f>
        <v>170501 - [R&amp;D IPR Holder]</v>
      </c>
    </row>
    <row r="1789" spans="1:23" hidden="1" x14ac:dyDescent="0.25">
      <c r="A1789">
        <v>7440000004</v>
      </c>
      <c r="B1789" s="16" t="s">
        <v>21032</v>
      </c>
      <c r="C1789" s="16" t="e">
        <f>VLOOKUP(Table1[[#This Row],[Node]],Parent!A:B,2,0)</f>
        <v>#N/A</v>
      </c>
      <c r="D1789" s="25" t="s">
        <v>19346</v>
      </c>
      <c r="E1789" s="26" t="s">
        <v>16544</v>
      </c>
      <c r="F1789" s="27" t="s">
        <v>18242</v>
      </c>
      <c r="G1789" s="27" t="s">
        <v>18243</v>
      </c>
      <c r="H1789" s="27" t="s">
        <v>18296</v>
      </c>
      <c r="I1789" s="27" t="s">
        <v>18297</v>
      </c>
      <c r="J1789" s="27"/>
      <c r="K1789" s="27"/>
      <c r="L1789" s="27"/>
      <c r="N1789" s="27"/>
      <c r="T1789" s="28" t="str">
        <f>LOOKUP(1,1/(Table1[[#This Row],[Level_0]:[Level 15]]&gt;0),(Table1[[#This Row],[Level_0]:[Level 15]]))</f>
        <v>7440000004 - [SOM R&amp;D and Other TechOps (local)]</v>
      </c>
      <c r="U1789" s="22">
        <v>1784</v>
      </c>
      <c r="W1789" s="13" t="str">
        <f>LOOKUP(1,1/(Table1[[#This Row],[Level_0]:[Level 15]]&gt;0),(Table1[[#This Row],[Level_0]:[Level 15]]))</f>
        <v>7440000004 - [SOM R&amp;D and Other TechOps (local)]</v>
      </c>
    </row>
    <row r="1790" spans="1:23" hidden="1" x14ac:dyDescent="0.25">
      <c r="A1790">
        <v>7440000001</v>
      </c>
      <c r="B1790" s="16" t="s">
        <v>21029</v>
      </c>
      <c r="C1790" s="16" t="e">
        <f>VLOOKUP(Table1[[#This Row],[Node]],Parent!A:B,2,0)</f>
        <v>#N/A</v>
      </c>
      <c r="D1790" s="25" t="s">
        <v>19346</v>
      </c>
      <c r="E1790" s="26" t="s">
        <v>16544</v>
      </c>
      <c r="F1790" s="27" t="s">
        <v>18242</v>
      </c>
      <c r="G1790" s="27" t="s">
        <v>18243</v>
      </c>
      <c r="H1790" s="27" t="s">
        <v>18296</v>
      </c>
      <c r="I1790" s="27" t="s">
        <v>18298</v>
      </c>
      <c r="J1790" s="27"/>
      <c r="K1790" s="27"/>
      <c r="L1790" s="27"/>
      <c r="N1790" s="27"/>
      <c r="T1790" s="28" t="str">
        <f>LOOKUP(1,1/(Table1[[#This Row],[Level_0]:[Level 15]]&gt;0),(Table1[[#This Row],[Level_0]:[Level 15]]))</f>
        <v>7440000001 - [SOM R&amp;D and Other TechOps]</v>
      </c>
      <c r="U1790" s="22">
        <v>1785</v>
      </c>
      <c r="W1790" s="13" t="str">
        <f>LOOKUP(1,1/(Table1[[#This Row],[Level_0]:[Level 15]]&gt;0),(Table1[[#This Row],[Level_0]:[Level 15]]))</f>
        <v>7440000001 - [SOM R&amp;D and Other TechOps]</v>
      </c>
    </row>
    <row r="1791" spans="1:23" hidden="1" x14ac:dyDescent="0.25">
      <c r="A1791">
        <v>5981510000</v>
      </c>
      <c r="B1791" s="16" t="s">
        <v>20623</v>
      </c>
      <c r="C1791" s="16" t="e">
        <f>VLOOKUP(Table1[[#This Row],[Node]],Parent!A:B,2,0)</f>
        <v>#N/A</v>
      </c>
      <c r="D1791" s="25" t="s">
        <v>19346</v>
      </c>
      <c r="E1791" s="26" t="s">
        <v>16544</v>
      </c>
      <c r="F1791" s="27" t="s">
        <v>18242</v>
      </c>
      <c r="G1791" s="27" t="s">
        <v>18243</v>
      </c>
      <c r="H1791" s="27" t="s">
        <v>18296</v>
      </c>
      <c r="I1791" s="27" t="s">
        <v>18299</v>
      </c>
      <c r="J1791" s="27"/>
      <c r="K1791" s="27"/>
      <c r="L1791" s="27"/>
      <c r="N1791" s="27"/>
      <c r="T1791" s="28" t="str">
        <f>LOOKUP(1,1/(Table1[[#This Row],[Level_0]:[Level 15]]&gt;0),(Table1[[#This Row],[Level_0]:[Level 15]]))</f>
        <v>5981510000 - [Reimbursement IC - Global R&amp;D]</v>
      </c>
      <c r="U1791" s="22">
        <v>1786</v>
      </c>
      <c r="W1791" s="13" t="str">
        <f>LOOKUP(1,1/(Table1[[#This Row],[Level_0]:[Level 15]]&gt;0),(Table1[[#This Row],[Level_0]:[Level 15]]))</f>
        <v>5981510000 - [Reimbursement IC - Global R&amp;D]</v>
      </c>
    </row>
    <row r="1792" spans="1:23" hidden="1" x14ac:dyDescent="0.25">
      <c r="A1792">
        <v>5512410000</v>
      </c>
      <c r="B1792" s="16" t="s">
        <v>20340</v>
      </c>
      <c r="C1792" s="16" t="e">
        <f>VLOOKUP(Table1[[#This Row],[Node]],Parent!A:B,2,0)</f>
        <v>#N/A</v>
      </c>
      <c r="D1792" s="25" t="s">
        <v>19346</v>
      </c>
      <c r="E1792" s="26" t="s">
        <v>16544</v>
      </c>
      <c r="F1792" s="27" t="s">
        <v>18242</v>
      </c>
      <c r="G1792" s="27" t="s">
        <v>18243</v>
      </c>
      <c r="H1792" s="27" t="s">
        <v>18296</v>
      </c>
      <c r="I1792" s="27" t="s">
        <v>18300</v>
      </c>
      <c r="J1792" s="27"/>
      <c r="K1792" s="27"/>
      <c r="L1792" s="27"/>
      <c r="N1792" s="27"/>
      <c r="T1792" s="28" t="str">
        <f>LOOKUP(1,1/(Table1[[#This Row],[Level_0]:[Level 15]]&gt;0),(Table1[[#This Row],[Level_0]:[Level 15]]))</f>
        <v>5512410000 - [IC Expenses - R&amp;D - Cost Charges]</v>
      </c>
      <c r="U1792" s="22">
        <v>1787</v>
      </c>
      <c r="W1792" s="13" t="str">
        <f>LOOKUP(1,1/(Table1[[#This Row],[Level_0]:[Level 15]]&gt;0),(Table1[[#This Row],[Level_0]:[Level 15]]))</f>
        <v>5512410000 - [IC Expenses - R&amp;D - Cost Charges]</v>
      </c>
    </row>
    <row r="1793" spans="1:23" hidden="1" x14ac:dyDescent="0.25">
      <c r="A1793">
        <v>5512210000</v>
      </c>
      <c r="B1793" s="16" t="s">
        <v>20339</v>
      </c>
      <c r="C1793" s="16" t="e">
        <f>VLOOKUP(Table1[[#This Row],[Node]],Parent!A:B,2,0)</f>
        <v>#N/A</v>
      </c>
      <c r="D1793" s="25" t="s">
        <v>19346</v>
      </c>
      <c r="E1793" s="26" t="s">
        <v>16544</v>
      </c>
      <c r="F1793" s="27" t="s">
        <v>18242</v>
      </c>
      <c r="G1793" s="27" t="s">
        <v>18243</v>
      </c>
      <c r="H1793" s="27" t="s">
        <v>18296</v>
      </c>
      <c r="I1793" s="27" t="s">
        <v>18301</v>
      </c>
      <c r="J1793" s="27"/>
      <c r="K1793" s="27"/>
      <c r="L1793" s="27"/>
      <c r="N1793" s="27"/>
      <c r="T1793" s="28" t="str">
        <f>LOOKUP(1,1/(Table1[[#This Row],[Level_0]:[Level 15]]&gt;0),(Table1[[#This Row],[Level_0]:[Level 15]]))</f>
        <v>5512210000 - [IC Expenses - R&amp;D - Service Charges]</v>
      </c>
      <c r="U1793" s="22">
        <v>1788</v>
      </c>
      <c r="W1793" s="13" t="str">
        <f>LOOKUP(1,1/(Table1[[#This Row],[Level_0]:[Level 15]]&gt;0),(Table1[[#This Row],[Level_0]:[Level 15]]))</f>
        <v>5512210000 - [IC Expenses - R&amp;D - Service Charges]</v>
      </c>
    </row>
    <row r="1794" spans="1:23" hidden="1" x14ac:dyDescent="0.25">
      <c r="A1794">
        <v>7420000002</v>
      </c>
      <c r="B1794" s="16" t="s">
        <v>21025</v>
      </c>
      <c r="C1794" s="16" t="e">
        <f>VLOOKUP(Table1[[#This Row],[Node]],Parent!A:B,2,0)</f>
        <v>#N/A</v>
      </c>
      <c r="D1794" s="25" t="s">
        <v>19346</v>
      </c>
      <c r="E1794" s="26" t="s">
        <v>16544</v>
      </c>
      <c r="F1794" s="27" t="s">
        <v>18242</v>
      </c>
      <c r="G1794" s="27" t="s">
        <v>18243</v>
      </c>
      <c r="H1794" s="27" t="s">
        <v>18296</v>
      </c>
      <c r="I1794" s="27" t="s">
        <v>18302</v>
      </c>
      <c r="J1794" s="27"/>
      <c r="K1794" s="27"/>
      <c r="L1794" s="27"/>
      <c r="N1794" s="27"/>
      <c r="T1794" s="28" t="str">
        <f>LOOKUP(1,1/(Table1[[#This Row],[Level_0]:[Level 15]]&gt;0),(Table1[[#This Row],[Level_0]:[Level 15]]))</f>
        <v>7420000002 - [AOM Intercompany Charge R&amp;D]</v>
      </c>
      <c r="U1794" s="22">
        <v>1789</v>
      </c>
      <c r="W1794" s="13" t="str">
        <f>LOOKUP(1,1/(Table1[[#This Row],[Level_0]:[Level 15]]&gt;0),(Table1[[#This Row],[Level_0]:[Level 15]]))</f>
        <v>7420000002 - [AOM Intercompany Charge R&amp;D]</v>
      </c>
    </row>
    <row r="1795" spans="1:23" hidden="1" x14ac:dyDescent="0.25">
      <c r="A1795">
        <v>7420000003</v>
      </c>
      <c r="B1795" s="16" t="s">
        <v>21026</v>
      </c>
      <c r="C1795" s="16" t="e">
        <f>VLOOKUP(Table1[[#This Row],[Node]],Parent!A:B,2,0)</f>
        <v>#N/A</v>
      </c>
      <c r="D1795" s="25" t="s">
        <v>19346</v>
      </c>
      <c r="E1795" s="26" t="s">
        <v>16544</v>
      </c>
      <c r="F1795" s="27" t="s">
        <v>18242</v>
      </c>
      <c r="G1795" s="27" t="s">
        <v>18243</v>
      </c>
      <c r="H1795" s="27" t="s">
        <v>18296</v>
      </c>
      <c r="I1795" s="27" t="s">
        <v>18303</v>
      </c>
      <c r="J1795" s="27"/>
      <c r="K1795" s="27"/>
      <c r="L1795" s="27"/>
      <c r="N1795" s="27"/>
      <c r="T1795" s="28" t="str">
        <f>LOOKUP(1,1/(Table1[[#This Row],[Level_0]:[Level 15]]&gt;0),(Table1[[#This Row],[Level_0]:[Level 15]]))</f>
        <v>7420000003 - [AOM Intercompany Charge R&amp;D direct]</v>
      </c>
      <c r="U1795" s="22">
        <v>1790</v>
      </c>
      <c r="W1795" s="13" t="str">
        <f>LOOKUP(1,1/(Table1[[#This Row],[Level_0]:[Level 15]]&gt;0),(Table1[[#This Row],[Level_0]:[Level 15]]))</f>
        <v>7420000003 - [AOM Intercompany Charge R&amp;D direct]</v>
      </c>
    </row>
    <row r="1796" spans="1:23" hidden="1" x14ac:dyDescent="0.25">
      <c r="A1796">
        <v>170400</v>
      </c>
      <c r="B1796" s="16" t="s">
        <v>19456</v>
      </c>
      <c r="C1796" s="16" t="e">
        <f>VLOOKUP(Table1[[#This Row],[Node]],Parent!A:B,2,0)</f>
        <v>#N/A</v>
      </c>
      <c r="D1796" s="25" t="s">
        <v>19346</v>
      </c>
      <c r="E1796" s="26" t="s">
        <v>16544</v>
      </c>
      <c r="F1796" s="27" t="s">
        <v>18242</v>
      </c>
      <c r="G1796" s="27" t="s">
        <v>18304</v>
      </c>
      <c r="H1796" s="27"/>
      <c r="I1796" s="27"/>
      <c r="J1796" s="27"/>
      <c r="K1796" s="27"/>
      <c r="L1796" s="27"/>
      <c r="N1796" s="27"/>
      <c r="T1796" s="28" t="str">
        <f>LOOKUP(1,1/(Table1[[#This Row],[Level_0]:[Level 15]]&gt;0),(Table1[[#This Row],[Level_0]:[Level 15]]))</f>
        <v>170400 - [Grants &amp; Reimbursements 3P]</v>
      </c>
      <c r="U1796" s="22">
        <v>1791</v>
      </c>
      <c r="W1796" s="13" t="str">
        <f>LOOKUP(1,1/(Table1[[#This Row],[Level_0]:[Level 15]]&gt;0),(Table1[[#This Row],[Level_0]:[Level 15]]))</f>
        <v>170400 - [Grants &amp; Reimbursements 3P]</v>
      </c>
    </row>
    <row r="1797" spans="1:23" hidden="1" x14ac:dyDescent="0.25">
      <c r="A1797">
        <v>3925000000</v>
      </c>
      <c r="B1797" s="16" t="s">
        <v>19680</v>
      </c>
      <c r="C1797" s="16" t="e">
        <f>VLOOKUP(Table1[[#This Row],[Node]],Parent!A:B,2,0)</f>
        <v>#N/A</v>
      </c>
      <c r="D1797" s="25" t="s">
        <v>19346</v>
      </c>
      <c r="E1797" s="26" t="s">
        <v>16544</v>
      </c>
      <c r="F1797" s="27" t="s">
        <v>18242</v>
      </c>
      <c r="G1797" s="27" t="s">
        <v>18304</v>
      </c>
      <c r="H1797" s="27" t="s">
        <v>18305</v>
      </c>
      <c r="I1797" s="27"/>
      <c r="J1797" s="27"/>
      <c r="K1797" s="27"/>
      <c r="L1797" s="27"/>
      <c r="N1797" s="27"/>
      <c r="T1797" s="28" t="str">
        <f>LOOKUP(1,1/(Table1[[#This Row],[Level_0]:[Level 15]]&gt;0),(Table1[[#This Row],[Level_0]:[Level 15]]))</f>
        <v>3925000000 - [Governmental Grants]</v>
      </c>
      <c r="U1797" s="22">
        <v>1792</v>
      </c>
      <c r="W1797" s="13" t="str">
        <f>LOOKUP(1,1/(Table1[[#This Row],[Level_0]:[Level 15]]&gt;0),(Table1[[#This Row],[Level_0]:[Level 15]]))</f>
        <v>3925000000 - [Governmental Grants]</v>
      </c>
    </row>
    <row r="1798" spans="1:23" hidden="1" x14ac:dyDescent="0.25">
      <c r="A1798">
        <v>3924000000</v>
      </c>
      <c r="B1798" s="16" t="s">
        <v>19679</v>
      </c>
      <c r="C1798" s="16" t="e">
        <f>VLOOKUP(Table1[[#This Row],[Node]],Parent!A:B,2,0)</f>
        <v>#N/A</v>
      </c>
      <c r="D1798" s="25" t="s">
        <v>19346</v>
      </c>
      <c r="E1798" s="26" t="s">
        <v>16544</v>
      </c>
      <c r="F1798" s="27" t="s">
        <v>18242</v>
      </c>
      <c r="G1798" s="27" t="s">
        <v>18304</v>
      </c>
      <c r="H1798" s="27" t="s">
        <v>18306</v>
      </c>
      <c r="I1798" s="27"/>
      <c r="J1798" s="27"/>
      <c r="K1798" s="27"/>
      <c r="L1798" s="27"/>
      <c r="N1798" s="27"/>
      <c r="T1798" s="28" t="str">
        <f>LOOKUP(1,1/(Table1[[#This Row],[Level_0]:[Level 15]]&gt;0),(Table1[[#This Row],[Level_0]:[Level 15]]))</f>
        <v>3924000000 - [Grants and Incentives Received]</v>
      </c>
      <c r="U1798" s="22">
        <v>1793</v>
      </c>
      <c r="W1798" s="13" t="str">
        <f>LOOKUP(1,1/(Table1[[#This Row],[Level_0]:[Level 15]]&gt;0),(Table1[[#This Row],[Level_0]:[Level 15]]))</f>
        <v>3924000000 - [Grants and Incentives Received]</v>
      </c>
    </row>
    <row r="1799" spans="1:23" hidden="1" x14ac:dyDescent="0.25">
      <c r="A1799">
        <v>3927000000</v>
      </c>
      <c r="B1799" s="16" t="s">
        <v>19693</v>
      </c>
      <c r="C1799" s="16" t="e">
        <f>VLOOKUP(Table1[[#This Row],[Node]],Parent!A:B,2,0)</f>
        <v>#N/A</v>
      </c>
      <c r="D1799" s="25" t="s">
        <v>19346</v>
      </c>
      <c r="E1799" s="26" t="s">
        <v>16544</v>
      </c>
      <c r="F1799" s="27" t="s">
        <v>18242</v>
      </c>
      <c r="G1799" s="27" t="s">
        <v>18304</v>
      </c>
      <c r="H1799" s="27" t="s">
        <v>18307</v>
      </c>
      <c r="I1799" s="27"/>
      <c r="J1799" s="27"/>
      <c r="K1799" s="27"/>
      <c r="L1799" s="27"/>
      <c r="N1799" s="27"/>
      <c r="T1799" s="28" t="str">
        <f>LOOKUP(1,1/(Table1[[#This Row],[Level_0]:[Level 15]]&gt;0),(Table1[[#This Row],[Level_0]:[Level 15]]))</f>
        <v>3927000000 - [Reimbursement of R&amp;D expenses – 3P]</v>
      </c>
      <c r="U1799" s="22">
        <v>1794</v>
      </c>
      <c r="W1799" s="13" t="str">
        <f>LOOKUP(1,1/(Table1[[#This Row],[Level_0]:[Level 15]]&gt;0),(Table1[[#This Row],[Level_0]:[Level 15]]))</f>
        <v>3927000000 - [Reimbursement of R&amp;D expenses – 3P]</v>
      </c>
    </row>
    <row r="1800" spans="1:23" hidden="1" x14ac:dyDescent="0.25">
      <c r="A1800">
        <v>170300</v>
      </c>
      <c r="B1800" s="16" t="s">
        <v>19455</v>
      </c>
      <c r="C1800" s="16" t="e">
        <f>VLOOKUP(Table1[[#This Row],[Node]],Parent!A:B,2,0)</f>
        <v>#N/A</v>
      </c>
      <c r="D1800" s="25" t="s">
        <v>19346</v>
      </c>
      <c r="E1800" s="26" t="s">
        <v>16544</v>
      </c>
      <c r="F1800" s="27" t="s">
        <v>18242</v>
      </c>
      <c r="G1800" s="27" t="s">
        <v>18308</v>
      </c>
      <c r="H1800" s="27"/>
      <c r="I1800" s="27"/>
      <c r="J1800" s="27"/>
      <c r="K1800" s="27"/>
      <c r="L1800" s="27"/>
      <c r="N1800" s="27"/>
      <c r="T1800" s="28" t="str">
        <f>LOOKUP(1,1/(Table1[[#This Row],[Level_0]:[Level 15]]&gt;0),(Table1[[#This Row],[Level_0]:[Level 15]]))</f>
        <v>170300 - [IPR Holder Accruals (HC)]</v>
      </c>
      <c r="U1800" s="22">
        <v>1795</v>
      </c>
      <c r="W1800" s="13" t="str">
        <f>LOOKUP(1,1/(Table1[[#This Row],[Level_0]:[Level 15]]&gt;0),(Table1[[#This Row],[Level_0]:[Level 15]]))</f>
        <v>170300 - [IPR Holder Accruals (HC)]</v>
      </c>
    </row>
    <row r="1801" spans="1:23" hidden="1" x14ac:dyDescent="0.25">
      <c r="A1801">
        <v>5540000000</v>
      </c>
      <c r="B1801" s="16" t="s">
        <v>20375</v>
      </c>
      <c r="C1801" s="16" t="e">
        <f>VLOOKUP(Table1[[#This Row],[Node]],Parent!A:B,2,0)</f>
        <v>#N/A</v>
      </c>
      <c r="D1801" s="25" t="s">
        <v>19346</v>
      </c>
      <c r="E1801" s="26" t="s">
        <v>16544</v>
      </c>
      <c r="F1801" s="27" t="s">
        <v>18242</v>
      </c>
      <c r="G1801" s="27" t="s">
        <v>18308</v>
      </c>
      <c r="H1801" s="27" t="s">
        <v>18309</v>
      </c>
      <c r="I1801" s="27"/>
      <c r="J1801" s="27"/>
      <c r="K1801" s="27"/>
      <c r="L1801" s="27"/>
      <c r="N1801" s="27"/>
      <c r="T1801" s="28" t="str">
        <f>LOOKUP(1,1/(Table1[[#This Row],[Level_0]:[Level 15]]&gt;0),(Table1[[#This Row],[Level_0]:[Level 15]]))</f>
        <v>5540000000 - [Ext R&amp;D Serv Costs - Accr IPR-Holder Exp]</v>
      </c>
      <c r="U1801" s="22">
        <v>1796</v>
      </c>
      <c r="W1801" s="13" t="str">
        <f>LOOKUP(1,1/(Table1[[#This Row],[Level_0]:[Level 15]]&gt;0),(Table1[[#This Row],[Level_0]:[Level 15]]))</f>
        <v>5540000000 - [Ext R&amp;D Serv Costs - Accr IPR-Holder Exp]</v>
      </c>
    </row>
    <row r="1802" spans="1:23" hidden="1" x14ac:dyDescent="0.25">
      <c r="A1802">
        <v>170200</v>
      </c>
      <c r="B1802" s="16" t="s">
        <v>19454</v>
      </c>
      <c r="C1802" s="16" t="e">
        <f>VLOOKUP(Table1[[#This Row],[Node]],Parent!A:B,2,0)</f>
        <v>#N/A</v>
      </c>
      <c r="D1802" s="25" t="s">
        <v>19346</v>
      </c>
      <c r="E1802" s="26" t="s">
        <v>16544</v>
      </c>
      <c r="F1802" s="27" t="s">
        <v>18242</v>
      </c>
      <c r="G1802" s="27" t="s">
        <v>18310</v>
      </c>
      <c r="H1802" s="27"/>
      <c r="I1802" s="27"/>
      <c r="J1802" s="27"/>
      <c r="K1802" s="27"/>
      <c r="L1802" s="27"/>
      <c r="N1802" s="27"/>
      <c r="T1802" s="28" t="str">
        <f>LOOKUP(1,1/(Table1[[#This Row],[Level_0]:[Level 15]]&gt;0),(Table1[[#This Row],[Level_0]:[Level 15]]))</f>
        <v>170200 - [Internal R&amp;D Services]</v>
      </c>
      <c r="U1802" s="22">
        <v>1797</v>
      </c>
      <c r="W1802" s="13" t="str">
        <f>LOOKUP(1,1/(Table1[[#This Row],[Level_0]:[Level 15]]&gt;0),(Table1[[#This Row],[Level_0]:[Level 15]]))</f>
        <v>170200 - [Internal R&amp;D Services]</v>
      </c>
    </row>
    <row r="1803" spans="1:23" hidden="1" x14ac:dyDescent="0.25">
      <c r="A1803">
        <v>7940000001</v>
      </c>
      <c r="B1803" s="16" t="s">
        <v>21964</v>
      </c>
      <c r="C1803" s="16" t="e">
        <f>VLOOKUP(Table1[[#This Row],[Node]],Parent!A:B,2,0)</f>
        <v>#N/A</v>
      </c>
      <c r="D1803" s="25" t="s">
        <v>19346</v>
      </c>
      <c r="E1803" s="26" t="s">
        <v>16544</v>
      </c>
      <c r="F1803" s="27" t="s">
        <v>18242</v>
      </c>
      <c r="G1803" s="27" t="s">
        <v>18310</v>
      </c>
      <c r="H1803" s="27" t="s">
        <v>18311</v>
      </c>
      <c r="I1803" s="27"/>
      <c r="J1803" s="27"/>
      <c r="K1803" s="27"/>
      <c r="L1803" s="27"/>
      <c r="N1803" s="27"/>
      <c r="T1803" s="28" t="str">
        <f>LOOKUP(1,1/(Table1[[#This Row],[Level_0]:[Level 15]]&gt;0),(Table1[[#This Row],[Level_0]:[Level 15]]))</f>
        <v>7940000001 - [SOM - Analytics settlement]</v>
      </c>
      <c r="U1803" s="22">
        <v>1798</v>
      </c>
      <c r="W1803" s="13" t="str">
        <f>LOOKUP(1,1/(Table1[[#This Row],[Level_0]:[Level 15]]&gt;0),(Table1[[#This Row],[Level_0]:[Level 15]]))</f>
        <v>7940000001 - [SOM - Analytics settlement]</v>
      </c>
    </row>
    <row r="1804" spans="1:23" hidden="1" x14ac:dyDescent="0.25">
      <c r="A1804">
        <v>7920000013</v>
      </c>
      <c r="B1804" s="16" t="s">
        <v>21957</v>
      </c>
      <c r="C1804" s="16" t="e">
        <f>VLOOKUP(Table1[[#This Row],[Node]],Parent!A:B,2,0)</f>
        <v>#N/A</v>
      </c>
      <c r="D1804" s="25" t="s">
        <v>19346</v>
      </c>
      <c r="E1804" s="26" t="s">
        <v>16544</v>
      </c>
      <c r="F1804" s="27" t="s">
        <v>18242</v>
      </c>
      <c r="G1804" s="27" t="s">
        <v>18310</v>
      </c>
      <c r="H1804" s="27" t="s">
        <v>18312</v>
      </c>
      <c r="I1804" s="27"/>
      <c r="J1804" s="27"/>
      <c r="K1804" s="27"/>
      <c r="L1804" s="27"/>
      <c r="N1804" s="27"/>
      <c r="T1804" s="28" t="str">
        <f>LOOKUP(1,1/(Table1[[#This Row],[Level_0]:[Level 15]]&gt;0),(Table1[[#This Row],[Level_0]:[Level 15]]))</f>
        <v>7920000013 - [AOM DIV R&amp;D ExtendToxicolServ]</v>
      </c>
      <c r="U1804" s="22">
        <v>1799</v>
      </c>
      <c r="W1804" s="13" t="str">
        <f>LOOKUP(1,1/(Table1[[#This Row],[Level_0]:[Level 15]]&gt;0),(Table1[[#This Row],[Level_0]:[Level 15]]))</f>
        <v>7920000013 - [AOM DIV R&amp;D ExtendToxicolServ]</v>
      </c>
    </row>
    <row r="1805" spans="1:23" hidden="1" x14ac:dyDescent="0.25">
      <c r="A1805">
        <v>7920000012</v>
      </c>
      <c r="B1805" s="16" t="s">
        <v>21956</v>
      </c>
      <c r="C1805" s="16" t="e">
        <f>VLOOKUP(Table1[[#This Row],[Node]],Parent!A:B,2,0)</f>
        <v>#N/A</v>
      </c>
      <c r="D1805" s="25" t="s">
        <v>19346</v>
      </c>
      <c r="E1805" s="26" t="s">
        <v>16544</v>
      </c>
      <c r="F1805" s="27" t="s">
        <v>18242</v>
      </c>
      <c r="G1805" s="27" t="s">
        <v>18310</v>
      </c>
      <c r="H1805" s="27" t="s">
        <v>18313</v>
      </c>
      <c r="I1805" s="27"/>
      <c r="J1805" s="27"/>
      <c r="K1805" s="27"/>
      <c r="L1805" s="27"/>
      <c r="N1805" s="27"/>
      <c r="T1805" s="28" t="str">
        <f>LOOKUP(1,1/(Table1[[#This Row],[Level_0]:[Level 15]]&gt;0),(Table1[[#This Row],[Level_0]:[Level 15]]))</f>
        <v>7920000012 - [AOM DIV R&amp;D BasicToxicologSer]</v>
      </c>
      <c r="U1805" s="22">
        <v>1800</v>
      </c>
      <c r="W1805" s="13" t="str">
        <f>LOOKUP(1,1/(Table1[[#This Row],[Level_0]:[Level 15]]&gt;0),(Table1[[#This Row],[Level_0]:[Level 15]]))</f>
        <v>7920000012 - [AOM DIV R&amp;D BasicToxicologSer]</v>
      </c>
    </row>
    <row r="1806" spans="1:23" hidden="1" x14ac:dyDescent="0.25">
      <c r="A1806">
        <v>7920000011</v>
      </c>
      <c r="B1806" s="16" t="s">
        <v>21955</v>
      </c>
      <c r="C1806" s="16" t="e">
        <f>VLOOKUP(Table1[[#This Row],[Node]],Parent!A:B,2,0)</f>
        <v>#N/A</v>
      </c>
      <c r="D1806" s="25" t="s">
        <v>19346</v>
      </c>
      <c r="E1806" s="26" t="s">
        <v>16544</v>
      </c>
      <c r="F1806" s="27" t="s">
        <v>18242</v>
      </c>
      <c r="G1806" s="27" t="s">
        <v>18310</v>
      </c>
      <c r="H1806" s="27" t="s">
        <v>18314</v>
      </c>
      <c r="I1806" s="27"/>
      <c r="J1806" s="27"/>
      <c r="K1806" s="27"/>
      <c r="L1806" s="27"/>
      <c r="N1806" s="27"/>
      <c r="T1806" s="28" t="str">
        <f>LOOKUP(1,1/(Table1[[#This Row],[Level_0]:[Level 15]]&gt;0),(Table1[[#This Row],[Level_0]:[Level 15]]))</f>
        <v>7920000011 - [AOM DIV R&amp;D Project Services]</v>
      </c>
      <c r="U1806" s="22">
        <v>1801</v>
      </c>
      <c r="W1806" s="13" t="str">
        <f>LOOKUP(1,1/(Table1[[#This Row],[Level_0]:[Level 15]]&gt;0),(Table1[[#This Row],[Level_0]:[Level 15]]))</f>
        <v>7920000011 - [AOM DIV R&amp;D Project Services]</v>
      </c>
    </row>
    <row r="1807" spans="1:23" hidden="1" x14ac:dyDescent="0.25">
      <c r="A1807">
        <v>7920000010</v>
      </c>
      <c r="B1807" s="16" t="s">
        <v>21954</v>
      </c>
      <c r="C1807" s="16" t="e">
        <f>VLOOKUP(Table1[[#This Row],[Node]],Parent!A:B,2,0)</f>
        <v>#N/A</v>
      </c>
      <c r="D1807" s="25" t="s">
        <v>19346</v>
      </c>
      <c r="E1807" s="26" t="s">
        <v>16544</v>
      </c>
      <c r="F1807" s="27" t="s">
        <v>18242</v>
      </c>
      <c r="G1807" s="27" t="s">
        <v>18310</v>
      </c>
      <c r="H1807" s="27" t="s">
        <v>18315</v>
      </c>
      <c r="I1807" s="27"/>
      <c r="J1807" s="27"/>
      <c r="K1807" s="27"/>
      <c r="L1807" s="27"/>
      <c r="N1807" s="27"/>
      <c r="T1807" s="28" t="str">
        <f>LOOKUP(1,1/(Table1[[#This Row],[Level_0]:[Level 15]]&gt;0),(Table1[[#This Row],[Level_0]:[Level 15]]))</f>
        <v>7920000010 - [AOM DIV Central Sampling]</v>
      </c>
      <c r="U1807" s="22">
        <v>1802</v>
      </c>
      <c r="W1807" s="13" t="str">
        <f>LOOKUP(1,1/(Table1[[#This Row],[Level_0]:[Level 15]]&gt;0),(Table1[[#This Row],[Level_0]:[Level 15]]))</f>
        <v>7920000010 - [AOM DIV Central Sampling]</v>
      </c>
    </row>
    <row r="1808" spans="1:23" hidden="1" x14ac:dyDescent="0.25">
      <c r="A1808">
        <v>7920000008</v>
      </c>
      <c r="B1808" s="16" t="s">
        <v>21952</v>
      </c>
      <c r="C1808" s="16" t="e">
        <f>VLOOKUP(Table1[[#This Row],[Node]],Parent!A:B,2,0)</f>
        <v>#N/A</v>
      </c>
      <c r="D1808" s="25" t="s">
        <v>19346</v>
      </c>
      <c r="E1808" s="26" t="s">
        <v>16544</v>
      </c>
      <c r="F1808" s="27" t="s">
        <v>18242</v>
      </c>
      <c r="G1808" s="27" t="s">
        <v>18310</v>
      </c>
      <c r="H1808" s="27" t="s">
        <v>18316</v>
      </c>
      <c r="I1808" s="27"/>
      <c r="J1808" s="27"/>
      <c r="K1808" s="27"/>
      <c r="L1808" s="27"/>
      <c r="N1808" s="27"/>
      <c r="T1808" s="28" t="str">
        <f>LOOKUP(1,1/(Table1[[#This Row],[Level_0]:[Level 15]]&gt;0),(Table1[[#This Row],[Level_0]:[Level 15]]))</f>
        <v>7920000008 - [AOM DIV Special Analytics]</v>
      </c>
      <c r="U1808" s="22">
        <v>1803</v>
      </c>
      <c r="W1808" s="13" t="str">
        <f>LOOKUP(1,1/(Table1[[#This Row],[Level_0]:[Level 15]]&gt;0),(Table1[[#This Row],[Level_0]:[Level 15]]))</f>
        <v>7920000008 - [AOM DIV Special Analytics]</v>
      </c>
    </row>
    <row r="1809" spans="1:23" hidden="1" x14ac:dyDescent="0.25">
      <c r="A1809">
        <v>7920000007</v>
      </c>
      <c r="B1809" s="16" t="s">
        <v>21951</v>
      </c>
      <c r="C1809" s="16" t="e">
        <f>VLOOKUP(Table1[[#This Row],[Node]],Parent!A:B,2,0)</f>
        <v>#N/A</v>
      </c>
      <c r="D1809" s="25" t="s">
        <v>19346</v>
      </c>
      <c r="E1809" s="26" t="s">
        <v>16544</v>
      </c>
      <c r="F1809" s="27" t="s">
        <v>18242</v>
      </c>
      <c r="G1809" s="27" t="s">
        <v>18310</v>
      </c>
      <c r="H1809" s="27" t="s">
        <v>18317</v>
      </c>
      <c r="I1809" s="27"/>
      <c r="J1809" s="27"/>
      <c r="K1809" s="27"/>
      <c r="L1809" s="27"/>
      <c r="N1809" s="27"/>
      <c r="T1809" s="28" t="str">
        <f>LOOKUP(1,1/(Table1[[#This Row],[Level_0]:[Level 15]]&gt;0),(Table1[[#This Row],[Level_0]:[Level 15]]))</f>
        <v>7920000007 - [AOM SM R&amp;D Blood Sampl f. GMS]</v>
      </c>
      <c r="U1809" s="22">
        <v>1804</v>
      </c>
      <c r="W1809" s="13" t="str">
        <f>LOOKUP(1,1/(Table1[[#This Row],[Level_0]:[Level 15]]&gt;0),(Table1[[#This Row],[Level_0]:[Level 15]]))</f>
        <v>7920000007 - [AOM SM R&amp;D Blood Sampl f. GMS]</v>
      </c>
    </row>
    <row r="1810" spans="1:23" hidden="1" x14ac:dyDescent="0.25">
      <c r="A1810">
        <v>7620330122</v>
      </c>
      <c r="B1810" s="16" t="s">
        <v>21585</v>
      </c>
      <c r="C1810" s="16" t="e">
        <f>VLOOKUP(Table1[[#This Row],[Node]],Parent!A:B,2,0)</f>
        <v>#N/A</v>
      </c>
      <c r="D1810" s="25" t="s">
        <v>19346</v>
      </c>
      <c r="E1810" s="26" t="s">
        <v>16544</v>
      </c>
      <c r="F1810" s="27" t="s">
        <v>18242</v>
      </c>
      <c r="G1810" s="27" t="s">
        <v>18310</v>
      </c>
      <c r="H1810" s="27" t="s">
        <v>18318</v>
      </c>
      <c r="I1810" s="27"/>
      <c r="J1810" s="27"/>
      <c r="K1810" s="27"/>
      <c r="L1810" s="27"/>
      <c r="N1810" s="27"/>
      <c r="T1810" s="28" t="str">
        <f>LOOKUP(1,1/(Table1[[#This Row],[Level_0]:[Level 15]]&gt;0),(Table1[[#This Row],[Level_0]:[Level 15]]))</f>
        <v>7620330122 - [AOM_P_PM-OT Project Service (ext)]</v>
      </c>
      <c r="U1810" s="22">
        <v>1805</v>
      </c>
      <c r="W1810" s="13" t="str">
        <f>LOOKUP(1,1/(Table1[[#This Row],[Level_0]:[Level 15]]&gt;0),(Table1[[#This Row],[Level_0]:[Level 15]]))</f>
        <v>7620330122 - [AOM_P_PM-OT Project Service (ext)]</v>
      </c>
    </row>
    <row r="1811" spans="1:23" hidden="1" x14ac:dyDescent="0.25">
      <c r="A1811">
        <v>7620330101</v>
      </c>
      <c r="B1811" s="16" t="s">
        <v>21580</v>
      </c>
      <c r="C1811" s="16" t="e">
        <f>VLOOKUP(Table1[[#This Row],[Node]],Parent!A:B,2,0)</f>
        <v>#N/A</v>
      </c>
      <c r="D1811" s="25" t="s">
        <v>19346</v>
      </c>
      <c r="E1811" s="26" t="s">
        <v>16544</v>
      </c>
      <c r="F1811" s="27" t="s">
        <v>18242</v>
      </c>
      <c r="G1811" s="27" t="s">
        <v>18310</v>
      </c>
      <c r="H1811" s="27" t="s">
        <v>18319</v>
      </c>
      <c r="I1811" s="27"/>
      <c r="J1811" s="27"/>
      <c r="K1811" s="27"/>
      <c r="L1811" s="27"/>
      <c r="N1811" s="27"/>
      <c r="T1811" s="28" t="str">
        <f>LOOKUP(1,1/(Table1[[#This Row],[Level_0]:[Level 15]]&gt;0),(Table1[[#This Row],[Level_0]:[Level 15]]))</f>
        <v>7620330101 - [AOM_Process dev. &amp; process eng.serv._P]</v>
      </c>
      <c r="U1811" s="22">
        <v>1806</v>
      </c>
      <c r="W1811" s="13" t="str">
        <f>LOOKUP(1,1/(Table1[[#This Row],[Level_0]:[Level 15]]&gt;0),(Table1[[#This Row],[Level_0]:[Level 15]]))</f>
        <v>7620330101 - [AOM_Process dev. &amp; process eng.serv._P]</v>
      </c>
    </row>
    <row r="1812" spans="1:23" hidden="1" x14ac:dyDescent="0.25">
      <c r="A1812">
        <v>7620300109</v>
      </c>
      <c r="B1812" s="16" t="s">
        <v>21559</v>
      </c>
      <c r="C1812" s="16" t="e">
        <f>VLOOKUP(Table1[[#This Row],[Node]],Parent!A:B,2,0)</f>
        <v>#N/A</v>
      </c>
      <c r="D1812" s="25" t="s">
        <v>19346</v>
      </c>
      <c r="E1812" s="26" t="s">
        <v>16544</v>
      </c>
      <c r="F1812" s="27" t="s">
        <v>18242</v>
      </c>
      <c r="G1812" s="27" t="s">
        <v>18310</v>
      </c>
      <c r="H1812" s="27" t="s">
        <v>18320</v>
      </c>
      <c r="I1812" s="27"/>
      <c r="J1812" s="27"/>
      <c r="K1812" s="27"/>
      <c r="L1812" s="27"/>
      <c r="N1812" s="27"/>
      <c r="T1812" s="28" t="str">
        <f>LOOKUP(1,1/(Table1[[#This Row],[Level_0]:[Level 15]]&gt;0),(Table1[[#This Row],[Level_0]:[Level 15]]))</f>
        <v>7620300109 - [AOM_EL-OT Pass-through]</v>
      </c>
      <c r="U1812" s="22">
        <v>1807</v>
      </c>
      <c r="W1812" s="13" t="str">
        <f>LOOKUP(1,1/(Table1[[#This Row],[Level_0]:[Level 15]]&gt;0),(Table1[[#This Row],[Level_0]:[Level 15]]))</f>
        <v>7620300109 - [AOM_EL-OT Pass-through]</v>
      </c>
    </row>
    <row r="1813" spans="1:23" hidden="1" x14ac:dyDescent="0.25">
      <c r="A1813">
        <v>7620000027</v>
      </c>
      <c r="B1813" s="16" t="s">
        <v>21552</v>
      </c>
      <c r="C1813" s="16" t="e">
        <f>VLOOKUP(Table1[[#This Row],[Node]],Parent!A:B,2,0)</f>
        <v>#N/A</v>
      </c>
      <c r="D1813" s="25" t="s">
        <v>19346</v>
      </c>
      <c r="E1813" s="26" t="s">
        <v>16544</v>
      </c>
      <c r="F1813" s="27" t="s">
        <v>18242</v>
      </c>
      <c r="G1813" s="27" t="s">
        <v>18310</v>
      </c>
      <c r="H1813" s="27" t="s">
        <v>18321</v>
      </c>
      <c r="I1813" s="27"/>
      <c r="J1813" s="27"/>
      <c r="K1813" s="27"/>
      <c r="L1813" s="27"/>
      <c r="N1813" s="27"/>
      <c r="T1813" s="28" t="str">
        <f>LOOKUP(1,1/(Table1[[#This Row],[Level_0]:[Level 15]]&gt;0),(Table1[[#This Row],[Level_0]:[Level 15]]))</f>
        <v>7620000027 - [AOM DIV R&amp;D Support]</v>
      </c>
      <c r="U1813" s="22">
        <v>1808</v>
      </c>
      <c r="W1813" s="13" t="str">
        <f>LOOKUP(1,1/(Table1[[#This Row],[Level_0]:[Level 15]]&gt;0),(Table1[[#This Row],[Level_0]:[Level 15]]))</f>
        <v>7620000027 - [AOM DIV R&amp;D Support]</v>
      </c>
    </row>
    <row r="1814" spans="1:23" hidden="1" x14ac:dyDescent="0.25">
      <c r="A1814">
        <v>7620000022</v>
      </c>
      <c r="B1814" s="16" t="s">
        <v>21548</v>
      </c>
      <c r="C1814" s="16" t="e">
        <f>VLOOKUP(Table1[[#This Row],[Node]],Parent!A:B,2,0)</f>
        <v>#N/A</v>
      </c>
      <c r="D1814" s="25" t="s">
        <v>19346</v>
      </c>
      <c r="E1814" s="26" t="s">
        <v>16544</v>
      </c>
      <c r="F1814" s="27" t="s">
        <v>18242</v>
      </c>
      <c r="G1814" s="27" t="s">
        <v>18310</v>
      </c>
      <c r="H1814" s="27" t="s">
        <v>18322</v>
      </c>
      <c r="I1814" s="27"/>
      <c r="J1814" s="27"/>
      <c r="K1814" s="27"/>
      <c r="L1814" s="27"/>
      <c r="N1814" s="27"/>
      <c r="T1814" s="28" t="str">
        <f>LOOKUP(1,1/(Table1[[#This Row],[Level_0]:[Level 15]]&gt;0),(Table1[[#This Row],[Level_0]:[Level 15]]))</f>
        <v>7620000022 - [AOM EL-OT Services]</v>
      </c>
      <c r="U1814" s="22">
        <v>1809</v>
      </c>
      <c r="W1814" s="13" t="str">
        <f>LOOKUP(1,1/(Table1[[#This Row],[Level_0]:[Level 15]]&gt;0),(Table1[[#This Row],[Level_0]:[Level 15]]))</f>
        <v>7620000022 - [AOM EL-OT Services]</v>
      </c>
    </row>
    <row r="1815" spans="1:23" hidden="1" x14ac:dyDescent="0.25">
      <c r="A1815">
        <v>7600320007</v>
      </c>
      <c r="B1815" s="16" t="s">
        <v>21458</v>
      </c>
      <c r="C1815" s="16" t="e">
        <f>VLOOKUP(Table1[[#This Row],[Node]],Parent!A:B,2,0)</f>
        <v>#N/A</v>
      </c>
      <c r="D1815" s="25" t="s">
        <v>19346</v>
      </c>
      <c r="E1815" s="26" t="s">
        <v>16544</v>
      </c>
      <c r="F1815" s="27" t="s">
        <v>18242</v>
      </c>
      <c r="G1815" s="27" t="s">
        <v>18310</v>
      </c>
      <c r="H1815" s="27" t="s">
        <v>18323</v>
      </c>
      <c r="I1815" s="27"/>
      <c r="J1815" s="27"/>
      <c r="K1815" s="27"/>
      <c r="L1815" s="27"/>
      <c r="N1815" s="27"/>
      <c r="T1815" s="28" t="str">
        <f>LOOKUP(1,1/(Table1[[#This Row],[Level_0]:[Level 15]]&gt;0),(Table1[[#This Row],[Level_0]:[Level 15]]))</f>
        <v>7600320007 - [DAA_Toxicological R&amp;D Services (ext.)_H]</v>
      </c>
      <c r="U1815" s="22">
        <v>1810</v>
      </c>
      <c r="W1815" s="13" t="str">
        <f>LOOKUP(1,1/(Table1[[#This Row],[Level_0]:[Level 15]]&gt;0),(Table1[[#This Row],[Level_0]:[Level 15]]))</f>
        <v>7600320007 - [DAA_Toxicological R&amp;D Services (ext.)_H]</v>
      </c>
    </row>
    <row r="1816" spans="1:23" hidden="1" x14ac:dyDescent="0.25">
      <c r="A1816">
        <v>7600320003</v>
      </c>
      <c r="B1816" s="16" t="s">
        <v>21455</v>
      </c>
      <c r="C1816" s="16" t="e">
        <f>VLOOKUP(Table1[[#This Row],[Node]],Parent!A:B,2,0)</f>
        <v>#N/A</v>
      </c>
      <c r="D1816" s="25" t="s">
        <v>19346</v>
      </c>
      <c r="E1816" s="26" t="s">
        <v>16544</v>
      </c>
      <c r="F1816" s="27" t="s">
        <v>18242</v>
      </c>
      <c r="G1816" s="27" t="s">
        <v>18310</v>
      </c>
      <c r="H1816" s="27" t="s">
        <v>18324</v>
      </c>
      <c r="I1816" s="27"/>
      <c r="J1816" s="27"/>
      <c r="K1816" s="27"/>
      <c r="L1816" s="27"/>
      <c r="N1816" s="27"/>
      <c r="T1816" s="28" t="str">
        <f>LOOKUP(1,1/(Table1[[#This Row],[Level_0]:[Level 15]]&gt;0),(Table1[[#This Row],[Level_0]:[Level 15]]))</f>
        <v>7600320003 - [DAA_R&amp;D Project Service (ext.)_H]</v>
      </c>
      <c r="U1816" s="22">
        <v>1811</v>
      </c>
      <c r="W1816" s="13" t="str">
        <f>LOOKUP(1,1/(Table1[[#This Row],[Level_0]:[Level 15]]&gt;0),(Table1[[#This Row],[Level_0]:[Level 15]]))</f>
        <v>7600320003 - [DAA_R&amp;D Project Service (ext.)_H]</v>
      </c>
    </row>
    <row r="1817" spans="1:23" hidden="1" x14ac:dyDescent="0.25">
      <c r="A1817">
        <v>7600320002</v>
      </c>
      <c r="B1817" s="16" t="s">
        <v>21454</v>
      </c>
      <c r="C1817" s="16" t="e">
        <f>VLOOKUP(Table1[[#This Row],[Node]],Parent!A:B,2,0)</f>
        <v>#N/A</v>
      </c>
      <c r="D1817" s="25" t="s">
        <v>19346</v>
      </c>
      <c r="E1817" s="26" t="s">
        <v>16544</v>
      </c>
      <c r="F1817" s="27" t="s">
        <v>18242</v>
      </c>
      <c r="G1817" s="27" t="s">
        <v>18310</v>
      </c>
      <c r="H1817" s="27" t="s">
        <v>18325</v>
      </c>
      <c r="I1817" s="27"/>
      <c r="J1817" s="27"/>
      <c r="K1817" s="27"/>
      <c r="L1817" s="27"/>
      <c r="N1817" s="27"/>
      <c r="T1817" s="28" t="str">
        <f>LOOKUP(1,1/(Table1[[#This Row],[Level_0]:[Level 15]]&gt;0),(Table1[[#This Row],[Level_0]:[Level 15]]))</f>
        <v>7600320002 - [DAA_R&amp;D Project Service_H]</v>
      </c>
      <c r="U1817" s="22">
        <v>1812</v>
      </c>
      <c r="W1817" s="13" t="str">
        <f>LOOKUP(1,1/(Table1[[#This Row],[Level_0]:[Level 15]]&gt;0),(Table1[[#This Row],[Level_0]:[Level 15]]))</f>
        <v>7600320002 - [DAA_R&amp;D Project Service_H]</v>
      </c>
    </row>
    <row r="1818" spans="1:23" hidden="1" x14ac:dyDescent="0.25">
      <c r="A1818">
        <v>7600304237</v>
      </c>
      <c r="B1818" s="16" t="s">
        <v>21428</v>
      </c>
      <c r="C1818" s="16" t="e">
        <f>VLOOKUP(Table1[[#This Row],[Node]],Parent!A:B,2,0)</f>
        <v>#N/A</v>
      </c>
      <c r="D1818" s="25" t="s">
        <v>19346</v>
      </c>
      <c r="E1818" s="26" t="s">
        <v>16544</v>
      </c>
      <c r="F1818" s="27" t="s">
        <v>18242</v>
      </c>
      <c r="G1818" s="27" t="s">
        <v>18310</v>
      </c>
      <c r="H1818" s="27" t="s">
        <v>18326</v>
      </c>
      <c r="I1818" s="27"/>
      <c r="J1818" s="27"/>
      <c r="K1818" s="27"/>
      <c r="L1818" s="27"/>
      <c r="N1818" s="27"/>
      <c r="T1818" s="28" t="str">
        <f>LOOKUP(1,1/(Table1[[#This Row],[Level_0]:[Level 15]]&gt;0),(Table1[[#This Row],[Level_0]:[Level 15]]))</f>
        <v>7600304237 - [DAA_IC Exp - SMS - Contractor Mgt X]</v>
      </c>
      <c r="U1818" s="22">
        <v>1813</v>
      </c>
      <c r="W1818" s="13" t="str">
        <f>LOOKUP(1,1/(Table1[[#This Row],[Level_0]:[Level 15]]&gt;0),(Table1[[#This Row],[Level_0]:[Level 15]]))</f>
        <v>7600304237 - [DAA_IC Exp - SMS - Contractor Mgt X]</v>
      </c>
    </row>
    <row r="1819" spans="1:23" hidden="1" x14ac:dyDescent="0.25">
      <c r="A1819">
        <v>7600300019</v>
      </c>
      <c r="B1819" s="16" t="s">
        <v>21113</v>
      </c>
      <c r="C1819" s="16" t="e">
        <f>VLOOKUP(Table1[[#This Row],[Node]],Parent!A:B,2,0)</f>
        <v>#N/A</v>
      </c>
      <c r="D1819" s="25" t="s">
        <v>19346</v>
      </c>
      <c r="E1819" s="26" t="s">
        <v>16544</v>
      </c>
      <c r="F1819" s="27" t="s">
        <v>18242</v>
      </c>
      <c r="G1819" s="27" t="s">
        <v>18310</v>
      </c>
      <c r="H1819" s="27" t="s">
        <v>18327</v>
      </c>
      <c r="I1819" s="27"/>
      <c r="J1819" s="27"/>
      <c r="K1819" s="27"/>
      <c r="L1819" s="27"/>
      <c r="N1819" s="27"/>
      <c r="T1819" s="28" t="str">
        <f>LOOKUP(1,1/(Table1[[#This Row],[Level_0]:[Level 15]]&gt;0),(Table1[[#This Row],[Level_0]:[Level 15]]))</f>
        <v>7600300019 - [DAA Troubleshooting analyt.]</v>
      </c>
      <c r="U1819" s="22">
        <v>1814</v>
      </c>
      <c r="W1819" s="13" t="str">
        <f>LOOKUP(1,1/(Table1[[#This Row],[Level_0]:[Level 15]]&gt;0),(Table1[[#This Row],[Level_0]:[Level 15]]))</f>
        <v>7600300019 - [DAA Troubleshooting analyt.]</v>
      </c>
    </row>
    <row r="1820" spans="1:23" hidden="1" x14ac:dyDescent="0.25">
      <c r="A1820">
        <v>7600300009</v>
      </c>
      <c r="B1820" s="16" t="s">
        <v>21103</v>
      </c>
      <c r="C1820" s="16" t="e">
        <f>VLOOKUP(Table1[[#This Row],[Node]],Parent!A:B,2,0)</f>
        <v>#N/A</v>
      </c>
      <c r="D1820" s="25" t="s">
        <v>19346</v>
      </c>
      <c r="E1820" s="26" t="s">
        <v>16544</v>
      </c>
      <c r="F1820" s="27" t="s">
        <v>18242</v>
      </c>
      <c r="G1820" s="27" t="s">
        <v>18310</v>
      </c>
      <c r="H1820" s="27" t="s">
        <v>18328</v>
      </c>
      <c r="I1820" s="27"/>
      <c r="J1820" s="27"/>
      <c r="K1820" s="27"/>
      <c r="L1820" s="27"/>
      <c r="N1820" s="27"/>
      <c r="T1820" s="28" t="str">
        <f>LOOKUP(1,1/(Table1[[#This Row],[Level_0]:[Level 15]]&gt;0),(Table1[[#This Row],[Level_0]:[Level 15]]))</f>
        <v>7600300009 - [DAA Measuring.Dev.Projects]</v>
      </c>
      <c r="U1820" s="22">
        <v>1815</v>
      </c>
      <c r="W1820" s="13" t="str">
        <f>LOOKUP(1,1/(Table1[[#This Row],[Level_0]:[Level 15]]&gt;0),(Table1[[#This Row],[Level_0]:[Level 15]]))</f>
        <v>7600300009 - [DAA Measuring.Dev.Projects]</v>
      </c>
    </row>
    <row r="1821" spans="1:23" hidden="1" x14ac:dyDescent="0.25">
      <c r="A1821">
        <v>7440000003</v>
      </c>
      <c r="B1821" s="16" t="s">
        <v>21031</v>
      </c>
      <c r="C1821" s="16" t="e">
        <f>VLOOKUP(Table1[[#This Row],[Node]],Parent!A:B,2,0)</f>
        <v>#N/A</v>
      </c>
      <c r="D1821" s="25" t="s">
        <v>19346</v>
      </c>
      <c r="E1821" s="26" t="s">
        <v>16544</v>
      </c>
      <c r="F1821" s="27" t="s">
        <v>18242</v>
      </c>
      <c r="G1821" s="27" t="s">
        <v>18310</v>
      </c>
      <c r="H1821" s="27" t="s">
        <v>18329</v>
      </c>
      <c r="I1821" s="27"/>
      <c r="J1821" s="27"/>
      <c r="K1821" s="27"/>
      <c r="L1821" s="27"/>
      <c r="N1821" s="27"/>
      <c r="T1821" s="28" t="str">
        <f>LOOKUP(1,1/(Table1[[#This Row],[Level_0]:[Level 15]]&gt;0),(Table1[[#This Row],[Level_0]:[Level 15]]))</f>
        <v>7440000003 - [SOM Gl. R&amp;D Other Income]</v>
      </c>
      <c r="U1821" s="22">
        <v>1816</v>
      </c>
      <c r="W1821" s="13" t="str">
        <f>LOOKUP(1,1/(Table1[[#This Row],[Level_0]:[Level 15]]&gt;0),(Table1[[#This Row],[Level_0]:[Level 15]]))</f>
        <v>7440000003 - [SOM Gl. R&amp;D Other Income]</v>
      </c>
    </row>
    <row r="1822" spans="1:23" hidden="1" x14ac:dyDescent="0.25">
      <c r="A1822">
        <v>7420000005</v>
      </c>
      <c r="B1822" s="16" t="s">
        <v>21028</v>
      </c>
      <c r="C1822" s="16" t="e">
        <f>VLOOKUP(Table1[[#This Row],[Node]],Parent!A:B,2,0)</f>
        <v>#N/A</v>
      </c>
      <c r="D1822" s="25" t="s">
        <v>19346</v>
      </c>
      <c r="E1822" s="26" t="s">
        <v>16544</v>
      </c>
      <c r="F1822" s="27" t="s">
        <v>18242</v>
      </c>
      <c r="G1822" s="27" t="s">
        <v>18310</v>
      </c>
      <c r="H1822" s="27" t="s">
        <v>18330</v>
      </c>
      <c r="I1822" s="27"/>
      <c r="J1822" s="27"/>
      <c r="K1822" s="27"/>
      <c r="L1822" s="27"/>
      <c r="N1822" s="27"/>
      <c r="T1822" s="28" t="str">
        <f>LOOKUP(1,1/(Table1[[#This Row],[Level_0]:[Level 15]]&gt;0),(Table1[[#This Row],[Level_0]:[Level 15]]))</f>
        <v>7420000005 - [AOM R&amp;D local from Global 4Over-Governen]</v>
      </c>
      <c r="U1822" s="22">
        <v>1817</v>
      </c>
      <c r="W1822" s="13" t="str">
        <f>LOOKUP(1,1/(Table1[[#This Row],[Level_0]:[Level 15]]&gt;0),(Table1[[#This Row],[Level_0]:[Level 15]]))</f>
        <v>7420000005 - [AOM R&amp;D local from Global 4Over-Governen]</v>
      </c>
    </row>
    <row r="1823" spans="1:23" hidden="1" x14ac:dyDescent="0.25">
      <c r="A1823">
        <v>7420000001</v>
      </c>
      <c r="B1823" s="16" t="s">
        <v>21024</v>
      </c>
      <c r="C1823" s="16" t="e">
        <f>VLOOKUP(Table1[[#This Row],[Node]],Parent!A:B,2,0)</f>
        <v>#N/A</v>
      </c>
      <c r="D1823" s="25" t="s">
        <v>19346</v>
      </c>
      <c r="E1823" s="26" t="s">
        <v>16544</v>
      </c>
      <c r="F1823" s="27" t="s">
        <v>18242</v>
      </c>
      <c r="G1823" s="27" t="s">
        <v>18310</v>
      </c>
      <c r="H1823" s="27" t="s">
        <v>18331</v>
      </c>
      <c r="I1823" s="27"/>
      <c r="J1823" s="27"/>
      <c r="K1823" s="27"/>
      <c r="L1823" s="27"/>
      <c r="N1823" s="27"/>
      <c r="T1823" s="28" t="str">
        <f>LOOKUP(1,1/(Table1[[#This Row],[Level_0]:[Level 15]]&gt;0),(Table1[[#This Row],[Level_0]:[Level 15]]))</f>
        <v>7420000001 - [AOM Cost Center Variances R&amp;D]</v>
      </c>
      <c r="U1823" s="22">
        <v>1818</v>
      </c>
      <c r="W1823" s="13" t="str">
        <f>LOOKUP(1,1/(Table1[[#This Row],[Level_0]:[Level 15]]&gt;0),(Table1[[#This Row],[Level_0]:[Level 15]]))</f>
        <v>7420000001 - [AOM Cost Center Variances R&amp;D]</v>
      </c>
    </row>
    <row r="1824" spans="1:23" hidden="1" x14ac:dyDescent="0.25">
      <c r="A1824">
        <v>7400000005</v>
      </c>
      <c r="B1824" s="16" t="s">
        <v>21020</v>
      </c>
      <c r="C1824" s="16" t="e">
        <f>VLOOKUP(Table1[[#This Row],[Node]],Parent!A:B,2,0)</f>
        <v>#N/A</v>
      </c>
      <c r="D1824" s="25" t="s">
        <v>19346</v>
      </c>
      <c r="E1824" s="26" t="s">
        <v>16544</v>
      </c>
      <c r="F1824" s="27" t="s">
        <v>18242</v>
      </c>
      <c r="G1824" s="27" t="s">
        <v>18310</v>
      </c>
      <c r="H1824" s="27" t="s">
        <v>18332</v>
      </c>
      <c r="I1824" s="27"/>
      <c r="J1824" s="27"/>
      <c r="K1824" s="27"/>
      <c r="L1824" s="27"/>
      <c r="N1824" s="27"/>
      <c r="T1824" s="28" t="str">
        <f>LOOKUP(1,1/(Table1[[#This Row],[Level_0]:[Level 15]]&gt;0),(Table1[[#This Row],[Level_0]:[Level 15]]))</f>
        <v>7400000005 - [DAA Process development &amp; eng. serv.]</v>
      </c>
      <c r="U1824" s="22">
        <v>1819</v>
      </c>
      <c r="W1824" s="13" t="str">
        <f>LOOKUP(1,1/(Table1[[#This Row],[Level_0]:[Level 15]]&gt;0),(Table1[[#This Row],[Level_0]:[Level 15]]))</f>
        <v>7400000005 - [DAA Process development &amp; eng. serv.]</v>
      </c>
    </row>
    <row r="1825" spans="1:23" hidden="1" x14ac:dyDescent="0.25">
      <c r="A1825">
        <v>7400000004</v>
      </c>
      <c r="B1825" s="16" t="s">
        <v>21019</v>
      </c>
      <c r="C1825" s="16" t="e">
        <f>VLOOKUP(Table1[[#This Row],[Node]],Parent!A:B,2,0)</f>
        <v>#N/A</v>
      </c>
      <c r="D1825" s="25" t="s">
        <v>19346</v>
      </c>
      <c r="E1825" s="26" t="s">
        <v>16544</v>
      </c>
      <c r="F1825" s="27" t="s">
        <v>18242</v>
      </c>
      <c r="G1825" s="27" t="s">
        <v>18310</v>
      </c>
      <c r="H1825" s="27" t="s">
        <v>18333</v>
      </c>
      <c r="I1825" s="27"/>
      <c r="J1825" s="27"/>
      <c r="K1825" s="27"/>
      <c r="L1825" s="27"/>
      <c r="N1825" s="27"/>
      <c r="T1825" s="28" t="str">
        <f>LOOKUP(1,1/(Table1[[#This Row],[Level_0]:[Level 15]]&gt;0),(Table1[[#This Row],[Level_0]:[Level 15]]))</f>
        <v>7400000004 - [DAA R&amp;D Innovative Hours]</v>
      </c>
      <c r="U1825" s="22">
        <v>1820</v>
      </c>
      <c r="W1825" s="13" t="str">
        <f>LOOKUP(1,1/(Table1[[#This Row],[Level_0]:[Level 15]]&gt;0),(Table1[[#This Row],[Level_0]:[Level 15]]))</f>
        <v>7400000004 - [DAA R&amp;D Innovative Hours]</v>
      </c>
    </row>
    <row r="1826" spans="1:23" hidden="1" x14ac:dyDescent="0.25">
      <c r="A1826">
        <v>7400000003</v>
      </c>
      <c r="B1826" s="16" t="s">
        <v>21018</v>
      </c>
      <c r="C1826" s="16" t="e">
        <f>VLOOKUP(Table1[[#This Row],[Node]],Parent!A:B,2,0)</f>
        <v>#N/A</v>
      </c>
      <c r="D1826" s="25" t="s">
        <v>19346</v>
      </c>
      <c r="E1826" s="26" t="s">
        <v>16544</v>
      </c>
      <c r="F1826" s="27" t="s">
        <v>18242</v>
      </c>
      <c r="G1826" s="27" t="s">
        <v>18310</v>
      </c>
      <c r="H1826" s="27" t="s">
        <v>18334</v>
      </c>
      <c r="I1826" s="27"/>
      <c r="J1826" s="27"/>
      <c r="K1826" s="27"/>
      <c r="L1826" s="27"/>
      <c r="N1826" s="27"/>
      <c r="T1826" s="28" t="str">
        <f>LOOKUP(1,1/(Table1[[#This Row],[Level_0]:[Level 15]]&gt;0),(Table1[[#This Row],[Level_0]:[Level 15]]))</f>
        <v>7400000003 - [DAA R&amp;D productive hour]</v>
      </c>
      <c r="U1826" s="22">
        <v>1821</v>
      </c>
      <c r="W1826" s="13" t="str">
        <f>LOOKUP(1,1/(Table1[[#This Row],[Level_0]:[Level 15]]&gt;0),(Table1[[#This Row],[Level_0]:[Level 15]]))</f>
        <v>7400000003 - [DAA R&amp;D productive hour]</v>
      </c>
    </row>
    <row r="1827" spans="1:23" hidden="1" x14ac:dyDescent="0.25">
      <c r="A1827">
        <v>7400000002</v>
      </c>
      <c r="B1827" s="16" t="s">
        <v>21017</v>
      </c>
      <c r="C1827" s="16" t="e">
        <f>VLOOKUP(Table1[[#This Row],[Node]],Parent!A:B,2,0)</f>
        <v>#N/A</v>
      </c>
      <c r="D1827" s="25" t="s">
        <v>19346</v>
      </c>
      <c r="E1827" s="26" t="s">
        <v>16544</v>
      </c>
      <c r="F1827" s="27" t="s">
        <v>18242</v>
      </c>
      <c r="G1827" s="27" t="s">
        <v>18310</v>
      </c>
      <c r="H1827" s="27" t="s">
        <v>18335</v>
      </c>
      <c r="I1827" s="27"/>
      <c r="J1827" s="27"/>
      <c r="K1827" s="27"/>
      <c r="L1827" s="27"/>
      <c r="N1827" s="27"/>
      <c r="T1827" s="28" t="str">
        <f>LOOKUP(1,1/(Table1[[#This Row],[Level_0]:[Level 15]]&gt;0),(Table1[[#This Row],[Level_0]:[Level 15]]))</f>
        <v>7400000002 - [DAA R&amp;D GMS to Bios Projects]</v>
      </c>
      <c r="U1827" s="22">
        <v>1822</v>
      </c>
      <c r="W1827" s="13" t="str">
        <f>LOOKUP(1,1/(Table1[[#This Row],[Level_0]:[Level 15]]&gt;0),(Table1[[#This Row],[Level_0]:[Level 15]]))</f>
        <v>7400000002 - [DAA R&amp;D GMS to Bios Projects]</v>
      </c>
    </row>
    <row r="1828" spans="1:23" hidden="1" x14ac:dyDescent="0.25">
      <c r="A1828">
        <v>7340000008</v>
      </c>
      <c r="B1828" s="16" t="s">
        <v>20927</v>
      </c>
      <c r="C1828" s="16" t="e">
        <f>VLOOKUP(Table1[[#This Row],[Node]],Parent!A:B,2,0)</f>
        <v>#N/A</v>
      </c>
      <c r="D1828" s="25" t="s">
        <v>19346</v>
      </c>
      <c r="E1828" s="26" t="s">
        <v>16544</v>
      </c>
      <c r="F1828" s="27" t="s">
        <v>18242</v>
      </c>
      <c r="G1828" s="27" t="s">
        <v>18310</v>
      </c>
      <c r="H1828" s="27" t="s">
        <v>18336</v>
      </c>
      <c r="I1828" s="27"/>
      <c r="J1828" s="27"/>
      <c r="K1828" s="27"/>
      <c r="L1828" s="27"/>
      <c r="N1828" s="27"/>
      <c r="T1828" s="28" t="str">
        <f>LOOKUP(1,1/(Table1[[#This Row],[Level_0]:[Level 15]]&gt;0),(Table1[[#This Row],[Level_0]:[Level 15]]))</f>
        <v>7340000008 - [SOM R&amp;D Other production costs]</v>
      </c>
      <c r="U1828" s="22">
        <v>1823</v>
      </c>
      <c r="W1828" s="13" t="str">
        <f>LOOKUP(1,1/(Table1[[#This Row],[Level_0]:[Level 15]]&gt;0),(Table1[[#This Row],[Level_0]:[Level 15]]))</f>
        <v>7340000008 - [SOM R&amp;D Other production costs]</v>
      </c>
    </row>
    <row r="1829" spans="1:23" hidden="1" x14ac:dyDescent="0.25">
      <c r="A1829">
        <v>7340000007</v>
      </c>
      <c r="B1829" s="16" t="s">
        <v>20926</v>
      </c>
      <c r="C1829" s="16" t="e">
        <f>VLOOKUP(Table1[[#This Row],[Node]],Parent!A:B,2,0)</f>
        <v>#N/A</v>
      </c>
      <c r="D1829" s="25" t="s">
        <v>19346</v>
      </c>
      <c r="E1829" s="26" t="s">
        <v>16544</v>
      </c>
      <c r="F1829" s="27" t="s">
        <v>18242</v>
      </c>
      <c r="G1829" s="27" t="s">
        <v>18310</v>
      </c>
      <c r="H1829" s="27" t="s">
        <v>18337</v>
      </c>
      <c r="I1829" s="27"/>
      <c r="J1829" s="27"/>
      <c r="K1829" s="27"/>
      <c r="L1829" s="27"/>
      <c r="N1829" s="27"/>
      <c r="T1829" s="28" t="str">
        <f>LOOKUP(1,1/(Table1[[#This Row],[Level_0]:[Level 15]]&gt;0),(Table1[[#This Row],[Level_0]:[Level 15]]))</f>
        <v>7340000007 - [SOM R&amp;D Material consumption]</v>
      </c>
      <c r="U1829" s="22">
        <v>1824</v>
      </c>
      <c r="W1829" s="13" t="str">
        <f>LOOKUP(1,1/(Table1[[#This Row],[Level_0]:[Level 15]]&gt;0),(Table1[[#This Row],[Level_0]:[Level 15]]))</f>
        <v>7340000007 - [SOM R&amp;D Material consumption]</v>
      </c>
    </row>
    <row r="1830" spans="1:23" hidden="1" x14ac:dyDescent="0.25">
      <c r="A1830">
        <v>7340000006</v>
      </c>
      <c r="B1830" s="16" t="s">
        <v>20925</v>
      </c>
      <c r="C1830" s="16" t="e">
        <f>VLOOKUP(Table1[[#This Row],[Node]],Parent!A:B,2,0)</f>
        <v>#N/A</v>
      </c>
      <c r="D1830" s="25" t="s">
        <v>19346</v>
      </c>
      <c r="E1830" s="26" t="s">
        <v>16544</v>
      </c>
      <c r="F1830" s="27" t="s">
        <v>18242</v>
      </c>
      <c r="G1830" s="27" t="s">
        <v>18310</v>
      </c>
      <c r="H1830" s="27" t="s">
        <v>18338</v>
      </c>
      <c r="I1830" s="27"/>
      <c r="J1830" s="27"/>
      <c r="K1830" s="27"/>
      <c r="L1830" s="27"/>
      <c r="N1830" s="27"/>
      <c r="T1830" s="28" t="str">
        <f>LOOKUP(1,1/(Table1[[#This Row],[Level_0]:[Level 15]]&gt;0),(Table1[[#This Row],[Level_0]:[Level 15]]))</f>
        <v>7340000006 - [SOM R&amp;D Manufacturing expences]</v>
      </c>
      <c r="U1830" s="22">
        <v>1825</v>
      </c>
      <c r="W1830" s="13" t="str">
        <f>LOOKUP(1,1/(Table1[[#This Row],[Level_0]:[Level 15]]&gt;0),(Table1[[#This Row],[Level_0]:[Level 15]]))</f>
        <v>7340000006 - [SOM R&amp;D Manufacturing expences]</v>
      </c>
    </row>
    <row r="1831" spans="1:23" hidden="1" x14ac:dyDescent="0.25">
      <c r="A1831">
        <v>7100000014</v>
      </c>
      <c r="B1831" s="16" t="s">
        <v>20666</v>
      </c>
      <c r="C1831" s="16" t="e">
        <f>VLOOKUP(Table1[[#This Row],[Node]],Parent!A:B,2,0)</f>
        <v>#N/A</v>
      </c>
      <c r="D1831" s="25" t="s">
        <v>19346</v>
      </c>
      <c r="E1831" s="26" t="s">
        <v>16544</v>
      </c>
      <c r="F1831" s="27" t="s">
        <v>18242</v>
      </c>
      <c r="G1831" s="27" t="s">
        <v>18310</v>
      </c>
      <c r="H1831" s="27" t="s">
        <v>18339</v>
      </c>
      <c r="I1831" s="27"/>
      <c r="J1831" s="27"/>
      <c r="K1831" s="27"/>
      <c r="L1831" s="27"/>
      <c r="N1831" s="27"/>
      <c r="T1831" s="28" t="str">
        <f>LOOKUP(1,1/(Table1[[#This Row],[Level_0]:[Level 15]]&gt;0),(Table1[[#This Row],[Level_0]:[Level 15]]))</f>
        <v>7100000014 - [DAA_Scientific Inform.]</v>
      </c>
      <c r="U1831" s="22">
        <v>1826</v>
      </c>
      <c r="W1831" s="13" t="str">
        <f>LOOKUP(1,1/(Table1[[#This Row],[Level_0]:[Level 15]]&gt;0),(Table1[[#This Row],[Level_0]:[Level 15]]))</f>
        <v>7100000014 - [DAA_Scientific Inform.]</v>
      </c>
    </row>
    <row r="1832" spans="1:23" hidden="1" x14ac:dyDescent="0.25">
      <c r="A1832">
        <v>170100</v>
      </c>
      <c r="B1832" s="16" t="s">
        <v>19450</v>
      </c>
      <c r="C1832" s="16" t="e">
        <f>VLOOKUP(Table1[[#This Row],[Node]],Parent!A:B,2,0)</f>
        <v>#N/A</v>
      </c>
      <c r="D1832" s="25" t="s">
        <v>19346</v>
      </c>
      <c r="E1832" s="26" t="s">
        <v>16544</v>
      </c>
      <c r="F1832" s="27" t="s">
        <v>18242</v>
      </c>
      <c r="G1832" s="27" t="s">
        <v>18340</v>
      </c>
      <c r="H1832" s="27"/>
      <c r="I1832" s="27"/>
      <c r="J1832" s="27"/>
      <c r="K1832" s="27"/>
      <c r="L1832" s="27"/>
      <c r="N1832" s="27"/>
      <c r="T1832" s="28" t="str">
        <f>LOOKUP(1,1/(Table1[[#This Row],[Level_0]:[Level 15]]&gt;0),(Table1[[#This Row],[Level_0]:[Level 15]]))</f>
        <v>170100 - [External R&amp;D Services]</v>
      </c>
      <c r="U1832" s="22">
        <v>1827</v>
      </c>
      <c r="W1832" s="13" t="str">
        <f>LOOKUP(1,1/(Table1[[#This Row],[Level_0]:[Level 15]]&gt;0),(Table1[[#This Row],[Level_0]:[Level 15]]))</f>
        <v>170100 - [External R&amp;D Services]</v>
      </c>
    </row>
    <row r="1833" spans="1:23" hidden="1" x14ac:dyDescent="0.25">
      <c r="A1833">
        <v>170103</v>
      </c>
      <c r="B1833" s="16" t="s">
        <v>19453</v>
      </c>
      <c r="C1833" s="16" t="e">
        <f>VLOOKUP(Table1[[#This Row],[Node]],Parent!A:B,2,0)</f>
        <v>#N/A</v>
      </c>
      <c r="D1833" s="25" t="s">
        <v>19346</v>
      </c>
      <c r="E1833" s="26" t="s">
        <v>16544</v>
      </c>
      <c r="F1833" s="27" t="s">
        <v>18242</v>
      </c>
      <c r="G1833" s="27" t="s">
        <v>18340</v>
      </c>
      <c r="H1833" s="27" t="s">
        <v>18341</v>
      </c>
      <c r="I1833" s="27"/>
      <c r="J1833" s="27"/>
      <c r="K1833" s="27"/>
      <c r="L1833" s="27"/>
      <c r="N1833" s="27"/>
      <c r="T1833" s="28" t="str">
        <f>LOOKUP(1,1/(Table1[[#This Row],[Level_0]:[Level 15]]&gt;0),(Table1[[#This Row],[Level_0]:[Level 15]]))</f>
        <v>170103 - [Other External R&amp;D Services]</v>
      </c>
      <c r="U1833" s="22">
        <v>1828</v>
      </c>
      <c r="W1833" s="13" t="str">
        <f>LOOKUP(1,1/(Table1[[#This Row],[Level_0]:[Level 15]]&gt;0),(Table1[[#This Row],[Level_0]:[Level 15]]))</f>
        <v>170103 - [Other External R&amp;D Services]</v>
      </c>
    </row>
    <row r="1834" spans="1:23" hidden="1" x14ac:dyDescent="0.25">
      <c r="A1834">
        <v>5559000000</v>
      </c>
      <c r="B1834" s="16" t="s">
        <v>20376</v>
      </c>
      <c r="C1834" s="16" t="e">
        <f>VLOOKUP(Table1[[#This Row],[Node]],Parent!A:B,2,0)</f>
        <v>#N/A</v>
      </c>
      <c r="D1834" s="25" t="s">
        <v>19346</v>
      </c>
      <c r="E1834" s="26" t="s">
        <v>16544</v>
      </c>
      <c r="F1834" s="27" t="s">
        <v>18242</v>
      </c>
      <c r="G1834" s="27" t="s">
        <v>18340</v>
      </c>
      <c r="H1834" s="27" t="s">
        <v>18341</v>
      </c>
      <c r="I1834" s="27" t="s">
        <v>18342</v>
      </c>
      <c r="J1834" s="27"/>
      <c r="K1834" s="27"/>
      <c r="L1834" s="27"/>
      <c r="N1834" s="27"/>
      <c r="T1834" s="28" t="str">
        <f>LOOKUP(1,1/(Table1[[#This Row],[Level_0]:[Level 15]]&gt;0),(Table1[[#This Row],[Level_0]:[Level 15]]))</f>
        <v>5559000000 - [Oth External R&amp;D Costs - Other R&amp;D Exp]</v>
      </c>
      <c r="U1834" s="22">
        <v>1829</v>
      </c>
      <c r="W1834" s="13" t="str">
        <f>LOOKUP(1,1/(Table1[[#This Row],[Level_0]:[Level 15]]&gt;0),(Table1[[#This Row],[Level_0]:[Level 15]]))</f>
        <v>5559000000 - [Oth External R&amp;D Costs - Other R&amp;D Exp]</v>
      </c>
    </row>
    <row r="1835" spans="1:23" hidden="1" x14ac:dyDescent="0.25">
      <c r="A1835">
        <v>5512800000</v>
      </c>
      <c r="B1835" s="16" t="s">
        <v>20343</v>
      </c>
      <c r="C1835" s="16" t="e">
        <f>VLOOKUP(Table1[[#This Row],[Node]],Parent!A:B,2,0)</f>
        <v>#N/A</v>
      </c>
      <c r="D1835" s="25" t="s">
        <v>19346</v>
      </c>
      <c r="E1835" s="26" t="s">
        <v>16544</v>
      </c>
      <c r="F1835" s="27" t="s">
        <v>18242</v>
      </c>
      <c r="G1835" s="27" t="s">
        <v>18340</v>
      </c>
      <c r="H1835" s="27" t="s">
        <v>18341</v>
      </c>
      <c r="I1835" s="27" t="s">
        <v>18343</v>
      </c>
      <c r="J1835" s="27"/>
      <c r="K1835" s="27"/>
      <c r="L1835" s="27"/>
      <c r="N1835" s="27"/>
      <c r="T1835" s="28" t="str">
        <f>LOOKUP(1,1/(Table1[[#This Row],[Level_0]:[Level 15]]&gt;0),(Table1[[#This Row],[Level_0]:[Level 15]]))</f>
        <v>5512800000 - [Ext R&amp;D Serv Co - R&amp;D Consultancy]</v>
      </c>
      <c r="U1835" s="22">
        <v>1830</v>
      </c>
      <c r="W1835" s="13" t="str">
        <f>LOOKUP(1,1/(Table1[[#This Row],[Level_0]:[Level 15]]&gt;0),(Table1[[#This Row],[Level_0]:[Level 15]]))</f>
        <v>5512800000 - [Ext R&amp;D Serv Co - R&amp;D Consultancy]</v>
      </c>
    </row>
    <row r="1836" spans="1:23" hidden="1" x14ac:dyDescent="0.25">
      <c r="A1836">
        <v>5512600000</v>
      </c>
      <c r="B1836" s="16" t="s">
        <v>20342</v>
      </c>
      <c r="C1836" s="16" t="e">
        <f>VLOOKUP(Table1[[#This Row],[Node]],Parent!A:B,2,0)</f>
        <v>#N/A</v>
      </c>
      <c r="D1836" s="25" t="s">
        <v>19346</v>
      </c>
      <c r="E1836" s="26" t="s">
        <v>16544</v>
      </c>
      <c r="F1836" s="27" t="s">
        <v>18242</v>
      </c>
      <c r="G1836" s="27" t="s">
        <v>18340</v>
      </c>
      <c r="H1836" s="27" t="s">
        <v>18341</v>
      </c>
      <c r="I1836" s="27" t="s">
        <v>18344</v>
      </c>
      <c r="J1836" s="27"/>
      <c r="K1836" s="27"/>
      <c r="L1836" s="27"/>
      <c r="N1836" s="27"/>
      <c r="T1836" s="28" t="str">
        <f>LOOKUP(1,1/(Table1[[#This Row],[Level_0]:[Level 15]]&gt;0),(Table1[[#This Row],[Level_0]:[Level 15]]))</f>
        <v>5512600000 - [Ext R&amp;D Serv Co - Clinical Trial supply]</v>
      </c>
      <c r="U1836" s="22">
        <v>1831</v>
      </c>
      <c r="W1836" s="13" t="str">
        <f>LOOKUP(1,1/(Table1[[#This Row],[Level_0]:[Level 15]]&gt;0),(Table1[[#This Row],[Level_0]:[Level 15]]))</f>
        <v>5512600000 - [Ext R&amp;D Serv Co - Clinical Trial supply]</v>
      </c>
    </row>
    <row r="1837" spans="1:23" hidden="1" x14ac:dyDescent="0.25">
      <c r="A1837">
        <v>5510200000</v>
      </c>
      <c r="B1837" s="16" t="s">
        <v>20333</v>
      </c>
      <c r="C1837" s="16" t="e">
        <f>VLOOKUP(Table1[[#This Row],[Node]],Parent!A:B,2,0)</f>
        <v>#N/A</v>
      </c>
      <c r="D1837" s="25" t="s">
        <v>19346</v>
      </c>
      <c r="E1837" s="26" t="s">
        <v>16544</v>
      </c>
      <c r="F1837" s="27" t="s">
        <v>18242</v>
      </c>
      <c r="G1837" s="27" t="s">
        <v>18340</v>
      </c>
      <c r="H1837" s="27" t="s">
        <v>18341</v>
      </c>
      <c r="I1837" s="27" t="s">
        <v>18345</v>
      </c>
      <c r="J1837" s="27"/>
      <c r="K1837" s="27"/>
      <c r="L1837" s="27"/>
      <c r="N1837" s="27"/>
      <c r="T1837" s="28" t="str">
        <f>LOOKUP(1,1/(Table1[[#This Row],[Level_0]:[Level 15]]&gt;0),(Table1[[#This Row],[Level_0]:[Level 15]]))</f>
        <v>5510200000 - [Ext R&amp;D Serv Co - Investigator Fees]</v>
      </c>
      <c r="U1837" s="22">
        <v>1832</v>
      </c>
      <c r="W1837" s="13" t="str">
        <f>LOOKUP(1,1/(Table1[[#This Row],[Level_0]:[Level 15]]&gt;0),(Table1[[#This Row],[Level_0]:[Level 15]]))</f>
        <v>5510200000 - [Ext R&amp;D Serv Co - Investigator Fees]</v>
      </c>
    </row>
    <row r="1838" spans="1:23" hidden="1" x14ac:dyDescent="0.25">
      <c r="A1838">
        <v>170102</v>
      </c>
      <c r="B1838" s="16" t="s">
        <v>19452</v>
      </c>
      <c r="C1838" s="16" t="e">
        <f>VLOOKUP(Table1[[#This Row],[Node]],Parent!A:B,2,0)</f>
        <v>#N/A</v>
      </c>
      <c r="D1838" s="25" t="s">
        <v>19346</v>
      </c>
      <c r="E1838" s="26" t="s">
        <v>16544</v>
      </c>
      <c r="F1838" s="27" t="s">
        <v>18242</v>
      </c>
      <c r="G1838" s="27" t="s">
        <v>18340</v>
      </c>
      <c r="H1838" s="27" t="s">
        <v>18346</v>
      </c>
      <c r="I1838" s="27"/>
      <c r="J1838" s="27"/>
      <c r="K1838" s="27"/>
      <c r="L1838" s="27"/>
      <c r="N1838" s="27"/>
      <c r="T1838" s="28" t="str">
        <f>LOOKUP(1,1/(Table1[[#This Row],[Level_0]:[Level 15]]&gt;0),(Table1[[#This Row],[Level_0]:[Level 15]]))</f>
        <v>170102 - [Research Institutes]</v>
      </c>
      <c r="U1838" s="22">
        <v>1833</v>
      </c>
      <c r="W1838" s="13" t="str">
        <f>LOOKUP(1,1/(Table1[[#This Row],[Level_0]:[Level 15]]&gt;0),(Table1[[#This Row],[Level_0]:[Level 15]]))</f>
        <v>170102 - [Research Institutes]</v>
      </c>
    </row>
    <row r="1839" spans="1:23" hidden="1" x14ac:dyDescent="0.25">
      <c r="A1839">
        <v>5511200000</v>
      </c>
      <c r="B1839" s="16" t="s">
        <v>20336</v>
      </c>
      <c r="C1839" s="16" t="e">
        <f>VLOOKUP(Table1[[#This Row],[Node]],Parent!A:B,2,0)</f>
        <v>#N/A</v>
      </c>
      <c r="D1839" s="25" t="s">
        <v>19346</v>
      </c>
      <c r="E1839" s="26" t="s">
        <v>16544</v>
      </c>
      <c r="F1839" s="27" t="s">
        <v>18242</v>
      </c>
      <c r="G1839" s="27" t="s">
        <v>18340</v>
      </c>
      <c r="H1839" s="27" t="s">
        <v>18346</v>
      </c>
      <c r="I1839" s="27" t="s">
        <v>18347</v>
      </c>
      <c r="J1839" s="27"/>
      <c r="K1839" s="27"/>
      <c r="L1839" s="27"/>
      <c r="N1839" s="27"/>
      <c r="T1839" s="28" t="str">
        <f>LOOKUP(1,1/(Table1[[#This Row],[Level_0]:[Level 15]]&gt;0),(Table1[[#This Row],[Level_0]:[Level 15]]))</f>
        <v>5511200000 - [Ext R&amp;D Serv Co - CRO Pass through Exp]</v>
      </c>
      <c r="U1839" s="22">
        <v>1834</v>
      </c>
      <c r="W1839" s="13" t="str">
        <f>LOOKUP(1,1/(Table1[[#This Row],[Level_0]:[Level 15]]&gt;0),(Table1[[#This Row],[Level_0]:[Level 15]]))</f>
        <v>5511200000 - [Ext R&amp;D Serv Co - CRO Pass through Exp]</v>
      </c>
    </row>
    <row r="1840" spans="1:23" hidden="1" x14ac:dyDescent="0.25">
      <c r="A1840">
        <v>5511000000</v>
      </c>
      <c r="B1840" s="16" t="s">
        <v>20335</v>
      </c>
      <c r="C1840" s="16" t="e">
        <f>VLOOKUP(Table1[[#This Row],[Node]],Parent!A:B,2,0)</f>
        <v>#N/A</v>
      </c>
      <c r="D1840" s="25" t="s">
        <v>19346</v>
      </c>
      <c r="E1840" s="26" t="s">
        <v>16544</v>
      </c>
      <c r="F1840" s="27" t="s">
        <v>18242</v>
      </c>
      <c r="G1840" s="27" t="s">
        <v>18340</v>
      </c>
      <c r="H1840" s="27" t="s">
        <v>18346</v>
      </c>
      <c r="I1840" s="27" t="s">
        <v>18348</v>
      </c>
      <c r="J1840" s="27"/>
      <c r="K1840" s="27"/>
      <c r="L1840" s="27"/>
      <c r="N1840" s="27"/>
      <c r="T1840" s="28" t="str">
        <f>LOOKUP(1,1/(Table1[[#This Row],[Level_0]:[Level 15]]&gt;0),(Table1[[#This Row],[Level_0]:[Level 15]]))</f>
        <v>5511000000 - [Ext R&amp;D Serv Co - CRO Fees]</v>
      </c>
      <c r="U1840" s="22">
        <v>1835</v>
      </c>
      <c r="W1840" s="13" t="str">
        <f>LOOKUP(1,1/(Table1[[#This Row],[Level_0]:[Level 15]]&gt;0),(Table1[[#This Row],[Level_0]:[Level 15]]))</f>
        <v>5511000000 - [Ext R&amp;D Serv Co - CRO Fees]</v>
      </c>
    </row>
    <row r="1841" spans="1:23" hidden="1" x14ac:dyDescent="0.25">
      <c r="A1841">
        <v>170101</v>
      </c>
      <c r="B1841" s="16" t="s">
        <v>19451</v>
      </c>
      <c r="C1841" s="16" t="e">
        <f>VLOOKUP(Table1[[#This Row],[Node]],Parent!A:B,2,0)</f>
        <v>#N/A</v>
      </c>
      <c r="D1841" s="25" t="s">
        <v>19346</v>
      </c>
      <c r="E1841" s="26" t="s">
        <v>16544</v>
      </c>
      <c r="F1841" s="27" t="s">
        <v>18242</v>
      </c>
      <c r="G1841" s="27" t="s">
        <v>18340</v>
      </c>
      <c r="H1841" s="27" t="s">
        <v>18349</v>
      </c>
      <c r="I1841" s="27"/>
      <c r="J1841" s="27"/>
      <c r="K1841" s="27"/>
      <c r="L1841" s="27"/>
      <c r="N1841" s="27"/>
      <c r="T1841" s="28" t="str">
        <f>LOOKUP(1,1/(Table1[[#This Row],[Level_0]:[Level 15]]&gt;0),(Table1[[#This Row],[Level_0]:[Level 15]]))</f>
        <v>170101 - [R&amp;D Registration Costs]</v>
      </c>
      <c r="U1841" s="22">
        <v>1836</v>
      </c>
      <c r="W1841" s="13" t="str">
        <f>LOOKUP(1,1/(Table1[[#This Row],[Level_0]:[Level 15]]&gt;0),(Table1[[#This Row],[Level_0]:[Level 15]]))</f>
        <v>170101 - [R&amp;D Registration Costs]</v>
      </c>
    </row>
    <row r="1842" spans="1:23" hidden="1" x14ac:dyDescent="0.25">
      <c r="A1842">
        <v>5510600000</v>
      </c>
      <c r="B1842" s="16" t="s">
        <v>20334</v>
      </c>
      <c r="C1842" s="16" t="e">
        <f>VLOOKUP(Table1[[#This Row],[Node]],Parent!A:B,2,0)</f>
        <v>#N/A</v>
      </c>
      <c r="D1842" s="25" t="s">
        <v>19346</v>
      </c>
      <c r="E1842" s="26" t="s">
        <v>16544</v>
      </c>
      <c r="F1842" s="27" t="s">
        <v>18242</v>
      </c>
      <c r="G1842" s="27" t="s">
        <v>18340</v>
      </c>
      <c r="H1842" s="27" t="s">
        <v>18349</v>
      </c>
      <c r="I1842" s="27" t="s">
        <v>18350</v>
      </c>
      <c r="J1842" s="27"/>
      <c r="K1842" s="27"/>
      <c r="L1842" s="27"/>
      <c r="N1842" s="27"/>
      <c r="T1842" s="28" t="str">
        <f>LOOKUP(1,1/(Table1[[#This Row],[Level_0]:[Level 15]]&gt;0),(Table1[[#This Row],[Level_0]:[Level 15]]))</f>
        <v>5510600000 - [Ext R&amp;D Serv Co - Authority Fees]</v>
      </c>
      <c r="U1842" s="22">
        <v>1837</v>
      </c>
      <c r="W1842" s="13" t="str">
        <f>LOOKUP(1,1/(Table1[[#This Row],[Level_0]:[Level 15]]&gt;0),(Table1[[#This Row],[Level_0]:[Level 15]]))</f>
        <v>5510600000 - [Ext R&amp;D Serv Co - Authority Fees]</v>
      </c>
    </row>
    <row r="1843" spans="1:23" hidden="1" x14ac:dyDescent="0.25">
      <c r="A1843">
        <v>5500000000</v>
      </c>
      <c r="B1843" s="16" t="s">
        <v>20332</v>
      </c>
      <c r="C1843" s="16" t="e">
        <f>VLOOKUP(Table1[[#This Row],[Node]],Parent!A:B,2,0)</f>
        <v>#N/A</v>
      </c>
      <c r="D1843" s="25" t="s">
        <v>19346</v>
      </c>
      <c r="E1843" s="26" t="s">
        <v>16544</v>
      </c>
      <c r="F1843" s="27" t="s">
        <v>18242</v>
      </c>
      <c r="G1843" s="27" t="s">
        <v>18340</v>
      </c>
      <c r="H1843" s="27" t="s">
        <v>18349</v>
      </c>
      <c r="I1843" s="27" t="s">
        <v>18351</v>
      </c>
      <c r="J1843" s="27"/>
      <c r="K1843" s="27"/>
      <c r="L1843" s="27"/>
      <c r="N1843" s="27"/>
      <c r="T1843" s="28" t="str">
        <f>LOOKUP(1,1/(Table1[[#This Row],[Level_0]:[Level 15]]&gt;0),(Table1[[#This Row],[Level_0]:[Level 15]]))</f>
        <v>5500000000 - [Registration Expenses]</v>
      </c>
      <c r="U1843" s="22">
        <v>1838</v>
      </c>
      <c r="W1843" s="13" t="str">
        <f>LOOKUP(1,1/(Table1[[#This Row],[Level_0]:[Level 15]]&gt;0),(Table1[[#This Row],[Level_0]:[Level 15]]))</f>
        <v>5500000000 - [Registration Expenses]</v>
      </c>
    </row>
    <row r="1844" spans="1:23" hidden="1" x14ac:dyDescent="0.25">
      <c r="A1844">
        <v>160000</v>
      </c>
      <c r="B1844" s="16" t="s">
        <v>19440</v>
      </c>
      <c r="C1844" s="16" t="e">
        <f>VLOOKUP(Table1[[#This Row],[Node]],Parent!A:B,2,0)</f>
        <v>#N/A</v>
      </c>
      <c r="D1844" s="25" t="s">
        <v>19346</v>
      </c>
      <c r="E1844" s="26" t="s">
        <v>16544</v>
      </c>
      <c r="F1844" s="27" t="s">
        <v>18352</v>
      </c>
      <c r="G1844" s="27"/>
      <c r="H1844" s="27"/>
      <c r="I1844" s="27"/>
      <c r="J1844" s="27"/>
      <c r="K1844" s="27"/>
      <c r="L1844" s="27"/>
      <c r="N1844" s="27"/>
      <c r="T1844" s="28" t="str">
        <f>LOOKUP(1,1/(Table1[[#This Row],[Level_0]:[Level 15]]&gt;0),(Table1[[#This Row],[Level_0]:[Level 15]]))</f>
        <v>160000 - [Promo, Market Research &amp; Royalty]</v>
      </c>
      <c r="U1844" s="22">
        <v>1839</v>
      </c>
      <c r="W1844" s="13" t="str">
        <f>LOOKUP(1,1/(Table1[[#This Row],[Level_0]:[Level 15]]&gt;0),(Table1[[#This Row],[Level_0]:[Level 15]]))</f>
        <v>160000 - [Promo, Market Research &amp; Royalty]</v>
      </c>
    </row>
    <row r="1845" spans="1:23" hidden="1" x14ac:dyDescent="0.25">
      <c r="A1845">
        <v>160300</v>
      </c>
      <c r="B1845" s="16" t="s">
        <v>19449</v>
      </c>
      <c r="C1845" s="16" t="e">
        <f>VLOOKUP(Table1[[#This Row],[Node]],Parent!A:B,2,0)</f>
        <v>#N/A</v>
      </c>
      <c r="D1845" s="25" t="s">
        <v>19346</v>
      </c>
      <c r="E1845" s="26" t="s">
        <v>16544</v>
      </c>
      <c r="F1845" s="27" t="s">
        <v>18352</v>
      </c>
      <c r="G1845" s="27" t="s">
        <v>18353</v>
      </c>
      <c r="H1845" s="27"/>
      <c r="I1845" s="27"/>
      <c r="J1845" s="27"/>
      <c r="K1845" s="27"/>
      <c r="L1845" s="27"/>
      <c r="N1845" s="27"/>
      <c r="T1845" s="28" t="str">
        <f>LOOKUP(1,1/(Table1[[#This Row],[Level_0]:[Level 15]]&gt;0),(Table1[[#This Row],[Level_0]:[Level 15]]))</f>
        <v>160300 - [Intercompany M&amp;S (FF/SI/SP/OM)]</v>
      </c>
      <c r="U1845" s="22">
        <v>1840</v>
      </c>
      <c r="W1845" s="13" t="str">
        <f>LOOKUP(1,1/(Table1[[#This Row],[Level_0]:[Level 15]]&gt;0),(Table1[[#This Row],[Level_0]:[Level 15]]))</f>
        <v>160300 - [Intercompany M&amp;S (FF/SI/SP/OM)]</v>
      </c>
    </row>
    <row r="1846" spans="1:23" hidden="1" x14ac:dyDescent="0.25">
      <c r="A1846">
        <v>7540000001</v>
      </c>
      <c r="B1846" s="16" t="s">
        <v>21040</v>
      </c>
      <c r="C1846" s="16" t="e">
        <f>VLOOKUP(Table1[[#This Row],[Node]],Parent!A:B,2,0)</f>
        <v>#N/A</v>
      </c>
      <c r="D1846" s="25" t="s">
        <v>19346</v>
      </c>
      <c r="E1846" s="26" t="s">
        <v>16544</v>
      </c>
      <c r="F1846" s="27" t="s">
        <v>18352</v>
      </c>
      <c r="G1846" s="27" t="s">
        <v>18353</v>
      </c>
      <c r="H1846" s="27" t="s">
        <v>18354</v>
      </c>
      <c r="I1846" s="27"/>
      <c r="J1846" s="27"/>
      <c r="K1846" s="27"/>
      <c r="L1846" s="27"/>
      <c r="N1846" s="27"/>
      <c r="T1846" s="28" t="str">
        <f>LOOKUP(1,1/(Table1[[#This Row],[Level_0]:[Level 15]]&gt;0),(Table1[[#This Row],[Level_0]:[Level 15]]))</f>
        <v>7540000001 - [SOM Intercompany Charge Commercials]</v>
      </c>
      <c r="U1846" s="22">
        <v>1841</v>
      </c>
      <c r="W1846" s="13" t="str">
        <f>LOOKUP(1,1/(Table1[[#This Row],[Level_0]:[Level 15]]&gt;0),(Table1[[#This Row],[Level_0]:[Level 15]]))</f>
        <v>7540000001 - [SOM Intercompany Charge Commercials]</v>
      </c>
    </row>
    <row r="1847" spans="1:23" hidden="1" x14ac:dyDescent="0.25">
      <c r="A1847">
        <v>7520000004</v>
      </c>
      <c r="B1847" s="16" t="s">
        <v>21039</v>
      </c>
      <c r="C1847" s="16" t="e">
        <f>VLOOKUP(Table1[[#This Row],[Node]],Parent!A:B,2,0)</f>
        <v>#N/A</v>
      </c>
      <c r="D1847" s="25" t="s">
        <v>19346</v>
      </c>
      <c r="E1847" s="26" t="s">
        <v>16544</v>
      </c>
      <c r="F1847" s="27" t="s">
        <v>18352</v>
      </c>
      <c r="G1847" s="27" t="s">
        <v>18353</v>
      </c>
      <c r="H1847" s="27" t="s">
        <v>18355</v>
      </c>
      <c r="I1847" s="27"/>
      <c r="J1847" s="27"/>
      <c r="K1847" s="27"/>
      <c r="L1847" s="27"/>
      <c r="N1847" s="27"/>
      <c r="T1847" s="28" t="str">
        <f>LOOKUP(1,1/(Table1[[#This Row],[Level_0]:[Level 15]]&gt;0),(Table1[[#This Row],[Level_0]:[Level 15]]))</f>
        <v>7520000004 - [AOM IC Internal Sales Service]</v>
      </c>
      <c r="U1847" s="22">
        <v>1842</v>
      </c>
      <c r="W1847" s="13" t="str">
        <f>LOOKUP(1,1/(Table1[[#This Row],[Level_0]:[Level 15]]&gt;0),(Table1[[#This Row],[Level_0]:[Level 15]]))</f>
        <v>7520000004 - [AOM IC Internal Sales Service]</v>
      </c>
    </row>
    <row r="1848" spans="1:23" hidden="1" x14ac:dyDescent="0.25">
      <c r="A1848">
        <v>7520000003</v>
      </c>
      <c r="B1848" s="16" t="s">
        <v>21038</v>
      </c>
      <c r="C1848" s="16" t="e">
        <f>VLOOKUP(Table1[[#This Row],[Node]],Parent!A:B,2,0)</f>
        <v>#N/A</v>
      </c>
      <c r="D1848" s="25" t="s">
        <v>19346</v>
      </c>
      <c r="E1848" s="26" t="s">
        <v>16544</v>
      </c>
      <c r="F1848" s="27" t="s">
        <v>18352</v>
      </c>
      <c r="G1848" s="27" t="s">
        <v>18353</v>
      </c>
      <c r="H1848" s="27" t="s">
        <v>18356</v>
      </c>
      <c r="I1848" s="27"/>
      <c r="J1848" s="27"/>
      <c r="K1848" s="27"/>
      <c r="L1848" s="27"/>
      <c r="N1848" s="27"/>
      <c r="T1848" s="28" t="str">
        <f>LOOKUP(1,1/(Table1[[#This Row],[Level_0]:[Level 15]]&gt;0),(Table1[[#This Row],[Level_0]:[Level 15]]))</f>
        <v>7520000003 - [AOM IC sales promotion]</v>
      </c>
      <c r="U1848" s="22">
        <v>1843</v>
      </c>
      <c r="W1848" s="13" t="str">
        <f>LOOKUP(1,1/(Table1[[#This Row],[Level_0]:[Level 15]]&gt;0),(Table1[[#This Row],[Level_0]:[Level 15]]))</f>
        <v>7520000003 - [AOM IC sales promotion]</v>
      </c>
    </row>
    <row r="1849" spans="1:23" hidden="1" x14ac:dyDescent="0.25">
      <c r="A1849">
        <v>7520000002</v>
      </c>
      <c r="B1849" s="16" t="s">
        <v>21037</v>
      </c>
      <c r="C1849" s="16" t="e">
        <f>VLOOKUP(Table1[[#This Row],[Node]],Parent!A:B,2,0)</f>
        <v>#N/A</v>
      </c>
      <c r="D1849" s="25" t="s">
        <v>19346</v>
      </c>
      <c r="E1849" s="26" t="s">
        <v>16544</v>
      </c>
      <c r="F1849" s="27" t="s">
        <v>18352</v>
      </c>
      <c r="G1849" s="27" t="s">
        <v>18353</v>
      </c>
      <c r="H1849" s="27" t="s">
        <v>18357</v>
      </c>
      <c r="I1849" s="27"/>
      <c r="J1849" s="27"/>
      <c r="K1849" s="27"/>
      <c r="L1849" s="27"/>
      <c r="N1849" s="27"/>
      <c r="T1849" s="28" t="str">
        <f>LOOKUP(1,1/(Table1[[#This Row],[Level_0]:[Level 15]]&gt;0),(Table1[[#This Row],[Level_0]:[Level 15]]))</f>
        <v>7520000002 - [AOM IC M&amp;S]</v>
      </c>
      <c r="U1849" s="22">
        <v>1844</v>
      </c>
      <c r="W1849" s="13" t="str">
        <f>LOOKUP(1,1/(Table1[[#This Row],[Level_0]:[Level 15]]&gt;0),(Table1[[#This Row],[Level_0]:[Level 15]]))</f>
        <v>7520000002 - [AOM IC M&amp;S]</v>
      </c>
    </row>
    <row r="1850" spans="1:23" hidden="1" x14ac:dyDescent="0.25">
      <c r="A1850">
        <v>7520000001</v>
      </c>
      <c r="B1850" s="16" t="s">
        <v>21036</v>
      </c>
      <c r="C1850" s="16" t="e">
        <f>VLOOKUP(Table1[[#This Row],[Node]],Parent!A:B,2,0)</f>
        <v>#N/A</v>
      </c>
      <c r="D1850" s="25" t="s">
        <v>19346</v>
      </c>
      <c r="E1850" s="26" t="s">
        <v>16544</v>
      </c>
      <c r="F1850" s="27" t="s">
        <v>18352</v>
      </c>
      <c r="G1850" s="27" t="s">
        <v>18353</v>
      </c>
      <c r="H1850" s="27" t="s">
        <v>18358</v>
      </c>
      <c r="I1850" s="27"/>
      <c r="J1850" s="27"/>
      <c r="K1850" s="27"/>
      <c r="L1850" s="27"/>
      <c r="N1850" s="27"/>
      <c r="T1850" s="28" t="str">
        <f>LOOKUP(1,1/(Table1[[#This Row],[Level_0]:[Level 15]]&gt;0),(Table1[[#This Row],[Level_0]:[Level 15]]))</f>
        <v>7520000001 - [AOM IC field force]</v>
      </c>
      <c r="U1850" s="22">
        <v>1845</v>
      </c>
      <c r="W1850" s="13" t="str">
        <f>LOOKUP(1,1/(Table1[[#This Row],[Level_0]:[Level 15]]&gt;0),(Table1[[#This Row],[Level_0]:[Level 15]]))</f>
        <v>7520000001 - [AOM IC field force]</v>
      </c>
    </row>
    <row r="1851" spans="1:23" hidden="1" x14ac:dyDescent="0.25">
      <c r="A1851">
        <v>5980410000</v>
      </c>
      <c r="B1851" s="16" t="s">
        <v>20613</v>
      </c>
      <c r="C1851" s="16" t="e">
        <f>VLOOKUP(Table1[[#This Row],[Node]],Parent!A:B,2,0)</f>
        <v>#N/A</v>
      </c>
      <c r="D1851" s="25" t="s">
        <v>19346</v>
      </c>
      <c r="E1851" s="26" t="s">
        <v>16544</v>
      </c>
      <c r="F1851" s="27" t="s">
        <v>18352</v>
      </c>
      <c r="G1851" s="27" t="s">
        <v>18353</v>
      </c>
      <c r="H1851" s="27" t="s">
        <v>18359</v>
      </c>
      <c r="I1851" s="27"/>
      <c r="J1851" s="27"/>
      <c r="K1851" s="27"/>
      <c r="L1851" s="27"/>
      <c r="N1851" s="27"/>
      <c r="T1851" s="28" t="str">
        <f>LOOKUP(1,1/(Table1[[#This Row],[Level_0]:[Level 15]]&gt;0),(Table1[[#This Row],[Level_0]:[Level 15]]))</f>
        <v>5980410000 - [Reimbursement IC - Other M&amp;S]</v>
      </c>
      <c r="U1851" s="22">
        <v>1846</v>
      </c>
      <c r="W1851" s="13" t="str">
        <f>LOOKUP(1,1/(Table1[[#This Row],[Level_0]:[Level 15]]&gt;0),(Table1[[#This Row],[Level_0]:[Level 15]]))</f>
        <v>5980410000 - [Reimbursement IC - Other M&amp;S]</v>
      </c>
    </row>
    <row r="1852" spans="1:23" hidden="1" x14ac:dyDescent="0.25">
      <c r="A1852">
        <v>5980210000</v>
      </c>
      <c r="B1852" s="16" t="s">
        <v>20611</v>
      </c>
      <c r="C1852" s="16" t="e">
        <f>VLOOKUP(Table1[[#This Row],[Node]],Parent!A:B,2,0)</f>
        <v>#N/A</v>
      </c>
      <c r="D1852" s="25" t="s">
        <v>19346</v>
      </c>
      <c r="E1852" s="26" t="s">
        <v>16544</v>
      </c>
      <c r="F1852" s="27" t="s">
        <v>18352</v>
      </c>
      <c r="G1852" s="27" t="s">
        <v>18353</v>
      </c>
      <c r="H1852" s="27" t="s">
        <v>18360</v>
      </c>
      <c r="I1852" s="27"/>
      <c r="J1852" s="27"/>
      <c r="K1852" s="27"/>
      <c r="L1852" s="27"/>
      <c r="N1852" s="27"/>
      <c r="T1852" s="28" t="str">
        <f>LOOKUP(1,1/(Table1[[#This Row],[Level_0]:[Level 15]]&gt;0),(Table1[[#This Row],[Level_0]:[Level 15]]))</f>
        <v>5980210000 - [Reimbursement IC - Sales Promotion]</v>
      </c>
      <c r="U1852" s="22">
        <v>1847</v>
      </c>
      <c r="W1852" s="13" t="str">
        <f>LOOKUP(1,1/(Table1[[#This Row],[Level_0]:[Level 15]]&gt;0),(Table1[[#This Row],[Level_0]:[Level 15]]))</f>
        <v>5980210000 - [Reimbursement IC - Sales Promotion]</v>
      </c>
    </row>
    <row r="1853" spans="1:23" hidden="1" x14ac:dyDescent="0.25">
      <c r="A1853">
        <v>5980110000</v>
      </c>
      <c r="B1853" s="16" t="s">
        <v>20610</v>
      </c>
      <c r="C1853" s="16" t="e">
        <f>VLOOKUP(Table1[[#This Row],[Node]],Parent!A:B,2,0)</f>
        <v>#N/A</v>
      </c>
      <c r="D1853" s="25" t="s">
        <v>19346</v>
      </c>
      <c r="E1853" s="26" t="s">
        <v>16544</v>
      </c>
      <c r="F1853" s="27" t="s">
        <v>18352</v>
      </c>
      <c r="G1853" s="27" t="s">
        <v>18353</v>
      </c>
      <c r="H1853" s="27" t="s">
        <v>18361</v>
      </c>
      <c r="I1853" s="27"/>
      <c r="J1853" s="27"/>
      <c r="K1853" s="27"/>
      <c r="L1853" s="27"/>
      <c r="N1853" s="27"/>
      <c r="T1853" s="28" t="str">
        <f>LOOKUP(1,1/(Table1[[#This Row],[Level_0]:[Level 15]]&gt;0),(Table1[[#This Row],[Level_0]:[Level 15]]))</f>
        <v>5980110000 - [Reimbursement IC - Internal Sales Serv]</v>
      </c>
      <c r="U1853" s="22">
        <v>1848</v>
      </c>
      <c r="W1853" s="13" t="str">
        <f>LOOKUP(1,1/(Table1[[#This Row],[Level_0]:[Level 15]]&gt;0),(Table1[[#This Row],[Level_0]:[Level 15]]))</f>
        <v>5980110000 - [Reimbursement IC - Internal Sales Serv]</v>
      </c>
    </row>
    <row r="1854" spans="1:23" hidden="1" x14ac:dyDescent="0.25">
      <c r="A1854">
        <v>5494810000</v>
      </c>
      <c r="B1854" s="16" t="s">
        <v>20331</v>
      </c>
      <c r="C1854" s="16" t="e">
        <f>VLOOKUP(Table1[[#This Row],[Node]],Parent!A:B,2,0)</f>
        <v>#N/A</v>
      </c>
      <c r="D1854" s="25" t="s">
        <v>19346</v>
      </c>
      <c r="E1854" s="26" t="s">
        <v>16544</v>
      </c>
      <c r="F1854" s="27" t="s">
        <v>18352</v>
      </c>
      <c r="G1854" s="27" t="s">
        <v>18353</v>
      </c>
      <c r="H1854" s="27" t="s">
        <v>18362</v>
      </c>
      <c r="I1854" s="27"/>
      <c r="J1854" s="27"/>
      <c r="K1854" s="27"/>
      <c r="L1854" s="27"/>
      <c r="N1854" s="27"/>
      <c r="T1854" s="28" t="str">
        <f>LOOKUP(1,1/(Table1[[#This Row],[Level_0]:[Level 15]]&gt;0),(Table1[[#This Row],[Level_0]:[Level 15]]))</f>
        <v>5494810000 - [IC Expenses - Field Force]</v>
      </c>
      <c r="U1854" s="22">
        <v>1849</v>
      </c>
      <c r="W1854" s="13" t="str">
        <f>LOOKUP(1,1/(Table1[[#This Row],[Level_0]:[Level 15]]&gt;0),(Table1[[#This Row],[Level_0]:[Level 15]]))</f>
        <v>5494810000 - [IC Expenses - Field Force]</v>
      </c>
    </row>
    <row r="1855" spans="1:23" hidden="1" x14ac:dyDescent="0.25">
      <c r="A1855">
        <v>5494710000</v>
      </c>
      <c r="B1855" s="16" t="s">
        <v>20330</v>
      </c>
      <c r="C1855" s="16" t="e">
        <f>VLOOKUP(Table1[[#This Row],[Node]],Parent!A:B,2,0)</f>
        <v>#N/A</v>
      </c>
      <c r="D1855" s="25" t="s">
        <v>19346</v>
      </c>
      <c r="E1855" s="26" t="s">
        <v>16544</v>
      </c>
      <c r="F1855" s="27" t="s">
        <v>18352</v>
      </c>
      <c r="G1855" s="27" t="s">
        <v>18353</v>
      </c>
      <c r="H1855" s="27" t="s">
        <v>18363</v>
      </c>
      <c r="I1855" s="27"/>
      <c r="J1855" s="27"/>
      <c r="K1855" s="27"/>
      <c r="L1855" s="27"/>
      <c r="N1855" s="27"/>
      <c r="T1855" s="28" t="str">
        <f>LOOKUP(1,1/(Table1[[#This Row],[Level_0]:[Level 15]]&gt;0),(Table1[[#This Row],[Level_0]:[Level 15]]))</f>
        <v>5494710000 - [IC Expenses - Sales Promotion]</v>
      </c>
      <c r="U1855" s="22">
        <v>1850</v>
      </c>
      <c r="W1855" s="13" t="str">
        <f>LOOKUP(1,1/(Table1[[#This Row],[Level_0]:[Level 15]]&gt;0),(Table1[[#This Row],[Level_0]:[Level 15]]))</f>
        <v>5494710000 - [IC Expenses - Sales Promotion]</v>
      </c>
    </row>
    <row r="1856" spans="1:23" hidden="1" x14ac:dyDescent="0.25">
      <c r="A1856">
        <v>5494610000</v>
      </c>
      <c r="B1856" s="16" t="s">
        <v>20329</v>
      </c>
      <c r="C1856" s="16" t="e">
        <f>VLOOKUP(Table1[[#This Row],[Node]],Parent!A:B,2,0)</f>
        <v>#N/A</v>
      </c>
      <c r="D1856" s="25" t="s">
        <v>19346</v>
      </c>
      <c r="E1856" s="26" t="s">
        <v>16544</v>
      </c>
      <c r="F1856" s="27" t="s">
        <v>18352</v>
      </c>
      <c r="G1856" s="27" t="s">
        <v>18353</v>
      </c>
      <c r="H1856" s="27" t="s">
        <v>18364</v>
      </c>
      <c r="I1856" s="27"/>
      <c r="J1856" s="27"/>
      <c r="K1856" s="27"/>
      <c r="L1856" s="27"/>
      <c r="N1856" s="27"/>
      <c r="T1856" s="28" t="str">
        <f>LOOKUP(1,1/(Table1[[#This Row],[Level_0]:[Level 15]]&gt;0),(Table1[[#This Row],[Level_0]:[Level 15]]))</f>
        <v>5494610000 - [IC Expenses - Internal Sales Service]</v>
      </c>
      <c r="U1856" s="22">
        <v>1851</v>
      </c>
      <c r="W1856" s="13" t="str">
        <f>LOOKUP(1,1/(Table1[[#This Row],[Level_0]:[Level 15]]&gt;0),(Table1[[#This Row],[Level_0]:[Level 15]]))</f>
        <v>5494610000 - [IC Expenses - Internal Sales Service]</v>
      </c>
    </row>
    <row r="1857" spans="1:23" hidden="1" x14ac:dyDescent="0.25">
      <c r="A1857">
        <v>5494116000</v>
      </c>
      <c r="B1857" s="16" t="s">
        <v>20327</v>
      </c>
      <c r="C1857" s="16" t="e">
        <f>VLOOKUP(Table1[[#This Row],[Node]],Parent!A:B,2,0)</f>
        <v>#N/A</v>
      </c>
      <c r="D1857" s="25" t="s">
        <v>19346</v>
      </c>
      <c r="E1857" s="26" t="s">
        <v>16544</v>
      </c>
      <c r="F1857" s="27" t="s">
        <v>18352</v>
      </c>
      <c r="G1857" s="27" t="s">
        <v>18353</v>
      </c>
      <c r="H1857" s="27" t="s">
        <v>18365</v>
      </c>
      <c r="I1857" s="27"/>
      <c r="J1857" s="27"/>
      <c r="K1857" s="27"/>
      <c r="L1857" s="27"/>
      <c r="N1857" s="27"/>
      <c r="T1857" s="28" t="str">
        <f>LOOKUP(1,1/(Table1[[#This Row],[Level_0]:[Level 15]]&gt;0),(Table1[[#This Row],[Level_0]:[Level 15]]))</f>
        <v>5494116000 - [IC Expenses - Commerc - Manual - CorrAcc]</v>
      </c>
      <c r="U1857" s="22">
        <v>1852</v>
      </c>
      <c r="W1857" s="13" t="str">
        <f>LOOKUP(1,1/(Table1[[#This Row],[Level_0]:[Level 15]]&gt;0),(Table1[[#This Row],[Level_0]:[Level 15]]))</f>
        <v>5494116000 - [IC Expenses - Commerc - Manual - CorrAcc]</v>
      </c>
    </row>
    <row r="1858" spans="1:23" hidden="1" x14ac:dyDescent="0.25">
      <c r="A1858">
        <v>5491810000</v>
      </c>
      <c r="B1858" s="16" t="s">
        <v>20326</v>
      </c>
      <c r="C1858" s="16" t="e">
        <f>VLOOKUP(Table1[[#This Row],[Node]],Parent!A:B,2,0)</f>
        <v>#N/A</v>
      </c>
      <c r="D1858" s="25" t="s">
        <v>19346</v>
      </c>
      <c r="E1858" s="26" t="s">
        <v>16544</v>
      </c>
      <c r="F1858" s="27" t="s">
        <v>18352</v>
      </c>
      <c r="G1858" s="27" t="s">
        <v>18353</v>
      </c>
      <c r="H1858" s="27" t="s">
        <v>18366</v>
      </c>
      <c r="I1858" s="27"/>
      <c r="J1858" s="27"/>
      <c r="K1858" s="27"/>
      <c r="L1858" s="27"/>
      <c r="N1858" s="27"/>
      <c r="T1858" s="28" t="str">
        <f>LOOKUP(1,1/(Table1[[#This Row],[Level_0]:[Level 15]]&gt;0),(Table1[[#This Row],[Level_0]:[Level 15]]))</f>
        <v>5491810000 - [IC Expenses - Other Marketing &amp; Selling]</v>
      </c>
      <c r="U1858" s="22">
        <v>1853</v>
      </c>
      <c r="W1858" s="13" t="str">
        <f>LOOKUP(1,1/(Table1[[#This Row],[Level_0]:[Level 15]]&gt;0),(Table1[[#This Row],[Level_0]:[Level 15]]))</f>
        <v>5491810000 - [IC Expenses - Other Marketing &amp; Selling]</v>
      </c>
    </row>
    <row r="1859" spans="1:23" hidden="1" x14ac:dyDescent="0.25">
      <c r="A1859">
        <v>160200</v>
      </c>
      <c r="B1859" s="16" t="s">
        <v>19448</v>
      </c>
      <c r="C1859" s="16" t="e">
        <f>VLOOKUP(Table1[[#This Row],[Node]],Parent!A:B,2,0)</f>
        <v>#N/A</v>
      </c>
      <c r="D1859" s="25" t="s">
        <v>19346</v>
      </c>
      <c r="E1859" s="26" t="s">
        <v>16544</v>
      </c>
      <c r="F1859" s="27" t="s">
        <v>18352</v>
      </c>
      <c r="G1859" s="27" t="s">
        <v>18367</v>
      </c>
      <c r="H1859" s="27"/>
      <c r="I1859" s="27"/>
      <c r="J1859" s="27"/>
      <c r="K1859" s="27"/>
      <c r="L1859" s="27"/>
      <c r="N1859" s="27"/>
      <c r="T1859" s="28" t="str">
        <f>LOOKUP(1,1/(Table1[[#This Row],[Level_0]:[Level 15]]&gt;0),(Table1[[#This Row],[Level_0]:[Level 15]]))</f>
        <v>160200 - [Congresses &amp; Events]</v>
      </c>
      <c r="U1859" s="22">
        <v>1854</v>
      </c>
      <c r="W1859" s="13" t="str">
        <f>LOOKUP(1,1/(Table1[[#This Row],[Level_0]:[Level 15]]&gt;0),(Table1[[#This Row],[Level_0]:[Level 15]]))</f>
        <v>160200 - [Congresses &amp; Events]</v>
      </c>
    </row>
    <row r="1860" spans="1:23" hidden="1" x14ac:dyDescent="0.25">
      <c r="A1860">
        <v>5414000000</v>
      </c>
      <c r="B1860" s="16" t="s">
        <v>20276</v>
      </c>
      <c r="C1860" s="16" t="e">
        <f>VLOOKUP(Table1[[#This Row],[Node]],Parent!A:B,2,0)</f>
        <v>#N/A</v>
      </c>
      <c r="D1860" s="25" t="s">
        <v>19346</v>
      </c>
      <c r="E1860" s="26" t="s">
        <v>16544</v>
      </c>
      <c r="F1860" s="27" t="s">
        <v>18352</v>
      </c>
      <c r="G1860" s="27" t="s">
        <v>18367</v>
      </c>
      <c r="H1860" s="27" t="s">
        <v>18368</v>
      </c>
      <c r="I1860" s="27"/>
      <c r="J1860" s="27"/>
      <c r="K1860" s="27"/>
      <c r="L1860" s="27"/>
      <c r="N1860" s="27"/>
      <c r="T1860" s="28" t="str">
        <f>LOOKUP(1,1/(Table1[[#This Row],[Level_0]:[Level 15]]&gt;0),(Table1[[#This Row],[Level_0]:[Level 15]]))</f>
        <v>5414000000 - [Public relations - Events]</v>
      </c>
      <c r="U1860" s="22">
        <v>1855</v>
      </c>
      <c r="W1860" s="13" t="str">
        <f>LOOKUP(1,1/(Table1[[#This Row],[Level_0]:[Level 15]]&gt;0),(Table1[[#This Row],[Level_0]:[Level 15]]))</f>
        <v>5414000000 - [Public relations - Events]</v>
      </c>
    </row>
    <row r="1861" spans="1:23" hidden="1" x14ac:dyDescent="0.25">
      <c r="A1861">
        <v>7240000014</v>
      </c>
      <c r="B1861" s="16" t="s">
        <v>20735</v>
      </c>
      <c r="C1861" s="16" t="e">
        <f>VLOOKUP(Table1[[#This Row],[Node]],Parent!A:B,2,0)</f>
        <v>#N/A</v>
      </c>
      <c r="D1861" s="25" t="s">
        <v>19346</v>
      </c>
      <c r="E1861" s="26" t="s">
        <v>16544</v>
      </c>
      <c r="F1861" s="27" t="s">
        <v>18352</v>
      </c>
      <c r="G1861" s="27" t="s">
        <v>18367</v>
      </c>
      <c r="H1861" s="27" t="s">
        <v>18369</v>
      </c>
      <c r="I1861" s="27"/>
      <c r="J1861" s="27"/>
      <c r="K1861" s="27"/>
      <c r="L1861" s="27"/>
      <c r="N1861" s="27"/>
      <c r="T1861" s="28" t="str">
        <f>LOOKUP(1,1/(Table1[[#This Row],[Level_0]:[Level 15]]&gt;0),(Table1[[#This Row],[Level_0]:[Level 15]]))</f>
        <v>7240000014 - [SOM Global Event&amp;Managements]</v>
      </c>
      <c r="U1861" s="22">
        <v>1856</v>
      </c>
      <c r="W1861" s="13" t="str">
        <f>LOOKUP(1,1/(Table1[[#This Row],[Level_0]:[Level 15]]&gt;0),(Table1[[#This Row],[Level_0]:[Level 15]]))</f>
        <v>7240000014 - [SOM Global Event&amp;Managements]</v>
      </c>
    </row>
    <row r="1862" spans="1:23" hidden="1" x14ac:dyDescent="0.25">
      <c r="A1862">
        <v>5424000000</v>
      </c>
      <c r="B1862" s="16" t="s">
        <v>20286</v>
      </c>
      <c r="C1862" s="16" t="e">
        <f>VLOOKUP(Table1[[#This Row],[Node]],Parent!A:B,2,0)</f>
        <v>#N/A</v>
      </c>
      <c r="D1862" s="25" t="s">
        <v>19346</v>
      </c>
      <c r="E1862" s="26" t="s">
        <v>16544</v>
      </c>
      <c r="F1862" s="27" t="s">
        <v>18352</v>
      </c>
      <c r="G1862" s="27" t="s">
        <v>18367</v>
      </c>
      <c r="H1862" s="27" t="s">
        <v>18370</v>
      </c>
      <c r="I1862" s="27"/>
      <c r="J1862" s="27"/>
      <c r="K1862" s="27"/>
      <c r="L1862" s="27"/>
      <c r="N1862" s="27"/>
      <c r="T1862" s="28" t="str">
        <f>LOOKUP(1,1/(Table1[[#This Row],[Level_0]:[Level 15]]&gt;0),(Table1[[#This Row],[Level_0]:[Level 15]]))</f>
        <v>5424000000 - [Congress and Events - MeetLogHotel]</v>
      </c>
      <c r="U1862" s="22">
        <v>1857</v>
      </c>
      <c r="W1862" s="13" t="str">
        <f>LOOKUP(1,1/(Table1[[#This Row],[Level_0]:[Level 15]]&gt;0),(Table1[[#This Row],[Level_0]:[Level 15]]))</f>
        <v>5424000000 - [Congress and Events - MeetLogHotel]</v>
      </c>
    </row>
    <row r="1863" spans="1:23" hidden="1" x14ac:dyDescent="0.25">
      <c r="A1863">
        <v>5423500000</v>
      </c>
      <c r="B1863" s="16" t="s">
        <v>20285</v>
      </c>
      <c r="C1863" s="16" t="e">
        <f>VLOOKUP(Table1[[#This Row],[Node]],Parent!A:B,2,0)</f>
        <v>#N/A</v>
      </c>
      <c r="D1863" s="25" t="s">
        <v>19346</v>
      </c>
      <c r="E1863" s="26" t="s">
        <v>16544</v>
      </c>
      <c r="F1863" s="27" t="s">
        <v>18352</v>
      </c>
      <c r="G1863" s="27" t="s">
        <v>18367</v>
      </c>
      <c r="H1863" s="27" t="s">
        <v>18371</v>
      </c>
      <c r="I1863" s="27"/>
      <c r="J1863" s="27"/>
      <c r="K1863" s="27"/>
      <c r="L1863" s="27"/>
      <c r="N1863" s="27"/>
      <c r="T1863" s="28" t="str">
        <f>LOOKUP(1,1/(Table1[[#This Row],[Level_0]:[Level 15]]&gt;0),(Table1[[#This Row],[Level_0]:[Level 15]]))</f>
        <v>5423500000 - [Congress and Events - MeetLogMangament]</v>
      </c>
      <c r="U1863" s="22">
        <v>1858</v>
      </c>
      <c r="W1863" s="13" t="str">
        <f>LOOKUP(1,1/(Table1[[#This Row],[Level_0]:[Level 15]]&gt;0),(Table1[[#This Row],[Level_0]:[Level 15]]))</f>
        <v>5423500000 - [Congress and Events - MeetLogMangament]</v>
      </c>
    </row>
    <row r="1864" spans="1:23" hidden="1" x14ac:dyDescent="0.25">
      <c r="A1864">
        <v>5423000000</v>
      </c>
      <c r="B1864" s="16" t="s">
        <v>20284</v>
      </c>
      <c r="C1864" s="16" t="e">
        <f>VLOOKUP(Table1[[#This Row],[Node]],Parent!A:B,2,0)</f>
        <v>#N/A</v>
      </c>
      <c r="D1864" s="25" t="s">
        <v>19346</v>
      </c>
      <c r="E1864" s="26" t="s">
        <v>16544</v>
      </c>
      <c r="F1864" s="27" t="s">
        <v>18352</v>
      </c>
      <c r="G1864" s="27" t="s">
        <v>18367</v>
      </c>
      <c r="H1864" s="27" t="s">
        <v>18372</v>
      </c>
      <c r="I1864" s="27"/>
      <c r="J1864" s="27"/>
      <c r="K1864" s="27"/>
      <c r="L1864" s="27"/>
      <c r="N1864" s="27"/>
      <c r="T1864" s="28" t="str">
        <f>LOOKUP(1,1/(Table1[[#This Row],[Level_0]:[Level 15]]&gt;0),(Table1[[#This Row],[Level_0]:[Level 15]]))</f>
        <v>5423000000 - [Congress and Events - Booth&amp;Stage]</v>
      </c>
      <c r="U1864" s="22">
        <v>1859</v>
      </c>
      <c r="W1864" s="13" t="str">
        <f>LOOKUP(1,1/(Table1[[#This Row],[Level_0]:[Level 15]]&gt;0),(Table1[[#This Row],[Level_0]:[Level 15]]))</f>
        <v>5423000000 - [Congress and Events - Booth&amp;Stage]</v>
      </c>
    </row>
    <row r="1865" spans="1:23" hidden="1" x14ac:dyDescent="0.25">
      <c r="A1865">
        <v>7820104000</v>
      </c>
      <c r="B1865" s="16" t="s">
        <v>21785</v>
      </c>
      <c r="C1865" s="16" t="e">
        <f>VLOOKUP(Table1[[#This Row],[Node]],Parent!A:B,2,0)</f>
        <v>#N/A</v>
      </c>
      <c r="D1865" s="25" t="s">
        <v>19346</v>
      </c>
      <c r="E1865" s="26" t="s">
        <v>16544</v>
      </c>
      <c r="F1865" s="27" t="s">
        <v>18352</v>
      </c>
      <c r="G1865" s="27" t="s">
        <v>18367</v>
      </c>
      <c r="H1865" s="27" t="s">
        <v>18373</v>
      </c>
      <c r="I1865" s="27"/>
      <c r="J1865" s="27"/>
      <c r="K1865" s="27"/>
      <c r="L1865" s="27"/>
      <c r="N1865" s="27"/>
      <c r="T1865" s="28" t="str">
        <f>LOOKUP(1,1/(Table1[[#This Row],[Level_0]:[Level 15]]&gt;0),(Table1[[#This Row],[Level_0]:[Level 15]]))</f>
        <v>7820104000 - [APA Congr. &amp; events]</v>
      </c>
      <c r="U1865" s="22">
        <v>1860</v>
      </c>
      <c r="W1865" s="13" t="str">
        <f>LOOKUP(1,1/(Table1[[#This Row],[Level_0]:[Level 15]]&gt;0),(Table1[[#This Row],[Level_0]:[Level 15]]))</f>
        <v>7820104000 - [APA Congr. &amp; events]</v>
      </c>
    </row>
    <row r="1866" spans="1:23" hidden="1" x14ac:dyDescent="0.25">
      <c r="A1866">
        <v>5429000000</v>
      </c>
      <c r="B1866" s="16" t="s">
        <v>20288</v>
      </c>
      <c r="C1866" s="16" t="e">
        <f>VLOOKUP(Table1[[#This Row],[Node]],Parent!A:B,2,0)</f>
        <v>#N/A</v>
      </c>
      <c r="D1866" s="25" t="s">
        <v>19346</v>
      </c>
      <c r="E1866" s="26" t="s">
        <v>16544</v>
      </c>
      <c r="F1866" s="27" t="s">
        <v>18352</v>
      </c>
      <c r="G1866" s="27" t="s">
        <v>18367</v>
      </c>
      <c r="H1866" s="27" t="s">
        <v>18374</v>
      </c>
      <c r="I1866" s="27"/>
      <c r="J1866" s="27"/>
      <c r="K1866" s="27"/>
      <c r="L1866" s="27"/>
      <c r="N1866" s="27"/>
      <c r="T1866" s="28" t="str">
        <f>LOOKUP(1,1/(Table1[[#This Row],[Level_0]:[Level 15]]&gt;0),(Table1[[#This Row],[Level_0]:[Level 15]]))</f>
        <v>5429000000 - [Congress and Events - Other Event Costs]</v>
      </c>
      <c r="U1866" s="22">
        <v>1861</v>
      </c>
      <c r="W1866" s="13" t="str">
        <f>LOOKUP(1,1/(Table1[[#This Row],[Level_0]:[Level 15]]&gt;0),(Table1[[#This Row],[Level_0]:[Level 15]]))</f>
        <v>5429000000 - [Congress and Events - Other Event Costs]</v>
      </c>
    </row>
    <row r="1867" spans="1:23" hidden="1" x14ac:dyDescent="0.25">
      <c r="A1867">
        <v>5425000000</v>
      </c>
      <c r="B1867" s="16" t="s">
        <v>20287</v>
      </c>
      <c r="C1867" s="16" t="e">
        <f>VLOOKUP(Table1[[#This Row],[Node]],Parent!A:B,2,0)</f>
        <v>#N/A</v>
      </c>
      <c r="D1867" s="25" t="s">
        <v>19346</v>
      </c>
      <c r="E1867" s="26" t="s">
        <v>16544</v>
      </c>
      <c r="F1867" s="27" t="s">
        <v>18352</v>
      </c>
      <c r="G1867" s="27" t="s">
        <v>18367</v>
      </c>
      <c r="H1867" s="27" t="s">
        <v>18375</v>
      </c>
      <c r="I1867" s="27"/>
      <c r="J1867" s="27"/>
      <c r="K1867" s="27"/>
      <c r="L1867" s="27"/>
      <c r="N1867" s="27"/>
      <c r="T1867" s="28" t="str">
        <f>LOOKUP(1,1/(Table1[[#This Row],[Level_0]:[Level 15]]&gt;0),(Table1[[#This Row],[Level_0]:[Level 15]]))</f>
        <v>5425000000 - [Congress and Events - Trade Shows]</v>
      </c>
      <c r="U1867" s="22">
        <v>1862</v>
      </c>
      <c r="W1867" s="13" t="str">
        <f>LOOKUP(1,1/(Table1[[#This Row],[Level_0]:[Level 15]]&gt;0),(Table1[[#This Row],[Level_0]:[Level 15]]))</f>
        <v>5425000000 - [Congress and Events - Trade Shows]</v>
      </c>
    </row>
    <row r="1868" spans="1:23" hidden="1" x14ac:dyDescent="0.25">
      <c r="A1868">
        <v>5422500000</v>
      </c>
      <c r="B1868" s="16" t="s">
        <v>20283</v>
      </c>
      <c r="C1868" s="16" t="e">
        <f>VLOOKUP(Table1[[#This Row],[Node]],Parent!A:B,2,0)</f>
        <v>#N/A</v>
      </c>
      <c r="D1868" s="25" t="s">
        <v>19346</v>
      </c>
      <c r="E1868" s="26" t="s">
        <v>16544</v>
      </c>
      <c r="F1868" s="27" t="s">
        <v>18352</v>
      </c>
      <c r="G1868" s="27" t="s">
        <v>18367</v>
      </c>
      <c r="H1868" s="27" t="s">
        <v>18376</v>
      </c>
      <c r="I1868" s="27"/>
      <c r="J1868" s="27"/>
      <c r="K1868" s="27"/>
      <c r="L1868" s="27"/>
      <c r="N1868" s="27"/>
      <c r="T1868" s="28" t="str">
        <f>LOOKUP(1,1/(Table1[[#This Row],[Level_0]:[Level 15]]&gt;0),(Table1[[#This Row],[Level_0]:[Level 15]]))</f>
        <v>5422500000 - [Congress and Events - Event Sponsorship]</v>
      </c>
      <c r="U1868" s="22">
        <v>1863</v>
      </c>
      <c r="W1868" s="13" t="str">
        <f>LOOKUP(1,1/(Table1[[#This Row],[Level_0]:[Level 15]]&gt;0),(Table1[[#This Row],[Level_0]:[Level 15]]))</f>
        <v>5422500000 - [Congress and Events - Event Sponsorship]</v>
      </c>
    </row>
    <row r="1869" spans="1:23" hidden="1" x14ac:dyDescent="0.25">
      <c r="A1869">
        <v>5422000000</v>
      </c>
      <c r="B1869" s="16" t="s">
        <v>20282</v>
      </c>
      <c r="C1869" s="16" t="e">
        <f>VLOOKUP(Table1[[#This Row],[Node]],Parent!A:B,2,0)</f>
        <v>#N/A</v>
      </c>
      <c r="D1869" s="25" t="s">
        <v>19346</v>
      </c>
      <c r="E1869" s="26" t="s">
        <v>16544</v>
      </c>
      <c r="F1869" s="27" t="s">
        <v>18352</v>
      </c>
      <c r="G1869" s="27" t="s">
        <v>18367</v>
      </c>
      <c r="H1869" s="27" t="s">
        <v>18377</v>
      </c>
      <c r="I1869" s="27"/>
      <c r="J1869" s="27"/>
      <c r="K1869" s="27"/>
      <c r="L1869" s="27"/>
      <c r="N1869" s="27"/>
      <c r="T1869" s="28" t="str">
        <f>LOOKUP(1,1/(Table1[[#This Row],[Level_0]:[Level 15]]&gt;0),(Table1[[#This Row],[Level_0]:[Level 15]]))</f>
        <v>5422000000 - [Congress and Events - HCP Sponsorship]</v>
      </c>
      <c r="U1869" s="22">
        <v>1864</v>
      </c>
      <c r="W1869" s="13" t="str">
        <f>LOOKUP(1,1/(Table1[[#This Row],[Level_0]:[Level 15]]&gt;0),(Table1[[#This Row],[Level_0]:[Level 15]]))</f>
        <v>5422000000 - [Congress and Events - HCP Sponsorship]</v>
      </c>
    </row>
    <row r="1870" spans="1:23" hidden="1" x14ac:dyDescent="0.25">
      <c r="A1870">
        <v>5421000000</v>
      </c>
      <c r="B1870" s="16" t="s">
        <v>20281</v>
      </c>
      <c r="C1870" s="16" t="e">
        <f>VLOOKUP(Table1[[#This Row],[Node]],Parent!A:B,2,0)</f>
        <v>#N/A</v>
      </c>
      <c r="D1870" s="25" t="s">
        <v>19346</v>
      </c>
      <c r="E1870" s="26" t="s">
        <v>16544</v>
      </c>
      <c r="F1870" s="27" t="s">
        <v>18352</v>
      </c>
      <c r="G1870" s="27" t="s">
        <v>18367</v>
      </c>
      <c r="H1870" s="27" t="s">
        <v>18378</v>
      </c>
      <c r="I1870" s="27"/>
      <c r="J1870" s="27"/>
      <c r="K1870" s="27"/>
      <c r="L1870" s="27"/>
      <c r="N1870" s="27"/>
      <c r="T1870" s="28" t="str">
        <f>LOOKUP(1,1/(Table1[[#This Row],[Level_0]:[Level 15]]&gt;0),(Table1[[#This Row],[Level_0]:[Level 15]]))</f>
        <v>5421000000 - [Congress and Events - Speakers]</v>
      </c>
      <c r="U1870" s="22">
        <v>1865</v>
      </c>
      <c r="W1870" s="13" t="str">
        <f>LOOKUP(1,1/(Table1[[#This Row],[Level_0]:[Level 15]]&gt;0),(Table1[[#This Row],[Level_0]:[Level 15]]))</f>
        <v>5421000000 - [Congress and Events - Speakers]</v>
      </c>
    </row>
    <row r="1871" spans="1:23" hidden="1" x14ac:dyDescent="0.25">
      <c r="A1871">
        <v>160100</v>
      </c>
      <c r="B1871" s="16" t="s">
        <v>19441</v>
      </c>
      <c r="C1871" s="16" t="e">
        <f>VLOOKUP(Table1[[#This Row],[Node]],Parent!A:B,2,0)</f>
        <v>#N/A</v>
      </c>
      <c r="D1871" s="25" t="s">
        <v>19346</v>
      </c>
      <c r="E1871" s="26" t="s">
        <v>16544</v>
      </c>
      <c r="F1871" s="27" t="s">
        <v>18352</v>
      </c>
      <c r="G1871" s="27" t="s">
        <v>18379</v>
      </c>
      <c r="H1871" s="27"/>
      <c r="I1871" s="27"/>
      <c r="J1871" s="27"/>
      <c r="K1871" s="27"/>
      <c r="L1871" s="27"/>
      <c r="N1871" s="27"/>
      <c r="T1871" s="28" t="str">
        <f>LOOKUP(1,1/(Table1[[#This Row],[Level_0]:[Level 15]]&gt;0),(Table1[[#This Row],[Level_0]:[Level 15]]))</f>
        <v>160100 - [Promotion Costs &amp; Fees]</v>
      </c>
      <c r="U1871" s="22">
        <v>1866</v>
      </c>
      <c r="W1871" s="13" t="str">
        <f>LOOKUP(1,1/(Table1[[#This Row],[Level_0]:[Level 15]]&gt;0),(Table1[[#This Row],[Level_0]:[Level 15]]))</f>
        <v>160100 - [Promotion Costs &amp; Fees]</v>
      </c>
    </row>
    <row r="1872" spans="1:23" hidden="1" x14ac:dyDescent="0.25">
      <c r="A1872">
        <v>160106</v>
      </c>
      <c r="B1872" s="16" t="s">
        <v>19447</v>
      </c>
      <c r="C1872" s="16" t="e">
        <f>VLOOKUP(Table1[[#This Row],[Node]],Parent!A:B,2,0)</f>
        <v>#N/A</v>
      </c>
      <c r="D1872" s="25" t="s">
        <v>19346</v>
      </c>
      <c r="E1872" s="26" t="s">
        <v>16544</v>
      </c>
      <c r="F1872" s="27" t="s">
        <v>18352</v>
      </c>
      <c r="G1872" s="27" t="s">
        <v>18379</v>
      </c>
      <c r="H1872" s="27" t="s">
        <v>18380</v>
      </c>
      <c r="I1872" s="27"/>
      <c r="J1872" s="27"/>
      <c r="K1872" s="27"/>
      <c r="L1872" s="27"/>
      <c r="N1872" s="27"/>
      <c r="T1872" s="28" t="str">
        <f>LOOKUP(1,1/(Table1[[#This Row],[Level_0]:[Level 15]]&gt;0),(Table1[[#This Row],[Level_0]:[Level 15]]))</f>
        <v>160106 - [Market Access &amp; Pricing Costs]</v>
      </c>
      <c r="U1872" s="22">
        <v>1867</v>
      </c>
      <c r="W1872" s="13" t="str">
        <f>LOOKUP(1,1/(Table1[[#This Row],[Level_0]:[Level 15]]&gt;0),(Table1[[#This Row],[Level_0]:[Level 15]]))</f>
        <v>160106 - [Market Access &amp; Pricing Costs]</v>
      </c>
    </row>
    <row r="1873" spans="1:23" hidden="1" x14ac:dyDescent="0.25">
      <c r="A1873">
        <v>5479000000</v>
      </c>
      <c r="B1873" s="16" t="s">
        <v>20307</v>
      </c>
      <c r="C1873" s="16" t="e">
        <f>VLOOKUP(Table1[[#This Row],[Node]],Parent!A:B,2,0)</f>
        <v>#N/A</v>
      </c>
      <c r="D1873" s="25" t="s">
        <v>19346</v>
      </c>
      <c r="E1873" s="26" t="s">
        <v>16544</v>
      </c>
      <c r="F1873" s="27" t="s">
        <v>18352</v>
      </c>
      <c r="G1873" s="27" t="s">
        <v>18379</v>
      </c>
      <c r="H1873" s="27" t="s">
        <v>18380</v>
      </c>
      <c r="I1873" s="27" t="s">
        <v>18381</v>
      </c>
      <c r="J1873" s="27"/>
      <c r="K1873" s="27"/>
      <c r="L1873" s="27"/>
      <c r="N1873" s="27"/>
      <c r="T1873" s="28" t="str">
        <f>LOOKUP(1,1/(Table1[[#This Row],[Level_0]:[Level 15]]&gt;0),(Table1[[#This Row],[Level_0]:[Level 15]]))</f>
        <v>5479000000 - [MAP Co - Other Market Access &amp; Pricing]</v>
      </c>
      <c r="U1873" s="22">
        <v>1868</v>
      </c>
      <c r="W1873" s="13" t="str">
        <f>LOOKUP(1,1/(Table1[[#This Row],[Level_0]:[Level 15]]&gt;0),(Table1[[#This Row],[Level_0]:[Level 15]]))</f>
        <v>5479000000 - [MAP Co - Other Market Access &amp; Pricing]</v>
      </c>
    </row>
    <row r="1874" spans="1:23" hidden="1" x14ac:dyDescent="0.25">
      <c r="A1874">
        <v>5472000000</v>
      </c>
      <c r="B1874" s="16" t="s">
        <v>20306</v>
      </c>
      <c r="C1874" s="16" t="e">
        <f>VLOOKUP(Table1[[#This Row],[Node]],Parent!A:B,2,0)</f>
        <v>#N/A</v>
      </c>
      <c r="D1874" s="25" t="s">
        <v>19346</v>
      </c>
      <c r="E1874" s="26" t="s">
        <v>16544</v>
      </c>
      <c r="F1874" s="27" t="s">
        <v>18352</v>
      </c>
      <c r="G1874" s="27" t="s">
        <v>18379</v>
      </c>
      <c r="H1874" s="27" t="s">
        <v>18380</v>
      </c>
      <c r="I1874" s="27" t="s">
        <v>18382</v>
      </c>
      <c r="J1874" s="27"/>
      <c r="K1874" s="27"/>
      <c r="L1874" s="27"/>
      <c r="N1874" s="27"/>
      <c r="T1874" s="28" t="str">
        <f>LOOKUP(1,1/(Table1[[#This Row],[Level_0]:[Level 15]]&gt;0),(Table1[[#This Row],[Level_0]:[Level 15]]))</f>
        <v>5472000000 - [MAP Co - Payer Communication Materials]</v>
      </c>
      <c r="U1874" s="22">
        <v>1869</v>
      </c>
      <c r="W1874" s="13" t="str">
        <f>LOOKUP(1,1/(Table1[[#This Row],[Level_0]:[Level 15]]&gt;0),(Table1[[#This Row],[Level_0]:[Level 15]]))</f>
        <v>5472000000 - [MAP Co - Payer Communication Materials]</v>
      </c>
    </row>
    <row r="1875" spans="1:23" hidden="1" x14ac:dyDescent="0.25">
      <c r="A1875">
        <v>5471000000</v>
      </c>
      <c r="B1875" s="16" t="s">
        <v>20305</v>
      </c>
      <c r="C1875" s="16" t="e">
        <f>VLOOKUP(Table1[[#This Row],[Node]],Parent!A:B,2,0)</f>
        <v>#N/A</v>
      </c>
      <c r="D1875" s="25" t="s">
        <v>19346</v>
      </c>
      <c r="E1875" s="26" t="s">
        <v>16544</v>
      </c>
      <c r="F1875" s="27" t="s">
        <v>18352</v>
      </c>
      <c r="G1875" s="27" t="s">
        <v>18379</v>
      </c>
      <c r="H1875" s="27" t="s">
        <v>18380</v>
      </c>
      <c r="I1875" s="27" t="s">
        <v>18383</v>
      </c>
      <c r="J1875" s="27"/>
      <c r="K1875" s="27"/>
      <c r="L1875" s="27"/>
      <c r="N1875" s="27"/>
      <c r="T1875" s="28" t="str">
        <f>LOOKUP(1,1/(Table1[[#This Row],[Level_0]:[Level 15]]&gt;0),(Table1[[#This Row],[Level_0]:[Level 15]]))</f>
        <v>5471000000 - [MAP Co - MAP Reports &amp; Databases]</v>
      </c>
      <c r="U1875" s="22">
        <v>1870</v>
      </c>
      <c r="W1875" s="13" t="str">
        <f>LOOKUP(1,1/(Table1[[#This Row],[Level_0]:[Level 15]]&gt;0),(Table1[[#This Row],[Level_0]:[Level 15]]))</f>
        <v>5471000000 - [MAP Co - MAP Reports &amp; Databases]</v>
      </c>
    </row>
    <row r="1876" spans="1:23" hidden="1" x14ac:dyDescent="0.25">
      <c r="A1876">
        <v>5470000000</v>
      </c>
      <c r="B1876" s="16" t="s">
        <v>20304</v>
      </c>
      <c r="C1876" s="16" t="e">
        <f>VLOOKUP(Table1[[#This Row],[Node]],Parent!A:B,2,0)</f>
        <v>#N/A</v>
      </c>
      <c r="D1876" s="25" t="s">
        <v>19346</v>
      </c>
      <c r="E1876" s="26" t="s">
        <v>16544</v>
      </c>
      <c r="F1876" s="27" t="s">
        <v>18352</v>
      </c>
      <c r="G1876" s="27" t="s">
        <v>18379</v>
      </c>
      <c r="H1876" s="27" t="s">
        <v>18380</v>
      </c>
      <c r="I1876" s="27" t="s">
        <v>18384</v>
      </c>
      <c r="J1876" s="27"/>
      <c r="K1876" s="27"/>
      <c r="L1876" s="27"/>
      <c r="N1876" s="27"/>
      <c r="T1876" s="28" t="str">
        <f>LOOKUP(1,1/(Table1[[#This Row],[Level_0]:[Level 15]]&gt;0),(Table1[[#This Row],[Level_0]:[Level 15]]))</f>
        <v>5470000000 - [MAP Co - Mark Acces, Pricing&amp;HE Studies]</v>
      </c>
      <c r="U1876" s="22">
        <v>1871</v>
      </c>
      <c r="W1876" s="13" t="str">
        <f>LOOKUP(1,1/(Table1[[#This Row],[Level_0]:[Level 15]]&gt;0),(Table1[[#This Row],[Level_0]:[Level 15]]))</f>
        <v>5470000000 - [MAP Co - Mark Acces, Pricing&amp;HE Studies]</v>
      </c>
    </row>
    <row r="1877" spans="1:23" hidden="1" x14ac:dyDescent="0.25">
      <c r="A1877">
        <v>160105</v>
      </c>
      <c r="B1877" s="16" t="s">
        <v>19446</v>
      </c>
      <c r="C1877" s="16" t="e">
        <f>VLOOKUP(Table1[[#This Row],[Node]],Parent!A:B,2,0)</f>
        <v>#N/A</v>
      </c>
      <c r="D1877" s="25" t="s">
        <v>19346</v>
      </c>
      <c r="E1877" s="26" t="s">
        <v>16544</v>
      </c>
      <c r="F1877" s="27" t="s">
        <v>18352</v>
      </c>
      <c r="G1877" s="27" t="s">
        <v>18379</v>
      </c>
      <c r="H1877" s="27" t="s">
        <v>18385</v>
      </c>
      <c r="I1877" s="27"/>
      <c r="J1877" s="27"/>
      <c r="K1877" s="27"/>
      <c r="L1877" s="27"/>
      <c r="N1877" s="27"/>
      <c r="T1877" s="28" t="str">
        <f>LOOKUP(1,1/(Table1[[#This Row],[Level_0]:[Level 15]]&gt;0),(Table1[[#This Row],[Level_0]:[Level 15]]))</f>
        <v>160105 - [Market Research / Bus. Intellig. Costs]</v>
      </c>
      <c r="U1877" s="22">
        <v>1872</v>
      </c>
      <c r="W1877" s="13" t="str">
        <f>LOOKUP(1,1/(Table1[[#This Row],[Level_0]:[Level 15]]&gt;0),(Table1[[#This Row],[Level_0]:[Level 15]]))</f>
        <v>160105 - [Market Research / Bus. Intellig. Costs]</v>
      </c>
    </row>
    <row r="1878" spans="1:23" hidden="1" x14ac:dyDescent="0.25">
      <c r="A1878">
        <v>5460000000</v>
      </c>
      <c r="B1878" s="16" t="s">
        <v>20302</v>
      </c>
      <c r="C1878" s="16" t="e">
        <f>VLOOKUP(Table1[[#This Row],[Node]],Parent!A:B,2,0)</f>
        <v>#N/A</v>
      </c>
      <c r="D1878" s="25" t="s">
        <v>19346</v>
      </c>
      <c r="E1878" s="26" t="s">
        <v>16544</v>
      </c>
      <c r="F1878" s="27" t="s">
        <v>18352</v>
      </c>
      <c r="G1878" s="27" t="s">
        <v>18379</v>
      </c>
      <c r="H1878" s="27" t="s">
        <v>18385</v>
      </c>
      <c r="I1878" s="27" t="s">
        <v>18386</v>
      </c>
      <c r="J1878" s="27"/>
      <c r="K1878" s="27"/>
      <c r="L1878" s="27"/>
      <c r="N1878" s="27"/>
      <c r="T1878" s="28" t="str">
        <f>LOOKUP(1,1/(Table1[[#This Row],[Level_0]:[Level 15]]&gt;0),(Table1[[#This Row],[Level_0]:[Level 15]]))</f>
        <v>5460000000 - [Market Research]</v>
      </c>
      <c r="U1878" s="22">
        <v>1873</v>
      </c>
      <c r="W1878" s="13" t="str">
        <f>LOOKUP(1,1/(Table1[[#This Row],[Level_0]:[Level 15]]&gt;0),(Table1[[#This Row],[Level_0]:[Level 15]]))</f>
        <v>5460000000 - [Market Research]</v>
      </c>
    </row>
    <row r="1879" spans="1:23" hidden="1" x14ac:dyDescent="0.25">
      <c r="A1879">
        <v>160104</v>
      </c>
      <c r="B1879" s="16" t="s">
        <v>19445</v>
      </c>
      <c r="C1879" s="16" t="e">
        <f>VLOOKUP(Table1[[#This Row],[Node]],Parent!A:B,2,0)</f>
        <v>#N/A</v>
      </c>
      <c r="D1879" s="25" t="s">
        <v>19346</v>
      </c>
      <c r="E1879" s="26" t="s">
        <v>16544</v>
      </c>
      <c r="F1879" s="27" t="s">
        <v>18352</v>
      </c>
      <c r="G1879" s="27" t="s">
        <v>18379</v>
      </c>
      <c r="H1879" s="27" t="s">
        <v>18387</v>
      </c>
      <c r="I1879" s="27"/>
      <c r="J1879" s="27"/>
      <c r="K1879" s="27"/>
      <c r="L1879" s="27"/>
      <c r="N1879" s="27"/>
      <c r="T1879" s="28" t="str">
        <f>LOOKUP(1,1/(Table1[[#This Row],[Level_0]:[Level 15]]&gt;0),(Table1[[#This Row],[Level_0]:[Level 15]]))</f>
        <v>160104 - [Grants &amp; Donations (expense)]</v>
      </c>
      <c r="U1879" s="22">
        <v>1874</v>
      </c>
      <c r="W1879" s="13" t="str">
        <f>LOOKUP(1,1/(Table1[[#This Row],[Level_0]:[Level 15]]&gt;0),(Table1[[#This Row],[Level_0]:[Level 15]]))</f>
        <v>160104 - [Grants &amp; Donations (expense)]</v>
      </c>
    </row>
    <row r="1880" spans="1:23" hidden="1" x14ac:dyDescent="0.25">
      <c r="A1880">
        <v>5961300000</v>
      </c>
      <c r="B1880" s="16" t="s">
        <v>20595</v>
      </c>
      <c r="C1880" s="16" t="e">
        <f>VLOOKUP(Table1[[#This Row],[Node]],Parent!A:B,2,0)</f>
        <v>#N/A</v>
      </c>
      <c r="D1880" s="25" t="s">
        <v>19346</v>
      </c>
      <c r="E1880" s="26" t="s">
        <v>16544</v>
      </c>
      <c r="F1880" s="27" t="s">
        <v>18352</v>
      </c>
      <c r="G1880" s="27" t="s">
        <v>18379</v>
      </c>
      <c r="H1880" s="27" t="s">
        <v>18387</v>
      </c>
      <c r="I1880" s="27" t="s">
        <v>18388</v>
      </c>
      <c r="J1880" s="27"/>
      <c r="K1880" s="27"/>
      <c r="L1880" s="27"/>
      <c r="N1880" s="27"/>
      <c r="T1880" s="28" t="str">
        <f>LOOKUP(1,1/(Table1[[#This Row],[Level_0]:[Level 15]]&gt;0),(Table1[[#This Row],[Level_0]:[Level 15]]))</f>
        <v>5961300000 - [Donations to non-profit-organisations]</v>
      </c>
      <c r="U1880" s="22">
        <v>1875</v>
      </c>
      <c r="W1880" s="13" t="str">
        <f>LOOKUP(1,1/(Table1[[#This Row],[Level_0]:[Level 15]]&gt;0),(Table1[[#This Row],[Level_0]:[Level 15]]))</f>
        <v>5961300000 - [Donations to non-profit-organisations]</v>
      </c>
    </row>
    <row r="1881" spans="1:23" hidden="1" x14ac:dyDescent="0.25">
      <c r="A1881">
        <v>5459000000</v>
      </c>
      <c r="B1881" s="16" t="s">
        <v>20301</v>
      </c>
      <c r="C1881" s="16" t="e">
        <f>VLOOKUP(Table1[[#This Row],[Node]],Parent!A:B,2,0)</f>
        <v>#N/A</v>
      </c>
      <c r="D1881" s="25" t="s">
        <v>19346</v>
      </c>
      <c r="E1881" s="26" t="s">
        <v>16544</v>
      </c>
      <c r="F1881" s="27" t="s">
        <v>18352</v>
      </c>
      <c r="G1881" s="27" t="s">
        <v>18379</v>
      </c>
      <c r="H1881" s="27" t="s">
        <v>18387</v>
      </c>
      <c r="I1881" s="27" t="s">
        <v>18389</v>
      </c>
      <c r="J1881" s="27"/>
      <c r="K1881" s="27"/>
      <c r="L1881" s="27"/>
      <c r="N1881" s="27"/>
      <c r="T1881" s="28" t="str">
        <f>LOOKUP(1,1/(Table1[[#This Row],[Level_0]:[Level 15]]&gt;0),(Table1[[#This Row],[Level_0]:[Level 15]]))</f>
        <v>5459000000 - [Grants &amp; Donat - Other Grants]</v>
      </c>
      <c r="U1881" s="22">
        <v>1876</v>
      </c>
      <c r="W1881" s="13" t="str">
        <f>LOOKUP(1,1/(Table1[[#This Row],[Level_0]:[Level 15]]&gt;0),(Table1[[#This Row],[Level_0]:[Level 15]]))</f>
        <v>5459000000 - [Grants &amp; Donat - Other Grants]</v>
      </c>
    </row>
    <row r="1882" spans="1:23" hidden="1" x14ac:dyDescent="0.25">
      <c r="A1882">
        <v>5453000000</v>
      </c>
      <c r="B1882" s="16" t="s">
        <v>20300</v>
      </c>
      <c r="C1882" s="16" t="e">
        <f>VLOOKUP(Table1[[#This Row],[Node]],Parent!A:B,2,0)</f>
        <v>#N/A</v>
      </c>
      <c r="D1882" s="25" t="s">
        <v>19346</v>
      </c>
      <c r="E1882" s="26" t="s">
        <v>16544</v>
      </c>
      <c r="F1882" s="27" t="s">
        <v>18352</v>
      </c>
      <c r="G1882" s="27" t="s">
        <v>18379</v>
      </c>
      <c r="H1882" s="27" t="s">
        <v>18387</v>
      </c>
      <c r="I1882" s="27" t="s">
        <v>18390</v>
      </c>
      <c r="J1882" s="27"/>
      <c r="K1882" s="27"/>
      <c r="L1882" s="27"/>
      <c r="N1882" s="27"/>
      <c r="T1882" s="28" t="str">
        <f>LOOKUP(1,1/(Table1[[#This Row],[Level_0]:[Level 15]]&gt;0),(Table1[[#This Row],[Level_0]:[Level 15]]))</f>
        <v>5453000000 - [Grants &amp; Donat - Sponsoring]</v>
      </c>
      <c r="U1882" s="22">
        <v>1877</v>
      </c>
      <c r="W1882" s="13" t="str">
        <f>LOOKUP(1,1/(Table1[[#This Row],[Level_0]:[Level 15]]&gt;0),(Table1[[#This Row],[Level_0]:[Level 15]]))</f>
        <v>5453000000 - [Grants &amp; Donat - Sponsoring]</v>
      </c>
    </row>
    <row r="1883" spans="1:23" hidden="1" x14ac:dyDescent="0.25">
      <c r="A1883">
        <v>5452010000</v>
      </c>
      <c r="B1883" s="16" t="s">
        <v>20299</v>
      </c>
      <c r="C1883" s="16" t="e">
        <f>VLOOKUP(Table1[[#This Row],[Node]],Parent!A:B,2,0)</f>
        <v>#N/A</v>
      </c>
      <c r="D1883" s="25" t="s">
        <v>19346</v>
      </c>
      <c r="E1883" s="26" t="s">
        <v>16544</v>
      </c>
      <c r="F1883" s="27" t="s">
        <v>18352</v>
      </c>
      <c r="G1883" s="27" t="s">
        <v>18379</v>
      </c>
      <c r="H1883" s="27" t="s">
        <v>18387</v>
      </c>
      <c r="I1883" s="27" t="s">
        <v>18391</v>
      </c>
      <c r="J1883" s="27"/>
      <c r="K1883" s="27"/>
      <c r="L1883" s="27"/>
      <c r="N1883" s="27"/>
      <c r="T1883" s="28" t="str">
        <f>LOOKUP(1,1/(Table1[[#This Row],[Level_0]:[Level 15]]&gt;0),(Table1[[#This Row],[Level_0]:[Level 15]]))</f>
        <v>5452010000 - [Grants &amp; Donat - Med Donat of Own Prod]</v>
      </c>
      <c r="U1883" s="22">
        <v>1878</v>
      </c>
      <c r="W1883" s="13" t="str">
        <f>LOOKUP(1,1/(Table1[[#This Row],[Level_0]:[Level 15]]&gt;0),(Table1[[#This Row],[Level_0]:[Level 15]]))</f>
        <v>5452010000 - [Grants &amp; Donat - Med Donat of Own Prod]</v>
      </c>
    </row>
    <row r="1884" spans="1:23" hidden="1" x14ac:dyDescent="0.25">
      <c r="A1884">
        <v>5450000000</v>
      </c>
      <c r="B1884" s="16" t="s">
        <v>20298</v>
      </c>
      <c r="C1884" s="16" t="e">
        <f>VLOOKUP(Table1[[#This Row],[Node]],Parent!A:B,2,0)</f>
        <v>#N/A</v>
      </c>
      <c r="D1884" s="25" t="s">
        <v>19346</v>
      </c>
      <c r="E1884" s="26" t="s">
        <v>16544</v>
      </c>
      <c r="F1884" s="27" t="s">
        <v>18352</v>
      </c>
      <c r="G1884" s="27" t="s">
        <v>18379</v>
      </c>
      <c r="H1884" s="27" t="s">
        <v>18387</v>
      </c>
      <c r="I1884" s="27" t="s">
        <v>18392</v>
      </c>
      <c r="J1884" s="27"/>
      <c r="K1884" s="27"/>
      <c r="L1884" s="27"/>
      <c r="N1884" s="27"/>
      <c r="T1884" s="28" t="str">
        <f>LOOKUP(1,1/(Table1[[#This Row],[Level_0]:[Level 15]]&gt;0),(Table1[[#This Row],[Level_0]:[Level 15]]))</f>
        <v>5450000000 - [Grants &amp; Donat - Med Education Funding]</v>
      </c>
      <c r="U1884" s="22">
        <v>1879</v>
      </c>
      <c r="W1884" s="13" t="str">
        <f>LOOKUP(1,1/(Table1[[#This Row],[Level_0]:[Level 15]]&gt;0),(Table1[[#This Row],[Level_0]:[Level 15]]))</f>
        <v>5450000000 - [Grants &amp; Donat - Med Education Funding]</v>
      </c>
    </row>
    <row r="1885" spans="1:23" hidden="1" x14ac:dyDescent="0.25">
      <c r="A1885">
        <v>160103</v>
      </c>
      <c r="B1885" s="16" t="s">
        <v>19444</v>
      </c>
      <c r="C1885" s="16" t="e">
        <f>VLOOKUP(Table1[[#This Row],[Node]],Parent!A:B,2,0)</f>
        <v>#N/A</v>
      </c>
      <c r="D1885" s="25" t="s">
        <v>19346</v>
      </c>
      <c r="E1885" s="26" t="s">
        <v>16544</v>
      </c>
      <c r="F1885" s="27" t="s">
        <v>18352</v>
      </c>
      <c r="G1885" s="27" t="s">
        <v>18379</v>
      </c>
      <c r="H1885" s="27" t="s">
        <v>18393</v>
      </c>
      <c r="I1885" s="27"/>
      <c r="J1885" s="27"/>
      <c r="K1885" s="27"/>
      <c r="L1885" s="27"/>
      <c r="N1885" s="27"/>
      <c r="T1885" s="28" t="str">
        <f>LOOKUP(1,1/(Table1[[#This Row],[Level_0]:[Level 15]]&gt;0),(Table1[[#This Row],[Level_0]:[Level 15]]))</f>
        <v>160103 - [License, Royalty &amp; 3P Sls Commission Exp]</v>
      </c>
      <c r="U1885" s="22">
        <v>1880</v>
      </c>
      <c r="W1885" s="13" t="str">
        <f>LOOKUP(1,1/(Table1[[#This Row],[Level_0]:[Level 15]]&gt;0),(Table1[[#This Row],[Level_0]:[Level 15]]))</f>
        <v>160103 - [License, Royalty &amp; 3P Sls Commission Exp]</v>
      </c>
    </row>
    <row r="1886" spans="1:23" hidden="1" x14ac:dyDescent="0.25">
      <c r="A1886">
        <v>7440000005</v>
      </c>
      <c r="B1886" s="16" t="s">
        <v>21033</v>
      </c>
      <c r="C1886" s="16" t="e">
        <f>VLOOKUP(Table1[[#This Row],[Node]],Parent!A:B,2,0)</f>
        <v>#N/A</v>
      </c>
      <c r="D1886" s="25" t="s">
        <v>19346</v>
      </c>
      <c r="E1886" s="26" t="s">
        <v>16544</v>
      </c>
      <c r="F1886" s="27" t="s">
        <v>18352</v>
      </c>
      <c r="G1886" s="27" t="s">
        <v>18379</v>
      </c>
      <c r="H1886" s="27" t="s">
        <v>18393</v>
      </c>
      <c r="I1886" s="27" t="s">
        <v>18394</v>
      </c>
      <c r="J1886" s="27"/>
      <c r="K1886" s="27"/>
      <c r="L1886" s="27"/>
      <c r="N1886" s="27"/>
      <c r="T1886" s="28" t="str">
        <f>LOOKUP(1,1/(Table1[[#This Row],[Level_0]:[Level 15]]&gt;0),(Table1[[#This Row],[Level_0]:[Level 15]]))</f>
        <v>7440000005 - [SOM SOM Royality &amp; License  R&amp;D Global]</v>
      </c>
      <c r="U1886" s="22">
        <v>1881</v>
      </c>
      <c r="W1886" s="13" t="str">
        <f>LOOKUP(1,1/(Table1[[#This Row],[Level_0]:[Level 15]]&gt;0),(Table1[[#This Row],[Level_0]:[Level 15]]))</f>
        <v>7440000005 - [SOM SOM Royality &amp; License  R&amp;D Global]</v>
      </c>
    </row>
    <row r="1887" spans="1:23" hidden="1" x14ac:dyDescent="0.25">
      <c r="A1887">
        <v>7440000006</v>
      </c>
      <c r="B1887" s="16" t="s">
        <v>21034</v>
      </c>
      <c r="C1887" s="16" t="e">
        <f>VLOOKUP(Table1[[#This Row],[Node]],Parent!A:B,2,0)</f>
        <v>#N/A</v>
      </c>
      <c r="D1887" s="25" t="s">
        <v>19346</v>
      </c>
      <c r="E1887" s="26" t="s">
        <v>16544</v>
      </c>
      <c r="F1887" s="27" t="s">
        <v>18352</v>
      </c>
      <c r="G1887" s="27" t="s">
        <v>18379</v>
      </c>
      <c r="H1887" s="27" t="s">
        <v>18393</v>
      </c>
      <c r="I1887" s="27" t="s">
        <v>18395</v>
      </c>
      <c r="J1887" s="27"/>
      <c r="K1887" s="27"/>
      <c r="L1887" s="27"/>
      <c r="N1887" s="27"/>
      <c r="T1887" s="28" t="str">
        <f>LOOKUP(1,1/(Table1[[#This Row],[Level_0]:[Level 15]]&gt;0),(Table1[[#This Row],[Level_0]:[Level 15]]))</f>
        <v>7440000006 - [SOM SOM Royality &amp; License  R&amp;D local]</v>
      </c>
      <c r="U1887" s="22">
        <v>1882</v>
      </c>
      <c r="W1887" s="13" t="str">
        <f>LOOKUP(1,1/(Table1[[#This Row],[Level_0]:[Level 15]]&gt;0),(Table1[[#This Row],[Level_0]:[Level 15]]))</f>
        <v>7440000006 - [SOM SOM Royality &amp; License  R&amp;D local]</v>
      </c>
    </row>
    <row r="1888" spans="1:23" hidden="1" x14ac:dyDescent="0.25">
      <c r="A1888">
        <v>5511900000</v>
      </c>
      <c r="B1888" s="16" t="s">
        <v>20338</v>
      </c>
      <c r="C1888" s="16" t="e">
        <f>VLOOKUP(Table1[[#This Row],[Node]],Parent!A:B,2,0)</f>
        <v>#N/A</v>
      </c>
      <c r="D1888" s="25" t="s">
        <v>19346</v>
      </c>
      <c r="E1888" s="26" t="s">
        <v>16544</v>
      </c>
      <c r="F1888" s="27" t="s">
        <v>18352</v>
      </c>
      <c r="G1888" s="27" t="s">
        <v>18379</v>
      </c>
      <c r="H1888" s="27" t="s">
        <v>18393</v>
      </c>
      <c r="I1888" s="27" t="s">
        <v>18396</v>
      </c>
      <c r="J1888" s="27"/>
      <c r="K1888" s="27"/>
      <c r="L1888" s="27"/>
      <c r="N1888" s="27"/>
      <c r="T1888" s="28" t="str">
        <f>LOOKUP(1,1/(Table1[[#This Row],[Level_0]:[Level 15]]&gt;0),(Table1[[#This Row],[Level_0]:[Level 15]]))</f>
        <v>5511900000 - [Ext R&amp;D Serv Co - R&amp;D Roy &amp; Licen Local]</v>
      </c>
      <c r="U1888" s="22">
        <v>1883</v>
      </c>
      <c r="W1888" s="13" t="str">
        <f>LOOKUP(1,1/(Table1[[#This Row],[Level_0]:[Level 15]]&gt;0),(Table1[[#This Row],[Level_0]:[Level 15]]))</f>
        <v>5511900000 - [Ext R&amp;D Serv Co - R&amp;D Roy &amp; Licen Local]</v>
      </c>
    </row>
    <row r="1889" spans="1:23" hidden="1" x14ac:dyDescent="0.25">
      <c r="A1889">
        <v>5511800000</v>
      </c>
      <c r="B1889" s="16" t="s">
        <v>20337</v>
      </c>
      <c r="C1889" s="16" t="e">
        <f>VLOOKUP(Table1[[#This Row],[Node]],Parent!A:B,2,0)</f>
        <v>#N/A</v>
      </c>
      <c r="D1889" s="25" t="s">
        <v>19346</v>
      </c>
      <c r="E1889" s="26" t="s">
        <v>16544</v>
      </c>
      <c r="F1889" s="27" t="s">
        <v>18352</v>
      </c>
      <c r="G1889" s="27" t="s">
        <v>18379</v>
      </c>
      <c r="H1889" s="27" t="s">
        <v>18393</v>
      </c>
      <c r="I1889" s="27" t="s">
        <v>18397</v>
      </c>
      <c r="J1889" s="27"/>
      <c r="K1889" s="27"/>
      <c r="L1889" s="27"/>
      <c r="N1889" s="27"/>
      <c r="T1889" s="28" t="str">
        <f>LOOKUP(1,1/(Table1[[#This Row],[Level_0]:[Level 15]]&gt;0),(Table1[[#This Row],[Level_0]:[Level 15]]))</f>
        <v>5511800000 - [Ext R&amp;D Serv Co - R&amp;D Roy &amp; Licen Global]</v>
      </c>
      <c r="U1889" s="22">
        <v>1884</v>
      </c>
      <c r="W1889" s="13" t="str">
        <f>LOOKUP(1,1/(Table1[[#This Row],[Level_0]:[Level 15]]&gt;0),(Table1[[#This Row],[Level_0]:[Level 15]]))</f>
        <v>5511800000 - [Ext R&amp;D Serv Co - R&amp;D Roy &amp; Licen Global]</v>
      </c>
    </row>
    <row r="1890" spans="1:23" hidden="1" x14ac:dyDescent="0.25">
      <c r="A1890">
        <v>5443000000</v>
      </c>
      <c r="B1890" s="16" t="s">
        <v>20293</v>
      </c>
      <c r="C1890" s="16" t="e">
        <f>VLOOKUP(Table1[[#This Row],[Node]],Parent!A:B,2,0)</f>
        <v>#N/A</v>
      </c>
      <c r="D1890" s="25" t="s">
        <v>19346</v>
      </c>
      <c r="E1890" s="26" t="s">
        <v>16544</v>
      </c>
      <c r="F1890" s="27" t="s">
        <v>18352</v>
      </c>
      <c r="G1890" s="27" t="s">
        <v>18379</v>
      </c>
      <c r="H1890" s="27" t="s">
        <v>18393</v>
      </c>
      <c r="I1890" s="27" t="s">
        <v>18398</v>
      </c>
      <c r="J1890" s="27"/>
      <c r="K1890" s="27"/>
      <c r="L1890" s="27"/>
      <c r="N1890" s="27"/>
      <c r="T1890" s="28" t="str">
        <f>LOOKUP(1,1/(Table1[[#This Row],[Level_0]:[Level 15]]&gt;0),(Table1[[#This Row],[Level_0]:[Level 15]]))</f>
        <v>5443000000 - [Commission Expenses - M&amp;S]</v>
      </c>
      <c r="U1890" s="22">
        <v>1885</v>
      </c>
      <c r="W1890" s="13" t="str">
        <f>LOOKUP(1,1/(Table1[[#This Row],[Level_0]:[Level 15]]&gt;0),(Table1[[#This Row],[Level_0]:[Level 15]]))</f>
        <v>5443000000 - [Commission Expenses - M&amp;S]</v>
      </c>
    </row>
    <row r="1891" spans="1:23" hidden="1" x14ac:dyDescent="0.25">
      <c r="A1891">
        <v>5442000000</v>
      </c>
      <c r="B1891" s="16" t="s">
        <v>20292</v>
      </c>
      <c r="C1891" s="16" t="e">
        <f>VLOOKUP(Table1[[#This Row],[Node]],Parent!A:B,2,0)</f>
        <v>#N/A</v>
      </c>
      <c r="D1891" s="25" t="s">
        <v>19346</v>
      </c>
      <c r="E1891" s="26" t="s">
        <v>16544</v>
      </c>
      <c r="F1891" s="27" t="s">
        <v>18352</v>
      </c>
      <c r="G1891" s="27" t="s">
        <v>18379</v>
      </c>
      <c r="H1891" s="27" t="s">
        <v>18393</v>
      </c>
      <c r="I1891" s="27" t="s">
        <v>18399</v>
      </c>
      <c r="J1891" s="27"/>
      <c r="K1891" s="27"/>
      <c r="L1891" s="27"/>
      <c r="N1891" s="27"/>
      <c r="T1891" s="28" t="str">
        <f>LOOKUP(1,1/(Table1[[#This Row],[Level_0]:[Level 15]]&gt;0),(Table1[[#This Row],[Level_0]:[Level 15]]))</f>
        <v>5442000000 - [Royalty Expenses / License Fees - M&amp;S]</v>
      </c>
      <c r="U1891" s="22">
        <v>1886</v>
      </c>
      <c r="W1891" s="13" t="str">
        <f>LOOKUP(1,1/(Table1[[#This Row],[Level_0]:[Level 15]]&gt;0),(Table1[[#This Row],[Level_0]:[Level 15]]))</f>
        <v>5442000000 - [Royalty Expenses / License Fees - M&amp;S]</v>
      </c>
    </row>
    <row r="1892" spans="1:23" hidden="1" x14ac:dyDescent="0.25">
      <c r="A1892">
        <v>160102</v>
      </c>
      <c r="B1892" s="16" t="s">
        <v>19443</v>
      </c>
      <c r="C1892" s="16" t="e">
        <f>VLOOKUP(Table1[[#This Row],[Node]],Parent!A:B,2,0)</f>
        <v>#N/A</v>
      </c>
      <c r="D1892" s="25" t="s">
        <v>19346</v>
      </c>
      <c r="E1892" s="26" t="s">
        <v>16544</v>
      </c>
      <c r="F1892" s="27" t="s">
        <v>18352</v>
      </c>
      <c r="G1892" s="27" t="s">
        <v>18379</v>
      </c>
      <c r="H1892" s="27" t="s">
        <v>18400</v>
      </c>
      <c r="I1892" s="27"/>
      <c r="J1892" s="27"/>
      <c r="K1892" s="27"/>
      <c r="L1892" s="27"/>
      <c r="N1892" s="27"/>
      <c r="T1892" s="28" t="str">
        <f>LOOKUP(1,1/(Table1[[#This Row],[Level_0]:[Level 15]]&gt;0),(Table1[[#This Row],[Level_0]:[Level 15]]))</f>
        <v>160102 - [Advisory/Speaker fees]</v>
      </c>
      <c r="U1892" s="22">
        <v>1887</v>
      </c>
      <c r="W1892" s="13" t="str">
        <f>LOOKUP(1,1/(Table1[[#This Row],[Level_0]:[Level 15]]&gt;0),(Table1[[#This Row],[Level_0]:[Level 15]]))</f>
        <v>160102 - [Advisory/Speaker fees]</v>
      </c>
    </row>
    <row r="1893" spans="1:23" hidden="1" x14ac:dyDescent="0.25">
      <c r="A1893">
        <v>5432000000</v>
      </c>
      <c r="B1893" s="16" t="s">
        <v>20290</v>
      </c>
      <c r="C1893" s="16" t="e">
        <f>VLOOKUP(Table1[[#This Row],[Node]],Parent!A:B,2,0)</f>
        <v>#N/A</v>
      </c>
      <c r="D1893" s="25" t="s">
        <v>19346</v>
      </c>
      <c r="E1893" s="26" t="s">
        <v>16544</v>
      </c>
      <c r="F1893" s="27" t="s">
        <v>18352</v>
      </c>
      <c r="G1893" s="27" t="s">
        <v>18379</v>
      </c>
      <c r="H1893" s="27" t="s">
        <v>18400</v>
      </c>
      <c r="I1893" s="27" t="s">
        <v>18401</v>
      </c>
      <c r="J1893" s="27"/>
      <c r="K1893" s="27"/>
      <c r="L1893" s="27"/>
      <c r="N1893" s="27"/>
      <c r="T1893" s="28" t="str">
        <f>LOOKUP(1,1/(Table1[[#This Row],[Level_0]:[Level 15]]&gt;0),(Table1[[#This Row],[Level_0]:[Level 15]]))</f>
        <v>5432000000 - [Advis Costs - Consult Exp - HCP Consult]</v>
      </c>
      <c r="U1893" s="22">
        <v>1888</v>
      </c>
      <c r="W1893" s="13" t="str">
        <f>LOOKUP(1,1/(Table1[[#This Row],[Level_0]:[Level 15]]&gt;0),(Table1[[#This Row],[Level_0]:[Level 15]]))</f>
        <v>5432000000 - [Advis Costs - Consult Exp - HCP Consult]</v>
      </c>
    </row>
    <row r="1894" spans="1:23" hidden="1" x14ac:dyDescent="0.25">
      <c r="A1894">
        <v>5431000000</v>
      </c>
      <c r="B1894" s="16" t="s">
        <v>20289</v>
      </c>
      <c r="C1894" s="16" t="e">
        <f>VLOOKUP(Table1[[#This Row],[Node]],Parent!A:B,2,0)</f>
        <v>#N/A</v>
      </c>
      <c r="D1894" s="25" t="s">
        <v>19346</v>
      </c>
      <c r="E1894" s="26" t="s">
        <v>16544</v>
      </c>
      <c r="F1894" s="27" t="s">
        <v>18352</v>
      </c>
      <c r="G1894" s="27" t="s">
        <v>18379</v>
      </c>
      <c r="H1894" s="27" t="s">
        <v>18400</v>
      </c>
      <c r="I1894" s="27" t="s">
        <v>18402</v>
      </c>
      <c r="J1894" s="27"/>
      <c r="K1894" s="27"/>
      <c r="L1894" s="27"/>
      <c r="N1894" s="27"/>
      <c r="T1894" s="28" t="str">
        <f>LOOKUP(1,1/(Table1[[#This Row],[Level_0]:[Level 15]]&gt;0),(Table1[[#This Row],[Level_0]:[Level 15]]))</f>
        <v>5431000000 - [Advis Costs - Consult Exp - Advis Board]</v>
      </c>
      <c r="U1894" s="22">
        <v>1889</v>
      </c>
      <c r="W1894" s="13" t="str">
        <f>LOOKUP(1,1/(Table1[[#This Row],[Level_0]:[Level 15]]&gt;0),(Table1[[#This Row],[Level_0]:[Level 15]]))</f>
        <v>5431000000 - [Advis Costs - Consult Exp - Advis Board]</v>
      </c>
    </row>
    <row r="1895" spans="1:23" hidden="1" x14ac:dyDescent="0.25">
      <c r="A1895">
        <v>160101</v>
      </c>
      <c r="B1895" s="16" t="s">
        <v>19442</v>
      </c>
      <c r="C1895" s="16" t="e">
        <f>VLOOKUP(Table1[[#This Row],[Node]],Parent!A:B,2,0)</f>
        <v>#N/A</v>
      </c>
      <c r="D1895" s="25" t="s">
        <v>19346</v>
      </c>
      <c r="E1895" s="26" t="s">
        <v>16544</v>
      </c>
      <c r="F1895" s="27" t="s">
        <v>18352</v>
      </c>
      <c r="G1895" s="27" t="s">
        <v>18379</v>
      </c>
      <c r="H1895" s="27" t="s">
        <v>18403</v>
      </c>
      <c r="I1895" s="27"/>
      <c r="J1895" s="27"/>
      <c r="K1895" s="27"/>
      <c r="L1895" s="27"/>
      <c r="N1895" s="27"/>
      <c r="T1895" s="28" t="str">
        <f>LOOKUP(1,1/(Table1[[#This Row],[Level_0]:[Level 15]]&gt;0),(Table1[[#This Row],[Level_0]:[Level 15]]))</f>
        <v>160101 - [Promotion Costs &amp; Advertising]</v>
      </c>
      <c r="U1895" s="22">
        <v>1890</v>
      </c>
      <c r="W1895" s="13" t="str">
        <f>LOOKUP(1,1/(Table1[[#This Row],[Level_0]:[Level 15]]&gt;0),(Table1[[#This Row],[Level_0]:[Level 15]]))</f>
        <v>160101 - [Promotion Costs &amp; Advertising]</v>
      </c>
    </row>
    <row r="1896" spans="1:23" hidden="1" x14ac:dyDescent="0.25">
      <c r="A1896">
        <v>5909000007</v>
      </c>
      <c r="B1896" s="16" t="s">
        <v>20510</v>
      </c>
      <c r="C1896" s="16" t="e">
        <f>VLOOKUP(Table1[[#This Row],[Node]],Parent!A:B,2,0)</f>
        <v>#N/A</v>
      </c>
      <c r="D1896" s="25" t="s">
        <v>19346</v>
      </c>
      <c r="E1896" s="26" t="s">
        <v>16544</v>
      </c>
      <c r="F1896" s="27" t="s">
        <v>18352</v>
      </c>
      <c r="G1896" s="27" t="s">
        <v>18379</v>
      </c>
      <c r="H1896" s="27" t="s">
        <v>18403</v>
      </c>
      <c r="I1896" s="27" t="s">
        <v>18404</v>
      </c>
      <c r="J1896" s="27"/>
      <c r="K1896" s="27"/>
      <c r="L1896" s="27"/>
      <c r="N1896" s="27"/>
      <c r="T1896" s="28" t="str">
        <f>LOOKUP(1,1/(Table1[[#This Row],[Level_0]:[Level 15]]&gt;0),(Table1[[#This Row],[Level_0]:[Level 15]]))</f>
        <v>5909000007 - [Field Force (TBO)]</v>
      </c>
      <c r="U1896" s="22">
        <v>1891</v>
      </c>
      <c r="W1896" s="13" t="str">
        <f>LOOKUP(1,1/(Table1[[#This Row],[Level_0]:[Level 15]]&gt;0),(Table1[[#This Row],[Level_0]:[Level 15]]))</f>
        <v>5909000007 - [Field Force (TBO)]</v>
      </c>
    </row>
    <row r="1897" spans="1:23" hidden="1" x14ac:dyDescent="0.25">
      <c r="A1897">
        <v>7540000010</v>
      </c>
      <c r="B1897" s="16" t="s">
        <v>21041</v>
      </c>
      <c r="C1897" s="16" t="e">
        <f>VLOOKUP(Table1[[#This Row],[Node]],Parent!A:B,2,0)</f>
        <v>#N/A</v>
      </c>
      <c r="D1897" s="25" t="s">
        <v>19346</v>
      </c>
      <c r="E1897" s="26" t="s">
        <v>16544</v>
      </c>
      <c r="F1897" s="27" t="s">
        <v>18352</v>
      </c>
      <c r="G1897" s="27" t="s">
        <v>18379</v>
      </c>
      <c r="H1897" s="27" t="s">
        <v>18403</v>
      </c>
      <c r="I1897" s="27" t="s">
        <v>18405</v>
      </c>
      <c r="J1897" s="27"/>
      <c r="K1897" s="27"/>
      <c r="L1897" s="27"/>
      <c r="N1897" s="27"/>
      <c r="T1897" s="28" t="str">
        <f>LOOKUP(1,1/(Table1[[#This Row],[Level_0]:[Level 15]]&gt;0),(Table1[[#This Row],[Level_0]:[Level 15]]))</f>
        <v>7540000010 - [SOM Other Marketing and Selling]</v>
      </c>
      <c r="U1897" s="22">
        <v>1892</v>
      </c>
      <c r="W1897" s="13" t="str">
        <f>LOOKUP(1,1/(Table1[[#This Row],[Level_0]:[Level 15]]&gt;0),(Table1[[#This Row],[Level_0]:[Level 15]]))</f>
        <v>7540000010 - [SOM Other Marketing and Selling]</v>
      </c>
    </row>
    <row r="1898" spans="1:23" hidden="1" x14ac:dyDescent="0.25">
      <c r="A1898">
        <v>5962000000</v>
      </c>
      <c r="B1898" s="16" t="s">
        <v>20599</v>
      </c>
      <c r="C1898" s="16" t="e">
        <f>VLOOKUP(Table1[[#This Row],[Node]],Parent!A:B,2,0)</f>
        <v>#N/A</v>
      </c>
      <c r="D1898" s="25" t="s">
        <v>19346</v>
      </c>
      <c r="E1898" s="26" t="s">
        <v>16544</v>
      </c>
      <c r="F1898" s="27" t="s">
        <v>18352</v>
      </c>
      <c r="G1898" s="27" t="s">
        <v>18379</v>
      </c>
      <c r="H1898" s="27" t="s">
        <v>18403</v>
      </c>
      <c r="I1898" s="27" t="s">
        <v>18406</v>
      </c>
      <c r="J1898" s="27"/>
      <c r="K1898" s="27"/>
      <c r="L1898" s="27"/>
      <c r="N1898" s="27"/>
      <c r="T1898" s="28" t="str">
        <f>LOOKUP(1,1/(Table1[[#This Row],[Level_0]:[Level 15]]&gt;0),(Table1[[#This Row],[Level_0]:[Level 15]]))</f>
        <v>5962000000 - [Oth External Costs - Publications]</v>
      </c>
      <c r="U1898" s="22">
        <v>1893</v>
      </c>
      <c r="W1898" s="13" t="str">
        <f>LOOKUP(1,1/(Table1[[#This Row],[Level_0]:[Level 15]]&gt;0),(Table1[[#This Row],[Level_0]:[Level 15]]))</f>
        <v>5962000000 - [Oth External Costs - Publications]</v>
      </c>
    </row>
    <row r="1899" spans="1:23" hidden="1" x14ac:dyDescent="0.25">
      <c r="A1899">
        <v>5419000001</v>
      </c>
      <c r="B1899" s="16" t="s">
        <v>20280</v>
      </c>
      <c r="C1899" s="16" t="e">
        <f>VLOOKUP(Table1[[#This Row],[Node]],Parent!A:B,2,0)</f>
        <v>#N/A</v>
      </c>
      <c r="D1899" s="25" t="s">
        <v>19346</v>
      </c>
      <c r="E1899" s="26" t="s">
        <v>16544</v>
      </c>
      <c r="F1899" s="27" t="s">
        <v>18352</v>
      </c>
      <c r="G1899" s="27" t="s">
        <v>18379</v>
      </c>
      <c r="H1899" s="27" t="s">
        <v>18403</v>
      </c>
      <c r="I1899" s="27" t="s">
        <v>18407</v>
      </c>
      <c r="J1899" s="27"/>
      <c r="K1899" s="27"/>
      <c r="L1899" s="27"/>
      <c r="N1899" s="27"/>
      <c r="T1899" s="28" t="str">
        <f>LOOKUP(1,1/(Table1[[#This Row],[Level_0]:[Level 15]]&gt;0),(Table1[[#This Row],[Level_0]:[Level 15]]))</f>
        <v>5419000001 - [Other Advertisements - Non-Deductible]</v>
      </c>
      <c r="U1899" s="22">
        <v>1894</v>
      </c>
      <c r="W1899" s="13" t="str">
        <f>LOOKUP(1,1/(Table1[[#This Row],[Level_0]:[Level 15]]&gt;0),(Table1[[#This Row],[Level_0]:[Level 15]]))</f>
        <v>5419000001 - [Other Advertisements - Non-Deductible]</v>
      </c>
    </row>
    <row r="1900" spans="1:23" hidden="1" x14ac:dyDescent="0.25">
      <c r="A1900">
        <v>5419000000</v>
      </c>
      <c r="B1900" s="16" t="s">
        <v>20279</v>
      </c>
      <c r="C1900" s="16" t="e">
        <f>VLOOKUP(Table1[[#This Row],[Node]],Parent!A:B,2,0)</f>
        <v>#N/A</v>
      </c>
      <c r="D1900" s="25" t="s">
        <v>19346</v>
      </c>
      <c r="E1900" s="26" t="s">
        <v>16544</v>
      </c>
      <c r="F1900" s="27" t="s">
        <v>18352</v>
      </c>
      <c r="G1900" s="27" t="s">
        <v>18379</v>
      </c>
      <c r="H1900" s="27" t="s">
        <v>18403</v>
      </c>
      <c r="I1900" s="27" t="s">
        <v>18408</v>
      </c>
      <c r="J1900" s="27"/>
      <c r="K1900" s="27"/>
      <c r="L1900" s="27"/>
      <c r="N1900" s="27"/>
      <c r="T1900" s="28" t="str">
        <f>LOOKUP(1,1/(Table1[[#This Row],[Level_0]:[Level 15]]&gt;0),(Table1[[#This Row],[Level_0]:[Level 15]]))</f>
        <v>5419000000 - [Advertisements - Other Advertising]</v>
      </c>
      <c r="U1900" s="22">
        <v>1895</v>
      </c>
      <c r="W1900" s="13" t="str">
        <f>LOOKUP(1,1/(Table1[[#This Row],[Level_0]:[Level 15]]&gt;0),(Table1[[#This Row],[Level_0]:[Level 15]]))</f>
        <v>5419000000 - [Advertisements - Other Advertising]</v>
      </c>
    </row>
    <row r="1901" spans="1:23" hidden="1" x14ac:dyDescent="0.25">
      <c r="A1901">
        <v>5414020000</v>
      </c>
      <c r="B1901" s="16" t="s">
        <v>20278</v>
      </c>
      <c r="C1901" s="16" t="e">
        <f>VLOOKUP(Table1[[#This Row],[Node]],Parent!A:B,2,0)</f>
        <v>#N/A</v>
      </c>
      <c r="D1901" s="25" t="s">
        <v>19346</v>
      </c>
      <c r="E1901" s="26" t="s">
        <v>16544</v>
      </c>
      <c r="F1901" s="27" t="s">
        <v>18352</v>
      </c>
      <c r="G1901" s="27" t="s">
        <v>18379</v>
      </c>
      <c r="H1901" s="27" t="s">
        <v>18403</v>
      </c>
      <c r="I1901" s="27" t="s">
        <v>18409</v>
      </c>
      <c r="J1901" s="27"/>
      <c r="K1901" s="27"/>
      <c r="L1901" s="27"/>
      <c r="N1901" s="27"/>
      <c r="T1901" s="28" t="str">
        <f>LOOKUP(1,1/(Table1[[#This Row],[Level_0]:[Level 15]]&gt;0),(Table1[[#This Row],[Level_0]:[Level 15]]))</f>
        <v>5414020000 - [Website Hosting]</v>
      </c>
      <c r="U1901" s="22">
        <v>1896</v>
      </c>
      <c r="W1901" s="13" t="str">
        <f>LOOKUP(1,1/(Table1[[#This Row],[Level_0]:[Level 15]]&gt;0),(Table1[[#This Row],[Level_0]:[Level 15]]))</f>
        <v>5414020000 - [Website Hosting]</v>
      </c>
    </row>
    <row r="1902" spans="1:23" hidden="1" x14ac:dyDescent="0.25">
      <c r="A1902">
        <v>5413020000</v>
      </c>
      <c r="B1902" s="16" t="s">
        <v>20275</v>
      </c>
      <c r="C1902" s="16" t="e">
        <f>VLOOKUP(Table1[[#This Row],[Node]],Parent!A:B,2,0)</f>
        <v>#N/A</v>
      </c>
      <c r="D1902" s="25" t="s">
        <v>19346</v>
      </c>
      <c r="E1902" s="26" t="s">
        <v>16544</v>
      </c>
      <c r="F1902" s="27" t="s">
        <v>18352</v>
      </c>
      <c r="G1902" s="27" t="s">
        <v>18379</v>
      </c>
      <c r="H1902" s="27" t="s">
        <v>18403</v>
      </c>
      <c r="I1902" s="27" t="s">
        <v>18410</v>
      </c>
      <c r="J1902" s="27"/>
      <c r="K1902" s="27"/>
      <c r="L1902" s="27"/>
      <c r="N1902" s="27"/>
      <c r="T1902" s="28" t="str">
        <f>LOOKUP(1,1/(Table1[[#This Row],[Level_0]:[Level 15]]&gt;0),(Table1[[#This Row],[Level_0]:[Level 15]]))</f>
        <v>5413020000 - [Consumer Dir Mktng - Mob-Mktng/E-Mailing]</v>
      </c>
      <c r="U1902" s="22">
        <v>1897</v>
      </c>
      <c r="W1902" s="13" t="str">
        <f>LOOKUP(1,1/(Table1[[#This Row],[Level_0]:[Level 15]]&gt;0),(Table1[[#This Row],[Level_0]:[Level 15]]))</f>
        <v>5413020000 - [Consumer Dir Mktng - Mob-Mktng/E-Mailing]</v>
      </c>
    </row>
    <row r="1903" spans="1:23" hidden="1" x14ac:dyDescent="0.25">
      <c r="A1903">
        <v>5413000000</v>
      </c>
      <c r="B1903" s="16" t="s">
        <v>20274</v>
      </c>
      <c r="C1903" s="16" t="e">
        <f>VLOOKUP(Table1[[#This Row],[Node]],Parent!A:B,2,0)</f>
        <v>#N/A</v>
      </c>
      <c r="D1903" s="25" t="s">
        <v>19346</v>
      </c>
      <c r="E1903" s="26" t="s">
        <v>16544</v>
      </c>
      <c r="F1903" s="27" t="s">
        <v>18352</v>
      </c>
      <c r="G1903" s="27" t="s">
        <v>18379</v>
      </c>
      <c r="H1903" s="27" t="s">
        <v>18403</v>
      </c>
      <c r="I1903" s="27" t="s">
        <v>18411</v>
      </c>
      <c r="J1903" s="27"/>
      <c r="K1903" s="27"/>
      <c r="L1903" s="27"/>
      <c r="N1903" s="27"/>
      <c r="T1903" s="28" t="str">
        <f>LOOKUP(1,1/(Table1[[#This Row],[Level_0]:[Level 15]]&gt;0),(Table1[[#This Row],[Level_0]:[Level 15]]))</f>
        <v>5413000000 - [Consumer Dir Mktng - Direct Mailing]</v>
      </c>
      <c r="U1903" s="22">
        <v>1898</v>
      </c>
      <c r="W1903" s="13" t="str">
        <f>LOOKUP(1,1/(Table1[[#This Row],[Level_0]:[Level 15]]&gt;0),(Table1[[#This Row],[Level_0]:[Level 15]]))</f>
        <v>5413000000 - [Consumer Dir Mktng - Direct Mailing]</v>
      </c>
    </row>
    <row r="1904" spans="1:23" hidden="1" x14ac:dyDescent="0.25">
      <c r="A1904">
        <v>5412010000</v>
      </c>
      <c r="B1904" s="16" t="s">
        <v>20273</v>
      </c>
      <c r="C1904" s="16" t="e">
        <f>VLOOKUP(Table1[[#This Row],[Node]],Parent!A:B,2,0)</f>
        <v>#N/A</v>
      </c>
      <c r="D1904" s="25" t="s">
        <v>19346</v>
      </c>
      <c r="E1904" s="26" t="s">
        <v>16544</v>
      </c>
      <c r="F1904" s="27" t="s">
        <v>18352</v>
      </c>
      <c r="G1904" s="27" t="s">
        <v>18379</v>
      </c>
      <c r="H1904" s="27" t="s">
        <v>18403</v>
      </c>
      <c r="I1904" s="27" t="s">
        <v>18412</v>
      </c>
      <c r="J1904" s="27"/>
      <c r="K1904" s="27"/>
      <c r="L1904" s="27"/>
      <c r="N1904" s="27"/>
      <c r="T1904" s="28" t="str">
        <f>LOOKUP(1,1/(Table1[[#This Row],[Level_0]:[Level 15]]&gt;0),(Table1[[#This Row],[Level_0]:[Level 15]]))</f>
        <v>5412010000 - [Point of Sale - Merchandizer]</v>
      </c>
      <c r="U1904" s="22">
        <v>1899</v>
      </c>
      <c r="W1904" s="13" t="str">
        <f>LOOKUP(1,1/(Table1[[#This Row],[Level_0]:[Level 15]]&gt;0),(Table1[[#This Row],[Level_0]:[Level 15]]))</f>
        <v>5412010000 - [Point of Sale - Merchandizer]</v>
      </c>
    </row>
    <row r="1905" spans="1:23" hidden="1" x14ac:dyDescent="0.25">
      <c r="A1905">
        <v>5412000000</v>
      </c>
      <c r="B1905" s="16" t="s">
        <v>20272</v>
      </c>
      <c r="C1905" s="16" t="e">
        <f>VLOOKUP(Table1[[#This Row],[Node]],Parent!A:B,2,0)</f>
        <v>#N/A</v>
      </c>
      <c r="D1905" s="25" t="s">
        <v>19346</v>
      </c>
      <c r="E1905" s="26" t="s">
        <v>16544</v>
      </c>
      <c r="F1905" s="27" t="s">
        <v>18352</v>
      </c>
      <c r="G1905" s="27" t="s">
        <v>18379</v>
      </c>
      <c r="H1905" s="27" t="s">
        <v>18403</v>
      </c>
      <c r="I1905" s="27" t="s">
        <v>18413</v>
      </c>
      <c r="J1905" s="27"/>
      <c r="K1905" s="27"/>
      <c r="L1905" s="27"/>
      <c r="N1905" s="27"/>
      <c r="T1905" s="28" t="str">
        <f>LOOKUP(1,1/(Table1[[#This Row],[Level_0]:[Level 15]]&gt;0),(Table1[[#This Row],[Level_0]:[Level 15]]))</f>
        <v>5412000000 - [Point of Sale - Activitites and Mat]</v>
      </c>
      <c r="U1905" s="22">
        <v>1900</v>
      </c>
      <c r="W1905" s="13" t="str">
        <f>LOOKUP(1,1/(Table1[[#This Row],[Level_0]:[Level 15]]&gt;0),(Table1[[#This Row],[Level_0]:[Level 15]]))</f>
        <v>5412000000 - [Point of Sale - Activitites and Mat]</v>
      </c>
    </row>
    <row r="1906" spans="1:23" hidden="1" x14ac:dyDescent="0.25">
      <c r="A1906">
        <v>5411010000</v>
      </c>
      <c r="B1906" s="16" t="s">
        <v>20271</v>
      </c>
      <c r="C1906" s="16" t="e">
        <f>VLOOKUP(Table1[[#This Row],[Node]],Parent!A:B,2,0)</f>
        <v>#N/A</v>
      </c>
      <c r="D1906" s="25" t="s">
        <v>19346</v>
      </c>
      <c r="E1906" s="26" t="s">
        <v>16544</v>
      </c>
      <c r="F1906" s="27" t="s">
        <v>18352</v>
      </c>
      <c r="G1906" s="27" t="s">
        <v>18379</v>
      </c>
      <c r="H1906" s="27" t="s">
        <v>18403</v>
      </c>
      <c r="I1906" s="27" t="s">
        <v>18414</v>
      </c>
      <c r="J1906" s="27"/>
      <c r="K1906" s="27"/>
      <c r="L1906" s="27"/>
      <c r="N1906" s="27"/>
      <c r="T1906" s="28" t="str">
        <f>LOOKUP(1,1/(Table1[[#This Row],[Level_0]:[Level 15]]&gt;0),(Table1[[#This Row],[Level_0]:[Level 15]]))</f>
        <v>5411010000 - [Agency Production Costs]</v>
      </c>
      <c r="U1906" s="22">
        <v>1901</v>
      </c>
      <c r="W1906" s="13" t="str">
        <f>LOOKUP(1,1/(Table1[[#This Row],[Level_0]:[Level 15]]&gt;0),(Table1[[#This Row],[Level_0]:[Level 15]]))</f>
        <v>5411010000 - [Agency Production Costs]</v>
      </c>
    </row>
    <row r="1907" spans="1:23" hidden="1" x14ac:dyDescent="0.25">
      <c r="A1907">
        <v>5411000000</v>
      </c>
      <c r="B1907" s="16" t="s">
        <v>20270</v>
      </c>
      <c r="C1907" s="16" t="e">
        <f>VLOOKUP(Table1[[#This Row],[Node]],Parent!A:B,2,0)</f>
        <v>#N/A</v>
      </c>
      <c r="D1907" s="25" t="s">
        <v>19346</v>
      </c>
      <c r="E1907" s="26" t="s">
        <v>16544</v>
      </c>
      <c r="F1907" s="27" t="s">
        <v>18352</v>
      </c>
      <c r="G1907" s="27" t="s">
        <v>18379</v>
      </c>
      <c r="H1907" s="27" t="s">
        <v>18403</v>
      </c>
      <c r="I1907" s="27" t="s">
        <v>18415</v>
      </c>
      <c r="J1907" s="27"/>
      <c r="K1907" s="27"/>
      <c r="L1907" s="27"/>
      <c r="N1907" s="27"/>
      <c r="T1907" s="28" t="str">
        <f>LOOKUP(1,1/(Table1[[#This Row],[Level_0]:[Level 15]]&gt;0),(Table1[[#This Row],[Level_0]:[Level 15]]))</f>
        <v>5411000000 - [Agency Fee - Creative Development]</v>
      </c>
      <c r="U1907" s="22">
        <v>1902</v>
      </c>
      <c r="W1907" s="13" t="str">
        <f>LOOKUP(1,1/(Table1[[#This Row],[Level_0]:[Level 15]]&gt;0),(Table1[[#This Row],[Level_0]:[Level 15]]))</f>
        <v>5411000000 - [Agency Fee - Creative Development]</v>
      </c>
    </row>
    <row r="1908" spans="1:23" hidden="1" x14ac:dyDescent="0.25">
      <c r="A1908">
        <v>5410090000</v>
      </c>
      <c r="B1908" s="16" t="s">
        <v>20268</v>
      </c>
      <c r="C1908" s="16" t="e">
        <f>VLOOKUP(Table1[[#This Row],[Node]],Parent!A:B,2,0)</f>
        <v>#N/A</v>
      </c>
      <c r="D1908" s="25" t="s">
        <v>19346</v>
      </c>
      <c r="E1908" s="26" t="s">
        <v>16544</v>
      </c>
      <c r="F1908" s="27" t="s">
        <v>18352</v>
      </c>
      <c r="G1908" s="27" t="s">
        <v>18379</v>
      </c>
      <c r="H1908" s="27" t="s">
        <v>18403</v>
      </c>
      <c r="I1908" s="27" t="s">
        <v>18416</v>
      </c>
      <c r="J1908" s="27"/>
      <c r="K1908" s="27"/>
      <c r="L1908" s="27"/>
      <c r="N1908" s="27"/>
      <c r="T1908" s="28" t="str">
        <f>LOOKUP(1,1/(Table1[[#This Row],[Level_0]:[Level 15]]&gt;0),(Table1[[#This Row],[Level_0]:[Level 15]]))</f>
        <v>5410090000 - [Media Costs - Other]</v>
      </c>
      <c r="U1908" s="22">
        <v>1903</v>
      </c>
      <c r="W1908" s="13" t="str">
        <f>LOOKUP(1,1/(Table1[[#This Row],[Level_0]:[Level 15]]&gt;0),(Table1[[#This Row],[Level_0]:[Level 15]]))</f>
        <v>5410090000 - [Media Costs - Other]</v>
      </c>
    </row>
    <row r="1909" spans="1:23" hidden="1" x14ac:dyDescent="0.25">
      <c r="A1909">
        <v>5410070000</v>
      </c>
      <c r="B1909" s="16" t="s">
        <v>20267</v>
      </c>
      <c r="C1909" s="16" t="e">
        <f>VLOOKUP(Table1[[#This Row],[Node]],Parent!A:B,2,0)</f>
        <v>#N/A</v>
      </c>
      <c r="D1909" s="25" t="s">
        <v>19346</v>
      </c>
      <c r="E1909" s="26" t="s">
        <v>16544</v>
      </c>
      <c r="F1909" s="27" t="s">
        <v>18352</v>
      </c>
      <c r="G1909" s="27" t="s">
        <v>18379</v>
      </c>
      <c r="H1909" s="27" t="s">
        <v>18403</v>
      </c>
      <c r="I1909" s="27" t="s">
        <v>18417</v>
      </c>
      <c r="J1909" s="27"/>
      <c r="K1909" s="27"/>
      <c r="L1909" s="27"/>
      <c r="N1909" s="27"/>
      <c r="T1909" s="28" t="str">
        <f>LOOKUP(1,1/(Table1[[#This Row],[Level_0]:[Level 15]]&gt;0),(Table1[[#This Row],[Level_0]:[Level 15]]))</f>
        <v>5410070000 - [Media Costs - Social Media]</v>
      </c>
      <c r="U1909" s="22">
        <v>1904</v>
      </c>
      <c r="W1909" s="13" t="str">
        <f>LOOKUP(1,1/(Table1[[#This Row],[Level_0]:[Level 15]]&gt;0),(Table1[[#This Row],[Level_0]:[Level 15]]))</f>
        <v>5410070000 - [Media Costs - Social Media]</v>
      </c>
    </row>
    <row r="1910" spans="1:23" hidden="1" x14ac:dyDescent="0.25">
      <c r="A1910">
        <v>5410050000</v>
      </c>
      <c r="B1910" s="16" t="s">
        <v>20266</v>
      </c>
      <c r="C1910" s="16" t="e">
        <f>VLOOKUP(Table1[[#This Row],[Node]],Parent!A:B,2,0)</f>
        <v>#N/A</v>
      </c>
      <c r="D1910" s="25" t="s">
        <v>19346</v>
      </c>
      <c r="E1910" s="26" t="s">
        <v>16544</v>
      </c>
      <c r="F1910" s="27" t="s">
        <v>18352</v>
      </c>
      <c r="G1910" s="27" t="s">
        <v>18379</v>
      </c>
      <c r="H1910" s="27" t="s">
        <v>18403</v>
      </c>
      <c r="I1910" s="27" t="s">
        <v>18418</v>
      </c>
      <c r="J1910" s="27"/>
      <c r="K1910" s="27"/>
      <c r="L1910" s="27"/>
      <c r="N1910" s="27"/>
      <c r="T1910" s="28" t="str">
        <f>LOOKUP(1,1/(Table1[[#This Row],[Level_0]:[Level 15]]&gt;0),(Table1[[#This Row],[Level_0]:[Level 15]]))</f>
        <v>5410050000 - [Media Costs - InterNet]</v>
      </c>
      <c r="U1910" s="22">
        <v>1905</v>
      </c>
      <c r="W1910" s="13" t="str">
        <f>LOOKUP(1,1/(Table1[[#This Row],[Level_0]:[Level 15]]&gt;0),(Table1[[#This Row],[Level_0]:[Level 15]]))</f>
        <v>5410050000 - [Media Costs - InterNet]</v>
      </c>
    </row>
    <row r="1911" spans="1:23" hidden="1" x14ac:dyDescent="0.25">
      <c r="A1911">
        <v>5410040000</v>
      </c>
      <c r="B1911" s="16" t="s">
        <v>20265</v>
      </c>
      <c r="C1911" s="16" t="e">
        <f>VLOOKUP(Table1[[#This Row],[Node]],Parent!A:B,2,0)</f>
        <v>#N/A</v>
      </c>
      <c r="D1911" s="25" t="s">
        <v>19346</v>
      </c>
      <c r="E1911" s="26" t="s">
        <v>16544</v>
      </c>
      <c r="F1911" s="27" t="s">
        <v>18352</v>
      </c>
      <c r="G1911" s="27" t="s">
        <v>18379</v>
      </c>
      <c r="H1911" s="27" t="s">
        <v>18403</v>
      </c>
      <c r="I1911" s="27" t="s">
        <v>18419</v>
      </c>
      <c r="J1911" s="27"/>
      <c r="K1911" s="27"/>
      <c r="L1911" s="27"/>
      <c r="N1911" s="27"/>
      <c r="T1911" s="28" t="str">
        <f>LOOKUP(1,1/(Table1[[#This Row],[Level_0]:[Level 15]]&gt;0),(Table1[[#This Row],[Level_0]:[Level 15]]))</f>
        <v>5410040000 - [Media Costs - Outdoor]</v>
      </c>
      <c r="U1911" s="22">
        <v>1906</v>
      </c>
      <c r="W1911" s="13" t="str">
        <f>LOOKUP(1,1/(Table1[[#This Row],[Level_0]:[Level 15]]&gt;0),(Table1[[#This Row],[Level_0]:[Level 15]]))</f>
        <v>5410040000 - [Media Costs - Outdoor]</v>
      </c>
    </row>
    <row r="1912" spans="1:23" hidden="1" x14ac:dyDescent="0.25">
      <c r="A1912">
        <v>5410010000</v>
      </c>
      <c r="B1912" s="16" t="s">
        <v>20264</v>
      </c>
      <c r="C1912" s="16" t="e">
        <f>VLOOKUP(Table1[[#This Row],[Node]],Parent!A:B,2,0)</f>
        <v>#N/A</v>
      </c>
      <c r="D1912" s="25" t="s">
        <v>19346</v>
      </c>
      <c r="E1912" s="26" t="s">
        <v>16544</v>
      </c>
      <c r="F1912" s="27" t="s">
        <v>18352</v>
      </c>
      <c r="G1912" s="27" t="s">
        <v>18379</v>
      </c>
      <c r="H1912" s="27" t="s">
        <v>18403</v>
      </c>
      <c r="I1912" s="27" t="s">
        <v>18420</v>
      </c>
      <c r="J1912" s="27"/>
      <c r="K1912" s="27"/>
      <c r="L1912" s="27"/>
      <c r="N1912" s="27"/>
      <c r="T1912" s="28" t="str">
        <f>LOOKUP(1,1/(Table1[[#This Row],[Level_0]:[Level 15]]&gt;0),(Table1[[#This Row],[Level_0]:[Level 15]]))</f>
        <v>5410010000 - [Media Costs - Print]</v>
      </c>
      <c r="U1912" s="22">
        <v>1907</v>
      </c>
      <c r="W1912" s="13" t="str">
        <f>LOOKUP(1,1/(Table1[[#This Row],[Level_0]:[Level 15]]&gt;0),(Table1[[#This Row],[Level_0]:[Level 15]]))</f>
        <v>5410010000 - [Media Costs - Print]</v>
      </c>
    </row>
    <row r="1913" spans="1:23" hidden="1" x14ac:dyDescent="0.25">
      <c r="A1913">
        <v>5410000000</v>
      </c>
      <c r="B1913" s="16" t="s">
        <v>20263</v>
      </c>
      <c r="C1913" s="16" t="e">
        <f>VLOOKUP(Table1[[#This Row],[Node]],Parent!A:B,2,0)</f>
        <v>#N/A</v>
      </c>
      <c r="D1913" s="25" t="s">
        <v>19346</v>
      </c>
      <c r="E1913" s="26" t="s">
        <v>16544</v>
      </c>
      <c r="F1913" s="27" t="s">
        <v>18352</v>
      </c>
      <c r="G1913" s="27" t="s">
        <v>18379</v>
      </c>
      <c r="H1913" s="27" t="s">
        <v>18403</v>
      </c>
      <c r="I1913" s="27" t="s">
        <v>18421</v>
      </c>
      <c r="J1913" s="27"/>
      <c r="K1913" s="27"/>
      <c r="L1913" s="27"/>
      <c r="N1913" s="27"/>
      <c r="T1913" s="28" t="str">
        <f>LOOKUP(1,1/(Table1[[#This Row],[Level_0]:[Level 15]]&gt;0),(Table1[[#This Row],[Level_0]:[Level 15]]))</f>
        <v>5410000000 - [Media Costs - TV]</v>
      </c>
      <c r="U1913" s="22">
        <v>1908</v>
      </c>
      <c r="W1913" s="13" t="str">
        <f>LOOKUP(1,1/(Table1[[#This Row],[Level_0]:[Level 15]]&gt;0),(Table1[[#This Row],[Level_0]:[Level 15]]))</f>
        <v>5410000000 - [Media Costs - TV]</v>
      </c>
    </row>
    <row r="1914" spans="1:23" hidden="1" x14ac:dyDescent="0.25">
      <c r="A1914">
        <v>5409000000</v>
      </c>
      <c r="B1914" s="16" t="s">
        <v>20262</v>
      </c>
      <c r="C1914" s="16" t="e">
        <f>VLOOKUP(Table1[[#This Row],[Node]],Parent!A:B,2,0)</f>
        <v>#N/A</v>
      </c>
      <c r="D1914" s="25" t="s">
        <v>19346</v>
      </c>
      <c r="E1914" s="26" t="s">
        <v>16544</v>
      </c>
      <c r="F1914" s="27" t="s">
        <v>18352</v>
      </c>
      <c r="G1914" s="27" t="s">
        <v>18379</v>
      </c>
      <c r="H1914" s="27" t="s">
        <v>18403</v>
      </c>
      <c r="I1914" s="27" t="s">
        <v>18422</v>
      </c>
      <c r="J1914" s="27"/>
      <c r="K1914" s="27"/>
      <c r="L1914" s="27"/>
      <c r="N1914" s="27"/>
      <c r="T1914" s="28" t="str">
        <f>LOOKUP(1,1/(Table1[[#This Row],[Level_0]:[Level 15]]&gt;0),(Table1[[#This Row],[Level_0]:[Level 15]]))</f>
        <v>5409000000 - [Promo - Other Promotion]</v>
      </c>
      <c r="U1914" s="22">
        <v>1909</v>
      </c>
      <c r="W1914" s="13" t="str">
        <f>LOOKUP(1,1/(Table1[[#This Row],[Level_0]:[Level 15]]&gt;0),(Table1[[#This Row],[Level_0]:[Level 15]]))</f>
        <v>5409000000 - [Promo - Other Promotion]</v>
      </c>
    </row>
    <row r="1915" spans="1:23" hidden="1" x14ac:dyDescent="0.25">
      <c r="A1915">
        <v>5402000000</v>
      </c>
      <c r="B1915" s="16" t="s">
        <v>20261</v>
      </c>
      <c r="C1915" s="16" t="e">
        <f>VLOOKUP(Table1[[#This Row],[Node]],Parent!A:B,2,0)</f>
        <v>#N/A</v>
      </c>
      <c r="D1915" s="25" t="s">
        <v>19346</v>
      </c>
      <c r="E1915" s="26" t="s">
        <v>16544</v>
      </c>
      <c r="F1915" s="27" t="s">
        <v>18352</v>
      </c>
      <c r="G1915" s="27" t="s">
        <v>18379</v>
      </c>
      <c r="H1915" s="27" t="s">
        <v>18403</v>
      </c>
      <c r="I1915" s="27" t="s">
        <v>18423</v>
      </c>
      <c r="J1915" s="27"/>
      <c r="K1915" s="27"/>
      <c r="L1915" s="27"/>
      <c r="N1915" s="27"/>
      <c r="T1915" s="28" t="str">
        <f>LOOKUP(1,1/(Table1[[#This Row],[Level_0]:[Level 15]]&gt;0),(Table1[[#This Row],[Level_0]:[Level 15]]))</f>
        <v>5402000000 - [Promo - Catal, Prc Lists and Similar Mat]</v>
      </c>
      <c r="U1915" s="22">
        <v>1910</v>
      </c>
      <c r="W1915" s="13" t="str">
        <f>LOOKUP(1,1/(Table1[[#This Row],[Level_0]:[Level 15]]&gt;0),(Table1[[#This Row],[Level_0]:[Level 15]]))</f>
        <v>5402000000 - [Promo - Catal, Prc Lists and Similar Mat]</v>
      </c>
    </row>
    <row r="1916" spans="1:23" hidden="1" x14ac:dyDescent="0.25">
      <c r="A1916">
        <v>5401000002</v>
      </c>
      <c r="B1916" s="16" t="s">
        <v>20259</v>
      </c>
      <c r="C1916" s="16" t="e">
        <f>VLOOKUP(Table1[[#This Row],[Node]],Parent!A:B,2,0)</f>
        <v>#N/A</v>
      </c>
      <c r="D1916" s="25" t="s">
        <v>19346</v>
      </c>
      <c r="E1916" s="26" t="s">
        <v>16544</v>
      </c>
      <c r="F1916" s="27" t="s">
        <v>18352</v>
      </c>
      <c r="G1916" s="27" t="s">
        <v>18379</v>
      </c>
      <c r="H1916" s="27" t="s">
        <v>18403</v>
      </c>
      <c r="I1916" s="27" t="s">
        <v>18424</v>
      </c>
      <c r="J1916" s="27"/>
      <c r="K1916" s="27"/>
      <c r="L1916" s="27"/>
      <c r="N1916" s="27"/>
      <c r="T1916" s="28" t="str">
        <f>LOOKUP(1,1/(Table1[[#This Row],[Level_0]:[Level 15]]&gt;0),(Table1[[#This Row],[Level_0]:[Level 15]]))</f>
        <v>5401000002 - [Promo - Customer Gifts - &gt;35 E]</v>
      </c>
      <c r="U1916" s="22">
        <v>1911</v>
      </c>
      <c r="W1916" s="13" t="str">
        <f>LOOKUP(1,1/(Table1[[#This Row],[Level_0]:[Level 15]]&gt;0),(Table1[[#This Row],[Level_0]:[Level 15]]))</f>
        <v>5401000002 - [Promo - Customer Gifts - &gt;35 E]</v>
      </c>
    </row>
    <row r="1917" spans="1:23" hidden="1" x14ac:dyDescent="0.25">
      <c r="A1917">
        <v>5401000001</v>
      </c>
      <c r="B1917" s="16" t="s">
        <v>20258</v>
      </c>
      <c r="C1917" s="16" t="e">
        <f>VLOOKUP(Table1[[#This Row],[Node]],Parent!A:B,2,0)</f>
        <v>#N/A</v>
      </c>
      <c r="D1917" s="25" t="s">
        <v>19346</v>
      </c>
      <c r="E1917" s="26" t="s">
        <v>16544</v>
      </c>
      <c r="F1917" s="27" t="s">
        <v>18352</v>
      </c>
      <c r="G1917" s="27" t="s">
        <v>18379</v>
      </c>
      <c r="H1917" s="27" t="s">
        <v>18403</v>
      </c>
      <c r="I1917" s="27" t="s">
        <v>18425</v>
      </c>
      <c r="J1917" s="27"/>
      <c r="K1917" s="27"/>
      <c r="L1917" s="27"/>
      <c r="N1917" s="27"/>
      <c r="T1917" s="28" t="str">
        <f>LOOKUP(1,1/(Table1[[#This Row],[Level_0]:[Level 15]]&gt;0),(Table1[[#This Row],[Level_0]:[Level 15]]))</f>
        <v>5401000001 - [Promo - Customer Gifts - 10-35 E]</v>
      </c>
      <c r="U1917" s="22">
        <v>1912</v>
      </c>
      <c r="W1917" s="13" t="str">
        <f>LOOKUP(1,1/(Table1[[#This Row],[Level_0]:[Level 15]]&gt;0),(Table1[[#This Row],[Level_0]:[Level 15]]))</f>
        <v>5401000001 - [Promo - Customer Gifts - 10-35 E]</v>
      </c>
    </row>
    <row r="1918" spans="1:23" hidden="1" x14ac:dyDescent="0.25">
      <c r="A1918">
        <v>5401000000</v>
      </c>
      <c r="B1918" s="16" t="s">
        <v>20257</v>
      </c>
      <c r="C1918" s="16" t="e">
        <f>VLOOKUP(Table1[[#This Row],[Node]],Parent!A:B,2,0)</f>
        <v>#N/A</v>
      </c>
      <c r="D1918" s="25" t="s">
        <v>19346</v>
      </c>
      <c r="E1918" s="26" t="s">
        <v>16544</v>
      </c>
      <c r="F1918" s="27" t="s">
        <v>18352</v>
      </c>
      <c r="G1918" s="27" t="s">
        <v>18379</v>
      </c>
      <c r="H1918" s="27" t="s">
        <v>18403</v>
      </c>
      <c r="I1918" s="27" t="s">
        <v>18426</v>
      </c>
      <c r="J1918" s="27"/>
      <c r="K1918" s="27"/>
      <c r="L1918" s="27"/>
      <c r="N1918" s="27"/>
      <c r="T1918" s="28" t="str">
        <f>LOOKUP(1,1/(Table1[[#This Row],[Level_0]:[Level 15]]&gt;0),(Table1[[#This Row],[Level_0]:[Level 15]]))</f>
        <v>5401000000 - [Promo - Promotional Items]</v>
      </c>
      <c r="U1918" s="22">
        <v>1913</v>
      </c>
      <c r="W1918" s="13" t="str">
        <f>LOOKUP(1,1/(Table1[[#This Row],[Level_0]:[Level 15]]&gt;0),(Table1[[#This Row],[Level_0]:[Level 15]]))</f>
        <v>5401000000 - [Promo - Promotional Items]</v>
      </c>
    </row>
    <row r="1919" spans="1:23" hidden="1" x14ac:dyDescent="0.25">
      <c r="A1919">
        <v>5400000000</v>
      </c>
      <c r="B1919" s="16" t="s">
        <v>20255</v>
      </c>
      <c r="C1919" s="16" t="e">
        <f>VLOOKUP(Table1[[#This Row],[Node]],Parent!A:B,2,0)</f>
        <v>#N/A</v>
      </c>
      <c r="D1919" s="25" t="s">
        <v>19346</v>
      </c>
      <c r="E1919" s="26" t="s">
        <v>16544</v>
      </c>
      <c r="F1919" s="27" t="s">
        <v>18352</v>
      </c>
      <c r="G1919" s="27" t="s">
        <v>18379</v>
      </c>
      <c r="H1919" s="27" t="s">
        <v>18403</v>
      </c>
      <c r="I1919" s="27" t="s">
        <v>18427</v>
      </c>
      <c r="J1919" s="27"/>
      <c r="K1919" s="27"/>
      <c r="L1919" s="27"/>
      <c r="N1919" s="27"/>
      <c r="T1919" s="28" t="str">
        <f>LOOKUP(1,1/(Table1[[#This Row],[Level_0]:[Level 15]]&gt;0),(Table1[[#This Row],[Level_0]:[Level 15]]))</f>
        <v>5400000000 - [Promo - Samples]</v>
      </c>
      <c r="U1919" s="22">
        <v>1914</v>
      </c>
      <c r="W1919" s="13" t="str">
        <f>LOOKUP(1,1/(Table1[[#This Row],[Level_0]:[Level 15]]&gt;0),(Table1[[#This Row],[Level_0]:[Level 15]]))</f>
        <v>5400000000 - [Promo - Samples]</v>
      </c>
    </row>
    <row r="1920" spans="1:23" hidden="1" x14ac:dyDescent="0.25">
      <c r="A1920">
        <v>5401000003</v>
      </c>
      <c r="B1920" s="16">
        <v>0</v>
      </c>
      <c r="C1920" s="16" t="e">
        <f>VLOOKUP(Table1[[#This Row],[Node]],Parent!A:B,2,0)</f>
        <v>#N/A</v>
      </c>
      <c r="D1920" s="25" t="s">
        <v>19346</v>
      </c>
      <c r="E1920" s="26" t="s">
        <v>16544</v>
      </c>
      <c r="F1920" s="27" t="s">
        <v>18352</v>
      </c>
      <c r="G1920" s="27" t="s">
        <v>18379</v>
      </c>
      <c r="H1920" s="27" t="s">
        <v>18403</v>
      </c>
      <c r="I1920" s="27" t="s">
        <v>18428</v>
      </c>
      <c r="J1920" s="27"/>
      <c r="K1920" s="27"/>
      <c r="L1920" s="27"/>
      <c r="N1920" s="27"/>
      <c r="T1920" s="28" t="str">
        <f>LOOKUP(1,1/(Table1[[#This Row],[Level_0]:[Level 15]]&gt;0),(Table1[[#This Row],[Level_0]:[Level 15]]))</f>
        <v>5401000003 - [0]</v>
      </c>
      <c r="U1920" s="22">
        <v>1915</v>
      </c>
      <c r="W1920" s="13" t="str">
        <f>LOOKUP(1,1/(Table1[[#This Row],[Level_0]:[Level 15]]&gt;0),(Table1[[#This Row],[Level_0]:[Level 15]]))</f>
        <v>5401000003 - [0]</v>
      </c>
    </row>
    <row r="1921" spans="1:23" hidden="1" x14ac:dyDescent="0.25">
      <c r="A1921">
        <v>5401000004</v>
      </c>
      <c r="B1921" s="16" t="s">
        <v>20260</v>
      </c>
      <c r="C1921" s="16" t="e">
        <f>VLOOKUP(Table1[[#This Row],[Node]],Parent!A:B,2,0)</f>
        <v>#N/A</v>
      </c>
      <c r="D1921" s="25" t="s">
        <v>19346</v>
      </c>
      <c r="E1921" s="26" t="s">
        <v>16544</v>
      </c>
      <c r="F1921" s="27" t="s">
        <v>18352</v>
      </c>
      <c r="G1921" s="27" t="s">
        <v>18379</v>
      </c>
      <c r="H1921" s="27" t="s">
        <v>18403</v>
      </c>
      <c r="I1921" s="27" t="s">
        <v>18429</v>
      </c>
      <c r="J1921" s="27"/>
      <c r="K1921" s="27"/>
      <c r="L1921" s="27"/>
      <c r="N1921" s="27"/>
      <c r="T1921" s="28" t="str">
        <f>LOOKUP(1,1/(Table1[[#This Row],[Level_0]:[Level 15]]&gt;0),(Table1[[#This Row],[Level_0]:[Level 15]]))</f>
        <v>5401000004 - [FOC Materials &gt; 50 E]</v>
      </c>
      <c r="U1921" s="22">
        <v>1916</v>
      </c>
      <c r="W1921" s="13" t="str">
        <f>LOOKUP(1,1/(Table1[[#This Row],[Level_0]:[Level 15]]&gt;0),(Table1[[#This Row],[Level_0]:[Level 15]]))</f>
        <v>5401000004 - [FOC Materials &gt; 50 E]</v>
      </c>
    </row>
    <row r="1922" spans="1:23" hidden="1" x14ac:dyDescent="0.25">
      <c r="A1922">
        <v>5414010000</v>
      </c>
      <c r="B1922" s="16" t="s">
        <v>20277</v>
      </c>
      <c r="C1922" s="16" t="e">
        <f>VLOOKUP(Table1[[#This Row],[Node]],Parent!A:B,2,0)</f>
        <v>#N/A</v>
      </c>
      <c r="D1922" s="25" t="s">
        <v>19346</v>
      </c>
      <c r="E1922" s="26" t="s">
        <v>16544</v>
      </c>
      <c r="F1922" s="27" t="s">
        <v>18352</v>
      </c>
      <c r="G1922" s="27" t="s">
        <v>18379</v>
      </c>
      <c r="H1922" s="27" t="s">
        <v>18403</v>
      </c>
      <c r="I1922" s="27" t="s">
        <v>18430</v>
      </c>
      <c r="J1922" s="27"/>
      <c r="K1922" s="27"/>
      <c r="L1922" s="27"/>
      <c r="N1922" s="27"/>
      <c r="T1922" s="28" t="str">
        <f>LOOKUP(1,1/(Table1[[#This Row],[Level_0]:[Level 15]]&gt;0),(Table1[[#This Row],[Level_0]:[Level 15]]))</f>
        <v>5414010000 - [PR &amp; Institutional Advertising]</v>
      </c>
      <c r="U1922" s="22">
        <v>1917</v>
      </c>
      <c r="W1922" s="13" t="str">
        <f>LOOKUP(1,1/(Table1[[#This Row],[Level_0]:[Level 15]]&gt;0),(Table1[[#This Row],[Level_0]:[Level 15]]))</f>
        <v>5414010000 - [PR &amp; Institutional Advertising]</v>
      </c>
    </row>
    <row r="1923" spans="1:23" hidden="1" x14ac:dyDescent="0.25">
      <c r="A1923">
        <v>150000</v>
      </c>
      <c r="B1923" s="16" t="s">
        <v>19424</v>
      </c>
      <c r="C1923" s="16" t="e">
        <f>VLOOKUP(Table1[[#This Row],[Node]],Parent!A:B,2,0)</f>
        <v>#N/A</v>
      </c>
      <c r="D1923" s="25" t="s">
        <v>19346</v>
      </c>
      <c r="E1923" s="26" t="s">
        <v>16544</v>
      </c>
      <c r="F1923" s="27" t="s">
        <v>18431</v>
      </c>
      <c r="G1923" s="27"/>
      <c r="H1923" s="27"/>
      <c r="I1923" s="27"/>
      <c r="J1923" s="27"/>
      <c r="K1923" s="27"/>
      <c r="L1923" s="27"/>
      <c r="N1923" s="27"/>
      <c r="T1923" s="28" t="str">
        <f>LOOKUP(1,1/(Table1[[#This Row],[Level_0]:[Level 15]]&gt;0),(Table1[[#This Row],[Level_0]:[Level 15]]))</f>
        <v>150000 - [Material &amp; Inventory]</v>
      </c>
      <c r="U1923" s="22">
        <v>1918</v>
      </c>
      <c r="W1923" s="13" t="str">
        <f>LOOKUP(1,1/(Table1[[#This Row],[Level_0]:[Level 15]]&gt;0),(Table1[[#This Row],[Level_0]:[Level 15]]))</f>
        <v>150000 - [Material &amp; Inventory]</v>
      </c>
    </row>
    <row r="1924" spans="1:23" hidden="1" x14ac:dyDescent="0.25">
      <c r="A1924">
        <v>150400</v>
      </c>
      <c r="B1924" s="16" t="s">
        <v>19439</v>
      </c>
      <c r="C1924" s="16" t="e">
        <f>VLOOKUP(Table1[[#This Row],[Node]],Parent!A:B,2,0)</f>
        <v>#N/A</v>
      </c>
      <c r="D1924" s="25" t="s">
        <v>19346</v>
      </c>
      <c r="E1924" s="26" t="s">
        <v>16544</v>
      </c>
      <c r="F1924" s="27" t="s">
        <v>18431</v>
      </c>
      <c r="G1924" s="27" t="s">
        <v>18432</v>
      </c>
      <c r="H1924" s="27"/>
      <c r="I1924" s="27"/>
      <c r="J1924" s="27"/>
      <c r="K1924" s="27"/>
      <c r="L1924" s="27"/>
      <c r="N1924" s="27"/>
      <c r="T1924" s="28" t="str">
        <f>LOOKUP(1,1/(Table1[[#This Row],[Level_0]:[Level 15]]&gt;0),(Table1[[#This Row],[Level_0]:[Level 15]]))</f>
        <v>150400 - [Subcontracting Fees]</v>
      </c>
      <c r="U1924" s="22">
        <v>1919</v>
      </c>
      <c r="W1924" s="13" t="str">
        <f>LOOKUP(1,1/(Table1[[#This Row],[Level_0]:[Level 15]]&gt;0),(Table1[[#This Row],[Level_0]:[Level 15]]))</f>
        <v>150400 - [Subcontracting Fees]</v>
      </c>
    </row>
    <row r="1925" spans="1:23" hidden="1" x14ac:dyDescent="0.25">
      <c r="A1925">
        <v>5720010000</v>
      </c>
      <c r="B1925" s="16" t="s">
        <v>20420</v>
      </c>
      <c r="C1925" s="16" t="e">
        <f>VLOOKUP(Table1[[#This Row],[Node]],Parent!A:B,2,0)</f>
        <v>#N/A</v>
      </c>
      <c r="D1925" s="25" t="s">
        <v>19346</v>
      </c>
      <c r="E1925" s="26" t="s">
        <v>16544</v>
      </c>
      <c r="F1925" s="27" t="s">
        <v>18431</v>
      </c>
      <c r="G1925" s="27" t="s">
        <v>18432</v>
      </c>
      <c r="H1925" s="27" t="s">
        <v>18433</v>
      </c>
      <c r="I1925" s="27"/>
      <c r="J1925" s="27"/>
      <c r="K1925" s="27"/>
      <c r="L1925" s="27"/>
      <c r="N1925" s="27"/>
      <c r="T1925" s="28" t="str">
        <f>LOOKUP(1,1/(Table1[[#This Row],[Level_0]:[Level 15]]&gt;0),(Table1[[#This Row],[Level_0]:[Level 15]]))</f>
        <v>5720010000 - [Subcontracting Fees - IC]</v>
      </c>
      <c r="U1925" s="22">
        <v>1920</v>
      </c>
      <c r="W1925" s="13" t="str">
        <f>LOOKUP(1,1/(Table1[[#This Row],[Level_0]:[Level 15]]&gt;0),(Table1[[#This Row],[Level_0]:[Level 15]]))</f>
        <v>5720010000 - [Subcontracting Fees - IC]</v>
      </c>
    </row>
    <row r="1926" spans="1:23" hidden="1" x14ac:dyDescent="0.25">
      <c r="A1926">
        <v>5720000100</v>
      </c>
      <c r="B1926" s="16" t="s">
        <v>20419</v>
      </c>
      <c r="C1926" s="16" t="e">
        <f>VLOOKUP(Table1[[#This Row],[Node]],Parent!A:B,2,0)</f>
        <v>#N/A</v>
      </c>
      <c r="D1926" s="25" t="s">
        <v>19346</v>
      </c>
      <c r="E1926" s="26" t="s">
        <v>16544</v>
      </c>
      <c r="F1926" s="27" t="s">
        <v>18431</v>
      </c>
      <c r="G1926" s="27" t="s">
        <v>18432</v>
      </c>
      <c r="H1926" s="27" t="s">
        <v>18434</v>
      </c>
      <c r="I1926" s="27"/>
      <c r="J1926" s="27"/>
      <c r="K1926" s="27"/>
      <c r="L1926" s="27"/>
      <c r="N1926" s="27"/>
      <c r="T1926" s="28" t="str">
        <f>LOOKUP(1,1/(Table1[[#This Row],[Level_0]:[Level 15]]&gt;0),(Table1[[#This Row],[Level_0]:[Level 15]]))</f>
        <v>5720000100 - [External Operations Fees – OM]</v>
      </c>
      <c r="U1926" s="22">
        <v>1921</v>
      </c>
      <c r="W1926" s="13" t="str">
        <f>LOOKUP(1,1/(Table1[[#This Row],[Level_0]:[Level 15]]&gt;0),(Table1[[#This Row],[Level_0]:[Level 15]]))</f>
        <v>5720000100 - [External Operations Fees – OM]</v>
      </c>
    </row>
    <row r="1927" spans="1:23" hidden="1" x14ac:dyDescent="0.25">
      <c r="A1927">
        <v>5720000000</v>
      </c>
      <c r="B1927" s="16" t="s">
        <v>20418</v>
      </c>
      <c r="C1927" s="16" t="e">
        <f>VLOOKUP(Table1[[#This Row],[Node]],Parent!A:B,2,0)</f>
        <v>#N/A</v>
      </c>
      <c r="D1927" s="25" t="s">
        <v>19346</v>
      </c>
      <c r="E1927" s="26" t="s">
        <v>16544</v>
      </c>
      <c r="F1927" s="27" t="s">
        <v>18431</v>
      </c>
      <c r="G1927" s="27" t="s">
        <v>18432</v>
      </c>
      <c r="H1927" s="27" t="s">
        <v>18435</v>
      </c>
      <c r="I1927" s="27"/>
      <c r="J1927" s="27"/>
      <c r="K1927" s="27"/>
      <c r="L1927" s="27"/>
      <c r="N1927" s="27"/>
      <c r="T1927" s="28" t="str">
        <f>LOOKUP(1,1/(Table1[[#This Row],[Level_0]:[Level 15]]&gt;0),(Table1[[#This Row],[Level_0]:[Level 15]]))</f>
        <v>5720000000 - [Subcontracting Fees - 3P]</v>
      </c>
      <c r="U1927" s="22">
        <v>1922</v>
      </c>
      <c r="W1927" s="13" t="str">
        <f>LOOKUP(1,1/(Table1[[#This Row],[Level_0]:[Level 15]]&gt;0),(Table1[[#This Row],[Level_0]:[Level 15]]))</f>
        <v>5720000000 - [Subcontracting Fees - 3P]</v>
      </c>
    </row>
    <row r="1928" spans="1:23" hidden="1" x14ac:dyDescent="0.25">
      <c r="A1928">
        <v>4419000000</v>
      </c>
      <c r="B1928" s="16" t="s">
        <v>19929</v>
      </c>
      <c r="C1928" s="16" t="e">
        <f>VLOOKUP(Table1[[#This Row],[Node]],Parent!A:B,2,0)</f>
        <v>#N/A</v>
      </c>
      <c r="D1928" s="25" t="s">
        <v>19346</v>
      </c>
      <c r="E1928" s="26" t="s">
        <v>16544</v>
      </c>
      <c r="F1928" s="27" t="s">
        <v>18431</v>
      </c>
      <c r="G1928" s="27" t="s">
        <v>18432</v>
      </c>
      <c r="H1928" s="27" t="s">
        <v>18436</v>
      </c>
      <c r="I1928" s="27"/>
      <c r="J1928" s="27"/>
      <c r="K1928" s="27"/>
      <c r="L1928" s="27"/>
      <c r="N1928" s="27"/>
      <c r="T1928" s="28" t="str">
        <f>LOOKUP(1,1/(Table1[[#This Row],[Level_0]:[Level 15]]&gt;0),(Table1[[#This Row],[Level_0]:[Level 15]]))</f>
        <v>4419000000 - [Other Ext Serv - Other Ext Manufact Serv]</v>
      </c>
      <c r="U1928" s="22">
        <v>1923</v>
      </c>
      <c r="W1928" s="13" t="str">
        <f>LOOKUP(1,1/(Table1[[#This Row],[Level_0]:[Level 15]]&gt;0),(Table1[[#This Row],[Level_0]:[Level 15]]))</f>
        <v>4419000000 - [Other Ext Serv - Other Ext Manufact Serv]</v>
      </c>
    </row>
    <row r="1929" spans="1:23" hidden="1" x14ac:dyDescent="0.25">
      <c r="A1929">
        <v>4401000000</v>
      </c>
      <c r="B1929" s="16" t="s">
        <v>19926</v>
      </c>
      <c r="C1929" s="16" t="e">
        <f>VLOOKUP(Table1[[#This Row],[Node]],Parent!A:B,2,0)</f>
        <v>#N/A</v>
      </c>
      <c r="D1929" s="25" t="s">
        <v>19346</v>
      </c>
      <c r="E1929" s="26" t="s">
        <v>16544</v>
      </c>
      <c r="F1929" s="27" t="s">
        <v>18431</v>
      </c>
      <c r="G1929" s="27" t="s">
        <v>18432</v>
      </c>
      <c r="H1929" s="27" t="s">
        <v>18437</v>
      </c>
      <c r="I1929" s="27"/>
      <c r="J1929" s="27"/>
      <c r="K1929" s="27"/>
      <c r="L1929" s="27"/>
      <c r="N1929" s="27"/>
      <c r="T1929" s="28" t="str">
        <f>LOOKUP(1,1/(Table1[[#This Row],[Level_0]:[Level 15]]&gt;0),(Table1[[#This Row],[Level_0]:[Level 15]]))</f>
        <v>4401000000 - [Oth Subcon Exp - Subcon Fee - 3P]</v>
      </c>
      <c r="U1929" s="22">
        <v>1924</v>
      </c>
      <c r="W1929" s="13" t="str">
        <f>LOOKUP(1,1/(Table1[[#This Row],[Level_0]:[Level 15]]&gt;0),(Table1[[#This Row],[Level_0]:[Level 15]]))</f>
        <v>4401000000 - [Oth Subcon Exp - Subcon Fee - 3P]</v>
      </c>
    </row>
    <row r="1930" spans="1:23" hidden="1" x14ac:dyDescent="0.25">
      <c r="A1930">
        <v>4401006000</v>
      </c>
      <c r="B1930" s="16" t="s">
        <v>19927</v>
      </c>
      <c r="C1930" s="16" t="e">
        <f>VLOOKUP(Table1[[#This Row],[Node]],Parent!A:B,2,0)</f>
        <v>#N/A</v>
      </c>
      <c r="D1930" s="25" t="s">
        <v>19346</v>
      </c>
      <c r="E1930" s="26" t="s">
        <v>16544</v>
      </c>
      <c r="F1930" s="27" t="s">
        <v>18431</v>
      </c>
      <c r="G1930" s="27" t="s">
        <v>18432</v>
      </c>
      <c r="H1930" s="27" t="s">
        <v>18438</v>
      </c>
      <c r="I1930" s="27"/>
      <c r="J1930" s="27"/>
      <c r="K1930" s="27"/>
      <c r="L1930" s="27"/>
      <c r="N1930" s="27"/>
      <c r="T1930" s="28" t="str">
        <f>LOOKUP(1,1/(Table1[[#This Row],[Level_0]:[Level 15]]&gt;0),(Table1[[#This Row],[Level_0]:[Level 15]]))</f>
        <v>4401006000 - [Oth Subcon Exp - Subcon Fee - CorrAcc]</v>
      </c>
      <c r="U1930" s="22">
        <v>1925</v>
      </c>
      <c r="W1930" s="13" t="str">
        <f>LOOKUP(1,1/(Table1[[#This Row],[Level_0]:[Level 15]]&gt;0),(Table1[[#This Row],[Level_0]:[Level 15]]))</f>
        <v>4401006000 - [Oth Subcon Exp - Subcon Fee - CorrAcc]</v>
      </c>
    </row>
    <row r="1931" spans="1:23" hidden="1" x14ac:dyDescent="0.25">
      <c r="A1931">
        <v>7340000014</v>
      </c>
      <c r="B1931" s="16" t="s">
        <v>20933</v>
      </c>
      <c r="C1931" s="16" t="e">
        <f>VLOOKUP(Table1[[#This Row],[Node]],Parent!A:B,2,0)</f>
        <v>#N/A</v>
      </c>
      <c r="D1931" s="25" t="s">
        <v>19346</v>
      </c>
      <c r="E1931" s="26" t="s">
        <v>16544</v>
      </c>
      <c r="F1931" s="27" t="s">
        <v>18431</v>
      </c>
      <c r="G1931" s="27" t="s">
        <v>18432</v>
      </c>
      <c r="H1931" s="27" t="s">
        <v>18439</v>
      </c>
      <c r="I1931" s="27"/>
      <c r="J1931" s="27"/>
      <c r="K1931" s="27"/>
      <c r="L1931" s="27"/>
      <c r="N1931" s="27"/>
      <c r="T1931" s="28" t="str">
        <f>LOOKUP(1,1/(Table1[[#This Row],[Level_0]:[Level 15]]&gt;0),(Table1[[#This Row],[Level_0]:[Level 15]]))</f>
        <v>7340000014 - [SOM CMO SubContracting Charges]</v>
      </c>
      <c r="U1931" s="22">
        <v>1926</v>
      </c>
      <c r="W1931" s="13" t="str">
        <f>LOOKUP(1,1/(Table1[[#This Row],[Level_0]:[Level 15]]&gt;0),(Table1[[#This Row],[Level_0]:[Level 15]]))</f>
        <v>7340000014 - [SOM CMO SubContracting Charges]</v>
      </c>
    </row>
    <row r="1932" spans="1:23" hidden="1" x14ac:dyDescent="0.25">
      <c r="A1932">
        <v>150300</v>
      </c>
      <c r="B1932" s="16" t="s">
        <v>19436</v>
      </c>
      <c r="C1932" s="16" t="e">
        <f>VLOOKUP(Table1[[#This Row],[Node]],Parent!A:B,2,0)</f>
        <v>#N/A</v>
      </c>
      <c r="D1932" s="25" t="s">
        <v>19346</v>
      </c>
      <c r="E1932" s="26" t="s">
        <v>16544</v>
      </c>
      <c r="F1932" s="27" t="s">
        <v>18431</v>
      </c>
      <c r="G1932" s="27" t="s">
        <v>18440</v>
      </c>
      <c r="H1932" s="27"/>
      <c r="I1932" s="27"/>
      <c r="J1932" s="27"/>
      <c r="K1932" s="27"/>
      <c r="L1932" s="27"/>
      <c r="N1932" s="27"/>
      <c r="T1932" s="28" t="str">
        <f>LOOKUP(1,1/(Table1[[#This Row],[Level_0]:[Level 15]]&gt;0),(Table1[[#This Row],[Level_0]:[Level 15]]))</f>
        <v>150300 - [Price Variances]</v>
      </c>
      <c r="U1932" s="22">
        <v>1927</v>
      </c>
      <c r="W1932" s="13" t="str">
        <f>LOOKUP(1,1/(Table1[[#This Row],[Level_0]:[Level 15]]&gt;0),(Table1[[#This Row],[Level_0]:[Level 15]]))</f>
        <v>150300 - [Price Variances]</v>
      </c>
    </row>
    <row r="1933" spans="1:23" hidden="1" x14ac:dyDescent="0.25">
      <c r="A1933">
        <v>150302</v>
      </c>
      <c r="B1933" s="16" t="s">
        <v>19438</v>
      </c>
      <c r="C1933" s="16" t="e">
        <f>VLOOKUP(Table1[[#This Row],[Node]],Parent!A:B,2,0)</f>
        <v>#N/A</v>
      </c>
      <c r="D1933" s="25" t="s">
        <v>19346</v>
      </c>
      <c r="E1933" s="26" t="s">
        <v>16544</v>
      </c>
      <c r="F1933" s="27" t="s">
        <v>18431</v>
      </c>
      <c r="G1933" s="27" t="s">
        <v>18440</v>
      </c>
      <c r="H1933" s="27" t="s">
        <v>18441</v>
      </c>
      <c r="I1933" s="27"/>
      <c r="J1933" s="27"/>
      <c r="K1933" s="27"/>
      <c r="L1933" s="27"/>
      <c r="N1933" s="27"/>
      <c r="T1933" s="28" t="str">
        <f>LOOKUP(1,1/(Table1[[#This Row],[Level_0]:[Level 15]]&gt;0),(Table1[[#This Row],[Level_0]:[Level 15]]))</f>
        <v>150302 - [Intercompany Price Variances]</v>
      </c>
      <c r="U1933" s="22">
        <v>1928</v>
      </c>
      <c r="W1933" s="13" t="str">
        <f>LOOKUP(1,1/(Table1[[#This Row],[Level_0]:[Level 15]]&gt;0),(Table1[[#This Row],[Level_0]:[Level 15]]))</f>
        <v>150302 - [Intercompany Price Variances]</v>
      </c>
    </row>
    <row r="1934" spans="1:23" hidden="1" x14ac:dyDescent="0.25">
      <c r="A1934">
        <v>4300011000</v>
      </c>
      <c r="B1934" s="16" t="s">
        <v>19922</v>
      </c>
      <c r="C1934" s="16" t="e">
        <f>VLOOKUP(Table1[[#This Row],[Node]],Parent!A:B,2,0)</f>
        <v>#N/A</v>
      </c>
      <c r="D1934" s="25" t="s">
        <v>19346</v>
      </c>
      <c r="E1934" s="26" t="s">
        <v>16544</v>
      </c>
      <c r="F1934" s="27" t="s">
        <v>18431</v>
      </c>
      <c r="G1934" s="27" t="s">
        <v>18440</v>
      </c>
      <c r="H1934" s="27" t="s">
        <v>18441</v>
      </c>
      <c r="I1934" s="27" t="s">
        <v>18442</v>
      </c>
      <c r="J1934" s="27"/>
      <c r="K1934" s="27"/>
      <c r="L1934" s="27"/>
      <c r="N1934" s="27"/>
      <c r="T1934" s="28" t="str">
        <f>LOOKUP(1,1/(Table1[[#This Row],[Level_0]:[Level 15]]&gt;0),(Table1[[#This Row],[Level_0]:[Level 15]]))</f>
        <v>4300011000 - [Purch Price Diff - Inv - FX Diff - IC]</v>
      </c>
      <c r="U1934" s="22">
        <v>1929</v>
      </c>
      <c r="W1934" s="13" t="str">
        <f>LOOKUP(1,1/(Table1[[#This Row],[Level_0]:[Level 15]]&gt;0),(Table1[[#This Row],[Level_0]:[Level 15]]))</f>
        <v>4300011000 - [Purch Price Diff - Inv - FX Diff - IC]</v>
      </c>
    </row>
    <row r="1935" spans="1:23" hidden="1" x14ac:dyDescent="0.25">
      <c r="A1935">
        <v>4300010000</v>
      </c>
      <c r="B1935" s="16" t="s">
        <v>19921</v>
      </c>
      <c r="C1935" s="16" t="e">
        <f>VLOOKUP(Table1[[#This Row],[Node]],Parent!A:B,2,0)</f>
        <v>#N/A</v>
      </c>
      <c r="D1935" s="25" t="s">
        <v>19346</v>
      </c>
      <c r="E1935" s="26" t="s">
        <v>16544</v>
      </c>
      <c r="F1935" s="27" t="s">
        <v>18431</v>
      </c>
      <c r="G1935" s="27" t="s">
        <v>18440</v>
      </c>
      <c r="H1935" s="27" t="s">
        <v>18441</v>
      </c>
      <c r="I1935" s="27" t="s">
        <v>18443</v>
      </c>
      <c r="J1935" s="27"/>
      <c r="K1935" s="27"/>
      <c r="L1935" s="27"/>
      <c r="N1935" s="27"/>
      <c r="T1935" s="28" t="str">
        <f>LOOKUP(1,1/(Table1[[#This Row],[Level_0]:[Level 15]]&gt;0),(Table1[[#This Row],[Level_0]:[Level 15]]))</f>
        <v>4300010000 - [Purch Price Diff - Inventory - IC]</v>
      </c>
      <c r="U1935" s="22">
        <v>1930</v>
      </c>
      <c r="W1935" s="13" t="str">
        <f>LOOKUP(1,1/(Table1[[#This Row],[Level_0]:[Level 15]]&gt;0),(Table1[[#This Row],[Level_0]:[Level 15]]))</f>
        <v>4300010000 - [Purch Price Diff - Inventory - IC]</v>
      </c>
    </row>
    <row r="1936" spans="1:23" hidden="1" x14ac:dyDescent="0.25">
      <c r="A1936">
        <v>9009300913</v>
      </c>
      <c r="B1936" s="16" t="s">
        <v>22100</v>
      </c>
      <c r="C1936" s="16" t="e">
        <f>VLOOKUP(Table1[[#This Row],[Node]],Parent!A:B,2,0)</f>
        <v>#N/A</v>
      </c>
      <c r="D1936" s="25" t="s">
        <v>19346</v>
      </c>
      <c r="E1936" s="26" t="s">
        <v>16544</v>
      </c>
      <c r="F1936" s="27" t="s">
        <v>18431</v>
      </c>
      <c r="G1936" s="27" t="s">
        <v>18440</v>
      </c>
      <c r="H1936" s="27" t="s">
        <v>18441</v>
      </c>
      <c r="I1936" s="27" t="s">
        <v>18444</v>
      </c>
      <c r="J1936" s="27"/>
      <c r="K1936" s="27"/>
      <c r="L1936" s="27"/>
      <c r="N1936" s="27"/>
      <c r="T1936" s="28" t="str">
        <f>LOOKUP(1,1/(Table1[[#This Row],[Level_0]:[Level 15]]&gt;0),(Table1[[#This Row],[Level_0]:[Level 15]]))</f>
        <v>9009300913 - [CAPVAR LY MaterialPriceVar IC Migratin]</v>
      </c>
      <c r="U1936" s="22">
        <v>1931</v>
      </c>
      <c r="W1936" s="13" t="str">
        <f>LOOKUP(1,1/(Table1[[#This Row],[Level_0]:[Level 15]]&gt;0),(Table1[[#This Row],[Level_0]:[Level 15]]))</f>
        <v>9009300913 - [CAPVAR LY MaterialPriceVar IC Migratin]</v>
      </c>
    </row>
    <row r="1937" spans="1:23" hidden="1" x14ac:dyDescent="0.25">
      <c r="A1937">
        <v>9009300903</v>
      </c>
      <c r="B1937" s="16" t="s">
        <v>22095</v>
      </c>
      <c r="C1937" s="16" t="e">
        <f>VLOOKUP(Table1[[#This Row],[Node]],Parent!A:B,2,0)</f>
        <v>#N/A</v>
      </c>
      <c r="D1937" s="25" t="s">
        <v>19346</v>
      </c>
      <c r="E1937" s="26" t="s">
        <v>16544</v>
      </c>
      <c r="F1937" s="27" t="s">
        <v>18431</v>
      </c>
      <c r="G1937" s="27" t="s">
        <v>18440</v>
      </c>
      <c r="H1937" s="27" t="s">
        <v>18441</v>
      </c>
      <c r="I1937" s="27" t="s">
        <v>18445</v>
      </c>
      <c r="J1937" s="27"/>
      <c r="K1937" s="27"/>
      <c r="L1937" s="27"/>
      <c r="N1937" s="27"/>
      <c r="T1937" s="28" t="str">
        <f>LOOKUP(1,1/(Table1[[#This Row],[Level_0]:[Level 15]]&gt;0),(Table1[[#This Row],[Level_0]:[Level 15]]))</f>
        <v>9009300903 - [CAPVAR MaterialPriceVariance IC Migratin]</v>
      </c>
      <c r="U1937" s="22">
        <v>1932</v>
      </c>
      <c r="W1937" s="13" t="str">
        <f>LOOKUP(1,1/(Table1[[#This Row],[Level_0]:[Level 15]]&gt;0),(Table1[[#This Row],[Level_0]:[Level 15]]))</f>
        <v>9009300903 - [CAPVAR MaterialPriceVariance IC Migratin]</v>
      </c>
    </row>
    <row r="1938" spans="1:23" hidden="1" x14ac:dyDescent="0.25">
      <c r="A1938">
        <v>4300016000</v>
      </c>
      <c r="B1938" s="16" t="s">
        <v>19923</v>
      </c>
      <c r="C1938" s="16" t="e">
        <f>VLOOKUP(Table1[[#This Row],[Node]],Parent!A:B,2,0)</f>
        <v>#N/A</v>
      </c>
      <c r="D1938" s="25" t="s">
        <v>19346</v>
      </c>
      <c r="E1938" s="26" t="s">
        <v>16544</v>
      </c>
      <c r="F1938" s="27" t="s">
        <v>18431</v>
      </c>
      <c r="G1938" s="27" t="s">
        <v>18440</v>
      </c>
      <c r="H1938" s="27" t="s">
        <v>18441</v>
      </c>
      <c r="I1938" s="27" t="s">
        <v>18446</v>
      </c>
      <c r="J1938" s="27"/>
      <c r="K1938" s="27"/>
      <c r="L1938" s="27"/>
      <c r="N1938" s="27"/>
      <c r="T1938" s="28" t="str">
        <f>LOOKUP(1,1/(Table1[[#This Row],[Level_0]:[Level 15]]&gt;0),(Table1[[#This Row],[Level_0]:[Level 15]]))</f>
        <v>4300016000 - [Purch Price Diff - Inv - CorrAcc - IC]</v>
      </c>
      <c r="U1938" s="22">
        <v>1933</v>
      </c>
      <c r="W1938" s="13" t="str">
        <f>LOOKUP(1,1/(Table1[[#This Row],[Level_0]:[Level 15]]&gt;0),(Table1[[#This Row],[Level_0]:[Level 15]]))</f>
        <v>4300016000 - [Purch Price Diff - Inv - CorrAcc - IC]</v>
      </c>
    </row>
    <row r="1939" spans="1:23" hidden="1" x14ac:dyDescent="0.25">
      <c r="A1939">
        <v>4240010000</v>
      </c>
      <c r="B1939" s="16" t="s">
        <v>19906</v>
      </c>
      <c r="C1939" s="16" t="e">
        <f>VLOOKUP(Table1[[#This Row],[Node]],Parent!A:B,2,0)</f>
        <v>#N/A</v>
      </c>
      <c r="D1939" s="25" t="s">
        <v>19346</v>
      </c>
      <c r="E1939" s="26" t="s">
        <v>16544</v>
      </c>
      <c r="F1939" s="27" t="s">
        <v>18431</v>
      </c>
      <c r="G1939" s="27" t="s">
        <v>18440</v>
      </c>
      <c r="H1939" s="27" t="s">
        <v>18441</v>
      </c>
      <c r="I1939" s="27" t="s">
        <v>18447</v>
      </c>
      <c r="J1939" s="27"/>
      <c r="K1939" s="27"/>
      <c r="L1939" s="27"/>
      <c r="N1939" s="27"/>
      <c r="T1939" s="28" t="str">
        <f>LOOKUP(1,1/(Table1[[#This Row],[Level_0]:[Level 15]]&gt;0),(Table1[[#This Row],[Level_0]:[Level 15]]))</f>
        <v>4240010000 - [Cap Var (PPV) - Inventory - IC]</v>
      </c>
      <c r="U1939" s="22">
        <v>1934</v>
      </c>
      <c r="W1939" s="13" t="str">
        <f>LOOKUP(1,1/(Table1[[#This Row],[Level_0]:[Level 15]]&gt;0),(Table1[[#This Row],[Level_0]:[Level 15]]))</f>
        <v>4240010000 - [Cap Var (PPV) - Inventory - IC]</v>
      </c>
    </row>
    <row r="1940" spans="1:23" hidden="1" x14ac:dyDescent="0.25">
      <c r="A1940">
        <v>150301</v>
      </c>
      <c r="B1940" s="16" t="s">
        <v>19437</v>
      </c>
      <c r="C1940" s="16" t="e">
        <f>VLOOKUP(Table1[[#This Row],[Node]],Parent!A:B,2,0)</f>
        <v>#N/A</v>
      </c>
      <c r="D1940" s="25" t="s">
        <v>19346</v>
      </c>
      <c r="E1940" s="26" t="s">
        <v>16544</v>
      </c>
      <c r="F1940" s="27" t="s">
        <v>18431</v>
      </c>
      <c r="G1940" s="27" t="s">
        <v>18440</v>
      </c>
      <c r="H1940" s="27" t="s">
        <v>18448</v>
      </c>
      <c r="I1940" s="27"/>
      <c r="J1940" s="27"/>
      <c r="K1940" s="27"/>
      <c r="L1940" s="27"/>
      <c r="N1940" s="27"/>
      <c r="T1940" s="28" t="str">
        <f>LOOKUP(1,1/(Table1[[#This Row],[Level_0]:[Level 15]]&gt;0),(Table1[[#This Row],[Level_0]:[Level 15]]))</f>
        <v>150301 - [3rd Party Price Variances]</v>
      </c>
      <c r="U1940" s="22">
        <v>1935</v>
      </c>
      <c r="W1940" s="13" t="str">
        <f>LOOKUP(1,1/(Table1[[#This Row],[Level_0]:[Level 15]]&gt;0),(Table1[[#This Row],[Level_0]:[Level 15]]))</f>
        <v>150301 - [3rd Party Price Variances]</v>
      </c>
    </row>
    <row r="1941" spans="1:23" hidden="1" x14ac:dyDescent="0.25">
      <c r="A1941">
        <v>9009300914</v>
      </c>
      <c r="B1941" s="16" t="s">
        <v>22101</v>
      </c>
      <c r="C1941" s="16" t="e">
        <f>VLOOKUP(Table1[[#This Row],[Node]],Parent!A:B,2,0)</f>
        <v>#N/A</v>
      </c>
      <c r="D1941" s="25" t="s">
        <v>19346</v>
      </c>
      <c r="E1941" s="26" t="s">
        <v>16544</v>
      </c>
      <c r="F1941" s="27" t="s">
        <v>18431</v>
      </c>
      <c r="G1941" s="27" t="s">
        <v>18440</v>
      </c>
      <c r="H1941" s="27" t="s">
        <v>18448</v>
      </c>
      <c r="I1941" s="27" t="s">
        <v>18449</v>
      </c>
      <c r="J1941" s="27"/>
      <c r="K1941" s="27"/>
      <c r="L1941" s="27"/>
      <c r="N1941" s="27"/>
      <c r="T1941" s="28" t="str">
        <f>LOOKUP(1,1/(Table1[[#This Row],[Level_0]:[Level 15]]&gt;0),(Table1[[#This Row],[Level_0]:[Level 15]]))</f>
        <v>9009300914 - [CAPVAR LY MaterialPriceVar EX Migratin]</v>
      </c>
      <c r="U1941" s="22">
        <v>1936</v>
      </c>
      <c r="W1941" s="13" t="str">
        <f>LOOKUP(1,1/(Table1[[#This Row],[Level_0]:[Level 15]]&gt;0),(Table1[[#This Row],[Level_0]:[Level 15]]))</f>
        <v>9009300914 - [CAPVAR LY MaterialPriceVar EX Migratin]</v>
      </c>
    </row>
    <row r="1942" spans="1:23" hidden="1" x14ac:dyDescent="0.25">
      <c r="A1942">
        <v>9009300904</v>
      </c>
      <c r="B1942" s="16" t="s">
        <v>22096</v>
      </c>
      <c r="C1942" s="16" t="e">
        <f>VLOOKUP(Table1[[#This Row],[Node]],Parent!A:B,2,0)</f>
        <v>#N/A</v>
      </c>
      <c r="D1942" s="25" t="s">
        <v>19346</v>
      </c>
      <c r="E1942" s="26" t="s">
        <v>16544</v>
      </c>
      <c r="F1942" s="27" t="s">
        <v>18431</v>
      </c>
      <c r="G1942" s="27" t="s">
        <v>18440</v>
      </c>
      <c r="H1942" s="27" t="s">
        <v>18448</v>
      </c>
      <c r="I1942" s="27" t="s">
        <v>18450</v>
      </c>
      <c r="J1942" s="27"/>
      <c r="K1942" s="27"/>
      <c r="L1942" s="27"/>
      <c r="N1942" s="27"/>
      <c r="T1942" s="28" t="str">
        <f>LOOKUP(1,1/(Table1[[#This Row],[Level_0]:[Level 15]]&gt;0),(Table1[[#This Row],[Level_0]:[Level 15]]))</f>
        <v>9009300904 - [CAPVAR MaterialPriceVariance EX Migratin]</v>
      </c>
      <c r="U1942" s="22">
        <v>1937</v>
      </c>
      <c r="W1942" s="13" t="str">
        <f>LOOKUP(1,1/(Table1[[#This Row],[Level_0]:[Level 15]]&gt;0),(Table1[[#This Row],[Level_0]:[Level 15]]))</f>
        <v>9009300904 - [CAPVAR MaterialPriceVariance EX Migratin]</v>
      </c>
    </row>
    <row r="1943" spans="1:23" hidden="1" x14ac:dyDescent="0.25">
      <c r="A1943">
        <v>4301006000</v>
      </c>
      <c r="B1943" s="16" t="s">
        <v>19925</v>
      </c>
      <c r="C1943" s="16" t="e">
        <f>VLOOKUP(Table1[[#This Row],[Node]],Parent!A:B,2,0)</f>
        <v>#N/A</v>
      </c>
      <c r="D1943" s="25" t="s">
        <v>19346</v>
      </c>
      <c r="E1943" s="26" t="s">
        <v>16544</v>
      </c>
      <c r="F1943" s="27" t="s">
        <v>18431</v>
      </c>
      <c r="G1943" s="27" t="s">
        <v>18440</v>
      </c>
      <c r="H1943" s="27" t="s">
        <v>18448</v>
      </c>
      <c r="I1943" s="27" t="s">
        <v>18451</v>
      </c>
      <c r="J1943" s="27"/>
      <c r="K1943" s="27"/>
      <c r="L1943" s="27"/>
      <c r="N1943" s="27"/>
      <c r="T1943" s="28" t="str">
        <f>LOOKUP(1,1/(Table1[[#This Row],[Level_0]:[Level 15]]&gt;0),(Table1[[#This Row],[Level_0]:[Level 15]]))</f>
        <v>4301006000 - [Purch Price Diff - LandCosts - Corr - 3P]</v>
      </c>
      <c r="U1943" s="22">
        <v>1938</v>
      </c>
      <c r="W1943" s="13" t="str">
        <f>LOOKUP(1,1/(Table1[[#This Row],[Level_0]:[Level 15]]&gt;0),(Table1[[#This Row],[Level_0]:[Level 15]]))</f>
        <v>4301006000 - [Purch Price Diff - LandCosts - Corr - 3P]</v>
      </c>
    </row>
    <row r="1944" spans="1:23" hidden="1" x14ac:dyDescent="0.25">
      <c r="A1944">
        <v>4301000000</v>
      </c>
      <c r="B1944" s="16" t="s">
        <v>19924</v>
      </c>
      <c r="C1944" s="16" t="e">
        <f>VLOOKUP(Table1[[#This Row],[Node]],Parent!A:B,2,0)</f>
        <v>#N/A</v>
      </c>
      <c r="D1944" s="25" t="s">
        <v>19346</v>
      </c>
      <c r="E1944" s="26" t="s">
        <v>16544</v>
      </c>
      <c r="F1944" s="27" t="s">
        <v>18431</v>
      </c>
      <c r="G1944" s="27" t="s">
        <v>18440</v>
      </c>
      <c r="H1944" s="27" t="s">
        <v>18448</v>
      </c>
      <c r="I1944" s="27" t="s">
        <v>18452</v>
      </c>
      <c r="J1944" s="27"/>
      <c r="K1944" s="27"/>
      <c r="L1944" s="27"/>
      <c r="N1944" s="27"/>
      <c r="T1944" s="28" t="str">
        <f>LOOKUP(1,1/(Table1[[#This Row],[Level_0]:[Level 15]]&gt;0),(Table1[[#This Row],[Level_0]:[Level 15]]))</f>
        <v>4301000000 - [Purch Price Diff - Landed Costs - 3P]</v>
      </c>
      <c r="U1944" s="22">
        <v>1939</v>
      </c>
      <c r="W1944" s="13" t="str">
        <f>LOOKUP(1,1/(Table1[[#This Row],[Level_0]:[Level 15]]&gt;0),(Table1[[#This Row],[Level_0]:[Level 15]]))</f>
        <v>4301000000 - [Purch Price Diff - Landed Costs - 3P]</v>
      </c>
    </row>
    <row r="1945" spans="1:23" hidden="1" x14ac:dyDescent="0.25">
      <c r="A1945">
        <v>4300006000</v>
      </c>
      <c r="B1945" s="16" t="s">
        <v>19920</v>
      </c>
      <c r="C1945" s="16" t="e">
        <f>VLOOKUP(Table1[[#This Row],[Node]],Parent!A:B,2,0)</f>
        <v>#N/A</v>
      </c>
      <c r="D1945" s="25" t="s">
        <v>19346</v>
      </c>
      <c r="E1945" s="26" t="s">
        <v>16544</v>
      </c>
      <c r="F1945" s="27" t="s">
        <v>18431</v>
      </c>
      <c r="G1945" s="27" t="s">
        <v>18440</v>
      </c>
      <c r="H1945" s="27" t="s">
        <v>18448</v>
      </c>
      <c r="I1945" s="27" t="s">
        <v>18453</v>
      </c>
      <c r="J1945" s="27"/>
      <c r="K1945" s="27"/>
      <c r="L1945" s="27"/>
      <c r="N1945" s="27"/>
      <c r="T1945" s="28" t="str">
        <f>LOOKUP(1,1/(Table1[[#This Row],[Level_0]:[Level 15]]&gt;0),(Table1[[#This Row],[Level_0]:[Level 15]]))</f>
        <v>4300006000 - [Purch Price Diff - Invent - CorrAcc - 3P]</v>
      </c>
      <c r="U1945" s="22">
        <v>1940</v>
      </c>
      <c r="W1945" s="13" t="str">
        <f>LOOKUP(1,1/(Table1[[#This Row],[Level_0]:[Level 15]]&gt;0),(Table1[[#This Row],[Level_0]:[Level 15]]))</f>
        <v>4300006000 - [Purch Price Diff - Invent - CorrAcc - 3P]</v>
      </c>
    </row>
    <row r="1946" spans="1:23" hidden="1" x14ac:dyDescent="0.25">
      <c r="A1946">
        <v>4300001000</v>
      </c>
      <c r="B1946" s="16" t="s">
        <v>19919</v>
      </c>
      <c r="C1946" s="16" t="e">
        <f>VLOOKUP(Table1[[#This Row],[Node]],Parent!A:B,2,0)</f>
        <v>#N/A</v>
      </c>
      <c r="D1946" s="25" t="s">
        <v>19346</v>
      </c>
      <c r="E1946" s="26" t="s">
        <v>16544</v>
      </c>
      <c r="F1946" s="27" t="s">
        <v>18431</v>
      </c>
      <c r="G1946" s="27" t="s">
        <v>18440</v>
      </c>
      <c r="H1946" s="27" t="s">
        <v>18448</v>
      </c>
      <c r="I1946" s="27" t="s">
        <v>18454</v>
      </c>
      <c r="J1946" s="27"/>
      <c r="K1946" s="27"/>
      <c r="L1946" s="27"/>
      <c r="N1946" s="27"/>
      <c r="T1946" s="28" t="str">
        <f>LOOKUP(1,1/(Table1[[#This Row],[Level_0]:[Level 15]]&gt;0),(Table1[[#This Row],[Level_0]:[Level 15]]))</f>
        <v>4300001000 - [Purch Price Diff - Invent - FX Diff - 3P]</v>
      </c>
      <c r="U1946" s="22">
        <v>1941</v>
      </c>
      <c r="W1946" s="13" t="str">
        <f>LOOKUP(1,1/(Table1[[#This Row],[Level_0]:[Level 15]]&gt;0),(Table1[[#This Row],[Level_0]:[Level 15]]))</f>
        <v>4300001000 - [Purch Price Diff - Invent - FX Diff - 3P]</v>
      </c>
    </row>
    <row r="1947" spans="1:23" hidden="1" x14ac:dyDescent="0.25">
      <c r="A1947">
        <v>4300000000</v>
      </c>
      <c r="B1947" s="16" t="s">
        <v>19918</v>
      </c>
      <c r="C1947" s="16" t="e">
        <f>VLOOKUP(Table1[[#This Row],[Node]],Parent!A:B,2,0)</f>
        <v>#N/A</v>
      </c>
      <c r="D1947" s="25" t="s">
        <v>19346</v>
      </c>
      <c r="E1947" s="26" t="s">
        <v>16544</v>
      </c>
      <c r="F1947" s="27" t="s">
        <v>18431</v>
      </c>
      <c r="G1947" s="27" t="s">
        <v>18440</v>
      </c>
      <c r="H1947" s="27" t="s">
        <v>18448</v>
      </c>
      <c r="I1947" s="27" t="s">
        <v>18455</v>
      </c>
      <c r="J1947" s="27"/>
      <c r="K1947" s="27"/>
      <c r="L1947" s="27"/>
      <c r="N1947" s="27"/>
      <c r="T1947" s="28" t="str">
        <f>LOOKUP(1,1/(Table1[[#This Row],[Level_0]:[Level 15]]&gt;0),(Table1[[#This Row],[Level_0]:[Level 15]]))</f>
        <v>4300000000 - [Purch Price Diff - Inventory - 3P]</v>
      </c>
      <c r="U1947" s="22">
        <v>1942</v>
      </c>
      <c r="W1947" s="13" t="str">
        <f>LOOKUP(1,1/(Table1[[#This Row],[Level_0]:[Level 15]]&gt;0),(Table1[[#This Row],[Level_0]:[Level 15]]))</f>
        <v>4300000000 - [Purch Price Diff - Inventory - 3P]</v>
      </c>
    </row>
    <row r="1948" spans="1:23" hidden="1" x14ac:dyDescent="0.25">
      <c r="A1948">
        <v>4240000000</v>
      </c>
      <c r="B1948" s="16" t="s">
        <v>19905</v>
      </c>
      <c r="C1948" s="16" t="e">
        <f>VLOOKUP(Table1[[#This Row],[Node]],Parent!A:B,2,0)</f>
        <v>#N/A</v>
      </c>
      <c r="D1948" s="25" t="s">
        <v>19346</v>
      </c>
      <c r="E1948" s="26" t="s">
        <v>16544</v>
      </c>
      <c r="F1948" s="27" t="s">
        <v>18431</v>
      </c>
      <c r="G1948" s="27" t="s">
        <v>18440</v>
      </c>
      <c r="H1948" s="27" t="s">
        <v>18448</v>
      </c>
      <c r="I1948" s="27" t="s">
        <v>18456</v>
      </c>
      <c r="J1948" s="27"/>
      <c r="K1948" s="27"/>
      <c r="L1948" s="27"/>
      <c r="N1948" s="27"/>
      <c r="T1948" s="28" t="str">
        <f>LOOKUP(1,1/(Table1[[#This Row],[Level_0]:[Level 15]]&gt;0),(Table1[[#This Row],[Level_0]:[Level 15]]))</f>
        <v>4240000000 - [Cap Var (PPV) - Inventory - 3P]</v>
      </c>
      <c r="U1948" s="22">
        <v>1943</v>
      </c>
      <c r="W1948" s="13" t="str">
        <f>LOOKUP(1,1/(Table1[[#This Row],[Level_0]:[Level 15]]&gt;0),(Table1[[#This Row],[Level_0]:[Level 15]]))</f>
        <v>4240000000 - [Cap Var (PPV) - Inventory - 3P]</v>
      </c>
    </row>
    <row r="1949" spans="1:23" hidden="1" x14ac:dyDescent="0.25">
      <c r="A1949">
        <v>150200</v>
      </c>
      <c r="B1949" s="16" t="s">
        <v>19432</v>
      </c>
      <c r="C1949" s="16" t="e">
        <f>VLOOKUP(Table1[[#This Row],[Node]],Parent!A:B,2,0)</f>
        <v>#N/A</v>
      </c>
      <c r="D1949" s="25" t="s">
        <v>19346</v>
      </c>
      <c r="E1949" s="26" t="s">
        <v>16544</v>
      </c>
      <c r="F1949" s="27" t="s">
        <v>18431</v>
      </c>
      <c r="G1949" s="27" t="s">
        <v>18457</v>
      </c>
      <c r="H1949" s="27"/>
      <c r="I1949" s="27"/>
      <c r="J1949" s="27"/>
      <c r="K1949" s="27"/>
      <c r="L1949" s="27"/>
      <c r="N1949" s="27"/>
      <c r="T1949" s="28" t="str">
        <f>LOOKUP(1,1/(Table1[[#This Row],[Level_0]:[Level 15]]&gt;0),(Table1[[#This Row],[Level_0]:[Level 15]]))</f>
        <v>150200 - [Inventory Adjustments]</v>
      </c>
      <c r="U1949" s="22">
        <v>1944</v>
      </c>
      <c r="W1949" s="13" t="str">
        <f>LOOKUP(1,1/(Table1[[#This Row],[Level_0]:[Level 15]]&gt;0),(Table1[[#This Row],[Level_0]:[Level 15]]))</f>
        <v>150200 - [Inventory Adjustments]</v>
      </c>
    </row>
    <row r="1950" spans="1:23" hidden="1" x14ac:dyDescent="0.25">
      <c r="A1950">
        <v>150203</v>
      </c>
      <c r="B1950" s="16" t="s">
        <v>19435</v>
      </c>
      <c r="C1950" s="16" t="e">
        <f>VLOOKUP(Table1[[#This Row],[Node]],Parent!A:B,2,0)</f>
        <v>#N/A</v>
      </c>
      <c r="D1950" s="25" t="s">
        <v>19346</v>
      </c>
      <c r="E1950" s="26" t="s">
        <v>16544</v>
      </c>
      <c r="F1950" s="27" t="s">
        <v>18431</v>
      </c>
      <c r="G1950" s="27" t="s">
        <v>18457</v>
      </c>
      <c r="H1950" s="27" t="s">
        <v>18458</v>
      </c>
      <c r="I1950" s="27"/>
      <c r="J1950" s="27"/>
      <c r="K1950" s="27"/>
      <c r="L1950" s="27"/>
      <c r="N1950" s="27"/>
      <c r="T1950" s="28" t="str">
        <f>LOOKUP(1,1/(Table1[[#This Row],[Level_0]:[Level 15]]&gt;0),(Table1[[#This Row],[Level_0]:[Level 15]]))</f>
        <v>150203 - [Reserves]</v>
      </c>
      <c r="U1950" s="22">
        <v>1945</v>
      </c>
      <c r="W1950" s="13" t="str">
        <f>LOOKUP(1,1/(Table1[[#This Row],[Level_0]:[Level 15]]&gt;0),(Table1[[#This Row],[Level_0]:[Level 15]]))</f>
        <v>150203 - [Reserves]</v>
      </c>
    </row>
    <row r="1951" spans="1:23" hidden="1" x14ac:dyDescent="0.25">
      <c r="A1951">
        <v>4234400000</v>
      </c>
      <c r="B1951" s="16" t="s">
        <v>19902</v>
      </c>
      <c r="C1951" s="16" t="e">
        <f>VLOOKUP(Table1[[#This Row],[Node]],Parent!A:B,2,0)</f>
        <v>#N/A</v>
      </c>
      <c r="D1951" s="25" t="s">
        <v>19346</v>
      </c>
      <c r="E1951" s="26" t="s">
        <v>16544</v>
      </c>
      <c r="F1951" s="27" t="s">
        <v>18431</v>
      </c>
      <c r="G1951" s="27" t="s">
        <v>18457</v>
      </c>
      <c r="H1951" s="27" t="s">
        <v>18458</v>
      </c>
      <c r="I1951" s="27" t="s">
        <v>18459</v>
      </c>
      <c r="J1951" s="27"/>
      <c r="K1951" s="27"/>
      <c r="L1951" s="27"/>
      <c r="N1951" s="27"/>
      <c r="T1951" s="28" t="str">
        <f>LOOKUP(1,1/(Table1[[#This Row],[Level_0]:[Level 15]]&gt;0),(Table1[[#This Row],[Level_0]:[Level 15]]))</f>
        <v>4234400000 - [Inv Reval - Unfinish Goods - Pot - Purch]</v>
      </c>
      <c r="U1951" s="22">
        <v>1946</v>
      </c>
      <c r="W1951" s="13" t="str">
        <f>LOOKUP(1,1/(Table1[[#This Row],[Level_0]:[Level 15]]&gt;0),(Table1[[#This Row],[Level_0]:[Level 15]]))</f>
        <v>4234400000 - [Inv Reval - Unfinish Goods - Pot - Purch]</v>
      </c>
    </row>
    <row r="1952" spans="1:23" hidden="1" x14ac:dyDescent="0.25">
      <c r="A1952">
        <v>4233200000</v>
      </c>
      <c r="B1952" s="16" t="s">
        <v>19898</v>
      </c>
      <c r="C1952" s="16" t="e">
        <f>VLOOKUP(Table1[[#This Row],[Node]],Parent!A:B,2,0)</f>
        <v>#N/A</v>
      </c>
      <c r="D1952" s="25" t="s">
        <v>19346</v>
      </c>
      <c r="E1952" s="26" t="s">
        <v>16544</v>
      </c>
      <c r="F1952" s="27" t="s">
        <v>18431</v>
      </c>
      <c r="G1952" s="27" t="s">
        <v>18457</v>
      </c>
      <c r="H1952" s="27" t="s">
        <v>18458</v>
      </c>
      <c r="I1952" s="27" t="s">
        <v>18460</v>
      </c>
      <c r="J1952" s="27"/>
      <c r="K1952" s="27"/>
      <c r="L1952" s="27"/>
      <c r="N1952" s="27"/>
      <c r="T1952" s="28" t="str">
        <f>LOOKUP(1,1/(Table1[[#This Row],[Level_0]:[Level 15]]&gt;0),(Table1[[#This Row],[Level_0]:[Level 15]]))</f>
        <v>4233200000 - [Inv Reval - Finish Goods - Pot - Prod]</v>
      </c>
      <c r="U1952" s="22">
        <v>1947</v>
      </c>
      <c r="W1952" s="13" t="str">
        <f>LOOKUP(1,1/(Table1[[#This Row],[Level_0]:[Level 15]]&gt;0),(Table1[[#This Row],[Level_0]:[Level 15]]))</f>
        <v>4233200000 - [Inv Reval - Finish Goods - Pot - Prod]</v>
      </c>
    </row>
    <row r="1953" spans="1:23" hidden="1" x14ac:dyDescent="0.25">
      <c r="A1953">
        <v>9009300910</v>
      </c>
      <c r="B1953" s="16" t="s">
        <v>22097</v>
      </c>
      <c r="C1953" s="16" t="e">
        <f>VLOOKUP(Table1[[#This Row],[Node]],Parent!A:B,2,0)</f>
        <v>#N/A</v>
      </c>
      <c r="D1953" s="25" t="s">
        <v>19346</v>
      </c>
      <c r="E1953" s="26" t="s">
        <v>16544</v>
      </c>
      <c r="F1953" s="27" t="s">
        <v>18431</v>
      </c>
      <c r="G1953" s="27" t="s">
        <v>18457</v>
      </c>
      <c r="H1953" s="27" t="s">
        <v>18458</v>
      </c>
      <c r="I1953" s="27" t="s">
        <v>18461</v>
      </c>
      <c r="J1953" s="27"/>
      <c r="K1953" s="27"/>
      <c r="L1953" s="27"/>
      <c r="N1953" s="27"/>
      <c r="T1953" s="28" t="str">
        <f>LOOKUP(1,1/(Table1[[#This Row],[Level_0]:[Level 15]]&gt;0),(Table1[[#This Row],[Level_0]:[Level 15]]))</f>
        <v>9009300910 - [CAPVAR LY Inventory RevalMigration]</v>
      </c>
      <c r="U1953" s="22">
        <v>1948</v>
      </c>
      <c r="W1953" s="13" t="str">
        <f>LOOKUP(1,1/(Table1[[#This Row],[Level_0]:[Level 15]]&gt;0),(Table1[[#This Row],[Level_0]:[Level 15]]))</f>
        <v>9009300910 - [CAPVAR LY Inventory RevalMigration]</v>
      </c>
    </row>
    <row r="1954" spans="1:23" hidden="1" x14ac:dyDescent="0.25">
      <c r="A1954">
        <v>9009300900</v>
      </c>
      <c r="B1954" s="16" t="s">
        <v>22092</v>
      </c>
      <c r="C1954" s="16" t="e">
        <f>VLOOKUP(Table1[[#This Row],[Node]],Parent!A:B,2,0)</f>
        <v>#N/A</v>
      </c>
      <c r="D1954" s="25" t="s">
        <v>19346</v>
      </c>
      <c r="E1954" s="26" t="s">
        <v>16544</v>
      </c>
      <c r="F1954" s="27" t="s">
        <v>18431</v>
      </c>
      <c r="G1954" s="27" t="s">
        <v>18457</v>
      </c>
      <c r="H1954" s="27" t="s">
        <v>18458</v>
      </c>
      <c r="I1954" s="27" t="s">
        <v>18462</v>
      </c>
      <c r="J1954" s="27"/>
      <c r="K1954" s="27"/>
      <c r="L1954" s="27"/>
      <c r="N1954" s="27"/>
      <c r="T1954" s="28" t="str">
        <f>LOOKUP(1,1/(Table1[[#This Row],[Level_0]:[Level 15]]&gt;0),(Table1[[#This Row],[Level_0]:[Level 15]]))</f>
        <v>9009300900 - [CAPVAR Inventory Revaluation Migration]</v>
      </c>
      <c r="U1954" s="22">
        <v>1949</v>
      </c>
      <c r="W1954" s="13" t="str">
        <f>LOOKUP(1,1/(Table1[[#This Row],[Level_0]:[Level 15]]&gt;0),(Table1[[#This Row],[Level_0]:[Level 15]]))</f>
        <v>9009300900 - [CAPVAR Inventory Revaluation Migration]</v>
      </c>
    </row>
    <row r="1955" spans="1:23" hidden="1" x14ac:dyDescent="0.25">
      <c r="A1955">
        <v>4242300000</v>
      </c>
      <c r="B1955" s="16" t="s">
        <v>19912</v>
      </c>
      <c r="C1955" s="16" t="e">
        <f>VLOOKUP(Table1[[#This Row],[Node]],Parent!A:B,2,0)</f>
        <v>#N/A</v>
      </c>
      <c r="D1955" s="25" t="s">
        <v>19346</v>
      </c>
      <c r="E1955" s="26" t="s">
        <v>16544</v>
      </c>
      <c r="F1955" s="27" t="s">
        <v>18431</v>
      </c>
      <c r="G1955" s="27" t="s">
        <v>18457</v>
      </c>
      <c r="H1955" s="27" t="s">
        <v>18458</v>
      </c>
      <c r="I1955" s="27" t="s">
        <v>18463</v>
      </c>
      <c r="J1955" s="27"/>
      <c r="K1955" s="27"/>
      <c r="L1955" s="27"/>
      <c r="N1955" s="27"/>
      <c r="T1955" s="28" t="str">
        <f>LOOKUP(1,1/(Table1[[#This Row],[Level_0]:[Level 15]]&gt;0),(Table1[[#This Row],[Level_0]:[Level 15]]))</f>
        <v>4242300000 - [Cap var - Inv ADj Material Ledger]</v>
      </c>
      <c r="U1955" s="22">
        <v>1950</v>
      </c>
      <c r="W1955" s="13" t="str">
        <f>LOOKUP(1,1/(Table1[[#This Row],[Level_0]:[Level 15]]&gt;0),(Table1[[#This Row],[Level_0]:[Level 15]]))</f>
        <v>4242300000 - [Cap var - Inv ADj Material Ledger]</v>
      </c>
    </row>
    <row r="1956" spans="1:23" hidden="1" x14ac:dyDescent="0.25">
      <c r="A1956">
        <v>4239500000</v>
      </c>
      <c r="B1956" s="16" t="s">
        <v>19904</v>
      </c>
      <c r="C1956" s="16" t="e">
        <f>VLOOKUP(Table1[[#This Row],[Node]],Parent!A:B,2,0)</f>
        <v>#N/A</v>
      </c>
      <c r="D1956" s="25" t="s">
        <v>19346</v>
      </c>
      <c r="E1956" s="26" t="s">
        <v>16544</v>
      </c>
      <c r="F1956" s="27" t="s">
        <v>18431</v>
      </c>
      <c r="G1956" s="27" t="s">
        <v>18457</v>
      </c>
      <c r="H1956" s="27" t="s">
        <v>18458</v>
      </c>
      <c r="I1956" s="27" t="s">
        <v>18464</v>
      </c>
      <c r="J1956" s="27"/>
      <c r="K1956" s="27"/>
      <c r="L1956" s="27"/>
      <c r="N1956" s="27"/>
      <c r="T1956" s="28" t="str">
        <f>LOOKUP(1,1/(Table1[[#This Row],[Level_0]:[Level 15]]&gt;0),(Table1[[#This Row],[Level_0]:[Level 15]]))</f>
        <v>4239500000 - [Inv Reval - Other - Stock Transfer]</v>
      </c>
      <c r="U1956" s="22">
        <v>1951</v>
      </c>
      <c r="W1956" s="13" t="str">
        <f>LOOKUP(1,1/(Table1[[#This Row],[Level_0]:[Level 15]]&gt;0),(Table1[[#This Row],[Level_0]:[Level 15]]))</f>
        <v>4239500000 - [Inv Reval - Other - Stock Transfer]</v>
      </c>
    </row>
    <row r="1957" spans="1:23" hidden="1" x14ac:dyDescent="0.25">
      <c r="A1957">
        <v>4239000000</v>
      </c>
      <c r="B1957" s="16" t="s">
        <v>19903</v>
      </c>
      <c r="C1957" s="16" t="e">
        <f>VLOOKUP(Table1[[#This Row],[Node]],Parent!A:B,2,0)</f>
        <v>#N/A</v>
      </c>
      <c r="D1957" s="25" t="s">
        <v>19346</v>
      </c>
      <c r="E1957" s="26" t="s">
        <v>16544</v>
      </c>
      <c r="F1957" s="27" t="s">
        <v>18431</v>
      </c>
      <c r="G1957" s="27" t="s">
        <v>18457</v>
      </c>
      <c r="H1957" s="27" t="s">
        <v>18458</v>
      </c>
      <c r="I1957" s="27" t="s">
        <v>18465</v>
      </c>
      <c r="J1957" s="27"/>
      <c r="K1957" s="27"/>
      <c r="L1957" s="27"/>
      <c r="N1957" s="27"/>
      <c r="T1957" s="28" t="str">
        <f>LOOKUP(1,1/(Table1[[#This Row],[Level_0]:[Level 15]]&gt;0),(Table1[[#This Row],[Level_0]:[Level 15]]))</f>
        <v>4239000000 - [Inv Reval - Other - Standard Price]</v>
      </c>
      <c r="U1957" s="22">
        <v>1952</v>
      </c>
      <c r="W1957" s="13" t="str">
        <f>LOOKUP(1,1/(Table1[[#This Row],[Level_0]:[Level 15]]&gt;0),(Table1[[#This Row],[Level_0]:[Level 15]]))</f>
        <v>4239000000 - [Inv Reval - Other - Standard Price]</v>
      </c>
    </row>
    <row r="1958" spans="1:23" hidden="1" x14ac:dyDescent="0.25">
      <c r="A1958">
        <v>4234200000</v>
      </c>
      <c r="B1958" s="16" t="s">
        <v>19901</v>
      </c>
      <c r="C1958" s="16" t="e">
        <f>VLOOKUP(Table1[[#This Row],[Node]],Parent!A:B,2,0)</f>
        <v>#N/A</v>
      </c>
      <c r="D1958" s="25" t="s">
        <v>19346</v>
      </c>
      <c r="E1958" s="26" t="s">
        <v>16544</v>
      </c>
      <c r="F1958" s="27" t="s">
        <v>18431</v>
      </c>
      <c r="G1958" s="27" t="s">
        <v>18457</v>
      </c>
      <c r="H1958" s="27" t="s">
        <v>18458</v>
      </c>
      <c r="I1958" s="27" t="s">
        <v>18466</v>
      </c>
      <c r="J1958" s="27"/>
      <c r="K1958" s="27"/>
      <c r="L1958" s="27"/>
      <c r="N1958" s="27"/>
      <c r="T1958" s="28" t="str">
        <f>LOOKUP(1,1/(Table1[[#This Row],[Level_0]:[Level 15]]&gt;0),(Table1[[#This Row],[Level_0]:[Level 15]]))</f>
        <v>4234200000 - [Inv Reval - Unfinish Goods - Pot - Prod]</v>
      </c>
      <c r="U1958" s="22">
        <v>1953</v>
      </c>
      <c r="W1958" s="13" t="str">
        <f>LOOKUP(1,1/(Table1[[#This Row],[Level_0]:[Level 15]]&gt;0),(Table1[[#This Row],[Level_0]:[Level 15]]))</f>
        <v>4234200000 - [Inv Reval - Unfinish Goods - Pot - Prod]</v>
      </c>
    </row>
    <row r="1959" spans="1:23" hidden="1" x14ac:dyDescent="0.25">
      <c r="A1959">
        <v>4234000000</v>
      </c>
      <c r="B1959" s="16" t="s">
        <v>19900</v>
      </c>
      <c r="C1959" s="16" t="e">
        <f>VLOOKUP(Table1[[#This Row],[Node]],Parent!A:B,2,0)</f>
        <v>#N/A</v>
      </c>
      <c r="D1959" s="25" t="s">
        <v>19346</v>
      </c>
      <c r="E1959" s="26" t="s">
        <v>16544</v>
      </c>
      <c r="F1959" s="27" t="s">
        <v>18431</v>
      </c>
      <c r="G1959" s="27" t="s">
        <v>18457</v>
      </c>
      <c r="H1959" s="27" t="s">
        <v>18458</v>
      </c>
      <c r="I1959" s="27" t="s">
        <v>18467</v>
      </c>
      <c r="J1959" s="27"/>
      <c r="K1959" s="27"/>
      <c r="L1959" s="27"/>
      <c r="N1959" s="27"/>
      <c r="T1959" s="28" t="str">
        <f>LOOKUP(1,1/(Table1[[#This Row],[Level_0]:[Level 15]]&gt;0),(Table1[[#This Row],[Level_0]:[Level 15]]))</f>
        <v>4234000000 - [Inv Reval - Unfinish Goods - Stand Price]</v>
      </c>
      <c r="U1959" s="22">
        <v>1954</v>
      </c>
      <c r="W1959" s="13" t="str">
        <f>LOOKUP(1,1/(Table1[[#This Row],[Level_0]:[Level 15]]&gt;0),(Table1[[#This Row],[Level_0]:[Level 15]]))</f>
        <v>4234000000 - [Inv Reval - Unfinish Goods - Stand Price]</v>
      </c>
    </row>
    <row r="1960" spans="1:23" hidden="1" x14ac:dyDescent="0.25">
      <c r="A1960">
        <v>4233006000</v>
      </c>
      <c r="B1960" s="16" t="s">
        <v>19897</v>
      </c>
      <c r="C1960" s="16" t="e">
        <f>VLOOKUP(Table1[[#This Row],[Node]],Parent!A:B,2,0)</f>
        <v>#N/A</v>
      </c>
      <c r="D1960" s="25" t="s">
        <v>19346</v>
      </c>
      <c r="E1960" s="26" t="s">
        <v>16544</v>
      </c>
      <c r="F1960" s="27" t="s">
        <v>18431</v>
      </c>
      <c r="G1960" s="27" t="s">
        <v>18457</v>
      </c>
      <c r="H1960" s="27" t="s">
        <v>18458</v>
      </c>
      <c r="I1960" s="27" t="s">
        <v>18468</v>
      </c>
      <c r="J1960" s="27"/>
      <c r="K1960" s="27"/>
      <c r="L1960" s="27"/>
      <c r="N1960" s="27"/>
      <c r="T1960" s="28" t="str">
        <f>LOOKUP(1,1/(Table1[[#This Row],[Level_0]:[Level 15]]&gt;0),(Table1[[#This Row],[Level_0]:[Level 15]]))</f>
        <v>4233006000 - [Inv Reval - Finish Goods - Stand Price]</v>
      </c>
      <c r="U1960" s="22">
        <v>1955</v>
      </c>
      <c r="W1960" s="13" t="str">
        <f>LOOKUP(1,1/(Table1[[#This Row],[Level_0]:[Level 15]]&gt;0),(Table1[[#This Row],[Level_0]:[Level 15]]))</f>
        <v>4233006000 - [Inv Reval - Finish Goods - Stand Price]</v>
      </c>
    </row>
    <row r="1961" spans="1:23" hidden="1" x14ac:dyDescent="0.25">
      <c r="A1961">
        <v>4233000000</v>
      </c>
      <c r="B1961" s="16" t="s">
        <v>19897</v>
      </c>
      <c r="C1961" s="16" t="e">
        <f>VLOOKUP(Table1[[#This Row],[Node]],Parent!A:B,2,0)</f>
        <v>#N/A</v>
      </c>
      <c r="D1961" s="25" t="s">
        <v>19346</v>
      </c>
      <c r="E1961" s="26" t="s">
        <v>16544</v>
      </c>
      <c r="F1961" s="27" t="s">
        <v>18431</v>
      </c>
      <c r="G1961" s="27" t="s">
        <v>18457</v>
      </c>
      <c r="H1961" s="27" t="s">
        <v>18458</v>
      </c>
      <c r="I1961" s="27" t="s">
        <v>18469</v>
      </c>
      <c r="J1961" s="27"/>
      <c r="K1961" s="27"/>
      <c r="L1961" s="27"/>
      <c r="N1961" s="27"/>
      <c r="T1961" s="28" t="str">
        <f>LOOKUP(1,1/(Table1[[#This Row],[Level_0]:[Level 15]]&gt;0),(Table1[[#This Row],[Level_0]:[Level 15]]))</f>
        <v>4233000000 - [Inv Reval - Finish Goods - Stand Price]</v>
      </c>
      <c r="U1961" s="22">
        <v>1956</v>
      </c>
      <c r="W1961" s="13" t="str">
        <f>LOOKUP(1,1/(Table1[[#This Row],[Level_0]:[Level 15]]&gt;0),(Table1[[#This Row],[Level_0]:[Level 15]]))</f>
        <v>4233000000 - [Inv Reval - Finish Goods - Stand Price]</v>
      </c>
    </row>
    <row r="1962" spans="1:23" hidden="1" x14ac:dyDescent="0.25">
      <c r="A1962">
        <v>4232000000</v>
      </c>
      <c r="B1962" s="16" t="s">
        <v>19896</v>
      </c>
      <c r="C1962" s="16" t="e">
        <f>VLOOKUP(Table1[[#This Row],[Node]],Parent!A:B,2,0)</f>
        <v>#N/A</v>
      </c>
      <c r="D1962" s="25" t="s">
        <v>19346</v>
      </c>
      <c r="E1962" s="26" t="s">
        <v>16544</v>
      </c>
      <c r="F1962" s="27" t="s">
        <v>18431</v>
      </c>
      <c r="G1962" s="27" t="s">
        <v>18457</v>
      </c>
      <c r="H1962" s="27" t="s">
        <v>18458</v>
      </c>
      <c r="I1962" s="27" t="s">
        <v>18470</v>
      </c>
      <c r="J1962" s="27"/>
      <c r="K1962" s="27"/>
      <c r="L1962" s="27"/>
      <c r="N1962" s="27"/>
      <c r="T1962" s="28" t="str">
        <f>LOOKUP(1,1/(Table1[[#This Row],[Level_0]:[Level 15]]&gt;0),(Table1[[#This Row],[Level_0]:[Level 15]]))</f>
        <v>4232000000 - [Inv Reval - Merchandise - Stand Price]</v>
      </c>
      <c r="U1962" s="22">
        <v>1957</v>
      </c>
      <c r="W1962" s="13" t="str">
        <f>LOOKUP(1,1/(Table1[[#This Row],[Level_0]:[Level 15]]&gt;0),(Table1[[#This Row],[Level_0]:[Level 15]]))</f>
        <v>4232000000 - [Inv Reval - Merchandise - Stand Price]</v>
      </c>
    </row>
    <row r="1963" spans="1:23" hidden="1" x14ac:dyDescent="0.25">
      <c r="A1963">
        <v>4231000000</v>
      </c>
      <c r="B1963" s="16" t="s">
        <v>19895</v>
      </c>
      <c r="C1963" s="16" t="e">
        <f>VLOOKUP(Table1[[#This Row],[Node]],Parent!A:B,2,0)</f>
        <v>#N/A</v>
      </c>
      <c r="D1963" s="25" t="s">
        <v>19346</v>
      </c>
      <c r="E1963" s="26" t="s">
        <v>16544</v>
      </c>
      <c r="F1963" s="27" t="s">
        <v>18431</v>
      </c>
      <c r="G1963" s="27" t="s">
        <v>18457</v>
      </c>
      <c r="H1963" s="27" t="s">
        <v>18458</v>
      </c>
      <c r="I1963" s="27" t="s">
        <v>18471</v>
      </c>
      <c r="J1963" s="27"/>
      <c r="K1963" s="27"/>
      <c r="L1963" s="27"/>
      <c r="N1963" s="27"/>
      <c r="T1963" s="28" t="str">
        <f>LOOKUP(1,1/(Table1[[#This Row],[Level_0]:[Level 15]]&gt;0),(Table1[[#This Row],[Level_0]:[Level 15]]))</f>
        <v>4231000000 - [Inv Reval - Packaging - Stand Price]</v>
      </c>
      <c r="U1963" s="22">
        <v>1958</v>
      </c>
      <c r="W1963" s="13" t="str">
        <f>LOOKUP(1,1/(Table1[[#This Row],[Level_0]:[Level 15]]&gt;0),(Table1[[#This Row],[Level_0]:[Level 15]]))</f>
        <v>4231000000 - [Inv Reval - Packaging - Stand Price]</v>
      </c>
    </row>
    <row r="1964" spans="1:23" hidden="1" x14ac:dyDescent="0.25">
      <c r="A1964">
        <v>4230006000</v>
      </c>
      <c r="B1964" s="16" t="s">
        <v>19892</v>
      </c>
      <c r="C1964" s="16" t="e">
        <f>VLOOKUP(Table1[[#This Row],[Node]],Parent!A:B,2,0)</f>
        <v>#N/A</v>
      </c>
      <c r="D1964" s="25" t="s">
        <v>19346</v>
      </c>
      <c r="E1964" s="26" t="s">
        <v>16544</v>
      </c>
      <c r="F1964" s="27" t="s">
        <v>18431</v>
      </c>
      <c r="G1964" s="27" t="s">
        <v>18457</v>
      </c>
      <c r="H1964" s="27" t="s">
        <v>18458</v>
      </c>
      <c r="I1964" s="27" t="s">
        <v>18472</v>
      </c>
      <c r="J1964" s="27"/>
      <c r="K1964" s="27"/>
      <c r="L1964" s="27"/>
      <c r="N1964" s="27"/>
      <c r="T1964" s="28" t="str">
        <f>LOOKUP(1,1/(Table1[[#This Row],[Level_0]:[Level 15]]&gt;0),(Table1[[#This Row],[Level_0]:[Level 15]]))</f>
        <v>4230006000 - [Inv Reval - Raw Mat - Stand Price - Cor]</v>
      </c>
      <c r="U1964" s="22">
        <v>1959</v>
      </c>
      <c r="W1964" s="13" t="str">
        <f>LOOKUP(1,1/(Table1[[#This Row],[Level_0]:[Level 15]]&gt;0),(Table1[[#This Row],[Level_0]:[Level 15]]))</f>
        <v>4230006000 - [Inv Reval - Raw Mat - Stand Price - Cor]</v>
      </c>
    </row>
    <row r="1965" spans="1:23" hidden="1" x14ac:dyDescent="0.25">
      <c r="A1965">
        <v>4230000000</v>
      </c>
      <c r="B1965" s="16" t="s">
        <v>19891</v>
      </c>
      <c r="C1965" s="16" t="e">
        <f>VLOOKUP(Table1[[#This Row],[Node]],Parent!A:B,2,0)</f>
        <v>#N/A</v>
      </c>
      <c r="D1965" s="25" t="s">
        <v>19346</v>
      </c>
      <c r="E1965" s="26" t="s">
        <v>16544</v>
      </c>
      <c r="F1965" s="27" t="s">
        <v>18431</v>
      </c>
      <c r="G1965" s="27" t="s">
        <v>18457</v>
      </c>
      <c r="H1965" s="27" t="s">
        <v>18458</v>
      </c>
      <c r="I1965" s="27" t="s">
        <v>18473</v>
      </c>
      <c r="J1965" s="27"/>
      <c r="K1965" s="27"/>
      <c r="L1965" s="27"/>
      <c r="N1965" s="27"/>
      <c r="T1965" s="28" t="str">
        <f>LOOKUP(1,1/(Table1[[#This Row],[Level_0]:[Level 15]]&gt;0),(Table1[[#This Row],[Level_0]:[Level 15]]))</f>
        <v>4230000000 - [Inv Reval - Raw Mat - Stand Price]</v>
      </c>
      <c r="U1965" s="22">
        <v>1960</v>
      </c>
      <c r="W1965" s="13" t="str">
        <f>LOOKUP(1,1/(Table1[[#This Row],[Level_0]:[Level 15]]&gt;0),(Table1[[#This Row],[Level_0]:[Level 15]]))</f>
        <v>4230000000 - [Inv Reval - Raw Mat - Stand Price]</v>
      </c>
    </row>
    <row r="1966" spans="1:23" hidden="1" x14ac:dyDescent="0.25">
      <c r="A1966">
        <v>4229000000</v>
      </c>
      <c r="B1966" s="16" t="s">
        <v>19890</v>
      </c>
      <c r="C1966" s="16" t="e">
        <f>VLOOKUP(Table1[[#This Row],[Node]],Parent!A:B,2,0)</f>
        <v>#N/A</v>
      </c>
      <c r="D1966" s="25" t="s">
        <v>19346</v>
      </c>
      <c r="E1966" s="26" t="s">
        <v>16544</v>
      </c>
      <c r="F1966" s="27" t="s">
        <v>18431</v>
      </c>
      <c r="G1966" s="27" t="s">
        <v>18457</v>
      </c>
      <c r="H1966" s="27" t="s">
        <v>18458</v>
      </c>
      <c r="I1966" s="27" t="s">
        <v>18474</v>
      </c>
      <c r="J1966" s="27"/>
      <c r="K1966" s="27"/>
      <c r="L1966" s="27"/>
      <c r="N1966" s="27"/>
      <c r="T1966" s="28" t="str">
        <f>LOOKUP(1,1/(Table1[[#This Row],[Level_0]:[Level 15]]&gt;0),(Table1[[#This Row],[Level_0]:[Level 15]]))</f>
        <v>4229000000 - [Reserve valuation adjustment - Versum]</v>
      </c>
      <c r="U1966" s="22">
        <v>1961</v>
      </c>
      <c r="W1966" s="13" t="str">
        <f>LOOKUP(1,1/(Table1[[#This Row],[Level_0]:[Level 15]]&gt;0),(Table1[[#This Row],[Level_0]:[Level 15]]))</f>
        <v>4229000000 - [Reserve valuation adjustment - Versum]</v>
      </c>
    </row>
    <row r="1967" spans="1:23" hidden="1" x14ac:dyDescent="0.25">
      <c r="A1967">
        <v>4228000000</v>
      </c>
      <c r="B1967" s="16" t="s">
        <v>19889</v>
      </c>
      <c r="C1967" s="16" t="e">
        <f>VLOOKUP(Table1[[#This Row],[Node]],Parent!A:B,2,0)</f>
        <v>#N/A</v>
      </c>
      <c r="D1967" s="25" t="s">
        <v>19346</v>
      </c>
      <c r="E1967" s="26" t="s">
        <v>16544</v>
      </c>
      <c r="F1967" s="27" t="s">
        <v>18431</v>
      </c>
      <c r="G1967" s="27" t="s">
        <v>18457</v>
      </c>
      <c r="H1967" s="27" t="s">
        <v>18458</v>
      </c>
      <c r="I1967" s="27" t="s">
        <v>18475</v>
      </c>
      <c r="J1967" s="27"/>
      <c r="K1967" s="27"/>
      <c r="L1967" s="27"/>
      <c r="N1967" s="27"/>
      <c r="T1967" s="28" t="str">
        <f>LOOKUP(1,1/(Table1[[#This Row],[Level_0]:[Level 15]]&gt;0),(Table1[[#This Row],[Level_0]:[Level 15]]))</f>
        <v>4228000000 - [Reserve Val Adj - Net Realizable Value]</v>
      </c>
      <c r="U1967" s="22">
        <v>1962</v>
      </c>
      <c r="W1967" s="13" t="str">
        <f>LOOKUP(1,1/(Table1[[#This Row],[Level_0]:[Level 15]]&gt;0),(Table1[[#This Row],[Level_0]:[Level 15]]))</f>
        <v>4228000000 - [Reserve Val Adj - Net Realizable Value]</v>
      </c>
    </row>
    <row r="1968" spans="1:23" hidden="1" x14ac:dyDescent="0.25">
      <c r="A1968">
        <v>4227000000</v>
      </c>
      <c r="B1968" s="16" t="s">
        <v>19888</v>
      </c>
      <c r="C1968" s="16" t="e">
        <f>VLOOKUP(Table1[[#This Row],[Node]],Parent!A:B,2,0)</f>
        <v>#N/A</v>
      </c>
      <c r="D1968" s="25" t="s">
        <v>19346</v>
      </c>
      <c r="E1968" s="26" t="s">
        <v>16544</v>
      </c>
      <c r="F1968" s="27" t="s">
        <v>18431</v>
      </c>
      <c r="G1968" s="27" t="s">
        <v>18457</v>
      </c>
      <c r="H1968" s="27" t="s">
        <v>18458</v>
      </c>
      <c r="I1968" s="27" t="s">
        <v>18476</v>
      </c>
      <c r="J1968" s="27"/>
      <c r="K1968" s="27"/>
      <c r="L1968" s="27"/>
      <c r="N1968" s="27"/>
      <c r="T1968" s="28" t="str">
        <f>LOOKUP(1,1/(Table1[[#This Row],[Level_0]:[Level 15]]&gt;0),(Table1[[#This Row],[Level_0]:[Level 15]]))</f>
        <v>4227000000 - [Reserve Val Adj - Slow Moving]</v>
      </c>
      <c r="U1968" s="22">
        <v>1963</v>
      </c>
      <c r="W1968" s="13" t="str">
        <f>LOOKUP(1,1/(Table1[[#This Row],[Level_0]:[Level 15]]&gt;0),(Table1[[#This Row],[Level_0]:[Level 15]]))</f>
        <v>4227000000 - [Reserve Val Adj - Slow Moving]</v>
      </c>
    </row>
    <row r="1969" spans="1:23" hidden="1" x14ac:dyDescent="0.25">
      <c r="A1969">
        <v>4226000000</v>
      </c>
      <c r="B1969" s="16" t="s">
        <v>19887</v>
      </c>
      <c r="C1969" s="16" t="e">
        <f>VLOOKUP(Table1[[#This Row],[Node]],Parent!A:B,2,0)</f>
        <v>#N/A</v>
      </c>
      <c r="D1969" s="25" t="s">
        <v>19346</v>
      </c>
      <c r="E1969" s="26" t="s">
        <v>16544</v>
      </c>
      <c r="F1969" s="27" t="s">
        <v>18431</v>
      </c>
      <c r="G1969" s="27" t="s">
        <v>18457</v>
      </c>
      <c r="H1969" s="27" t="s">
        <v>18458</v>
      </c>
      <c r="I1969" s="27" t="s">
        <v>18477</v>
      </c>
      <c r="J1969" s="27"/>
      <c r="K1969" s="27"/>
      <c r="L1969" s="27"/>
      <c r="N1969" s="27"/>
      <c r="T1969" s="28" t="str">
        <f>LOOKUP(1,1/(Table1[[#This Row],[Level_0]:[Level 15]]&gt;0),(Table1[[#This Row],[Level_0]:[Level 15]]))</f>
        <v>4226000000 - [Reserve Val Adj - Shelf Live]</v>
      </c>
      <c r="U1969" s="22">
        <v>1964</v>
      </c>
      <c r="W1969" s="13" t="str">
        <f>LOOKUP(1,1/(Table1[[#This Row],[Level_0]:[Level 15]]&gt;0),(Table1[[#This Row],[Level_0]:[Level 15]]))</f>
        <v>4226000000 - [Reserve Val Adj - Shelf Live]</v>
      </c>
    </row>
    <row r="1970" spans="1:23" hidden="1" x14ac:dyDescent="0.25">
      <c r="A1970">
        <v>4225000000</v>
      </c>
      <c r="B1970" s="16" t="s">
        <v>19886</v>
      </c>
      <c r="C1970" s="16" t="e">
        <f>VLOOKUP(Table1[[#This Row],[Node]],Parent!A:B,2,0)</f>
        <v>#N/A</v>
      </c>
      <c r="D1970" s="25" t="s">
        <v>19346</v>
      </c>
      <c r="E1970" s="26" t="s">
        <v>16544</v>
      </c>
      <c r="F1970" s="27" t="s">
        <v>18431</v>
      </c>
      <c r="G1970" s="27" t="s">
        <v>18457</v>
      </c>
      <c r="H1970" s="27" t="s">
        <v>18458</v>
      </c>
      <c r="I1970" s="27" t="s">
        <v>18478</v>
      </c>
      <c r="J1970" s="27"/>
      <c r="K1970" s="27"/>
      <c r="L1970" s="27"/>
      <c r="N1970" s="27"/>
      <c r="T1970" s="28" t="str">
        <f>LOOKUP(1,1/(Table1[[#This Row],[Level_0]:[Level 15]]&gt;0),(Table1[[#This Row],[Level_0]:[Level 15]]))</f>
        <v>4225000000 - [Reserve Val Adj - Quality]</v>
      </c>
      <c r="U1970" s="22">
        <v>1965</v>
      </c>
      <c r="W1970" s="13" t="str">
        <f>LOOKUP(1,1/(Table1[[#This Row],[Level_0]:[Level 15]]&gt;0),(Table1[[#This Row],[Level_0]:[Level 15]]))</f>
        <v>4225000000 - [Reserve Val Adj - Quality]</v>
      </c>
    </row>
    <row r="1971" spans="1:23" hidden="1" x14ac:dyDescent="0.25">
      <c r="A1971">
        <v>150202</v>
      </c>
      <c r="B1971" s="16" t="s">
        <v>19434</v>
      </c>
      <c r="C1971" s="16" t="e">
        <f>VLOOKUP(Table1[[#This Row],[Node]],Parent!A:B,2,0)</f>
        <v>#N/A</v>
      </c>
      <c r="D1971" s="25" t="s">
        <v>19346</v>
      </c>
      <c r="E1971" s="26" t="s">
        <v>16544</v>
      </c>
      <c r="F1971" s="27" t="s">
        <v>18431</v>
      </c>
      <c r="G1971" s="27" t="s">
        <v>18457</v>
      </c>
      <c r="H1971" s="27" t="s">
        <v>18479</v>
      </c>
      <c r="I1971" s="27"/>
      <c r="J1971" s="27"/>
      <c r="K1971" s="27"/>
      <c r="L1971" s="27"/>
      <c r="N1971" s="27"/>
      <c r="T1971" s="28" t="str">
        <f>LOOKUP(1,1/(Table1[[#This Row],[Level_0]:[Level 15]]&gt;0),(Table1[[#This Row],[Level_0]:[Level 15]]))</f>
        <v>150202 - [Disposals]</v>
      </c>
      <c r="U1971" s="22">
        <v>1966</v>
      </c>
      <c r="W1971" s="13" t="str">
        <f>LOOKUP(1,1/(Table1[[#This Row],[Level_0]:[Level 15]]&gt;0),(Table1[[#This Row],[Level_0]:[Level 15]]))</f>
        <v>150202 - [Disposals]</v>
      </c>
    </row>
    <row r="1972" spans="1:23" hidden="1" x14ac:dyDescent="0.25">
      <c r="A1972">
        <v>3301000001</v>
      </c>
      <c r="B1972" s="16" t="s">
        <v>19647</v>
      </c>
      <c r="C1972" s="16" t="e">
        <f>VLOOKUP(Table1[[#This Row],[Node]],Parent!A:B,2,0)</f>
        <v>#N/A</v>
      </c>
      <c r="D1972" s="25" t="s">
        <v>19346</v>
      </c>
      <c r="E1972" s="26" t="s">
        <v>16544</v>
      </c>
      <c r="F1972" s="27" t="s">
        <v>18431</v>
      </c>
      <c r="G1972" s="27" t="s">
        <v>18457</v>
      </c>
      <c r="H1972" s="27" t="s">
        <v>18479</v>
      </c>
      <c r="I1972" s="27" t="s">
        <v>18480</v>
      </c>
      <c r="J1972" s="27"/>
      <c r="K1972" s="27"/>
      <c r="L1972" s="27"/>
      <c r="N1972" s="27"/>
      <c r="T1972" s="28" t="str">
        <f>LOOKUP(1,1/(Table1[[#This Row],[Level_0]:[Level 15]]&gt;0),(Table1[[#This Row],[Level_0]:[Level 15]]))</f>
        <v>3301000001 - [Gains from Disposal - Tang Assets - Acc1]</v>
      </c>
      <c r="U1972" s="22">
        <v>1967</v>
      </c>
      <c r="W1972" s="13" t="str">
        <f>LOOKUP(1,1/(Table1[[#This Row],[Level_0]:[Level 15]]&gt;0),(Table1[[#This Row],[Level_0]:[Level 15]]))</f>
        <v>3301000001 - [Gains from Disposal - Tang Assets - Acc1]</v>
      </c>
    </row>
    <row r="1973" spans="1:23" hidden="1" x14ac:dyDescent="0.25">
      <c r="A1973">
        <v>4250100000</v>
      </c>
      <c r="B1973" s="16" t="s">
        <v>19917</v>
      </c>
      <c r="C1973" s="16" t="e">
        <f>VLOOKUP(Table1[[#This Row],[Node]],Parent!A:B,2,0)</f>
        <v>#N/A</v>
      </c>
      <c r="D1973" s="25" t="s">
        <v>19346</v>
      </c>
      <c r="E1973" s="26" t="s">
        <v>16544</v>
      </c>
      <c r="F1973" s="27" t="s">
        <v>18431</v>
      </c>
      <c r="G1973" s="27" t="s">
        <v>18457</v>
      </c>
      <c r="H1973" s="27" t="s">
        <v>18479</v>
      </c>
      <c r="I1973" s="27" t="s">
        <v>18481</v>
      </c>
      <c r="J1973" s="27"/>
      <c r="K1973" s="27"/>
      <c r="L1973" s="27"/>
      <c r="N1973" s="27"/>
      <c r="T1973" s="28" t="str">
        <f>LOOKUP(1,1/(Table1[[#This Row],[Level_0]:[Level 15]]&gt;0),(Table1[[#This Row],[Level_0]:[Level 15]]))</f>
        <v>4250100000 - [Destruction Costs - Inventory]</v>
      </c>
      <c r="U1973" s="22">
        <v>1968</v>
      </c>
      <c r="W1973" s="13" t="str">
        <f>LOOKUP(1,1/(Table1[[#This Row],[Level_0]:[Level 15]]&gt;0),(Table1[[#This Row],[Level_0]:[Level 15]]))</f>
        <v>4250100000 - [Destruction Costs - Inventory]</v>
      </c>
    </row>
    <row r="1974" spans="1:23" hidden="1" x14ac:dyDescent="0.25">
      <c r="A1974">
        <v>4250006000</v>
      </c>
      <c r="B1974" s="16" t="s">
        <v>19916</v>
      </c>
      <c r="C1974" s="16" t="e">
        <f>VLOOKUP(Table1[[#This Row],[Node]],Parent!A:B,2,0)</f>
        <v>#N/A</v>
      </c>
      <c r="D1974" s="25" t="s">
        <v>19346</v>
      </c>
      <c r="E1974" s="26" t="s">
        <v>16544</v>
      </c>
      <c r="F1974" s="27" t="s">
        <v>18431</v>
      </c>
      <c r="G1974" s="27" t="s">
        <v>18457</v>
      </c>
      <c r="H1974" s="27" t="s">
        <v>18479</v>
      </c>
      <c r="I1974" s="27" t="s">
        <v>18482</v>
      </c>
      <c r="J1974" s="27"/>
      <c r="K1974" s="27"/>
      <c r="L1974" s="27"/>
      <c r="N1974" s="27"/>
      <c r="T1974" s="28" t="str">
        <f>LOOKUP(1,1/(Table1[[#This Row],[Level_0]:[Level 15]]&gt;0),(Table1[[#This Row],[Level_0]:[Level 15]]))</f>
        <v>4250006000 - [Scrapping - Inventory - Cor]</v>
      </c>
      <c r="U1974" s="22">
        <v>1969</v>
      </c>
      <c r="W1974" s="13" t="str">
        <f>LOOKUP(1,1/(Table1[[#This Row],[Level_0]:[Level 15]]&gt;0),(Table1[[#This Row],[Level_0]:[Level 15]]))</f>
        <v>4250006000 - [Scrapping - Inventory - Cor]</v>
      </c>
    </row>
    <row r="1975" spans="1:23" hidden="1" x14ac:dyDescent="0.25">
      <c r="A1975">
        <v>4250000000</v>
      </c>
      <c r="B1975" s="16" t="s">
        <v>19915</v>
      </c>
      <c r="C1975" s="16" t="e">
        <f>VLOOKUP(Table1[[#This Row],[Node]],Parent!A:B,2,0)</f>
        <v>#N/A</v>
      </c>
      <c r="D1975" s="25" t="s">
        <v>19346</v>
      </c>
      <c r="E1975" s="26" t="s">
        <v>16544</v>
      </c>
      <c r="F1975" s="27" t="s">
        <v>18431</v>
      </c>
      <c r="G1975" s="27" t="s">
        <v>18457</v>
      </c>
      <c r="H1975" s="27" t="s">
        <v>18479</v>
      </c>
      <c r="I1975" s="27" t="s">
        <v>18483</v>
      </c>
      <c r="J1975" s="27"/>
      <c r="K1975" s="27"/>
      <c r="L1975" s="27"/>
      <c r="N1975" s="27"/>
      <c r="T1975" s="28" t="str">
        <f>LOOKUP(1,1/(Table1[[#This Row],[Level_0]:[Level 15]]&gt;0),(Table1[[#This Row],[Level_0]:[Level 15]]))</f>
        <v>4250000000 - [Scrapping - Inventory]</v>
      </c>
      <c r="U1975" s="22">
        <v>1970</v>
      </c>
      <c r="W1975" s="13" t="str">
        <f>LOOKUP(1,1/(Table1[[#This Row],[Level_0]:[Level 15]]&gt;0),(Table1[[#This Row],[Level_0]:[Level 15]]))</f>
        <v>4250000000 - [Scrapping - Inventory]</v>
      </c>
    </row>
    <row r="1976" spans="1:23" hidden="1" x14ac:dyDescent="0.25">
      <c r="A1976">
        <v>150201</v>
      </c>
      <c r="B1976" s="16" t="s">
        <v>19433</v>
      </c>
      <c r="C1976" s="16" t="e">
        <f>VLOOKUP(Table1[[#This Row],[Node]],Parent!A:B,2,0)</f>
        <v>#N/A</v>
      </c>
      <c r="D1976" s="25" t="s">
        <v>19346</v>
      </c>
      <c r="E1976" s="26" t="s">
        <v>16544</v>
      </c>
      <c r="F1976" s="27" t="s">
        <v>18431</v>
      </c>
      <c r="G1976" s="27" t="s">
        <v>18457</v>
      </c>
      <c r="H1976" s="27" t="s">
        <v>18484</v>
      </c>
      <c r="I1976" s="27"/>
      <c r="J1976" s="27"/>
      <c r="K1976" s="27"/>
      <c r="L1976" s="27"/>
      <c r="N1976" s="27"/>
      <c r="T1976" s="28" t="str">
        <f>LOOKUP(1,1/(Table1[[#This Row],[Level_0]:[Level 15]]&gt;0),(Table1[[#This Row],[Level_0]:[Level 15]]))</f>
        <v>150201 - [Cycle Counts]</v>
      </c>
      <c r="U1976" s="22">
        <v>1971</v>
      </c>
      <c r="W1976" s="13" t="str">
        <f>LOOKUP(1,1/(Table1[[#This Row],[Level_0]:[Level 15]]&gt;0),(Table1[[#This Row],[Level_0]:[Level 15]]))</f>
        <v>150201 - [Cycle Counts]</v>
      </c>
    </row>
    <row r="1977" spans="1:23" hidden="1" x14ac:dyDescent="0.25">
      <c r="A1977">
        <v>4200000000</v>
      </c>
      <c r="B1977" s="16" t="s">
        <v>19883</v>
      </c>
      <c r="C1977" s="16" t="e">
        <f>VLOOKUP(Table1[[#This Row],[Node]],Parent!A:B,2,0)</f>
        <v>#N/A</v>
      </c>
      <c r="D1977" s="25" t="s">
        <v>19346</v>
      </c>
      <c r="E1977" s="26" t="s">
        <v>16544</v>
      </c>
      <c r="F1977" s="27" t="s">
        <v>18431</v>
      </c>
      <c r="G1977" s="27" t="s">
        <v>18457</v>
      </c>
      <c r="H1977" s="27" t="s">
        <v>18484</v>
      </c>
      <c r="I1977" s="27" t="s">
        <v>18485</v>
      </c>
      <c r="J1977" s="27"/>
      <c r="K1977" s="27"/>
      <c r="L1977" s="27"/>
      <c r="N1977" s="27"/>
      <c r="T1977" s="28" t="str">
        <f>LOOKUP(1,1/(Table1[[#This Row],[Level_0]:[Level 15]]&gt;0),(Table1[[#This Row],[Level_0]:[Level 15]]))</f>
        <v>4200000000 - [Stock Take Variances]</v>
      </c>
      <c r="U1977" s="22">
        <v>1972</v>
      </c>
      <c r="W1977" s="13" t="str">
        <f>LOOKUP(1,1/(Table1[[#This Row],[Level_0]:[Level 15]]&gt;0),(Table1[[#This Row],[Level_0]:[Level 15]]))</f>
        <v>4200000000 - [Stock Take Variances]</v>
      </c>
    </row>
    <row r="1978" spans="1:23" hidden="1" x14ac:dyDescent="0.25">
      <c r="A1978">
        <v>150100</v>
      </c>
      <c r="B1978" s="16" t="s">
        <v>19425</v>
      </c>
      <c r="C1978" s="16" t="e">
        <f>VLOOKUP(Table1[[#This Row],[Node]],Parent!A:B,2,0)</f>
        <v>#N/A</v>
      </c>
      <c r="D1978" s="25" t="s">
        <v>19346</v>
      </c>
      <c r="E1978" s="26" t="s">
        <v>16544</v>
      </c>
      <c r="F1978" s="27" t="s">
        <v>18431</v>
      </c>
      <c r="G1978" s="27" t="s">
        <v>18486</v>
      </c>
      <c r="H1978" s="27"/>
      <c r="I1978" s="27"/>
      <c r="J1978" s="27"/>
      <c r="K1978" s="27"/>
      <c r="L1978" s="27"/>
      <c r="N1978" s="27"/>
      <c r="T1978" s="28" t="str">
        <f>LOOKUP(1,1/(Table1[[#This Row],[Level_0]:[Level 15]]&gt;0),(Table1[[#This Row],[Level_0]:[Level 15]]))</f>
        <v>150100 - [Material Consumption]</v>
      </c>
      <c r="U1978" s="22">
        <v>1973</v>
      </c>
      <c r="W1978" s="13" t="str">
        <f>LOOKUP(1,1/(Table1[[#This Row],[Level_0]:[Level 15]]&gt;0),(Table1[[#This Row],[Level_0]:[Level 15]]))</f>
        <v>150100 - [Material Consumption]</v>
      </c>
    </row>
    <row r="1979" spans="1:23" hidden="1" x14ac:dyDescent="0.25">
      <c r="A1979">
        <v>150106</v>
      </c>
      <c r="B1979" s="16" t="s">
        <v>19431</v>
      </c>
      <c r="C1979" s="16" t="e">
        <f>VLOOKUP(Table1[[#This Row],[Node]],Parent!A:B,2,0)</f>
        <v>#N/A</v>
      </c>
      <c r="D1979" s="25" t="s">
        <v>19346</v>
      </c>
      <c r="E1979" s="26" t="s">
        <v>16544</v>
      </c>
      <c r="F1979" s="27" t="s">
        <v>18431</v>
      </c>
      <c r="G1979" s="27" t="s">
        <v>18486</v>
      </c>
      <c r="H1979" s="27" t="s">
        <v>18487</v>
      </c>
      <c r="I1979" s="27"/>
      <c r="J1979" s="27"/>
      <c r="K1979" s="27"/>
      <c r="L1979" s="27"/>
      <c r="N1979" s="27"/>
      <c r="T1979" s="28" t="str">
        <f>LOOKUP(1,1/(Table1[[#This Row],[Level_0]:[Level 15]]&gt;0),(Table1[[#This Row],[Level_0]:[Level 15]]))</f>
        <v>150106 - [Consumption of other materials]</v>
      </c>
      <c r="U1979" s="22">
        <v>1974</v>
      </c>
      <c r="W1979" s="13" t="str">
        <f>LOOKUP(1,1/(Table1[[#This Row],[Level_0]:[Level 15]]&gt;0),(Table1[[#This Row],[Level_0]:[Level 15]]))</f>
        <v>150106 - [Consumption of other materials]</v>
      </c>
    </row>
    <row r="1980" spans="1:23" hidden="1" x14ac:dyDescent="0.25">
      <c r="A1980">
        <v>5399010000</v>
      </c>
      <c r="B1980" s="16" t="s">
        <v>20254</v>
      </c>
      <c r="C1980" s="16" t="e">
        <f>VLOOKUP(Table1[[#This Row],[Node]],Parent!A:B,2,0)</f>
        <v>#N/A</v>
      </c>
      <c r="D1980" s="25" t="s">
        <v>19346</v>
      </c>
      <c r="E1980" s="26" t="s">
        <v>16544</v>
      </c>
      <c r="F1980" s="27" t="s">
        <v>18431</v>
      </c>
      <c r="G1980" s="27" t="s">
        <v>18486</v>
      </c>
      <c r="H1980" s="27" t="s">
        <v>18487</v>
      </c>
      <c r="I1980" s="27" t="s">
        <v>18488</v>
      </c>
      <c r="J1980" s="27"/>
      <c r="K1980" s="27"/>
      <c r="L1980" s="27"/>
      <c r="N1980" s="27"/>
      <c r="T1980" s="28" t="str">
        <f>LOOKUP(1,1/(Table1[[#This Row],[Level_0]:[Level 15]]&gt;0),(Table1[[#This Row],[Level_0]:[Level 15]]))</f>
        <v>5399010000 - [Other Production Materials - IC]</v>
      </c>
      <c r="U1980" s="22">
        <v>1975</v>
      </c>
      <c r="W1980" s="13" t="str">
        <f>LOOKUP(1,1/(Table1[[#This Row],[Level_0]:[Level 15]]&gt;0),(Table1[[#This Row],[Level_0]:[Level 15]]))</f>
        <v>5399010000 - [Other Production Materials - IC]</v>
      </c>
    </row>
    <row r="1981" spans="1:23" hidden="1" x14ac:dyDescent="0.25">
      <c r="A1981">
        <v>7340000015</v>
      </c>
      <c r="B1981" s="16" t="s">
        <v>20934</v>
      </c>
      <c r="C1981" s="16" t="e">
        <f>VLOOKUP(Table1[[#This Row],[Node]],Parent!A:B,2,0)</f>
        <v>#N/A</v>
      </c>
      <c r="D1981" s="25" t="s">
        <v>19346</v>
      </c>
      <c r="E1981" s="26" t="s">
        <v>16544</v>
      </c>
      <c r="F1981" s="27" t="s">
        <v>18431</v>
      </c>
      <c r="G1981" s="27" t="s">
        <v>18486</v>
      </c>
      <c r="H1981" s="27" t="s">
        <v>18487</v>
      </c>
      <c r="I1981" s="27" t="s">
        <v>18489</v>
      </c>
      <c r="J1981" s="27"/>
      <c r="K1981" s="27"/>
      <c r="L1981" s="27"/>
      <c r="N1981" s="27"/>
      <c r="T1981" s="28" t="str">
        <f>LOOKUP(1,1/(Table1[[#This Row],[Level_0]:[Level 15]]&gt;0),(Table1[[#This Row],[Level_0]:[Level 15]]))</f>
        <v>7340000015 - [SOM Material Settlement]</v>
      </c>
      <c r="U1981" s="22">
        <v>1976</v>
      </c>
      <c r="W1981" s="13" t="str">
        <f>LOOKUP(1,1/(Table1[[#This Row],[Level_0]:[Level 15]]&gt;0),(Table1[[#This Row],[Level_0]:[Level 15]]))</f>
        <v>7340000015 - [SOM Material Settlement]</v>
      </c>
    </row>
    <row r="1982" spans="1:23" hidden="1" x14ac:dyDescent="0.25">
      <c r="A1982">
        <v>7600304231</v>
      </c>
      <c r="B1982" s="16" t="s">
        <v>21422</v>
      </c>
      <c r="C1982" s="16" t="e">
        <f>VLOOKUP(Table1[[#This Row],[Node]],Parent!A:B,2,0)</f>
        <v>#N/A</v>
      </c>
      <c r="D1982" s="25" t="s">
        <v>19346</v>
      </c>
      <c r="E1982" s="26" t="s">
        <v>16544</v>
      </c>
      <c r="F1982" s="27" t="s">
        <v>18431</v>
      </c>
      <c r="G1982" s="27" t="s">
        <v>18486</v>
      </c>
      <c r="H1982" s="27" t="s">
        <v>18487</v>
      </c>
      <c r="I1982" s="27" t="s">
        <v>18490</v>
      </c>
      <c r="J1982" s="27"/>
      <c r="K1982" s="27"/>
      <c r="L1982" s="27"/>
      <c r="N1982" s="27"/>
      <c r="T1982" s="28" t="str">
        <f>LOOKUP(1,1/(Table1[[#This Row],[Level_0]:[Level 15]]&gt;0),(Table1[[#This Row],[Level_0]:[Level 15]]))</f>
        <v>7600304231 - [DAA_Contractor Mgt M]</v>
      </c>
      <c r="U1982" s="22">
        <v>1977</v>
      </c>
      <c r="W1982" s="13" t="str">
        <f>LOOKUP(1,1/(Table1[[#This Row],[Level_0]:[Level 15]]&gt;0),(Table1[[#This Row],[Level_0]:[Level 15]]))</f>
        <v>7600304231 - [DAA_Contractor Mgt M]</v>
      </c>
    </row>
    <row r="1983" spans="1:23" hidden="1" x14ac:dyDescent="0.25">
      <c r="A1983">
        <v>7340000012</v>
      </c>
      <c r="B1983" s="16" t="s">
        <v>20931</v>
      </c>
      <c r="C1983" s="16" t="e">
        <f>VLOOKUP(Table1[[#This Row],[Node]],Parent!A:B,2,0)</f>
        <v>#N/A</v>
      </c>
      <c r="D1983" s="25" t="s">
        <v>19346</v>
      </c>
      <c r="E1983" s="26" t="s">
        <v>16544</v>
      </c>
      <c r="F1983" s="27" t="s">
        <v>18431</v>
      </c>
      <c r="G1983" s="27" t="s">
        <v>18486</v>
      </c>
      <c r="H1983" s="27" t="s">
        <v>18487</v>
      </c>
      <c r="I1983" s="27" t="s">
        <v>18491</v>
      </c>
      <c r="J1983" s="27"/>
      <c r="K1983" s="27"/>
      <c r="L1983" s="27"/>
      <c r="N1983" s="27"/>
      <c r="T1983" s="28" t="str">
        <f>LOOKUP(1,1/(Table1[[#This Row],[Level_0]:[Level 15]]&gt;0),(Table1[[#This Row],[Level_0]:[Level 15]]))</f>
        <v>7340000012 - [SOM Production costs]</v>
      </c>
      <c r="U1983" s="22">
        <v>1978</v>
      </c>
      <c r="W1983" s="13" t="str">
        <f>LOOKUP(1,1/(Table1[[#This Row],[Level_0]:[Level 15]]&gt;0),(Table1[[#This Row],[Level_0]:[Level 15]]))</f>
        <v>7340000012 - [SOM Production costs]</v>
      </c>
    </row>
    <row r="1984" spans="1:23" hidden="1" x14ac:dyDescent="0.25">
      <c r="A1984">
        <v>7320110005</v>
      </c>
      <c r="B1984" s="16" t="s">
        <v>20839</v>
      </c>
      <c r="C1984" s="16" t="e">
        <f>VLOOKUP(Table1[[#This Row],[Node]],Parent!A:B,2,0)</f>
        <v>#N/A</v>
      </c>
      <c r="D1984" s="25" t="s">
        <v>19346</v>
      </c>
      <c r="E1984" s="26" t="s">
        <v>16544</v>
      </c>
      <c r="F1984" s="27" t="s">
        <v>18431</v>
      </c>
      <c r="G1984" s="27" t="s">
        <v>18486</v>
      </c>
      <c r="H1984" s="27" t="s">
        <v>18487</v>
      </c>
      <c r="I1984" s="27" t="s">
        <v>18492</v>
      </c>
      <c r="J1984" s="27"/>
      <c r="K1984" s="27"/>
      <c r="L1984" s="27"/>
      <c r="N1984" s="27"/>
      <c r="T1984" s="28" t="str">
        <f>LOOKUP(1,1/(Table1[[#This Row],[Level_0]:[Level 15]]&gt;0),(Table1[[#This Row],[Level_0]:[Level 15]]))</f>
        <v>7320110005 - [AOM Alloc. Mat. Cons. Costs (Comp.Split)]</v>
      </c>
      <c r="U1984" s="22">
        <v>1979</v>
      </c>
      <c r="W1984" s="13" t="str">
        <f>LOOKUP(1,1/(Table1[[#This Row],[Level_0]:[Level 15]]&gt;0),(Table1[[#This Row],[Level_0]:[Level 15]]))</f>
        <v>7320110005 - [AOM Alloc. Mat. Cons. Costs (Comp.Split)]</v>
      </c>
    </row>
    <row r="1985" spans="1:23" hidden="1" x14ac:dyDescent="0.25">
      <c r="A1985">
        <v>5919000000</v>
      </c>
      <c r="B1985" s="16" t="s">
        <v>20517</v>
      </c>
      <c r="C1985" s="16" t="e">
        <f>VLOOKUP(Table1[[#This Row],[Node]],Parent!A:B,2,0)</f>
        <v>#N/A</v>
      </c>
      <c r="D1985" s="25" t="s">
        <v>19346</v>
      </c>
      <c r="E1985" s="26" t="s">
        <v>16544</v>
      </c>
      <c r="F1985" s="27" t="s">
        <v>18431</v>
      </c>
      <c r="G1985" s="27" t="s">
        <v>18486</v>
      </c>
      <c r="H1985" s="27" t="s">
        <v>18487</v>
      </c>
      <c r="I1985" s="27" t="s">
        <v>18493</v>
      </c>
      <c r="J1985" s="27"/>
      <c r="K1985" s="27"/>
      <c r="L1985" s="27"/>
      <c r="N1985" s="27"/>
      <c r="T1985" s="28" t="str">
        <f>LOOKUP(1,1/(Table1[[#This Row],[Level_0]:[Level 15]]&gt;0),(Table1[[#This Row],[Level_0]:[Level 15]]))</f>
        <v>5919000000 - [Oth Consumabl - Oth Non-Prod Consum Mat]</v>
      </c>
      <c r="U1985" s="22">
        <v>1980</v>
      </c>
      <c r="W1985" s="13" t="str">
        <f>LOOKUP(1,1/(Table1[[#This Row],[Level_0]:[Level 15]]&gt;0),(Table1[[#This Row],[Level_0]:[Level 15]]))</f>
        <v>5919000000 - [Oth Consumabl - Oth Non-Prod Consum Mat]</v>
      </c>
    </row>
    <row r="1986" spans="1:23" hidden="1" x14ac:dyDescent="0.25">
      <c r="A1986">
        <v>5399000001</v>
      </c>
      <c r="B1986" s="16" t="s">
        <v>20253</v>
      </c>
      <c r="C1986" s="16" t="e">
        <f>VLOOKUP(Table1[[#This Row],[Node]],Parent!A:B,2,0)</f>
        <v>#N/A</v>
      </c>
      <c r="D1986" s="25" t="s">
        <v>19346</v>
      </c>
      <c r="E1986" s="26" t="s">
        <v>16544</v>
      </c>
      <c r="F1986" s="27" t="s">
        <v>18431</v>
      </c>
      <c r="G1986" s="27" t="s">
        <v>18486</v>
      </c>
      <c r="H1986" s="27" t="s">
        <v>18487</v>
      </c>
      <c r="I1986" s="27" t="s">
        <v>18494</v>
      </c>
      <c r="J1986" s="27"/>
      <c r="K1986" s="27"/>
      <c r="L1986" s="27"/>
      <c r="N1986" s="27"/>
      <c r="T1986" s="28" t="str">
        <f>LOOKUP(1,1/(Table1[[#This Row],[Level_0]:[Level 15]]&gt;0),(Table1[[#This Row],[Level_0]:[Level 15]]))</f>
        <v>5399000001 - [Other Production Materials -Acc1]</v>
      </c>
      <c r="U1986" s="22">
        <v>1981</v>
      </c>
      <c r="W1986" s="13" t="str">
        <f>LOOKUP(1,1/(Table1[[#This Row],[Level_0]:[Level 15]]&gt;0),(Table1[[#This Row],[Level_0]:[Level 15]]))</f>
        <v>5399000001 - [Other Production Materials -Acc1]</v>
      </c>
    </row>
    <row r="1987" spans="1:23" hidden="1" x14ac:dyDescent="0.25">
      <c r="A1987">
        <v>5399000000</v>
      </c>
      <c r="B1987" s="16" t="s">
        <v>20252</v>
      </c>
      <c r="C1987" s="16" t="e">
        <f>VLOOKUP(Table1[[#This Row],[Node]],Parent!A:B,2,0)</f>
        <v>#N/A</v>
      </c>
      <c r="D1987" s="25" t="s">
        <v>19346</v>
      </c>
      <c r="E1987" s="26" t="s">
        <v>16544</v>
      </c>
      <c r="F1987" s="27" t="s">
        <v>18431</v>
      </c>
      <c r="G1987" s="27" t="s">
        <v>18486</v>
      </c>
      <c r="H1987" s="27" t="s">
        <v>18487</v>
      </c>
      <c r="I1987" s="27" t="s">
        <v>18495</v>
      </c>
      <c r="J1987" s="27"/>
      <c r="K1987" s="27"/>
      <c r="L1987" s="27"/>
      <c r="N1987" s="27"/>
      <c r="T1987" s="28" t="str">
        <f>LOOKUP(1,1/(Table1[[#This Row],[Level_0]:[Level 15]]&gt;0),(Table1[[#This Row],[Level_0]:[Level 15]]))</f>
        <v>5399000000 - [Other Production Materials]</v>
      </c>
      <c r="U1987" s="22">
        <v>1982</v>
      </c>
      <c r="W1987" s="13" t="str">
        <f>LOOKUP(1,1/(Table1[[#This Row],[Level_0]:[Level 15]]&gt;0),(Table1[[#This Row],[Level_0]:[Level 15]]))</f>
        <v>5399000000 - [Other Production Materials]</v>
      </c>
    </row>
    <row r="1988" spans="1:23" hidden="1" x14ac:dyDescent="0.25">
      <c r="A1988">
        <v>5391600000</v>
      </c>
      <c r="B1988" s="16" t="s">
        <v>20250</v>
      </c>
      <c r="C1988" s="16" t="e">
        <f>VLOOKUP(Table1[[#This Row],[Node]],Parent!A:B,2,0)</f>
        <v>#N/A</v>
      </c>
      <c r="D1988" s="25" t="s">
        <v>19346</v>
      </c>
      <c r="E1988" s="26" t="s">
        <v>16544</v>
      </c>
      <c r="F1988" s="27" t="s">
        <v>18431</v>
      </c>
      <c r="G1988" s="27" t="s">
        <v>18486</v>
      </c>
      <c r="H1988" s="27" t="s">
        <v>18487</v>
      </c>
      <c r="I1988" s="27" t="s">
        <v>18496</v>
      </c>
      <c r="J1988" s="27"/>
      <c r="K1988" s="27"/>
      <c r="L1988" s="27"/>
      <c r="N1988" s="27"/>
      <c r="T1988" s="28" t="str">
        <f>LOOKUP(1,1/(Table1[[#This Row],[Level_0]:[Level 15]]&gt;0),(Table1[[#This Row],[Level_0]:[Level 15]]))</f>
        <v>5391600000 - [R&amp;D Samples - Local]</v>
      </c>
      <c r="U1988" s="22">
        <v>1983</v>
      </c>
      <c r="W1988" s="13" t="str">
        <f>LOOKUP(1,1/(Table1[[#This Row],[Level_0]:[Level 15]]&gt;0),(Table1[[#This Row],[Level_0]:[Level 15]]))</f>
        <v>5391600000 - [R&amp;D Samples - Local]</v>
      </c>
    </row>
    <row r="1989" spans="1:23" hidden="1" x14ac:dyDescent="0.25">
      <c r="A1989">
        <v>5391200000</v>
      </c>
      <c r="B1989" s="16" t="s">
        <v>20248</v>
      </c>
      <c r="C1989" s="16" t="e">
        <f>VLOOKUP(Table1[[#This Row],[Node]],Parent!A:B,2,0)</f>
        <v>#N/A</v>
      </c>
      <c r="D1989" s="25" t="s">
        <v>19346</v>
      </c>
      <c r="E1989" s="26" t="s">
        <v>16544</v>
      </c>
      <c r="F1989" s="27" t="s">
        <v>18431</v>
      </c>
      <c r="G1989" s="27" t="s">
        <v>18486</v>
      </c>
      <c r="H1989" s="27" t="s">
        <v>18487</v>
      </c>
      <c r="I1989" s="27" t="s">
        <v>18497</v>
      </c>
      <c r="J1989" s="27"/>
      <c r="K1989" s="27"/>
      <c r="L1989" s="27"/>
      <c r="N1989" s="27"/>
      <c r="T1989" s="28" t="str">
        <f>LOOKUP(1,1/(Table1[[#This Row],[Level_0]:[Level 15]]&gt;0),(Table1[[#This Row],[Level_0]:[Level 15]]))</f>
        <v>5391200000 - [R&amp;D Samples - Global]</v>
      </c>
      <c r="U1989" s="22">
        <v>1984</v>
      </c>
      <c r="W1989" s="13" t="str">
        <f>LOOKUP(1,1/(Table1[[#This Row],[Level_0]:[Level 15]]&gt;0),(Table1[[#This Row],[Level_0]:[Level 15]]))</f>
        <v>5391200000 - [R&amp;D Samples - Global]</v>
      </c>
    </row>
    <row r="1990" spans="1:23" hidden="1" x14ac:dyDescent="0.25">
      <c r="A1990">
        <v>5202202200</v>
      </c>
      <c r="B1990" s="16" t="s">
        <v>20106</v>
      </c>
      <c r="C1990" s="16" t="e">
        <f>VLOOKUP(Table1[[#This Row],[Node]],Parent!A:B,2,0)</f>
        <v>#N/A</v>
      </c>
      <c r="D1990" s="25" t="s">
        <v>19346</v>
      </c>
      <c r="E1990" s="26" t="s">
        <v>16544</v>
      </c>
      <c r="F1990" s="27" t="s">
        <v>18431</v>
      </c>
      <c r="G1990" s="27" t="s">
        <v>18486</v>
      </c>
      <c r="H1990" s="27" t="s">
        <v>18487</v>
      </c>
      <c r="I1990" s="27" t="s">
        <v>18498</v>
      </c>
      <c r="J1990" s="27"/>
      <c r="K1990" s="27"/>
      <c r="L1990" s="27"/>
      <c r="N1990" s="27"/>
      <c r="T1990" s="28" t="str">
        <f>LOOKUP(1,1/(Table1[[#This Row],[Level_0]:[Level 15]]&gt;0),(Table1[[#This Row],[Level_0]:[Level 15]]))</f>
        <v>5202202200 - [Project Materials-Purchased Materials]</v>
      </c>
      <c r="U1990" s="22">
        <v>1985</v>
      </c>
      <c r="W1990" s="13" t="str">
        <f>LOOKUP(1,1/(Table1[[#This Row],[Level_0]:[Level 15]]&gt;0),(Table1[[#This Row],[Level_0]:[Level 15]]))</f>
        <v>5202202200 - [Project Materials-Purchased Materials]</v>
      </c>
    </row>
    <row r="1991" spans="1:23" hidden="1" x14ac:dyDescent="0.25">
      <c r="A1991">
        <v>150105</v>
      </c>
      <c r="B1991" s="16" t="s">
        <v>19430</v>
      </c>
      <c r="C1991" s="16" t="e">
        <f>VLOOKUP(Table1[[#This Row],[Node]],Parent!A:B,2,0)</f>
        <v>#N/A</v>
      </c>
      <c r="D1991" s="25" t="s">
        <v>19346</v>
      </c>
      <c r="E1991" s="26" t="s">
        <v>16544</v>
      </c>
      <c r="F1991" s="27" t="s">
        <v>18431</v>
      </c>
      <c r="G1991" s="27" t="s">
        <v>18486</v>
      </c>
      <c r="H1991" s="27" t="s">
        <v>18499</v>
      </c>
      <c r="I1991" s="27"/>
      <c r="J1991" s="27"/>
      <c r="K1991" s="27"/>
      <c r="L1991" s="27"/>
      <c r="N1991" s="27"/>
      <c r="T1991" s="28" t="str">
        <f>LOOKUP(1,1/(Table1[[#This Row],[Level_0]:[Level 15]]&gt;0),(Table1[[#This Row],[Level_0]:[Level 15]]))</f>
        <v>150105 - [Consumption of goods from subcontracting]</v>
      </c>
      <c r="U1991" s="22">
        <v>1986</v>
      </c>
      <c r="W1991" s="13" t="str">
        <f>LOOKUP(1,1/(Table1[[#This Row],[Level_0]:[Level 15]]&gt;0),(Table1[[#This Row],[Level_0]:[Level 15]]))</f>
        <v>150105 - [Consumption of goods from subcontracting]</v>
      </c>
    </row>
    <row r="1992" spans="1:23" hidden="1" x14ac:dyDescent="0.25">
      <c r="A1992">
        <v>5355000000</v>
      </c>
      <c r="B1992" s="16" t="s">
        <v>20245</v>
      </c>
      <c r="C1992" s="16" t="e">
        <f>VLOOKUP(Table1[[#This Row],[Node]],Parent!A:B,2,0)</f>
        <v>#N/A</v>
      </c>
      <c r="D1992" s="25" t="s">
        <v>19346</v>
      </c>
      <c r="E1992" s="26" t="s">
        <v>16544</v>
      </c>
      <c r="F1992" s="27" t="s">
        <v>18431</v>
      </c>
      <c r="G1992" s="27" t="s">
        <v>18486</v>
      </c>
      <c r="H1992" s="27" t="s">
        <v>18499</v>
      </c>
      <c r="I1992" s="27" t="s">
        <v>18500</v>
      </c>
      <c r="J1992" s="27"/>
      <c r="K1992" s="27"/>
      <c r="L1992" s="27"/>
      <c r="N1992" s="27"/>
      <c r="T1992" s="28" t="str">
        <f>LOOKUP(1,1/(Table1[[#This Row],[Level_0]:[Level 15]]&gt;0),(Table1[[#This Row],[Level_0]:[Level 15]]))</f>
        <v>5355000000 - [Consum f. Subc - Minor Tech Materials]</v>
      </c>
      <c r="U1992" s="22">
        <v>1987</v>
      </c>
      <c r="W1992" s="13" t="str">
        <f>LOOKUP(1,1/(Table1[[#This Row],[Level_0]:[Level 15]]&gt;0),(Table1[[#This Row],[Level_0]:[Level 15]]))</f>
        <v>5355000000 - [Consum f. Subc - Minor Tech Materials]</v>
      </c>
    </row>
    <row r="1993" spans="1:23" hidden="1" x14ac:dyDescent="0.25">
      <c r="A1993">
        <v>5359000000</v>
      </c>
      <c r="B1993" s="16" t="s">
        <v>20247</v>
      </c>
      <c r="C1993" s="16" t="e">
        <f>VLOOKUP(Table1[[#This Row],[Node]],Parent!A:B,2,0)</f>
        <v>#N/A</v>
      </c>
      <c r="D1993" s="25" t="s">
        <v>19346</v>
      </c>
      <c r="E1993" s="26" t="s">
        <v>16544</v>
      </c>
      <c r="F1993" s="27" t="s">
        <v>18431</v>
      </c>
      <c r="G1993" s="27" t="s">
        <v>18486</v>
      </c>
      <c r="H1993" s="27" t="s">
        <v>18499</v>
      </c>
      <c r="I1993" s="27" t="s">
        <v>18501</v>
      </c>
      <c r="J1993" s="27"/>
      <c r="K1993" s="27"/>
      <c r="L1993" s="27"/>
      <c r="N1993" s="27"/>
      <c r="T1993" s="28" t="str">
        <f>LOOKUP(1,1/(Table1[[#This Row],[Level_0]:[Level 15]]&gt;0),(Table1[[#This Row],[Level_0]:[Level 15]]))</f>
        <v>5359000000 - [Consum f. Subc - Other Produc Materials]</v>
      </c>
      <c r="U1993" s="22">
        <v>1988</v>
      </c>
      <c r="W1993" s="13" t="str">
        <f>LOOKUP(1,1/(Table1[[#This Row],[Level_0]:[Level 15]]&gt;0),(Table1[[#This Row],[Level_0]:[Level 15]]))</f>
        <v>5359000000 - [Consum f. Subc - Other Produc Materials]</v>
      </c>
    </row>
    <row r="1994" spans="1:23" hidden="1" x14ac:dyDescent="0.25">
      <c r="A1994">
        <v>5354010000</v>
      </c>
      <c r="B1994" s="16" t="s">
        <v>20244</v>
      </c>
      <c r="C1994" s="16" t="e">
        <f>VLOOKUP(Table1[[#This Row],[Node]],Parent!A:B,2,0)</f>
        <v>#N/A</v>
      </c>
      <c r="D1994" s="25" t="s">
        <v>19346</v>
      </c>
      <c r="E1994" s="26" t="s">
        <v>16544</v>
      </c>
      <c r="F1994" s="27" t="s">
        <v>18431</v>
      </c>
      <c r="G1994" s="27" t="s">
        <v>18486</v>
      </c>
      <c r="H1994" s="27" t="s">
        <v>18499</v>
      </c>
      <c r="I1994" s="27" t="s">
        <v>18502</v>
      </c>
      <c r="J1994" s="27"/>
      <c r="K1994" s="27"/>
      <c r="L1994" s="27"/>
      <c r="N1994" s="27"/>
      <c r="T1994" s="28" t="str">
        <f>LOOKUP(1,1/(Table1[[#This Row],[Level_0]:[Level 15]]&gt;0),(Table1[[#This Row],[Level_0]:[Level 15]]))</f>
        <v>5354010000 - [Consumption f. Subc - Merchandise - IC]</v>
      </c>
      <c r="U1994" s="22">
        <v>1989</v>
      </c>
      <c r="W1994" s="13" t="str">
        <f>LOOKUP(1,1/(Table1[[#This Row],[Level_0]:[Level 15]]&gt;0),(Table1[[#This Row],[Level_0]:[Level 15]]))</f>
        <v>5354010000 - [Consumption f. Subc - Merchandise - IC]</v>
      </c>
    </row>
    <row r="1995" spans="1:23" hidden="1" x14ac:dyDescent="0.25">
      <c r="A1995">
        <v>5354000000</v>
      </c>
      <c r="B1995" s="16" t="s">
        <v>20243</v>
      </c>
      <c r="C1995" s="16" t="e">
        <f>VLOOKUP(Table1[[#This Row],[Node]],Parent!A:B,2,0)</f>
        <v>#N/A</v>
      </c>
      <c r="D1995" s="25" t="s">
        <v>19346</v>
      </c>
      <c r="E1995" s="26" t="s">
        <v>16544</v>
      </c>
      <c r="F1995" s="27" t="s">
        <v>18431</v>
      </c>
      <c r="G1995" s="27" t="s">
        <v>18486</v>
      </c>
      <c r="H1995" s="27" t="s">
        <v>18499</v>
      </c>
      <c r="I1995" s="27" t="s">
        <v>18503</v>
      </c>
      <c r="J1995" s="27"/>
      <c r="K1995" s="27"/>
      <c r="L1995" s="27"/>
      <c r="N1995" s="27"/>
      <c r="T1995" s="28" t="str">
        <f>LOOKUP(1,1/(Table1[[#This Row],[Level_0]:[Level 15]]&gt;0),(Table1[[#This Row],[Level_0]:[Level 15]]))</f>
        <v>5354000000 - [Consumption f. Subc - Merchandise]</v>
      </c>
      <c r="U1995" s="22">
        <v>1990</v>
      </c>
      <c r="W1995" s="13" t="str">
        <f>LOOKUP(1,1/(Table1[[#This Row],[Level_0]:[Level 15]]&gt;0),(Table1[[#This Row],[Level_0]:[Level 15]]))</f>
        <v>5354000000 - [Consumption f. Subc - Merchandise]</v>
      </c>
    </row>
    <row r="1996" spans="1:23" hidden="1" x14ac:dyDescent="0.25">
      <c r="A1996">
        <v>5353010000</v>
      </c>
      <c r="B1996" s="16" t="s">
        <v>20242</v>
      </c>
      <c r="C1996" s="16" t="e">
        <f>VLOOKUP(Table1[[#This Row],[Node]],Parent!A:B,2,0)</f>
        <v>#N/A</v>
      </c>
      <c r="D1996" s="25" t="s">
        <v>19346</v>
      </c>
      <c r="E1996" s="26" t="s">
        <v>16544</v>
      </c>
      <c r="F1996" s="27" t="s">
        <v>18431</v>
      </c>
      <c r="G1996" s="27" t="s">
        <v>18486</v>
      </c>
      <c r="H1996" s="27" t="s">
        <v>18499</v>
      </c>
      <c r="I1996" s="27" t="s">
        <v>18504</v>
      </c>
      <c r="J1996" s="27"/>
      <c r="K1996" s="27"/>
      <c r="L1996" s="27"/>
      <c r="N1996" s="27"/>
      <c r="T1996" s="28" t="str">
        <f>LOOKUP(1,1/(Table1[[#This Row],[Level_0]:[Level 15]]&gt;0),(Table1[[#This Row],[Level_0]:[Level 15]]))</f>
        <v>5353010000 - [Consum f. Subc - Packaging Material - IC]</v>
      </c>
      <c r="U1996" s="22">
        <v>1991</v>
      </c>
      <c r="W1996" s="13" t="str">
        <f>LOOKUP(1,1/(Table1[[#This Row],[Level_0]:[Level 15]]&gt;0),(Table1[[#This Row],[Level_0]:[Level 15]]))</f>
        <v>5353010000 - [Consum f. Subc - Packaging Material - IC]</v>
      </c>
    </row>
    <row r="1997" spans="1:23" hidden="1" x14ac:dyDescent="0.25">
      <c r="A1997">
        <v>5353000000</v>
      </c>
      <c r="B1997" s="16" t="s">
        <v>20241</v>
      </c>
      <c r="C1997" s="16" t="e">
        <f>VLOOKUP(Table1[[#This Row],[Node]],Parent!A:B,2,0)</f>
        <v>#N/A</v>
      </c>
      <c r="D1997" s="25" t="s">
        <v>19346</v>
      </c>
      <c r="E1997" s="26" t="s">
        <v>16544</v>
      </c>
      <c r="F1997" s="27" t="s">
        <v>18431</v>
      </c>
      <c r="G1997" s="27" t="s">
        <v>18486</v>
      </c>
      <c r="H1997" s="27" t="s">
        <v>18499</v>
      </c>
      <c r="I1997" s="27" t="s">
        <v>18505</v>
      </c>
      <c r="J1997" s="27"/>
      <c r="K1997" s="27"/>
      <c r="L1997" s="27"/>
      <c r="N1997" s="27"/>
      <c r="T1997" s="28" t="str">
        <f>LOOKUP(1,1/(Table1[[#This Row],[Level_0]:[Level 15]]&gt;0),(Table1[[#This Row],[Level_0]:[Level 15]]))</f>
        <v>5353000000 - [Consumption f. Subc - Packaging Material]</v>
      </c>
      <c r="U1997" s="22">
        <v>1992</v>
      </c>
      <c r="W1997" s="13" t="str">
        <f>LOOKUP(1,1/(Table1[[#This Row],[Level_0]:[Level 15]]&gt;0),(Table1[[#This Row],[Level_0]:[Level 15]]))</f>
        <v>5353000000 - [Consumption f. Subc - Packaging Material]</v>
      </c>
    </row>
    <row r="1998" spans="1:23" hidden="1" x14ac:dyDescent="0.25">
      <c r="A1998">
        <v>5352010000</v>
      </c>
      <c r="B1998" s="16" t="s">
        <v>20240</v>
      </c>
      <c r="C1998" s="16" t="e">
        <f>VLOOKUP(Table1[[#This Row],[Node]],Parent!A:B,2,0)</f>
        <v>#N/A</v>
      </c>
      <c r="D1998" s="25" t="s">
        <v>19346</v>
      </c>
      <c r="E1998" s="26" t="s">
        <v>16544</v>
      </c>
      <c r="F1998" s="27" t="s">
        <v>18431</v>
      </c>
      <c r="G1998" s="27" t="s">
        <v>18486</v>
      </c>
      <c r="H1998" s="27" t="s">
        <v>18499</v>
      </c>
      <c r="I1998" s="27" t="s">
        <v>18506</v>
      </c>
      <c r="J1998" s="27"/>
      <c r="K1998" s="27"/>
      <c r="L1998" s="27"/>
      <c r="N1998" s="27"/>
      <c r="T1998" s="28" t="str">
        <f>LOOKUP(1,1/(Table1[[#This Row],[Level_0]:[Level 15]]&gt;0),(Table1[[#This Row],[Level_0]:[Level 15]]))</f>
        <v>5352010000 - [Consum f. Subc - Unfinish Material - IC]</v>
      </c>
      <c r="U1998" s="22">
        <v>1993</v>
      </c>
      <c r="W1998" s="13" t="str">
        <f>LOOKUP(1,1/(Table1[[#This Row],[Level_0]:[Level 15]]&gt;0),(Table1[[#This Row],[Level_0]:[Level 15]]))</f>
        <v>5352010000 - [Consum f. Subc - Unfinish Material - IC]</v>
      </c>
    </row>
    <row r="1999" spans="1:23" hidden="1" x14ac:dyDescent="0.25">
      <c r="A1999">
        <v>5352000000</v>
      </c>
      <c r="B1999" s="16" t="s">
        <v>20239</v>
      </c>
      <c r="C1999" s="16" t="e">
        <f>VLOOKUP(Table1[[#This Row],[Node]],Parent!A:B,2,0)</f>
        <v>#N/A</v>
      </c>
      <c r="D1999" s="25" t="s">
        <v>19346</v>
      </c>
      <c r="E1999" s="26" t="s">
        <v>16544</v>
      </c>
      <c r="F1999" s="27" t="s">
        <v>18431</v>
      </c>
      <c r="G1999" s="27" t="s">
        <v>18486</v>
      </c>
      <c r="H1999" s="27" t="s">
        <v>18499</v>
      </c>
      <c r="I1999" s="27" t="s">
        <v>18507</v>
      </c>
      <c r="J1999" s="27"/>
      <c r="K1999" s="27"/>
      <c r="L1999" s="27"/>
      <c r="N1999" s="27"/>
      <c r="T1999" s="28" t="str">
        <f>LOOKUP(1,1/(Table1[[#This Row],[Level_0]:[Level 15]]&gt;0),(Table1[[#This Row],[Level_0]:[Level 15]]))</f>
        <v>5352000000 - [Consum f. Subc - Unfinished Material]</v>
      </c>
      <c r="U1999" s="22">
        <v>1994</v>
      </c>
      <c r="W1999" s="13" t="str">
        <f>LOOKUP(1,1/(Table1[[#This Row],[Level_0]:[Level 15]]&gt;0),(Table1[[#This Row],[Level_0]:[Level 15]]))</f>
        <v>5352000000 - [Consum f. Subc - Unfinished Material]</v>
      </c>
    </row>
    <row r="2000" spans="1:23" hidden="1" x14ac:dyDescent="0.25">
      <c r="A2000">
        <v>5351010000</v>
      </c>
      <c r="B2000" s="16" t="s">
        <v>20238</v>
      </c>
      <c r="C2000" s="16" t="e">
        <f>VLOOKUP(Table1[[#This Row],[Node]],Parent!A:B,2,0)</f>
        <v>#N/A</v>
      </c>
      <c r="D2000" s="25" t="s">
        <v>19346</v>
      </c>
      <c r="E2000" s="26" t="s">
        <v>16544</v>
      </c>
      <c r="F2000" s="27" t="s">
        <v>18431</v>
      </c>
      <c r="G2000" s="27" t="s">
        <v>18486</v>
      </c>
      <c r="H2000" s="27" t="s">
        <v>18499</v>
      </c>
      <c r="I2000" s="27" t="s">
        <v>18508</v>
      </c>
      <c r="J2000" s="27"/>
      <c r="K2000" s="27"/>
      <c r="L2000" s="27"/>
      <c r="N2000" s="27"/>
      <c r="T2000" s="28" t="str">
        <f>LOOKUP(1,1/(Table1[[#This Row],[Level_0]:[Level 15]]&gt;0),(Table1[[#This Row],[Level_0]:[Level 15]]))</f>
        <v>5351010000 - [Consum f. Subc - Finished Materials - IC]</v>
      </c>
      <c r="U2000" s="22">
        <v>1995</v>
      </c>
      <c r="W2000" s="13" t="str">
        <f>LOOKUP(1,1/(Table1[[#This Row],[Level_0]:[Level 15]]&gt;0),(Table1[[#This Row],[Level_0]:[Level 15]]))</f>
        <v>5351010000 - [Consum f. Subc - Finished Materials - IC]</v>
      </c>
    </row>
    <row r="2001" spans="1:23" hidden="1" x14ac:dyDescent="0.25">
      <c r="A2001">
        <v>5351000000</v>
      </c>
      <c r="B2001" s="16" t="s">
        <v>20237</v>
      </c>
      <c r="C2001" s="16" t="e">
        <f>VLOOKUP(Table1[[#This Row],[Node]],Parent!A:B,2,0)</f>
        <v>#N/A</v>
      </c>
      <c r="D2001" s="25" t="s">
        <v>19346</v>
      </c>
      <c r="E2001" s="26" t="s">
        <v>16544</v>
      </c>
      <c r="F2001" s="27" t="s">
        <v>18431</v>
      </c>
      <c r="G2001" s="27" t="s">
        <v>18486</v>
      </c>
      <c r="H2001" s="27" t="s">
        <v>18499</v>
      </c>
      <c r="I2001" s="27" t="s">
        <v>18509</v>
      </c>
      <c r="J2001" s="27"/>
      <c r="K2001" s="27"/>
      <c r="L2001" s="27"/>
      <c r="N2001" s="27"/>
      <c r="T2001" s="28" t="str">
        <f>LOOKUP(1,1/(Table1[[#This Row],[Level_0]:[Level 15]]&gt;0),(Table1[[#This Row],[Level_0]:[Level 15]]))</f>
        <v>5351000000 - [Consumption f. Subc - Finished Materials]</v>
      </c>
      <c r="U2001" s="22">
        <v>1996</v>
      </c>
      <c r="W2001" s="13" t="str">
        <f>LOOKUP(1,1/(Table1[[#This Row],[Level_0]:[Level 15]]&gt;0),(Table1[[#This Row],[Level_0]:[Level 15]]))</f>
        <v>5351000000 - [Consumption f. Subc - Finished Materials]</v>
      </c>
    </row>
    <row r="2002" spans="1:23" hidden="1" x14ac:dyDescent="0.25">
      <c r="A2002">
        <v>5350010000</v>
      </c>
      <c r="B2002" s="16" t="s">
        <v>20236</v>
      </c>
      <c r="C2002" s="16" t="e">
        <f>VLOOKUP(Table1[[#This Row],[Node]],Parent!A:B,2,0)</f>
        <v>#N/A</v>
      </c>
      <c r="D2002" s="25" t="s">
        <v>19346</v>
      </c>
      <c r="E2002" s="26" t="s">
        <v>16544</v>
      </c>
      <c r="F2002" s="27" t="s">
        <v>18431</v>
      </c>
      <c r="G2002" s="27" t="s">
        <v>18486</v>
      </c>
      <c r="H2002" s="27" t="s">
        <v>18499</v>
      </c>
      <c r="I2002" s="27" t="s">
        <v>18510</v>
      </c>
      <c r="J2002" s="27"/>
      <c r="K2002" s="27"/>
      <c r="L2002" s="27"/>
      <c r="N2002" s="27"/>
      <c r="T2002" s="28" t="str">
        <f>LOOKUP(1,1/(Table1[[#This Row],[Level_0]:[Level 15]]&gt;0),(Table1[[#This Row],[Level_0]:[Level 15]]))</f>
        <v>5350010000 - [Consumption f. Subc - Raw Materials - IC]</v>
      </c>
      <c r="U2002" s="22">
        <v>1997</v>
      </c>
      <c r="W2002" s="13" t="str">
        <f>LOOKUP(1,1/(Table1[[#This Row],[Level_0]:[Level 15]]&gt;0),(Table1[[#This Row],[Level_0]:[Level 15]]))</f>
        <v>5350010000 - [Consumption f. Subc - Raw Materials - IC]</v>
      </c>
    </row>
    <row r="2003" spans="1:23" hidden="1" x14ac:dyDescent="0.25">
      <c r="A2003">
        <v>5350000000</v>
      </c>
      <c r="B2003" s="16" t="s">
        <v>20235</v>
      </c>
      <c r="C2003" s="16" t="e">
        <f>VLOOKUP(Table1[[#This Row],[Node]],Parent!A:B,2,0)</f>
        <v>#N/A</v>
      </c>
      <c r="D2003" s="25" t="s">
        <v>19346</v>
      </c>
      <c r="E2003" s="26" t="s">
        <v>16544</v>
      </c>
      <c r="F2003" s="27" t="s">
        <v>18431</v>
      </c>
      <c r="G2003" s="27" t="s">
        <v>18486</v>
      </c>
      <c r="H2003" s="27" t="s">
        <v>18499</v>
      </c>
      <c r="I2003" s="27" t="s">
        <v>18511</v>
      </c>
      <c r="J2003" s="27"/>
      <c r="K2003" s="27"/>
      <c r="L2003" s="27"/>
      <c r="N2003" s="27"/>
      <c r="T2003" s="28" t="str">
        <f>LOOKUP(1,1/(Table1[[#This Row],[Level_0]:[Level 15]]&gt;0),(Table1[[#This Row],[Level_0]:[Level 15]]))</f>
        <v>5350000000 - [Consumption f. Subc - Raw Materials]</v>
      </c>
      <c r="U2003" s="22">
        <v>1998</v>
      </c>
      <c r="W2003" s="13" t="str">
        <f>LOOKUP(1,1/(Table1[[#This Row],[Level_0]:[Level 15]]&gt;0),(Table1[[#This Row],[Level_0]:[Level 15]]))</f>
        <v>5350000000 - [Consumption f. Subc - Raw Materials]</v>
      </c>
    </row>
    <row r="2004" spans="1:23" hidden="1" x14ac:dyDescent="0.25">
      <c r="A2004">
        <v>5341000000</v>
      </c>
      <c r="B2004" s="16" t="s">
        <v>20232</v>
      </c>
      <c r="C2004" s="16" t="e">
        <f>VLOOKUP(Table1[[#This Row],[Node]],Parent!A:B,2,0)</f>
        <v>#N/A</v>
      </c>
      <c r="D2004" s="25" t="s">
        <v>19346</v>
      </c>
      <c r="E2004" s="26" t="s">
        <v>16544</v>
      </c>
      <c r="F2004" s="27" t="s">
        <v>18431</v>
      </c>
      <c r="G2004" s="27" t="s">
        <v>18486</v>
      </c>
      <c r="H2004" s="27" t="s">
        <v>18499</v>
      </c>
      <c r="I2004" s="27" t="s">
        <v>18512</v>
      </c>
      <c r="J2004" s="27"/>
      <c r="K2004" s="27"/>
      <c r="L2004" s="27"/>
      <c r="N2004" s="27"/>
      <c r="T2004" s="28" t="str">
        <f>LOOKUP(1,1/(Table1[[#This Row],[Level_0]:[Level 15]]&gt;0),(Table1[[#This Row],[Level_0]:[Level 15]]))</f>
        <v>5341000000 - [Consignment Consumption - Merchandise]</v>
      </c>
      <c r="U2004" s="22">
        <v>1999</v>
      </c>
      <c r="W2004" s="13" t="str">
        <f>LOOKUP(1,1/(Table1[[#This Row],[Level_0]:[Level 15]]&gt;0),(Table1[[#This Row],[Level_0]:[Level 15]]))</f>
        <v>5341000000 - [Consignment Consumption - Merchandise]</v>
      </c>
    </row>
    <row r="2005" spans="1:23" hidden="1" x14ac:dyDescent="0.25">
      <c r="A2005">
        <v>5331000000</v>
      </c>
      <c r="B2005" s="16" t="s">
        <v>20228</v>
      </c>
      <c r="C2005" s="16" t="e">
        <f>VLOOKUP(Table1[[#This Row],[Node]],Parent!A:B,2,0)</f>
        <v>#N/A</v>
      </c>
      <c r="D2005" s="25" t="s">
        <v>19346</v>
      </c>
      <c r="E2005" s="26" t="s">
        <v>16544</v>
      </c>
      <c r="F2005" s="27" t="s">
        <v>18431</v>
      </c>
      <c r="G2005" s="27" t="s">
        <v>18486</v>
      </c>
      <c r="H2005" s="27" t="s">
        <v>18499</v>
      </c>
      <c r="I2005" s="27" t="s">
        <v>18513</v>
      </c>
      <c r="J2005" s="27"/>
      <c r="K2005" s="27"/>
      <c r="L2005" s="27"/>
      <c r="N2005" s="27"/>
      <c r="T2005" s="28" t="str">
        <f>LOOKUP(1,1/(Table1[[#This Row],[Level_0]:[Level 15]]&gt;0),(Table1[[#This Row],[Level_0]:[Level 15]]))</f>
        <v>5331000000 - [Consignment Consumption - Packaging Mat]</v>
      </c>
      <c r="U2005" s="22">
        <v>2000</v>
      </c>
      <c r="W2005" s="13" t="str">
        <f>LOOKUP(1,1/(Table1[[#This Row],[Level_0]:[Level 15]]&gt;0),(Table1[[#This Row],[Level_0]:[Level 15]]))</f>
        <v>5331000000 - [Consignment Consumption - Packaging Mat]</v>
      </c>
    </row>
    <row r="2006" spans="1:23" hidden="1" x14ac:dyDescent="0.25">
      <c r="A2006">
        <v>5321000000</v>
      </c>
      <c r="B2006" s="16" t="s">
        <v>20223</v>
      </c>
      <c r="C2006" s="16" t="e">
        <f>VLOOKUP(Table1[[#This Row],[Node]],Parent!A:B,2,0)</f>
        <v>#N/A</v>
      </c>
      <c r="D2006" s="25" t="s">
        <v>19346</v>
      </c>
      <c r="E2006" s="26" t="s">
        <v>16544</v>
      </c>
      <c r="F2006" s="27" t="s">
        <v>18431</v>
      </c>
      <c r="G2006" s="27" t="s">
        <v>18486</v>
      </c>
      <c r="H2006" s="27" t="s">
        <v>18499</v>
      </c>
      <c r="I2006" s="27" t="s">
        <v>18514</v>
      </c>
      <c r="J2006" s="27"/>
      <c r="K2006" s="27"/>
      <c r="L2006" s="27"/>
      <c r="N2006" s="27"/>
      <c r="T2006" s="28" t="str">
        <f>LOOKUP(1,1/(Table1[[#This Row],[Level_0]:[Level 15]]&gt;0),(Table1[[#This Row],[Level_0]:[Level 15]]))</f>
        <v>5321000000 - [Consignment Consumption - Unfinished Mat]</v>
      </c>
      <c r="U2006" s="22">
        <v>2001</v>
      </c>
      <c r="W2006" s="13" t="str">
        <f>LOOKUP(1,1/(Table1[[#This Row],[Level_0]:[Level 15]]&gt;0),(Table1[[#This Row],[Level_0]:[Level 15]]))</f>
        <v>5321000000 - [Consignment Consumption - Unfinished Mat]</v>
      </c>
    </row>
    <row r="2007" spans="1:23" hidden="1" x14ac:dyDescent="0.25">
      <c r="A2007">
        <v>5301000000</v>
      </c>
      <c r="B2007" s="16" t="s">
        <v>20215</v>
      </c>
      <c r="C2007" s="16" t="e">
        <f>VLOOKUP(Table1[[#This Row],[Node]],Parent!A:B,2,0)</f>
        <v>#N/A</v>
      </c>
      <c r="D2007" s="25" t="s">
        <v>19346</v>
      </c>
      <c r="E2007" s="26" t="s">
        <v>16544</v>
      </c>
      <c r="F2007" s="27" t="s">
        <v>18431</v>
      </c>
      <c r="G2007" s="27" t="s">
        <v>18486</v>
      </c>
      <c r="H2007" s="27" t="s">
        <v>18499</v>
      </c>
      <c r="I2007" s="27" t="s">
        <v>18515</v>
      </c>
      <c r="J2007" s="27"/>
      <c r="K2007" s="27"/>
      <c r="L2007" s="27"/>
      <c r="N2007" s="27"/>
      <c r="T2007" s="28" t="str">
        <f>LOOKUP(1,1/(Table1[[#This Row],[Level_0]:[Level 15]]&gt;0),(Table1[[#This Row],[Level_0]:[Level 15]]))</f>
        <v>5301000000 - [Consignment Consumption - Raw Materials]</v>
      </c>
      <c r="U2007" s="22">
        <v>2002</v>
      </c>
      <c r="W2007" s="13" t="str">
        <f>LOOKUP(1,1/(Table1[[#This Row],[Level_0]:[Level 15]]&gt;0),(Table1[[#This Row],[Level_0]:[Level 15]]))</f>
        <v>5301000000 - [Consignment Consumption - Raw Materials]</v>
      </c>
    </row>
    <row r="2008" spans="1:23" hidden="1" x14ac:dyDescent="0.25">
      <c r="A2008">
        <v>150104</v>
      </c>
      <c r="B2008" s="16" t="s">
        <v>19429</v>
      </c>
      <c r="C2008" s="16" t="e">
        <f>VLOOKUP(Table1[[#This Row],[Node]],Parent!A:B,2,0)</f>
        <v>#N/A</v>
      </c>
      <c r="D2008" s="25" t="s">
        <v>19346</v>
      </c>
      <c r="E2008" s="26" t="s">
        <v>16544</v>
      </c>
      <c r="F2008" s="27" t="s">
        <v>18431</v>
      </c>
      <c r="G2008" s="27" t="s">
        <v>18486</v>
      </c>
      <c r="H2008" s="27" t="s">
        <v>18516</v>
      </c>
      <c r="I2008" s="27"/>
      <c r="J2008" s="27"/>
      <c r="K2008" s="27"/>
      <c r="L2008" s="27"/>
      <c r="N2008" s="27"/>
      <c r="T2008" s="28" t="str">
        <f>LOOKUP(1,1/(Table1[[#This Row],[Level_0]:[Level 15]]&gt;0),(Table1[[#This Row],[Level_0]:[Level 15]]))</f>
        <v>150104 - [Consumption of merchandise]</v>
      </c>
      <c r="U2008" s="22">
        <v>2003</v>
      </c>
      <c r="W2008" s="13" t="str">
        <f>LOOKUP(1,1/(Table1[[#This Row],[Level_0]:[Level 15]]&gt;0),(Table1[[#This Row],[Level_0]:[Level 15]]))</f>
        <v>150104 - [Consumption of merchandise]</v>
      </c>
    </row>
    <row r="2009" spans="1:23" hidden="1" x14ac:dyDescent="0.25">
      <c r="A2009">
        <v>5342010000</v>
      </c>
      <c r="B2009" s="16" t="s">
        <v>20234</v>
      </c>
      <c r="C2009" s="16" t="e">
        <f>VLOOKUP(Table1[[#This Row],[Node]],Parent!A:B,2,0)</f>
        <v>#N/A</v>
      </c>
      <c r="D2009" s="25" t="s">
        <v>19346</v>
      </c>
      <c r="E2009" s="26" t="s">
        <v>16544</v>
      </c>
      <c r="F2009" s="27" t="s">
        <v>18431</v>
      </c>
      <c r="G2009" s="27" t="s">
        <v>18486</v>
      </c>
      <c r="H2009" s="27" t="s">
        <v>18516</v>
      </c>
      <c r="I2009" s="27" t="s">
        <v>18517</v>
      </c>
      <c r="J2009" s="27"/>
      <c r="K2009" s="27"/>
      <c r="L2009" s="27"/>
      <c r="N2009" s="27"/>
      <c r="T2009" s="28" t="str">
        <f>LOOKUP(1,1/(Table1[[#This Row],[Level_0]:[Level 15]]&gt;0),(Table1[[#This Row],[Level_0]:[Level 15]]))</f>
        <v>5342010000 - [Consumption - Merchandise - IC]</v>
      </c>
      <c r="U2009" s="22">
        <v>2004</v>
      </c>
      <c r="W2009" s="13" t="str">
        <f>LOOKUP(1,1/(Table1[[#This Row],[Level_0]:[Level 15]]&gt;0),(Table1[[#This Row],[Level_0]:[Level 15]]))</f>
        <v>5342010000 - [Consumption - Merchandise - IC]</v>
      </c>
    </row>
    <row r="2010" spans="1:23" hidden="1" x14ac:dyDescent="0.25">
      <c r="A2010">
        <v>5342000000</v>
      </c>
      <c r="B2010" s="16" t="s">
        <v>20233</v>
      </c>
      <c r="C2010" s="16" t="e">
        <f>VLOOKUP(Table1[[#This Row],[Node]],Parent!A:B,2,0)</f>
        <v>#N/A</v>
      </c>
      <c r="D2010" s="25" t="s">
        <v>19346</v>
      </c>
      <c r="E2010" s="26" t="s">
        <v>16544</v>
      </c>
      <c r="F2010" s="27" t="s">
        <v>18431</v>
      </c>
      <c r="G2010" s="27" t="s">
        <v>18486</v>
      </c>
      <c r="H2010" s="27" t="s">
        <v>18516</v>
      </c>
      <c r="I2010" s="27" t="s">
        <v>18518</v>
      </c>
      <c r="J2010" s="27"/>
      <c r="K2010" s="27"/>
      <c r="L2010" s="27"/>
      <c r="N2010" s="27"/>
      <c r="T2010" s="28" t="str">
        <f>LOOKUP(1,1/(Table1[[#This Row],[Level_0]:[Level 15]]&gt;0),(Table1[[#This Row],[Level_0]:[Level 15]]))</f>
        <v>5342000000 - [Consumption - Merchandise]</v>
      </c>
      <c r="U2010" s="22">
        <v>2005</v>
      </c>
      <c r="W2010" s="13" t="str">
        <f>LOOKUP(1,1/(Table1[[#This Row],[Level_0]:[Level 15]]&gt;0),(Table1[[#This Row],[Level_0]:[Level 15]]))</f>
        <v>5342000000 - [Consumption - Merchandise]</v>
      </c>
    </row>
    <row r="2011" spans="1:23" hidden="1" x14ac:dyDescent="0.25">
      <c r="A2011">
        <v>150103</v>
      </c>
      <c r="B2011" s="16" t="s">
        <v>19428</v>
      </c>
      <c r="C2011" s="16" t="e">
        <f>VLOOKUP(Table1[[#This Row],[Node]],Parent!A:B,2,0)</f>
        <v>#N/A</v>
      </c>
      <c r="D2011" s="25" t="s">
        <v>19346</v>
      </c>
      <c r="E2011" s="26" t="s">
        <v>16544</v>
      </c>
      <c r="F2011" s="27" t="s">
        <v>18431</v>
      </c>
      <c r="G2011" s="27" t="s">
        <v>18486</v>
      </c>
      <c r="H2011" s="27" t="s">
        <v>18519</v>
      </c>
      <c r="I2011" s="27"/>
      <c r="J2011" s="27"/>
      <c r="K2011" s="27"/>
      <c r="L2011" s="27"/>
      <c r="N2011" s="27"/>
      <c r="T2011" s="28" t="str">
        <f>LOOKUP(1,1/(Table1[[#This Row],[Level_0]:[Level 15]]&gt;0),(Table1[[#This Row],[Level_0]:[Level 15]]))</f>
        <v>150103 - [Consumption of production materials]</v>
      </c>
      <c r="U2011" s="22">
        <v>2006</v>
      </c>
      <c r="W2011" s="13" t="str">
        <f>LOOKUP(1,1/(Table1[[#This Row],[Level_0]:[Level 15]]&gt;0),(Table1[[#This Row],[Level_0]:[Level 15]]))</f>
        <v>150103 - [Consumption of production materials]</v>
      </c>
    </row>
    <row r="2012" spans="1:23" hidden="1" x14ac:dyDescent="0.25">
      <c r="A2012">
        <v>5322010000</v>
      </c>
      <c r="B2012" s="16" t="s">
        <v>20225</v>
      </c>
      <c r="C2012" s="16" t="e">
        <f>VLOOKUP(Table1[[#This Row],[Node]],Parent!A:B,2,0)</f>
        <v>#N/A</v>
      </c>
      <c r="D2012" s="25" t="s">
        <v>19346</v>
      </c>
      <c r="E2012" s="26" t="s">
        <v>16544</v>
      </c>
      <c r="F2012" s="27" t="s">
        <v>18431</v>
      </c>
      <c r="G2012" s="27" t="s">
        <v>18486</v>
      </c>
      <c r="H2012" s="27" t="s">
        <v>18519</v>
      </c>
      <c r="I2012" s="27" t="s">
        <v>18520</v>
      </c>
      <c r="J2012" s="27"/>
      <c r="K2012" s="27"/>
      <c r="L2012" s="27"/>
      <c r="N2012" s="27"/>
      <c r="T2012" s="28" t="str">
        <f>LOOKUP(1,1/(Table1[[#This Row],[Level_0]:[Level 15]]&gt;0),(Table1[[#This Row],[Level_0]:[Level 15]]))</f>
        <v>5322010000 - [Consumption - Unf Mat - QA Samples - IC]</v>
      </c>
      <c r="U2012" s="22">
        <v>2007</v>
      </c>
      <c r="W2012" s="13" t="str">
        <f>LOOKUP(1,1/(Table1[[#This Row],[Level_0]:[Level 15]]&gt;0),(Table1[[#This Row],[Level_0]:[Level 15]]))</f>
        <v>5322010000 - [Consumption - Unf Mat - QA Samples - IC]</v>
      </c>
    </row>
    <row r="2013" spans="1:23" hidden="1" x14ac:dyDescent="0.25">
      <c r="A2013">
        <v>5322000000</v>
      </c>
      <c r="B2013" s="16" t="s">
        <v>20224</v>
      </c>
      <c r="C2013" s="16" t="e">
        <f>VLOOKUP(Table1[[#This Row],[Node]],Parent!A:B,2,0)</f>
        <v>#N/A</v>
      </c>
      <c r="D2013" s="25" t="s">
        <v>19346</v>
      </c>
      <c r="E2013" s="26" t="s">
        <v>16544</v>
      </c>
      <c r="F2013" s="27" t="s">
        <v>18431</v>
      </c>
      <c r="G2013" s="27" t="s">
        <v>18486</v>
      </c>
      <c r="H2013" s="27" t="s">
        <v>18519</v>
      </c>
      <c r="I2013" s="27" t="s">
        <v>18521</v>
      </c>
      <c r="J2013" s="27"/>
      <c r="K2013" s="27"/>
      <c r="L2013" s="27"/>
      <c r="N2013" s="27"/>
      <c r="T2013" s="28" t="str">
        <f>LOOKUP(1,1/(Table1[[#This Row],[Level_0]:[Level 15]]&gt;0),(Table1[[#This Row],[Level_0]:[Level 15]]))</f>
        <v>5322000000 - [Consumption - Unfinished Mat - QA Samp]</v>
      </c>
      <c r="U2013" s="22">
        <v>2008</v>
      </c>
      <c r="W2013" s="13" t="str">
        <f>LOOKUP(1,1/(Table1[[#This Row],[Level_0]:[Level 15]]&gt;0),(Table1[[#This Row],[Level_0]:[Level 15]]))</f>
        <v>5322000000 - [Consumption - Unfinished Mat - QA Samp]</v>
      </c>
    </row>
    <row r="2014" spans="1:23" hidden="1" x14ac:dyDescent="0.25">
      <c r="A2014">
        <v>5320010000</v>
      </c>
      <c r="B2014" s="16" t="s">
        <v>20222</v>
      </c>
      <c r="C2014" s="16" t="e">
        <f>VLOOKUP(Table1[[#This Row],[Node]],Parent!A:B,2,0)</f>
        <v>#N/A</v>
      </c>
      <c r="D2014" s="25" t="s">
        <v>19346</v>
      </c>
      <c r="E2014" s="26" t="s">
        <v>16544</v>
      </c>
      <c r="F2014" s="27" t="s">
        <v>18431</v>
      </c>
      <c r="G2014" s="27" t="s">
        <v>18486</v>
      </c>
      <c r="H2014" s="27" t="s">
        <v>18519</v>
      </c>
      <c r="I2014" s="27" t="s">
        <v>18522</v>
      </c>
      <c r="J2014" s="27"/>
      <c r="K2014" s="27"/>
      <c r="L2014" s="27"/>
      <c r="N2014" s="27"/>
      <c r="T2014" s="28" t="str">
        <f>LOOKUP(1,1/(Table1[[#This Row],[Level_0]:[Level 15]]&gt;0),(Table1[[#This Row],[Level_0]:[Level 15]]))</f>
        <v>5320010000 - [Consumption - Unfinished Material - IC]</v>
      </c>
      <c r="U2014" s="22">
        <v>2009</v>
      </c>
      <c r="W2014" s="13" t="str">
        <f>LOOKUP(1,1/(Table1[[#This Row],[Level_0]:[Level 15]]&gt;0),(Table1[[#This Row],[Level_0]:[Level 15]]))</f>
        <v>5320010000 - [Consumption - Unfinished Material - IC]</v>
      </c>
    </row>
    <row r="2015" spans="1:23" hidden="1" x14ac:dyDescent="0.25">
      <c r="A2015">
        <v>5320000000</v>
      </c>
      <c r="B2015" s="16" t="s">
        <v>20221</v>
      </c>
      <c r="C2015" s="16" t="e">
        <f>VLOOKUP(Table1[[#This Row],[Node]],Parent!A:B,2,0)</f>
        <v>#N/A</v>
      </c>
      <c r="D2015" s="25" t="s">
        <v>19346</v>
      </c>
      <c r="E2015" s="26" t="s">
        <v>16544</v>
      </c>
      <c r="F2015" s="27" t="s">
        <v>18431</v>
      </c>
      <c r="G2015" s="27" t="s">
        <v>18486</v>
      </c>
      <c r="H2015" s="27" t="s">
        <v>18519</v>
      </c>
      <c r="I2015" s="27" t="s">
        <v>18523</v>
      </c>
      <c r="J2015" s="27"/>
      <c r="K2015" s="27"/>
      <c r="L2015" s="27"/>
      <c r="N2015" s="27"/>
      <c r="T2015" s="28" t="str">
        <f>LOOKUP(1,1/(Table1[[#This Row],[Level_0]:[Level 15]]&gt;0),(Table1[[#This Row],[Level_0]:[Level 15]]))</f>
        <v>5320000000 - [Consumption - Unfinished Material]</v>
      </c>
      <c r="U2015" s="22">
        <v>2010</v>
      </c>
      <c r="W2015" s="13" t="str">
        <f>LOOKUP(1,1/(Table1[[#This Row],[Level_0]:[Level 15]]&gt;0),(Table1[[#This Row],[Level_0]:[Level 15]]))</f>
        <v>5320000000 - [Consumption - Unfinished Material]</v>
      </c>
    </row>
    <row r="2016" spans="1:23" hidden="1" x14ac:dyDescent="0.25">
      <c r="A2016">
        <v>5312010000</v>
      </c>
      <c r="B2016" s="16" t="s">
        <v>20220</v>
      </c>
      <c r="C2016" s="16" t="e">
        <f>VLOOKUP(Table1[[#This Row],[Node]],Parent!A:B,2,0)</f>
        <v>#N/A</v>
      </c>
      <c r="D2016" s="25" t="s">
        <v>19346</v>
      </c>
      <c r="E2016" s="26" t="s">
        <v>16544</v>
      </c>
      <c r="F2016" s="27" t="s">
        <v>18431</v>
      </c>
      <c r="G2016" s="27" t="s">
        <v>18486</v>
      </c>
      <c r="H2016" s="27" t="s">
        <v>18519</v>
      </c>
      <c r="I2016" s="27" t="s">
        <v>18524</v>
      </c>
      <c r="J2016" s="27"/>
      <c r="K2016" s="27"/>
      <c r="L2016" s="27"/>
      <c r="N2016" s="27"/>
      <c r="T2016" s="28" t="str">
        <f>LOOKUP(1,1/(Table1[[#This Row],[Level_0]:[Level 15]]&gt;0),(Table1[[#This Row],[Level_0]:[Level 15]]))</f>
        <v>5312010000 - [Consumption - Finish Mat - QA Samp - IC]</v>
      </c>
      <c r="U2016" s="22">
        <v>2011</v>
      </c>
      <c r="W2016" s="13" t="str">
        <f>LOOKUP(1,1/(Table1[[#This Row],[Level_0]:[Level 15]]&gt;0),(Table1[[#This Row],[Level_0]:[Level 15]]))</f>
        <v>5312010000 - [Consumption - Finish Mat - QA Samp - IC]</v>
      </c>
    </row>
    <row r="2017" spans="1:23" hidden="1" x14ac:dyDescent="0.25">
      <c r="A2017">
        <v>5312000000</v>
      </c>
      <c r="B2017" s="16" t="s">
        <v>20219</v>
      </c>
      <c r="C2017" s="16" t="e">
        <f>VLOOKUP(Table1[[#This Row],[Node]],Parent!A:B,2,0)</f>
        <v>#N/A</v>
      </c>
      <c r="D2017" s="25" t="s">
        <v>19346</v>
      </c>
      <c r="E2017" s="26" t="s">
        <v>16544</v>
      </c>
      <c r="F2017" s="27" t="s">
        <v>18431</v>
      </c>
      <c r="G2017" s="27" t="s">
        <v>18486</v>
      </c>
      <c r="H2017" s="27" t="s">
        <v>18519</v>
      </c>
      <c r="I2017" s="27" t="s">
        <v>18525</v>
      </c>
      <c r="J2017" s="27"/>
      <c r="K2017" s="27"/>
      <c r="L2017" s="27"/>
      <c r="N2017" s="27"/>
      <c r="T2017" s="28" t="str">
        <f>LOOKUP(1,1/(Table1[[#This Row],[Level_0]:[Level 15]]&gt;0),(Table1[[#This Row],[Level_0]:[Level 15]]))</f>
        <v>5312000000 - [Consumption - Finish Mat - QA Sample]</v>
      </c>
      <c r="U2017" s="22">
        <v>2012</v>
      </c>
      <c r="W2017" s="13" t="str">
        <f>LOOKUP(1,1/(Table1[[#This Row],[Level_0]:[Level 15]]&gt;0),(Table1[[#This Row],[Level_0]:[Level 15]]))</f>
        <v>5312000000 - [Consumption - Finish Mat - QA Sample]</v>
      </c>
    </row>
    <row r="2018" spans="1:23" hidden="1" x14ac:dyDescent="0.25">
      <c r="A2018">
        <v>5310010000</v>
      </c>
      <c r="B2018" s="16" t="s">
        <v>20218</v>
      </c>
      <c r="C2018" s="16" t="e">
        <f>VLOOKUP(Table1[[#This Row],[Node]],Parent!A:B,2,0)</f>
        <v>#N/A</v>
      </c>
      <c r="D2018" s="25" t="s">
        <v>19346</v>
      </c>
      <c r="E2018" s="26" t="s">
        <v>16544</v>
      </c>
      <c r="F2018" s="27" t="s">
        <v>18431</v>
      </c>
      <c r="G2018" s="27" t="s">
        <v>18486</v>
      </c>
      <c r="H2018" s="27" t="s">
        <v>18519</v>
      </c>
      <c r="I2018" s="27" t="s">
        <v>18526</v>
      </c>
      <c r="J2018" s="27"/>
      <c r="K2018" s="27"/>
      <c r="L2018" s="27"/>
      <c r="N2018" s="27"/>
      <c r="T2018" s="28" t="str">
        <f>LOOKUP(1,1/(Table1[[#This Row],[Level_0]:[Level 15]]&gt;0),(Table1[[#This Row],[Level_0]:[Level 15]]))</f>
        <v>5310010000 - [Consumption - Finished Materials - IC]</v>
      </c>
      <c r="U2018" s="22">
        <v>2013</v>
      </c>
      <c r="W2018" s="13" t="str">
        <f>LOOKUP(1,1/(Table1[[#This Row],[Level_0]:[Level 15]]&gt;0),(Table1[[#This Row],[Level_0]:[Level 15]]))</f>
        <v>5310010000 - [Consumption - Finished Materials - IC]</v>
      </c>
    </row>
    <row r="2019" spans="1:23" hidden="1" x14ac:dyDescent="0.25">
      <c r="A2019">
        <v>5310000000</v>
      </c>
      <c r="B2019" s="16" t="s">
        <v>20217</v>
      </c>
      <c r="C2019" s="16" t="e">
        <f>VLOOKUP(Table1[[#This Row],[Node]],Parent!A:B,2,0)</f>
        <v>#N/A</v>
      </c>
      <c r="D2019" s="25" t="s">
        <v>19346</v>
      </c>
      <c r="E2019" s="26" t="s">
        <v>16544</v>
      </c>
      <c r="F2019" s="27" t="s">
        <v>18431</v>
      </c>
      <c r="G2019" s="27" t="s">
        <v>18486</v>
      </c>
      <c r="H2019" s="27" t="s">
        <v>18519</v>
      </c>
      <c r="I2019" s="27" t="s">
        <v>18527</v>
      </c>
      <c r="J2019" s="27"/>
      <c r="K2019" s="27"/>
      <c r="L2019" s="27"/>
      <c r="N2019" s="27"/>
      <c r="T2019" s="28" t="str">
        <f>LOOKUP(1,1/(Table1[[#This Row],[Level_0]:[Level 15]]&gt;0),(Table1[[#This Row],[Level_0]:[Level 15]]))</f>
        <v>5310000000 - [Consumption - Finished Materials]</v>
      </c>
      <c r="U2019" s="22">
        <v>2014</v>
      </c>
      <c r="W2019" s="13" t="str">
        <f>LOOKUP(1,1/(Table1[[#This Row],[Level_0]:[Level 15]]&gt;0),(Table1[[#This Row],[Level_0]:[Level 15]]))</f>
        <v>5310000000 - [Consumption - Finished Materials]</v>
      </c>
    </row>
    <row r="2020" spans="1:23" hidden="1" x14ac:dyDescent="0.25">
      <c r="A2020">
        <v>150102</v>
      </c>
      <c r="B2020" s="16" t="s">
        <v>19427</v>
      </c>
      <c r="C2020" s="16" t="e">
        <f>VLOOKUP(Table1[[#This Row],[Node]],Parent!A:B,2,0)</f>
        <v>#N/A</v>
      </c>
      <c r="D2020" s="25" t="s">
        <v>19346</v>
      </c>
      <c r="E2020" s="26" t="s">
        <v>16544</v>
      </c>
      <c r="F2020" s="27" t="s">
        <v>18431</v>
      </c>
      <c r="G2020" s="27" t="s">
        <v>18486</v>
      </c>
      <c r="H2020" s="27" t="s">
        <v>18528</v>
      </c>
      <c r="I2020" s="27"/>
      <c r="J2020" s="27"/>
      <c r="K2020" s="27"/>
      <c r="L2020" s="27"/>
      <c r="N2020" s="27"/>
      <c r="T2020" s="28" t="str">
        <f>LOOKUP(1,1/(Table1[[#This Row],[Level_0]:[Level 15]]&gt;0),(Table1[[#This Row],[Level_0]:[Level 15]]))</f>
        <v>150102 - [Consumption of packaging materials]</v>
      </c>
      <c r="U2020" s="22">
        <v>2015</v>
      </c>
      <c r="W2020" s="13" t="str">
        <f>LOOKUP(1,1/(Table1[[#This Row],[Level_0]:[Level 15]]&gt;0),(Table1[[#This Row],[Level_0]:[Level 15]]))</f>
        <v>150102 - [Consumption of packaging materials]</v>
      </c>
    </row>
    <row r="2021" spans="1:23" hidden="1" x14ac:dyDescent="0.25">
      <c r="A2021">
        <v>5339000000</v>
      </c>
      <c r="B2021" s="16" t="s">
        <v>20231</v>
      </c>
      <c r="C2021" s="16" t="e">
        <f>VLOOKUP(Table1[[#This Row],[Node]],Parent!A:B,2,0)</f>
        <v>#N/A</v>
      </c>
      <c r="D2021" s="25" t="s">
        <v>19346</v>
      </c>
      <c r="E2021" s="26" t="s">
        <v>16544</v>
      </c>
      <c r="F2021" s="27" t="s">
        <v>18431</v>
      </c>
      <c r="G2021" s="27" t="s">
        <v>18486</v>
      </c>
      <c r="H2021" s="27" t="s">
        <v>18528</v>
      </c>
      <c r="I2021" s="27" t="s">
        <v>18529</v>
      </c>
      <c r="J2021" s="27"/>
      <c r="K2021" s="27"/>
      <c r="L2021" s="27"/>
      <c r="N2021" s="27"/>
      <c r="T2021" s="28" t="str">
        <f>LOOKUP(1,1/(Table1[[#This Row],[Level_0]:[Level 15]]&gt;0),(Table1[[#This Row],[Level_0]:[Level 15]]))</f>
        <v>5339000000 - [Consumption - Packaging Materials - Oth]</v>
      </c>
      <c r="U2021" s="22">
        <v>2016</v>
      </c>
      <c r="W2021" s="13" t="str">
        <f>LOOKUP(1,1/(Table1[[#This Row],[Level_0]:[Level 15]]&gt;0),(Table1[[#This Row],[Level_0]:[Level 15]]))</f>
        <v>5339000000 - [Consumption - Packaging Materials - Oth]</v>
      </c>
    </row>
    <row r="2022" spans="1:23" hidden="1" x14ac:dyDescent="0.25">
      <c r="A2022">
        <v>5330010000</v>
      </c>
      <c r="B2022" s="16" t="s">
        <v>20227</v>
      </c>
      <c r="C2022" s="16" t="e">
        <f>VLOOKUP(Table1[[#This Row],[Node]],Parent!A:B,2,0)</f>
        <v>#N/A</v>
      </c>
      <c r="D2022" s="25" t="s">
        <v>19346</v>
      </c>
      <c r="E2022" s="26" t="s">
        <v>16544</v>
      </c>
      <c r="F2022" s="27" t="s">
        <v>18431</v>
      </c>
      <c r="G2022" s="27" t="s">
        <v>18486</v>
      </c>
      <c r="H2022" s="27" t="s">
        <v>18528</v>
      </c>
      <c r="I2022" s="27" t="s">
        <v>18530</v>
      </c>
      <c r="J2022" s="27"/>
      <c r="K2022" s="27"/>
      <c r="L2022" s="27"/>
      <c r="N2022" s="27"/>
      <c r="T2022" s="28" t="str">
        <f>LOOKUP(1,1/(Table1[[#This Row],[Level_0]:[Level 15]]&gt;0),(Table1[[#This Row],[Level_0]:[Level 15]]))</f>
        <v>5330010000 - [Consumption - Packaging Material - IC]</v>
      </c>
      <c r="U2022" s="22">
        <v>2017</v>
      </c>
      <c r="W2022" s="13" t="str">
        <f>LOOKUP(1,1/(Table1[[#This Row],[Level_0]:[Level 15]]&gt;0),(Table1[[#This Row],[Level_0]:[Level 15]]))</f>
        <v>5330010000 - [Consumption - Packaging Material - IC]</v>
      </c>
    </row>
    <row r="2023" spans="1:23" hidden="1" x14ac:dyDescent="0.25">
      <c r="A2023">
        <v>5330000000</v>
      </c>
      <c r="B2023" s="16" t="s">
        <v>20226</v>
      </c>
      <c r="C2023" s="16" t="e">
        <f>VLOOKUP(Table1[[#This Row],[Node]],Parent!A:B,2,0)</f>
        <v>#N/A</v>
      </c>
      <c r="D2023" s="25" t="s">
        <v>19346</v>
      </c>
      <c r="E2023" s="26" t="s">
        <v>16544</v>
      </c>
      <c r="F2023" s="27" t="s">
        <v>18431</v>
      </c>
      <c r="G2023" s="27" t="s">
        <v>18486</v>
      </c>
      <c r="H2023" s="27" t="s">
        <v>18528</v>
      </c>
      <c r="I2023" s="27" t="s">
        <v>18531</v>
      </c>
      <c r="J2023" s="27"/>
      <c r="K2023" s="27"/>
      <c r="L2023" s="27"/>
      <c r="N2023" s="27"/>
      <c r="T2023" s="28" t="str">
        <f>LOOKUP(1,1/(Table1[[#This Row],[Level_0]:[Level 15]]&gt;0),(Table1[[#This Row],[Level_0]:[Level 15]]))</f>
        <v>5330000000 - [Consumption - Packaging Material]</v>
      </c>
      <c r="U2023" s="22">
        <v>2018</v>
      </c>
      <c r="W2023" s="13" t="str">
        <f>LOOKUP(1,1/(Table1[[#This Row],[Level_0]:[Level 15]]&gt;0),(Table1[[#This Row],[Level_0]:[Level 15]]))</f>
        <v>5330000000 - [Consumption - Packaging Material]</v>
      </c>
    </row>
    <row r="2024" spans="1:23" hidden="1" x14ac:dyDescent="0.25">
      <c r="A2024">
        <v>150101</v>
      </c>
      <c r="B2024" s="16" t="s">
        <v>19426</v>
      </c>
      <c r="C2024" s="16" t="e">
        <f>VLOOKUP(Table1[[#This Row],[Node]],Parent!A:B,2,0)</f>
        <v>#N/A</v>
      </c>
      <c r="D2024" s="25" t="s">
        <v>19346</v>
      </c>
      <c r="E2024" s="26" t="s">
        <v>16544</v>
      </c>
      <c r="F2024" s="27" t="s">
        <v>18431</v>
      </c>
      <c r="G2024" s="27" t="s">
        <v>18486</v>
      </c>
      <c r="H2024" s="27" t="s">
        <v>18532</v>
      </c>
      <c r="I2024" s="27"/>
      <c r="J2024" s="27"/>
      <c r="K2024" s="27"/>
      <c r="L2024" s="27"/>
      <c r="N2024" s="27"/>
      <c r="T2024" s="28" t="str">
        <f>LOOKUP(1,1/(Table1[[#This Row],[Level_0]:[Level 15]]&gt;0),(Table1[[#This Row],[Level_0]:[Level 15]]))</f>
        <v>150101 - [Consumption of raw materials]</v>
      </c>
      <c r="U2024" s="22">
        <v>2019</v>
      </c>
      <c r="W2024" s="13" t="str">
        <f>LOOKUP(1,1/(Table1[[#This Row],[Level_0]:[Level 15]]&gt;0),(Table1[[#This Row],[Level_0]:[Level 15]]))</f>
        <v>150101 - [Consumption of raw materials]</v>
      </c>
    </row>
    <row r="2025" spans="1:23" hidden="1" x14ac:dyDescent="0.25">
      <c r="A2025">
        <v>5309000000</v>
      </c>
      <c r="B2025" s="16" t="s">
        <v>20216</v>
      </c>
      <c r="C2025" s="16" t="e">
        <f>VLOOKUP(Table1[[#This Row],[Node]],Parent!A:B,2,0)</f>
        <v>#N/A</v>
      </c>
      <c r="D2025" s="25" t="s">
        <v>19346</v>
      </c>
      <c r="E2025" s="26" t="s">
        <v>16544</v>
      </c>
      <c r="F2025" s="27" t="s">
        <v>18431</v>
      </c>
      <c r="G2025" s="27" t="s">
        <v>18486</v>
      </c>
      <c r="H2025" s="27" t="s">
        <v>18532</v>
      </c>
      <c r="I2025" s="27" t="s">
        <v>18533</v>
      </c>
      <c r="J2025" s="27"/>
      <c r="K2025" s="27"/>
      <c r="L2025" s="27"/>
      <c r="N2025" s="27"/>
      <c r="T2025" s="28" t="str">
        <f>LOOKUP(1,1/(Table1[[#This Row],[Level_0]:[Level 15]]&gt;0),(Table1[[#This Row],[Level_0]:[Level 15]]))</f>
        <v>5309000000 - [Consumption - Other Raw Materials]</v>
      </c>
      <c r="U2025" s="22">
        <v>2020</v>
      </c>
      <c r="W2025" s="13" t="str">
        <f>LOOKUP(1,1/(Table1[[#This Row],[Level_0]:[Level 15]]&gt;0),(Table1[[#This Row],[Level_0]:[Level 15]]))</f>
        <v>5309000000 - [Consumption - Other Raw Materials]</v>
      </c>
    </row>
    <row r="2026" spans="1:23" hidden="1" x14ac:dyDescent="0.25">
      <c r="A2026">
        <v>5300010000</v>
      </c>
      <c r="B2026" s="16" t="s">
        <v>20214</v>
      </c>
      <c r="C2026" s="16" t="e">
        <f>VLOOKUP(Table1[[#This Row],[Node]],Parent!A:B,2,0)</f>
        <v>#N/A</v>
      </c>
      <c r="D2026" s="25" t="s">
        <v>19346</v>
      </c>
      <c r="E2026" s="26" t="s">
        <v>16544</v>
      </c>
      <c r="F2026" s="27" t="s">
        <v>18431</v>
      </c>
      <c r="G2026" s="27" t="s">
        <v>18486</v>
      </c>
      <c r="H2026" s="27" t="s">
        <v>18532</v>
      </c>
      <c r="I2026" s="27" t="s">
        <v>18534</v>
      </c>
      <c r="J2026" s="27"/>
      <c r="K2026" s="27"/>
      <c r="L2026" s="27"/>
      <c r="N2026" s="27"/>
      <c r="T2026" s="28" t="str">
        <f>LOOKUP(1,1/(Table1[[#This Row],[Level_0]:[Level 15]]&gt;0),(Table1[[#This Row],[Level_0]:[Level 15]]))</f>
        <v>5300010000 - [Consumption - Raw Materials - IC]</v>
      </c>
      <c r="U2026" s="22">
        <v>2021</v>
      </c>
      <c r="W2026" s="13" t="str">
        <f>LOOKUP(1,1/(Table1[[#This Row],[Level_0]:[Level 15]]&gt;0),(Table1[[#This Row],[Level_0]:[Level 15]]))</f>
        <v>5300010000 - [Consumption - Raw Materials - IC]</v>
      </c>
    </row>
    <row r="2027" spans="1:23" hidden="1" x14ac:dyDescent="0.25">
      <c r="A2027">
        <v>5300000000</v>
      </c>
      <c r="B2027" s="16" t="s">
        <v>20213</v>
      </c>
      <c r="C2027" s="16" t="e">
        <f>VLOOKUP(Table1[[#This Row],[Node]],Parent!A:B,2,0)</f>
        <v>#N/A</v>
      </c>
      <c r="D2027" s="25" t="s">
        <v>19346</v>
      </c>
      <c r="E2027" s="26" t="s">
        <v>16544</v>
      </c>
      <c r="F2027" s="27" t="s">
        <v>18431</v>
      </c>
      <c r="G2027" s="27" t="s">
        <v>18486</v>
      </c>
      <c r="H2027" s="27" t="s">
        <v>18532</v>
      </c>
      <c r="I2027" s="27" t="s">
        <v>18535</v>
      </c>
      <c r="J2027" s="27"/>
      <c r="K2027" s="27"/>
      <c r="L2027" s="27"/>
      <c r="N2027" s="27"/>
      <c r="T2027" s="28" t="str">
        <f>LOOKUP(1,1/(Table1[[#This Row],[Level_0]:[Level 15]]&gt;0),(Table1[[#This Row],[Level_0]:[Level 15]]))</f>
        <v>5300000000 - [Consumption - Raw Materials]</v>
      </c>
      <c r="U2027" s="22">
        <v>2022</v>
      </c>
      <c r="W2027" s="13" t="str">
        <f>LOOKUP(1,1/(Table1[[#This Row],[Level_0]:[Level 15]]&gt;0),(Table1[[#This Row],[Level_0]:[Level 15]]))</f>
        <v>5300000000 - [Consumption - Raw Materials]</v>
      </c>
    </row>
    <row r="2028" spans="1:23" hidden="1" x14ac:dyDescent="0.25">
      <c r="A2028">
        <v>5202202400</v>
      </c>
      <c r="B2028" s="16" t="s">
        <v>20108</v>
      </c>
      <c r="C2028" s="16" t="e">
        <f>VLOOKUP(Table1[[#This Row],[Node]],Parent!A:B,2,0)</f>
        <v>#N/A</v>
      </c>
      <c r="D2028" s="25" t="s">
        <v>19346</v>
      </c>
      <c r="E2028" s="26" t="s">
        <v>16544</v>
      </c>
      <c r="F2028" s="27" t="s">
        <v>18431</v>
      </c>
      <c r="G2028" s="27" t="s">
        <v>18486</v>
      </c>
      <c r="H2028" s="27" t="s">
        <v>18532</v>
      </c>
      <c r="I2028" s="27" t="s">
        <v>18536</v>
      </c>
      <c r="J2028" s="27"/>
      <c r="K2028" s="27"/>
      <c r="L2028" s="27"/>
      <c r="N2028" s="27"/>
      <c r="T2028" s="28" t="str">
        <f>LOOKUP(1,1/(Table1[[#This Row],[Level_0]:[Level 15]]&gt;0),(Table1[[#This Row],[Level_0]:[Level 15]]))</f>
        <v>5202202400 - [Project Materials-Instruments&amp;Valves&amp;Oth]</v>
      </c>
      <c r="U2028" s="22">
        <v>2023</v>
      </c>
      <c r="W2028" s="13" t="str">
        <f>LOOKUP(1,1/(Table1[[#This Row],[Level_0]:[Level 15]]&gt;0),(Table1[[#This Row],[Level_0]:[Level 15]]))</f>
        <v>5202202400 - [Project Materials-Instruments&amp;Valves&amp;Oth]</v>
      </c>
    </row>
    <row r="2029" spans="1:23" hidden="1" x14ac:dyDescent="0.25">
      <c r="A2029">
        <v>5202202300</v>
      </c>
      <c r="B2029" s="16" t="s">
        <v>20107</v>
      </c>
      <c r="C2029" s="16" t="e">
        <f>VLOOKUP(Table1[[#This Row],[Node]],Parent!A:B,2,0)</f>
        <v>#N/A</v>
      </c>
      <c r="D2029" s="25" t="s">
        <v>19346</v>
      </c>
      <c r="E2029" s="26" t="s">
        <v>16544</v>
      </c>
      <c r="F2029" s="27" t="s">
        <v>18431</v>
      </c>
      <c r="G2029" s="27" t="s">
        <v>18486</v>
      </c>
      <c r="H2029" s="27" t="s">
        <v>18532</v>
      </c>
      <c r="I2029" s="27" t="s">
        <v>18537</v>
      </c>
      <c r="J2029" s="27"/>
      <c r="K2029" s="27"/>
      <c r="L2029" s="27"/>
      <c r="N2029" s="27"/>
      <c r="T2029" s="28" t="str">
        <f>LOOKUP(1,1/(Table1[[#This Row],[Level_0]:[Level 15]]&gt;0),(Table1[[#This Row],[Level_0]:[Level 15]]))</f>
        <v>5202202300 - [Project Materials-Major Equipment]</v>
      </c>
      <c r="U2029" s="22">
        <v>2024</v>
      </c>
      <c r="W2029" s="13" t="str">
        <f>LOOKUP(1,1/(Table1[[#This Row],[Level_0]:[Level 15]]&gt;0),(Table1[[#This Row],[Level_0]:[Level 15]]))</f>
        <v>5202202300 - [Project Materials-Major Equipment]</v>
      </c>
    </row>
    <row r="2030" spans="1:23" hidden="1" x14ac:dyDescent="0.25">
      <c r="A2030">
        <v>5202202100</v>
      </c>
      <c r="B2030" s="16" t="s">
        <v>20105</v>
      </c>
      <c r="C2030" s="16" t="e">
        <f>VLOOKUP(Table1[[#This Row],[Node]],Parent!A:B,2,0)</f>
        <v>#N/A</v>
      </c>
      <c r="D2030" s="25" t="s">
        <v>19346</v>
      </c>
      <c r="E2030" s="26" t="s">
        <v>16544</v>
      </c>
      <c r="F2030" s="27" t="s">
        <v>18431</v>
      </c>
      <c r="G2030" s="27" t="s">
        <v>18486</v>
      </c>
      <c r="H2030" s="27" t="s">
        <v>18532</v>
      </c>
      <c r="I2030" s="27" t="s">
        <v>18538</v>
      </c>
      <c r="J2030" s="27"/>
      <c r="K2030" s="27"/>
      <c r="L2030" s="27"/>
      <c r="N2030" s="27"/>
      <c r="T2030" s="28" t="str">
        <f>LOOKUP(1,1/(Table1[[#This Row],[Level_0]:[Level 15]]&gt;0),(Table1[[#This Row],[Level_0]:[Level 15]]))</f>
        <v>5202202100 - [Project Materials-Construction Bulk Mat]</v>
      </c>
      <c r="U2030" s="22">
        <v>2025</v>
      </c>
      <c r="W2030" s="13" t="str">
        <f>LOOKUP(1,1/(Table1[[#This Row],[Level_0]:[Level 15]]&gt;0),(Table1[[#This Row],[Level_0]:[Level 15]]))</f>
        <v>5202202100 - [Project Materials-Construction Bulk Mat]</v>
      </c>
    </row>
    <row r="2031" spans="1:23" hidden="1" x14ac:dyDescent="0.25">
      <c r="A2031">
        <v>140000</v>
      </c>
      <c r="B2031" s="16" t="s">
        <v>19347</v>
      </c>
      <c r="C2031" s="16" t="e">
        <f>VLOOKUP(Table1[[#This Row],[Node]],Parent!A:B,2,0)</f>
        <v>#N/A</v>
      </c>
      <c r="D2031" s="25" t="s">
        <v>19346</v>
      </c>
      <c r="E2031" s="26" t="s">
        <v>16544</v>
      </c>
      <c r="F2031" s="27" t="s">
        <v>18539</v>
      </c>
      <c r="G2031" s="27"/>
      <c r="H2031" s="27"/>
      <c r="I2031" s="27"/>
      <c r="J2031" s="27"/>
      <c r="K2031" s="27"/>
      <c r="L2031" s="27"/>
      <c r="N2031" s="27"/>
      <c r="T2031" s="28" t="str">
        <f>LOOKUP(1,1/(Table1[[#This Row],[Level_0]:[Level 15]]&gt;0),(Table1[[#This Row],[Level_0]:[Level 15]]))</f>
        <v>140000 - [Logistics]</v>
      </c>
      <c r="U2031" s="22">
        <v>2026</v>
      </c>
      <c r="W2031" s="13" t="str">
        <f>LOOKUP(1,1/(Table1[[#This Row],[Level_0]:[Level 15]]&gt;0),(Table1[[#This Row],[Level_0]:[Level 15]]))</f>
        <v>140000 - [Logistics]</v>
      </c>
    </row>
    <row r="2032" spans="1:23" hidden="1" x14ac:dyDescent="0.25">
      <c r="A2032">
        <v>140400</v>
      </c>
      <c r="B2032" s="16" t="s">
        <v>19423</v>
      </c>
      <c r="C2032" s="16" t="e">
        <f>VLOOKUP(Table1[[#This Row],[Node]],Parent!A:B,2,0)</f>
        <v>#N/A</v>
      </c>
      <c r="D2032" s="25" t="s">
        <v>19346</v>
      </c>
      <c r="E2032" s="26" t="s">
        <v>16544</v>
      </c>
      <c r="F2032" s="27" t="s">
        <v>18539</v>
      </c>
      <c r="G2032" s="27" t="s">
        <v>18540</v>
      </c>
      <c r="H2032" s="27"/>
      <c r="I2032" s="27"/>
      <c r="J2032" s="27"/>
      <c r="K2032" s="27"/>
      <c r="L2032" s="27"/>
      <c r="N2032" s="27"/>
      <c r="T2032" s="28" t="str">
        <f>LOOKUP(1,1/(Table1[[#This Row],[Level_0]:[Level 15]]&gt;0),(Table1[[#This Row],[Level_0]:[Level 15]]))</f>
        <v>140400 - [Intercompany Logistics]</v>
      </c>
      <c r="U2032" s="22">
        <v>2027</v>
      </c>
      <c r="W2032" s="13" t="str">
        <f>LOOKUP(1,1/(Table1[[#This Row],[Level_0]:[Level 15]]&gt;0),(Table1[[#This Row],[Level_0]:[Level 15]]))</f>
        <v>140400 - [Intercompany Logistics]</v>
      </c>
    </row>
    <row r="2033" spans="1:23" hidden="1" x14ac:dyDescent="0.25">
      <c r="A2033">
        <v>7340000021</v>
      </c>
      <c r="B2033" s="16" t="s">
        <v>20940</v>
      </c>
      <c r="C2033" s="16" t="e">
        <f>VLOOKUP(Table1[[#This Row],[Node]],Parent!A:B,2,0)</f>
        <v>#N/A</v>
      </c>
      <c r="D2033" s="25" t="s">
        <v>19346</v>
      </c>
      <c r="E2033" s="26" t="s">
        <v>16544</v>
      </c>
      <c r="F2033" s="27" t="s">
        <v>18539</v>
      </c>
      <c r="G2033" s="27" t="s">
        <v>18540</v>
      </c>
      <c r="H2033" s="27" t="s">
        <v>18541</v>
      </c>
      <c r="I2033" s="27"/>
      <c r="J2033" s="27"/>
      <c r="K2033" s="27"/>
      <c r="L2033" s="27"/>
      <c r="N2033" s="27"/>
      <c r="T2033" s="28" t="str">
        <f>LOOKUP(1,1/(Table1[[#This Row],[Level_0]:[Level 15]]&gt;0),(Table1[[#This Row],[Level_0]:[Level 15]]))</f>
        <v>7340000021 - [SOM Transportation Settlement]</v>
      </c>
      <c r="U2033" s="22">
        <v>2028</v>
      </c>
      <c r="W2033" s="13" t="str">
        <f>LOOKUP(1,1/(Table1[[#This Row],[Level_0]:[Level 15]]&gt;0),(Table1[[#This Row],[Level_0]:[Level 15]]))</f>
        <v>7340000021 - [SOM Transportation Settlement]</v>
      </c>
    </row>
    <row r="2034" spans="1:23" hidden="1" x14ac:dyDescent="0.25">
      <c r="A2034">
        <v>7220000017</v>
      </c>
      <c r="B2034" s="16" t="s">
        <v>20718</v>
      </c>
      <c r="C2034" s="16" t="e">
        <f>VLOOKUP(Table1[[#This Row],[Node]],Parent!A:B,2,0)</f>
        <v>#N/A</v>
      </c>
      <c r="D2034" s="25" t="s">
        <v>19346</v>
      </c>
      <c r="E2034" s="26" t="s">
        <v>16544</v>
      </c>
      <c r="F2034" s="27" t="s">
        <v>18539</v>
      </c>
      <c r="G2034" s="27" t="s">
        <v>18540</v>
      </c>
      <c r="H2034" s="27" t="s">
        <v>18542</v>
      </c>
      <c r="I2034" s="27"/>
      <c r="J2034" s="27"/>
      <c r="K2034" s="27"/>
      <c r="L2034" s="27"/>
      <c r="N2034" s="27"/>
      <c r="T2034" s="28" t="str">
        <f>LOOKUP(1,1/(Table1[[#This Row],[Level_0]:[Level 15]]&gt;0),(Table1[[#This Row],[Level_0]:[Level 15]]))</f>
        <v>7220000017 - [AOM Logistic Services]</v>
      </c>
      <c r="U2034" s="22">
        <v>2029</v>
      </c>
      <c r="W2034" s="13" t="str">
        <f>LOOKUP(1,1/(Table1[[#This Row],[Level_0]:[Level 15]]&gt;0),(Table1[[#This Row],[Level_0]:[Level 15]]))</f>
        <v>7220000017 - [AOM Logistic Services]</v>
      </c>
    </row>
    <row r="2035" spans="1:23" hidden="1" x14ac:dyDescent="0.25">
      <c r="A2035">
        <v>5484910000</v>
      </c>
      <c r="B2035" s="16" t="s">
        <v>20312</v>
      </c>
      <c r="C2035" s="16" t="e">
        <f>VLOOKUP(Table1[[#This Row],[Node]],Parent!A:B,2,0)</f>
        <v>#N/A</v>
      </c>
      <c r="D2035" s="25" t="s">
        <v>19346</v>
      </c>
      <c r="E2035" s="26" t="s">
        <v>16544</v>
      </c>
      <c r="F2035" s="27" t="s">
        <v>18539</v>
      </c>
      <c r="G2035" s="27" t="s">
        <v>18540</v>
      </c>
      <c r="H2035" s="27" t="s">
        <v>18543</v>
      </c>
      <c r="I2035" s="27"/>
      <c r="J2035" s="27"/>
      <c r="K2035" s="27"/>
      <c r="L2035" s="27"/>
      <c r="N2035" s="27"/>
      <c r="T2035" s="28" t="str">
        <f>LOOKUP(1,1/(Table1[[#This Row],[Level_0]:[Level 15]]&gt;0),(Table1[[#This Row],[Level_0]:[Level 15]]))</f>
        <v>5484910000 - [IC Expenses - Logistics Services]</v>
      </c>
      <c r="U2035" s="22">
        <v>2030</v>
      </c>
      <c r="W2035" s="13" t="str">
        <f>LOOKUP(1,1/(Table1[[#This Row],[Level_0]:[Level 15]]&gt;0),(Table1[[#This Row],[Level_0]:[Level 15]]))</f>
        <v>5484910000 - [IC Expenses - Logistics Services]</v>
      </c>
    </row>
    <row r="2036" spans="1:23" hidden="1" x14ac:dyDescent="0.25">
      <c r="A2036">
        <v>5484710000</v>
      </c>
      <c r="B2036" s="16" t="s">
        <v>20310</v>
      </c>
      <c r="C2036" s="16" t="e">
        <f>VLOOKUP(Table1[[#This Row],[Node]],Parent!A:B,2,0)</f>
        <v>#N/A</v>
      </c>
      <c r="D2036" s="25" t="s">
        <v>19346</v>
      </c>
      <c r="E2036" s="26" t="s">
        <v>16544</v>
      </c>
      <c r="F2036" s="27" t="s">
        <v>18539</v>
      </c>
      <c r="G2036" s="27" t="s">
        <v>18540</v>
      </c>
      <c r="H2036" s="27" t="s">
        <v>18544</v>
      </c>
      <c r="I2036" s="27"/>
      <c r="J2036" s="27"/>
      <c r="K2036" s="27"/>
      <c r="L2036" s="27"/>
      <c r="N2036" s="27"/>
      <c r="T2036" s="28" t="str">
        <f>LOOKUP(1,1/(Table1[[#This Row],[Level_0]:[Level 15]]&gt;0),(Table1[[#This Row],[Level_0]:[Level 15]]))</f>
        <v>5484710000 - [IC Exp - DIV - Logistical Services]</v>
      </c>
      <c r="U2036" s="22">
        <v>2031</v>
      </c>
      <c r="W2036" s="13" t="str">
        <f>LOOKUP(1,1/(Table1[[#This Row],[Level_0]:[Level 15]]&gt;0),(Table1[[#This Row],[Level_0]:[Level 15]]))</f>
        <v>5484710000 - [IC Exp - DIV - Logistical Services]</v>
      </c>
    </row>
    <row r="2037" spans="1:23" hidden="1" x14ac:dyDescent="0.25">
      <c r="A2037">
        <v>140300</v>
      </c>
      <c r="B2037" s="16" t="s">
        <v>19422</v>
      </c>
      <c r="C2037" s="16" t="e">
        <f>VLOOKUP(Table1[[#This Row],[Node]],Parent!A:B,2,0)</f>
        <v>#N/A</v>
      </c>
      <c r="D2037" s="25" t="s">
        <v>19346</v>
      </c>
      <c r="E2037" s="26" t="s">
        <v>16544</v>
      </c>
      <c r="F2037" s="27" t="s">
        <v>18539</v>
      </c>
      <c r="G2037" s="27" t="s">
        <v>18545</v>
      </c>
      <c r="H2037" s="27"/>
      <c r="I2037" s="27"/>
      <c r="J2037" s="27"/>
      <c r="K2037" s="27"/>
      <c r="L2037" s="27"/>
      <c r="N2037" s="27"/>
      <c r="T2037" s="28" t="str">
        <f>LOOKUP(1,1/(Table1[[#This Row],[Level_0]:[Level 15]]&gt;0),(Table1[[#This Row],[Level_0]:[Level 15]]))</f>
        <v>140300 - [External Logistic Services]</v>
      </c>
      <c r="U2037" s="22">
        <v>2032</v>
      </c>
      <c r="W2037" s="13" t="str">
        <f>LOOKUP(1,1/(Table1[[#This Row],[Level_0]:[Level 15]]&gt;0),(Table1[[#This Row],[Level_0]:[Level 15]]))</f>
        <v>140300 - [External Logistic Services]</v>
      </c>
    </row>
    <row r="2038" spans="1:23" hidden="1" x14ac:dyDescent="0.25">
      <c r="A2038">
        <v>7600304233</v>
      </c>
      <c r="B2038" s="16" t="s">
        <v>21424</v>
      </c>
      <c r="C2038" s="16" t="e">
        <f>VLOOKUP(Table1[[#This Row],[Node]],Parent!A:B,2,0)</f>
        <v>#N/A</v>
      </c>
      <c r="D2038" s="25" t="s">
        <v>19346</v>
      </c>
      <c r="E2038" s="26" t="s">
        <v>16544</v>
      </c>
      <c r="F2038" s="27" t="s">
        <v>18539</v>
      </c>
      <c r="G2038" s="27" t="s">
        <v>18545</v>
      </c>
      <c r="H2038" s="27" t="s">
        <v>18546</v>
      </c>
      <c r="I2038" s="27"/>
      <c r="J2038" s="27"/>
      <c r="K2038" s="27"/>
      <c r="L2038" s="27"/>
      <c r="N2038" s="27"/>
      <c r="T2038" s="28" t="str">
        <f>LOOKUP(1,1/(Table1[[#This Row],[Level_0]:[Level 15]]&gt;0),(Table1[[#This Row],[Level_0]:[Level 15]]))</f>
        <v>7600304233 - [DAA_IC Exp - SMS - Contractor Mgt P]</v>
      </c>
      <c r="U2038" s="22">
        <v>2033</v>
      </c>
      <c r="W2038" s="13" t="str">
        <f>LOOKUP(1,1/(Table1[[#This Row],[Level_0]:[Level 15]]&gt;0),(Table1[[#This Row],[Level_0]:[Level 15]]))</f>
        <v>7600304233 - [DAA_IC Exp - SMS - Contractor Mgt P]</v>
      </c>
    </row>
    <row r="2039" spans="1:23" hidden="1" x14ac:dyDescent="0.25">
      <c r="A2039">
        <v>5486000000</v>
      </c>
      <c r="B2039" s="16" t="s">
        <v>20313</v>
      </c>
      <c r="C2039" s="16" t="e">
        <f>VLOOKUP(Table1[[#This Row],[Node]],Parent!A:B,2,0)</f>
        <v>#N/A</v>
      </c>
      <c r="D2039" s="25" t="s">
        <v>19346</v>
      </c>
      <c r="E2039" s="26" t="s">
        <v>16544</v>
      </c>
      <c r="F2039" s="27" t="s">
        <v>18539</v>
      </c>
      <c r="G2039" s="27" t="s">
        <v>18545</v>
      </c>
      <c r="H2039" s="27" t="s">
        <v>18547</v>
      </c>
      <c r="I2039" s="27"/>
      <c r="J2039" s="27"/>
      <c r="K2039" s="27"/>
      <c r="L2039" s="27"/>
      <c r="N2039" s="27"/>
      <c r="T2039" s="28" t="str">
        <f>LOOKUP(1,1/(Table1[[#This Row],[Level_0]:[Level 15]]&gt;0),(Table1[[#This Row],[Level_0]:[Level 15]]))</f>
        <v>5486000000 - [Freight - Delta]</v>
      </c>
      <c r="U2039" s="22">
        <v>2034</v>
      </c>
      <c r="W2039" s="13" t="str">
        <f>LOOKUP(1,1/(Table1[[#This Row],[Level_0]:[Level 15]]&gt;0),(Table1[[#This Row],[Level_0]:[Level 15]]))</f>
        <v>5486000000 - [Freight - Delta]</v>
      </c>
    </row>
    <row r="2040" spans="1:23" hidden="1" x14ac:dyDescent="0.25">
      <c r="A2040">
        <v>5485000000</v>
      </c>
      <c r="B2040" s="16" t="s">
        <v>19422</v>
      </c>
      <c r="C2040" s="16" t="e">
        <f>VLOOKUP(Table1[[#This Row],[Node]],Parent!A:B,2,0)</f>
        <v>#N/A</v>
      </c>
      <c r="D2040" s="25" t="s">
        <v>19346</v>
      </c>
      <c r="E2040" s="26" t="s">
        <v>16544</v>
      </c>
      <c r="F2040" s="27" t="s">
        <v>18539</v>
      </c>
      <c r="G2040" s="27" t="s">
        <v>18545</v>
      </c>
      <c r="H2040" s="27" t="s">
        <v>18548</v>
      </c>
      <c r="I2040" s="27"/>
      <c r="J2040" s="27"/>
      <c r="K2040" s="27"/>
      <c r="L2040" s="27"/>
      <c r="N2040" s="27"/>
      <c r="T2040" s="28" t="str">
        <f>LOOKUP(1,1/(Table1[[#This Row],[Level_0]:[Level 15]]&gt;0),(Table1[[#This Row],[Level_0]:[Level 15]]))</f>
        <v>5485000000 - [External Logistic Services]</v>
      </c>
      <c r="U2040" s="22">
        <v>2035</v>
      </c>
      <c r="W2040" s="13" t="str">
        <f>LOOKUP(1,1/(Table1[[#This Row],[Level_0]:[Level 15]]&gt;0),(Table1[[#This Row],[Level_0]:[Level 15]]))</f>
        <v>5485000000 - [External Logistic Services]</v>
      </c>
    </row>
    <row r="2041" spans="1:23" hidden="1" x14ac:dyDescent="0.25">
      <c r="A2041">
        <v>140200</v>
      </c>
      <c r="B2041" s="16" t="s">
        <v>19419</v>
      </c>
      <c r="C2041" s="16" t="e">
        <f>VLOOKUP(Table1[[#This Row],[Node]],Parent!A:B,2,0)</f>
        <v>#N/A</v>
      </c>
      <c r="D2041" s="25" t="s">
        <v>19346</v>
      </c>
      <c r="E2041" s="26" t="s">
        <v>16544</v>
      </c>
      <c r="F2041" s="27" t="s">
        <v>18539</v>
      </c>
      <c r="G2041" s="27" t="s">
        <v>18549</v>
      </c>
      <c r="H2041" s="27"/>
      <c r="I2041" s="27"/>
      <c r="J2041" s="27"/>
      <c r="K2041" s="27"/>
      <c r="L2041" s="27"/>
      <c r="N2041" s="27"/>
      <c r="T2041" s="28" t="str">
        <f>LOOKUP(1,1/(Table1[[#This Row],[Level_0]:[Level 15]]&gt;0),(Table1[[#This Row],[Level_0]:[Level 15]]))</f>
        <v>140200 - [Outbound Freight]</v>
      </c>
      <c r="U2041" s="22">
        <v>2036</v>
      </c>
      <c r="W2041" s="13" t="str">
        <f>LOOKUP(1,1/(Table1[[#This Row],[Level_0]:[Level 15]]&gt;0),(Table1[[#This Row],[Level_0]:[Level 15]]))</f>
        <v>140200 - [Outbound Freight]</v>
      </c>
    </row>
    <row r="2042" spans="1:23" hidden="1" x14ac:dyDescent="0.25">
      <c r="A2042">
        <v>140202</v>
      </c>
      <c r="B2042" s="16" t="s">
        <v>19421</v>
      </c>
      <c r="C2042" s="16" t="e">
        <f>VLOOKUP(Table1[[#This Row],[Node]],Parent!A:B,2,0)</f>
        <v>#N/A</v>
      </c>
      <c r="D2042" s="25" t="s">
        <v>19346</v>
      </c>
      <c r="E2042" s="26" t="s">
        <v>16544</v>
      </c>
      <c r="F2042" s="27" t="s">
        <v>18539</v>
      </c>
      <c r="G2042" s="27" t="s">
        <v>18549</v>
      </c>
      <c r="H2042" s="27" t="s">
        <v>18550</v>
      </c>
      <c r="I2042" s="27"/>
      <c r="J2042" s="27"/>
      <c r="K2042" s="27"/>
      <c r="L2042" s="27"/>
      <c r="N2042" s="27"/>
      <c r="T2042" s="28" t="str">
        <f>LOOKUP(1,1/(Table1[[#This Row],[Level_0]:[Level 15]]&gt;0),(Table1[[#This Row],[Level_0]:[Level 15]]))</f>
        <v>140202 - [IC Outbound Freight]</v>
      </c>
      <c r="U2042" s="22">
        <v>2037</v>
      </c>
      <c r="W2042" s="13" t="str">
        <f>LOOKUP(1,1/(Table1[[#This Row],[Level_0]:[Level 15]]&gt;0),(Table1[[#This Row],[Level_0]:[Level 15]]))</f>
        <v>140202 - [IC Outbound Freight]</v>
      </c>
    </row>
    <row r="2043" spans="1:23" hidden="1" x14ac:dyDescent="0.25">
      <c r="A2043">
        <v>5489100000</v>
      </c>
      <c r="B2043" s="16" t="s">
        <v>20325</v>
      </c>
      <c r="C2043" s="16" t="e">
        <f>VLOOKUP(Table1[[#This Row],[Node]],Parent!A:B,2,0)</f>
        <v>#N/A</v>
      </c>
      <c r="D2043" s="25" t="s">
        <v>19346</v>
      </c>
      <c r="E2043" s="26" t="s">
        <v>16544</v>
      </c>
      <c r="F2043" s="27" t="s">
        <v>18539</v>
      </c>
      <c r="G2043" s="27" t="s">
        <v>18549</v>
      </c>
      <c r="H2043" s="27" t="s">
        <v>18550</v>
      </c>
      <c r="I2043" s="27" t="s">
        <v>18551</v>
      </c>
      <c r="J2043" s="27"/>
      <c r="K2043" s="27"/>
      <c r="L2043" s="27"/>
      <c r="N2043" s="27"/>
      <c r="T2043" s="28" t="str">
        <f>LOOKUP(1,1/(Table1[[#This Row],[Level_0]:[Level 15]]&gt;0),(Table1[[#This Row],[Level_0]:[Level 15]]))</f>
        <v>5489100000 - [Freight Costs Outbound-4m-TM-IC-COPA]</v>
      </c>
      <c r="U2043" s="22">
        <v>2038</v>
      </c>
      <c r="W2043" s="13" t="str">
        <f>LOOKUP(1,1/(Table1[[#This Row],[Level_0]:[Level 15]]&gt;0),(Table1[[#This Row],[Level_0]:[Level 15]]))</f>
        <v>5489100000 - [Freight Costs Outbound-4m-TM-IC-COPA]</v>
      </c>
    </row>
    <row r="2044" spans="1:23" hidden="1" x14ac:dyDescent="0.25">
      <c r="A2044">
        <v>5488100000</v>
      </c>
      <c r="B2044" s="16" t="s">
        <v>20322</v>
      </c>
      <c r="C2044" s="16" t="e">
        <f>VLOOKUP(Table1[[#This Row],[Node]],Parent!A:B,2,0)</f>
        <v>#N/A</v>
      </c>
      <c r="D2044" s="25" t="s">
        <v>19346</v>
      </c>
      <c r="E2044" s="26" t="s">
        <v>16544</v>
      </c>
      <c r="F2044" s="27" t="s">
        <v>18539</v>
      </c>
      <c r="G2044" s="27" t="s">
        <v>18549</v>
      </c>
      <c r="H2044" s="27" t="s">
        <v>18550</v>
      </c>
      <c r="I2044" s="27" t="s">
        <v>18552</v>
      </c>
      <c r="J2044" s="27"/>
      <c r="K2044" s="27"/>
      <c r="L2044" s="27"/>
      <c r="N2044" s="27"/>
      <c r="T2044" s="28" t="str">
        <f>LOOKUP(1,1/(Table1[[#This Row],[Level_0]:[Level 15]]&gt;0),(Table1[[#This Row],[Level_0]:[Level 15]]))</f>
        <v>5488100000 - [Freight Costs Outbound - IC - CC]</v>
      </c>
      <c r="U2044" s="22">
        <v>2039</v>
      </c>
      <c r="W2044" s="13" t="str">
        <f>LOOKUP(1,1/(Table1[[#This Row],[Level_0]:[Level 15]]&gt;0),(Table1[[#This Row],[Level_0]:[Level 15]]))</f>
        <v>5488100000 - [Freight Costs Outbound - IC - CC]</v>
      </c>
    </row>
    <row r="2045" spans="1:23" hidden="1" x14ac:dyDescent="0.25">
      <c r="A2045">
        <v>5487100000</v>
      </c>
      <c r="B2045" s="16" t="s">
        <v>20316</v>
      </c>
      <c r="C2045" s="16" t="e">
        <f>VLOOKUP(Table1[[#This Row],[Node]],Parent!A:B,2,0)</f>
        <v>#N/A</v>
      </c>
      <c r="D2045" s="25" t="s">
        <v>19346</v>
      </c>
      <c r="E2045" s="26" t="s">
        <v>16544</v>
      </c>
      <c r="F2045" s="27" t="s">
        <v>18539</v>
      </c>
      <c r="G2045" s="27" t="s">
        <v>18549</v>
      </c>
      <c r="H2045" s="27" t="s">
        <v>18550</v>
      </c>
      <c r="I2045" s="27" t="s">
        <v>18553</v>
      </c>
      <c r="J2045" s="27"/>
      <c r="K2045" s="27"/>
      <c r="L2045" s="27"/>
      <c r="N2045" s="27"/>
      <c r="T2045" s="28" t="str">
        <f>LOOKUP(1,1/(Table1[[#This Row],[Level_0]:[Level 15]]&gt;0),(Table1[[#This Row],[Level_0]:[Level 15]]))</f>
        <v>5487100000 - [Freight Costs Outbound - IC - COPA]</v>
      </c>
      <c r="U2045" s="22">
        <v>2040</v>
      </c>
      <c r="W2045" s="13" t="str">
        <f>LOOKUP(1,1/(Table1[[#This Row],[Level_0]:[Level 15]]&gt;0),(Table1[[#This Row],[Level_0]:[Level 15]]))</f>
        <v>5487100000 - [Freight Costs Outbound - IC - COPA]</v>
      </c>
    </row>
    <row r="2046" spans="1:23" hidden="1" x14ac:dyDescent="0.25">
      <c r="A2046">
        <v>140201</v>
      </c>
      <c r="B2046" s="16" t="s">
        <v>19420</v>
      </c>
      <c r="C2046" s="16" t="e">
        <f>VLOOKUP(Table1[[#This Row],[Node]],Parent!A:B,2,0)</f>
        <v>#N/A</v>
      </c>
      <c r="D2046" s="25" t="s">
        <v>19346</v>
      </c>
      <c r="E2046" s="26" t="s">
        <v>16544</v>
      </c>
      <c r="F2046" s="27" t="s">
        <v>18539</v>
      </c>
      <c r="G2046" s="27" t="s">
        <v>18549</v>
      </c>
      <c r="H2046" s="27" t="s">
        <v>18554</v>
      </c>
      <c r="I2046" s="27"/>
      <c r="J2046" s="27"/>
      <c r="K2046" s="27"/>
      <c r="L2046" s="27"/>
      <c r="N2046" s="27"/>
      <c r="T2046" s="28" t="str">
        <f>LOOKUP(1,1/(Table1[[#This Row],[Level_0]:[Level 15]]&gt;0),(Table1[[#This Row],[Level_0]:[Level 15]]))</f>
        <v>140201 - [3rd Party Outbound Freight]</v>
      </c>
      <c r="U2046" s="22">
        <v>2041</v>
      </c>
      <c r="W2046" s="13" t="str">
        <f>LOOKUP(1,1/(Table1[[#This Row],[Level_0]:[Level 15]]&gt;0),(Table1[[#This Row],[Level_0]:[Level 15]]))</f>
        <v>140201 - [3rd Party Outbound Freight]</v>
      </c>
    </row>
    <row r="2047" spans="1:23" hidden="1" x14ac:dyDescent="0.25">
      <c r="A2047">
        <v>5489000000</v>
      </c>
      <c r="B2047" s="16" t="s">
        <v>20324</v>
      </c>
      <c r="C2047" s="16" t="e">
        <f>VLOOKUP(Table1[[#This Row],[Node]],Parent!A:B,2,0)</f>
        <v>#N/A</v>
      </c>
      <c r="D2047" s="25" t="s">
        <v>19346</v>
      </c>
      <c r="E2047" s="26" t="s">
        <v>16544</v>
      </c>
      <c r="F2047" s="27" t="s">
        <v>18539</v>
      </c>
      <c r="G2047" s="27" t="s">
        <v>18549</v>
      </c>
      <c r="H2047" s="27" t="s">
        <v>18554</v>
      </c>
      <c r="I2047" s="27" t="s">
        <v>18555</v>
      </c>
      <c r="J2047" s="27"/>
      <c r="K2047" s="27"/>
      <c r="L2047" s="27"/>
      <c r="N2047" s="27"/>
      <c r="T2047" s="28" t="str">
        <f>LOOKUP(1,1/(Table1[[#This Row],[Level_0]:[Level 15]]&gt;0),(Table1[[#This Row],[Level_0]:[Level 15]]))</f>
        <v>5489000000 - [Freight Costs Outbound- 4m-TM-3P-COPA]</v>
      </c>
      <c r="U2047" s="22">
        <v>2042</v>
      </c>
      <c r="W2047" s="13" t="str">
        <f>LOOKUP(1,1/(Table1[[#This Row],[Level_0]:[Level 15]]&gt;0),(Table1[[#This Row],[Level_0]:[Level 15]]))</f>
        <v>5489000000 - [Freight Costs Outbound- 4m-TM-3P-COPA]</v>
      </c>
    </row>
    <row r="2048" spans="1:23" hidden="1" x14ac:dyDescent="0.25">
      <c r="A2048">
        <v>5488200000</v>
      </c>
      <c r="B2048" s="16" t="s">
        <v>20323</v>
      </c>
      <c r="C2048" s="16" t="e">
        <f>VLOOKUP(Table1[[#This Row],[Node]],Parent!A:B,2,0)</f>
        <v>#N/A</v>
      </c>
      <c r="D2048" s="25" t="s">
        <v>19346</v>
      </c>
      <c r="E2048" s="26" t="s">
        <v>16544</v>
      </c>
      <c r="F2048" s="27" t="s">
        <v>18539</v>
      </c>
      <c r="G2048" s="27" t="s">
        <v>18549</v>
      </c>
      <c r="H2048" s="27" t="s">
        <v>18554</v>
      </c>
      <c r="I2048" s="27" t="s">
        <v>18556</v>
      </c>
      <c r="J2048" s="27"/>
      <c r="K2048" s="27"/>
      <c r="L2048" s="27"/>
      <c r="N2048" s="27"/>
      <c r="T2048" s="28" t="str">
        <f>LOOKUP(1,1/(Table1[[#This Row],[Level_0]:[Level 15]]&gt;0),(Table1[[#This Row],[Level_0]:[Level 15]]))</f>
        <v>5488200000 - [Freight Costs Outbound - Actual - CC]</v>
      </c>
      <c r="U2048" s="22">
        <v>2043</v>
      </c>
      <c r="W2048" s="13" t="str">
        <f>LOOKUP(1,1/(Table1[[#This Row],[Level_0]:[Level 15]]&gt;0),(Table1[[#This Row],[Level_0]:[Level 15]]))</f>
        <v>5488200000 - [Freight Costs Outbound - Actual - CC]</v>
      </c>
    </row>
    <row r="2049" spans="1:23" hidden="1" x14ac:dyDescent="0.25">
      <c r="A2049">
        <v>5488000300</v>
      </c>
      <c r="B2049" s="16" t="s">
        <v>20320</v>
      </c>
      <c r="C2049" s="16" t="e">
        <f>VLOOKUP(Table1[[#This Row],[Node]],Parent!A:B,2,0)</f>
        <v>#N/A</v>
      </c>
      <c r="D2049" s="25" t="s">
        <v>19346</v>
      </c>
      <c r="E2049" s="26" t="s">
        <v>16544</v>
      </c>
      <c r="F2049" s="27" t="s">
        <v>18539</v>
      </c>
      <c r="G2049" s="27" t="s">
        <v>18549</v>
      </c>
      <c r="H2049" s="27" t="s">
        <v>18554</v>
      </c>
      <c r="I2049" s="27" t="s">
        <v>18557</v>
      </c>
      <c r="J2049" s="27"/>
      <c r="K2049" s="27"/>
      <c r="L2049" s="27"/>
      <c r="N2049" s="27"/>
      <c r="T2049" s="28" t="str">
        <f>LOOKUP(1,1/(Table1[[#This Row],[Level_0]:[Level 15]]&gt;0),(Table1[[#This Row],[Level_0]:[Level 15]]))</f>
        <v>5488000300 - [Sea Freight costs 4m TM]</v>
      </c>
      <c r="U2049" s="22">
        <v>2044</v>
      </c>
      <c r="W2049" s="13" t="str">
        <f>LOOKUP(1,1/(Table1[[#This Row],[Level_0]:[Level 15]]&gt;0),(Table1[[#This Row],[Level_0]:[Level 15]]))</f>
        <v>5488000300 - [Sea Freight costs 4m TM]</v>
      </c>
    </row>
    <row r="2050" spans="1:23" hidden="1" x14ac:dyDescent="0.25">
      <c r="A2050">
        <v>5488000200</v>
      </c>
      <c r="B2050" s="16" t="s">
        <v>20319</v>
      </c>
      <c r="C2050" s="16" t="e">
        <f>VLOOKUP(Table1[[#This Row],[Node]],Parent!A:B,2,0)</f>
        <v>#N/A</v>
      </c>
      <c r="D2050" s="25" t="s">
        <v>19346</v>
      </c>
      <c r="E2050" s="26" t="s">
        <v>16544</v>
      </c>
      <c r="F2050" s="27" t="s">
        <v>18539</v>
      </c>
      <c r="G2050" s="27" t="s">
        <v>18549</v>
      </c>
      <c r="H2050" s="27" t="s">
        <v>18554</v>
      </c>
      <c r="I2050" s="27" t="s">
        <v>18558</v>
      </c>
      <c r="J2050" s="27"/>
      <c r="K2050" s="27"/>
      <c r="L2050" s="27"/>
      <c r="N2050" s="27"/>
      <c r="T2050" s="28" t="str">
        <f>LOOKUP(1,1/(Table1[[#This Row],[Level_0]:[Level 15]]&gt;0),(Table1[[#This Row],[Level_0]:[Level 15]]))</f>
        <v>5488000200 - [Road Freight costs 4m TM]</v>
      </c>
      <c r="U2050" s="22">
        <v>2045</v>
      </c>
      <c r="W2050" s="13" t="str">
        <f>LOOKUP(1,1/(Table1[[#This Row],[Level_0]:[Level 15]]&gt;0),(Table1[[#This Row],[Level_0]:[Level 15]]))</f>
        <v>5488000200 - [Road Freight costs 4m TM]</v>
      </c>
    </row>
    <row r="2051" spans="1:23" hidden="1" x14ac:dyDescent="0.25">
      <c r="A2051">
        <v>5488000100</v>
      </c>
      <c r="B2051" s="16" t="s">
        <v>20318</v>
      </c>
      <c r="C2051" s="16" t="e">
        <f>VLOOKUP(Table1[[#This Row],[Node]],Parent!A:B,2,0)</f>
        <v>#N/A</v>
      </c>
      <c r="D2051" s="25" t="s">
        <v>19346</v>
      </c>
      <c r="E2051" s="26" t="s">
        <v>16544</v>
      </c>
      <c r="F2051" s="27" t="s">
        <v>18539</v>
      </c>
      <c r="G2051" s="27" t="s">
        <v>18549</v>
      </c>
      <c r="H2051" s="27" t="s">
        <v>18554</v>
      </c>
      <c r="I2051" s="27" t="s">
        <v>18559</v>
      </c>
      <c r="J2051" s="27"/>
      <c r="K2051" s="27"/>
      <c r="L2051" s="27"/>
      <c r="N2051" s="27"/>
      <c r="T2051" s="28" t="str">
        <f>LOOKUP(1,1/(Table1[[#This Row],[Level_0]:[Level 15]]&gt;0),(Table1[[#This Row],[Level_0]:[Level 15]]))</f>
        <v>5488000100 - [Air Freight costs 4m TM]</v>
      </c>
      <c r="U2051" s="22">
        <v>2046</v>
      </c>
      <c r="W2051" s="13" t="str">
        <f>LOOKUP(1,1/(Table1[[#This Row],[Level_0]:[Level 15]]&gt;0),(Table1[[#This Row],[Level_0]:[Level 15]]))</f>
        <v>5488000100 - [Air Freight costs 4m TM]</v>
      </c>
    </row>
    <row r="2052" spans="1:23" hidden="1" x14ac:dyDescent="0.25">
      <c r="A2052">
        <v>5488000000</v>
      </c>
      <c r="B2052" s="16" t="s">
        <v>20317</v>
      </c>
      <c r="C2052" s="16" t="e">
        <f>VLOOKUP(Table1[[#This Row],[Node]],Parent!A:B,2,0)</f>
        <v>#N/A</v>
      </c>
      <c r="D2052" s="25" t="s">
        <v>19346</v>
      </c>
      <c r="E2052" s="26" t="s">
        <v>16544</v>
      </c>
      <c r="F2052" s="27" t="s">
        <v>18539</v>
      </c>
      <c r="G2052" s="27" t="s">
        <v>18549</v>
      </c>
      <c r="H2052" s="27" t="s">
        <v>18554</v>
      </c>
      <c r="I2052" s="27" t="s">
        <v>18560</v>
      </c>
      <c r="J2052" s="27"/>
      <c r="K2052" s="27"/>
      <c r="L2052" s="27"/>
      <c r="N2052" s="27"/>
      <c r="T2052" s="28" t="str">
        <f>LOOKUP(1,1/(Table1[[#This Row],[Level_0]:[Level 15]]&gt;0),(Table1[[#This Row],[Level_0]:[Level 15]]))</f>
        <v>5488000000 - [Freight Costs Outbound - 3P - CC]</v>
      </c>
      <c r="U2052" s="22">
        <v>2047</v>
      </c>
      <c r="W2052" s="13" t="str">
        <f>LOOKUP(1,1/(Table1[[#This Row],[Level_0]:[Level 15]]&gt;0),(Table1[[#This Row],[Level_0]:[Level 15]]))</f>
        <v>5488000000 - [Freight Costs Outbound - 3P - CC]</v>
      </c>
    </row>
    <row r="2053" spans="1:23" hidden="1" x14ac:dyDescent="0.25">
      <c r="A2053">
        <v>5487000000</v>
      </c>
      <c r="B2053" s="16" t="s">
        <v>20315</v>
      </c>
      <c r="C2053" s="16" t="e">
        <f>VLOOKUP(Table1[[#This Row],[Node]],Parent!A:B,2,0)</f>
        <v>#N/A</v>
      </c>
      <c r="D2053" s="25" t="s">
        <v>19346</v>
      </c>
      <c r="E2053" s="26" t="s">
        <v>16544</v>
      </c>
      <c r="F2053" s="27" t="s">
        <v>18539</v>
      </c>
      <c r="G2053" s="27" t="s">
        <v>18549</v>
      </c>
      <c r="H2053" s="27" t="s">
        <v>18554</v>
      </c>
      <c r="I2053" s="27" t="s">
        <v>18561</v>
      </c>
      <c r="J2053" s="27"/>
      <c r="K2053" s="27"/>
      <c r="L2053" s="27"/>
      <c r="N2053" s="27"/>
      <c r="T2053" s="28" t="str">
        <f>LOOKUP(1,1/(Table1[[#This Row],[Level_0]:[Level 15]]&gt;0),(Table1[[#This Row],[Level_0]:[Level 15]]))</f>
        <v>5487000000 - [Freight Costs Outbound - 3P - COPA]</v>
      </c>
      <c r="U2053" s="22">
        <v>2048</v>
      </c>
      <c r="W2053" s="13" t="str">
        <f>LOOKUP(1,1/(Table1[[#This Row],[Level_0]:[Level 15]]&gt;0),(Table1[[#This Row],[Level_0]:[Level 15]]))</f>
        <v>5487000000 - [Freight Costs Outbound - 3P - COPA]</v>
      </c>
    </row>
    <row r="2054" spans="1:23" hidden="1" x14ac:dyDescent="0.25">
      <c r="A2054">
        <v>5486000001</v>
      </c>
      <c r="B2054" s="16" t="s">
        <v>20314</v>
      </c>
      <c r="C2054" s="16" t="e">
        <f>VLOOKUP(Table1[[#This Row],[Node]],Parent!A:B,2,0)</f>
        <v>#N/A</v>
      </c>
      <c r="D2054" s="25" t="s">
        <v>19346</v>
      </c>
      <c r="E2054" s="26" t="s">
        <v>16544</v>
      </c>
      <c r="F2054" s="27" t="s">
        <v>18539</v>
      </c>
      <c r="G2054" s="27" t="s">
        <v>18549</v>
      </c>
      <c r="H2054" s="27" t="s">
        <v>18554</v>
      </c>
      <c r="I2054" s="27" t="s">
        <v>18562</v>
      </c>
      <c r="J2054" s="27"/>
      <c r="K2054" s="27"/>
      <c r="L2054" s="27"/>
      <c r="N2054" s="27"/>
      <c r="T2054" s="28" t="str">
        <f>LOOKUP(1,1/(Table1[[#This Row],[Level_0]:[Level 15]]&gt;0),(Table1[[#This Row],[Level_0]:[Level 15]]))</f>
        <v>5486000001 - [Freight - Delta - Account 1]</v>
      </c>
      <c r="U2054" s="22">
        <v>2049</v>
      </c>
      <c r="W2054" s="13" t="str">
        <f>LOOKUP(1,1/(Table1[[#This Row],[Level_0]:[Level 15]]&gt;0),(Table1[[#This Row],[Level_0]:[Level 15]]))</f>
        <v>5486000001 - [Freight - Delta - Account 1]</v>
      </c>
    </row>
    <row r="2055" spans="1:23" hidden="1" x14ac:dyDescent="0.25">
      <c r="A2055">
        <v>140100</v>
      </c>
      <c r="B2055" s="16" t="s">
        <v>19416</v>
      </c>
      <c r="C2055" s="16" t="e">
        <f>VLOOKUP(Table1[[#This Row],[Node]],Parent!A:B,2,0)</f>
        <v>#N/A</v>
      </c>
      <c r="D2055" s="25" t="s">
        <v>19346</v>
      </c>
      <c r="E2055" s="26" t="s">
        <v>16544</v>
      </c>
      <c r="F2055" s="27" t="s">
        <v>18539</v>
      </c>
      <c r="G2055" s="27" t="s">
        <v>18563</v>
      </c>
      <c r="H2055" s="27"/>
      <c r="I2055" s="27"/>
      <c r="J2055" s="27"/>
      <c r="K2055" s="27"/>
      <c r="L2055" s="27"/>
      <c r="N2055" s="27"/>
      <c r="T2055" s="28" t="str">
        <f>LOOKUP(1,1/(Table1[[#This Row],[Level_0]:[Level 15]]&gt;0),(Table1[[#This Row],[Level_0]:[Level 15]]))</f>
        <v>140100 - [Inbound Freight]</v>
      </c>
      <c r="U2055" s="22">
        <v>2050</v>
      </c>
      <c r="W2055" s="13" t="str">
        <f>LOOKUP(1,1/(Table1[[#This Row],[Level_0]:[Level 15]]&gt;0),(Table1[[#This Row],[Level_0]:[Level 15]]))</f>
        <v>140100 - [Inbound Freight]</v>
      </c>
    </row>
    <row r="2056" spans="1:23" hidden="1" x14ac:dyDescent="0.25">
      <c r="A2056">
        <v>140102</v>
      </c>
      <c r="B2056" s="16" t="s">
        <v>19418</v>
      </c>
      <c r="C2056" s="16" t="e">
        <f>VLOOKUP(Table1[[#This Row],[Node]],Parent!A:B,2,0)</f>
        <v>#N/A</v>
      </c>
      <c r="D2056" s="25" t="s">
        <v>19346</v>
      </c>
      <c r="E2056" s="26" t="s">
        <v>16544</v>
      </c>
      <c r="F2056" s="27" t="s">
        <v>18539</v>
      </c>
      <c r="G2056" s="27" t="s">
        <v>18563</v>
      </c>
      <c r="H2056" s="27" t="s">
        <v>18564</v>
      </c>
      <c r="I2056" s="27"/>
      <c r="J2056" s="27"/>
      <c r="K2056" s="27"/>
      <c r="L2056" s="27"/>
      <c r="N2056" s="27"/>
      <c r="T2056" s="28" t="str">
        <f>LOOKUP(1,1/(Table1[[#This Row],[Level_0]:[Level 15]]&gt;0),(Table1[[#This Row],[Level_0]:[Level 15]]))</f>
        <v>140102 - [3rd Party Inbound Freight]</v>
      </c>
      <c r="U2056" s="22">
        <v>2051</v>
      </c>
      <c r="W2056" s="13" t="str">
        <f>LOOKUP(1,1/(Table1[[#This Row],[Level_0]:[Level 15]]&gt;0),(Table1[[#This Row],[Level_0]:[Level 15]]))</f>
        <v>140102 - [3rd Party Inbound Freight]</v>
      </c>
    </row>
    <row r="2057" spans="1:23" hidden="1" x14ac:dyDescent="0.25">
      <c r="A2057">
        <v>4020000000</v>
      </c>
      <c r="B2057" s="16" t="s">
        <v>19837</v>
      </c>
      <c r="C2057" s="16" t="e">
        <f>VLOOKUP(Table1[[#This Row],[Node]],Parent!A:B,2,0)</f>
        <v>#N/A</v>
      </c>
      <c r="D2057" s="25" t="s">
        <v>19346</v>
      </c>
      <c r="E2057" s="26" t="s">
        <v>16544</v>
      </c>
      <c r="F2057" s="27" t="s">
        <v>18539</v>
      </c>
      <c r="G2057" s="27" t="s">
        <v>18563</v>
      </c>
      <c r="H2057" s="27" t="s">
        <v>18564</v>
      </c>
      <c r="I2057" s="27" t="s">
        <v>18565</v>
      </c>
      <c r="J2057" s="27"/>
      <c r="K2057" s="27"/>
      <c r="L2057" s="27"/>
      <c r="N2057" s="27"/>
      <c r="T2057" s="28" t="str">
        <f>LOOKUP(1,1/(Table1[[#This Row],[Level_0]:[Level 15]]&gt;0),(Table1[[#This Row],[Level_0]:[Level 15]]))</f>
        <v>4020000000 - [Other COS - Inb Freight/Forwarding Costs]</v>
      </c>
      <c r="U2057" s="22">
        <v>2052</v>
      </c>
      <c r="W2057" s="13" t="str">
        <f>LOOKUP(1,1/(Table1[[#This Row],[Level_0]:[Level 15]]&gt;0),(Table1[[#This Row],[Level_0]:[Level 15]]))</f>
        <v>4020000000 - [Other COS - Inb Freight/Forwarding Costs]</v>
      </c>
    </row>
    <row r="2058" spans="1:23" hidden="1" x14ac:dyDescent="0.25">
      <c r="A2058">
        <v>140101</v>
      </c>
      <c r="B2058" s="16" t="s">
        <v>19417</v>
      </c>
      <c r="C2058" s="16" t="e">
        <f>VLOOKUP(Table1[[#This Row],[Node]],Parent!A:B,2,0)</f>
        <v>#N/A</v>
      </c>
      <c r="D2058" s="25" t="s">
        <v>19346</v>
      </c>
      <c r="E2058" s="26" t="s">
        <v>16544</v>
      </c>
      <c r="F2058" s="27" t="s">
        <v>18539</v>
      </c>
      <c r="G2058" s="27" t="s">
        <v>18563</v>
      </c>
      <c r="H2058" s="27" t="s">
        <v>18566</v>
      </c>
      <c r="I2058" s="27"/>
      <c r="J2058" s="27"/>
      <c r="K2058" s="27"/>
      <c r="L2058" s="27"/>
      <c r="N2058" s="27"/>
      <c r="T2058" s="28" t="str">
        <f>LOOKUP(1,1/(Table1[[#This Row],[Level_0]:[Level 15]]&gt;0),(Table1[[#This Row],[Level_0]:[Level 15]]))</f>
        <v>140101 - [Customs &amp; Duties]</v>
      </c>
      <c r="U2058" s="22">
        <v>2053</v>
      </c>
      <c r="W2058" s="13" t="str">
        <f>LOOKUP(1,1/(Table1[[#This Row],[Level_0]:[Level 15]]&gt;0),(Table1[[#This Row],[Level_0]:[Level 15]]))</f>
        <v>140101 - [Customs &amp; Duties]</v>
      </c>
    </row>
    <row r="2059" spans="1:23" hidden="1" x14ac:dyDescent="0.25">
      <c r="A2059">
        <v>5484000000</v>
      </c>
      <c r="B2059" s="16" t="s">
        <v>20309</v>
      </c>
      <c r="C2059" s="16" t="e">
        <f>VLOOKUP(Table1[[#This Row],[Node]],Parent!A:B,2,0)</f>
        <v>#N/A</v>
      </c>
      <c r="D2059" s="25" t="s">
        <v>19346</v>
      </c>
      <c r="E2059" s="26" t="s">
        <v>16544</v>
      </c>
      <c r="F2059" s="27" t="s">
        <v>18539</v>
      </c>
      <c r="G2059" s="27" t="s">
        <v>18563</v>
      </c>
      <c r="H2059" s="27" t="s">
        <v>18566</v>
      </c>
      <c r="I2059" s="27" t="s">
        <v>18567</v>
      </c>
      <c r="J2059" s="27"/>
      <c r="K2059" s="27"/>
      <c r="L2059" s="27"/>
      <c r="N2059" s="27"/>
      <c r="T2059" s="28" t="str">
        <f>LOOKUP(1,1/(Table1[[#This Row],[Level_0]:[Level 15]]&gt;0),(Table1[[#This Row],[Level_0]:[Level 15]]))</f>
        <v>5484000000 - [Customs, Duties and Forwarding Costs]</v>
      </c>
      <c r="U2059" s="22">
        <v>2054</v>
      </c>
      <c r="W2059" s="13" t="str">
        <f>LOOKUP(1,1/(Table1[[#This Row],[Level_0]:[Level 15]]&gt;0),(Table1[[#This Row],[Level_0]:[Level 15]]))</f>
        <v>5484000000 - [Customs, Duties and Forwarding Costs]</v>
      </c>
    </row>
    <row r="2060" spans="1:23" hidden="1" x14ac:dyDescent="0.25">
      <c r="A2060">
        <v>4021000000</v>
      </c>
      <c r="B2060" s="16" t="s">
        <v>19838</v>
      </c>
      <c r="C2060" s="16" t="e">
        <f>VLOOKUP(Table1[[#This Row],[Node]],Parent!A:B,2,0)</f>
        <v>#N/A</v>
      </c>
      <c r="D2060" s="25" t="s">
        <v>19346</v>
      </c>
      <c r="E2060" s="26" t="s">
        <v>16544</v>
      </c>
      <c r="F2060" s="27" t="s">
        <v>18539</v>
      </c>
      <c r="G2060" s="27" t="s">
        <v>18563</v>
      </c>
      <c r="H2060" s="27" t="s">
        <v>18566</v>
      </c>
      <c r="I2060" s="27" t="s">
        <v>18568</v>
      </c>
      <c r="J2060" s="27"/>
      <c r="K2060" s="27"/>
      <c r="L2060" s="27"/>
      <c r="N2060" s="27"/>
      <c r="T2060" s="28" t="str">
        <f>LOOKUP(1,1/(Table1[[#This Row],[Level_0]:[Level 15]]&gt;0),(Table1[[#This Row],[Level_0]:[Level 15]]))</f>
        <v>4021000000 - [Other COS - Duty on Imported Goods]</v>
      </c>
      <c r="U2060" s="22">
        <v>2055</v>
      </c>
      <c r="W2060" s="13" t="str">
        <f>LOOKUP(1,1/(Table1[[#This Row],[Level_0]:[Level 15]]&gt;0),(Table1[[#This Row],[Level_0]:[Level 15]]))</f>
        <v>4021000000 - [Other COS - Duty on Imported Goods]</v>
      </c>
    </row>
    <row r="2061" spans="1:23" hidden="1" x14ac:dyDescent="0.25">
      <c r="A2061">
        <v>120000</v>
      </c>
      <c r="B2061" s="16" t="s">
        <v>19397</v>
      </c>
      <c r="C2061" s="16" t="e">
        <f>VLOOKUP(Table1[[#This Row],[Node]],Parent!A:B,2,0)</f>
        <v>#N/A</v>
      </c>
      <c r="D2061" s="25" t="s">
        <v>19346</v>
      </c>
      <c r="E2061" s="26" t="s">
        <v>16544</v>
      </c>
      <c r="F2061" s="27" t="s">
        <v>18569</v>
      </c>
      <c r="G2061" s="27"/>
      <c r="H2061" s="27"/>
      <c r="I2061" s="27"/>
      <c r="J2061" s="27"/>
      <c r="K2061" s="27"/>
      <c r="L2061" s="27"/>
      <c r="N2061" s="27"/>
      <c r="T2061" s="28" t="str">
        <f>LOOKUP(1,1/(Table1[[#This Row],[Level_0]:[Level 15]]&gt;0),(Table1[[#This Row],[Level_0]:[Level 15]]))</f>
        <v>120000 - [Technical, Infrastructure and Energy]</v>
      </c>
      <c r="U2061" s="22">
        <v>2056</v>
      </c>
      <c r="W2061" s="13" t="str">
        <f>LOOKUP(1,1/(Table1[[#This Row],[Level_0]:[Level 15]]&gt;0),(Table1[[#This Row],[Level_0]:[Level 15]]))</f>
        <v>120000 - [Technical, Infrastructure and Energy]</v>
      </c>
    </row>
    <row r="2062" spans="1:23" hidden="1" x14ac:dyDescent="0.25">
      <c r="A2062">
        <v>120500</v>
      </c>
      <c r="B2062" s="16" t="s">
        <v>19415</v>
      </c>
      <c r="C2062" s="16" t="e">
        <f>VLOOKUP(Table1[[#This Row],[Node]],Parent!A:B,2,0)</f>
        <v>#N/A</v>
      </c>
      <c r="D2062" s="25" t="s">
        <v>19346</v>
      </c>
      <c r="E2062" s="26" t="s">
        <v>16544</v>
      </c>
      <c r="F2062" s="27" t="s">
        <v>18569</v>
      </c>
      <c r="G2062" s="27" t="s">
        <v>18570</v>
      </c>
      <c r="H2062" s="27"/>
      <c r="I2062" s="27"/>
      <c r="J2062" s="27"/>
      <c r="K2062" s="27"/>
      <c r="L2062" s="27"/>
      <c r="N2062" s="27"/>
      <c r="T2062" s="28" t="str">
        <f>LOOKUP(1,1/(Table1[[#This Row],[Level_0]:[Level 15]]&gt;0),(Table1[[#This Row],[Level_0]:[Level 15]]))</f>
        <v>120500 - [Environment protection costs]</v>
      </c>
      <c r="U2062" s="22">
        <v>2057</v>
      </c>
      <c r="W2062" s="13" t="str">
        <f>LOOKUP(1,1/(Table1[[#This Row],[Level_0]:[Level 15]]&gt;0),(Table1[[#This Row],[Level_0]:[Level 15]]))</f>
        <v>120500 - [Environment protection costs]</v>
      </c>
    </row>
    <row r="2063" spans="1:23" hidden="1" x14ac:dyDescent="0.25">
      <c r="A2063">
        <v>7600304150</v>
      </c>
      <c r="B2063" s="16" t="s">
        <v>21348</v>
      </c>
      <c r="C2063" s="16" t="e">
        <f>VLOOKUP(Table1[[#This Row],[Node]],Parent!A:B,2,0)</f>
        <v>#N/A</v>
      </c>
      <c r="D2063" s="25" t="s">
        <v>19346</v>
      </c>
      <c r="E2063" s="26" t="s">
        <v>16544</v>
      </c>
      <c r="F2063" s="27" t="s">
        <v>18569</v>
      </c>
      <c r="G2063" s="27" t="s">
        <v>18570</v>
      </c>
      <c r="H2063" s="27" t="s">
        <v>18571</v>
      </c>
      <c r="I2063" s="27"/>
      <c r="J2063" s="27"/>
      <c r="K2063" s="27"/>
      <c r="L2063" s="27"/>
      <c r="N2063" s="27"/>
      <c r="T2063" s="28" t="str">
        <f>LOOKUP(1,1/(Table1[[#This Row],[Level_0]:[Level 15]]&gt;0),(Table1[[#This Row],[Level_0]:[Level 15]]))</f>
        <v>7600304150 - [DAA Container Rental]</v>
      </c>
      <c r="U2063" s="22">
        <v>2058</v>
      </c>
      <c r="W2063" s="13" t="str">
        <f>LOOKUP(1,1/(Table1[[#This Row],[Level_0]:[Level 15]]&gt;0),(Table1[[#This Row],[Level_0]:[Level 15]]))</f>
        <v>7600304150 - [DAA Container Rental]</v>
      </c>
    </row>
    <row r="2064" spans="1:23" hidden="1" x14ac:dyDescent="0.25">
      <c r="A2064">
        <v>7340000019</v>
      </c>
      <c r="B2064" s="16" t="s">
        <v>20938</v>
      </c>
      <c r="C2064" s="16" t="e">
        <f>VLOOKUP(Table1[[#This Row],[Node]],Parent!A:B,2,0)</f>
        <v>#N/A</v>
      </c>
      <c r="D2064" s="25" t="s">
        <v>19346</v>
      </c>
      <c r="E2064" s="26" t="s">
        <v>16544</v>
      </c>
      <c r="F2064" s="27" t="s">
        <v>18569</v>
      </c>
      <c r="G2064" s="27" t="s">
        <v>18570</v>
      </c>
      <c r="H2064" s="27" t="s">
        <v>18572</v>
      </c>
      <c r="I2064" s="27"/>
      <c r="J2064" s="27"/>
      <c r="K2064" s="27"/>
      <c r="L2064" s="27"/>
      <c r="N2064" s="27"/>
      <c r="T2064" s="28" t="str">
        <f>LOOKUP(1,1/(Table1[[#This Row],[Level_0]:[Level 15]]&gt;0),(Table1[[#This Row],[Level_0]:[Level 15]]))</f>
        <v>7340000019 - [SOM Waste Settlement]</v>
      </c>
      <c r="U2064" s="22">
        <v>2059</v>
      </c>
      <c r="W2064" s="13" t="str">
        <f>LOOKUP(1,1/(Table1[[#This Row],[Level_0]:[Level 15]]&gt;0),(Table1[[#This Row],[Level_0]:[Level 15]]))</f>
        <v>7340000019 - [SOM Waste Settlement]</v>
      </c>
    </row>
    <row r="2065" spans="1:23" hidden="1" x14ac:dyDescent="0.25">
      <c r="A2065">
        <v>5222710000</v>
      </c>
      <c r="B2065" s="16" t="s">
        <v>20176</v>
      </c>
      <c r="C2065" s="16" t="e">
        <f>VLOOKUP(Table1[[#This Row],[Node]],Parent!A:B,2,0)</f>
        <v>#N/A</v>
      </c>
      <c r="D2065" s="25" t="s">
        <v>19346</v>
      </c>
      <c r="E2065" s="26" t="s">
        <v>16544</v>
      </c>
      <c r="F2065" s="27" t="s">
        <v>18569</v>
      </c>
      <c r="G2065" s="27" t="s">
        <v>18570</v>
      </c>
      <c r="H2065" s="27" t="s">
        <v>18573</v>
      </c>
      <c r="I2065" s="27"/>
      <c r="J2065" s="27"/>
      <c r="K2065" s="27"/>
      <c r="L2065" s="27"/>
      <c r="N2065" s="27"/>
      <c r="T2065" s="28" t="str">
        <f>LOOKUP(1,1/(Table1[[#This Row],[Level_0]:[Level 15]]&gt;0),(Table1[[#This Row],[Level_0]:[Level 15]]))</f>
        <v>5222710000 - [IC Exp - SMS - Container Management]</v>
      </c>
      <c r="U2065" s="22">
        <v>2060</v>
      </c>
      <c r="W2065" s="13" t="str">
        <f>LOOKUP(1,1/(Table1[[#This Row],[Level_0]:[Level 15]]&gt;0),(Table1[[#This Row],[Level_0]:[Level 15]]))</f>
        <v>5222710000 - [IC Exp - SMS - Container Management]</v>
      </c>
    </row>
    <row r="2066" spans="1:23" hidden="1" x14ac:dyDescent="0.25">
      <c r="A2066">
        <v>5222410000</v>
      </c>
      <c r="B2066" s="16" t="s">
        <v>20173</v>
      </c>
      <c r="C2066" s="16" t="e">
        <f>VLOOKUP(Table1[[#This Row],[Node]],Parent!A:B,2,0)</f>
        <v>#N/A</v>
      </c>
      <c r="D2066" s="25" t="s">
        <v>19346</v>
      </c>
      <c r="E2066" s="26" t="s">
        <v>16544</v>
      </c>
      <c r="F2066" s="27" t="s">
        <v>18569</v>
      </c>
      <c r="G2066" s="27" t="s">
        <v>18570</v>
      </c>
      <c r="H2066" s="27" t="s">
        <v>18574</v>
      </c>
      <c r="I2066" s="27"/>
      <c r="J2066" s="27"/>
      <c r="K2066" s="27"/>
      <c r="L2066" s="27"/>
      <c r="N2066" s="27"/>
      <c r="T2066" s="28" t="str">
        <f>LOOKUP(1,1/(Table1[[#This Row],[Level_0]:[Level 15]]&gt;0),(Table1[[#This Row],[Level_0]:[Level 15]]))</f>
        <v>5222410000 - [IC Exp - SMS - WastWat Treatment]</v>
      </c>
      <c r="U2066" s="22">
        <v>2061</v>
      </c>
      <c r="W2066" s="13" t="str">
        <f>LOOKUP(1,1/(Table1[[#This Row],[Level_0]:[Level 15]]&gt;0),(Table1[[#This Row],[Level_0]:[Level 15]]))</f>
        <v>5222410000 - [IC Exp - SMS - WastWat Treatment]</v>
      </c>
    </row>
    <row r="2067" spans="1:23" hidden="1" x14ac:dyDescent="0.25">
      <c r="A2067">
        <v>5222510000</v>
      </c>
      <c r="B2067" s="16" t="s">
        <v>20174</v>
      </c>
      <c r="C2067" s="16" t="e">
        <f>VLOOKUP(Table1[[#This Row],[Node]],Parent!A:B,2,0)</f>
        <v>#N/A</v>
      </c>
      <c r="D2067" s="25" t="s">
        <v>19346</v>
      </c>
      <c r="E2067" s="26" t="s">
        <v>16544</v>
      </c>
      <c r="F2067" s="27" t="s">
        <v>18569</v>
      </c>
      <c r="G2067" s="27" t="s">
        <v>18570</v>
      </c>
      <c r="H2067" s="27" t="s">
        <v>18575</v>
      </c>
      <c r="I2067" s="27"/>
      <c r="J2067" s="27"/>
      <c r="K2067" s="27"/>
      <c r="L2067" s="27"/>
      <c r="N2067" s="27"/>
      <c r="T2067" s="28" t="str">
        <f>LOOKUP(1,1/(Table1[[#This Row],[Level_0]:[Level 15]]&gt;0),(Table1[[#This Row],[Level_0]:[Level 15]]))</f>
        <v>5222510000 - [IC Exp - SMS - Waste Management]</v>
      </c>
      <c r="U2067" s="22">
        <v>2062</v>
      </c>
      <c r="W2067" s="13" t="str">
        <f>LOOKUP(1,1/(Table1[[#This Row],[Level_0]:[Level 15]]&gt;0),(Table1[[#This Row],[Level_0]:[Level 15]]))</f>
        <v>5222510000 - [IC Exp - SMS - Waste Management]</v>
      </c>
    </row>
    <row r="2068" spans="1:23" hidden="1" x14ac:dyDescent="0.25">
      <c r="A2068">
        <v>5223310000</v>
      </c>
      <c r="B2068" s="16" t="s">
        <v>20182</v>
      </c>
      <c r="C2068" s="16" t="e">
        <f>VLOOKUP(Table1[[#This Row],[Node]],Parent!A:B,2,0)</f>
        <v>#N/A</v>
      </c>
      <c r="D2068" s="25" t="s">
        <v>19346</v>
      </c>
      <c r="E2068" s="26" t="s">
        <v>16544</v>
      </c>
      <c r="F2068" s="27" t="s">
        <v>18569</v>
      </c>
      <c r="G2068" s="27" t="s">
        <v>18570</v>
      </c>
      <c r="H2068" s="27" t="s">
        <v>18576</v>
      </c>
      <c r="I2068" s="27"/>
      <c r="J2068" s="27"/>
      <c r="K2068" s="27"/>
      <c r="L2068" s="27"/>
      <c r="N2068" s="27"/>
      <c r="T2068" s="28" t="str">
        <f>LOOKUP(1,1/(Table1[[#This Row],[Level_0]:[Level 15]]&gt;0),(Table1[[#This Row],[Level_0]:[Level 15]]))</f>
        <v>5223310000 - [IC Exp - SMS - Occ and Pro Safety]</v>
      </c>
      <c r="U2068" s="22">
        <v>2063</v>
      </c>
      <c r="W2068" s="13" t="str">
        <f>LOOKUP(1,1/(Table1[[#This Row],[Level_0]:[Level 15]]&gt;0),(Table1[[#This Row],[Level_0]:[Level 15]]))</f>
        <v>5223310000 - [IC Exp - SMS - Occ and Pro Safety]</v>
      </c>
    </row>
    <row r="2069" spans="1:23" hidden="1" x14ac:dyDescent="0.25">
      <c r="A2069">
        <v>5752210000</v>
      </c>
      <c r="B2069" s="16" t="s">
        <v>20430</v>
      </c>
      <c r="C2069" s="16" t="e">
        <f>VLOOKUP(Table1[[#This Row],[Node]],Parent!A:B,2,0)</f>
        <v>#N/A</v>
      </c>
      <c r="D2069" s="25" t="s">
        <v>19346</v>
      </c>
      <c r="E2069" s="26" t="s">
        <v>16544</v>
      </c>
      <c r="F2069" s="27" t="s">
        <v>18569</v>
      </c>
      <c r="G2069" s="27" t="s">
        <v>18570</v>
      </c>
      <c r="H2069" s="27" t="s">
        <v>18577</v>
      </c>
      <c r="I2069" s="27"/>
      <c r="J2069" s="27"/>
      <c r="K2069" s="27"/>
      <c r="L2069" s="27"/>
      <c r="N2069" s="27"/>
      <c r="T2069" s="28" t="str">
        <f>LOOKUP(1,1/(Table1[[#This Row],[Level_0]:[Level 15]]&gt;0),(Table1[[#This Row],[Level_0]:[Level 15]]))</f>
        <v>5752210000 - [IC Exp - SMS -  Environmental Services]</v>
      </c>
      <c r="U2069" s="22">
        <v>2064</v>
      </c>
      <c r="W2069" s="13" t="str">
        <f>LOOKUP(1,1/(Table1[[#This Row],[Level_0]:[Level 15]]&gt;0),(Table1[[#This Row],[Level_0]:[Level 15]]))</f>
        <v>5752210000 - [IC Exp - SMS -  Environmental Services]</v>
      </c>
    </row>
    <row r="2070" spans="1:23" hidden="1" x14ac:dyDescent="0.25">
      <c r="A2070">
        <v>5752410000</v>
      </c>
      <c r="B2070" s="16" t="s">
        <v>20186</v>
      </c>
      <c r="C2070" s="16" t="e">
        <f>VLOOKUP(Table1[[#This Row],[Node]],Parent!A:B,2,0)</f>
        <v>#N/A</v>
      </c>
      <c r="D2070" s="25" t="s">
        <v>19346</v>
      </c>
      <c r="E2070" s="26" t="s">
        <v>16544</v>
      </c>
      <c r="F2070" s="27" t="s">
        <v>18569</v>
      </c>
      <c r="G2070" s="27" t="s">
        <v>18570</v>
      </c>
      <c r="H2070" s="27" t="s">
        <v>18578</v>
      </c>
      <c r="I2070" s="27"/>
      <c r="J2070" s="27"/>
      <c r="K2070" s="27"/>
      <c r="L2070" s="27"/>
      <c r="N2070" s="27"/>
      <c r="T2070" s="28" t="str">
        <f>LOOKUP(1,1/(Table1[[#This Row],[Level_0]:[Level 15]]&gt;0),(Table1[[#This Row],[Level_0]:[Level 15]]))</f>
        <v>5752410000 - [IC Exp - SMS - Environmental Analysis]</v>
      </c>
      <c r="U2070" s="22">
        <v>2065</v>
      </c>
      <c r="W2070" s="13" t="str">
        <f>LOOKUP(1,1/(Table1[[#This Row],[Level_0]:[Level 15]]&gt;0),(Table1[[#This Row],[Level_0]:[Level 15]]))</f>
        <v>5752410000 - [IC Exp - SMS - Environmental Analysis]</v>
      </c>
    </row>
    <row r="2071" spans="1:23" hidden="1" x14ac:dyDescent="0.25">
      <c r="A2071">
        <v>7620000014</v>
      </c>
      <c r="B2071" s="16" t="s">
        <v>21540</v>
      </c>
      <c r="C2071" s="16" t="e">
        <f>VLOOKUP(Table1[[#This Row],[Node]],Parent!A:B,2,0)</f>
        <v>#N/A</v>
      </c>
      <c r="D2071" s="25" t="s">
        <v>19346</v>
      </c>
      <c r="E2071" s="26" t="s">
        <v>16544</v>
      </c>
      <c r="F2071" s="27" t="s">
        <v>18569</v>
      </c>
      <c r="G2071" s="27" t="s">
        <v>18570</v>
      </c>
      <c r="H2071" s="27" t="s">
        <v>18579</v>
      </c>
      <c r="I2071" s="27"/>
      <c r="J2071" s="27"/>
      <c r="K2071" s="27"/>
      <c r="L2071" s="27"/>
      <c r="N2071" s="27"/>
      <c r="T2071" s="28" t="str">
        <f>LOOKUP(1,1/(Table1[[#This Row],[Level_0]:[Level 15]]&gt;0),(Table1[[#This Row],[Level_0]:[Level 15]]))</f>
        <v>7620000014 - [AOM Environmental Protection]</v>
      </c>
      <c r="U2071" s="22">
        <v>2066</v>
      </c>
      <c r="W2071" s="13" t="str">
        <f>LOOKUP(1,1/(Table1[[#This Row],[Level_0]:[Level 15]]&gt;0),(Table1[[#This Row],[Level_0]:[Level 15]]))</f>
        <v>7620000014 - [AOM Environmental Protection]</v>
      </c>
    </row>
    <row r="2072" spans="1:23" hidden="1" x14ac:dyDescent="0.25">
      <c r="A2072">
        <v>7600304149</v>
      </c>
      <c r="B2072" s="16" t="s">
        <v>21347</v>
      </c>
      <c r="C2072" s="16" t="e">
        <f>VLOOKUP(Table1[[#This Row],[Node]],Parent!A:B,2,0)</f>
        <v>#N/A</v>
      </c>
      <c r="D2072" s="25" t="s">
        <v>19346</v>
      </c>
      <c r="E2072" s="26" t="s">
        <v>16544</v>
      </c>
      <c r="F2072" s="27" t="s">
        <v>18569</v>
      </c>
      <c r="G2072" s="27" t="s">
        <v>18570</v>
      </c>
      <c r="H2072" s="27" t="s">
        <v>18580</v>
      </c>
      <c r="I2072" s="27"/>
      <c r="J2072" s="27"/>
      <c r="K2072" s="27"/>
      <c r="L2072" s="27"/>
      <c r="N2072" s="27"/>
      <c r="T2072" s="28" t="str">
        <f>LOOKUP(1,1/(Table1[[#This Row],[Level_0]:[Level 15]]&gt;0),(Table1[[#This Row],[Level_0]:[Level 15]]))</f>
        <v>7600304149 - [DAA Container Service]</v>
      </c>
      <c r="U2072" s="22">
        <v>2067</v>
      </c>
      <c r="W2072" s="13" t="str">
        <f>LOOKUP(1,1/(Table1[[#This Row],[Level_0]:[Level 15]]&gt;0),(Table1[[#This Row],[Level_0]:[Level 15]]))</f>
        <v>7600304149 - [DAA Container Service]</v>
      </c>
    </row>
    <row r="2073" spans="1:23" hidden="1" x14ac:dyDescent="0.25">
      <c r="A2073">
        <v>7600304126</v>
      </c>
      <c r="B2073" s="16" t="s">
        <v>21324</v>
      </c>
      <c r="C2073" s="16" t="e">
        <f>VLOOKUP(Table1[[#This Row],[Node]],Parent!A:B,2,0)</f>
        <v>#N/A</v>
      </c>
      <c r="D2073" s="25" t="s">
        <v>19346</v>
      </c>
      <c r="E2073" s="26" t="s">
        <v>16544</v>
      </c>
      <c r="F2073" s="27" t="s">
        <v>18569</v>
      </c>
      <c r="G2073" s="27" t="s">
        <v>18570</v>
      </c>
      <c r="H2073" s="27" t="s">
        <v>18581</v>
      </c>
      <c r="I2073" s="27"/>
      <c r="J2073" s="27"/>
      <c r="K2073" s="27"/>
      <c r="L2073" s="27"/>
      <c r="N2073" s="27"/>
      <c r="T2073" s="28" t="str">
        <f>LOOKUP(1,1/(Table1[[#This Row],[Level_0]:[Level 15]]&gt;0),(Table1[[#This Row],[Level_0]:[Level 15]]))</f>
        <v>7600304126 - [DAA Environm. Analyt.Air]</v>
      </c>
      <c r="U2073" s="22">
        <v>2068</v>
      </c>
      <c r="W2073" s="13" t="str">
        <f>LOOKUP(1,1/(Table1[[#This Row],[Level_0]:[Level 15]]&gt;0),(Table1[[#This Row],[Level_0]:[Level 15]]))</f>
        <v>7600304126 - [DAA Environm. Analyt.Air]</v>
      </c>
    </row>
    <row r="2074" spans="1:23" hidden="1" x14ac:dyDescent="0.25">
      <c r="A2074">
        <v>7600304124</v>
      </c>
      <c r="B2074" s="16" t="s">
        <v>21322</v>
      </c>
      <c r="C2074" s="16" t="e">
        <f>VLOOKUP(Table1[[#This Row],[Node]],Parent!A:B,2,0)</f>
        <v>#N/A</v>
      </c>
      <c r="D2074" s="25" t="s">
        <v>19346</v>
      </c>
      <c r="E2074" s="26" t="s">
        <v>16544</v>
      </c>
      <c r="F2074" s="27" t="s">
        <v>18569</v>
      </c>
      <c r="G2074" s="27" t="s">
        <v>18570</v>
      </c>
      <c r="H2074" s="27" t="s">
        <v>18582</v>
      </c>
      <c r="I2074" s="27"/>
      <c r="J2074" s="27"/>
      <c r="K2074" s="27"/>
      <c r="L2074" s="27"/>
      <c r="N2074" s="27"/>
      <c r="T2074" s="28" t="str">
        <f>LOOKUP(1,1/(Table1[[#This Row],[Level_0]:[Level 15]]&gt;0),(Table1[[#This Row],[Level_0]:[Level 15]]))</f>
        <v>7600304124 - [DAA Environmental Analytics]</v>
      </c>
      <c r="U2074" s="22">
        <v>2069</v>
      </c>
      <c r="W2074" s="13" t="str">
        <f>LOOKUP(1,1/(Table1[[#This Row],[Level_0]:[Level 15]]&gt;0),(Table1[[#This Row],[Level_0]:[Level 15]]))</f>
        <v>7600304124 - [DAA Environmental Analytics]</v>
      </c>
    </row>
    <row r="2075" spans="1:23" hidden="1" x14ac:dyDescent="0.25">
      <c r="A2075">
        <v>7600304084</v>
      </c>
      <c r="B2075" s="16" t="s">
        <v>21284</v>
      </c>
      <c r="C2075" s="16" t="e">
        <f>VLOOKUP(Table1[[#This Row],[Node]],Parent!A:B,2,0)</f>
        <v>#N/A</v>
      </c>
      <c r="D2075" s="25" t="s">
        <v>19346</v>
      </c>
      <c r="E2075" s="26" t="s">
        <v>16544</v>
      </c>
      <c r="F2075" s="27" t="s">
        <v>18569</v>
      </c>
      <c r="G2075" s="27" t="s">
        <v>18570</v>
      </c>
      <c r="H2075" s="27" t="s">
        <v>18583</v>
      </c>
      <c r="I2075" s="27"/>
      <c r="J2075" s="27"/>
      <c r="K2075" s="27"/>
      <c r="L2075" s="27"/>
      <c r="N2075" s="27"/>
      <c r="T2075" s="28" t="str">
        <f>LOOKUP(1,1/(Table1[[#This Row],[Level_0]:[Level 15]]&gt;0),(Table1[[#This Row],[Level_0]:[Level 15]]))</f>
        <v>7600304084 - [DAA Sewer operation]</v>
      </c>
      <c r="U2075" s="22">
        <v>2070</v>
      </c>
      <c r="W2075" s="13" t="str">
        <f>LOOKUP(1,1/(Table1[[#This Row],[Level_0]:[Level 15]]&gt;0),(Table1[[#This Row],[Level_0]:[Level 15]]))</f>
        <v>7600304084 - [DAA Sewer operation]</v>
      </c>
    </row>
    <row r="2076" spans="1:23" hidden="1" x14ac:dyDescent="0.25">
      <c r="A2076">
        <v>7600304083</v>
      </c>
      <c r="B2076" s="16" t="s">
        <v>21283</v>
      </c>
      <c r="C2076" s="16" t="e">
        <f>VLOOKUP(Table1[[#This Row],[Node]],Parent!A:B,2,0)</f>
        <v>#N/A</v>
      </c>
      <c r="D2076" s="25" t="s">
        <v>19346</v>
      </c>
      <c r="E2076" s="26" t="s">
        <v>16544</v>
      </c>
      <c r="F2076" s="27" t="s">
        <v>18569</v>
      </c>
      <c r="G2076" s="27" t="s">
        <v>18570</v>
      </c>
      <c r="H2076" s="27" t="s">
        <v>18584</v>
      </c>
      <c r="I2076" s="27"/>
      <c r="J2076" s="27"/>
      <c r="K2076" s="27"/>
      <c r="L2076" s="27"/>
      <c r="N2076" s="27"/>
      <c r="T2076" s="28" t="str">
        <f>LOOKUP(1,1/(Table1[[#This Row],[Level_0]:[Level 15]]&gt;0),(Table1[[#This Row],[Level_0]:[Level 15]]))</f>
        <v>7600304083 - [DAA Wastewater consultancy]</v>
      </c>
      <c r="U2076" s="22">
        <v>2071</v>
      </c>
      <c r="W2076" s="13" t="str">
        <f>LOOKUP(1,1/(Table1[[#This Row],[Level_0]:[Level 15]]&gt;0),(Table1[[#This Row],[Level_0]:[Level 15]]))</f>
        <v>7600304083 - [DAA Wastewater consultancy]</v>
      </c>
    </row>
    <row r="2077" spans="1:23" hidden="1" x14ac:dyDescent="0.25">
      <c r="A2077">
        <v>7600304082</v>
      </c>
      <c r="B2077" s="16" t="s">
        <v>21282</v>
      </c>
      <c r="C2077" s="16" t="e">
        <f>VLOOKUP(Table1[[#This Row],[Node]],Parent!A:B,2,0)</f>
        <v>#N/A</v>
      </c>
      <c r="D2077" s="25" t="s">
        <v>19346</v>
      </c>
      <c r="E2077" s="26" t="s">
        <v>16544</v>
      </c>
      <c r="F2077" s="27" t="s">
        <v>18569</v>
      </c>
      <c r="G2077" s="27" t="s">
        <v>18570</v>
      </c>
      <c r="H2077" s="27" t="s">
        <v>18585</v>
      </c>
      <c r="I2077" s="27"/>
      <c r="J2077" s="27"/>
      <c r="K2077" s="27"/>
      <c r="L2077" s="27"/>
      <c r="N2077" s="27"/>
      <c r="T2077" s="28" t="str">
        <f>LOOKUP(1,1/(Table1[[#This Row],[Level_0]:[Level 15]]&gt;0),(Table1[[#This Row],[Level_0]:[Level 15]]))</f>
        <v>7600304082 - [DAA Wastewater treatm. incl. Pre-Treatm.]</v>
      </c>
      <c r="U2077" s="22">
        <v>2072</v>
      </c>
      <c r="W2077" s="13" t="str">
        <f>LOOKUP(1,1/(Table1[[#This Row],[Level_0]:[Level 15]]&gt;0),(Table1[[#This Row],[Level_0]:[Level 15]]))</f>
        <v>7600304082 - [DAA Wastewater treatm. incl. Pre-Treatm.]</v>
      </c>
    </row>
    <row r="2078" spans="1:23" hidden="1" x14ac:dyDescent="0.25">
      <c r="A2078">
        <v>7600304074</v>
      </c>
      <c r="B2078" s="16" t="s">
        <v>21275</v>
      </c>
      <c r="C2078" s="16" t="e">
        <f>VLOOKUP(Table1[[#This Row],[Node]],Parent!A:B,2,0)</f>
        <v>#N/A</v>
      </c>
      <c r="D2078" s="25" t="s">
        <v>19346</v>
      </c>
      <c r="E2078" s="26" t="s">
        <v>16544</v>
      </c>
      <c r="F2078" s="27" t="s">
        <v>18569</v>
      </c>
      <c r="G2078" s="27" t="s">
        <v>18570</v>
      </c>
      <c r="H2078" s="27" t="s">
        <v>18586</v>
      </c>
      <c r="I2078" s="27"/>
      <c r="J2078" s="27"/>
      <c r="K2078" s="27"/>
      <c r="L2078" s="27"/>
      <c r="N2078" s="27"/>
      <c r="T2078" s="28" t="str">
        <f>LOOKUP(1,1/(Table1[[#This Row],[Level_0]:[Level 15]]&gt;0),(Table1[[#This Row],[Level_0]:[Level 15]]))</f>
        <v>7600304074 - [DAA Waste Disposal]</v>
      </c>
      <c r="U2078" s="22">
        <v>2073</v>
      </c>
      <c r="W2078" s="13" t="str">
        <f>LOOKUP(1,1/(Table1[[#This Row],[Level_0]:[Level 15]]&gt;0),(Table1[[#This Row],[Level_0]:[Level 15]]))</f>
        <v>7600304074 - [DAA Waste Disposal]</v>
      </c>
    </row>
    <row r="2079" spans="1:23" hidden="1" x14ac:dyDescent="0.25">
      <c r="A2079">
        <v>7600304029</v>
      </c>
      <c r="B2079" s="16" t="s">
        <v>21230</v>
      </c>
      <c r="C2079" s="16" t="e">
        <f>VLOOKUP(Table1[[#This Row],[Node]],Parent!A:B,2,0)</f>
        <v>#N/A</v>
      </c>
      <c r="D2079" s="25" t="s">
        <v>19346</v>
      </c>
      <c r="E2079" s="26" t="s">
        <v>16544</v>
      </c>
      <c r="F2079" s="27" t="s">
        <v>18569</v>
      </c>
      <c r="G2079" s="27" t="s">
        <v>18570</v>
      </c>
      <c r="H2079" s="27" t="s">
        <v>18587</v>
      </c>
      <c r="I2079" s="27"/>
      <c r="J2079" s="27"/>
      <c r="K2079" s="27"/>
      <c r="L2079" s="27"/>
      <c r="N2079" s="27"/>
      <c r="T2079" s="28" t="str">
        <f>LOOKUP(1,1/(Table1[[#This Row],[Level_0]:[Level 15]]&gt;0),(Table1[[#This Row],[Level_0]:[Level 15]]))</f>
        <v>7600304029 - [DAA Consult.: Environment]</v>
      </c>
      <c r="U2079" s="22">
        <v>2074</v>
      </c>
      <c r="W2079" s="13" t="str">
        <f>LOOKUP(1,1/(Table1[[#This Row],[Level_0]:[Level 15]]&gt;0),(Table1[[#This Row],[Level_0]:[Level 15]]))</f>
        <v>7600304029 - [DAA Consult.: Environment]</v>
      </c>
    </row>
    <row r="2080" spans="1:23" hidden="1" x14ac:dyDescent="0.25">
      <c r="A2080">
        <v>7600304028</v>
      </c>
      <c r="B2080" s="16" t="s">
        <v>21229</v>
      </c>
      <c r="C2080" s="16" t="e">
        <f>VLOOKUP(Table1[[#This Row],[Node]],Parent!A:B,2,0)</f>
        <v>#N/A</v>
      </c>
      <c r="D2080" s="25" t="s">
        <v>19346</v>
      </c>
      <c r="E2080" s="26" t="s">
        <v>16544</v>
      </c>
      <c r="F2080" s="27" t="s">
        <v>18569</v>
      </c>
      <c r="G2080" s="27" t="s">
        <v>18570</v>
      </c>
      <c r="H2080" s="27" t="s">
        <v>18588</v>
      </c>
      <c r="I2080" s="27"/>
      <c r="J2080" s="27"/>
      <c r="K2080" s="27"/>
      <c r="L2080" s="27"/>
      <c r="N2080" s="27"/>
      <c r="T2080" s="28" t="str">
        <f>LOOKUP(1,1/(Table1[[#This Row],[Level_0]:[Level 15]]&gt;0),(Table1[[#This Row],[Level_0]:[Level 15]]))</f>
        <v>7600304028 - [DAA Enviro. Mgmnt ISO 14001]</v>
      </c>
      <c r="U2080" s="22">
        <v>2075</v>
      </c>
      <c r="W2080" s="13" t="str">
        <f>LOOKUP(1,1/(Table1[[#This Row],[Level_0]:[Level 15]]&gt;0),(Table1[[#This Row],[Level_0]:[Level 15]]))</f>
        <v>7600304028 - [DAA Enviro. Mgmnt ISO 14001]</v>
      </c>
    </row>
    <row r="2081" spans="1:23" hidden="1" x14ac:dyDescent="0.25">
      <c r="A2081">
        <v>7320150007</v>
      </c>
      <c r="B2081" s="16" t="s">
        <v>20888</v>
      </c>
      <c r="C2081" s="16" t="e">
        <f>VLOOKUP(Table1[[#This Row],[Node]],Parent!A:B,2,0)</f>
        <v>#N/A</v>
      </c>
      <c r="D2081" s="25" t="s">
        <v>19346</v>
      </c>
      <c r="E2081" s="26" t="s">
        <v>16544</v>
      </c>
      <c r="F2081" s="27" t="s">
        <v>18569</v>
      </c>
      <c r="G2081" s="27" t="s">
        <v>18570</v>
      </c>
      <c r="H2081" s="27" t="s">
        <v>18589</v>
      </c>
      <c r="I2081" s="27"/>
      <c r="J2081" s="27"/>
      <c r="K2081" s="27"/>
      <c r="L2081" s="27"/>
      <c r="N2081" s="27"/>
      <c r="T2081" s="28" t="str">
        <f>LOOKUP(1,1/(Table1[[#This Row],[Level_0]:[Level 15]]&gt;0),(Table1[[#This Row],[Level_0]:[Level 15]]))</f>
        <v>7320150007 - [AOM Cost transf. charg.  w-water treatm.]</v>
      </c>
      <c r="U2081" s="22">
        <v>2076</v>
      </c>
      <c r="W2081" s="13" t="str">
        <f>LOOKUP(1,1/(Table1[[#This Row],[Level_0]:[Level 15]]&gt;0),(Table1[[#This Row],[Level_0]:[Level 15]]))</f>
        <v>7320150007 - [AOM Cost transf. charg.  w-water treatm.]</v>
      </c>
    </row>
    <row r="2082" spans="1:23" hidden="1" x14ac:dyDescent="0.25">
      <c r="A2082">
        <v>7320150006</v>
      </c>
      <c r="B2082" s="16" t="s">
        <v>20887</v>
      </c>
      <c r="C2082" s="16" t="e">
        <f>VLOOKUP(Table1[[#This Row],[Node]],Parent!A:B,2,0)</f>
        <v>#N/A</v>
      </c>
      <c r="D2082" s="25" t="s">
        <v>19346</v>
      </c>
      <c r="E2082" s="26" t="s">
        <v>16544</v>
      </c>
      <c r="F2082" s="27" t="s">
        <v>18569</v>
      </c>
      <c r="G2082" s="27" t="s">
        <v>18570</v>
      </c>
      <c r="H2082" s="27" t="s">
        <v>18590</v>
      </c>
      <c r="I2082" s="27"/>
      <c r="J2082" s="27"/>
      <c r="K2082" s="27"/>
      <c r="L2082" s="27"/>
      <c r="N2082" s="27"/>
      <c r="T2082" s="28" t="str">
        <f>LOOKUP(1,1/(Table1[[#This Row],[Level_0]:[Level 15]]&gt;0),(Table1[[#This Row],[Level_0]:[Level 15]]))</f>
        <v>7320150006 - [AOM Var. waste water treatment]</v>
      </c>
      <c r="U2082" s="22">
        <v>2077</v>
      </c>
      <c r="W2082" s="13" t="str">
        <f>LOOKUP(1,1/(Table1[[#This Row],[Level_0]:[Level 15]]&gt;0),(Table1[[#This Row],[Level_0]:[Level 15]]))</f>
        <v>7320150006 - [AOM Var. waste water treatment]</v>
      </c>
    </row>
    <row r="2083" spans="1:23" hidden="1" x14ac:dyDescent="0.25">
      <c r="A2083">
        <v>7320150005</v>
      </c>
      <c r="B2083" s="16" t="s">
        <v>20886</v>
      </c>
      <c r="C2083" s="16" t="e">
        <f>VLOOKUP(Table1[[#This Row],[Node]],Parent!A:B,2,0)</f>
        <v>#N/A</v>
      </c>
      <c r="D2083" s="25" t="s">
        <v>19346</v>
      </c>
      <c r="E2083" s="26" t="s">
        <v>16544</v>
      </c>
      <c r="F2083" s="27" t="s">
        <v>18569</v>
      </c>
      <c r="G2083" s="27" t="s">
        <v>18570</v>
      </c>
      <c r="H2083" s="27" t="s">
        <v>18591</v>
      </c>
      <c r="I2083" s="27"/>
      <c r="J2083" s="27"/>
      <c r="K2083" s="27"/>
      <c r="L2083" s="27"/>
      <c r="N2083" s="27"/>
      <c r="T2083" s="28" t="str">
        <f>LOOKUP(1,1/(Table1[[#This Row],[Level_0]:[Level 15]]&gt;0),(Table1[[#This Row],[Level_0]:[Level 15]]))</f>
        <v>7320150005 - [AOM Cost transfer Charge Waste Air]</v>
      </c>
      <c r="U2083" s="22">
        <v>2078</v>
      </c>
      <c r="W2083" s="13" t="str">
        <f>LOOKUP(1,1/(Table1[[#This Row],[Level_0]:[Level 15]]&gt;0),(Table1[[#This Row],[Level_0]:[Level 15]]))</f>
        <v>7320150005 - [AOM Cost transfer Charge Waste Air]</v>
      </c>
    </row>
    <row r="2084" spans="1:23" hidden="1" x14ac:dyDescent="0.25">
      <c r="A2084">
        <v>7320150004</v>
      </c>
      <c r="B2084" s="16" t="s">
        <v>20885</v>
      </c>
      <c r="C2084" s="16" t="e">
        <f>VLOOKUP(Table1[[#This Row],[Node]],Parent!A:B,2,0)</f>
        <v>#N/A</v>
      </c>
      <c r="D2084" s="25" t="s">
        <v>19346</v>
      </c>
      <c r="E2084" s="26" t="s">
        <v>16544</v>
      </c>
      <c r="F2084" s="27" t="s">
        <v>18569</v>
      </c>
      <c r="G2084" s="27" t="s">
        <v>18570</v>
      </c>
      <c r="H2084" s="27" t="s">
        <v>18592</v>
      </c>
      <c r="I2084" s="27"/>
      <c r="J2084" s="27"/>
      <c r="K2084" s="27"/>
      <c r="L2084" s="27"/>
      <c r="N2084" s="27"/>
      <c r="T2084" s="28" t="str">
        <f>LOOKUP(1,1/(Table1[[#This Row],[Level_0]:[Level 15]]&gt;0),(Table1[[#This Row],[Level_0]:[Level 15]]))</f>
        <v>7320150004 - [AOM Waste Air]</v>
      </c>
      <c r="U2084" s="22">
        <v>2079</v>
      </c>
      <c r="W2084" s="13" t="str">
        <f>LOOKUP(1,1/(Table1[[#This Row],[Level_0]:[Level 15]]&gt;0),(Table1[[#This Row],[Level_0]:[Level 15]]))</f>
        <v>7320150004 - [AOM Waste Air]</v>
      </c>
    </row>
    <row r="2085" spans="1:23" hidden="1" x14ac:dyDescent="0.25">
      <c r="A2085">
        <v>7320150003</v>
      </c>
      <c r="B2085" s="16" t="s">
        <v>20884</v>
      </c>
      <c r="C2085" s="16" t="e">
        <f>VLOOKUP(Table1[[#This Row],[Node]],Parent!A:B,2,0)</f>
        <v>#N/A</v>
      </c>
      <c r="D2085" s="25" t="s">
        <v>19346</v>
      </c>
      <c r="E2085" s="26" t="s">
        <v>16544</v>
      </c>
      <c r="F2085" s="27" t="s">
        <v>18569</v>
      </c>
      <c r="G2085" s="27" t="s">
        <v>18570</v>
      </c>
      <c r="H2085" s="27" t="s">
        <v>18593</v>
      </c>
      <c r="I2085" s="27"/>
      <c r="J2085" s="27"/>
      <c r="K2085" s="27"/>
      <c r="L2085" s="27"/>
      <c r="N2085" s="27"/>
      <c r="T2085" s="28" t="str">
        <f>LOOKUP(1,1/(Table1[[#This Row],[Level_0]:[Level 15]]&gt;0),(Table1[[#This Row],[Level_0]:[Level 15]]))</f>
        <v>7320150003 - [AOM Solid water]</v>
      </c>
      <c r="U2085" s="22">
        <v>2080</v>
      </c>
      <c r="W2085" s="13" t="str">
        <f>LOOKUP(1,1/(Table1[[#This Row],[Level_0]:[Level 15]]&gt;0),(Table1[[#This Row],[Level_0]:[Level 15]]))</f>
        <v>7320150003 - [AOM Solid water]</v>
      </c>
    </row>
    <row r="2086" spans="1:23" hidden="1" x14ac:dyDescent="0.25">
      <c r="A2086">
        <v>7320150002</v>
      </c>
      <c r="B2086" s="16" t="s">
        <v>20883</v>
      </c>
      <c r="C2086" s="16" t="e">
        <f>VLOOKUP(Table1[[#This Row],[Node]],Parent!A:B,2,0)</f>
        <v>#N/A</v>
      </c>
      <c r="D2086" s="25" t="s">
        <v>19346</v>
      </c>
      <c r="E2086" s="26" t="s">
        <v>16544</v>
      </c>
      <c r="F2086" s="27" t="s">
        <v>18569</v>
      </c>
      <c r="G2086" s="27" t="s">
        <v>18570</v>
      </c>
      <c r="H2086" s="27" t="s">
        <v>18594</v>
      </c>
      <c r="I2086" s="27"/>
      <c r="J2086" s="27"/>
      <c r="K2086" s="27"/>
      <c r="L2086" s="27"/>
      <c r="N2086" s="27"/>
      <c r="T2086" s="28" t="str">
        <f>LOOKUP(1,1/(Table1[[#This Row],[Level_0]:[Level 15]]&gt;0),(Table1[[#This Row],[Level_0]:[Level 15]]))</f>
        <v>7320150002 - [AOM Solid waste]</v>
      </c>
      <c r="U2086" s="22">
        <v>2081</v>
      </c>
      <c r="W2086" s="13" t="str">
        <f>LOOKUP(1,1/(Table1[[#This Row],[Level_0]:[Level 15]]&gt;0),(Table1[[#This Row],[Level_0]:[Level 15]]))</f>
        <v>7320150002 - [AOM Solid waste]</v>
      </c>
    </row>
    <row r="2087" spans="1:23" hidden="1" x14ac:dyDescent="0.25">
      <c r="A2087">
        <v>7320150001</v>
      </c>
      <c r="B2087" s="16" t="s">
        <v>20882</v>
      </c>
      <c r="C2087" s="16" t="e">
        <f>VLOOKUP(Table1[[#This Row],[Node]],Parent!A:B,2,0)</f>
        <v>#N/A</v>
      </c>
      <c r="D2087" s="25" t="s">
        <v>19346</v>
      </c>
      <c r="E2087" s="26" t="s">
        <v>16544</v>
      </c>
      <c r="F2087" s="27" t="s">
        <v>18569</v>
      </c>
      <c r="G2087" s="27" t="s">
        <v>18570</v>
      </c>
      <c r="H2087" s="27" t="s">
        <v>18595</v>
      </c>
      <c r="I2087" s="27"/>
      <c r="J2087" s="27"/>
      <c r="K2087" s="27"/>
      <c r="L2087" s="27"/>
      <c r="N2087" s="27"/>
      <c r="T2087" s="28" t="str">
        <f>LOOKUP(1,1/(Table1[[#This Row],[Level_0]:[Level 15]]&gt;0),(Table1[[#This Row],[Level_0]:[Level 15]]))</f>
        <v>7320150001 - [AOM Other environmental costs]</v>
      </c>
      <c r="U2087" s="22">
        <v>2082</v>
      </c>
      <c r="W2087" s="13" t="str">
        <f>LOOKUP(1,1/(Table1[[#This Row],[Level_0]:[Level 15]]&gt;0),(Table1[[#This Row],[Level_0]:[Level 15]]))</f>
        <v>7320150001 - [AOM Other environmental costs]</v>
      </c>
    </row>
    <row r="2088" spans="1:23" hidden="1" x14ac:dyDescent="0.25">
      <c r="A2088">
        <v>7320110004</v>
      </c>
      <c r="B2088" s="16" t="s">
        <v>20838</v>
      </c>
      <c r="C2088" s="16" t="e">
        <f>VLOOKUP(Table1[[#This Row],[Node]],Parent!A:B,2,0)</f>
        <v>#N/A</v>
      </c>
      <c r="D2088" s="25" t="s">
        <v>19346</v>
      </c>
      <c r="E2088" s="26" t="s">
        <v>16544</v>
      </c>
      <c r="F2088" s="27" t="s">
        <v>18569</v>
      </c>
      <c r="G2088" s="27" t="s">
        <v>18570</v>
      </c>
      <c r="H2088" s="27" t="s">
        <v>18596</v>
      </c>
      <c r="I2088" s="27"/>
      <c r="J2088" s="27"/>
      <c r="K2088" s="27"/>
      <c r="L2088" s="27"/>
      <c r="N2088" s="27"/>
      <c r="T2088" s="28" t="str">
        <f>LOOKUP(1,1/(Table1[[#This Row],[Level_0]:[Level 15]]&gt;0),(Table1[[#This Row],[Level_0]:[Level 15]]))</f>
        <v>7320110004 - [AOM Alloc. Envir. Costs  (Comp. Split)]</v>
      </c>
      <c r="U2088" s="22">
        <v>2083</v>
      </c>
      <c r="W2088" s="13" t="str">
        <f>LOOKUP(1,1/(Table1[[#This Row],[Level_0]:[Level 15]]&gt;0),(Table1[[#This Row],[Level_0]:[Level 15]]))</f>
        <v>7320110004 - [AOM Alloc. Envir. Costs  (Comp. Split)]</v>
      </c>
    </row>
    <row r="2089" spans="1:23" hidden="1" x14ac:dyDescent="0.25">
      <c r="A2089">
        <v>7310150004</v>
      </c>
      <c r="B2089" s="16" t="s">
        <v>20831</v>
      </c>
      <c r="C2089" s="16" t="e">
        <f>VLOOKUP(Table1[[#This Row],[Node]],Parent!A:B,2,0)</f>
        <v>#N/A</v>
      </c>
      <c r="D2089" s="25" t="s">
        <v>19346</v>
      </c>
      <c r="E2089" s="26" t="s">
        <v>16544</v>
      </c>
      <c r="F2089" s="27" t="s">
        <v>18569</v>
      </c>
      <c r="G2089" s="27" t="s">
        <v>18570</v>
      </c>
      <c r="H2089" s="27" t="s">
        <v>18597</v>
      </c>
      <c r="I2089" s="27"/>
      <c r="J2089" s="27"/>
      <c r="K2089" s="27"/>
      <c r="L2089" s="27"/>
      <c r="N2089" s="27"/>
      <c r="T2089" s="28" t="str">
        <f>LOOKUP(1,1/(Table1[[#This Row],[Level_0]:[Level 15]]&gt;0),(Table1[[#This Row],[Level_0]:[Level 15]]))</f>
        <v>7310150004 - [IAA Waste - water]</v>
      </c>
      <c r="U2089" s="22">
        <v>2084</v>
      </c>
      <c r="W2089" s="13" t="str">
        <f>LOOKUP(1,1/(Table1[[#This Row],[Level_0]:[Level 15]]&gt;0),(Table1[[#This Row],[Level_0]:[Level 15]]))</f>
        <v>7310150004 - [IAA Waste - water]</v>
      </c>
    </row>
    <row r="2090" spans="1:23" hidden="1" x14ac:dyDescent="0.25">
      <c r="A2090">
        <v>7310150003</v>
      </c>
      <c r="B2090" s="16" t="s">
        <v>20830</v>
      </c>
      <c r="C2090" s="16" t="e">
        <f>VLOOKUP(Table1[[#This Row],[Node]],Parent!A:B,2,0)</f>
        <v>#N/A</v>
      </c>
      <c r="D2090" s="25" t="s">
        <v>19346</v>
      </c>
      <c r="E2090" s="26" t="s">
        <v>16544</v>
      </c>
      <c r="F2090" s="27" t="s">
        <v>18569</v>
      </c>
      <c r="G2090" s="27" t="s">
        <v>18570</v>
      </c>
      <c r="H2090" s="27" t="s">
        <v>18598</v>
      </c>
      <c r="I2090" s="27"/>
      <c r="J2090" s="27"/>
      <c r="K2090" s="27"/>
      <c r="L2090" s="27"/>
      <c r="N2090" s="27"/>
      <c r="T2090" s="28" t="str">
        <f>LOOKUP(1,1/(Table1[[#This Row],[Level_0]:[Level 15]]&gt;0),(Table1[[#This Row],[Level_0]:[Level 15]]))</f>
        <v>7310150003 - [IAA Waste - solid]</v>
      </c>
      <c r="U2090" s="22">
        <v>2085</v>
      </c>
      <c r="W2090" s="13" t="str">
        <f>LOOKUP(1,1/(Table1[[#This Row],[Level_0]:[Level 15]]&gt;0),(Table1[[#This Row],[Level_0]:[Level 15]]))</f>
        <v>7310150003 - [IAA Waste - solid]</v>
      </c>
    </row>
    <row r="2091" spans="1:23" hidden="1" x14ac:dyDescent="0.25">
      <c r="A2091">
        <v>7310150002</v>
      </c>
      <c r="B2091" s="16" t="s">
        <v>20829</v>
      </c>
      <c r="C2091" s="16" t="e">
        <f>VLOOKUP(Table1[[#This Row],[Node]],Parent!A:B,2,0)</f>
        <v>#N/A</v>
      </c>
      <c r="D2091" s="25" t="s">
        <v>19346</v>
      </c>
      <c r="E2091" s="26" t="s">
        <v>16544</v>
      </c>
      <c r="F2091" s="27" t="s">
        <v>18569</v>
      </c>
      <c r="G2091" s="27" t="s">
        <v>18570</v>
      </c>
      <c r="H2091" s="27" t="s">
        <v>18599</v>
      </c>
      <c r="I2091" s="27"/>
      <c r="J2091" s="27"/>
      <c r="K2091" s="27"/>
      <c r="L2091" s="27"/>
      <c r="N2091" s="27"/>
      <c r="T2091" s="28" t="str">
        <f>LOOKUP(1,1/(Table1[[#This Row],[Level_0]:[Level 15]]&gt;0),(Table1[[#This Row],[Level_0]:[Level 15]]))</f>
        <v>7310150002 - [IAA Waste - air]</v>
      </c>
      <c r="U2091" s="22">
        <v>2086</v>
      </c>
      <c r="W2091" s="13" t="str">
        <f>LOOKUP(1,1/(Table1[[#This Row],[Level_0]:[Level 15]]&gt;0),(Table1[[#This Row],[Level_0]:[Level 15]]))</f>
        <v>7310150002 - [IAA Waste - air]</v>
      </c>
    </row>
    <row r="2092" spans="1:23" hidden="1" x14ac:dyDescent="0.25">
      <c r="A2092">
        <v>7310150001</v>
      </c>
      <c r="B2092" s="16" t="s">
        <v>20828</v>
      </c>
      <c r="C2092" s="16" t="e">
        <f>VLOOKUP(Table1[[#This Row],[Node]],Parent!A:B,2,0)</f>
        <v>#N/A</v>
      </c>
      <c r="D2092" s="25" t="s">
        <v>19346</v>
      </c>
      <c r="E2092" s="26" t="s">
        <v>16544</v>
      </c>
      <c r="F2092" s="27" t="s">
        <v>18569</v>
      </c>
      <c r="G2092" s="27" t="s">
        <v>18570</v>
      </c>
      <c r="H2092" s="27" t="s">
        <v>18600</v>
      </c>
      <c r="I2092" s="27"/>
      <c r="J2092" s="27"/>
      <c r="K2092" s="27"/>
      <c r="L2092" s="27"/>
      <c r="N2092" s="27"/>
      <c r="T2092" s="28" t="str">
        <f>LOOKUP(1,1/(Table1[[#This Row],[Level_0]:[Level 15]]&gt;0),(Table1[[#This Row],[Level_0]:[Level 15]]))</f>
        <v>7310150001 - [IAA Other environmental costs]</v>
      </c>
      <c r="U2092" s="22">
        <v>2087</v>
      </c>
      <c r="W2092" s="13" t="str">
        <f>LOOKUP(1,1/(Table1[[#This Row],[Level_0]:[Level 15]]&gt;0),(Table1[[#This Row],[Level_0]:[Level 15]]))</f>
        <v>7310150001 - [IAA Other environmental costs]</v>
      </c>
    </row>
    <row r="2093" spans="1:23" hidden="1" x14ac:dyDescent="0.25">
      <c r="A2093">
        <v>7301150004</v>
      </c>
      <c r="B2093" s="16" t="s">
        <v>20811</v>
      </c>
      <c r="C2093" s="16" t="e">
        <f>VLOOKUP(Table1[[#This Row],[Node]],Parent!A:B,2,0)</f>
        <v>#N/A</v>
      </c>
      <c r="D2093" s="25" t="s">
        <v>19346</v>
      </c>
      <c r="E2093" s="26" t="s">
        <v>16544</v>
      </c>
      <c r="F2093" s="27" t="s">
        <v>18569</v>
      </c>
      <c r="G2093" s="27" t="s">
        <v>18570</v>
      </c>
      <c r="H2093" s="27" t="s">
        <v>18601</v>
      </c>
      <c r="I2093" s="27"/>
      <c r="J2093" s="27"/>
      <c r="K2093" s="27"/>
      <c r="L2093" s="27"/>
      <c r="N2093" s="27"/>
      <c r="T2093" s="28" t="str">
        <f>LOOKUP(1,1/(Table1[[#This Row],[Level_0]:[Level 15]]&gt;0),(Table1[[#This Row],[Level_0]:[Level 15]]))</f>
        <v>7301150004 - [DAA Other environmental protection]</v>
      </c>
      <c r="U2093" s="22">
        <v>2088</v>
      </c>
      <c r="W2093" s="13" t="str">
        <f>LOOKUP(1,1/(Table1[[#This Row],[Level_0]:[Level 15]]&gt;0),(Table1[[#This Row],[Level_0]:[Level 15]]))</f>
        <v>7301150004 - [DAA Other environmental protection]</v>
      </c>
    </row>
    <row r="2094" spans="1:23" hidden="1" x14ac:dyDescent="0.25">
      <c r="A2094">
        <v>7301150003</v>
      </c>
      <c r="B2094" s="16" t="s">
        <v>20810</v>
      </c>
      <c r="C2094" s="16" t="e">
        <f>VLOOKUP(Table1[[#This Row],[Node]],Parent!A:B,2,0)</f>
        <v>#N/A</v>
      </c>
      <c r="D2094" s="25" t="s">
        <v>19346</v>
      </c>
      <c r="E2094" s="26" t="s">
        <v>16544</v>
      </c>
      <c r="F2094" s="27" t="s">
        <v>18569</v>
      </c>
      <c r="G2094" s="27" t="s">
        <v>18570</v>
      </c>
      <c r="H2094" s="27" t="s">
        <v>18602</v>
      </c>
      <c r="I2094" s="27"/>
      <c r="J2094" s="27"/>
      <c r="K2094" s="27"/>
      <c r="L2094" s="27"/>
      <c r="N2094" s="27"/>
      <c r="T2094" s="28" t="str">
        <f>LOOKUP(1,1/(Table1[[#This Row],[Level_0]:[Level 15]]&gt;0),(Table1[[#This Row],[Level_0]:[Level 15]]))</f>
        <v>7301150003 - [DAA Waste - water]</v>
      </c>
      <c r="U2094" s="22">
        <v>2089</v>
      </c>
      <c r="W2094" s="13" t="str">
        <f>LOOKUP(1,1/(Table1[[#This Row],[Level_0]:[Level 15]]&gt;0),(Table1[[#This Row],[Level_0]:[Level 15]]))</f>
        <v>7301150003 - [DAA Waste - water]</v>
      </c>
    </row>
    <row r="2095" spans="1:23" hidden="1" x14ac:dyDescent="0.25">
      <c r="A2095">
        <v>7301150002</v>
      </c>
      <c r="B2095" s="16" t="s">
        <v>20809</v>
      </c>
      <c r="C2095" s="16" t="e">
        <f>VLOOKUP(Table1[[#This Row],[Node]],Parent!A:B,2,0)</f>
        <v>#N/A</v>
      </c>
      <c r="D2095" s="25" t="s">
        <v>19346</v>
      </c>
      <c r="E2095" s="26" t="s">
        <v>16544</v>
      </c>
      <c r="F2095" s="27" t="s">
        <v>18569</v>
      </c>
      <c r="G2095" s="27" t="s">
        <v>18570</v>
      </c>
      <c r="H2095" s="27" t="s">
        <v>18603</v>
      </c>
      <c r="I2095" s="27"/>
      <c r="J2095" s="27"/>
      <c r="K2095" s="27"/>
      <c r="L2095" s="27"/>
      <c r="N2095" s="27"/>
      <c r="T2095" s="28" t="str">
        <f>LOOKUP(1,1/(Table1[[#This Row],[Level_0]:[Level 15]]&gt;0),(Table1[[#This Row],[Level_0]:[Level 15]]))</f>
        <v>7301150002 - [DAA Waste - solid]</v>
      </c>
      <c r="U2095" s="22">
        <v>2090</v>
      </c>
      <c r="W2095" s="13" t="str">
        <f>LOOKUP(1,1/(Table1[[#This Row],[Level_0]:[Level 15]]&gt;0),(Table1[[#This Row],[Level_0]:[Level 15]]))</f>
        <v>7301150002 - [DAA Waste - solid]</v>
      </c>
    </row>
    <row r="2096" spans="1:23" hidden="1" x14ac:dyDescent="0.25">
      <c r="A2096">
        <v>7301150001</v>
      </c>
      <c r="B2096" s="16" t="s">
        <v>20808</v>
      </c>
      <c r="C2096" s="16" t="e">
        <f>VLOOKUP(Table1[[#This Row],[Node]],Parent!A:B,2,0)</f>
        <v>#N/A</v>
      </c>
      <c r="D2096" s="25" t="s">
        <v>19346</v>
      </c>
      <c r="E2096" s="26" t="s">
        <v>16544</v>
      </c>
      <c r="F2096" s="27" t="s">
        <v>18569</v>
      </c>
      <c r="G2096" s="27" t="s">
        <v>18570</v>
      </c>
      <c r="H2096" s="27" t="s">
        <v>18604</v>
      </c>
      <c r="I2096" s="27"/>
      <c r="J2096" s="27"/>
      <c r="K2096" s="27"/>
      <c r="L2096" s="27"/>
      <c r="N2096" s="27"/>
      <c r="T2096" s="28" t="str">
        <f>LOOKUP(1,1/(Table1[[#This Row],[Level_0]:[Level 15]]&gt;0),(Table1[[#This Row],[Level_0]:[Level 15]]))</f>
        <v>7301150001 - [DAA Waste - air]</v>
      </c>
      <c r="U2096" s="22">
        <v>2091</v>
      </c>
      <c r="W2096" s="13" t="str">
        <f>LOOKUP(1,1/(Table1[[#This Row],[Level_0]:[Level 15]]&gt;0),(Table1[[#This Row],[Level_0]:[Level 15]]))</f>
        <v>7301150001 - [DAA Waste - air]</v>
      </c>
    </row>
    <row r="2097" spans="1:23" hidden="1" x14ac:dyDescent="0.25">
      <c r="A2097">
        <v>7200000002</v>
      </c>
      <c r="B2097" s="16" t="s">
        <v>20692</v>
      </c>
      <c r="C2097" s="16" t="e">
        <f>VLOOKUP(Table1[[#This Row],[Node]],Parent!A:B,2,0)</f>
        <v>#N/A</v>
      </c>
      <c r="D2097" s="25" t="s">
        <v>19346</v>
      </c>
      <c r="E2097" s="26" t="s">
        <v>16544</v>
      </c>
      <c r="F2097" s="27" t="s">
        <v>18569</v>
      </c>
      <c r="G2097" s="27" t="s">
        <v>18570</v>
      </c>
      <c r="H2097" s="27" t="s">
        <v>18605</v>
      </c>
      <c r="I2097" s="27"/>
      <c r="J2097" s="27"/>
      <c r="K2097" s="27"/>
      <c r="L2097" s="27"/>
      <c r="N2097" s="27"/>
      <c r="T2097" s="28" t="str">
        <f>LOOKUP(1,1/(Table1[[#This Row],[Level_0]:[Level 15]]&gt;0),(Table1[[#This Row],[Level_0]:[Level 15]]))</f>
        <v>7200000002 - [DAA E, H, S]</v>
      </c>
      <c r="U2097" s="22">
        <v>2092</v>
      </c>
      <c r="W2097" s="13" t="str">
        <f>LOOKUP(1,1/(Table1[[#This Row],[Level_0]:[Level 15]]&gt;0),(Table1[[#This Row],[Level_0]:[Level 15]]))</f>
        <v>7200000002 - [DAA E, H, S]</v>
      </c>
    </row>
    <row r="2098" spans="1:23" hidden="1" x14ac:dyDescent="0.25">
      <c r="A2098">
        <v>7020000002</v>
      </c>
      <c r="B2098" s="16" t="s">
        <v>20641</v>
      </c>
      <c r="C2098" s="16" t="e">
        <f>VLOOKUP(Table1[[#This Row],[Node]],Parent!A:B,2,0)</f>
        <v>#N/A</v>
      </c>
      <c r="D2098" s="25" t="s">
        <v>19346</v>
      </c>
      <c r="E2098" s="26" t="s">
        <v>16544</v>
      </c>
      <c r="F2098" s="27" t="s">
        <v>18569</v>
      </c>
      <c r="G2098" s="27" t="s">
        <v>18570</v>
      </c>
      <c r="H2098" s="27" t="s">
        <v>18606</v>
      </c>
      <c r="I2098" s="27"/>
      <c r="J2098" s="27"/>
      <c r="K2098" s="27"/>
      <c r="L2098" s="27"/>
      <c r="N2098" s="27"/>
      <c r="T2098" s="28" t="str">
        <f>LOOKUP(1,1/(Table1[[#This Row],[Level_0]:[Level 15]]&gt;0),(Table1[[#This Row],[Level_0]:[Level 15]]))</f>
        <v>7020000002 - [AOM Environmental Department]</v>
      </c>
      <c r="U2098" s="22">
        <v>2093</v>
      </c>
      <c r="W2098" s="13" t="str">
        <f>LOOKUP(1,1/(Table1[[#This Row],[Level_0]:[Level 15]]&gt;0),(Table1[[#This Row],[Level_0]:[Level 15]]))</f>
        <v>7020000002 - [AOM Environmental Department]</v>
      </c>
    </row>
    <row r="2099" spans="1:23" hidden="1" x14ac:dyDescent="0.25">
      <c r="A2099">
        <v>5984010000</v>
      </c>
      <c r="B2099" s="16" t="s">
        <v>20635</v>
      </c>
      <c r="C2099" s="16" t="e">
        <f>VLOOKUP(Table1[[#This Row],[Node]],Parent!A:B,2,0)</f>
        <v>#N/A</v>
      </c>
      <c r="D2099" s="25" t="s">
        <v>19346</v>
      </c>
      <c r="E2099" s="26" t="s">
        <v>16544</v>
      </c>
      <c r="F2099" s="27" t="s">
        <v>18569</v>
      </c>
      <c r="G2099" s="27" t="s">
        <v>18570</v>
      </c>
      <c r="H2099" s="27" t="s">
        <v>18607</v>
      </c>
      <c r="I2099" s="27"/>
      <c r="J2099" s="27"/>
      <c r="K2099" s="27"/>
      <c r="L2099" s="27"/>
      <c r="N2099" s="27"/>
      <c r="T2099" s="28" t="str">
        <f>LOOKUP(1,1/(Table1[[#This Row],[Level_0]:[Level 15]]&gt;0),(Table1[[#This Row],[Level_0]:[Level 15]]))</f>
        <v>5984010000 - [Reimbursement IC - Environm&amp;Quality Serv]</v>
      </c>
      <c r="U2099" s="22">
        <v>2094</v>
      </c>
      <c r="W2099" s="13" t="str">
        <f>LOOKUP(1,1/(Table1[[#This Row],[Level_0]:[Level 15]]&gt;0),(Table1[[#This Row],[Level_0]:[Level 15]]))</f>
        <v>5984010000 - [Reimbursement IC - Environm&amp;Quality Serv]</v>
      </c>
    </row>
    <row r="2100" spans="1:23" hidden="1" x14ac:dyDescent="0.25">
      <c r="A2100">
        <v>5224010000</v>
      </c>
      <c r="B2100" s="16" t="s">
        <v>20186</v>
      </c>
      <c r="C2100" s="16" t="e">
        <f>VLOOKUP(Table1[[#This Row],[Node]],Parent!A:B,2,0)</f>
        <v>#N/A</v>
      </c>
      <c r="D2100" s="25" t="s">
        <v>19346</v>
      </c>
      <c r="E2100" s="26" t="s">
        <v>16544</v>
      </c>
      <c r="F2100" s="27" t="s">
        <v>18569</v>
      </c>
      <c r="G2100" s="27" t="s">
        <v>18570</v>
      </c>
      <c r="H2100" s="27" t="s">
        <v>18608</v>
      </c>
      <c r="I2100" s="27"/>
      <c r="J2100" s="27"/>
      <c r="K2100" s="27"/>
      <c r="L2100" s="27"/>
      <c r="N2100" s="27"/>
      <c r="T2100" s="28" t="str">
        <f>LOOKUP(1,1/(Table1[[#This Row],[Level_0]:[Level 15]]&gt;0),(Table1[[#This Row],[Level_0]:[Level 15]]))</f>
        <v>5224010000 - [IC Exp - SMS - Environmental Analysis]</v>
      </c>
      <c r="U2100" s="22">
        <v>2095</v>
      </c>
      <c r="W2100" s="13" t="str">
        <f>LOOKUP(1,1/(Table1[[#This Row],[Level_0]:[Level 15]]&gt;0),(Table1[[#This Row],[Level_0]:[Level 15]]))</f>
        <v>5224010000 - [IC Exp - SMS - Environmental Analysis]</v>
      </c>
    </row>
    <row r="2101" spans="1:23" hidden="1" x14ac:dyDescent="0.25">
      <c r="A2101">
        <v>5222600000</v>
      </c>
      <c r="B2101" s="16" t="s">
        <v>20175</v>
      </c>
      <c r="C2101" s="16" t="e">
        <f>VLOOKUP(Table1[[#This Row],[Node]],Parent!A:B,2,0)</f>
        <v>#N/A</v>
      </c>
      <c r="D2101" s="25" t="s">
        <v>19346</v>
      </c>
      <c r="E2101" s="26" t="s">
        <v>16544</v>
      </c>
      <c r="F2101" s="27" t="s">
        <v>18569</v>
      </c>
      <c r="G2101" s="27" t="s">
        <v>18570</v>
      </c>
      <c r="H2101" s="27" t="s">
        <v>18609</v>
      </c>
      <c r="I2101" s="27"/>
      <c r="J2101" s="27"/>
      <c r="K2101" s="27"/>
      <c r="L2101" s="27"/>
      <c r="N2101" s="27"/>
      <c r="T2101" s="28" t="str">
        <f>LOOKUP(1,1/(Table1[[#This Row],[Level_0]:[Level 15]]&gt;0),(Table1[[#This Row],[Level_0]:[Level 15]]))</f>
        <v>5222600000 - [Site Serv - Disp Exp - Pub Chr for Disp]</v>
      </c>
      <c r="U2101" s="22">
        <v>2096</v>
      </c>
      <c r="W2101" s="13" t="str">
        <f>LOOKUP(1,1/(Table1[[#This Row],[Level_0]:[Level 15]]&gt;0),(Table1[[#This Row],[Level_0]:[Level 15]]))</f>
        <v>5222600000 - [Site Serv - Disp Exp - Pub Chr for Disp]</v>
      </c>
    </row>
    <row r="2102" spans="1:23" hidden="1" x14ac:dyDescent="0.25">
      <c r="A2102">
        <v>5222400000</v>
      </c>
      <c r="B2102" s="16" t="s">
        <v>20172</v>
      </c>
      <c r="C2102" s="16" t="e">
        <f>VLOOKUP(Table1[[#This Row],[Node]],Parent!A:B,2,0)</f>
        <v>#N/A</v>
      </c>
      <c r="D2102" s="25" t="s">
        <v>19346</v>
      </c>
      <c r="E2102" s="26" t="s">
        <v>16544</v>
      </c>
      <c r="F2102" s="27" t="s">
        <v>18569</v>
      </c>
      <c r="G2102" s="27" t="s">
        <v>18570</v>
      </c>
      <c r="H2102" s="27" t="s">
        <v>18610</v>
      </c>
      <c r="I2102" s="27"/>
      <c r="J2102" s="27"/>
      <c r="K2102" s="27"/>
      <c r="L2102" s="27"/>
      <c r="N2102" s="27"/>
      <c r="T2102" s="28" t="str">
        <f>LOOKUP(1,1/(Table1[[#This Row],[Level_0]:[Level 15]]&gt;0),(Table1[[#This Row],[Level_0]:[Level 15]]))</f>
        <v>5222400000 - [Site Serv - Disp Exp]</v>
      </c>
      <c r="U2102" s="22">
        <v>2097</v>
      </c>
      <c r="W2102" s="13" t="str">
        <f>LOOKUP(1,1/(Table1[[#This Row],[Level_0]:[Level 15]]&gt;0),(Table1[[#This Row],[Level_0]:[Level 15]]))</f>
        <v>5222400000 - [Site Serv - Disp Exp]</v>
      </c>
    </row>
    <row r="2103" spans="1:23" hidden="1" x14ac:dyDescent="0.25">
      <c r="A2103">
        <v>5221410000</v>
      </c>
      <c r="B2103" s="16" t="s">
        <v>20163</v>
      </c>
      <c r="C2103" s="16" t="e">
        <f>VLOOKUP(Table1[[#This Row],[Node]],Parent!A:B,2,0)</f>
        <v>#N/A</v>
      </c>
      <c r="D2103" s="25" t="s">
        <v>19346</v>
      </c>
      <c r="E2103" s="26" t="s">
        <v>16544</v>
      </c>
      <c r="F2103" s="27" t="s">
        <v>18569</v>
      </c>
      <c r="G2103" s="27" t="s">
        <v>18570</v>
      </c>
      <c r="H2103" s="27" t="s">
        <v>18611</v>
      </c>
      <c r="I2103" s="27"/>
      <c r="J2103" s="27"/>
      <c r="K2103" s="27"/>
      <c r="L2103" s="27"/>
      <c r="N2103" s="27"/>
      <c r="T2103" s="28" t="str">
        <f>LOOKUP(1,1/(Table1[[#This Row],[Level_0]:[Level 15]]&gt;0),(Table1[[#This Row],[Level_0]:[Level 15]]))</f>
        <v>5221410000 - [IC Exp - DIV - Enviro Health&amp;Safety Serv]</v>
      </c>
      <c r="U2103" s="22">
        <v>2098</v>
      </c>
      <c r="W2103" s="13" t="str">
        <f>LOOKUP(1,1/(Table1[[#This Row],[Level_0]:[Level 15]]&gt;0),(Table1[[#This Row],[Level_0]:[Level 15]]))</f>
        <v>5221410000 - [IC Exp - DIV - Enviro Health&amp;Safety Serv]</v>
      </c>
    </row>
    <row r="2104" spans="1:23" hidden="1" x14ac:dyDescent="0.25">
      <c r="A2104">
        <v>120400</v>
      </c>
      <c r="B2104" s="16" t="s">
        <v>19414</v>
      </c>
      <c r="C2104" s="16" t="e">
        <f>VLOOKUP(Table1[[#This Row],[Node]],Parent!A:B,2,0)</f>
        <v>#N/A</v>
      </c>
      <c r="D2104" s="25" t="s">
        <v>19346</v>
      </c>
      <c r="E2104" s="26" t="s">
        <v>16544</v>
      </c>
      <c r="F2104" s="27" t="s">
        <v>18569</v>
      </c>
      <c r="G2104" s="27" t="s">
        <v>18612</v>
      </c>
      <c r="H2104" s="27"/>
      <c r="I2104" s="27"/>
      <c r="J2104" s="27"/>
      <c r="K2104" s="27"/>
      <c r="L2104" s="27"/>
      <c r="N2104" s="27"/>
      <c r="T2104" s="28" t="str">
        <f>LOOKUP(1,1/(Table1[[#This Row],[Level_0]:[Level 15]]&gt;0),(Table1[[#This Row],[Level_0]:[Level 15]]))</f>
        <v>120400 - [Quality and Analytics costs]</v>
      </c>
      <c r="U2104" s="22">
        <v>2099</v>
      </c>
      <c r="W2104" s="13" t="str">
        <f>LOOKUP(1,1/(Table1[[#This Row],[Level_0]:[Level 15]]&gt;0),(Table1[[#This Row],[Level_0]:[Level 15]]))</f>
        <v>120400 - [Quality and Analytics costs]</v>
      </c>
    </row>
    <row r="2105" spans="1:23" hidden="1" x14ac:dyDescent="0.25">
      <c r="A2105">
        <v>5771390000</v>
      </c>
      <c r="B2105" s="16" t="s">
        <v>20458</v>
      </c>
      <c r="C2105" s="16" t="e">
        <f>VLOOKUP(Table1[[#This Row],[Node]],Parent!A:B,2,0)</f>
        <v>#N/A</v>
      </c>
      <c r="D2105" s="25" t="s">
        <v>19346</v>
      </c>
      <c r="E2105" s="26" t="s">
        <v>16544</v>
      </c>
      <c r="F2105" s="27" t="s">
        <v>18569</v>
      </c>
      <c r="G2105" s="27" t="s">
        <v>18612</v>
      </c>
      <c r="H2105" s="27" t="s">
        <v>18613</v>
      </c>
      <c r="I2105" s="27"/>
      <c r="J2105" s="27"/>
      <c r="K2105" s="27"/>
      <c r="L2105" s="27"/>
      <c r="N2105" s="27"/>
      <c r="T2105" s="28" t="str">
        <f>LOOKUP(1,1/(Table1[[#This Row],[Level_0]:[Level 15]]&gt;0),(Table1[[#This Row],[Level_0]:[Level 15]]))</f>
        <v>5771390000 - [IC EXP - EL - PM-OT Project (extern)]</v>
      </c>
      <c r="U2105" s="22">
        <v>2100</v>
      </c>
      <c r="W2105" s="13" t="str">
        <f>LOOKUP(1,1/(Table1[[#This Row],[Level_0]:[Level 15]]&gt;0),(Table1[[#This Row],[Level_0]:[Level 15]]))</f>
        <v>5771390000 - [IC EXP - EL - PM-OT Project (extern)]</v>
      </c>
    </row>
    <row r="2106" spans="1:23" hidden="1" x14ac:dyDescent="0.25">
      <c r="A2106">
        <v>5230010000</v>
      </c>
      <c r="B2106" s="16" t="s">
        <v>20207</v>
      </c>
      <c r="C2106" s="16" t="e">
        <f>VLOOKUP(Table1[[#This Row],[Node]],Parent!A:B,2,0)</f>
        <v>#N/A</v>
      </c>
      <c r="D2106" s="25" t="s">
        <v>19346</v>
      </c>
      <c r="E2106" s="26" t="s">
        <v>16544</v>
      </c>
      <c r="F2106" s="27" t="s">
        <v>18569</v>
      </c>
      <c r="G2106" s="27" t="s">
        <v>18612</v>
      </c>
      <c r="H2106" s="27" t="s">
        <v>18614</v>
      </c>
      <c r="I2106" s="27"/>
      <c r="J2106" s="27"/>
      <c r="K2106" s="27"/>
      <c r="L2106" s="27"/>
      <c r="N2106" s="27"/>
      <c r="T2106" s="28" t="str">
        <f>LOOKUP(1,1/(Table1[[#This Row],[Level_0]:[Level 15]]&gt;0),(Table1[[#This Row],[Level_0]:[Level 15]]))</f>
        <v>5230010000 - [IC Exp - SMS - Analytics 10%]</v>
      </c>
      <c r="U2106" s="22">
        <v>2101</v>
      </c>
      <c r="W2106" s="13" t="str">
        <f>LOOKUP(1,1/(Table1[[#This Row],[Level_0]:[Level 15]]&gt;0),(Table1[[#This Row],[Level_0]:[Level 15]]))</f>
        <v>5230010000 - [IC Exp - SMS - Analytics 10%]</v>
      </c>
    </row>
    <row r="2107" spans="1:23" hidden="1" x14ac:dyDescent="0.25">
      <c r="A2107">
        <v>7920000009</v>
      </c>
      <c r="B2107" s="16" t="s">
        <v>21953</v>
      </c>
      <c r="C2107" s="16" t="e">
        <f>VLOOKUP(Table1[[#This Row],[Node]],Parent!A:B,2,0)</f>
        <v>#N/A</v>
      </c>
      <c r="D2107" s="25" t="s">
        <v>19346</v>
      </c>
      <c r="E2107" s="26" t="s">
        <v>16544</v>
      </c>
      <c r="F2107" s="27" t="s">
        <v>18569</v>
      </c>
      <c r="G2107" s="27" t="s">
        <v>18612</v>
      </c>
      <c r="H2107" s="27" t="s">
        <v>18615</v>
      </c>
      <c r="I2107" s="27"/>
      <c r="J2107" s="27"/>
      <c r="K2107" s="27"/>
      <c r="L2107" s="27"/>
      <c r="N2107" s="27"/>
      <c r="T2107" s="28" t="str">
        <f>LOOKUP(1,1/(Table1[[#This Row],[Level_0]:[Level 15]]&gt;0),(Table1[[#This Row],[Level_0]:[Level 15]]))</f>
        <v>7920000009 - [AOM DIV Design/creation of Testing Proce]</v>
      </c>
      <c r="U2107" s="22">
        <v>2102</v>
      </c>
      <c r="W2107" s="13" t="str">
        <f>LOOKUP(1,1/(Table1[[#This Row],[Level_0]:[Level 15]]&gt;0),(Table1[[#This Row],[Level_0]:[Level 15]]))</f>
        <v>7920000009 - [AOM DIV Design/creation of Testing Proce]</v>
      </c>
    </row>
    <row r="2108" spans="1:23" hidden="1" x14ac:dyDescent="0.25">
      <c r="A2108">
        <v>7920000006</v>
      </c>
      <c r="B2108" s="16" t="s">
        <v>21950</v>
      </c>
      <c r="C2108" s="16" t="e">
        <f>VLOOKUP(Table1[[#This Row],[Node]],Parent!A:B,2,0)</f>
        <v>#N/A</v>
      </c>
      <c r="D2108" s="25" t="s">
        <v>19346</v>
      </c>
      <c r="E2108" s="26" t="s">
        <v>16544</v>
      </c>
      <c r="F2108" s="27" t="s">
        <v>18569</v>
      </c>
      <c r="G2108" s="27" t="s">
        <v>18612</v>
      </c>
      <c r="H2108" s="27" t="s">
        <v>18616</v>
      </c>
      <c r="I2108" s="27"/>
      <c r="J2108" s="27"/>
      <c r="K2108" s="27"/>
      <c r="L2108" s="27"/>
      <c r="N2108" s="27"/>
      <c r="T2108" s="28" t="str">
        <f>LOOKUP(1,1/(Table1[[#This Row],[Level_0]:[Level 15]]&gt;0),(Table1[[#This Row],[Level_0]:[Level 15]]))</f>
        <v>7920000006 - [AOM SM Analytics Applict Mgmt]</v>
      </c>
      <c r="U2108" s="22">
        <v>2103</v>
      </c>
      <c r="W2108" s="13" t="str">
        <f>LOOKUP(1,1/(Table1[[#This Row],[Level_0]:[Level 15]]&gt;0),(Table1[[#This Row],[Level_0]:[Level 15]]))</f>
        <v>7920000006 - [AOM SM Analytics Applict Mgmt]</v>
      </c>
    </row>
    <row r="2109" spans="1:23" hidden="1" x14ac:dyDescent="0.25">
      <c r="A2109">
        <v>7920000005</v>
      </c>
      <c r="B2109" s="16" t="s">
        <v>21949</v>
      </c>
      <c r="C2109" s="16" t="e">
        <f>VLOOKUP(Table1[[#This Row],[Node]],Parent!A:B,2,0)</f>
        <v>#N/A</v>
      </c>
      <c r="D2109" s="25" t="s">
        <v>19346</v>
      </c>
      <c r="E2109" s="26" t="s">
        <v>16544</v>
      </c>
      <c r="F2109" s="27" t="s">
        <v>18569</v>
      </c>
      <c r="G2109" s="27" t="s">
        <v>18612</v>
      </c>
      <c r="H2109" s="27" t="s">
        <v>18617</v>
      </c>
      <c r="I2109" s="27"/>
      <c r="J2109" s="27"/>
      <c r="K2109" s="27"/>
      <c r="L2109" s="27"/>
      <c r="N2109" s="27"/>
      <c r="T2109" s="28" t="str">
        <f>LOOKUP(1,1/(Table1[[#This Row],[Level_0]:[Level 15]]&gt;0),(Table1[[#This Row],[Level_0]:[Level 15]]))</f>
        <v>7920000005 - [AOM SM Analytics 10%]</v>
      </c>
      <c r="U2109" s="22">
        <v>2104</v>
      </c>
      <c r="W2109" s="13" t="str">
        <f>LOOKUP(1,1/(Table1[[#This Row],[Level_0]:[Level 15]]&gt;0),(Table1[[#This Row],[Level_0]:[Level 15]]))</f>
        <v>7920000005 - [AOM SM Analytics 10%]</v>
      </c>
    </row>
    <row r="2110" spans="1:23" hidden="1" x14ac:dyDescent="0.25">
      <c r="A2110">
        <v>7620330116</v>
      </c>
      <c r="B2110" s="16" t="s">
        <v>21584</v>
      </c>
      <c r="C2110" s="16" t="e">
        <f>VLOOKUP(Table1[[#This Row],[Node]],Parent!A:B,2,0)</f>
        <v>#N/A</v>
      </c>
      <c r="D2110" s="25" t="s">
        <v>19346</v>
      </c>
      <c r="E2110" s="26" t="s">
        <v>16544</v>
      </c>
      <c r="F2110" s="27" t="s">
        <v>18569</v>
      </c>
      <c r="G2110" s="27" t="s">
        <v>18612</v>
      </c>
      <c r="H2110" s="27" t="s">
        <v>18618</v>
      </c>
      <c r="I2110" s="27"/>
      <c r="J2110" s="27"/>
      <c r="K2110" s="27"/>
      <c r="L2110" s="27"/>
      <c r="N2110" s="27"/>
      <c r="T2110" s="28" t="str">
        <f>LOOKUP(1,1/(Table1[[#This Row],[Level_0]:[Level 15]]&gt;0),(Table1[[#This Row],[Level_0]:[Level 15]]))</f>
        <v>7620330116 - [AOM_P_Gas reactions at pilot scale]</v>
      </c>
      <c r="U2110" s="22">
        <v>2105</v>
      </c>
      <c r="W2110" s="13" t="str">
        <f>LOOKUP(1,1/(Table1[[#This Row],[Level_0]:[Level 15]]&gt;0),(Table1[[#This Row],[Level_0]:[Level 15]]))</f>
        <v>7620330116 - [AOM_P_Gas reactions at pilot scale]</v>
      </c>
    </row>
    <row r="2111" spans="1:23" hidden="1" x14ac:dyDescent="0.25">
      <c r="A2111">
        <v>7620330109</v>
      </c>
      <c r="B2111" s="16" t="s">
        <v>21583</v>
      </c>
      <c r="C2111" s="16" t="e">
        <f>VLOOKUP(Table1[[#This Row],[Node]],Parent!A:B,2,0)</f>
        <v>#N/A</v>
      </c>
      <c r="D2111" s="25" t="s">
        <v>19346</v>
      </c>
      <c r="E2111" s="26" t="s">
        <v>16544</v>
      </c>
      <c r="F2111" s="27" t="s">
        <v>18569</v>
      </c>
      <c r="G2111" s="27" t="s">
        <v>18612</v>
      </c>
      <c r="H2111" s="27" t="s">
        <v>18619</v>
      </c>
      <c r="I2111" s="27"/>
      <c r="J2111" s="27"/>
      <c r="K2111" s="27"/>
      <c r="L2111" s="27"/>
      <c r="N2111" s="27"/>
      <c r="T2111" s="28" t="str">
        <f>LOOKUP(1,1/(Table1[[#This Row],[Level_0]:[Level 15]]&gt;0),(Table1[[#This Row],[Level_0]:[Level 15]]))</f>
        <v>7620330109 - [AOM_Investigation of material failure_P]</v>
      </c>
      <c r="U2111" s="22">
        <v>2106</v>
      </c>
      <c r="W2111" s="13" t="str">
        <f>LOOKUP(1,1/(Table1[[#This Row],[Level_0]:[Level 15]]&gt;0),(Table1[[#This Row],[Level_0]:[Level 15]]))</f>
        <v>7620330109 - [AOM_Investigation of material failure_P]</v>
      </c>
    </row>
    <row r="2112" spans="1:23" hidden="1" x14ac:dyDescent="0.25">
      <c r="A2112">
        <v>7620330108</v>
      </c>
      <c r="B2112" s="16" t="s">
        <v>21582</v>
      </c>
      <c r="C2112" s="16" t="e">
        <f>VLOOKUP(Table1[[#This Row],[Node]],Parent!A:B,2,0)</f>
        <v>#N/A</v>
      </c>
      <c r="D2112" s="25" t="s">
        <v>19346</v>
      </c>
      <c r="E2112" s="26" t="s">
        <v>16544</v>
      </c>
      <c r="F2112" s="27" t="s">
        <v>18569</v>
      </c>
      <c r="G2112" s="27" t="s">
        <v>18612</v>
      </c>
      <c r="H2112" s="27" t="s">
        <v>18620</v>
      </c>
      <c r="I2112" s="27"/>
      <c r="J2112" s="27"/>
      <c r="K2112" s="27"/>
      <c r="L2112" s="27"/>
      <c r="N2112" s="27"/>
      <c r="T2112" s="28" t="str">
        <f>LOOKUP(1,1/(Table1[[#This Row],[Level_0]:[Level 15]]&gt;0),(Table1[[#This Row],[Level_0]:[Level 15]]))</f>
        <v>7620330108 - [AOM_P_Corrosion testing_special cases]</v>
      </c>
      <c r="U2112" s="22">
        <v>2107</v>
      </c>
      <c r="W2112" s="13" t="str">
        <f>LOOKUP(1,1/(Table1[[#This Row],[Level_0]:[Level 15]]&gt;0),(Table1[[#This Row],[Level_0]:[Level 15]]))</f>
        <v>7620330108 - [AOM_P_Corrosion testing_special cases]</v>
      </c>
    </row>
    <row r="2113" spans="1:23" hidden="1" x14ac:dyDescent="0.25">
      <c r="A2113">
        <v>7620330102</v>
      </c>
      <c r="B2113" s="16" t="s">
        <v>21581</v>
      </c>
      <c r="C2113" s="16" t="e">
        <f>VLOOKUP(Table1[[#This Row],[Node]],Parent!A:B,2,0)</f>
        <v>#N/A</v>
      </c>
      <c r="D2113" s="25" t="s">
        <v>19346</v>
      </c>
      <c r="E2113" s="26" t="s">
        <v>16544</v>
      </c>
      <c r="F2113" s="27" t="s">
        <v>18569</v>
      </c>
      <c r="G2113" s="27" t="s">
        <v>18612</v>
      </c>
      <c r="H2113" s="27" t="s">
        <v>18621</v>
      </c>
      <c r="I2113" s="27"/>
      <c r="J2113" s="27"/>
      <c r="K2113" s="27"/>
      <c r="L2113" s="27"/>
      <c r="N2113" s="27"/>
      <c r="T2113" s="28" t="str">
        <f>LOOKUP(1,1/(Table1[[#This Row],[Level_0]:[Level 15]]&gt;0),(Table1[[#This Row],[Level_0]:[Level 15]]))</f>
        <v>7620330102 - [AOM_Process safety assessment_P]</v>
      </c>
      <c r="U2113" s="22">
        <v>2108</v>
      </c>
      <c r="W2113" s="13" t="str">
        <f>LOOKUP(1,1/(Table1[[#This Row],[Level_0]:[Level 15]]&gt;0),(Table1[[#This Row],[Level_0]:[Level 15]]))</f>
        <v>7620330102 - [AOM_Process safety assessment_P]</v>
      </c>
    </row>
    <row r="2114" spans="1:23" hidden="1" x14ac:dyDescent="0.25">
      <c r="A2114">
        <v>7620000025</v>
      </c>
      <c r="B2114" s="16" t="s">
        <v>21550</v>
      </c>
      <c r="C2114" s="16" t="e">
        <f>VLOOKUP(Table1[[#This Row],[Node]],Parent!A:B,2,0)</f>
        <v>#N/A</v>
      </c>
      <c r="D2114" s="25" t="s">
        <v>19346</v>
      </c>
      <c r="E2114" s="26" t="s">
        <v>16544</v>
      </c>
      <c r="F2114" s="27" t="s">
        <v>18569</v>
      </c>
      <c r="G2114" s="27" t="s">
        <v>18612</v>
      </c>
      <c r="H2114" s="27" t="s">
        <v>18622</v>
      </c>
      <c r="I2114" s="27"/>
      <c r="J2114" s="27"/>
      <c r="K2114" s="27"/>
      <c r="L2114" s="27"/>
      <c r="N2114" s="27"/>
      <c r="T2114" s="28" t="str">
        <f>LOOKUP(1,1/(Table1[[#This Row],[Level_0]:[Level 15]]&gt;0),(Table1[[#This Row],[Level_0]:[Level 15]]))</f>
        <v>7620000025 - [AOM DIV Non-Clin.Saf.Serv]</v>
      </c>
      <c r="U2114" s="22">
        <v>2109</v>
      </c>
      <c r="W2114" s="13" t="str">
        <f>LOOKUP(1,1/(Table1[[#This Row],[Level_0]:[Level 15]]&gt;0),(Table1[[#This Row],[Level_0]:[Level 15]]))</f>
        <v>7620000025 - [AOM DIV Non-Clin.Saf.Serv]</v>
      </c>
    </row>
    <row r="2115" spans="1:23" hidden="1" x14ac:dyDescent="0.25">
      <c r="A2115">
        <v>7620000024</v>
      </c>
      <c r="B2115" s="16" t="s">
        <v>21549</v>
      </c>
      <c r="C2115" s="16" t="e">
        <f>VLOOKUP(Table1[[#This Row],[Node]],Parent!A:B,2,0)</f>
        <v>#N/A</v>
      </c>
      <c r="D2115" s="25" t="s">
        <v>19346</v>
      </c>
      <c r="E2115" s="26" t="s">
        <v>16544</v>
      </c>
      <c r="F2115" s="27" t="s">
        <v>18569</v>
      </c>
      <c r="G2115" s="27" t="s">
        <v>18612</v>
      </c>
      <c r="H2115" s="27" t="s">
        <v>18623</v>
      </c>
      <c r="I2115" s="27"/>
      <c r="J2115" s="27"/>
      <c r="K2115" s="27"/>
      <c r="L2115" s="27"/>
      <c r="N2115" s="27"/>
      <c r="T2115" s="28" t="str">
        <f>LOOKUP(1,1/(Table1[[#This Row],[Level_0]:[Level 15]]&gt;0),(Table1[[#This Row],[Level_0]:[Level 15]]))</f>
        <v>7620000024 - [AOM SM DIV Quality &amp; Analysis]</v>
      </c>
      <c r="U2115" s="22">
        <v>2110</v>
      </c>
      <c r="W2115" s="13" t="str">
        <f>LOOKUP(1,1/(Table1[[#This Row],[Level_0]:[Level 15]]&gt;0),(Table1[[#This Row],[Level_0]:[Level 15]]))</f>
        <v>7620000024 - [AOM SM DIV Quality &amp; Analysis]</v>
      </c>
    </row>
    <row r="2116" spans="1:23" hidden="1" x14ac:dyDescent="0.25">
      <c r="A2116">
        <v>7600330020</v>
      </c>
      <c r="B2116" s="16" t="s">
        <v>21478</v>
      </c>
      <c r="C2116" s="16" t="e">
        <f>VLOOKUP(Table1[[#This Row],[Node]],Parent!A:B,2,0)</f>
        <v>#N/A</v>
      </c>
      <c r="D2116" s="25" t="s">
        <v>19346</v>
      </c>
      <c r="E2116" s="26" t="s">
        <v>16544</v>
      </c>
      <c r="F2116" s="27" t="s">
        <v>18569</v>
      </c>
      <c r="G2116" s="27" t="s">
        <v>18612</v>
      </c>
      <c r="H2116" s="27" t="s">
        <v>18624</v>
      </c>
      <c r="I2116" s="27"/>
      <c r="J2116" s="27"/>
      <c r="K2116" s="27"/>
      <c r="L2116" s="27"/>
      <c r="N2116" s="27"/>
      <c r="T2116" s="28" t="str">
        <f>LOOKUP(1,1/(Table1[[#This Row],[Level_0]:[Level 15]]&gt;0),(Table1[[#This Row],[Level_0]:[Level 15]]))</f>
        <v>7600330020 - [DAA_Quality Assur. GMP-regulated Prod._P]</v>
      </c>
      <c r="U2116" s="22">
        <v>2111</v>
      </c>
      <c r="W2116" s="13" t="str">
        <f>LOOKUP(1,1/(Table1[[#This Row],[Level_0]:[Level 15]]&gt;0),(Table1[[#This Row],[Level_0]:[Level 15]]))</f>
        <v>7600330020 - [DAA_Quality Assur. GMP-regulated Prod._P]</v>
      </c>
    </row>
    <row r="2117" spans="1:23" hidden="1" x14ac:dyDescent="0.25">
      <c r="A2117">
        <v>7600330019</v>
      </c>
      <c r="B2117" s="16" t="s">
        <v>21477</v>
      </c>
      <c r="C2117" s="16" t="e">
        <f>VLOOKUP(Table1[[#This Row],[Node]],Parent!A:B,2,0)</f>
        <v>#N/A</v>
      </c>
      <c r="D2117" s="25" t="s">
        <v>19346</v>
      </c>
      <c r="E2117" s="26" t="s">
        <v>16544</v>
      </c>
      <c r="F2117" s="27" t="s">
        <v>18569</v>
      </c>
      <c r="G2117" s="27" t="s">
        <v>18612</v>
      </c>
      <c r="H2117" s="27" t="s">
        <v>18625</v>
      </c>
      <c r="I2117" s="27"/>
      <c r="J2117" s="27"/>
      <c r="K2117" s="27"/>
      <c r="L2117" s="27"/>
      <c r="N2117" s="27"/>
      <c r="T2117" s="28" t="str">
        <f>LOOKUP(1,1/(Table1[[#This Row],[Level_0]:[Level 15]]&gt;0),(Table1[[#This Row],[Level_0]:[Level 15]]))</f>
        <v>7600330019 - [DAA_Regulatory Project Support_P]</v>
      </c>
      <c r="U2117" s="22">
        <v>2112</v>
      </c>
      <c r="W2117" s="13" t="str">
        <f>LOOKUP(1,1/(Table1[[#This Row],[Level_0]:[Level 15]]&gt;0),(Table1[[#This Row],[Level_0]:[Level 15]]))</f>
        <v>7600330019 - [DAA_Regulatory Project Support_P]</v>
      </c>
    </row>
    <row r="2118" spans="1:23" hidden="1" x14ac:dyDescent="0.25">
      <c r="A2118">
        <v>7600330009</v>
      </c>
      <c r="B2118" s="16" t="s">
        <v>21470</v>
      </c>
      <c r="C2118" s="16" t="e">
        <f>VLOOKUP(Table1[[#This Row],[Node]],Parent!A:B,2,0)</f>
        <v>#N/A</v>
      </c>
      <c r="D2118" s="25" t="s">
        <v>19346</v>
      </c>
      <c r="E2118" s="26" t="s">
        <v>16544</v>
      </c>
      <c r="F2118" s="27" t="s">
        <v>18569</v>
      </c>
      <c r="G2118" s="27" t="s">
        <v>18612</v>
      </c>
      <c r="H2118" s="27" t="s">
        <v>18626</v>
      </c>
      <c r="I2118" s="27"/>
      <c r="J2118" s="27"/>
      <c r="K2118" s="27"/>
      <c r="L2118" s="27"/>
      <c r="N2118" s="27"/>
      <c r="T2118" s="28" t="str">
        <f>LOOKUP(1,1/(Table1[[#This Row],[Level_0]:[Level 15]]&gt;0),(Table1[[#This Row],[Level_0]:[Level 15]]))</f>
        <v>7600330009 - [DAA_Master Data_P]</v>
      </c>
      <c r="U2118" s="22">
        <v>2113</v>
      </c>
      <c r="W2118" s="13" t="str">
        <f>LOOKUP(1,1/(Table1[[#This Row],[Level_0]:[Level 15]]&gt;0),(Table1[[#This Row],[Level_0]:[Level 15]]))</f>
        <v>7600330009 - [DAA_Master Data_P]</v>
      </c>
    </row>
    <row r="2119" spans="1:23" hidden="1" x14ac:dyDescent="0.25">
      <c r="A2119">
        <v>7600330002</v>
      </c>
      <c r="B2119" s="16" t="s">
        <v>21463</v>
      </c>
      <c r="C2119" s="16" t="e">
        <f>VLOOKUP(Table1[[#This Row],[Node]],Parent!A:B,2,0)</f>
        <v>#N/A</v>
      </c>
      <c r="D2119" s="25" t="s">
        <v>19346</v>
      </c>
      <c r="E2119" s="26" t="s">
        <v>16544</v>
      </c>
      <c r="F2119" s="27" t="s">
        <v>18569</v>
      </c>
      <c r="G2119" s="27" t="s">
        <v>18612</v>
      </c>
      <c r="H2119" s="27" t="s">
        <v>18627</v>
      </c>
      <c r="I2119" s="27"/>
      <c r="J2119" s="27"/>
      <c r="K2119" s="27"/>
      <c r="L2119" s="27"/>
      <c r="N2119" s="27"/>
      <c r="T2119" s="28" t="str">
        <f>LOOKUP(1,1/(Table1[[#This Row],[Level_0]:[Level 15]]&gt;0),(Table1[[#This Row],[Level_0]:[Level 15]]))</f>
        <v>7600330002 - [DAA_Quality Control On demand Analyt._P]</v>
      </c>
      <c r="U2119" s="22">
        <v>2114</v>
      </c>
      <c r="W2119" s="13" t="str">
        <f>LOOKUP(1,1/(Table1[[#This Row],[Level_0]:[Level 15]]&gt;0),(Table1[[#This Row],[Level_0]:[Level 15]]))</f>
        <v>7600330002 - [DAA_Quality Control On demand Analyt._P]</v>
      </c>
    </row>
    <row r="2120" spans="1:23" hidden="1" x14ac:dyDescent="0.25">
      <c r="A2120">
        <v>7600330001</v>
      </c>
      <c r="B2120" s="16" t="s">
        <v>21462</v>
      </c>
      <c r="C2120" s="16" t="e">
        <f>VLOOKUP(Table1[[#This Row],[Node]],Parent!A:B,2,0)</f>
        <v>#N/A</v>
      </c>
      <c r="D2120" s="25" t="s">
        <v>19346</v>
      </c>
      <c r="E2120" s="26" t="s">
        <v>16544</v>
      </c>
      <c r="F2120" s="27" t="s">
        <v>18569</v>
      </c>
      <c r="G2120" s="27" t="s">
        <v>18612</v>
      </c>
      <c r="H2120" s="27" t="s">
        <v>18628</v>
      </c>
      <c r="I2120" s="27"/>
      <c r="J2120" s="27"/>
      <c r="K2120" s="27"/>
      <c r="L2120" s="27"/>
      <c r="N2120" s="27"/>
      <c r="T2120" s="28" t="str">
        <f>LOOKUP(1,1/(Table1[[#This Row],[Level_0]:[Level 15]]&gt;0),(Table1[[#This Row],[Level_0]:[Level 15]]))</f>
        <v>7600330001 - [DAA Routine Analytics Quality Control_P]</v>
      </c>
      <c r="U2120" s="22">
        <v>2115</v>
      </c>
      <c r="W2120" s="13" t="str">
        <f>LOOKUP(1,1/(Table1[[#This Row],[Level_0]:[Level 15]]&gt;0),(Table1[[#This Row],[Level_0]:[Level 15]]))</f>
        <v>7600330001 - [DAA Routine Analytics Quality Control_P]</v>
      </c>
    </row>
    <row r="2121" spans="1:23" hidden="1" x14ac:dyDescent="0.25">
      <c r="A2121">
        <v>7600320099</v>
      </c>
      <c r="B2121" s="16" t="s">
        <v>21461</v>
      </c>
      <c r="C2121" s="16" t="e">
        <f>VLOOKUP(Table1[[#This Row],[Node]],Parent!A:B,2,0)</f>
        <v>#N/A</v>
      </c>
      <c r="D2121" s="25" t="s">
        <v>19346</v>
      </c>
      <c r="E2121" s="26" t="s">
        <v>16544</v>
      </c>
      <c r="F2121" s="27" t="s">
        <v>18569</v>
      </c>
      <c r="G2121" s="27" t="s">
        <v>18612</v>
      </c>
      <c r="H2121" s="27" t="s">
        <v>18629</v>
      </c>
      <c r="I2121" s="27"/>
      <c r="J2121" s="27"/>
      <c r="K2121" s="27"/>
      <c r="L2121" s="27"/>
      <c r="N2121" s="27"/>
      <c r="T2121" s="28" t="str">
        <f>LOOKUP(1,1/(Table1[[#This Row],[Level_0]:[Level 15]]&gt;0),(Table1[[#This Row],[Level_0]:[Level 15]]))</f>
        <v>7600320099 - [DAA_Healthcare True-up/Mark-up_H]</v>
      </c>
      <c r="U2121" s="22">
        <v>2116</v>
      </c>
      <c r="W2121" s="13" t="str">
        <f>LOOKUP(1,1/(Table1[[#This Row],[Level_0]:[Level 15]]&gt;0),(Table1[[#This Row],[Level_0]:[Level 15]]))</f>
        <v>7600320099 - [DAA_Healthcare True-up/Mark-up_H]</v>
      </c>
    </row>
    <row r="2122" spans="1:23" hidden="1" x14ac:dyDescent="0.25">
      <c r="A2122">
        <v>7600320012</v>
      </c>
      <c r="B2122" s="16" t="s">
        <v>21460</v>
      </c>
      <c r="C2122" s="16" t="e">
        <f>VLOOKUP(Table1[[#This Row],[Node]],Parent!A:B,2,0)</f>
        <v>#N/A</v>
      </c>
      <c r="D2122" s="25" t="s">
        <v>19346</v>
      </c>
      <c r="E2122" s="26" t="s">
        <v>16544</v>
      </c>
      <c r="F2122" s="27" t="s">
        <v>18569</v>
      </c>
      <c r="G2122" s="27" t="s">
        <v>18612</v>
      </c>
      <c r="H2122" s="27" t="s">
        <v>18630</v>
      </c>
      <c r="I2122" s="27"/>
      <c r="J2122" s="27"/>
      <c r="K2122" s="27"/>
      <c r="L2122" s="27"/>
      <c r="N2122" s="27"/>
      <c r="T2122" s="28" t="str">
        <f>LOOKUP(1,1/(Table1[[#This Row],[Level_0]:[Level 15]]&gt;0),(Table1[[#This Row],[Level_0]:[Level 15]]))</f>
        <v>7600320012 - [DAA_On-demand analytics_H]</v>
      </c>
      <c r="U2122" s="22">
        <v>2117</v>
      </c>
      <c r="W2122" s="13" t="str">
        <f>LOOKUP(1,1/(Table1[[#This Row],[Level_0]:[Level 15]]&gt;0),(Table1[[#This Row],[Level_0]:[Level 15]]))</f>
        <v>7600320012 - [DAA_On-demand analytics_H]</v>
      </c>
    </row>
    <row r="2123" spans="1:23" hidden="1" x14ac:dyDescent="0.25">
      <c r="A2123">
        <v>7600320004</v>
      </c>
      <c r="B2123" s="16" t="s">
        <v>21456</v>
      </c>
      <c r="C2123" s="16" t="e">
        <f>VLOOKUP(Table1[[#This Row],[Node]],Parent!A:B,2,0)</f>
        <v>#N/A</v>
      </c>
      <c r="D2123" s="25" t="s">
        <v>19346</v>
      </c>
      <c r="E2123" s="26" t="s">
        <v>16544</v>
      </c>
      <c r="F2123" s="27" t="s">
        <v>18569</v>
      </c>
      <c r="G2123" s="27" t="s">
        <v>18612</v>
      </c>
      <c r="H2123" s="27" t="s">
        <v>18631</v>
      </c>
      <c r="I2123" s="27"/>
      <c r="J2123" s="27"/>
      <c r="K2123" s="27"/>
      <c r="L2123" s="27"/>
      <c r="N2123" s="27"/>
      <c r="T2123" s="28" t="str">
        <f>LOOKUP(1,1/(Table1[[#This Row],[Level_0]:[Level 15]]&gt;0),(Table1[[#This Row],[Level_0]:[Level 15]]))</f>
        <v>7600320004 - [DAA_Application&amp;Data Management Serv._H]</v>
      </c>
      <c r="U2123" s="22">
        <v>2118</v>
      </c>
      <c r="W2123" s="13" t="str">
        <f>LOOKUP(1,1/(Table1[[#This Row],[Level_0]:[Level 15]]&gt;0),(Table1[[#This Row],[Level_0]:[Level 15]]))</f>
        <v>7600320004 - [DAA_Application&amp;Data Management Serv._H]</v>
      </c>
    </row>
    <row r="2124" spans="1:23" hidden="1" x14ac:dyDescent="0.25">
      <c r="A2124">
        <v>7600320001</v>
      </c>
      <c r="B2124" s="16" t="s">
        <v>21453</v>
      </c>
      <c r="C2124" s="16" t="e">
        <f>VLOOKUP(Table1[[#This Row],[Node]],Parent!A:B,2,0)</f>
        <v>#N/A</v>
      </c>
      <c r="D2124" s="25" t="s">
        <v>19346</v>
      </c>
      <c r="E2124" s="26" t="s">
        <v>16544</v>
      </c>
      <c r="F2124" s="27" t="s">
        <v>18569</v>
      </c>
      <c r="G2124" s="27" t="s">
        <v>18612</v>
      </c>
      <c r="H2124" s="27" t="s">
        <v>18632</v>
      </c>
      <c r="I2124" s="27"/>
      <c r="J2124" s="27"/>
      <c r="K2124" s="27"/>
      <c r="L2124" s="27"/>
      <c r="N2124" s="27"/>
      <c r="T2124" s="28" t="str">
        <f>LOOKUP(1,1/(Table1[[#This Row],[Level_0]:[Level 15]]&gt;0),(Table1[[#This Row],[Level_0]:[Level 15]]))</f>
        <v>7600320001 - [DAA_Routine Analytics/Quality Control_H]</v>
      </c>
      <c r="U2124" s="22">
        <v>2119</v>
      </c>
      <c r="W2124" s="13" t="str">
        <f>LOOKUP(1,1/(Table1[[#This Row],[Level_0]:[Level 15]]&gt;0),(Table1[[#This Row],[Level_0]:[Level 15]]))</f>
        <v>7600320001 - [DAA_Routine Analytics/Quality Control_H]</v>
      </c>
    </row>
    <row r="2125" spans="1:23" hidden="1" x14ac:dyDescent="0.25">
      <c r="A2125">
        <v>7600304222</v>
      </c>
      <c r="B2125" s="16" t="s">
        <v>21413</v>
      </c>
      <c r="C2125" s="16" t="e">
        <f>VLOOKUP(Table1[[#This Row],[Node]],Parent!A:B,2,0)</f>
        <v>#N/A</v>
      </c>
      <c r="D2125" s="25" t="s">
        <v>19346</v>
      </c>
      <c r="E2125" s="26" t="s">
        <v>16544</v>
      </c>
      <c r="F2125" s="27" t="s">
        <v>18569</v>
      </c>
      <c r="G2125" s="27" t="s">
        <v>18612</v>
      </c>
      <c r="H2125" s="27" t="s">
        <v>18633</v>
      </c>
      <c r="I2125" s="27"/>
      <c r="J2125" s="27"/>
      <c r="K2125" s="27"/>
      <c r="L2125" s="27"/>
      <c r="N2125" s="27"/>
      <c r="T2125" s="28" t="str">
        <f>LOOKUP(1,1/(Table1[[#This Row],[Level_0]:[Level 15]]&gt;0),(Table1[[#This Row],[Level_0]:[Level 15]]))</f>
        <v>7600304222 - [DAA_Fabrikwasser]</v>
      </c>
      <c r="U2125" s="22">
        <v>2120</v>
      </c>
      <c r="W2125" s="13" t="str">
        <f>LOOKUP(1,1/(Table1[[#This Row],[Level_0]:[Level 15]]&gt;0),(Table1[[#This Row],[Level_0]:[Level 15]]))</f>
        <v>7600304222 - [DAA_Fabrikwasser]</v>
      </c>
    </row>
    <row r="2126" spans="1:23" hidden="1" x14ac:dyDescent="0.25">
      <c r="A2126">
        <v>7600304221</v>
      </c>
      <c r="B2126" s="16" t="s">
        <v>21412</v>
      </c>
      <c r="C2126" s="16" t="e">
        <f>VLOOKUP(Table1[[#This Row],[Node]],Parent!A:B,2,0)</f>
        <v>#N/A</v>
      </c>
      <c r="D2126" s="25" t="s">
        <v>19346</v>
      </c>
      <c r="E2126" s="26" t="s">
        <v>16544</v>
      </c>
      <c r="F2126" s="27" t="s">
        <v>18569</v>
      </c>
      <c r="G2126" s="27" t="s">
        <v>18612</v>
      </c>
      <c r="H2126" s="27" t="s">
        <v>18634</v>
      </c>
      <c r="I2126" s="27"/>
      <c r="J2126" s="27"/>
      <c r="K2126" s="27"/>
      <c r="L2126" s="27"/>
      <c r="N2126" s="27"/>
      <c r="T2126" s="28" t="str">
        <f>LOOKUP(1,1/(Table1[[#This Row],[Level_0]:[Level 15]]&gt;0),(Table1[[#This Row],[Level_0]:[Level 15]]))</f>
        <v>7600304221 - [DAA_QA ISO&amp;GMP Env.]</v>
      </c>
      <c r="U2126" s="22">
        <v>2121</v>
      </c>
      <c r="W2126" s="13" t="str">
        <f>LOOKUP(1,1/(Table1[[#This Row],[Level_0]:[Level 15]]&gt;0),(Table1[[#This Row],[Level_0]:[Level 15]]))</f>
        <v>7600304221 - [DAA_QA ISO&amp;GMP Env.]</v>
      </c>
    </row>
    <row r="2127" spans="1:23" hidden="1" x14ac:dyDescent="0.25">
      <c r="A2127">
        <v>7600304219</v>
      </c>
      <c r="B2127" s="16" t="s">
        <v>21410</v>
      </c>
      <c r="C2127" s="16" t="e">
        <f>VLOOKUP(Table1[[#This Row],[Node]],Parent!A:B,2,0)</f>
        <v>#N/A</v>
      </c>
      <c r="D2127" s="25" t="s">
        <v>19346</v>
      </c>
      <c r="E2127" s="26" t="s">
        <v>16544</v>
      </c>
      <c r="F2127" s="27" t="s">
        <v>18569</v>
      </c>
      <c r="G2127" s="27" t="s">
        <v>18612</v>
      </c>
      <c r="H2127" s="27" t="s">
        <v>18635</v>
      </c>
      <c r="I2127" s="27"/>
      <c r="J2127" s="27"/>
      <c r="K2127" s="27"/>
      <c r="L2127" s="27"/>
      <c r="N2127" s="27"/>
      <c r="T2127" s="28" t="str">
        <f>LOOKUP(1,1/(Table1[[#This Row],[Level_0]:[Level 15]]&gt;0),(Table1[[#This Row],[Level_0]:[Level 15]]))</f>
        <v>7600304219 - [DAA_Analyt.Services]</v>
      </c>
      <c r="U2127" s="22">
        <v>2122</v>
      </c>
      <c r="W2127" s="13" t="str">
        <f>LOOKUP(1,1/(Table1[[#This Row],[Level_0]:[Level 15]]&gt;0),(Table1[[#This Row],[Level_0]:[Level 15]]))</f>
        <v>7600304219 - [DAA_Analyt.Services]</v>
      </c>
    </row>
    <row r="2128" spans="1:23" hidden="1" x14ac:dyDescent="0.25">
      <c r="A2128">
        <v>7600304131</v>
      </c>
      <c r="B2128" s="16" t="s">
        <v>21329</v>
      </c>
      <c r="C2128" s="16" t="e">
        <f>VLOOKUP(Table1[[#This Row],[Node]],Parent!A:B,2,0)</f>
        <v>#N/A</v>
      </c>
      <c r="D2128" s="25" t="s">
        <v>19346</v>
      </c>
      <c r="E2128" s="26" t="s">
        <v>16544</v>
      </c>
      <c r="F2128" s="27" t="s">
        <v>18569</v>
      </c>
      <c r="G2128" s="27" t="s">
        <v>18612</v>
      </c>
      <c r="H2128" s="27" t="s">
        <v>18636</v>
      </c>
      <c r="I2128" s="27"/>
      <c r="J2128" s="27"/>
      <c r="K2128" s="27"/>
      <c r="L2128" s="27"/>
      <c r="N2128" s="27"/>
      <c r="T2128" s="28" t="str">
        <f>LOOKUP(1,1/(Table1[[#This Row],[Level_0]:[Level 15]]&gt;0),(Table1[[#This Row],[Level_0]:[Level 15]]))</f>
        <v>7600304131 - [DAA Blood collection for R&amp;D labs]</v>
      </c>
      <c r="U2128" s="22">
        <v>2123</v>
      </c>
      <c r="W2128" s="13" t="str">
        <f>LOOKUP(1,1/(Table1[[#This Row],[Level_0]:[Level 15]]&gt;0),(Table1[[#This Row],[Level_0]:[Level 15]]))</f>
        <v>7600304131 - [DAA Blood collection for R&amp;D labs]</v>
      </c>
    </row>
    <row r="2129" spans="1:23" hidden="1" x14ac:dyDescent="0.25">
      <c r="A2129">
        <v>7600300021</v>
      </c>
      <c r="B2129" s="16" t="s">
        <v>21115</v>
      </c>
      <c r="C2129" s="16" t="e">
        <f>VLOOKUP(Table1[[#This Row],[Node]],Parent!A:B,2,0)</f>
        <v>#N/A</v>
      </c>
      <c r="D2129" s="25" t="s">
        <v>19346</v>
      </c>
      <c r="E2129" s="26" t="s">
        <v>16544</v>
      </c>
      <c r="F2129" s="27" t="s">
        <v>18569</v>
      </c>
      <c r="G2129" s="27" t="s">
        <v>18612</v>
      </c>
      <c r="H2129" s="27" t="s">
        <v>18637</v>
      </c>
      <c r="I2129" s="27"/>
      <c r="J2129" s="27"/>
      <c r="K2129" s="27"/>
      <c r="L2129" s="27"/>
      <c r="N2129" s="27"/>
      <c r="T2129" s="28" t="str">
        <f>LOOKUP(1,1/(Table1[[#This Row],[Level_0]:[Level 15]]&gt;0),(Table1[[#This Row],[Level_0]:[Level 15]]))</f>
        <v>7600300021 - [DAA Partial sample mgmt]</v>
      </c>
      <c r="U2129" s="22">
        <v>2124</v>
      </c>
      <c r="W2129" s="13" t="str">
        <f>LOOKUP(1,1/(Table1[[#This Row],[Level_0]:[Level 15]]&gt;0),(Table1[[#This Row],[Level_0]:[Level 15]]))</f>
        <v>7600300021 - [DAA Partial sample mgmt]</v>
      </c>
    </row>
    <row r="2130" spans="1:23" hidden="1" x14ac:dyDescent="0.25">
      <c r="A2130">
        <v>7600300020</v>
      </c>
      <c r="B2130" s="16" t="s">
        <v>21114</v>
      </c>
      <c r="C2130" s="16" t="e">
        <f>VLOOKUP(Table1[[#This Row],[Node]],Parent!A:B,2,0)</f>
        <v>#N/A</v>
      </c>
      <c r="D2130" s="25" t="s">
        <v>19346</v>
      </c>
      <c r="E2130" s="26" t="s">
        <v>16544</v>
      </c>
      <c r="F2130" s="27" t="s">
        <v>18569</v>
      </c>
      <c r="G2130" s="27" t="s">
        <v>18612</v>
      </c>
      <c r="H2130" s="27" t="s">
        <v>18638</v>
      </c>
      <c r="I2130" s="27"/>
      <c r="J2130" s="27"/>
      <c r="K2130" s="27"/>
      <c r="L2130" s="27"/>
      <c r="N2130" s="27"/>
      <c r="T2130" s="28" t="str">
        <f>LOOKUP(1,1/(Table1[[#This Row],[Level_0]:[Level 15]]&gt;0),(Table1[[#This Row],[Level_0]:[Level 15]]))</f>
        <v>7600300020 - [DAA Sample stability study]</v>
      </c>
      <c r="U2130" s="22">
        <v>2125</v>
      </c>
      <c r="W2130" s="13" t="str">
        <f>LOOKUP(1,1/(Table1[[#This Row],[Level_0]:[Level 15]]&gt;0),(Table1[[#This Row],[Level_0]:[Level 15]]))</f>
        <v>7600300020 - [DAA Sample stability study]</v>
      </c>
    </row>
    <row r="2131" spans="1:23" hidden="1" x14ac:dyDescent="0.25">
      <c r="A2131">
        <v>7600300018</v>
      </c>
      <c r="B2131" s="16" t="s">
        <v>21112</v>
      </c>
      <c r="C2131" s="16" t="e">
        <f>VLOOKUP(Table1[[#This Row],[Node]],Parent!A:B,2,0)</f>
        <v>#N/A</v>
      </c>
      <c r="D2131" s="25" t="s">
        <v>19346</v>
      </c>
      <c r="E2131" s="26" t="s">
        <v>16544</v>
      </c>
      <c r="F2131" s="27" t="s">
        <v>18569</v>
      </c>
      <c r="G2131" s="27" t="s">
        <v>18612</v>
      </c>
      <c r="H2131" s="27" t="s">
        <v>18639</v>
      </c>
      <c r="I2131" s="27"/>
      <c r="J2131" s="27"/>
      <c r="K2131" s="27"/>
      <c r="L2131" s="27"/>
      <c r="N2131" s="27"/>
      <c r="T2131" s="28" t="str">
        <f>LOOKUP(1,1/(Table1[[#This Row],[Level_0]:[Level 15]]&gt;0),(Table1[[#This Row],[Level_0]:[Level 15]]))</f>
        <v>7600300018 - [DAA Storage retained sampl.]</v>
      </c>
      <c r="U2131" s="22">
        <v>2126</v>
      </c>
      <c r="W2131" s="13" t="str">
        <f>LOOKUP(1,1/(Table1[[#This Row],[Level_0]:[Level 15]]&gt;0),(Table1[[#This Row],[Level_0]:[Level 15]]))</f>
        <v>7600300018 - [DAA Storage retained sampl.]</v>
      </c>
    </row>
    <row r="2132" spans="1:23" hidden="1" x14ac:dyDescent="0.25">
      <c r="A2132">
        <v>7600300015</v>
      </c>
      <c r="B2132" s="16" t="s">
        <v>21109</v>
      </c>
      <c r="C2132" s="16" t="e">
        <f>VLOOKUP(Table1[[#This Row],[Node]],Parent!A:B,2,0)</f>
        <v>#N/A</v>
      </c>
      <c r="D2132" s="25" t="s">
        <v>19346</v>
      </c>
      <c r="E2132" s="26" t="s">
        <v>16544</v>
      </c>
      <c r="F2132" s="27" t="s">
        <v>18569</v>
      </c>
      <c r="G2132" s="27" t="s">
        <v>18612</v>
      </c>
      <c r="H2132" s="27" t="s">
        <v>18640</v>
      </c>
      <c r="I2132" s="27"/>
      <c r="J2132" s="27"/>
      <c r="K2132" s="27"/>
      <c r="L2132" s="27"/>
      <c r="N2132" s="27"/>
      <c r="T2132" s="28" t="str">
        <f>LOOKUP(1,1/(Table1[[#This Row],[Level_0]:[Level 15]]&gt;0),(Table1[[#This Row],[Level_0]:[Level 15]]))</f>
        <v>7600300015 - [DAA Routine analytics R&amp;D]</v>
      </c>
      <c r="U2132" s="22">
        <v>2127</v>
      </c>
      <c r="W2132" s="13" t="str">
        <f>LOOKUP(1,1/(Table1[[#This Row],[Level_0]:[Level 15]]&gt;0),(Table1[[#This Row],[Level_0]:[Level 15]]))</f>
        <v>7600300015 - [DAA Routine analytics R&amp;D]</v>
      </c>
    </row>
    <row r="2133" spans="1:23" hidden="1" x14ac:dyDescent="0.25">
      <c r="A2133">
        <v>7600300013</v>
      </c>
      <c r="B2133" s="16" t="s">
        <v>21107</v>
      </c>
      <c r="C2133" s="16" t="e">
        <f>VLOOKUP(Table1[[#This Row],[Node]],Parent!A:B,2,0)</f>
        <v>#N/A</v>
      </c>
      <c r="D2133" s="25" t="s">
        <v>19346</v>
      </c>
      <c r="E2133" s="26" t="s">
        <v>16544</v>
      </c>
      <c r="F2133" s="27" t="s">
        <v>18569</v>
      </c>
      <c r="G2133" s="27" t="s">
        <v>18612</v>
      </c>
      <c r="H2133" s="27" t="s">
        <v>18641</v>
      </c>
      <c r="I2133" s="27"/>
      <c r="J2133" s="27"/>
      <c r="K2133" s="27"/>
      <c r="L2133" s="27"/>
      <c r="N2133" s="27"/>
      <c r="T2133" s="28" t="str">
        <f>LOOKUP(1,1/(Table1[[#This Row],[Level_0]:[Level 15]]&gt;0),(Table1[[#This Row],[Level_0]:[Level 15]]))</f>
        <v>7600300013 - [DAA Routine analytics QC]</v>
      </c>
      <c r="U2133" s="22">
        <v>2128</v>
      </c>
      <c r="W2133" s="13" t="str">
        <f>LOOKUP(1,1/(Table1[[#This Row],[Level_0]:[Level 15]]&gt;0),(Table1[[#This Row],[Level_0]:[Level 15]]))</f>
        <v>7600300013 - [DAA Routine analytics QC]</v>
      </c>
    </row>
    <row r="2134" spans="1:23" hidden="1" x14ac:dyDescent="0.25">
      <c r="A2134">
        <v>7600300011</v>
      </c>
      <c r="B2134" s="16" t="s">
        <v>21105</v>
      </c>
      <c r="C2134" s="16" t="e">
        <f>VLOOKUP(Table1[[#This Row],[Node]],Parent!A:B,2,0)</f>
        <v>#N/A</v>
      </c>
      <c r="D2134" s="25" t="s">
        <v>19346</v>
      </c>
      <c r="E2134" s="26" t="s">
        <v>16544</v>
      </c>
      <c r="F2134" s="27" t="s">
        <v>18569</v>
      </c>
      <c r="G2134" s="27" t="s">
        <v>18612</v>
      </c>
      <c r="H2134" s="27" t="s">
        <v>18642</v>
      </c>
      <c r="I2134" s="27"/>
      <c r="J2134" s="27"/>
      <c r="K2134" s="27"/>
      <c r="L2134" s="27"/>
      <c r="N2134" s="27"/>
      <c r="T2134" s="28" t="str">
        <f>LOOKUP(1,1/(Table1[[#This Row],[Level_0]:[Level 15]]&gt;0),(Table1[[#This Row],[Level_0]:[Level 15]]))</f>
        <v>7600300011 - [DAA Method development/validation]</v>
      </c>
      <c r="U2134" s="22">
        <v>2129</v>
      </c>
      <c r="W2134" s="13" t="str">
        <f>LOOKUP(1,1/(Table1[[#This Row],[Level_0]:[Level 15]]&gt;0),(Table1[[#This Row],[Level_0]:[Level 15]]))</f>
        <v>7600300011 - [DAA Method development/validation]</v>
      </c>
    </row>
    <row r="2135" spans="1:23" hidden="1" x14ac:dyDescent="0.25">
      <c r="A2135">
        <v>7600300006</v>
      </c>
      <c r="B2135" s="16" t="s">
        <v>21100</v>
      </c>
      <c r="C2135" s="16" t="e">
        <f>VLOOKUP(Table1[[#This Row],[Node]],Parent!A:B,2,0)</f>
        <v>#N/A</v>
      </c>
      <c r="D2135" s="25" t="s">
        <v>19346</v>
      </c>
      <c r="E2135" s="26" t="s">
        <v>16544</v>
      </c>
      <c r="F2135" s="27" t="s">
        <v>18569</v>
      </c>
      <c r="G2135" s="27" t="s">
        <v>18612</v>
      </c>
      <c r="H2135" s="27" t="s">
        <v>18643</v>
      </c>
      <c r="I2135" s="27"/>
      <c r="J2135" s="27"/>
      <c r="K2135" s="27"/>
      <c r="L2135" s="27"/>
      <c r="N2135" s="27"/>
      <c r="T2135" s="28" t="str">
        <f>LOOKUP(1,1/(Table1[[#This Row],[Level_0]:[Level 15]]&gt;0),(Table1[[#This Row],[Level_0]:[Level 15]]))</f>
        <v>7600300006 - [DAA Customer support lab.SW]</v>
      </c>
      <c r="U2135" s="22">
        <v>2130</v>
      </c>
      <c r="W2135" s="13" t="str">
        <f>LOOKUP(1,1/(Table1[[#This Row],[Level_0]:[Level 15]]&gt;0),(Table1[[#This Row],[Level_0]:[Level 15]]))</f>
        <v>7600300006 - [DAA Customer support lab.SW]</v>
      </c>
    </row>
    <row r="2136" spans="1:23" hidden="1" x14ac:dyDescent="0.25">
      <c r="A2136">
        <v>7600300003</v>
      </c>
      <c r="B2136" s="16" t="s">
        <v>21097</v>
      </c>
      <c r="C2136" s="16" t="e">
        <f>VLOOKUP(Table1[[#This Row],[Node]],Parent!A:B,2,0)</f>
        <v>#N/A</v>
      </c>
      <c r="D2136" s="25" t="s">
        <v>19346</v>
      </c>
      <c r="E2136" s="26" t="s">
        <v>16544</v>
      </c>
      <c r="F2136" s="27" t="s">
        <v>18569</v>
      </c>
      <c r="G2136" s="27" t="s">
        <v>18612</v>
      </c>
      <c r="H2136" s="27" t="s">
        <v>18644</v>
      </c>
      <c r="I2136" s="27"/>
      <c r="J2136" s="27"/>
      <c r="K2136" s="27"/>
      <c r="L2136" s="27"/>
      <c r="N2136" s="27"/>
      <c r="T2136" s="28" t="str">
        <f>LOOKUP(1,1/(Table1[[#This Row],[Level_0]:[Level 15]]&gt;0),(Table1[[#This Row],[Level_0]:[Level 15]]))</f>
        <v>7600300003 - [DAA Analytics order mgmt]</v>
      </c>
      <c r="U2136" s="22">
        <v>2131</v>
      </c>
      <c r="W2136" s="13" t="str">
        <f>LOOKUP(1,1/(Table1[[#This Row],[Level_0]:[Level 15]]&gt;0),(Table1[[#This Row],[Level_0]:[Level 15]]))</f>
        <v>7600300003 - [DAA Analytics order mgmt]</v>
      </c>
    </row>
    <row r="2137" spans="1:23" hidden="1" x14ac:dyDescent="0.25">
      <c r="A2137">
        <v>7600300002</v>
      </c>
      <c r="B2137" s="16" t="s">
        <v>21096</v>
      </c>
      <c r="C2137" s="16" t="e">
        <f>VLOOKUP(Table1[[#This Row],[Node]],Parent!A:B,2,0)</f>
        <v>#N/A</v>
      </c>
      <c r="D2137" s="25" t="s">
        <v>19346</v>
      </c>
      <c r="E2137" s="26" t="s">
        <v>16544</v>
      </c>
      <c r="F2137" s="27" t="s">
        <v>18569</v>
      </c>
      <c r="G2137" s="27" t="s">
        <v>18612</v>
      </c>
      <c r="H2137" s="27" t="s">
        <v>18645</v>
      </c>
      <c r="I2137" s="27"/>
      <c r="J2137" s="27"/>
      <c r="K2137" s="27"/>
      <c r="L2137" s="27"/>
      <c r="N2137" s="27"/>
      <c r="T2137" s="28" t="str">
        <f>LOOKUP(1,1/(Table1[[#This Row],[Level_0]:[Level 15]]&gt;0),(Table1[[#This Row],[Level_0]:[Level 15]]))</f>
        <v>7600300002 - [DAA Analytic reporting for projects]</v>
      </c>
      <c r="U2137" s="22">
        <v>2132</v>
      </c>
      <c r="W2137" s="13" t="str">
        <f>LOOKUP(1,1/(Table1[[#This Row],[Level_0]:[Level 15]]&gt;0),(Table1[[#This Row],[Level_0]:[Level 15]]))</f>
        <v>7600300002 - [DAA Analytic reporting for projects]</v>
      </c>
    </row>
    <row r="2138" spans="1:23" hidden="1" x14ac:dyDescent="0.25">
      <c r="A2138">
        <v>7600300001</v>
      </c>
      <c r="B2138" s="16" t="s">
        <v>21095</v>
      </c>
      <c r="C2138" s="16" t="e">
        <f>VLOOKUP(Table1[[#This Row],[Node]],Parent!A:B,2,0)</f>
        <v>#N/A</v>
      </c>
      <c r="D2138" s="25" t="s">
        <v>19346</v>
      </c>
      <c r="E2138" s="26" t="s">
        <v>16544</v>
      </c>
      <c r="F2138" s="27" t="s">
        <v>18569</v>
      </c>
      <c r="G2138" s="27" t="s">
        <v>18612</v>
      </c>
      <c r="H2138" s="27" t="s">
        <v>18646</v>
      </c>
      <c r="I2138" s="27"/>
      <c r="J2138" s="27"/>
      <c r="K2138" s="27"/>
      <c r="L2138" s="27"/>
      <c r="N2138" s="27"/>
      <c r="T2138" s="28" t="str">
        <f>LOOKUP(1,1/(Table1[[#This Row],[Level_0]:[Level 15]]&gt;0),(Table1[[#This Row],[Level_0]:[Level 15]]))</f>
        <v>7600300001 - [DAA Technology Scouting]</v>
      </c>
      <c r="U2138" s="22">
        <v>2133</v>
      </c>
      <c r="W2138" s="13" t="str">
        <f>LOOKUP(1,1/(Table1[[#This Row],[Level_0]:[Level 15]]&gt;0),(Table1[[#This Row],[Level_0]:[Level 15]]))</f>
        <v>7600300001 - [DAA Technology Scouting]</v>
      </c>
    </row>
    <row r="2139" spans="1:23" hidden="1" x14ac:dyDescent="0.25">
      <c r="A2139">
        <v>7321120011</v>
      </c>
      <c r="B2139" s="16" t="s">
        <v>20907</v>
      </c>
      <c r="C2139" s="16" t="e">
        <f>VLOOKUP(Table1[[#This Row],[Node]],Parent!A:B,2,0)</f>
        <v>#N/A</v>
      </c>
      <c r="D2139" s="25" t="s">
        <v>19346</v>
      </c>
      <c r="E2139" s="26" t="s">
        <v>16544</v>
      </c>
      <c r="F2139" s="27" t="s">
        <v>18569</v>
      </c>
      <c r="G2139" s="27" t="s">
        <v>18612</v>
      </c>
      <c r="H2139" s="27" t="s">
        <v>18647</v>
      </c>
      <c r="I2139" s="27"/>
      <c r="J2139" s="27"/>
      <c r="K2139" s="27"/>
      <c r="L2139" s="27"/>
      <c r="N2139" s="27"/>
      <c r="T2139" s="28" t="str">
        <f>LOOKUP(1,1/(Table1[[#This Row],[Level_0]:[Level 15]]&gt;0),(Table1[[#This Row],[Level_0]:[Level 15]]))</f>
        <v>7321120011 - [AOM Management of Quality department]</v>
      </c>
      <c r="U2139" s="22">
        <v>2134</v>
      </c>
      <c r="W2139" s="13" t="str">
        <f>LOOKUP(1,1/(Table1[[#This Row],[Level_0]:[Level 15]]&gt;0),(Table1[[#This Row],[Level_0]:[Level 15]]))</f>
        <v>7321120011 - [AOM Management of Quality department]</v>
      </c>
    </row>
    <row r="2140" spans="1:23" hidden="1" x14ac:dyDescent="0.25">
      <c r="A2140">
        <v>7321120010</v>
      </c>
      <c r="B2140" s="16" t="s">
        <v>20906</v>
      </c>
      <c r="C2140" s="16" t="e">
        <f>VLOOKUP(Table1[[#This Row],[Node]],Parent!A:B,2,0)</f>
        <v>#N/A</v>
      </c>
      <c r="D2140" s="25" t="s">
        <v>19346</v>
      </c>
      <c r="E2140" s="26" t="s">
        <v>16544</v>
      </c>
      <c r="F2140" s="27" t="s">
        <v>18569</v>
      </c>
      <c r="G2140" s="27" t="s">
        <v>18612</v>
      </c>
      <c r="H2140" s="27" t="s">
        <v>18648</v>
      </c>
      <c r="I2140" s="27"/>
      <c r="J2140" s="27"/>
      <c r="K2140" s="27"/>
      <c r="L2140" s="27"/>
      <c r="N2140" s="27"/>
      <c r="T2140" s="28" t="str">
        <f>LOOKUP(1,1/(Table1[[#This Row],[Level_0]:[Level 15]]&gt;0),(Table1[[#This Row],[Level_0]:[Level 15]]))</f>
        <v>7321120010 - [AOM Quality Other]</v>
      </c>
      <c r="U2140" s="22">
        <v>2135</v>
      </c>
      <c r="W2140" s="13" t="str">
        <f>LOOKUP(1,1/(Table1[[#This Row],[Level_0]:[Level 15]]&gt;0),(Table1[[#This Row],[Level_0]:[Level 15]]))</f>
        <v>7321120010 - [AOM Quality Other]</v>
      </c>
    </row>
    <row r="2141" spans="1:23" hidden="1" x14ac:dyDescent="0.25">
      <c r="A2141">
        <v>7321120009</v>
      </c>
      <c r="B2141" s="16" t="s">
        <v>20905</v>
      </c>
      <c r="C2141" s="16" t="e">
        <f>VLOOKUP(Table1[[#This Row],[Node]],Parent!A:B,2,0)</f>
        <v>#N/A</v>
      </c>
      <c r="D2141" s="25" t="s">
        <v>19346</v>
      </c>
      <c r="E2141" s="26" t="s">
        <v>16544</v>
      </c>
      <c r="F2141" s="27" t="s">
        <v>18569</v>
      </c>
      <c r="G2141" s="27" t="s">
        <v>18612</v>
      </c>
      <c r="H2141" s="27" t="s">
        <v>18649</v>
      </c>
      <c r="I2141" s="27"/>
      <c r="J2141" s="27"/>
      <c r="K2141" s="27"/>
      <c r="L2141" s="27"/>
      <c r="N2141" s="27"/>
      <c r="T2141" s="28" t="str">
        <f>LOOKUP(1,1/(Table1[[#This Row],[Level_0]:[Level 15]]&gt;0),(Table1[[#This Row],[Level_0]:[Level 15]]))</f>
        <v>7321120009 - [AOM QA Quality Assurance]</v>
      </c>
      <c r="U2141" s="22">
        <v>2136</v>
      </c>
      <c r="W2141" s="13" t="str">
        <f>LOOKUP(1,1/(Table1[[#This Row],[Level_0]:[Level 15]]&gt;0),(Table1[[#This Row],[Level_0]:[Level 15]]))</f>
        <v>7321120009 - [AOM QA Quality Assurance]</v>
      </c>
    </row>
    <row r="2142" spans="1:23" hidden="1" x14ac:dyDescent="0.25">
      <c r="A2142">
        <v>7321120008</v>
      </c>
      <c r="B2142" s="16" t="s">
        <v>20904</v>
      </c>
      <c r="C2142" s="16" t="e">
        <f>VLOOKUP(Table1[[#This Row],[Node]],Parent!A:B,2,0)</f>
        <v>#N/A</v>
      </c>
      <c r="D2142" s="25" t="s">
        <v>19346</v>
      </c>
      <c r="E2142" s="26" t="s">
        <v>16544</v>
      </c>
      <c r="F2142" s="27" t="s">
        <v>18569</v>
      </c>
      <c r="G2142" s="27" t="s">
        <v>18612</v>
      </c>
      <c r="H2142" s="27" t="s">
        <v>18650</v>
      </c>
      <c r="I2142" s="27"/>
      <c r="J2142" s="27"/>
      <c r="K2142" s="27"/>
      <c r="L2142" s="27"/>
      <c r="N2142" s="27"/>
      <c r="T2142" s="28" t="str">
        <f>LOOKUP(1,1/(Table1[[#This Row],[Level_0]:[Level 15]]&gt;0),(Table1[[#This Row],[Level_0]:[Level 15]]))</f>
        <v>7321120008 - [AOM QC Variances]</v>
      </c>
      <c r="U2142" s="22">
        <v>2137</v>
      </c>
      <c r="W2142" s="13" t="str">
        <f>LOOKUP(1,1/(Table1[[#This Row],[Level_0]:[Level 15]]&gt;0),(Table1[[#This Row],[Level_0]:[Level 15]]))</f>
        <v>7321120008 - [AOM QC Variances]</v>
      </c>
    </row>
    <row r="2143" spans="1:23" hidden="1" x14ac:dyDescent="0.25">
      <c r="A2143">
        <v>7321120007</v>
      </c>
      <c r="B2143" s="16" t="s">
        <v>20903</v>
      </c>
      <c r="C2143" s="16" t="e">
        <f>VLOOKUP(Table1[[#This Row],[Node]],Parent!A:B,2,0)</f>
        <v>#N/A</v>
      </c>
      <c r="D2143" s="25" t="s">
        <v>19346</v>
      </c>
      <c r="E2143" s="26" t="s">
        <v>16544</v>
      </c>
      <c r="F2143" s="27" t="s">
        <v>18569</v>
      </c>
      <c r="G2143" s="27" t="s">
        <v>18612</v>
      </c>
      <c r="H2143" s="27" t="s">
        <v>18651</v>
      </c>
      <c r="I2143" s="27"/>
      <c r="J2143" s="27"/>
      <c r="K2143" s="27"/>
      <c r="L2143" s="27"/>
      <c r="N2143" s="27"/>
      <c r="T2143" s="28" t="str">
        <f>LOOKUP(1,1/(Table1[[#This Row],[Level_0]:[Level 15]]&gt;0),(Table1[[#This Row],[Level_0]:[Level 15]]))</f>
        <v>7321120007 - [AOM QC Re-test of Finished goods]</v>
      </c>
      <c r="U2143" s="22">
        <v>2138</v>
      </c>
      <c r="W2143" s="13" t="str">
        <f>LOOKUP(1,1/(Table1[[#This Row],[Level_0]:[Level 15]]&gt;0),(Table1[[#This Row],[Level_0]:[Level 15]]))</f>
        <v>7321120007 - [AOM QC Re-test of Finished goods]</v>
      </c>
    </row>
    <row r="2144" spans="1:23" hidden="1" x14ac:dyDescent="0.25">
      <c r="A2144">
        <v>7321120006</v>
      </c>
      <c r="B2144" s="16" t="s">
        <v>20902</v>
      </c>
      <c r="C2144" s="16" t="e">
        <f>VLOOKUP(Table1[[#This Row],[Node]],Parent!A:B,2,0)</f>
        <v>#N/A</v>
      </c>
      <c r="D2144" s="25" t="s">
        <v>19346</v>
      </c>
      <c r="E2144" s="26" t="s">
        <v>16544</v>
      </c>
      <c r="F2144" s="27" t="s">
        <v>18569</v>
      </c>
      <c r="G2144" s="27" t="s">
        <v>18612</v>
      </c>
      <c r="H2144" s="27" t="s">
        <v>18652</v>
      </c>
      <c r="I2144" s="27"/>
      <c r="J2144" s="27"/>
      <c r="K2144" s="27"/>
      <c r="L2144" s="27"/>
      <c r="N2144" s="27"/>
      <c r="T2144" s="28" t="str">
        <f>LOOKUP(1,1/(Table1[[#This Row],[Level_0]:[Level 15]]&gt;0),(Table1[[#This Row],[Level_0]:[Level 15]]))</f>
        <v>7321120006 - [AOM QC Re-test of components]</v>
      </c>
      <c r="U2144" s="22">
        <v>2139</v>
      </c>
      <c r="W2144" s="13" t="str">
        <f>LOOKUP(1,1/(Table1[[#This Row],[Level_0]:[Level 15]]&gt;0),(Table1[[#This Row],[Level_0]:[Level 15]]))</f>
        <v>7321120006 - [AOM QC Re-test of components]</v>
      </c>
    </row>
    <row r="2145" spans="1:23" hidden="1" x14ac:dyDescent="0.25">
      <c r="A2145">
        <v>7321120005</v>
      </c>
      <c r="B2145" s="16" t="s">
        <v>20901</v>
      </c>
      <c r="C2145" s="16" t="e">
        <f>VLOOKUP(Table1[[#This Row],[Node]],Parent!A:B,2,0)</f>
        <v>#N/A</v>
      </c>
      <c r="D2145" s="25" t="s">
        <v>19346</v>
      </c>
      <c r="E2145" s="26" t="s">
        <v>16544</v>
      </c>
      <c r="F2145" s="27" t="s">
        <v>18569</v>
      </c>
      <c r="G2145" s="27" t="s">
        <v>18612</v>
      </c>
      <c r="H2145" s="27" t="s">
        <v>18653</v>
      </c>
      <c r="I2145" s="27"/>
      <c r="J2145" s="27"/>
      <c r="K2145" s="27"/>
      <c r="L2145" s="27"/>
      <c r="N2145" s="27"/>
      <c r="T2145" s="28" t="str">
        <f>LOOKUP(1,1/(Table1[[#This Row],[Level_0]:[Level 15]]&gt;0),(Table1[[#This Row],[Level_0]:[Level 15]]))</f>
        <v>7321120005 - [AOM QC Inprocess and Endprocess/Monit.]</v>
      </c>
      <c r="U2145" s="22">
        <v>2140</v>
      </c>
      <c r="W2145" s="13" t="str">
        <f>LOOKUP(1,1/(Table1[[#This Row],[Level_0]:[Level 15]]&gt;0),(Table1[[#This Row],[Level_0]:[Level 15]]))</f>
        <v>7321120005 - [AOM QC Inprocess and Endprocess/Monit.]</v>
      </c>
    </row>
    <row r="2146" spans="1:23" hidden="1" x14ac:dyDescent="0.25">
      <c r="A2146">
        <v>7321120004</v>
      </c>
      <c r="B2146" s="16" t="s">
        <v>20900</v>
      </c>
      <c r="C2146" s="16" t="e">
        <f>VLOOKUP(Table1[[#This Row],[Node]],Parent!A:B,2,0)</f>
        <v>#N/A</v>
      </c>
      <c r="D2146" s="25" t="s">
        <v>19346</v>
      </c>
      <c r="E2146" s="26" t="s">
        <v>16544</v>
      </c>
      <c r="F2146" s="27" t="s">
        <v>18569</v>
      </c>
      <c r="G2146" s="27" t="s">
        <v>18612</v>
      </c>
      <c r="H2146" s="27" t="s">
        <v>18654</v>
      </c>
      <c r="I2146" s="27"/>
      <c r="J2146" s="27"/>
      <c r="K2146" s="27"/>
      <c r="L2146" s="27"/>
      <c r="N2146" s="27"/>
      <c r="T2146" s="28" t="str">
        <f>LOOKUP(1,1/(Table1[[#This Row],[Level_0]:[Level 15]]&gt;0),(Table1[[#This Row],[Level_0]:[Level 15]]))</f>
        <v>7321120004 - [AOM QC Q-Insp. Incoming Passive Subc.]</v>
      </c>
      <c r="U2146" s="22">
        <v>2141</v>
      </c>
      <c r="W2146" s="13" t="str">
        <f>LOOKUP(1,1/(Table1[[#This Row],[Level_0]:[Level 15]]&gt;0),(Table1[[#This Row],[Level_0]:[Level 15]]))</f>
        <v>7321120004 - [AOM QC Q-Insp. Incoming Passive Subc.]</v>
      </c>
    </row>
    <row r="2147" spans="1:23" hidden="1" x14ac:dyDescent="0.25">
      <c r="A2147">
        <v>7321120003</v>
      </c>
      <c r="B2147" s="16" t="s">
        <v>20899</v>
      </c>
      <c r="C2147" s="16" t="e">
        <f>VLOOKUP(Table1[[#This Row],[Node]],Parent!A:B,2,0)</f>
        <v>#N/A</v>
      </c>
      <c r="D2147" s="25" t="s">
        <v>19346</v>
      </c>
      <c r="E2147" s="26" t="s">
        <v>16544</v>
      </c>
      <c r="F2147" s="27" t="s">
        <v>18569</v>
      </c>
      <c r="G2147" s="27" t="s">
        <v>18612</v>
      </c>
      <c r="H2147" s="27" t="s">
        <v>18655</v>
      </c>
      <c r="I2147" s="27"/>
      <c r="J2147" s="27"/>
      <c r="K2147" s="27"/>
      <c r="L2147" s="27"/>
      <c r="N2147" s="27"/>
      <c r="T2147" s="28" t="str">
        <f>LOOKUP(1,1/(Table1[[#This Row],[Level_0]:[Level 15]]&gt;0),(Table1[[#This Row],[Level_0]:[Level 15]]))</f>
        <v>7321120003 - [AOM QC Q-Insp. Inc. 3P Merchandising]</v>
      </c>
      <c r="U2147" s="22">
        <v>2142</v>
      </c>
      <c r="W2147" s="13" t="str">
        <f>LOOKUP(1,1/(Table1[[#This Row],[Level_0]:[Level 15]]&gt;0),(Table1[[#This Row],[Level_0]:[Level 15]]))</f>
        <v>7321120003 - [AOM QC Q-Insp. Inc. 3P Merchandising]</v>
      </c>
    </row>
    <row r="2148" spans="1:23" hidden="1" x14ac:dyDescent="0.25">
      <c r="A2148">
        <v>7321120002</v>
      </c>
      <c r="B2148" s="16" t="s">
        <v>20898</v>
      </c>
      <c r="C2148" s="16" t="e">
        <f>VLOOKUP(Table1[[#This Row],[Node]],Parent!A:B,2,0)</f>
        <v>#N/A</v>
      </c>
      <c r="D2148" s="25" t="s">
        <v>19346</v>
      </c>
      <c r="E2148" s="26" t="s">
        <v>16544</v>
      </c>
      <c r="F2148" s="27" t="s">
        <v>18569</v>
      </c>
      <c r="G2148" s="27" t="s">
        <v>18612</v>
      </c>
      <c r="H2148" s="27" t="s">
        <v>18656</v>
      </c>
      <c r="I2148" s="27"/>
      <c r="J2148" s="27"/>
      <c r="K2148" s="27"/>
      <c r="L2148" s="27"/>
      <c r="N2148" s="27"/>
      <c r="T2148" s="28" t="str">
        <f>LOOKUP(1,1/(Table1[[#This Row],[Level_0]:[Level 15]]&gt;0),(Table1[[#This Row],[Level_0]:[Level 15]]))</f>
        <v>7321120002 - [AOM QC Q-Insp. Inc. Mat. (RM, PM, comp.		X	X	X	X		]</v>
      </c>
      <c r="U2148" s="22">
        <v>2143</v>
      </c>
      <c r="W2148" s="13" t="str">
        <f>LOOKUP(1,1/(Table1[[#This Row],[Level_0]:[Level 15]]&gt;0),(Table1[[#This Row],[Level_0]:[Level 15]]))</f>
        <v>7321120002 - [AOM QC Q-Insp. Inc. Mat. (RM, PM, comp.		X	X	X	X		]</v>
      </c>
    </row>
    <row r="2149" spans="1:23" hidden="1" x14ac:dyDescent="0.25">
      <c r="A2149">
        <v>7321120001</v>
      </c>
      <c r="B2149" s="16" t="s">
        <v>20897</v>
      </c>
      <c r="C2149" s="16" t="e">
        <f>VLOOKUP(Table1[[#This Row],[Node]],Parent!A:B,2,0)</f>
        <v>#N/A</v>
      </c>
      <c r="D2149" s="25" t="s">
        <v>19346</v>
      </c>
      <c r="E2149" s="26" t="s">
        <v>16544</v>
      </c>
      <c r="F2149" s="27" t="s">
        <v>18569</v>
      </c>
      <c r="G2149" s="27" t="s">
        <v>18612</v>
      </c>
      <c r="H2149" s="27" t="s">
        <v>18657</v>
      </c>
      <c r="I2149" s="27"/>
      <c r="J2149" s="27"/>
      <c r="K2149" s="27"/>
      <c r="L2149" s="27"/>
      <c r="N2149" s="27"/>
      <c r="T2149" s="28" t="str">
        <f>LOOKUP(1,1/(Table1[[#This Row],[Level_0]:[Level 15]]&gt;0),(Table1[[#This Row],[Level_0]:[Level 15]]))</f>
        <v>7321120001 - [AOM Global Quality Assurance]</v>
      </c>
      <c r="U2149" s="22">
        <v>2144</v>
      </c>
      <c r="W2149" s="13" t="str">
        <f>LOOKUP(1,1/(Table1[[#This Row],[Level_0]:[Level 15]]&gt;0),(Table1[[#This Row],[Level_0]:[Level 15]]))</f>
        <v>7321120001 - [AOM Global Quality Assurance]</v>
      </c>
    </row>
    <row r="2150" spans="1:23" hidden="1" x14ac:dyDescent="0.25">
      <c r="A2150">
        <v>7320230001</v>
      </c>
      <c r="B2150" s="16" t="s">
        <v>20895</v>
      </c>
      <c r="C2150" s="16" t="e">
        <f>VLOOKUP(Table1[[#This Row],[Node]],Parent!A:B,2,0)</f>
        <v>#N/A</v>
      </c>
      <c r="D2150" s="25" t="s">
        <v>19346</v>
      </c>
      <c r="E2150" s="26" t="s">
        <v>16544</v>
      </c>
      <c r="F2150" s="27" t="s">
        <v>18569</v>
      </c>
      <c r="G2150" s="27" t="s">
        <v>18612</v>
      </c>
      <c r="H2150" s="27" t="s">
        <v>18658</v>
      </c>
      <c r="I2150" s="27"/>
      <c r="J2150" s="27"/>
      <c r="K2150" s="27"/>
      <c r="L2150" s="27"/>
      <c r="N2150" s="27"/>
      <c r="T2150" s="28" t="str">
        <f>LOOKUP(1,1/(Table1[[#This Row],[Level_0]:[Level 15]]&gt;0),(Table1[[#This Row],[Level_0]:[Level 15]]))</f>
        <v>7320230001 - [AOM Global Tech Ops Governance Costs]</v>
      </c>
      <c r="U2150" s="22">
        <v>2145</v>
      </c>
      <c r="W2150" s="13" t="str">
        <f>LOOKUP(1,1/(Table1[[#This Row],[Level_0]:[Level 15]]&gt;0),(Table1[[#This Row],[Level_0]:[Level 15]]))</f>
        <v>7320230001 - [AOM Global Tech Ops Governance Costs]</v>
      </c>
    </row>
    <row r="2151" spans="1:23" hidden="1" x14ac:dyDescent="0.25">
      <c r="A2151">
        <v>7320120005</v>
      </c>
      <c r="B2151" s="16" t="s">
        <v>20854</v>
      </c>
      <c r="C2151" s="16" t="e">
        <f>VLOOKUP(Table1[[#This Row],[Node]],Parent!A:B,2,0)</f>
        <v>#N/A</v>
      </c>
      <c r="D2151" s="25" t="s">
        <v>19346</v>
      </c>
      <c r="E2151" s="26" t="s">
        <v>16544</v>
      </c>
      <c r="F2151" s="27" t="s">
        <v>18569</v>
      </c>
      <c r="G2151" s="27" t="s">
        <v>18612</v>
      </c>
      <c r="H2151" s="27" t="s">
        <v>18659</v>
      </c>
      <c r="I2151" s="27"/>
      <c r="J2151" s="27"/>
      <c r="K2151" s="27"/>
      <c r="L2151" s="27"/>
      <c r="N2151" s="27"/>
      <c r="T2151" s="28" t="str">
        <f>LOOKUP(1,1/(Table1[[#This Row],[Level_0]:[Level 15]]&gt;0),(Table1[[#This Row],[Level_0]:[Level 15]]))</f>
        <v>7320120005 - [AOM Quality Department]</v>
      </c>
      <c r="U2151" s="22">
        <v>2146</v>
      </c>
      <c r="W2151" s="13" t="str">
        <f>LOOKUP(1,1/(Table1[[#This Row],[Level_0]:[Level 15]]&gt;0),(Table1[[#This Row],[Level_0]:[Level 15]]))</f>
        <v>7320120005 - [AOM Quality Department]</v>
      </c>
    </row>
    <row r="2152" spans="1:23" hidden="1" x14ac:dyDescent="0.25">
      <c r="A2152">
        <v>7320120004</v>
      </c>
      <c r="B2152" s="16" t="s">
        <v>20853</v>
      </c>
      <c r="C2152" s="16" t="e">
        <f>VLOOKUP(Table1[[#This Row],[Node]],Parent!A:B,2,0)</f>
        <v>#N/A</v>
      </c>
      <c r="D2152" s="25" t="s">
        <v>19346</v>
      </c>
      <c r="E2152" s="26" t="s">
        <v>16544</v>
      </c>
      <c r="F2152" s="27" t="s">
        <v>18569</v>
      </c>
      <c r="G2152" s="27" t="s">
        <v>18612</v>
      </c>
      <c r="H2152" s="27" t="s">
        <v>18660</v>
      </c>
      <c r="I2152" s="27"/>
      <c r="J2152" s="27"/>
      <c r="K2152" s="27"/>
      <c r="L2152" s="27"/>
      <c r="N2152" s="27"/>
      <c r="T2152" s="28" t="str">
        <f>LOOKUP(1,1/(Table1[[#This Row],[Level_0]:[Level 15]]&gt;0),(Table1[[#This Row],[Level_0]:[Level 15]]))</f>
        <v>7320120004 - [AOM QM to production cost coll.]</v>
      </c>
      <c r="U2152" s="22">
        <v>2147</v>
      </c>
      <c r="W2152" s="13" t="str">
        <f>LOOKUP(1,1/(Table1[[#This Row],[Level_0]:[Level 15]]&gt;0),(Table1[[#This Row],[Level_0]:[Level 15]]))</f>
        <v>7320120004 - [AOM QM to production cost coll.]</v>
      </c>
    </row>
    <row r="2153" spans="1:23" hidden="1" x14ac:dyDescent="0.25">
      <c r="A2153">
        <v>7320120003</v>
      </c>
      <c r="B2153" s="16" t="s">
        <v>20852</v>
      </c>
      <c r="C2153" s="16" t="e">
        <f>VLOOKUP(Table1[[#This Row],[Node]],Parent!A:B,2,0)</f>
        <v>#N/A</v>
      </c>
      <c r="D2153" s="25" t="s">
        <v>19346</v>
      </c>
      <c r="E2153" s="26" t="s">
        <v>16544</v>
      </c>
      <c r="F2153" s="27" t="s">
        <v>18569</v>
      </c>
      <c r="G2153" s="27" t="s">
        <v>18612</v>
      </c>
      <c r="H2153" s="27" t="s">
        <v>18661</v>
      </c>
      <c r="I2153" s="27"/>
      <c r="J2153" s="27"/>
      <c r="K2153" s="27"/>
      <c r="L2153" s="27"/>
      <c r="N2153" s="27"/>
      <c r="T2153" s="28" t="str">
        <f>LOOKUP(1,1/(Table1[[#This Row],[Level_0]:[Level 15]]&gt;0),(Table1[[#This Row],[Level_0]:[Level 15]]))</f>
        <v>7320120003 - [AOM QA to production cost coll.]</v>
      </c>
      <c r="U2153" s="22">
        <v>2148</v>
      </c>
      <c r="W2153" s="13" t="str">
        <f>LOOKUP(1,1/(Table1[[#This Row],[Level_0]:[Level 15]]&gt;0),(Table1[[#This Row],[Level_0]:[Level 15]]))</f>
        <v>7320120003 - [AOM QA to production cost coll.]</v>
      </c>
    </row>
    <row r="2154" spans="1:23" hidden="1" x14ac:dyDescent="0.25">
      <c r="A2154">
        <v>7320120002</v>
      </c>
      <c r="B2154" s="16" t="s">
        <v>20851</v>
      </c>
      <c r="C2154" s="16" t="e">
        <f>VLOOKUP(Table1[[#This Row],[Node]],Parent!A:B,2,0)</f>
        <v>#N/A</v>
      </c>
      <c r="D2154" s="25" t="s">
        <v>19346</v>
      </c>
      <c r="E2154" s="26" t="s">
        <v>16544</v>
      </c>
      <c r="F2154" s="27" t="s">
        <v>18569</v>
      </c>
      <c r="G2154" s="27" t="s">
        <v>18612</v>
      </c>
      <c r="H2154" s="27" t="s">
        <v>18662</v>
      </c>
      <c r="I2154" s="27"/>
      <c r="J2154" s="27"/>
      <c r="K2154" s="27"/>
      <c r="L2154" s="27"/>
      <c r="N2154" s="27"/>
      <c r="T2154" s="28" t="str">
        <f>LOOKUP(1,1/(Table1[[#This Row],[Level_0]:[Level 15]]&gt;0),(Table1[[#This Row],[Level_0]:[Level 15]]))</f>
        <v>7320120002 - [AOM Global Quality/Regulatory]</v>
      </c>
      <c r="U2154" s="22">
        <v>2149</v>
      </c>
      <c r="W2154" s="13" t="str">
        <f>LOOKUP(1,1/(Table1[[#This Row],[Level_0]:[Level 15]]&gt;0),(Table1[[#This Row],[Level_0]:[Level 15]]))</f>
        <v>7320120002 - [AOM Global Quality/Regulatory]</v>
      </c>
    </row>
    <row r="2155" spans="1:23" hidden="1" x14ac:dyDescent="0.25">
      <c r="A2155">
        <v>7320120001</v>
      </c>
      <c r="B2155" s="16" t="s">
        <v>20850</v>
      </c>
      <c r="C2155" s="16" t="e">
        <f>VLOOKUP(Table1[[#This Row],[Node]],Parent!A:B,2,0)</f>
        <v>#N/A</v>
      </c>
      <c r="D2155" s="25" t="s">
        <v>19346</v>
      </c>
      <c r="E2155" s="26" t="s">
        <v>16544</v>
      </c>
      <c r="F2155" s="27" t="s">
        <v>18569</v>
      </c>
      <c r="G2155" s="27" t="s">
        <v>18612</v>
      </c>
      <c r="H2155" s="27" t="s">
        <v>18663</v>
      </c>
      <c r="I2155" s="27"/>
      <c r="J2155" s="27"/>
      <c r="K2155" s="27"/>
      <c r="L2155" s="27"/>
      <c r="N2155" s="27"/>
      <c r="T2155" s="28" t="str">
        <f>LOOKUP(1,1/(Table1[[#This Row],[Level_0]:[Level 15]]&gt;0),(Table1[[#This Row],[Level_0]:[Level 15]]))</f>
        <v>7320120001 - [AOM CCV Alloc. T-Funct. prod. - Q-Contr.]</v>
      </c>
      <c r="U2155" s="22">
        <v>2150</v>
      </c>
      <c r="W2155" s="13" t="str">
        <f>LOOKUP(1,1/(Table1[[#This Row],[Level_0]:[Level 15]]&gt;0),(Table1[[#This Row],[Level_0]:[Level 15]]))</f>
        <v>7320120001 - [AOM CCV Alloc. T-Funct. prod. - Q-Contr.]</v>
      </c>
    </row>
    <row r="2156" spans="1:23" hidden="1" x14ac:dyDescent="0.25">
      <c r="A2156">
        <v>7320110007</v>
      </c>
      <c r="B2156" s="16" t="s">
        <v>20841</v>
      </c>
      <c r="C2156" s="16" t="e">
        <f>VLOOKUP(Table1[[#This Row],[Node]],Parent!A:B,2,0)</f>
        <v>#N/A</v>
      </c>
      <c r="D2156" s="25" t="s">
        <v>19346</v>
      </c>
      <c r="E2156" s="26" t="s">
        <v>16544</v>
      </c>
      <c r="F2156" s="27" t="s">
        <v>18569</v>
      </c>
      <c r="G2156" s="27" t="s">
        <v>18612</v>
      </c>
      <c r="H2156" s="27" t="s">
        <v>18664</v>
      </c>
      <c r="I2156" s="27"/>
      <c r="J2156" s="27"/>
      <c r="K2156" s="27"/>
      <c r="L2156" s="27"/>
      <c r="N2156" s="27"/>
      <c r="T2156" s="28" t="str">
        <f>LOOKUP(1,1/(Table1[[#This Row],[Level_0]:[Level 15]]&gt;0),(Table1[[#This Row],[Level_0]:[Level 15]]))</f>
        <v>7320110007 - [AOM Alloc.Quality Costs (Comp. Split)]</v>
      </c>
      <c r="U2156" s="22">
        <v>2151</v>
      </c>
      <c r="W2156" s="13" t="str">
        <f>LOOKUP(1,1/(Table1[[#This Row],[Level_0]:[Level 15]]&gt;0),(Table1[[#This Row],[Level_0]:[Level 15]]))</f>
        <v>7320110007 - [AOM Alloc.Quality Costs (Comp. Split)]</v>
      </c>
    </row>
    <row r="2157" spans="1:23" hidden="1" x14ac:dyDescent="0.25">
      <c r="A2157">
        <v>7311120002</v>
      </c>
      <c r="B2157" s="16" t="s">
        <v>20834</v>
      </c>
      <c r="C2157" s="16" t="e">
        <f>VLOOKUP(Table1[[#This Row],[Node]],Parent!A:B,2,0)</f>
        <v>#N/A</v>
      </c>
      <c r="D2157" s="25" t="s">
        <v>19346</v>
      </c>
      <c r="E2157" s="26" t="s">
        <v>16544</v>
      </c>
      <c r="F2157" s="27" t="s">
        <v>18569</v>
      </c>
      <c r="G2157" s="27" t="s">
        <v>18612</v>
      </c>
      <c r="H2157" s="27" t="s">
        <v>18665</v>
      </c>
      <c r="I2157" s="27"/>
      <c r="J2157" s="27"/>
      <c r="K2157" s="27"/>
      <c r="L2157" s="27"/>
      <c r="N2157" s="27"/>
      <c r="T2157" s="28" t="str">
        <f>LOOKUP(1,1/(Table1[[#This Row],[Level_0]:[Level 15]]&gt;0),(Table1[[#This Row],[Level_0]:[Level 15]]))</f>
        <v>7311120002 - [IAA Quality Control (Units)]</v>
      </c>
      <c r="U2157" s="22">
        <v>2152</v>
      </c>
      <c r="W2157" s="13" t="str">
        <f>LOOKUP(1,1/(Table1[[#This Row],[Level_0]:[Level 15]]&gt;0),(Table1[[#This Row],[Level_0]:[Level 15]]))</f>
        <v>7311120002 - [IAA Quality Control (Units)]</v>
      </c>
    </row>
    <row r="2158" spans="1:23" hidden="1" x14ac:dyDescent="0.25">
      <c r="A2158">
        <v>7311120001</v>
      </c>
      <c r="B2158" s="16" t="s">
        <v>20833</v>
      </c>
      <c r="C2158" s="16" t="e">
        <f>VLOOKUP(Table1[[#This Row],[Node]],Parent!A:B,2,0)</f>
        <v>#N/A</v>
      </c>
      <c r="D2158" s="25" t="s">
        <v>19346</v>
      </c>
      <c r="E2158" s="26" t="s">
        <v>16544</v>
      </c>
      <c r="F2158" s="27" t="s">
        <v>18569</v>
      </c>
      <c r="G2158" s="27" t="s">
        <v>18612</v>
      </c>
      <c r="H2158" s="27" t="s">
        <v>18666</v>
      </c>
      <c r="I2158" s="27"/>
      <c r="J2158" s="27"/>
      <c r="K2158" s="27"/>
      <c r="L2158" s="27"/>
      <c r="N2158" s="27"/>
      <c r="T2158" s="28" t="str">
        <f>LOOKUP(1,1/(Table1[[#This Row],[Level_0]:[Level 15]]&gt;0),(Table1[[#This Row],[Level_0]:[Level 15]]))</f>
        <v>7311120001 - [IAA Quality Control (Hours)]</v>
      </c>
      <c r="U2158" s="22">
        <v>2153</v>
      </c>
      <c r="W2158" s="13" t="str">
        <f>LOOKUP(1,1/(Table1[[#This Row],[Level_0]:[Level 15]]&gt;0),(Table1[[#This Row],[Level_0]:[Level 15]]))</f>
        <v>7311120001 - [IAA Quality Control (Hours)]</v>
      </c>
    </row>
    <row r="2159" spans="1:23" hidden="1" x14ac:dyDescent="0.25">
      <c r="A2159">
        <v>7301120002</v>
      </c>
      <c r="B2159" s="16" t="s">
        <v>20774</v>
      </c>
      <c r="C2159" s="16" t="e">
        <f>VLOOKUP(Table1[[#This Row],[Node]],Parent!A:B,2,0)</f>
        <v>#N/A</v>
      </c>
      <c r="D2159" s="25" t="s">
        <v>19346</v>
      </c>
      <c r="E2159" s="26" t="s">
        <v>16544</v>
      </c>
      <c r="F2159" s="27" t="s">
        <v>18569</v>
      </c>
      <c r="G2159" s="27" t="s">
        <v>18612</v>
      </c>
      <c r="H2159" s="27" t="s">
        <v>18667</v>
      </c>
      <c r="I2159" s="27"/>
      <c r="J2159" s="27"/>
      <c r="K2159" s="27"/>
      <c r="L2159" s="27"/>
      <c r="N2159" s="27"/>
      <c r="T2159" s="28" t="str">
        <f>LOOKUP(1,1/(Table1[[#This Row],[Level_0]:[Level 15]]&gt;0),(Table1[[#This Row],[Level_0]:[Level 15]]))</f>
        <v>7301120002 - [DAA Quality Control (Units)]</v>
      </c>
      <c r="U2159" s="22">
        <v>2154</v>
      </c>
      <c r="W2159" s="13" t="str">
        <f>LOOKUP(1,1/(Table1[[#This Row],[Level_0]:[Level 15]]&gt;0),(Table1[[#This Row],[Level_0]:[Level 15]]))</f>
        <v>7301120002 - [DAA Quality Control (Units)]</v>
      </c>
    </row>
    <row r="2160" spans="1:23" hidden="1" x14ac:dyDescent="0.25">
      <c r="A2160">
        <v>7301120001</v>
      </c>
      <c r="B2160" s="16" t="s">
        <v>20773</v>
      </c>
      <c r="C2160" s="16" t="e">
        <f>VLOOKUP(Table1[[#This Row],[Node]],Parent!A:B,2,0)</f>
        <v>#N/A</v>
      </c>
      <c r="D2160" s="25" t="s">
        <v>19346</v>
      </c>
      <c r="E2160" s="26" t="s">
        <v>16544</v>
      </c>
      <c r="F2160" s="27" t="s">
        <v>18569</v>
      </c>
      <c r="G2160" s="27" t="s">
        <v>18612</v>
      </c>
      <c r="H2160" s="27" t="s">
        <v>18668</v>
      </c>
      <c r="I2160" s="27"/>
      <c r="J2160" s="27"/>
      <c r="K2160" s="27"/>
      <c r="L2160" s="27"/>
      <c r="N2160" s="27"/>
      <c r="T2160" s="28" t="str">
        <f>LOOKUP(1,1/(Table1[[#This Row],[Level_0]:[Level 15]]&gt;0),(Table1[[#This Row],[Level_0]:[Level 15]]))</f>
        <v>7301120001 - [DAA Quality Control (Hours)]</v>
      </c>
      <c r="U2160" s="22">
        <v>2155</v>
      </c>
      <c r="W2160" s="13" t="str">
        <f>LOOKUP(1,1/(Table1[[#This Row],[Level_0]:[Level 15]]&gt;0),(Table1[[#This Row],[Level_0]:[Level 15]]))</f>
        <v>7301120001 - [DAA Quality Control (Hours)]</v>
      </c>
    </row>
    <row r="2161" spans="1:23" hidden="1" x14ac:dyDescent="0.25">
      <c r="A2161">
        <v>7200000004</v>
      </c>
      <c r="B2161" s="16" t="s">
        <v>20694</v>
      </c>
      <c r="C2161" s="16" t="e">
        <f>VLOOKUP(Table1[[#This Row],[Node]],Parent!A:B,2,0)</f>
        <v>#N/A</v>
      </c>
      <c r="D2161" s="25" t="s">
        <v>19346</v>
      </c>
      <c r="E2161" s="26" t="s">
        <v>16544</v>
      </c>
      <c r="F2161" s="27" t="s">
        <v>18569</v>
      </c>
      <c r="G2161" s="27" t="s">
        <v>18612</v>
      </c>
      <c r="H2161" s="27" t="s">
        <v>18669</v>
      </c>
      <c r="I2161" s="27"/>
      <c r="J2161" s="27"/>
      <c r="K2161" s="27"/>
      <c r="L2161" s="27"/>
      <c r="N2161" s="27"/>
      <c r="T2161" s="28" t="str">
        <f>LOOKUP(1,1/(Table1[[#This Row],[Level_0]:[Level 15]]&gt;0),(Table1[[#This Row],[Level_0]:[Level 15]]))</f>
        <v>7200000004 - [DAA EQ Safety Data Sheets]</v>
      </c>
      <c r="U2161" s="22">
        <v>2156</v>
      </c>
      <c r="W2161" s="13" t="str">
        <f>LOOKUP(1,1/(Table1[[#This Row],[Level_0]:[Level 15]]&gt;0),(Table1[[#This Row],[Level_0]:[Level 15]]))</f>
        <v>7200000004 - [DAA EQ Safety Data Sheets]</v>
      </c>
    </row>
    <row r="2162" spans="1:23" hidden="1" x14ac:dyDescent="0.25">
      <c r="A2162">
        <v>7200000003</v>
      </c>
      <c r="B2162" s="16" t="s">
        <v>20693</v>
      </c>
      <c r="C2162" s="16" t="e">
        <f>VLOOKUP(Table1[[#This Row],[Node]],Parent!A:B,2,0)</f>
        <v>#N/A</v>
      </c>
      <c r="D2162" s="25" t="s">
        <v>19346</v>
      </c>
      <c r="E2162" s="26" t="s">
        <v>16544</v>
      </c>
      <c r="F2162" s="27" t="s">
        <v>18569</v>
      </c>
      <c r="G2162" s="27" t="s">
        <v>18612</v>
      </c>
      <c r="H2162" s="27" t="s">
        <v>18670</v>
      </c>
      <c r="I2162" s="27"/>
      <c r="J2162" s="27"/>
      <c r="K2162" s="27"/>
      <c r="L2162" s="27"/>
      <c r="N2162" s="27"/>
      <c r="T2162" s="28" t="str">
        <f>LOOKUP(1,1/(Table1[[#This Row],[Level_0]:[Level 15]]&gt;0),(Table1[[#This Row],[Level_0]:[Level 15]]))</f>
        <v>7200000003 - [DAA EQ REACH]</v>
      </c>
      <c r="U2162" s="22">
        <v>2157</v>
      </c>
      <c r="W2162" s="13" t="str">
        <f>LOOKUP(1,1/(Table1[[#This Row],[Level_0]:[Level 15]]&gt;0),(Table1[[#This Row],[Level_0]:[Level 15]]))</f>
        <v>7200000003 - [DAA EQ REACH]</v>
      </c>
    </row>
    <row r="2163" spans="1:23" hidden="1" x14ac:dyDescent="0.25">
      <c r="A2163">
        <v>5772010000</v>
      </c>
      <c r="B2163" s="16" t="s">
        <v>20460</v>
      </c>
      <c r="C2163" s="16" t="e">
        <f>VLOOKUP(Table1[[#This Row],[Node]],Parent!A:B,2,0)</f>
        <v>#N/A</v>
      </c>
      <c r="D2163" s="25" t="s">
        <v>19346</v>
      </c>
      <c r="E2163" s="26" t="s">
        <v>16544</v>
      </c>
      <c r="F2163" s="27" t="s">
        <v>18569</v>
      </c>
      <c r="G2163" s="27" t="s">
        <v>18612</v>
      </c>
      <c r="H2163" s="27" t="s">
        <v>18671</v>
      </c>
      <c r="I2163" s="27"/>
      <c r="J2163" s="27"/>
      <c r="K2163" s="27"/>
      <c r="L2163" s="27"/>
      <c r="N2163" s="27"/>
      <c r="T2163" s="28" t="str">
        <f>LOOKUP(1,1/(Table1[[#This Row],[Level_0]:[Level 15]]&gt;0),(Table1[[#This Row],[Level_0]:[Level 15]]))</f>
        <v>5772010000 - [IC Exp - HC - On-demand analytics]</v>
      </c>
      <c r="U2163" s="22">
        <v>2158</v>
      </c>
      <c r="W2163" s="13" t="str">
        <f>LOOKUP(1,1/(Table1[[#This Row],[Level_0]:[Level 15]]&gt;0),(Table1[[#This Row],[Level_0]:[Level 15]]))</f>
        <v>5772010000 - [IC Exp - HC - On-demand analytics]</v>
      </c>
    </row>
    <row r="2164" spans="1:23" hidden="1" x14ac:dyDescent="0.25">
      <c r="A2164">
        <v>5772000000</v>
      </c>
      <c r="B2164" s="16" t="s">
        <v>20459</v>
      </c>
      <c r="C2164" s="16" t="e">
        <f>VLOOKUP(Table1[[#This Row],[Node]],Parent!A:B,2,0)</f>
        <v>#N/A</v>
      </c>
      <c r="D2164" s="25" t="s">
        <v>19346</v>
      </c>
      <c r="E2164" s="26" t="s">
        <v>16544</v>
      </c>
      <c r="F2164" s="27" t="s">
        <v>18569</v>
      </c>
      <c r="G2164" s="27" t="s">
        <v>18612</v>
      </c>
      <c r="H2164" s="27" t="s">
        <v>18672</v>
      </c>
      <c r="I2164" s="27"/>
      <c r="J2164" s="27"/>
      <c r="K2164" s="27"/>
      <c r="L2164" s="27"/>
      <c r="N2164" s="27"/>
      <c r="T2164" s="28" t="str">
        <f>LOOKUP(1,1/(Table1[[#This Row],[Level_0]:[Level 15]]&gt;0),(Table1[[#This Row],[Level_0]:[Level 15]]))</f>
        <v>5772000000 - [IC Exp - HC - Routine Analytics/QC]</v>
      </c>
      <c r="U2164" s="22">
        <v>2159</v>
      </c>
      <c r="W2164" s="13" t="str">
        <f>LOOKUP(1,1/(Table1[[#This Row],[Level_0]:[Level 15]]&gt;0),(Table1[[#This Row],[Level_0]:[Level 15]]))</f>
        <v>5772000000 - [IC Exp - HC - Routine Analytics/QC]</v>
      </c>
    </row>
    <row r="2165" spans="1:23" hidden="1" x14ac:dyDescent="0.25">
      <c r="A2165">
        <v>5771160000</v>
      </c>
      <c r="B2165" s="16" t="s">
        <v>20452</v>
      </c>
      <c r="C2165" s="16" t="e">
        <f>VLOOKUP(Table1[[#This Row],[Node]],Parent!A:B,2,0)</f>
        <v>#N/A</v>
      </c>
      <c r="D2165" s="25" t="s">
        <v>19346</v>
      </c>
      <c r="E2165" s="26" t="s">
        <v>16544</v>
      </c>
      <c r="F2165" s="27" t="s">
        <v>18569</v>
      </c>
      <c r="G2165" s="27" t="s">
        <v>18612</v>
      </c>
      <c r="H2165" s="27" t="s">
        <v>18673</v>
      </c>
      <c r="I2165" s="27"/>
      <c r="J2165" s="27"/>
      <c r="K2165" s="27"/>
      <c r="L2165" s="27"/>
      <c r="N2165" s="27"/>
      <c r="T2165" s="28" t="str">
        <f>LOOKUP(1,1/(Table1[[#This Row],[Level_0]:[Level 15]]&gt;0),(Table1[[#This Row],[Level_0]:[Level 15]]))</f>
        <v>5771160000 - [IC EXP - EL - Quality Assur._GMP-reg.]</v>
      </c>
      <c r="U2165" s="22">
        <v>2160</v>
      </c>
      <c r="W2165" s="13" t="str">
        <f>LOOKUP(1,1/(Table1[[#This Row],[Level_0]:[Level 15]]&gt;0),(Table1[[#This Row],[Level_0]:[Level 15]]))</f>
        <v>5771160000 - [IC EXP - EL - Quality Assur._GMP-reg.]</v>
      </c>
    </row>
    <row r="2166" spans="1:23" hidden="1" x14ac:dyDescent="0.25">
      <c r="A2166">
        <v>5771150000</v>
      </c>
      <c r="B2166" s="16" t="s">
        <v>20451</v>
      </c>
      <c r="C2166" s="16" t="e">
        <f>VLOOKUP(Table1[[#This Row],[Node]],Parent!A:B,2,0)</f>
        <v>#N/A</v>
      </c>
      <c r="D2166" s="25" t="s">
        <v>19346</v>
      </c>
      <c r="E2166" s="26" t="s">
        <v>16544</v>
      </c>
      <c r="F2166" s="27" t="s">
        <v>18569</v>
      </c>
      <c r="G2166" s="27" t="s">
        <v>18612</v>
      </c>
      <c r="H2166" s="27" t="s">
        <v>18674</v>
      </c>
      <c r="I2166" s="27"/>
      <c r="J2166" s="27"/>
      <c r="K2166" s="27"/>
      <c r="L2166" s="27"/>
      <c r="N2166" s="27"/>
      <c r="T2166" s="28" t="str">
        <f>LOOKUP(1,1/(Table1[[#This Row],[Level_0]:[Level 15]]&gt;0),(Table1[[#This Row],[Level_0]:[Level 15]]))</f>
        <v>5771150000 - [IC EXP - EL - Regulatory Project Sup.]</v>
      </c>
      <c r="U2166" s="22">
        <v>2161</v>
      </c>
      <c r="W2166" s="13" t="str">
        <f>LOOKUP(1,1/(Table1[[#This Row],[Level_0]:[Level 15]]&gt;0),(Table1[[#This Row],[Level_0]:[Level 15]]))</f>
        <v>5771150000 - [IC EXP - EL - Regulatory Project Sup.]</v>
      </c>
    </row>
    <row r="2167" spans="1:23" hidden="1" x14ac:dyDescent="0.25">
      <c r="A2167">
        <v>5771080000</v>
      </c>
      <c r="B2167" s="16" t="s">
        <v>20450</v>
      </c>
      <c r="C2167" s="16" t="e">
        <f>VLOOKUP(Table1[[#This Row],[Node]],Parent!A:B,2,0)</f>
        <v>#N/A</v>
      </c>
      <c r="D2167" s="25" t="s">
        <v>19346</v>
      </c>
      <c r="E2167" s="26" t="s">
        <v>16544</v>
      </c>
      <c r="F2167" s="27" t="s">
        <v>18569</v>
      </c>
      <c r="G2167" s="27" t="s">
        <v>18612</v>
      </c>
      <c r="H2167" s="27" t="s">
        <v>18675</v>
      </c>
      <c r="I2167" s="27"/>
      <c r="J2167" s="27"/>
      <c r="K2167" s="27"/>
      <c r="L2167" s="27"/>
      <c r="N2167" s="27"/>
      <c r="T2167" s="28" t="str">
        <f>LOOKUP(1,1/(Table1[[#This Row],[Level_0]:[Level 15]]&gt;0),(Table1[[#This Row],[Level_0]:[Level 15]]))</f>
        <v>5771080000 - [IC EXP - EL - Master Data]</v>
      </c>
      <c r="U2167" s="22">
        <v>2162</v>
      </c>
      <c r="W2167" s="13" t="str">
        <f>LOOKUP(1,1/(Table1[[#This Row],[Level_0]:[Level 15]]&gt;0),(Table1[[#This Row],[Level_0]:[Level 15]]))</f>
        <v>5771080000 - [IC EXP - EL - Master Data]</v>
      </c>
    </row>
    <row r="2168" spans="1:23" hidden="1" x14ac:dyDescent="0.25">
      <c r="A2168">
        <v>5771010000</v>
      </c>
      <c r="B2168" s="16" t="s">
        <v>20449</v>
      </c>
      <c r="C2168" s="16" t="e">
        <f>VLOOKUP(Table1[[#This Row],[Node]],Parent!A:B,2,0)</f>
        <v>#N/A</v>
      </c>
      <c r="D2168" s="25" t="s">
        <v>19346</v>
      </c>
      <c r="E2168" s="26" t="s">
        <v>16544</v>
      </c>
      <c r="F2168" s="27" t="s">
        <v>18569</v>
      </c>
      <c r="G2168" s="27" t="s">
        <v>18612</v>
      </c>
      <c r="H2168" s="27" t="s">
        <v>18676</v>
      </c>
      <c r="I2168" s="27"/>
      <c r="J2168" s="27"/>
      <c r="K2168" s="27"/>
      <c r="L2168" s="27"/>
      <c r="N2168" s="27"/>
      <c r="T2168" s="28" t="str">
        <f>LOOKUP(1,1/(Table1[[#This Row],[Level_0]:[Level 15]]&gt;0),(Table1[[#This Row],[Level_0]:[Level 15]]))</f>
        <v>5771010000 - [IC Exp - EL- On-demand Analytics]</v>
      </c>
      <c r="U2168" s="22">
        <v>2163</v>
      </c>
      <c r="W2168" s="13" t="str">
        <f>LOOKUP(1,1/(Table1[[#This Row],[Level_0]:[Level 15]]&gt;0),(Table1[[#This Row],[Level_0]:[Level 15]]))</f>
        <v>5771010000 - [IC Exp - EL- On-demand Analytics]</v>
      </c>
    </row>
    <row r="2169" spans="1:23" hidden="1" x14ac:dyDescent="0.25">
      <c r="A2169">
        <v>5771000000</v>
      </c>
      <c r="B2169" s="16" t="s">
        <v>20448</v>
      </c>
      <c r="C2169" s="16" t="e">
        <f>VLOOKUP(Table1[[#This Row],[Node]],Parent!A:B,2,0)</f>
        <v>#N/A</v>
      </c>
      <c r="D2169" s="25" t="s">
        <v>19346</v>
      </c>
      <c r="E2169" s="26" t="s">
        <v>16544</v>
      </c>
      <c r="F2169" s="27" t="s">
        <v>18569</v>
      </c>
      <c r="G2169" s="27" t="s">
        <v>18612</v>
      </c>
      <c r="H2169" s="27" t="s">
        <v>18677</v>
      </c>
      <c r="I2169" s="27"/>
      <c r="J2169" s="27"/>
      <c r="K2169" s="27"/>
      <c r="L2169" s="27"/>
      <c r="N2169" s="27"/>
      <c r="T2169" s="28" t="str">
        <f>LOOKUP(1,1/(Table1[[#This Row],[Level_0]:[Level 15]]&gt;0),(Table1[[#This Row],[Level_0]:[Level 15]]))</f>
        <v>5771000000 - [IC Exp - EL - Routine Analytik]</v>
      </c>
      <c r="U2169" s="22">
        <v>2164</v>
      </c>
      <c r="W2169" s="13" t="str">
        <f>LOOKUP(1,1/(Table1[[#This Row],[Level_0]:[Level 15]]&gt;0),(Table1[[#This Row],[Level_0]:[Level 15]]))</f>
        <v>5771000000 - [IC Exp - EL - Routine Analytik]</v>
      </c>
    </row>
    <row r="2170" spans="1:23" hidden="1" x14ac:dyDescent="0.25">
      <c r="A2170">
        <v>5754610000</v>
      </c>
      <c r="B2170" s="16" t="s">
        <v>20442</v>
      </c>
      <c r="C2170" s="16" t="e">
        <f>VLOOKUP(Table1[[#This Row],[Node]],Parent!A:B,2,0)</f>
        <v>#N/A</v>
      </c>
      <c r="D2170" s="25" t="s">
        <v>19346</v>
      </c>
      <c r="E2170" s="26" t="s">
        <v>16544</v>
      </c>
      <c r="F2170" s="27" t="s">
        <v>18569</v>
      </c>
      <c r="G2170" s="27" t="s">
        <v>18612</v>
      </c>
      <c r="H2170" s="27" t="s">
        <v>18678</v>
      </c>
      <c r="I2170" s="27"/>
      <c r="J2170" s="27"/>
      <c r="K2170" s="27"/>
      <c r="L2170" s="27"/>
      <c r="N2170" s="27"/>
      <c r="T2170" s="28" t="str">
        <f>LOOKUP(1,1/(Table1[[#This Row],[Level_0]:[Level 15]]&gt;0),(Table1[[#This Row],[Level_0]:[Level 15]]))</f>
        <v>5754610000 - [IC Exp - SMS - Analytics Tech Scouting]</v>
      </c>
      <c r="U2170" s="22">
        <v>2165</v>
      </c>
      <c r="W2170" s="13" t="str">
        <f>LOOKUP(1,1/(Table1[[#This Row],[Level_0]:[Level 15]]&gt;0),(Table1[[#This Row],[Level_0]:[Level 15]]))</f>
        <v>5754610000 - [IC Exp - SMS - Analytics Tech Scouting]</v>
      </c>
    </row>
    <row r="2171" spans="1:23" hidden="1" x14ac:dyDescent="0.25">
      <c r="A2171">
        <v>5754310000</v>
      </c>
      <c r="B2171" s="16" t="s">
        <v>20439</v>
      </c>
      <c r="C2171" s="16" t="e">
        <f>VLOOKUP(Table1[[#This Row],[Node]],Parent!A:B,2,0)</f>
        <v>#N/A</v>
      </c>
      <c r="D2171" s="25" t="s">
        <v>19346</v>
      </c>
      <c r="E2171" s="26" t="s">
        <v>16544</v>
      </c>
      <c r="F2171" s="27" t="s">
        <v>18569</v>
      </c>
      <c r="G2171" s="27" t="s">
        <v>18612</v>
      </c>
      <c r="H2171" s="27" t="s">
        <v>18679</v>
      </c>
      <c r="I2171" s="27"/>
      <c r="J2171" s="27"/>
      <c r="K2171" s="27"/>
      <c r="L2171" s="27"/>
      <c r="N2171" s="27"/>
      <c r="T2171" s="28" t="str">
        <f>LOOKUP(1,1/(Table1[[#This Row],[Level_0]:[Level 15]]&gt;0),(Table1[[#This Row],[Level_0]:[Level 15]]))</f>
        <v>5754310000 - [IC Exp - SMS - Analytics ApplicationMgmt]</v>
      </c>
      <c r="U2171" s="22">
        <v>2166</v>
      </c>
      <c r="W2171" s="13" t="str">
        <f>LOOKUP(1,1/(Table1[[#This Row],[Level_0]:[Level 15]]&gt;0),(Table1[[#This Row],[Level_0]:[Level 15]]))</f>
        <v>5754310000 - [IC Exp - SMS - Analytics ApplicationMgmt]</v>
      </c>
    </row>
    <row r="2172" spans="1:23" hidden="1" x14ac:dyDescent="0.25">
      <c r="A2172">
        <v>5400210000</v>
      </c>
      <c r="B2172" s="16" t="s">
        <v>20256</v>
      </c>
      <c r="C2172" s="16" t="e">
        <f>VLOOKUP(Table1[[#This Row],[Node]],Parent!A:B,2,0)</f>
        <v>#N/A</v>
      </c>
      <c r="D2172" s="25" t="s">
        <v>19346</v>
      </c>
      <c r="E2172" s="26" t="s">
        <v>16544</v>
      </c>
      <c r="F2172" s="27" t="s">
        <v>18569</v>
      </c>
      <c r="G2172" s="27" t="s">
        <v>18612</v>
      </c>
      <c r="H2172" s="27" t="s">
        <v>18680</v>
      </c>
      <c r="I2172" s="27"/>
      <c r="J2172" s="27"/>
      <c r="K2172" s="27"/>
      <c r="L2172" s="27"/>
      <c r="N2172" s="27"/>
      <c r="T2172" s="28" t="str">
        <f>LOOKUP(1,1/(Table1[[#This Row],[Level_0]:[Level 15]]&gt;0),(Table1[[#This Row],[Level_0]:[Level 15]]))</f>
        <v>5400210000 - [IC Exp - DIV - Central Sampling]</v>
      </c>
      <c r="U2172" s="22">
        <v>2167</v>
      </c>
      <c r="W2172" s="13" t="str">
        <f>LOOKUP(1,1/(Table1[[#This Row],[Level_0]:[Level 15]]&gt;0),(Table1[[#This Row],[Level_0]:[Level 15]]))</f>
        <v>5400210000 - [IC Exp - DIV - Central Sampling]</v>
      </c>
    </row>
    <row r="2173" spans="1:23" hidden="1" x14ac:dyDescent="0.25">
      <c r="A2173">
        <v>5230210000</v>
      </c>
      <c r="B2173" s="16" t="s">
        <v>20210</v>
      </c>
      <c r="C2173" s="16" t="e">
        <f>VLOOKUP(Table1[[#This Row],[Node]],Parent!A:B,2,0)</f>
        <v>#N/A</v>
      </c>
      <c r="D2173" s="25" t="s">
        <v>19346</v>
      </c>
      <c r="E2173" s="26" t="s">
        <v>16544</v>
      </c>
      <c r="F2173" s="27" t="s">
        <v>18569</v>
      </c>
      <c r="G2173" s="27" t="s">
        <v>18612</v>
      </c>
      <c r="H2173" s="27" t="s">
        <v>18681</v>
      </c>
      <c r="I2173" s="27"/>
      <c r="J2173" s="27"/>
      <c r="K2173" s="27"/>
      <c r="L2173" s="27"/>
      <c r="N2173" s="27"/>
      <c r="T2173" s="28" t="str">
        <f>LOOKUP(1,1/(Table1[[#This Row],[Level_0]:[Level 15]]&gt;0),(Table1[[#This Row],[Level_0]:[Level 15]]))</f>
        <v>5230210000 - [IC Exp - SMS - Routine Analytik]</v>
      </c>
      <c r="U2173" s="22">
        <v>2168</v>
      </c>
      <c r="W2173" s="13" t="str">
        <f>LOOKUP(1,1/(Table1[[#This Row],[Level_0]:[Level 15]]&gt;0),(Table1[[#This Row],[Level_0]:[Level 15]]))</f>
        <v>5230210000 - [IC Exp - SMS - Routine Analytik]</v>
      </c>
    </row>
    <row r="2174" spans="1:23" hidden="1" x14ac:dyDescent="0.25">
      <c r="A2174">
        <v>5230110000</v>
      </c>
      <c r="B2174" s="16" t="s">
        <v>20209</v>
      </c>
      <c r="C2174" s="16" t="e">
        <f>VLOOKUP(Table1[[#This Row],[Node]],Parent!A:B,2,0)</f>
        <v>#N/A</v>
      </c>
      <c r="D2174" s="25" t="s">
        <v>19346</v>
      </c>
      <c r="E2174" s="26" t="s">
        <v>16544</v>
      </c>
      <c r="F2174" s="27" t="s">
        <v>18569</v>
      </c>
      <c r="G2174" s="27" t="s">
        <v>18612</v>
      </c>
      <c r="H2174" s="27" t="s">
        <v>18682</v>
      </c>
      <c r="I2174" s="27"/>
      <c r="J2174" s="27"/>
      <c r="K2174" s="27"/>
      <c r="L2174" s="27"/>
      <c r="N2174" s="27"/>
      <c r="T2174" s="28" t="str">
        <f>LOOKUP(1,1/(Table1[[#This Row],[Level_0]:[Level 15]]&gt;0),(Table1[[#This Row],[Level_0]:[Level 15]]))</f>
        <v>5230110000 - [IC Exp - SMS - Analytics 5%]</v>
      </c>
      <c r="U2174" s="22">
        <v>2169</v>
      </c>
      <c r="W2174" s="13" t="str">
        <f>LOOKUP(1,1/(Table1[[#This Row],[Level_0]:[Level 15]]&gt;0),(Table1[[#This Row],[Level_0]:[Level 15]]))</f>
        <v>5230110000 - [IC Exp - SMS - Analytics 5%]</v>
      </c>
    </row>
    <row r="2175" spans="1:23" hidden="1" x14ac:dyDescent="0.25">
      <c r="A2175">
        <v>5224510000</v>
      </c>
      <c r="B2175" s="16" t="s">
        <v>20190</v>
      </c>
      <c r="C2175" s="16" t="e">
        <f>VLOOKUP(Table1[[#This Row],[Node]],Parent!A:B,2,0)</f>
        <v>#N/A</v>
      </c>
      <c r="D2175" s="25" t="s">
        <v>19346</v>
      </c>
      <c r="E2175" s="26" t="s">
        <v>16544</v>
      </c>
      <c r="F2175" s="27" t="s">
        <v>18569</v>
      </c>
      <c r="G2175" s="27" t="s">
        <v>18612</v>
      </c>
      <c r="H2175" s="27" t="s">
        <v>18683</v>
      </c>
      <c r="I2175" s="27"/>
      <c r="J2175" s="27"/>
      <c r="K2175" s="27"/>
      <c r="L2175" s="27"/>
      <c r="N2175" s="27"/>
      <c r="T2175" s="28" t="str">
        <f>LOOKUP(1,1/(Table1[[#This Row],[Level_0]:[Level 15]]&gt;0),(Table1[[#This Row],[Level_0]:[Level 15]]))</f>
        <v>5224510000 - [IC Exp - DIV - Design of Test Procedures]</v>
      </c>
      <c r="U2175" s="22">
        <v>2170</v>
      </c>
      <c r="W2175" s="13" t="str">
        <f>LOOKUP(1,1/(Table1[[#This Row],[Level_0]:[Level 15]]&gt;0),(Table1[[#This Row],[Level_0]:[Level 15]]))</f>
        <v>5224510000 - [IC Exp - DIV - Design of Test Procedures]</v>
      </c>
    </row>
    <row r="2176" spans="1:23" hidden="1" x14ac:dyDescent="0.25">
      <c r="A2176">
        <v>5224310000</v>
      </c>
      <c r="B2176" s="16" t="s">
        <v>20188</v>
      </c>
      <c r="C2176" s="16" t="e">
        <f>VLOOKUP(Table1[[#This Row],[Node]],Parent!A:B,2,0)</f>
        <v>#N/A</v>
      </c>
      <c r="D2176" s="25" t="s">
        <v>19346</v>
      </c>
      <c r="E2176" s="26" t="s">
        <v>16544</v>
      </c>
      <c r="F2176" s="27" t="s">
        <v>18569</v>
      </c>
      <c r="G2176" s="27" t="s">
        <v>18612</v>
      </c>
      <c r="H2176" s="27" t="s">
        <v>18684</v>
      </c>
      <c r="I2176" s="27"/>
      <c r="J2176" s="27"/>
      <c r="K2176" s="27"/>
      <c r="L2176" s="27"/>
      <c r="N2176" s="27"/>
      <c r="T2176" s="28" t="str">
        <f>LOOKUP(1,1/(Table1[[#This Row],[Level_0]:[Level 15]]&gt;0),(Table1[[#This Row],[Level_0]:[Level 15]]))</f>
        <v>5224310000 - [IC Exp - DIV - Special Analytics]</v>
      </c>
      <c r="U2176" s="22">
        <v>2171</v>
      </c>
      <c r="W2176" s="13" t="str">
        <f>LOOKUP(1,1/(Table1[[#This Row],[Level_0]:[Level 15]]&gt;0),(Table1[[#This Row],[Level_0]:[Level 15]]))</f>
        <v>5224310000 - [IC Exp - DIV - Special Analytics]</v>
      </c>
    </row>
    <row r="2177" spans="1:23" hidden="1" x14ac:dyDescent="0.25">
      <c r="A2177">
        <v>5224210000</v>
      </c>
      <c r="B2177" s="16" t="s">
        <v>20187</v>
      </c>
      <c r="C2177" s="16" t="e">
        <f>VLOOKUP(Table1[[#This Row],[Node]],Parent!A:B,2,0)</f>
        <v>#N/A</v>
      </c>
      <c r="D2177" s="25" t="s">
        <v>19346</v>
      </c>
      <c r="E2177" s="26" t="s">
        <v>16544</v>
      </c>
      <c r="F2177" s="27" t="s">
        <v>18569</v>
      </c>
      <c r="G2177" s="27" t="s">
        <v>18612</v>
      </c>
      <c r="H2177" s="27" t="s">
        <v>18685</v>
      </c>
      <c r="I2177" s="27"/>
      <c r="J2177" s="27"/>
      <c r="K2177" s="27"/>
      <c r="L2177" s="27"/>
      <c r="N2177" s="27"/>
      <c r="T2177" s="28" t="str">
        <f>LOOKUP(1,1/(Table1[[#This Row],[Level_0]:[Level 15]]&gt;0),(Table1[[#This Row],[Level_0]:[Level 15]]))</f>
        <v>5224210000 - [IC Exp - DIV - Routine Analytics]</v>
      </c>
      <c r="U2177" s="22">
        <v>2172</v>
      </c>
      <c r="W2177" s="13" t="str">
        <f>LOOKUP(1,1/(Table1[[#This Row],[Level_0]:[Level 15]]&gt;0),(Table1[[#This Row],[Level_0]:[Level 15]]))</f>
        <v>5224210000 - [IC Exp - DIV - Routine Analytics]</v>
      </c>
    </row>
    <row r="2178" spans="1:23" hidden="1" x14ac:dyDescent="0.25">
      <c r="A2178">
        <v>5222300000</v>
      </c>
      <c r="B2178" s="16" t="s">
        <v>20171</v>
      </c>
      <c r="C2178" s="16" t="e">
        <f>VLOOKUP(Table1[[#This Row],[Node]],Parent!A:B,2,0)</f>
        <v>#N/A</v>
      </c>
      <c r="D2178" s="25" t="s">
        <v>19346</v>
      </c>
      <c r="E2178" s="26" t="s">
        <v>16544</v>
      </c>
      <c r="F2178" s="27" t="s">
        <v>18569</v>
      </c>
      <c r="G2178" s="27" t="s">
        <v>18612</v>
      </c>
      <c r="H2178" s="27" t="s">
        <v>18686</v>
      </c>
      <c r="I2178" s="27"/>
      <c r="J2178" s="27"/>
      <c r="K2178" s="27"/>
      <c r="L2178" s="27"/>
      <c r="N2178" s="27"/>
      <c r="T2178" s="28" t="str">
        <f>LOOKUP(1,1/(Table1[[#This Row],[Level_0]:[Level 15]]&gt;0),(Table1[[#This Row],[Level_0]:[Level 15]]))</f>
        <v>5222300000 - [Quality Services - Quality Analytics]</v>
      </c>
      <c r="U2178" s="22">
        <v>2173</v>
      </c>
      <c r="W2178" s="13" t="str">
        <f>LOOKUP(1,1/(Table1[[#This Row],[Level_0]:[Level 15]]&gt;0),(Table1[[#This Row],[Level_0]:[Level 15]]))</f>
        <v>5222300000 - [Quality Services - Quality Analytics]</v>
      </c>
    </row>
    <row r="2179" spans="1:23" hidden="1" x14ac:dyDescent="0.25">
      <c r="A2179">
        <v>5221810000</v>
      </c>
      <c r="B2179" s="16" t="s">
        <v>20167</v>
      </c>
      <c r="C2179" s="16" t="e">
        <f>VLOOKUP(Table1[[#This Row],[Node]],Parent!A:B,2,0)</f>
        <v>#N/A</v>
      </c>
      <c r="D2179" s="25" t="s">
        <v>19346</v>
      </c>
      <c r="E2179" s="26" t="s">
        <v>16544</v>
      </c>
      <c r="F2179" s="27" t="s">
        <v>18569</v>
      </c>
      <c r="G2179" s="27" t="s">
        <v>18612</v>
      </c>
      <c r="H2179" s="27" t="s">
        <v>18687</v>
      </c>
      <c r="I2179" s="27"/>
      <c r="J2179" s="27"/>
      <c r="K2179" s="27"/>
      <c r="L2179" s="27"/>
      <c r="N2179" s="27"/>
      <c r="T2179" s="28" t="str">
        <f>LOOKUP(1,1/(Table1[[#This Row],[Level_0]:[Level 15]]&gt;0),(Table1[[#This Row],[Level_0]:[Level 15]]))</f>
        <v>5221810000 - [IC Exp - DIV - Gas reaction services]</v>
      </c>
      <c r="U2179" s="22">
        <v>2174</v>
      </c>
      <c r="W2179" s="13" t="str">
        <f>LOOKUP(1,1/(Table1[[#This Row],[Level_0]:[Level 15]]&gt;0),(Table1[[#This Row],[Level_0]:[Level 15]]))</f>
        <v>5221810000 - [IC Exp - DIV - Gas reaction services]</v>
      </c>
    </row>
    <row r="2180" spans="1:23" hidden="1" x14ac:dyDescent="0.25">
      <c r="A2180">
        <v>5221710000</v>
      </c>
      <c r="B2180" s="16" t="s">
        <v>20166</v>
      </c>
      <c r="C2180" s="16" t="e">
        <f>VLOOKUP(Table1[[#This Row],[Node]],Parent!A:B,2,0)</f>
        <v>#N/A</v>
      </c>
      <c r="D2180" s="25" t="s">
        <v>19346</v>
      </c>
      <c r="E2180" s="26" t="s">
        <v>16544</v>
      </c>
      <c r="F2180" s="27" t="s">
        <v>18569</v>
      </c>
      <c r="G2180" s="27" t="s">
        <v>18612</v>
      </c>
      <c r="H2180" s="27" t="s">
        <v>18688</v>
      </c>
      <c r="I2180" s="27"/>
      <c r="J2180" s="27"/>
      <c r="K2180" s="27"/>
      <c r="L2180" s="27"/>
      <c r="N2180" s="27"/>
      <c r="T2180" s="28" t="str">
        <f>LOOKUP(1,1/(Table1[[#This Row],[Level_0]:[Level 15]]&gt;0),(Table1[[#This Row],[Level_0]:[Level 15]]))</f>
        <v>5221710000 - [IC Exp - DIV - Chemicals Regulations]</v>
      </c>
      <c r="U2180" s="22">
        <v>2175</v>
      </c>
      <c r="W2180" s="13" t="str">
        <f>LOOKUP(1,1/(Table1[[#This Row],[Level_0]:[Level 15]]&gt;0),(Table1[[#This Row],[Level_0]:[Level 15]]))</f>
        <v>5221710000 - [IC Exp - DIV - Chemicals Regulations]</v>
      </c>
    </row>
    <row r="2181" spans="1:23" hidden="1" x14ac:dyDescent="0.25">
      <c r="A2181">
        <v>120300</v>
      </c>
      <c r="B2181" s="16" t="s">
        <v>19410</v>
      </c>
      <c r="C2181" s="16" t="e">
        <f>VLOOKUP(Table1[[#This Row],[Node]],Parent!A:B,2,0)</f>
        <v>#N/A</v>
      </c>
      <c r="D2181" s="25" t="s">
        <v>19346</v>
      </c>
      <c r="E2181" s="26" t="s">
        <v>16544</v>
      </c>
      <c r="F2181" s="27" t="s">
        <v>18569</v>
      </c>
      <c r="G2181" s="27" t="s">
        <v>18689</v>
      </c>
      <c r="H2181" s="27"/>
      <c r="I2181" s="27"/>
      <c r="J2181" s="27"/>
      <c r="K2181" s="27"/>
      <c r="L2181" s="27"/>
      <c r="N2181" s="27"/>
      <c r="T2181" s="28" t="str">
        <f>LOOKUP(1,1/(Table1[[#This Row],[Level_0]:[Level 15]]&gt;0),(Table1[[#This Row],[Level_0]:[Level 15]]))</f>
        <v>120300 - [Site &amp; Infrastructure]</v>
      </c>
      <c r="U2181" s="22">
        <v>2176</v>
      </c>
      <c r="W2181" s="13" t="str">
        <f>LOOKUP(1,1/(Table1[[#This Row],[Level_0]:[Level 15]]&gt;0),(Table1[[#This Row],[Level_0]:[Level 15]]))</f>
        <v>120300 - [Site &amp; Infrastructure]</v>
      </c>
    </row>
    <row r="2182" spans="1:23" hidden="1" x14ac:dyDescent="0.25">
      <c r="A2182">
        <v>120303</v>
      </c>
      <c r="B2182" s="16" t="s">
        <v>19413</v>
      </c>
      <c r="C2182" s="16" t="e">
        <f>VLOOKUP(Table1[[#This Row],[Node]],Parent!A:B,2,0)</f>
        <v>#N/A</v>
      </c>
      <c r="D2182" s="25" t="s">
        <v>19346</v>
      </c>
      <c r="E2182" s="26" t="s">
        <v>16544</v>
      </c>
      <c r="F2182" s="27" t="s">
        <v>18569</v>
      </c>
      <c r="G2182" s="27" t="s">
        <v>18689</v>
      </c>
      <c r="H2182" s="27" t="s">
        <v>18690</v>
      </c>
      <c r="I2182" s="27"/>
      <c r="J2182" s="27"/>
      <c r="K2182" s="27"/>
      <c r="L2182" s="27"/>
      <c r="N2182" s="27"/>
      <c r="T2182" s="28" t="str">
        <f>LOOKUP(1,1/(Table1[[#This Row],[Level_0]:[Level 15]]&gt;0),(Table1[[#This Row],[Level_0]:[Level 15]]))</f>
        <v>120303 - [Alloc. Production related site costs]</v>
      </c>
      <c r="U2182" s="22">
        <v>2177</v>
      </c>
      <c r="W2182" s="13" t="str">
        <f>LOOKUP(1,1/(Table1[[#This Row],[Level_0]:[Level 15]]&gt;0),(Table1[[#This Row],[Level_0]:[Level 15]]))</f>
        <v>120303 - [Alloc. Production related site costs]</v>
      </c>
    </row>
    <row r="2183" spans="1:23" hidden="1" x14ac:dyDescent="0.25">
      <c r="A2183">
        <v>5227010000</v>
      </c>
      <c r="B2183" s="16" t="s">
        <v>20203</v>
      </c>
      <c r="C2183" s="16" t="e">
        <f>VLOOKUP(Table1[[#This Row],[Node]],Parent!A:B,2,0)</f>
        <v>#N/A</v>
      </c>
      <c r="D2183" s="25" t="s">
        <v>19346</v>
      </c>
      <c r="E2183" s="26" t="s">
        <v>16544</v>
      </c>
      <c r="F2183" s="27" t="s">
        <v>18569</v>
      </c>
      <c r="G2183" s="27" t="s">
        <v>18689</v>
      </c>
      <c r="H2183" s="27" t="s">
        <v>18690</v>
      </c>
      <c r="I2183" s="27" t="s">
        <v>18691</v>
      </c>
      <c r="J2183" s="27"/>
      <c r="K2183" s="27"/>
      <c r="L2183" s="27"/>
      <c r="N2183" s="27"/>
      <c r="T2183" s="28" t="str">
        <f>LOOKUP(1,1/(Table1[[#This Row],[Level_0]:[Level 15]]&gt;0),(Table1[[#This Row],[Level_0]:[Level 15]]))</f>
        <v>5227010000 - [IC Exp - SMS - Plant Fire Brigade]</v>
      </c>
      <c r="U2183" s="22">
        <v>2178</v>
      </c>
      <c r="W2183" s="13" t="str">
        <f>LOOKUP(1,1/(Table1[[#This Row],[Level_0]:[Level 15]]&gt;0),(Table1[[#This Row],[Level_0]:[Level 15]]))</f>
        <v>5227010000 - [IC Exp - SMS - Plant Fire Brigade]</v>
      </c>
    </row>
    <row r="2184" spans="1:23" hidden="1" x14ac:dyDescent="0.25">
      <c r="A2184">
        <v>7620000015</v>
      </c>
      <c r="B2184" s="16" t="s">
        <v>21541</v>
      </c>
      <c r="C2184" s="16" t="e">
        <f>VLOOKUP(Table1[[#This Row],[Node]],Parent!A:B,2,0)</f>
        <v>#N/A</v>
      </c>
      <c r="D2184" s="25" t="s">
        <v>19346</v>
      </c>
      <c r="E2184" s="26" t="s">
        <v>16544</v>
      </c>
      <c r="F2184" s="27" t="s">
        <v>18569</v>
      </c>
      <c r="G2184" s="27" t="s">
        <v>18689</v>
      </c>
      <c r="H2184" s="27" t="s">
        <v>18690</v>
      </c>
      <c r="I2184" s="27" t="s">
        <v>18692</v>
      </c>
      <c r="J2184" s="27"/>
      <c r="K2184" s="27"/>
      <c r="L2184" s="27"/>
      <c r="N2184" s="27"/>
      <c r="T2184" s="28" t="str">
        <f>LOOKUP(1,1/(Table1[[#This Row],[Level_0]:[Level 15]]&gt;0),(Table1[[#This Row],[Level_0]:[Level 15]]))</f>
        <v>7620000015 - [AOM Fire Security]</v>
      </c>
      <c r="U2184" s="22">
        <v>2179</v>
      </c>
      <c r="W2184" s="13" t="str">
        <f>LOOKUP(1,1/(Table1[[#This Row],[Level_0]:[Level 15]]&gt;0),(Table1[[#This Row],[Level_0]:[Level 15]]))</f>
        <v>7620000015 - [AOM Fire Security]</v>
      </c>
    </row>
    <row r="2185" spans="1:23" hidden="1" x14ac:dyDescent="0.25">
      <c r="A2185">
        <v>7600304193</v>
      </c>
      <c r="B2185" s="16" t="s">
        <v>21386</v>
      </c>
      <c r="C2185" s="16" t="e">
        <f>VLOOKUP(Table1[[#This Row],[Node]],Parent!A:B,2,0)</f>
        <v>#N/A</v>
      </c>
      <c r="D2185" s="25" t="s">
        <v>19346</v>
      </c>
      <c r="E2185" s="26" t="s">
        <v>16544</v>
      </c>
      <c r="F2185" s="27" t="s">
        <v>18569</v>
      </c>
      <c r="G2185" s="27" t="s">
        <v>18689</v>
      </c>
      <c r="H2185" s="27" t="s">
        <v>18690</v>
      </c>
      <c r="I2185" s="27" t="s">
        <v>18693</v>
      </c>
      <c r="J2185" s="27"/>
      <c r="K2185" s="27"/>
      <c r="L2185" s="27"/>
      <c r="N2185" s="27"/>
      <c r="T2185" s="28" t="str">
        <f>LOOKUP(1,1/(Table1[[#This Row],[Level_0]:[Level 15]]&gt;0),(Table1[[#This Row],[Level_0]:[Level 15]]))</f>
        <v>7600304193 - [DAA_Fire Prot.Serv.]</v>
      </c>
      <c r="U2185" s="22">
        <v>2180</v>
      </c>
      <c r="W2185" s="13" t="str">
        <f>LOOKUP(1,1/(Table1[[#This Row],[Level_0]:[Level 15]]&gt;0),(Table1[[#This Row],[Level_0]:[Level 15]]))</f>
        <v>7600304193 - [DAA_Fire Prot.Serv.]</v>
      </c>
    </row>
    <row r="2186" spans="1:23" hidden="1" x14ac:dyDescent="0.25">
      <c r="A2186">
        <v>7600304191</v>
      </c>
      <c r="B2186" s="16" t="s">
        <v>21384</v>
      </c>
      <c r="C2186" s="16" t="e">
        <f>VLOOKUP(Table1[[#This Row],[Node]],Parent!A:B,2,0)</f>
        <v>#N/A</v>
      </c>
      <c r="D2186" s="25" t="s">
        <v>19346</v>
      </c>
      <c r="E2186" s="26" t="s">
        <v>16544</v>
      </c>
      <c r="F2186" s="27" t="s">
        <v>18569</v>
      </c>
      <c r="G2186" s="27" t="s">
        <v>18689</v>
      </c>
      <c r="H2186" s="27" t="s">
        <v>18690</v>
      </c>
      <c r="I2186" s="27" t="s">
        <v>18694</v>
      </c>
      <c r="J2186" s="27"/>
      <c r="K2186" s="27"/>
      <c r="L2186" s="27"/>
      <c r="N2186" s="27"/>
      <c r="T2186" s="28" t="str">
        <f>LOOKUP(1,1/(Table1[[#This Row],[Level_0]:[Level 15]]&gt;0),(Table1[[#This Row],[Level_0]:[Level 15]]))</f>
        <v>7600304191 - [DAA_Sercurity Alarm]</v>
      </c>
      <c r="U2186" s="22">
        <v>2181</v>
      </c>
      <c r="W2186" s="13" t="str">
        <f>LOOKUP(1,1/(Table1[[#This Row],[Level_0]:[Level 15]]&gt;0),(Table1[[#This Row],[Level_0]:[Level 15]]))</f>
        <v>7600304191 - [DAA_Sercurity Alarm]</v>
      </c>
    </row>
    <row r="2187" spans="1:23" hidden="1" x14ac:dyDescent="0.25">
      <c r="A2187">
        <v>7600304170</v>
      </c>
      <c r="B2187" s="16" t="s">
        <v>21368</v>
      </c>
      <c r="C2187" s="16" t="e">
        <f>VLOOKUP(Table1[[#This Row],[Node]],Parent!A:B,2,0)</f>
        <v>#N/A</v>
      </c>
      <c r="D2187" s="25" t="s">
        <v>19346</v>
      </c>
      <c r="E2187" s="26" t="s">
        <v>16544</v>
      </c>
      <c r="F2187" s="27" t="s">
        <v>18569</v>
      </c>
      <c r="G2187" s="27" t="s">
        <v>18689</v>
      </c>
      <c r="H2187" s="27" t="s">
        <v>18690</v>
      </c>
      <c r="I2187" s="27" t="s">
        <v>18695</v>
      </c>
      <c r="J2187" s="27"/>
      <c r="K2187" s="27"/>
      <c r="L2187" s="27"/>
      <c r="N2187" s="27"/>
      <c r="T2187" s="28" t="str">
        <f>LOOKUP(1,1/(Table1[[#This Row],[Level_0]:[Level 15]]&gt;0),(Table1[[#This Row],[Level_0]:[Level 15]]))</f>
        <v>7600304170 - [DAA Security Mgt]</v>
      </c>
      <c r="U2187" s="22">
        <v>2182</v>
      </c>
      <c r="W2187" s="13" t="str">
        <f>LOOKUP(1,1/(Table1[[#This Row],[Level_0]:[Level 15]]&gt;0),(Table1[[#This Row],[Level_0]:[Level 15]]))</f>
        <v>7600304170 - [DAA Security Mgt]</v>
      </c>
    </row>
    <row r="2188" spans="1:23" hidden="1" x14ac:dyDescent="0.25">
      <c r="A2188">
        <v>7600304169</v>
      </c>
      <c r="B2188" s="16" t="s">
        <v>21367</v>
      </c>
      <c r="C2188" s="16" t="e">
        <f>VLOOKUP(Table1[[#This Row],[Node]],Parent!A:B,2,0)</f>
        <v>#N/A</v>
      </c>
      <c r="D2188" s="25" t="s">
        <v>19346</v>
      </c>
      <c r="E2188" s="26" t="s">
        <v>16544</v>
      </c>
      <c r="F2188" s="27" t="s">
        <v>18569</v>
      </c>
      <c r="G2188" s="27" t="s">
        <v>18689</v>
      </c>
      <c r="H2188" s="27" t="s">
        <v>18690</v>
      </c>
      <c r="I2188" s="27" t="s">
        <v>18696</v>
      </c>
      <c r="J2188" s="27"/>
      <c r="K2188" s="27"/>
      <c r="L2188" s="27"/>
      <c r="N2188" s="27"/>
      <c r="T2188" s="28" t="str">
        <f>LOOKUP(1,1/(Table1[[#This Row],[Level_0]:[Level 15]]&gt;0),(Table1[[#This Row],[Level_0]:[Level 15]]))</f>
        <v>7600304169 - [DAA Security Service]</v>
      </c>
      <c r="U2188" s="22">
        <v>2183</v>
      </c>
      <c r="W2188" s="13" t="str">
        <f>LOOKUP(1,1/(Table1[[#This Row],[Level_0]:[Level 15]]&gt;0),(Table1[[#This Row],[Level_0]:[Level 15]]))</f>
        <v>7600304169 - [DAA Security Service]</v>
      </c>
    </row>
    <row r="2189" spans="1:23" hidden="1" x14ac:dyDescent="0.25">
      <c r="A2189">
        <v>7600304168</v>
      </c>
      <c r="B2189" s="16" t="s">
        <v>21366</v>
      </c>
      <c r="C2189" s="16" t="e">
        <f>VLOOKUP(Table1[[#This Row],[Node]],Parent!A:B,2,0)</f>
        <v>#N/A</v>
      </c>
      <c r="D2189" s="25" t="s">
        <v>19346</v>
      </c>
      <c r="E2189" s="26" t="s">
        <v>16544</v>
      </c>
      <c r="F2189" s="27" t="s">
        <v>18569</v>
      </c>
      <c r="G2189" s="27" t="s">
        <v>18689</v>
      </c>
      <c r="H2189" s="27" t="s">
        <v>18690</v>
      </c>
      <c r="I2189" s="27" t="s">
        <v>18697</v>
      </c>
      <c r="J2189" s="27"/>
      <c r="K2189" s="27"/>
      <c r="L2189" s="27"/>
      <c r="N2189" s="27"/>
      <c r="T2189" s="28" t="str">
        <f>LOOKUP(1,1/(Table1[[#This Row],[Level_0]:[Level 15]]&gt;0),(Table1[[#This Row],[Level_0]:[Level 15]]))</f>
        <v>7600304168 - [DAA Preventive Fire Protect]</v>
      </c>
      <c r="U2189" s="22">
        <v>2184</v>
      </c>
      <c r="W2189" s="13" t="str">
        <f>LOOKUP(1,1/(Table1[[#This Row],[Level_0]:[Level 15]]&gt;0),(Table1[[#This Row],[Level_0]:[Level 15]]))</f>
        <v>7600304168 - [DAA Preventive Fire Protect]</v>
      </c>
    </row>
    <row r="2190" spans="1:23" hidden="1" x14ac:dyDescent="0.25">
      <c r="A2190">
        <v>7600304167</v>
      </c>
      <c r="B2190" s="16" t="s">
        <v>21365</v>
      </c>
      <c r="C2190" s="16" t="e">
        <f>VLOOKUP(Table1[[#This Row],[Node]],Parent!A:B,2,0)</f>
        <v>#N/A</v>
      </c>
      <c r="D2190" s="25" t="s">
        <v>19346</v>
      </c>
      <c r="E2190" s="26" t="s">
        <v>16544</v>
      </c>
      <c r="F2190" s="27" t="s">
        <v>18569</v>
      </c>
      <c r="G2190" s="27" t="s">
        <v>18689</v>
      </c>
      <c r="H2190" s="27" t="s">
        <v>18690</v>
      </c>
      <c r="I2190" s="27" t="s">
        <v>18698</v>
      </c>
      <c r="J2190" s="27"/>
      <c r="K2190" s="27"/>
      <c r="L2190" s="27"/>
      <c r="N2190" s="27"/>
      <c r="T2190" s="28" t="str">
        <f>LOOKUP(1,1/(Table1[[#This Row],[Level_0]:[Level 15]]&gt;0),(Table1[[#This Row],[Level_0]:[Level 15]]))</f>
        <v>7600304167 - [DAA Emergency Control Centre]</v>
      </c>
      <c r="U2190" s="22">
        <v>2185</v>
      </c>
      <c r="W2190" s="13" t="str">
        <f>LOOKUP(1,1/(Table1[[#This Row],[Level_0]:[Level 15]]&gt;0),(Table1[[#This Row],[Level_0]:[Level 15]]))</f>
        <v>7600304167 - [DAA Emergency Control Centre]</v>
      </c>
    </row>
    <row r="2191" spans="1:23" hidden="1" x14ac:dyDescent="0.25">
      <c r="A2191">
        <v>7600304164</v>
      </c>
      <c r="B2191" s="16" t="s">
        <v>21362</v>
      </c>
      <c r="C2191" s="16" t="e">
        <f>VLOOKUP(Table1[[#This Row],[Node]],Parent!A:B,2,0)</f>
        <v>#N/A</v>
      </c>
      <c r="D2191" s="25" t="s">
        <v>19346</v>
      </c>
      <c r="E2191" s="26" t="s">
        <v>16544</v>
      </c>
      <c r="F2191" s="27" t="s">
        <v>18569</v>
      </c>
      <c r="G2191" s="27" t="s">
        <v>18689</v>
      </c>
      <c r="H2191" s="27" t="s">
        <v>18690</v>
      </c>
      <c r="I2191" s="27" t="s">
        <v>18699</v>
      </c>
      <c r="J2191" s="27"/>
      <c r="K2191" s="27"/>
      <c r="L2191" s="27"/>
      <c r="N2191" s="27"/>
      <c r="T2191" s="28" t="str">
        <f>LOOKUP(1,1/(Table1[[#This Row],[Level_0]:[Level 15]]&gt;0),(Table1[[#This Row],[Level_0]:[Level 15]]))</f>
        <v>7600304164 - [DAA Fire Protect Inspection]</v>
      </c>
      <c r="U2191" s="22">
        <v>2186</v>
      </c>
      <c r="W2191" s="13" t="str">
        <f>LOOKUP(1,1/(Table1[[#This Row],[Level_0]:[Level 15]]&gt;0),(Table1[[#This Row],[Level_0]:[Level 15]]))</f>
        <v>7600304164 - [DAA Fire Protect Inspection]</v>
      </c>
    </row>
    <row r="2192" spans="1:23" hidden="1" x14ac:dyDescent="0.25">
      <c r="A2192">
        <v>7600304163</v>
      </c>
      <c r="B2192" s="16" t="s">
        <v>21361</v>
      </c>
      <c r="C2192" s="16" t="e">
        <f>VLOOKUP(Table1[[#This Row],[Node]],Parent!A:B,2,0)</f>
        <v>#N/A</v>
      </c>
      <c r="D2192" s="25" t="s">
        <v>19346</v>
      </c>
      <c r="E2192" s="26" t="s">
        <v>16544</v>
      </c>
      <c r="F2192" s="27" t="s">
        <v>18569</v>
      </c>
      <c r="G2192" s="27" t="s">
        <v>18689</v>
      </c>
      <c r="H2192" s="27" t="s">
        <v>18690</v>
      </c>
      <c r="I2192" s="27" t="s">
        <v>18700</v>
      </c>
      <c r="J2192" s="27"/>
      <c r="K2192" s="27"/>
      <c r="L2192" s="27"/>
      <c r="N2192" s="27"/>
      <c r="T2192" s="28" t="str">
        <f>LOOKUP(1,1/(Table1[[#This Row],[Level_0]:[Level 15]]&gt;0),(Table1[[#This Row],[Level_0]:[Level 15]]))</f>
        <v>7600304163 - [DAA Hazard Prevention]</v>
      </c>
      <c r="U2192" s="22">
        <v>2187</v>
      </c>
      <c r="W2192" s="13" t="str">
        <f>LOOKUP(1,1/(Table1[[#This Row],[Level_0]:[Level 15]]&gt;0),(Table1[[#This Row],[Level_0]:[Level 15]]))</f>
        <v>7600304163 - [DAA Hazard Prevention]</v>
      </c>
    </row>
    <row r="2193" spans="1:23" hidden="1" x14ac:dyDescent="0.25">
      <c r="A2193">
        <v>7600301031</v>
      </c>
      <c r="B2193" s="16" t="s">
        <v>21148</v>
      </c>
      <c r="C2193" s="16" t="e">
        <f>VLOOKUP(Table1[[#This Row],[Node]],Parent!A:B,2,0)</f>
        <v>#N/A</v>
      </c>
      <c r="D2193" s="25" t="s">
        <v>19346</v>
      </c>
      <c r="E2193" s="26" t="s">
        <v>16544</v>
      </c>
      <c r="F2193" s="27" t="s">
        <v>18569</v>
      </c>
      <c r="G2193" s="27" t="s">
        <v>18689</v>
      </c>
      <c r="H2193" s="27" t="s">
        <v>18690</v>
      </c>
      <c r="I2193" s="27" t="s">
        <v>18701</v>
      </c>
      <c r="J2193" s="27"/>
      <c r="K2193" s="27"/>
      <c r="L2193" s="27"/>
      <c r="N2193" s="27"/>
      <c r="T2193" s="28" t="str">
        <f>LOOKUP(1,1/(Table1[[#This Row],[Level_0]:[Level 15]]&gt;0),(Table1[[#This Row],[Level_0]:[Level 15]]))</f>
        <v>7600301031 - [DAA Access authorization]</v>
      </c>
      <c r="U2193" s="22">
        <v>2188</v>
      </c>
      <c r="W2193" s="13" t="str">
        <f>LOOKUP(1,1/(Table1[[#This Row],[Level_0]:[Level 15]]&gt;0),(Table1[[#This Row],[Level_0]:[Level 15]]))</f>
        <v>7600301031 - [DAA Access authorization]</v>
      </c>
    </row>
    <row r="2194" spans="1:23" hidden="1" x14ac:dyDescent="0.25">
      <c r="A2194">
        <v>7340000009</v>
      </c>
      <c r="B2194" s="16" t="s">
        <v>20928</v>
      </c>
      <c r="C2194" s="16" t="e">
        <f>VLOOKUP(Table1[[#This Row],[Node]],Parent!A:B,2,0)</f>
        <v>#N/A</v>
      </c>
      <c r="D2194" s="25" t="s">
        <v>19346</v>
      </c>
      <c r="E2194" s="26" t="s">
        <v>16544</v>
      </c>
      <c r="F2194" s="27" t="s">
        <v>18569</v>
      </c>
      <c r="G2194" s="27" t="s">
        <v>18689</v>
      </c>
      <c r="H2194" s="27" t="s">
        <v>18690</v>
      </c>
      <c r="I2194" s="27" t="s">
        <v>18702</v>
      </c>
      <c r="J2194" s="27"/>
      <c r="K2194" s="27"/>
      <c r="L2194" s="27"/>
      <c r="N2194" s="27"/>
      <c r="T2194" s="28" t="str">
        <f>LOOKUP(1,1/(Table1[[#This Row],[Level_0]:[Level 15]]&gt;0),(Table1[[#This Row],[Level_0]:[Level 15]]))</f>
        <v>7340000009 - [SOM Intercompany Charge Tech Ops]</v>
      </c>
      <c r="U2194" s="22">
        <v>2189</v>
      </c>
      <c r="W2194" s="13" t="str">
        <f>LOOKUP(1,1/(Table1[[#This Row],[Level_0]:[Level 15]]&gt;0),(Table1[[#This Row],[Level_0]:[Level 15]]))</f>
        <v>7340000009 - [SOM Intercompany Charge Tech Ops]</v>
      </c>
    </row>
    <row r="2195" spans="1:23" hidden="1" x14ac:dyDescent="0.25">
      <c r="A2195">
        <v>7320170003</v>
      </c>
      <c r="B2195" s="16" t="s">
        <v>20856</v>
      </c>
      <c r="C2195" s="16" t="e">
        <f>VLOOKUP(Table1[[#This Row],[Node]],Parent!A:B,2,0)</f>
        <v>#N/A</v>
      </c>
      <c r="D2195" s="25" t="s">
        <v>19346</v>
      </c>
      <c r="E2195" s="26" t="s">
        <v>16544</v>
      </c>
      <c r="F2195" s="27" t="s">
        <v>18569</v>
      </c>
      <c r="G2195" s="27" t="s">
        <v>18689</v>
      </c>
      <c r="H2195" s="27" t="s">
        <v>18690</v>
      </c>
      <c r="I2195" s="27" t="s">
        <v>18703</v>
      </c>
      <c r="J2195" s="27"/>
      <c r="K2195" s="27"/>
      <c r="L2195" s="27"/>
      <c r="N2195" s="27"/>
      <c r="T2195" s="28" t="str">
        <f>LOOKUP(1,1/(Table1[[#This Row],[Level_0]:[Level 15]]&gt;0),(Table1[[#This Row],[Level_0]:[Level 15]]))</f>
        <v>7320170003 - [AOM Site Management Costs]</v>
      </c>
      <c r="U2195" s="22">
        <v>2190</v>
      </c>
      <c r="W2195" s="13" t="str">
        <f>LOOKUP(1,1/(Table1[[#This Row],[Level_0]:[Level 15]]&gt;0),(Table1[[#This Row],[Level_0]:[Level 15]]))</f>
        <v>7320170003 - [AOM Site Management Costs]</v>
      </c>
    </row>
    <row r="2196" spans="1:23" hidden="1" x14ac:dyDescent="0.25">
      <c r="A2196">
        <v>7320160003</v>
      </c>
      <c r="B2196" s="16" t="s">
        <v>20891</v>
      </c>
      <c r="C2196" s="16" t="e">
        <f>VLOOKUP(Table1[[#This Row],[Node]],Parent!A:B,2,0)</f>
        <v>#N/A</v>
      </c>
      <c r="D2196" s="25" t="s">
        <v>19346</v>
      </c>
      <c r="E2196" s="26" t="s">
        <v>16544</v>
      </c>
      <c r="F2196" s="27" t="s">
        <v>18569</v>
      </c>
      <c r="G2196" s="27" t="s">
        <v>18689</v>
      </c>
      <c r="H2196" s="27" t="s">
        <v>18690</v>
      </c>
      <c r="I2196" s="27" t="s">
        <v>18704</v>
      </c>
      <c r="J2196" s="27"/>
      <c r="K2196" s="27"/>
      <c r="L2196" s="27"/>
      <c r="N2196" s="27"/>
      <c r="T2196" s="28" t="str">
        <f>LOOKUP(1,1/(Table1[[#This Row],[Level_0]:[Level 15]]&gt;0),(Table1[[#This Row],[Level_0]:[Level 15]]))</f>
        <v>7320160003 - [AOM Production specific Infrastructure]</v>
      </c>
      <c r="U2196" s="22">
        <v>2191</v>
      </c>
      <c r="W2196" s="13" t="str">
        <f>LOOKUP(1,1/(Table1[[#This Row],[Level_0]:[Level 15]]&gt;0),(Table1[[#This Row],[Level_0]:[Level 15]]))</f>
        <v>7320160003 - [AOM Production specific Infrastructure]</v>
      </c>
    </row>
    <row r="2197" spans="1:23" hidden="1" x14ac:dyDescent="0.25">
      <c r="A2197">
        <v>7320160002</v>
      </c>
      <c r="B2197" s="16" t="s">
        <v>20890</v>
      </c>
      <c r="C2197" s="16" t="e">
        <f>VLOOKUP(Table1[[#This Row],[Node]],Parent!A:B,2,0)</f>
        <v>#N/A</v>
      </c>
      <c r="D2197" s="25" t="s">
        <v>19346</v>
      </c>
      <c r="E2197" s="26" t="s">
        <v>16544</v>
      </c>
      <c r="F2197" s="27" t="s">
        <v>18569</v>
      </c>
      <c r="G2197" s="27" t="s">
        <v>18689</v>
      </c>
      <c r="H2197" s="27" t="s">
        <v>18690</v>
      </c>
      <c r="I2197" s="27" t="s">
        <v>18705</v>
      </c>
      <c r="J2197" s="27"/>
      <c r="K2197" s="27"/>
      <c r="L2197" s="27"/>
      <c r="N2197" s="27"/>
      <c r="T2197" s="28" t="str">
        <f>LOOKUP(1,1/(Table1[[#This Row],[Level_0]:[Level 15]]&gt;0),(Table1[[#This Row],[Level_0]:[Level 15]]))</f>
        <v>7320160002 - [AOM CCV Alloc. Prod. spec. infrastruct.]</v>
      </c>
      <c r="U2197" s="22">
        <v>2192</v>
      </c>
      <c r="W2197" s="13" t="str">
        <f>LOOKUP(1,1/(Table1[[#This Row],[Level_0]:[Level 15]]&gt;0),(Table1[[#This Row],[Level_0]:[Level 15]]))</f>
        <v>7320160002 - [AOM CCV Alloc. Prod. spec. infrastruct.]</v>
      </c>
    </row>
    <row r="2198" spans="1:23" hidden="1" x14ac:dyDescent="0.25">
      <c r="A2198">
        <v>7320130002</v>
      </c>
      <c r="B2198" s="16" t="s">
        <v>20856</v>
      </c>
      <c r="C2198" s="16" t="e">
        <f>VLOOKUP(Table1[[#This Row],[Node]],Parent!A:B,2,0)</f>
        <v>#N/A</v>
      </c>
      <c r="D2198" s="25" t="s">
        <v>19346</v>
      </c>
      <c r="E2198" s="26" t="s">
        <v>16544</v>
      </c>
      <c r="F2198" s="27" t="s">
        <v>18569</v>
      </c>
      <c r="G2198" s="27" t="s">
        <v>18689</v>
      </c>
      <c r="H2198" s="27" t="s">
        <v>18690</v>
      </c>
      <c r="I2198" s="27" t="s">
        <v>18706</v>
      </c>
      <c r="J2198" s="27"/>
      <c r="K2198" s="27"/>
      <c r="L2198" s="27"/>
      <c r="N2198" s="27"/>
      <c r="T2198" s="28" t="str">
        <f>LOOKUP(1,1/(Table1[[#This Row],[Level_0]:[Level 15]]&gt;0),(Table1[[#This Row],[Level_0]:[Level 15]]))</f>
        <v>7320130002 - [AOM Site Management Costs]</v>
      </c>
      <c r="U2198" s="22">
        <v>2193</v>
      </c>
      <c r="W2198" s="13" t="str">
        <f>LOOKUP(1,1/(Table1[[#This Row],[Level_0]:[Level 15]]&gt;0),(Table1[[#This Row],[Level_0]:[Level 15]]))</f>
        <v>7320130002 - [AOM Site Management Costs]</v>
      </c>
    </row>
    <row r="2199" spans="1:23" hidden="1" x14ac:dyDescent="0.25">
      <c r="A2199">
        <v>7320110011</v>
      </c>
      <c r="B2199" s="16" t="s">
        <v>20845</v>
      </c>
      <c r="C2199" s="16" t="e">
        <f>VLOOKUP(Table1[[#This Row],[Node]],Parent!A:B,2,0)</f>
        <v>#N/A</v>
      </c>
      <c r="D2199" s="25" t="s">
        <v>19346</v>
      </c>
      <c r="E2199" s="26" t="s">
        <v>16544</v>
      </c>
      <c r="F2199" s="27" t="s">
        <v>18569</v>
      </c>
      <c r="G2199" s="27" t="s">
        <v>18689</v>
      </c>
      <c r="H2199" s="27" t="s">
        <v>18690</v>
      </c>
      <c r="I2199" s="27" t="s">
        <v>18707</v>
      </c>
      <c r="J2199" s="27"/>
      <c r="K2199" s="27"/>
      <c r="L2199" s="27"/>
      <c r="N2199" s="27"/>
      <c r="T2199" s="28" t="str">
        <f>LOOKUP(1,1/(Table1[[#This Row],[Level_0]:[Level 15]]&gt;0),(Table1[[#This Row],[Level_0]:[Level 15]]))</f>
        <v>7320110011 - [AOM General Production Cost]</v>
      </c>
      <c r="U2199" s="22">
        <v>2194</v>
      </c>
      <c r="W2199" s="13" t="str">
        <f>LOOKUP(1,1/(Table1[[#This Row],[Level_0]:[Level 15]]&gt;0),(Table1[[#This Row],[Level_0]:[Level 15]]))</f>
        <v>7320110011 - [AOM General Production Cost]</v>
      </c>
    </row>
    <row r="2200" spans="1:23" hidden="1" x14ac:dyDescent="0.25">
      <c r="A2200">
        <v>7320110006</v>
      </c>
      <c r="B2200" s="16" t="s">
        <v>20840</v>
      </c>
      <c r="C2200" s="16" t="e">
        <f>VLOOKUP(Table1[[#This Row],[Node]],Parent!A:B,2,0)</f>
        <v>#N/A</v>
      </c>
      <c r="D2200" s="25" t="s">
        <v>19346</v>
      </c>
      <c r="E2200" s="26" t="s">
        <v>16544</v>
      </c>
      <c r="F2200" s="27" t="s">
        <v>18569</v>
      </c>
      <c r="G2200" s="27" t="s">
        <v>18689</v>
      </c>
      <c r="H2200" s="27" t="s">
        <v>18690</v>
      </c>
      <c r="I2200" s="27" t="s">
        <v>18708</v>
      </c>
      <c r="J2200" s="27"/>
      <c r="K2200" s="27"/>
      <c r="L2200" s="27"/>
      <c r="N2200" s="27"/>
      <c r="T2200" s="28" t="str">
        <f>LOOKUP(1,1/(Table1[[#This Row],[Level_0]:[Level 15]]&gt;0),(Table1[[#This Row],[Level_0]:[Level 15]]))</f>
        <v>7320110006 - [AOM Alloc. Oth. Site Costs  (Comp.Split)]</v>
      </c>
      <c r="U2200" s="22">
        <v>2195</v>
      </c>
      <c r="W2200" s="13" t="str">
        <f>LOOKUP(1,1/(Table1[[#This Row],[Level_0]:[Level 15]]&gt;0),(Table1[[#This Row],[Level_0]:[Level 15]]))</f>
        <v>7320110006 - [AOM Alloc. Oth. Site Costs  (Comp.Split)]</v>
      </c>
    </row>
    <row r="2201" spans="1:23" hidden="1" x14ac:dyDescent="0.25">
      <c r="A2201">
        <v>7320110002</v>
      </c>
      <c r="B2201" s="16" t="s">
        <v>20836</v>
      </c>
      <c r="C2201" s="16" t="e">
        <f>VLOOKUP(Table1[[#This Row],[Node]],Parent!A:B,2,0)</f>
        <v>#N/A</v>
      </c>
      <c r="D2201" s="25" t="s">
        <v>19346</v>
      </c>
      <c r="E2201" s="26" t="s">
        <v>16544</v>
      </c>
      <c r="F2201" s="27" t="s">
        <v>18569</v>
      </c>
      <c r="G2201" s="27" t="s">
        <v>18689</v>
      </c>
      <c r="H2201" s="27" t="s">
        <v>18690</v>
      </c>
      <c r="I2201" s="27" t="s">
        <v>18709</v>
      </c>
      <c r="J2201" s="27"/>
      <c r="K2201" s="27"/>
      <c r="L2201" s="27"/>
      <c r="N2201" s="27"/>
      <c r="T2201" s="28" t="str">
        <f>LOOKUP(1,1/(Table1[[#This Row],[Level_0]:[Level 15]]&gt;0),(Table1[[#This Row],[Level_0]:[Level 15]]))</f>
        <v>7320110002 - [AOM Allocated  Other  (Component Split)]</v>
      </c>
      <c r="U2201" s="22">
        <v>2196</v>
      </c>
      <c r="W2201" s="13" t="str">
        <f>LOOKUP(1,1/(Table1[[#This Row],[Level_0]:[Level 15]]&gt;0),(Table1[[#This Row],[Level_0]:[Level 15]]))</f>
        <v>7320110002 - [AOM Allocated  Other  (Component Split)]</v>
      </c>
    </row>
    <row r="2202" spans="1:23" hidden="1" x14ac:dyDescent="0.25">
      <c r="A2202">
        <v>7301160002</v>
      </c>
      <c r="B2202" s="16" t="s">
        <v>20813</v>
      </c>
      <c r="C2202" s="16" t="e">
        <f>VLOOKUP(Table1[[#This Row],[Node]],Parent!A:B,2,0)</f>
        <v>#N/A</v>
      </c>
      <c r="D2202" s="25" t="s">
        <v>19346</v>
      </c>
      <c r="E2202" s="26" t="s">
        <v>16544</v>
      </c>
      <c r="F2202" s="27" t="s">
        <v>18569</v>
      </c>
      <c r="G2202" s="27" t="s">
        <v>18689</v>
      </c>
      <c r="H2202" s="27" t="s">
        <v>18690</v>
      </c>
      <c r="I2202" s="27" t="s">
        <v>18710</v>
      </c>
      <c r="J2202" s="27"/>
      <c r="K2202" s="27"/>
      <c r="L2202" s="27"/>
      <c r="N2202" s="27"/>
      <c r="T2202" s="28" t="str">
        <f>LOOKUP(1,1/(Table1[[#This Row],[Level_0]:[Level 15]]&gt;0),(Table1[[#This Row],[Level_0]:[Level 15]]))</f>
        <v>7301160002 - [DAA Production specific infrastructure]</v>
      </c>
      <c r="U2202" s="22">
        <v>2197</v>
      </c>
      <c r="W2202" s="13" t="str">
        <f>LOOKUP(1,1/(Table1[[#This Row],[Level_0]:[Level 15]]&gt;0),(Table1[[#This Row],[Level_0]:[Level 15]]))</f>
        <v>7301160002 - [DAA Production specific infrastructure]</v>
      </c>
    </row>
    <row r="2203" spans="1:23" hidden="1" x14ac:dyDescent="0.25">
      <c r="A2203">
        <v>120302</v>
      </c>
      <c r="B2203" s="16" t="s">
        <v>19412</v>
      </c>
      <c r="C2203" s="16" t="e">
        <f>VLOOKUP(Table1[[#This Row],[Node]],Parent!A:B,2,0)</f>
        <v>#N/A</v>
      </c>
      <c r="D2203" s="25" t="s">
        <v>19346</v>
      </c>
      <c r="E2203" s="26" t="s">
        <v>16544</v>
      </c>
      <c r="F2203" s="27" t="s">
        <v>18569</v>
      </c>
      <c r="G2203" s="27" t="s">
        <v>18689</v>
      </c>
      <c r="H2203" s="27" t="s">
        <v>18711</v>
      </c>
      <c r="I2203" s="27"/>
      <c r="J2203" s="27"/>
      <c r="K2203" s="27"/>
      <c r="L2203" s="27"/>
      <c r="N2203" s="27"/>
      <c r="T2203" s="28" t="str">
        <f>LOOKUP(1,1/(Table1[[#This Row],[Level_0]:[Level 15]]&gt;0),(Table1[[#This Row],[Level_0]:[Level 15]]))</f>
        <v>120302 - [Alloc. Gen'l Infrastructure Costs]</v>
      </c>
      <c r="U2203" s="22">
        <v>2198</v>
      </c>
      <c r="W2203" s="13" t="str">
        <f>LOOKUP(1,1/(Table1[[#This Row],[Level_0]:[Level 15]]&gt;0),(Table1[[#This Row],[Level_0]:[Level 15]]))</f>
        <v>120302 - [Alloc. Gen'l Infrastructure Costs]</v>
      </c>
    </row>
    <row r="2204" spans="1:23" hidden="1" x14ac:dyDescent="0.25">
      <c r="A2204">
        <v>7320170004</v>
      </c>
      <c r="B2204" s="16" t="s">
        <v>20894</v>
      </c>
      <c r="C2204" s="16" t="e">
        <f>VLOOKUP(Table1[[#This Row],[Node]],Parent!A:B,2,0)</f>
        <v>#N/A</v>
      </c>
      <c r="D2204" s="25" t="s">
        <v>19346</v>
      </c>
      <c r="E2204" s="26" t="s">
        <v>16544</v>
      </c>
      <c r="F2204" s="27" t="s">
        <v>18569</v>
      </c>
      <c r="G2204" s="27" t="s">
        <v>18689</v>
      </c>
      <c r="H2204" s="27" t="s">
        <v>18711</v>
      </c>
      <c r="I2204" s="27" t="s">
        <v>18712</v>
      </c>
      <c r="J2204" s="27"/>
      <c r="K2204" s="27"/>
      <c r="L2204" s="27"/>
      <c r="N2204" s="27"/>
      <c r="T2204" s="28" t="str">
        <f>LOOKUP(1,1/(Table1[[#This Row],[Level_0]:[Level 15]]&gt;0),(Table1[[#This Row],[Level_0]:[Level 15]]))</f>
        <v>7320170004 - [AOM Material overhead traded goods]</v>
      </c>
      <c r="U2204" s="22">
        <v>2199</v>
      </c>
      <c r="W2204" s="13" t="str">
        <f>LOOKUP(1,1/(Table1[[#This Row],[Level_0]:[Level 15]]&gt;0),(Table1[[#This Row],[Level_0]:[Level 15]]))</f>
        <v>7320170004 - [AOM Material overhead traded goods]</v>
      </c>
    </row>
    <row r="2205" spans="1:23" hidden="1" x14ac:dyDescent="0.25">
      <c r="A2205">
        <v>7320170002</v>
      </c>
      <c r="B2205" s="16" t="s">
        <v>20893</v>
      </c>
      <c r="C2205" s="16" t="e">
        <f>VLOOKUP(Table1[[#This Row],[Node]],Parent!A:B,2,0)</f>
        <v>#N/A</v>
      </c>
      <c r="D2205" s="25" t="s">
        <v>19346</v>
      </c>
      <c r="E2205" s="26" t="s">
        <v>16544</v>
      </c>
      <c r="F2205" s="27" t="s">
        <v>18569</v>
      </c>
      <c r="G2205" s="27" t="s">
        <v>18689</v>
      </c>
      <c r="H2205" s="27" t="s">
        <v>18711</v>
      </c>
      <c r="I2205" s="27" t="s">
        <v>18713</v>
      </c>
      <c r="J2205" s="27"/>
      <c r="K2205" s="27"/>
      <c r="L2205" s="27"/>
      <c r="N2205" s="27"/>
      <c r="T2205" s="28" t="str">
        <f>LOOKUP(1,1/(Table1[[#This Row],[Level_0]:[Level 15]]&gt;0),(Table1[[#This Row],[Level_0]:[Level 15]]))</f>
        <v>7320170002 - [AOM Incoming Mat. Storage and Handling]</v>
      </c>
      <c r="U2205" s="22">
        <v>2200</v>
      </c>
      <c r="W2205" s="13" t="str">
        <f>LOOKUP(1,1/(Table1[[#This Row],[Level_0]:[Level 15]]&gt;0),(Table1[[#This Row],[Level_0]:[Level 15]]))</f>
        <v>7320170002 - [AOM Incoming Mat. Storage and Handling]</v>
      </c>
    </row>
    <row r="2206" spans="1:23" hidden="1" x14ac:dyDescent="0.25">
      <c r="A2206">
        <v>5494510000</v>
      </c>
      <c r="B2206" s="16" t="s">
        <v>20328</v>
      </c>
      <c r="C2206" s="16" t="e">
        <f>VLOOKUP(Table1[[#This Row],[Node]],Parent!A:B,2,0)</f>
        <v>#N/A</v>
      </c>
      <c r="D2206" s="25" t="s">
        <v>19346</v>
      </c>
      <c r="E2206" s="26" t="s">
        <v>16544</v>
      </c>
      <c r="F2206" s="27" t="s">
        <v>18569</v>
      </c>
      <c r="G2206" s="27" t="s">
        <v>18689</v>
      </c>
      <c r="H2206" s="27" t="s">
        <v>18711</v>
      </c>
      <c r="I2206" s="27" t="s">
        <v>18714</v>
      </c>
      <c r="J2206" s="27"/>
      <c r="K2206" s="27"/>
      <c r="L2206" s="27"/>
      <c r="N2206" s="27"/>
      <c r="T2206" s="28" t="str">
        <f>LOOKUP(1,1/(Table1[[#This Row],[Level_0]:[Level 15]]&gt;0),(Table1[[#This Row],[Level_0]:[Level 15]]))</f>
        <v>5494510000 - [IC Exp - SMS - Transport]</v>
      </c>
      <c r="U2206" s="22">
        <v>2201</v>
      </c>
      <c r="W2206" s="13" t="str">
        <f>LOOKUP(1,1/(Table1[[#This Row],[Level_0]:[Level 15]]&gt;0),(Table1[[#This Row],[Level_0]:[Level 15]]))</f>
        <v>5494510000 - [IC Exp - SMS - Transport]</v>
      </c>
    </row>
    <row r="2207" spans="1:23" hidden="1" x14ac:dyDescent="0.25">
      <c r="A2207">
        <v>7600304004</v>
      </c>
      <c r="B2207" s="16" t="s">
        <v>21205</v>
      </c>
      <c r="C2207" s="16" t="e">
        <f>VLOOKUP(Table1[[#This Row],[Node]],Parent!A:B,2,0)</f>
        <v>#N/A</v>
      </c>
      <c r="D2207" s="25" t="s">
        <v>19346</v>
      </c>
      <c r="E2207" s="26" t="s">
        <v>16544</v>
      </c>
      <c r="F2207" s="27" t="s">
        <v>18569</v>
      </c>
      <c r="G2207" s="27" t="s">
        <v>18689</v>
      </c>
      <c r="H2207" s="27" t="s">
        <v>18711</v>
      </c>
      <c r="I2207" s="27" t="s">
        <v>18715</v>
      </c>
      <c r="J2207" s="27"/>
      <c r="K2207" s="27"/>
      <c r="L2207" s="27"/>
      <c r="N2207" s="27"/>
      <c r="T2207" s="28" t="str">
        <f>LOOKUP(1,1/(Table1[[#This Row],[Level_0]:[Level 15]]&gt;0),(Table1[[#This Row],[Level_0]:[Level 15]]))</f>
        <v>7600304004 - [DAA Transport 3rd Party]</v>
      </c>
      <c r="U2207" s="22">
        <v>2202</v>
      </c>
      <c r="W2207" s="13" t="str">
        <f>LOOKUP(1,1/(Table1[[#This Row],[Level_0]:[Level 15]]&gt;0),(Table1[[#This Row],[Level_0]:[Level 15]]))</f>
        <v>7600304004 - [DAA Transport 3rd Party]</v>
      </c>
    </row>
    <row r="2208" spans="1:23" hidden="1" x14ac:dyDescent="0.25">
      <c r="A2208">
        <v>7600304003</v>
      </c>
      <c r="B2208" s="16" t="s">
        <v>21204</v>
      </c>
      <c r="C2208" s="16" t="e">
        <f>VLOOKUP(Table1[[#This Row],[Node]],Parent!A:B,2,0)</f>
        <v>#N/A</v>
      </c>
      <c r="D2208" s="25" t="s">
        <v>19346</v>
      </c>
      <c r="E2208" s="26" t="s">
        <v>16544</v>
      </c>
      <c r="F2208" s="27" t="s">
        <v>18569</v>
      </c>
      <c r="G2208" s="27" t="s">
        <v>18689</v>
      </c>
      <c r="H2208" s="27" t="s">
        <v>18711</v>
      </c>
      <c r="I2208" s="27" t="s">
        <v>18716</v>
      </c>
      <c r="J2208" s="27"/>
      <c r="K2208" s="27"/>
      <c r="L2208" s="27"/>
      <c r="N2208" s="27"/>
      <c r="T2208" s="28" t="str">
        <f>LOOKUP(1,1/(Table1[[#This Row],[Level_0]:[Level 15]]&gt;0),(Table1[[#This Row],[Level_0]:[Level 15]]))</f>
        <v>7600304003 - [DAA Transport]</v>
      </c>
      <c r="U2208" s="22">
        <v>2203</v>
      </c>
      <c r="W2208" s="13" t="str">
        <f>LOOKUP(1,1/(Table1[[#This Row],[Level_0]:[Level 15]]&gt;0),(Table1[[#This Row],[Level_0]:[Level 15]]))</f>
        <v>7600304003 - [DAA Transport]</v>
      </c>
    </row>
    <row r="2209" spans="1:23" hidden="1" x14ac:dyDescent="0.25">
      <c r="A2209">
        <v>5225110000</v>
      </c>
      <c r="B2209" s="16" t="s">
        <v>20192</v>
      </c>
      <c r="C2209" s="16" t="e">
        <f>VLOOKUP(Table1[[#This Row],[Node]],Parent!A:B,2,0)</f>
        <v>#N/A</v>
      </c>
      <c r="D2209" s="25" t="s">
        <v>19346</v>
      </c>
      <c r="E2209" s="26" t="s">
        <v>16544</v>
      </c>
      <c r="F2209" s="27" t="s">
        <v>18569</v>
      </c>
      <c r="G2209" s="27" t="s">
        <v>18689</v>
      </c>
      <c r="H2209" s="27" t="s">
        <v>18711</v>
      </c>
      <c r="I2209" s="27" t="s">
        <v>18717</v>
      </c>
      <c r="J2209" s="27"/>
      <c r="K2209" s="27"/>
      <c r="L2209" s="27"/>
      <c r="N2209" s="27"/>
      <c r="T2209" s="28" t="str">
        <f>LOOKUP(1,1/(Table1[[#This Row],[Level_0]:[Level 15]]&gt;0),(Table1[[#This Row],[Level_0]:[Level 15]]))</f>
        <v>5225110000 - [IC Exp - DIV - Material Management]</v>
      </c>
      <c r="U2209" s="22">
        <v>2204</v>
      </c>
      <c r="W2209" s="13" t="str">
        <f>LOOKUP(1,1/(Table1[[#This Row],[Level_0]:[Level 15]]&gt;0),(Table1[[#This Row],[Level_0]:[Level 15]]))</f>
        <v>5225110000 - [IC Exp - DIV - Material Management]</v>
      </c>
    </row>
    <row r="2210" spans="1:23" hidden="1" x14ac:dyDescent="0.25">
      <c r="A2210">
        <v>5228010000</v>
      </c>
      <c r="B2210" s="16" t="s">
        <v>20204</v>
      </c>
      <c r="C2210" s="16" t="e">
        <f>VLOOKUP(Table1[[#This Row],[Node]],Parent!A:B,2,0)</f>
        <v>#N/A</v>
      </c>
      <c r="D2210" s="25" t="s">
        <v>19346</v>
      </c>
      <c r="E2210" s="26" t="s">
        <v>16544</v>
      </c>
      <c r="F2210" s="27" t="s">
        <v>18569</v>
      </c>
      <c r="G2210" s="27" t="s">
        <v>18689</v>
      </c>
      <c r="H2210" s="27" t="s">
        <v>18711</v>
      </c>
      <c r="I2210" s="27" t="s">
        <v>18718</v>
      </c>
      <c r="J2210" s="27"/>
      <c r="K2210" s="27"/>
      <c r="L2210" s="27"/>
      <c r="N2210" s="27"/>
      <c r="T2210" s="28" t="str">
        <f>LOOKUP(1,1/(Table1[[#This Row],[Level_0]:[Level 15]]&gt;0),(Table1[[#This Row],[Level_0]:[Level 15]]))</f>
        <v>5228010000 - [IC Exp - SMS - SM Traffic Area]</v>
      </c>
      <c r="U2210" s="22">
        <v>2205</v>
      </c>
      <c r="W2210" s="13" t="str">
        <f>LOOKUP(1,1/(Table1[[#This Row],[Level_0]:[Level 15]]&gt;0),(Table1[[#This Row],[Level_0]:[Level 15]]))</f>
        <v>5228010000 - [IC Exp - SMS - SM Traffic Area]</v>
      </c>
    </row>
    <row r="2211" spans="1:23" hidden="1" x14ac:dyDescent="0.25">
      <c r="A2211">
        <v>5200410000</v>
      </c>
      <c r="B2211" s="16" t="s">
        <v>20091</v>
      </c>
      <c r="C2211" s="16" t="e">
        <f>VLOOKUP(Table1[[#This Row],[Node]],Parent!A:B,2,0)</f>
        <v>#N/A</v>
      </c>
      <c r="D2211" s="25" t="s">
        <v>19346</v>
      </c>
      <c r="E2211" s="26" t="s">
        <v>16544</v>
      </c>
      <c r="F2211" s="27" t="s">
        <v>18569</v>
      </c>
      <c r="G2211" s="27" t="s">
        <v>18689</v>
      </c>
      <c r="H2211" s="27" t="s">
        <v>18711</v>
      </c>
      <c r="I2211" s="27" t="s">
        <v>18719</v>
      </c>
      <c r="J2211" s="27"/>
      <c r="K2211" s="27"/>
      <c r="L2211" s="27"/>
      <c r="N2211" s="27"/>
      <c r="T2211" s="28" t="str">
        <f>LOOKUP(1,1/(Table1[[#This Row],[Level_0]:[Level 15]]&gt;0),(Table1[[#This Row],[Level_0]:[Level 15]]))</f>
        <v>5200410000 - [IC Exp - SMS - MRE ConstructServ&amp;SiteDev]</v>
      </c>
      <c r="U2211" s="22">
        <v>2206</v>
      </c>
      <c r="W2211" s="13" t="str">
        <f>LOOKUP(1,1/(Table1[[#This Row],[Level_0]:[Level 15]]&gt;0),(Table1[[#This Row],[Level_0]:[Level 15]]))</f>
        <v>5200410000 - [IC Exp - SMS - MRE ConstructServ&amp;SiteDev]</v>
      </c>
    </row>
    <row r="2212" spans="1:23" hidden="1" x14ac:dyDescent="0.25">
      <c r="A2212">
        <v>7940000003</v>
      </c>
      <c r="B2212" s="16" t="s">
        <v>21966</v>
      </c>
      <c r="C2212" s="16" t="e">
        <f>VLOOKUP(Table1[[#This Row],[Node]],Parent!A:B,2,0)</f>
        <v>#N/A</v>
      </c>
      <c r="D2212" s="25" t="s">
        <v>19346</v>
      </c>
      <c r="E2212" s="26" t="s">
        <v>16544</v>
      </c>
      <c r="F2212" s="27" t="s">
        <v>18569</v>
      </c>
      <c r="G2212" s="27" t="s">
        <v>18689</v>
      </c>
      <c r="H2212" s="27" t="s">
        <v>18711</v>
      </c>
      <c r="I2212" s="27" t="s">
        <v>18720</v>
      </c>
      <c r="J2212" s="27"/>
      <c r="K2212" s="27"/>
      <c r="L2212" s="27"/>
      <c r="N2212" s="27"/>
      <c r="T2212" s="28" t="str">
        <f>LOOKUP(1,1/(Table1[[#This Row],[Level_0]:[Level 15]]&gt;0),(Table1[[#This Row],[Level_0]:[Level 15]]))</f>
        <v>7940000003 - [SOM local Services  Stlmt]</v>
      </c>
      <c r="U2212" s="22">
        <v>2207</v>
      </c>
      <c r="W2212" s="13" t="str">
        <f>LOOKUP(1,1/(Table1[[#This Row],[Level_0]:[Level 15]]&gt;0),(Table1[[#This Row],[Level_0]:[Level 15]]))</f>
        <v>7940000003 - [SOM local Services  Stlmt]</v>
      </c>
    </row>
    <row r="2213" spans="1:23" hidden="1" x14ac:dyDescent="0.25">
      <c r="A2213">
        <v>7920000019</v>
      </c>
      <c r="B2213" s="16" t="s">
        <v>21963</v>
      </c>
      <c r="C2213" s="16" t="e">
        <f>VLOOKUP(Table1[[#This Row],[Node]],Parent!A:B,2,0)</f>
        <v>#N/A</v>
      </c>
      <c r="D2213" s="25" t="s">
        <v>19346</v>
      </c>
      <c r="E2213" s="26" t="s">
        <v>16544</v>
      </c>
      <c r="F2213" s="27" t="s">
        <v>18569</v>
      </c>
      <c r="G2213" s="27" t="s">
        <v>18689</v>
      </c>
      <c r="H2213" s="27" t="s">
        <v>18711</v>
      </c>
      <c r="I2213" s="27" t="s">
        <v>18721</v>
      </c>
      <c r="J2213" s="27"/>
      <c r="K2213" s="27"/>
      <c r="L2213" s="27"/>
      <c r="N2213" s="27"/>
      <c r="T2213" s="28" t="str">
        <f>LOOKUP(1,1/(Table1[[#This Row],[Level_0]:[Level 15]]&gt;0),(Table1[[#This Row],[Level_0]:[Level 15]]))</f>
        <v>7920000019 - [AOM DIV Master Data Maintenan]</v>
      </c>
      <c r="U2213" s="22">
        <v>2208</v>
      </c>
      <c r="W2213" s="13" t="str">
        <f>LOOKUP(1,1/(Table1[[#This Row],[Level_0]:[Level 15]]&gt;0),(Table1[[#This Row],[Level_0]:[Level 15]]))</f>
        <v>7920000019 - [AOM DIV Master Data Maintenan]</v>
      </c>
    </row>
    <row r="2214" spans="1:23" hidden="1" x14ac:dyDescent="0.25">
      <c r="A2214">
        <v>7920000018</v>
      </c>
      <c r="B2214" s="16" t="s">
        <v>21962</v>
      </c>
      <c r="C2214" s="16" t="e">
        <f>VLOOKUP(Table1[[#This Row],[Node]],Parent!A:B,2,0)</f>
        <v>#N/A</v>
      </c>
      <c r="D2214" s="25" t="s">
        <v>19346</v>
      </c>
      <c r="E2214" s="26" t="s">
        <v>16544</v>
      </c>
      <c r="F2214" s="27" t="s">
        <v>18569</v>
      </c>
      <c r="G2214" s="27" t="s">
        <v>18689</v>
      </c>
      <c r="H2214" s="27" t="s">
        <v>18711</v>
      </c>
      <c r="I2214" s="27" t="s">
        <v>18722</v>
      </c>
      <c r="J2214" s="27"/>
      <c r="K2214" s="27"/>
      <c r="L2214" s="27"/>
      <c r="N2214" s="27"/>
      <c r="T2214" s="28" t="str">
        <f>LOOKUP(1,1/(Table1[[#This Row],[Level_0]:[Level 15]]&gt;0),(Table1[[#This Row],[Level_0]:[Level 15]]))</f>
        <v>7920000018 - [AOM DIV Logistical Services]</v>
      </c>
      <c r="U2214" s="22">
        <v>2209</v>
      </c>
      <c r="W2214" s="13" t="str">
        <f>LOOKUP(1,1/(Table1[[#This Row],[Level_0]:[Level 15]]&gt;0),(Table1[[#This Row],[Level_0]:[Level 15]]))</f>
        <v>7920000018 - [AOM DIV Logistical Services]</v>
      </c>
    </row>
    <row r="2215" spans="1:23" hidden="1" x14ac:dyDescent="0.25">
      <c r="A2215">
        <v>7620304113</v>
      </c>
      <c r="B2215" s="16" t="s">
        <v>21576</v>
      </c>
      <c r="C2215" s="16" t="e">
        <f>VLOOKUP(Table1[[#This Row],[Node]],Parent!A:B,2,0)</f>
        <v>#N/A</v>
      </c>
      <c r="D2215" s="25" t="s">
        <v>19346</v>
      </c>
      <c r="E2215" s="26" t="s">
        <v>16544</v>
      </c>
      <c r="F2215" s="27" t="s">
        <v>18569</v>
      </c>
      <c r="G2215" s="27" t="s">
        <v>18689</v>
      </c>
      <c r="H2215" s="27" t="s">
        <v>18711</v>
      </c>
      <c r="I2215" s="27" t="s">
        <v>18723</v>
      </c>
      <c r="J2215" s="27"/>
      <c r="K2215" s="27"/>
      <c r="L2215" s="27"/>
      <c r="N2215" s="27"/>
      <c r="T2215" s="28" t="str">
        <f>LOOKUP(1,1/(Table1[[#This Row],[Level_0]:[Level 15]]&gt;0),(Table1[[#This Row],[Level_0]:[Level 15]]))</f>
        <v>7620304113 - [AOM SM Mgt. Costs rel.to Mgt]</v>
      </c>
      <c r="U2215" s="22">
        <v>2210</v>
      </c>
      <c r="W2215" s="13" t="str">
        <f>LOOKUP(1,1/(Table1[[#This Row],[Level_0]:[Level 15]]&gt;0),(Table1[[#This Row],[Level_0]:[Level 15]]))</f>
        <v>7620304113 - [AOM SM Mgt. Costs rel.to Mgt]</v>
      </c>
    </row>
    <row r="2216" spans="1:23" hidden="1" x14ac:dyDescent="0.25">
      <c r="A2216">
        <v>7620000028</v>
      </c>
      <c r="B2216" s="16" t="s">
        <v>21553</v>
      </c>
      <c r="C2216" s="16" t="e">
        <f>VLOOKUP(Table1[[#This Row],[Node]],Parent!A:B,2,0)</f>
        <v>#N/A</v>
      </c>
      <c r="D2216" s="25" t="s">
        <v>19346</v>
      </c>
      <c r="E2216" s="26" t="s">
        <v>16544</v>
      </c>
      <c r="F2216" s="27" t="s">
        <v>18569</v>
      </c>
      <c r="G2216" s="27" t="s">
        <v>18689</v>
      </c>
      <c r="H2216" s="27" t="s">
        <v>18711</v>
      </c>
      <c r="I2216" s="27" t="s">
        <v>18724</v>
      </c>
      <c r="J2216" s="27"/>
      <c r="K2216" s="27"/>
      <c r="L2216" s="27"/>
      <c r="N2216" s="27"/>
      <c r="T2216" s="28" t="str">
        <f>LOOKUP(1,1/(Table1[[#This Row],[Level_0]:[Level 15]]&gt;0),(Table1[[#This Row],[Level_0]:[Level 15]]))</f>
        <v>7620000028 - [AOM social overhead]</v>
      </c>
      <c r="U2216" s="22">
        <v>2211</v>
      </c>
      <c r="W2216" s="13" t="str">
        <f>LOOKUP(1,1/(Table1[[#This Row],[Level_0]:[Level 15]]&gt;0),(Table1[[#This Row],[Level_0]:[Level 15]]))</f>
        <v>7620000028 - [AOM social overhead]</v>
      </c>
    </row>
    <row r="2217" spans="1:23" hidden="1" x14ac:dyDescent="0.25">
      <c r="A2217">
        <v>7620000026</v>
      </c>
      <c r="B2217" s="16" t="s">
        <v>21551</v>
      </c>
      <c r="C2217" s="16" t="e">
        <f>VLOOKUP(Table1[[#This Row],[Node]],Parent!A:B,2,0)</f>
        <v>#N/A</v>
      </c>
      <c r="D2217" s="25" t="s">
        <v>19346</v>
      </c>
      <c r="E2217" s="26" t="s">
        <v>16544</v>
      </c>
      <c r="F2217" s="27" t="s">
        <v>18569</v>
      </c>
      <c r="G2217" s="27" t="s">
        <v>18689</v>
      </c>
      <c r="H2217" s="27" t="s">
        <v>18711</v>
      </c>
      <c r="I2217" s="27" t="s">
        <v>18725</v>
      </c>
      <c r="J2217" s="27"/>
      <c r="K2217" s="27"/>
      <c r="L2217" s="27"/>
      <c r="N2217" s="27"/>
      <c r="T2217" s="28" t="str">
        <f>LOOKUP(1,1/(Table1[[#This Row],[Level_0]:[Level 15]]&gt;0),(Table1[[#This Row],[Level_0]:[Level 15]]))</f>
        <v>7620000026 - [AOM DIV Other Services]</v>
      </c>
      <c r="U2217" s="22">
        <v>2212</v>
      </c>
      <c r="W2217" s="13" t="str">
        <f>LOOKUP(1,1/(Table1[[#This Row],[Level_0]:[Level 15]]&gt;0),(Table1[[#This Row],[Level_0]:[Level 15]]))</f>
        <v>7620000026 - [AOM DIV Other Services]</v>
      </c>
    </row>
    <row r="2218" spans="1:23" hidden="1" x14ac:dyDescent="0.25">
      <c r="A2218">
        <v>7600304239</v>
      </c>
      <c r="B2218" s="16" t="s">
        <v>21430</v>
      </c>
      <c r="C2218" s="16" t="e">
        <f>VLOOKUP(Table1[[#This Row],[Node]],Parent!A:B,2,0)</f>
        <v>#N/A</v>
      </c>
      <c r="D2218" s="25" t="s">
        <v>19346</v>
      </c>
      <c r="E2218" s="26" t="s">
        <v>16544</v>
      </c>
      <c r="F2218" s="27" t="s">
        <v>18569</v>
      </c>
      <c r="G2218" s="27" t="s">
        <v>18689</v>
      </c>
      <c r="H2218" s="27" t="s">
        <v>18711</v>
      </c>
      <c r="I2218" s="27" t="s">
        <v>18726</v>
      </c>
      <c r="J2218" s="27"/>
      <c r="K2218" s="27"/>
      <c r="L2218" s="27"/>
      <c r="N2218" s="27"/>
      <c r="T2218" s="28" t="str">
        <f>LOOKUP(1,1/(Table1[[#This Row],[Level_0]:[Level 15]]&gt;0),(Table1[[#This Row],[Level_0]:[Level 15]]))</f>
        <v>7600304239 - [DAA_Quality Management]</v>
      </c>
      <c r="U2218" s="22">
        <v>2213</v>
      </c>
      <c r="W2218" s="13" t="str">
        <f>LOOKUP(1,1/(Table1[[#This Row],[Level_0]:[Level 15]]&gt;0),(Table1[[#This Row],[Level_0]:[Level 15]]))</f>
        <v>7600304239 - [DAA_Quality Management]</v>
      </c>
    </row>
    <row r="2219" spans="1:23" hidden="1" x14ac:dyDescent="0.25">
      <c r="A2219">
        <v>7600304238</v>
      </c>
      <c r="B2219" s="16" t="s">
        <v>21429</v>
      </c>
      <c r="C2219" s="16" t="e">
        <f>VLOOKUP(Table1[[#This Row],[Node]],Parent!A:B,2,0)</f>
        <v>#N/A</v>
      </c>
      <c r="D2219" s="25" t="s">
        <v>19346</v>
      </c>
      <c r="E2219" s="26" t="s">
        <v>16544</v>
      </c>
      <c r="F2219" s="27" t="s">
        <v>18569</v>
      </c>
      <c r="G2219" s="27" t="s">
        <v>18689</v>
      </c>
      <c r="H2219" s="27" t="s">
        <v>18711</v>
      </c>
      <c r="I2219" s="27" t="s">
        <v>18727</v>
      </c>
      <c r="J2219" s="27"/>
      <c r="K2219" s="27"/>
      <c r="L2219" s="27"/>
      <c r="N2219" s="27"/>
      <c r="T2219" s="28" t="str">
        <f>LOOKUP(1,1/(Table1[[#This Row],[Level_0]:[Level 15]]&gt;0),(Table1[[#This Row],[Level_0]:[Level 15]]))</f>
        <v>7600304238 - [DAA_IC Exp - SMS - Contractor Management]</v>
      </c>
      <c r="U2219" s="22">
        <v>2214</v>
      </c>
      <c r="W2219" s="13" t="str">
        <f>LOOKUP(1,1/(Table1[[#This Row],[Level_0]:[Level 15]]&gt;0),(Table1[[#This Row],[Level_0]:[Level 15]]))</f>
        <v>7600304238 - [DAA_IC Exp - SMS - Contractor Management]</v>
      </c>
    </row>
    <row r="2220" spans="1:23" hidden="1" x14ac:dyDescent="0.25">
      <c r="A2220">
        <v>7360170031</v>
      </c>
      <c r="B2220" s="16" t="s">
        <v>21011</v>
      </c>
      <c r="C2220" s="16" t="e">
        <f>VLOOKUP(Table1[[#This Row],[Node]],Parent!A:B,2,0)</f>
        <v>#N/A</v>
      </c>
      <c r="D2220" s="25" t="s">
        <v>19346</v>
      </c>
      <c r="E2220" s="26" t="s">
        <v>16544</v>
      </c>
      <c r="F2220" s="27" t="s">
        <v>18569</v>
      </c>
      <c r="G2220" s="27" t="s">
        <v>18689</v>
      </c>
      <c r="H2220" s="27" t="s">
        <v>18711</v>
      </c>
      <c r="I2220" s="27" t="s">
        <v>18728</v>
      </c>
      <c r="J2220" s="27"/>
      <c r="K2220" s="27"/>
      <c r="L2220" s="27"/>
      <c r="N2220" s="27"/>
      <c r="T2220" s="28" t="str">
        <f>LOOKUP(1,1/(Table1[[#This Row],[Level_0]:[Level 15]]&gt;0),(Table1[[#This Row],[Level_0]:[Level 15]]))</f>
        <v>7360170031 - [ABC Storage hazardous goodt CP5]</v>
      </c>
      <c r="U2220" s="22">
        <v>2215</v>
      </c>
      <c r="W2220" s="13" t="str">
        <f>LOOKUP(1,1/(Table1[[#This Row],[Level_0]:[Level 15]]&gt;0),(Table1[[#This Row],[Level_0]:[Level 15]]))</f>
        <v>7360170031 - [ABC Storage hazardous goodt CP5]</v>
      </c>
    </row>
    <row r="2221" spans="1:23" hidden="1" x14ac:dyDescent="0.25">
      <c r="A2221">
        <v>7360170030</v>
      </c>
      <c r="B2221" s="16" t="s">
        <v>21015</v>
      </c>
      <c r="C2221" s="16" t="e">
        <f>VLOOKUP(Table1[[#This Row],[Node]],Parent!A:B,2,0)</f>
        <v>#N/A</v>
      </c>
      <c r="D2221" s="25" t="s">
        <v>19346</v>
      </c>
      <c r="E2221" s="26" t="s">
        <v>16544</v>
      </c>
      <c r="F2221" s="27" t="s">
        <v>18569</v>
      </c>
      <c r="G2221" s="27" t="s">
        <v>18689</v>
      </c>
      <c r="H2221" s="27" t="s">
        <v>18711</v>
      </c>
      <c r="I2221" s="27" t="s">
        <v>18729</v>
      </c>
      <c r="J2221" s="27"/>
      <c r="K2221" s="27"/>
      <c r="L2221" s="27"/>
      <c r="N2221" s="27"/>
      <c r="T2221" s="28" t="str">
        <f>LOOKUP(1,1/(Table1[[#This Row],[Level_0]:[Level 15]]&gt;0),(Table1[[#This Row],[Level_0]:[Level 15]]))</f>
        <v>7360170030 - [ABC Storage harmless good GMP CP3]</v>
      </c>
      <c r="U2221" s="22">
        <v>2216</v>
      </c>
      <c r="W2221" s="13" t="str">
        <f>LOOKUP(1,1/(Table1[[#This Row],[Level_0]:[Level 15]]&gt;0),(Table1[[#This Row],[Level_0]:[Level 15]]))</f>
        <v>7360170030 - [ABC Storage harmless good GMP CP3]</v>
      </c>
    </row>
    <row r="2222" spans="1:23" hidden="1" x14ac:dyDescent="0.25">
      <c r="A2222">
        <v>7360170029</v>
      </c>
      <c r="B2222" s="16" t="s">
        <v>21014</v>
      </c>
      <c r="C2222" s="16" t="e">
        <f>VLOOKUP(Table1[[#This Row],[Node]],Parent!A:B,2,0)</f>
        <v>#N/A</v>
      </c>
      <c r="D2222" s="25" t="s">
        <v>19346</v>
      </c>
      <c r="E2222" s="26" t="s">
        <v>16544</v>
      </c>
      <c r="F2222" s="27" t="s">
        <v>18569</v>
      </c>
      <c r="G2222" s="27" t="s">
        <v>18689</v>
      </c>
      <c r="H2222" s="27" t="s">
        <v>18711</v>
      </c>
      <c r="I2222" s="27" t="s">
        <v>18730</v>
      </c>
      <c r="J2222" s="27"/>
      <c r="K2222" s="27"/>
      <c r="L2222" s="27"/>
      <c r="N2222" s="27"/>
      <c r="T2222" s="28" t="str">
        <f>LOOKUP(1,1/(Table1[[#This Row],[Level_0]:[Level 15]]&gt;0),(Table1[[#This Row],[Level_0]:[Level 15]]))</f>
        <v>7360170029 - [ABC Storage harmless good CP3]</v>
      </c>
      <c r="U2222" s="22">
        <v>2217</v>
      </c>
      <c r="W2222" s="13" t="str">
        <f>LOOKUP(1,1/(Table1[[#This Row],[Level_0]:[Level 15]]&gt;0),(Table1[[#This Row],[Level_0]:[Level 15]]))</f>
        <v>7360170029 - [ABC Storage harmless good CP3]</v>
      </c>
    </row>
    <row r="2223" spans="1:23" hidden="1" x14ac:dyDescent="0.25">
      <c r="A2223">
        <v>7360170028</v>
      </c>
      <c r="B2223" s="16" t="s">
        <v>21013</v>
      </c>
      <c r="C2223" s="16" t="e">
        <f>VLOOKUP(Table1[[#This Row],[Node]],Parent!A:B,2,0)</f>
        <v>#N/A</v>
      </c>
      <c r="D2223" s="25" t="s">
        <v>19346</v>
      </c>
      <c r="E2223" s="26" t="s">
        <v>16544</v>
      </c>
      <c r="F2223" s="27" t="s">
        <v>18569</v>
      </c>
      <c r="G2223" s="27" t="s">
        <v>18689</v>
      </c>
      <c r="H2223" s="27" t="s">
        <v>18711</v>
      </c>
      <c r="I2223" s="27" t="s">
        <v>18731</v>
      </c>
      <c r="J2223" s="27"/>
      <c r="K2223" s="27"/>
      <c r="L2223" s="27"/>
      <c r="N2223" s="27"/>
      <c r="T2223" s="28" t="str">
        <f>LOOKUP(1,1/(Table1[[#This Row],[Level_0]:[Level 15]]&gt;0),(Table1[[#This Row],[Level_0]:[Level 15]]))</f>
        <v>7360170028 - [ABC Storage good refregerated CP3]</v>
      </c>
      <c r="U2223" s="22">
        <v>2218</v>
      </c>
      <c r="W2223" s="13" t="str">
        <f>LOOKUP(1,1/(Table1[[#This Row],[Level_0]:[Level 15]]&gt;0),(Table1[[#This Row],[Level_0]:[Level 15]]))</f>
        <v>7360170028 - [ABC Storage good refregerated CP3]</v>
      </c>
    </row>
    <row r="2224" spans="1:23" hidden="1" x14ac:dyDescent="0.25">
      <c r="A2224">
        <v>7360170027</v>
      </c>
      <c r="B2224" s="16" t="s">
        <v>21012</v>
      </c>
      <c r="C2224" s="16" t="e">
        <f>VLOOKUP(Table1[[#This Row],[Node]],Parent!A:B,2,0)</f>
        <v>#N/A</v>
      </c>
      <c r="D2224" s="25" t="s">
        <v>19346</v>
      </c>
      <c r="E2224" s="26" t="s">
        <v>16544</v>
      </c>
      <c r="F2224" s="27" t="s">
        <v>18569</v>
      </c>
      <c r="G2224" s="27" t="s">
        <v>18689</v>
      </c>
      <c r="H2224" s="27" t="s">
        <v>18711</v>
      </c>
      <c r="I2224" s="27" t="s">
        <v>18732</v>
      </c>
      <c r="J2224" s="27"/>
      <c r="K2224" s="27"/>
      <c r="L2224" s="27"/>
      <c r="N2224" s="27"/>
      <c r="T2224" s="28" t="str">
        <f>LOOKUP(1,1/(Table1[[#This Row],[Level_0]:[Level 15]]&gt;0),(Table1[[#This Row],[Level_0]:[Level 15]]))</f>
        <v>7360170027 - [ABC Storage good refrigerated CP5]</v>
      </c>
      <c r="U2224" s="22">
        <v>2219</v>
      </c>
      <c r="W2224" s="13" t="str">
        <f>LOOKUP(1,1/(Table1[[#This Row],[Level_0]:[Level 15]]&gt;0),(Table1[[#This Row],[Level_0]:[Level 15]]))</f>
        <v>7360170027 - [ABC Storage good refrigerated CP5]</v>
      </c>
    </row>
    <row r="2225" spans="1:23" hidden="1" x14ac:dyDescent="0.25">
      <c r="A2225">
        <v>7360170026</v>
      </c>
      <c r="B2225" s="16" t="s">
        <v>21011</v>
      </c>
      <c r="C2225" s="16" t="e">
        <f>VLOOKUP(Table1[[#This Row],[Node]],Parent!A:B,2,0)</f>
        <v>#N/A</v>
      </c>
      <c r="D2225" s="25" t="s">
        <v>19346</v>
      </c>
      <c r="E2225" s="26" t="s">
        <v>16544</v>
      </c>
      <c r="F2225" s="27" t="s">
        <v>18569</v>
      </c>
      <c r="G2225" s="27" t="s">
        <v>18689</v>
      </c>
      <c r="H2225" s="27" t="s">
        <v>18711</v>
      </c>
      <c r="I2225" s="27" t="s">
        <v>18733</v>
      </c>
      <c r="J2225" s="27"/>
      <c r="K2225" s="27"/>
      <c r="L2225" s="27"/>
      <c r="N2225" s="27"/>
      <c r="T2225" s="28" t="str">
        <f>LOOKUP(1,1/(Table1[[#This Row],[Level_0]:[Level 15]]&gt;0),(Table1[[#This Row],[Level_0]:[Level 15]]))</f>
        <v>7360170026 - [ABC Storage hazardous goodt CP5]</v>
      </c>
      <c r="U2225" s="22">
        <v>2220</v>
      </c>
      <c r="W2225" s="13" t="str">
        <f>LOOKUP(1,1/(Table1[[#This Row],[Level_0]:[Level 15]]&gt;0),(Table1[[#This Row],[Level_0]:[Level 15]]))</f>
        <v>7360170026 - [ABC Storage hazardous goodt CP5]</v>
      </c>
    </row>
    <row r="2226" spans="1:23" hidden="1" x14ac:dyDescent="0.25">
      <c r="A2226">
        <v>7360170025</v>
      </c>
      <c r="B2226" s="16" t="s">
        <v>21010</v>
      </c>
      <c r="C2226" s="16" t="e">
        <f>VLOOKUP(Table1[[#This Row],[Node]],Parent!A:B,2,0)</f>
        <v>#N/A</v>
      </c>
      <c r="D2226" s="25" t="s">
        <v>19346</v>
      </c>
      <c r="E2226" s="26" t="s">
        <v>16544</v>
      </c>
      <c r="F2226" s="27" t="s">
        <v>18569</v>
      </c>
      <c r="G2226" s="27" t="s">
        <v>18689</v>
      </c>
      <c r="H2226" s="27" t="s">
        <v>18711</v>
      </c>
      <c r="I2226" s="27" t="s">
        <v>18734</v>
      </c>
      <c r="J2226" s="27"/>
      <c r="K2226" s="27"/>
      <c r="L2226" s="27"/>
      <c r="N2226" s="27"/>
      <c r="T2226" s="28" t="str">
        <f>LOOKUP(1,1/(Table1[[#This Row],[Level_0]:[Level 15]]&gt;0),(Table1[[#This Row],[Level_0]:[Level 15]]))</f>
        <v>7360170025 - [ABC Storage harmless good GMP CP5]</v>
      </c>
      <c r="U2226" s="22">
        <v>2221</v>
      </c>
      <c r="W2226" s="13" t="str">
        <f>LOOKUP(1,1/(Table1[[#This Row],[Level_0]:[Level 15]]&gt;0),(Table1[[#This Row],[Level_0]:[Level 15]]))</f>
        <v>7360170025 - [ABC Storage harmless good GMP CP5]</v>
      </c>
    </row>
    <row r="2227" spans="1:23" hidden="1" x14ac:dyDescent="0.25">
      <c r="A2227">
        <v>7360170024</v>
      </c>
      <c r="B2227" s="16" t="s">
        <v>21009</v>
      </c>
      <c r="C2227" s="16" t="e">
        <f>VLOOKUP(Table1[[#This Row],[Node]],Parent!A:B,2,0)</f>
        <v>#N/A</v>
      </c>
      <c r="D2227" s="25" t="s">
        <v>19346</v>
      </c>
      <c r="E2227" s="26" t="s">
        <v>16544</v>
      </c>
      <c r="F2227" s="27" t="s">
        <v>18569</v>
      </c>
      <c r="G2227" s="27" t="s">
        <v>18689</v>
      </c>
      <c r="H2227" s="27" t="s">
        <v>18711</v>
      </c>
      <c r="I2227" s="27" t="s">
        <v>18735</v>
      </c>
      <c r="J2227" s="27"/>
      <c r="K2227" s="27"/>
      <c r="L2227" s="27"/>
      <c r="N2227" s="27"/>
      <c r="T2227" s="28" t="str">
        <f>LOOKUP(1,1/(Table1[[#This Row],[Level_0]:[Level 15]]&gt;0),(Table1[[#This Row],[Level_0]:[Level 15]]))</f>
        <v>7360170024 - [ABC Storage harmless good CP5]</v>
      </c>
      <c r="U2227" s="22">
        <v>2222</v>
      </c>
      <c r="W2227" s="13" t="str">
        <f>LOOKUP(1,1/(Table1[[#This Row],[Level_0]:[Level 15]]&gt;0),(Table1[[#This Row],[Level_0]:[Level 15]]))</f>
        <v>7360170024 - [ABC Storage harmless good CP5]</v>
      </c>
    </row>
    <row r="2228" spans="1:23" hidden="1" x14ac:dyDescent="0.25">
      <c r="A2228">
        <v>7360170023</v>
      </c>
      <c r="B2228" s="16" t="s">
        <v>21008</v>
      </c>
      <c r="C2228" s="16" t="e">
        <f>VLOOKUP(Table1[[#This Row],[Node]],Parent!A:B,2,0)</f>
        <v>#N/A</v>
      </c>
      <c r="D2228" s="25" t="s">
        <v>19346</v>
      </c>
      <c r="E2228" s="26" t="s">
        <v>16544</v>
      </c>
      <c r="F2228" s="27" t="s">
        <v>18569</v>
      </c>
      <c r="G2228" s="27" t="s">
        <v>18689</v>
      </c>
      <c r="H2228" s="27" t="s">
        <v>18711</v>
      </c>
      <c r="I2228" s="27" t="s">
        <v>18736</v>
      </c>
      <c r="J2228" s="27"/>
      <c r="K2228" s="27"/>
      <c r="L2228" s="27"/>
      <c r="N2228" s="27"/>
      <c r="T2228" s="28" t="str">
        <f>LOOKUP(1,1/(Table1[[#This Row],[Level_0]:[Level 15]]&gt;0),(Table1[[#This Row],[Level_0]:[Level 15]]))</f>
        <v>7360170023 - [ABC Loading unit]</v>
      </c>
      <c r="U2228" s="22">
        <v>2223</v>
      </c>
      <c r="W2228" s="13" t="str">
        <f>LOOKUP(1,1/(Table1[[#This Row],[Level_0]:[Level 15]]&gt;0),(Table1[[#This Row],[Level_0]:[Level 15]]))</f>
        <v>7360170023 - [ABC Loading unit]</v>
      </c>
    </row>
    <row r="2229" spans="1:23" hidden="1" x14ac:dyDescent="0.25">
      <c r="A2229">
        <v>7360170022</v>
      </c>
      <c r="B2229" s="16" t="s">
        <v>21007</v>
      </c>
      <c r="C2229" s="16" t="e">
        <f>VLOOKUP(Table1[[#This Row],[Node]],Parent!A:B,2,0)</f>
        <v>#N/A</v>
      </c>
      <c r="D2229" s="25" t="s">
        <v>19346</v>
      </c>
      <c r="E2229" s="26" t="s">
        <v>16544</v>
      </c>
      <c r="F2229" s="27" t="s">
        <v>18569</v>
      </c>
      <c r="G2229" s="27" t="s">
        <v>18689</v>
      </c>
      <c r="H2229" s="27" t="s">
        <v>18711</v>
      </c>
      <c r="I2229" s="27" t="s">
        <v>18737</v>
      </c>
      <c r="J2229" s="27"/>
      <c r="K2229" s="27"/>
      <c r="L2229" s="27"/>
      <c r="N2229" s="27"/>
      <c r="T2229" s="28" t="str">
        <f>LOOKUP(1,1/(Table1[[#This Row],[Level_0]:[Level 15]]&gt;0),(Table1[[#This Row],[Level_0]:[Level 15]]))</f>
        <v>7360170022 - [ABC Single colli ROW]</v>
      </c>
      <c r="U2229" s="22">
        <v>2224</v>
      </c>
      <c r="W2229" s="13" t="str">
        <f>LOOKUP(1,1/(Table1[[#This Row],[Level_0]:[Level 15]]&gt;0),(Table1[[#This Row],[Level_0]:[Level 15]]))</f>
        <v>7360170022 - [ABC Single colli ROW]</v>
      </c>
    </row>
    <row r="2230" spans="1:23" hidden="1" x14ac:dyDescent="0.25">
      <c r="A2230">
        <v>7360170021</v>
      </c>
      <c r="B2230" s="16" t="s">
        <v>21006</v>
      </c>
      <c r="C2230" s="16" t="e">
        <f>VLOOKUP(Table1[[#This Row],[Node]],Parent!A:B,2,0)</f>
        <v>#N/A</v>
      </c>
      <c r="D2230" s="25" t="s">
        <v>19346</v>
      </c>
      <c r="E2230" s="26" t="s">
        <v>16544</v>
      </c>
      <c r="F2230" s="27" t="s">
        <v>18569</v>
      </c>
      <c r="G2230" s="27" t="s">
        <v>18689</v>
      </c>
      <c r="H2230" s="27" t="s">
        <v>18711</v>
      </c>
      <c r="I2230" s="27" t="s">
        <v>18738</v>
      </c>
      <c r="J2230" s="27"/>
      <c r="K2230" s="27"/>
      <c r="L2230" s="27"/>
      <c r="N2230" s="27"/>
      <c r="T2230" s="28" t="str">
        <f>LOOKUP(1,1/(Table1[[#This Row],[Level_0]:[Level 15]]&gt;0),(Table1[[#This Row],[Level_0]:[Level 15]]))</f>
        <v>7360170021 - [ABC Single colli domestic]</v>
      </c>
      <c r="U2230" s="22">
        <v>2225</v>
      </c>
      <c r="W2230" s="13" t="str">
        <f>LOOKUP(1,1/(Table1[[#This Row],[Level_0]:[Level 15]]&gt;0),(Table1[[#This Row],[Level_0]:[Level 15]]))</f>
        <v>7360170021 - [ABC Single colli domestic]</v>
      </c>
    </row>
    <row r="2231" spans="1:23" hidden="1" x14ac:dyDescent="0.25">
      <c r="A2231">
        <v>7360170020</v>
      </c>
      <c r="B2231" s="16" t="s">
        <v>21005</v>
      </c>
      <c r="C2231" s="16" t="e">
        <f>VLOOKUP(Table1[[#This Row],[Node]],Parent!A:B,2,0)</f>
        <v>#N/A</v>
      </c>
      <c r="D2231" s="25" t="s">
        <v>19346</v>
      </c>
      <c r="E2231" s="26" t="s">
        <v>16544</v>
      </c>
      <c r="F2231" s="27" t="s">
        <v>18569</v>
      </c>
      <c r="G2231" s="27" t="s">
        <v>18689</v>
      </c>
      <c r="H2231" s="27" t="s">
        <v>18711</v>
      </c>
      <c r="I2231" s="27" t="s">
        <v>18739</v>
      </c>
      <c r="J2231" s="27"/>
      <c r="K2231" s="27"/>
      <c r="L2231" s="27"/>
      <c r="N2231" s="27"/>
      <c r="T2231" s="28" t="str">
        <f>LOOKUP(1,1/(Table1[[#This Row],[Level_0]:[Level 15]]&gt;0),(Table1[[#This Row],[Level_0]:[Level 15]]))</f>
        <v>7360170020 - [ABC Transport control ROW]</v>
      </c>
      <c r="U2231" s="22">
        <v>2226</v>
      </c>
      <c r="W2231" s="13" t="str">
        <f>LOOKUP(1,1/(Table1[[#This Row],[Level_0]:[Level 15]]&gt;0),(Table1[[#This Row],[Level_0]:[Level 15]]))</f>
        <v>7360170020 - [ABC Transport control ROW]</v>
      </c>
    </row>
    <row r="2232" spans="1:23" hidden="1" x14ac:dyDescent="0.25">
      <c r="A2232">
        <v>7360170019</v>
      </c>
      <c r="B2232" s="16" t="s">
        <v>21004</v>
      </c>
      <c r="C2232" s="16" t="e">
        <f>VLOOKUP(Table1[[#This Row],[Node]],Parent!A:B,2,0)</f>
        <v>#N/A</v>
      </c>
      <c r="D2232" s="25" t="s">
        <v>19346</v>
      </c>
      <c r="E2232" s="26" t="s">
        <v>16544</v>
      </c>
      <c r="F2232" s="27" t="s">
        <v>18569</v>
      </c>
      <c r="G2232" s="27" t="s">
        <v>18689</v>
      </c>
      <c r="H2232" s="27" t="s">
        <v>18711</v>
      </c>
      <c r="I2232" s="27" t="s">
        <v>18740</v>
      </c>
      <c r="J2232" s="27"/>
      <c r="K2232" s="27"/>
      <c r="L2232" s="27"/>
      <c r="N2232" s="27"/>
      <c r="T2232" s="28" t="str">
        <f>LOOKUP(1,1/(Table1[[#This Row],[Level_0]:[Level 15]]&gt;0),(Table1[[#This Row],[Level_0]:[Level 15]]))</f>
        <v>7360170019 - [ABC Transport control Europe]</v>
      </c>
      <c r="U2232" s="22">
        <v>2227</v>
      </c>
      <c r="W2232" s="13" t="str">
        <f>LOOKUP(1,1/(Table1[[#This Row],[Level_0]:[Level 15]]&gt;0),(Table1[[#This Row],[Level_0]:[Level 15]]))</f>
        <v>7360170019 - [ABC Transport control Europe]</v>
      </c>
    </row>
    <row r="2233" spans="1:23" hidden="1" x14ac:dyDescent="0.25">
      <c r="A2233">
        <v>7360170018</v>
      </c>
      <c r="B2233" s="16" t="s">
        <v>21003</v>
      </c>
      <c r="C2233" s="16" t="e">
        <f>VLOOKUP(Table1[[#This Row],[Node]],Parent!A:B,2,0)</f>
        <v>#N/A</v>
      </c>
      <c r="D2233" s="25" t="s">
        <v>19346</v>
      </c>
      <c r="E2233" s="26" t="s">
        <v>16544</v>
      </c>
      <c r="F2233" s="27" t="s">
        <v>18569</v>
      </c>
      <c r="G2233" s="27" t="s">
        <v>18689</v>
      </c>
      <c r="H2233" s="27" t="s">
        <v>18711</v>
      </c>
      <c r="I2233" s="27" t="s">
        <v>18741</v>
      </c>
      <c r="J2233" s="27"/>
      <c r="K2233" s="27"/>
      <c r="L2233" s="27"/>
      <c r="N2233" s="27"/>
      <c r="T2233" s="28" t="str">
        <f>LOOKUP(1,1/(Table1[[#This Row],[Level_0]:[Level 15]]&gt;0),(Table1[[#This Row],[Level_0]:[Level 15]]))</f>
        <v>7360170018 - [ABC Transport control small packages]</v>
      </c>
      <c r="U2233" s="22">
        <v>2228</v>
      </c>
      <c r="W2233" s="13" t="str">
        <f>LOOKUP(1,1/(Table1[[#This Row],[Level_0]:[Level 15]]&gt;0),(Table1[[#This Row],[Level_0]:[Level 15]]))</f>
        <v>7360170018 - [ABC Transport control small packages]</v>
      </c>
    </row>
    <row r="2234" spans="1:23" hidden="1" x14ac:dyDescent="0.25">
      <c r="A2234">
        <v>7360170017</v>
      </c>
      <c r="B2234" s="16" t="s">
        <v>21002</v>
      </c>
      <c r="C2234" s="16" t="e">
        <f>VLOOKUP(Table1[[#This Row],[Node]],Parent!A:B,2,0)</f>
        <v>#N/A</v>
      </c>
      <c r="D2234" s="25" t="s">
        <v>19346</v>
      </c>
      <c r="E2234" s="26" t="s">
        <v>16544</v>
      </c>
      <c r="F2234" s="27" t="s">
        <v>18569</v>
      </c>
      <c r="G2234" s="27" t="s">
        <v>18689</v>
      </c>
      <c r="H2234" s="27" t="s">
        <v>18711</v>
      </c>
      <c r="I2234" s="27" t="s">
        <v>18742</v>
      </c>
      <c r="J2234" s="27"/>
      <c r="K2234" s="27"/>
      <c r="L2234" s="27"/>
      <c r="N2234" s="27"/>
      <c r="T2234" s="28" t="str">
        <f>LOOKUP(1,1/(Table1[[#This Row],[Level_0]:[Level 15]]&gt;0),(Table1[[#This Row],[Level_0]:[Level 15]]))</f>
        <v>7360170017 - [ABC Automatic order processing ROW]</v>
      </c>
      <c r="U2234" s="22">
        <v>2229</v>
      </c>
      <c r="W2234" s="13" t="str">
        <f>LOOKUP(1,1/(Table1[[#This Row],[Level_0]:[Level 15]]&gt;0),(Table1[[#This Row],[Level_0]:[Level 15]]))</f>
        <v>7360170017 - [ABC Automatic order processing ROW]</v>
      </c>
    </row>
    <row r="2235" spans="1:23" hidden="1" x14ac:dyDescent="0.25">
      <c r="A2235">
        <v>7360170016</v>
      </c>
      <c r="B2235" s="16" t="s">
        <v>21001</v>
      </c>
      <c r="C2235" s="16" t="e">
        <f>VLOOKUP(Table1[[#This Row],[Node]],Parent!A:B,2,0)</f>
        <v>#N/A</v>
      </c>
      <c r="D2235" s="25" t="s">
        <v>19346</v>
      </c>
      <c r="E2235" s="26" t="s">
        <v>16544</v>
      </c>
      <c r="F2235" s="27" t="s">
        <v>18569</v>
      </c>
      <c r="G2235" s="27" t="s">
        <v>18689</v>
      </c>
      <c r="H2235" s="27" t="s">
        <v>18711</v>
      </c>
      <c r="I2235" s="27" t="s">
        <v>18743</v>
      </c>
      <c r="J2235" s="27"/>
      <c r="K2235" s="27"/>
      <c r="L2235" s="27"/>
      <c r="N2235" s="27"/>
      <c r="T2235" s="28" t="str">
        <f>LOOKUP(1,1/(Table1[[#This Row],[Level_0]:[Level 15]]&gt;0),(Table1[[#This Row],[Level_0]:[Level 15]]))</f>
        <v>7360170016 - [ABC Automatic order processing Europe]</v>
      </c>
      <c r="U2235" s="22">
        <v>2230</v>
      </c>
      <c r="W2235" s="13" t="str">
        <f>LOOKUP(1,1/(Table1[[#This Row],[Level_0]:[Level 15]]&gt;0),(Table1[[#This Row],[Level_0]:[Level 15]]))</f>
        <v>7360170016 - [ABC Automatic order processing Europe]</v>
      </c>
    </row>
    <row r="2236" spans="1:23" hidden="1" x14ac:dyDescent="0.25">
      <c r="A2236">
        <v>7360170015</v>
      </c>
      <c r="B2236" s="16" t="s">
        <v>21000</v>
      </c>
      <c r="C2236" s="16" t="e">
        <f>VLOOKUP(Table1[[#This Row],[Node]],Parent!A:B,2,0)</f>
        <v>#N/A</v>
      </c>
      <c r="D2236" s="25" t="s">
        <v>19346</v>
      </c>
      <c r="E2236" s="26" t="s">
        <v>16544</v>
      </c>
      <c r="F2236" s="27" t="s">
        <v>18569</v>
      </c>
      <c r="G2236" s="27" t="s">
        <v>18689</v>
      </c>
      <c r="H2236" s="27" t="s">
        <v>18711</v>
      </c>
      <c r="I2236" s="27" t="s">
        <v>18744</v>
      </c>
      <c r="J2236" s="27"/>
      <c r="K2236" s="27"/>
      <c r="L2236" s="27"/>
      <c r="N2236" s="27"/>
      <c r="T2236" s="28" t="str">
        <f>LOOKUP(1,1/(Table1[[#This Row],[Level_0]:[Level 15]]&gt;0),(Table1[[#This Row],[Level_0]:[Level 15]]))</f>
        <v>7360170015 - [ABC Manual order processing ROW]</v>
      </c>
      <c r="U2236" s="22">
        <v>2231</v>
      </c>
      <c r="W2236" s="13" t="str">
        <f>LOOKUP(1,1/(Table1[[#This Row],[Level_0]:[Level 15]]&gt;0),(Table1[[#This Row],[Level_0]:[Level 15]]))</f>
        <v>7360170015 - [ABC Manual order processing ROW]</v>
      </c>
    </row>
    <row r="2237" spans="1:23" hidden="1" x14ac:dyDescent="0.25">
      <c r="A2237">
        <v>7360170014</v>
      </c>
      <c r="B2237" s="16" t="s">
        <v>20999</v>
      </c>
      <c r="C2237" s="16" t="e">
        <f>VLOOKUP(Table1[[#This Row],[Node]],Parent!A:B,2,0)</f>
        <v>#N/A</v>
      </c>
      <c r="D2237" s="25" t="s">
        <v>19346</v>
      </c>
      <c r="E2237" s="26" t="s">
        <v>16544</v>
      </c>
      <c r="F2237" s="27" t="s">
        <v>18569</v>
      </c>
      <c r="G2237" s="27" t="s">
        <v>18689</v>
      </c>
      <c r="H2237" s="27" t="s">
        <v>18711</v>
      </c>
      <c r="I2237" s="27" t="s">
        <v>18745</v>
      </c>
      <c r="J2237" s="27"/>
      <c r="K2237" s="27"/>
      <c r="L2237" s="27"/>
      <c r="N2237" s="27"/>
      <c r="T2237" s="28" t="str">
        <f>LOOKUP(1,1/(Table1[[#This Row],[Level_0]:[Level 15]]&gt;0),(Table1[[#This Row],[Level_0]:[Level 15]]))</f>
        <v>7360170014 - [ABC Manual order processing Europe]</v>
      </c>
      <c r="U2237" s="22">
        <v>2232</v>
      </c>
      <c r="W2237" s="13" t="str">
        <f>LOOKUP(1,1/(Table1[[#This Row],[Level_0]:[Level 15]]&gt;0),(Table1[[#This Row],[Level_0]:[Level 15]]))</f>
        <v>7360170014 - [ABC Manual order processing Europe]</v>
      </c>
    </row>
    <row r="2238" spans="1:23" hidden="1" x14ac:dyDescent="0.25">
      <c r="A2238">
        <v>7360170013</v>
      </c>
      <c r="B2238" s="16" t="s">
        <v>20998</v>
      </c>
      <c r="C2238" s="16" t="e">
        <f>VLOOKUP(Table1[[#This Row],[Node]],Parent!A:B,2,0)</f>
        <v>#N/A</v>
      </c>
      <c r="D2238" s="25" t="s">
        <v>19346</v>
      </c>
      <c r="E2238" s="26" t="s">
        <v>16544</v>
      </c>
      <c r="F2238" s="27" t="s">
        <v>18569</v>
      </c>
      <c r="G2238" s="27" t="s">
        <v>18689</v>
      </c>
      <c r="H2238" s="27" t="s">
        <v>18711</v>
      </c>
      <c r="I2238" s="27" t="s">
        <v>18746</v>
      </c>
      <c r="J2238" s="27"/>
      <c r="K2238" s="27"/>
      <c r="L2238" s="27"/>
      <c r="N2238" s="27"/>
      <c r="T2238" s="28" t="str">
        <f>LOOKUP(1,1/(Table1[[#This Row],[Level_0]:[Level 15]]&gt;0),(Table1[[#This Row],[Level_0]:[Level 15]]))</f>
        <v>7360170013 - [ABC Storage area production logistic]</v>
      </c>
      <c r="U2238" s="22">
        <v>2233</v>
      </c>
      <c r="W2238" s="13" t="str">
        <f>LOOKUP(1,1/(Table1[[#This Row],[Level_0]:[Level 15]]&gt;0),(Table1[[#This Row],[Level_0]:[Level 15]]))</f>
        <v>7360170013 - [ABC Storage area production logistic]</v>
      </c>
    </row>
    <row r="2239" spans="1:23" hidden="1" x14ac:dyDescent="0.25">
      <c r="A2239">
        <v>7360170012</v>
      </c>
      <c r="B2239" s="16" t="s">
        <v>20997</v>
      </c>
      <c r="C2239" s="16" t="e">
        <f>VLOOKUP(Table1[[#This Row],[Node]],Parent!A:B,2,0)</f>
        <v>#N/A</v>
      </c>
      <c r="D2239" s="25" t="s">
        <v>19346</v>
      </c>
      <c r="E2239" s="26" t="s">
        <v>16544</v>
      </c>
      <c r="F2239" s="27" t="s">
        <v>18569</v>
      </c>
      <c r="G2239" s="27" t="s">
        <v>18689</v>
      </c>
      <c r="H2239" s="27" t="s">
        <v>18711</v>
      </c>
      <c r="I2239" s="27" t="s">
        <v>18747</v>
      </c>
      <c r="J2239" s="27"/>
      <c r="K2239" s="27"/>
      <c r="L2239" s="27"/>
      <c r="N2239" s="27"/>
      <c r="T2239" s="28" t="str">
        <f>LOOKUP(1,1/(Table1[[#This Row],[Level_0]:[Level 15]]&gt;0),(Table1[[#This Row],[Level_0]:[Level 15]]))</f>
        <v>7360170012 - [ABC Hycon]</v>
      </c>
      <c r="U2239" s="22">
        <v>2234</v>
      </c>
      <c r="W2239" s="13" t="str">
        <f>LOOKUP(1,1/(Table1[[#This Row],[Level_0]:[Level 15]]&gt;0),(Table1[[#This Row],[Level_0]:[Level 15]]))</f>
        <v>7360170012 - [ABC Hycon]</v>
      </c>
    </row>
    <row r="2240" spans="1:23" hidden="1" x14ac:dyDescent="0.25">
      <c r="A2240">
        <v>7360170011</v>
      </c>
      <c r="B2240" s="16" t="s">
        <v>20996</v>
      </c>
      <c r="C2240" s="16" t="e">
        <f>VLOOKUP(Table1[[#This Row],[Node]],Parent!A:B,2,0)</f>
        <v>#N/A</v>
      </c>
      <c r="D2240" s="25" t="s">
        <v>19346</v>
      </c>
      <c r="E2240" s="26" t="s">
        <v>16544</v>
      </c>
      <c r="F2240" s="27" t="s">
        <v>18569</v>
      </c>
      <c r="G2240" s="27" t="s">
        <v>18689</v>
      </c>
      <c r="H2240" s="27" t="s">
        <v>18711</v>
      </c>
      <c r="I2240" s="27" t="s">
        <v>18748</v>
      </c>
      <c r="J2240" s="27"/>
      <c r="K2240" s="27"/>
      <c r="L2240" s="27"/>
      <c r="N2240" s="27"/>
      <c r="T2240" s="28" t="str">
        <f>LOOKUP(1,1/(Table1[[#This Row],[Level_0]:[Level 15]]&gt;0),(Table1[[#This Row],[Level_0]:[Level 15]]))</f>
        <v>7360170011 - [ABC Small packages]</v>
      </c>
      <c r="U2240" s="22">
        <v>2235</v>
      </c>
      <c r="W2240" s="13" t="str">
        <f>LOOKUP(1,1/(Table1[[#This Row],[Level_0]:[Level 15]]&gt;0),(Table1[[#This Row],[Level_0]:[Level 15]]))</f>
        <v>7360170011 - [ABC Small packages]</v>
      </c>
    </row>
    <row r="2241" spans="1:23" hidden="1" x14ac:dyDescent="0.25">
      <c r="A2241">
        <v>7360170010</v>
      </c>
      <c r="B2241" s="16" t="s">
        <v>20995</v>
      </c>
      <c r="C2241" s="16" t="e">
        <f>VLOOKUP(Table1[[#This Row],[Node]],Parent!A:B,2,0)</f>
        <v>#N/A</v>
      </c>
      <c r="D2241" s="25" t="s">
        <v>19346</v>
      </c>
      <c r="E2241" s="26" t="s">
        <v>16544</v>
      </c>
      <c r="F2241" s="27" t="s">
        <v>18569</v>
      </c>
      <c r="G2241" s="27" t="s">
        <v>18689</v>
      </c>
      <c r="H2241" s="27" t="s">
        <v>18711</v>
      </c>
      <c r="I2241" s="27" t="s">
        <v>18749</v>
      </c>
      <c r="J2241" s="27"/>
      <c r="K2241" s="27"/>
      <c r="L2241" s="27"/>
      <c r="N2241" s="27"/>
      <c r="T2241" s="28" t="str">
        <f>LOOKUP(1,1/(Table1[[#This Row],[Level_0]:[Level 15]]&gt;0),(Table1[[#This Row],[Level_0]:[Level 15]]))</f>
        <v>7360170010 - [ABC LIEFERSCH.POS.LF]</v>
      </c>
      <c r="U2241" s="22">
        <v>2236</v>
      </c>
      <c r="W2241" s="13" t="str">
        <f>LOOKUP(1,1/(Table1[[#This Row],[Level_0]:[Level 15]]&gt;0),(Table1[[#This Row],[Level_0]:[Level 15]]))</f>
        <v>7360170010 - [ABC LIEFERSCH.POS.LF]</v>
      </c>
    </row>
    <row r="2242" spans="1:23" hidden="1" x14ac:dyDescent="0.25">
      <c r="A2242">
        <v>7360170009</v>
      </c>
      <c r="B2242" s="16" t="s">
        <v>20994</v>
      </c>
      <c r="C2242" s="16" t="e">
        <f>VLOOKUP(Table1[[#This Row],[Node]],Parent!A:B,2,0)</f>
        <v>#N/A</v>
      </c>
      <c r="D2242" s="25" t="s">
        <v>19346</v>
      </c>
      <c r="E2242" s="26" t="s">
        <v>16544</v>
      </c>
      <c r="F2242" s="27" t="s">
        <v>18569</v>
      </c>
      <c r="G2242" s="27" t="s">
        <v>18689</v>
      </c>
      <c r="H2242" s="27" t="s">
        <v>18711</v>
      </c>
      <c r="I2242" s="27" t="s">
        <v>18750</v>
      </c>
      <c r="J2242" s="27"/>
      <c r="K2242" s="27"/>
      <c r="L2242" s="27"/>
      <c r="N2242" s="27"/>
      <c r="T2242" s="28" t="str">
        <f>LOOKUP(1,1/(Table1[[#This Row],[Level_0]:[Level 15]]&gt;0),(Table1[[#This Row],[Level_0]:[Level 15]]))</f>
        <v>7360170009 - [ABC Load ROW N.KLP]</v>
      </c>
      <c r="U2242" s="22">
        <v>2237</v>
      </c>
      <c r="W2242" s="13" t="str">
        <f>LOOKUP(1,1/(Table1[[#This Row],[Level_0]:[Level 15]]&gt;0),(Table1[[#This Row],[Level_0]:[Level 15]]))</f>
        <v>7360170009 - [ABC Load ROW N.KLP]</v>
      </c>
    </row>
    <row r="2243" spans="1:23" hidden="1" x14ac:dyDescent="0.25">
      <c r="A2243">
        <v>7360170008</v>
      </c>
      <c r="B2243" s="16" t="s">
        <v>20993</v>
      </c>
      <c r="C2243" s="16" t="e">
        <f>VLOOKUP(Table1[[#This Row],[Node]],Parent!A:B,2,0)</f>
        <v>#N/A</v>
      </c>
      <c r="D2243" s="25" t="s">
        <v>19346</v>
      </c>
      <c r="E2243" s="26" t="s">
        <v>16544</v>
      </c>
      <c r="F2243" s="27" t="s">
        <v>18569</v>
      </c>
      <c r="G2243" s="27" t="s">
        <v>18689</v>
      </c>
      <c r="H2243" s="27" t="s">
        <v>18711</v>
      </c>
      <c r="I2243" s="27" t="s">
        <v>18751</v>
      </c>
      <c r="J2243" s="27"/>
      <c r="K2243" s="27"/>
      <c r="L2243" s="27"/>
      <c r="N2243" s="27"/>
      <c r="T2243" s="28" t="str">
        <f>LOOKUP(1,1/(Table1[[#This Row],[Level_0]:[Level 15]]&gt;0),(Table1[[#This Row],[Level_0]:[Level 15]]))</f>
        <v>7360170008 - [ABC Load DILOG E]</v>
      </c>
      <c r="U2243" s="22">
        <v>2238</v>
      </c>
      <c r="W2243" s="13" t="str">
        <f>LOOKUP(1,1/(Table1[[#This Row],[Level_0]:[Level 15]]&gt;0),(Table1[[#This Row],[Level_0]:[Level 15]]))</f>
        <v>7360170008 - [ABC Load DILOG E]</v>
      </c>
    </row>
    <row r="2244" spans="1:23" hidden="1" x14ac:dyDescent="0.25">
      <c r="A2244">
        <v>7360170007</v>
      </c>
      <c r="B2244" s="16" t="s">
        <v>20992</v>
      </c>
      <c r="C2244" s="16" t="e">
        <f>VLOOKUP(Table1[[#This Row],[Node]],Parent!A:B,2,0)</f>
        <v>#N/A</v>
      </c>
      <c r="D2244" s="25" t="s">
        <v>19346</v>
      </c>
      <c r="E2244" s="26" t="s">
        <v>16544</v>
      </c>
      <c r="F2244" s="27" t="s">
        <v>18569</v>
      </c>
      <c r="G2244" s="27" t="s">
        <v>18689</v>
      </c>
      <c r="H2244" s="27" t="s">
        <v>18711</v>
      </c>
      <c r="I2244" s="27" t="s">
        <v>18752</v>
      </c>
      <c r="J2244" s="27"/>
      <c r="K2244" s="27"/>
      <c r="L2244" s="27"/>
      <c r="N2244" s="27"/>
      <c r="T2244" s="28" t="str">
        <f>LOOKUP(1,1/(Table1[[#This Row],[Level_0]:[Level 15]]&gt;0),(Table1[[#This Row],[Level_0]:[Level 15]]))</f>
        <v>7360170007 - [ABC Order Entry ROW]</v>
      </c>
      <c r="U2244" s="22">
        <v>2239</v>
      </c>
      <c r="W2244" s="13" t="str">
        <f>LOOKUP(1,1/(Table1[[#This Row],[Level_0]:[Level 15]]&gt;0),(Table1[[#This Row],[Level_0]:[Level 15]]))</f>
        <v>7360170007 - [ABC Order Entry ROW]</v>
      </c>
    </row>
    <row r="2245" spans="1:23" hidden="1" x14ac:dyDescent="0.25">
      <c r="A2245">
        <v>7360170006</v>
      </c>
      <c r="B2245" s="16" t="s">
        <v>20991</v>
      </c>
      <c r="C2245" s="16" t="e">
        <f>VLOOKUP(Table1[[#This Row],[Node]],Parent!A:B,2,0)</f>
        <v>#N/A</v>
      </c>
      <c r="D2245" s="25" t="s">
        <v>19346</v>
      </c>
      <c r="E2245" s="26" t="s">
        <v>16544</v>
      </c>
      <c r="F2245" s="27" t="s">
        <v>18569</v>
      </c>
      <c r="G2245" s="27" t="s">
        <v>18689</v>
      </c>
      <c r="H2245" s="27" t="s">
        <v>18711</v>
      </c>
      <c r="I2245" s="27" t="s">
        <v>18753</v>
      </c>
      <c r="J2245" s="27"/>
      <c r="K2245" s="27"/>
      <c r="L2245" s="27"/>
      <c r="N2245" s="27"/>
      <c r="T2245" s="28" t="str">
        <f>LOOKUP(1,1/(Table1[[#This Row],[Level_0]:[Level 15]]&gt;0),(Table1[[#This Row],[Level_0]:[Level 15]]))</f>
        <v>7360170006 - [ABC Order Entry DILOG E]</v>
      </c>
      <c r="U2245" s="22">
        <v>2240</v>
      </c>
      <c r="W2245" s="13" t="str">
        <f>LOOKUP(1,1/(Table1[[#This Row],[Level_0]:[Level 15]]&gt;0),(Table1[[#This Row],[Level_0]:[Level 15]]))</f>
        <v>7360170006 - [ABC Order Entry DILOG E]</v>
      </c>
    </row>
    <row r="2246" spans="1:23" hidden="1" x14ac:dyDescent="0.25">
      <c r="A2246">
        <v>7360170005</v>
      </c>
      <c r="B2246" s="16" t="s">
        <v>20990</v>
      </c>
      <c r="C2246" s="16" t="e">
        <f>VLOOKUP(Table1[[#This Row],[Node]],Parent!A:B,2,0)</f>
        <v>#N/A</v>
      </c>
      <c r="D2246" s="25" t="s">
        <v>19346</v>
      </c>
      <c r="E2246" s="26" t="s">
        <v>16544</v>
      </c>
      <c r="F2246" s="27" t="s">
        <v>18569</v>
      </c>
      <c r="G2246" s="27" t="s">
        <v>18689</v>
      </c>
      <c r="H2246" s="27" t="s">
        <v>18711</v>
      </c>
      <c r="I2246" s="27" t="s">
        <v>18754</v>
      </c>
      <c r="J2246" s="27"/>
      <c r="K2246" s="27"/>
      <c r="L2246" s="27"/>
      <c r="N2246" s="27"/>
      <c r="T2246" s="28" t="str">
        <f>LOOKUP(1,1/(Table1[[#This Row],[Level_0]:[Level 15]]&gt;0),(Table1[[#This Row],[Level_0]:[Level 15]]))</f>
        <v>7360170005 - [ABC LIEF.-POS. KL.MENGEN]</v>
      </c>
      <c r="U2246" s="22">
        <v>2241</v>
      </c>
      <c r="W2246" s="13" t="str">
        <f>LOOKUP(1,1/(Table1[[#This Row],[Level_0]:[Level 15]]&gt;0),(Table1[[#This Row],[Level_0]:[Level 15]]))</f>
        <v>7360170005 - [ABC LIEF.-POS. KL.MENGEN]</v>
      </c>
    </row>
    <row r="2247" spans="1:23" hidden="1" x14ac:dyDescent="0.25">
      <c r="A2247">
        <v>7360170004</v>
      </c>
      <c r="B2247" s="16" t="s">
        <v>20989</v>
      </c>
      <c r="C2247" s="16" t="e">
        <f>VLOOKUP(Table1[[#This Row],[Node]],Parent!A:B,2,0)</f>
        <v>#N/A</v>
      </c>
      <c r="D2247" s="25" t="s">
        <v>19346</v>
      </c>
      <c r="E2247" s="26" t="s">
        <v>16544</v>
      </c>
      <c r="F2247" s="27" t="s">
        <v>18569</v>
      </c>
      <c r="G2247" s="27" t="s">
        <v>18689</v>
      </c>
      <c r="H2247" s="27" t="s">
        <v>18711</v>
      </c>
      <c r="I2247" s="27" t="s">
        <v>18755</v>
      </c>
      <c r="J2247" s="27"/>
      <c r="K2247" s="27"/>
      <c r="L2247" s="27"/>
      <c r="N2247" s="27"/>
      <c r="T2247" s="28" t="str">
        <f>LOOKUP(1,1/(Table1[[#This Row],[Level_0]:[Level 15]]&gt;0),(Table1[[#This Row],[Level_0]:[Level 15]]))</f>
        <v>7360170004 - [ABC LIEF.-POS. PHA I]</v>
      </c>
      <c r="U2247" s="22">
        <v>2242</v>
      </c>
      <c r="W2247" s="13" t="str">
        <f>LOOKUP(1,1/(Table1[[#This Row],[Level_0]:[Level 15]]&gt;0),(Table1[[#This Row],[Level_0]:[Level 15]]))</f>
        <v>7360170004 - [ABC LIEF.-POS. PHA I]</v>
      </c>
    </row>
    <row r="2248" spans="1:23" hidden="1" x14ac:dyDescent="0.25">
      <c r="A2248">
        <v>7360170003</v>
      </c>
      <c r="B2248" s="16" t="s">
        <v>20988</v>
      </c>
      <c r="C2248" s="16" t="e">
        <f>VLOOKUP(Table1[[#This Row],[Node]],Parent!A:B,2,0)</f>
        <v>#N/A</v>
      </c>
      <c r="D2248" s="25" t="s">
        <v>19346</v>
      </c>
      <c r="E2248" s="26" t="s">
        <v>16544</v>
      </c>
      <c r="F2248" s="27" t="s">
        <v>18569</v>
      </c>
      <c r="G2248" s="27" t="s">
        <v>18689</v>
      </c>
      <c r="H2248" s="27" t="s">
        <v>18711</v>
      </c>
      <c r="I2248" s="27" t="s">
        <v>18756</v>
      </c>
      <c r="J2248" s="27"/>
      <c r="K2248" s="27"/>
      <c r="L2248" s="27"/>
      <c r="N2248" s="27"/>
      <c r="T2248" s="28" t="str">
        <f>LOOKUP(1,1/(Table1[[#This Row],[Level_0]:[Level 15]]&gt;0),(Table1[[#This Row],[Level_0]:[Level 15]]))</f>
        <v>7360170003 - [ABC Movements production logistic]</v>
      </c>
      <c r="U2248" s="22">
        <v>2243</v>
      </c>
      <c r="W2248" s="13" t="str">
        <f>LOOKUP(1,1/(Table1[[#This Row],[Level_0]:[Level 15]]&gt;0),(Table1[[#This Row],[Level_0]:[Level 15]]))</f>
        <v>7360170003 - [ABC Movements production logistic]</v>
      </c>
    </row>
    <row r="2249" spans="1:23" hidden="1" x14ac:dyDescent="0.25">
      <c r="A2249">
        <v>7360170002</v>
      </c>
      <c r="B2249" s="16" t="s">
        <v>20987</v>
      </c>
      <c r="C2249" s="16" t="e">
        <f>VLOOKUP(Table1[[#This Row],[Node]],Parent!A:B,2,0)</f>
        <v>#N/A</v>
      </c>
      <c r="D2249" s="25" t="s">
        <v>19346</v>
      </c>
      <c r="E2249" s="26" t="s">
        <v>16544</v>
      </c>
      <c r="F2249" s="27" t="s">
        <v>18569</v>
      </c>
      <c r="G2249" s="27" t="s">
        <v>18689</v>
      </c>
      <c r="H2249" s="27" t="s">
        <v>18711</v>
      </c>
      <c r="I2249" s="27" t="s">
        <v>18757</v>
      </c>
      <c r="J2249" s="27"/>
      <c r="K2249" s="27"/>
      <c r="L2249" s="27"/>
      <c r="N2249" s="27"/>
      <c r="T2249" s="28" t="str">
        <f>LOOKUP(1,1/(Table1[[#This Row],[Level_0]:[Level 15]]&gt;0),(Table1[[#This Row],[Level_0]:[Level 15]]))</f>
        <v>7360170002 - [ABC Picking distribution log]</v>
      </c>
      <c r="U2249" s="22">
        <v>2244</v>
      </c>
      <c r="W2249" s="13" t="str">
        <f>LOOKUP(1,1/(Table1[[#This Row],[Level_0]:[Level 15]]&gt;0),(Table1[[#This Row],[Level_0]:[Level 15]]))</f>
        <v>7360170002 - [ABC Picking distribution log]</v>
      </c>
    </row>
    <row r="2250" spans="1:23" hidden="1" x14ac:dyDescent="0.25">
      <c r="A2250">
        <v>7360170001</v>
      </c>
      <c r="B2250" s="16" t="s">
        <v>20986</v>
      </c>
      <c r="C2250" s="16" t="e">
        <f>VLOOKUP(Table1[[#This Row],[Node]],Parent!A:B,2,0)</f>
        <v>#N/A</v>
      </c>
      <c r="D2250" s="25" t="s">
        <v>19346</v>
      </c>
      <c r="E2250" s="26" t="s">
        <v>16544</v>
      </c>
      <c r="F2250" s="27" t="s">
        <v>18569</v>
      </c>
      <c r="G2250" s="27" t="s">
        <v>18689</v>
      </c>
      <c r="H2250" s="27" t="s">
        <v>18711</v>
      </c>
      <c r="I2250" s="27" t="s">
        <v>18758</v>
      </c>
      <c r="J2250" s="27"/>
      <c r="K2250" s="27"/>
      <c r="L2250" s="27"/>
      <c r="N2250" s="27"/>
      <c r="T2250" s="28" t="str">
        <f>LOOKUP(1,1/(Table1[[#This Row],[Level_0]:[Level 15]]&gt;0),(Table1[[#This Row],[Level_0]:[Level 15]]))</f>
        <v>7360170001 - [ABC Stock movement]</v>
      </c>
      <c r="U2250" s="22">
        <v>2245</v>
      </c>
      <c r="W2250" s="13" t="str">
        <f>LOOKUP(1,1/(Table1[[#This Row],[Level_0]:[Level 15]]&gt;0),(Table1[[#This Row],[Level_0]:[Level 15]]))</f>
        <v>7360170001 - [ABC Stock movement]</v>
      </c>
    </row>
    <row r="2251" spans="1:23" hidden="1" x14ac:dyDescent="0.25">
      <c r="A2251">
        <v>7320170001</v>
      </c>
      <c r="B2251" s="16" t="s">
        <v>20892</v>
      </c>
      <c r="C2251" s="16" t="e">
        <f>VLOOKUP(Table1[[#This Row],[Node]],Parent!A:B,2,0)</f>
        <v>#N/A</v>
      </c>
      <c r="D2251" s="25" t="s">
        <v>19346</v>
      </c>
      <c r="E2251" s="26" t="s">
        <v>16544</v>
      </c>
      <c r="F2251" s="27" t="s">
        <v>18569</v>
      </c>
      <c r="G2251" s="27" t="s">
        <v>18689</v>
      </c>
      <c r="H2251" s="27" t="s">
        <v>18711</v>
      </c>
      <c r="I2251" s="27" t="s">
        <v>18759</v>
      </c>
      <c r="J2251" s="27"/>
      <c r="K2251" s="27"/>
      <c r="L2251" s="27"/>
      <c r="N2251" s="27"/>
      <c r="T2251" s="28" t="str">
        <f>LOOKUP(1,1/(Table1[[#This Row],[Level_0]:[Level 15]]&gt;0),(Table1[[#This Row],[Level_0]:[Level 15]]))</f>
        <v>7320170001 - [AOM Incoming Mat. Disposition]</v>
      </c>
      <c r="U2251" s="22">
        <v>2246</v>
      </c>
      <c r="W2251" s="13" t="str">
        <f>LOOKUP(1,1/(Table1[[#This Row],[Level_0]:[Level 15]]&gt;0),(Table1[[#This Row],[Level_0]:[Level 15]]))</f>
        <v>7320170001 - [AOM Incoming Mat. Disposition]</v>
      </c>
    </row>
    <row r="2252" spans="1:23" hidden="1" x14ac:dyDescent="0.25">
      <c r="A2252">
        <v>7310160001</v>
      </c>
      <c r="B2252" s="16" t="s">
        <v>20832</v>
      </c>
      <c r="C2252" s="16" t="e">
        <f>VLOOKUP(Table1[[#This Row],[Node]],Parent!A:B,2,0)</f>
        <v>#N/A</v>
      </c>
      <c r="D2252" s="25" t="s">
        <v>19346</v>
      </c>
      <c r="E2252" s="26" t="s">
        <v>16544</v>
      </c>
      <c r="F2252" s="27" t="s">
        <v>18569</v>
      </c>
      <c r="G2252" s="27" t="s">
        <v>18689</v>
      </c>
      <c r="H2252" s="27" t="s">
        <v>18711</v>
      </c>
      <c r="I2252" s="27" t="s">
        <v>18760</v>
      </c>
      <c r="J2252" s="27"/>
      <c r="K2252" s="27"/>
      <c r="L2252" s="27"/>
      <c r="N2252" s="27"/>
      <c r="T2252" s="28" t="str">
        <f>LOOKUP(1,1/(Table1[[#This Row],[Level_0]:[Level 15]]&gt;0),(Table1[[#This Row],[Level_0]:[Level 15]]))</f>
        <v>7310160001 - [IAA Non-Office Build. (not production)]</v>
      </c>
      <c r="U2252" s="22">
        <v>2247</v>
      </c>
      <c r="W2252" s="13" t="str">
        <f>LOOKUP(1,1/(Table1[[#This Row],[Level_0]:[Level 15]]&gt;0),(Table1[[#This Row],[Level_0]:[Level 15]]))</f>
        <v>7310160001 - [IAA Non-Office Build. (not production)]</v>
      </c>
    </row>
    <row r="2253" spans="1:23" hidden="1" x14ac:dyDescent="0.25">
      <c r="A2253">
        <v>7020000004</v>
      </c>
      <c r="B2253" s="16" t="s">
        <v>20643</v>
      </c>
      <c r="C2253" s="16" t="e">
        <f>VLOOKUP(Table1[[#This Row],[Node]],Parent!A:B,2,0)</f>
        <v>#N/A</v>
      </c>
      <c r="D2253" s="25" t="s">
        <v>19346</v>
      </c>
      <c r="E2253" s="26" t="s">
        <v>16544</v>
      </c>
      <c r="F2253" s="27" t="s">
        <v>18569</v>
      </c>
      <c r="G2253" s="27" t="s">
        <v>18689</v>
      </c>
      <c r="H2253" s="27" t="s">
        <v>18711</v>
      </c>
      <c r="I2253" s="27" t="s">
        <v>18761</v>
      </c>
      <c r="J2253" s="27"/>
      <c r="K2253" s="27"/>
      <c r="L2253" s="27"/>
      <c r="N2253" s="27"/>
      <c r="T2253" s="28" t="str">
        <f>LOOKUP(1,1/(Table1[[#This Row],[Level_0]:[Level 15]]&gt;0),(Table1[[#This Row],[Level_0]:[Level 15]]))</f>
        <v>7020000004 - [AOM General Infrastructure Charge LF]</v>
      </c>
      <c r="U2253" s="22">
        <v>2248</v>
      </c>
      <c r="W2253" s="13" t="str">
        <f>LOOKUP(1,1/(Table1[[#This Row],[Level_0]:[Level 15]]&gt;0),(Table1[[#This Row],[Level_0]:[Level 15]]))</f>
        <v>7020000004 - [AOM General Infrastructure Charge LF]</v>
      </c>
    </row>
    <row r="2254" spans="1:23" hidden="1" x14ac:dyDescent="0.25">
      <c r="A2254">
        <v>7020000001</v>
      </c>
      <c r="B2254" s="16" t="s">
        <v>20640</v>
      </c>
      <c r="C2254" s="16" t="e">
        <f>VLOOKUP(Table1[[#This Row],[Node]],Parent!A:B,2,0)</f>
        <v>#N/A</v>
      </c>
      <c r="D2254" s="25" t="s">
        <v>19346</v>
      </c>
      <c r="E2254" s="26" t="s">
        <v>16544</v>
      </c>
      <c r="F2254" s="27" t="s">
        <v>18569</v>
      </c>
      <c r="G2254" s="27" t="s">
        <v>18689</v>
      </c>
      <c r="H2254" s="27" t="s">
        <v>18711</v>
      </c>
      <c r="I2254" s="27" t="s">
        <v>18762</v>
      </c>
      <c r="J2254" s="27"/>
      <c r="K2254" s="27"/>
      <c r="L2254" s="27"/>
      <c r="N2254" s="27"/>
      <c r="T2254" s="28" t="str">
        <f>LOOKUP(1,1/(Table1[[#This Row],[Level_0]:[Level 15]]&gt;0),(Table1[[#This Row],[Level_0]:[Level 15]]))</f>
        <v>7020000001 - [AOM Cost transfer Charge Local Function]</v>
      </c>
      <c r="U2254" s="22">
        <v>2249</v>
      </c>
      <c r="W2254" s="13" t="str">
        <f>LOOKUP(1,1/(Table1[[#This Row],[Level_0]:[Level 15]]&gt;0),(Table1[[#This Row],[Level_0]:[Level 15]]))</f>
        <v>7020000001 - [AOM Cost transfer Charge Local Function]</v>
      </c>
    </row>
    <row r="2255" spans="1:23" hidden="1" x14ac:dyDescent="0.25">
      <c r="A2255">
        <v>7600304000</v>
      </c>
      <c r="B2255" s="16" t="s">
        <v>21201</v>
      </c>
      <c r="C2255" s="16" t="e">
        <f>VLOOKUP(Table1[[#This Row],[Node]],Parent!A:B,2,0)</f>
        <v>#N/A</v>
      </c>
      <c r="D2255" s="25" t="s">
        <v>19346</v>
      </c>
      <c r="E2255" s="26" t="s">
        <v>16544</v>
      </c>
      <c r="F2255" s="27" t="s">
        <v>18569</v>
      </c>
      <c r="G2255" s="27" t="s">
        <v>18689</v>
      </c>
      <c r="H2255" s="27" t="s">
        <v>18711</v>
      </c>
      <c r="I2255" s="27" t="s">
        <v>18763</v>
      </c>
      <c r="J2255" s="27"/>
      <c r="K2255" s="27"/>
      <c r="L2255" s="27"/>
      <c r="N2255" s="27"/>
      <c r="T2255" s="28" t="str">
        <f>LOOKUP(1,1/(Table1[[#This Row],[Level_0]:[Level 15]]&gt;0),(Table1[[#This Row],[Level_0]:[Level 15]]))</f>
        <v>7600304000 - [DAA Material Management]</v>
      </c>
      <c r="U2255" s="22">
        <v>2250</v>
      </c>
      <c r="W2255" s="13" t="str">
        <f>LOOKUP(1,1/(Table1[[#This Row],[Level_0]:[Level 15]]&gt;0),(Table1[[#This Row],[Level_0]:[Level 15]]))</f>
        <v>7600304000 - [DAA Material Management]</v>
      </c>
    </row>
    <row r="2256" spans="1:23" hidden="1" x14ac:dyDescent="0.25">
      <c r="A2256">
        <v>5337510000</v>
      </c>
      <c r="B2256" s="16" t="s">
        <v>20230</v>
      </c>
      <c r="C2256" s="16" t="e">
        <f>VLOOKUP(Table1[[#This Row],[Node]],Parent!A:B,2,0)</f>
        <v>#N/A</v>
      </c>
      <c r="D2256" s="25" t="s">
        <v>19346</v>
      </c>
      <c r="E2256" s="26" t="s">
        <v>16544</v>
      </c>
      <c r="F2256" s="27" t="s">
        <v>18569</v>
      </c>
      <c r="G2256" s="27" t="s">
        <v>18689</v>
      </c>
      <c r="H2256" s="27" t="s">
        <v>18711</v>
      </c>
      <c r="I2256" s="27" t="s">
        <v>18764</v>
      </c>
      <c r="J2256" s="27"/>
      <c r="K2256" s="27"/>
      <c r="L2256" s="27"/>
      <c r="N2256" s="27"/>
      <c r="T2256" s="28" t="str">
        <f>LOOKUP(1,1/(Table1[[#This Row],[Level_0]:[Level 15]]&gt;0),(Table1[[#This Row],[Level_0]:[Level 15]]))</f>
        <v>5337510000 - [IC Exp - SMS - Material Management]</v>
      </c>
      <c r="U2256" s="22">
        <v>2251</v>
      </c>
      <c r="W2256" s="13" t="str">
        <f>LOOKUP(1,1/(Table1[[#This Row],[Level_0]:[Level 15]]&gt;0),(Table1[[#This Row],[Level_0]:[Level 15]]))</f>
        <v>5337510000 - [IC Exp - SMS - Material Management]</v>
      </c>
    </row>
    <row r="2257" spans="1:23" hidden="1" x14ac:dyDescent="0.25">
      <c r="A2257">
        <v>120301</v>
      </c>
      <c r="B2257" s="16" t="s">
        <v>19411</v>
      </c>
      <c r="C2257" s="16" t="e">
        <f>VLOOKUP(Table1[[#This Row],[Node]],Parent!A:B,2,0)</f>
        <v>#N/A</v>
      </c>
      <c r="D2257" s="25" t="s">
        <v>19346</v>
      </c>
      <c r="E2257" s="26" t="s">
        <v>16544</v>
      </c>
      <c r="F2257" s="27" t="s">
        <v>18569</v>
      </c>
      <c r="G2257" s="27" t="s">
        <v>18689</v>
      </c>
      <c r="H2257" s="27" t="s">
        <v>18765</v>
      </c>
      <c r="I2257" s="27"/>
      <c r="J2257" s="27"/>
      <c r="K2257" s="27"/>
      <c r="L2257" s="27"/>
      <c r="N2257" s="27"/>
      <c r="T2257" s="28" t="str">
        <f>LOOKUP(1,1/(Table1[[#This Row],[Level_0]:[Level 15]]&gt;0),(Table1[[#This Row],[Level_0]:[Level 15]]))</f>
        <v>120301 - [General Site Services]</v>
      </c>
      <c r="U2257" s="22">
        <v>2252</v>
      </c>
      <c r="W2257" s="13" t="str">
        <f>LOOKUP(1,1/(Table1[[#This Row],[Level_0]:[Level 15]]&gt;0),(Table1[[#This Row],[Level_0]:[Level 15]]))</f>
        <v>120301 - [General Site Services]</v>
      </c>
    </row>
    <row r="2258" spans="1:23" hidden="1" x14ac:dyDescent="0.25">
      <c r="A2258">
        <v>5225510000</v>
      </c>
      <c r="B2258" s="16" t="s">
        <v>20196</v>
      </c>
      <c r="C2258" s="16" t="e">
        <f>VLOOKUP(Table1[[#This Row],[Node]],Parent!A:B,2,0)</f>
        <v>#N/A</v>
      </c>
      <c r="D2258" s="25" t="s">
        <v>19346</v>
      </c>
      <c r="E2258" s="26" t="s">
        <v>16544</v>
      </c>
      <c r="F2258" s="27" t="s">
        <v>18569</v>
      </c>
      <c r="G2258" s="27" t="s">
        <v>18689</v>
      </c>
      <c r="H2258" s="27" t="s">
        <v>18765</v>
      </c>
      <c r="I2258" s="27" t="s">
        <v>18766</v>
      </c>
      <c r="J2258" s="27"/>
      <c r="K2258" s="27"/>
      <c r="L2258" s="27"/>
      <c r="N2258" s="27"/>
      <c r="T2258" s="28" t="str">
        <f>LOOKUP(1,1/(Table1[[#This Row],[Level_0]:[Level 15]]&gt;0),(Table1[[#This Row],[Level_0]:[Level 15]]))</f>
        <v>5225510000 - [IC Exp - DIV - Contractor Management]</v>
      </c>
      <c r="U2258" s="22">
        <v>2253</v>
      </c>
      <c r="W2258" s="13" t="str">
        <f>LOOKUP(1,1/(Table1[[#This Row],[Level_0]:[Level 15]]&gt;0),(Table1[[#This Row],[Level_0]:[Level 15]]))</f>
        <v>5225510000 - [IC Exp - DIV - Contractor Management]</v>
      </c>
    </row>
    <row r="2259" spans="1:23" hidden="1" x14ac:dyDescent="0.25">
      <c r="A2259">
        <v>7600304151</v>
      </c>
      <c r="B2259" s="16" t="s">
        <v>21349</v>
      </c>
      <c r="C2259" s="16" t="e">
        <f>VLOOKUP(Table1[[#This Row],[Node]],Parent!A:B,2,0)</f>
        <v>#N/A</v>
      </c>
      <c r="D2259" s="25" t="s">
        <v>19346</v>
      </c>
      <c r="E2259" s="26" t="s">
        <v>16544</v>
      </c>
      <c r="F2259" s="27" t="s">
        <v>18569</v>
      </c>
      <c r="G2259" s="27" t="s">
        <v>18689</v>
      </c>
      <c r="H2259" s="27" t="s">
        <v>18765</v>
      </c>
      <c r="I2259" s="27" t="s">
        <v>18767</v>
      </c>
      <c r="J2259" s="27"/>
      <c r="K2259" s="27"/>
      <c r="L2259" s="27"/>
      <c r="N2259" s="27"/>
      <c r="T2259" s="28" t="str">
        <f>LOOKUP(1,1/(Table1[[#This Row],[Level_0]:[Level 15]]&gt;0),(Table1[[#This Row],[Level_0]:[Level 15]]))</f>
        <v>7600304151 - [DAA Special Packag.]</v>
      </c>
      <c r="U2259" s="22">
        <v>2254</v>
      </c>
      <c r="W2259" s="13" t="str">
        <f>LOOKUP(1,1/(Table1[[#This Row],[Level_0]:[Level 15]]&gt;0),(Table1[[#This Row],[Level_0]:[Level 15]]))</f>
        <v>7600304151 - [DAA Special Packag.]</v>
      </c>
    </row>
    <row r="2260" spans="1:23" hidden="1" x14ac:dyDescent="0.25">
      <c r="A2260">
        <v>7600304002</v>
      </c>
      <c r="B2260" s="16" t="s">
        <v>21203</v>
      </c>
      <c r="C2260" s="16" t="e">
        <f>VLOOKUP(Table1[[#This Row],[Node]],Parent!A:B,2,0)</f>
        <v>#N/A</v>
      </c>
      <c r="D2260" s="25" t="s">
        <v>19346</v>
      </c>
      <c r="E2260" s="26" t="s">
        <v>16544</v>
      </c>
      <c r="F2260" s="27" t="s">
        <v>18569</v>
      </c>
      <c r="G2260" s="27" t="s">
        <v>18689</v>
      </c>
      <c r="H2260" s="27" t="s">
        <v>18765</v>
      </c>
      <c r="I2260" s="27" t="s">
        <v>18768</v>
      </c>
      <c r="J2260" s="27"/>
      <c r="K2260" s="27"/>
      <c r="L2260" s="27"/>
      <c r="N2260" s="27"/>
      <c r="T2260" s="28" t="str">
        <f>LOOKUP(1,1/(Table1[[#This Row],[Level_0]:[Level 15]]&gt;0),(Table1[[#This Row],[Level_0]:[Level 15]]))</f>
        <v>7600304002 - [DAA Parcel service]</v>
      </c>
      <c r="U2260" s="22">
        <v>2255</v>
      </c>
      <c r="W2260" s="13" t="str">
        <f>LOOKUP(1,1/(Table1[[#This Row],[Level_0]:[Level 15]]&gt;0),(Table1[[#This Row],[Level_0]:[Level 15]]))</f>
        <v>7600304002 - [DAA Parcel service]</v>
      </c>
    </row>
    <row r="2261" spans="1:23" hidden="1" x14ac:dyDescent="0.25">
      <c r="A2261">
        <v>5200110000</v>
      </c>
      <c r="B2261" s="16" t="s">
        <v>20087</v>
      </c>
      <c r="C2261" s="16" t="e">
        <f>VLOOKUP(Table1[[#This Row],[Node]],Parent!A:B,2,0)</f>
        <v>#N/A</v>
      </c>
      <c r="D2261" s="25" t="s">
        <v>19346</v>
      </c>
      <c r="E2261" s="26" t="s">
        <v>16544</v>
      </c>
      <c r="F2261" s="27" t="s">
        <v>18569</v>
      </c>
      <c r="G2261" s="27" t="s">
        <v>18689</v>
      </c>
      <c r="H2261" s="27" t="s">
        <v>18765</v>
      </c>
      <c r="I2261" s="27" t="s">
        <v>18769</v>
      </c>
      <c r="J2261" s="27"/>
      <c r="K2261" s="27"/>
      <c r="L2261" s="27"/>
      <c r="N2261" s="27"/>
      <c r="T2261" s="28" t="str">
        <f>LOOKUP(1,1/(Table1[[#This Row],[Level_0]:[Level 15]]&gt;0),(Table1[[#This Row],[Level_0]:[Level 15]]))</f>
        <v>5200110000 - [IC Exp - SMS - Contractor Management]</v>
      </c>
      <c r="U2261" s="22">
        <v>2256</v>
      </c>
      <c r="W2261" s="13" t="str">
        <f>LOOKUP(1,1/(Table1[[#This Row],[Level_0]:[Level 15]]&gt;0),(Table1[[#This Row],[Level_0]:[Level 15]]))</f>
        <v>5200110000 - [IC Exp - SMS - Contractor Management]</v>
      </c>
    </row>
    <row r="2262" spans="1:23" hidden="1" x14ac:dyDescent="0.25">
      <c r="A2262">
        <v>5231010000</v>
      </c>
      <c r="B2262" s="16" t="s">
        <v>20211</v>
      </c>
      <c r="C2262" s="16" t="e">
        <f>VLOOKUP(Table1[[#This Row],[Node]],Parent!A:B,2,0)</f>
        <v>#N/A</v>
      </c>
      <c r="D2262" s="25" t="s">
        <v>19346</v>
      </c>
      <c r="E2262" s="26" t="s">
        <v>16544</v>
      </c>
      <c r="F2262" s="27" t="s">
        <v>18569</v>
      </c>
      <c r="G2262" s="27" t="s">
        <v>18689</v>
      </c>
      <c r="H2262" s="27" t="s">
        <v>18765</v>
      </c>
      <c r="I2262" s="27" t="s">
        <v>18770</v>
      </c>
      <c r="J2262" s="27"/>
      <c r="K2262" s="27"/>
      <c r="L2262" s="27"/>
      <c r="N2262" s="27"/>
      <c r="T2262" s="28" t="str">
        <f>LOOKUP(1,1/(Table1[[#This Row],[Level_0]:[Level 15]]&gt;0),(Table1[[#This Row],[Level_0]:[Level 15]]))</f>
        <v>5231010000 - [IC Exp - SMS - HQ Campus]</v>
      </c>
      <c r="U2262" s="22">
        <v>2257</v>
      </c>
      <c r="W2262" s="13" t="str">
        <f>LOOKUP(1,1/(Table1[[#This Row],[Level_0]:[Level 15]]&gt;0),(Table1[[#This Row],[Level_0]:[Level 15]]))</f>
        <v>5231010000 - [IC Exp - SMS - HQ Campus]</v>
      </c>
    </row>
    <row r="2263" spans="1:23" hidden="1" x14ac:dyDescent="0.25">
      <c r="A2263">
        <v>5223410000</v>
      </c>
      <c r="B2263" s="16" t="s">
        <v>20183</v>
      </c>
      <c r="C2263" s="16" t="e">
        <f>VLOOKUP(Table1[[#This Row],[Node]],Parent!A:B,2,0)</f>
        <v>#N/A</v>
      </c>
      <c r="D2263" s="25" t="s">
        <v>19346</v>
      </c>
      <c r="E2263" s="26" t="s">
        <v>16544</v>
      </c>
      <c r="F2263" s="27" t="s">
        <v>18569</v>
      </c>
      <c r="G2263" s="27" t="s">
        <v>18689</v>
      </c>
      <c r="H2263" s="27" t="s">
        <v>18765</v>
      </c>
      <c r="I2263" s="27" t="s">
        <v>18771</v>
      </c>
      <c r="J2263" s="27"/>
      <c r="K2263" s="27"/>
      <c r="L2263" s="27"/>
      <c r="N2263" s="27"/>
      <c r="T2263" s="28" t="str">
        <f>LOOKUP(1,1/(Table1[[#This Row],[Level_0]:[Level 15]]&gt;0),(Table1[[#This Row],[Level_0]:[Level 15]]))</f>
        <v>5223410000 - [IC Exp - SMS - Plant Security]</v>
      </c>
      <c r="U2263" s="22">
        <v>2258</v>
      </c>
      <c r="W2263" s="13" t="str">
        <f>LOOKUP(1,1/(Table1[[#This Row],[Level_0]:[Level 15]]&gt;0),(Table1[[#This Row],[Level_0]:[Level 15]]))</f>
        <v>5223410000 - [IC Exp - SMS - Plant Security]</v>
      </c>
    </row>
    <row r="2264" spans="1:23" hidden="1" x14ac:dyDescent="0.25">
      <c r="A2264">
        <v>5223210000</v>
      </c>
      <c r="B2264" s="16" t="s">
        <v>20181</v>
      </c>
      <c r="C2264" s="16" t="e">
        <f>VLOOKUP(Table1[[#This Row],[Node]],Parent!A:B,2,0)</f>
        <v>#N/A</v>
      </c>
      <c r="D2264" s="25" t="s">
        <v>19346</v>
      </c>
      <c r="E2264" s="26" t="s">
        <v>16544</v>
      </c>
      <c r="F2264" s="27" t="s">
        <v>18569</v>
      </c>
      <c r="G2264" s="27" t="s">
        <v>18689</v>
      </c>
      <c r="H2264" s="27" t="s">
        <v>18765</v>
      </c>
      <c r="I2264" s="27" t="s">
        <v>18772</v>
      </c>
      <c r="J2264" s="27"/>
      <c r="K2264" s="27"/>
      <c r="L2264" s="27"/>
      <c r="N2264" s="27"/>
      <c r="T2264" s="28" t="str">
        <f>LOOKUP(1,1/(Table1[[#This Row],[Level_0]:[Level 15]]&gt;0),(Table1[[#This Row],[Level_0]:[Level 15]]))</f>
        <v>5223210000 - [IC Exp - SMS - Health Services]</v>
      </c>
      <c r="U2264" s="22">
        <v>2259</v>
      </c>
      <c r="W2264" s="13" t="str">
        <f>LOOKUP(1,1/(Table1[[#This Row],[Level_0]:[Level 15]]&gt;0),(Table1[[#This Row],[Level_0]:[Level 15]]))</f>
        <v>5223210000 - [IC Exp - SMS - Health Services]</v>
      </c>
    </row>
    <row r="2265" spans="1:23" hidden="1" x14ac:dyDescent="0.25">
      <c r="A2265">
        <v>5754110000</v>
      </c>
      <c r="B2265" s="16" t="s">
        <v>20438</v>
      </c>
      <c r="C2265" s="16" t="e">
        <f>VLOOKUP(Table1[[#This Row],[Node]],Parent!A:B,2,0)</f>
        <v>#N/A</v>
      </c>
      <c r="D2265" s="25" t="s">
        <v>19346</v>
      </c>
      <c r="E2265" s="26" t="s">
        <v>16544</v>
      </c>
      <c r="F2265" s="27" t="s">
        <v>18569</v>
      </c>
      <c r="G2265" s="27" t="s">
        <v>18689</v>
      </c>
      <c r="H2265" s="27" t="s">
        <v>18765</v>
      </c>
      <c r="I2265" s="27" t="s">
        <v>18773</v>
      </c>
      <c r="J2265" s="27"/>
      <c r="K2265" s="27"/>
      <c r="L2265" s="27"/>
      <c r="N2265" s="27"/>
      <c r="T2265" s="28" t="str">
        <f>LOOKUP(1,1/(Table1[[#This Row],[Level_0]:[Level 15]]&gt;0),(Table1[[#This Row],[Level_0]:[Level 15]]))</f>
        <v>5754110000 - [IC Exp - SMS -  Energy Management]</v>
      </c>
      <c r="U2265" s="22">
        <v>2260</v>
      </c>
      <c r="W2265" s="13" t="str">
        <f>LOOKUP(1,1/(Table1[[#This Row],[Level_0]:[Level 15]]&gt;0),(Table1[[#This Row],[Level_0]:[Level 15]]))</f>
        <v>5754110000 - [IC Exp - SMS -  Energy Management]</v>
      </c>
    </row>
    <row r="2266" spans="1:23" hidden="1" x14ac:dyDescent="0.25">
      <c r="A2266">
        <v>5751710000</v>
      </c>
      <c r="B2266" s="16" t="s">
        <v>20427</v>
      </c>
      <c r="C2266" s="16" t="e">
        <f>VLOOKUP(Table1[[#This Row],[Node]],Parent!A:B,2,0)</f>
        <v>#N/A</v>
      </c>
      <c r="D2266" s="25" t="s">
        <v>19346</v>
      </c>
      <c r="E2266" s="26" t="s">
        <v>16544</v>
      </c>
      <c r="F2266" s="27" t="s">
        <v>18569</v>
      </c>
      <c r="G2266" s="27" t="s">
        <v>18689</v>
      </c>
      <c r="H2266" s="27" t="s">
        <v>18765</v>
      </c>
      <c r="I2266" s="27" t="s">
        <v>18774</v>
      </c>
      <c r="J2266" s="27"/>
      <c r="K2266" s="27"/>
      <c r="L2266" s="27"/>
      <c r="N2266" s="27"/>
      <c r="T2266" s="28" t="str">
        <f>LOOKUP(1,1/(Table1[[#This Row],[Level_0]:[Level 15]]&gt;0),(Table1[[#This Row],[Level_0]:[Level 15]]))</f>
        <v>5751710000 - [IC Exp - SMS -  Management of Ideas]</v>
      </c>
      <c r="U2266" s="22">
        <v>2261</v>
      </c>
      <c r="W2266" s="13" t="str">
        <f>LOOKUP(1,1/(Table1[[#This Row],[Level_0]:[Level 15]]&gt;0),(Table1[[#This Row],[Level_0]:[Level 15]]))</f>
        <v>5751710000 - [IC Exp - SMS -  Management of Ideas]</v>
      </c>
    </row>
    <row r="2267" spans="1:23" hidden="1" x14ac:dyDescent="0.25">
      <c r="A2267">
        <v>5232010000</v>
      </c>
      <c r="B2267" s="16" t="s">
        <v>20212</v>
      </c>
      <c r="C2267" s="16" t="e">
        <f>VLOOKUP(Table1[[#This Row],[Node]],Parent!A:B,2,0)</f>
        <v>#N/A</v>
      </c>
      <c r="D2267" s="25" t="s">
        <v>19346</v>
      </c>
      <c r="E2267" s="26" t="s">
        <v>16544</v>
      </c>
      <c r="F2267" s="27" t="s">
        <v>18569</v>
      </c>
      <c r="G2267" s="27" t="s">
        <v>18689</v>
      </c>
      <c r="H2267" s="27" t="s">
        <v>18765</v>
      </c>
      <c r="I2267" s="27" t="s">
        <v>18775</v>
      </c>
      <c r="J2267" s="27"/>
      <c r="K2267" s="27"/>
      <c r="L2267" s="27"/>
      <c r="N2267" s="27"/>
      <c r="T2267" s="28" t="str">
        <f>LOOKUP(1,1/(Table1[[#This Row],[Level_0]:[Level 15]]&gt;0),(Table1[[#This Row],[Level_0]:[Level 15]]))</f>
        <v>5232010000 - [IC Exp - SMS - Process Optimization]</v>
      </c>
      <c r="U2267" s="22">
        <v>2262</v>
      </c>
      <c r="W2267" s="13" t="str">
        <f>LOOKUP(1,1/(Table1[[#This Row],[Level_0]:[Level 15]]&gt;0),(Table1[[#This Row],[Level_0]:[Level 15]]))</f>
        <v>5232010000 - [IC Exp - SMS - Process Optimization]</v>
      </c>
    </row>
    <row r="2268" spans="1:23" hidden="1" x14ac:dyDescent="0.25">
      <c r="A2268">
        <v>5751810000</v>
      </c>
      <c r="B2268" s="16" t="s">
        <v>20428</v>
      </c>
      <c r="C2268" s="16" t="e">
        <f>VLOOKUP(Table1[[#This Row],[Node]],Parent!A:B,2,0)</f>
        <v>#N/A</v>
      </c>
      <c r="D2268" s="25" t="s">
        <v>19346</v>
      </c>
      <c r="E2268" s="26" t="s">
        <v>16544</v>
      </c>
      <c r="F2268" s="27" t="s">
        <v>18569</v>
      </c>
      <c r="G2268" s="27" t="s">
        <v>18689</v>
      </c>
      <c r="H2268" s="27" t="s">
        <v>18765</v>
      </c>
      <c r="I2268" s="27" t="s">
        <v>18776</v>
      </c>
      <c r="J2268" s="27"/>
      <c r="K2268" s="27"/>
      <c r="L2268" s="27"/>
      <c r="N2268" s="27"/>
      <c r="T2268" s="28" t="str">
        <f>LOOKUP(1,1/(Table1[[#This Row],[Level_0]:[Level 15]]&gt;0),(Table1[[#This Row],[Level_0]:[Level 15]]))</f>
        <v>5751810000 - [IC Exp - SMS - Communications Services]</v>
      </c>
      <c r="U2268" s="22">
        <v>2263</v>
      </c>
      <c r="W2268" s="13" t="str">
        <f>LOOKUP(1,1/(Table1[[#This Row],[Level_0]:[Level 15]]&gt;0),(Table1[[#This Row],[Level_0]:[Level 15]]))</f>
        <v>5751810000 - [IC Exp - SMS - Communications Services]</v>
      </c>
    </row>
    <row r="2269" spans="1:23" hidden="1" x14ac:dyDescent="0.25">
      <c r="A2269">
        <v>5754410000</v>
      </c>
      <c r="B2269" s="16" t="s">
        <v>20440</v>
      </c>
      <c r="C2269" s="16" t="e">
        <f>VLOOKUP(Table1[[#This Row],[Node]],Parent!A:B,2,0)</f>
        <v>#N/A</v>
      </c>
      <c r="D2269" s="25" t="s">
        <v>19346</v>
      </c>
      <c r="E2269" s="26" t="s">
        <v>16544</v>
      </c>
      <c r="F2269" s="27" t="s">
        <v>18569</v>
      </c>
      <c r="G2269" s="27" t="s">
        <v>18689</v>
      </c>
      <c r="H2269" s="27" t="s">
        <v>18765</v>
      </c>
      <c r="I2269" s="27" t="s">
        <v>18777</v>
      </c>
      <c r="J2269" s="27"/>
      <c r="K2269" s="27"/>
      <c r="L2269" s="27"/>
      <c r="N2269" s="27"/>
      <c r="T2269" s="28" t="str">
        <f>LOOKUP(1,1/(Table1[[#This Row],[Level_0]:[Level 15]]&gt;0),(Table1[[#This Row],[Level_0]:[Level 15]]))</f>
        <v>5754410000 - [IC Exp - SMS -  Document Logistics]</v>
      </c>
      <c r="U2269" s="22">
        <v>2264</v>
      </c>
      <c r="W2269" s="13" t="str">
        <f>LOOKUP(1,1/(Table1[[#This Row],[Level_0]:[Level 15]]&gt;0),(Table1[[#This Row],[Level_0]:[Level 15]]))</f>
        <v>5754410000 - [IC Exp - SMS -  Document Logistics]</v>
      </c>
    </row>
    <row r="2270" spans="1:23" hidden="1" x14ac:dyDescent="0.25">
      <c r="A2270">
        <v>5223110000</v>
      </c>
      <c r="B2270" s="16" t="s">
        <v>20179</v>
      </c>
      <c r="C2270" s="16" t="e">
        <f>VLOOKUP(Table1[[#This Row],[Node]],Parent!A:B,2,0)</f>
        <v>#N/A</v>
      </c>
      <c r="D2270" s="25" t="s">
        <v>19346</v>
      </c>
      <c r="E2270" s="26" t="s">
        <v>16544</v>
      </c>
      <c r="F2270" s="27" t="s">
        <v>18569</v>
      </c>
      <c r="G2270" s="27" t="s">
        <v>18689</v>
      </c>
      <c r="H2270" s="27" t="s">
        <v>18765</v>
      </c>
      <c r="I2270" s="27" t="s">
        <v>18778</v>
      </c>
      <c r="J2270" s="27"/>
      <c r="K2270" s="27"/>
      <c r="L2270" s="27"/>
      <c r="N2270" s="27"/>
      <c r="T2270" s="28" t="str">
        <f>LOOKUP(1,1/(Table1[[#This Row],[Level_0]:[Level 15]]&gt;0),(Table1[[#This Row],[Level_0]:[Level 15]]))</f>
        <v>5223110000 - [IC Exp - SMS - Security]</v>
      </c>
      <c r="U2270" s="22">
        <v>2265</v>
      </c>
      <c r="W2270" s="13" t="str">
        <f>LOOKUP(1,1/(Table1[[#This Row],[Level_0]:[Level 15]]&gt;0),(Table1[[#This Row],[Level_0]:[Level 15]]))</f>
        <v>5223110000 - [IC Exp - SMS - Security]</v>
      </c>
    </row>
    <row r="2271" spans="1:23" hidden="1" x14ac:dyDescent="0.25">
      <c r="A2271">
        <v>5200310000</v>
      </c>
      <c r="B2271" s="16" t="s">
        <v>20089</v>
      </c>
      <c r="C2271" s="16" t="e">
        <f>VLOOKUP(Table1[[#This Row],[Node]],Parent!A:B,2,0)</f>
        <v>#N/A</v>
      </c>
      <c r="D2271" s="25" t="s">
        <v>19346</v>
      </c>
      <c r="E2271" s="26" t="s">
        <v>16544</v>
      </c>
      <c r="F2271" s="27" t="s">
        <v>18569</v>
      </c>
      <c r="G2271" s="27" t="s">
        <v>18689</v>
      </c>
      <c r="H2271" s="27" t="s">
        <v>18765</v>
      </c>
      <c r="I2271" s="27" t="s">
        <v>18779</v>
      </c>
      <c r="J2271" s="27"/>
      <c r="K2271" s="27"/>
      <c r="L2271" s="27"/>
      <c r="N2271" s="27"/>
      <c r="T2271" s="28" t="str">
        <f>LOOKUP(1,1/(Table1[[#This Row],[Level_0]:[Level 15]]&gt;0),(Table1[[#This Row],[Level_0]:[Level 15]]))</f>
        <v>5200310000 - [IC Exp - SMS - SM Strat.Contracting]</v>
      </c>
      <c r="U2271" s="22">
        <v>2266</v>
      </c>
      <c r="W2271" s="13" t="str">
        <f>LOOKUP(1,1/(Table1[[#This Row],[Level_0]:[Level 15]]&gt;0),(Table1[[#This Row],[Level_0]:[Level 15]]))</f>
        <v>5200310000 - [IC Exp - SMS - SM Strat.Contracting]</v>
      </c>
    </row>
    <row r="2272" spans="1:23" hidden="1" x14ac:dyDescent="0.25">
      <c r="A2272">
        <v>5229010000</v>
      </c>
      <c r="B2272" s="16" t="s">
        <v>20206</v>
      </c>
      <c r="C2272" s="16" t="e">
        <f>VLOOKUP(Table1[[#This Row],[Node]],Parent!A:B,2,0)</f>
        <v>#N/A</v>
      </c>
      <c r="D2272" s="25" t="s">
        <v>19346</v>
      </c>
      <c r="E2272" s="26" t="s">
        <v>16544</v>
      </c>
      <c r="F2272" s="27" t="s">
        <v>18569</v>
      </c>
      <c r="G2272" s="27" t="s">
        <v>18689</v>
      </c>
      <c r="H2272" s="27" t="s">
        <v>18765</v>
      </c>
      <c r="I2272" s="27" t="s">
        <v>18780</v>
      </c>
      <c r="J2272" s="27"/>
      <c r="K2272" s="27"/>
      <c r="L2272" s="27"/>
      <c r="N2272" s="27"/>
      <c r="T2272" s="28" t="str">
        <f>LOOKUP(1,1/(Table1[[#This Row],[Level_0]:[Level 15]]&gt;0),(Table1[[#This Row],[Level_0]:[Level 15]]))</f>
        <v>5229010000 - [IC Exp - SMS - SM Services Other]</v>
      </c>
      <c r="U2272" s="22">
        <v>2267</v>
      </c>
      <c r="W2272" s="13" t="str">
        <f>LOOKUP(1,1/(Table1[[#This Row],[Level_0]:[Level 15]]&gt;0),(Table1[[#This Row],[Level_0]:[Level 15]]))</f>
        <v>5229010000 - [IC Exp - SMS - SM Services Other]</v>
      </c>
    </row>
    <row r="2273" spans="1:23" hidden="1" x14ac:dyDescent="0.25">
      <c r="A2273">
        <v>7920000015</v>
      </c>
      <c r="B2273" s="16" t="s">
        <v>21959</v>
      </c>
      <c r="C2273" s="16" t="e">
        <f>VLOOKUP(Table1[[#This Row],[Node]],Parent!A:B,2,0)</f>
        <v>#N/A</v>
      </c>
      <c r="D2273" s="25" t="s">
        <v>19346</v>
      </c>
      <c r="E2273" s="26" t="s">
        <v>16544</v>
      </c>
      <c r="F2273" s="27" t="s">
        <v>18569</v>
      </c>
      <c r="G2273" s="27" t="s">
        <v>18689</v>
      </c>
      <c r="H2273" s="27" t="s">
        <v>18765</v>
      </c>
      <c r="I2273" s="27" t="s">
        <v>18781</v>
      </c>
      <c r="J2273" s="27"/>
      <c r="K2273" s="27"/>
      <c r="L2273" s="27"/>
      <c r="N2273" s="27"/>
      <c r="T2273" s="28" t="str">
        <f>LOOKUP(1,1/(Table1[[#This Row],[Level_0]:[Level 15]]&gt;0),(Table1[[#This Row],[Level_0]:[Level 15]]))</f>
        <v>7920000015 - [AOM DIV Applicat&amp;DataMgmtServ]</v>
      </c>
      <c r="U2273" s="22">
        <v>2268</v>
      </c>
      <c r="W2273" s="13" t="str">
        <f>LOOKUP(1,1/(Table1[[#This Row],[Level_0]:[Level 15]]&gt;0),(Table1[[#This Row],[Level_0]:[Level 15]]))</f>
        <v>7920000015 - [AOM DIV Applicat&amp;DataMgmtServ]</v>
      </c>
    </row>
    <row r="2274" spans="1:23" hidden="1" x14ac:dyDescent="0.25">
      <c r="A2274">
        <v>7920000014</v>
      </c>
      <c r="B2274" s="16" t="s">
        <v>21958</v>
      </c>
      <c r="C2274" s="16" t="e">
        <f>VLOOKUP(Table1[[#This Row],[Node]],Parent!A:B,2,0)</f>
        <v>#N/A</v>
      </c>
      <c r="D2274" s="25" t="s">
        <v>19346</v>
      </c>
      <c r="E2274" s="26" t="s">
        <v>16544</v>
      </c>
      <c r="F2274" s="27" t="s">
        <v>18569</v>
      </c>
      <c r="G2274" s="27" t="s">
        <v>18689</v>
      </c>
      <c r="H2274" s="27" t="s">
        <v>18765</v>
      </c>
      <c r="I2274" s="27" t="s">
        <v>18782</v>
      </c>
      <c r="J2274" s="27"/>
      <c r="K2274" s="27"/>
      <c r="L2274" s="27"/>
      <c r="N2274" s="27"/>
      <c r="T2274" s="28" t="str">
        <f>LOOKUP(1,1/(Table1[[#This Row],[Level_0]:[Level 15]]&gt;0),(Table1[[#This Row],[Level_0]:[Level 15]]))</f>
        <v>7920000014 - [AOM DIV EHS Services]</v>
      </c>
      <c r="U2274" s="22">
        <v>2269</v>
      </c>
      <c r="W2274" s="13" t="str">
        <f>LOOKUP(1,1/(Table1[[#This Row],[Level_0]:[Level 15]]&gt;0),(Table1[[#This Row],[Level_0]:[Level 15]]))</f>
        <v>7920000014 - [AOM DIV EHS Services]</v>
      </c>
    </row>
    <row r="2275" spans="1:23" hidden="1" x14ac:dyDescent="0.25">
      <c r="A2275">
        <v>7620000021</v>
      </c>
      <c r="B2275" s="16" t="s">
        <v>21547</v>
      </c>
      <c r="C2275" s="16" t="e">
        <f>VLOOKUP(Table1[[#This Row],[Node]],Parent!A:B,2,0)</f>
        <v>#N/A</v>
      </c>
      <c r="D2275" s="25" t="s">
        <v>19346</v>
      </c>
      <c r="E2275" s="26" t="s">
        <v>16544</v>
      </c>
      <c r="F2275" s="27" t="s">
        <v>18569</v>
      </c>
      <c r="G2275" s="27" t="s">
        <v>18689</v>
      </c>
      <c r="H2275" s="27" t="s">
        <v>18765</v>
      </c>
      <c r="I2275" s="27" t="s">
        <v>18783</v>
      </c>
      <c r="J2275" s="27"/>
      <c r="K2275" s="27"/>
      <c r="L2275" s="27"/>
      <c r="N2275" s="27"/>
      <c r="T2275" s="28" t="str">
        <f>LOOKUP(1,1/(Table1[[#This Row],[Level_0]:[Level 15]]&gt;0),(Table1[[#This Row],[Level_0]:[Level 15]]))</f>
        <v>7620000021 - [AOM Hygiene Costs]</v>
      </c>
      <c r="U2275" s="22">
        <v>2270</v>
      </c>
      <c r="W2275" s="13" t="str">
        <f>LOOKUP(1,1/(Table1[[#This Row],[Level_0]:[Level 15]]&gt;0),(Table1[[#This Row],[Level_0]:[Level 15]]))</f>
        <v>7620000021 - [AOM Hygiene Costs]</v>
      </c>
    </row>
    <row r="2276" spans="1:23" hidden="1" x14ac:dyDescent="0.25">
      <c r="A2276">
        <v>7600304234</v>
      </c>
      <c r="B2276" s="16" t="s">
        <v>21425</v>
      </c>
      <c r="C2276" s="16" t="e">
        <f>VLOOKUP(Table1[[#This Row],[Node]],Parent!A:B,2,0)</f>
        <v>#N/A</v>
      </c>
      <c r="D2276" s="25" t="s">
        <v>19346</v>
      </c>
      <c r="E2276" s="26" t="s">
        <v>16544</v>
      </c>
      <c r="F2276" s="27" t="s">
        <v>18569</v>
      </c>
      <c r="G2276" s="27" t="s">
        <v>18689</v>
      </c>
      <c r="H2276" s="27" t="s">
        <v>18765</v>
      </c>
      <c r="I2276" s="27" t="s">
        <v>18784</v>
      </c>
      <c r="J2276" s="27"/>
      <c r="K2276" s="27"/>
      <c r="L2276" s="27"/>
      <c r="N2276" s="27"/>
      <c r="T2276" s="28" t="str">
        <f>LOOKUP(1,1/(Table1[[#This Row],[Level_0]:[Level 15]]&gt;0),(Table1[[#This Row],[Level_0]:[Level 15]]))</f>
        <v>7600304234 - [DAA_IC Exp - SMS - Contractor Mgt R]</v>
      </c>
      <c r="U2276" s="22">
        <v>2271</v>
      </c>
      <c r="W2276" s="13" t="str">
        <f>LOOKUP(1,1/(Table1[[#This Row],[Level_0]:[Level 15]]&gt;0),(Table1[[#This Row],[Level_0]:[Level 15]]))</f>
        <v>7600304234 - [DAA_IC Exp - SMS - Contractor Mgt R]</v>
      </c>
    </row>
    <row r="2277" spans="1:23" hidden="1" x14ac:dyDescent="0.25">
      <c r="A2277">
        <v>7600304217</v>
      </c>
      <c r="B2277" s="16" t="s">
        <v>21408</v>
      </c>
      <c r="C2277" s="16" t="e">
        <f>VLOOKUP(Table1[[#This Row],[Node]],Parent!A:B,2,0)</f>
        <v>#N/A</v>
      </c>
      <c r="D2277" s="25" t="s">
        <v>19346</v>
      </c>
      <c r="E2277" s="26" t="s">
        <v>16544</v>
      </c>
      <c r="F2277" s="27" t="s">
        <v>18569</v>
      </c>
      <c r="G2277" s="27" t="s">
        <v>18689</v>
      </c>
      <c r="H2277" s="27" t="s">
        <v>18765</v>
      </c>
      <c r="I2277" s="27" t="s">
        <v>18785</v>
      </c>
      <c r="J2277" s="27"/>
      <c r="K2277" s="27"/>
      <c r="L2277" s="27"/>
      <c r="N2277" s="27"/>
      <c r="T2277" s="28" t="str">
        <f>LOOKUP(1,1/(Table1[[#This Row],[Level_0]:[Level 15]]&gt;0),(Table1[[#This Row],[Level_0]:[Level 15]]))</f>
        <v>7600304217 - [DAA_Cleaning Special]</v>
      </c>
      <c r="U2277" s="22">
        <v>2272</v>
      </c>
      <c r="W2277" s="13" t="str">
        <f>LOOKUP(1,1/(Table1[[#This Row],[Level_0]:[Level 15]]&gt;0),(Table1[[#This Row],[Level_0]:[Level 15]]))</f>
        <v>7600304217 - [DAA_Cleaning Special]</v>
      </c>
    </row>
    <row r="2278" spans="1:23" hidden="1" x14ac:dyDescent="0.25">
      <c r="A2278">
        <v>7600304216</v>
      </c>
      <c r="B2278" s="16" t="s">
        <v>21407</v>
      </c>
      <c r="C2278" s="16" t="e">
        <f>VLOOKUP(Table1[[#This Row],[Node]],Parent!A:B,2,0)</f>
        <v>#N/A</v>
      </c>
      <c r="D2278" s="25" t="s">
        <v>19346</v>
      </c>
      <c r="E2278" s="26" t="s">
        <v>16544</v>
      </c>
      <c r="F2278" s="27" t="s">
        <v>18569</v>
      </c>
      <c r="G2278" s="27" t="s">
        <v>18689</v>
      </c>
      <c r="H2278" s="27" t="s">
        <v>18765</v>
      </c>
      <c r="I2278" s="27" t="s">
        <v>18786</v>
      </c>
      <c r="J2278" s="27"/>
      <c r="K2278" s="27"/>
      <c r="L2278" s="27"/>
      <c r="N2278" s="27"/>
      <c r="T2278" s="28" t="str">
        <f>LOOKUP(1,1/(Table1[[#This Row],[Level_0]:[Level 15]]&gt;0),(Table1[[#This Row],[Level_0]:[Level 15]]))</f>
        <v>7600304216 - [DAA_Cleaning Standard]</v>
      </c>
      <c r="U2278" s="22">
        <v>2273</v>
      </c>
      <c r="W2278" s="13" t="str">
        <f>LOOKUP(1,1/(Table1[[#This Row],[Level_0]:[Level 15]]&gt;0),(Table1[[#This Row],[Level_0]:[Level 15]]))</f>
        <v>7600304216 - [DAA_Cleaning Standard]</v>
      </c>
    </row>
    <row r="2279" spans="1:23" hidden="1" x14ac:dyDescent="0.25">
      <c r="A2279">
        <v>7600304215</v>
      </c>
      <c r="B2279" s="16" t="s">
        <v>21406</v>
      </c>
      <c r="C2279" s="16" t="e">
        <f>VLOOKUP(Table1[[#This Row],[Node]],Parent!A:B,2,0)</f>
        <v>#N/A</v>
      </c>
      <c r="D2279" s="25" t="s">
        <v>19346</v>
      </c>
      <c r="E2279" s="26" t="s">
        <v>16544</v>
      </c>
      <c r="F2279" s="27" t="s">
        <v>18569</v>
      </c>
      <c r="G2279" s="27" t="s">
        <v>18689</v>
      </c>
      <c r="H2279" s="27" t="s">
        <v>18765</v>
      </c>
      <c r="I2279" s="27" t="s">
        <v>18787</v>
      </c>
      <c r="J2279" s="27"/>
      <c r="K2279" s="27"/>
      <c r="L2279" s="27"/>
      <c r="N2279" s="27"/>
      <c r="T2279" s="28" t="str">
        <f>LOOKUP(1,1/(Table1[[#This Row],[Level_0]:[Level 15]]&gt;0),(Table1[[#This Row],[Level_0]:[Level 15]]))</f>
        <v>7600304215 - [DAA_Outdoor Greening]</v>
      </c>
      <c r="U2279" s="22">
        <v>2274</v>
      </c>
      <c r="W2279" s="13" t="str">
        <f>LOOKUP(1,1/(Table1[[#This Row],[Level_0]:[Level 15]]&gt;0),(Table1[[#This Row],[Level_0]:[Level 15]]))</f>
        <v>7600304215 - [DAA_Outdoor Greening]</v>
      </c>
    </row>
    <row r="2280" spans="1:23" hidden="1" x14ac:dyDescent="0.25">
      <c r="A2280">
        <v>7600304213</v>
      </c>
      <c r="B2280" s="16" t="s">
        <v>21404</v>
      </c>
      <c r="C2280" s="16" t="e">
        <f>VLOOKUP(Table1[[#This Row],[Node]],Parent!A:B,2,0)</f>
        <v>#N/A</v>
      </c>
      <c r="D2280" s="25" t="s">
        <v>19346</v>
      </c>
      <c r="E2280" s="26" t="s">
        <v>16544</v>
      </c>
      <c r="F2280" s="27" t="s">
        <v>18569</v>
      </c>
      <c r="G2280" s="27" t="s">
        <v>18689</v>
      </c>
      <c r="H2280" s="27" t="s">
        <v>18765</v>
      </c>
      <c r="I2280" s="27" t="s">
        <v>18788</v>
      </c>
      <c r="J2280" s="27"/>
      <c r="K2280" s="27"/>
      <c r="L2280" s="27"/>
      <c r="N2280" s="27"/>
      <c r="T2280" s="28" t="str">
        <f>LOOKUP(1,1/(Table1[[#This Row],[Level_0]:[Level 15]]&gt;0),(Table1[[#This Row],[Level_0]:[Level 15]]))</f>
        <v>7600304213 - [DAA_Pest Control]</v>
      </c>
      <c r="U2280" s="22">
        <v>2275</v>
      </c>
      <c r="W2280" s="13" t="str">
        <f>LOOKUP(1,1/(Table1[[#This Row],[Level_0]:[Level 15]]&gt;0),(Table1[[#This Row],[Level_0]:[Level 15]]))</f>
        <v>7600304213 - [DAA_Pest Control]</v>
      </c>
    </row>
    <row r="2281" spans="1:23" hidden="1" x14ac:dyDescent="0.25">
      <c r="A2281">
        <v>7600304212</v>
      </c>
      <c r="B2281" s="16" t="s">
        <v>21403</v>
      </c>
      <c r="C2281" s="16" t="e">
        <f>VLOOKUP(Table1[[#This Row],[Node]],Parent!A:B,2,0)</f>
        <v>#N/A</v>
      </c>
      <c r="D2281" s="25" t="s">
        <v>19346</v>
      </c>
      <c r="E2281" s="26" t="s">
        <v>16544</v>
      </c>
      <c r="F2281" s="27" t="s">
        <v>18569</v>
      </c>
      <c r="G2281" s="27" t="s">
        <v>18689</v>
      </c>
      <c r="H2281" s="27" t="s">
        <v>18765</v>
      </c>
      <c r="I2281" s="27" t="s">
        <v>18789</v>
      </c>
      <c r="J2281" s="27"/>
      <c r="K2281" s="27"/>
      <c r="L2281" s="27"/>
      <c r="N2281" s="27"/>
      <c r="T2281" s="28" t="str">
        <f>LOOKUP(1,1/(Table1[[#This Row],[Level_0]:[Level 15]]&gt;0),(Table1[[#This Row],[Level_0]:[Level 15]]))</f>
        <v>7600304212 - [DAA_Street Cleaning]</v>
      </c>
      <c r="U2281" s="22">
        <v>2276</v>
      </c>
      <c r="W2281" s="13" t="str">
        <f>LOOKUP(1,1/(Table1[[#This Row],[Level_0]:[Level 15]]&gt;0),(Table1[[#This Row],[Level_0]:[Level 15]]))</f>
        <v>7600304212 - [DAA_Street Cleaning]</v>
      </c>
    </row>
    <row r="2282" spans="1:23" hidden="1" x14ac:dyDescent="0.25">
      <c r="A2282">
        <v>7600304211</v>
      </c>
      <c r="B2282" s="16" t="s">
        <v>21402</v>
      </c>
      <c r="C2282" s="16" t="e">
        <f>VLOOKUP(Table1[[#This Row],[Node]],Parent!A:B,2,0)</f>
        <v>#N/A</v>
      </c>
      <c r="D2282" s="25" t="s">
        <v>19346</v>
      </c>
      <c r="E2282" s="26" t="s">
        <v>16544</v>
      </c>
      <c r="F2282" s="27" t="s">
        <v>18569</v>
      </c>
      <c r="G2282" s="27" t="s">
        <v>18689</v>
      </c>
      <c r="H2282" s="27" t="s">
        <v>18765</v>
      </c>
      <c r="I2282" s="27" t="s">
        <v>18790</v>
      </c>
      <c r="J2282" s="27"/>
      <c r="K2282" s="27"/>
      <c r="L2282" s="27"/>
      <c r="N2282" s="27"/>
      <c r="T2282" s="28" t="str">
        <f>LOOKUP(1,1/(Table1[[#This Row],[Level_0]:[Level 15]]&gt;0),(Table1[[#This Row],[Level_0]:[Level 15]]))</f>
        <v>7600304211 - [DAA_Winter Service]</v>
      </c>
      <c r="U2282" s="22">
        <v>2277</v>
      </c>
      <c r="W2282" s="13" t="str">
        <f>LOOKUP(1,1/(Table1[[#This Row],[Level_0]:[Level 15]]&gt;0),(Table1[[#This Row],[Level_0]:[Level 15]]))</f>
        <v>7600304211 - [DAA_Winter Service]</v>
      </c>
    </row>
    <row r="2283" spans="1:23" hidden="1" x14ac:dyDescent="0.25">
      <c r="A2283">
        <v>7600304092</v>
      </c>
      <c r="B2283" s="16" t="s">
        <v>21291</v>
      </c>
      <c r="C2283" s="16" t="e">
        <f>VLOOKUP(Table1[[#This Row],[Node]],Parent!A:B,2,0)</f>
        <v>#N/A</v>
      </c>
      <c r="D2283" s="25" t="s">
        <v>19346</v>
      </c>
      <c r="E2283" s="26" t="s">
        <v>16544</v>
      </c>
      <c r="F2283" s="27" t="s">
        <v>18569</v>
      </c>
      <c r="G2283" s="27" t="s">
        <v>18689</v>
      </c>
      <c r="H2283" s="27" t="s">
        <v>18765</v>
      </c>
      <c r="I2283" s="27" t="s">
        <v>18791</v>
      </c>
      <c r="J2283" s="27"/>
      <c r="K2283" s="27"/>
      <c r="L2283" s="27"/>
      <c r="N2283" s="27"/>
      <c r="T2283" s="28" t="str">
        <f>LOOKUP(1,1/(Table1[[#This Row],[Level_0]:[Level 15]]&gt;0),(Table1[[#This Row],[Level_0]:[Level 15]]))</f>
        <v>7600304092 - [DAA Cleaning on Demand]</v>
      </c>
      <c r="U2283" s="22">
        <v>2278</v>
      </c>
      <c r="W2283" s="13" t="str">
        <f>LOOKUP(1,1/(Table1[[#This Row],[Level_0]:[Level 15]]&gt;0),(Table1[[#This Row],[Level_0]:[Level 15]]))</f>
        <v>7600304092 - [DAA Cleaning on Demand]</v>
      </c>
    </row>
    <row r="2284" spans="1:23" hidden="1" x14ac:dyDescent="0.25">
      <c r="A2284">
        <v>7600304089</v>
      </c>
      <c r="B2284" s="16" t="s">
        <v>21288</v>
      </c>
      <c r="C2284" s="16" t="e">
        <f>VLOOKUP(Table1[[#This Row],[Node]],Parent!A:B,2,0)</f>
        <v>#N/A</v>
      </c>
      <c r="D2284" s="25" t="s">
        <v>19346</v>
      </c>
      <c r="E2284" s="26" t="s">
        <v>16544</v>
      </c>
      <c r="F2284" s="27" t="s">
        <v>18569</v>
      </c>
      <c r="G2284" s="27" t="s">
        <v>18689</v>
      </c>
      <c r="H2284" s="27" t="s">
        <v>18765</v>
      </c>
      <c r="I2284" s="27" t="s">
        <v>18792</v>
      </c>
      <c r="J2284" s="27"/>
      <c r="K2284" s="27"/>
      <c r="L2284" s="27"/>
      <c r="N2284" s="27"/>
      <c r="T2284" s="28" t="str">
        <f>LOOKUP(1,1/(Table1[[#This Row],[Level_0]:[Level 15]]&gt;0),(Table1[[#This Row],[Level_0]:[Level 15]]))</f>
        <v>7600304089 - [DAA User-spec. green space]</v>
      </c>
      <c r="U2284" s="22">
        <v>2279</v>
      </c>
      <c r="W2284" s="13" t="str">
        <f>LOOKUP(1,1/(Table1[[#This Row],[Level_0]:[Level 15]]&gt;0),(Table1[[#This Row],[Level_0]:[Level 15]]))</f>
        <v>7600304089 - [DAA User-spec. green space]</v>
      </c>
    </row>
    <row r="2285" spans="1:23" hidden="1" x14ac:dyDescent="0.25">
      <c r="A2285">
        <v>5981710000</v>
      </c>
      <c r="B2285" s="16" t="s">
        <v>20625</v>
      </c>
      <c r="C2285" s="16" t="e">
        <f>VLOOKUP(Table1[[#This Row],[Node]],Parent!A:B,2,0)</f>
        <v>#N/A</v>
      </c>
      <c r="D2285" s="25" t="s">
        <v>19346</v>
      </c>
      <c r="E2285" s="26" t="s">
        <v>16544</v>
      </c>
      <c r="F2285" s="27" t="s">
        <v>18569</v>
      </c>
      <c r="G2285" s="27" t="s">
        <v>18689</v>
      </c>
      <c r="H2285" s="27" t="s">
        <v>18765</v>
      </c>
      <c r="I2285" s="27" t="s">
        <v>18793</v>
      </c>
      <c r="J2285" s="27"/>
      <c r="K2285" s="27"/>
      <c r="L2285" s="27"/>
      <c r="N2285" s="27"/>
      <c r="T2285" s="28" t="str">
        <f>LOOKUP(1,1/(Table1[[#This Row],[Level_0]:[Level 15]]&gt;0),(Table1[[#This Row],[Level_0]:[Level 15]]))</f>
        <v>5981710000 - [Reimbursement IC - Site Services]</v>
      </c>
      <c r="U2285" s="22">
        <v>2280</v>
      </c>
      <c r="W2285" s="13" t="str">
        <f>LOOKUP(1,1/(Table1[[#This Row],[Level_0]:[Level 15]]&gt;0),(Table1[[#This Row],[Level_0]:[Level 15]]))</f>
        <v>5981710000 - [Reimbursement IC - Site Services]</v>
      </c>
    </row>
    <row r="2286" spans="1:23" hidden="1" x14ac:dyDescent="0.25">
      <c r="A2286">
        <v>5911000000</v>
      </c>
      <c r="B2286" s="16" t="s">
        <v>20513</v>
      </c>
      <c r="C2286" s="16" t="e">
        <f>VLOOKUP(Table1[[#This Row],[Node]],Parent!A:B,2,0)</f>
        <v>#N/A</v>
      </c>
      <c r="D2286" s="25" t="s">
        <v>19346</v>
      </c>
      <c r="E2286" s="26" t="s">
        <v>16544</v>
      </c>
      <c r="F2286" s="27" t="s">
        <v>18569</v>
      </c>
      <c r="G2286" s="27" t="s">
        <v>18689</v>
      </c>
      <c r="H2286" s="27" t="s">
        <v>18765</v>
      </c>
      <c r="I2286" s="27" t="s">
        <v>18794</v>
      </c>
      <c r="J2286" s="27"/>
      <c r="K2286" s="27"/>
      <c r="L2286" s="27"/>
      <c r="N2286" s="27"/>
      <c r="T2286" s="28" t="str">
        <f>LOOKUP(1,1/(Table1[[#This Row],[Level_0]:[Level 15]]&gt;0),(Table1[[#This Row],[Level_0]:[Level 15]]))</f>
        <v>5911000000 - [Oth Consumab - SelfServShop/Kitchen/Wine]</v>
      </c>
      <c r="U2286" s="22">
        <v>2281</v>
      </c>
      <c r="W2286" s="13" t="str">
        <f>LOOKUP(1,1/(Table1[[#This Row],[Level_0]:[Level 15]]&gt;0),(Table1[[#This Row],[Level_0]:[Level 15]]))</f>
        <v>5911000000 - [Oth Consumab - SelfServShop/Kitchen/Wine]</v>
      </c>
    </row>
    <row r="2287" spans="1:23" hidden="1" x14ac:dyDescent="0.25">
      <c r="A2287">
        <v>5754510000</v>
      </c>
      <c r="B2287" s="16" t="s">
        <v>20441</v>
      </c>
      <c r="C2287" s="16" t="e">
        <f>VLOOKUP(Table1[[#This Row],[Node]],Parent!A:B,2,0)</f>
        <v>#N/A</v>
      </c>
      <c r="D2287" s="25" t="s">
        <v>19346</v>
      </c>
      <c r="E2287" s="26" t="s">
        <v>16544</v>
      </c>
      <c r="F2287" s="27" t="s">
        <v>18569</v>
      </c>
      <c r="G2287" s="27" t="s">
        <v>18689</v>
      </c>
      <c r="H2287" s="27" t="s">
        <v>18765</v>
      </c>
      <c r="I2287" s="27" t="s">
        <v>18795</v>
      </c>
      <c r="J2287" s="27"/>
      <c r="K2287" s="27"/>
      <c r="L2287" s="27"/>
      <c r="N2287" s="27"/>
      <c r="T2287" s="28" t="str">
        <f>LOOKUP(1,1/(Table1[[#This Row],[Level_0]:[Level 15]]&gt;0),(Table1[[#This Row],[Level_0]:[Level 15]]))</f>
        <v>5754510000 - [IC Exp - DIV - Applicatn&amp;Data Mgmnt Serv]</v>
      </c>
      <c r="U2287" s="22">
        <v>2282</v>
      </c>
      <c r="W2287" s="13" t="str">
        <f>LOOKUP(1,1/(Table1[[#This Row],[Level_0]:[Level 15]]&gt;0),(Table1[[#This Row],[Level_0]:[Level 15]]))</f>
        <v>5754510000 - [IC Exp - DIV - Applicatn&amp;Data Mgmnt Serv]</v>
      </c>
    </row>
    <row r="2288" spans="1:23" hidden="1" x14ac:dyDescent="0.25">
      <c r="A2288">
        <v>5229000000</v>
      </c>
      <c r="B2288" s="16" t="s">
        <v>20205</v>
      </c>
      <c r="C2288" s="16" t="e">
        <f>VLOOKUP(Table1[[#This Row],[Node]],Parent!A:B,2,0)</f>
        <v>#N/A</v>
      </c>
      <c r="D2288" s="25" t="s">
        <v>19346</v>
      </c>
      <c r="E2288" s="26" t="s">
        <v>16544</v>
      </c>
      <c r="F2288" s="27" t="s">
        <v>18569</v>
      </c>
      <c r="G2288" s="27" t="s">
        <v>18689</v>
      </c>
      <c r="H2288" s="27" t="s">
        <v>18765</v>
      </c>
      <c r="I2288" s="27" t="s">
        <v>18796</v>
      </c>
      <c r="J2288" s="27"/>
      <c r="K2288" s="27"/>
      <c r="L2288" s="27"/>
      <c r="N2288" s="27"/>
      <c r="T2288" s="28" t="str">
        <f>LOOKUP(1,1/(Table1[[#This Row],[Level_0]:[Level 15]]&gt;0),(Table1[[#This Row],[Level_0]:[Level 15]]))</f>
        <v>5229000000 - [Site Serv - Other Site &amp; Plant Serv]</v>
      </c>
      <c r="U2288" s="22">
        <v>2283</v>
      </c>
      <c r="W2288" s="13" t="str">
        <f>LOOKUP(1,1/(Table1[[#This Row],[Level_0]:[Level 15]]&gt;0),(Table1[[#This Row],[Level_0]:[Level 15]]))</f>
        <v>5229000000 - [Site Serv - Other Site &amp; Plant Serv]</v>
      </c>
    </row>
    <row r="2289" spans="1:23" hidden="1" x14ac:dyDescent="0.25">
      <c r="A2289">
        <v>5226210000</v>
      </c>
      <c r="B2289" s="16" t="s">
        <v>20202</v>
      </c>
      <c r="C2289" s="16" t="e">
        <f>VLOOKUP(Table1[[#This Row],[Node]],Parent!A:B,2,0)</f>
        <v>#N/A</v>
      </c>
      <c r="D2289" s="25" t="s">
        <v>19346</v>
      </c>
      <c r="E2289" s="26" t="s">
        <v>16544</v>
      </c>
      <c r="F2289" s="27" t="s">
        <v>18569</v>
      </c>
      <c r="G2289" s="27" t="s">
        <v>18689</v>
      </c>
      <c r="H2289" s="27" t="s">
        <v>18765</v>
      </c>
      <c r="I2289" s="27" t="s">
        <v>18797</v>
      </c>
      <c r="J2289" s="27"/>
      <c r="K2289" s="27"/>
      <c r="L2289" s="27"/>
      <c r="N2289" s="27"/>
      <c r="T2289" s="28" t="str">
        <f>LOOKUP(1,1/(Table1[[#This Row],[Level_0]:[Level 15]]&gt;0),(Table1[[#This Row],[Level_0]:[Level 15]]))</f>
        <v>5226210000 - [IC Exp - DIV - Support Services]</v>
      </c>
      <c r="U2289" s="22">
        <v>2284</v>
      </c>
      <c r="W2289" s="13" t="str">
        <f>LOOKUP(1,1/(Table1[[#This Row],[Level_0]:[Level 15]]&gt;0),(Table1[[#This Row],[Level_0]:[Level 15]]))</f>
        <v>5226210000 - [IC Exp - DIV - Support Services]</v>
      </c>
    </row>
    <row r="2290" spans="1:23" hidden="1" x14ac:dyDescent="0.25">
      <c r="A2290">
        <v>5226110000</v>
      </c>
      <c r="B2290" s="16" t="s">
        <v>20201</v>
      </c>
      <c r="C2290" s="16" t="e">
        <f>VLOOKUP(Table1[[#This Row],[Node]],Parent!A:B,2,0)</f>
        <v>#N/A</v>
      </c>
      <c r="D2290" s="25" t="s">
        <v>19346</v>
      </c>
      <c r="E2290" s="26" t="s">
        <v>16544</v>
      </c>
      <c r="F2290" s="27" t="s">
        <v>18569</v>
      </c>
      <c r="G2290" s="27" t="s">
        <v>18689</v>
      </c>
      <c r="H2290" s="27" t="s">
        <v>18765</v>
      </c>
      <c r="I2290" s="27" t="s">
        <v>18798</v>
      </c>
      <c r="J2290" s="27"/>
      <c r="K2290" s="27"/>
      <c r="L2290" s="27"/>
      <c r="N2290" s="27"/>
      <c r="T2290" s="28" t="str">
        <f>LOOKUP(1,1/(Table1[[#This Row],[Level_0]:[Level 15]]&gt;0),(Table1[[#This Row],[Level_0]:[Level 15]]))</f>
        <v>5226110000 - [IC Exp - DIV - Use tests Raw materials]</v>
      </c>
      <c r="U2290" s="22">
        <v>2285</v>
      </c>
      <c r="W2290" s="13" t="str">
        <f>LOOKUP(1,1/(Table1[[#This Row],[Level_0]:[Level 15]]&gt;0),(Table1[[#This Row],[Level_0]:[Level 15]]))</f>
        <v>5226110000 - [IC Exp - DIV - Use tests Raw materials]</v>
      </c>
    </row>
    <row r="2291" spans="1:23" hidden="1" x14ac:dyDescent="0.25">
      <c r="A2291">
        <v>5225910000</v>
      </c>
      <c r="B2291" s="16" t="s">
        <v>20200</v>
      </c>
      <c r="C2291" s="16" t="e">
        <f>VLOOKUP(Table1[[#This Row],[Node]],Parent!A:B,2,0)</f>
        <v>#N/A</v>
      </c>
      <c r="D2291" s="25" t="s">
        <v>19346</v>
      </c>
      <c r="E2291" s="26" t="s">
        <v>16544</v>
      </c>
      <c r="F2291" s="27" t="s">
        <v>18569</v>
      </c>
      <c r="G2291" s="27" t="s">
        <v>18689</v>
      </c>
      <c r="H2291" s="27" t="s">
        <v>18765</v>
      </c>
      <c r="I2291" s="27" t="s">
        <v>18799</v>
      </c>
      <c r="J2291" s="27"/>
      <c r="K2291" s="27"/>
      <c r="L2291" s="27"/>
      <c r="N2291" s="27"/>
      <c r="T2291" s="28" t="str">
        <f>LOOKUP(1,1/(Table1[[#This Row],[Level_0]:[Level 15]]&gt;0),(Table1[[#This Row],[Level_0]:[Level 15]]))</f>
        <v>5225910000 - [IC Exp - DIV - Process Development]</v>
      </c>
      <c r="U2291" s="22">
        <v>2286</v>
      </c>
      <c r="W2291" s="13" t="str">
        <f>LOOKUP(1,1/(Table1[[#This Row],[Level_0]:[Level 15]]&gt;0),(Table1[[#This Row],[Level_0]:[Level 15]]))</f>
        <v>5225910000 - [IC Exp - DIV - Process Development]</v>
      </c>
    </row>
    <row r="2292" spans="1:23" hidden="1" x14ac:dyDescent="0.25">
      <c r="A2292">
        <v>5224410000</v>
      </c>
      <c r="B2292" s="16" t="s">
        <v>20189</v>
      </c>
      <c r="C2292" s="16" t="e">
        <f>VLOOKUP(Table1[[#This Row],[Node]],Parent!A:B,2,0)</f>
        <v>#N/A</v>
      </c>
      <c r="D2292" s="25" t="s">
        <v>19346</v>
      </c>
      <c r="E2292" s="26" t="s">
        <v>16544</v>
      </c>
      <c r="F2292" s="27" t="s">
        <v>18569</v>
      </c>
      <c r="G2292" s="27" t="s">
        <v>18689</v>
      </c>
      <c r="H2292" s="27" t="s">
        <v>18765</v>
      </c>
      <c r="I2292" s="27" t="s">
        <v>18800</v>
      </c>
      <c r="J2292" s="27"/>
      <c r="K2292" s="27"/>
      <c r="L2292" s="27"/>
      <c r="N2292" s="27"/>
      <c r="T2292" s="28" t="str">
        <f>LOOKUP(1,1/(Table1[[#This Row],[Level_0]:[Level 15]]&gt;0),(Table1[[#This Row],[Level_0]:[Level 15]]))</f>
        <v>5224410000 - [IC Exp - SMS - Certified Mangmnt Systems]</v>
      </c>
      <c r="U2292" s="22">
        <v>2287</v>
      </c>
      <c r="W2292" s="13" t="str">
        <f>LOOKUP(1,1/(Table1[[#This Row],[Level_0]:[Level 15]]&gt;0),(Table1[[#This Row],[Level_0]:[Level 15]]))</f>
        <v>5224410000 - [IC Exp - SMS - Certified Mangmnt Systems]</v>
      </c>
    </row>
    <row r="2293" spans="1:23" hidden="1" x14ac:dyDescent="0.25">
      <c r="A2293">
        <v>5223000000</v>
      </c>
      <c r="B2293" s="16" t="s">
        <v>20178</v>
      </c>
      <c r="C2293" s="16" t="e">
        <f>VLOOKUP(Table1[[#This Row],[Node]],Parent!A:B,2,0)</f>
        <v>#N/A</v>
      </c>
      <c r="D2293" s="25" t="s">
        <v>19346</v>
      </c>
      <c r="E2293" s="26" t="s">
        <v>16544</v>
      </c>
      <c r="F2293" s="27" t="s">
        <v>18569</v>
      </c>
      <c r="G2293" s="27" t="s">
        <v>18689</v>
      </c>
      <c r="H2293" s="27" t="s">
        <v>18765</v>
      </c>
      <c r="I2293" s="27" t="s">
        <v>18801</v>
      </c>
      <c r="J2293" s="27"/>
      <c r="K2293" s="27"/>
      <c r="L2293" s="27"/>
      <c r="N2293" s="27"/>
      <c r="T2293" s="28" t="str">
        <f>LOOKUP(1,1/(Table1[[#This Row],[Level_0]:[Level 15]]&gt;0),(Table1[[#This Row],[Level_0]:[Level 15]]))</f>
        <v>5223000000 - [Site Serv - Protective Clothing and Mat]</v>
      </c>
      <c r="U2293" s="22">
        <v>2288</v>
      </c>
      <c r="W2293" s="13" t="str">
        <f>LOOKUP(1,1/(Table1[[#This Row],[Level_0]:[Level 15]]&gt;0),(Table1[[#This Row],[Level_0]:[Level 15]]))</f>
        <v>5223000000 - [Site Serv - Protective Clothing and Mat]</v>
      </c>
    </row>
    <row r="2294" spans="1:23" hidden="1" x14ac:dyDescent="0.25">
      <c r="A2294">
        <v>5222800000</v>
      </c>
      <c r="B2294" s="16" t="s">
        <v>20177</v>
      </c>
      <c r="C2294" s="16" t="e">
        <f>VLOOKUP(Table1[[#This Row],[Node]],Parent!A:B,2,0)</f>
        <v>#N/A</v>
      </c>
      <c r="D2294" s="25" t="s">
        <v>19346</v>
      </c>
      <c r="E2294" s="26" t="s">
        <v>16544</v>
      </c>
      <c r="F2294" s="27" t="s">
        <v>18569</v>
      </c>
      <c r="G2294" s="27" t="s">
        <v>18689</v>
      </c>
      <c r="H2294" s="27" t="s">
        <v>18765</v>
      </c>
      <c r="I2294" s="27" t="s">
        <v>18802</v>
      </c>
      <c r="J2294" s="27"/>
      <c r="K2294" s="27"/>
      <c r="L2294" s="27"/>
      <c r="N2294" s="27"/>
      <c r="T2294" s="28" t="str">
        <f>LOOKUP(1,1/(Table1[[#This Row],[Level_0]:[Level 15]]&gt;0),(Table1[[#This Row],[Level_0]:[Level 15]]))</f>
        <v>5222800000 - [Site Serv - Security]</v>
      </c>
      <c r="U2294" s="22">
        <v>2289</v>
      </c>
      <c r="W2294" s="13" t="str">
        <f>LOOKUP(1,1/(Table1[[#This Row],[Level_0]:[Level 15]]&gt;0),(Table1[[#This Row],[Level_0]:[Level 15]]))</f>
        <v>5222800000 - [Site Serv - Security]</v>
      </c>
    </row>
    <row r="2295" spans="1:23" hidden="1" x14ac:dyDescent="0.25">
      <c r="A2295">
        <v>5222200000</v>
      </c>
      <c r="B2295" s="16" t="s">
        <v>20170</v>
      </c>
      <c r="C2295" s="16" t="e">
        <f>VLOOKUP(Table1[[#This Row],[Node]],Parent!A:B,2,0)</f>
        <v>#N/A</v>
      </c>
      <c r="D2295" s="25" t="s">
        <v>19346</v>
      </c>
      <c r="E2295" s="26" t="s">
        <v>16544</v>
      </c>
      <c r="F2295" s="27" t="s">
        <v>18569</v>
      </c>
      <c r="G2295" s="27" t="s">
        <v>18689</v>
      </c>
      <c r="H2295" s="27" t="s">
        <v>18765</v>
      </c>
      <c r="I2295" s="27" t="s">
        <v>18803</v>
      </c>
      <c r="J2295" s="27"/>
      <c r="K2295" s="27"/>
      <c r="L2295" s="27"/>
      <c r="N2295" s="27"/>
      <c r="T2295" s="28" t="str">
        <f>LOOKUP(1,1/(Table1[[#This Row],[Level_0]:[Level 15]]&gt;0),(Table1[[#This Row],[Level_0]:[Level 15]]))</f>
        <v>5222200000 - [Site Serv - Cleaning Costs]</v>
      </c>
      <c r="U2295" s="22">
        <v>2290</v>
      </c>
      <c r="W2295" s="13" t="str">
        <f>LOOKUP(1,1/(Table1[[#This Row],[Level_0]:[Level 15]]&gt;0),(Table1[[#This Row],[Level_0]:[Level 15]]))</f>
        <v>5222200000 - [Site Serv - Cleaning Costs]</v>
      </c>
    </row>
    <row r="2296" spans="1:23" hidden="1" x14ac:dyDescent="0.25">
      <c r="A2296">
        <v>5222000000</v>
      </c>
      <c r="B2296" s="16" t="s">
        <v>20169</v>
      </c>
      <c r="C2296" s="16" t="e">
        <f>VLOOKUP(Table1[[#This Row],[Node]],Parent!A:B,2,0)</f>
        <v>#N/A</v>
      </c>
      <c r="D2296" s="25" t="s">
        <v>19346</v>
      </c>
      <c r="E2296" s="26" t="s">
        <v>16544</v>
      </c>
      <c r="F2296" s="27" t="s">
        <v>18569</v>
      </c>
      <c r="G2296" s="27" t="s">
        <v>18689</v>
      </c>
      <c r="H2296" s="27" t="s">
        <v>18765</v>
      </c>
      <c r="I2296" s="27" t="s">
        <v>18804</v>
      </c>
      <c r="J2296" s="27"/>
      <c r="K2296" s="27"/>
      <c r="L2296" s="27"/>
      <c r="N2296" s="27"/>
      <c r="T2296" s="28" t="str">
        <f>LOOKUP(1,1/(Table1[[#This Row],[Level_0]:[Level 15]]&gt;0),(Table1[[#This Row],[Level_0]:[Level 15]]))</f>
        <v>5222000000 - [Site Serv - Canteen]</v>
      </c>
      <c r="U2296" s="22">
        <v>2291</v>
      </c>
      <c r="W2296" s="13" t="str">
        <f>LOOKUP(1,1/(Table1[[#This Row],[Level_0]:[Level 15]]&gt;0),(Table1[[#This Row],[Level_0]:[Level 15]]))</f>
        <v>5222000000 - [Site Serv - Canteen]</v>
      </c>
    </row>
    <row r="2297" spans="1:23" hidden="1" x14ac:dyDescent="0.25">
      <c r="A2297">
        <v>5221900000</v>
      </c>
      <c r="B2297" s="16" t="s">
        <v>20168</v>
      </c>
      <c r="C2297" s="16" t="e">
        <f>VLOOKUP(Table1[[#This Row],[Node]],Parent!A:B,2,0)</f>
        <v>#N/A</v>
      </c>
      <c r="D2297" s="25" t="s">
        <v>19346</v>
      </c>
      <c r="E2297" s="26" t="s">
        <v>16544</v>
      </c>
      <c r="F2297" s="27" t="s">
        <v>18569</v>
      </c>
      <c r="G2297" s="27" t="s">
        <v>18689</v>
      </c>
      <c r="H2297" s="27" t="s">
        <v>18765</v>
      </c>
      <c r="I2297" s="27" t="s">
        <v>18805</v>
      </c>
      <c r="J2297" s="27"/>
      <c r="K2297" s="27"/>
      <c r="L2297" s="27"/>
      <c r="N2297" s="27"/>
      <c r="T2297" s="28" t="str">
        <f>LOOKUP(1,1/(Table1[[#This Row],[Level_0]:[Level 15]]&gt;0),(Table1[[#This Row],[Level_0]:[Level 15]]))</f>
        <v>5221900000 - [Real Estate - Other Exp f. Real Estates]</v>
      </c>
      <c r="U2297" s="22">
        <v>2292</v>
      </c>
      <c r="W2297" s="13" t="str">
        <f>LOOKUP(1,1/(Table1[[#This Row],[Level_0]:[Level 15]]&gt;0),(Table1[[#This Row],[Level_0]:[Level 15]]))</f>
        <v>5221900000 - [Real Estate - Other Exp f. Real Estates]</v>
      </c>
    </row>
    <row r="2298" spans="1:23" hidden="1" x14ac:dyDescent="0.25">
      <c r="A2298">
        <v>5221610000</v>
      </c>
      <c r="B2298" s="16" t="s">
        <v>20165</v>
      </c>
      <c r="C2298" s="16" t="e">
        <f>VLOOKUP(Table1[[#This Row],[Node]],Parent!A:B,2,0)</f>
        <v>#N/A</v>
      </c>
      <c r="D2298" s="25" t="s">
        <v>19346</v>
      </c>
      <c r="E2298" s="26" t="s">
        <v>16544</v>
      </c>
      <c r="F2298" s="27" t="s">
        <v>18569</v>
      </c>
      <c r="G2298" s="27" t="s">
        <v>18689</v>
      </c>
      <c r="H2298" s="27" t="s">
        <v>18765</v>
      </c>
      <c r="I2298" s="27" t="s">
        <v>18806</v>
      </c>
      <c r="J2298" s="27"/>
      <c r="K2298" s="27"/>
      <c r="L2298" s="27"/>
      <c r="N2298" s="27"/>
      <c r="T2298" s="28" t="str">
        <f>LOOKUP(1,1/(Table1[[#This Row],[Level_0]:[Level 15]]&gt;0),(Table1[[#This Row],[Level_0]:[Level 15]]))</f>
        <v>5221610000 - [IC Exp - SMS - NDD General Affairs]</v>
      </c>
      <c r="U2298" s="22">
        <v>2293</v>
      </c>
      <c r="W2298" s="13" t="str">
        <f>LOOKUP(1,1/(Table1[[#This Row],[Level_0]:[Level 15]]&gt;0),(Table1[[#This Row],[Level_0]:[Level 15]]))</f>
        <v>5221610000 - [IC Exp - SMS - NDD General Affairs]</v>
      </c>
    </row>
    <row r="2299" spans="1:23" hidden="1" x14ac:dyDescent="0.25">
      <c r="A2299">
        <v>5221310000</v>
      </c>
      <c r="B2299" s="16" t="s">
        <v>20162</v>
      </c>
      <c r="C2299" s="16" t="e">
        <f>VLOOKUP(Table1[[#This Row],[Node]],Parent!A:B,2,0)</f>
        <v>#N/A</v>
      </c>
      <c r="D2299" s="25" t="s">
        <v>19346</v>
      </c>
      <c r="E2299" s="26" t="s">
        <v>16544</v>
      </c>
      <c r="F2299" s="27" t="s">
        <v>18569</v>
      </c>
      <c r="G2299" s="27" t="s">
        <v>18689</v>
      </c>
      <c r="H2299" s="27" t="s">
        <v>18765</v>
      </c>
      <c r="I2299" s="27" t="s">
        <v>18807</v>
      </c>
      <c r="J2299" s="27"/>
      <c r="K2299" s="27"/>
      <c r="L2299" s="27"/>
      <c r="N2299" s="27"/>
      <c r="T2299" s="28" t="str">
        <f>LOOKUP(1,1/(Table1[[#This Row],[Level_0]:[Level 15]]&gt;0),(Table1[[#This Row],[Level_0]:[Level 15]]))</f>
        <v>5221310000 - [IC Exp - SMS - NDD Production Spec Infra]</v>
      </c>
      <c r="U2299" s="22">
        <v>2294</v>
      </c>
      <c r="W2299" s="13" t="str">
        <f>LOOKUP(1,1/(Table1[[#This Row],[Level_0]:[Level 15]]&gt;0),(Table1[[#This Row],[Level_0]:[Level 15]]))</f>
        <v>5221310000 - [IC Exp - SMS - NDD Production Spec Infra]</v>
      </c>
    </row>
    <row r="2300" spans="1:23" hidden="1" x14ac:dyDescent="0.25">
      <c r="A2300">
        <v>5221210000</v>
      </c>
      <c r="B2300" s="16" t="s">
        <v>20161</v>
      </c>
      <c r="C2300" s="16" t="e">
        <f>VLOOKUP(Table1[[#This Row],[Node]],Parent!A:B,2,0)</f>
        <v>#N/A</v>
      </c>
      <c r="D2300" s="25" t="s">
        <v>19346</v>
      </c>
      <c r="E2300" s="26" t="s">
        <v>16544</v>
      </c>
      <c r="F2300" s="27" t="s">
        <v>18569</v>
      </c>
      <c r="G2300" s="27" t="s">
        <v>18689</v>
      </c>
      <c r="H2300" s="27" t="s">
        <v>18765</v>
      </c>
      <c r="I2300" s="27" t="s">
        <v>18808</v>
      </c>
      <c r="J2300" s="27"/>
      <c r="K2300" s="27"/>
      <c r="L2300" s="27"/>
      <c r="N2300" s="27"/>
      <c r="T2300" s="28" t="str">
        <f>LOOKUP(1,1/(Table1[[#This Row],[Level_0]:[Level 15]]&gt;0),(Table1[[#This Row],[Level_0]:[Level 15]]))</f>
        <v>5221210000 - [IC Exp - SMS - NDD GeneralInfrastructure]</v>
      </c>
      <c r="U2300" s="22">
        <v>2295</v>
      </c>
      <c r="W2300" s="13" t="str">
        <f>LOOKUP(1,1/(Table1[[#This Row],[Level_0]:[Level 15]]&gt;0),(Table1[[#This Row],[Level_0]:[Level 15]]))</f>
        <v>5221210000 - [IC Exp - SMS - NDD GeneralInfrastructure]</v>
      </c>
    </row>
    <row r="2301" spans="1:23" hidden="1" x14ac:dyDescent="0.25">
      <c r="A2301">
        <v>5204010000</v>
      </c>
      <c r="B2301" s="16" t="s">
        <v>20117</v>
      </c>
      <c r="C2301" s="16" t="e">
        <f>VLOOKUP(Table1[[#This Row],[Node]],Parent!A:B,2,0)</f>
        <v>#N/A</v>
      </c>
      <c r="D2301" s="25" t="s">
        <v>19346</v>
      </c>
      <c r="E2301" s="26" t="s">
        <v>16544</v>
      </c>
      <c r="F2301" s="27" t="s">
        <v>18569</v>
      </c>
      <c r="G2301" s="27" t="s">
        <v>18689</v>
      </c>
      <c r="H2301" s="27" t="s">
        <v>18765</v>
      </c>
      <c r="I2301" s="27" t="s">
        <v>18809</v>
      </c>
      <c r="J2301" s="27"/>
      <c r="K2301" s="27"/>
      <c r="L2301" s="27"/>
      <c r="N2301" s="27"/>
      <c r="T2301" s="28" t="str">
        <f>LOOKUP(1,1/(Table1[[#This Row],[Level_0]:[Level 15]]&gt;0),(Table1[[#This Row],[Level_0]:[Level 15]]))</f>
        <v>5204010000 - [IC Exp - DIV - Master Data Maintenance]</v>
      </c>
      <c r="U2301" s="22">
        <v>2296</v>
      </c>
      <c r="W2301" s="13" t="str">
        <f>LOOKUP(1,1/(Table1[[#This Row],[Level_0]:[Level 15]]&gt;0),(Table1[[#This Row],[Level_0]:[Level 15]]))</f>
        <v>5204010000 - [IC Exp - DIV - Master Data Maintenance]</v>
      </c>
    </row>
    <row r="2302" spans="1:23" hidden="1" x14ac:dyDescent="0.25">
      <c r="A2302">
        <v>120200</v>
      </c>
      <c r="B2302" s="16" t="s">
        <v>19350</v>
      </c>
      <c r="C2302" s="16" t="e">
        <f>VLOOKUP(Table1[[#This Row],[Node]],Parent!A:B,2,0)</f>
        <v>#N/A</v>
      </c>
      <c r="D2302" s="25" t="s">
        <v>19346</v>
      </c>
      <c r="E2302" s="26" t="s">
        <v>16544</v>
      </c>
      <c r="F2302" s="27" t="s">
        <v>18569</v>
      </c>
      <c r="G2302" s="27" t="s">
        <v>18810</v>
      </c>
      <c r="H2302" s="27"/>
      <c r="I2302" s="27"/>
      <c r="J2302" s="27"/>
      <c r="K2302" s="27"/>
      <c r="L2302" s="27"/>
      <c r="N2302" s="27"/>
      <c r="T2302" s="28" t="str">
        <f>LOOKUP(1,1/(Table1[[#This Row],[Level_0]:[Level 15]]&gt;0),(Table1[[#This Row],[Level_0]:[Level 15]]))</f>
        <v>120200 - [Energy]</v>
      </c>
      <c r="U2302" s="22">
        <v>2297</v>
      </c>
      <c r="W2302" s="13" t="str">
        <f>LOOKUP(1,1/(Table1[[#This Row],[Level_0]:[Level 15]]&gt;0),(Table1[[#This Row],[Level_0]:[Level 15]]))</f>
        <v>120200 - [Energy]</v>
      </c>
    </row>
    <row r="2303" spans="1:23" hidden="1" x14ac:dyDescent="0.25">
      <c r="A2303">
        <v>120202</v>
      </c>
      <c r="B2303" s="16" t="s">
        <v>19405</v>
      </c>
      <c r="C2303" s="16" t="e">
        <f>VLOOKUP(Table1[[#This Row],[Node]],Parent!A:B,2,0)</f>
        <v>#N/A</v>
      </c>
      <c r="D2303" s="25" t="s">
        <v>19346</v>
      </c>
      <c r="E2303" s="26" t="s">
        <v>16544</v>
      </c>
      <c r="F2303" s="27" t="s">
        <v>18569</v>
      </c>
      <c r="G2303" s="27" t="s">
        <v>18810</v>
      </c>
      <c r="H2303" s="27" t="s">
        <v>18811</v>
      </c>
      <c r="I2303" s="27"/>
      <c r="J2303" s="27"/>
      <c r="K2303" s="27"/>
      <c r="L2303" s="27"/>
      <c r="N2303" s="27"/>
      <c r="T2303" s="28" t="str">
        <f>LOOKUP(1,1/(Table1[[#This Row],[Level_0]:[Level 15]]&gt;0),(Table1[[#This Row],[Level_0]:[Level 15]]))</f>
        <v>120202 - [Allocated produced energies &amp; utilities]</v>
      </c>
      <c r="U2303" s="22">
        <v>2298</v>
      </c>
      <c r="W2303" s="13" t="str">
        <f>LOOKUP(1,1/(Table1[[#This Row],[Level_0]:[Level 15]]&gt;0),(Table1[[#This Row],[Level_0]:[Level 15]]))</f>
        <v>120202 - [Allocated produced energies &amp; utilities]</v>
      </c>
    </row>
    <row r="2304" spans="1:23" hidden="1" x14ac:dyDescent="0.25">
      <c r="A2304">
        <v>120270</v>
      </c>
      <c r="B2304" s="16" t="s">
        <v>19409</v>
      </c>
      <c r="C2304" s="16" t="e">
        <f>VLOOKUP(Table1[[#This Row],[Node]],Parent!A:B,2,0)</f>
        <v>#N/A</v>
      </c>
      <c r="D2304" s="25" t="s">
        <v>19346</v>
      </c>
      <c r="E2304" s="26" t="s">
        <v>16544</v>
      </c>
      <c r="F2304" s="27" t="s">
        <v>18569</v>
      </c>
      <c r="G2304" s="27" t="s">
        <v>18810</v>
      </c>
      <c r="H2304" s="27" t="s">
        <v>18811</v>
      </c>
      <c r="I2304" s="27" t="s">
        <v>18812</v>
      </c>
      <c r="J2304" s="27"/>
      <c r="K2304" s="27"/>
      <c r="L2304" s="27"/>
      <c r="N2304" s="27"/>
      <c r="T2304" s="28" t="str">
        <f>LOOKUP(1,1/(Table1[[#This Row],[Level_0]:[Level 15]]&gt;0),(Table1[[#This Row],[Level_0]:[Level 15]]))</f>
        <v>120270 - [Other Allocated Energies]</v>
      </c>
      <c r="U2304" s="22">
        <v>2299</v>
      </c>
      <c r="W2304" s="13" t="str">
        <f>LOOKUP(1,1/(Table1[[#This Row],[Level_0]:[Level 15]]&gt;0),(Table1[[#This Row],[Level_0]:[Level 15]]))</f>
        <v>120270 - [Other Allocated Energies]</v>
      </c>
    </row>
    <row r="2305" spans="1:23" hidden="1" x14ac:dyDescent="0.25">
      <c r="A2305">
        <v>5225810000</v>
      </c>
      <c r="B2305" s="16" t="s">
        <v>20199</v>
      </c>
      <c r="C2305" s="16" t="e">
        <f>VLOOKUP(Table1[[#This Row],[Node]],Parent!A:B,2,0)</f>
        <v>#N/A</v>
      </c>
      <c r="D2305" s="25" t="s">
        <v>19346</v>
      </c>
      <c r="E2305" s="26" t="s">
        <v>16544</v>
      </c>
      <c r="F2305" s="27" t="s">
        <v>18569</v>
      </c>
      <c r="G2305" s="27" t="s">
        <v>18810</v>
      </c>
      <c r="H2305" s="27" t="s">
        <v>18811</v>
      </c>
      <c r="I2305" s="27" t="s">
        <v>18812</v>
      </c>
      <c r="J2305" s="27" t="s">
        <v>18813</v>
      </c>
      <c r="K2305" s="27"/>
      <c r="L2305" s="27"/>
      <c r="N2305" s="27"/>
      <c r="T2305" s="28" t="str">
        <f>LOOKUP(1,1/(Table1[[#This Row],[Level_0]:[Level 15]]&gt;0),(Table1[[#This Row],[Level_0]:[Level 15]]))</f>
        <v>5225810000 - [IC Exp - DIV - Media supply]</v>
      </c>
      <c r="U2305" s="22">
        <v>2300</v>
      </c>
      <c r="W2305" s="13" t="str">
        <f>LOOKUP(1,1/(Table1[[#This Row],[Level_0]:[Level 15]]&gt;0),(Table1[[#This Row],[Level_0]:[Level 15]]))</f>
        <v>5225810000 - [IC Exp - DIV - Media supply]</v>
      </c>
    </row>
    <row r="2306" spans="1:23" hidden="1" x14ac:dyDescent="0.25">
      <c r="A2306">
        <v>5219010000</v>
      </c>
      <c r="B2306" s="16" t="s">
        <v>20157</v>
      </c>
      <c r="C2306" s="16" t="e">
        <f>VLOOKUP(Table1[[#This Row],[Node]],Parent!A:B,2,0)</f>
        <v>#N/A</v>
      </c>
      <c r="D2306" s="25" t="s">
        <v>19346</v>
      </c>
      <c r="E2306" s="26" t="s">
        <v>16544</v>
      </c>
      <c r="F2306" s="27" t="s">
        <v>18569</v>
      </c>
      <c r="G2306" s="27" t="s">
        <v>18810</v>
      </c>
      <c r="H2306" s="27" t="s">
        <v>18811</v>
      </c>
      <c r="I2306" s="27" t="s">
        <v>18812</v>
      </c>
      <c r="J2306" s="27" t="s">
        <v>18814</v>
      </c>
      <c r="K2306" s="27"/>
      <c r="L2306" s="27"/>
      <c r="N2306" s="27"/>
      <c r="T2306" s="28" t="str">
        <f>LOOKUP(1,1/(Table1[[#This Row],[Level_0]:[Level 15]]&gt;0),(Table1[[#This Row],[Level_0]:[Level 15]]))</f>
        <v>5219010000 - [IC Exp - SMS - MedSup - OtherEnergies-AU]</v>
      </c>
      <c r="U2306" s="22">
        <v>2301</v>
      </c>
      <c r="W2306" s="13" t="str">
        <f>LOOKUP(1,1/(Table1[[#This Row],[Level_0]:[Level 15]]&gt;0),(Table1[[#This Row],[Level_0]:[Level 15]]))</f>
        <v>5219010000 - [IC Exp - SMS - MedSup - OtherEnergies-AU]</v>
      </c>
    </row>
    <row r="2307" spans="1:23" hidden="1" x14ac:dyDescent="0.25">
      <c r="A2307">
        <v>7240000012</v>
      </c>
      <c r="B2307" s="16" t="s">
        <v>20733</v>
      </c>
      <c r="C2307" s="16" t="e">
        <f>VLOOKUP(Table1[[#This Row],[Node]],Parent!A:B,2,0)</f>
        <v>#N/A</v>
      </c>
      <c r="D2307" s="25" t="s">
        <v>19346</v>
      </c>
      <c r="E2307" s="26" t="s">
        <v>16544</v>
      </c>
      <c r="F2307" s="27" t="s">
        <v>18569</v>
      </c>
      <c r="G2307" s="27" t="s">
        <v>18810</v>
      </c>
      <c r="H2307" s="27" t="s">
        <v>18811</v>
      </c>
      <c r="I2307" s="27" t="s">
        <v>18812</v>
      </c>
      <c r="J2307" s="27" t="s">
        <v>18815</v>
      </c>
      <c r="K2307" s="27"/>
      <c r="L2307" s="27"/>
      <c r="N2307" s="27"/>
      <c r="T2307" s="28" t="str">
        <f>LOOKUP(1,1/(Table1[[#This Row],[Level_0]:[Level 15]]&gt;0),(Table1[[#This Row],[Level_0]:[Level 15]]))</f>
        <v>7240000012 - [SOM Utility Settlement]</v>
      </c>
      <c r="U2307" s="22">
        <v>2302</v>
      </c>
      <c r="W2307" s="13" t="str">
        <f>LOOKUP(1,1/(Table1[[#This Row],[Level_0]:[Level 15]]&gt;0),(Table1[[#This Row],[Level_0]:[Level 15]]))</f>
        <v>7240000012 - [SOM Utility Settlement]</v>
      </c>
    </row>
    <row r="2308" spans="1:23" hidden="1" x14ac:dyDescent="0.25">
      <c r="A2308">
        <v>7620000016</v>
      </c>
      <c r="B2308" s="16" t="s">
        <v>21542</v>
      </c>
      <c r="C2308" s="16" t="e">
        <f>VLOOKUP(Table1[[#This Row],[Node]],Parent!A:B,2,0)</f>
        <v>#N/A</v>
      </c>
      <c r="D2308" s="25" t="s">
        <v>19346</v>
      </c>
      <c r="E2308" s="26" t="s">
        <v>16544</v>
      </c>
      <c r="F2308" s="27" t="s">
        <v>18569</v>
      </c>
      <c r="G2308" s="27" t="s">
        <v>18810</v>
      </c>
      <c r="H2308" s="27" t="s">
        <v>18811</v>
      </c>
      <c r="I2308" s="27" t="s">
        <v>18812</v>
      </c>
      <c r="J2308" s="27" t="s">
        <v>18816</v>
      </c>
      <c r="K2308" s="27"/>
      <c r="L2308" s="27"/>
      <c r="N2308" s="27"/>
      <c r="T2308" s="28" t="str">
        <f>LOOKUP(1,1/(Table1[[#This Row],[Level_0]:[Level 15]]&gt;0),(Table1[[#This Row],[Level_0]:[Level 15]]))</f>
        <v>7620000016 - [AOM ESI Other Energies]</v>
      </c>
      <c r="U2308" s="22">
        <v>2303</v>
      </c>
      <c r="W2308" s="13" t="str">
        <f>LOOKUP(1,1/(Table1[[#This Row],[Level_0]:[Level 15]]&gt;0),(Table1[[#This Row],[Level_0]:[Level 15]]))</f>
        <v>7620000016 - [AOM ESI Other Energies]</v>
      </c>
    </row>
    <row r="2309" spans="1:23" hidden="1" x14ac:dyDescent="0.25">
      <c r="A2309">
        <v>7600304197</v>
      </c>
      <c r="B2309" s="16" t="s">
        <v>21390</v>
      </c>
      <c r="C2309" s="16" t="e">
        <f>VLOOKUP(Table1[[#This Row],[Node]],Parent!A:B,2,0)</f>
        <v>#N/A</v>
      </c>
      <c r="D2309" s="25" t="s">
        <v>19346</v>
      </c>
      <c r="E2309" s="26" t="s">
        <v>16544</v>
      </c>
      <c r="F2309" s="27" t="s">
        <v>18569</v>
      </c>
      <c r="G2309" s="27" t="s">
        <v>18810</v>
      </c>
      <c r="H2309" s="27" t="s">
        <v>18811</v>
      </c>
      <c r="I2309" s="27" t="s">
        <v>18812</v>
      </c>
      <c r="J2309" s="27" t="s">
        <v>18817</v>
      </c>
      <c r="K2309" s="27"/>
      <c r="L2309" s="27"/>
      <c r="N2309" s="27"/>
      <c r="T2309" s="28" t="str">
        <f>LOOKUP(1,1/(Table1[[#This Row],[Level_0]:[Level 15]]&gt;0),(Table1[[#This Row],[Level_0]:[Level 15]]))</f>
        <v>7600304197 - [DAA_Stickstoff]</v>
      </c>
      <c r="U2309" s="22">
        <v>2304</v>
      </c>
      <c r="W2309" s="13" t="str">
        <f>LOOKUP(1,1/(Table1[[#This Row],[Level_0]:[Level 15]]&gt;0),(Table1[[#This Row],[Level_0]:[Level 15]]))</f>
        <v>7600304197 - [DAA_Stickstoff]</v>
      </c>
    </row>
    <row r="2310" spans="1:23" hidden="1" x14ac:dyDescent="0.25">
      <c r="A2310">
        <v>7600304196</v>
      </c>
      <c r="B2310" s="16" t="s">
        <v>21389</v>
      </c>
      <c r="C2310" s="16" t="e">
        <f>VLOOKUP(Table1[[#This Row],[Node]],Parent!A:B,2,0)</f>
        <v>#N/A</v>
      </c>
      <c r="D2310" s="25" t="s">
        <v>19346</v>
      </c>
      <c r="E2310" s="26" t="s">
        <v>16544</v>
      </c>
      <c r="F2310" s="27" t="s">
        <v>18569</v>
      </c>
      <c r="G2310" s="27" t="s">
        <v>18810</v>
      </c>
      <c r="H2310" s="27" t="s">
        <v>18811</v>
      </c>
      <c r="I2310" s="27" t="s">
        <v>18812</v>
      </c>
      <c r="J2310" s="27" t="s">
        <v>18818</v>
      </c>
      <c r="K2310" s="27"/>
      <c r="L2310" s="27"/>
      <c r="N2310" s="27"/>
      <c r="T2310" s="28" t="str">
        <f>LOOKUP(1,1/(Table1[[#This Row],[Level_0]:[Level 15]]&gt;0),(Table1[[#This Row],[Level_0]:[Level 15]]))</f>
        <v>7600304196 - [DAA_Kesselzusatzwasser]</v>
      </c>
      <c r="U2310" s="22">
        <v>2305</v>
      </c>
      <c r="W2310" s="13" t="str">
        <f>LOOKUP(1,1/(Table1[[#This Row],[Level_0]:[Level 15]]&gt;0),(Table1[[#This Row],[Level_0]:[Level 15]]))</f>
        <v>7600304196 - [DAA_Kesselzusatzwasser]</v>
      </c>
    </row>
    <row r="2311" spans="1:23" hidden="1" x14ac:dyDescent="0.25">
      <c r="A2311">
        <v>7600304195</v>
      </c>
      <c r="B2311" s="16" t="s">
        <v>21388</v>
      </c>
      <c r="C2311" s="16" t="e">
        <f>VLOOKUP(Table1[[#This Row],[Node]],Parent!A:B,2,0)</f>
        <v>#N/A</v>
      </c>
      <c r="D2311" s="25" t="s">
        <v>19346</v>
      </c>
      <c r="E2311" s="26" t="s">
        <v>16544</v>
      </c>
      <c r="F2311" s="27" t="s">
        <v>18569</v>
      </c>
      <c r="G2311" s="27" t="s">
        <v>18810</v>
      </c>
      <c r="H2311" s="27" t="s">
        <v>18811</v>
      </c>
      <c r="I2311" s="27" t="s">
        <v>18812</v>
      </c>
      <c r="J2311" s="27" t="s">
        <v>18819</v>
      </c>
      <c r="K2311" s="27"/>
      <c r="L2311" s="27"/>
      <c r="N2311" s="27"/>
      <c r="T2311" s="28" t="str">
        <f>LOOKUP(1,1/(Table1[[#This Row],[Level_0]:[Level 15]]&gt;0),(Table1[[#This Row],[Level_0]:[Level 15]]))</f>
        <v>7600304195 - [DAA_Hot_water]</v>
      </c>
      <c r="U2311" s="22">
        <v>2306</v>
      </c>
      <c r="W2311" s="13" t="str">
        <f>LOOKUP(1,1/(Table1[[#This Row],[Level_0]:[Level 15]]&gt;0),(Table1[[#This Row],[Level_0]:[Level 15]]))</f>
        <v>7600304195 - [DAA_Hot_water]</v>
      </c>
    </row>
    <row r="2312" spans="1:23" hidden="1" x14ac:dyDescent="0.25">
      <c r="A2312">
        <v>7600304073</v>
      </c>
      <c r="B2312" s="16" t="s">
        <v>21274</v>
      </c>
      <c r="C2312" s="16" t="e">
        <f>VLOOKUP(Table1[[#This Row],[Node]],Parent!A:B,2,0)</f>
        <v>#N/A</v>
      </c>
      <c r="D2312" s="25" t="s">
        <v>19346</v>
      </c>
      <c r="E2312" s="26" t="s">
        <v>16544</v>
      </c>
      <c r="F2312" s="27" t="s">
        <v>18569</v>
      </c>
      <c r="G2312" s="27" t="s">
        <v>18810</v>
      </c>
      <c r="H2312" s="27" t="s">
        <v>18811</v>
      </c>
      <c r="I2312" s="27" t="s">
        <v>18812</v>
      </c>
      <c r="J2312" s="27" t="s">
        <v>18820</v>
      </c>
      <c r="K2312" s="27"/>
      <c r="L2312" s="27"/>
      <c r="N2312" s="27"/>
      <c r="T2312" s="28" t="str">
        <f>LOOKUP(1,1/(Table1[[#This Row],[Level_0]:[Level 15]]&gt;0),(Table1[[#This Row],[Level_0]:[Level 15]]))</f>
        <v>7600304073 - [DAA EST (Electricity Tax)]</v>
      </c>
      <c r="U2312" s="22">
        <v>2307</v>
      </c>
      <c r="W2312" s="13" t="str">
        <f>LOOKUP(1,1/(Table1[[#This Row],[Level_0]:[Level 15]]&gt;0),(Table1[[#This Row],[Level_0]:[Level 15]]))</f>
        <v>7600304073 - [DAA EST (Electricity Tax)]</v>
      </c>
    </row>
    <row r="2313" spans="1:23" hidden="1" x14ac:dyDescent="0.25">
      <c r="A2313">
        <v>7600304060</v>
      </c>
      <c r="B2313" s="16" t="s">
        <v>21261</v>
      </c>
      <c r="C2313" s="16" t="e">
        <f>VLOOKUP(Table1[[#This Row],[Node]],Parent!A:B,2,0)</f>
        <v>#N/A</v>
      </c>
      <c r="D2313" s="25" t="s">
        <v>19346</v>
      </c>
      <c r="E2313" s="26" t="s">
        <v>16544</v>
      </c>
      <c r="F2313" s="27" t="s">
        <v>18569</v>
      </c>
      <c r="G2313" s="27" t="s">
        <v>18810</v>
      </c>
      <c r="H2313" s="27" t="s">
        <v>18811</v>
      </c>
      <c r="I2313" s="27" t="s">
        <v>18812</v>
      </c>
      <c r="J2313" s="27" t="s">
        <v>18821</v>
      </c>
      <c r="K2313" s="27"/>
      <c r="L2313" s="27"/>
      <c r="N2313" s="27"/>
      <c r="T2313" s="28" t="str">
        <f>LOOKUP(1,1/(Table1[[#This Row],[Level_0]:[Level 15]]&gt;0),(Table1[[#This Row],[Level_0]:[Level 15]]))</f>
        <v>7600304060 - [DAA Electricity divisions]</v>
      </c>
      <c r="U2313" s="22">
        <v>2308</v>
      </c>
      <c r="W2313" s="13" t="str">
        <f>LOOKUP(1,1/(Table1[[#This Row],[Level_0]:[Level 15]]&gt;0),(Table1[[#This Row],[Level_0]:[Level 15]]))</f>
        <v>7600304060 - [DAA Electricity divisions]</v>
      </c>
    </row>
    <row r="2314" spans="1:23" hidden="1" x14ac:dyDescent="0.25">
      <c r="A2314">
        <v>7600304058</v>
      </c>
      <c r="B2314" s="16" t="s">
        <v>21259</v>
      </c>
      <c r="C2314" s="16" t="e">
        <f>VLOOKUP(Table1[[#This Row],[Node]],Parent!A:B,2,0)</f>
        <v>#N/A</v>
      </c>
      <c r="D2314" s="25" t="s">
        <v>19346</v>
      </c>
      <c r="E2314" s="26" t="s">
        <v>16544</v>
      </c>
      <c r="F2314" s="27" t="s">
        <v>18569</v>
      </c>
      <c r="G2314" s="27" t="s">
        <v>18810</v>
      </c>
      <c r="H2314" s="27" t="s">
        <v>18811</v>
      </c>
      <c r="I2314" s="27" t="s">
        <v>18812</v>
      </c>
      <c r="J2314" s="27" t="s">
        <v>18822</v>
      </c>
      <c r="K2314" s="27"/>
      <c r="L2314" s="27"/>
      <c r="N2314" s="27"/>
      <c r="T2314" s="28" t="str">
        <f>LOOKUP(1,1/(Table1[[#This Row],[Level_0]:[Level 15]]&gt;0),(Table1[[#This Row],[Level_0]:[Level 15]]))</f>
        <v>7600304058 - [DAA Carbon dioxide]</v>
      </c>
      <c r="U2314" s="22">
        <v>2309</v>
      </c>
      <c r="W2314" s="13" t="str">
        <f>LOOKUP(1,1/(Table1[[#This Row],[Level_0]:[Level 15]]&gt;0),(Table1[[#This Row],[Level_0]:[Level 15]]))</f>
        <v>7600304058 - [DAA Carbon dioxide]</v>
      </c>
    </row>
    <row r="2315" spans="1:23" hidden="1" x14ac:dyDescent="0.25">
      <c r="A2315">
        <v>7600304057</v>
      </c>
      <c r="B2315" s="16" t="s">
        <v>21258</v>
      </c>
      <c r="C2315" s="16" t="e">
        <f>VLOOKUP(Table1[[#This Row],[Node]],Parent!A:B,2,0)</f>
        <v>#N/A</v>
      </c>
      <c r="D2315" s="25" t="s">
        <v>19346</v>
      </c>
      <c r="E2315" s="26" t="s">
        <v>16544</v>
      </c>
      <c r="F2315" s="27" t="s">
        <v>18569</v>
      </c>
      <c r="G2315" s="27" t="s">
        <v>18810</v>
      </c>
      <c r="H2315" s="27" t="s">
        <v>18811</v>
      </c>
      <c r="I2315" s="27" t="s">
        <v>18812</v>
      </c>
      <c r="J2315" s="27" t="s">
        <v>18823</v>
      </c>
      <c r="K2315" s="27"/>
      <c r="L2315" s="27"/>
      <c r="N2315" s="27"/>
      <c r="T2315" s="28" t="str">
        <f>LOOKUP(1,1/(Table1[[#This Row],[Level_0]:[Level 15]]&gt;0),(Table1[[#This Row],[Level_0]:[Level 15]]))</f>
        <v>7600304057 - [DAA Liquid nitrogen]</v>
      </c>
      <c r="U2315" s="22">
        <v>2310</v>
      </c>
      <c r="W2315" s="13" t="str">
        <f>LOOKUP(1,1/(Table1[[#This Row],[Level_0]:[Level 15]]&gt;0),(Table1[[#This Row],[Level_0]:[Level 15]]))</f>
        <v>7600304057 - [DAA Liquid nitrogen]</v>
      </c>
    </row>
    <row r="2316" spans="1:23" hidden="1" x14ac:dyDescent="0.25">
      <c r="A2316">
        <v>7600304056</v>
      </c>
      <c r="B2316" s="16" t="s">
        <v>21257</v>
      </c>
      <c r="C2316" s="16" t="e">
        <f>VLOOKUP(Table1[[#This Row],[Node]],Parent!A:B,2,0)</f>
        <v>#N/A</v>
      </c>
      <c r="D2316" s="25" t="s">
        <v>19346</v>
      </c>
      <c r="E2316" s="26" t="s">
        <v>16544</v>
      </c>
      <c r="F2316" s="27" t="s">
        <v>18569</v>
      </c>
      <c r="G2316" s="27" t="s">
        <v>18810</v>
      </c>
      <c r="H2316" s="27" t="s">
        <v>18811</v>
      </c>
      <c r="I2316" s="27" t="s">
        <v>18812</v>
      </c>
      <c r="J2316" s="27" t="s">
        <v>18824</v>
      </c>
      <c r="K2316" s="27"/>
      <c r="L2316" s="27"/>
      <c r="N2316" s="27"/>
      <c r="T2316" s="28" t="str">
        <f>LOOKUP(1,1/(Table1[[#This Row],[Level_0]:[Level 15]]&gt;0),(Table1[[#This Row],[Level_0]:[Level 15]]))</f>
        <v>7600304056 - [DAA Hydrogen supply]</v>
      </c>
      <c r="U2316" s="22">
        <v>2311</v>
      </c>
      <c r="W2316" s="13" t="str">
        <f>LOOKUP(1,1/(Table1[[#This Row],[Level_0]:[Level 15]]&gt;0),(Table1[[#This Row],[Level_0]:[Level 15]]))</f>
        <v>7600304056 - [DAA Hydrogen supply]</v>
      </c>
    </row>
    <row r="2317" spans="1:23" hidden="1" x14ac:dyDescent="0.25">
      <c r="A2317">
        <v>7600304054</v>
      </c>
      <c r="B2317" s="16" t="s">
        <v>21255</v>
      </c>
      <c r="C2317" s="16" t="e">
        <f>VLOOKUP(Table1[[#This Row],[Node]],Parent!A:B,2,0)</f>
        <v>#N/A</v>
      </c>
      <c r="D2317" s="25" t="s">
        <v>19346</v>
      </c>
      <c r="E2317" s="26" t="s">
        <v>16544</v>
      </c>
      <c r="F2317" s="27" t="s">
        <v>18569</v>
      </c>
      <c r="G2317" s="27" t="s">
        <v>18810</v>
      </c>
      <c r="H2317" s="27" t="s">
        <v>18811</v>
      </c>
      <c r="I2317" s="27" t="s">
        <v>18812</v>
      </c>
      <c r="J2317" s="27" t="s">
        <v>18825</v>
      </c>
      <c r="K2317" s="27"/>
      <c r="L2317" s="27"/>
      <c r="N2317" s="27"/>
      <c r="T2317" s="28" t="str">
        <f>LOOKUP(1,1/(Table1[[#This Row],[Level_0]:[Level 15]]&gt;0),(Table1[[#This Row],[Level_0]:[Level 15]]))</f>
        <v>7600304054 - [DAA Argon gas supply]</v>
      </c>
      <c r="U2317" s="22">
        <v>2312</v>
      </c>
      <c r="W2317" s="13" t="str">
        <f>LOOKUP(1,1/(Table1[[#This Row],[Level_0]:[Level 15]]&gt;0),(Table1[[#This Row],[Level_0]:[Level 15]]))</f>
        <v>7600304054 - [DAA Argon gas supply]</v>
      </c>
    </row>
    <row r="2318" spans="1:23" hidden="1" x14ac:dyDescent="0.25">
      <c r="A2318">
        <v>7600304053</v>
      </c>
      <c r="B2318" s="16" t="s">
        <v>21254</v>
      </c>
      <c r="C2318" s="16" t="e">
        <f>VLOOKUP(Table1[[#This Row],[Node]],Parent!A:B,2,0)</f>
        <v>#N/A</v>
      </c>
      <c r="D2318" s="25" t="s">
        <v>19346</v>
      </c>
      <c r="E2318" s="26" t="s">
        <v>16544</v>
      </c>
      <c r="F2318" s="27" t="s">
        <v>18569</v>
      </c>
      <c r="G2318" s="27" t="s">
        <v>18810</v>
      </c>
      <c r="H2318" s="27" t="s">
        <v>18811</v>
      </c>
      <c r="I2318" s="27" t="s">
        <v>18812</v>
      </c>
      <c r="J2318" s="27" t="s">
        <v>18826</v>
      </c>
      <c r="K2318" s="27"/>
      <c r="L2318" s="27"/>
      <c r="N2318" s="27"/>
      <c r="T2318" s="28" t="str">
        <f>LOOKUP(1,1/(Table1[[#This Row],[Level_0]:[Level 15]]&gt;0),(Table1[[#This Row],[Level_0]:[Level 15]]))</f>
        <v>7600304053 - [DAA Nitrogen gas supply]</v>
      </c>
      <c r="U2318" s="22">
        <v>2313</v>
      </c>
      <c r="W2318" s="13" t="str">
        <f>LOOKUP(1,1/(Table1[[#This Row],[Level_0]:[Level 15]]&gt;0),(Table1[[#This Row],[Level_0]:[Level 15]]))</f>
        <v>7600304053 - [DAA Nitrogen gas supply]</v>
      </c>
    </row>
    <row r="2319" spans="1:23" hidden="1" x14ac:dyDescent="0.25">
      <c r="A2319">
        <v>7600304050</v>
      </c>
      <c r="B2319" s="16" t="s">
        <v>21251</v>
      </c>
      <c r="C2319" s="16" t="e">
        <f>VLOOKUP(Table1[[#This Row],[Node]],Parent!A:B,2,0)</f>
        <v>#N/A</v>
      </c>
      <c r="D2319" s="25" t="s">
        <v>19346</v>
      </c>
      <c r="E2319" s="26" t="s">
        <v>16544</v>
      </c>
      <c r="F2319" s="27" t="s">
        <v>18569</v>
      </c>
      <c r="G2319" s="27" t="s">
        <v>18810</v>
      </c>
      <c r="H2319" s="27" t="s">
        <v>18811</v>
      </c>
      <c r="I2319" s="27" t="s">
        <v>18812</v>
      </c>
      <c r="J2319" s="27" t="s">
        <v>18827</v>
      </c>
      <c r="K2319" s="27"/>
      <c r="L2319" s="27"/>
      <c r="N2319" s="27"/>
      <c r="T2319" s="28" t="str">
        <f>LOOKUP(1,1/(Table1[[#This Row],[Level_0]:[Level 15]]&gt;0),(Table1[[#This Row],[Level_0]:[Level 15]]))</f>
        <v>7600304050 - [DAA -22 °C refrigeration]</v>
      </c>
      <c r="U2319" s="22">
        <v>2314</v>
      </c>
      <c r="W2319" s="13" t="str">
        <f>LOOKUP(1,1/(Table1[[#This Row],[Level_0]:[Level 15]]&gt;0),(Table1[[#This Row],[Level_0]:[Level 15]]))</f>
        <v>7600304050 - [DAA -22 °C refrigeration]</v>
      </c>
    </row>
    <row r="2320" spans="1:23" hidden="1" x14ac:dyDescent="0.25">
      <c r="A2320">
        <v>7600304048</v>
      </c>
      <c r="B2320" s="16" t="s">
        <v>21249</v>
      </c>
      <c r="C2320" s="16" t="e">
        <f>VLOOKUP(Table1[[#This Row],[Node]],Parent!A:B,2,0)</f>
        <v>#N/A</v>
      </c>
      <c r="D2320" s="25" t="s">
        <v>19346</v>
      </c>
      <c r="E2320" s="26" t="s">
        <v>16544</v>
      </c>
      <c r="F2320" s="27" t="s">
        <v>18569</v>
      </c>
      <c r="G2320" s="27" t="s">
        <v>18810</v>
      </c>
      <c r="H2320" s="27" t="s">
        <v>18811</v>
      </c>
      <c r="I2320" s="27" t="s">
        <v>18812</v>
      </c>
      <c r="J2320" s="27" t="s">
        <v>18828</v>
      </c>
      <c r="K2320" s="27"/>
      <c r="L2320" s="27"/>
      <c r="N2320" s="27"/>
      <c r="T2320" s="28" t="str">
        <f>LOOKUP(1,1/(Table1[[#This Row],[Level_0]:[Level 15]]&gt;0),(Table1[[#This Row],[Level_0]:[Level 15]]))</f>
        <v>7600304048 - [DAA Recooling water]</v>
      </c>
      <c r="U2320" s="22">
        <v>2315</v>
      </c>
      <c r="W2320" s="13" t="str">
        <f>LOOKUP(1,1/(Table1[[#This Row],[Level_0]:[Level 15]]&gt;0),(Table1[[#This Row],[Level_0]:[Level 15]]))</f>
        <v>7600304048 - [DAA Recooling water]</v>
      </c>
    </row>
    <row r="2321" spans="1:23" hidden="1" x14ac:dyDescent="0.25">
      <c r="A2321">
        <v>7600304045</v>
      </c>
      <c r="B2321" s="16" t="s">
        <v>21246</v>
      </c>
      <c r="C2321" s="16" t="e">
        <f>VLOOKUP(Table1[[#This Row],[Node]],Parent!A:B,2,0)</f>
        <v>#N/A</v>
      </c>
      <c r="D2321" s="25" t="s">
        <v>19346</v>
      </c>
      <c r="E2321" s="26" t="s">
        <v>16544</v>
      </c>
      <c r="F2321" s="27" t="s">
        <v>18569</v>
      </c>
      <c r="G2321" s="27" t="s">
        <v>18810</v>
      </c>
      <c r="H2321" s="27" t="s">
        <v>18811</v>
      </c>
      <c r="I2321" s="27" t="s">
        <v>18812</v>
      </c>
      <c r="J2321" s="27" t="s">
        <v>18829</v>
      </c>
      <c r="K2321" s="27"/>
      <c r="L2321" s="27"/>
      <c r="N2321" s="27"/>
      <c r="T2321" s="28" t="str">
        <f>LOOKUP(1,1/(Table1[[#This Row],[Level_0]:[Level 15]]&gt;0),(Table1[[#This Row],[Level_0]:[Level 15]]))</f>
        <v>7600304045 - [DAA Cold water cooling]</v>
      </c>
      <c r="U2321" s="22">
        <v>2316</v>
      </c>
      <c r="W2321" s="13" t="str">
        <f>LOOKUP(1,1/(Table1[[#This Row],[Level_0]:[Level 15]]&gt;0),(Table1[[#This Row],[Level_0]:[Level 15]]))</f>
        <v>7600304045 - [DAA Cold water cooling]</v>
      </c>
    </row>
    <row r="2322" spans="1:23" hidden="1" x14ac:dyDescent="0.25">
      <c r="A2322">
        <v>7320140009</v>
      </c>
      <c r="B2322" s="16" t="s">
        <v>20865</v>
      </c>
      <c r="C2322" s="16" t="e">
        <f>VLOOKUP(Table1[[#This Row],[Node]],Parent!A:B,2,0)</f>
        <v>#N/A</v>
      </c>
      <c r="D2322" s="25" t="s">
        <v>19346</v>
      </c>
      <c r="E2322" s="26" t="s">
        <v>16544</v>
      </c>
      <c r="F2322" s="27" t="s">
        <v>18569</v>
      </c>
      <c r="G2322" s="27" t="s">
        <v>18810</v>
      </c>
      <c r="H2322" s="27" t="s">
        <v>18811</v>
      </c>
      <c r="I2322" s="27" t="s">
        <v>18812</v>
      </c>
      <c r="J2322" s="27" t="s">
        <v>18830</v>
      </c>
      <c r="K2322" s="27"/>
      <c r="L2322" s="27"/>
      <c r="N2322" s="27"/>
      <c r="T2322" s="28" t="str">
        <f>LOOKUP(1,1/(Table1[[#This Row],[Level_0]:[Level 15]]&gt;0),(Table1[[#This Row],[Level_0]:[Level 15]]))</f>
        <v>7320140009 - [AOM Variances other energies/supplies]</v>
      </c>
      <c r="U2322" s="22">
        <v>2317</v>
      </c>
      <c r="W2322" s="13" t="str">
        <f>LOOKUP(1,1/(Table1[[#This Row],[Level_0]:[Level 15]]&gt;0),(Table1[[#This Row],[Level_0]:[Level 15]]))</f>
        <v>7320140009 - [AOM Variances other energies/supplies]</v>
      </c>
    </row>
    <row r="2323" spans="1:23" hidden="1" x14ac:dyDescent="0.25">
      <c r="A2323">
        <v>7320140005</v>
      </c>
      <c r="B2323" s="16" t="s">
        <v>20861</v>
      </c>
      <c r="C2323" s="16" t="e">
        <f>VLOOKUP(Table1[[#This Row],[Node]],Parent!A:B,2,0)</f>
        <v>#N/A</v>
      </c>
      <c r="D2323" s="25" t="s">
        <v>19346</v>
      </c>
      <c r="E2323" s="26" t="s">
        <v>16544</v>
      </c>
      <c r="F2323" s="27" t="s">
        <v>18569</v>
      </c>
      <c r="G2323" s="27" t="s">
        <v>18810</v>
      </c>
      <c r="H2323" s="27" t="s">
        <v>18811</v>
      </c>
      <c r="I2323" s="27" t="s">
        <v>18812</v>
      </c>
      <c r="J2323" s="27" t="s">
        <v>18831</v>
      </c>
      <c r="K2323" s="27"/>
      <c r="L2323" s="27"/>
      <c r="N2323" s="27"/>
      <c r="T2323" s="28" t="str">
        <f>LOOKUP(1,1/(Table1[[#This Row],[Level_0]:[Level 15]]&gt;0),(Table1[[#This Row],[Level_0]:[Level 15]]))</f>
        <v>7320140005 - [AOM Other Energies/Supplies]</v>
      </c>
      <c r="U2323" s="22">
        <v>2318</v>
      </c>
      <c r="W2323" s="13" t="str">
        <f>LOOKUP(1,1/(Table1[[#This Row],[Level_0]:[Level 15]]&gt;0),(Table1[[#This Row],[Level_0]:[Level 15]]))</f>
        <v>7320140005 - [AOM Other Energies/Supplies]</v>
      </c>
    </row>
    <row r="2324" spans="1:23" hidden="1" x14ac:dyDescent="0.25">
      <c r="A2324">
        <v>7310140011</v>
      </c>
      <c r="B2324" s="16" t="s">
        <v>20825</v>
      </c>
      <c r="C2324" s="16" t="e">
        <f>VLOOKUP(Table1[[#This Row],[Node]],Parent!A:B,2,0)</f>
        <v>#N/A</v>
      </c>
      <c r="D2324" s="25" t="s">
        <v>19346</v>
      </c>
      <c r="E2324" s="26" t="s">
        <v>16544</v>
      </c>
      <c r="F2324" s="27" t="s">
        <v>18569</v>
      </c>
      <c r="G2324" s="27" t="s">
        <v>18810</v>
      </c>
      <c r="H2324" s="27" t="s">
        <v>18811</v>
      </c>
      <c r="I2324" s="27" t="s">
        <v>18812</v>
      </c>
      <c r="J2324" s="27" t="s">
        <v>18832</v>
      </c>
      <c r="K2324" s="27"/>
      <c r="L2324" s="27"/>
      <c r="N2324" s="27"/>
      <c r="T2324" s="28" t="str">
        <f>LOOKUP(1,1/(Table1[[#This Row],[Level_0]:[Level 15]]&gt;0),(Table1[[#This Row],[Level_0]:[Level 15]]))</f>
        <v>7310140011 - [IAA - Returnable Items (AU)]</v>
      </c>
      <c r="U2324" s="22">
        <v>2319</v>
      </c>
      <c r="W2324" s="13" t="str">
        <f>LOOKUP(1,1/(Table1[[#This Row],[Level_0]:[Level 15]]&gt;0),(Table1[[#This Row],[Level_0]:[Level 15]]))</f>
        <v>7310140011 - [IAA - Returnable Items (AU)]</v>
      </c>
    </row>
    <row r="2325" spans="1:23" hidden="1" x14ac:dyDescent="0.25">
      <c r="A2325">
        <v>7310140005</v>
      </c>
      <c r="B2325" s="16" t="s">
        <v>20819</v>
      </c>
      <c r="C2325" s="16" t="e">
        <f>VLOOKUP(Table1[[#This Row],[Node]],Parent!A:B,2,0)</f>
        <v>#N/A</v>
      </c>
      <c r="D2325" s="25" t="s">
        <v>19346</v>
      </c>
      <c r="E2325" s="26" t="s">
        <v>16544</v>
      </c>
      <c r="F2325" s="27" t="s">
        <v>18569</v>
      </c>
      <c r="G2325" s="27" t="s">
        <v>18810</v>
      </c>
      <c r="H2325" s="27" t="s">
        <v>18811</v>
      </c>
      <c r="I2325" s="27" t="s">
        <v>18812</v>
      </c>
      <c r="J2325" s="27" t="s">
        <v>18833</v>
      </c>
      <c r="K2325" s="27"/>
      <c r="L2325" s="27"/>
      <c r="N2325" s="27"/>
      <c r="T2325" s="28" t="str">
        <f>LOOKUP(1,1/(Table1[[#This Row],[Level_0]:[Level 15]]&gt;0),(Table1[[#This Row],[Level_0]:[Level 15]]))</f>
        <v>7310140005 - [IAA Other Supplies]</v>
      </c>
      <c r="U2325" s="22">
        <v>2320</v>
      </c>
      <c r="W2325" s="13" t="str">
        <f>LOOKUP(1,1/(Table1[[#This Row],[Level_0]:[Level 15]]&gt;0),(Table1[[#This Row],[Level_0]:[Level 15]]))</f>
        <v>7310140005 - [IAA Other Supplies]</v>
      </c>
    </row>
    <row r="2326" spans="1:23" hidden="1" x14ac:dyDescent="0.25">
      <c r="A2326">
        <v>7310140004</v>
      </c>
      <c r="B2326" s="16" t="s">
        <v>20818</v>
      </c>
      <c r="C2326" s="16" t="e">
        <f>VLOOKUP(Table1[[#This Row],[Node]],Parent!A:B,2,0)</f>
        <v>#N/A</v>
      </c>
      <c r="D2326" s="25" t="s">
        <v>19346</v>
      </c>
      <c r="E2326" s="26" t="s">
        <v>16544</v>
      </c>
      <c r="F2326" s="27" t="s">
        <v>18569</v>
      </c>
      <c r="G2326" s="27" t="s">
        <v>18810</v>
      </c>
      <c r="H2326" s="27" t="s">
        <v>18811</v>
      </c>
      <c r="I2326" s="27" t="s">
        <v>18812</v>
      </c>
      <c r="J2326" s="27" t="s">
        <v>18834</v>
      </c>
      <c r="K2326" s="27"/>
      <c r="L2326" s="27"/>
      <c r="N2326" s="27"/>
      <c r="T2326" s="28" t="str">
        <f>LOOKUP(1,1/(Table1[[#This Row],[Level_0]:[Level 15]]&gt;0),(Table1[[#This Row],[Level_0]:[Level 15]]))</f>
        <v>7310140004 - [IAA Other Energies]</v>
      </c>
      <c r="U2326" s="22">
        <v>2321</v>
      </c>
      <c r="W2326" s="13" t="str">
        <f>LOOKUP(1,1/(Table1[[#This Row],[Level_0]:[Level 15]]&gt;0),(Table1[[#This Row],[Level_0]:[Level 15]]))</f>
        <v>7310140004 - [IAA Other Energies]</v>
      </c>
    </row>
    <row r="2327" spans="1:23" hidden="1" x14ac:dyDescent="0.25">
      <c r="A2327">
        <v>7301140007</v>
      </c>
      <c r="B2327" s="16" t="s">
        <v>20794</v>
      </c>
      <c r="C2327" s="16" t="e">
        <f>VLOOKUP(Table1[[#This Row],[Node]],Parent!A:B,2,0)</f>
        <v>#N/A</v>
      </c>
      <c r="D2327" s="25" t="s">
        <v>19346</v>
      </c>
      <c r="E2327" s="26" t="s">
        <v>16544</v>
      </c>
      <c r="F2327" s="27" t="s">
        <v>18569</v>
      </c>
      <c r="G2327" s="27" t="s">
        <v>18810</v>
      </c>
      <c r="H2327" s="27" t="s">
        <v>18811</v>
      </c>
      <c r="I2327" s="27" t="s">
        <v>18812</v>
      </c>
      <c r="J2327" s="27" t="s">
        <v>18835</v>
      </c>
      <c r="K2327" s="27"/>
      <c r="L2327" s="27"/>
      <c r="N2327" s="27"/>
      <c r="T2327" s="28" t="str">
        <f>LOOKUP(1,1/(Table1[[#This Row],[Level_0]:[Level 15]]&gt;0),(Table1[[#This Row],[Level_0]:[Level 15]]))</f>
        <v>7301140007 - [DAA Other supplies]</v>
      </c>
      <c r="U2327" s="22">
        <v>2322</v>
      </c>
      <c r="W2327" s="13" t="str">
        <f>LOOKUP(1,1/(Table1[[#This Row],[Level_0]:[Level 15]]&gt;0),(Table1[[#This Row],[Level_0]:[Level 15]]))</f>
        <v>7301140007 - [DAA Other supplies]</v>
      </c>
    </row>
    <row r="2328" spans="1:23" hidden="1" x14ac:dyDescent="0.25">
      <c r="A2328">
        <v>7301140004</v>
      </c>
      <c r="B2328" s="16" t="s">
        <v>20791</v>
      </c>
      <c r="C2328" s="16" t="e">
        <f>VLOOKUP(Table1[[#This Row],[Node]],Parent!A:B,2,0)</f>
        <v>#N/A</v>
      </c>
      <c r="D2328" s="25" t="s">
        <v>19346</v>
      </c>
      <c r="E2328" s="26" t="s">
        <v>16544</v>
      </c>
      <c r="F2328" s="27" t="s">
        <v>18569</v>
      </c>
      <c r="G2328" s="27" t="s">
        <v>18810</v>
      </c>
      <c r="H2328" s="27" t="s">
        <v>18811</v>
      </c>
      <c r="I2328" s="27" t="s">
        <v>18812</v>
      </c>
      <c r="J2328" s="27" t="s">
        <v>18836</v>
      </c>
      <c r="K2328" s="27"/>
      <c r="L2328" s="27"/>
      <c r="N2328" s="27"/>
      <c r="T2328" s="28" t="str">
        <f>LOOKUP(1,1/(Table1[[#This Row],[Level_0]:[Level 15]]&gt;0),(Table1[[#This Row],[Level_0]:[Level 15]]))</f>
        <v>7301140004 - [DAA Other Energy costs]</v>
      </c>
      <c r="U2328" s="22">
        <v>2323</v>
      </c>
      <c r="W2328" s="13" t="str">
        <f>LOOKUP(1,1/(Table1[[#This Row],[Level_0]:[Level 15]]&gt;0),(Table1[[#This Row],[Level_0]:[Level 15]]))</f>
        <v>7301140004 - [DAA Other Energy costs]</v>
      </c>
    </row>
    <row r="2329" spans="1:23" hidden="1" x14ac:dyDescent="0.25">
      <c r="A2329">
        <v>7300110021</v>
      </c>
      <c r="B2329" s="16" t="s">
        <v>20757</v>
      </c>
      <c r="C2329" s="16" t="e">
        <f>VLOOKUP(Table1[[#This Row],[Node]],Parent!A:B,2,0)</f>
        <v>#N/A</v>
      </c>
      <c r="D2329" s="25" t="s">
        <v>19346</v>
      </c>
      <c r="E2329" s="26" t="s">
        <v>16544</v>
      </c>
      <c r="F2329" s="27" t="s">
        <v>18569</v>
      </c>
      <c r="G2329" s="27" t="s">
        <v>18810</v>
      </c>
      <c r="H2329" s="27" t="s">
        <v>18811</v>
      </c>
      <c r="I2329" s="27" t="s">
        <v>18812</v>
      </c>
      <c r="J2329" s="27" t="s">
        <v>18837</v>
      </c>
      <c r="K2329" s="27"/>
      <c r="L2329" s="27"/>
      <c r="N2329" s="27"/>
      <c r="T2329" s="28" t="str">
        <f>LOOKUP(1,1/(Table1[[#This Row],[Level_0]:[Level 15]]&gt;0),(Table1[[#This Row],[Level_0]:[Level 15]]))</f>
        <v>7300110021 - [DAA PRO - Direct labour/Overhead]</v>
      </c>
      <c r="U2329" s="22">
        <v>2324</v>
      </c>
      <c r="W2329" s="13" t="str">
        <f>LOOKUP(1,1/(Table1[[#This Row],[Level_0]:[Level 15]]&gt;0),(Table1[[#This Row],[Level_0]:[Level 15]]))</f>
        <v>7300110021 - [DAA PRO - Direct labour/Overhead]</v>
      </c>
    </row>
    <row r="2330" spans="1:23" hidden="1" x14ac:dyDescent="0.25">
      <c r="A2330">
        <v>5217410000</v>
      </c>
      <c r="B2330" s="16" t="s">
        <v>20155</v>
      </c>
      <c r="C2330" s="16" t="e">
        <f>VLOOKUP(Table1[[#This Row],[Node]],Parent!A:B,2,0)</f>
        <v>#N/A</v>
      </c>
      <c r="D2330" s="25" t="s">
        <v>19346</v>
      </c>
      <c r="E2330" s="26" t="s">
        <v>16544</v>
      </c>
      <c r="F2330" s="27" t="s">
        <v>18569</v>
      </c>
      <c r="G2330" s="27" t="s">
        <v>18810</v>
      </c>
      <c r="H2330" s="27" t="s">
        <v>18811</v>
      </c>
      <c r="I2330" s="27" t="s">
        <v>18812</v>
      </c>
      <c r="J2330" s="27" t="s">
        <v>18838</v>
      </c>
      <c r="K2330" s="27"/>
      <c r="L2330" s="27"/>
      <c r="N2330" s="27"/>
      <c r="T2330" s="28" t="str">
        <f>LOOKUP(1,1/(Table1[[#This Row],[Level_0]:[Level 15]]&gt;0),(Table1[[#This Row],[Level_0]:[Level 15]]))</f>
        <v>5217410000 - [IC EXP - SMS - Cold brine]</v>
      </c>
      <c r="U2330" s="22">
        <v>2325</v>
      </c>
      <c r="W2330" s="13" t="str">
        <f>LOOKUP(1,1/(Table1[[#This Row],[Level_0]:[Level 15]]&gt;0),(Table1[[#This Row],[Level_0]:[Level 15]]))</f>
        <v>5217410000 - [IC EXP - SMS - Cold brine]</v>
      </c>
    </row>
    <row r="2331" spans="1:23" hidden="1" x14ac:dyDescent="0.25">
      <c r="A2331">
        <v>5216710000</v>
      </c>
      <c r="B2331" s="16" t="s">
        <v>20148</v>
      </c>
      <c r="C2331" s="16" t="e">
        <f>VLOOKUP(Table1[[#This Row],[Node]],Parent!A:B,2,0)</f>
        <v>#N/A</v>
      </c>
      <c r="D2331" s="25" t="s">
        <v>19346</v>
      </c>
      <c r="E2331" s="26" t="s">
        <v>16544</v>
      </c>
      <c r="F2331" s="27" t="s">
        <v>18569</v>
      </c>
      <c r="G2331" s="27" t="s">
        <v>18810</v>
      </c>
      <c r="H2331" s="27" t="s">
        <v>18811</v>
      </c>
      <c r="I2331" s="27" t="s">
        <v>18812</v>
      </c>
      <c r="J2331" s="27" t="s">
        <v>18839</v>
      </c>
      <c r="K2331" s="27"/>
      <c r="L2331" s="27"/>
      <c r="N2331" s="27"/>
      <c r="T2331" s="28" t="str">
        <f>LOOKUP(1,1/(Table1[[#This Row],[Level_0]:[Level 15]]&gt;0),(Table1[[#This Row],[Level_0]:[Level 15]]))</f>
        <v>5216710000 - [IC Exp - SMS - MedSup - -22C Refrigratn]</v>
      </c>
      <c r="U2331" s="22">
        <v>2326</v>
      </c>
      <c r="W2331" s="13" t="str">
        <f>LOOKUP(1,1/(Table1[[#This Row],[Level_0]:[Level 15]]&gt;0),(Table1[[#This Row],[Level_0]:[Level 15]]))</f>
        <v>5216710000 - [IC Exp - SMS - MedSup - -22C Refrigratn]</v>
      </c>
    </row>
    <row r="2332" spans="1:23" hidden="1" x14ac:dyDescent="0.25">
      <c r="A2332">
        <v>5212810000</v>
      </c>
      <c r="B2332" s="16" t="s">
        <v>20134</v>
      </c>
      <c r="C2332" s="16" t="e">
        <f>VLOOKUP(Table1[[#This Row],[Node]],Parent!A:B,2,0)</f>
        <v>#N/A</v>
      </c>
      <c r="D2332" s="25" t="s">
        <v>19346</v>
      </c>
      <c r="E2332" s="26" t="s">
        <v>16544</v>
      </c>
      <c r="F2332" s="27" t="s">
        <v>18569</v>
      </c>
      <c r="G2332" s="27" t="s">
        <v>18810</v>
      </c>
      <c r="H2332" s="27" t="s">
        <v>18811</v>
      </c>
      <c r="I2332" s="27" t="s">
        <v>18812</v>
      </c>
      <c r="J2332" s="27" t="s">
        <v>18840</v>
      </c>
      <c r="K2332" s="27"/>
      <c r="L2332" s="27"/>
      <c r="N2332" s="27"/>
      <c r="T2332" s="28" t="str">
        <f>LOOKUP(1,1/(Table1[[#This Row],[Level_0]:[Level 15]]&gt;0),(Table1[[#This Row],[Level_0]:[Level 15]]))</f>
        <v>5212810000 - [IC EXP - SMS - MedSup - Liquid Gas]</v>
      </c>
      <c r="U2332" s="22">
        <v>2327</v>
      </c>
      <c r="W2332" s="13" t="str">
        <f>LOOKUP(1,1/(Table1[[#This Row],[Level_0]:[Level 15]]&gt;0),(Table1[[#This Row],[Level_0]:[Level 15]]))</f>
        <v>5212810000 - [IC EXP - SMS - MedSup - Liquid Gas]</v>
      </c>
    </row>
    <row r="2333" spans="1:23" hidden="1" x14ac:dyDescent="0.25">
      <c r="A2333">
        <v>5212610000</v>
      </c>
      <c r="B2333" s="16" t="s">
        <v>20132</v>
      </c>
      <c r="C2333" s="16" t="e">
        <f>VLOOKUP(Table1[[#This Row],[Node]],Parent!A:B,2,0)</f>
        <v>#N/A</v>
      </c>
      <c r="D2333" s="25" t="s">
        <v>19346</v>
      </c>
      <c r="E2333" s="26" t="s">
        <v>16544</v>
      </c>
      <c r="F2333" s="27" t="s">
        <v>18569</v>
      </c>
      <c r="G2333" s="27" t="s">
        <v>18810</v>
      </c>
      <c r="H2333" s="27" t="s">
        <v>18811</v>
      </c>
      <c r="I2333" s="27" t="s">
        <v>18812</v>
      </c>
      <c r="J2333" s="27" t="s">
        <v>18841</v>
      </c>
      <c r="K2333" s="27"/>
      <c r="L2333" s="27"/>
      <c r="N2333" s="27"/>
      <c r="T2333" s="28" t="str">
        <f>LOOKUP(1,1/(Table1[[#This Row],[Level_0]:[Level 15]]&gt;0),(Table1[[#This Row],[Level_0]:[Level 15]]))</f>
        <v>5212610000 - [IC Exp - SMS - MedSup - Hydrogen]</v>
      </c>
      <c r="U2333" s="22">
        <v>2328</v>
      </c>
      <c r="W2333" s="13" t="str">
        <f>LOOKUP(1,1/(Table1[[#This Row],[Level_0]:[Level 15]]&gt;0),(Table1[[#This Row],[Level_0]:[Level 15]]))</f>
        <v>5212610000 - [IC Exp - SMS - MedSup - Hydrogen]</v>
      </c>
    </row>
    <row r="2334" spans="1:23" hidden="1" x14ac:dyDescent="0.25">
      <c r="A2334">
        <v>5212510000</v>
      </c>
      <c r="B2334" s="16" t="s">
        <v>20131</v>
      </c>
      <c r="C2334" s="16" t="e">
        <f>VLOOKUP(Table1[[#This Row],[Node]],Parent!A:B,2,0)</f>
        <v>#N/A</v>
      </c>
      <c r="D2334" s="25" t="s">
        <v>19346</v>
      </c>
      <c r="E2334" s="26" t="s">
        <v>16544</v>
      </c>
      <c r="F2334" s="27" t="s">
        <v>18569</v>
      </c>
      <c r="G2334" s="27" t="s">
        <v>18810</v>
      </c>
      <c r="H2334" s="27" t="s">
        <v>18811</v>
      </c>
      <c r="I2334" s="27" t="s">
        <v>18812</v>
      </c>
      <c r="J2334" s="27" t="s">
        <v>18842</v>
      </c>
      <c r="K2334" s="27"/>
      <c r="L2334" s="27"/>
      <c r="N2334" s="27"/>
      <c r="T2334" s="28" t="str">
        <f>LOOKUP(1,1/(Table1[[#This Row],[Level_0]:[Level 15]]&gt;0),(Table1[[#This Row],[Level_0]:[Level 15]]))</f>
        <v>5212510000 - [IC Exp - SMS - MedSup - Nitrogen Gas]</v>
      </c>
      <c r="U2334" s="22">
        <v>2329</v>
      </c>
      <c r="W2334" s="13" t="str">
        <f>LOOKUP(1,1/(Table1[[#This Row],[Level_0]:[Level 15]]&gt;0),(Table1[[#This Row],[Level_0]:[Level 15]]))</f>
        <v>5212510000 - [IC Exp - SMS - MedSup - Nitrogen Gas]</v>
      </c>
    </row>
    <row r="2335" spans="1:23" hidden="1" x14ac:dyDescent="0.25">
      <c r="A2335">
        <v>5212410000</v>
      </c>
      <c r="B2335" s="16" t="s">
        <v>20130</v>
      </c>
      <c r="C2335" s="16" t="e">
        <f>VLOOKUP(Table1[[#This Row],[Node]],Parent!A:B,2,0)</f>
        <v>#N/A</v>
      </c>
      <c r="D2335" s="25" t="s">
        <v>19346</v>
      </c>
      <c r="E2335" s="26" t="s">
        <v>16544</v>
      </c>
      <c r="F2335" s="27" t="s">
        <v>18569</v>
      </c>
      <c r="G2335" s="27" t="s">
        <v>18810</v>
      </c>
      <c r="H2335" s="27" t="s">
        <v>18811</v>
      </c>
      <c r="I2335" s="27" t="s">
        <v>18812</v>
      </c>
      <c r="J2335" s="27" t="s">
        <v>18843</v>
      </c>
      <c r="K2335" s="27"/>
      <c r="L2335" s="27"/>
      <c r="N2335" s="27"/>
      <c r="T2335" s="28" t="str">
        <f>LOOKUP(1,1/(Table1[[#This Row],[Level_0]:[Level 15]]&gt;0),(Table1[[#This Row],[Level_0]:[Level 15]]))</f>
        <v>5212410000 - [IC Exp - SMS - MedSup - Liquid Nitrogen]</v>
      </c>
      <c r="U2335" s="22">
        <v>2330</v>
      </c>
      <c r="W2335" s="13" t="str">
        <f>LOOKUP(1,1/(Table1[[#This Row],[Level_0]:[Level 15]]&gt;0),(Table1[[#This Row],[Level_0]:[Level 15]]))</f>
        <v>5212410000 - [IC Exp - SMS - MedSup - Liquid Nitrogen]</v>
      </c>
    </row>
    <row r="2336" spans="1:23" hidden="1" x14ac:dyDescent="0.25">
      <c r="A2336">
        <v>5212210000</v>
      </c>
      <c r="B2336" s="16" t="s">
        <v>20128</v>
      </c>
      <c r="C2336" s="16" t="e">
        <f>VLOOKUP(Table1[[#This Row],[Node]],Parent!A:B,2,0)</f>
        <v>#N/A</v>
      </c>
      <c r="D2336" s="25" t="s">
        <v>19346</v>
      </c>
      <c r="E2336" s="26" t="s">
        <v>16544</v>
      </c>
      <c r="F2336" s="27" t="s">
        <v>18569</v>
      </c>
      <c r="G2336" s="27" t="s">
        <v>18810</v>
      </c>
      <c r="H2336" s="27" t="s">
        <v>18811</v>
      </c>
      <c r="I2336" s="27" t="s">
        <v>18812</v>
      </c>
      <c r="J2336" s="27" t="s">
        <v>18844</v>
      </c>
      <c r="K2336" s="27"/>
      <c r="L2336" s="27"/>
      <c r="N2336" s="27"/>
      <c r="T2336" s="28" t="str">
        <f>LOOKUP(1,1/(Table1[[#This Row],[Level_0]:[Level 15]]&gt;0),(Table1[[#This Row],[Level_0]:[Level 15]]))</f>
        <v>5212210000 - [IC Exp - SMS - MedSup - Carbon Dioxide]</v>
      </c>
      <c r="U2336" s="22">
        <v>2331</v>
      </c>
      <c r="W2336" s="13" t="str">
        <f>LOOKUP(1,1/(Table1[[#This Row],[Level_0]:[Level 15]]&gt;0),(Table1[[#This Row],[Level_0]:[Level 15]]))</f>
        <v>5212210000 - [IC Exp - SMS - MedSup - Carbon Dioxide]</v>
      </c>
    </row>
    <row r="2337" spans="1:23" hidden="1" x14ac:dyDescent="0.25">
      <c r="A2337">
        <v>5212110000</v>
      </c>
      <c r="B2337" s="16" t="s">
        <v>20127</v>
      </c>
      <c r="C2337" s="16" t="e">
        <f>VLOOKUP(Table1[[#This Row],[Node]],Parent!A:B,2,0)</f>
        <v>#N/A</v>
      </c>
      <c r="D2337" s="25" t="s">
        <v>19346</v>
      </c>
      <c r="E2337" s="26" t="s">
        <v>16544</v>
      </c>
      <c r="F2337" s="27" t="s">
        <v>18569</v>
      </c>
      <c r="G2337" s="27" t="s">
        <v>18810</v>
      </c>
      <c r="H2337" s="27" t="s">
        <v>18811</v>
      </c>
      <c r="I2337" s="27" t="s">
        <v>18812</v>
      </c>
      <c r="J2337" s="27" t="s">
        <v>18845</v>
      </c>
      <c r="K2337" s="27"/>
      <c r="L2337" s="27"/>
      <c r="N2337" s="27"/>
      <c r="T2337" s="28" t="str">
        <f>LOOKUP(1,1/(Table1[[#This Row],[Level_0]:[Level 15]]&gt;0),(Table1[[#This Row],[Level_0]:[Level 15]]))</f>
        <v>5212110000 - [IC Exp - SMS - MedSup - Argon Gas]</v>
      </c>
      <c r="U2337" s="22">
        <v>2332</v>
      </c>
      <c r="W2337" s="13" t="str">
        <f>LOOKUP(1,1/(Table1[[#This Row],[Level_0]:[Level 15]]&gt;0),(Table1[[#This Row],[Level_0]:[Level 15]]))</f>
        <v>5212110000 - [IC Exp - SMS - MedSup - Argon Gas]</v>
      </c>
    </row>
    <row r="2338" spans="1:23" hidden="1" x14ac:dyDescent="0.25">
      <c r="A2338">
        <v>120260</v>
      </c>
      <c r="B2338" s="16" t="s">
        <v>19408</v>
      </c>
      <c r="C2338" s="16" t="e">
        <f>VLOOKUP(Table1[[#This Row],[Node]],Parent!A:B,2,0)</f>
        <v>#N/A</v>
      </c>
      <c r="D2338" s="25" t="s">
        <v>19346</v>
      </c>
      <c r="E2338" s="26" t="s">
        <v>16544</v>
      </c>
      <c r="F2338" s="27" t="s">
        <v>18569</v>
      </c>
      <c r="G2338" s="27" t="s">
        <v>18810</v>
      </c>
      <c r="H2338" s="27" t="s">
        <v>18811</v>
      </c>
      <c r="I2338" s="27" t="s">
        <v>18846</v>
      </c>
      <c r="J2338" s="27"/>
      <c r="K2338" s="27"/>
      <c r="L2338" s="27"/>
      <c r="N2338" s="27"/>
      <c r="T2338" s="28" t="str">
        <f>LOOKUP(1,1/(Table1[[#This Row],[Level_0]:[Level 15]]&gt;0),(Table1[[#This Row],[Level_0]:[Level 15]]))</f>
        <v>120260 - [Alloc. Energy/Utility Costs (CompSplit)]</v>
      </c>
      <c r="U2338" s="22">
        <v>2333</v>
      </c>
      <c r="W2338" s="13" t="str">
        <f>LOOKUP(1,1/(Table1[[#This Row],[Level_0]:[Level 15]]&gt;0),(Table1[[#This Row],[Level_0]:[Level 15]]))</f>
        <v>120260 - [Alloc. Energy/Utility Costs (CompSplit)]</v>
      </c>
    </row>
    <row r="2339" spans="1:23" hidden="1" x14ac:dyDescent="0.25">
      <c r="A2339">
        <v>7320110003</v>
      </c>
      <c r="B2339" s="16" t="s">
        <v>20837</v>
      </c>
      <c r="C2339" s="16" t="e">
        <f>VLOOKUP(Table1[[#This Row],[Node]],Parent!A:B,2,0)</f>
        <v>#N/A</v>
      </c>
      <c r="D2339" s="25" t="s">
        <v>19346</v>
      </c>
      <c r="E2339" s="26" t="s">
        <v>16544</v>
      </c>
      <c r="F2339" s="27" t="s">
        <v>18569</v>
      </c>
      <c r="G2339" s="27" t="s">
        <v>18810</v>
      </c>
      <c r="H2339" s="27" t="s">
        <v>18811</v>
      </c>
      <c r="I2339" s="27" t="s">
        <v>18846</v>
      </c>
      <c r="J2339" s="27" t="s">
        <v>18847</v>
      </c>
      <c r="K2339" s="27"/>
      <c r="L2339" s="27"/>
      <c r="N2339" s="27"/>
      <c r="T2339" s="28" t="str">
        <f>LOOKUP(1,1/(Table1[[#This Row],[Level_0]:[Level 15]]&gt;0),(Table1[[#This Row],[Level_0]:[Level 15]]))</f>
        <v>7320110003 - [AOM Alloc. Energy/Ut.Costs (Comp. Split)]</v>
      </c>
      <c r="U2339" s="22">
        <v>2334</v>
      </c>
      <c r="W2339" s="13" t="str">
        <f>LOOKUP(1,1/(Table1[[#This Row],[Level_0]:[Level 15]]&gt;0),(Table1[[#This Row],[Level_0]:[Level 15]]))</f>
        <v>7320110003 - [AOM Alloc. Energy/Ut.Costs (Comp. Split)]</v>
      </c>
    </row>
    <row r="2340" spans="1:23" hidden="1" x14ac:dyDescent="0.25">
      <c r="A2340">
        <v>120250</v>
      </c>
      <c r="B2340" s="16" t="s">
        <v>19349</v>
      </c>
      <c r="C2340" s="16" t="e">
        <f>VLOOKUP(Table1[[#This Row],[Node]],Parent!A:B,2,0)</f>
        <v>#N/A</v>
      </c>
      <c r="D2340" s="25" t="s">
        <v>19346</v>
      </c>
      <c r="E2340" s="26" t="s">
        <v>16544</v>
      </c>
      <c r="F2340" s="27" t="s">
        <v>18569</v>
      </c>
      <c r="G2340" s="27" t="s">
        <v>18810</v>
      </c>
      <c r="H2340" s="27" t="s">
        <v>18811</v>
      </c>
      <c r="I2340" s="27" t="s">
        <v>18848</v>
      </c>
      <c r="J2340" s="27"/>
      <c r="K2340" s="27"/>
      <c r="L2340" s="27"/>
      <c r="N2340" s="27"/>
      <c r="T2340" s="28" t="str">
        <f>LOOKUP(1,1/(Table1[[#This Row],[Level_0]:[Level 15]]&gt;0),(Table1[[#This Row],[Level_0]:[Level 15]]))</f>
        <v>120250 - [Water]</v>
      </c>
      <c r="U2340" s="22">
        <v>2335</v>
      </c>
      <c r="W2340" s="13" t="str">
        <f>LOOKUP(1,1/(Table1[[#This Row],[Level_0]:[Level 15]]&gt;0),(Table1[[#This Row],[Level_0]:[Level 15]]))</f>
        <v>120250 - [Water]</v>
      </c>
    </row>
    <row r="2341" spans="1:23" hidden="1" x14ac:dyDescent="0.25">
      <c r="A2341">
        <v>7600304251</v>
      </c>
      <c r="B2341" s="16" t="s">
        <v>21432</v>
      </c>
      <c r="C2341" s="16" t="e">
        <f>VLOOKUP(Table1[[#This Row],[Node]],Parent!A:B,2,0)</f>
        <v>#N/A</v>
      </c>
      <c r="D2341" s="25" t="s">
        <v>19346</v>
      </c>
      <c r="E2341" s="26" t="s">
        <v>16544</v>
      </c>
      <c r="F2341" s="27" t="s">
        <v>18569</v>
      </c>
      <c r="G2341" s="27" t="s">
        <v>18810</v>
      </c>
      <c r="H2341" s="27" t="s">
        <v>18811</v>
      </c>
      <c r="I2341" s="27" t="s">
        <v>18848</v>
      </c>
      <c r="J2341" s="27" t="s">
        <v>18849</v>
      </c>
      <c r="K2341" s="27"/>
      <c r="L2341" s="27"/>
      <c r="N2341" s="27"/>
      <c r="T2341" s="28" t="str">
        <f>LOOKUP(1,1/(Table1[[#This Row],[Level_0]:[Level 15]]&gt;0),(Table1[[#This Row],[Level_0]:[Level 15]]))</f>
        <v>7600304251 - [DAA_Cold wat.cool.IC3]</v>
      </c>
      <c r="U2341" s="22">
        <v>2336</v>
      </c>
      <c r="W2341" s="13" t="str">
        <f>LOOKUP(1,1/(Table1[[#This Row],[Level_0]:[Level 15]]&gt;0),(Table1[[#This Row],[Level_0]:[Level 15]]))</f>
        <v>7600304251 - [DAA_Cold wat.cool.IC3]</v>
      </c>
    </row>
    <row r="2342" spans="1:23" hidden="1" x14ac:dyDescent="0.25">
      <c r="A2342">
        <v>7600304199</v>
      </c>
      <c r="B2342" s="16" t="s">
        <v>21392</v>
      </c>
      <c r="C2342" s="16" t="e">
        <f>VLOOKUP(Table1[[#This Row],[Node]],Parent!A:B,2,0)</f>
        <v>#N/A</v>
      </c>
      <c r="D2342" s="25" t="s">
        <v>19346</v>
      </c>
      <c r="E2342" s="26" t="s">
        <v>16544</v>
      </c>
      <c r="F2342" s="27" t="s">
        <v>18569</v>
      </c>
      <c r="G2342" s="27" t="s">
        <v>18810</v>
      </c>
      <c r="H2342" s="27" t="s">
        <v>18811</v>
      </c>
      <c r="I2342" s="27" t="s">
        <v>18848</v>
      </c>
      <c r="J2342" s="27" t="s">
        <v>18850</v>
      </c>
      <c r="K2342" s="27"/>
      <c r="L2342" s="27"/>
      <c r="N2342" s="27"/>
      <c r="T2342" s="28" t="str">
        <f>LOOKUP(1,1/(Table1[[#This Row],[Level_0]:[Level 15]]&gt;0),(Table1[[#This Row],[Level_0]:[Level 15]]))</f>
        <v>7600304199 - [DAA_Solekälte]</v>
      </c>
      <c r="U2342" s="22">
        <v>2337</v>
      </c>
      <c r="W2342" s="13" t="str">
        <f>LOOKUP(1,1/(Table1[[#This Row],[Level_0]:[Level 15]]&gt;0),(Table1[[#This Row],[Level_0]:[Level 15]]))</f>
        <v>7600304199 - [DAA_Solekälte]</v>
      </c>
    </row>
    <row r="2343" spans="1:23" hidden="1" x14ac:dyDescent="0.25">
      <c r="A2343">
        <v>7310140009</v>
      </c>
      <c r="B2343" s="16" t="s">
        <v>20823</v>
      </c>
      <c r="C2343" s="16" t="e">
        <f>VLOOKUP(Table1[[#This Row],[Node]],Parent!A:B,2,0)</f>
        <v>#N/A</v>
      </c>
      <c r="D2343" s="25" t="s">
        <v>19346</v>
      </c>
      <c r="E2343" s="26" t="s">
        <v>16544</v>
      </c>
      <c r="F2343" s="27" t="s">
        <v>18569</v>
      </c>
      <c r="G2343" s="27" t="s">
        <v>18810</v>
      </c>
      <c r="H2343" s="27" t="s">
        <v>18811</v>
      </c>
      <c r="I2343" s="27" t="s">
        <v>18848</v>
      </c>
      <c r="J2343" s="27" t="s">
        <v>18851</v>
      </c>
      <c r="K2343" s="27"/>
      <c r="L2343" s="27"/>
      <c r="N2343" s="27"/>
      <c r="T2343" s="28" t="str">
        <f>LOOKUP(1,1/(Table1[[#This Row],[Level_0]:[Level 15]]&gt;0),(Table1[[#This Row],[Level_0]:[Level 15]]))</f>
        <v>7310140009 - [IAA - Sole (M3)]</v>
      </c>
      <c r="U2343" s="22">
        <v>2338</v>
      </c>
      <c r="W2343" s="13" t="str">
        <f>LOOKUP(1,1/(Table1[[#This Row],[Level_0]:[Level 15]]&gt;0),(Table1[[#This Row],[Level_0]:[Level 15]]))</f>
        <v>7310140009 - [IAA - Sole (M3)]</v>
      </c>
    </row>
    <row r="2344" spans="1:23" hidden="1" x14ac:dyDescent="0.25">
      <c r="A2344">
        <v>7320140019</v>
      </c>
      <c r="B2344" s="16" t="s">
        <v>20875</v>
      </c>
      <c r="C2344" s="16" t="e">
        <f>VLOOKUP(Table1[[#This Row],[Node]],Parent!A:B,2,0)</f>
        <v>#N/A</v>
      </c>
      <c r="D2344" s="25" t="s">
        <v>19346</v>
      </c>
      <c r="E2344" s="26" t="s">
        <v>16544</v>
      </c>
      <c r="F2344" s="27" t="s">
        <v>18569</v>
      </c>
      <c r="G2344" s="27" t="s">
        <v>18810</v>
      </c>
      <c r="H2344" s="27" t="s">
        <v>18811</v>
      </c>
      <c r="I2344" s="27" t="s">
        <v>18848</v>
      </c>
      <c r="J2344" s="27" t="s">
        <v>18852</v>
      </c>
      <c r="K2344" s="27"/>
      <c r="L2344" s="27"/>
      <c r="N2344" s="27"/>
      <c r="T2344" s="28" t="str">
        <f>LOOKUP(1,1/(Table1[[#This Row],[Level_0]:[Level 15]]&gt;0),(Table1[[#This Row],[Level_0]:[Level 15]]))</f>
        <v>7320140019 - [AOM - Sole (KWH)]</v>
      </c>
      <c r="U2344" s="22">
        <v>2339</v>
      </c>
      <c r="W2344" s="13" t="str">
        <f>LOOKUP(1,1/(Table1[[#This Row],[Level_0]:[Level 15]]&gt;0),(Table1[[#This Row],[Level_0]:[Level 15]]))</f>
        <v>7320140019 - [AOM - Sole (KWH)]</v>
      </c>
    </row>
    <row r="2345" spans="1:23" hidden="1" x14ac:dyDescent="0.25">
      <c r="A2345">
        <v>7301140009</v>
      </c>
      <c r="B2345" s="16" t="s">
        <v>20796</v>
      </c>
      <c r="C2345" s="16" t="e">
        <f>VLOOKUP(Table1[[#This Row],[Node]],Parent!A:B,2,0)</f>
        <v>#N/A</v>
      </c>
      <c r="D2345" s="25" t="s">
        <v>19346</v>
      </c>
      <c r="E2345" s="26" t="s">
        <v>16544</v>
      </c>
      <c r="F2345" s="27" t="s">
        <v>18569</v>
      </c>
      <c r="G2345" s="27" t="s">
        <v>18810</v>
      </c>
      <c r="H2345" s="27" t="s">
        <v>18811</v>
      </c>
      <c r="I2345" s="27" t="s">
        <v>18848</v>
      </c>
      <c r="J2345" s="27" t="s">
        <v>18853</v>
      </c>
      <c r="K2345" s="27"/>
      <c r="L2345" s="27"/>
      <c r="N2345" s="27"/>
      <c r="T2345" s="28" t="str">
        <f>LOOKUP(1,1/(Table1[[#This Row],[Level_0]:[Level 15]]&gt;0),(Table1[[#This Row],[Level_0]:[Level 15]]))</f>
        <v>7301140009 - [DAA Sole (KWH)]</v>
      </c>
      <c r="U2345" s="22">
        <v>2340</v>
      </c>
      <c r="W2345" s="13" t="str">
        <f>LOOKUP(1,1/(Table1[[#This Row],[Level_0]:[Level 15]]&gt;0),(Table1[[#This Row],[Level_0]:[Level 15]]))</f>
        <v>7301140009 - [DAA Sole (KWH)]</v>
      </c>
    </row>
    <row r="2346" spans="1:23" hidden="1" x14ac:dyDescent="0.25">
      <c r="A2346">
        <v>5217310000</v>
      </c>
      <c r="B2346" s="16" t="s">
        <v>20154</v>
      </c>
      <c r="C2346" s="16" t="e">
        <f>VLOOKUP(Table1[[#This Row],[Node]],Parent!A:B,2,0)</f>
        <v>#N/A</v>
      </c>
      <c r="D2346" s="25" t="s">
        <v>19346</v>
      </c>
      <c r="E2346" s="26" t="s">
        <v>16544</v>
      </c>
      <c r="F2346" s="27" t="s">
        <v>18569</v>
      </c>
      <c r="G2346" s="27" t="s">
        <v>18810</v>
      </c>
      <c r="H2346" s="27" t="s">
        <v>18811</v>
      </c>
      <c r="I2346" s="27" t="s">
        <v>18848</v>
      </c>
      <c r="J2346" s="27" t="s">
        <v>18854</v>
      </c>
      <c r="K2346" s="27"/>
      <c r="L2346" s="27"/>
      <c r="N2346" s="27"/>
      <c r="T2346" s="28" t="str">
        <f>LOOKUP(1,1/(Table1[[#This Row],[Level_0]:[Level 15]]&gt;0),(Table1[[#This Row],[Level_0]:[Level 15]]))</f>
        <v>5217310000 - [IC Exp - SMS - MedSup - TherWasAirPur-AU]</v>
      </c>
      <c r="U2346" s="22">
        <v>2341</v>
      </c>
      <c r="W2346" s="13" t="str">
        <f>LOOKUP(1,1/(Table1[[#This Row],[Level_0]:[Level 15]]&gt;0),(Table1[[#This Row],[Level_0]:[Level 15]]))</f>
        <v>5217310000 - [IC Exp - SMS - MedSup - TherWasAirPur-AU]</v>
      </c>
    </row>
    <row r="2347" spans="1:23" hidden="1" x14ac:dyDescent="0.25">
      <c r="A2347">
        <v>5217110000</v>
      </c>
      <c r="B2347" s="16" t="s">
        <v>20152</v>
      </c>
      <c r="C2347" s="16" t="e">
        <f>VLOOKUP(Table1[[#This Row],[Node]],Parent!A:B,2,0)</f>
        <v>#N/A</v>
      </c>
      <c r="D2347" s="25" t="s">
        <v>19346</v>
      </c>
      <c r="E2347" s="26" t="s">
        <v>16544</v>
      </c>
      <c r="F2347" s="27" t="s">
        <v>18569</v>
      </c>
      <c r="G2347" s="27" t="s">
        <v>18810</v>
      </c>
      <c r="H2347" s="27" t="s">
        <v>18811</v>
      </c>
      <c r="I2347" s="27" t="s">
        <v>18848</v>
      </c>
      <c r="J2347" s="27" t="s">
        <v>18855</v>
      </c>
      <c r="K2347" s="27"/>
      <c r="L2347" s="27"/>
      <c r="N2347" s="27"/>
      <c r="T2347" s="28" t="str">
        <f>LOOKUP(1,1/(Table1[[#This Row],[Level_0]:[Level 15]]&gt;0),(Table1[[#This Row],[Level_0]:[Level 15]]))</f>
        <v>5217110000 - [IC Exp - SMS - MedSup - PartDIWater-M3]</v>
      </c>
      <c r="U2347" s="22">
        <v>2342</v>
      </c>
      <c r="W2347" s="13" t="str">
        <f>LOOKUP(1,1/(Table1[[#This Row],[Level_0]:[Level 15]]&gt;0),(Table1[[#This Row],[Level_0]:[Level 15]]))</f>
        <v>5217110000 - [IC Exp - SMS - MedSup - PartDIWater-M3]</v>
      </c>
    </row>
    <row r="2348" spans="1:23" hidden="1" x14ac:dyDescent="0.25">
      <c r="A2348">
        <v>5217010000</v>
      </c>
      <c r="B2348" s="16" t="s">
        <v>20151</v>
      </c>
      <c r="C2348" s="16" t="e">
        <f>VLOOKUP(Table1[[#This Row],[Node]],Parent!A:B,2,0)</f>
        <v>#N/A</v>
      </c>
      <c r="D2348" s="25" t="s">
        <v>19346</v>
      </c>
      <c r="E2348" s="26" t="s">
        <v>16544</v>
      </c>
      <c r="F2348" s="27" t="s">
        <v>18569</v>
      </c>
      <c r="G2348" s="27" t="s">
        <v>18810</v>
      </c>
      <c r="H2348" s="27" t="s">
        <v>18811</v>
      </c>
      <c r="I2348" s="27" t="s">
        <v>18848</v>
      </c>
      <c r="J2348" s="27" t="s">
        <v>18856</v>
      </c>
      <c r="K2348" s="27"/>
      <c r="L2348" s="27"/>
      <c r="N2348" s="27"/>
      <c r="T2348" s="28" t="str">
        <f>LOOKUP(1,1/(Table1[[#This Row],[Level_0]:[Level 15]]&gt;0),(Table1[[#This Row],[Level_0]:[Level 15]]))</f>
        <v>5217010000 - [IC Exp - SMS - MedSup -  HotDiWater-M3]</v>
      </c>
      <c r="U2348" s="22">
        <v>2343</v>
      </c>
      <c r="W2348" s="13" t="str">
        <f>LOOKUP(1,1/(Table1[[#This Row],[Level_0]:[Level 15]]&gt;0),(Table1[[#This Row],[Level_0]:[Level 15]]))</f>
        <v>5217010000 - [IC Exp - SMS - MedSup -  HotDiWater-M3]</v>
      </c>
    </row>
    <row r="2349" spans="1:23" hidden="1" x14ac:dyDescent="0.25">
      <c r="A2349">
        <v>5216910000</v>
      </c>
      <c r="B2349" s="16" t="s">
        <v>20150</v>
      </c>
      <c r="C2349" s="16" t="e">
        <f>VLOOKUP(Table1[[#This Row],[Node]],Parent!A:B,2,0)</f>
        <v>#N/A</v>
      </c>
      <c r="D2349" s="25" t="s">
        <v>19346</v>
      </c>
      <c r="E2349" s="26" t="s">
        <v>16544</v>
      </c>
      <c r="F2349" s="27" t="s">
        <v>18569</v>
      </c>
      <c r="G2349" s="27" t="s">
        <v>18810</v>
      </c>
      <c r="H2349" s="27" t="s">
        <v>18811</v>
      </c>
      <c r="I2349" s="27" t="s">
        <v>18848</v>
      </c>
      <c r="J2349" s="27" t="s">
        <v>18857</v>
      </c>
      <c r="K2349" s="27"/>
      <c r="L2349" s="27"/>
      <c r="N2349" s="27"/>
      <c r="T2349" s="28" t="str">
        <f>LOOKUP(1,1/(Table1[[#This Row],[Level_0]:[Level 15]]&gt;0),(Table1[[#This Row],[Level_0]:[Level 15]]))</f>
        <v>5216910000 - [IC Exp - SMS - MedSup - Sole-kwh]</v>
      </c>
      <c r="U2349" s="22">
        <v>2344</v>
      </c>
      <c r="W2349" s="13" t="str">
        <f>LOOKUP(1,1/(Table1[[#This Row],[Level_0]:[Level 15]]&gt;0),(Table1[[#This Row],[Level_0]:[Level 15]]))</f>
        <v>5216910000 - [IC Exp - SMS - MedSup - Sole-kwh]</v>
      </c>
    </row>
    <row r="2350" spans="1:23" hidden="1" x14ac:dyDescent="0.25">
      <c r="A2350">
        <v>7600304097</v>
      </c>
      <c r="B2350" s="16" t="s">
        <v>21296</v>
      </c>
      <c r="C2350" s="16" t="e">
        <f>VLOOKUP(Table1[[#This Row],[Node]],Parent!A:B,2,0)</f>
        <v>#N/A</v>
      </c>
      <c r="D2350" s="25" t="s">
        <v>19346</v>
      </c>
      <c r="E2350" s="26" t="s">
        <v>16544</v>
      </c>
      <c r="F2350" s="27" t="s">
        <v>18569</v>
      </c>
      <c r="G2350" s="27" t="s">
        <v>18810</v>
      </c>
      <c r="H2350" s="27" t="s">
        <v>18811</v>
      </c>
      <c r="I2350" s="27" t="s">
        <v>18848</v>
      </c>
      <c r="J2350" s="27" t="s">
        <v>18858</v>
      </c>
      <c r="K2350" s="27"/>
      <c r="L2350" s="27"/>
      <c r="N2350" s="27"/>
      <c r="T2350" s="28" t="str">
        <f>LOOKUP(1,1/(Table1[[#This Row],[Level_0]:[Level 15]]&gt;0),(Table1[[#This Row],[Level_0]:[Level 15]]))</f>
        <v>7600304097 - [DAA_wastewater very high load]</v>
      </c>
      <c r="U2350" s="22">
        <v>2345</v>
      </c>
      <c r="W2350" s="13" t="str">
        <f>LOOKUP(1,1/(Table1[[#This Row],[Level_0]:[Level 15]]&gt;0),(Table1[[#This Row],[Level_0]:[Level 15]]))</f>
        <v>7600304097 - [DAA_wastewater very high load]</v>
      </c>
    </row>
    <row r="2351" spans="1:23" hidden="1" x14ac:dyDescent="0.25">
      <c r="A2351">
        <v>7600304095</v>
      </c>
      <c r="B2351" s="16" t="s">
        <v>21294</v>
      </c>
      <c r="C2351" s="16" t="e">
        <f>VLOOKUP(Table1[[#This Row],[Node]],Parent!A:B,2,0)</f>
        <v>#N/A</v>
      </c>
      <c r="D2351" s="25" t="s">
        <v>19346</v>
      </c>
      <c r="E2351" s="26" t="s">
        <v>16544</v>
      </c>
      <c r="F2351" s="27" t="s">
        <v>18569</v>
      </c>
      <c r="G2351" s="27" t="s">
        <v>18810</v>
      </c>
      <c r="H2351" s="27" t="s">
        <v>18811</v>
      </c>
      <c r="I2351" s="27" t="s">
        <v>18848</v>
      </c>
      <c r="J2351" s="27" t="s">
        <v>18859</v>
      </c>
      <c r="K2351" s="27"/>
      <c r="L2351" s="27"/>
      <c r="N2351" s="27"/>
      <c r="T2351" s="28" t="str">
        <f>LOOKUP(1,1/(Table1[[#This Row],[Level_0]:[Level 15]]&gt;0),(Table1[[#This Row],[Level_0]:[Level 15]]))</f>
        <v>7600304095 - [DAA_heavy metal wastewater silo]</v>
      </c>
      <c r="U2351" s="22">
        <v>2346</v>
      </c>
      <c r="W2351" s="13" t="str">
        <f>LOOKUP(1,1/(Table1[[#This Row],[Level_0]:[Level 15]]&gt;0),(Table1[[#This Row],[Level_0]:[Level 15]]))</f>
        <v>7600304095 - [DAA_heavy metal wastewater silo]</v>
      </c>
    </row>
    <row r="2352" spans="1:23" hidden="1" x14ac:dyDescent="0.25">
      <c r="A2352">
        <v>7600304094</v>
      </c>
      <c r="B2352" s="16" t="s">
        <v>21293</v>
      </c>
      <c r="C2352" s="16" t="e">
        <f>VLOOKUP(Table1[[#This Row],[Node]],Parent!A:B,2,0)</f>
        <v>#N/A</v>
      </c>
      <c r="D2352" s="25" t="s">
        <v>19346</v>
      </c>
      <c r="E2352" s="26" t="s">
        <v>16544</v>
      </c>
      <c r="F2352" s="27" t="s">
        <v>18569</v>
      </c>
      <c r="G2352" s="27" t="s">
        <v>18810</v>
      </c>
      <c r="H2352" s="27" t="s">
        <v>18811</v>
      </c>
      <c r="I2352" s="27" t="s">
        <v>18848</v>
      </c>
      <c r="J2352" s="27" t="s">
        <v>18860</v>
      </c>
      <c r="K2352" s="27"/>
      <c r="L2352" s="27"/>
      <c r="N2352" s="27"/>
      <c r="T2352" s="28" t="str">
        <f>LOOKUP(1,1/(Table1[[#This Row],[Level_0]:[Level 15]]&gt;0),(Table1[[#This Row],[Level_0]:[Level 15]]))</f>
        <v>7600304094 - [DAA_heavy metal wastwater IBC]</v>
      </c>
      <c r="U2352" s="22">
        <v>2347</v>
      </c>
      <c r="W2352" s="13" t="str">
        <f>LOOKUP(1,1/(Table1[[#This Row],[Level_0]:[Level 15]]&gt;0),(Table1[[#This Row],[Level_0]:[Level 15]]))</f>
        <v>7600304094 - [DAA_heavy metal wastwater IBC]</v>
      </c>
    </row>
    <row r="2353" spans="1:23" hidden="1" x14ac:dyDescent="0.25">
      <c r="A2353">
        <v>7600304090</v>
      </c>
      <c r="B2353" s="16" t="s">
        <v>21289</v>
      </c>
      <c r="C2353" s="16" t="e">
        <f>VLOOKUP(Table1[[#This Row],[Node]],Parent!A:B,2,0)</f>
        <v>#N/A</v>
      </c>
      <c r="D2353" s="25" t="s">
        <v>19346</v>
      </c>
      <c r="E2353" s="26" t="s">
        <v>16544</v>
      </c>
      <c r="F2353" s="27" t="s">
        <v>18569</v>
      </c>
      <c r="G2353" s="27" t="s">
        <v>18810</v>
      </c>
      <c r="H2353" s="27" t="s">
        <v>18811</v>
      </c>
      <c r="I2353" s="27" t="s">
        <v>18848</v>
      </c>
      <c r="J2353" s="27" t="s">
        <v>18861</v>
      </c>
      <c r="K2353" s="27"/>
      <c r="L2353" s="27"/>
      <c r="N2353" s="27"/>
      <c r="T2353" s="28" t="str">
        <f>LOOKUP(1,1/(Table1[[#This Row],[Level_0]:[Level 15]]&gt;0),(Table1[[#This Row],[Level_0]:[Level 15]]))</f>
        <v>7600304090 - [DAA_wastewater with load and disruption]</v>
      </c>
      <c r="U2353" s="22">
        <v>2348</v>
      </c>
      <c r="W2353" s="13" t="str">
        <f>LOOKUP(1,1/(Table1[[#This Row],[Level_0]:[Level 15]]&gt;0),(Table1[[#This Row],[Level_0]:[Level 15]]))</f>
        <v>7600304090 - [DAA_wastewater with load and disruption]</v>
      </c>
    </row>
    <row r="2354" spans="1:23" hidden="1" x14ac:dyDescent="0.25">
      <c r="A2354">
        <v>7600304087</v>
      </c>
      <c r="B2354" s="16" t="s">
        <v>21286</v>
      </c>
      <c r="C2354" s="16" t="e">
        <f>VLOOKUP(Table1[[#This Row],[Node]],Parent!A:B,2,0)</f>
        <v>#N/A</v>
      </c>
      <c r="D2354" s="25" t="s">
        <v>19346</v>
      </c>
      <c r="E2354" s="26" t="s">
        <v>16544</v>
      </c>
      <c r="F2354" s="27" t="s">
        <v>18569</v>
      </c>
      <c r="G2354" s="27" t="s">
        <v>18810</v>
      </c>
      <c r="H2354" s="27" t="s">
        <v>18811</v>
      </c>
      <c r="I2354" s="27" t="s">
        <v>18848</v>
      </c>
      <c r="J2354" s="27" t="s">
        <v>18862</v>
      </c>
      <c r="K2354" s="27"/>
      <c r="L2354" s="27"/>
      <c r="N2354" s="27"/>
      <c r="T2354" s="28" t="str">
        <f>LOOKUP(1,1/(Table1[[#This Row],[Level_0]:[Level 15]]&gt;0),(Table1[[#This Row],[Level_0]:[Level 15]]))</f>
        <v>7600304087 - [DAA_wastewater with load]</v>
      </c>
      <c r="U2354" s="22">
        <v>2349</v>
      </c>
      <c r="W2354" s="13" t="str">
        <f>LOOKUP(1,1/(Table1[[#This Row],[Level_0]:[Level 15]]&gt;0),(Table1[[#This Row],[Level_0]:[Level 15]]))</f>
        <v>7600304087 - [DAA_wastewater with load]</v>
      </c>
    </row>
    <row r="2355" spans="1:23" hidden="1" x14ac:dyDescent="0.25">
      <c r="A2355">
        <v>7600304086</v>
      </c>
      <c r="B2355" s="16" t="s">
        <v>21285</v>
      </c>
      <c r="C2355" s="16" t="e">
        <f>VLOOKUP(Table1[[#This Row],[Node]],Parent!A:B,2,0)</f>
        <v>#N/A</v>
      </c>
      <c r="D2355" s="25" t="s">
        <v>19346</v>
      </c>
      <c r="E2355" s="26" t="s">
        <v>16544</v>
      </c>
      <c r="F2355" s="27" t="s">
        <v>18569</v>
      </c>
      <c r="G2355" s="27" t="s">
        <v>18810</v>
      </c>
      <c r="H2355" s="27" t="s">
        <v>18811</v>
      </c>
      <c r="I2355" s="27" t="s">
        <v>18848</v>
      </c>
      <c r="J2355" s="27" t="s">
        <v>18863</v>
      </c>
      <c r="K2355" s="27"/>
      <c r="L2355" s="27"/>
      <c r="N2355" s="27"/>
      <c r="T2355" s="28" t="str">
        <f>LOOKUP(1,1/(Table1[[#This Row],[Level_0]:[Level 15]]&gt;0),(Table1[[#This Row],[Level_0]:[Level 15]]))</f>
        <v>7600304086 - [DAA_wastewater with disruption potential]</v>
      </c>
      <c r="U2355" s="22">
        <v>2350</v>
      </c>
      <c r="W2355" s="13" t="str">
        <f>LOOKUP(1,1/(Table1[[#This Row],[Level_0]:[Level 15]]&gt;0),(Table1[[#This Row],[Level_0]:[Level 15]]))</f>
        <v>7600304086 - [DAA_wastewater with disruption potential]</v>
      </c>
    </row>
    <row r="2356" spans="1:23" hidden="1" x14ac:dyDescent="0.25">
      <c r="A2356">
        <v>7600304099</v>
      </c>
      <c r="B2356" s="16" t="s">
        <v>21298</v>
      </c>
      <c r="C2356" s="16" t="e">
        <f>VLOOKUP(Table1[[#This Row],[Node]],Parent!A:B,2,0)</f>
        <v>#N/A</v>
      </c>
      <c r="D2356" s="25" t="s">
        <v>19346</v>
      </c>
      <c r="E2356" s="26" t="s">
        <v>16544</v>
      </c>
      <c r="F2356" s="27" t="s">
        <v>18569</v>
      </c>
      <c r="G2356" s="27" t="s">
        <v>18810</v>
      </c>
      <c r="H2356" s="27" t="s">
        <v>18811</v>
      </c>
      <c r="I2356" s="27" t="s">
        <v>18848</v>
      </c>
      <c r="J2356" s="27" t="s">
        <v>18864</v>
      </c>
      <c r="K2356" s="27"/>
      <c r="L2356" s="27"/>
      <c r="N2356" s="27"/>
      <c r="T2356" s="28" t="str">
        <f>LOOKUP(1,1/(Table1[[#This Row],[Level_0]:[Level 15]]&gt;0),(Table1[[#This Row],[Level_0]:[Level 15]]))</f>
        <v>7600304099 - [DAA_wastewater basic]</v>
      </c>
      <c r="U2356" s="22">
        <v>2351</v>
      </c>
      <c r="W2356" s="13" t="str">
        <f>LOOKUP(1,1/(Table1[[#This Row],[Level_0]:[Level 15]]&gt;0),(Table1[[#This Row],[Level_0]:[Level 15]]))</f>
        <v>7600304099 - [DAA_wastewater basic]</v>
      </c>
    </row>
    <row r="2357" spans="1:23" hidden="1" x14ac:dyDescent="0.25">
      <c r="A2357">
        <v>5216260000</v>
      </c>
      <c r="B2357" s="16" t="s">
        <v>20142</v>
      </c>
      <c r="C2357" s="16" t="e">
        <f>VLOOKUP(Table1[[#This Row],[Node]],Parent!A:B,2,0)</f>
        <v>#N/A</v>
      </c>
      <c r="D2357" s="25" t="s">
        <v>19346</v>
      </c>
      <c r="E2357" s="26" t="s">
        <v>16544</v>
      </c>
      <c r="F2357" s="27" t="s">
        <v>18569</v>
      </c>
      <c r="G2357" s="27" t="s">
        <v>18810</v>
      </c>
      <c r="H2357" s="27" t="s">
        <v>18811</v>
      </c>
      <c r="I2357" s="27" t="s">
        <v>18848</v>
      </c>
      <c r="J2357" s="27" t="s">
        <v>18865</v>
      </c>
      <c r="K2357" s="27"/>
      <c r="L2357" s="27"/>
      <c r="N2357" s="27"/>
      <c r="T2357" s="28" t="str">
        <f>LOOKUP(1,1/(Table1[[#This Row],[Level_0]:[Level 15]]&gt;0),(Table1[[#This Row],[Level_0]:[Level 15]]))</f>
        <v>5216260000 - [IC Exp - SMS - SM Add.Water]</v>
      </c>
      <c r="U2357" s="22">
        <v>2352</v>
      </c>
      <c r="W2357" s="13" t="str">
        <f>LOOKUP(1,1/(Table1[[#This Row],[Level_0]:[Level 15]]&gt;0),(Table1[[#This Row],[Level_0]:[Level 15]]))</f>
        <v>5216260000 - [IC Exp - SMS - SM Add.Water]</v>
      </c>
    </row>
    <row r="2358" spans="1:23" hidden="1" x14ac:dyDescent="0.25">
      <c r="A2358">
        <v>5216010000</v>
      </c>
      <c r="B2358" s="16" t="s">
        <v>20138</v>
      </c>
      <c r="C2358" s="16" t="e">
        <f>VLOOKUP(Table1[[#This Row],[Node]],Parent!A:B,2,0)</f>
        <v>#N/A</v>
      </c>
      <c r="D2358" s="25" t="s">
        <v>19346</v>
      </c>
      <c r="E2358" s="26" t="s">
        <v>16544</v>
      </c>
      <c r="F2358" s="27" t="s">
        <v>18569</v>
      </c>
      <c r="G2358" s="27" t="s">
        <v>18810</v>
      </c>
      <c r="H2358" s="27" t="s">
        <v>18811</v>
      </c>
      <c r="I2358" s="27" t="s">
        <v>18848</v>
      </c>
      <c r="J2358" s="27" t="s">
        <v>18866</v>
      </c>
      <c r="K2358" s="27"/>
      <c r="L2358" s="27"/>
      <c r="N2358" s="27"/>
      <c r="T2358" s="28" t="str">
        <f>LOOKUP(1,1/(Table1[[#This Row],[Level_0]:[Level 15]]&gt;0),(Table1[[#This Row],[Level_0]:[Level 15]]))</f>
        <v>5216010000 - [IC Exp - SMS - MedSup - Cooling Water]</v>
      </c>
      <c r="U2358" s="22">
        <v>2353</v>
      </c>
      <c r="W2358" s="13" t="str">
        <f>LOOKUP(1,1/(Table1[[#This Row],[Level_0]:[Level 15]]&gt;0),(Table1[[#This Row],[Level_0]:[Level 15]]))</f>
        <v>5216010000 - [IC Exp - SMS - MedSup - Cooling Water]</v>
      </c>
    </row>
    <row r="2359" spans="1:23" hidden="1" x14ac:dyDescent="0.25">
      <c r="A2359">
        <v>5216610000</v>
      </c>
      <c r="B2359" s="16" t="s">
        <v>20147</v>
      </c>
      <c r="C2359" s="16" t="e">
        <f>VLOOKUP(Table1[[#This Row],[Node]],Parent!A:B,2,0)</f>
        <v>#N/A</v>
      </c>
      <c r="D2359" s="25" t="s">
        <v>19346</v>
      </c>
      <c r="E2359" s="26" t="s">
        <v>16544</v>
      </c>
      <c r="F2359" s="27" t="s">
        <v>18569</v>
      </c>
      <c r="G2359" s="27" t="s">
        <v>18810</v>
      </c>
      <c r="H2359" s="27" t="s">
        <v>18811</v>
      </c>
      <c r="I2359" s="27" t="s">
        <v>18848</v>
      </c>
      <c r="J2359" s="27" t="s">
        <v>18867</v>
      </c>
      <c r="K2359" s="27"/>
      <c r="L2359" s="27"/>
      <c r="N2359" s="27"/>
      <c r="T2359" s="28" t="str">
        <f>LOOKUP(1,1/(Table1[[#This Row],[Level_0]:[Level 15]]&gt;0),(Table1[[#This Row],[Level_0]:[Level 15]]))</f>
        <v>5216610000 - [IC Exp - SMS - MedSup - ColdWater Ref6C]</v>
      </c>
      <c r="U2359" s="22">
        <v>2354</v>
      </c>
      <c r="W2359" s="13" t="str">
        <f>LOOKUP(1,1/(Table1[[#This Row],[Level_0]:[Level 15]]&gt;0),(Table1[[#This Row],[Level_0]:[Level 15]]))</f>
        <v>5216610000 - [IC Exp - SMS - MedSup - ColdWater Ref6C]</v>
      </c>
    </row>
    <row r="2360" spans="1:23" hidden="1" x14ac:dyDescent="0.25">
      <c r="A2360">
        <v>5216110000</v>
      </c>
      <c r="B2360" s="16" t="s">
        <v>20139</v>
      </c>
      <c r="C2360" s="16" t="e">
        <f>VLOOKUP(Table1[[#This Row],[Node]],Parent!A:B,2,0)</f>
        <v>#N/A</v>
      </c>
      <c r="D2360" s="25" t="s">
        <v>19346</v>
      </c>
      <c r="E2360" s="26" t="s">
        <v>16544</v>
      </c>
      <c r="F2360" s="27" t="s">
        <v>18569</v>
      </c>
      <c r="G2360" s="27" t="s">
        <v>18810</v>
      </c>
      <c r="H2360" s="27" t="s">
        <v>18811</v>
      </c>
      <c r="I2360" s="27" t="s">
        <v>18848</v>
      </c>
      <c r="J2360" s="27" t="s">
        <v>18868</v>
      </c>
      <c r="K2360" s="27"/>
      <c r="L2360" s="27"/>
      <c r="N2360" s="27"/>
      <c r="T2360" s="28" t="str">
        <f>LOOKUP(1,1/(Table1[[#This Row],[Level_0]:[Level 15]]&gt;0),(Table1[[#This Row],[Level_0]:[Level 15]]))</f>
        <v>5216110000 - [IC Exp - SMS - MedSup - RawWater]</v>
      </c>
      <c r="U2360" s="22">
        <v>2355</v>
      </c>
      <c r="W2360" s="13" t="str">
        <f>LOOKUP(1,1/(Table1[[#This Row],[Level_0]:[Level 15]]&gt;0),(Table1[[#This Row],[Level_0]:[Level 15]]))</f>
        <v>5216110000 - [IC Exp - SMS - MedSup - RawWater]</v>
      </c>
    </row>
    <row r="2361" spans="1:23" hidden="1" x14ac:dyDescent="0.25">
      <c r="A2361">
        <v>5216270000</v>
      </c>
      <c r="B2361" s="16" t="s">
        <v>20143</v>
      </c>
      <c r="C2361" s="16" t="e">
        <f>VLOOKUP(Table1[[#This Row],[Node]],Parent!A:B,2,0)</f>
        <v>#N/A</v>
      </c>
      <c r="D2361" s="25" t="s">
        <v>19346</v>
      </c>
      <c r="E2361" s="26" t="s">
        <v>16544</v>
      </c>
      <c r="F2361" s="27" t="s">
        <v>18569</v>
      </c>
      <c r="G2361" s="27" t="s">
        <v>18810</v>
      </c>
      <c r="H2361" s="27" t="s">
        <v>18811</v>
      </c>
      <c r="I2361" s="27" t="s">
        <v>18848</v>
      </c>
      <c r="J2361" s="27" t="s">
        <v>18869</v>
      </c>
      <c r="K2361" s="27"/>
      <c r="L2361" s="27"/>
      <c r="N2361" s="27"/>
      <c r="T2361" s="28" t="str">
        <f>LOOKUP(1,1/(Table1[[#This Row],[Level_0]:[Level 15]]&gt;0),(Table1[[#This Row],[Level_0]:[Level 15]]))</f>
        <v>5216270000 - [IC Exp - SMS - SM Plant Water]</v>
      </c>
      <c r="U2361" s="22">
        <v>2356</v>
      </c>
      <c r="W2361" s="13" t="str">
        <f>LOOKUP(1,1/(Table1[[#This Row],[Level_0]:[Level 15]]&gt;0),(Table1[[#This Row],[Level_0]:[Level 15]]))</f>
        <v>5216270000 - [IC Exp - SMS - SM Plant Water]</v>
      </c>
    </row>
    <row r="2362" spans="1:23" hidden="1" x14ac:dyDescent="0.25">
      <c r="A2362">
        <v>7600304252</v>
      </c>
      <c r="B2362" s="16" t="s">
        <v>21433</v>
      </c>
      <c r="C2362" s="16" t="e">
        <f>VLOOKUP(Table1[[#This Row],[Node]],Parent!A:B,2,0)</f>
        <v>#N/A</v>
      </c>
      <c r="D2362" s="25" t="s">
        <v>19346</v>
      </c>
      <c r="E2362" s="26" t="s">
        <v>16544</v>
      </c>
      <c r="F2362" s="27" t="s">
        <v>18569</v>
      </c>
      <c r="G2362" s="27" t="s">
        <v>18810</v>
      </c>
      <c r="H2362" s="27" t="s">
        <v>18811</v>
      </c>
      <c r="I2362" s="27" t="s">
        <v>18848</v>
      </c>
      <c r="J2362" s="27" t="s">
        <v>18870</v>
      </c>
      <c r="K2362" s="27"/>
      <c r="L2362" s="27"/>
      <c r="N2362" s="27"/>
      <c r="T2362" s="28" t="str">
        <f>LOOKUP(1,1/(Table1[[#This Row],[Level_0]:[Level 15]]&gt;0),(Table1[[#This Row],[Level_0]:[Level 15]]))</f>
        <v>7600304252 - [DAA_Drink.wat.Netz.]</v>
      </c>
      <c r="U2362" s="22">
        <v>2357</v>
      </c>
      <c r="W2362" s="13" t="str">
        <f>LOOKUP(1,1/(Table1[[#This Row],[Level_0]:[Level 15]]&gt;0),(Table1[[#This Row],[Level_0]:[Level 15]]))</f>
        <v>7600304252 - [DAA_Drink.wat.Netz.]</v>
      </c>
    </row>
    <row r="2363" spans="1:23" hidden="1" x14ac:dyDescent="0.25">
      <c r="A2363">
        <v>7600304229</v>
      </c>
      <c r="B2363" s="16" t="s">
        <v>21420</v>
      </c>
      <c r="C2363" s="16" t="e">
        <f>VLOOKUP(Table1[[#This Row],[Node]],Parent!A:B,2,0)</f>
        <v>#N/A</v>
      </c>
      <c r="D2363" s="25" t="s">
        <v>19346</v>
      </c>
      <c r="E2363" s="26" t="s">
        <v>16544</v>
      </c>
      <c r="F2363" s="27" t="s">
        <v>18569</v>
      </c>
      <c r="G2363" s="27" t="s">
        <v>18810</v>
      </c>
      <c r="H2363" s="27" t="s">
        <v>18811</v>
      </c>
      <c r="I2363" s="27" t="s">
        <v>18848</v>
      </c>
      <c r="J2363" s="27" t="s">
        <v>18871</v>
      </c>
      <c r="K2363" s="27"/>
      <c r="L2363" s="27"/>
      <c r="N2363" s="27"/>
      <c r="T2363" s="28" t="str">
        <f>LOOKUP(1,1/(Table1[[#This Row],[Level_0]:[Level 15]]&gt;0),(Table1[[#This Row],[Level_0]:[Level 15]]))</f>
        <v>7600304229 - [DAA_factory water]</v>
      </c>
      <c r="U2363" s="22">
        <v>2358</v>
      </c>
      <c r="W2363" s="13" t="str">
        <f>LOOKUP(1,1/(Table1[[#This Row],[Level_0]:[Level 15]]&gt;0),(Table1[[#This Row],[Level_0]:[Level 15]]))</f>
        <v>7600304229 - [DAA_factory water]</v>
      </c>
    </row>
    <row r="2364" spans="1:23" hidden="1" x14ac:dyDescent="0.25">
      <c r="A2364">
        <v>7600304225</v>
      </c>
      <c r="B2364" s="16" t="s">
        <v>21416</v>
      </c>
      <c r="C2364" s="16" t="e">
        <f>VLOOKUP(Table1[[#This Row],[Node]],Parent!A:B,2,0)</f>
        <v>#N/A</v>
      </c>
      <c r="D2364" s="25" t="s">
        <v>19346</v>
      </c>
      <c r="E2364" s="26" t="s">
        <v>16544</v>
      </c>
      <c r="F2364" s="27" t="s">
        <v>18569</v>
      </c>
      <c r="G2364" s="27" t="s">
        <v>18810</v>
      </c>
      <c r="H2364" s="27" t="s">
        <v>18811</v>
      </c>
      <c r="I2364" s="27" t="s">
        <v>18848</v>
      </c>
      <c r="J2364" s="27" t="s">
        <v>18872</v>
      </c>
      <c r="K2364" s="27"/>
      <c r="L2364" s="27"/>
      <c r="N2364" s="27"/>
      <c r="T2364" s="28" t="str">
        <f>LOOKUP(1,1/(Table1[[#This Row],[Level_0]:[Level 15]]&gt;0),(Table1[[#This Row],[Level_0]:[Level 15]]))</f>
        <v>7600304225 - [DAA_Raw water cool.]</v>
      </c>
      <c r="U2364" s="22">
        <v>2359</v>
      </c>
      <c r="W2364" s="13" t="str">
        <f>LOOKUP(1,1/(Table1[[#This Row],[Level_0]:[Level 15]]&gt;0),(Table1[[#This Row],[Level_0]:[Level 15]]))</f>
        <v>7600304225 - [DAA_Raw water cool.]</v>
      </c>
    </row>
    <row r="2365" spans="1:23" hidden="1" x14ac:dyDescent="0.25">
      <c r="A2365">
        <v>7600304063</v>
      </c>
      <c r="B2365" s="16" t="s">
        <v>21264</v>
      </c>
      <c r="C2365" s="16" t="e">
        <f>VLOOKUP(Table1[[#This Row],[Node]],Parent!A:B,2,0)</f>
        <v>#N/A</v>
      </c>
      <c r="D2365" s="25" t="s">
        <v>19346</v>
      </c>
      <c r="E2365" s="26" t="s">
        <v>16544</v>
      </c>
      <c r="F2365" s="27" t="s">
        <v>18569</v>
      </c>
      <c r="G2365" s="27" t="s">
        <v>18810</v>
      </c>
      <c r="H2365" s="27" t="s">
        <v>18811</v>
      </c>
      <c r="I2365" s="27" t="s">
        <v>18848</v>
      </c>
      <c r="J2365" s="27" t="s">
        <v>18873</v>
      </c>
      <c r="K2365" s="27"/>
      <c r="L2365" s="27"/>
      <c r="N2365" s="27"/>
      <c r="T2365" s="28" t="str">
        <f>LOOKUP(1,1/(Table1[[#This Row],[Level_0]:[Level 15]]&gt;0),(Table1[[#This Row],[Level_0]:[Level 15]]))</f>
        <v>7600304063 - [DAA Plant water supply]</v>
      </c>
      <c r="U2365" s="22">
        <v>2360</v>
      </c>
      <c r="W2365" s="13" t="str">
        <f>LOOKUP(1,1/(Table1[[#This Row],[Level_0]:[Level 15]]&gt;0),(Table1[[#This Row],[Level_0]:[Level 15]]))</f>
        <v>7600304063 - [DAA Plant water supply]</v>
      </c>
    </row>
    <row r="2366" spans="1:23" hidden="1" x14ac:dyDescent="0.25">
      <c r="A2366">
        <v>7600304052</v>
      </c>
      <c r="B2366" s="16" t="s">
        <v>21253</v>
      </c>
      <c r="C2366" s="16" t="e">
        <f>VLOOKUP(Table1[[#This Row],[Node]],Parent!A:B,2,0)</f>
        <v>#N/A</v>
      </c>
      <c r="D2366" s="25" t="s">
        <v>19346</v>
      </c>
      <c r="E2366" s="26" t="s">
        <v>16544</v>
      </c>
      <c r="F2366" s="27" t="s">
        <v>18569</v>
      </c>
      <c r="G2366" s="27" t="s">
        <v>18810</v>
      </c>
      <c r="H2366" s="27" t="s">
        <v>18811</v>
      </c>
      <c r="I2366" s="27" t="s">
        <v>18848</v>
      </c>
      <c r="J2366" s="27" t="s">
        <v>18874</v>
      </c>
      <c r="K2366" s="27"/>
      <c r="L2366" s="27"/>
      <c r="N2366" s="27"/>
      <c r="T2366" s="28" t="str">
        <f>LOOKUP(1,1/(Table1[[#This Row],[Level_0]:[Level 15]]&gt;0),(Table1[[#This Row],[Level_0]:[Level 15]]))</f>
        <v>7600304052 - [DAA Raw water supply]</v>
      </c>
      <c r="U2366" s="22">
        <v>2361</v>
      </c>
      <c r="W2366" s="13" t="str">
        <f>LOOKUP(1,1/(Table1[[#This Row],[Level_0]:[Level 15]]&gt;0),(Table1[[#This Row],[Level_0]:[Level 15]]))</f>
        <v>7600304052 - [DAA Raw water supply]</v>
      </c>
    </row>
    <row r="2367" spans="1:23" hidden="1" x14ac:dyDescent="0.25">
      <c r="A2367">
        <v>7600304049</v>
      </c>
      <c r="B2367" s="16" t="s">
        <v>21250</v>
      </c>
      <c r="C2367" s="16" t="e">
        <f>VLOOKUP(Table1[[#This Row],[Node]],Parent!A:B,2,0)</f>
        <v>#N/A</v>
      </c>
      <c r="D2367" s="25" t="s">
        <v>19346</v>
      </c>
      <c r="E2367" s="26" t="s">
        <v>16544</v>
      </c>
      <c r="F2367" s="27" t="s">
        <v>18569</v>
      </c>
      <c r="G2367" s="27" t="s">
        <v>18810</v>
      </c>
      <c r="H2367" s="27" t="s">
        <v>18811</v>
      </c>
      <c r="I2367" s="27" t="s">
        <v>18848</v>
      </c>
      <c r="J2367" s="27" t="s">
        <v>18875</v>
      </c>
      <c r="K2367" s="27"/>
      <c r="L2367" s="27"/>
      <c r="N2367" s="27"/>
      <c r="T2367" s="28" t="str">
        <f>LOOKUP(1,1/(Table1[[#This Row],[Level_0]:[Level 15]]&gt;0),(Table1[[#This Row],[Level_0]:[Level 15]]))</f>
        <v>7600304049 - [DAA Drinking water]</v>
      </c>
      <c r="U2367" s="22">
        <v>2362</v>
      </c>
      <c r="W2367" s="13" t="str">
        <f>LOOKUP(1,1/(Table1[[#This Row],[Level_0]:[Level 15]]&gt;0),(Table1[[#This Row],[Level_0]:[Level 15]]))</f>
        <v>7600304049 - [DAA Drinking water]</v>
      </c>
    </row>
    <row r="2368" spans="1:23" hidden="1" x14ac:dyDescent="0.25">
      <c r="A2368">
        <v>7600304046</v>
      </c>
      <c r="B2368" s="16" t="s">
        <v>21247</v>
      </c>
      <c r="C2368" s="16" t="e">
        <f>VLOOKUP(Table1[[#This Row],[Node]],Parent!A:B,2,0)</f>
        <v>#N/A</v>
      </c>
      <c r="D2368" s="25" t="s">
        <v>19346</v>
      </c>
      <c r="E2368" s="26" t="s">
        <v>16544</v>
      </c>
      <c r="F2368" s="27" t="s">
        <v>18569</v>
      </c>
      <c r="G2368" s="27" t="s">
        <v>18810</v>
      </c>
      <c r="H2368" s="27" t="s">
        <v>18811</v>
      </c>
      <c r="I2368" s="27" t="s">
        <v>18848</v>
      </c>
      <c r="J2368" s="27" t="s">
        <v>18876</v>
      </c>
      <c r="K2368" s="27"/>
      <c r="L2368" s="27"/>
      <c r="N2368" s="27"/>
      <c r="T2368" s="28" t="str">
        <f>LOOKUP(1,1/(Table1[[#This Row],[Level_0]:[Level 15]]&gt;0),(Table1[[#This Row],[Level_0]:[Level 15]]))</f>
        <v>7600304046 - [DAA Demineralized water]</v>
      </c>
      <c r="U2368" s="22">
        <v>2363</v>
      </c>
      <c r="W2368" s="13" t="str">
        <f>LOOKUP(1,1/(Table1[[#This Row],[Level_0]:[Level 15]]&gt;0),(Table1[[#This Row],[Level_0]:[Level 15]]))</f>
        <v>7600304046 - [DAA Demineralized water]</v>
      </c>
    </row>
    <row r="2369" spans="1:23" hidden="1" x14ac:dyDescent="0.25">
      <c r="A2369">
        <v>7320140021</v>
      </c>
      <c r="B2369" s="16" t="s">
        <v>20877</v>
      </c>
      <c r="C2369" s="16" t="e">
        <f>VLOOKUP(Table1[[#This Row],[Node]],Parent!A:B,2,0)</f>
        <v>#N/A</v>
      </c>
      <c r="D2369" s="25" t="s">
        <v>19346</v>
      </c>
      <c r="E2369" s="26" t="s">
        <v>16544</v>
      </c>
      <c r="F2369" s="27" t="s">
        <v>18569</v>
      </c>
      <c r="G2369" s="27" t="s">
        <v>18810</v>
      </c>
      <c r="H2369" s="27" t="s">
        <v>18811</v>
      </c>
      <c r="I2369" s="27" t="s">
        <v>18848</v>
      </c>
      <c r="J2369" s="27" t="s">
        <v>18877</v>
      </c>
      <c r="K2369" s="27"/>
      <c r="L2369" s="27"/>
      <c r="N2369" s="27"/>
      <c r="T2369" s="28" t="str">
        <f>LOOKUP(1,1/(Table1[[#This Row],[Level_0]:[Level 15]]&gt;0),(Table1[[#This Row],[Level_0]:[Level 15]]))</f>
        <v>7320140021 - [AOM - Partially Deionized Water (M3)]</v>
      </c>
      <c r="U2369" s="22">
        <v>2364</v>
      </c>
      <c r="W2369" s="13" t="str">
        <f>LOOKUP(1,1/(Table1[[#This Row],[Level_0]:[Level 15]]&gt;0),(Table1[[#This Row],[Level_0]:[Level 15]]))</f>
        <v>7320140021 - [AOM - Partially Deionized Water (M3)]</v>
      </c>
    </row>
    <row r="2370" spans="1:23" hidden="1" x14ac:dyDescent="0.25">
      <c r="A2370">
        <v>7320140020</v>
      </c>
      <c r="B2370" s="16" t="s">
        <v>20876</v>
      </c>
      <c r="C2370" s="16" t="e">
        <f>VLOOKUP(Table1[[#This Row],[Node]],Parent!A:B,2,0)</f>
        <v>#N/A</v>
      </c>
      <c r="D2370" s="25" t="s">
        <v>19346</v>
      </c>
      <c r="E2370" s="26" t="s">
        <v>16544</v>
      </c>
      <c r="F2370" s="27" t="s">
        <v>18569</v>
      </c>
      <c r="G2370" s="27" t="s">
        <v>18810</v>
      </c>
      <c r="H2370" s="27" t="s">
        <v>18811</v>
      </c>
      <c r="I2370" s="27" t="s">
        <v>18848</v>
      </c>
      <c r="J2370" s="27" t="s">
        <v>18878</v>
      </c>
      <c r="K2370" s="27"/>
      <c r="L2370" s="27"/>
      <c r="N2370" s="27"/>
      <c r="T2370" s="28" t="str">
        <f>LOOKUP(1,1/(Table1[[#This Row],[Level_0]:[Level 15]]&gt;0),(Table1[[#This Row],[Level_0]:[Level 15]]))</f>
        <v>7320140020 - [AOM - Deionized Water (M3)]</v>
      </c>
      <c r="U2370" s="22">
        <v>2365</v>
      </c>
      <c r="W2370" s="13" t="str">
        <f>LOOKUP(1,1/(Table1[[#This Row],[Level_0]:[Level 15]]&gt;0),(Table1[[#This Row],[Level_0]:[Level 15]]))</f>
        <v>7320140020 - [AOM - Deionized Water (M3)]</v>
      </c>
    </row>
    <row r="2371" spans="1:23" hidden="1" x14ac:dyDescent="0.25">
      <c r="A2371">
        <v>7320140018</v>
      </c>
      <c r="B2371" s="16" t="s">
        <v>20874</v>
      </c>
      <c r="C2371" s="16" t="e">
        <f>VLOOKUP(Table1[[#This Row],[Node]],Parent!A:B,2,0)</f>
        <v>#N/A</v>
      </c>
      <c r="D2371" s="25" t="s">
        <v>19346</v>
      </c>
      <c r="E2371" s="26" t="s">
        <v>16544</v>
      </c>
      <c r="F2371" s="27" t="s">
        <v>18569</v>
      </c>
      <c r="G2371" s="27" t="s">
        <v>18810</v>
      </c>
      <c r="H2371" s="27" t="s">
        <v>18811</v>
      </c>
      <c r="I2371" s="27" t="s">
        <v>18848</v>
      </c>
      <c r="J2371" s="27" t="s">
        <v>18879</v>
      </c>
      <c r="K2371" s="27"/>
      <c r="L2371" s="27"/>
      <c r="N2371" s="27"/>
      <c r="T2371" s="28" t="str">
        <f>LOOKUP(1,1/(Table1[[#This Row],[Level_0]:[Level 15]]&gt;0),(Table1[[#This Row],[Level_0]:[Level 15]]))</f>
        <v>7320140018 - [AOM - Water Cooling (M3)]</v>
      </c>
      <c r="U2371" s="22">
        <v>2366</v>
      </c>
      <c r="W2371" s="13" t="str">
        <f>LOOKUP(1,1/(Table1[[#This Row],[Level_0]:[Level 15]]&gt;0),(Table1[[#This Row],[Level_0]:[Level 15]]))</f>
        <v>7320140018 - [AOM - Water Cooling (M3)]</v>
      </c>
    </row>
    <row r="2372" spans="1:23" hidden="1" x14ac:dyDescent="0.25">
      <c r="A2372">
        <v>7320140017</v>
      </c>
      <c r="B2372" s="16" t="s">
        <v>20873</v>
      </c>
      <c r="C2372" s="16" t="e">
        <f>VLOOKUP(Table1[[#This Row],[Node]],Parent!A:B,2,0)</f>
        <v>#N/A</v>
      </c>
      <c r="D2372" s="25" t="s">
        <v>19346</v>
      </c>
      <c r="E2372" s="26" t="s">
        <v>16544</v>
      </c>
      <c r="F2372" s="27" t="s">
        <v>18569</v>
      </c>
      <c r="G2372" s="27" t="s">
        <v>18810</v>
      </c>
      <c r="H2372" s="27" t="s">
        <v>18811</v>
      </c>
      <c r="I2372" s="27" t="s">
        <v>18848</v>
      </c>
      <c r="J2372" s="27" t="s">
        <v>18880</v>
      </c>
      <c r="K2372" s="27"/>
      <c r="L2372" s="27"/>
      <c r="N2372" s="27"/>
      <c r="T2372" s="28" t="str">
        <f>LOOKUP(1,1/(Table1[[#This Row],[Level_0]:[Level 15]]&gt;0),(Table1[[#This Row],[Level_0]:[Level 15]]))</f>
        <v>7320140017 - [AOM-Factory-Water]</v>
      </c>
      <c r="U2372" s="22">
        <v>2367</v>
      </c>
      <c r="W2372" s="13" t="str">
        <f>LOOKUP(1,1/(Table1[[#This Row],[Level_0]:[Level 15]]&gt;0),(Table1[[#This Row],[Level_0]:[Level 15]]))</f>
        <v>7320140017 - [AOM-Factory-Water]</v>
      </c>
    </row>
    <row r="2373" spans="1:23" hidden="1" x14ac:dyDescent="0.25">
      <c r="A2373">
        <v>7320140016</v>
      </c>
      <c r="B2373" s="16" t="s">
        <v>20872</v>
      </c>
      <c r="C2373" s="16" t="e">
        <f>VLOOKUP(Table1[[#This Row],[Node]],Parent!A:B,2,0)</f>
        <v>#N/A</v>
      </c>
      <c r="D2373" s="25" t="s">
        <v>19346</v>
      </c>
      <c r="E2373" s="26" t="s">
        <v>16544</v>
      </c>
      <c r="F2373" s="27" t="s">
        <v>18569</v>
      </c>
      <c r="G2373" s="27" t="s">
        <v>18810</v>
      </c>
      <c r="H2373" s="27" t="s">
        <v>18811</v>
      </c>
      <c r="I2373" s="27" t="s">
        <v>18848</v>
      </c>
      <c r="J2373" s="27" t="s">
        <v>18881</v>
      </c>
      <c r="K2373" s="27"/>
      <c r="L2373" s="27"/>
      <c r="N2373" s="27"/>
      <c r="T2373" s="28" t="str">
        <f>LOOKUP(1,1/(Table1[[#This Row],[Level_0]:[Level 15]]&gt;0),(Table1[[#This Row],[Level_0]:[Level 15]]))</f>
        <v>7320140016 - [AOM - Re-cooling Water]</v>
      </c>
      <c r="U2373" s="22">
        <v>2368</v>
      </c>
      <c r="W2373" s="13" t="str">
        <f>LOOKUP(1,1/(Table1[[#This Row],[Level_0]:[Level 15]]&gt;0),(Table1[[#This Row],[Level_0]:[Level 15]]))</f>
        <v>7320140016 - [AOM - Re-cooling Water]</v>
      </c>
    </row>
    <row r="2374" spans="1:23" hidden="1" x14ac:dyDescent="0.25">
      <c r="A2374">
        <v>7320140015</v>
      </c>
      <c r="B2374" s="16" t="s">
        <v>20871</v>
      </c>
      <c r="C2374" s="16" t="e">
        <f>VLOOKUP(Table1[[#This Row],[Node]],Parent!A:B,2,0)</f>
        <v>#N/A</v>
      </c>
      <c r="D2374" s="25" t="s">
        <v>19346</v>
      </c>
      <c r="E2374" s="26" t="s">
        <v>16544</v>
      </c>
      <c r="F2374" s="27" t="s">
        <v>18569</v>
      </c>
      <c r="G2374" s="27" t="s">
        <v>18810</v>
      </c>
      <c r="H2374" s="27" t="s">
        <v>18811</v>
      </c>
      <c r="I2374" s="27" t="s">
        <v>18848</v>
      </c>
      <c r="J2374" s="27" t="s">
        <v>18882</v>
      </c>
      <c r="K2374" s="27"/>
      <c r="L2374" s="27"/>
      <c r="N2374" s="27"/>
      <c r="T2374" s="28" t="str">
        <f>LOOKUP(1,1/(Table1[[#This Row],[Level_0]:[Level 15]]&gt;0),(Table1[[#This Row],[Level_0]:[Level 15]]))</f>
        <v>7320140015 - [AOM - Hot Di Water]</v>
      </c>
      <c r="U2374" s="22">
        <v>2369</v>
      </c>
      <c r="W2374" s="13" t="str">
        <f>LOOKUP(1,1/(Table1[[#This Row],[Level_0]:[Level 15]]&gt;0),(Table1[[#This Row],[Level_0]:[Level 15]]))</f>
        <v>7320140015 - [AOM - Hot Di Water]</v>
      </c>
    </row>
    <row r="2375" spans="1:23" hidden="1" x14ac:dyDescent="0.25">
      <c r="A2375">
        <v>7320140013</v>
      </c>
      <c r="B2375" s="16" t="s">
        <v>20869</v>
      </c>
      <c r="C2375" s="16" t="e">
        <f>VLOOKUP(Table1[[#This Row],[Node]],Parent!A:B,2,0)</f>
        <v>#N/A</v>
      </c>
      <c r="D2375" s="25" t="s">
        <v>19346</v>
      </c>
      <c r="E2375" s="26" t="s">
        <v>16544</v>
      </c>
      <c r="F2375" s="27" t="s">
        <v>18569</v>
      </c>
      <c r="G2375" s="27" t="s">
        <v>18810</v>
      </c>
      <c r="H2375" s="27" t="s">
        <v>18811</v>
      </c>
      <c r="I2375" s="27" t="s">
        <v>18848</v>
      </c>
      <c r="J2375" s="27" t="s">
        <v>18883</v>
      </c>
      <c r="K2375" s="27"/>
      <c r="L2375" s="27"/>
      <c r="N2375" s="27"/>
      <c r="T2375" s="28" t="str">
        <f>LOOKUP(1,1/(Table1[[#This Row],[Level_0]:[Level 15]]&gt;0),(Table1[[#This Row],[Level_0]:[Level 15]]))</f>
        <v>7320140013 - [AOM Variances Water]</v>
      </c>
      <c r="U2375" s="22">
        <v>2370</v>
      </c>
      <c r="W2375" s="13" t="str">
        <f>LOOKUP(1,1/(Table1[[#This Row],[Level_0]:[Level 15]]&gt;0),(Table1[[#This Row],[Level_0]:[Level 15]]))</f>
        <v>7320140013 - [AOM Variances Water]</v>
      </c>
    </row>
    <row r="2376" spans="1:23" hidden="1" x14ac:dyDescent="0.25">
      <c r="A2376">
        <v>7320140010</v>
      </c>
      <c r="B2376" s="16" t="s">
        <v>20866</v>
      </c>
      <c r="C2376" s="16" t="e">
        <f>VLOOKUP(Table1[[#This Row],[Node]],Parent!A:B,2,0)</f>
        <v>#N/A</v>
      </c>
      <c r="D2376" s="25" t="s">
        <v>19346</v>
      </c>
      <c r="E2376" s="26" t="s">
        <v>16544</v>
      </c>
      <c r="F2376" s="27" t="s">
        <v>18569</v>
      </c>
      <c r="G2376" s="27" t="s">
        <v>18810</v>
      </c>
      <c r="H2376" s="27" t="s">
        <v>18811</v>
      </c>
      <c r="I2376" s="27" t="s">
        <v>18848</v>
      </c>
      <c r="J2376" s="27" t="s">
        <v>18884</v>
      </c>
      <c r="K2376" s="27"/>
      <c r="L2376" s="27"/>
      <c r="N2376" s="27"/>
      <c r="T2376" s="28" t="str">
        <f>LOOKUP(1,1/(Table1[[#This Row],[Level_0]:[Level 15]]&gt;0),(Table1[[#This Row],[Level_0]:[Level 15]]))</f>
        <v>7320140010 - [AOM Cost transfer Charge - Water]</v>
      </c>
      <c r="U2376" s="22">
        <v>2371</v>
      </c>
      <c r="W2376" s="13" t="str">
        <f>LOOKUP(1,1/(Table1[[#This Row],[Level_0]:[Level 15]]&gt;0),(Table1[[#This Row],[Level_0]:[Level 15]]))</f>
        <v>7320140010 - [AOM Cost transfer Charge - Water]</v>
      </c>
    </row>
    <row r="2377" spans="1:23" hidden="1" x14ac:dyDescent="0.25">
      <c r="A2377">
        <v>7310140010</v>
      </c>
      <c r="B2377" s="16" t="s">
        <v>20824</v>
      </c>
      <c r="C2377" s="16" t="e">
        <f>VLOOKUP(Table1[[#This Row],[Node]],Parent!A:B,2,0)</f>
        <v>#N/A</v>
      </c>
      <c r="D2377" s="25" t="s">
        <v>19346</v>
      </c>
      <c r="E2377" s="26" t="s">
        <v>16544</v>
      </c>
      <c r="F2377" s="27" t="s">
        <v>18569</v>
      </c>
      <c r="G2377" s="27" t="s">
        <v>18810</v>
      </c>
      <c r="H2377" s="27" t="s">
        <v>18811</v>
      </c>
      <c r="I2377" s="27" t="s">
        <v>18848</v>
      </c>
      <c r="J2377" s="27" t="s">
        <v>18885</v>
      </c>
      <c r="K2377" s="27"/>
      <c r="L2377" s="27"/>
      <c r="N2377" s="27"/>
      <c r="T2377" s="28" t="str">
        <f>LOOKUP(1,1/(Table1[[#This Row],[Level_0]:[Level 15]]&gt;0),(Table1[[#This Row],[Level_0]:[Level 15]]))</f>
        <v>7310140010 - [IAA - DI Water (M3)]</v>
      </c>
      <c r="U2377" s="22">
        <v>2372</v>
      </c>
      <c r="W2377" s="13" t="str">
        <f>LOOKUP(1,1/(Table1[[#This Row],[Level_0]:[Level 15]]&gt;0),(Table1[[#This Row],[Level_0]:[Level 15]]))</f>
        <v>7310140010 - [IAA - DI Water (M3)]</v>
      </c>
    </row>
    <row r="2378" spans="1:23" hidden="1" x14ac:dyDescent="0.25">
      <c r="A2378">
        <v>7310140008</v>
      </c>
      <c r="B2378" s="16" t="s">
        <v>20822</v>
      </c>
      <c r="C2378" s="16" t="e">
        <f>VLOOKUP(Table1[[#This Row],[Node]],Parent!A:B,2,0)</f>
        <v>#N/A</v>
      </c>
      <c r="D2378" s="25" t="s">
        <v>19346</v>
      </c>
      <c r="E2378" s="26" t="s">
        <v>16544</v>
      </c>
      <c r="F2378" s="27" t="s">
        <v>18569</v>
      </c>
      <c r="G2378" s="27" t="s">
        <v>18810</v>
      </c>
      <c r="H2378" s="27" t="s">
        <v>18811</v>
      </c>
      <c r="I2378" s="27" t="s">
        <v>18848</v>
      </c>
      <c r="J2378" s="27" t="s">
        <v>18886</v>
      </c>
      <c r="K2378" s="27"/>
      <c r="L2378" s="27"/>
      <c r="N2378" s="27"/>
      <c r="T2378" s="28" t="str">
        <f>LOOKUP(1,1/(Table1[[#This Row],[Level_0]:[Level 15]]&gt;0),(Table1[[#This Row],[Level_0]:[Level 15]]))</f>
        <v>7310140008 - [IAA - Water Cooling]</v>
      </c>
      <c r="U2378" s="22">
        <v>2373</v>
      </c>
      <c r="W2378" s="13" t="str">
        <f>LOOKUP(1,1/(Table1[[#This Row],[Level_0]:[Level 15]]&gt;0),(Table1[[#This Row],[Level_0]:[Level 15]]))</f>
        <v>7310140008 - [IAA - Water Cooling]</v>
      </c>
    </row>
    <row r="2379" spans="1:23" hidden="1" x14ac:dyDescent="0.25">
      <c r="A2379">
        <v>7310140007</v>
      </c>
      <c r="B2379" s="16" t="s">
        <v>20821</v>
      </c>
      <c r="C2379" s="16" t="e">
        <f>VLOOKUP(Table1[[#This Row],[Node]],Parent!A:B,2,0)</f>
        <v>#N/A</v>
      </c>
      <c r="D2379" s="25" t="s">
        <v>19346</v>
      </c>
      <c r="E2379" s="26" t="s">
        <v>16544</v>
      </c>
      <c r="F2379" s="27" t="s">
        <v>18569</v>
      </c>
      <c r="G2379" s="27" t="s">
        <v>18810</v>
      </c>
      <c r="H2379" s="27" t="s">
        <v>18811</v>
      </c>
      <c r="I2379" s="27" t="s">
        <v>18848</v>
      </c>
      <c r="J2379" s="27" t="s">
        <v>18887</v>
      </c>
      <c r="K2379" s="27"/>
      <c r="L2379" s="27"/>
      <c r="N2379" s="27"/>
      <c r="T2379" s="28" t="str">
        <f>LOOKUP(1,1/(Table1[[#This Row],[Level_0]:[Level 15]]&gt;0),(Table1[[#This Row],[Level_0]:[Level 15]]))</f>
        <v>7310140007 - [IAA Water]</v>
      </c>
      <c r="U2379" s="22">
        <v>2374</v>
      </c>
      <c r="W2379" s="13" t="str">
        <f>LOOKUP(1,1/(Table1[[#This Row],[Level_0]:[Level 15]]&gt;0),(Table1[[#This Row],[Level_0]:[Level 15]]))</f>
        <v>7310140007 - [IAA Water]</v>
      </c>
    </row>
    <row r="2380" spans="1:23" hidden="1" x14ac:dyDescent="0.25">
      <c r="A2380">
        <v>7301140018</v>
      </c>
      <c r="B2380" s="16" t="s">
        <v>20805</v>
      </c>
      <c r="C2380" s="16" t="e">
        <f>VLOOKUP(Table1[[#This Row],[Node]],Parent!A:B,2,0)</f>
        <v>#N/A</v>
      </c>
      <c r="D2380" s="25" t="s">
        <v>19346</v>
      </c>
      <c r="E2380" s="26" t="s">
        <v>16544</v>
      </c>
      <c r="F2380" s="27" t="s">
        <v>18569</v>
      </c>
      <c r="G2380" s="27" t="s">
        <v>18810</v>
      </c>
      <c r="H2380" s="27" t="s">
        <v>18811</v>
      </c>
      <c r="I2380" s="27" t="s">
        <v>18848</v>
      </c>
      <c r="J2380" s="27" t="s">
        <v>18888</v>
      </c>
      <c r="K2380" s="27"/>
      <c r="L2380" s="27"/>
      <c r="N2380" s="27"/>
      <c r="T2380" s="28" t="str">
        <f>LOOKUP(1,1/(Table1[[#This Row],[Level_0]:[Level 15]]&gt;0),(Table1[[#This Row],[Level_0]:[Level 15]]))</f>
        <v>7301140018 - [DAA Re-Cooling Water (M3)]</v>
      </c>
      <c r="U2380" s="22">
        <v>2375</v>
      </c>
      <c r="W2380" s="13" t="str">
        <f>LOOKUP(1,1/(Table1[[#This Row],[Level_0]:[Level 15]]&gt;0),(Table1[[#This Row],[Level_0]:[Level 15]]))</f>
        <v>7301140018 - [DAA Re-Cooling Water (M3)]</v>
      </c>
    </row>
    <row r="2381" spans="1:23" hidden="1" x14ac:dyDescent="0.25">
      <c r="A2381">
        <v>7301140014</v>
      </c>
      <c r="B2381" s="16" t="s">
        <v>20801</v>
      </c>
      <c r="C2381" s="16" t="e">
        <f>VLOOKUP(Table1[[#This Row],[Node]],Parent!A:B,2,0)</f>
        <v>#N/A</v>
      </c>
      <c r="D2381" s="25" t="s">
        <v>19346</v>
      </c>
      <c r="E2381" s="26" t="s">
        <v>16544</v>
      </c>
      <c r="F2381" s="27" t="s">
        <v>18569</v>
      </c>
      <c r="G2381" s="27" t="s">
        <v>18810</v>
      </c>
      <c r="H2381" s="27" t="s">
        <v>18811</v>
      </c>
      <c r="I2381" s="27" t="s">
        <v>18848</v>
      </c>
      <c r="J2381" s="27" t="s">
        <v>18889</v>
      </c>
      <c r="K2381" s="27"/>
      <c r="L2381" s="27"/>
      <c r="N2381" s="27"/>
      <c r="T2381" s="28" t="str">
        <f>LOOKUP(1,1/(Table1[[#This Row],[Level_0]:[Level 15]]&gt;0),(Table1[[#This Row],[Level_0]:[Level 15]]))</f>
        <v>7301140014 - [DAA Factory Water (M3)]</v>
      </c>
      <c r="U2381" s="22">
        <v>2376</v>
      </c>
      <c r="W2381" s="13" t="str">
        <f>LOOKUP(1,1/(Table1[[#This Row],[Level_0]:[Level 15]]&gt;0),(Table1[[#This Row],[Level_0]:[Level 15]]))</f>
        <v>7301140014 - [DAA Factory Water (M3)]</v>
      </c>
    </row>
    <row r="2382" spans="1:23" hidden="1" x14ac:dyDescent="0.25">
      <c r="A2382">
        <v>7301140012</v>
      </c>
      <c r="B2382" s="16" t="s">
        <v>20799</v>
      </c>
      <c r="C2382" s="16" t="e">
        <f>VLOOKUP(Table1[[#This Row],[Node]],Parent!A:B,2,0)</f>
        <v>#N/A</v>
      </c>
      <c r="D2382" s="25" t="s">
        <v>19346</v>
      </c>
      <c r="E2382" s="26" t="s">
        <v>16544</v>
      </c>
      <c r="F2382" s="27" t="s">
        <v>18569</v>
      </c>
      <c r="G2382" s="27" t="s">
        <v>18810</v>
      </c>
      <c r="H2382" s="27" t="s">
        <v>18811</v>
      </c>
      <c r="I2382" s="27" t="s">
        <v>18848</v>
      </c>
      <c r="J2382" s="27" t="s">
        <v>18890</v>
      </c>
      <c r="K2382" s="27"/>
      <c r="L2382" s="27"/>
      <c r="N2382" s="27"/>
      <c r="T2382" s="28" t="str">
        <f>LOOKUP(1,1/(Table1[[#This Row],[Level_0]:[Level 15]]&gt;0),(Table1[[#This Row],[Level_0]:[Level 15]]))</f>
        <v>7301140012 - [DAA Partially Deionized Water (M3)]</v>
      </c>
      <c r="U2382" s="22">
        <v>2377</v>
      </c>
      <c r="W2382" s="13" t="str">
        <f>LOOKUP(1,1/(Table1[[#This Row],[Level_0]:[Level 15]]&gt;0),(Table1[[#This Row],[Level_0]:[Level 15]]))</f>
        <v>7301140012 - [DAA Partially Deionized Water (M3)]</v>
      </c>
    </row>
    <row r="2383" spans="1:23" hidden="1" x14ac:dyDescent="0.25">
      <c r="A2383">
        <v>7301140011</v>
      </c>
      <c r="B2383" s="16" t="s">
        <v>20798</v>
      </c>
      <c r="C2383" s="16" t="e">
        <f>VLOOKUP(Table1[[#This Row],[Node]],Parent!A:B,2,0)</f>
        <v>#N/A</v>
      </c>
      <c r="D2383" s="25" t="s">
        <v>19346</v>
      </c>
      <c r="E2383" s="26" t="s">
        <v>16544</v>
      </c>
      <c r="F2383" s="27" t="s">
        <v>18569</v>
      </c>
      <c r="G2383" s="27" t="s">
        <v>18810</v>
      </c>
      <c r="H2383" s="27" t="s">
        <v>18811</v>
      </c>
      <c r="I2383" s="27" t="s">
        <v>18848</v>
      </c>
      <c r="J2383" s="27" t="s">
        <v>18891</v>
      </c>
      <c r="K2383" s="27"/>
      <c r="L2383" s="27"/>
      <c r="N2383" s="27"/>
      <c r="T2383" s="28" t="str">
        <f>LOOKUP(1,1/(Table1[[#This Row],[Level_0]:[Level 15]]&gt;0),(Table1[[#This Row],[Level_0]:[Level 15]]))</f>
        <v>7301140011 - [DAA HOT Deionized Water (M3)]</v>
      </c>
      <c r="U2383" s="22">
        <v>2378</v>
      </c>
      <c r="W2383" s="13" t="str">
        <f>LOOKUP(1,1/(Table1[[#This Row],[Level_0]:[Level 15]]&gt;0),(Table1[[#This Row],[Level_0]:[Level 15]]))</f>
        <v>7301140011 - [DAA HOT Deionized Water (M3)]</v>
      </c>
    </row>
    <row r="2384" spans="1:23" hidden="1" x14ac:dyDescent="0.25">
      <c r="A2384">
        <v>7301140010</v>
      </c>
      <c r="B2384" s="16" t="s">
        <v>20797</v>
      </c>
      <c r="C2384" s="16" t="e">
        <f>VLOOKUP(Table1[[#This Row],[Node]],Parent!A:B,2,0)</f>
        <v>#N/A</v>
      </c>
      <c r="D2384" s="25" t="s">
        <v>19346</v>
      </c>
      <c r="E2384" s="26" t="s">
        <v>16544</v>
      </c>
      <c r="F2384" s="27" t="s">
        <v>18569</v>
      </c>
      <c r="G2384" s="27" t="s">
        <v>18810</v>
      </c>
      <c r="H2384" s="27" t="s">
        <v>18811</v>
      </c>
      <c r="I2384" s="27" t="s">
        <v>18848</v>
      </c>
      <c r="J2384" s="27" t="s">
        <v>18892</v>
      </c>
      <c r="K2384" s="27"/>
      <c r="L2384" s="27"/>
      <c r="N2384" s="27"/>
      <c r="T2384" s="28" t="str">
        <f>LOOKUP(1,1/(Table1[[#This Row],[Level_0]:[Level 15]]&gt;0),(Table1[[#This Row],[Level_0]:[Level 15]]))</f>
        <v>7301140010 - [DAA Deionized Water (M3)]</v>
      </c>
      <c r="U2384" s="22">
        <v>2379</v>
      </c>
      <c r="W2384" s="13" t="str">
        <f>LOOKUP(1,1/(Table1[[#This Row],[Level_0]:[Level 15]]&gt;0),(Table1[[#This Row],[Level_0]:[Level 15]]))</f>
        <v>7301140010 - [DAA Deionized Water (M3)]</v>
      </c>
    </row>
    <row r="2385" spans="1:23" hidden="1" x14ac:dyDescent="0.25">
      <c r="A2385">
        <v>7301140008</v>
      </c>
      <c r="B2385" s="16" t="s">
        <v>20795</v>
      </c>
      <c r="C2385" s="16" t="e">
        <f>VLOOKUP(Table1[[#This Row],[Node]],Parent!A:B,2,0)</f>
        <v>#N/A</v>
      </c>
      <c r="D2385" s="25" t="s">
        <v>19346</v>
      </c>
      <c r="E2385" s="26" t="s">
        <v>16544</v>
      </c>
      <c r="F2385" s="27" t="s">
        <v>18569</v>
      </c>
      <c r="G2385" s="27" t="s">
        <v>18810</v>
      </c>
      <c r="H2385" s="27" t="s">
        <v>18811</v>
      </c>
      <c r="I2385" s="27" t="s">
        <v>18848</v>
      </c>
      <c r="J2385" s="27" t="s">
        <v>18893</v>
      </c>
      <c r="K2385" s="27"/>
      <c r="L2385" s="27"/>
      <c r="N2385" s="27"/>
      <c r="T2385" s="28" t="str">
        <f>LOOKUP(1,1/(Table1[[#This Row],[Level_0]:[Level 15]]&gt;0),(Table1[[#This Row],[Level_0]:[Level 15]]))</f>
        <v>7301140008 - [DAA Chilled water (cold) (m3)]</v>
      </c>
      <c r="U2385" s="22">
        <v>2380</v>
      </c>
      <c r="W2385" s="13" t="str">
        <f>LOOKUP(1,1/(Table1[[#This Row],[Level_0]:[Level 15]]&gt;0),(Table1[[#This Row],[Level_0]:[Level 15]]))</f>
        <v>7301140008 - [DAA Chilled water (cold) (m3)]</v>
      </c>
    </row>
    <row r="2386" spans="1:23" hidden="1" x14ac:dyDescent="0.25">
      <c r="A2386">
        <v>7301140006</v>
      </c>
      <c r="B2386" s="16" t="s">
        <v>20793</v>
      </c>
      <c r="C2386" s="16" t="e">
        <f>VLOOKUP(Table1[[#This Row],[Node]],Parent!A:B,2,0)</f>
        <v>#N/A</v>
      </c>
      <c r="D2386" s="25" t="s">
        <v>19346</v>
      </c>
      <c r="E2386" s="26" t="s">
        <v>16544</v>
      </c>
      <c r="F2386" s="27" t="s">
        <v>18569</v>
      </c>
      <c r="G2386" s="27" t="s">
        <v>18810</v>
      </c>
      <c r="H2386" s="27" t="s">
        <v>18811</v>
      </c>
      <c r="I2386" s="27" t="s">
        <v>18848</v>
      </c>
      <c r="J2386" s="27" t="s">
        <v>18894</v>
      </c>
      <c r="K2386" s="27"/>
      <c r="L2386" s="27"/>
      <c r="N2386" s="27"/>
      <c r="T2386" s="28" t="str">
        <f>LOOKUP(1,1/(Table1[[#This Row],[Level_0]:[Level 15]]&gt;0),(Table1[[#This Row],[Level_0]:[Level 15]]))</f>
        <v>7301140006 - [DAA Water]</v>
      </c>
      <c r="U2386" s="22">
        <v>2381</v>
      </c>
      <c r="W2386" s="13" t="str">
        <f>LOOKUP(1,1/(Table1[[#This Row],[Level_0]:[Level 15]]&gt;0),(Table1[[#This Row],[Level_0]:[Level 15]]))</f>
        <v>7301140006 - [DAA Water]</v>
      </c>
    </row>
    <row r="2387" spans="1:23" hidden="1" x14ac:dyDescent="0.25">
      <c r="A2387">
        <v>5216810000</v>
      </c>
      <c r="B2387" s="16" t="s">
        <v>20149</v>
      </c>
      <c r="C2387" s="16" t="e">
        <f>VLOOKUP(Table1[[#This Row],[Node]],Parent!A:B,2,0)</f>
        <v>#N/A</v>
      </c>
      <c r="D2387" s="25" t="s">
        <v>19346</v>
      </c>
      <c r="E2387" s="26" t="s">
        <v>16544</v>
      </c>
      <c r="F2387" s="27" t="s">
        <v>18569</v>
      </c>
      <c r="G2387" s="27" t="s">
        <v>18810</v>
      </c>
      <c r="H2387" s="27" t="s">
        <v>18811</v>
      </c>
      <c r="I2387" s="27" t="s">
        <v>18848</v>
      </c>
      <c r="J2387" s="27" t="s">
        <v>18895</v>
      </c>
      <c r="K2387" s="27"/>
      <c r="L2387" s="27"/>
      <c r="N2387" s="27"/>
      <c r="T2387" s="28" t="str">
        <f>LOOKUP(1,1/(Table1[[#This Row],[Level_0]:[Level 15]]&gt;0),(Table1[[#This Row],[Level_0]:[Level 15]]))</f>
        <v>5216810000 - [IC Exp - SMS - MedSup - Deion&amp;DeminWat]</v>
      </c>
      <c r="U2387" s="22">
        <v>2382</v>
      </c>
      <c r="W2387" s="13" t="str">
        <f>LOOKUP(1,1/(Table1[[#This Row],[Level_0]:[Level 15]]&gt;0),(Table1[[#This Row],[Level_0]:[Level 15]]))</f>
        <v>5216810000 - [IC Exp - SMS - MedSup - Deion&amp;DeminWat]</v>
      </c>
    </row>
    <row r="2388" spans="1:23" hidden="1" x14ac:dyDescent="0.25">
      <c r="A2388">
        <v>5216250000</v>
      </c>
      <c r="B2388" s="16" t="s">
        <v>20141</v>
      </c>
      <c r="C2388" s="16" t="e">
        <f>VLOOKUP(Table1[[#This Row],[Node]],Parent!A:B,2,0)</f>
        <v>#N/A</v>
      </c>
      <c r="D2388" s="25" t="s">
        <v>19346</v>
      </c>
      <c r="E2388" s="26" t="s">
        <v>16544</v>
      </c>
      <c r="F2388" s="27" t="s">
        <v>18569</v>
      </c>
      <c r="G2388" s="27" t="s">
        <v>18810</v>
      </c>
      <c r="H2388" s="27" t="s">
        <v>18811</v>
      </c>
      <c r="I2388" s="27" t="s">
        <v>18848</v>
      </c>
      <c r="J2388" s="27" t="s">
        <v>18896</v>
      </c>
      <c r="K2388" s="27"/>
      <c r="L2388" s="27"/>
      <c r="N2388" s="27"/>
      <c r="T2388" s="28" t="str">
        <f>LOOKUP(1,1/(Table1[[#This Row],[Level_0]:[Level 15]]&gt;0),(Table1[[#This Row],[Level_0]:[Level 15]]))</f>
        <v>5216250000 - [IC Exp - SMS - SM Hot Water]</v>
      </c>
      <c r="U2388" s="22">
        <v>2383</v>
      </c>
      <c r="W2388" s="13" t="str">
        <f>LOOKUP(1,1/(Table1[[#This Row],[Level_0]:[Level 15]]&gt;0),(Table1[[#This Row],[Level_0]:[Level 15]]))</f>
        <v>5216250000 - [IC Exp - SMS - SM Hot Water]</v>
      </c>
    </row>
    <row r="2389" spans="1:23" hidden="1" x14ac:dyDescent="0.25">
      <c r="A2389">
        <v>5216210000</v>
      </c>
      <c r="B2389" s="16" t="s">
        <v>20140</v>
      </c>
      <c r="C2389" s="16" t="e">
        <f>VLOOKUP(Table1[[#This Row],[Node]],Parent!A:B,2,0)</f>
        <v>#N/A</v>
      </c>
      <c r="D2389" s="25" t="s">
        <v>19346</v>
      </c>
      <c r="E2389" s="26" t="s">
        <v>16544</v>
      </c>
      <c r="F2389" s="27" t="s">
        <v>18569</v>
      </c>
      <c r="G2389" s="27" t="s">
        <v>18810</v>
      </c>
      <c r="H2389" s="27" t="s">
        <v>18811</v>
      </c>
      <c r="I2389" s="27" t="s">
        <v>18848</v>
      </c>
      <c r="J2389" s="27" t="s">
        <v>18897</v>
      </c>
      <c r="K2389" s="27"/>
      <c r="L2389" s="27"/>
      <c r="N2389" s="27"/>
      <c r="T2389" s="28" t="str">
        <f>LOOKUP(1,1/(Table1[[#This Row],[Level_0]:[Level 15]]&gt;0),(Table1[[#This Row],[Level_0]:[Level 15]]))</f>
        <v>5216210000 - [IC Exp - SMS - MedSup - Drinking Water]</v>
      </c>
      <c r="U2389" s="22">
        <v>2384</v>
      </c>
      <c r="W2389" s="13" t="str">
        <f>LOOKUP(1,1/(Table1[[#This Row],[Level_0]:[Level 15]]&gt;0),(Table1[[#This Row],[Level_0]:[Level 15]]))</f>
        <v>5216210000 - [IC Exp - SMS - MedSup - Drinking Water]</v>
      </c>
    </row>
    <row r="2390" spans="1:23" hidden="1" x14ac:dyDescent="0.25">
      <c r="A2390">
        <v>120240</v>
      </c>
      <c r="B2390" s="16" t="s">
        <v>19407</v>
      </c>
      <c r="C2390" s="16" t="e">
        <f>VLOOKUP(Table1[[#This Row],[Node]],Parent!A:B,2,0)</f>
        <v>#N/A</v>
      </c>
      <c r="D2390" s="25" t="s">
        <v>19346</v>
      </c>
      <c r="E2390" s="26" t="s">
        <v>16544</v>
      </c>
      <c r="F2390" s="27" t="s">
        <v>18569</v>
      </c>
      <c r="G2390" s="27" t="s">
        <v>18810</v>
      </c>
      <c r="H2390" s="27" t="s">
        <v>18811</v>
      </c>
      <c r="I2390" s="27" t="s">
        <v>18898</v>
      </c>
      <c r="J2390" s="27"/>
      <c r="K2390" s="27"/>
      <c r="L2390" s="27"/>
      <c r="N2390" s="27"/>
      <c r="T2390" s="28" t="str">
        <f>LOOKUP(1,1/(Table1[[#This Row],[Level_0]:[Level 15]]&gt;0),(Table1[[#This Row],[Level_0]:[Level 15]]))</f>
        <v>120240 - [Compressed Air]</v>
      </c>
      <c r="U2390" s="22">
        <v>2385</v>
      </c>
      <c r="W2390" s="13" t="str">
        <f>LOOKUP(1,1/(Table1[[#This Row],[Level_0]:[Level 15]]&gt;0),(Table1[[#This Row],[Level_0]:[Level 15]]))</f>
        <v>120240 - [Compressed Air]</v>
      </c>
    </row>
    <row r="2391" spans="1:23" hidden="1" x14ac:dyDescent="0.25">
      <c r="A2391">
        <v>5217210000</v>
      </c>
      <c r="B2391" s="16" t="s">
        <v>20153</v>
      </c>
      <c r="C2391" s="16" t="e">
        <f>VLOOKUP(Table1[[#This Row],[Node]],Parent!A:B,2,0)</f>
        <v>#N/A</v>
      </c>
      <c r="D2391" s="25" t="s">
        <v>19346</v>
      </c>
      <c r="E2391" s="26" t="s">
        <v>16544</v>
      </c>
      <c r="F2391" s="27" t="s">
        <v>18569</v>
      </c>
      <c r="G2391" s="27" t="s">
        <v>18810</v>
      </c>
      <c r="H2391" s="27" t="s">
        <v>18811</v>
      </c>
      <c r="I2391" s="27" t="s">
        <v>18898</v>
      </c>
      <c r="J2391" s="27" t="s">
        <v>18899</v>
      </c>
      <c r="K2391" s="27"/>
      <c r="L2391" s="27"/>
      <c r="N2391" s="27"/>
      <c r="T2391" s="28" t="str">
        <f>LOOKUP(1,1/(Table1[[#This Row],[Level_0]:[Level 15]]&gt;0),(Table1[[#This Row],[Level_0]:[Level 15]]))</f>
        <v>5217210000 - [IC Exp - SMS - MedSup - CAirRegulat-M3]</v>
      </c>
      <c r="U2391" s="22">
        <v>2386</v>
      </c>
      <c r="W2391" s="13" t="str">
        <f>LOOKUP(1,1/(Table1[[#This Row],[Level_0]:[Level 15]]&gt;0),(Table1[[#This Row],[Level_0]:[Level 15]]))</f>
        <v>5217210000 - [IC Exp - SMS - MedSup - CAirRegulat-M3]</v>
      </c>
    </row>
    <row r="2392" spans="1:23" hidden="1" x14ac:dyDescent="0.25">
      <c r="A2392">
        <v>7600304055</v>
      </c>
      <c r="B2392" s="16" t="s">
        <v>21256</v>
      </c>
      <c r="C2392" s="16" t="e">
        <f>VLOOKUP(Table1[[#This Row],[Node]],Parent!A:B,2,0)</f>
        <v>#N/A</v>
      </c>
      <c r="D2392" s="25" t="s">
        <v>19346</v>
      </c>
      <c r="E2392" s="26" t="s">
        <v>16544</v>
      </c>
      <c r="F2392" s="27" t="s">
        <v>18569</v>
      </c>
      <c r="G2392" s="27" t="s">
        <v>18810</v>
      </c>
      <c r="H2392" s="27" t="s">
        <v>18811</v>
      </c>
      <c r="I2392" s="27" t="s">
        <v>18898</v>
      </c>
      <c r="J2392" s="27" t="s">
        <v>18900</v>
      </c>
      <c r="K2392" s="27"/>
      <c r="L2392" s="27"/>
      <c r="N2392" s="27"/>
      <c r="T2392" s="28" t="str">
        <f>LOOKUP(1,1/(Table1[[#This Row],[Level_0]:[Level 15]]&gt;0),(Table1[[#This Row],[Level_0]:[Level 15]]))</f>
        <v>7600304055 - [DAA Compressed dry air 3.5]</v>
      </c>
      <c r="U2392" s="22">
        <v>2387</v>
      </c>
      <c r="W2392" s="13" t="str">
        <f>LOOKUP(1,1/(Table1[[#This Row],[Level_0]:[Level 15]]&gt;0),(Table1[[#This Row],[Level_0]:[Level 15]]))</f>
        <v>7600304055 - [DAA Compressed dry air 3.5]</v>
      </c>
    </row>
    <row r="2393" spans="1:23" hidden="1" x14ac:dyDescent="0.25">
      <c r="A2393">
        <v>7600304047</v>
      </c>
      <c r="B2393" s="16" t="s">
        <v>21248</v>
      </c>
      <c r="C2393" s="16" t="e">
        <f>VLOOKUP(Table1[[#This Row],[Node]],Parent!A:B,2,0)</f>
        <v>#N/A</v>
      </c>
      <c r="D2393" s="25" t="s">
        <v>19346</v>
      </c>
      <c r="E2393" s="26" t="s">
        <v>16544</v>
      </c>
      <c r="F2393" s="27" t="s">
        <v>18569</v>
      </c>
      <c r="G2393" s="27" t="s">
        <v>18810</v>
      </c>
      <c r="H2393" s="27" t="s">
        <v>18811</v>
      </c>
      <c r="I2393" s="27" t="s">
        <v>18898</v>
      </c>
      <c r="J2393" s="27" t="s">
        <v>18901</v>
      </c>
      <c r="K2393" s="27"/>
      <c r="L2393" s="27"/>
      <c r="N2393" s="27"/>
      <c r="T2393" s="28" t="str">
        <f>LOOKUP(1,1/(Table1[[#This Row],[Level_0]:[Level 15]]&gt;0),(Table1[[#This Row],[Level_0]:[Level 15]]))</f>
        <v>7600304047 - [DAA Compressed dry air 7.0]</v>
      </c>
      <c r="U2393" s="22">
        <v>2388</v>
      </c>
      <c r="W2393" s="13" t="str">
        <f>LOOKUP(1,1/(Table1[[#This Row],[Level_0]:[Level 15]]&gt;0),(Table1[[#This Row],[Level_0]:[Level 15]]))</f>
        <v>7600304047 - [DAA Compressed dry air 7.0]</v>
      </c>
    </row>
    <row r="2394" spans="1:23" hidden="1" x14ac:dyDescent="0.25">
      <c r="A2394">
        <v>7320140025</v>
      </c>
      <c r="B2394" s="16" t="s">
        <v>20881</v>
      </c>
      <c r="C2394" s="16" t="e">
        <f>VLOOKUP(Table1[[#This Row],[Node]],Parent!A:B,2,0)</f>
        <v>#N/A</v>
      </c>
      <c r="D2394" s="25" t="s">
        <v>19346</v>
      </c>
      <c r="E2394" s="26" t="s">
        <v>16544</v>
      </c>
      <c r="F2394" s="27" t="s">
        <v>18569</v>
      </c>
      <c r="G2394" s="27" t="s">
        <v>18810</v>
      </c>
      <c r="H2394" s="27" t="s">
        <v>18811</v>
      </c>
      <c r="I2394" s="27" t="s">
        <v>18898</v>
      </c>
      <c r="J2394" s="27" t="s">
        <v>18902</v>
      </c>
      <c r="K2394" s="27"/>
      <c r="L2394" s="27"/>
      <c r="N2394" s="27"/>
      <c r="T2394" s="28" t="str">
        <f>LOOKUP(1,1/(Table1[[#This Row],[Level_0]:[Level 15]]&gt;0),(Table1[[#This Row],[Level_0]:[Level 15]]))</f>
        <v>7320140025 - [AOM - Compr. Air 7 bar (M3)]</v>
      </c>
      <c r="U2394" s="22">
        <v>2389</v>
      </c>
      <c r="W2394" s="13" t="str">
        <f>LOOKUP(1,1/(Table1[[#This Row],[Level_0]:[Level 15]]&gt;0),(Table1[[#This Row],[Level_0]:[Level 15]]))</f>
        <v>7320140025 - [AOM - Compr. Air 7 bar (M3)]</v>
      </c>
    </row>
    <row r="2395" spans="1:23" hidden="1" x14ac:dyDescent="0.25">
      <c r="A2395">
        <v>7320140014</v>
      </c>
      <c r="B2395" s="16" t="s">
        <v>20870</v>
      </c>
      <c r="C2395" s="16" t="e">
        <f>VLOOKUP(Table1[[#This Row],[Node]],Parent!A:B,2,0)</f>
        <v>#N/A</v>
      </c>
      <c r="D2395" s="25" t="s">
        <v>19346</v>
      </c>
      <c r="E2395" s="26" t="s">
        <v>16544</v>
      </c>
      <c r="F2395" s="27" t="s">
        <v>18569</v>
      </c>
      <c r="G2395" s="27" t="s">
        <v>18810</v>
      </c>
      <c r="H2395" s="27" t="s">
        <v>18811</v>
      </c>
      <c r="I2395" s="27" t="s">
        <v>18898</v>
      </c>
      <c r="J2395" s="27" t="s">
        <v>18903</v>
      </c>
      <c r="K2395" s="27"/>
      <c r="L2395" s="27"/>
      <c r="N2395" s="27"/>
      <c r="T2395" s="28" t="str">
        <f>LOOKUP(1,1/(Table1[[#This Row],[Level_0]:[Level 15]]&gt;0),(Table1[[#This Row],[Level_0]:[Level 15]]))</f>
        <v>7320140014 - [AOM - C. Air regulation]</v>
      </c>
      <c r="U2395" s="22">
        <v>2390</v>
      </c>
      <c r="W2395" s="13" t="str">
        <f>LOOKUP(1,1/(Table1[[#This Row],[Level_0]:[Level 15]]&gt;0),(Table1[[#This Row],[Level_0]:[Level 15]]))</f>
        <v>7320140014 - [AOM - C. Air regulation]</v>
      </c>
    </row>
    <row r="2396" spans="1:23" hidden="1" x14ac:dyDescent="0.25">
      <c r="A2396">
        <v>7320140012</v>
      </c>
      <c r="B2396" s="16" t="s">
        <v>20868</v>
      </c>
      <c r="C2396" s="16" t="e">
        <f>VLOOKUP(Table1[[#This Row],[Node]],Parent!A:B,2,0)</f>
        <v>#N/A</v>
      </c>
      <c r="D2396" s="25" t="s">
        <v>19346</v>
      </c>
      <c r="E2396" s="26" t="s">
        <v>16544</v>
      </c>
      <c r="F2396" s="27" t="s">
        <v>18569</v>
      </c>
      <c r="G2396" s="27" t="s">
        <v>18810</v>
      </c>
      <c r="H2396" s="27" t="s">
        <v>18811</v>
      </c>
      <c r="I2396" s="27" t="s">
        <v>18898</v>
      </c>
      <c r="J2396" s="27" t="s">
        <v>18904</v>
      </c>
      <c r="K2396" s="27"/>
      <c r="L2396" s="27"/>
      <c r="N2396" s="27"/>
      <c r="T2396" s="28" t="str">
        <f>LOOKUP(1,1/(Table1[[#This Row],[Level_0]:[Level 15]]&gt;0),(Table1[[#This Row],[Level_0]:[Level 15]]))</f>
        <v>7320140012 - [AOM Cost transfer Charge - Compr. Air]</v>
      </c>
      <c r="U2396" s="22">
        <v>2391</v>
      </c>
      <c r="W2396" s="13" t="str">
        <f>LOOKUP(1,1/(Table1[[#This Row],[Level_0]:[Level 15]]&gt;0),(Table1[[#This Row],[Level_0]:[Level 15]]))</f>
        <v>7320140012 - [AOM Cost transfer Charge - Compr. Air]</v>
      </c>
    </row>
    <row r="2397" spans="1:23" hidden="1" x14ac:dyDescent="0.25">
      <c r="A2397">
        <v>7320140011</v>
      </c>
      <c r="B2397" s="16" t="s">
        <v>20867</v>
      </c>
      <c r="C2397" s="16" t="e">
        <f>VLOOKUP(Table1[[#This Row],[Node]],Parent!A:B,2,0)</f>
        <v>#N/A</v>
      </c>
      <c r="D2397" s="25" t="s">
        <v>19346</v>
      </c>
      <c r="E2397" s="26" t="s">
        <v>16544</v>
      </c>
      <c r="F2397" s="27" t="s">
        <v>18569</v>
      </c>
      <c r="G2397" s="27" t="s">
        <v>18810</v>
      </c>
      <c r="H2397" s="27" t="s">
        <v>18811</v>
      </c>
      <c r="I2397" s="27" t="s">
        <v>18898</v>
      </c>
      <c r="J2397" s="27" t="s">
        <v>18905</v>
      </c>
      <c r="K2397" s="27"/>
      <c r="L2397" s="27"/>
      <c r="N2397" s="27"/>
      <c r="T2397" s="28" t="str">
        <f>LOOKUP(1,1/(Table1[[#This Row],[Level_0]:[Level 15]]&gt;0),(Table1[[#This Row],[Level_0]:[Level 15]]))</f>
        <v>7320140011 - [AOM Variances Compressed Air]</v>
      </c>
      <c r="U2397" s="22">
        <v>2392</v>
      </c>
      <c r="W2397" s="13" t="str">
        <f>LOOKUP(1,1/(Table1[[#This Row],[Level_0]:[Level 15]]&gt;0),(Table1[[#This Row],[Level_0]:[Level 15]]))</f>
        <v>7320140011 - [AOM Variances Compressed Air]</v>
      </c>
    </row>
    <row r="2398" spans="1:23" hidden="1" x14ac:dyDescent="0.25">
      <c r="A2398">
        <v>7310140001</v>
      </c>
      <c r="B2398" s="16" t="s">
        <v>20815</v>
      </c>
      <c r="C2398" s="16" t="e">
        <f>VLOOKUP(Table1[[#This Row],[Node]],Parent!A:B,2,0)</f>
        <v>#N/A</v>
      </c>
      <c r="D2398" s="25" t="s">
        <v>19346</v>
      </c>
      <c r="E2398" s="26" t="s">
        <v>16544</v>
      </c>
      <c r="F2398" s="27" t="s">
        <v>18569</v>
      </c>
      <c r="G2398" s="27" t="s">
        <v>18810</v>
      </c>
      <c r="H2398" s="27" t="s">
        <v>18811</v>
      </c>
      <c r="I2398" s="27" t="s">
        <v>18898</v>
      </c>
      <c r="J2398" s="27" t="s">
        <v>18906</v>
      </c>
      <c r="K2398" s="27"/>
      <c r="L2398" s="27"/>
      <c r="N2398" s="27"/>
      <c r="T2398" s="28" t="str">
        <f>LOOKUP(1,1/(Table1[[#This Row],[Level_0]:[Level 15]]&gt;0),(Table1[[#This Row],[Level_0]:[Level 15]]))</f>
        <v>7310140001 - [IAA Compressed Air]</v>
      </c>
      <c r="U2398" s="22">
        <v>2393</v>
      </c>
      <c r="W2398" s="13" t="str">
        <f>LOOKUP(1,1/(Table1[[#This Row],[Level_0]:[Level 15]]&gt;0),(Table1[[#This Row],[Level_0]:[Level 15]]))</f>
        <v>7310140001 - [IAA Compressed Air]</v>
      </c>
    </row>
    <row r="2399" spans="1:23" hidden="1" x14ac:dyDescent="0.25">
      <c r="A2399">
        <v>7301140019</v>
      </c>
      <c r="B2399" s="16" t="s">
        <v>20806</v>
      </c>
      <c r="C2399" s="16" t="e">
        <f>VLOOKUP(Table1[[#This Row],[Node]],Parent!A:B,2,0)</f>
        <v>#N/A</v>
      </c>
      <c r="D2399" s="25" t="s">
        <v>19346</v>
      </c>
      <c r="E2399" s="26" t="s">
        <v>16544</v>
      </c>
      <c r="F2399" s="27" t="s">
        <v>18569</v>
      </c>
      <c r="G2399" s="27" t="s">
        <v>18810</v>
      </c>
      <c r="H2399" s="27" t="s">
        <v>18811</v>
      </c>
      <c r="I2399" s="27" t="s">
        <v>18898</v>
      </c>
      <c r="J2399" s="27" t="s">
        <v>18907</v>
      </c>
      <c r="K2399" s="27"/>
      <c r="L2399" s="27"/>
      <c r="N2399" s="27"/>
      <c r="T2399" s="28" t="str">
        <f>LOOKUP(1,1/(Table1[[#This Row],[Level_0]:[Level 15]]&gt;0),(Table1[[#This Row],[Level_0]:[Level 15]]))</f>
        <v>7301140019 - [DAA Compressed Air 7 bar (M3)]</v>
      </c>
      <c r="U2399" s="22">
        <v>2394</v>
      </c>
      <c r="W2399" s="13" t="str">
        <f>LOOKUP(1,1/(Table1[[#This Row],[Level_0]:[Level 15]]&gt;0),(Table1[[#This Row],[Level_0]:[Level 15]]))</f>
        <v>7301140019 - [DAA Compressed Air 7 bar (M3)]</v>
      </c>
    </row>
    <row r="2400" spans="1:23" hidden="1" x14ac:dyDescent="0.25">
      <c r="A2400">
        <v>7301140013</v>
      </c>
      <c r="B2400" s="16" t="s">
        <v>20800</v>
      </c>
      <c r="C2400" s="16" t="e">
        <f>VLOOKUP(Table1[[#This Row],[Node]],Parent!A:B,2,0)</f>
        <v>#N/A</v>
      </c>
      <c r="D2400" s="25" t="s">
        <v>19346</v>
      </c>
      <c r="E2400" s="26" t="s">
        <v>16544</v>
      </c>
      <c r="F2400" s="27" t="s">
        <v>18569</v>
      </c>
      <c r="G2400" s="27" t="s">
        <v>18810</v>
      </c>
      <c r="H2400" s="27" t="s">
        <v>18811</v>
      </c>
      <c r="I2400" s="27" t="s">
        <v>18898</v>
      </c>
      <c r="J2400" s="27" t="s">
        <v>18908</v>
      </c>
      <c r="K2400" s="27"/>
      <c r="L2400" s="27"/>
      <c r="N2400" s="27"/>
      <c r="T2400" s="28" t="str">
        <f>LOOKUP(1,1/(Table1[[#This Row],[Level_0]:[Level 15]]&gt;0),(Table1[[#This Row],[Level_0]:[Level 15]]))</f>
        <v>7301140013 - [DAA Air Regulation (M3)]</v>
      </c>
      <c r="U2400" s="22">
        <v>2395</v>
      </c>
      <c r="W2400" s="13" t="str">
        <f>LOOKUP(1,1/(Table1[[#This Row],[Level_0]:[Level 15]]&gt;0),(Table1[[#This Row],[Level_0]:[Level 15]]))</f>
        <v>7301140013 - [DAA Air Regulation (M3)]</v>
      </c>
    </row>
    <row r="2401" spans="1:23" hidden="1" x14ac:dyDescent="0.25">
      <c r="A2401">
        <v>7301140001</v>
      </c>
      <c r="B2401" s="16" t="s">
        <v>20788</v>
      </c>
      <c r="C2401" s="16" t="e">
        <f>VLOOKUP(Table1[[#This Row],[Node]],Parent!A:B,2,0)</f>
        <v>#N/A</v>
      </c>
      <c r="D2401" s="25" t="s">
        <v>19346</v>
      </c>
      <c r="E2401" s="26" t="s">
        <v>16544</v>
      </c>
      <c r="F2401" s="27" t="s">
        <v>18569</v>
      </c>
      <c r="G2401" s="27" t="s">
        <v>18810</v>
      </c>
      <c r="H2401" s="27" t="s">
        <v>18811</v>
      </c>
      <c r="I2401" s="27" t="s">
        <v>18898</v>
      </c>
      <c r="J2401" s="27" t="s">
        <v>18909</v>
      </c>
      <c r="K2401" s="27"/>
      <c r="L2401" s="27"/>
      <c r="N2401" s="27"/>
      <c r="T2401" s="28" t="str">
        <f>LOOKUP(1,1/(Table1[[#This Row],[Level_0]:[Level 15]]&gt;0),(Table1[[#This Row],[Level_0]:[Level 15]]))</f>
        <v>7301140001 - [DAA Compressed Air]</v>
      </c>
      <c r="U2401" s="22">
        <v>2396</v>
      </c>
      <c r="W2401" s="13" t="str">
        <f>LOOKUP(1,1/(Table1[[#This Row],[Level_0]:[Level 15]]&gt;0),(Table1[[#This Row],[Level_0]:[Level 15]]))</f>
        <v>7301140001 - [DAA Compressed Air]</v>
      </c>
    </row>
    <row r="2402" spans="1:23" hidden="1" x14ac:dyDescent="0.25">
      <c r="A2402">
        <v>5216410000</v>
      </c>
      <c r="B2402" s="16" t="s">
        <v>20145</v>
      </c>
      <c r="C2402" s="16" t="e">
        <f>VLOOKUP(Table1[[#This Row],[Node]],Parent!A:B,2,0)</f>
        <v>#N/A</v>
      </c>
      <c r="D2402" s="25" t="s">
        <v>19346</v>
      </c>
      <c r="E2402" s="26" t="s">
        <v>16544</v>
      </c>
      <c r="F2402" s="27" t="s">
        <v>18569</v>
      </c>
      <c r="G2402" s="27" t="s">
        <v>18810</v>
      </c>
      <c r="H2402" s="27" t="s">
        <v>18811</v>
      </c>
      <c r="I2402" s="27" t="s">
        <v>18898</v>
      </c>
      <c r="J2402" s="27" t="s">
        <v>18910</v>
      </c>
      <c r="K2402" s="27"/>
      <c r="L2402" s="27"/>
      <c r="N2402" s="27"/>
      <c r="T2402" s="28" t="str">
        <f>LOOKUP(1,1/(Table1[[#This Row],[Level_0]:[Level 15]]&gt;0),(Table1[[#This Row],[Level_0]:[Level 15]]))</f>
        <v>5216410000 - [IC Exp - SMS - MedSup - CompDryAir 7bar]</v>
      </c>
      <c r="U2402" s="22">
        <v>2397</v>
      </c>
      <c r="W2402" s="13" t="str">
        <f>LOOKUP(1,1/(Table1[[#This Row],[Level_0]:[Level 15]]&gt;0),(Table1[[#This Row],[Level_0]:[Level 15]]))</f>
        <v>5216410000 - [IC Exp - SMS - MedSup - CompDryAir 7bar]</v>
      </c>
    </row>
    <row r="2403" spans="1:23" hidden="1" x14ac:dyDescent="0.25">
      <c r="A2403">
        <v>5216310000</v>
      </c>
      <c r="B2403" s="16" t="s">
        <v>20144</v>
      </c>
      <c r="C2403" s="16" t="e">
        <f>VLOOKUP(Table1[[#This Row],[Node]],Parent!A:B,2,0)</f>
        <v>#N/A</v>
      </c>
      <c r="D2403" s="25" t="s">
        <v>19346</v>
      </c>
      <c r="E2403" s="26" t="s">
        <v>16544</v>
      </c>
      <c r="F2403" s="27" t="s">
        <v>18569</v>
      </c>
      <c r="G2403" s="27" t="s">
        <v>18810</v>
      </c>
      <c r="H2403" s="27" t="s">
        <v>18811</v>
      </c>
      <c r="I2403" s="27" t="s">
        <v>18898</v>
      </c>
      <c r="J2403" s="27" t="s">
        <v>18911</v>
      </c>
      <c r="K2403" s="27"/>
      <c r="L2403" s="27"/>
      <c r="N2403" s="27"/>
      <c r="T2403" s="28" t="str">
        <f>LOOKUP(1,1/(Table1[[#This Row],[Level_0]:[Level 15]]&gt;0),(Table1[[#This Row],[Level_0]:[Level 15]]))</f>
        <v>5216310000 - [IC Exp - SMS - MedSup - CompDryAir3.5bar]</v>
      </c>
      <c r="U2403" s="22">
        <v>2398</v>
      </c>
      <c r="W2403" s="13" t="str">
        <f>LOOKUP(1,1/(Table1[[#This Row],[Level_0]:[Level 15]]&gt;0),(Table1[[#This Row],[Level_0]:[Level 15]]))</f>
        <v>5216310000 - [IC Exp - SMS - MedSup - CompDryAir3.5bar]</v>
      </c>
    </row>
    <row r="2404" spans="1:23" hidden="1" x14ac:dyDescent="0.25">
      <c r="A2404">
        <v>120230</v>
      </c>
      <c r="B2404" s="16" t="s">
        <v>19351</v>
      </c>
      <c r="C2404" s="16" t="e">
        <f>VLOOKUP(Table1[[#This Row],[Node]],Parent!A:B,2,0)</f>
        <v>#N/A</v>
      </c>
      <c r="D2404" s="25" t="s">
        <v>19346</v>
      </c>
      <c r="E2404" s="26" t="s">
        <v>16544</v>
      </c>
      <c r="F2404" s="27" t="s">
        <v>18569</v>
      </c>
      <c r="G2404" s="27" t="s">
        <v>18810</v>
      </c>
      <c r="H2404" s="27" t="s">
        <v>18811</v>
      </c>
      <c r="I2404" s="27" t="s">
        <v>18912</v>
      </c>
      <c r="J2404" s="27"/>
      <c r="K2404" s="27"/>
      <c r="L2404" s="27"/>
      <c r="N2404" s="27"/>
      <c r="T2404" s="28" t="str">
        <f>LOOKUP(1,1/(Table1[[#This Row],[Level_0]:[Level 15]]&gt;0),(Table1[[#This Row],[Level_0]:[Level 15]]))</f>
        <v>120230 - [Steam]</v>
      </c>
      <c r="U2404" s="22">
        <v>2399</v>
      </c>
      <c r="W2404" s="13" t="str">
        <f>LOOKUP(1,1/(Table1[[#This Row],[Level_0]:[Level 15]]&gt;0),(Table1[[#This Row],[Level_0]:[Level 15]]))</f>
        <v>120230 - [Steam]</v>
      </c>
    </row>
    <row r="2405" spans="1:23" hidden="1" x14ac:dyDescent="0.25">
      <c r="A2405">
        <v>7600304257</v>
      </c>
      <c r="B2405" s="16" t="s">
        <v>21438</v>
      </c>
      <c r="C2405" s="16" t="e">
        <f>VLOOKUP(Table1[[#This Row],[Node]],Parent!A:B,2,0)</f>
        <v>#N/A</v>
      </c>
      <c r="D2405" s="25" t="s">
        <v>19346</v>
      </c>
      <c r="E2405" s="26" t="s">
        <v>16544</v>
      </c>
      <c r="F2405" s="27" t="s">
        <v>18569</v>
      </c>
      <c r="G2405" s="27" t="s">
        <v>18810</v>
      </c>
      <c r="H2405" s="27" t="s">
        <v>18811</v>
      </c>
      <c r="I2405" s="27" t="s">
        <v>18912</v>
      </c>
      <c r="J2405" s="27" t="s">
        <v>18913</v>
      </c>
      <c r="K2405" s="27"/>
      <c r="L2405" s="27"/>
      <c r="N2405" s="27"/>
      <c r="T2405" s="28" t="str">
        <f>LOOKUP(1,1/(Table1[[#This Row],[Level_0]:[Level 15]]&gt;0),(Table1[[#This Row],[Level_0]:[Level 15]]))</f>
        <v>7600304257 - [DAA_ThermAbluft Reinigung]</v>
      </c>
      <c r="U2405" s="22">
        <v>2400</v>
      </c>
      <c r="W2405" s="13" t="str">
        <f>LOOKUP(1,1/(Table1[[#This Row],[Level_0]:[Level 15]]&gt;0),(Table1[[#This Row],[Level_0]:[Level 15]]))</f>
        <v>7600304257 - [DAA_ThermAbluft Reinigung]</v>
      </c>
    </row>
    <row r="2406" spans="1:23" hidden="1" x14ac:dyDescent="0.25">
      <c r="A2406">
        <v>7600304194</v>
      </c>
      <c r="B2406" s="16" t="s">
        <v>21387</v>
      </c>
      <c r="C2406" s="16" t="e">
        <f>VLOOKUP(Table1[[#This Row],[Node]],Parent!A:B,2,0)</f>
        <v>#N/A</v>
      </c>
      <c r="D2406" s="25" t="s">
        <v>19346</v>
      </c>
      <c r="E2406" s="26" t="s">
        <v>16544</v>
      </c>
      <c r="F2406" s="27" t="s">
        <v>18569</v>
      </c>
      <c r="G2406" s="27" t="s">
        <v>18810</v>
      </c>
      <c r="H2406" s="27" t="s">
        <v>18811</v>
      </c>
      <c r="I2406" s="27" t="s">
        <v>18912</v>
      </c>
      <c r="J2406" s="27" t="s">
        <v>18914</v>
      </c>
      <c r="K2406" s="27"/>
      <c r="L2406" s="27"/>
      <c r="N2406" s="27"/>
      <c r="T2406" s="28" t="str">
        <f>LOOKUP(1,1/(Table1[[#This Row],[Level_0]:[Level 15]]&gt;0),(Table1[[#This Row],[Level_0]:[Level 15]]))</f>
        <v>7600304194 - [DAA_Urban dev. Planning_GE]</v>
      </c>
      <c r="U2406" s="22">
        <v>2401</v>
      </c>
      <c r="W2406" s="13" t="str">
        <f>LOOKUP(1,1/(Table1[[#This Row],[Level_0]:[Level 15]]&gt;0),(Table1[[#This Row],[Level_0]:[Level 15]]))</f>
        <v>7600304194 - [DAA_Urban dev. Planning_GE]</v>
      </c>
    </row>
    <row r="2407" spans="1:23" hidden="1" x14ac:dyDescent="0.25">
      <c r="A2407">
        <v>7600304044</v>
      </c>
      <c r="B2407" s="16" t="s">
        <v>21245</v>
      </c>
      <c r="C2407" s="16" t="e">
        <f>VLOOKUP(Table1[[#This Row],[Node]],Parent!A:B,2,0)</f>
        <v>#N/A</v>
      </c>
      <c r="D2407" s="25" t="s">
        <v>19346</v>
      </c>
      <c r="E2407" s="26" t="s">
        <v>16544</v>
      </c>
      <c r="F2407" s="27" t="s">
        <v>18569</v>
      </c>
      <c r="G2407" s="27" t="s">
        <v>18810</v>
      </c>
      <c r="H2407" s="27" t="s">
        <v>18811</v>
      </c>
      <c r="I2407" s="27" t="s">
        <v>18912</v>
      </c>
      <c r="J2407" s="27" t="s">
        <v>18915</v>
      </c>
      <c r="K2407" s="27"/>
      <c r="L2407" s="27"/>
      <c r="N2407" s="27"/>
      <c r="T2407" s="28" t="str">
        <f>LOOKUP(1,1/(Table1[[#This Row],[Level_0]:[Level 15]]&gt;0),(Table1[[#This Row],[Level_0]:[Level 15]]))</f>
        <v>7600304044 - [DAA Steam supply]</v>
      </c>
      <c r="U2407" s="22">
        <v>2402</v>
      </c>
      <c r="W2407" s="13" t="str">
        <f>LOOKUP(1,1/(Table1[[#This Row],[Level_0]:[Level 15]]&gt;0),(Table1[[#This Row],[Level_0]:[Level 15]]))</f>
        <v>7600304044 - [DAA Steam supply]</v>
      </c>
    </row>
    <row r="2408" spans="1:23" hidden="1" x14ac:dyDescent="0.25">
      <c r="A2408">
        <v>7320140008</v>
      </c>
      <c r="B2408" s="16" t="s">
        <v>20864</v>
      </c>
      <c r="C2408" s="16" t="e">
        <f>VLOOKUP(Table1[[#This Row],[Node]],Parent!A:B,2,0)</f>
        <v>#N/A</v>
      </c>
      <c r="D2408" s="25" t="s">
        <v>19346</v>
      </c>
      <c r="E2408" s="26" t="s">
        <v>16544</v>
      </c>
      <c r="F2408" s="27" t="s">
        <v>18569</v>
      </c>
      <c r="G2408" s="27" t="s">
        <v>18810</v>
      </c>
      <c r="H2408" s="27" t="s">
        <v>18811</v>
      </c>
      <c r="I2408" s="27" t="s">
        <v>18912</v>
      </c>
      <c r="J2408" s="27" t="s">
        <v>18916</v>
      </c>
      <c r="K2408" s="27"/>
      <c r="L2408" s="27"/>
      <c r="N2408" s="27"/>
      <c r="T2408" s="28" t="str">
        <f>LOOKUP(1,1/(Table1[[#This Row],[Level_0]:[Level 15]]&gt;0),(Table1[[#This Row],[Level_0]:[Level 15]]))</f>
        <v>7320140008 - [AOM Variances Steam]</v>
      </c>
      <c r="U2408" s="22">
        <v>2403</v>
      </c>
      <c r="W2408" s="13" t="str">
        <f>LOOKUP(1,1/(Table1[[#This Row],[Level_0]:[Level 15]]&gt;0),(Table1[[#This Row],[Level_0]:[Level 15]]))</f>
        <v>7320140008 - [AOM Variances Steam]</v>
      </c>
    </row>
    <row r="2409" spans="1:23" hidden="1" x14ac:dyDescent="0.25">
      <c r="A2409">
        <v>7320140002</v>
      </c>
      <c r="B2409" s="16" t="s">
        <v>20858</v>
      </c>
      <c r="C2409" s="16" t="e">
        <f>VLOOKUP(Table1[[#This Row],[Node]],Parent!A:B,2,0)</f>
        <v>#N/A</v>
      </c>
      <c r="D2409" s="25" t="s">
        <v>19346</v>
      </c>
      <c r="E2409" s="26" t="s">
        <v>16544</v>
      </c>
      <c r="F2409" s="27" t="s">
        <v>18569</v>
      </c>
      <c r="G2409" s="27" t="s">
        <v>18810</v>
      </c>
      <c r="H2409" s="27" t="s">
        <v>18811</v>
      </c>
      <c r="I2409" s="27" t="s">
        <v>18912</v>
      </c>
      <c r="J2409" s="27" t="s">
        <v>18917</v>
      </c>
      <c r="K2409" s="27"/>
      <c r="L2409" s="27"/>
      <c r="N2409" s="27"/>
      <c r="T2409" s="28" t="str">
        <f>LOOKUP(1,1/(Table1[[#This Row],[Level_0]:[Level 15]]&gt;0),(Table1[[#This Row],[Level_0]:[Level 15]]))</f>
        <v>7320140002 - [AOM Cost transfer Charge - Steam]</v>
      </c>
      <c r="U2409" s="22">
        <v>2404</v>
      </c>
      <c r="W2409" s="13" t="str">
        <f>LOOKUP(1,1/(Table1[[#This Row],[Level_0]:[Level 15]]&gt;0),(Table1[[#This Row],[Level_0]:[Level 15]]))</f>
        <v>7320140002 - [AOM Cost transfer Charge - Steam]</v>
      </c>
    </row>
    <row r="2410" spans="1:23" hidden="1" x14ac:dyDescent="0.25">
      <c r="A2410">
        <v>7310140006</v>
      </c>
      <c r="B2410" s="16" t="s">
        <v>20820</v>
      </c>
      <c r="C2410" s="16" t="e">
        <f>VLOOKUP(Table1[[#This Row],[Node]],Parent!A:B,2,0)</f>
        <v>#N/A</v>
      </c>
      <c r="D2410" s="25" t="s">
        <v>19346</v>
      </c>
      <c r="E2410" s="26" t="s">
        <v>16544</v>
      </c>
      <c r="F2410" s="27" t="s">
        <v>18569</v>
      </c>
      <c r="G2410" s="27" t="s">
        <v>18810</v>
      </c>
      <c r="H2410" s="27" t="s">
        <v>18811</v>
      </c>
      <c r="I2410" s="27" t="s">
        <v>18912</v>
      </c>
      <c r="J2410" s="27" t="s">
        <v>18918</v>
      </c>
      <c r="K2410" s="27"/>
      <c r="L2410" s="27"/>
      <c r="N2410" s="27"/>
      <c r="T2410" s="28" t="str">
        <f>LOOKUP(1,1/(Table1[[#This Row],[Level_0]:[Level 15]]&gt;0),(Table1[[#This Row],[Level_0]:[Level 15]]))</f>
        <v>7310140006 - [IAA Steam]</v>
      </c>
      <c r="U2410" s="22">
        <v>2405</v>
      </c>
      <c r="W2410" s="13" t="str">
        <f>LOOKUP(1,1/(Table1[[#This Row],[Level_0]:[Level 15]]&gt;0),(Table1[[#This Row],[Level_0]:[Level 15]]))</f>
        <v>7310140006 - [IAA Steam]</v>
      </c>
    </row>
    <row r="2411" spans="1:23" hidden="1" x14ac:dyDescent="0.25">
      <c r="A2411">
        <v>7301140005</v>
      </c>
      <c r="B2411" s="16" t="s">
        <v>20792</v>
      </c>
      <c r="C2411" s="16" t="e">
        <f>VLOOKUP(Table1[[#This Row],[Node]],Parent!A:B,2,0)</f>
        <v>#N/A</v>
      </c>
      <c r="D2411" s="25" t="s">
        <v>19346</v>
      </c>
      <c r="E2411" s="26" t="s">
        <v>16544</v>
      </c>
      <c r="F2411" s="27" t="s">
        <v>18569</v>
      </c>
      <c r="G2411" s="27" t="s">
        <v>18810</v>
      </c>
      <c r="H2411" s="27" t="s">
        <v>18811</v>
      </c>
      <c r="I2411" s="27" t="s">
        <v>18912</v>
      </c>
      <c r="J2411" s="27" t="s">
        <v>18919</v>
      </c>
      <c r="K2411" s="27"/>
      <c r="L2411" s="27"/>
      <c r="N2411" s="27"/>
      <c r="T2411" s="28" t="str">
        <f>LOOKUP(1,1/(Table1[[#This Row],[Level_0]:[Level 15]]&gt;0),(Table1[[#This Row],[Level_0]:[Level 15]]))</f>
        <v>7301140005 - [DAA Steam]</v>
      </c>
      <c r="U2411" s="22">
        <v>2406</v>
      </c>
      <c r="W2411" s="13" t="str">
        <f>LOOKUP(1,1/(Table1[[#This Row],[Level_0]:[Level 15]]&gt;0),(Table1[[#This Row],[Level_0]:[Level 15]]))</f>
        <v>7301140005 - [DAA Steam]</v>
      </c>
    </row>
    <row r="2412" spans="1:23" hidden="1" x14ac:dyDescent="0.25">
      <c r="A2412">
        <v>5216510000</v>
      </c>
      <c r="B2412" s="16" t="s">
        <v>20146</v>
      </c>
      <c r="C2412" s="16" t="e">
        <f>VLOOKUP(Table1[[#This Row],[Node]],Parent!A:B,2,0)</f>
        <v>#N/A</v>
      </c>
      <c r="D2412" s="25" t="s">
        <v>19346</v>
      </c>
      <c r="E2412" s="26" t="s">
        <v>16544</v>
      </c>
      <c r="F2412" s="27" t="s">
        <v>18569</v>
      </c>
      <c r="G2412" s="27" t="s">
        <v>18810</v>
      </c>
      <c r="H2412" s="27" t="s">
        <v>18811</v>
      </c>
      <c r="I2412" s="27" t="s">
        <v>18912</v>
      </c>
      <c r="J2412" s="27" t="s">
        <v>18920</v>
      </c>
      <c r="K2412" s="27"/>
      <c r="L2412" s="27"/>
      <c r="N2412" s="27"/>
      <c r="T2412" s="28" t="str">
        <f>LOOKUP(1,1/(Table1[[#This Row],[Level_0]:[Level 15]]&gt;0),(Table1[[#This Row],[Level_0]:[Level 15]]))</f>
        <v>5216510000 - [IC Exp - SMS - MedSup - Steam Supply]</v>
      </c>
      <c r="U2412" s="22">
        <v>2407</v>
      </c>
      <c r="W2412" s="13" t="str">
        <f>LOOKUP(1,1/(Table1[[#This Row],[Level_0]:[Level 15]]&gt;0),(Table1[[#This Row],[Level_0]:[Level 15]]))</f>
        <v>5216510000 - [IC Exp - SMS - MedSup - Steam Supply]</v>
      </c>
    </row>
    <row r="2413" spans="1:23" hidden="1" x14ac:dyDescent="0.25">
      <c r="A2413">
        <v>120220</v>
      </c>
      <c r="B2413" s="16" t="s">
        <v>19406</v>
      </c>
      <c r="C2413" s="16" t="e">
        <f>VLOOKUP(Table1[[#This Row],[Node]],Parent!A:B,2,0)</f>
        <v>#N/A</v>
      </c>
      <c r="D2413" s="25" t="s">
        <v>19346</v>
      </c>
      <c r="E2413" s="26" t="s">
        <v>16544</v>
      </c>
      <c r="F2413" s="27" t="s">
        <v>18569</v>
      </c>
      <c r="G2413" s="27" t="s">
        <v>18810</v>
      </c>
      <c r="H2413" s="27" t="s">
        <v>18811</v>
      </c>
      <c r="I2413" s="27" t="s">
        <v>18921</v>
      </c>
      <c r="J2413" s="27"/>
      <c r="K2413" s="27"/>
      <c r="L2413" s="27"/>
      <c r="N2413" s="27"/>
      <c r="T2413" s="28" t="str">
        <f>LOOKUP(1,1/(Table1[[#This Row],[Level_0]:[Level 15]]&gt;0),(Table1[[#This Row],[Level_0]:[Level 15]]))</f>
        <v>120220 - [Natural gas]</v>
      </c>
      <c r="U2413" s="22">
        <v>2408</v>
      </c>
      <c r="W2413" s="13" t="str">
        <f>LOOKUP(1,1/(Table1[[#This Row],[Level_0]:[Level 15]]&gt;0),(Table1[[#This Row],[Level_0]:[Level 15]]))</f>
        <v>120220 - [Natural gas]</v>
      </c>
    </row>
    <row r="2414" spans="1:23" hidden="1" x14ac:dyDescent="0.25">
      <c r="A2414">
        <v>5212710000</v>
      </c>
      <c r="B2414" s="16" t="s">
        <v>20133</v>
      </c>
      <c r="C2414" s="16" t="e">
        <f>VLOOKUP(Table1[[#This Row],[Node]],Parent!A:B,2,0)</f>
        <v>#N/A</v>
      </c>
      <c r="D2414" s="25" t="s">
        <v>19346</v>
      </c>
      <c r="E2414" s="26" t="s">
        <v>16544</v>
      </c>
      <c r="F2414" s="27" t="s">
        <v>18569</v>
      </c>
      <c r="G2414" s="27" t="s">
        <v>18810</v>
      </c>
      <c r="H2414" s="27" t="s">
        <v>18811</v>
      </c>
      <c r="I2414" s="27" t="s">
        <v>18921</v>
      </c>
      <c r="J2414" s="27" t="s">
        <v>18922</v>
      </c>
      <c r="K2414" s="27"/>
      <c r="L2414" s="27"/>
      <c r="N2414" s="27"/>
      <c r="T2414" s="28" t="str">
        <f>LOOKUP(1,1/(Table1[[#This Row],[Level_0]:[Level 15]]&gt;0),(Table1[[#This Row],[Level_0]:[Level 15]]))</f>
        <v>5212710000 - [IC Exp - SMS - SM Service Gas]</v>
      </c>
      <c r="U2414" s="22">
        <v>2409</v>
      </c>
      <c r="W2414" s="13" t="str">
        <f>LOOKUP(1,1/(Table1[[#This Row],[Level_0]:[Level 15]]&gt;0),(Table1[[#This Row],[Level_0]:[Level 15]]))</f>
        <v>5212710000 - [IC Exp - SMS - SM Service Gas]</v>
      </c>
    </row>
    <row r="2415" spans="1:23" hidden="1" x14ac:dyDescent="0.25">
      <c r="A2415">
        <v>7600304256</v>
      </c>
      <c r="B2415" s="16" t="s">
        <v>21437</v>
      </c>
      <c r="C2415" s="16" t="e">
        <f>VLOOKUP(Table1[[#This Row],[Node]],Parent!A:B,2,0)</f>
        <v>#N/A</v>
      </c>
      <c r="D2415" s="25" t="s">
        <v>19346</v>
      </c>
      <c r="E2415" s="26" t="s">
        <v>16544</v>
      </c>
      <c r="F2415" s="27" t="s">
        <v>18569</v>
      </c>
      <c r="G2415" s="27" t="s">
        <v>18810</v>
      </c>
      <c r="H2415" s="27" t="s">
        <v>18811</v>
      </c>
      <c r="I2415" s="27" t="s">
        <v>18921</v>
      </c>
      <c r="J2415" s="27" t="s">
        <v>18923</v>
      </c>
      <c r="K2415" s="27"/>
      <c r="L2415" s="27"/>
      <c r="N2415" s="27"/>
      <c r="T2415" s="28" t="str">
        <f>LOOKUP(1,1/(Table1[[#This Row],[Level_0]:[Level 15]]&gt;0),(Table1[[#This Row],[Level_0]:[Level 15]]))</f>
        <v>7600304256 - [DAA_Liquid Gas]</v>
      </c>
      <c r="U2415" s="22">
        <v>2410</v>
      </c>
      <c r="W2415" s="13" t="str">
        <f>LOOKUP(1,1/(Table1[[#This Row],[Level_0]:[Level 15]]&gt;0),(Table1[[#This Row],[Level_0]:[Level 15]]))</f>
        <v>7600304256 - [DAA_Liquid Gas]</v>
      </c>
    </row>
    <row r="2416" spans="1:23" hidden="1" x14ac:dyDescent="0.25">
      <c r="A2416">
        <v>7600304253</v>
      </c>
      <c r="B2416" s="16" t="s">
        <v>21434</v>
      </c>
      <c r="C2416" s="16" t="e">
        <f>VLOOKUP(Table1[[#This Row],[Node]],Parent!A:B,2,0)</f>
        <v>#N/A</v>
      </c>
      <c r="D2416" s="25" t="s">
        <v>19346</v>
      </c>
      <c r="E2416" s="26" t="s">
        <v>16544</v>
      </c>
      <c r="F2416" s="27" t="s">
        <v>18569</v>
      </c>
      <c r="G2416" s="27" t="s">
        <v>18810</v>
      </c>
      <c r="H2416" s="27" t="s">
        <v>18811</v>
      </c>
      <c r="I2416" s="27" t="s">
        <v>18921</v>
      </c>
      <c r="J2416" s="27" t="s">
        <v>18924</v>
      </c>
      <c r="K2416" s="27"/>
      <c r="L2416" s="27"/>
      <c r="N2416" s="27"/>
      <c r="T2416" s="28" t="str">
        <f>LOOKUP(1,1/(Table1[[#This Row],[Level_0]:[Level 15]]&gt;0),(Table1[[#This Row],[Level_0]:[Level 15]]))</f>
        <v>7600304253 - [DAA_Nat.gas sup. Ext.]</v>
      </c>
      <c r="U2416" s="22">
        <v>2411</v>
      </c>
      <c r="W2416" s="13" t="str">
        <f>LOOKUP(1,1/(Table1[[#This Row],[Level_0]:[Level 15]]&gt;0),(Table1[[#This Row],[Level_0]:[Level 15]]))</f>
        <v>7600304253 - [DAA_Nat.gas sup. Ext.]</v>
      </c>
    </row>
    <row r="2417" spans="1:23" hidden="1" x14ac:dyDescent="0.25">
      <c r="A2417">
        <v>7600304198</v>
      </c>
      <c r="B2417" s="16" t="s">
        <v>21391</v>
      </c>
      <c r="C2417" s="16" t="e">
        <f>VLOOKUP(Table1[[#This Row],[Node]],Parent!A:B,2,0)</f>
        <v>#N/A</v>
      </c>
      <c r="D2417" s="25" t="s">
        <v>19346</v>
      </c>
      <c r="E2417" s="26" t="s">
        <v>16544</v>
      </c>
      <c r="F2417" s="27" t="s">
        <v>18569</v>
      </c>
      <c r="G2417" s="27" t="s">
        <v>18810</v>
      </c>
      <c r="H2417" s="27" t="s">
        <v>18811</v>
      </c>
      <c r="I2417" s="27" t="s">
        <v>18921</v>
      </c>
      <c r="J2417" s="27" t="s">
        <v>18925</v>
      </c>
      <c r="K2417" s="27"/>
      <c r="L2417" s="27"/>
      <c r="N2417" s="27"/>
      <c r="T2417" s="28" t="str">
        <f>LOOKUP(1,1/(Table1[[#This Row],[Level_0]:[Level 15]]&gt;0),(Table1[[#This Row],[Level_0]:[Level 15]]))</f>
        <v>7600304198 - [DAA_Gas]</v>
      </c>
      <c r="U2417" s="22">
        <v>2412</v>
      </c>
      <c r="W2417" s="13" t="str">
        <f>LOOKUP(1,1/(Table1[[#This Row],[Level_0]:[Level 15]]&gt;0),(Table1[[#This Row],[Level_0]:[Level 15]]))</f>
        <v>7600304198 - [DAA_Gas]</v>
      </c>
    </row>
    <row r="2418" spans="1:23" hidden="1" x14ac:dyDescent="0.25">
      <c r="A2418">
        <v>7620000011</v>
      </c>
      <c r="B2418" s="16" t="s">
        <v>21537</v>
      </c>
      <c r="C2418" s="16" t="e">
        <f>VLOOKUP(Table1[[#This Row],[Node]],Parent!A:B,2,0)</f>
        <v>#N/A</v>
      </c>
      <c r="D2418" s="25" t="s">
        <v>19346</v>
      </c>
      <c r="E2418" s="26" t="s">
        <v>16544</v>
      </c>
      <c r="F2418" s="27" t="s">
        <v>18569</v>
      </c>
      <c r="G2418" s="27" t="s">
        <v>18810</v>
      </c>
      <c r="H2418" s="27" t="s">
        <v>18811</v>
      </c>
      <c r="I2418" s="27" t="s">
        <v>18921</v>
      </c>
      <c r="J2418" s="27" t="s">
        <v>18926</v>
      </c>
      <c r="K2418" s="27"/>
      <c r="L2418" s="27"/>
      <c r="N2418" s="27"/>
      <c r="T2418" s="28" t="str">
        <f>LOOKUP(1,1/(Table1[[#This Row],[Level_0]:[Level 15]]&gt;0),(Table1[[#This Row],[Level_0]:[Level 15]]))</f>
        <v>7620000011 - [AOM Gasabgrenzg.CO]</v>
      </c>
      <c r="U2418" s="22">
        <v>2413</v>
      </c>
      <c r="W2418" s="13" t="str">
        <f>LOOKUP(1,1/(Table1[[#This Row],[Level_0]:[Level 15]]&gt;0),(Table1[[#This Row],[Level_0]:[Level 15]]))</f>
        <v>7620000011 - [AOM Gasabgrenzg.CO]</v>
      </c>
    </row>
    <row r="2419" spans="1:23" hidden="1" x14ac:dyDescent="0.25">
      <c r="A2419">
        <v>7620000007</v>
      </c>
      <c r="B2419" s="16" t="s">
        <v>21533</v>
      </c>
      <c r="C2419" s="16" t="e">
        <f>VLOOKUP(Table1[[#This Row],[Node]],Parent!A:B,2,0)</f>
        <v>#N/A</v>
      </c>
      <c r="D2419" s="25" t="s">
        <v>19346</v>
      </c>
      <c r="E2419" s="26" t="s">
        <v>16544</v>
      </c>
      <c r="F2419" s="27" t="s">
        <v>18569</v>
      </c>
      <c r="G2419" s="27" t="s">
        <v>18810</v>
      </c>
      <c r="H2419" s="27" t="s">
        <v>18811</v>
      </c>
      <c r="I2419" s="27" t="s">
        <v>18921</v>
      </c>
      <c r="J2419" s="27" t="s">
        <v>18927</v>
      </c>
      <c r="K2419" s="27"/>
      <c r="L2419" s="27"/>
      <c r="N2419" s="27"/>
      <c r="T2419" s="28" t="str">
        <f>LOOKUP(1,1/(Table1[[#This Row],[Level_0]:[Level 15]]&gt;0),(Table1[[#This Row],[Level_0]:[Level 15]]))</f>
        <v>7620000007 - [AOM Abgrenzung Gas Darmstadt]</v>
      </c>
      <c r="U2419" s="22">
        <v>2414</v>
      </c>
      <c r="W2419" s="13" t="str">
        <f>LOOKUP(1,1/(Table1[[#This Row],[Level_0]:[Level 15]]&gt;0),(Table1[[#This Row],[Level_0]:[Level 15]]))</f>
        <v>7620000007 - [AOM Abgrenzung Gas Darmstadt]</v>
      </c>
    </row>
    <row r="2420" spans="1:23" hidden="1" x14ac:dyDescent="0.25">
      <c r="A2420">
        <v>7600304051</v>
      </c>
      <c r="B2420" s="16" t="s">
        <v>21252</v>
      </c>
      <c r="C2420" s="16" t="e">
        <f>VLOOKUP(Table1[[#This Row],[Node]],Parent!A:B,2,0)</f>
        <v>#N/A</v>
      </c>
      <c r="D2420" s="25" t="s">
        <v>19346</v>
      </c>
      <c r="E2420" s="26" t="s">
        <v>16544</v>
      </c>
      <c r="F2420" s="27" t="s">
        <v>18569</v>
      </c>
      <c r="G2420" s="27" t="s">
        <v>18810</v>
      </c>
      <c r="H2420" s="27" t="s">
        <v>18811</v>
      </c>
      <c r="I2420" s="27" t="s">
        <v>18921</v>
      </c>
      <c r="J2420" s="27" t="s">
        <v>18928</v>
      </c>
      <c r="K2420" s="27"/>
      <c r="L2420" s="27"/>
      <c r="N2420" s="27"/>
      <c r="T2420" s="28" t="str">
        <f>LOOKUP(1,1/(Table1[[#This Row],[Level_0]:[Level 15]]&gt;0),(Table1[[#This Row],[Level_0]:[Level 15]]))</f>
        <v>7600304051 - [DAA Natural gas supply]</v>
      </c>
      <c r="U2420" s="22">
        <v>2415</v>
      </c>
      <c r="W2420" s="13" t="str">
        <f>LOOKUP(1,1/(Table1[[#This Row],[Level_0]:[Level 15]]&gt;0),(Table1[[#This Row],[Level_0]:[Level 15]]))</f>
        <v>7600304051 - [DAA Natural gas supply]</v>
      </c>
    </row>
    <row r="2421" spans="1:23" hidden="1" x14ac:dyDescent="0.25">
      <c r="A2421">
        <v>7320140024</v>
      </c>
      <c r="B2421" s="16" t="s">
        <v>20880</v>
      </c>
      <c r="C2421" s="16" t="e">
        <f>VLOOKUP(Table1[[#This Row],[Node]],Parent!A:B,2,0)</f>
        <v>#N/A</v>
      </c>
      <c r="D2421" s="25" t="s">
        <v>19346</v>
      </c>
      <c r="E2421" s="26" t="s">
        <v>16544</v>
      </c>
      <c r="F2421" s="27" t="s">
        <v>18569</v>
      </c>
      <c r="G2421" s="27" t="s">
        <v>18810</v>
      </c>
      <c r="H2421" s="27" t="s">
        <v>18811</v>
      </c>
      <c r="I2421" s="27" t="s">
        <v>18921</v>
      </c>
      <c r="J2421" s="27" t="s">
        <v>18929</v>
      </c>
      <c r="K2421" s="27"/>
      <c r="L2421" s="27"/>
      <c r="N2421" s="27"/>
      <c r="T2421" s="28" t="str">
        <f>LOOKUP(1,1/(Table1[[#This Row],[Level_0]:[Level 15]]&gt;0),(Table1[[#This Row],[Level_0]:[Level 15]]))</f>
        <v>7320140024 - [AOM - Nitrogen LIQUID (M3)]</v>
      </c>
      <c r="U2421" s="22">
        <v>2416</v>
      </c>
      <c r="W2421" s="13" t="str">
        <f>LOOKUP(1,1/(Table1[[#This Row],[Level_0]:[Level 15]]&gt;0),(Table1[[#This Row],[Level_0]:[Level 15]]))</f>
        <v>7320140024 - [AOM - Nitrogen LIQUID (M3)]</v>
      </c>
    </row>
    <row r="2422" spans="1:23" hidden="1" x14ac:dyDescent="0.25">
      <c r="A2422">
        <v>7320140023</v>
      </c>
      <c r="B2422" s="16" t="s">
        <v>20879</v>
      </c>
      <c r="C2422" s="16" t="e">
        <f>VLOOKUP(Table1[[#This Row],[Node]],Parent!A:B,2,0)</f>
        <v>#N/A</v>
      </c>
      <c r="D2422" s="25" t="s">
        <v>19346</v>
      </c>
      <c r="E2422" s="26" t="s">
        <v>16544</v>
      </c>
      <c r="F2422" s="27" t="s">
        <v>18569</v>
      </c>
      <c r="G2422" s="27" t="s">
        <v>18810</v>
      </c>
      <c r="H2422" s="27" t="s">
        <v>18811</v>
      </c>
      <c r="I2422" s="27" t="s">
        <v>18921</v>
      </c>
      <c r="J2422" s="27" t="s">
        <v>18930</v>
      </c>
      <c r="K2422" s="27"/>
      <c r="L2422" s="27"/>
      <c r="N2422" s="27"/>
      <c r="T2422" s="28" t="str">
        <f>LOOKUP(1,1/(Table1[[#This Row],[Level_0]:[Level 15]]&gt;0),(Table1[[#This Row],[Level_0]:[Level 15]]))</f>
        <v>7320140023 - [AOM - Nitrogen GAS (M3)]</v>
      </c>
      <c r="U2422" s="22">
        <v>2417</v>
      </c>
      <c r="W2422" s="13" t="str">
        <f>LOOKUP(1,1/(Table1[[#This Row],[Level_0]:[Level 15]]&gt;0),(Table1[[#This Row],[Level_0]:[Level 15]]))</f>
        <v>7320140023 - [AOM - Nitrogen GAS (M3)]</v>
      </c>
    </row>
    <row r="2423" spans="1:23" hidden="1" x14ac:dyDescent="0.25">
      <c r="A2423">
        <v>7320140022</v>
      </c>
      <c r="B2423" s="16" t="s">
        <v>20878</v>
      </c>
      <c r="C2423" s="16" t="e">
        <f>VLOOKUP(Table1[[#This Row],[Node]],Parent!A:B,2,0)</f>
        <v>#N/A</v>
      </c>
      <c r="D2423" s="25" t="s">
        <v>19346</v>
      </c>
      <c r="E2423" s="26" t="s">
        <v>16544</v>
      </c>
      <c r="F2423" s="27" t="s">
        <v>18569</v>
      </c>
      <c r="G2423" s="27" t="s">
        <v>18810</v>
      </c>
      <c r="H2423" s="27" t="s">
        <v>18811</v>
      </c>
      <c r="I2423" s="27" t="s">
        <v>18921</v>
      </c>
      <c r="J2423" s="27" t="s">
        <v>18931</v>
      </c>
      <c r="K2423" s="27"/>
      <c r="L2423" s="27"/>
      <c r="N2423" s="27"/>
      <c r="T2423" s="28" t="str">
        <f>LOOKUP(1,1/(Table1[[#This Row],[Level_0]:[Level 15]]&gt;0),(Table1[[#This Row],[Level_0]:[Level 15]]))</f>
        <v>7320140022 - [AOM - Hydrogen (M3)]</v>
      </c>
      <c r="U2423" s="22">
        <v>2418</v>
      </c>
      <c r="W2423" s="13" t="str">
        <f>LOOKUP(1,1/(Table1[[#This Row],[Level_0]:[Level 15]]&gt;0),(Table1[[#This Row],[Level_0]:[Level 15]]))</f>
        <v>7320140022 - [AOM - Hydrogen (M3)]</v>
      </c>
    </row>
    <row r="2424" spans="1:23" hidden="1" x14ac:dyDescent="0.25">
      <c r="A2424">
        <v>7320140007</v>
      </c>
      <c r="B2424" s="16" t="s">
        <v>20863</v>
      </c>
      <c r="C2424" s="16" t="e">
        <f>VLOOKUP(Table1[[#This Row],[Node]],Parent!A:B,2,0)</f>
        <v>#N/A</v>
      </c>
      <c r="D2424" s="25" t="s">
        <v>19346</v>
      </c>
      <c r="E2424" s="26" t="s">
        <v>16544</v>
      </c>
      <c r="F2424" s="27" t="s">
        <v>18569</v>
      </c>
      <c r="G2424" s="27" t="s">
        <v>18810</v>
      </c>
      <c r="H2424" s="27" t="s">
        <v>18811</v>
      </c>
      <c r="I2424" s="27" t="s">
        <v>18921</v>
      </c>
      <c r="J2424" s="27" t="s">
        <v>18932</v>
      </c>
      <c r="K2424" s="27"/>
      <c r="L2424" s="27"/>
      <c r="N2424" s="27"/>
      <c r="T2424" s="28" t="str">
        <f>LOOKUP(1,1/(Table1[[#This Row],[Level_0]:[Level 15]]&gt;0),(Table1[[#This Row],[Level_0]:[Level 15]]))</f>
        <v>7320140007 - [AOM Variances Natural Gas]</v>
      </c>
      <c r="U2424" s="22">
        <v>2419</v>
      </c>
      <c r="W2424" s="13" t="str">
        <f>LOOKUP(1,1/(Table1[[#This Row],[Level_0]:[Level 15]]&gt;0),(Table1[[#This Row],[Level_0]:[Level 15]]))</f>
        <v>7320140007 - [AOM Variances Natural Gas]</v>
      </c>
    </row>
    <row r="2425" spans="1:23" hidden="1" x14ac:dyDescent="0.25">
      <c r="A2425">
        <v>7320140003</v>
      </c>
      <c r="B2425" s="16" t="s">
        <v>20859</v>
      </c>
      <c r="C2425" s="16" t="e">
        <f>VLOOKUP(Table1[[#This Row],[Node]],Parent!A:B,2,0)</f>
        <v>#N/A</v>
      </c>
      <c r="D2425" s="25" t="s">
        <v>19346</v>
      </c>
      <c r="E2425" s="26" t="s">
        <v>16544</v>
      </c>
      <c r="F2425" s="27" t="s">
        <v>18569</v>
      </c>
      <c r="G2425" s="27" t="s">
        <v>18810</v>
      </c>
      <c r="H2425" s="27" t="s">
        <v>18811</v>
      </c>
      <c r="I2425" s="27" t="s">
        <v>18921</v>
      </c>
      <c r="J2425" s="27" t="s">
        <v>18933</v>
      </c>
      <c r="K2425" s="27"/>
      <c r="L2425" s="27"/>
      <c r="N2425" s="27"/>
      <c r="T2425" s="28" t="str">
        <f>LOOKUP(1,1/(Table1[[#This Row],[Level_0]:[Level 15]]&gt;0),(Table1[[#This Row],[Level_0]:[Level 15]]))</f>
        <v>7320140003 - [AOM Cost transfer Charge - Gas]</v>
      </c>
      <c r="U2425" s="22">
        <v>2420</v>
      </c>
      <c r="W2425" s="13" t="str">
        <f>LOOKUP(1,1/(Table1[[#This Row],[Level_0]:[Level 15]]&gt;0),(Table1[[#This Row],[Level_0]:[Level 15]]))</f>
        <v>7320140003 - [AOM Cost transfer Charge - Gas]</v>
      </c>
    </row>
    <row r="2426" spans="1:23" hidden="1" x14ac:dyDescent="0.25">
      <c r="A2426">
        <v>7310140003</v>
      </c>
      <c r="B2426" s="16" t="s">
        <v>20817</v>
      </c>
      <c r="C2426" s="16" t="e">
        <f>VLOOKUP(Table1[[#This Row],[Node]],Parent!A:B,2,0)</f>
        <v>#N/A</v>
      </c>
      <c r="D2426" s="25" t="s">
        <v>19346</v>
      </c>
      <c r="E2426" s="26" t="s">
        <v>16544</v>
      </c>
      <c r="F2426" s="27" t="s">
        <v>18569</v>
      </c>
      <c r="G2426" s="27" t="s">
        <v>18810</v>
      </c>
      <c r="H2426" s="27" t="s">
        <v>18811</v>
      </c>
      <c r="I2426" s="27" t="s">
        <v>18921</v>
      </c>
      <c r="J2426" s="27" t="s">
        <v>18934</v>
      </c>
      <c r="K2426" s="27"/>
      <c r="L2426" s="27"/>
      <c r="N2426" s="27"/>
      <c r="T2426" s="28" t="str">
        <f>LOOKUP(1,1/(Table1[[#This Row],[Level_0]:[Level 15]]&gt;0),(Table1[[#This Row],[Level_0]:[Level 15]]))</f>
        <v>7310140003 - [IAA Natural gas]</v>
      </c>
      <c r="U2426" s="22">
        <v>2421</v>
      </c>
      <c r="W2426" s="13" t="str">
        <f>LOOKUP(1,1/(Table1[[#This Row],[Level_0]:[Level 15]]&gt;0),(Table1[[#This Row],[Level_0]:[Level 15]]))</f>
        <v>7310140003 - [IAA Natural gas]</v>
      </c>
    </row>
    <row r="2427" spans="1:23" hidden="1" x14ac:dyDescent="0.25">
      <c r="A2427">
        <v>7301140020</v>
      </c>
      <c r="B2427" s="16" t="s">
        <v>20807</v>
      </c>
      <c r="C2427" s="16" t="e">
        <f>VLOOKUP(Table1[[#This Row],[Node]],Parent!A:B,2,0)</f>
        <v>#N/A</v>
      </c>
      <c r="D2427" s="25" t="s">
        <v>19346</v>
      </c>
      <c r="E2427" s="26" t="s">
        <v>16544</v>
      </c>
      <c r="F2427" s="27" t="s">
        <v>18569</v>
      </c>
      <c r="G2427" s="27" t="s">
        <v>18810</v>
      </c>
      <c r="H2427" s="27" t="s">
        <v>18811</v>
      </c>
      <c r="I2427" s="27" t="s">
        <v>18921</v>
      </c>
      <c r="J2427" s="27" t="s">
        <v>18935</v>
      </c>
      <c r="K2427" s="27"/>
      <c r="L2427" s="27"/>
      <c r="N2427" s="27"/>
      <c r="T2427" s="28" t="str">
        <f>LOOKUP(1,1/(Table1[[#This Row],[Level_0]:[Level 15]]&gt;0),(Table1[[#This Row],[Level_0]:[Level 15]]))</f>
        <v>7301140020 - [DAA Argon]</v>
      </c>
      <c r="U2427" s="22">
        <v>2422</v>
      </c>
      <c r="W2427" s="13" t="str">
        <f>LOOKUP(1,1/(Table1[[#This Row],[Level_0]:[Level 15]]&gt;0),(Table1[[#This Row],[Level_0]:[Level 15]]))</f>
        <v>7301140020 - [DAA Argon]</v>
      </c>
    </row>
    <row r="2428" spans="1:23" hidden="1" x14ac:dyDescent="0.25">
      <c r="A2428">
        <v>7301140017</v>
      </c>
      <c r="B2428" s="16" t="s">
        <v>20804</v>
      </c>
      <c r="C2428" s="16" t="e">
        <f>VLOOKUP(Table1[[#This Row],[Node]],Parent!A:B,2,0)</f>
        <v>#N/A</v>
      </c>
      <c r="D2428" s="25" t="s">
        <v>19346</v>
      </c>
      <c r="E2428" s="26" t="s">
        <v>16544</v>
      </c>
      <c r="F2428" s="27" t="s">
        <v>18569</v>
      </c>
      <c r="G2428" s="27" t="s">
        <v>18810</v>
      </c>
      <c r="H2428" s="27" t="s">
        <v>18811</v>
      </c>
      <c r="I2428" s="27" t="s">
        <v>18921</v>
      </c>
      <c r="J2428" s="27" t="s">
        <v>18936</v>
      </c>
      <c r="K2428" s="27"/>
      <c r="L2428" s="27"/>
      <c r="N2428" s="27"/>
      <c r="T2428" s="28" t="str">
        <f>LOOKUP(1,1/(Table1[[#This Row],[Level_0]:[Level 15]]&gt;0),(Table1[[#This Row],[Level_0]:[Level 15]]))</f>
        <v>7301140017 - [DAA Nitrogen LIQUID (M3)]</v>
      </c>
      <c r="U2428" s="22">
        <v>2423</v>
      </c>
      <c r="W2428" s="13" t="str">
        <f>LOOKUP(1,1/(Table1[[#This Row],[Level_0]:[Level 15]]&gt;0),(Table1[[#This Row],[Level_0]:[Level 15]]))</f>
        <v>7301140017 - [DAA Nitrogen LIQUID (M3)]</v>
      </c>
    </row>
    <row r="2429" spans="1:23" hidden="1" x14ac:dyDescent="0.25">
      <c r="A2429">
        <v>7301140016</v>
      </c>
      <c r="B2429" s="16" t="s">
        <v>20803</v>
      </c>
      <c r="C2429" s="16" t="e">
        <f>VLOOKUP(Table1[[#This Row],[Node]],Parent!A:B,2,0)</f>
        <v>#N/A</v>
      </c>
      <c r="D2429" s="25" t="s">
        <v>19346</v>
      </c>
      <c r="E2429" s="26" t="s">
        <v>16544</v>
      </c>
      <c r="F2429" s="27" t="s">
        <v>18569</v>
      </c>
      <c r="G2429" s="27" t="s">
        <v>18810</v>
      </c>
      <c r="H2429" s="27" t="s">
        <v>18811</v>
      </c>
      <c r="I2429" s="27" t="s">
        <v>18921</v>
      </c>
      <c r="J2429" s="27" t="s">
        <v>18937</v>
      </c>
      <c r="K2429" s="27"/>
      <c r="L2429" s="27"/>
      <c r="N2429" s="27"/>
      <c r="T2429" s="28" t="str">
        <f>LOOKUP(1,1/(Table1[[#This Row],[Level_0]:[Level 15]]&gt;0),(Table1[[#This Row],[Level_0]:[Level 15]]))</f>
        <v>7301140016 - [DAA Nitrogen GAS (M3)]</v>
      </c>
      <c r="U2429" s="22">
        <v>2424</v>
      </c>
      <c r="W2429" s="13" t="str">
        <f>LOOKUP(1,1/(Table1[[#This Row],[Level_0]:[Level 15]]&gt;0),(Table1[[#This Row],[Level_0]:[Level 15]]))</f>
        <v>7301140016 - [DAA Nitrogen GAS (M3)]</v>
      </c>
    </row>
    <row r="2430" spans="1:23" hidden="1" x14ac:dyDescent="0.25">
      <c r="A2430">
        <v>7301140015</v>
      </c>
      <c r="B2430" s="16" t="s">
        <v>20802</v>
      </c>
      <c r="C2430" s="16" t="e">
        <f>VLOOKUP(Table1[[#This Row],[Node]],Parent!A:B,2,0)</f>
        <v>#N/A</v>
      </c>
      <c r="D2430" s="25" t="s">
        <v>19346</v>
      </c>
      <c r="E2430" s="26" t="s">
        <v>16544</v>
      </c>
      <c r="F2430" s="27" t="s">
        <v>18569</v>
      </c>
      <c r="G2430" s="27" t="s">
        <v>18810</v>
      </c>
      <c r="H2430" s="27" t="s">
        <v>18811</v>
      </c>
      <c r="I2430" s="27" t="s">
        <v>18921</v>
      </c>
      <c r="J2430" s="27" t="s">
        <v>18938</v>
      </c>
      <c r="K2430" s="27"/>
      <c r="L2430" s="27"/>
      <c r="N2430" s="27"/>
      <c r="T2430" s="28" t="str">
        <f>LOOKUP(1,1/(Table1[[#This Row],[Level_0]:[Level 15]]&gt;0),(Table1[[#This Row],[Level_0]:[Level 15]]))</f>
        <v>7301140015 - [DAA Hydrogen (M3)]</v>
      </c>
      <c r="U2430" s="22">
        <v>2425</v>
      </c>
      <c r="W2430" s="13" t="str">
        <f>LOOKUP(1,1/(Table1[[#This Row],[Level_0]:[Level 15]]&gt;0),(Table1[[#This Row],[Level_0]:[Level 15]]))</f>
        <v>7301140015 - [DAA Hydrogen (M3)]</v>
      </c>
    </row>
    <row r="2431" spans="1:23" hidden="1" x14ac:dyDescent="0.25">
      <c r="A2431">
        <v>7301140003</v>
      </c>
      <c r="B2431" s="16" t="s">
        <v>20790</v>
      </c>
      <c r="C2431" s="16" t="e">
        <f>VLOOKUP(Table1[[#This Row],[Node]],Parent!A:B,2,0)</f>
        <v>#N/A</v>
      </c>
      <c r="D2431" s="25" t="s">
        <v>19346</v>
      </c>
      <c r="E2431" s="26" t="s">
        <v>16544</v>
      </c>
      <c r="F2431" s="27" t="s">
        <v>18569</v>
      </c>
      <c r="G2431" s="27" t="s">
        <v>18810</v>
      </c>
      <c r="H2431" s="27" t="s">
        <v>18811</v>
      </c>
      <c r="I2431" s="27" t="s">
        <v>18921</v>
      </c>
      <c r="J2431" s="27" t="s">
        <v>18939</v>
      </c>
      <c r="K2431" s="27"/>
      <c r="L2431" s="27"/>
      <c r="N2431" s="27"/>
      <c r="T2431" s="28" t="str">
        <f>LOOKUP(1,1/(Table1[[#This Row],[Level_0]:[Level 15]]&gt;0),(Table1[[#This Row],[Level_0]:[Level 15]]))</f>
        <v>7301140003 - [DAA Natural Gas]</v>
      </c>
      <c r="U2431" s="22">
        <v>2426</v>
      </c>
      <c r="W2431" s="13" t="str">
        <f>LOOKUP(1,1/(Table1[[#This Row],[Level_0]:[Level 15]]&gt;0),(Table1[[#This Row],[Level_0]:[Level 15]]))</f>
        <v>7301140003 - [DAA Natural Gas]</v>
      </c>
    </row>
    <row r="2432" spans="1:23" hidden="1" x14ac:dyDescent="0.25">
      <c r="A2432">
        <v>5212310000</v>
      </c>
      <c r="B2432" s="16" t="s">
        <v>20129</v>
      </c>
      <c r="C2432" s="16" t="e">
        <f>VLOOKUP(Table1[[#This Row],[Node]],Parent!A:B,2,0)</f>
        <v>#N/A</v>
      </c>
      <c r="D2432" s="25" t="s">
        <v>19346</v>
      </c>
      <c r="E2432" s="26" t="s">
        <v>16544</v>
      </c>
      <c r="F2432" s="27" t="s">
        <v>18569</v>
      </c>
      <c r="G2432" s="27" t="s">
        <v>18810</v>
      </c>
      <c r="H2432" s="27" t="s">
        <v>18811</v>
      </c>
      <c r="I2432" s="27" t="s">
        <v>18921</v>
      </c>
      <c r="J2432" s="27" t="s">
        <v>18940</v>
      </c>
      <c r="K2432" s="27"/>
      <c r="L2432" s="27"/>
      <c r="N2432" s="27"/>
      <c r="T2432" s="28" t="str">
        <f>LOOKUP(1,1/(Table1[[#This Row],[Level_0]:[Level 15]]&gt;0),(Table1[[#This Row],[Level_0]:[Level 15]]))</f>
        <v>5212310000 - [IC Exp - SMS - MedSup - Natural Gas]</v>
      </c>
      <c r="U2432" s="22">
        <v>2427</v>
      </c>
      <c r="W2432" s="13" t="str">
        <f>LOOKUP(1,1/(Table1[[#This Row],[Level_0]:[Level 15]]&gt;0),(Table1[[#This Row],[Level_0]:[Level 15]]))</f>
        <v>5212310000 - [IC Exp - SMS - MedSup - Natural Gas]</v>
      </c>
    </row>
    <row r="2433" spans="1:23" hidden="1" x14ac:dyDescent="0.25">
      <c r="A2433">
        <v>120210</v>
      </c>
      <c r="B2433" s="16" t="s">
        <v>19353</v>
      </c>
      <c r="C2433" s="16" t="e">
        <f>VLOOKUP(Table1[[#This Row],[Node]],Parent!A:B,2,0)</f>
        <v>#N/A</v>
      </c>
      <c r="D2433" s="25" t="s">
        <v>19346</v>
      </c>
      <c r="E2433" s="26" t="s">
        <v>16544</v>
      </c>
      <c r="F2433" s="27" t="s">
        <v>18569</v>
      </c>
      <c r="G2433" s="27" t="s">
        <v>18810</v>
      </c>
      <c r="H2433" s="27" t="s">
        <v>18811</v>
      </c>
      <c r="I2433" s="27" t="s">
        <v>18941</v>
      </c>
      <c r="J2433" s="27"/>
      <c r="K2433" s="27"/>
      <c r="L2433" s="27"/>
      <c r="N2433" s="27"/>
      <c r="T2433" s="28" t="str">
        <f>LOOKUP(1,1/(Table1[[#This Row],[Level_0]:[Level 15]]&gt;0),(Table1[[#This Row],[Level_0]:[Level 15]]))</f>
        <v>120210 - [Electricity]</v>
      </c>
      <c r="U2433" s="22">
        <v>2428</v>
      </c>
      <c r="W2433" s="13" t="str">
        <f>LOOKUP(1,1/(Table1[[#This Row],[Level_0]:[Level 15]]&gt;0),(Table1[[#This Row],[Level_0]:[Level 15]]))</f>
        <v>120210 - [Electricity]</v>
      </c>
    </row>
    <row r="2434" spans="1:23" hidden="1" x14ac:dyDescent="0.25">
      <c r="A2434">
        <v>5210110000</v>
      </c>
      <c r="B2434" s="16" t="s">
        <v>20123</v>
      </c>
      <c r="C2434" s="16" t="e">
        <f>VLOOKUP(Table1[[#This Row],[Node]],Parent!A:B,2,0)</f>
        <v>#N/A</v>
      </c>
      <c r="D2434" s="25" t="s">
        <v>19346</v>
      </c>
      <c r="E2434" s="26" t="s">
        <v>16544</v>
      </c>
      <c r="F2434" s="27" t="s">
        <v>18569</v>
      </c>
      <c r="G2434" s="27" t="s">
        <v>18810</v>
      </c>
      <c r="H2434" s="27" t="s">
        <v>18811</v>
      </c>
      <c r="I2434" s="27" t="s">
        <v>18941</v>
      </c>
      <c r="J2434" s="27" t="s">
        <v>18942</v>
      </c>
      <c r="K2434" s="27"/>
      <c r="L2434" s="27"/>
      <c r="N2434" s="27"/>
      <c r="T2434" s="28" t="str">
        <f>LOOKUP(1,1/(Table1[[#This Row],[Level_0]:[Level 15]]&gt;0),(Table1[[#This Row],[Level_0]:[Level 15]]))</f>
        <v>5210110000 - [IC Exp - SMS - MedSup - Electricity]</v>
      </c>
      <c r="U2434" s="22">
        <v>2429</v>
      </c>
      <c r="W2434" s="13" t="str">
        <f>LOOKUP(1,1/(Table1[[#This Row],[Level_0]:[Level 15]]&gt;0),(Table1[[#This Row],[Level_0]:[Level 15]]))</f>
        <v>5210110000 - [IC Exp - SMS - MedSup - Electricity]</v>
      </c>
    </row>
    <row r="2435" spans="1:23" hidden="1" x14ac:dyDescent="0.25">
      <c r="A2435">
        <v>5210120000</v>
      </c>
      <c r="B2435" s="16" t="s">
        <v>20124</v>
      </c>
      <c r="C2435" s="16" t="e">
        <f>VLOOKUP(Table1[[#This Row],[Node]],Parent!A:B,2,0)</f>
        <v>#N/A</v>
      </c>
      <c r="D2435" s="25" t="s">
        <v>19346</v>
      </c>
      <c r="E2435" s="26" t="s">
        <v>16544</v>
      </c>
      <c r="F2435" s="27" t="s">
        <v>18569</v>
      </c>
      <c r="G2435" s="27" t="s">
        <v>18810</v>
      </c>
      <c r="H2435" s="27" t="s">
        <v>18811</v>
      </c>
      <c r="I2435" s="27" t="s">
        <v>18941</v>
      </c>
      <c r="J2435" s="27" t="s">
        <v>18943</v>
      </c>
      <c r="K2435" s="27"/>
      <c r="L2435" s="27"/>
      <c r="N2435" s="27"/>
      <c r="T2435" s="28" t="str">
        <f>LOOKUP(1,1/(Table1[[#This Row],[Level_0]:[Level 15]]&gt;0),(Table1[[#This Row],[Level_0]:[Level 15]]))</f>
        <v>5210120000 - [IC Exp - SMS - EST - Electricity tax]</v>
      </c>
      <c r="U2435" s="22">
        <v>2430</v>
      </c>
      <c r="W2435" s="13" t="str">
        <f>LOOKUP(1,1/(Table1[[#This Row],[Level_0]:[Level 15]]&gt;0),(Table1[[#This Row],[Level_0]:[Level 15]]))</f>
        <v>5210120000 - [IC Exp - SMS - EST - Electricity tax]</v>
      </c>
    </row>
    <row r="2436" spans="1:23" hidden="1" x14ac:dyDescent="0.25">
      <c r="A2436">
        <v>7620300006</v>
      </c>
      <c r="B2436" s="16" t="s">
        <v>21558</v>
      </c>
      <c r="C2436" s="16" t="e">
        <f>VLOOKUP(Table1[[#This Row],[Node]],Parent!A:B,2,0)</f>
        <v>#N/A</v>
      </c>
      <c r="D2436" s="25" t="s">
        <v>19346</v>
      </c>
      <c r="E2436" s="26" t="s">
        <v>16544</v>
      </c>
      <c r="F2436" s="27" t="s">
        <v>18569</v>
      </c>
      <c r="G2436" s="27" t="s">
        <v>18810</v>
      </c>
      <c r="H2436" s="27" t="s">
        <v>18811</v>
      </c>
      <c r="I2436" s="27" t="s">
        <v>18941</v>
      </c>
      <c r="J2436" s="27" t="s">
        <v>18944</v>
      </c>
      <c r="K2436" s="27"/>
      <c r="L2436" s="27"/>
      <c r="N2436" s="27"/>
      <c r="T2436" s="28" t="str">
        <f>LOOKUP(1,1/(Table1[[#This Row],[Level_0]:[Level 15]]&gt;0),(Table1[[#This Row],[Level_0]:[Level 15]]))</f>
        <v>7620300006 - [AOM Stromabgrenzg.CO]</v>
      </c>
      <c r="U2436" s="22">
        <v>2431</v>
      </c>
      <c r="W2436" s="13" t="str">
        <f>LOOKUP(1,1/(Table1[[#This Row],[Level_0]:[Level 15]]&gt;0),(Table1[[#This Row],[Level_0]:[Level 15]]))</f>
        <v>7620300006 - [AOM Stromabgrenzg.CO]</v>
      </c>
    </row>
    <row r="2437" spans="1:23" hidden="1" x14ac:dyDescent="0.25">
      <c r="A2437">
        <v>7620300005</v>
      </c>
      <c r="B2437" s="16" t="s">
        <v>21557</v>
      </c>
      <c r="C2437" s="16" t="e">
        <f>VLOOKUP(Table1[[#This Row],[Node]],Parent!A:B,2,0)</f>
        <v>#N/A</v>
      </c>
      <c r="D2437" s="25" t="s">
        <v>19346</v>
      </c>
      <c r="E2437" s="26" t="s">
        <v>16544</v>
      </c>
      <c r="F2437" s="27" t="s">
        <v>18569</v>
      </c>
      <c r="G2437" s="27" t="s">
        <v>18810</v>
      </c>
      <c r="H2437" s="27" t="s">
        <v>18811</v>
      </c>
      <c r="I2437" s="27" t="s">
        <v>18941</v>
      </c>
      <c r="J2437" s="27" t="s">
        <v>18945</v>
      </c>
      <c r="K2437" s="27"/>
      <c r="L2437" s="27"/>
      <c r="N2437" s="27"/>
      <c r="T2437" s="28" t="str">
        <f>LOOKUP(1,1/(Table1[[#This Row],[Level_0]:[Level 15]]&gt;0),(Table1[[#This Row],[Level_0]:[Level 15]]))</f>
        <v>7620300005 - [AOM Abgrenzung Strom Darmstadt]</v>
      </c>
      <c r="U2437" s="22">
        <v>2432</v>
      </c>
      <c r="W2437" s="13" t="str">
        <f>LOOKUP(1,1/(Table1[[#This Row],[Level_0]:[Level 15]]&gt;0),(Table1[[#This Row],[Level_0]:[Level 15]]))</f>
        <v>7620300005 - [AOM Abgrenzung Strom Darmstadt]</v>
      </c>
    </row>
    <row r="2438" spans="1:23" hidden="1" x14ac:dyDescent="0.25">
      <c r="A2438">
        <v>7600304255</v>
      </c>
      <c r="B2438" s="16" t="s">
        <v>21436</v>
      </c>
      <c r="C2438" s="16" t="e">
        <f>VLOOKUP(Table1[[#This Row],[Node]],Parent!A:B,2,0)</f>
        <v>#N/A</v>
      </c>
      <c r="D2438" s="25" t="s">
        <v>19346</v>
      </c>
      <c r="E2438" s="26" t="s">
        <v>16544</v>
      </c>
      <c r="F2438" s="27" t="s">
        <v>18569</v>
      </c>
      <c r="G2438" s="27" t="s">
        <v>18810</v>
      </c>
      <c r="H2438" s="27" t="s">
        <v>18811</v>
      </c>
      <c r="I2438" s="27" t="s">
        <v>18941</v>
      </c>
      <c r="J2438" s="27" t="s">
        <v>18946</v>
      </c>
      <c r="K2438" s="27"/>
      <c r="L2438" s="27"/>
      <c r="N2438" s="27"/>
      <c r="T2438" s="28" t="str">
        <f>LOOKUP(1,1/(Table1[[#This Row],[Level_0]:[Level 15]]&gt;0),(Table1[[#This Row],[Level_0]:[Level 15]]))</f>
        <v>7600304255 - [DAA_Electricity PV]</v>
      </c>
      <c r="U2438" s="22">
        <v>2433</v>
      </c>
      <c r="W2438" s="13" t="str">
        <f>LOOKUP(1,1/(Table1[[#This Row],[Level_0]:[Level 15]]&gt;0),(Table1[[#This Row],[Level_0]:[Level 15]]))</f>
        <v>7600304255 - [DAA_Electricity PV]</v>
      </c>
    </row>
    <row r="2439" spans="1:23" hidden="1" x14ac:dyDescent="0.25">
      <c r="A2439">
        <v>7600304254</v>
      </c>
      <c r="B2439" s="16" t="s">
        <v>21435</v>
      </c>
      <c r="C2439" s="16" t="e">
        <f>VLOOKUP(Table1[[#This Row],[Node]],Parent!A:B,2,0)</f>
        <v>#N/A</v>
      </c>
      <c r="D2439" s="25" t="s">
        <v>19346</v>
      </c>
      <c r="E2439" s="26" t="s">
        <v>16544</v>
      </c>
      <c r="F2439" s="27" t="s">
        <v>18569</v>
      </c>
      <c r="G2439" s="27" t="s">
        <v>18810</v>
      </c>
      <c r="H2439" s="27" t="s">
        <v>18811</v>
      </c>
      <c r="I2439" s="27" t="s">
        <v>18941</v>
      </c>
      <c r="J2439" s="27" t="s">
        <v>18947</v>
      </c>
      <c r="K2439" s="27"/>
      <c r="L2439" s="27"/>
      <c r="N2439" s="27"/>
      <c r="T2439" s="28" t="str">
        <f>LOOKUP(1,1/(Table1[[#This Row],[Level_0]:[Level 15]]&gt;0),(Table1[[#This Row],[Level_0]:[Level 15]]))</f>
        <v>7600304254 - [DAA_Electric. Supply Ext.]</v>
      </c>
      <c r="U2439" s="22">
        <v>2434</v>
      </c>
      <c r="W2439" s="13" t="str">
        <f>LOOKUP(1,1/(Table1[[#This Row],[Level_0]:[Level 15]]&gt;0),(Table1[[#This Row],[Level_0]:[Level 15]]))</f>
        <v>7600304254 - [DAA_Electric. Supply Ext.]</v>
      </c>
    </row>
    <row r="2440" spans="1:23" hidden="1" x14ac:dyDescent="0.25">
      <c r="A2440">
        <v>7600304228</v>
      </c>
      <c r="B2440" s="16" t="s">
        <v>21419</v>
      </c>
      <c r="C2440" s="16" t="e">
        <f>VLOOKUP(Table1[[#This Row],[Node]],Parent!A:B,2,0)</f>
        <v>#N/A</v>
      </c>
      <c r="D2440" s="25" t="s">
        <v>19346</v>
      </c>
      <c r="E2440" s="26" t="s">
        <v>16544</v>
      </c>
      <c r="F2440" s="27" t="s">
        <v>18569</v>
      </c>
      <c r="G2440" s="27" t="s">
        <v>18810</v>
      </c>
      <c r="H2440" s="27" t="s">
        <v>18811</v>
      </c>
      <c r="I2440" s="27" t="s">
        <v>18941</v>
      </c>
      <c r="J2440" s="27" t="s">
        <v>18948</v>
      </c>
      <c r="K2440" s="27"/>
      <c r="L2440" s="27"/>
      <c r="N2440" s="27"/>
      <c r="T2440" s="28" t="str">
        <f>LOOKUP(1,1/(Table1[[#This Row],[Level_0]:[Level 15]]&gt;0),(Table1[[#This Row],[Level_0]:[Level 15]]))</f>
        <v>7600304228 - [DAA_Electric.own]</v>
      </c>
      <c r="U2440" s="22">
        <v>2435</v>
      </c>
      <c r="W2440" s="13" t="str">
        <f>LOOKUP(1,1/(Table1[[#This Row],[Level_0]:[Level 15]]&gt;0),(Table1[[#This Row],[Level_0]:[Level 15]]))</f>
        <v>7600304228 - [DAA_Electric.own]</v>
      </c>
    </row>
    <row r="2441" spans="1:23" hidden="1" x14ac:dyDescent="0.25">
      <c r="A2441">
        <v>7600304070</v>
      </c>
      <c r="B2441" s="16" t="s">
        <v>21271</v>
      </c>
      <c r="C2441" s="16" t="e">
        <f>VLOOKUP(Table1[[#This Row],[Node]],Parent!A:B,2,0)</f>
        <v>#N/A</v>
      </c>
      <c r="D2441" s="25" t="s">
        <v>19346</v>
      </c>
      <c r="E2441" s="26" t="s">
        <v>16544</v>
      </c>
      <c r="F2441" s="27" t="s">
        <v>18569</v>
      </c>
      <c r="G2441" s="27" t="s">
        <v>18810</v>
      </c>
      <c r="H2441" s="27" t="s">
        <v>18811</v>
      </c>
      <c r="I2441" s="27" t="s">
        <v>18941</v>
      </c>
      <c r="J2441" s="27" t="s">
        <v>18949</v>
      </c>
      <c r="K2441" s="27"/>
      <c r="L2441" s="27"/>
      <c r="N2441" s="27"/>
      <c r="T2441" s="28" t="str">
        <f>LOOKUP(1,1/(Table1[[#This Row],[Level_0]:[Level 15]]&gt;0),(Table1[[#This Row],[Level_0]:[Level 15]]))</f>
        <v>7600304070 - [DAA S_EEG-Umlage]</v>
      </c>
      <c r="U2441" s="22">
        <v>2436</v>
      </c>
      <c r="W2441" s="13" t="str">
        <f>LOOKUP(1,1/(Table1[[#This Row],[Level_0]:[Level 15]]&gt;0),(Table1[[#This Row],[Level_0]:[Level 15]]))</f>
        <v>7600304070 - [DAA S_EEG-Umlage]</v>
      </c>
    </row>
    <row r="2442" spans="1:23" hidden="1" x14ac:dyDescent="0.25">
      <c r="A2442">
        <v>7600304043</v>
      </c>
      <c r="B2442" s="16" t="s">
        <v>21244</v>
      </c>
      <c r="C2442" s="16" t="e">
        <f>VLOOKUP(Table1[[#This Row],[Node]],Parent!A:B,2,0)</f>
        <v>#N/A</v>
      </c>
      <c r="D2442" s="25" t="s">
        <v>19346</v>
      </c>
      <c r="E2442" s="26" t="s">
        <v>16544</v>
      </c>
      <c r="F2442" s="27" t="s">
        <v>18569</v>
      </c>
      <c r="G2442" s="27" t="s">
        <v>18810</v>
      </c>
      <c r="H2442" s="27" t="s">
        <v>18811</v>
      </c>
      <c r="I2442" s="27" t="s">
        <v>18941</v>
      </c>
      <c r="J2442" s="27" t="s">
        <v>18950</v>
      </c>
      <c r="K2442" s="27"/>
      <c r="L2442" s="27"/>
      <c r="N2442" s="27"/>
      <c r="T2442" s="28" t="str">
        <f>LOOKUP(1,1/(Table1[[#This Row],[Level_0]:[Level 15]]&gt;0),(Table1[[#This Row],[Level_0]:[Level 15]]))</f>
        <v>7600304043 - [DAA Electricity supply]</v>
      </c>
      <c r="U2442" s="22">
        <v>2437</v>
      </c>
      <c r="W2442" s="13" t="str">
        <f>LOOKUP(1,1/(Table1[[#This Row],[Level_0]:[Level 15]]&gt;0),(Table1[[#This Row],[Level_0]:[Level 15]]))</f>
        <v>7600304043 - [DAA Electricity supply]</v>
      </c>
    </row>
    <row r="2443" spans="1:23" hidden="1" x14ac:dyDescent="0.25">
      <c r="A2443">
        <v>7320140006</v>
      </c>
      <c r="B2443" s="16" t="s">
        <v>20862</v>
      </c>
      <c r="C2443" s="16" t="e">
        <f>VLOOKUP(Table1[[#This Row],[Node]],Parent!A:B,2,0)</f>
        <v>#N/A</v>
      </c>
      <c r="D2443" s="25" t="s">
        <v>19346</v>
      </c>
      <c r="E2443" s="26" t="s">
        <v>16544</v>
      </c>
      <c r="F2443" s="27" t="s">
        <v>18569</v>
      </c>
      <c r="G2443" s="27" t="s">
        <v>18810</v>
      </c>
      <c r="H2443" s="27" t="s">
        <v>18811</v>
      </c>
      <c r="I2443" s="27" t="s">
        <v>18941</v>
      </c>
      <c r="J2443" s="27" t="s">
        <v>18951</v>
      </c>
      <c r="K2443" s="27"/>
      <c r="L2443" s="27"/>
      <c r="N2443" s="27"/>
      <c r="T2443" s="28" t="str">
        <f>LOOKUP(1,1/(Table1[[#This Row],[Level_0]:[Level 15]]&gt;0),(Table1[[#This Row],[Level_0]:[Level 15]]))</f>
        <v>7320140006 - [AOM Variances Electricity]</v>
      </c>
      <c r="U2443" s="22">
        <v>2438</v>
      </c>
      <c r="W2443" s="13" t="str">
        <f>LOOKUP(1,1/(Table1[[#This Row],[Level_0]:[Level 15]]&gt;0),(Table1[[#This Row],[Level_0]:[Level 15]]))</f>
        <v>7320140006 - [AOM Variances Electricity]</v>
      </c>
    </row>
    <row r="2444" spans="1:23" hidden="1" x14ac:dyDescent="0.25">
      <c r="A2444">
        <v>7320140001</v>
      </c>
      <c r="B2444" s="16" t="s">
        <v>20857</v>
      </c>
      <c r="C2444" s="16" t="e">
        <f>VLOOKUP(Table1[[#This Row],[Node]],Parent!A:B,2,0)</f>
        <v>#N/A</v>
      </c>
      <c r="D2444" s="25" t="s">
        <v>19346</v>
      </c>
      <c r="E2444" s="26" t="s">
        <v>16544</v>
      </c>
      <c r="F2444" s="27" t="s">
        <v>18569</v>
      </c>
      <c r="G2444" s="27" t="s">
        <v>18810</v>
      </c>
      <c r="H2444" s="27" t="s">
        <v>18811</v>
      </c>
      <c r="I2444" s="27" t="s">
        <v>18941</v>
      </c>
      <c r="J2444" s="27" t="s">
        <v>18952</v>
      </c>
      <c r="K2444" s="27"/>
      <c r="L2444" s="27"/>
      <c r="N2444" s="27"/>
      <c r="T2444" s="28" t="str">
        <f>LOOKUP(1,1/(Table1[[#This Row],[Level_0]:[Level 15]]&gt;0),(Table1[[#This Row],[Level_0]:[Level 15]]))</f>
        <v>7320140001 - [AOM Cost transfer Charge - Electricity]</v>
      </c>
      <c r="U2444" s="22">
        <v>2439</v>
      </c>
      <c r="W2444" s="13" t="str">
        <f>LOOKUP(1,1/(Table1[[#This Row],[Level_0]:[Level 15]]&gt;0),(Table1[[#This Row],[Level_0]:[Level 15]]))</f>
        <v>7320140001 - [AOM Cost transfer Charge - Electricity]</v>
      </c>
    </row>
    <row r="2445" spans="1:23" hidden="1" x14ac:dyDescent="0.25">
      <c r="A2445">
        <v>7310140002</v>
      </c>
      <c r="B2445" s="16" t="s">
        <v>20816</v>
      </c>
      <c r="C2445" s="16" t="e">
        <f>VLOOKUP(Table1[[#This Row],[Node]],Parent!A:B,2,0)</f>
        <v>#N/A</v>
      </c>
      <c r="D2445" s="25" t="s">
        <v>19346</v>
      </c>
      <c r="E2445" s="26" t="s">
        <v>16544</v>
      </c>
      <c r="F2445" s="27" t="s">
        <v>18569</v>
      </c>
      <c r="G2445" s="27" t="s">
        <v>18810</v>
      </c>
      <c r="H2445" s="27" t="s">
        <v>18811</v>
      </c>
      <c r="I2445" s="27" t="s">
        <v>18941</v>
      </c>
      <c r="J2445" s="27" t="s">
        <v>18953</v>
      </c>
      <c r="K2445" s="27"/>
      <c r="L2445" s="27"/>
      <c r="N2445" s="27"/>
      <c r="T2445" s="28" t="str">
        <f>LOOKUP(1,1/(Table1[[#This Row],[Level_0]:[Level 15]]&gt;0),(Table1[[#This Row],[Level_0]:[Level 15]]))</f>
        <v>7310140002 - [IAA Electrical Power]</v>
      </c>
      <c r="U2445" s="22">
        <v>2440</v>
      </c>
      <c r="W2445" s="13" t="str">
        <f>LOOKUP(1,1/(Table1[[#This Row],[Level_0]:[Level 15]]&gt;0),(Table1[[#This Row],[Level_0]:[Level 15]]))</f>
        <v>7310140002 - [IAA Electrical Power]</v>
      </c>
    </row>
    <row r="2446" spans="1:23" hidden="1" x14ac:dyDescent="0.25">
      <c r="A2446">
        <v>7301140002</v>
      </c>
      <c r="B2446" s="16" t="s">
        <v>20789</v>
      </c>
      <c r="C2446" s="16" t="e">
        <f>VLOOKUP(Table1[[#This Row],[Node]],Parent!A:B,2,0)</f>
        <v>#N/A</v>
      </c>
      <c r="D2446" s="25" t="s">
        <v>19346</v>
      </c>
      <c r="E2446" s="26" t="s">
        <v>16544</v>
      </c>
      <c r="F2446" s="27" t="s">
        <v>18569</v>
      </c>
      <c r="G2446" s="27" t="s">
        <v>18810</v>
      </c>
      <c r="H2446" s="27" t="s">
        <v>18811</v>
      </c>
      <c r="I2446" s="27" t="s">
        <v>18941</v>
      </c>
      <c r="J2446" s="27" t="s">
        <v>18954</v>
      </c>
      <c r="K2446" s="27"/>
      <c r="L2446" s="27"/>
      <c r="N2446" s="27"/>
      <c r="T2446" s="28" t="str">
        <f>LOOKUP(1,1/(Table1[[#This Row],[Level_0]:[Level 15]]&gt;0),(Table1[[#This Row],[Level_0]:[Level 15]]))</f>
        <v>7301140002 - [DAA Electrical Power]</v>
      </c>
      <c r="U2446" s="22">
        <v>2441</v>
      </c>
      <c r="W2446" s="13" t="str">
        <f>LOOKUP(1,1/(Table1[[#This Row],[Level_0]:[Level 15]]&gt;0),(Table1[[#This Row],[Level_0]:[Level 15]]))</f>
        <v>7301140002 - [DAA Electrical Power]</v>
      </c>
    </row>
    <row r="2447" spans="1:23" hidden="1" x14ac:dyDescent="0.25">
      <c r="A2447">
        <v>5215010000</v>
      </c>
      <c r="B2447" s="16" t="s">
        <v>20137</v>
      </c>
      <c r="C2447" s="16" t="e">
        <f>VLOOKUP(Table1[[#This Row],[Node]],Parent!A:B,2,0)</f>
        <v>#N/A</v>
      </c>
      <c r="D2447" s="25" t="s">
        <v>19346</v>
      </c>
      <c r="E2447" s="26" t="s">
        <v>16544</v>
      </c>
      <c r="F2447" s="27" t="s">
        <v>18569</v>
      </c>
      <c r="G2447" s="27" t="s">
        <v>18810</v>
      </c>
      <c r="H2447" s="27" t="s">
        <v>18811</v>
      </c>
      <c r="I2447" s="27" t="s">
        <v>18941</v>
      </c>
      <c r="J2447" s="27" t="s">
        <v>18955</v>
      </c>
      <c r="K2447" s="27"/>
      <c r="L2447" s="27"/>
      <c r="N2447" s="27"/>
      <c r="T2447" s="28" t="str">
        <f>LOOKUP(1,1/(Table1[[#This Row],[Level_0]:[Level 15]]&gt;0),(Table1[[#This Row],[Level_0]:[Level 15]]))</f>
        <v>5215010000 - [IC Exp - SMS - MedSup - ElecRenew Energy]</v>
      </c>
      <c r="U2447" s="22">
        <v>2442</v>
      </c>
      <c r="W2447" s="13" t="str">
        <f>LOOKUP(1,1/(Table1[[#This Row],[Level_0]:[Level 15]]&gt;0),(Table1[[#This Row],[Level_0]:[Level 15]]))</f>
        <v>5215010000 - [IC Exp - SMS - MedSup - ElecRenew Energy]</v>
      </c>
    </row>
    <row r="2448" spans="1:23" hidden="1" x14ac:dyDescent="0.25">
      <c r="A2448">
        <v>120201</v>
      </c>
      <c r="B2448" s="16" t="s">
        <v>19404</v>
      </c>
      <c r="C2448" s="16" t="e">
        <f>VLOOKUP(Table1[[#This Row],[Node]],Parent!A:B,2,0)</f>
        <v>#N/A</v>
      </c>
      <c r="D2448" s="25" t="s">
        <v>19346</v>
      </c>
      <c r="E2448" s="26" t="s">
        <v>16544</v>
      </c>
      <c r="F2448" s="27" t="s">
        <v>18569</v>
      </c>
      <c r="G2448" s="27" t="s">
        <v>18810</v>
      </c>
      <c r="H2448" s="27" t="s">
        <v>18956</v>
      </c>
      <c r="I2448" s="27"/>
      <c r="J2448" s="27"/>
      <c r="K2448" s="27"/>
      <c r="L2448" s="27"/>
      <c r="N2448" s="27"/>
      <c r="T2448" s="28" t="str">
        <f>LOOKUP(1,1/(Table1[[#This Row],[Level_0]:[Level 15]]&gt;0),(Table1[[#This Row],[Level_0]:[Level 15]]))</f>
        <v>120201 - [Externally sourced energy costs]</v>
      </c>
      <c r="U2448" s="22">
        <v>2443</v>
      </c>
      <c r="W2448" s="13" t="str">
        <f>LOOKUP(1,1/(Table1[[#This Row],[Level_0]:[Level 15]]&gt;0),(Table1[[#This Row],[Level_0]:[Level 15]]))</f>
        <v>120201 - [Externally sourced energy costs]</v>
      </c>
    </row>
    <row r="2449" spans="1:23" hidden="1" x14ac:dyDescent="0.25">
      <c r="A2449">
        <v>5219000000</v>
      </c>
      <c r="B2449" s="16" t="s">
        <v>20156</v>
      </c>
      <c r="C2449" s="16" t="e">
        <f>VLOOKUP(Table1[[#This Row],[Node]],Parent!A:B,2,0)</f>
        <v>#N/A</v>
      </c>
      <c r="D2449" s="25" t="s">
        <v>19346</v>
      </c>
      <c r="E2449" s="26" t="s">
        <v>16544</v>
      </c>
      <c r="F2449" s="27" t="s">
        <v>18569</v>
      </c>
      <c r="G2449" s="27" t="s">
        <v>18810</v>
      </c>
      <c r="H2449" s="27" t="s">
        <v>18956</v>
      </c>
      <c r="I2449" s="27" t="s">
        <v>18957</v>
      </c>
      <c r="J2449" s="27"/>
      <c r="K2449" s="27"/>
      <c r="L2449" s="27"/>
      <c r="N2449" s="27"/>
      <c r="T2449" s="28" t="str">
        <f>LOOKUP(1,1/(Table1[[#This Row],[Level_0]:[Level 15]]&gt;0),(Table1[[#This Row],[Level_0]:[Level 15]]))</f>
        <v>5219000000 - [Energy - Other Energy Expenses]</v>
      </c>
      <c r="U2449" s="22">
        <v>2444</v>
      </c>
      <c r="W2449" s="13" t="str">
        <f>LOOKUP(1,1/(Table1[[#This Row],[Level_0]:[Level 15]]&gt;0),(Table1[[#This Row],[Level_0]:[Level 15]]))</f>
        <v>5219000000 - [Energy - Other Energy Expenses]</v>
      </c>
    </row>
    <row r="2450" spans="1:23" hidden="1" x14ac:dyDescent="0.25">
      <c r="A2450">
        <v>5214000000</v>
      </c>
      <c r="B2450" s="16" t="s">
        <v>20136</v>
      </c>
      <c r="C2450" s="16" t="e">
        <f>VLOOKUP(Table1[[#This Row],[Node]],Parent!A:B,2,0)</f>
        <v>#N/A</v>
      </c>
      <c r="D2450" s="25" t="s">
        <v>19346</v>
      </c>
      <c r="E2450" s="26" t="s">
        <v>16544</v>
      </c>
      <c r="F2450" s="27" t="s">
        <v>18569</v>
      </c>
      <c r="G2450" s="27" t="s">
        <v>18810</v>
      </c>
      <c r="H2450" s="27" t="s">
        <v>18956</v>
      </c>
      <c r="I2450" s="27" t="s">
        <v>18958</v>
      </c>
      <c r="J2450" s="27"/>
      <c r="K2450" s="27"/>
      <c r="L2450" s="27"/>
      <c r="N2450" s="27"/>
      <c r="T2450" s="28" t="str">
        <f>LOOKUP(1,1/(Table1[[#This Row],[Level_0]:[Level 15]]&gt;0),(Table1[[#This Row],[Level_0]:[Level 15]]))</f>
        <v>5214000000 - [Energy - Water]</v>
      </c>
      <c r="U2450" s="22">
        <v>2445</v>
      </c>
      <c r="W2450" s="13" t="str">
        <f>LOOKUP(1,1/(Table1[[#This Row],[Level_0]:[Level 15]]&gt;0),(Table1[[#This Row],[Level_0]:[Level 15]]))</f>
        <v>5214000000 - [Energy - Water]</v>
      </c>
    </row>
    <row r="2451" spans="1:23" hidden="1" x14ac:dyDescent="0.25">
      <c r="A2451">
        <v>5213000000</v>
      </c>
      <c r="B2451" s="16" t="s">
        <v>20135</v>
      </c>
      <c r="C2451" s="16" t="e">
        <f>VLOOKUP(Table1[[#This Row],[Node]],Parent!A:B,2,0)</f>
        <v>#N/A</v>
      </c>
      <c r="D2451" s="25" t="s">
        <v>19346</v>
      </c>
      <c r="E2451" s="26" t="s">
        <v>16544</v>
      </c>
      <c r="F2451" s="27" t="s">
        <v>18569</v>
      </c>
      <c r="G2451" s="27" t="s">
        <v>18810</v>
      </c>
      <c r="H2451" s="27" t="s">
        <v>18956</v>
      </c>
      <c r="I2451" s="27" t="s">
        <v>18959</v>
      </c>
      <c r="J2451" s="27"/>
      <c r="K2451" s="27"/>
      <c r="L2451" s="27"/>
      <c r="N2451" s="27"/>
      <c r="T2451" s="28" t="str">
        <f>LOOKUP(1,1/(Table1[[#This Row],[Level_0]:[Level 15]]&gt;0),(Table1[[#This Row],[Level_0]:[Level 15]]))</f>
        <v>5213000000 - [Energy - Heating Oil]</v>
      </c>
      <c r="U2451" s="22">
        <v>2446</v>
      </c>
      <c r="W2451" s="13" t="str">
        <f>LOOKUP(1,1/(Table1[[#This Row],[Level_0]:[Level 15]]&gt;0),(Table1[[#This Row],[Level_0]:[Level 15]]))</f>
        <v>5213000000 - [Energy - Heating Oil]</v>
      </c>
    </row>
    <row r="2452" spans="1:23" hidden="1" x14ac:dyDescent="0.25">
      <c r="A2452">
        <v>5212000000</v>
      </c>
      <c r="B2452" s="16" t="s">
        <v>20126</v>
      </c>
      <c r="C2452" s="16" t="e">
        <f>VLOOKUP(Table1[[#This Row],[Node]],Parent!A:B,2,0)</f>
        <v>#N/A</v>
      </c>
      <c r="D2452" s="25" t="s">
        <v>19346</v>
      </c>
      <c r="E2452" s="26" t="s">
        <v>16544</v>
      </c>
      <c r="F2452" s="27" t="s">
        <v>18569</v>
      </c>
      <c r="G2452" s="27" t="s">
        <v>18810</v>
      </c>
      <c r="H2452" s="27" t="s">
        <v>18956</v>
      </c>
      <c r="I2452" s="27" t="s">
        <v>18960</v>
      </c>
      <c r="J2452" s="27"/>
      <c r="K2452" s="27"/>
      <c r="L2452" s="27"/>
      <c r="N2452" s="27"/>
      <c r="T2452" s="28" t="str">
        <f>LOOKUP(1,1/(Table1[[#This Row],[Level_0]:[Level 15]]&gt;0),(Table1[[#This Row],[Level_0]:[Level 15]]))</f>
        <v>5212000000 - [Energy - Gas]</v>
      </c>
      <c r="U2452" s="22">
        <v>2447</v>
      </c>
      <c r="W2452" s="13" t="str">
        <f>LOOKUP(1,1/(Table1[[#This Row],[Level_0]:[Level 15]]&gt;0),(Table1[[#This Row],[Level_0]:[Level 15]]))</f>
        <v>5212000000 - [Energy - Gas]</v>
      </c>
    </row>
    <row r="2453" spans="1:23" hidden="1" x14ac:dyDescent="0.25">
      <c r="A2453">
        <v>5211000000</v>
      </c>
      <c r="B2453" s="16" t="s">
        <v>20125</v>
      </c>
      <c r="C2453" s="16" t="e">
        <f>VLOOKUP(Table1[[#This Row],[Node]],Parent!A:B,2,0)</f>
        <v>#N/A</v>
      </c>
      <c r="D2453" s="25" t="s">
        <v>19346</v>
      </c>
      <c r="E2453" s="26" t="s">
        <v>16544</v>
      </c>
      <c r="F2453" s="27" t="s">
        <v>18569</v>
      </c>
      <c r="G2453" s="27" t="s">
        <v>18810</v>
      </c>
      <c r="H2453" s="27" t="s">
        <v>18956</v>
      </c>
      <c r="I2453" s="27" t="s">
        <v>18961</v>
      </c>
      <c r="J2453" s="27"/>
      <c r="K2453" s="27"/>
      <c r="L2453" s="27"/>
      <c r="N2453" s="27"/>
      <c r="T2453" s="28" t="str">
        <f>LOOKUP(1,1/(Table1[[#This Row],[Level_0]:[Level 15]]&gt;0),(Table1[[#This Row],[Level_0]:[Level 15]]))</f>
        <v>5211000000 - [Energy - Fuel]</v>
      </c>
      <c r="U2453" s="22">
        <v>2448</v>
      </c>
      <c r="W2453" s="13" t="str">
        <f>LOOKUP(1,1/(Table1[[#This Row],[Level_0]:[Level 15]]&gt;0),(Table1[[#This Row],[Level_0]:[Level 15]]))</f>
        <v>5211000000 - [Energy - Fuel]</v>
      </c>
    </row>
    <row r="2454" spans="1:23" hidden="1" x14ac:dyDescent="0.25">
      <c r="A2454">
        <v>5210000000</v>
      </c>
      <c r="B2454" s="16" t="s">
        <v>20122</v>
      </c>
      <c r="C2454" s="16" t="e">
        <f>VLOOKUP(Table1[[#This Row],[Node]],Parent!A:B,2,0)</f>
        <v>#N/A</v>
      </c>
      <c r="D2454" s="25" t="s">
        <v>19346</v>
      </c>
      <c r="E2454" s="26" t="s">
        <v>16544</v>
      </c>
      <c r="F2454" s="27" t="s">
        <v>18569</v>
      </c>
      <c r="G2454" s="27" t="s">
        <v>18810</v>
      </c>
      <c r="H2454" s="27" t="s">
        <v>18956</v>
      </c>
      <c r="I2454" s="27" t="s">
        <v>18962</v>
      </c>
      <c r="J2454" s="27"/>
      <c r="K2454" s="27"/>
      <c r="L2454" s="27"/>
      <c r="N2454" s="27"/>
      <c r="T2454" s="28" t="str">
        <f>LOOKUP(1,1/(Table1[[#This Row],[Level_0]:[Level 15]]&gt;0),(Table1[[#This Row],[Level_0]:[Level 15]]))</f>
        <v>5210000000 - [Energy - Electricity]</v>
      </c>
      <c r="U2454" s="22">
        <v>2449</v>
      </c>
      <c r="W2454" s="13" t="str">
        <f>LOOKUP(1,1/(Table1[[#This Row],[Level_0]:[Level 15]]&gt;0),(Table1[[#This Row],[Level_0]:[Level 15]]))</f>
        <v>5210000000 - [Energy - Electricity]</v>
      </c>
    </row>
    <row r="2455" spans="1:23" hidden="1" x14ac:dyDescent="0.25">
      <c r="A2455">
        <v>3920300000</v>
      </c>
      <c r="B2455" s="16" t="s">
        <v>19676</v>
      </c>
      <c r="C2455" s="16" t="e">
        <f>VLOOKUP(Table1[[#This Row],[Node]],Parent!A:B,2,0)</f>
        <v>#N/A</v>
      </c>
      <c r="D2455" s="25" t="s">
        <v>19346</v>
      </c>
      <c r="E2455" s="26" t="s">
        <v>16544</v>
      </c>
      <c r="F2455" s="27" t="s">
        <v>18569</v>
      </c>
      <c r="G2455" s="27" t="s">
        <v>18810</v>
      </c>
      <c r="H2455" s="27" t="s">
        <v>18956</v>
      </c>
      <c r="I2455" s="27" t="s">
        <v>18963</v>
      </c>
      <c r="J2455" s="27"/>
      <c r="K2455" s="27"/>
      <c r="L2455" s="27"/>
      <c r="N2455" s="27"/>
      <c r="T2455" s="28" t="str">
        <f>LOOKUP(1,1/(Table1[[#This Row],[Level_0]:[Level 15]]&gt;0),(Table1[[#This Row],[Level_0]:[Level 15]]))</f>
        <v>3920300000 - [Reimb - Excise Duties - Energy Taxes]</v>
      </c>
      <c r="U2455" s="22">
        <v>2450</v>
      </c>
      <c r="W2455" s="13" t="str">
        <f>LOOKUP(1,1/(Table1[[#This Row],[Level_0]:[Level 15]]&gt;0),(Table1[[#This Row],[Level_0]:[Level 15]]))</f>
        <v>3920300000 - [Reimb - Excise Duties - Energy Taxes]</v>
      </c>
    </row>
    <row r="2456" spans="1:23" hidden="1" x14ac:dyDescent="0.25">
      <c r="A2456">
        <v>120100</v>
      </c>
      <c r="B2456" s="16" t="s">
        <v>19398</v>
      </c>
      <c r="C2456" s="16" t="e">
        <f>VLOOKUP(Table1[[#This Row],[Node]],Parent!A:B,2,0)</f>
        <v>#N/A</v>
      </c>
      <c r="D2456" s="25" t="s">
        <v>19346</v>
      </c>
      <c r="E2456" s="26" t="s">
        <v>16544</v>
      </c>
      <c r="F2456" s="27" t="s">
        <v>18569</v>
      </c>
      <c r="G2456" s="27" t="s">
        <v>18964</v>
      </c>
      <c r="H2456" s="27"/>
      <c r="I2456" s="27"/>
      <c r="J2456" s="27"/>
      <c r="K2456" s="27"/>
      <c r="L2456" s="27"/>
      <c r="N2456" s="27"/>
      <c r="T2456" s="28" t="str">
        <f>LOOKUP(1,1/(Table1[[#This Row],[Level_0]:[Level 15]]&gt;0),(Table1[[#This Row],[Level_0]:[Level 15]]))</f>
        <v>120100 - [Maintenance &amp; Technical Service Costs]</v>
      </c>
      <c r="U2456" s="22">
        <v>2451</v>
      </c>
      <c r="W2456" s="13" t="str">
        <f>LOOKUP(1,1/(Table1[[#This Row],[Level_0]:[Level 15]]&gt;0),(Table1[[#This Row],[Level_0]:[Level 15]]))</f>
        <v>120100 - [Maintenance &amp; Technical Service Costs]</v>
      </c>
    </row>
    <row r="2457" spans="1:23" hidden="1" x14ac:dyDescent="0.25">
      <c r="A2457">
        <v>120105</v>
      </c>
      <c r="B2457" s="16" t="s">
        <v>19403</v>
      </c>
      <c r="C2457" s="16" t="e">
        <f>VLOOKUP(Table1[[#This Row],[Node]],Parent!A:B,2,0)</f>
        <v>#N/A</v>
      </c>
      <c r="D2457" s="25" t="s">
        <v>19346</v>
      </c>
      <c r="E2457" s="26" t="s">
        <v>16544</v>
      </c>
      <c r="F2457" s="27" t="s">
        <v>18569</v>
      </c>
      <c r="G2457" s="27" t="s">
        <v>18964</v>
      </c>
      <c r="H2457" s="27" t="s">
        <v>18965</v>
      </c>
      <c r="I2457" s="27"/>
      <c r="J2457" s="27"/>
      <c r="K2457" s="27"/>
      <c r="L2457" s="27"/>
      <c r="N2457" s="27"/>
      <c r="T2457" s="28" t="str">
        <f>LOOKUP(1,1/(Table1[[#This Row],[Level_0]:[Level 15]]&gt;0),(Table1[[#This Row],[Level_0]:[Level 15]]))</f>
        <v>120105 - [Allocated Opex from investment projects]</v>
      </c>
      <c r="U2457" s="22">
        <v>2452</v>
      </c>
      <c r="W2457" s="13" t="str">
        <f>LOOKUP(1,1/(Table1[[#This Row],[Level_0]:[Level 15]]&gt;0),(Table1[[#This Row],[Level_0]:[Level 15]]))</f>
        <v>120105 - [Allocated Opex from investment projects]</v>
      </c>
    </row>
    <row r="2458" spans="1:23" hidden="1" x14ac:dyDescent="0.25">
      <c r="A2458">
        <v>7620000012</v>
      </c>
      <c r="B2458" s="16" t="s">
        <v>21538</v>
      </c>
      <c r="C2458" s="16" t="e">
        <f>VLOOKUP(Table1[[#This Row],[Node]],Parent!A:B,2,0)</f>
        <v>#N/A</v>
      </c>
      <c r="D2458" s="25" t="s">
        <v>19346</v>
      </c>
      <c r="E2458" s="26" t="s">
        <v>16544</v>
      </c>
      <c r="F2458" s="27" t="s">
        <v>18569</v>
      </c>
      <c r="G2458" s="27" t="s">
        <v>18964</v>
      </c>
      <c r="H2458" s="27" t="s">
        <v>18965</v>
      </c>
      <c r="I2458" s="27" t="s">
        <v>18966</v>
      </c>
      <c r="J2458" s="27"/>
      <c r="K2458" s="27"/>
      <c r="L2458" s="27"/>
      <c r="N2458" s="27"/>
      <c r="T2458" s="28" t="str">
        <f>LOOKUP(1,1/(Table1[[#This Row],[Level_0]:[Level 15]]&gt;0),(Table1[[#This Row],[Level_0]:[Level 15]]))</f>
        <v>7620000012 - [AOM Technical Projects]</v>
      </c>
      <c r="U2458" s="22">
        <v>2453</v>
      </c>
      <c r="W2458" s="13" t="str">
        <f>LOOKUP(1,1/(Table1[[#This Row],[Level_0]:[Level 15]]&gt;0),(Table1[[#This Row],[Level_0]:[Level 15]]))</f>
        <v>7620000012 - [AOM Technical Projects]</v>
      </c>
    </row>
    <row r="2459" spans="1:23" hidden="1" x14ac:dyDescent="0.25">
      <c r="A2459">
        <v>7600304186</v>
      </c>
      <c r="B2459" s="16" t="s">
        <v>21381</v>
      </c>
      <c r="C2459" s="16" t="e">
        <f>VLOOKUP(Table1[[#This Row],[Node]],Parent!A:B,2,0)</f>
        <v>#N/A</v>
      </c>
      <c r="D2459" s="25" t="s">
        <v>19346</v>
      </c>
      <c r="E2459" s="26" t="s">
        <v>16544</v>
      </c>
      <c r="F2459" s="27" t="s">
        <v>18569</v>
      </c>
      <c r="G2459" s="27" t="s">
        <v>18964</v>
      </c>
      <c r="H2459" s="27" t="s">
        <v>18965</v>
      </c>
      <c r="I2459" s="27" t="s">
        <v>18967</v>
      </c>
      <c r="J2459" s="27"/>
      <c r="K2459" s="27"/>
      <c r="L2459" s="27"/>
      <c r="N2459" s="27"/>
      <c r="T2459" s="28" t="str">
        <f>LOOKUP(1,1/(Table1[[#This Row],[Level_0]:[Level 15]]&gt;0),(Table1[[#This Row],[Level_0]:[Level 15]]))</f>
        <v>7600304186 - [DAA_Plan_Maint.]</v>
      </c>
      <c r="U2459" s="22">
        <v>2454</v>
      </c>
      <c r="W2459" s="13" t="str">
        <f>LOOKUP(1,1/(Table1[[#This Row],[Level_0]:[Level 15]]&gt;0),(Table1[[#This Row],[Level_0]:[Level 15]]))</f>
        <v>7600304186 - [DAA_Plan_Maint.]</v>
      </c>
    </row>
    <row r="2460" spans="1:23" hidden="1" x14ac:dyDescent="0.25">
      <c r="A2460">
        <v>7600304185</v>
      </c>
      <c r="B2460" s="16" t="s">
        <v>21380</v>
      </c>
      <c r="C2460" s="16" t="e">
        <f>VLOOKUP(Table1[[#This Row],[Node]],Parent!A:B,2,0)</f>
        <v>#N/A</v>
      </c>
      <c r="D2460" s="25" t="s">
        <v>19346</v>
      </c>
      <c r="E2460" s="26" t="s">
        <v>16544</v>
      </c>
      <c r="F2460" s="27" t="s">
        <v>18569</v>
      </c>
      <c r="G2460" s="27" t="s">
        <v>18964</v>
      </c>
      <c r="H2460" s="27" t="s">
        <v>18965</v>
      </c>
      <c r="I2460" s="27" t="s">
        <v>18968</v>
      </c>
      <c r="J2460" s="27"/>
      <c r="K2460" s="27"/>
      <c r="L2460" s="27"/>
      <c r="N2460" s="27"/>
      <c r="T2460" s="28" t="str">
        <f>LOOKUP(1,1/(Table1[[#This Row],[Level_0]:[Level 15]]&gt;0),(Table1[[#This Row],[Level_0]:[Level 15]]))</f>
        <v>7600304185 - [DAA_Plan_T-Proj.]</v>
      </c>
      <c r="U2460" s="22">
        <v>2455</v>
      </c>
      <c r="W2460" s="13" t="str">
        <f>LOOKUP(1,1/(Table1[[#This Row],[Level_0]:[Level 15]]&gt;0),(Table1[[#This Row],[Level_0]:[Level 15]]))</f>
        <v>7600304185 - [DAA_Plan_T-Proj.]</v>
      </c>
    </row>
    <row r="2461" spans="1:23" hidden="1" x14ac:dyDescent="0.25">
      <c r="A2461">
        <v>7600301029</v>
      </c>
      <c r="B2461" s="16" t="s">
        <v>21146</v>
      </c>
      <c r="C2461" s="16" t="e">
        <f>VLOOKUP(Table1[[#This Row],[Node]],Parent!A:B,2,0)</f>
        <v>#N/A</v>
      </c>
      <c r="D2461" s="25" t="s">
        <v>19346</v>
      </c>
      <c r="E2461" s="26" t="s">
        <v>16544</v>
      </c>
      <c r="F2461" s="27" t="s">
        <v>18569</v>
      </c>
      <c r="G2461" s="27" t="s">
        <v>18964</v>
      </c>
      <c r="H2461" s="27" t="s">
        <v>18965</v>
      </c>
      <c r="I2461" s="27" t="s">
        <v>18969</v>
      </c>
      <c r="J2461" s="27"/>
      <c r="K2461" s="27"/>
      <c r="L2461" s="27"/>
      <c r="N2461" s="27"/>
      <c r="T2461" s="28" t="str">
        <f>LOOKUP(1,1/(Table1[[#This Row],[Level_0]:[Level 15]]&gt;0),(Table1[[#This Row],[Level_0]:[Level 15]]))</f>
        <v>7600301029 - [DAA Monitoring temperature]</v>
      </c>
      <c r="U2461" s="22">
        <v>2456</v>
      </c>
      <c r="W2461" s="13" t="str">
        <f>LOOKUP(1,1/(Table1[[#This Row],[Level_0]:[Level 15]]&gt;0),(Table1[[#This Row],[Level_0]:[Level 15]]))</f>
        <v>7600301029 - [DAA Monitoring temperature]</v>
      </c>
    </row>
    <row r="2462" spans="1:23" hidden="1" x14ac:dyDescent="0.25">
      <c r="A2462">
        <v>7340000010</v>
      </c>
      <c r="B2462" s="16" t="s">
        <v>20929</v>
      </c>
      <c r="C2462" s="16" t="e">
        <f>VLOOKUP(Table1[[#This Row],[Node]],Parent!A:B,2,0)</f>
        <v>#N/A</v>
      </c>
      <c r="D2462" s="25" t="s">
        <v>19346</v>
      </c>
      <c r="E2462" s="26" t="s">
        <v>16544</v>
      </c>
      <c r="F2462" s="27" t="s">
        <v>18569</v>
      </c>
      <c r="G2462" s="27" t="s">
        <v>18964</v>
      </c>
      <c r="H2462" s="27" t="s">
        <v>18965</v>
      </c>
      <c r="I2462" s="27" t="s">
        <v>18970</v>
      </c>
      <c r="J2462" s="27"/>
      <c r="K2462" s="27"/>
      <c r="L2462" s="27"/>
      <c r="N2462" s="27"/>
      <c r="T2462" s="28" t="str">
        <f>LOOKUP(1,1/(Table1[[#This Row],[Level_0]:[Level 15]]&gt;0),(Table1[[#This Row],[Level_0]:[Level 15]]))</f>
        <v>7340000010 - [SOM Investm project cost - techn. Inv.]</v>
      </c>
      <c r="U2462" s="22">
        <v>2457</v>
      </c>
      <c r="W2462" s="13" t="str">
        <f>LOOKUP(1,1/(Table1[[#This Row],[Level_0]:[Level 15]]&gt;0),(Table1[[#This Row],[Level_0]:[Level 15]]))</f>
        <v>7340000010 - [SOM Investm project cost - techn. Inv.]</v>
      </c>
    </row>
    <row r="2463" spans="1:23" hidden="1" x14ac:dyDescent="0.25">
      <c r="A2463">
        <v>5773100000</v>
      </c>
      <c r="B2463" s="16" t="s">
        <v>20478</v>
      </c>
      <c r="C2463" s="16" t="e">
        <f>VLOOKUP(Table1[[#This Row],[Node]],Parent!A:B,2,0)</f>
        <v>#N/A</v>
      </c>
      <c r="D2463" s="25" t="s">
        <v>19346</v>
      </c>
      <c r="E2463" s="26" t="s">
        <v>16544</v>
      </c>
      <c r="F2463" s="27" t="s">
        <v>18569</v>
      </c>
      <c r="G2463" s="27" t="s">
        <v>18964</v>
      </c>
      <c r="H2463" s="27" t="s">
        <v>18965</v>
      </c>
      <c r="I2463" s="27" t="s">
        <v>18971</v>
      </c>
      <c r="J2463" s="27"/>
      <c r="K2463" s="27"/>
      <c r="L2463" s="27"/>
      <c r="N2463" s="27"/>
      <c r="T2463" s="28" t="str">
        <f>LOOKUP(1,1/(Table1[[#This Row],[Level_0]:[Level 15]]&gt;0),(Table1[[#This Row],[Level_0]:[Level 15]]))</f>
        <v>5773100000 - [IC Exp - SMS - Tech Proj Reimbursem.]</v>
      </c>
      <c r="U2463" s="22">
        <v>2458</v>
      </c>
      <c r="W2463" s="13" t="str">
        <f>LOOKUP(1,1/(Table1[[#This Row],[Level_0]:[Level 15]]&gt;0),(Table1[[#This Row],[Level_0]:[Level 15]]))</f>
        <v>5773100000 - [IC Exp - SMS - Tech Proj Reimbursem.]</v>
      </c>
    </row>
    <row r="2464" spans="1:23" hidden="1" x14ac:dyDescent="0.25">
      <c r="A2464">
        <v>5773080000</v>
      </c>
      <c r="B2464" s="16" t="s">
        <v>20476</v>
      </c>
      <c r="C2464" s="16" t="e">
        <f>VLOOKUP(Table1[[#This Row],[Node]],Parent!A:B,2,0)</f>
        <v>#N/A</v>
      </c>
      <c r="D2464" s="25" t="s">
        <v>19346</v>
      </c>
      <c r="E2464" s="26" t="s">
        <v>16544</v>
      </c>
      <c r="F2464" s="27" t="s">
        <v>18569</v>
      </c>
      <c r="G2464" s="27" t="s">
        <v>18964</v>
      </c>
      <c r="H2464" s="27" t="s">
        <v>18965</v>
      </c>
      <c r="I2464" s="27" t="s">
        <v>18972</v>
      </c>
      <c r="J2464" s="27"/>
      <c r="K2464" s="27"/>
      <c r="L2464" s="27"/>
      <c r="N2464" s="27"/>
      <c r="T2464" s="28" t="str">
        <f>LOOKUP(1,1/(Table1[[#This Row],[Level_0]:[Level 15]]&gt;0),(Table1[[#This Row],[Level_0]:[Level 15]]))</f>
        <v>5773080000 - [IC Exp - SMS - Tech Proj Other Costs]</v>
      </c>
      <c r="U2464" s="22">
        <v>2459</v>
      </c>
      <c r="W2464" s="13" t="str">
        <f>LOOKUP(1,1/(Table1[[#This Row],[Level_0]:[Level 15]]&gt;0),(Table1[[#This Row],[Level_0]:[Level 15]]))</f>
        <v>5773080000 - [IC Exp - SMS - Tech Proj Other Costs]</v>
      </c>
    </row>
    <row r="2465" spans="1:23" hidden="1" x14ac:dyDescent="0.25">
      <c r="A2465">
        <v>5773070000</v>
      </c>
      <c r="B2465" s="16" t="s">
        <v>20475</v>
      </c>
      <c r="C2465" s="16" t="e">
        <f>VLOOKUP(Table1[[#This Row],[Node]],Parent!A:B,2,0)</f>
        <v>#N/A</v>
      </c>
      <c r="D2465" s="25" t="s">
        <v>19346</v>
      </c>
      <c r="E2465" s="26" t="s">
        <v>16544</v>
      </c>
      <c r="F2465" s="27" t="s">
        <v>18569</v>
      </c>
      <c r="G2465" s="27" t="s">
        <v>18964</v>
      </c>
      <c r="H2465" s="27" t="s">
        <v>18965</v>
      </c>
      <c r="I2465" s="27" t="s">
        <v>18973</v>
      </c>
      <c r="J2465" s="27"/>
      <c r="K2465" s="27"/>
      <c r="L2465" s="27"/>
      <c r="N2465" s="27"/>
      <c r="T2465" s="28" t="str">
        <f>LOOKUP(1,1/(Table1[[#This Row],[Level_0]:[Level 15]]&gt;0),(Table1[[#This Row],[Level_0]:[Level 15]]))</f>
        <v>5773070000 - [IC Exp - SMS - Tech Proj. CAPEX]</v>
      </c>
      <c r="U2465" s="22">
        <v>2460</v>
      </c>
      <c r="W2465" s="13" t="str">
        <f>LOOKUP(1,1/(Table1[[#This Row],[Level_0]:[Level 15]]&gt;0),(Table1[[#This Row],[Level_0]:[Level 15]]))</f>
        <v>5773070000 - [IC Exp - SMS - Tech Proj. CAPEX]</v>
      </c>
    </row>
    <row r="2466" spans="1:23" hidden="1" x14ac:dyDescent="0.25">
      <c r="A2466">
        <v>5773060000</v>
      </c>
      <c r="B2466" s="16" t="s">
        <v>20474</v>
      </c>
      <c r="C2466" s="16" t="e">
        <f>VLOOKUP(Table1[[#This Row],[Node]],Parent!A:B,2,0)</f>
        <v>#N/A</v>
      </c>
      <c r="D2466" s="25" t="s">
        <v>19346</v>
      </c>
      <c r="E2466" s="26" t="s">
        <v>16544</v>
      </c>
      <c r="F2466" s="27" t="s">
        <v>18569</v>
      </c>
      <c r="G2466" s="27" t="s">
        <v>18964</v>
      </c>
      <c r="H2466" s="27" t="s">
        <v>18965</v>
      </c>
      <c r="I2466" s="27" t="s">
        <v>18974</v>
      </c>
      <c r="J2466" s="27"/>
      <c r="K2466" s="27"/>
      <c r="L2466" s="27"/>
      <c r="N2466" s="27"/>
      <c r="T2466" s="28" t="str">
        <f>LOOKUP(1,1/(Table1[[#This Row],[Level_0]:[Level 15]]&gt;0),(Table1[[#This Row],[Level_0]:[Level 15]]))</f>
        <v>5773060000 - [IC Exp - SMS - Tech Proj. Material]</v>
      </c>
      <c r="U2466" s="22">
        <v>2461</v>
      </c>
      <c r="W2466" s="13" t="str">
        <f>LOOKUP(1,1/(Table1[[#This Row],[Level_0]:[Level 15]]&gt;0),(Table1[[#This Row],[Level_0]:[Level 15]]))</f>
        <v>5773060000 - [IC Exp - SMS - Tech Proj. Material]</v>
      </c>
    </row>
    <row r="2467" spans="1:23" hidden="1" x14ac:dyDescent="0.25">
      <c r="A2467">
        <v>5773050000</v>
      </c>
      <c r="B2467" s="16" t="s">
        <v>20473</v>
      </c>
      <c r="C2467" s="16" t="e">
        <f>VLOOKUP(Table1[[#This Row],[Node]],Parent!A:B,2,0)</f>
        <v>#N/A</v>
      </c>
      <c r="D2467" s="25" t="s">
        <v>19346</v>
      </c>
      <c r="E2467" s="26" t="s">
        <v>16544</v>
      </c>
      <c r="F2467" s="27" t="s">
        <v>18569</v>
      </c>
      <c r="G2467" s="27" t="s">
        <v>18964</v>
      </c>
      <c r="H2467" s="27" t="s">
        <v>18965</v>
      </c>
      <c r="I2467" s="27" t="s">
        <v>18975</v>
      </c>
      <c r="J2467" s="27"/>
      <c r="K2467" s="27"/>
      <c r="L2467" s="27"/>
      <c r="N2467" s="27"/>
      <c r="T2467" s="28" t="str">
        <f>LOOKUP(1,1/(Table1[[#This Row],[Level_0]:[Level 15]]&gt;0),(Table1[[#This Row],[Level_0]:[Level 15]]))</f>
        <v>5773050000 - [IC Exp - SMS - Tech Proj. Int.]</v>
      </c>
      <c r="U2467" s="22">
        <v>2462</v>
      </c>
      <c r="W2467" s="13" t="str">
        <f>LOOKUP(1,1/(Table1[[#This Row],[Level_0]:[Level 15]]&gt;0),(Table1[[#This Row],[Level_0]:[Level 15]]))</f>
        <v>5773050000 - [IC Exp - SMS - Tech Proj. Int.]</v>
      </c>
    </row>
    <row r="2468" spans="1:23" hidden="1" x14ac:dyDescent="0.25">
      <c r="A2468">
        <v>5773040000</v>
      </c>
      <c r="B2468" s="16" t="s">
        <v>20472</v>
      </c>
      <c r="C2468" s="16" t="e">
        <f>VLOOKUP(Table1[[#This Row],[Node]],Parent!A:B,2,0)</f>
        <v>#N/A</v>
      </c>
      <c r="D2468" s="25" t="s">
        <v>19346</v>
      </c>
      <c r="E2468" s="26" t="s">
        <v>16544</v>
      </c>
      <c r="F2468" s="27" t="s">
        <v>18569</v>
      </c>
      <c r="G2468" s="27" t="s">
        <v>18964</v>
      </c>
      <c r="H2468" s="27" t="s">
        <v>18965</v>
      </c>
      <c r="I2468" s="27" t="s">
        <v>18976</v>
      </c>
      <c r="J2468" s="27"/>
      <c r="K2468" s="27"/>
      <c r="L2468" s="27"/>
      <c r="N2468" s="27"/>
      <c r="T2468" s="28" t="str">
        <f>LOOKUP(1,1/(Table1[[#This Row],[Level_0]:[Level 15]]&gt;0),(Table1[[#This Row],[Level_0]:[Level 15]]))</f>
        <v>5773040000 - [IC Exp - SMS - Tech Proj. Ext.]</v>
      </c>
      <c r="U2468" s="22">
        <v>2463</v>
      </c>
      <c r="W2468" s="13" t="str">
        <f>LOOKUP(1,1/(Table1[[#This Row],[Level_0]:[Level 15]]&gt;0),(Table1[[#This Row],[Level_0]:[Level 15]]))</f>
        <v>5773040000 - [IC Exp - SMS - Tech Proj. Ext.]</v>
      </c>
    </row>
    <row r="2469" spans="1:23" hidden="1" x14ac:dyDescent="0.25">
      <c r="A2469">
        <v>120104</v>
      </c>
      <c r="B2469" s="16" t="s">
        <v>19402</v>
      </c>
      <c r="C2469" s="16" t="e">
        <f>VLOOKUP(Table1[[#This Row],[Node]],Parent!A:B,2,0)</f>
        <v>#N/A</v>
      </c>
      <c r="D2469" s="25" t="s">
        <v>19346</v>
      </c>
      <c r="E2469" s="26" t="s">
        <v>16544</v>
      </c>
      <c r="F2469" s="27" t="s">
        <v>18569</v>
      </c>
      <c r="G2469" s="27" t="s">
        <v>18964</v>
      </c>
      <c r="H2469" s="27" t="s">
        <v>18977</v>
      </c>
      <c r="I2469" s="27"/>
      <c r="J2469" s="27"/>
      <c r="K2469" s="27"/>
      <c r="L2469" s="27"/>
      <c r="N2469" s="27"/>
      <c r="T2469" s="28" t="str">
        <f>LOOKUP(1,1/(Table1[[#This Row],[Level_0]:[Level 15]]&gt;0),(Table1[[#This Row],[Level_0]:[Level 15]]))</f>
        <v>120104 - [Allocated Ext. Maint. / Technical Svcs]</v>
      </c>
      <c r="U2469" s="22">
        <v>2464</v>
      </c>
      <c r="W2469" s="13" t="str">
        <f>LOOKUP(1,1/(Table1[[#This Row],[Level_0]:[Level 15]]&gt;0),(Table1[[#This Row],[Level_0]:[Level 15]]))</f>
        <v>120104 - [Allocated Ext. Maint. / Technical Svcs]</v>
      </c>
    </row>
    <row r="2470" spans="1:23" hidden="1" x14ac:dyDescent="0.25">
      <c r="A2470">
        <v>7301130007</v>
      </c>
      <c r="B2470" s="16" t="s">
        <v>20781</v>
      </c>
      <c r="C2470" s="16" t="e">
        <f>VLOOKUP(Table1[[#This Row],[Node]],Parent!A:B,2,0)</f>
        <v>#N/A</v>
      </c>
      <c r="D2470" s="25" t="s">
        <v>19346</v>
      </c>
      <c r="E2470" s="26" t="s">
        <v>16544</v>
      </c>
      <c r="F2470" s="27" t="s">
        <v>18569</v>
      </c>
      <c r="G2470" s="27" t="s">
        <v>18964</v>
      </c>
      <c r="H2470" s="27" t="s">
        <v>18977</v>
      </c>
      <c r="I2470" s="27" t="s">
        <v>18978</v>
      </c>
      <c r="J2470" s="27"/>
      <c r="K2470" s="27"/>
      <c r="L2470" s="27"/>
      <c r="N2470" s="27"/>
      <c r="T2470" s="28" t="str">
        <f>LOOKUP(1,1/(Table1[[#This Row],[Level_0]:[Level 15]]&gt;0),(Table1[[#This Row],[Level_0]:[Level 15]]))</f>
        <v>7301130007 - [DAA - Maintenance Support]</v>
      </c>
      <c r="U2470" s="22">
        <v>2465</v>
      </c>
      <c r="W2470" s="13" t="str">
        <f>LOOKUP(1,1/(Table1[[#This Row],[Level_0]:[Level 15]]&gt;0),(Table1[[#This Row],[Level_0]:[Level 15]]))</f>
        <v>7301130007 - [DAA - Maintenance Support]</v>
      </c>
    </row>
    <row r="2471" spans="1:23" hidden="1" x14ac:dyDescent="0.25">
      <c r="A2471">
        <v>7940000002</v>
      </c>
      <c r="B2471" s="16" t="s">
        <v>21965</v>
      </c>
      <c r="C2471" s="16" t="e">
        <f>VLOOKUP(Table1[[#This Row],[Node]],Parent!A:B,2,0)</f>
        <v>#N/A</v>
      </c>
      <c r="D2471" s="25" t="s">
        <v>19346</v>
      </c>
      <c r="E2471" s="26" t="s">
        <v>16544</v>
      </c>
      <c r="F2471" s="27" t="s">
        <v>18569</v>
      </c>
      <c r="G2471" s="27" t="s">
        <v>18964</v>
      </c>
      <c r="H2471" s="27" t="s">
        <v>18977</v>
      </c>
      <c r="I2471" s="27" t="s">
        <v>18979</v>
      </c>
      <c r="J2471" s="27"/>
      <c r="K2471" s="27"/>
      <c r="L2471" s="27"/>
      <c r="N2471" s="27"/>
      <c r="T2471" s="28" t="str">
        <f>LOOKUP(1,1/(Table1[[#This Row],[Level_0]:[Level 15]]&gt;0),(Table1[[#This Row],[Level_0]:[Level 15]]))</f>
        <v>7940000002 - [SOM Engineering und tech. Services Stlmt]</v>
      </c>
      <c r="U2471" s="22">
        <v>2466</v>
      </c>
      <c r="W2471" s="13" t="str">
        <f>LOOKUP(1,1/(Table1[[#This Row],[Level_0]:[Level 15]]&gt;0),(Table1[[#This Row],[Level_0]:[Level 15]]))</f>
        <v>7940000002 - [SOM Engineering und tech. Services Stlmt]</v>
      </c>
    </row>
    <row r="2472" spans="1:23" hidden="1" x14ac:dyDescent="0.25">
      <c r="A2472">
        <v>7920000017</v>
      </c>
      <c r="B2472" s="16" t="s">
        <v>21961</v>
      </c>
      <c r="C2472" s="16" t="e">
        <f>VLOOKUP(Table1[[#This Row],[Node]],Parent!A:B,2,0)</f>
        <v>#N/A</v>
      </c>
      <c r="D2472" s="25" t="s">
        <v>19346</v>
      </c>
      <c r="E2472" s="26" t="s">
        <v>16544</v>
      </c>
      <c r="F2472" s="27" t="s">
        <v>18569</v>
      </c>
      <c r="G2472" s="27" t="s">
        <v>18964</v>
      </c>
      <c r="H2472" s="27" t="s">
        <v>18977</v>
      </c>
      <c r="I2472" s="27" t="s">
        <v>18980</v>
      </c>
      <c r="J2472" s="27"/>
      <c r="K2472" s="27"/>
      <c r="L2472" s="27"/>
      <c r="N2472" s="27"/>
      <c r="T2472" s="28" t="str">
        <f>LOOKUP(1,1/(Table1[[#This Row],[Level_0]:[Level 15]]&gt;0),(Table1[[#This Row],[Level_0]:[Level 15]]))</f>
        <v>7920000017 - [AOM SM Engineer-Techn Investm]</v>
      </c>
      <c r="U2472" s="22">
        <v>2467</v>
      </c>
      <c r="W2472" s="13" t="str">
        <f>LOOKUP(1,1/(Table1[[#This Row],[Level_0]:[Level 15]]&gt;0),(Table1[[#This Row],[Level_0]:[Level 15]]))</f>
        <v>7920000017 - [AOM SM Engineer-Techn Investm]</v>
      </c>
    </row>
    <row r="2473" spans="1:23" hidden="1" x14ac:dyDescent="0.25">
      <c r="A2473">
        <v>7920000016</v>
      </c>
      <c r="B2473" s="16" t="s">
        <v>21960</v>
      </c>
      <c r="C2473" s="16" t="e">
        <f>VLOOKUP(Table1[[#This Row],[Node]],Parent!A:B,2,0)</f>
        <v>#N/A</v>
      </c>
      <c r="D2473" s="25" t="s">
        <v>19346</v>
      </c>
      <c r="E2473" s="26" t="s">
        <v>16544</v>
      </c>
      <c r="F2473" s="27" t="s">
        <v>18569</v>
      </c>
      <c r="G2473" s="27" t="s">
        <v>18964</v>
      </c>
      <c r="H2473" s="27" t="s">
        <v>18977</v>
      </c>
      <c r="I2473" s="27" t="s">
        <v>18981</v>
      </c>
      <c r="J2473" s="27"/>
      <c r="K2473" s="27"/>
      <c r="L2473" s="27"/>
      <c r="N2473" s="27"/>
      <c r="T2473" s="28" t="str">
        <f>LOOKUP(1,1/(Table1[[#This Row],[Level_0]:[Level 15]]&gt;0),(Table1[[#This Row],[Level_0]:[Level 15]]))</f>
        <v>7920000016 - [AOM SM Engineering&amp;Tech. Serv]</v>
      </c>
      <c r="U2473" s="22">
        <v>2468</v>
      </c>
      <c r="W2473" s="13" t="str">
        <f>LOOKUP(1,1/(Table1[[#This Row],[Level_0]:[Level 15]]&gt;0),(Table1[[#This Row],[Level_0]:[Level 15]]))</f>
        <v>7920000016 - [AOM SM Engineering&amp;Tech. Serv]</v>
      </c>
    </row>
    <row r="2474" spans="1:23" hidden="1" x14ac:dyDescent="0.25">
      <c r="A2474">
        <v>7620301111</v>
      </c>
      <c r="B2474" s="16" t="s">
        <v>21571</v>
      </c>
      <c r="C2474" s="16" t="e">
        <f>VLOOKUP(Table1[[#This Row],[Node]],Parent!A:B,2,0)</f>
        <v>#N/A</v>
      </c>
      <c r="D2474" s="25" t="s">
        <v>19346</v>
      </c>
      <c r="E2474" s="26" t="s">
        <v>16544</v>
      </c>
      <c r="F2474" s="27" t="s">
        <v>18569</v>
      </c>
      <c r="G2474" s="27" t="s">
        <v>18964</v>
      </c>
      <c r="H2474" s="27" t="s">
        <v>18977</v>
      </c>
      <c r="I2474" s="27" t="s">
        <v>18982</v>
      </c>
      <c r="J2474" s="27"/>
      <c r="K2474" s="27"/>
      <c r="L2474" s="27"/>
      <c r="N2474" s="27"/>
      <c r="T2474" s="28" t="str">
        <f>LOOKUP(1,1/(Table1[[#This Row],[Level_0]:[Level 15]]&gt;0),(Table1[[#This Row],[Level_0]:[Level 15]]))</f>
        <v>7620301111 - [AOM_Tech Service Center]</v>
      </c>
      <c r="U2474" s="22">
        <v>2469</v>
      </c>
      <c r="W2474" s="13" t="str">
        <f>LOOKUP(1,1/(Table1[[#This Row],[Level_0]:[Level 15]]&gt;0),(Table1[[#This Row],[Level_0]:[Level 15]]))</f>
        <v>7620301111 - [AOM_Tech Service Center]</v>
      </c>
    </row>
    <row r="2475" spans="1:23" hidden="1" x14ac:dyDescent="0.25">
      <c r="A2475">
        <v>7620301109</v>
      </c>
      <c r="B2475" s="16" t="s">
        <v>21569</v>
      </c>
      <c r="C2475" s="16" t="e">
        <f>VLOOKUP(Table1[[#This Row],[Node]],Parent!A:B,2,0)</f>
        <v>#N/A</v>
      </c>
      <c r="D2475" s="25" t="s">
        <v>19346</v>
      </c>
      <c r="E2475" s="26" t="s">
        <v>16544</v>
      </c>
      <c r="F2475" s="27" t="s">
        <v>18569</v>
      </c>
      <c r="G2475" s="27" t="s">
        <v>18964</v>
      </c>
      <c r="H2475" s="27" t="s">
        <v>18977</v>
      </c>
      <c r="I2475" s="27" t="s">
        <v>18983</v>
      </c>
      <c r="J2475" s="27"/>
      <c r="K2475" s="27"/>
      <c r="L2475" s="27"/>
      <c r="N2475" s="27"/>
      <c r="T2475" s="28" t="str">
        <f>LOOKUP(1,1/(Table1[[#This Row],[Level_0]:[Level 15]]&gt;0),(Table1[[#This Row],[Level_0]:[Level 15]]))</f>
        <v>7620301109 - [AOM_PM Reimbursem.]</v>
      </c>
      <c r="U2475" s="22">
        <v>2470</v>
      </c>
      <c r="W2475" s="13" t="str">
        <f>LOOKUP(1,1/(Table1[[#This Row],[Level_0]:[Level 15]]&gt;0),(Table1[[#This Row],[Level_0]:[Level 15]]))</f>
        <v>7620301109 - [AOM_PM Reimbursem.]</v>
      </c>
    </row>
    <row r="2476" spans="1:23" hidden="1" x14ac:dyDescent="0.25">
      <c r="A2476">
        <v>7620301101</v>
      </c>
      <c r="B2476" s="16" t="s">
        <v>21561</v>
      </c>
      <c r="C2476" s="16" t="e">
        <f>VLOOKUP(Table1[[#This Row],[Node]],Parent!A:B,2,0)</f>
        <v>#N/A</v>
      </c>
      <c r="D2476" s="25" t="s">
        <v>19346</v>
      </c>
      <c r="E2476" s="26" t="s">
        <v>16544</v>
      </c>
      <c r="F2476" s="27" t="s">
        <v>18569</v>
      </c>
      <c r="G2476" s="27" t="s">
        <v>18964</v>
      </c>
      <c r="H2476" s="27" t="s">
        <v>18977</v>
      </c>
      <c r="I2476" s="27" t="s">
        <v>18984</v>
      </c>
      <c r="J2476" s="27"/>
      <c r="K2476" s="27"/>
      <c r="L2476" s="27"/>
      <c r="N2476" s="27"/>
      <c r="T2476" s="28" t="str">
        <f>LOOKUP(1,1/(Table1[[#This Row],[Level_0]:[Level 15]]&gt;0),(Table1[[#This Row],[Level_0]:[Level 15]]))</f>
        <v>7620301101 - [AOM_Maint. internal]</v>
      </c>
      <c r="U2476" s="22">
        <v>2471</v>
      </c>
      <c r="W2476" s="13" t="str">
        <f>LOOKUP(1,1/(Table1[[#This Row],[Level_0]:[Level 15]]&gt;0),(Table1[[#This Row],[Level_0]:[Level 15]]))</f>
        <v>7620301101 - [AOM_Maint. internal]</v>
      </c>
    </row>
    <row r="2477" spans="1:23" hidden="1" x14ac:dyDescent="0.25">
      <c r="A2477">
        <v>7620301100</v>
      </c>
      <c r="B2477" s="16" t="s">
        <v>21560</v>
      </c>
      <c r="C2477" s="16" t="e">
        <f>VLOOKUP(Table1[[#This Row],[Node]],Parent!A:B,2,0)</f>
        <v>#N/A</v>
      </c>
      <c r="D2477" s="25" t="s">
        <v>19346</v>
      </c>
      <c r="E2477" s="26" t="s">
        <v>16544</v>
      </c>
      <c r="F2477" s="27" t="s">
        <v>18569</v>
      </c>
      <c r="G2477" s="27" t="s">
        <v>18964</v>
      </c>
      <c r="H2477" s="27" t="s">
        <v>18977</v>
      </c>
      <c r="I2477" s="27" t="s">
        <v>18985</v>
      </c>
      <c r="J2477" s="27"/>
      <c r="K2477" s="27"/>
      <c r="L2477" s="27"/>
      <c r="N2477" s="27"/>
      <c r="T2477" s="28" t="str">
        <f>LOOKUP(1,1/(Table1[[#This Row],[Level_0]:[Level 15]]&gt;0),(Table1[[#This Row],[Level_0]:[Level 15]]))</f>
        <v>7620301100 - [AOM_Maint. external]</v>
      </c>
      <c r="U2477" s="22">
        <v>2472</v>
      </c>
      <c r="W2477" s="13" t="str">
        <f>LOOKUP(1,1/(Table1[[#This Row],[Level_0]:[Level 15]]&gt;0),(Table1[[#This Row],[Level_0]:[Level 15]]))</f>
        <v>7620301100 - [AOM_Maint. external]</v>
      </c>
    </row>
    <row r="2478" spans="1:23" hidden="1" x14ac:dyDescent="0.25">
      <c r="A2478">
        <v>7620000013</v>
      </c>
      <c r="B2478" s="16" t="s">
        <v>21539</v>
      </c>
      <c r="C2478" s="16" t="e">
        <f>VLOOKUP(Table1[[#This Row],[Node]],Parent!A:B,2,0)</f>
        <v>#N/A</v>
      </c>
      <c r="D2478" s="25" t="s">
        <v>19346</v>
      </c>
      <c r="E2478" s="26" t="s">
        <v>16544</v>
      </c>
      <c r="F2478" s="27" t="s">
        <v>18569</v>
      </c>
      <c r="G2478" s="27" t="s">
        <v>18964</v>
      </c>
      <c r="H2478" s="27" t="s">
        <v>18977</v>
      </c>
      <c r="I2478" s="27" t="s">
        <v>18986</v>
      </c>
      <c r="J2478" s="27"/>
      <c r="K2478" s="27"/>
      <c r="L2478" s="27"/>
      <c r="N2478" s="27"/>
      <c r="T2478" s="28" t="str">
        <f>LOOKUP(1,1/(Table1[[#This Row],[Level_0]:[Level 15]]&gt;0),(Table1[[#This Row],[Level_0]:[Level 15]]))</f>
        <v>7620000013 - [AOM Technical Costs]</v>
      </c>
      <c r="U2478" s="22">
        <v>2473</v>
      </c>
      <c r="W2478" s="13" t="str">
        <f>LOOKUP(1,1/(Table1[[#This Row],[Level_0]:[Level 15]]&gt;0),(Table1[[#This Row],[Level_0]:[Level 15]]))</f>
        <v>7620000013 - [AOM Technical Costs]</v>
      </c>
    </row>
    <row r="2479" spans="1:23" hidden="1" x14ac:dyDescent="0.25">
      <c r="A2479">
        <v>7600304236</v>
      </c>
      <c r="B2479" s="16" t="s">
        <v>21427</v>
      </c>
      <c r="C2479" s="16" t="e">
        <f>VLOOKUP(Table1[[#This Row],[Node]],Parent!A:B,2,0)</f>
        <v>#N/A</v>
      </c>
      <c r="D2479" s="25" t="s">
        <v>19346</v>
      </c>
      <c r="E2479" s="26" t="s">
        <v>16544</v>
      </c>
      <c r="F2479" s="27" t="s">
        <v>18569</v>
      </c>
      <c r="G2479" s="27" t="s">
        <v>18964</v>
      </c>
      <c r="H2479" s="27" t="s">
        <v>18977</v>
      </c>
      <c r="I2479" s="27" t="s">
        <v>18987</v>
      </c>
      <c r="J2479" s="27"/>
      <c r="K2479" s="27"/>
      <c r="L2479" s="27"/>
      <c r="N2479" s="27"/>
      <c r="T2479" s="28" t="str">
        <f>LOOKUP(1,1/(Table1[[#This Row],[Level_0]:[Level 15]]&gt;0),(Table1[[#This Row],[Level_0]:[Level 15]]))</f>
        <v>7600304236 - [DAA_IC Exp - SMS - Contractor Mgt T]</v>
      </c>
      <c r="U2479" s="22">
        <v>2474</v>
      </c>
      <c r="W2479" s="13" t="str">
        <f>LOOKUP(1,1/(Table1[[#This Row],[Level_0]:[Level 15]]&gt;0),(Table1[[#This Row],[Level_0]:[Level 15]]))</f>
        <v>7600304236 - [DAA_IC Exp - SMS - Contractor Mgt T]</v>
      </c>
    </row>
    <row r="2480" spans="1:23" hidden="1" x14ac:dyDescent="0.25">
      <c r="A2480">
        <v>7600304204</v>
      </c>
      <c r="B2480" s="16" t="s">
        <v>21397</v>
      </c>
      <c r="C2480" s="16" t="e">
        <f>VLOOKUP(Table1[[#This Row],[Node]],Parent!A:B,2,0)</f>
        <v>#N/A</v>
      </c>
      <c r="D2480" s="25" t="s">
        <v>19346</v>
      </c>
      <c r="E2480" s="26" t="s">
        <v>16544</v>
      </c>
      <c r="F2480" s="27" t="s">
        <v>18569</v>
      </c>
      <c r="G2480" s="27" t="s">
        <v>18964</v>
      </c>
      <c r="H2480" s="27" t="s">
        <v>18977</v>
      </c>
      <c r="I2480" s="27" t="s">
        <v>18988</v>
      </c>
      <c r="J2480" s="27"/>
      <c r="K2480" s="27"/>
      <c r="L2480" s="27"/>
      <c r="N2480" s="27"/>
      <c r="T2480" s="28" t="str">
        <f>LOOKUP(1,1/(Table1[[#This Row],[Level_0]:[Level 15]]&gt;0),(Table1[[#This Row],[Level_0]:[Level 15]]))</f>
        <v>7600304204 - [DAA_Correct.Mt.Oth.2]</v>
      </c>
      <c r="U2480" s="22">
        <v>2475</v>
      </c>
      <c r="W2480" s="13" t="str">
        <f>LOOKUP(1,1/(Table1[[#This Row],[Level_0]:[Level 15]]&gt;0),(Table1[[#This Row],[Level_0]:[Level 15]]))</f>
        <v>7600304204 - [DAA_Correct.Mt.Oth.2]</v>
      </c>
    </row>
    <row r="2481" spans="1:23" hidden="1" x14ac:dyDescent="0.25">
      <c r="A2481">
        <v>7600304203</v>
      </c>
      <c r="B2481" s="16" t="s">
        <v>21396</v>
      </c>
      <c r="C2481" s="16" t="e">
        <f>VLOOKUP(Table1[[#This Row],[Node]],Parent!A:B,2,0)</f>
        <v>#N/A</v>
      </c>
      <c r="D2481" s="25" t="s">
        <v>19346</v>
      </c>
      <c r="E2481" s="26" t="s">
        <v>16544</v>
      </c>
      <c r="F2481" s="27" t="s">
        <v>18569</v>
      </c>
      <c r="G2481" s="27" t="s">
        <v>18964</v>
      </c>
      <c r="H2481" s="27" t="s">
        <v>18977</v>
      </c>
      <c r="I2481" s="27" t="s">
        <v>18989</v>
      </c>
      <c r="J2481" s="27"/>
      <c r="K2481" s="27"/>
      <c r="L2481" s="27"/>
      <c r="N2481" s="27"/>
      <c r="T2481" s="28" t="str">
        <f>LOOKUP(1,1/(Table1[[#This Row],[Level_0]:[Level 15]]&gt;0),(Table1[[#This Row],[Level_0]:[Level 15]]))</f>
        <v>7600304203 - [DAA_Correct.Mt.Oth.1]</v>
      </c>
      <c r="U2481" s="22">
        <v>2476</v>
      </c>
      <c r="W2481" s="13" t="str">
        <f>LOOKUP(1,1/(Table1[[#This Row],[Level_0]:[Level 15]]&gt;0),(Table1[[#This Row],[Level_0]:[Level 15]]))</f>
        <v>7600304203 - [DAA_Correct.Mt.Oth.1]</v>
      </c>
    </row>
    <row r="2482" spans="1:23" hidden="1" x14ac:dyDescent="0.25">
      <c r="A2482">
        <v>7600304202</v>
      </c>
      <c r="B2482" s="16" t="s">
        <v>21395</v>
      </c>
      <c r="C2482" s="16" t="e">
        <f>VLOOKUP(Table1[[#This Row],[Node]],Parent!A:B,2,0)</f>
        <v>#N/A</v>
      </c>
      <c r="D2482" s="25" t="s">
        <v>19346</v>
      </c>
      <c r="E2482" s="26" t="s">
        <v>16544</v>
      </c>
      <c r="F2482" s="27" t="s">
        <v>18569</v>
      </c>
      <c r="G2482" s="27" t="s">
        <v>18964</v>
      </c>
      <c r="H2482" s="27" t="s">
        <v>18977</v>
      </c>
      <c r="I2482" s="27" t="s">
        <v>18990</v>
      </c>
      <c r="J2482" s="27"/>
      <c r="K2482" s="27"/>
      <c r="L2482" s="27"/>
      <c r="N2482" s="27"/>
      <c r="T2482" s="28" t="str">
        <f>LOOKUP(1,1/(Table1[[#This Row],[Level_0]:[Level 15]]&gt;0),(Table1[[#This Row],[Level_0]:[Level 15]]))</f>
        <v>7600304202 - [DAA_PM other activities]</v>
      </c>
      <c r="U2482" s="22">
        <v>2477</v>
      </c>
      <c r="W2482" s="13" t="str">
        <f>LOOKUP(1,1/(Table1[[#This Row],[Level_0]:[Level 15]]&gt;0),(Table1[[#This Row],[Level_0]:[Level 15]]))</f>
        <v>7600304202 - [DAA_PM other activities]</v>
      </c>
    </row>
    <row r="2483" spans="1:23" hidden="1" x14ac:dyDescent="0.25">
      <c r="A2483">
        <v>7600304201</v>
      </c>
      <c r="B2483" s="16" t="s">
        <v>21394</v>
      </c>
      <c r="C2483" s="16" t="e">
        <f>VLOOKUP(Table1[[#This Row],[Node]],Parent!A:B,2,0)</f>
        <v>#N/A</v>
      </c>
      <c r="D2483" s="25" t="s">
        <v>19346</v>
      </c>
      <c r="E2483" s="26" t="s">
        <v>16544</v>
      </c>
      <c r="F2483" s="27" t="s">
        <v>18569</v>
      </c>
      <c r="G2483" s="27" t="s">
        <v>18964</v>
      </c>
      <c r="H2483" s="27" t="s">
        <v>18977</v>
      </c>
      <c r="I2483" s="27" t="s">
        <v>18991</v>
      </c>
      <c r="J2483" s="27"/>
      <c r="K2483" s="27"/>
      <c r="L2483" s="27"/>
      <c r="N2483" s="27"/>
      <c r="T2483" s="28" t="str">
        <f>LOOKUP(1,1/(Table1[[#This Row],[Level_0]:[Level 15]]&gt;0),(Table1[[#This Row],[Level_0]:[Level 15]]))</f>
        <v>7600304201 - [DAA_Overhead Costs]</v>
      </c>
      <c r="U2483" s="22">
        <v>2478</v>
      </c>
      <c r="W2483" s="13" t="str">
        <f>LOOKUP(1,1/(Table1[[#This Row],[Level_0]:[Level 15]]&gt;0),(Table1[[#This Row],[Level_0]:[Level 15]]))</f>
        <v>7600304201 - [DAA_Overhead Costs]</v>
      </c>
    </row>
    <row r="2484" spans="1:23" hidden="1" x14ac:dyDescent="0.25">
      <c r="A2484">
        <v>7600304200</v>
      </c>
      <c r="B2484" s="16" t="s">
        <v>21393</v>
      </c>
      <c r="C2484" s="16" t="e">
        <f>VLOOKUP(Table1[[#This Row],[Node]],Parent!A:B,2,0)</f>
        <v>#N/A</v>
      </c>
      <c r="D2484" s="25" t="s">
        <v>19346</v>
      </c>
      <c r="E2484" s="26" t="s">
        <v>16544</v>
      </c>
      <c r="F2484" s="27" t="s">
        <v>18569</v>
      </c>
      <c r="G2484" s="27" t="s">
        <v>18964</v>
      </c>
      <c r="H2484" s="27" t="s">
        <v>18977</v>
      </c>
      <c r="I2484" s="27" t="s">
        <v>18992</v>
      </c>
      <c r="J2484" s="27"/>
      <c r="K2484" s="27"/>
      <c r="L2484" s="27"/>
      <c r="N2484" s="27"/>
      <c r="T2484" s="28" t="str">
        <f>LOOKUP(1,1/(Table1[[#This Row],[Level_0]:[Level 15]]&gt;0),(Table1[[#This Row],[Level_0]:[Level 15]]))</f>
        <v>7600304200 - [DAA_Overtime Coord.]</v>
      </c>
      <c r="U2484" s="22">
        <v>2479</v>
      </c>
      <c r="W2484" s="13" t="str">
        <f>LOOKUP(1,1/(Table1[[#This Row],[Level_0]:[Level 15]]&gt;0),(Table1[[#This Row],[Level_0]:[Level 15]]))</f>
        <v>7600304200 - [DAA_Overtime Coord.]</v>
      </c>
    </row>
    <row r="2485" spans="1:23" hidden="1" x14ac:dyDescent="0.25">
      <c r="A2485">
        <v>7600301111</v>
      </c>
      <c r="B2485" s="16" t="s">
        <v>21200</v>
      </c>
      <c r="C2485" s="16" t="e">
        <f>VLOOKUP(Table1[[#This Row],[Node]],Parent!A:B,2,0)</f>
        <v>#N/A</v>
      </c>
      <c r="D2485" s="25" t="s">
        <v>19346</v>
      </c>
      <c r="E2485" s="26" t="s">
        <v>16544</v>
      </c>
      <c r="F2485" s="27" t="s">
        <v>18569</v>
      </c>
      <c r="G2485" s="27" t="s">
        <v>18964</v>
      </c>
      <c r="H2485" s="27" t="s">
        <v>18977</v>
      </c>
      <c r="I2485" s="27" t="s">
        <v>18993</v>
      </c>
      <c r="J2485" s="27"/>
      <c r="K2485" s="27"/>
      <c r="L2485" s="27"/>
      <c r="N2485" s="27"/>
      <c r="T2485" s="28" t="str">
        <f>LOOKUP(1,1/(Table1[[#This Row],[Level_0]:[Level 15]]&gt;0),(Table1[[#This Row],[Level_0]:[Level 15]]))</f>
        <v>7600301111 - [DAA_Tech Service Center]</v>
      </c>
      <c r="U2485" s="22">
        <v>2480</v>
      </c>
      <c r="W2485" s="13" t="str">
        <f>LOOKUP(1,1/(Table1[[#This Row],[Level_0]:[Level 15]]&gt;0),(Table1[[#This Row],[Level_0]:[Level 15]]))</f>
        <v>7600301111 - [DAA_Tech Service Center]</v>
      </c>
    </row>
    <row r="2486" spans="1:23" hidden="1" x14ac:dyDescent="0.25">
      <c r="A2486">
        <v>7600301100</v>
      </c>
      <c r="B2486" s="16" t="s">
        <v>21199</v>
      </c>
      <c r="C2486" s="16" t="e">
        <f>VLOOKUP(Table1[[#This Row],[Node]],Parent!A:B,2,0)</f>
        <v>#N/A</v>
      </c>
      <c r="D2486" s="25" t="s">
        <v>19346</v>
      </c>
      <c r="E2486" s="26" t="s">
        <v>16544</v>
      </c>
      <c r="F2486" s="27" t="s">
        <v>18569</v>
      </c>
      <c r="G2486" s="27" t="s">
        <v>18964</v>
      </c>
      <c r="H2486" s="27" t="s">
        <v>18977</v>
      </c>
      <c r="I2486" s="27" t="s">
        <v>18994</v>
      </c>
      <c r="J2486" s="27"/>
      <c r="K2486" s="27"/>
      <c r="L2486" s="27"/>
      <c r="N2486" s="27"/>
      <c r="T2486" s="28" t="str">
        <f>LOOKUP(1,1/(Table1[[#This Row],[Level_0]:[Level 15]]&gt;0),(Table1[[#This Row],[Level_0]:[Level 15]]))</f>
        <v>7600301100 - [DAA_Maint.external]</v>
      </c>
      <c r="U2486" s="22">
        <v>2481</v>
      </c>
      <c r="W2486" s="13" t="str">
        <f>LOOKUP(1,1/(Table1[[#This Row],[Level_0]:[Level 15]]&gt;0),(Table1[[#This Row],[Level_0]:[Level 15]]))</f>
        <v>7600301100 - [DAA_Maint.external]</v>
      </c>
    </row>
    <row r="2487" spans="1:23" hidden="1" x14ac:dyDescent="0.25">
      <c r="A2487">
        <v>7600301081</v>
      </c>
      <c r="B2487" s="16" t="s">
        <v>21194</v>
      </c>
      <c r="C2487" s="16" t="e">
        <f>VLOOKUP(Table1[[#This Row],[Node]],Parent!A:B,2,0)</f>
        <v>#N/A</v>
      </c>
      <c r="D2487" s="25" t="s">
        <v>19346</v>
      </c>
      <c r="E2487" s="26" t="s">
        <v>16544</v>
      </c>
      <c r="F2487" s="27" t="s">
        <v>18569</v>
      </c>
      <c r="G2487" s="27" t="s">
        <v>18964</v>
      </c>
      <c r="H2487" s="27" t="s">
        <v>18977</v>
      </c>
      <c r="I2487" s="27" t="s">
        <v>18995</v>
      </c>
      <c r="J2487" s="27"/>
      <c r="K2487" s="27"/>
      <c r="L2487" s="27"/>
      <c r="N2487" s="27"/>
      <c r="T2487" s="28" t="str">
        <f>LOOKUP(1,1/(Table1[[#This Row],[Level_0]:[Level 15]]&gt;0),(Table1[[#This Row],[Level_0]:[Level 15]]))</f>
        <v>7600301081 - [DAA_Corrective maint_other]</v>
      </c>
      <c r="U2487" s="22">
        <v>2482</v>
      </c>
      <c r="W2487" s="13" t="str">
        <f>LOOKUP(1,1/(Table1[[#This Row],[Level_0]:[Level 15]]&gt;0),(Table1[[#This Row],[Level_0]:[Level 15]]))</f>
        <v>7600301081 - [DAA_Corrective maint_other]</v>
      </c>
    </row>
    <row r="2488" spans="1:23" hidden="1" x14ac:dyDescent="0.25">
      <c r="A2488">
        <v>7600301051</v>
      </c>
      <c r="B2488" s="16" t="s">
        <v>21165</v>
      </c>
      <c r="C2488" s="16" t="e">
        <f>VLOOKUP(Table1[[#This Row],[Node]],Parent!A:B,2,0)</f>
        <v>#N/A</v>
      </c>
      <c r="D2488" s="25" t="s">
        <v>19346</v>
      </c>
      <c r="E2488" s="26" t="s">
        <v>16544</v>
      </c>
      <c r="F2488" s="27" t="s">
        <v>18569</v>
      </c>
      <c r="G2488" s="27" t="s">
        <v>18964</v>
      </c>
      <c r="H2488" s="27" t="s">
        <v>18977</v>
      </c>
      <c r="I2488" s="27" t="s">
        <v>18996</v>
      </c>
      <c r="J2488" s="27"/>
      <c r="K2488" s="27"/>
      <c r="L2488" s="27"/>
      <c r="N2488" s="27"/>
      <c r="T2488" s="28" t="str">
        <f>LOOKUP(1,1/(Table1[[#This Row],[Level_0]:[Level 15]]&gt;0),(Table1[[#This Row],[Level_0]:[Level 15]]))</f>
        <v>7600301051 - [DAA Compet. Cent._Legal rep]</v>
      </c>
      <c r="U2488" s="22">
        <v>2483</v>
      </c>
      <c r="W2488" s="13" t="str">
        <f>LOOKUP(1,1/(Table1[[#This Row],[Level_0]:[Level 15]]&gt;0),(Table1[[#This Row],[Level_0]:[Level 15]]))</f>
        <v>7600301051 - [DAA Compet. Cent._Legal rep]</v>
      </c>
    </row>
    <row r="2489" spans="1:23" hidden="1" x14ac:dyDescent="0.25">
      <c r="A2489">
        <v>7600301049</v>
      </c>
      <c r="B2489" s="16" t="s">
        <v>21163</v>
      </c>
      <c r="C2489" s="16" t="e">
        <f>VLOOKUP(Table1[[#This Row],[Node]],Parent!A:B,2,0)</f>
        <v>#N/A</v>
      </c>
      <c r="D2489" s="25" t="s">
        <v>19346</v>
      </c>
      <c r="E2489" s="26" t="s">
        <v>16544</v>
      </c>
      <c r="F2489" s="27" t="s">
        <v>18569</v>
      </c>
      <c r="G2489" s="27" t="s">
        <v>18964</v>
      </c>
      <c r="H2489" s="27" t="s">
        <v>18977</v>
      </c>
      <c r="I2489" s="27" t="s">
        <v>18997</v>
      </c>
      <c r="J2489" s="27"/>
      <c r="K2489" s="27"/>
      <c r="L2489" s="27"/>
      <c r="N2489" s="27"/>
      <c r="T2489" s="28" t="str">
        <f>LOOKUP(1,1/(Table1[[#This Row],[Level_0]:[Level 15]]&gt;0),(Table1[[#This Row],[Level_0]:[Level 15]]))</f>
        <v>7600301049 - [DAA Multi Discipline coord.]</v>
      </c>
      <c r="U2489" s="22">
        <v>2484</v>
      </c>
      <c r="W2489" s="13" t="str">
        <f>LOOKUP(1,1/(Table1[[#This Row],[Level_0]:[Level 15]]&gt;0),(Table1[[#This Row],[Level_0]:[Level 15]]))</f>
        <v>7600301049 - [DAA Multi Discipline coord.]</v>
      </c>
    </row>
    <row r="2490" spans="1:23" hidden="1" x14ac:dyDescent="0.25">
      <c r="A2490">
        <v>7600301040</v>
      </c>
      <c r="B2490" s="16" t="s">
        <v>21155</v>
      </c>
      <c r="C2490" s="16" t="e">
        <f>VLOOKUP(Table1[[#This Row],[Node]],Parent!A:B,2,0)</f>
        <v>#N/A</v>
      </c>
      <c r="D2490" s="25" t="s">
        <v>19346</v>
      </c>
      <c r="E2490" s="26" t="s">
        <v>16544</v>
      </c>
      <c r="F2490" s="27" t="s">
        <v>18569</v>
      </c>
      <c r="G2490" s="27" t="s">
        <v>18964</v>
      </c>
      <c r="H2490" s="27" t="s">
        <v>18977</v>
      </c>
      <c r="I2490" s="27" t="s">
        <v>18998</v>
      </c>
      <c r="J2490" s="27"/>
      <c r="K2490" s="27"/>
      <c r="L2490" s="27"/>
      <c r="N2490" s="27"/>
      <c r="T2490" s="28" t="str">
        <f>LOOKUP(1,1/(Table1[[#This Row],[Level_0]:[Level 15]]&gt;0),(Table1[[#This Row],[Level_0]:[Level 15]]))</f>
        <v>7600301040 - [DAA Techn. Project consult.]</v>
      </c>
      <c r="U2490" s="22">
        <v>2485</v>
      </c>
      <c r="W2490" s="13" t="str">
        <f>LOOKUP(1,1/(Table1[[#This Row],[Level_0]:[Level 15]]&gt;0),(Table1[[#This Row],[Level_0]:[Level 15]]))</f>
        <v>7600301040 - [DAA Techn. Project consult.]</v>
      </c>
    </row>
    <row r="2491" spans="1:23" hidden="1" x14ac:dyDescent="0.25">
      <c r="A2491">
        <v>7600301015</v>
      </c>
      <c r="B2491" s="16" t="s">
        <v>21132</v>
      </c>
      <c r="C2491" s="16" t="e">
        <f>VLOOKUP(Table1[[#This Row],[Node]],Parent!A:B,2,0)</f>
        <v>#N/A</v>
      </c>
      <c r="D2491" s="25" t="s">
        <v>19346</v>
      </c>
      <c r="E2491" s="26" t="s">
        <v>16544</v>
      </c>
      <c r="F2491" s="27" t="s">
        <v>18569</v>
      </c>
      <c r="G2491" s="27" t="s">
        <v>18964</v>
      </c>
      <c r="H2491" s="27" t="s">
        <v>18977</v>
      </c>
      <c r="I2491" s="27" t="s">
        <v>18999</v>
      </c>
      <c r="J2491" s="27"/>
      <c r="K2491" s="27"/>
      <c r="L2491" s="27"/>
      <c r="N2491" s="27"/>
      <c r="T2491" s="28" t="str">
        <f>LOOKUP(1,1/(Table1[[#This Row],[Level_0]:[Level 15]]&gt;0),(Table1[[#This Row],[Level_0]:[Level 15]]))</f>
        <v>7600301015 - [DAA Standby services 24/7]</v>
      </c>
      <c r="U2491" s="22">
        <v>2486</v>
      </c>
      <c r="W2491" s="13" t="str">
        <f>LOOKUP(1,1/(Table1[[#This Row],[Level_0]:[Level 15]]&gt;0),(Table1[[#This Row],[Level_0]:[Level 15]]))</f>
        <v>7600301015 - [DAA Standby services 24/7]</v>
      </c>
    </row>
    <row r="2492" spans="1:23" hidden="1" x14ac:dyDescent="0.25">
      <c r="A2492">
        <v>7340000013</v>
      </c>
      <c r="B2492" s="16" t="s">
        <v>20932</v>
      </c>
      <c r="C2492" s="16" t="e">
        <f>VLOOKUP(Table1[[#This Row],[Node]],Parent!A:B,2,0)</f>
        <v>#N/A</v>
      </c>
      <c r="D2492" s="25" t="s">
        <v>19346</v>
      </c>
      <c r="E2492" s="26" t="s">
        <v>16544</v>
      </c>
      <c r="F2492" s="27" t="s">
        <v>18569</v>
      </c>
      <c r="G2492" s="27" t="s">
        <v>18964</v>
      </c>
      <c r="H2492" s="27" t="s">
        <v>18977</v>
      </c>
      <c r="I2492" s="27" t="s">
        <v>19000</v>
      </c>
      <c r="J2492" s="27"/>
      <c r="K2492" s="27"/>
      <c r="L2492" s="27"/>
      <c r="N2492" s="27"/>
      <c r="T2492" s="28" t="str">
        <f>LOOKUP(1,1/(Table1[[#This Row],[Level_0]:[Level 15]]&gt;0),(Table1[[#This Row],[Level_0]:[Level 15]]))</f>
        <v>7340000013 - [SOM Global Tech Ops]</v>
      </c>
      <c r="U2492" s="22">
        <v>2487</v>
      </c>
      <c r="W2492" s="13" t="str">
        <f>LOOKUP(1,1/(Table1[[#This Row],[Level_0]:[Level 15]]&gt;0),(Table1[[#This Row],[Level_0]:[Level 15]]))</f>
        <v>7340000013 - [SOM Global Tech Ops]</v>
      </c>
    </row>
    <row r="2493" spans="1:23" hidden="1" x14ac:dyDescent="0.25">
      <c r="A2493">
        <v>7340000011</v>
      </c>
      <c r="B2493" s="16" t="s">
        <v>20930</v>
      </c>
      <c r="C2493" s="16" t="e">
        <f>VLOOKUP(Table1[[#This Row],[Node]],Parent!A:B,2,0)</f>
        <v>#N/A</v>
      </c>
      <c r="D2493" s="25" t="s">
        <v>19346</v>
      </c>
      <c r="E2493" s="26" t="s">
        <v>16544</v>
      </c>
      <c r="F2493" s="27" t="s">
        <v>18569</v>
      </c>
      <c r="G2493" s="27" t="s">
        <v>18964</v>
      </c>
      <c r="H2493" s="27" t="s">
        <v>18977</v>
      </c>
      <c r="I2493" s="27" t="s">
        <v>19001</v>
      </c>
      <c r="J2493" s="27"/>
      <c r="K2493" s="27"/>
      <c r="L2493" s="27"/>
      <c r="N2493" s="27"/>
      <c r="T2493" s="28" t="str">
        <f>LOOKUP(1,1/(Table1[[#This Row],[Level_0]:[Level 15]]&gt;0),(Table1[[#This Row],[Level_0]:[Level 15]]))</f>
        <v>7340000011 - [SOM Technical Service]</v>
      </c>
      <c r="U2493" s="22">
        <v>2488</v>
      </c>
      <c r="W2493" s="13" t="str">
        <f>LOOKUP(1,1/(Table1[[#This Row],[Level_0]:[Level 15]]&gt;0),(Table1[[#This Row],[Level_0]:[Level 15]]))</f>
        <v>7340000011 - [SOM Technical Service]</v>
      </c>
    </row>
    <row r="2494" spans="1:23" hidden="1" x14ac:dyDescent="0.25">
      <c r="A2494">
        <v>7340000003</v>
      </c>
      <c r="B2494" s="16" t="s">
        <v>20922</v>
      </c>
      <c r="C2494" s="16" t="e">
        <f>VLOOKUP(Table1[[#This Row],[Node]],Parent!A:B,2,0)</f>
        <v>#N/A</v>
      </c>
      <c r="D2494" s="25" t="s">
        <v>19346</v>
      </c>
      <c r="E2494" s="26" t="s">
        <v>16544</v>
      </c>
      <c r="F2494" s="27" t="s">
        <v>18569</v>
      </c>
      <c r="G2494" s="27" t="s">
        <v>18964</v>
      </c>
      <c r="H2494" s="27" t="s">
        <v>18977</v>
      </c>
      <c r="I2494" s="27" t="s">
        <v>19002</v>
      </c>
      <c r="J2494" s="27"/>
      <c r="K2494" s="27"/>
      <c r="L2494" s="27"/>
      <c r="N2494" s="27"/>
      <c r="T2494" s="28" t="str">
        <f>LOOKUP(1,1/(Table1[[#This Row],[Level_0]:[Level 15]]&gt;0),(Table1[[#This Row],[Level_0]:[Level 15]]))</f>
        <v>7340000003 - [SOM PM internal activities]</v>
      </c>
      <c r="U2494" s="22">
        <v>2489</v>
      </c>
      <c r="W2494" s="13" t="str">
        <f>LOOKUP(1,1/(Table1[[#This Row],[Level_0]:[Level 15]]&gt;0),(Table1[[#This Row],[Level_0]:[Level 15]]))</f>
        <v>7340000003 - [SOM PM internal activities]</v>
      </c>
    </row>
    <row r="2495" spans="1:23" hidden="1" x14ac:dyDescent="0.25">
      <c r="A2495">
        <v>7340000002</v>
      </c>
      <c r="B2495" s="16" t="s">
        <v>20921</v>
      </c>
      <c r="C2495" s="16" t="e">
        <f>VLOOKUP(Table1[[#This Row],[Node]],Parent!A:B,2,0)</f>
        <v>#N/A</v>
      </c>
      <c r="D2495" s="25" t="s">
        <v>19346</v>
      </c>
      <c r="E2495" s="26" t="s">
        <v>16544</v>
      </c>
      <c r="F2495" s="27" t="s">
        <v>18569</v>
      </c>
      <c r="G2495" s="27" t="s">
        <v>18964</v>
      </c>
      <c r="H2495" s="27" t="s">
        <v>18977</v>
      </c>
      <c r="I2495" s="27" t="s">
        <v>19003</v>
      </c>
      <c r="J2495" s="27"/>
      <c r="K2495" s="27"/>
      <c r="L2495" s="27"/>
      <c r="N2495" s="27"/>
      <c r="T2495" s="28" t="str">
        <f>LOOKUP(1,1/(Table1[[#This Row],[Level_0]:[Level 15]]&gt;0),(Table1[[#This Row],[Level_0]:[Level 15]]))</f>
        <v>7340000002 - [SOM PM external activities]</v>
      </c>
      <c r="U2495" s="22">
        <v>2490</v>
      </c>
      <c r="W2495" s="13" t="str">
        <f>LOOKUP(1,1/(Table1[[#This Row],[Level_0]:[Level 15]]&gt;0),(Table1[[#This Row],[Level_0]:[Level 15]]))</f>
        <v>7340000002 - [SOM PM external activities]</v>
      </c>
    </row>
    <row r="2496" spans="1:23" hidden="1" x14ac:dyDescent="0.25">
      <c r="A2496">
        <v>7340000001</v>
      </c>
      <c r="B2496" s="16" t="s">
        <v>20920</v>
      </c>
      <c r="C2496" s="16" t="e">
        <f>VLOOKUP(Table1[[#This Row],[Node]],Parent!A:B,2,0)</f>
        <v>#N/A</v>
      </c>
      <c r="D2496" s="25" t="s">
        <v>19346</v>
      </c>
      <c r="E2496" s="26" t="s">
        <v>16544</v>
      </c>
      <c r="F2496" s="27" t="s">
        <v>18569</v>
      </c>
      <c r="G2496" s="27" t="s">
        <v>18964</v>
      </c>
      <c r="H2496" s="27" t="s">
        <v>18977</v>
      </c>
      <c r="I2496" s="27" t="s">
        <v>19004</v>
      </c>
      <c r="J2496" s="27"/>
      <c r="K2496" s="27"/>
      <c r="L2496" s="27"/>
      <c r="N2496" s="27"/>
      <c r="T2496" s="28" t="str">
        <f>LOOKUP(1,1/(Table1[[#This Row],[Level_0]:[Level 15]]&gt;0),(Table1[[#This Row],[Level_0]:[Level 15]]))</f>
        <v>7340000001 - [SOM Continous, preventive maintenance]</v>
      </c>
      <c r="U2496" s="22">
        <v>2491</v>
      </c>
      <c r="W2496" s="13" t="str">
        <f>LOOKUP(1,1/(Table1[[#This Row],[Level_0]:[Level 15]]&gt;0),(Table1[[#This Row],[Level_0]:[Level 15]]))</f>
        <v>7340000001 - [SOM Continous, preventive maintenance]</v>
      </c>
    </row>
    <row r="2497" spans="1:23" hidden="1" x14ac:dyDescent="0.25">
      <c r="A2497">
        <v>7320130001</v>
      </c>
      <c r="B2497" s="16" t="s">
        <v>20855</v>
      </c>
      <c r="C2497" s="16" t="e">
        <f>VLOOKUP(Table1[[#This Row],[Node]],Parent!A:B,2,0)</f>
        <v>#N/A</v>
      </c>
      <c r="D2497" s="25" t="s">
        <v>19346</v>
      </c>
      <c r="E2497" s="26" t="s">
        <v>16544</v>
      </c>
      <c r="F2497" s="27" t="s">
        <v>18569</v>
      </c>
      <c r="G2497" s="27" t="s">
        <v>18964</v>
      </c>
      <c r="H2497" s="27" t="s">
        <v>18977</v>
      </c>
      <c r="I2497" s="27" t="s">
        <v>19005</v>
      </c>
      <c r="J2497" s="27"/>
      <c r="K2497" s="27"/>
      <c r="L2497" s="27"/>
      <c r="N2497" s="27"/>
      <c r="T2497" s="28" t="str">
        <f>LOOKUP(1,1/(Table1[[#This Row],[Level_0]:[Level 15]]&gt;0),(Table1[[#This Row],[Level_0]:[Level 15]]))</f>
        <v>7320130001 - [AOM CCV Alloc. T-Function prod. MEng.]</v>
      </c>
      <c r="U2497" s="22">
        <v>2492</v>
      </c>
      <c r="W2497" s="13" t="str">
        <f>LOOKUP(1,1/(Table1[[#This Row],[Level_0]:[Level 15]]&gt;0),(Table1[[#This Row],[Level_0]:[Level 15]]))</f>
        <v>7320130001 - [AOM CCV Alloc. T-Function prod. MEng.]</v>
      </c>
    </row>
    <row r="2498" spans="1:23" hidden="1" x14ac:dyDescent="0.25">
      <c r="A2498">
        <v>7320110001</v>
      </c>
      <c r="B2498" s="16" t="s">
        <v>20835</v>
      </c>
      <c r="C2498" s="16" t="e">
        <f>VLOOKUP(Table1[[#This Row],[Node]],Parent!A:B,2,0)</f>
        <v>#N/A</v>
      </c>
      <c r="D2498" s="25" t="s">
        <v>19346</v>
      </c>
      <c r="E2498" s="26" t="s">
        <v>16544</v>
      </c>
      <c r="F2498" s="27" t="s">
        <v>18569</v>
      </c>
      <c r="G2498" s="27" t="s">
        <v>18964</v>
      </c>
      <c r="H2498" s="27" t="s">
        <v>18977</v>
      </c>
      <c r="I2498" s="27" t="s">
        <v>19006</v>
      </c>
      <c r="J2498" s="27"/>
      <c r="K2498" s="27"/>
      <c r="L2498" s="27"/>
      <c r="N2498" s="27"/>
      <c r="T2498" s="28" t="str">
        <f>LOOKUP(1,1/(Table1[[#This Row],[Level_0]:[Level 15]]&gt;0),(Table1[[#This Row],[Level_0]:[Level 15]]))</f>
        <v>7320110001 - [AOM Techn. Service Costs (Comp. Split)]</v>
      </c>
      <c r="U2498" s="22">
        <v>2493</v>
      </c>
      <c r="W2498" s="13" t="str">
        <f>LOOKUP(1,1/(Table1[[#This Row],[Level_0]:[Level 15]]&gt;0),(Table1[[#This Row],[Level_0]:[Level 15]]))</f>
        <v>7320110001 - [AOM Techn. Service Costs (Comp. Split)]</v>
      </c>
    </row>
    <row r="2499" spans="1:23" hidden="1" x14ac:dyDescent="0.25">
      <c r="A2499">
        <v>7301130013</v>
      </c>
      <c r="B2499" s="16" t="s">
        <v>20787</v>
      </c>
      <c r="C2499" s="16" t="e">
        <f>VLOOKUP(Table1[[#This Row],[Node]],Parent!A:B,2,0)</f>
        <v>#N/A</v>
      </c>
      <c r="D2499" s="25" t="s">
        <v>19346</v>
      </c>
      <c r="E2499" s="26" t="s">
        <v>16544</v>
      </c>
      <c r="F2499" s="27" t="s">
        <v>18569</v>
      </c>
      <c r="G2499" s="27" t="s">
        <v>18964</v>
      </c>
      <c r="H2499" s="27" t="s">
        <v>18977</v>
      </c>
      <c r="I2499" s="27" t="s">
        <v>19007</v>
      </c>
      <c r="J2499" s="27"/>
      <c r="K2499" s="27"/>
      <c r="L2499" s="27"/>
      <c r="N2499" s="27"/>
      <c r="T2499" s="28" t="str">
        <f>LOOKUP(1,1/(Table1[[#This Row],[Level_0]:[Level 15]]&gt;0),(Table1[[#This Row],[Level_0]:[Level 15]]))</f>
        <v>7301130013 - [DAA - Engineering]</v>
      </c>
      <c r="U2499" s="22">
        <v>2494</v>
      </c>
      <c r="W2499" s="13" t="str">
        <f>LOOKUP(1,1/(Table1[[#This Row],[Level_0]:[Level 15]]&gt;0),(Table1[[#This Row],[Level_0]:[Level 15]]))</f>
        <v>7301130013 - [DAA - Engineering]</v>
      </c>
    </row>
    <row r="2500" spans="1:23" hidden="1" x14ac:dyDescent="0.25">
      <c r="A2500">
        <v>7301130012</v>
      </c>
      <c r="B2500" s="16" t="s">
        <v>20786</v>
      </c>
      <c r="C2500" s="16" t="e">
        <f>VLOOKUP(Table1[[#This Row],[Node]],Parent!A:B,2,0)</f>
        <v>#N/A</v>
      </c>
      <c r="D2500" s="25" t="s">
        <v>19346</v>
      </c>
      <c r="E2500" s="26" t="s">
        <v>16544</v>
      </c>
      <c r="F2500" s="27" t="s">
        <v>18569</v>
      </c>
      <c r="G2500" s="27" t="s">
        <v>18964</v>
      </c>
      <c r="H2500" s="27" t="s">
        <v>18977</v>
      </c>
      <c r="I2500" s="27" t="s">
        <v>19008</v>
      </c>
      <c r="J2500" s="27"/>
      <c r="K2500" s="27"/>
      <c r="L2500" s="27"/>
      <c r="N2500" s="27"/>
      <c r="T2500" s="28" t="str">
        <f>LOOKUP(1,1/(Table1[[#This Row],[Level_0]:[Level 15]]&gt;0),(Table1[[#This Row],[Level_0]:[Level 15]]))</f>
        <v>7301130012 - [DAA - Maintenance]</v>
      </c>
      <c r="U2500" s="22">
        <v>2495</v>
      </c>
      <c r="W2500" s="13" t="str">
        <f>LOOKUP(1,1/(Table1[[#This Row],[Level_0]:[Level 15]]&gt;0),(Table1[[#This Row],[Level_0]:[Level 15]]))</f>
        <v>7301130012 - [DAA - Maintenance]</v>
      </c>
    </row>
    <row r="2501" spans="1:23" hidden="1" x14ac:dyDescent="0.25">
      <c r="A2501">
        <v>7301130011</v>
      </c>
      <c r="B2501" s="16" t="s">
        <v>20785</v>
      </c>
      <c r="C2501" s="16" t="e">
        <f>VLOOKUP(Table1[[#This Row],[Node]],Parent!A:B,2,0)</f>
        <v>#N/A</v>
      </c>
      <c r="D2501" s="25" t="s">
        <v>19346</v>
      </c>
      <c r="E2501" s="26" t="s">
        <v>16544</v>
      </c>
      <c r="F2501" s="27" t="s">
        <v>18569</v>
      </c>
      <c r="G2501" s="27" t="s">
        <v>18964</v>
      </c>
      <c r="H2501" s="27" t="s">
        <v>18977</v>
      </c>
      <c r="I2501" s="27" t="s">
        <v>19009</v>
      </c>
      <c r="J2501" s="27"/>
      <c r="K2501" s="27"/>
      <c r="L2501" s="27"/>
      <c r="N2501" s="27"/>
      <c r="T2501" s="28" t="str">
        <f>LOOKUP(1,1/(Table1[[#This Row],[Level_0]:[Level 15]]&gt;0),(Table1[[#This Row],[Level_0]:[Level 15]]))</f>
        <v>7301130011 - [DAA - Plan Major Repair]</v>
      </c>
      <c r="U2501" s="22">
        <v>2496</v>
      </c>
      <c r="W2501" s="13" t="str">
        <f>LOOKUP(1,1/(Table1[[#This Row],[Level_0]:[Level 15]]&gt;0),(Table1[[#This Row],[Level_0]:[Level 15]]))</f>
        <v>7301130011 - [DAA - Plan Major Repair]</v>
      </c>
    </row>
    <row r="2502" spans="1:23" hidden="1" x14ac:dyDescent="0.25">
      <c r="A2502">
        <v>7301130010</v>
      </c>
      <c r="B2502" s="16" t="s">
        <v>20784</v>
      </c>
      <c r="C2502" s="16" t="e">
        <f>VLOOKUP(Table1[[#This Row],[Node]],Parent!A:B,2,0)</f>
        <v>#N/A</v>
      </c>
      <c r="D2502" s="25" t="s">
        <v>19346</v>
      </c>
      <c r="E2502" s="26" t="s">
        <v>16544</v>
      </c>
      <c r="F2502" s="27" t="s">
        <v>18569</v>
      </c>
      <c r="G2502" s="27" t="s">
        <v>18964</v>
      </c>
      <c r="H2502" s="27" t="s">
        <v>18977</v>
      </c>
      <c r="I2502" s="27" t="s">
        <v>19010</v>
      </c>
      <c r="J2502" s="27"/>
      <c r="K2502" s="27"/>
      <c r="L2502" s="27"/>
      <c r="N2502" s="27"/>
      <c r="T2502" s="28" t="str">
        <f>LOOKUP(1,1/(Table1[[#This Row],[Level_0]:[Level 15]]&gt;0),(Table1[[#This Row],[Level_0]:[Level 15]]))</f>
        <v>7301130010 - [DAA - overtime WTU]</v>
      </c>
      <c r="U2502" s="22">
        <v>2497</v>
      </c>
      <c r="W2502" s="13" t="str">
        <f>LOOKUP(1,1/(Table1[[#This Row],[Level_0]:[Level 15]]&gt;0),(Table1[[#This Row],[Level_0]:[Level 15]]))</f>
        <v>7301130010 - [DAA - overtime WTU]</v>
      </c>
    </row>
    <row r="2503" spans="1:23" hidden="1" x14ac:dyDescent="0.25">
      <c r="A2503">
        <v>7301130009</v>
      </c>
      <c r="B2503" s="16" t="s">
        <v>20783</v>
      </c>
      <c r="C2503" s="16" t="e">
        <f>VLOOKUP(Table1[[#This Row],[Node]],Parent!A:B,2,0)</f>
        <v>#N/A</v>
      </c>
      <c r="D2503" s="25" t="s">
        <v>19346</v>
      </c>
      <c r="E2503" s="26" t="s">
        <v>16544</v>
      </c>
      <c r="F2503" s="27" t="s">
        <v>18569</v>
      </c>
      <c r="G2503" s="27" t="s">
        <v>18964</v>
      </c>
      <c r="H2503" s="27" t="s">
        <v>18977</v>
      </c>
      <c r="I2503" s="27" t="s">
        <v>19011</v>
      </c>
      <c r="J2503" s="27"/>
      <c r="K2503" s="27"/>
      <c r="L2503" s="27"/>
      <c r="N2503" s="27"/>
      <c r="T2503" s="28" t="str">
        <f>LOOKUP(1,1/(Table1[[#This Row],[Level_0]:[Level 15]]&gt;0),(Table1[[#This Row],[Level_0]:[Level 15]]))</f>
        <v>7301130009 - [DAA - overtime WST]</v>
      </c>
      <c r="U2503" s="22">
        <v>2498</v>
      </c>
      <c r="W2503" s="13" t="str">
        <f>LOOKUP(1,1/(Table1[[#This Row],[Level_0]:[Level 15]]&gt;0),(Table1[[#This Row],[Level_0]:[Level 15]]))</f>
        <v>7301130009 - [DAA - overtime WST]</v>
      </c>
    </row>
    <row r="2504" spans="1:23" hidden="1" x14ac:dyDescent="0.25">
      <c r="A2504">
        <v>7301130008</v>
      </c>
      <c r="B2504" s="16" t="s">
        <v>20782</v>
      </c>
      <c r="C2504" s="16" t="e">
        <f>VLOOKUP(Table1[[#This Row],[Node]],Parent!A:B,2,0)</f>
        <v>#N/A</v>
      </c>
      <c r="D2504" s="25" t="s">
        <v>19346</v>
      </c>
      <c r="E2504" s="26" t="s">
        <v>16544</v>
      </c>
      <c r="F2504" s="27" t="s">
        <v>18569</v>
      </c>
      <c r="G2504" s="27" t="s">
        <v>18964</v>
      </c>
      <c r="H2504" s="27" t="s">
        <v>18977</v>
      </c>
      <c r="I2504" s="27" t="s">
        <v>19012</v>
      </c>
      <c r="J2504" s="27"/>
      <c r="K2504" s="27"/>
      <c r="L2504" s="27"/>
      <c r="N2504" s="27"/>
      <c r="T2504" s="28" t="str">
        <f>LOOKUP(1,1/(Table1[[#This Row],[Level_0]:[Level 15]]&gt;0),(Table1[[#This Row],[Level_0]:[Level 15]]))</f>
        <v>7301130008 - [DAA - Man Machine MM1]</v>
      </c>
      <c r="U2504" s="22">
        <v>2499</v>
      </c>
      <c r="W2504" s="13" t="str">
        <f>LOOKUP(1,1/(Table1[[#This Row],[Level_0]:[Level 15]]&gt;0),(Table1[[#This Row],[Level_0]:[Level 15]]))</f>
        <v>7301130008 - [DAA - Man Machine MM1]</v>
      </c>
    </row>
    <row r="2505" spans="1:23" hidden="1" x14ac:dyDescent="0.25">
      <c r="A2505">
        <v>7301130006</v>
      </c>
      <c r="B2505" s="16" t="s">
        <v>20780</v>
      </c>
      <c r="C2505" s="16" t="e">
        <f>VLOOKUP(Table1[[#This Row],[Node]],Parent!A:B,2,0)</f>
        <v>#N/A</v>
      </c>
      <c r="D2505" s="25" t="s">
        <v>19346</v>
      </c>
      <c r="E2505" s="26" t="s">
        <v>16544</v>
      </c>
      <c r="F2505" s="27" t="s">
        <v>18569</v>
      </c>
      <c r="G2505" s="27" t="s">
        <v>18964</v>
      </c>
      <c r="H2505" s="27" t="s">
        <v>18977</v>
      </c>
      <c r="I2505" s="27" t="s">
        <v>19013</v>
      </c>
      <c r="J2505" s="27"/>
      <c r="K2505" s="27"/>
      <c r="L2505" s="27"/>
      <c r="N2505" s="27"/>
      <c r="T2505" s="28" t="str">
        <f>LOOKUP(1,1/(Table1[[#This Row],[Level_0]:[Level 15]]&gt;0),(Table1[[#This Row],[Level_0]:[Level 15]]))</f>
        <v>7301130006 - [DAA - Tech OH]</v>
      </c>
      <c r="U2505" s="22">
        <v>2500</v>
      </c>
      <c r="W2505" s="13" t="str">
        <f>LOOKUP(1,1/(Table1[[#This Row],[Level_0]:[Level 15]]&gt;0),(Table1[[#This Row],[Level_0]:[Level 15]]))</f>
        <v>7301130006 - [DAA - Tech OH]</v>
      </c>
    </row>
    <row r="2506" spans="1:23" hidden="1" x14ac:dyDescent="0.25">
      <c r="A2506">
        <v>7301130005</v>
      </c>
      <c r="B2506" s="16" t="s">
        <v>20779</v>
      </c>
      <c r="C2506" s="16" t="e">
        <f>VLOOKUP(Table1[[#This Row],[Node]],Parent!A:B,2,0)</f>
        <v>#N/A</v>
      </c>
      <c r="D2506" s="25" t="s">
        <v>19346</v>
      </c>
      <c r="E2506" s="26" t="s">
        <v>16544</v>
      </c>
      <c r="F2506" s="27" t="s">
        <v>18569</v>
      </c>
      <c r="G2506" s="27" t="s">
        <v>18964</v>
      </c>
      <c r="H2506" s="27" t="s">
        <v>18977</v>
      </c>
      <c r="I2506" s="27" t="s">
        <v>19014</v>
      </c>
      <c r="J2506" s="27"/>
      <c r="K2506" s="27"/>
      <c r="L2506" s="27"/>
      <c r="N2506" s="27"/>
      <c r="T2506" s="28" t="str">
        <f>LOOKUP(1,1/(Table1[[#This Row],[Level_0]:[Level 15]]&gt;0),(Table1[[#This Row],[Level_0]:[Level 15]]))</f>
        <v>7301130005 - [DAA Technician  Services (internal)]</v>
      </c>
      <c r="U2506" s="22">
        <v>2501</v>
      </c>
      <c r="W2506" s="13" t="str">
        <f>LOOKUP(1,1/(Table1[[#This Row],[Level_0]:[Level 15]]&gt;0),(Table1[[#This Row],[Level_0]:[Level 15]]))</f>
        <v>7301130005 - [DAA Technician  Services (internal)]</v>
      </c>
    </row>
    <row r="2507" spans="1:23" hidden="1" x14ac:dyDescent="0.25">
      <c r="A2507">
        <v>7301130004</v>
      </c>
      <c r="B2507" s="16" t="s">
        <v>20778</v>
      </c>
      <c r="C2507" s="16" t="e">
        <f>VLOOKUP(Table1[[#This Row],[Node]],Parent!A:B,2,0)</f>
        <v>#N/A</v>
      </c>
      <c r="D2507" s="25" t="s">
        <v>19346</v>
      </c>
      <c r="E2507" s="26" t="s">
        <v>16544</v>
      </c>
      <c r="F2507" s="27" t="s">
        <v>18569</v>
      </c>
      <c r="G2507" s="27" t="s">
        <v>18964</v>
      </c>
      <c r="H2507" s="27" t="s">
        <v>18977</v>
      </c>
      <c r="I2507" s="27" t="s">
        <v>19015</v>
      </c>
      <c r="J2507" s="27"/>
      <c r="K2507" s="27"/>
      <c r="L2507" s="27"/>
      <c r="N2507" s="27"/>
      <c r="T2507" s="28" t="str">
        <f>LOOKUP(1,1/(Table1[[#This Row],[Level_0]:[Level 15]]&gt;0),(Table1[[#This Row],[Level_0]:[Level 15]]))</f>
        <v>7301130004 - [DAA Technician  Services (external)]</v>
      </c>
      <c r="U2507" s="22">
        <v>2502</v>
      </c>
      <c r="W2507" s="13" t="str">
        <f>LOOKUP(1,1/(Table1[[#This Row],[Level_0]:[Level 15]]&gt;0),(Table1[[#This Row],[Level_0]:[Level 15]]))</f>
        <v>7301130004 - [DAA Technician  Services (external)]</v>
      </c>
    </row>
    <row r="2508" spans="1:23" hidden="1" x14ac:dyDescent="0.25">
      <c r="A2508">
        <v>7301130003</v>
      </c>
      <c r="B2508" s="16" t="s">
        <v>20777</v>
      </c>
      <c r="C2508" s="16" t="e">
        <f>VLOOKUP(Table1[[#This Row],[Node]],Parent!A:B,2,0)</f>
        <v>#N/A</v>
      </c>
      <c r="D2508" s="25" t="s">
        <v>19346</v>
      </c>
      <c r="E2508" s="26" t="s">
        <v>16544</v>
      </c>
      <c r="F2508" s="27" t="s">
        <v>18569</v>
      </c>
      <c r="G2508" s="27" t="s">
        <v>18964</v>
      </c>
      <c r="H2508" s="27" t="s">
        <v>18977</v>
      </c>
      <c r="I2508" s="27" t="s">
        <v>19016</v>
      </c>
      <c r="J2508" s="27"/>
      <c r="K2508" s="27"/>
      <c r="L2508" s="27"/>
      <c r="N2508" s="27"/>
      <c r="T2508" s="28" t="str">
        <f>LOOKUP(1,1/(Table1[[#This Row],[Level_0]:[Level 15]]&gt;0),(Table1[[#This Row],[Level_0]:[Level 15]]))</f>
        <v>7301130003 - [DAA Service Pauschale]</v>
      </c>
      <c r="U2508" s="22">
        <v>2503</v>
      </c>
      <c r="W2508" s="13" t="str">
        <f>LOOKUP(1,1/(Table1[[#This Row],[Level_0]:[Level 15]]&gt;0),(Table1[[#This Row],[Level_0]:[Level 15]]))</f>
        <v>7301130003 - [DAA Service Pauschale]</v>
      </c>
    </row>
    <row r="2509" spans="1:23" hidden="1" x14ac:dyDescent="0.25">
      <c r="A2509">
        <v>7301130002</v>
      </c>
      <c r="B2509" s="16" t="s">
        <v>20776</v>
      </c>
      <c r="C2509" s="16" t="e">
        <f>VLOOKUP(Table1[[#This Row],[Node]],Parent!A:B,2,0)</f>
        <v>#N/A</v>
      </c>
      <c r="D2509" s="25" t="s">
        <v>19346</v>
      </c>
      <c r="E2509" s="26" t="s">
        <v>16544</v>
      </c>
      <c r="F2509" s="27" t="s">
        <v>18569</v>
      </c>
      <c r="G2509" s="27" t="s">
        <v>18964</v>
      </c>
      <c r="H2509" s="27" t="s">
        <v>18977</v>
      </c>
      <c r="I2509" s="27" t="s">
        <v>19017</v>
      </c>
      <c r="J2509" s="27"/>
      <c r="K2509" s="27"/>
      <c r="L2509" s="27"/>
      <c r="N2509" s="27"/>
      <c r="T2509" s="28" t="str">
        <f>LOOKUP(1,1/(Table1[[#This Row],[Level_0]:[Level 15]]&gt;0),(Table1[[#This Row],[Level_0]:[Level 15]]))</f>
        <v>7301130002 - [DAA Engineering / Maintenance Services]</v>
      </c>
      <c r="U2509" s="22">
        <v>2504</v>
      </c>
      <c r="W2509" s="13" t="str">
        <f>LOOKUP(1,1/(Table1[[#This Row],[Level_0]:[Level 15]]&gt;0),(Table1[[#This Row],[Level_0]:[Level 15]]))</f>
        <v>7301130002 - [DAA Engineering / Maintenance Services]</v>
      </c>
    </row>
    <row r="2510" spans="1:23" hidden="1" x14ac:dyDescent="0.25">
      <c r="A2510">
        <v>7301130001</v>
      </c>
      <c r="B2510" s="16" t="s">
        <v>20775</v>
      </c>
      <c r="C2510" s="16" t="e">
        <f>VLOOKUP(Table1[[#This Row],[Node]],Parent!A:B,2,0)</f>
        <v>#N/A</v>
      </c>
      <c r="D2510" s="25" t="s">
        <v>19346</v>
      </c>
      <c r="E2510" s="26" t="s">
        <v>16544</v>
      </c>
      <c r="F2510" s="27" t="s">
        <v>18569</v>
      </c>
      <c r="G2510" s="27" t="s">
        <v>18964</v>
      </c>
      <c r="H2510" s="27" t="s">
        <v>18977</v>
      </c>
      <c r="I2510" s="27" t="s">
        <v>19018</v>
      </c>
      <c r="J2510" s="27"/>
      <c r="K2510" s="27"/>
      <c r="L2510" s="27"/>
      <c r="N2510" s="27"/>
      <c r="T2510" s="28" t="str">
        <f>LOOKUP(1,1/(Table1[[#This Row],[Level_0]:[Level 15]]&gt;0),(Table1[[#This Row],[Level_0]:[Level 15]]))</f>
        <v>7301130001 - [DAA Engineering  Services]</v>
      </c>
      <c r="U2510" s="22">
        <v>2505</v>
      </c>
      <c r="W2510" s="13" t="str">
        <f>LOOKUP(1,1/(Table1[[#This Row],[Level_0]:[Level 15]]&gt;0),(Table1[[#This Row],[Level_0]:[Level 15]]))</f>
        <v>7301130001 - [DAA Engineering  Services]</v>
      </c>
    </row>
    <row r="2511" spans="1:23" hidden="1" x14ac:dyDescent="0.25">
      <c r="A2511">
        <v>5773090000</v>
      </c>
      <c r="B2511" s="16" t="s">
        <v>20477</v>
      </c>
      <c r="C2511" s="16" t="e">
        <f>VLOOKUP(Table1[[#This Row],[Node]],Parent!A:B,2,0)</f>
        <v>#N/A</v>
      </c>
      <c r="D2511" s="25" t="s">
        <v>19346</v>
      </c>
      <c r="E2511" s="26" t="s">
        <v>16544</v>
      </c>
      <c r="F2511" s="27" t="s">
        <v>18569</v>
      </c>
      <c r="G2511" s="27" t="s">
        <v>18964</v>
      </c>
      <c r="H2511" s="27" t="s">
        <v>18977</v>
      </c>
      <c r="I2511" s="27" t="s">
        <v>19019</v>
      </c>
      <c r="J2511" s="27"/>
      <c r="K2511" s="27"/>
      <c r="L2511" s="27"/>
      <c r="N2511" s="27"/>
      <c r="T2511" s="28" t="str">
        <f>LOOKUP(1,1/(Table1[[#This Row],[Level_0]:[Level 15]]&gt;0),(Table1[[#This Row],[Level_0]:[Level 15]]))</f>
        <v>5773090000 - [IC Exp - SMS - PM Reimbursement]</v>
      </c>
      <c r="U2511" s="22">
        <v>2506</v>
      </c>
      <c r="W2511" s="13" t="str">
        <f>LOOKUP(1,1/(Table1[[#This Row],[Level_0]:[Level 15]]&gt;0),(Table1[[#This Row],[Level_0]:[Level 15]]))</f>
        <v>5773090000 - [IC Exp - SMS - PM Reimbursement]</v>
      </c>
    </row>
    <row r="2512" spans="1:23" hidden="1" x14ac:dyDescent="0.25">
      <c r="A2512">
        <v>5773030000</v>
      </c>
      <c r="B2512" s="16" t="s">
        <v>20471</v>
      </c>
      <c r="C2512" s="16" t="e">
        <f>VLOOKUP(Table1[[#This Row],[Node]],Parent!A:B,2,0)</f>
        <v>#N/A</v>
      </c>
      <c r="D2512" s="25" t="s">
        <v>19346</v>
      </c>
      <c r="E2512" s="26" t="s">
        <v>16544</v>
      </c>
      <c r="F2512" s="27" t="s">
        <v>18569</v>
      </c>
      <c r="G2512" s="27" t="s">
        <v>18964</v>
      </c>
      <c r="H2512" s="27" t="s">
        <v>18977</v>
      </c>
      <c r="I2512" s="27" t="s">
        <v>19020</v>
      </c>
      <c r="J2512" s="27"/>
      <c r="K2512" s="27"/>
      <c r="L2512" s="27"/>
      <c r="N2512" s="27"/>
      <c r="T2512" s="28" t="str">
        <f>LOOKUP(1,1/(Table1[[#This Row],[Level_0]:[Level 15]]&gt;0),(Table1[[#This Row],[Level_0]:[Level 15]]))</f>
        <v>5773030000 - [IC Exp - SMS - Maint. Other Costs]</v>
      </c>
      <c r="U2512" s="22">
        <v>2507</v>
      </c>
      <c r="W2512" s="13" t="str">
        <f>LOOKUP(1,1/(Table1[[#This Row],[Level_0]:[Level 15]]&gt;0),(Table1[[#This Row],[Level_0]:[Level 15]]))</f>
        <v>5773030000 - [IC Exp - SMS - Maint. Other Costs]</v>
      </c>
    </row>
    <row r="2513" spans="1:23" hidden="1" x14ac:dyDescent="0.25">
      <c r="A2513">
        <v>5773010000</v>
      </c>
      <c r="B2513" s="16" t="s">
        <v>20469</v>
      </c>
      <c r="C2513" s="16" t="e">
        <f>VLOOKUP(Table1[[#This Row],[Node]],Parent!A:B,2,0)</f>
        <v>#N/A</v>
      </c>
      <c r="D2513" s="25" t="s">
        <v>19346</v>
      </c>
      <c r="E2513" s="26" t="s">
        <v>16544</v>
      </c>
      <c r="F2513" s="27" t="s">
        <v>18569</v>
      </c>
      <c r="G2513" s="27" t="s">
        <v>18964</v>
      </c>
      <c r="H2513" s="27" t="s">
        <v>18977</v>
      </c>
      <c r="I2513" s="27" t="s">
        <v>19021</v>
      </c>
      <c r="J2513" s="27"/>
      <c r="K2513" s="27"/>
      <c r="L2513" s="27"/>
      <c r="N2513" s="27"/>
      <c r="T2513" s="28" t="str">
        <f>LOOKUP(1,1/(Table1[[#This Row],[Level_0]:[Level 15]]&gt;0),(Table1[[#This Row],[Level_0]:[Level 15]]))</f>
        <v>5773010000 - [IC Exp - SMS - Maint. Int.]</v>
      </c>
      <c r="U2513" s="22">
        <v>2508</v>
      </c>
      <c r="W2513" s="13" t="str">
        <f>LOOKUP(1,1/(Table1[[#This Row],[Level_0]:[Level 15]]&gt;0),(Table1[[#This Row],[Level_0]:[Level 15]]))</f>
        <v>5773010000 - [IC Exp - SMS - Maint. Int.]</v>
      </c>
    </row>
    <row r="2514" spans="1:23" hidden="1" x14ac:dyDescent="0.25">
      <c r="A2514">
        <v>5203310000</v>
      </c>
      <c r="B2514" s="16" t="s">
        <v>20114</v>
      </c>
      <c r="C2514" s="16" t="e">
        <f>VLOOKUP(Table1[[#This Row],[Node]],Parent!A:B,2,0)</f>
        <v>#N/A</v>
      </c>
      <c r="D2514" s="25" t="s">
        <v>19346</v>
      </c>
      <c r="E2514" s="26" t="s">
        <v>16544</v>
      </c>
      <c r="F2514" s="27" t="s">
        <v>18569</v>
      </c>
      <c r="G2514" s="27" t="s">
        <v>18964</v>
      </c>
      <c r="H2514" s="27" t="s">
        <v>18977</v>
      </c>
      <c r="I2514" s="27" t="s">
        <v>19022</v>
      </c>
      <c r="J2514" s="27"/>
      <c r="K2514" s="27"/>
      <c r="L2514" s="27"/>
      <c r="N2514" s="27"/>
      <c r="T2514" s="28" t="str">
        <f>LOOKUP(1,1/(Table1[[#This Row],[Level_0]:[Level 15]]&gt;0),(Table1[[#This Row],[Level_0]:[Level 15]]))</f>
        <v>5203310000 - [IC Exp - SMS - Eng Plant Maintenance]</v>
      </c>
      <c r="U2514" s="22">
        <v>2509</v>
      </c>
      <c r="W2514" s="13" t="str">
        <f>LOOKUP(1,1/(Table1[[#This Row],[Level_0]:[Level 15]]&gt;0),(Table1[[#This Row],[Level_0]:[Level 15]]))</f>
        <v>5203310000 - [IC Exp - SMS - Eng Plant Maintenance]</v>
      </c>
    </row>
    <row r="2515" spans="1:23" hidden="1" x14ac:dyDescent="0.25">
      <c r="A2515">
        <v>5773000000</v>
      </c>
      <c r="B2515" s="16" t="s">
        <v>20468</v>
      </c>
      <c r="C2515" s="16" t="e">
        <f>VLOOKUP(Table1[[#This Row],[Node]],Parent!A:B,2,0)</f>
        <v>#N/A</v>
      </c>
      <c r="D2515" s="25" t="s">
        <v>19346</v>
      </c>
      <c r="E2515" s="26" t="s">
        <v>16544</v>
      </c>
      <c r="F2515" s="27" t="s">
        <v>18569</v>
      </c>
      <c r="G2515" s="27" t="s">
        <v>18964</v>
      </c>
      <c r="H2515" s="27" t="s">
        <v>18977</v>
      </c>
      <c r="I2515" s="27" t="s">
        <v>19023</v>
      </c>
      <c r="J2515" s="27"/>
      <c r="K2515" s="27"/>
      <c r="L2515" s="27"/>
      <c r="N2515" s="27"/>
      <c r="T2515" s="28" t="str">
        <f>LOOKUP(1,1/(Table1[[#This Row],[Level_0]:[Level 15]]&gt;0),(Table1[[#This Row],[Level_0]:[Level 15]]))</f>
        <v>5773000000 - [IC Exp - SMS - Maint. Ext.]</v>
      </c>
      <c r="U2515" s="22">
        <v>2510</v>
      </c>
      <c r="W2515" s="13" t="str">
        <f>LOOKUP(1,1/(Table1[[#This Row],[Level_0]:[Level 15]]&gt;0),(Table1[[#This Row],[Level_0]:[Level 15]]))</f>
        <v>5773000000 - [IC Exp - SMS - Maint. Ext.]</v>
      </c>
    </row>
    <row r="2516" spans="1:23" hidden="1" x14ac:dyDescent="0.25">
      <c r="A2516">
        <v>5225410000</v>
      </c>
      <c r="B2516" s="16" t="s">
        <v>20195</v>
      </c>
      <c r="C2516" s="16" t="e">
        <f>VLOOKUP(Table1[[#This Row],[Node]],Parent!A:B,2,0)</f>
        <v>#N/A</v>
      </c>
      <c r="D2516" s="25" t="s">
        <v>19346</v>
      </c>
      <c r="E2516" s="26" t="s">
        <v>16544</v>
      </c>
      <c r="F2516" s="27" t="s">
        <v>18569</v>
      </c>
      <c r="G2516" s="27" t="s">
        <v>18964</v>
      </c>
      <c r="H2516" s="27" t="s">
        <v>18977</v>
      </c>
      <c r="I2516" s="27" t="s">
        <v>19024</v>
      </c>
      <c r="J2516" s="27"/>
      <c r="K2516" s="27"/>
      <c r="L2516" s="27"/>
      <c r="N2516" s="27"/>
      <c r="T2516" s="28" t="str">
        <f>LOOKUP(1,1/(Table1[[#This Row],[Level_0]:[Level 15]]&gt;0),(Table1[[#This Row],[Level_0]:[Level 15]]))</f>
        <v>5225410000 - [IC Exp - DIV - Assembly]</v>
      </c>
      <c r="U2516" s="22">
        <v>2511</v>
      </c>
      <c r="W2516" s="13" t="str">
        <f>LOOKUP(1,1/(Table1[[#This Row],[Level_0]:[Level 15]]&gt;0),(Table1[[#This Row],[Level_0]:[Level 15]]))</f>
        <v>5225410000 - [IC Exp - DIV - Assembly]</v>
      </c>
    </row>
    <row r="2517" spans="1:23" hidden="1" x14ac:dyDescent="0.25">
      <c r="A2517">
        <v>5225210000</v>
      </c>
      <c r="B2517" s="16" t="s">
        <v>20193</v>
      </c>
      <c r="C2517" s="16" t="e">
        <f>VLOOKUP(Table1[[#This Row],[Node]],Parent!A:B,2,0)</f>
        <v>#N/A</v>
      </c>
      <c r="D2517" s="25" t="s">
        <v>19346</v>
      </c>
      <c r="E2517" s="26" t="s">
        <v>16544</v>
      </c>
      <c r="F2517" s="27" t="s">
        <v>18569</v>
      </c>
      <c r="G2517" s="27" t="s">
        <v>18964</v>
      </c>
      <c r="H2517" s="27" t="s">
        <v>18977</v>
      </c>
      <c r="I2517" s="27" t="s">
        <v>19025</v>
      </c>
      <c r="J2517" s="27"/>
      <c r="K2517" s="27"/>
      <c r="L2517" s="27"/>
      <c r="N2517" s="27"/>
      <c r="T2517" s="28" t="str">
        <f>LOOKUP(1,1/(Table1[[#This Row],[Level_0]:[Level 15]]&gt;0),(Table1[[#This Row],[Level_0]:[Level 15]]))</f>
        <v>5225210000 - [IC Exp - DIV - Plant Maintenance]</v>
      </c>
      <c r="U2517" s="22">
        <v>2512</v>
      </c>
      <c r="W2517" s="13" t="str">
        <f>LOOKUP(1,1/(Table1[[#This Row],[Level_0]:[Level 15]]&gt;0),(Table1[[#This Row],[Level_0]:[Level 15]]))</f>
        <v>5225210000 - [IC Exp - DIV - Plant Maintenance]</v>
      </c>
    </row>
    <row r="2518" spans="1:23" hidden="1" x14ac:dyDescent="0.25">
      <c r="A2518">
        <v>5225010000</v>
      </c>
      <c r="B2518" s="16" t="s">
        <v>20191</v>
      </c>
      <c r="C2518" s="16" t="e">
        <f>VLOOKUP(Table1[[#This Row],[Node]],Parent!A:B,2,0)</f>
        <v>#N/A</v>
      </c>
      <c r="D2518" s="25" t="s">
        <v>19346</v>
      </c>
      <c r="E2518" s="26" t="s">
        <v>16544</v>
      </c>
      <c r="F2518" s="27" t="s">
        <v>18569</v>
      </c>
      <c r="G2518" s="27" t="s">
        <v>18964</v>
      </c>
      <c r="H2518" s="27" t="s">
        <v>18977</v>
      </c>
      <c r="I2518" s="27" t="s">
        <v>19026</v>
      </c>
      <c r="J2518" s="27"/>
      <c r="K2518" s="27"/>
      <c r="L2518" s="27"/>
      <c r="N2518" s="27"/>
      <c r="T2518" s="28" t="str">
        <f>LOOKUP(1,1/(Table1[[#This Row],[Level_0]:[Level 15]]&gt;0),(Table1[[#This Row],[Level_0]:[Level 15]]))</f>
        <v>5225010000 - [IC Exp - DIV - Engineering]</v>
      </c>
      <c r="U2518" s="22">
        <v>2513</v>
      </c>
      <c r="W2518" s="13" t="str">
        <f>LOOKUP(1,1/(Table1[[#This Row],[Level_0]:[Level 15]]&gt;0),(Table1[[#This Row],[Level_0]:[Level 15]]))</f>
        <v>5225010000 - [IC Exp - DIV - Engineering]</v>
      </c>
    </row>
    <row r="2519" spans="1:23" hidden="1" x14ac:dyDescent="0.25">
      <c r="A2519">
        <v>5223150000</v>
      </c>
      <c r="B2519" s="16" t="s">
        <v>20180</v>
      </c>
      <c r="C2519" s="16" t="e">
        <f>VLOOKUP(Table1[[#This Row],[Node]],Parent!A:B,2,0)</f>
        <v>#N/A</v>
      </c>
      <c r="D2519" s="25" t="s">
        <v>19346</v>
      </c>
      <c r="E2519" s="26" t="s">
        <v>16544</v>
      </c>
      <c r="F2519" s="27" t="s">
        <v>18569</v>
      </c>
      <c r="G2519" s="27" t="s">
        <v>18964</v>
      </c>
      <c r="H2519" s="27" t="s">
        <v>18977</v>
      </c>
      <c r="I2519" s="27" t="s">
        <v>19027</v>
      </c>
      <c r="J2519" s="27"/>
      <c r="K2519" s="27"/>
      <c r="L2519" s="27"/>
      <c r="N2519" s="27"/>
      <c r="T2519" s="28" t="str">
        <f>LOOKUP(1,1/(Table1[[#This Row],[Level_0]:[Level 15]]&gt;0),(Table1[[#This Row],[Level_0]:[Level 15]]))</f>
        <v>5223150000 - [IC Exp - SMS - Work&amp;Contruction Security]</v>
      </c>
      <c r="U2519" s="22">
        <v>2514</v>
      </c>
      <c r="W2519" s="13" t="str">
        <f>LOOKUP(1,1/(Table1[[#This Row],[Level_0]:[Level 15]]&gt;0),(Table1[[#This Row],[Level_0]:[Level 15]]))</f>
        <v>5223150000 - [IC Exp - SMS - Work&amp;Contruction Security]</v>
      </c>
    </row>
    <row r="2520" spans="1:23" hidden="1" x14ac:dyDescent="0.25">
      <c r="A2520">
        <v>5203110000</v>
      </c>
      <c r="B2520" s="16" t="s">
        <v>20112</v>
      </c>
      <c r="C2520" s="16" t="e">
        <f>VLOOKUP(Table1[[#This Row],[Node]],Parent!A:B,2,0)</f>
        <v>#N/A</v>
      </c>
      <c r="D2520" s="25" t="s">
        <v>19346</v>
      </c>
      <c r="E2520" s="26" t="s">
        <v>16544</v>
      </c>
      <c r="F2520" s="27" t="s">
        <v>18569</v>
      </c>
      <c r="G2520" s="27" t="s">
        <v>18964</v>
      </c>
      <c r="H2520" s="27" t="s">
        <v>18977</v>
      </c>
      <c r="I2520" s="27" t="s">
        <v>19028</v>
      </c>
      <c r="J2520" s="27"/>
      <c r="K2520" s="27"/>
      <c r="L2520" s="27"/>
      <c r="N2520" s="27"/>
      <c r="T2520" s="28" t="str">
        <f>LOOKUP(1,1/(Table1[[#This Row],[Level_0]:[Level 15]]&gt;0),(Table1[[#This Row],[Level_0]:[Level 15]]))</f>
        <v>5203110000 - [IC Exp - SMS - Eng Operating Functions]</v>
      </c>
      <c r="U2520" s="22">
        <v>2515</v>
      </c>
      <c r="W2520" s="13" t="str">
        <f>LOOKUP(1,1/(Table1[[#This Row],[Level_0]:[Level 15]]&gt;0),(Table1[[#This Row],[Level_0]:[Level 15]]))</f>
        <v>5203110000 - [IC Exp - SMS - Eng Operating Functions]</v>
      </c>
    </row>
    <row r="2521" spans="1:23" hidden="1" x14ac:dyDescent="0.25">
      <c r="A2521">
        <v>5203210000</v>
      </c>
      <c r="B2521" s="16" t="s">
        <v>20113</v>
      </c>
      <c r="C2521" s="16" t="e">
        <f>VLOOKUP(Table1[[#This Row],[Node]],Parent!A:B,2,0)</f>
        <v>#N/A</v>
      </c>
      <c r="D2521" s="25" t="s">
        <v>19346</v>
      </c>
      <c r="E2521" s="26" t="s">
        <v>16544</v>
      </c>
      <c r="F2521" s="27" t="s">
        <v>18569</v>
      </c>
      <c r="G2521" s="27" t="s">
        <v>18964</v>
      </c>
      <c r="H2521" s="27" t="s">
        <v>18977</v>
      </c>
      <c r="I2521" s="27" t="s">
        <v>19029</v>
      </c>
      <c r="J2521" s="27"/>
      <c r="K2521" s="27"/>
      <c r="L2521" s="27"/>
      <c r="N2521" s="27"/>
      <c r="T2521" s="28" t="str">
        <f>LOOKUP(1,1/(Table1[[#This Row],[Level_0]:[Level 15]]&gt;0),(Table1[[#This Row],[Level_0]:[Level 15]]))</f>
        <v>5203210000 - [IC Exp - SMS - Eng Manufact. f. Maint]</v>
      </c>
      <c r="U2521" s="22">
        <v>2516</v>
      </c>
      <c r="W2521" s="13" t="str">
        <f>LOOKUP(1,1/(Table1[[#This Row],[Level_0]:[Level 15]]&gt;0),(Table1[[#This Row],[Level_0]:[Level 15]]))</f>
        <v>5203210000 - [IC Exp - SMS - Eng Manufact. f. Maint]</v>
      </c>
    </row>
    <row r="2522" spans="1:23" hidden="1" x14ac:dyDescent="0.25">
      <c r="A2522">
        <v>5201210000</v>
      </c>
      <c r="B2522" s="16" t="s">
        <v>20099</v>
      </c>
      <c r="C2522" s="16" t="e">
        <f>VLOOKUP(Table1[[#This Row],[Node]],Parent!A:B,2,0)</f>
        <v>#N/A</v>
      </c>
      <c r="D2522" s="25" t="s">
        <v>19346</v>
      </c>
      <c r="E2522" s="26" t="s">
        <v>16544</v>
      </c>
      <c r="F2522" s="27" t="s">
        <v>18569</v>
      </c>
      <c r="G2522" s="27" t="s">
        <v>18964</v>
      </c>
      <c r="H2522" s="27" t="s">
        <v>18977</v>
      </c>
      <c r="I2522" s="27" t="s">
        <v>19030</v>
      </c>
      <c r="J2522" s="27"/>
      <c r="K2522" s="27"/>
      <c r="L2522" s="27"/>
      <c r="N2522" s="27"/>
      <c r="T2522" s="28" t="str">
        <f>LOOKUP(1,1/(Table1[[#This Row],[Level_0]:[Level 15]]&gt;0),(Table1[[#This Row],[Level_0]:[Level 15]]))</f>
        <v>5201210000 - [IC Exp - SMS - Engineering-Technical Inv]</v>
      </c>
      <c r="U2522" s="22">
        <v>2517</v>
      </c>
      <c r="W2522" s="13" t="str">
        <f>LOOKUP(1,1/(Table1[[#This Row],[Level_0]:[Level 15]]&gt;0),(Table1[[#This Row],[Level_0]:[Level 15]]))</f>
        <v>5201210000 - [IC Exp - SMS - Engineering-Technical Inv]</v>
      </c>
    </row>
    <row r="2523" spans="1:23" hidden="1" x14ac:dyDescent="0.25">
      <c r="A2523">
        <v>5203410000</v>
      </c>
      <c r="B2523" s="16" t="s">
        <v>20115</v>
      </c>
      <c r="C2523" s="16" t="e">
        <f>VLOOKUP(Table1[[#This Row],[Node]],Parent!A:B,2,0)</f>
        <v>#N/A</v>
      </c>
      <c r="D2523" s="25" t="s">
        <v>19346</v>
      </c>
      <c r="E2523" s="26" t="s">
        <v>16544</v>
      </c>
      <c r="F2523" s="27" t="s">
        <v>18569</v>
      </c>
      <c r="G2523" s="27" t="s">
        <v>18964</v>
      </c>
      <c r="H2523" s="27" t="s">
        <v>18977</v>
      </c>
      <c r="I2523" s="27" t="s">
        <v>19031</v>
      </c>
      <c r="J2523" s="27"/>
      <c r="K2523" s="27"/>
      <c r="L2523" s="27"/>
      <c r="N2523" s="27"/>
      <c r="T2523" s="28" t="str">
        <f>LOOKUP(1,1/(Table1[[#This Row],[Level_0]:[Level 15]]&gt;0),(Table1[[#This Row],[Level_0]:[Level 15]]))</f>
        <v>5203410000 - [IC Exp - SMS - Eng Assembly]</v>
      </c>
      <c r="U2523" s="22">
        <v>2518</v>
      </c>
      <c r="W2523" s="13" t="str">
        <f>LOOKUP(1,1/(Table1[[#This Row],[Level_0]:[Level 15]]&gt;0),(Table1[[#This Row],[Level_0]:[Level 15]]))</f>
        <v>5203410000 - [IC Exp - SMS - Eng Assembly]</v>
      </c>
    </row>
    <row r="2524" spans="1:23" hidden="1" x14ac:dyDescent="0.25">
      <c r="A2524">
        <v>5203010000</v>
      </c>
      <c r="B2524" s="16" t="s">
        <v>20111</v>
      </c>
      <c r="C2524" s="16" t="e">
        <f>VLOOKUP(Table1[[#This Row],[Node]],Parent!A:B,2,0)</f>
        <v>#N/A</v>
      </c>
      <c r="D2524" s="25" t="s">
        <v>19346</v>
      </c>
      <c r="E2524" s="26" t="s">
        <v>16544</v>
      </c>
      <c r="F2524" s="27" t="s">
        <v>18569</v>
      </c>
      <c r="G2524" s="27" t="s">
        <v>18964</v>
      </c>
      <c r="H2524" s="27" t="s">
        <v>18977</v>
      </c>
      <c r="I2524" s="27" t="s">
        <v>19032</v>
      </c>
      <c r="J2524" s="27"/>
      <c r="K2524" s="27"/>
      <c r="L2524" s="27"/>
      <c r="N2524" s="27"/>
      <c r="T2524" s="28" t="str">
        <f>LOOKUP(1,1/(Table1[[#This Row],[Level_0]:[Level 15]]&gt;0),(Table1[[#This Row],[Level_0]:[Level 15]]))</f>
        <v>5203010000 - [IC Exp - SMS - Engineering&amp;Techical Serv]</v>
      </c>
      <c r="U2524" s="22">
        <v>2519</v>
      </c>
      <c r="W2524" s="13" t="str">
        <f>LOOKUP(1,1/(Table1[[#This Row],[Level_0]:[Level 15]]&gt;0),(Table1[[#This Row],[Level_0]:[Level 15]]))</f>
        <v>5203010000 - [IC Exp - SMS - Engineering&amp;Techical Serv]</v>
      </c>
    </row>
    <row r="2525" spans="1:23" hidden="1" x14ac:dyDescent="0.25">
      <c r="A2525">
        <v>120103</v>
      </c>
      <c r="B2525" s="16" t="s">
        <v>19401</v>
      </c>
      <c r="C2525" s="16" t="e">
        <f>VLOOKUP(Table1[[#This Row],[Node]],Parent!A:B,2,0)</f>
        <v>#N/A</v>
      </c>
      <c r="D2525" s="25" t="s">
        <v>19346</v>
      </c>
      <c r="E2525" s="26" t="s">
        <v>16544</v>
      </c>
      <c r="F2525" s="27" t="s">
        <v>18569</v>
      </c>
      <c r="G2525" s="27" t="s">
        <v>18964</v>
      </c>
      <c r="H2525" s="27" t="s">
        <v>19033</v>
      </c>
      <c r="I2525" s="27"/>
      <c r="J2525" s="27"/>
      <c r="K2525" s="27"/>
      <c r="L2525" s="27"/>
      <c r="N2525" s="27"/>
      <c r="T2525" s="28" t="str">
        <f>LOOKUP(1,1/(Table1[[#This Row],[Level_0]:[Level 15]]&gt;0),(Table1[[#This Row],[Level_0]:[Level 15]]))</f>
        <v>120103 - [External Maintenance / Technical Service]</v>
      </c>
      <c r="U2525" s="22">
        <v>2520</v>
      </c>
      <c r="W2525" s="13" t="str">
        <f>LOOKUP(1,1/(Table1[[#This Row],[Level_0]:[Level 15]]&gt;0),(Table1[[#This Row],[Level_0]:[Level 15]]))</f>
        <v>120103 - [External Maintenance / Technical Service]</v>
      </c>
    </row>
    <row r="2526" spans="1:23" hidden="1" x14ac:dyDescent="0.25">
      <c r="A2526">
        <v>5209000000</v>
      </c>
      <c r="B2526" s="16" t="s">
        <v>20121</v>
      </c>
      <c r="C2526" s="16" t="e">
        <f>VLOOKUP(Table1[[#This Row],[Node]],Parent!A:B,2,0)</f>
        <v>#N/A</v>
      </c>
      <c r="D2526" s="25" t="s">
        <v>19346</v>
      </c>
      <c r="E2526" s="26" t="s">
        <v>16544</v>
      </c>
      <c r="F2526" s="27" t="s">
        <v>18569</v>
      </c>
      <c r="G2526" s="27" t="s">
        <v>18964</v>
      </c>
      <c r="H2526" s="27" t="s">
        <v>19033</v>
      </c>
      <c r="I2526" s="27" t="s">
        <v>19034</v>
      </c>
      <c r="J2526" s="27"/>
      <c r="K2526" s="27"/>
      <c r="L2526" s="27"/>
      <c r="N2526" s="27"/>
      <c r="T2526" s="28" t="str">
        <f>LOOKUP(1,1/(Table1[[#This Row],[Level_0]:[Level 15]]&gt;0),(Table1[[#This Row],[Level_0]:[Level 15]]))</f>
        <v>5209000000 - [Ext Serv - Oth Exp f. Repair and Mainten]</v>
      </c>
      <c r="U2526" s="22">
        <v>2521</v>
      </c>
      <c r="W2526" s="13" t="str">
        <f>LOOKUP(1,1/(Table1[[#This Row],[Level_0]:[Level 15]]&gt;0),(Table1[[#This Row],[Level_0]:[Level 15]]))</f>
        <v>5209000000 - [Ext Serv - Oth Exp f. Repair and Mainten]</v>
      </c>
    </row>
    <row r="2527" spans="1:23" hidden="1" x14ac:dyDescent="0.25">
      <c r="A2527">
        <v>5200500000</v>
      </c>
      <c r="B2527" s="16" t="s">
        <v>20092</v>
      </c>
      <c r="C2527" s="16" t="e">
        <f>VLOOKUP(Table1[[#This Row],[Node]],Parent!A:B,2,0)</f>
        <v>#N/A</v>
      </c>
      <c r="D2527" s="25" t="s">
        <v>19346</v>
      </c>
      <c r="E2527" s="26" t="s">
        <v>16544</v>
      </c>
      <c r="F2527" s="27" t="s">
        <v>18569</v>
      </c>
      <c r="G2527" s="27" t="s">
        <v>18964</v>
      </c>
      <c r="H2527" s="27" t="s">
        <v>19033</v>
      </c>
      <c r="I2527" s="27" t="s">
        <v>19035</v>
      </c>
      <c r="J2527" s="27"/>
      <c r="K2527" s="27"/>
      <c r="L2527" s="27"/>
      <c r="N2527" s="27"/>
      <c r="T2527" s="28" t="str">
        <f>LOOKUP(1,1/(Table1[[#This Row],[Level_0]:[Level 15]]&gt;0),(Table1[[#This Row],[Level_0]:[Level 15]]))</f>
        <v>5200500000 - [Ext Sv-Infra ProjAcr]</v>
      </c>
      <c r="U2527" s="22">
        <v>2522</v>
      </c>
      <c r="W2527" s="13" t="str">
        <f>LOOKUP(1,1/(Table1[[#This Row],[Level_0]:[Level 15]]&gt;0),(Table1[[#This Row],[Level_0]:[Level 15]]))</f>
        <v>5200500000 - [Ext Sv-Infra ProjAcr]</v>
      </c>
    </row>
    <row r="2528" spans="1:23" hidden="1" x14ac:dyDescent="0.25">
      <c r="A2528">
        <v>5200400000</v>
      </c>
      <c r="B2528" s="16" t="s">
        <v>20090</v>
      </c>
      <c r="C2528" s="16" t="e">
        <f>VLOOKUP(Table1[[#This Row],[Node]],Parent!A:B,2,0)</f>
        <v>#N/A</v>
      </c>
      <c r="D2528" s="25" t="s">
        <v>19346</v>
      </c>
      <c r="E2528" s="26" t="s">
        <v>16544</v>
      </c>
      <c r="F2528" s="27" t="s">
        <v>18569</v>
      </c>
      <c r="G2528" s="27" t="s">
        <v>18964</v>
      </c>
      <c r="H2528" s="27" t="s">
        <v>19033</v>
      </c>
      <c r="I2528" s="27" t="s">
        <v>19036</v>
      </c>
      <c r="J2528" s="27"/>
      <c r="K2528" s="27"/>
      <c r="L2528" s="27"/>
      <c r="N2528" s="27"/>
      <c r="T2528" s="28" t="str">
        <f>LOOKUP(1,1/(Table1[[#This Row],[Level_0]:[Level 15]]&gt;0),(Table1[[#This Row],[Level_0]:[Level 15]]))</f>
        <v>5200400000 - [Ext Serv - Engineering Serv]</v>
      </c>
      <c r="U2528" s="22">
        <v>2523</v>
      </c>
      <c r="W2528" s="13" t="str">
        <f>LOOKUP(1,1/(Table1[[#This Row],[Level_0]:[Level 15]]&gt;0),(Table1[[#This Row],[Level_0]:[Level 15]]))</f>
        <v>5200400000 - [Ext Serv - Engineering Serv]</v>
      </c>
    </row>
    <row r="2529" spans="1:23" hidden="1" x14ac:dyDescent="0.25">
      <c r="A2529">
        <v>5200200000</v>
      </c>
      <c r="B2529" s="16" t="s">
        <v>20088</v>
      </c>
      <c r="C2529" s="16" t="e">
        <f>VLOOKUP(Table1[[#This Row],[Node]],Parent!A:B,2,0)</f>
        <v>#N/A</v>
      </c>
      <c r="D2529" s="25" t="s">
        <v>19346</v>
      </c>
      <c r="E2529" s="26" t="s">
        <v>16544</v>
      </c>
      <c r="F2529" s="27" t="s">
        <v>18569</v>
      </c>
      <c r="G2529" s="27" t="s">
        <v>18964</v>
      </c>
      <c r="H2529" s="27" t="s">
        <v>19033</v>
      </c>
      <c r="I2529" s="27" t="s">
        <v>19037</v>
      </c>
      <c r="J2529" s="27"/>
      <c r="K2529" s="27"/>
      <c r="L2529" s="27"/>
      <c r="N2529" s="27"/>
      <c r="T2529" s="28" t="str">
        <f>LOOKUP(1,1/(Table1[[#This Row],[Level_0]:[Level 15]]&gt;0),(Table1[[#This Row],[Level_0]:[Level 15]]))</f>
        <v>5200200000 - [Ext Serv - Contracted Work]</v>
      </c>
      <c r="U2529" s="22">
        <v>2524</v>
      </c>
      <c r="W2529" s="13" t="str">
        <f>LOOKUP(1,1/(Table1[[#This Row],[Level_0]:[Level 15]]&gt;0),(Table1[[#This Row],[Level_0]:[Level 15]]))</f>
        <v>5200200000 - [Ext Serv - Contracted Work]</v>
      </c>
    </row>
    <row r="2530" spans="1:23" hidden="1" x14ac:dyDescent="0.25">
      <c r="A2530">
        <v>5200000000</v>
      </c>
      <c r="B2530" s="16" t="s">
        <v>20086</v>
      </c>
      <c r="C2530" s="16" t="e">
        <f>VLOOKUP(Table1[[#This Row],[Node]],Parent!A:B,2,0)</f>
        <v>#N/A</v>
      </c>
      <c r="D2530" s="25" t="s">
        <v>19346</v>
      </c>
      <c r="E2530" s="26" t="s">
        <v>16544</v>
      </c>
      <c r="F2530" s="27" t="s">
        <v>18569</v>
      </c>
      <c r="G2530" s="27" t="s">
        <v>18964</v>
      </c>
      <c r="H2530" s="27" t="s">
        <v>19033</v>
      </c>
      <c r="I2530" s="27" t="s">
        <v>19038</v>
      </c>
      <c r="J2530" s="27"/>
      <c r="K2530" s="27"/>
      <c r="L2530" s="27"/>
      <c r="N2530" s="27"/>
      <c r="T2530" s="28" t="str">
        <f>LOOKUP(1,1/(Table1[[#This Row],[Level_0]:[Level 15]]&gt;0),(Table1[[#This Row],[Level_0]:[Level 15]]))</f>
        <v>5200000000 - [Ext Serv - Technical Serv]</v>
      </c>
      <c r="U2530" s="22">
        <v>2525</v>
      </c>
      <c r="W2530" s="13" t="str">
        <f>LOOKUP(1,1/(Table1[[#This Row],[Level_0]:[Level 15]]&gt;0),(Table1[[#This Row],[Level_0]:[Level 15]]))</f>
        <v>5200000000 - [Ext Serv - Technical Serv]</v>
      </c>
    </row>
    <row r="2531" spans="1:23" hidden="1" x14ac:dyDescent="0.25">
      <c r="A2531">
        <v>120102</v>
      </c>
      <c r="B2531" s="16" t="s">
        <v>19400</v>
      </c>
      <c r="C2531" s="16" t="e">
        <f>VLOOKUP(Table1[[#This Row],[Node]],Parent!A:B,2,0)</f>
        <v>#N/A</v>
      </c>
      <c r="D2531" s="25" t="s">
        <v>19346</v>
      </c>
      <c r="E2531" s="26" t="s">
        <v>16544</v>
      </c>
      <c r="F2531" s="27" t="s">
        <v>18569</v>
      </c>
      <c r="G2531" s="27" t="s">
        <v>18964</v>
      </c>
      <c r="H2531" s="27" t="s">
        <v>19039</v>
      </c>
      <c r="I2531" s="27"/>
      <c r="J2531" s="27"/>
      <c r="K2531" s="27"/>
      <c r="L2531" s="27"/>
      <c r="N2531" s="27"/>
      <c r="T2531" s="28" t="str">
        <f>LOOKUP(1,1/(Table1[[#This Row],[Level_0]:[Level 15]]&gt;0),(Table1[[#This Row],[Level_0]:[Level 15]]))</f>
        <v>120102 - [Allocated Maintenance Material Costs]</v>
      </c>
      <c r="U2531" s="22">
        <v>2526</v>
      </c>
      <c r="W2531" s="13" t="str">
        <f>LOOKUP(1,1/(Table1[[#This Row],[Level_0]:[Level 15]]&gt;0),(Table1[[#This Row],[Level_0]:[Level 15]]))</f>
        <v>120102 - [Allocated Maintenance Material Costs]</v>
      </c>
    </row>
    <row r="2532" spans="1:23" hidden="1" x14ac:dyDescent="0.25">
      <c r="A2532">
        <v>5202010000</v>
      </c>
      <c r="B2532" s="16" t="s">
        <v>20101</v>
      </c>
      <c r="C2532" s="16" t="e">
        <f>VLOOKUP(Table1[[#This Row],[Node]],Parent!A:B,2,0)</f>
        <v>#N/A</v>
      </c>
      <c r="D2532" s="25" t="s">
        <v>19346</v>
      </c>
      <c r="E2532" s="26" t="s">
        <v>16544</v>
      </c>
      <c r="F2532" s="27" t="s">
        <v>18569</v>
      </c>
      <c r="G2532" s="27" t="s">
        <v>18964</v>
      </c>
      <c r="H2532" s="27" t="s">
        <v>19039</v>
      </c>
      <c r="I2532" s="27" t="s">
        <v>19040</v>
      </c>
      <c r="J2532" s="27"/>
      <c r="K2532" s="27"/>
      <c r="L2532" s="27"/>
      <c r="N2532" s="27"/>
      <c r="T2532" s="28" t="str">
        <f>LOOKUP(1,1/(Table1[[#This Row],[Level_0]:[Level 15]]&gt;0),(Table1[[#This Row],[Level_0]:[Level 15]]))</f>
        <v>5202010000 - [Cons of Min TechMat / Min SpareParts IC]</v>
      </c>
      <c r="U2532" s="22">
        <v>2527</v>
      </c>
      <c r="W2532" s="13" t="str">
        <f>LOOKUP(1,1/(Table1[[#This Row],[Level_0]:[Level 15]]&gt;0),(Table1[[#This Row],[Level_0]:[Level 15]]))</f>
        <v>5202010000 - [Cons of Min TechMat / Min SpareParts IC]</v>
      </c>
    </row>
    <row r="2533" spans="1:23" hidden="1" x14ac:dyDescent="0.25">
      <c r="A2533">
        <v>7620301102</v>
      </c>
      <c r="B2533" s="16" t="s">
        <v>21562</v>
      </c>
      <c r="C2533" s="16" t="e">
        <f>VLOOKUP(Table1[[#This Row],[Node]],Parent!A:B,2,0)</f>
        <v>#N/A</v>
      </c>
      <c r="D2533" s="25" t="s">
        <v>19346</v>
      </c>
      <c r="E2533" s="26" t="s">
        <v>16544</v>
      </c>
      <c r="F2533" s="27" t="s">
        <v>18569</v>
      </c>
      <c r="G2533" s="27" t="s">
        <v>18964</v>
      </c>
      <c r="H2533" s="27" t="s">
        <v>19039</v>
      </c>
      <c r="I2533" s="27" t="s">
        <v>19041</v>
      </c>
      <c r="J2533" s="27"/>
      <c r="K2533" s="27"/>
      <c r="L2533" s="27"/>
      <c r="N2533" s="27"/>
      <c r="T2533" s="28" t="str">
        <f>LOOKUP(1,1/(Table1[[#This Row],[Level_0]:[Level 15]]&gt;0),(Table1[[#This Row],[Level_0]:[Level 15]]))</f>
        <v>7620301102 - [AOM_Maint. Material]</v>
      </c>
      <c r="U2533" s="22">
        <v>2528</v>
      </c>
      <c r="W2533" s="13" t="str">
        <f>LOOKUP(1,1/(Table1[[#This Row],[Level_0]:[Level 15]]&gt;0),(Table1[[#This Row],[Level_0]:[Level 15]]))</f>
        <v>7620301102 - [AOM_Maint. Material]</v>
      </c>
    </row>
    <row r="2534" spans="1:23" hidden="1" x14ac:dyDescent="0.25">
      <c r="A2534">
        <v>7340000004</v>
      </c>
      <c r="B2534" s="16" t="s">
        <v>20923</v>
      </c>
      <c r="C2534" s="16" t="e">
        <f>VLOOKUP(Table1[[#This Row],[Node]],Parent!A:B,2,0)</f>
        <v>#N/A</v>
      </c>
      <c r="D2534" s="25" t="s">
        <v>19346</v>
      </c>
      <c r="E2534" s="26" t="s">
        <v>16544</v>
      </c>
      <c r="F2534" s="27" t="s">
        <v>18569</v>
      </c>
      <c r="G2534" s="27" t="s">
        <v>18964</v>
      </c>
      <c r="H2534" s="27" t="s">
        <v>19039</v>
      </c>
      <c r="I2534" s="27" t="s">
        <v>19042</v>
      </c>
      <c r="J2534" s="27"/>
      <c r="K2534" s="27"/>
      <c r="L2534" s="27"/>
      <c r="N2534" s="27"/>
      <c r="T2534" s="28" t="str">
        <f>LOOKUP(1,1/(Table1[[#This Row],[Level_0]:[Level 15]]&gt;0),(Table1[[#This Row],[Level_0]:[Level 15]]))</f>
        <v>7340000004 - [SOM PM Material costs]</v>
      </c>
      <c r="U2534" s="22">
        <v>2529</v>
      </c>
      <c r="W2534" s="13" t="str">
        <f>LOOKUP(1,1/(Table1[[#This Row],[Level_0]:[Level 15]]&gt;0),(Table1[[#This Row],[Level_0]:[Level 15]]))</f>
        <v>7340000004 - [SOM PM Material costs]</v>
      </c>
    </row>
    <row r="2535" spans="1:23" hidden="1" x14ac:dyDescent="0.25">
      <c r="A2535">
        <v>7330130001</v>
      </c>
      <c r="B2535" s="16" t="s">
        <v>20908</v>
      </c>
      <c r="C2535" s="16" t="e">
        <f>VLOOKUP(Table1[[#This Row],[Node]],Parent!A:B,2,0)</f>
        <v>#N/A</v>
      </c>
      <c r="D2535" s="25" t="s">
        <v>19346</v>
      </c>
      <c r="E2535" s="26" t="s">
        <v>16544</v>
      </c>
      <c r="F2535" s="27" t="s">
        <v>18569</v>
      </c>
      <c r="G2535" s="27" t="s">
        <v>18964</v>
      </c>
      <c r="H2535" s="27" t="s">
        <v>19039</v>
      </c>
      <c r="I2535" s="27" t="s">
        <v>19043</v>
      </c>
      <c r="J2535" s="27"/>
      <c r="K2535" s="27"/>
      <c r="L2535" s="27"/>
      <c r="N2535" s="27"/>
      <c r="T2535" s="28" t="str">
        <f>LOOKUP(1,1/(Table1[[#This Row],[Level_0]:[Level 15]]&gt;0),(Table1[[#This Row],[Level_0]:[Level 15]]))</f>
        <v>7330130001 - [OSU TM Technical Material Surcharge]</v>
      </c>
      <c r="U2535" s="22">
        <v>2530</v>
      </c>
      <c r="W2535" s="13" t="str">
        <f>LOOKUP(1,1/(Table1[[#This Row],[Level_0]:[Level 15]]&gt;0),(Table1[[#This Row],[Level_0]:[Level 15]]))</f>
        <v>7330130001 - [OSU TM Technical Material Surcharge]</v>
      </c>
    </row>
    <row r="2536" spans="1:23" hidden="1" x14ac:dyDescent="0.25">
      <c r="A2536">
        <v>5773020000</v>
      </c>
      <c r="B2536" s="16" t="s">
        <v>20470</v>
      </c>
      <c r="C2536" s="16" t="e">
        <f>VLOOKUP(Table1[[#This Row],[Node]],Parent!A:B,2,0)</f>
        <v>#N/A</v>
      </c>
      <c r="D2536" s="25" t="s">
        <v>19346</v>
      </c>
      <c r="E2536" s="26" t="s">
        <v>16544</v>
      </c>
      <c r="F2536" s="27" t="s">
        <v>18569</v>
      </c>
      <c r="G2536" s="27" t="s">
        <v>18964</v>
      </c>
      <c r="H2536" s="27" t="s">
        <v>19039</v>
      </c>
      <c r="I2536" s="27" t="s">
        <v>19044</v>
      </c>
      <c r="J2536" s="27"/>
      <c r="K2536" s="27"/>
      <c r="L2536" s="27"/>
      <c r="N2536" s="27"/>
      <c r="T2536" s="28" t="str">
        <f>LOOKUP(1,1/(Table1[[#This Row],[Level_0]:[Level 15]]&gt;0),(Table1[[#This Row],[Level_0]:[Level 15]]))</f>
        <v>5773020000 - [IC Exp - SMS - Maint. Material]</v>
      </c>
      <c r="U2536" s="22">
        <v>2531</v>
      </c>
      <c r="W2536" s="13" t="str">
        <f>LOOKUP(1,1/(Table1[[#This Row],[Level_0]:[Level 15]]&gt;0),(Table1[[#This Row],[Level_0]:[Level 15]]))</f>
        <v>5773020000 - [IC Exp - SMS - Maint. Material]</v>
      </c>
    </row>
    <row r="2537" spans="1:23" hidden="1" x14ac:dyDescent="0.25">
      <c r="A2537">
        <v>7620301112</v>
      </c>
      <c r="B2537" s="16" t="s">
        <v>21572</v>
      </c>
      <c r="C2537" s="16" t="e">
        <f>VLOOKUP(Table1[[#This Row],[Node]],Parent!A:B,2,0)</f>
        <v>#N/A</v>
      </c>
      <c r="D2537" s="25" t="s">
        <v>19346</v>
      </c>
      <c r="E2537" s="26" t="s">
        <v>16544</v>
      </c>
      <c r="F2537" s="27" t="s">
        <v>18569</v>
      </c>
      <c r="G2537" s="27" t="s">
        <v>18964</v>
      </c>
      <c r="H2537" s="27" t="s">
        <v>19039</v>
      </c>
      <c r="I2537" s="27" t="s">
        <v>19045</v>
      </c>
      <c r="J2537" s="27"/>
      <c r="K2537" s="27"/>
      <c r="L2537" s="27"/>
      <c r="N2537" s="27"/>
      <c r="T2537" s="28" t="str">
        <f>LOOKUP(1,1/(Table1[[#This Row],[Level_0]:[Level 15]]&gt;0),(Table1[[#This Row],[Level_0]:[Level 15]]))</f>
        <v>7620301112 - [AOM_Technical Material]</v>
      </c>
      <c r="U2537" s="22">
        <v>2532</v>
      </c>
      <c r="W2537" s="13" t="str">
        <f>LOOKUP(1,1/(Table1[[#This Row],[Level_0]:[Level 15]]&gt;0),(Table1[[#This Row],[Level_0]:[Level 15]]))</f>
        <v>7620301112 - [AOM_Technical Material]</v>
      </c>
    </row>
    <row r="2538" spans="1:23" hidden="1" x14ac:dyDescent="0.25">
      <c r="A2538">
        <v>120101</v>
      </c>
      <c r="B2538" s="16" t="s">
        <v>19399</v>
      </c>
      <c r="C2538" s="16" t="e">
        <f>VLOOKUP(Table1[[#This Row],[Node]],Parent!A:B,2,0)</f>
        <v>#N/A</v>
      </c>
      <c r="D2538" s="25" t="s">
        <v>19346</v>
      </c>
      <c r="E2538" s="26" t="s">
        <v>16544</v>
      </c>
      <c r="F2538" s="27" t="s">
        <v>18569</v>
      </c>
      <c r="G2538" s="27" t="s">
        <v>18964</v>
      </c>
      <c r="H2538" s="27" t="s">
        <v>19046</v>
      </c>
      <c r="I2538" s="27"/>
      <c r="J2538" s="27"/>
      <c r="K2538" s="27"/>
      <c r="L2538" s="27"/>
      <c r="N2538" s="27"/>
      <c r="T2538" s="28" t="str">
        <f>LOOKUP(1,1/(Table1[[#This Row],[Level_0]:[Level 15]]&gt;0),(Table1[[#This Row],[Level_0]:[Level 15]]))</f>
        <v>120101 - [External Maintenance Material Costs]</v>
      </c>
      <c r="U2538" s="22">
        <v>2533</v>
      </c>
      <c r="W2538" s="13" t="str">
        <f>LOOKUP(1,1/(Table1[[#This Row],[Level_0]:[Level 15]]&gt;0),(Table1[[#This Row],[Level_0]:[Level 15]]))</f>
        <v>120101 - [External Maintenance Material Costs]</v>
      </c>
    </row>
    <row r="2539" spans="1:23" hidden="1" x14ac:dyDescent="0.25">
      <c r="A2539">
        <v>5202200000</v>
      </c>
      <c r="B2539" s="16" t="s">
        <v>20104</v>
      </c>
      <c r="C2539" s="16" t="e">
        <f>VLOOKUP(Table1[[#This Row],[Node]],Parent!A:B,2,0)</f>
        <v>#N/A</v>
      </c>
      <c r="D2539" s="25" t="s">
        <v>19346</v>
      </c>
      <c r="E2539" s="26" t="s">
        <v>16544</v>
      </c>
      <c r="F2539" s="27" t="s">
        <v>18569</v>
      </c>
      <c r="G2539" s="27" t="s">
        <v>18964</v>
      </c>
      <c r="H2539" s="27" t="s">
        <v>19046</v>
      </c>
      <c r="I2539" s="27" t="s">
        <v>19047</v>
      </c>
      <c r="J2539" s="27"/>
      <c r="K2539" s="27"/>
      <c r="L2539" s="27"/>
      <c r="N2539" s="27"/>
      <c r="T2539" s="28" t="str">
        <f>LOOKUP(1,1/(Table1[[#This Row],[Level_0]:[Level 15]]&gt;0),(Table1[[#This Row],[Level_0]:[Level 15]]))</f>
        <v>5202200000 - [Technical Supplies]</v>
      </c>
      <c r="U2539" s="22">
        <v>2534</v>
      </c>
      <c r="W2539" s="13" t="str">
        <f>LOOKUP(1,1/(Table1[[#This Row],[Level_0]:[Level 15]]&gt;0),(Table1[[#This Row],[Level_0]:[Level 15]]))</f>
        <v>5202200000 - [Technical Supplies]</v>
      </c>
    </row>
    <row r="2540" spans="1:23" hidden="1" x14ac:dyDescent="0.25">
      <c r="A2540">
        <v>5202106000</v>
      </c>
      <c r="B2540" s="16" t="s">
        <v>20103</v>
      </c>
      <c r="C2540" s="16" t="e">
        <f>VLOOKUP(Table1[[#This Row],[Node]],Parent!A:B,2,0)</f>
        <v>#N/A</v>
      </c>
      <c r="D2540" s="25" t="s">
        <v>19346</v>
      </c>
      <c r="E2540" s="26" t="s">
        <v>16544</v>
      </c>
      <c r="F2540" s="27" t="s">
        <v>18569</v>
      </c>
      <c r="G2540" s="27" t="s">
        <v>18964</v>
      </c>
      <c r="H2540" s="27" t="s">
        <v>19046</v>
      </c>
      <c r="I2540" s="27" t="s">
        <v>19048</v>
      </c>
      <c r="J2540" s="27"/>
      <c r="K2540" s="27"/>
      <c r="L2540" s="27"/>
      <c r="N2540" s="27"/>
      <c r="T2540" s="28" t="str">
        <f>LOOKUP(1,1/(Table1[[#This Row],[Level_0]:[Level 15]]&gt;0),(Table1[[#This Row],[Level_0]:[Level 15]]))</f>
        <v>5202106000 - [Consum of Maj Tech Mat / Maj SpPt - Cor]</v>
      </c>
      <c r="U2540" s="22">
        <v>2535</v>
      </c>
      <c r="W2540" s="13" t="str">
        <f>LOOKUP(1,1/(Table1[[#This Row],[Level_0]:[Level 15]]&gt;0),(Table1[[#This Row],[Level_0]:[Level 15]]))</f>
        <v>5202106000 - [Consum of Maj Tech Mat / Maj SpPt - Cor]</v>
      </c>
    </row>
    <row r="2541" spans="1:23" hidden="1" x14ac:dyDescent="0.25">
      <c r="A2541">
        <v>5202100000</v>
      </c>
      <c r="B2541" s="16" t="s">
        <v>20102</v>
      </c>
      <c r="C2541" s="16" t="e">
        <f>VLOOKUP(Table1[[#This Row],[Node]],Parent!A:B,2,0)</f>
        <v>#N/A</v>
      </c>
      <c r="D2541" s="25" t="s">
        <v>19346</v>
      </c>
      <c r="E2541" s="26" t="s">
        <v>16544</v>
      </c>
      <c r="F2541" s="27" t="s">
        <v>18569</v>
      </c>
      <c r="G2541" s="27" t="s">
        <v>18964</v>
      </c>
      <c r="H2541" s="27" t="s">
        <v>19046</v>
      </c>
      <c r="I2541" s="27" t="s">
        <v>19049</v>
      </c>
      <c r="J2541" s="27"/>
      <c r="K2541" s="27"/>
      <c r="L2541" s="27"/>
      <c r="N2541" s="27"/>
      <c r="T2541" s="28" t="str">
        <f>LOOKUP(1,1/(Table1[[#This Row],[Level_0]:[Level 15]]&gt;0),(Table1[[#This Row],[Level_0]:[Level 15]]))</f>
        <v>5202100000 - [Consum of Maj Tech Mat / Maj Spare Parts]</v>
      </c>
      <c r="U2541" s="22">
        <v>2536</v>
      </c>
      <c r="W2541" s="13" t="str">
        <f>LOOKUP(1,1/(Table1[[#This Row],[Level_0]:[Level 15]]&gt;0),(Table1[[#This Row],[Level_0]:[Level 15]]))</f>
        <v>5202100000 - [Consum of Maj Tech Mat / Maj Spare Parts]</v>
      </c>
    </row>
    <row r="2542" spans="1:23" hidden="1" x14ac:dyDescent="0.25">
      <c r="A2542">
        <v>5202000000</v>
      </c>
      <c r="B2542" s="16" t="s">
        <v>20100</v>
      </c>
      <c r="C2542" s="16" t="e">
        <f>VLOOKUP(Table1[[#This Row],[Node]],Parent!A:B,2,0)</f>
        <v>#N/A</v>
      </c>
      <c r="D2542" s="25" t="s">
        <v>19346</v>
      </c>
      <c r="E2542" s="26" t="s">
        <v>16544</v>
      </c>
      <c r="F2542" s="27" t="s">
        <v>18569</v>
      </c>
      <c r="G2542" s="27" t="s">
        <v>18964</v>
      </c>
      <c r="H2542" s="27" t="s">
        <v>19046</v>
      </c>
      <c r="I2542" s="27" t="s">
        <v>19050</v>
      </c>
      <c r="J2542" s="27"/>
      <c r="K2542" s="27"/>
      <c r="L2542" s="27"/>
      <c r="N2542" s="27"/>
      <c r="T2542" s="28" t="str">
        <f>LOOKUP(1,1/(Table1[[#This Row],[Level_0]:[Level 15]]&gt;0),(Table1[[#This Row],[Level_0]:[Level 15]]))</f>
        <v>5202000000 - [Consum of Min Tech Mat / Min Spare Parts]</v>
      </c>
      <c r="U2542" s="22">
        <v>2537</v>
      </c>
      <c r="W2542" s="13" t="str">
        <f>LOOKUP(1,1/(Table1[[#This Row],[Level_0]:[Level 15]]&gt;0),(Table1[[#This Row],[Level_0]:[Level 15]]))</f>
        <v>5202000000 - [Consum of Min Tech Mat / Min Spare Parts]</v>
      </c>
    </row>
    <row r="2543" spans="1:23" x14ac:dyDescent="0.25">
      <c r="A2543">
        <v>110000</v>
      </c>
      <c r="B2543" s="16" t="s">
        <v>19380</v>
      </c>
      <c r="C2543" s="16" t="e">
        <f>VLOOKUP(Table1[[#This Row],[Node]],Parent!A:B,2,0)</f>
        <v>#N/A</v>
      </c>
      <c r="D2543" s="25" t="s">
        <v>19346</v>
      </c>
      <c r="E2543" s="26" t="s">
        <v>16544</v>
      </c>
      <c r="F2543" s="27" t="s">
        <v>19051</v>
      </c>
      <c r="G2543" s="27"/>
      <c r="H2543" s="27"/>
      <c r="I2543" s="27"/>
      <c r="J2543" s="27"/>
      <c r="K2543" s="27"/>
      <c r="L2543" s="27"/>
      <c r="N2543" s="27"/>
      <c r="T2543" s="28" t="str">
        <f>LOOKUP(1,1/(Table1[[#This Row],[Level_0]:[Level 15]]&gt;0),(Table1[[#This Row],[Level_0]:[Level 15]]))</f>
        <v>110000 - [D&amp;A, Rental / Lease &amp; Facility Costs]</v>
      </c>
      <c r="U2543" s="22">
        <v>2538</v>
      </c>
      <c r="W2543" s="13" t="str">
        <f>LOOKUP(1,1/(Table1[[#This Row],[Level_0]:[Level 15]]&gt;0),(Table1[[#This Row],[Level_0]:[Level 15]]))</f>
        <v>110000 - [D&amp;A, Rental / Lease &amp; Facility Costs]</v>
      </c>
    </row>
    <row r="2544" spans="1:23" x14ac:dyDescent="0.25">
      <c r="A2544">
        <v>110200</v>
      </c>
      <c r="B2544" s="16" t="s">
        <v>19390</v>
      </c>
      <c r="C2544" s="16" t="e">
        <f>VLOOKUP(Table1[[#This Row],[Node]],Parent!A:B,2,0)</f>
        <v>#N/A</v>
      </c>
      <c r="D2544" s="25" t="s">
        <v>19346</v>
      </c>
      <c r="E2544" s="26" t="s">
        <v>16544</v>
      </c>
      <c r="F2544" s="27" t="s">
        <v>19051</v>
      </c>
      <c r="G2544" s="27" t="s">
        <v>19052</v>
      </c>
      <c r="H2544" s="27"/>
      <c r="I2544" s="27"/>
      <c r="J2544" s="27"/>
      <c r="K2544" s="27"/>
      <c r="L2544" s="27"/>
      <c r="N2544" s="27"/>
      <c r="T2544" s="28" t="str">
        <f>LOOKUP(1,1/(Table1[[#This Row],[Level_0]:[Level 15]]&gt;0),(Table1[[#This Row],[Level_0]:[Level 15]]))</f>
        <v>110200 - [Non Cap Rent/Lease, Fin Impair &amp; Facilty]</v>
      </c>
      <c r="U2544" s="22">
        <v>2539</v>
      </c>
      <c r="W2544" s="13" t="str">
        <f>LOOKUP(1,1/(Table1[[#This Row],[Level_0]:[Level 15]]&gt;0),(Table1[[#This Row],[Level_0]:[Level 15]]))</f>
        <v>110200 - [Non Cap Rent/Lease, Fin Impair &amp; Facilty]</v>
      </c>
    </row>
    <row r="2545" spans="1:23" x14ac:dyDescent="0.25">
      <c r="A2545">
        <v>110205</v>
      </c>
      <c r="B2545" s="16" t="s">
        <v>19396</v>
      </c>
      <c r="C2545" s="16" t="e">
        <f>VLOOKUP(Table1[[#This Row],[Node]],Parent!A:B,2,0)</f>
        <v>#N/A</v>
      </c>
      <c r="D2545" s="25" t="s">
        <v>19346</v>
      </c>
      <c r="E2545" s="26" t="s">
        <v>16544</v>
      </c>
      <c r="F2545" s="27" t="s">
        <v>19051</v>
      </c>
      <c r="G2545" s="27" t="s">
        <v>19052</v>
      </c>
      <c r="H2545" s="27" t="s">
        <v>19053</v>
      </c>
      <c r="I2545" s="27"/>
      <c r="J2545" s="27"/>
      <c r="K2545" s="27"/>
      <c r="L2545" s="27"/>
      <c r="N2545" s="27"/>
      <c r="T2545" s="28" t="str">
        <f>LOOKUP(1,1/(Table1[[#This Row],[Level_0]:[Level 15]]&gt;0),(Table1[[#This Row],[Level_0]:[Level 15]]))</f>
        <v>110205 - [Impairments Financial Assets]</v>
      </c>
      <c r="U2545" s="22">
        <v>2540</v>
      </c>
      <c r="W2545" s="13" t="str">
        <f>LOOKUP(1,1/(Table1[[#This Row],[Level_0]:[Level 15]]&gt;0),(Table1[[#This Row],[Level_0]:[Level 15]]))</f>
        <v>110205 - [Impairments Financial Assets]</v>
      </c>
    </row>
    <row r="2546" spans="1:23" x14ac:dyDescent="0.25">
      <c r="A2546">
        <v>5925400000</v>
      </c>
      <c r="B2546" s="16" t="s">
        <v>20536</v>
      </c>
      <c r="C2546" s="16" t="e">
        <f>VLOOKUP(Table1[[#This Row],[Node]],Parent!A:B,2,0)</f>
        <v>#N/A</v>
      </c>
      <c r="D2546" s="25" t="s">
        <v>19346</v>
      </c>
      <c r="E2546" s="26" t="s">
        <v>16544</v>
      </c>
      <c r="F2546" s="27" t="s">
        <v>19051</v>
      </c>
      <c r="G2546" s="27" t="s">
        <v>19052</v>
      </c>
      <c r="H2546" s="27" t="s">
        <v>19053</v>
      </c>
      <c r="I2546" s="27" t="s">
        <v>19054</v>
      </c>
      <c r="J2546" s="27"/>
      <c r="K2546" s="27"/>
      <c r="L2546" s="27"/>
      <c r="N2546" s="27"/>
      <c r="T2546" s="28" t="str">
        <f>LOOKUP(1,1/(Table1[[#This Row],[Level_0]:[Level 15]]&gt;0),(Table1[[#This Row],[Level_0]:[Level 15]]))</f>
        <v>5925400000 - [Los f. Recycling Debt Inst FVOCI]</v>
      </c>
      <c r="U2546" s="22">
        <v>2541</v>
      </c>
      <c r="W2546" s="13" t="str">
        <f>LOOKUP(1,1/(Table1[[#This Row],[Level_0]:[Level 15]]&gt;0),(Table1[[#This Row],[Level_0]:[Level 15]]))</f>
        <v>5925400000 - [Los f. Recycling Debt Inst FVOCI]</v>
      </c>
    </row>
    <row r="2547" spans="1:23" x14ac:dyDescent="0.25">
      <c r="A2547">
        <v>5932000000</v>
      </c>
      <c r="B2547" s="16" t="s">
        <v>20550</v>
      </c>
      <c r="C2547" s="16" t="e">
        <f>VLOOKUP(Table1[[#This Row],[Node]],Parent!A:B,2,0)</f>
        <v>#N/A</v>
      </c>
      <c r="D2547" s="25" t="s">
        <v>19346</v>
      </c>
      <c r="E2547" s="26" t="s">
        <v>16544</v>
      </c>
      <c r="F2547" s="27" t="s">
        <v>19051</v>
      </c>
      <c r="G2547" s="27" t="s">
        <v>19052</v>
      </c>
      <c r="H2547" s="27" t="s">
        <v>19053</v>
      </c>
      <c r="I2547" s="27" t="s">
        <v>19055</v>
      </c>
      <c r="J2547" s="27"/>
      <c r="K2547" s="27"/>
      <c r="L2547" s="27"/>
      <c r="N2547" s="27"/>
      <c r="T2547" s="28" t="str">
        <f>LOOKUP(1,1/(Table1[[#This Row],[Level_0]:[Level 15]]&gt;0),(Table1[[#This Row],[Level_0]:[Level 15]]))</f>
        <v>5932000000 - [Asset Imp - NRVM of Assets HFS/DispGr]</v>
      </c>
      <c r="U2547" s="22">
        <v>2542</v>
      </c>
      <c r="W2547" s="13" t="str">
        <f>LOOKUP(1,1/(Table1[[#This Row],[Level_0]:[Level 15]]&gt;0),(Table1[[#This Row],[Level_0]:[Level 15]]))</f>
        <v>5932000000 - [Asset Imp - NRVM of Assets HFS/DispGr]</v>
      </c>
    </row>
    <row r="2548" spans="1:23" x14ac:dyDescent="0.25">
      <c r="A2548">
        <v>5931000000</v>
      </c>
      <c r="B2548" s="16" t="s">
        <v>20547</v>
      </c>
      <c r="C2548" s="16" t="e">
        <f>VLOOKUP(Table1[[#This Row],[Node]],Parent!A:B,2,0)</f>
        <v>#N/A</v>
      </c>
      <c r="D2548" s="25" t="s">
        <v>19346</v>
      </c>
      <c r="E2548" s="26" t="s">
        <v>16544</v>
      </c>
      <c r="F2548" s="27" t="s">
        <v>19051</v>
      </c>
      <c r="G2548" s="27" t="s">
        <v>19052</v>
      </c>
      <c r="H2548" s="27" t="s">
        <v>19053</v>
      </c>
      <c r="I2548" s="27" t="s">
        <v>19056</v>
      </c>
      <c r="J2548" s="27"/>
      <c r="K2548" s="27"/>
      <c r="L2548" s="27"/>
      <c r="N2548" s="27"/>
      <c r="T2548" s="28" t="str">
        <f>LOOKUP(1,1/(Table1[[#This Row],[Level_0]:[Level 15]]&gt;0),(Table1[[#This Row],[Level_0]:[Level 15]]))</f>
        <v>5931000000 - [Impairment of Financial Assets]</v>
      </c>
      <c r="U2548" s="22">
        <v>2543</v>
      </c>
      <c r="W2548" s="13" t="str">
        <f>LOOKUP(1,1/(Table1[[#This Row],[Level_0]:[Level 15]]&gt;0),(Table1[[#This Row],[Level_0]:[Level 15]]))</f>
        <v>5931000000 - [Impairment of Financial Assets]</v>
      </c>
    </row>
    <row r="2549" spans="1:23" x14ac:dyDescent="0.25">
      <c r="A2549">
        <v>3313000000</v>
      </c>
      <c r="B2549" s="16" t="s">
        <v>19659</v>
      </c>
      <c r="C2549" s="16" t="e">
        <f>VLOOKUP(Table1[[#This Row],[Node]],Parent!A:B,2,0)</f>
        <v>#N/A</v>
      </c>
      <c r="D2549" s="25" t="s">
        <v>19346</v>
      </c>
      <c r="E2549" s="26" t="s">
        <v>16544</v>
      </c>
      <c r="F2549" s="27" t="s">
        <v>19051</v>
      </c>
      <c r="G2549" s="27" t="s">
        <v>19052</v>
      </c>
      <c r="H2549" s="27" t="s">
        <v>19053</v>
      </c>
      <c r="I2549" s="27" t="s">
        <v>19057</v>
      </c>
      <c r="J2549" s="27"/>
      <c r="K2549" s="27"/>
      <c r="L2549" s="27"/>
      <c r="N2549" s="27"/>
      <c r="T2549" s="28" t="str">
        <f>LOOKUP(1,1/(Table1[[#This Row],[Level_0]:[Level 15]]&gt;0),(Table1[[#This Row],[Level_0]:[Level 15]]))</f>
        <v>3313000000 - [Revers of Impairment - Financial Assets]</v>
      </c>
      <c r="U2549" s="22">
        <v>2544</v>
      </c>
      <c r="W2549" s="13" t="str">
        <f>LOOKUP(1,1/(Table1[[#This Row],[Level_0]:[Level 15]]&gt;0),(Table1[[#This Row],[Level_0]:[Level 15]]))</f>
        <v>3313000000 - [Revers of Impairment - Financial Assets]</v>
      </c>
    </row>
    <row r="2550" spans="1:23" x14ac:dyDescent="0.25">
      <c r="A2550">
        <v>110204</v>
      </c>
      <c r="B2550" s="16" t="s">
        <v>19395</v>
      </c>
      <c r="C2550" s="16" t="e">
        <f>VLOOKUP(Table1[[#This Row],[Node]],Parent!A:B,2,0)</f>
        <v>#N/A</v>
      </c>
      <c r="D2550" s="25" t="s">
        <v>19346</v>
      </c>
      <c r="E2550" s="26" t="s">
        <v>16544</v>
      </c>
      <c r="F2550" s="27" t="s">
        <v>19051</v>
      </c>
      <c r="G2550" s="27" t="s">
        <v>19052</v>
      </c>
      <c r="H2550" s="27" t="s">
        <v>19058</v>
      </c>
      <c r="I2550" s="27"/>
      <c r="J2550" s="27"/>
      <c r="K2550" s="27"/>
      <c r="L2550" s="27"/>
      <c r="N2550" s="27"/>
      <c r="T2550" s="28" t="str">
        <f>LOOKUP(1,1/(Table1[[#This Row],[Level_0]:[Level 15]]&gt;0),(Table1[[#This Row],[Level_0]:[Level 15]]))</f>
        <v>110204 - [Other Rental &amp; Lease costs]</v>
      </c>
      <c r="U2550" s="22">
        <v>2545</v>
      </c>
      <c r="W2550" s="13" t="str">
        <f>LOOKUP(1,1/(Table1[[#This Row],[Level_0]:[Level 15]]&gt;0),(Table1[[#This Row],[Level_0]:[Level 15]]))</f>
        <v>110204 - [Other Rental &amp; Lease costs]</v>
      </c>
    </row>
    <row r="2551" spans="1:23" x14ac:dyDescent="0.25">
      <c r="A2551">
        <v>5202300000</v>
      </c>
      <c r="B2551" s="16" t="s">
        <v>20109</v>
      </c>
      <c r="C2551" s="16" t="e">
        <f>VLOOKUP(Table1[[#This Row],[Node]],Parent!A:B,2,0)</f>
        <v>#N/A</v>
      </c>
      <c r="D2551" s="25" t="s">
        <v>19346</v>
      </c>
      <c r="E2551" s="26" t="s">
        <v>16544</v>
      </c>
      <c r="F2551" s="27" t="s">
        <v>19051</v>
      </c>
      <c r="G2551" s="27" t="s">
        <v>19052</v>
      </c>
      <c r="H2551" s="27" t="s">
        <v>19058</v>
      </c>
      <c r="I2551" s="27" t="s">
        <v>19059</v>
      </c>
      <c r="J2551" s="27"/>
      <c r="K2551" s="27"/>
      <c r="L2551" s="27"/>
      <c r="N2551" s="27"/>
      <c r="T2551" s="28" t="str">
        <f>LOOKUP(1,1/(Table1[[#This Row],[Level_0]:[Level 15]]&gt;0),(Table1[[#This Row],[Level_0]:[Level 15]]))</f>
        <v>5202300000 - [Expense - ARetiOblig - Leased]</v>
      </c>
      <c r="U2551" s="22">
        <v>2546</v>
      </c>
      <c r="W2551" s="13" t="str">
        <f>LOOKUP(1,1/(Table1[[#This Row],[Level_0]:[Level 15]]&gt;0),(Table1[[#This Row],[Level_0]:[Level 15]]))</f>
        <v>5202300000 - [Expense - ARetiOblig - Leased]</v>
      </c>
    </row>
    <row r="2552" spans="1:23" x14ac:dyDescent="0.25">
      <c r="A2552">
        <v>5173000000</v>
      </c>
      <c r="B2552" s="16" t="s">
        <v>20085</v>
      </c>
      <c r="C2552" s="16" t="e">
        <f>VLOOKUP(Table1[[#This Row],[Node]],Parent!A:B,2,0)</f>
        <v>#N/A</v>
      </c>
      <c r="D2552" s="25" t="s">
        <v>19346</v>
      </c>
      <c r="E2552" s="26" t="s">
        <v>16544</v>
      </c>
      <c r="F2552" s="27" t="s">
        <v>19051</v>
      </c>
      <c r="G2552" s="27" t="s">
        <v>19052</v>
      </c>
      <c r="H2552" s="27" t="s">
        <v>19058</v>
      </c>
      <c r="I2552" s="27" t="s">
        <v>19060</v>
      </c>
      <c r="J2552" s="27"/>
      <c r="K2552" s="27"/>
      <c r="L2552" s="27"/>
      <c r="N2552" s="27"/>
      <c r="T2552" s="28" t="str">
        <f>LOOKUP(1,1/(Table1[[#This Row],[Level_0]:[Level 15]]&gt;0),(Table1[[#This Row],[Level_0]:[Level 15]]))</f>
        <v>5173000000 - [Lease Expense  Subleasing - Employee]</v>
      </c>
      <c r="U2552" s="22">
        <v>2547</v>
      </c>
      <c r="W2552" s="13" t="str">
        <f>LOOKUP(1,1/(Table1[[#This Row],[Level_0]:[Level 15]]&gt;0),(Table1[[#This Row],[Level_0]:[Level 15]]))</f>
        <v>5173000000 - [Lease Expense  Subleasing - Employee]</v>
      </c>
    </row>
    <row r="2553" spans="1:23" x14ac:dyDescent="0.25">
      <c r="A2553">
        <v>3911100000</v>
      </c>
      <c r="B2553" s="16" t="s">
        <v>19668</v>
      </c>
      <c r="C2553" s="16" t="e">
        <f>VLOOKUP(Table1[[#This Row],[Node]],Parent!A:B,2,0)</f>
        <v>#N/A</v>
      </c>
      <c r="D2553" s="25" t="s">
        <v>19346</v>
      </c>
      <c r="E2553" s="26" t="s">
        <v>16544</v>
      </c>
      <c r="F2553" s="27" t="s">
        <v>19051</v>
      </c>
      <c r="G2553" s="27" t="s">
        <v>19052</v>
      </c>
      <c r="H2553" s="27" t="s">
        <v>19058</v>
      </c>
      <c r="I2553" s="27" t="s">
        <v>19061</v>
      </c>
      <c r="J2553" s="27"/>
      <c r="K2553" s="27"/>
      <c r="L2553" s="27"/>
      <c r="N2553" s="27"/>
      <c r="T2553" s="28" t="str">
        <f>LOOKUP(1,1/(Table1[[#This Row],[Level_0]:[Level 15]]&gt;0),(Table1[[#This Row],[Level_0]:[Level 15]]))</f>
        <v>3911100000 - [Rent &amp; Lease Inc N-Core Busin - Op Lease]</v>
      </c>
      <c r="U2553" s="22">
        <v>2548</v>
      </c>
      <c r="W2553" s="13" t="str">
        <f>LOOKUP(1,1/(Table1[[#This Row],[Level_0]:[Level 15]]&gt;0),(Table1[[#This Row],[Level_0]:[Level 15]]))</f>
        <v>3911100000 - [Rent &amp; Lease Inc N-Core Busin - Op Lease]</v>
      </c>
    </row>
    <row r="2554" spans="1:23" x14ac:dyDescent="0.25">
      <c r="A2554">
        <v>3317100000</v>
      </c>
      <c r="B2554" s="16" t="s">
        <v>19663</v>
      </c>
      <c r="C2554" s="16" t="e">
        <f>VLOOKUP(Table1[[#This Row],[Node]],Parent!A:B,2,0)</f>
        <v>#N/A</v>
      </c>
      <c r="D2554" s="25" t="s">
        <v>19346</v>
      </c>
      <c r="E2554" s="26" t="s">
        <v>16544</v>
      </c>
      <c r="F2554" s="27" t="s">
        <v>19051</v>
      </c>
      <c r="G2554" s="27" t="s">
        <v>19052</v>
      </c>
      <c r="H2554" s="27" t="s">
        <v>19058</v>
      </c>
      <c r="I2554" s="27" t="s">
        <v>19062</v>
      </c>
      <c r="J2554" s="27"/>
      <c r="K2554" s="27"/>
      <c r="L2554" s="27"/>
      <c r="N2554" s="27"/>
      <c r="T2554" s="28" t="str">
        <f>LOOKUP(1,1/(Table1[[#This Row],[Level_0]:[Level 15]]&gt;0),(Table1[[#This Row],[Level_0]:[Level 15]]))</f>
        <v>3317100000 - [Leased Assets - Incentives]</v>
      </c>
      <c r="U2554" s="22">
        <v>2549</v>
      </c>
      <c r="W2554" s="13" t="str">
        <f>LOOKUP(1,1/(Table1[[#This Row],[Level_0]:[Level 15]]&gt;0),(Table1[[#This Row],[Level_0]:[Level 15]]))</f>
        <v>3317100000 - [Leased Assets - Incentives]</v>
      </c>
    </row>
    <row r="2555" spans="1:23" x14ac:dyDescent="0.25">
      <c r="A2555">
        <v>110203</v>
      </c>
      <c r="B2555" s="16" t="s">
        <v>19394</v>
      </c>
      <c r="C2555" s="16" t="e">
        <f>VLOOKUP(Table1[[#This Row],[Node]],Parent!A:B,2,0)</f>
        <v>#N/A</v>
      </c>
      <c r="D2555" s="25" t="s">
        <v>19346</v>
      </c>
      <c r="E2555" s="26" t="s">
        <v>16544</v>
      </c>
      <c r="F2555" s="27" t="s">
        <v>19051</v>
      </c>
      <c r="G2555" s="27" t="s">
        <v>19052</v>
      </c>
      <c r="H2555" s="27" t="s">
        <v>19063</v>
      </c>
      <c r="I2555" s="27"/>
      <c r="J2555" s="27"/>
      <c r="K2555" s="27"/>
      <c r="L2555" s="27"/>
      <c r="N2555" s="27"/>
      <c r="T2555" s="28" t="str">
        <f>LOOKUP(1,1/(Table1[[#This Row],[Level_0]:[Level 15]]&gt;0),(Table1[[#This Row],[Level_0]:[Level 15]]))</f>
        <v>110203 - [Vehicle Costs]</v>
      </c>
      <c r="U2555" s="22">
        <v>2550</v>
      </c>
      <c r="W2555" s="13" t="str">
        <f>LOOKUP(1,1/(Table1[[#This Row],[Level_0]:[Level 15]]&gt;0),(Table1[[#This Row],[Level_0]:[Level 15]]))</f>
        <v>110203 - [Vehicle Costs]</v>
      </c>
    </row>
    <row r="2556" spans="1:23" x14ac:dyDescent="0.25">
      <c r="A2556">
        <v>5205210000</v>
      </c>
      <c r="B2556" s="16" t="s">
        <v>20119</v>
      </c>
      <c r="C2556" s="16" t="e">
        <f>VLOOKUP(Table1[[#This Row],[Node]],Parent!A:B,2,0)</f>
        <v>#N/A</v>
      </c>
      <c r="D2556" s="25" t="s">
        <v>19346</v>
      </c>
      <c r="E2556" s="26" t="s">
        <v>16544</v>
      </c>
      <c r="F2556" s="27" t="s">
        <v>19051</v>
      </c>
      <c r="G2556" s="27" t="s">
        <v>19052</v>
      </c>
      <c r="H2556" s="27" t="s">
        <v>19063</v>
      </c>
      <c r="I2556" s="27" t="s">
        <v>19064</v>
      </c>
      <c r="J2556" s="27"/>
      <c r="K2556" s="27"/>
      <c r="L2556" s="27"/>
      <c r="N2556" s="27"/>
      <c r="T2556" s="28" t="str">
        <f>LOOKUP(1,1/(Table1[[#This Row],[Level_0]:[Level 15]]&gt;0),(Table1[[#This Row],[Level_0]:[Level 15]]))</f>
        <v>5205210000 - [IC Exp - SMS - Garage]</v>
      </c>
      <c r="U2556" s="22">
        <v>2551</v>
      </c>
      <c r="W2556" s="13" t="str">
        <f>LOOKUP(1,1/(Table1[[#This Row],[Level_0]:[Level 15]]&gt;0),(Table1[[#This Row],[Level_0]:[Level 15]]))</f>
        <v>5205210000 - [IC Exp - SMS - Garage]</v>
      </c>
    </row>
    <row r="2557" spans="1:23" x14ac:dyDescent="0.25">
      <c r="A2557">
        <v>7600304005</v>
      </c>
      <c r="B2557" s="16" t="s">
        <v>21206</v>
      </c>
      <c r="C2557" s="16" t="e">
        <f>VLOOKUP(Table1[[#This Row],[Node]],Parent!A:B,2,0)</f>
        <v>#N/A</v>
      </c>
      <c r="D2557" s="25" t="s">
        <v>19346</v>
      </c>
      <c r="E2557" s="26" t="s">
        <v>16544</v>
      </c>
      <c r="F2557" s="27" t="s">
        <v>19051</v>
      </c>
      <c r="G2557" s="27" t="s">
        <v>19052</v>
      </c>
      <c r="H2557" s="27" t="s">
        <v>19063</v>
      </c>
      <c r="I2557" s="27" t="s">
        <v>19065</v>
      </c>
      <c r="J2557" s="27"/>
      <c r="K2557" s="27"/>
      <c r="L2557" s="27"/>
      <c r="N2557" s="27"/>
      <c r="T2557" s="28" t="str">
        <f>LOOKUP(1,1/(Table1[[#This Row],[Level_0]:[Level 15]]&gt;0),(Table1[[#This Row],[Level_0]:[Level 15]]))</f>
        <v>7600304005 - [DAA Garage]</v>
      </c>
      <c r="U2557" s="22">
        <v>2552</v>
      </c>
      <c r="W2557" s="13" t="str">
        <f>LOOKUP(1,1/(Table1[[#This Row],[Level_0]:[Level 15]]&gt;0),(Table1[[#This Row],[Level_0]:[Level 15]]))</f>
        <v>7600304005 - [DAA Garage]</v>
      </c>
    </row>
    <row r="2558" spans="1:23" x14ac:dyDescent="0.25">
      <c r="A2558">
        <v>7600304036</v>
      </c>
      <c r="B2558" s="16" t="s">
        <v>21237</v>
      </c>
      <c r="C2558" s="16" t="e">
        <f>VLOOKUP(Table1[[#This Row],[Node]],Parent!A:B,2,0)</f>
        <v>#N/A</v>
      </c>
      <c r="D2558" s="25" t="s">
        <v>19346</v>
      </c>
      <c r="E2558" s="26" t="s">
        <v>16544</v>
      </c>
      <c r="F2558" s="27" t="s">
        <v>19051</v>
      </c>
      <c r="G2558" s="27" t="s">
        <v>19052</v>
      </c>
      <c r="H2558" s="27" t="s">
        <v>19063</v>
      </c>
      <c r="I2558" s="27" t="s">
        <v>19066</v>
      </c>
      <c r="J2558" s="27"/>
      <c r="K2558" s="27"/>
      <c r="L2558" s="27"/>
      <c r="N2558" s="27"/>
      <c r="T2558" s="28" t="str">
        <f>LOOKUP(1,1/(Table1[[#This Row],[Level_0]:[Level 15]]&gt;0),(Table1[[#This Row],[Level_0]:[Level 15]]))</f>
        <v>7600304036 - [DAA_Management car]</v>
      </c>
      <c r="U2558" s="22">
        <v>2553</v>
      </c>
      <c r="W2558" s="13" t="str">
        <f>LOOKUP(1,1/(Table1[[#This Row],[Level_0]:[Level 15]]&gt;0),(Table1[[#This Row],[Level_0]:[Level 15]]))</f>
        <v>7600304036 - [DAA_Management car]</v>
      </c>
    </row>
    <row r="2559" spans="1:23" x14ac:dyDescent="0.25">
      <c r="A2559">
        <v>7600304035</v>
      </c>
      <c r="B2559" s="16" t="s">
        <v>21236</v>
      </c>
      <c r="C2559" s="16" t="e">
        <f>VLOOKUP(Table1[[#This Row],[Node]],Parent!A:B,2,0)</f>
        <v>#N/A</v>
      </c>
      <c r="D2559" s="25" t="s">
        <v>19346</v>
      </c>
      <c r="E2559" s="26" t="s">
        <v>16544</v>
      </c>
      <c r="F2559" s="27" t="s">
        <v>19051</v>
      </c>
      <c r="G2559" s="27" t="s">
        <v>19052</v>
      </c>
      <c r="H2559" s="27" t="s">
        <v>19063</v>
      </c>
      <c r="I2559" s="27" t="s">
        <v>19067</v>
      </c>
      <c r="J2559" s="27"/>
      <c r="K2559" s="27"/>
      <c r="L2559" s="27"/>
      <c r="N2559" s="27"/>
      <c r="T2559" s="28" t="str">
        <f>LOOKUP(1,1/(Table1[[#This Row],[Level_0]:[Level 15]]&gt;0),(Table1[[#This Row],[Level_0]:[Level 15]]))</f>
        <v>7600304035 - [DAA_Forklift outdoor (diesel/elektric)]</v>
      </c>
      <c r="U2559" s="22">
        <v>2554</v>
      </c>
      <c r="W2559" s="13" t="str">
        <f>LOOKUP(1,1/(Table1[[#This Row],[Level_0]:[Level 15]]&gt;0),(Table1[[#This Row],[Level_0]:[Level 15]]))</f>
        <v>7600304035 - [DAA_Forklift outdoor (diesel/elektric)]</v>
      </c>
    </row>
    <row r="2560" spans="1:23" x14ac:dyDescent="0.25">
      <c r="A2560">
        <v>7600304034</v>
      </c>
      <c r="B2560" s="16" t="s">
        <v>21235</v>
      </c>
      <c r="C2560" s="16" t="e">
        <f>VLOOKUP(Table1[[#This Row],[Node]],Parent!A:B,2,0)</f>
        <v>#N/A</v>
      </c>
      <c r="D2560" s="25" t="s">
        <v>19346</v>
      </c>
      <c r="E2560" s="26" t="s">
        <v>16544</v>
      </c>
      <c r="F2560" s="27" t="s">
        <v>19051</v>
      </c>
      <c r="G2560" s="27" t="s">
        <v>19052</v>
      </c>
      <c r="H2560" s="27" t="s">
        <v>19063</v>
      </c>
      <c r="I2560" s="27" t="s">
        <v>19068</v>
      </c>
      <c r="J2560" s="27"/>
      <c r="K2560" s="27"/>
      <c r="L2560" s="27"/>
      <c r="N2560" s="27"/>
      <c r="T2560" s="28" t="str">
        <f>LOOKUP(1,1/(Table1[[#This Row],[Level_0]:[Level 15]]&gt;0),(Table1[[#This Row],[Level_0]:[Level 15]]))</f>
        <v>7600304034 - [DAA_Forklift drawbar guided explosion pr]</v>
      </c>
      <c r="U2560" s="22">
        <v>2555</v>
      </c>
      <c r="W2560" s="13" t="str">
        <f>LOOKUP(1,1/(Table1[[#This Row],[Level_0]:[Level 15]]&gt;0),(Table1[[#This Row],[Level_0]:[Level 15]]))</f>
        <v>7600304034 - [DAA_Forklift drawbar guided explosion pr]</v>
      </c>
    </row>
    <row r="2561" spans="1:23" x14ac:dyDescent="0.25">
      <c r="A2561">
        <v>7600304033</v>
      </c>
      <c r="B2561" s="16" t="s">
        <v>21234</v>
      </c>
      <c r="C2561" s="16" t="e">
        <f>VLOOKUP(Table1[[#This Row],[Node]],Parent!A:B,2,0)</f>
        <v>#N/A</v>
      </c>
      <c r="D2561" s="25" t="s">
        <v>19346</v>
      </c>
      <c r="E2561" s="26" t="s">
        <v>16544</v>
      </c>
      <c r="F2561" s="27" t="s">
        <v>19051</v>
      </c>
      <c r="G2561" s="27" t="s">
        <v>19052</v>
      </c>
      <c r="H2561" s="27" t="s">
        <v>19063</v>
      </c>
      <c r="I2561" s="27" t="s">
        <v>19069</v>
      </c>
      <c r="J2561" s="27"/>
      <c r="K2561" s="27"/>
      <c r="L2561" s="27"/>
      <c r="N2561" s="27"/>
      <c r="T2561" s="28" t="str">
        <f>LOOKUP(1,1/(Table1[[#This Row],[Level_0]:[Level 15]]&gt;0),(Table1[[#This Row],[Level_0]:[Level 15]]))</f>
        <v>7600304033 - [DAA_Forklift with driverseat explosion p]</v>
      </c>
      <c r="U2561" s="22">
        <v>2556</v>
      </c>
      <c r="W2561" s="13" t="str">
        <f>LOOKUP(1,1/(Table1[[#This Row],[Level_0]:[Level 15]]&gt;0),(Table1[[#This Row],[Level_0]:[Level 15]]))</f>
        <v>7600304033 - [DAA_Forklift with driverseat explosion p]</v>
      </c>
    </row>
    <row r="2562" spans="1:23" x14ac:dyDescent="0.25">
      <c r="A2562">
        <v>7600304032</v>
      </c>
      <c r="B2562" s="16" t="s">
        <v>21233</v>
      </c>
      <c r="C2562" s="16" t="e">
        <f>VLOOKUP(Table1[[#This Row],[Node]],Parent!A:B,2,0)</f>
        <v>#N/A</v>
      </c>
      <c r="D2562" s="25" t="s">
        <v>19346</v>
      </c>
      <c r="E2562" s="26" t="s">
        <v>16544</v>
      </c>
      <c r="F2562" s="27" t="s">
        <v>19051</v>
      </c>
      <c r="G2562" s="27" t="s">
        <v>19052</v>
      </c>
      <c r="H2562" s="27" t="s">
        <v>19063</v>
      </c>
      <c r="I2562" s="27" t="s">
        <v>19070</v>
      </c>
      <c r="J2562" s="27"/>
      <c r="K2562" s="27"/>
      <c r="L2562" s="27"/>
      <c r="N2562" s="27"/>
      <c r="T2562" s="28" t="str">
        <f>LOOKUP(1,1/(Table1[[#This Row],[Level_0]:[Level 15]]&gt;0),(Table1[[#This Row],[Level_0]:[Level 15]]))</f>
        <v>7600304032 - [DAA_Forklift drawbar guided]</v>
      </c>
      <c r="U2562" s="22">
        <v>2557</v>
      </c>
      <c r="W2562" s="13" t="str">
        <f>LOOKUP(1,1/(Table1[[#This Row],[Level_0]:[Level 15]]&gt;0),(Table1[[#This Row],[Level_0]:[Level 15]]))</f>
        <v>7600304032 - [DAA_Forklift drawbar guided]</v>
      </c>
    </row>
    <row r="2563" spans="1:23" x14ac:dyDescent="0.25">
      <c r="A2563">
        <v>7600304031</v>
      </c>
      <c r="B2563" s="16" t="s">
        <v>21232</v>
      </c>
      <c r="C2563" s="16" t="e">
        <f>VLOOKUP(Table1[[#This Row],[Node]],Parent!A:B,2,0)</f>
        <v>#N/A</v>
      </c>
      <c r="D2563" s="25" t="s">
        <v>19346</v>
      </c>
      <c r="E2563" s="26" t="s">
        <v>16544</v>
      </c>
      <c r="F2563" s="27" t="s">
        <v>19051</v>
      </c>
      <c r="G2563" s="27" t="s">
        <v>19052</v>
      </c>
      <c r="H2563" s="27" t="s">
        <v>19063</v>
      </c>
      <c r="I2563" s="27" t="s">
        <v>19071</v>
      </c>
      <c r="J2563" s="27"/>
      <c r="K2563" s="27"/>
      <c r="L2563" s="27"/>
      <c r="N2563" s="27"/>
      <c r="T2563" s="28" t="str">
        <f>LOOKUP(1,1/(Table1[[#This Row],[Level_0]:[Level 15]]&gt;0),(Table1[[#This Row],[Level_0]:[Level 15]]))</f>
        <v>7600304031 - [DAA_Forklift with driverseat]</v>
      </c>
      <c r="U2563" s="22">
        <v>2558</v>
      </c>
      <c r="W2563" s="13" t="str">
        <f>LOOKUP(1,1/(Table1[[#This Row],[Level_0]:[Level 15]]&gt;0),(Table1[[#This Row],[Level_0]:[Level 15]]))</f>
        <v>7600304031 - [DAA_Forklift with driverseat]</v>
      </c>
    </row>
    <row r="2564" spans="1:23" x14ac:dyDescent="0.25">
      <c r="A2564">
        <v>7600304030</v>
      </c>
      <c r="B2564" s="16" t="s">
        <v>21231</v>
      </c>
      <c r="C2564" s="16" t="e">
        <f>VLOOKUP(Table1[[#This Row],[Node]],Parent!A:B,2,0)</f>
        <v>#N/A</v>
      </c>
      <c r="D2564" s="25" t="s">
        <v>19346</v>
      </c>
      <c r="E2564" s="26" t="s">
        <v>16544</v>
      </c>
      <c r="F2564" s="27" t="s">
        <v>19051</v>
      </c>
      <c r="G2564" s="27" t="s">
        <v>19052</v>
      </c>
      <c r="H2564" s="27" t="s">
        <v>19063</v>
      </c>
      <c r="I2564" s="27" t="s">
        <v>19072</v>
      </c>
      <c r="J2564" s="27"/>
      <c r="K2564" s="27"/>
      <c r="L2564" s="27"/>
      <c r="N2564" s="27"/>
      <c r="T2564" s="28" t="str">
        <f>LOOKUP(1,1/(Table1[[#This Row],[Level_0]:[Level 15]]&gt;0),(Table1[[#This Row],[Level_0]:[Level 15]]))</f>
        <v>7600304030 - [DAA_Transporter (small vehicles, trailer]</v>
      </c>
      <c r="U2564" s="22">
        <v>2559</v>
      </c>
      <c r="W2564" s="13" t="str">
        <f>LOOKUP(1,1/(Table1[[#This Row],[Level_0]:[Level 15]]&gt;0),(Table1[[#This Row],[Level_0]:[Level 15]]))</f>
        <v>7600304030 - [DAA_Transporter (small vehicles, trailer]</v>
      </c>
    </row>
    <row r="2565" spans="1:23" x14ac:dyDescent="0.25">
      <c r="A2565">
        <v>7600304027</v>
      </c>
      <c r="B2565" s="16" t="s">
        <v>21228</v>
      </c>
      <c r="C2565" s="16" t="e">
        <f>VLOOKUP(Table1[[#This Row],[Node]],Parent!A:B,2,0)</f>
        <v>#N/A</v>
      </c>
      <c r="D2565" s="25" t="s">
        <v>19346</v>
      </c>
      <c r="E2565" s="26" t="s">
        <v>16544</v>
      </c>
      <c r="F2565" s="27" t="s">
        <v>19051</v>
      </c>
      <c r="G2565" s="27" t="s">
        <v>19052</v>
      </c>
      <c r="H2565" s="27" t="s">
        <v>19063</v>
      </c>
      <c r="I2565" s="27" t="s">
        <v>19073</v>
      </c>
      <c r="J2565" s="27"/>
      <c r="K2565" s="27"/>
      <c r="L2565" s="27"/>
      <c r="N2565" s="27"/>
      <c r="T2565" s="28" t="str">
        <f>LOOKUP(1,1/(Table1[[#This Row],[Level_0]:[Level 15]]&gt;0),(Table1[[#This Row],[Level_0]:[Level 15]]))</f>
        <v>7600304027 - [DAA_Truck (trailer truck, swap body truc]</v>
      </c>
      <c r="U2565" s="22">
        <v>2560</v>
      </c>
      <c r="W2565" s="13" t="str">
        <f>LOOKUP(1,1/(Table1[[#This Row],[Level_0]:[Level 15]]&gt;0),(Table1[[#This Row],[Level_0]:[Level 15]]))</f>
        <v>7600304027 - [DAA_Truck (trailer truck, swap body truc]</v>
      </c>
    </row>
    <row r="2566" spans="1:23" x14ac:dyDescent="0.25">
      <c r="A2566">
        <v>7600304021</v>
      </c>
      <c r="B2566" s="16" t="s">
        <v>21222</v>
      </c>
      <c r="C2566" s="16" t="e">
        <f>VLOOKUP(Table1[[#This Row],[Node]],Parent!A:B,2,0)</f>
        <v>#N/A</v>
      </c>
      <c r="D2566" s="25" t="s">
        <v>19346</v>
      </c>
      <c r="E2566" s="26" t="s">
        <v>16544</v>
      </c>
      <c r="F2566" s="27" t="s">
        <v>19051</v>
      </c>
      <c r="G2566" s="27" t="s">
        <v>19052</v>
      </c>
      <c r="H2566" s="27" t="s">
        <v>19063</v>
      </c>
      <c r="I2566" s="27" t="s">
        <v>19074</v>
      </c>
      <c r="J2566" s="27"/>
      <c r="K2566" s="27"/>
      <c r="L2566" s="27"/>
      <c r="N2566" s="27"/>
      <c r="T2566" s="28" t="str">
        <f>LOOKUP(1,1/(Table1[[#This Row],[Level_0]:[Level 15]]&gt;0),(Table1[[#This Row],[Level_0]:[Level 15]]))</f>
        <v>7600304021 - [DAA_Heavy duty  vehicle (container side]</v>
      </c>
      <c r="U2566" s="22">
        <v>2561</v>
      </c>
      <c r="W2566" s="13" t="str">
        <f>LOOKUP(1,1/(Table1[[#This Row],[Level_0]:[Level 15]]&gt;0),(Table1[[#This Row],[Level_0]:[Level 15]]))</f>
        <v>7600304021 - [DAA_Heavy duty  vehicle (container side]</v>
      </c>
    </row>
    <row r="2567" spans="1:23" x14ac:dyDescent="0.25">
      <c r="A2567">
        <v>7600304013</v>
      </c>
      <c r="B2567" s="16" t="s">
        <v>21214</v>
      </c>
      <c r="C2567" s="16" t="e">
        <f>VLOOKUP(Table1[[#This Row],[Node]],Parent!A:B,2,0)</f>
        <v>#N/A</v>
      </c>
      <c r="D2567" s="25" t="s">
        <v>19346</v>
      </c>
      <c r="E2567" s="26" t="s">
        <v>16544</v>
      </c>
      <c r="F2567" s="27" t="s">
        <v>19051</v>
      </c>
      <c r="G2567" s="27" t="s">
        <v>19052</v>
      </c>
      <c r="H2567" s="27" t="s">
        <v>19063</v>
      </c>
      <c r="I2567" s="27" t="s">
        <v>19075</v>
      </c>
      <c r="J2567" s="27"/>
      <c r="K2567" s="27"/>
      <c r="L2567" s="27"/>
      <c r="N2567" s="27"/>
      <c r="T2567" s="28" t="str">
        <f>LOOKUP(1,1/(Table1[[#This Row],[Level_0]:[Level 15]]&gt;0),(Table1[[#This Row],[Level_0]:[Level 15]]))</f>
        <v>7600304013 - [DAA_Department vehicle (infrequent drive]</v>
      </c>
      <c r="U2567" s="22">
        <v>2562</v>
      </c>
      <c r="W2567" s="13" t="str">
        <f>LOOKUP(1,1/(Table1[[#This Row],[Level_0]:[Level 15]]&gt;0),(Table1[[#This Row],[Level_0]:[Level 15]]))</f>
        <v>7600304013 - [DAA_Department vehicle (infrequent drive]</v>
      </c>
    </row>
    <row r="2568" spans="1:23" x14ac:dyDescent="0.25">
      <c r="A2568">
        <v>5205110000</v>
      </c>
      <c r="B2568" s="16" t="s">
        <v>20118</v>
      </c>
      <c r="C2568" s="16" t="e">
        <f>VLOOKUP(Table1[[#This Row],[Node]],Parent!A:B,2,0)</f>
        <v>#N/A</v>
      </c>
      <c r="D2568" s="25" t="s">
        <v>19346</v>
      </c>
      <c r="E2568" s="26" t="s">
        <v>16544</v>
      </c>
      <c r="F2568" s="27" t="s">
        <v>19051</v>
      </c>
      <c r="G2568" s="27" t="s">
        <v>19052</v>
      </c>
      <c r="H2568" s="27" t="s">
        <v>19063</v>
      </c>
      <c r="I2568" s="27" t="s">
        <v>19076</v>
      </c>
      <c r="J2568" s="27"/>
      <c r="K2568" s="27"/>
      <c r="L2568" s="27"/>
      <c r="N2568" s="27"/>
      <c r="T2568" s="28" t="str">
        <f>LOOKUP(1,1/(Table1[[#This Row],[Level_0]:[Level 15]]&gt;0),(Table1[[#This Row],[Level_0]:[Level 15]]))</f>
        <v>5205110000 - [IC Exp - SMS - Vehicle Management]</v>
      </c>
      <c r="U2568" s="22">
        <v>2563</v>
      </c>
      <c r="W2568" s="13" t="str">
        <f>LOOKUP(1,1/(Table1[[#This Row],[Level_0]:[Level 15]]&gt;0),(Table1[[#This Row],[Level_0]:[Level 15]]))</f>
        <v>5205110000 - [IC Exp - SMS - Vehicle Management]</v>
      </c>
    </row>
    <row r="2569" spans="1:23" x14ac:dyDescent="0.25">
      <c r="A2569">
        <v>5203510000</v>
      </c>
      <c r="B2569" s="16" t="s">
        <v>20116</v>
      </c>
      <c r="C2569" s="16" t="e">
        <f>VLOOKUP(Table1[[#This Row],[Node]],Parent!A:B,2,0)</f>
        <v>#N/A</v>
      </c>
      <c r="D2569" s="25" t="s">
        <v>19346</v>
      </c>
      <c r="E2569" s="26" t="s">
        <v>16544</v>
      </c>
      <c r="F2569" s="27" t="s">
        <v>19051</v>
      </c>
      <c r="G2569" s="27" t="s">
        <v>19052</v>
      </c>
      <c r="H2569" s="27" t="s">
        <v>19063</v>
      </c>
      <c r="I2569" s="27" t="s">
        <v>19077</v>
      </c>
      <c r="J2569" s="27"/>
      <c r="K2569" s="27"/>
      <c r="L2569" s="27"/>
      <c r="N2569" s="27"/>
      <c r="T2569" s="28" t="str">
        <f>LOOKUP(1,1/(Table1[[#This Row],[Level_0]:[Level 15]]&gt;0),(Table1[[#This Row],[Level_0]:[Level 15]]))</f>
        <v>5203510000 - [IC Exp - SMS - SM Services Crane]</v>
      </c>
      <c r="U2569" s="22">
        <v>2564</v>
      </c>
      <c r="W2569" s="13" t="str">
        <f>LOOKUP(1,1/(Table1[[#This Row],[Level_0]:[Level 15]]&gt;0),(Table1[[#This Row],[Level_0]:[Level 15]]))</f>
        <v>5203510000 - [IC Exp - SMS - SM Services Crane]</v>
      </c>
    </row>
    <row r="2570" spans="1:23" x14ac:dyDescent="0.25">
      <c r="A2570">
        <v>5205310000</v>
      </c>
      <c r="B2570" s="16" t="s">
        <v>20120</v>
      </c>
      <c r="C2570" s="16" t="e">
        <f>VLOOKUP(Table1[[#This Row],[Node]],Parent!A:B,2,0)</f>
        <v>#N/A</v>
      </c>
      <c r="D2570" s="25" t="s">
        <v>19346</v>
      </c>
      <c r="E2570" s="26" t="s">
        <v>16544</v>
      </c>
      <c r="F2570" s="27" t="s">
        <v>19051</v>
      </c>
      <c r="G2570" s="27" t="s">
        <v>19052</v>
      </c>
      <c r="H2570" s="27" t="s">
        <v>19063</v>
      </c>
      <c r="I2570" s="27" t="s">
        <v>19078</v>
      </c>
      <c r="J2570" s="27"/>
      <c r="K2570" s="27"/>
      <c r="L2570" s="27"/>
      <c r="N2570" s="27"/>
      <c r="T2570" s="28" t="str">
        <f>LOOKUP(1,1/(Table1[[#This Row],[Level_0]:[Level 15]]&gt;0),(Table1[[#This Row],[Level_0]:[Level 15]]))</f>
        <v>5205310000 - [IC Exp - SMS - Vehicle Maintenance]</v>
      </c>
      <c r="U2570" s="22">
        <v>2565</v>
      </c>
      <c r="W2570" s="13" t="str">
        <f>LOOKUP(1,1/(Table1[[#This Row],[Level_0]:[Level 15]]&gt;0),(Table1[[#This Row],[Level_0]:[Level 15]]))</f>
        <v>5205310000 - [IC Exp - SMS - Vehicle Maintenance]</v>
      </c>
    </row>
    <row r="2571" spans="1:23" x14ac:dyDescent="0.25">
      <c r="A2571">
        <v>7600304020</v>
      </c>
      <c r="B2571" s="16" t="s">
        <v>21221</v>
      </c>
      <c r="C2571" s="16" t="e">
        <f>VLOOKUP(Table1[[#This Row],[Node]],Parent!A:B,2,0)</f>
        <v>#N/A</v>
      </c>
      <c r="D2571" s="25" t="s">
        <v>19346</v>
      </c>
      <c r="E2571" s="26" t="s">
        <v>16544</v>
      </c>
      <c r="F2571" s="27" t="s">
        <v>19051</v>
      </c>
      <c r="G2571" s="27" t="s">
        <v>19052</v>
      </c>
      <c r="H2571" s="27" t="s">
        <v>19063</v>
      </c>
      <c r="I2571" s="27" t="s">
        <v>19079</v>
      </c>
      <c r="J2571" s="27"/>
      <c r="K2571" s="27"/>
      <c r="L2571" s="27"/>
      <c r="N2571" s="27"/>
      <c r="T2571" s="28" t="str">
        <f>LOOKUP(1,1/(Table1[[#This Row],[Level_0]:[Level 15]]&gt;0),(Table1[[#This Row],[Level_0]:[Level 15]]))</f>
        <v>7600304020 - [DAA Vehicles fuels/power]</v>
      </c>
      <c r="U2571" s="22">
        <v>2566</v>
      </c>
      <c r="W2571" s="13" t="str">
        <f>LOOKUP(1,1/(Table1[[#This Row],[Level_0]:[Level 15]]&gt;0),(Table1[[#This Row],[Level_0]:[Level 15]]))</f>
        <v>7600304020 - [DAA Vehicles fuels/power]</v>
      </c>
    </row>
    <row r="2572" spans="1:23" x14ac:dyDescent="0.25">
      <c r="A2572">
        <v>7600304019</v>
      </c>
      <c r="B2572" s="16" t="s">
        <v>21220</v>
      </c>
      <c r="C2572" s="16" t="e">
        <f>VLOOKUP(Table1[[#This Row],[Node]],Parent!A:B,2,0)</f>
        <v>#N/A</v>
      </c>
      <c r="D2572" s="25" t="s">
        <v>19346</v>
      </c>
      <c r="E2572" s="26" t="s">
        <v>16544</v>
      </c>
      <c r="F2572" s="27" t="s">
        <v>19051</v>
      </c>
      <c r="G2572" s="27" t="s">
        <v>19052</v>
      </c>
      <c r="H2572" s="27" t="s">
        <v>19063</v>
      </c>
      <c r="I2572" s="27" t="s">
        <v>19080</v>
      </c>
      <c r="J2572" s="27"/>
      <c r="K2572" s="27"/>
      <c r="L2572" s="27"/>
      <c r="N2572" s="27"/>
      <c r="T2572" s="28" t="str">
        <f>LOOKUP(1,1/(Table1[[#This Row],[Level_0]:[Level 15]]&gt;0),(Table1[[#This Row],[Level_0]:[Level 15]]))</f>
        <v>7600304019 - [DAA Company vehicles]</v>
      </c>
      <c r="U2572" s="22">
        <v>2567</v>
      </c>
      <c r="W2572" s="13" t="str">
        <f>LOOKUP(1,1/(Table1[[#This Row],[Level_0]:[Level 15]]&gt;0),(Table1[[#This Row],[Level_0]:[Level 15]]))</f>
        <v>7600304019 - [DAA Company vehicles]</v>
      </c>
    </row>
    <row r="2573" spans="1:23" x14ac:dyDescent="0.25">
      <c r="A2573">
        <v>7600304015</v>
      </c>
      <c r="B2573" s="16" t="s">
        <v>21216</v>
      </c>
      <c r="C2573" s="16" t="e">
        <f>VLOOKUP(Table1[[#This Row],[Node]],Parent!A:B,2,0)</f>
        <v>#N/A</v>
      </c>
      <c r="D2573" s="25" t="s">
        <v>19346</v>
      </c>
      <c r="E2573" s="26" t="s">
        <v>16544</v>
      </c>
      <c r="F2573" s="27" t="s">
        <v>19051</v>
      </c>
      <c r="G2573" s="27" t="s">
        <v>19052</v>
      </c>
      <c r="H2573" s="27" t="s">
        <v>19063</v>
      </c>
      <c r="I2573" s="27" t="s">
        <v>19081</v>
      </c>
      <c r="J2573" s="27"/>
      <c r="K2573" s="27"/>
      <c r="L2573" s="27"/>
      <c r="N2573" s="27"/>
      <c r="T2573" s="28" t="str">
        <f>LOOKUP(1,1/(Table1[[#This Row],[Level_0]:[Level 15]]&gt;0),(Table1[[#This Row],[Level_0]:[Level 15]]))</f>
        <v>7600304015 - [DAA_Bicycles]</v>
      </c>
      <c r="U2573" s="22">
        <v>2568</v>
      </c>
      <c r="W2573" s="13" t="str">
        <f>LOOKUP(1,1/(Table1[[#This Row],[Level_0]:[Level 15]]&gt;0),(Table1[[#This Row],[Level_0]:[Level 15]]))</f>
        <v>7600304015 - [DAA_Bicycles]</v>
      </c>
    </row>
    <row r="2574" spans="1:23" x14ac:dyDescent="0.25">
      <c r="A2574">
        <v>7600304014</v>
      </c>
      <c r="B2574" s="16" t="s">
        <v>21215</v>
      </c>
      <c r="C2574" s="16" t="e">
        <f>VLOOKUP(Table1[[#This Row],[Node]],Parent!A:B,2,0)</f>
        <v>#N/A</v>
      </c>
      <c r="D2574" s="25" t="s">
        <v>19346</v>
      </c>
      <c r="E2574" s="26" t="s">
        <v>16544</v>
      </c>
      <c r="F2574" s="27" t="s">
        <v>19051</v>
      </c>
      <c r="G2574" s="27" t="s">
        <v>19052</v>
      </c>
      <c r="H2574" s="27" t="s">
        <v>19063</v>
      </c>
      <c r="I2574" s="27" t="s">
        <v>19082</v>
      </c>
      <c r="J2574" s="27"/>
      <c r="K2574" s="27"/>
      <c r="L2574" s="27"/>
      <c r="N2574" s="27"/>
      <c r="T2574" s="28" t="str">
        <f>LOOKUP(1,1/(Table1[[#This Row],[Level_0]:[Level 15]]&gt;0),(Table1[[#This Row],[Level_0]:[Level 15]]))</f>
        <v>7600304014 - [DAA_Executive cars]</v>
      </c>
      <c r="U2574" s="22">
        <v>2569</v>
      </c>
      <c r="W2574" s="13" t="str">
        <f>LOOKUP(1,1/(Table1[[#This Row],[Level_0]:[Level 15]]&gt;0),(Table1[[#This Row],[Level_0]:[Level 15]]))</f>
        <v>7600304014 - [DAA_Executive cars]</v>
      </c>
    </row>
    <row r="2575" spans="1:23" x14ac:dyDescent="0.25">
      <c r="A2575">
        <v>7600304010</v>
      </c>
      <c r="B2575" s="16" t="s">
        <v>21211</v>
      </c>
      <c r="C2575" s="16" t="e">
        <f>VLOOKUP(Table1[[#This Row],[Node]],Parent!A:B,2,0)</f>
        <v>#N/A</v>
      </c>
      <c r="D2575" s="25" t="s">
        <v>19346</v>
      </c>
      <c r="E2575" s="26" t="s">
        <v>16544</v>
      </c>
      <c r="F2575" s="27" t="s">
        <v>19051</v>
      </c>
      <c r="G2575" s="27" t="s">
        <v>19052</v>
      </c>
      <c r="H2575" s="27" t="s">
        <v>19063</v>
      </c>
      <c r="I2575" s="27" t="s">
        <v>19083</v>
      </c>
      <c r="J2575" s="27"/>
      <c r="K2575" s="27"/>
      <c r="L2575" s="27"/>
      <c r="N2575" s="27"/>
      <c r="T2575" s="28" t="str">
        <f>LOOKUP(1,1/(Table1[[#This Row],[Level_0]:[Level 15]]&gt;0),(Table1[[#This Row],[Level_0]:[Level 15]]))</f>
        <v>7600304010 - [DAA_Department vehicle (frequent driver,]</v>
      </c>
      <c r="U2575" s="22">
        <v>2570</v>
      </c>
      <c r="W2575" s="13" t="str">
        <f>LOOKUP(1,1/(Table1[[#This Row],[Level_0]:[Level 15]]&gt;0),(Table1[[#This Row],[Level_0]:[Level 15]]))</f>
        <v>7600304010 - [DAA_Department vehicle (frequent driver,]</v>
      </c>
    </row>
    <row r="2576" spans="1:23" x14ac:dyDescent="0.25">
      <c r="A2576">
        <v>5201090000</v>
      </c>
      <c r="B2576" s="16" t="s">
        <v>20097</v>
      </c>
      <c r="C2576" s="16" t="e">
        <f>VLOOKUP(Table1[[#This Row],[Node]],Parent!A:B,2,0)</f>
        <v>#N/A</v>
      </c>
      <c r="D2576" s="25" t="s">
        <v>19346</v>
      </c>
      <c r="E2576" s="26" t="s">
        <v>16544</v>
      </c>
      <c r="F2576" s="27" t="s">
        <v>19051</v>
      </c>
      <c r="G2576" s="27" t="s">
        <v>19052</v>
      </c>
      <c r="H2576" s="27" t="s">
        <v>19063</v>
      </c>
      <c r="I2576" s="27" t="s">
        <v>19084</v>
      </c>
      <c r="J2576" s="27"/>
      <c r="K2576" s="27"/>
      <c r="L2576" s="27"/>
      <c r="N2576" s="27"/>
      <c r="T2576" s="28" t="str">
        <f>LOOKUP(1,1/(Table1[[#This Row],[Level_0]:[Level 15]]&gt;0),(Table1[[#This Row],[Level_0]:[Level 15]]))</f>
        <v>5201090000 - [Vehicle - Other Expenses]</v>
      </c>
      <c r="U2576" s="22">
        <v>2571</v>
      </c>
      <c r="W2576" s="13" t="str">
        <f>LOOKUP(1,1/(Table1[[#This Row],[Level_0]:[Level 15]]&gt;0),(Table1[[#This Row],[Level_0]:[Level 15]]))</f>
        <v>5201090000 - [Vehicle - Other Expenses]</v>
      </c>
    </row>
    <row r="2577" spans="1:23" x14ac:dyDescent="0.25">
      <c r="A2577">
        <v>5201030000</v>
      </c>
      <c r="B2577" s="16" t="s">
        <v>20096</v>
      </c>
      <c r="C2577" s="16" t="e">
        <f>VLOOKUP(Table1[[#This Row],[Node]],Parent!A:B,2,0)</f>
        <v>#N/A</v>
      </c>
      <c r="D2577" s="25" t="s">
        <v>19346</v>
      </c>
      <c r="E2577" s="26" t="s">
        <v>16544</v>
      </c>
      <c r="F2577" s="27" t="s">
        <v>19051</v>
      </c>
      <c r="G2577" s="27" t="s">
        <v>19052</v>
      </c>
      <c r="H2577" s="27" t="s">
        <v>19063</v>
      </c>
      <c r="I2577" s="27" t="s">
        <v>19085</v>
      </c>
      <c r="J2577" s="27"/>
      <c r="K2577" s="27"/>
      <c r="L2577" s="27"/>
      <c r="N2577" s="27"/>
      <c r="T2577" s="28" t="str">
        <f>LOOKUP(1,1/(Table1[[#This Row],[Level_0]:[Level 15]]&gt;0),(Table1[[#This Row],[Level_0]:[Level 15]]))</f>
        <v>5201030000 - [Vehicle - Electricity]</v>
      </c>
      <c r="U2577" s="22">
        <v>2572</v>
      </c>
      <c r="W2577" s="13" t="str">
        <f>LOOKUP(1,1/(Table1[[#This Row],[Level_0]:[Level 15]]&gt;0),(Table1[[#This Row],[Level_0]:[Level 15]]))</f>
        <v>5201030000 - [Vehicle - Electricity]</v>
      </c>
    </row>
    <row r="2578" spans="1:23" x14ac:dyDescent="0.25">
      <c r="A2578">
        <v>5201020000</v>
      </c>
      <c r="B2578" s="16" t="s">
        <v>20095</v>
      </c>
      <c r="C2578" s="16" t="e">
        <f>VLOOKUP(Table1[[#This Row],[Node]],Parent!A:B,2,0)</f>
        <v>#N/A</v>
      </c>
      <c r="D2578" s="25" t="s">
        <v>19346</v>
      </c>
      <c r="E2578" s="26" t="s">
        <v>16544</v>
      </c>
      <c r="F2578" s="27" t="s">
        <v>19051</v>
      </c>
      <c r="G2578" s="27" t="s">
        <v>19052</v>
      </c>
      <c r="H2578" s="27" t="s">
        <v>19063</v>
      </c>
      <c r="I2578" s="27" t="s">
        <v>19086</v>
      </c>
      <c r="J2578" s="27"/>
      <c r="K2578" s="27"/>
      <c r="L2578" s="27"/>
      <c r="N2578" s="27"/>
      <c r="T2578" s="28" t="str">
        <f>LOOKUP(1,1/(Table1[[#This Row],[Level_0]:[Level 15]]&gt;0),(Table1[[#This Row],[Level_0]:[Level 15]]))</f>
        <v>5201020000 - [Vehicle - Repair and Mainten]</v>
      </c>
      <c r="U2578" s="22">
        <v>2573</v>
      </c>
      <c r="W2578" s="13" t="str">
        <f>LOOKUP(1,1/(Table1[[#This Row],[Level_0]:[Level 15]]&gt;0),(Table1[[#This Row],[Level_0]:[Level 15]]))</f>
        <v>5201020000 - [Vehicle - Repair and Mainten]</v>
      </c>
    </row>
    <row r="2579" spans="1:23" x14ac:dyDescent="0.25">
      <c r="A2579">
        <v>5201000000</v>
      </c>
      <c r="B2579" s="16" t="s">
        <v>20093</v>
      </c>
      <c r="C2579" s="16" t="e">
        <f>VLOOKUP(Table1[[#This Row],[Node]],Parent!A:B,2,0)</f>
        <v>#N/A</v>
      </c>
      <c r="D2579" s="25" t="s">
        <v>19346</v>
      </c>
      <c r="E2579" s="26" t="s">
        <v>16544</v>
      </c>
      <c r="F2579" s="27" t="s">
        <v>19051</v>
      </c>
      <c r="G2579" s="27" t="s">
        <v>19052</v>
      </c>
      <c r="H2579" s="27" t="s">
        <v>19063</v>
      </c>
      <c r="I2579" s="27" t="s">
        <v>19087</v>
      </c>
      <c r="J2579" s="27"/>
      <c r="K2579" s="27"/>
      <c r="L2579" s="27"/>
      <c r="N2579" s="27"/>
      <c r="T2579" s="28" t="str">
        <f>LOOKUP(1,1/(Table1[[#This Row],[Level_0]:[Level 15]]&gt;0),(Table1[[#This Row],[Level_0]:[Level 15]]))</f>
        <v>5201000000 - [Vehicle - Fuel]</v>
      </c>
      <c r="U2579" s="22">
        <v>2574</v>
      </c>
      <c r="W2579" s="13" t="str">
        <f>LOOKUP(1,1/(Table1[[#This Row],[Level_0]:[Level 15]]&gt;0),(Table1[[#This Row],[Level_0]:[Level 15]]))</f>
        <v>5201000000 - [Vehicle - Fuel]</v>
      </c>
    </row>
    <row r="2580" spans="1:23" x14ac:dyDescent="0.25">
      <c r="A2580">
        <v>110202</v>
      </c>
      <c r="B2580" s="16" t="s">
        <v>19392</v>
      </c>
      <c r="C2580" s="16" t="e">
        <f>VLOOKUP(Table1[[#This Row],[Node]],Parent!A:B,2,0)</f>
        <v>#N/A</v>
      </c>
      <c r="D2580" s="25" t="s">
        <v>19346</v>
      </c>
      <c r="E2580" s="26" t="s">
        <v>16544</v>
      </c>
      <c r="F2580" s="27" t="s">
        <v>19051</v>
      </c>
      <c r="G2580" s="27" t="s">
        <v>19052</v>
      </c>
      <c r="H2580" s="27" t="s">
        <v>19088</v>
      </c>
      <c r="I2580" s="27"/>
      <c r="J2580" s="27"/>
      <c r="K2580" s="27"/>
      <c r="L2580" s="27"/>
      <c r="N2580" s="27"/>
      <c r="T2580" s="28" t="str">
        <f>LOOKUP(1,1/(Table1[[#This Row],[Level_0]:[Level 15]]&gt;0),(Table1[[#This Row],[Level_0]:[Level 15]]))</f>
        <v>110202 - [Buildings, land &amp; facilities costs]</v>
      </c>
      <c r="U2580" s="22">
        <v>2575</v>
      </c>
      <c r="W2580" s="13" t="str">
        <f>LOOKUP(1,1/(Table1[[#This Row],[Level_0]:[Level 15]]&gt;0),(Table1[[#This Row],[Level_0]:[Level 15]]))</f>
        <v>110202 - [Buildings, land &amp; facilities costs]</v>
      </c>
    </row>
    <row r="2581" spans="1:23" x14ac:dyDescent="0.25">
      <c r="A2581">
        <v>110220</v>
      </c>
      <c r="B2581" s="16" t="s">
        <v>19393</v>
      </c>
      <c r="C2581" s="16" t="e">
        <f>VLOOKUP(Table1[[#This Row],[Node]],Parent!A:B,2,0)</f>
        <v>#N/A</v>
      </c>
      <c r="D2581" s="25" t="s">
        <v>19346</v>
      </c>
      <c r="E2581" s="26" t="s">
        <v>16544</v>
      </c>
      <c r="F2581" s="27" t="s">
        <v>19051</v>
      </c>
      <c r="G2581" s="27" t="s">
        <v>19052</v>
      </c>
      <c r="H2581" s="27" t="s">
        <v>19088</v>
      </c>
      <c r="I2581" s="27" t="s">
        <v>19089</v>
      </c>
      <c r="J2581" s="27"/>
      <c r="K2581" s="27"/>
      <c r="L2581" s="27"/>
      <c r="N2581" s="27"/>
      <c r="T2581" s="28" t="str">
        <f>LOOKUP(1,1/(Table1[[#This Row],[Level_0]:[Level 15]]&gt;0),(Table1[[#This Row],[Level_0]:[Level 15]]))</f>
        <v>110220 - [Allocated Building Costs/Room Charge]</v>
      </c>
      <c r="U2581" s="22">
        <v>2576</v>
      </c>
      <c r="W2581" s="13" t="str">
        <f>LOOKUP(1,1/(Table1[[#This Row],[Level_0]:[Level 15]]&gt;0),(Table1[[#This Row],[Level_0]:[Level 15]]))</f>
        <v>110220 - [Allocated Building Costs/Room Charge]</v>
      </c>
    </row>
    <row r="2582" spans="1:23" x14ac:dyDescent="0.25">
      <c r="A2582">
        <v>5220110000</v>
      </c>
      <c r="B2582" s="16" t="s">
        <v>20158</v>
      </c>
      <c r="C2582" s="16" t="e">
        <f>VLOOKUP(Table1[[#This Row],[Node]],Parent!A:B,2,0)</f>
        <v>#N/A</v>
      </c>
      <c r="D2582" s="25" t="s">
        <v>19346</v>
      </c>
      <c r="E2582" s="26" t="s">
        <v>16544</v>
      </c>
      <c r="F2582" s="27" t="s">
        <v>19051</v>
      </c>
      <c r="G2582" s="27" t="s">
        <v>19052</v>
      </c>
      <c r="H2582" s="27" t="s">
        <v>19088</v>
      </c>
      <c r="I2582" s="27" t="s">
        <v>19089</v>
      </c>
      <c r="J2582" s="27" t="s">
        <v>19090</v>
      </c>
      <c r="K2582" s="27"/>
      <c r="L2582" s="27"/>
      <c r="N2582" s="27"/>
      <c r="T2582" s="28" t="str">
        <f>LOOKUP(1,1/(Table1[[#This Row],[Level_0]:[Level 15]]&gt;0),(Table1[[#This Row],[Level_0]:[Level 15]]))</f>
        <v>5220110000 - [IC Exp - SMS - MRE Rental Services]</v>
      </c>
      <c r="U2582" s="22">
        <v>2577</v>
      </c>
      <c r="W2582" s="13" t="str">
        <f>LOOKUP(1,1/(Table1[[#This Row],[Level_0]:[Level 15]]&gt;0),(Table1[[#This Row],[Level_0]:[Level 15]]))</f>
        <v>5220110000 - [IC Exp - SMS - MRE Rental Services]</v>
      </c>
    </row>
    <row r="2583" spans="1:23" x14ac:dyDescent="0.25">
      <c r="A2583">
        <v>5221110000</v>
      </c>
      <c r="B2583" s="16" t="s">
        <v>20160</v>
      </c>
      <c r="C2583" s="16" t="e">
        <f>VLOOKUP(Table1[[#This Row],[Node]],Parent!A:B,2,0)</f>
        <v>#N/A</v>
      </c>
      <c r="D2583" s="25" t="s">
        <v>19346</v>
      </c>
      <c r="E2583" s="26" t="s">
        <v>16544</v>
      </c>
      <c r="F2583" s="27" t="s">
        <v>19051</v>
      </c>
      <c r="G2583" s="27" t="s">
        <v>19052</v>
      </c>
      <c r="H2583" s="27" t="s">
        <v>19088</v>
      </c>
      <c r="I2583" s="27" t="s">
        <v>19089</v>
      </c>
      <c r="J2583" s="27" t="s">
        <v>19091</v>
      </c>
      <c r="K2583" s="27"/>
      <c r="L2583" s="27"/>
      <c r="N2583" s="27"/>
      <c r="T2583" s="28" t="str">
        <f>LOOKUP(1,1/(Table1[[#This Row],[Level_0]:[Level 15]]&gt;0),(Table1[[#This Row],[Level_0]:[Level 15]]))</f>
        <v>5221110000 - [IC Exp - SMS - MRE Property Management]</v>
      </c>
      <c r="U2583" s="22">
        <v>2578</v>
      </c>
      <c r="W2583" s="13" t="str">
        <f>LOOKUP(1,1/(Table1[[#This Row],[Level_0]:[Level 15]]&gt;0),(Table1[[#This Row],[Level_0]:[Level 15]]))</f>
        <v>5221110000 - [IC Exp - SMS - MRE Property Management]</v>
      </c>
    </row>
    <row r="2584" spans="1:23" x14ac:dyDescent="0.25">
      <c r="A2584">
        <v>5221510000</v>
      </c>
      <c r="B2584" s="16" t="s">
        <v>20164</v>
      </c>
      <c r="C2584" s="16" t="e">
        <f>VLOOKUP(Table1[[#This Row],[Node]],Parent!A:B,2,0)</f>
        <v>#N/A</v>
      </c>
      <c r="D2584" s="25" t="s">
        <v>19346</v>
      </c>
      <c r="E2584" s="26" t="s">
        <v>16544</v>
      </c>
      <c r="F2584" s="27" t="s">
        <v>19051</v>
      </c>
      <c r="G2584" s="27" t="s">
        <v>19052</v>
      </c>
      <c r="H2584" s="27" t="s">
        <v>19088</v>
      </c>
      <c r="I2584" s="27" t="s">
        <v>19089</v>
      </c>
      <c r="J2584" s="27" t="s">
        <v>19092</v>
      </c>
      <c r="K2584" s="27"/>
      <c r="L2584" s="27"/>
      <c r="N2584" s="27"/>
      <c r="T2584" s="28" t="str">
        <f>LOOKUP(1,1/(Table1[[#This Row],[Level_0]:[Level 15]]&gt;0),(Table1[[#This Row],[Level_0]:[Level 15]]))</f>
        <v>5221510000 - [IC Exp-SMS-MRE ValueAdd Real Estate Serv]</v>
      </c>
      <c r="U2584" s="22">
        <v>2579</v>
      </c>
      <c r="W2584" s="13" t="str">
        <f>LOOKUP(1,1/(Table1[[#This Row],[Level_0]:[Level 15]]&gt;0),(Table1[[#This Row],[Level_0]:[Level 15]]))</f>
        <v>5221510000 - [IC Exp-SMS-MRE ValueAdd Real Estate Serv]</v>
      </c>
    </row>
    <row r="2585" spans="1:23" x14ac:dyDescent="0.25">
      <c r="A2585">
        <v>7620304224</v>
      </c>
      <c r="B2585" s="16" t="s">
        <v>21579</v>
      </c>
      <c r="C2585" s="16" t="e">
        <f>VLOOKUP(Table1[[#This Row],[Node]],Parent!A:B,2,0)</f>
        <v>#N/A</v>
      </c>
      <c r="D2585" s="25" t="s">
        <v>19346</v>
      </c>
      <c r="E2585" s="26" t="s">
        <v>16544</v>
      </c>
      <c r="F2585" s="27" t="s">
        <v>19051</v>
      </c>
      <c r="G2585" s="27" t="s">
        <v>19052</v>
      </c>
      <c r="H2585" s="27" t="s">
        <v>19088</v>
      </c>
      <c r="I2585" s="27" t="s">
        <v>19089</v>
      </c>
      <c r="J2585" s="27" t="s">
        <v>19093</v>
      </c>
      <c r="K2585" s="27"/>
      <c r="L2585" s="27"/>
      <c r="N2585" s="27"/>
      <c r="T2585" s="28" t="str">
        <f>LOOKUP(1,1/(Table1[[#This Row],[Level_0]:[Level 15]]&gt;0),(Table1[[#This Row],[Level_0]:[Level 15]]))</f>
        <v>7620304224 - [AOM S_Space rental cost VB]</v>
      </c>
      <c r="U2585" s="22">
        <v>2580</v>
      </c>
      <c r="W2585" s="13" t="str">
        <f>LOOKUP(1,1/(Table1[[#This Row],[Level_0]:[Level 15]]&gt;0),(Table1[[#This Row],[Level_0]:[Level 15]]))</f>
        <v>7620304224 - [AOM S_Space rental cost VB]</v>
      </c>
    </row>
    <row r="2586" spans="1:23" x14ac:dyDescent="0.25">
      <c r="A2586">
        <v>7620304223</v>
      </c>
      <c r="B2586" s="16" t="s">
        <v>21578</v>
      </c>
      <c r="C2586" s="16" t="e">
        <f>VLOOKUP(Table1[[#This Row],[Node]],Parent!A:B,2,0)</f>
        <v>#N/A</v>
      </c>
      <c r="D2586" s="25" t="s">
        <v>19346</v>
      </c>
      <c r="E2586" s="26" t="s">
        <v>16544</v>
      </c>
      <c r="F2586" s="27" t="s">
        <v>19051</v>
      </c>
      <c r="G2586" s="27" t="s">
        <v>19052</v>
      </c>
      <c r="H2586" s="27" t="s">
        <v>19088</v>
      </c>
      <c r="I2586" s="27" t="s">
        <v>19089</v>
      </c>
      <c r="J2586" s="27" t="s">
        <v>19094</v>
      </c>
      <c r="K2586" s="27"/>
      <c r="L2586" s="27"/>
      <c r="N2586" s="27"/>
      <c r="T2586" s="28" t="str">
        <f>LOOKUP(1,1/(Table1[[#This Row],[Level_0]:[Level 15]]&gt;0),(Table1[[#This Row],[Level_0]:[Level 15]]))</f>
        <v>7620304223 - [AOM S_Space rental cost_op VB]</v>
      </c>
      <c r="U2586" s="22">
        <v>2581</v>
      </c>
      <c r="W2586" s="13" t="str">
        <f>LOOKUP(1,1/(Table1[[#This Row],[Level_0]:[Level 15]]&gt;0),(Table1[[#This Row],[Level_0]:[Level 15]]))</f>
        <v>7620304223 - [AOM S_Space rental cost_op VB]</v>
      </c>
    </row>
    <row r="2587" spans="1:23" x14ac:dyDescent="0.25">
      <c r="A2587">
        <v>7620304222</v>
      </c>
      <c r="B2587" s="16" t="s">
        <v>21577</v>
      </c>
      <c r="C2587" s="16" t="e">
        <f>VLOOKUP(Table1[[#This Row],[Node]],Parent!A:B,2,0)</f>
        <v>#N/A</v>
      </c>
      <c r="D2587" s="25" t="s">
        <v>19346</v>
      </c>
      <c r="E2587" s="26" t="s">
        <v>16544</v>
      </c>
      <c r="F2587" s="27" t="s">
        <v>19051</v>
      </c>
      <c r="G2587" s="27" t="s">
        <v>19052</v>
      </c>
      <c r="H2587" s="27" t="s">
        <v>19088</v>
      </c>
      <c r="I2587" s="27" t="s">
        <v>19089</v>
      </c>
      <c r="J2587" s="27" t="s">
        <v>19095</v>
      </c>
      <c r="K2587" s="27"/>
      <c r="L2587" s="27"/>
      <c r="N2587" s="27"/>
      <c r="T2587" s="28" t="str">
        <f>LOOKUP(1,1/(Table1[[#This Row],[Level_0]:[Level 15]]&gt;0),(Table1[[#This Row],[Level_0]:[Level 15]]))</f>
        <v>7620304222 - [AOM S_Space rental cost_add VB]</v>
      </c>
      <c r="U2587" s="22">
        <v>2582</v>
      </c>
      <c r="W2587" s="13" t="str">
        <f>LOOKUP(1,1/(Table1[[#This Row],[Level_0]:[Level 15]]&gt;0),(Table1[[#This Row],[Level_0]:[Level 15]]))</f>
        <v>7620304222 - [AOM S_Space rental cost_add VB]</v>
      </c>
    </row>
    <row r="2588" spans="1:23" x14ac:dyDescent="0.25">
      <c r="A2588">
        <v>7620000031</v>
      </c>
      <c r="B2588" s="16" t="s">
        <v>21556</v>
      </c>
      <c r="C2588" s="16" t="e">
        <f>VLOOKUP(Table1[[#This Row],[Node]],Parent!A:B,2,0)</f>
        <v>#N/A</v>
      </c>
      <c r="D2588" s="25" t="s">
        <v>19346</v>
      </c>
      <c r="E2588" s="26" t="s">
        <v>16544</v>
      </c>
      <c r="F2588" s="27" t="s">
        <v>19051</v>
      </c>
      <c r="G2588" s="27" t="s">
        <v>19052</v>
      </c>
      <c r="H2588" s="27" t="s">
        <v>19088</v>
      </c>
      <c r="I2588" s="27" t="s">
        <v>19089</v>
      </c>
      <c r="J2588" s="27" t="s">
        <v>19096</v>
      </c>
      <c r="K2588" s="27"/>
      <c r="L2588" s="27"/>
      <c r="N2588" s="27"/>
      <c r="T2588" s="28" t="str">
        <f>LOOKUP(1,1/(Table1[[#This Row],[Level_0]:[Level 15]]&gt;0),(Table1[[#This Row],[Level_0]:[Level 15]]))</f>
        <v>7620000031 - [AOM Building add cost]</v>
      </c>
      <c r="U2588" s="22">
        <v>2583</v>
      </c>
      <c r="W2588" s="13" t="str">
        <f>LOOKUP(1,1/(Table1[[#This Row],[Level_0]:[Level 15]]&gt;0),(Table1[[#This Row],[Level_0]:[Level 15]]))</f>
        <v>7620000031 - [AOM Building add cost]</v>
      </c>
    </row>
    <row r="2589" spans="1:23" x14ac:dyDescent="0.25">
      <c r="A2589">
        <v>7620000030</v>
      </c>
      <c r="B2589" s="16" t="s">
        <v>21555</v>
      </c>
      <c r="C2589" s="16" t="e">
        <f>VLOOKUP(Table1[[#This Row],[Node]],Parent!A:B,2,0)</f>
        <v>#N/A</v>
      </c>
      <c r="D2589" s="25" t="s">
        <v>19346</v>
      </c>
      <c r="E2589" s="26" t="s">
        <v>16544</v>
      </c>
      <c r="F2589" s="27" t="s">
        <v>19051</v>
      </c>
      <c r="G2589" s="27" t="s">
        <v>19052</v>
      </c>
      <c r="H2589" s="27" t="s">
        <v>19088</v>
      </c>
      <c r="I2589" s="27" t="s">
        <v>19089</v>
      </c>
      <c r="J2589" s="27" t="s">
        <v>19097</v>
      </c>
      <c r="K2589" s="27"/>
      <c r="L2589" s="27"/>
      <c r="N2589" s="27"/>
      <c r="T2589" s="28" t="str">
        <f>LOOKUP(1,1/(Table1[[#This Row],[Level_0]:[Level 15]]&gt;0),(Table1[[#This Row],[Level_0]:[Level 15]]))</f>
        <v>7620000030 - [AOM Building net rent]</v>
      </c>
      <c r="U2589" s="22">
        <v>2584</v>
      </c>
      <c r="W2589" s="13" t="str">
        <f>LOOKUP(1,1/(Table1[[#This Row],[Level_0]:[Level 15]]&gt;0),(Table1[[#This Row],[Level_0]:[Level 15]]))</f>
        <v>7620000030 - [AOM Building net rent]</v>
      </c>
    </row>
    <row r="2590" spans="1:23" x14ac:dyDescent="0.25">
      <c r="A2590">
        <v>7600304214</v>
      </c>
      <c r="B2590" s="16" t="s">
        <v>21405</v>
      </c>
      <c r="C2590" s="16" t="e">
        <f>VLOOKUP(Table1[[#This Row],[Node]],Parent!A:B,2,0)</f>
        <v>#N/A</v>
      </c>
      <c r="D2590" s="25" t="s">
        <v>19346</v>
      </c>
      <c r="E2590" s="26" t="s">
        <v>16544</v>
      </c>
      <c r="F2590" s="27" t="s">
        <v>19051</v>
      </c>
      <c r="G2590" s="27" t="s">
        <v>19052</v>
      </c>
      <c r="H2590" s="27" t="s">
        <v>19088</v>
      </c>
      <c r="I2590" s="27" t="s">
        <v>19089</v>
      </c>
      <c r="J2590" s="27" t="s">
        <v>19098</v>
      </c>
      <c r="K2590" s="27"/>
      <c r="L2590" s="27"/>
      <c r="N2590" s="27"/>
      <c r="T2590" s="28" t="str">
        <f>LOOKUP(1,1/(Table1[[#This Row],[Level_0]:[Level 15]]&gt;0),(Table1[[#This Row],[Level_0]:[Level 15]]))</f>
        <v>7600304214 - [DAA_Central Locker Rental]</v>
      </c>
      <c r="U2590" s="22">
        <v>2585</v>
      </c>
      <c r="W2590" s="13" t="str">
        <f>LOOKUP(1,1/(Table1[[#This Row],[Level_0]:[Level 15]]&gt;0),(Table1[[#This Row],[Level_0]:[Level 15]]))</f>
        <v>7600304214 - [DAA_Central Locker Rental]</v>
      </c>
    </row>
    <row r="2591" spans="1:23" x14ac:dyDescent="0.25">
      <c r="A2591">
        <v>7600304209</v>
      </c>
      <c r="B2591" s="16" t="s">
        <v>21400</v>
      </c>
      <c r="C2591" s="16" t="e">
        <f>VLOOKUP(Table1[[#This Row],[Node]],Parent!A:B,2,0)</f>
        <v>#N/A</v>
      </c>
      <c r="D2591" s="25" t="s">
        <v>19346</v>
      </c>
      <c r="E2591" s="26" t="s">
        <v>16544</v>
      </c>
      <c r="F2591" s="27" t="s">
        <v>19051</v>
      </c>
      <c r="G2591" s="27" t="s">
        <v>19052</v>
      </c>
      <c r="H2591" s="27" t="s">
        <v>19088</v>
      </c>
      <c r="I2591" s="27" t="s">
        <v>19089</v>
      </c>
      <c r="J2591" s="27" t="s">
        <v>19099</v>
      </c>
      <c r="K2591" s="27"/>
      <c r="L2591" s="27"/>
      <c r="N2591" s="27"/>
      <c r="T2591" s="28" t="str">
        <f>LOOKUP(1,1/(Table1[[#This Row],[Level_0]:[Level 15]]&gt;0),(Table1[[#This Row],[Level_0]:[Level 15]]))</f>
        <v>7600304209 - [DAA_Space rental operat.]</v>
      </c>
      <c r="U2591" s="22">
        <v>2586</v>
      </c>
      <c r="W2591" s="13" t="str">
        <f>LOOKUP(1,1/(Table1[[#This Row],[Level_0]:[Level 15]]&gt;0),(Table1[[#This Row],[Level_0]:[Level 15]]))</f>
        <v>7600304209 - [DAA_Space rental operat.]</v>
      </c>
    </row>
    <row r="2592" spans="1:23" x14ac:dyDescent="0.25">
      <c r="A2592">
        <v>7600304208</v>
      </c>
      <c r="B2592" s="16" t="s">
        <v>21399</v>
      </c>
      <c r="C2592" s="16" t="e">
        <f>VLOOKUP(Table1[[#This Row],[Node]],Parent!A:B,2,0)</f>
        <v>#N/A</v>
      </c>
      <c r="D2592" s="25" t="s">
        <v>19346</v>
      </c>
      <c r="E2592" s="26" t="s">
        <v>16544</v>
      </c>
      <c r="F2592" s="27" t="s">
        <v>19051</v>
      </c>
      <c r="G2592" s="27" t="s">
        <v>19052</v>
      </c>
      <c r="H2592" s="27" t="s">
        <v>19088</v>
      </c>
      <c r="I2592" s="27" t="s">
        <v>19089</v>
      </c>
      <c r="J2592" s="27" t="s">
        <v>19100</v>
      </c>
      <c r="K2592" s="27"/>
      <c r="L2592" s="27"/>
      <c r="N2592" s="27"/>
      <c r="T2592" s="28" t="str">
        <f>LOOKUP(1,1/(Table1[[#This Row],[Level_0]:[Level 15]]&gt;0),(Table1[[#This Row],[Level_0]:[Level 15]]))</f>
        <v>7600304208 - [DAA_Space rental]</v>
      </c>
      <c r="U2592" s="22">
        <v>2587</v>
      </c>
      <c r="W2592" s="13" t="str">
        <f>LOOKUP(1,1/(Table1[[#This Row],[Level_0]:[Level 15]]&gt;0),(Table1[[#This Row],[Level_0]:[Level 15]]))</f>
        <v>7600304208 - [DAA_Space rental]</v>
      </c>
    </row>
    <row r="2593" spans="1:23" x14ac:dyDescent="0.25">
      <c r="A2593">
        <v>7600304207</v>
      </c>
      <c r="B2593" s="16" t="s">
        <v>21398</v>
      </c>
      <c r="C2593" s="16" t="e">
        <f>VLOOKUP(Table1[[#This Row],[Node]],Parent!A:B,2,0)</f>
        <v>#N/A</v>
      </c>
      <c r="D2593" s="25" t="s">
        <v>19346</v>
      </c>
      <c r="E2593" s="26" t="s">
        <v>16544</v>
      </c>
      <c r="F2593" s="27" t="s">
        <v>19051</v>
      </c>
      <c r="G2593" s="27" t="s">
        <v>19052</v>
      </c>
      <c r="H2593" s="27" t="s">
        <v>19088</v>
      </c>
      <c r="I2593" s="27" t="s">
        <v>19089</v>
      </c>
      <c r="J2593" s="27" t="s">
        <v>19101</v>
      </c>
      <c r="K2593" s="27"/>
      <c r="L2593" s="27"/>
      <c r="N2593" s="27"/>
      <c r="T2593" s="28" t="str">
        <f>LOOKUP(1,1/(Table1[[#This Row],[Level_0]:[Level 15]]&gt;0),(Table1[[#This Row],[Level_0]:[Level 15]]))</f>
        <v>7600304207 - [DAA_Space rent.add.]</v>
      </c>
      <c r="U2593" s="22">
        <v>2588</v>
      </c>
      <c r="W2593" s="13" t="str">
        <f>LOOKUP(1,1/(Table1[[#This Row],[Level_0]:[Level 15]]&gt;0),(Table1[[#This Row],[Level_0]:[Level 15]]))</f>
        <v>7600304207 - [DAA_Space rent.add.]</v>
      </c>
    </row>
    <row r="2594" spans="1:23" x14ac:dyDescent="0.25">
      <c r="A2594">
        <v>7600304093</v>
      </c>
      <c r="B2594" s="16" t="s">
        <v>21292</v>
      </c>
      <c r="C2594" s="16" t="e">
        <f>VLOOKUP(Table1[[#This Row],[Node]],Parent!A:B,2,0)</f>
        <v>#N/A</v>
      </c>
      <c r="D2594" s="25" t="s">
        <v>19346</v>
      </c>
      <c r="E2594" s="26" t="s">
        <v>16544</v>
      </c>
      <c r="F2594" s="27" t="s">
        <v>19051</v>
      </c>
      <c r="G2594" s="27" t="s">
        <v>19052</v>
      </c>
      <c r="H2594" s="27" t="s">
        <v>19088</v>
      </c>
      <c r="I2594" s="27" t="s">
        <v>19089</v>
      </c>
      <c r="J2594" s="27" t="s">
        <v>19102</v>
      </c>
      <c r="K2594" s="27"/>
      <c r="L2594" s="27"/>
      <c r="N2594" s="27"/>
      <c r="T2594" s="28" t="str">
        <f>LOOKUP(1,1/(Table1[[#This Row],[Level_0]:[Level 15]]&gt;0),(Table1[[#This Row],[Level_0]:[Level 15]]))</f>
        <v>7600304093 - [DAA Moving Service]</v>
      </c>
      <c r="U2594" s="22">
        <v>2589</v>
      </c>
      <c r="W2594" s="13" t="str">
        <f>LOOKUP(1,1/(Table1[[#This Row],[Level_0]:[Level 15]]&gt;0),(Table1[[#This Row],[Level_0]:[Level 15]]))</f>
        <v>7600304093 - [DAA Moving Service]</v>
      </c>
    </row>
    <row r="2595" spans="1:23" x14ac:dyDescent="0.25">
      <c r="A2595">
        <v>7600304088</v>
      </c>
      <c r="B2595" s="16" t="s">
        <v>21287</v>
      </c>
      <c r="C2595" s="16" t="e">
        <f>VLOOKUP(Table1[[#This Row],[Node]],Parent!A:B,2,0)</f>
        <v>#N/A</v>
      </c>
      <c r="D2595" s="25" t="s">
        <v>19346</v>
      </c>
      <c r="E2595" s="26" t="s">
        <v>16544</v>
      </c>
      <c r="F2595" s="27" t="s">
        <v>19051</v>
      </c>
      <c r="G2595" s="27" t="s">
        <v>19052</v>
      </c>
      <c r="H2595" s="27" t="s">
        <v>19088</v>
      </c>
      <c r="I2595" s="27" t="s">
        <v>19089</v>
      </c>
      <c r="J2595" s="27" t="s">
        <v>19103</v>
      </c>
      <c r="K2595" s="27"/>
      <c r="L2595" s="27"/>
      <c r="N2595" s="27"/>
      <c r="T2595" s="28" t="str">
        <f>LOOKUP(1,1/(Table1[[#This Row],[Level_0]:[Level 15]]&gt;0),(Table1[[#This Row],[Level_0]:[Level 15]]))</f>
        <v>7600304088 - [DAA Furniture]</v>
      </c>
      <c r="U2595" s="22">
        <v>2590</v>
      </c>
      <c r="W2595" s="13" t="str">
        <f>LOOKUP(1,1/(Table1[[#This Row],[Level_0]:[Level 15]]&gt;0),(Table1[[#This Row],[Level_0]:[Level 15]]))</f>
        <v>7600304088 - [DAA Furniture]</v>
      </c>
    </row>
    <row r="2596" spans="1:23" x14ac:dyDescent="0.25">
      <c r="A2596">
        <v>7320110008</v>
      </c>
      <c r="B2596" s="16" t="s">
        <v>20842</v>
      </c>
      <c r="C2596" s="16" t="e">
        <f>VLOOKUP(Table1[[#This Row],[Node]],Parent!A:B,2,0)</f>
        <v>#N/A</v>
      </c>
      <c r="D2596" s="25" t="s">
        <v>19346</v>
      </c>
      <c r="E2596" s="26" t="s">
        <v>16544</v>
      </c>
      <c r="F2596" s="27" t="s">
        <v>19051</v>
      </c>
      <c r="G2596" s="27" t="s">
        <v>19052</v>
      </c>
      <c r="H2596" s="27" t="s">
        <v>19088</v>
      </c>
      <c r="I2596" s="27" t="s">
        <v>19089</v>
      </c>
      <c r="J2596" s="27" t="s">
        <v>19104</v>
      </c>
      <c r="K2596" s="27"/>
      <c r="L2596" s="27"/>
      <c r="N2596" s="27"/>
      <c r="T2596" s="28" t="str">
        <f>LOOKUP(1,1/(Table1[[#This Row],[Level_0]:[Level 15]]&gt;0),(Table1[[#This Row],[Level_0]:[Level 15]]))</f>
        <v>7320110008 - [AOM Building Charge Non Local Function]</v>
      </c>
      <c r="U2596" s="22">
        <v>2591</v>
      </c>
      <c r="W2596" s="13" t="str">
        <f>LOOKUP(1,1/(Table1[[#This Row],[Level_0]:[Level 15]]&gt;0),(Table1[[#This Row],[Level_0]:[Level 15]]))</f>
        <v>7320110008 - [AOM Building Charge Non Local Function]</v>
      </c>
    </row>
    <row r="2597" spans="1:23" x14ac:dyDescent="0.25">
      <c r="A2597">
        <v>7301160001</v>
      </c>
      <c r="B2597" s="16" t="s">
        <v>20812</v>
      </c>
      <c r="C2597" s="16" t="e">
        <f>VLOOKUP(Table1[[#This Row],[Node]],Parent!A:B,2,0)</f>
        <v>#N/A</v>
      </c>
      <c r="D2597" s="25" t="s">
        <v>19346</v>
      </c>
      <c r="E2597" s="26" t="s">
        <v>16544</v>
      </c>
      <c r="F2597" s="27" t="s">
        <v>19051</v>
      </c>
      <c r="G2597" s="27" t="s">
        <v>19052</v>
      </c>
      <c r="H2597" s="27" t="s">
        <v>19088</v>
      </c>
      <c r="I2597" s="27" t="s">
        <v>19089</v>
      </c>
      <c r="J2597" s="27" t="s">
        <v>19105</v>
      </c>
      <c r="K2597" s="27"/>
      <c r="L2597" s="27"/>
      <c r="N2597" s="27"/>
      <c r="T2597" s="28" t="str">
        <f>LOOKUP(1,1/(Table1[[#This Row],[Level_0]:[Level 15]]&gt;0),(Table1[[#This Row],[Level_0]:[Level 15]]))</f>
        <v>7301160001 - [DAA Building Charge Non Local Function]</v>
      </c>
      <c r="U2597" s="22">
        <v>2592</v>
      </c>
      <c r="W2597" s="13" t="str">
        <f>LOOKUP(1,1/(Table1[[#This Row],[Level_0]:[Level 15]]&gt;0),(Table1[[#This Row],[Level_0]:[Level 15]]))</f>
        <v>7301160001 - [DAA Building Charge Non Local Function]</v>
      </c>
    </row>
    <row r="2598" spans="1:23" x14ac:dyDescent="0.25">
      <c r="A2598">
        <v>7020000005</v>
      </c>
      <c r="B2598" s="16" t="s">
        <v>20644</v>
      </c>
      <c r="C2598" s="16" t="e">
        <f>VLOOKUP(Table1[[#This Row],[Node]],Parent!A:B,2,0)</f>
        <v>#N/A</v>
      </c>
      <c r="D2598" s="25" t="s">
        <v>19346</v>
      </c>
      <c r="E2598" s="26" t="s">
        <v>16544</v>
      </c>
      <c r="F2598" s="27" t="s">
        <v>19051</v>
      </c>
      <c r="G2598" s="27" t="s">
        <v>19052</v>
      </c>
      <c r="H2598" s="27" t="s">
        <v>19088</v>
      </c>
      <c r="I2598" s="27" t="s">
        <v>19089</v>
      </c>
      <c r="J2598" s="27" t="s">
        <v>19106</v>
      </c>
      <c r="K2598" s="27"/>
      <c r="L2598" s="27"/>
      <c r="N2598" s="27"/>
      <c r="T2598" s="28" t="str">
        <f>LOOKUP(1,1/(Table1[[#This Row],[Level_0]:[Level 15]]&gt;0),(Table1[[#This Row],[Level_0]:[Level 15]]))</f>
        <v>7020000005 - [AOM Cost transfer Buildings]</v>
      </c>
      <c r="U2598" s="22">
        <v>2593</v>
      </c>
      <c r="W2598" s="13" t="str">
        <f>LOOKUP(1,1/(Table1[[#This Row],[Level_0]:[Level 15]]&gt;0),(Table1[[#This Row],[Level_0]:[Level 15]]))</f>
        <v>7020000005 - [AOM Cost transfer Buildings]</v>
      </c>
    </row>
    <row r="2599" spans="1:23" x14ac:dyDescent="0.25">
      <c r="A2599">
        <v>7010000001</v>
      </c>
      <c r="B2599" s="16" t="s">
        <v>20639</v>
      </c>
      <c r="C2599" s="16" t="e">
        <f>VLOOKUP(Table1[[#This Row],[Node]],Parent!A:B,2,0)</f>
        <v>#N/A</v>
      </c>
      <c r="D2599" s="25" t="s">
        <v>19346</v>
      </c>
      <c r="E2599" s="26" t="s">
        <v>16544</v>
      </c>
      <c r="F2599" s="27" t="s">
        <v>19051</v>
      </c>
      <c r="G2599" s="27" t="s">
        <v>19052</v>
      </c>
      <c r="H2599" s="27" t="s">
        <v>19088</v>
      </c>
      <c r="I2599" s="27" t="s">
        <v>19089</v>
      </c>
      <c r="J2599" s="27" t="s">
        <v>19107</v>
      </c>
      <c r="K2599" s="27"/>
      <c r="L2599" s="27"/>
      <c r="N2599" s="27"/>
      <c r="T2599" s="28" t="str">
        <f>LOOKUP(1,1/(Table1[[#This Row],[Level_0]:[Level 15]]&gt;0),(Table1[[#This Row],[Level_0]:[Level 15]]))</f>
        <v>7010000001 - [IAA  Building Charge LF (incl. energy)]</v>
      </c>
      <c r="U2599" s="22">
        <v>2594</v>
      </c>
      <c r="W2599" s="13" t="str">
        <f>LOOKUP(1,1/(Table1[[#This Row],[Level_0]:[Level 15]]&gt;0),(Table1[[#This Row],[Level_0]:[Level 15]]))</f>
        <v>7010000001 - [IAA  Building Charge LF (incl. energy)]</v>
      </c>
    </row>
    <row r="2600" spans="1:23" x14ac:dyDescent="0.25">
      <c r="A2600">
        <v>110201</v>
      </c>
      <c r="B2600" s="16" t="s">
        <v>19391</v>
      </c>
      <c r="C2600" s="16" t="e">
        <f>VLOOKUP(Table1[[#This Row],[Node]],Parent!A:B,2,0)</f>
        <v>#N/A</v>
      </c>
      <c r="D2600" s="25" t="s">
        <v>19346</v>
      </c>
      <c r="E2600" s="26" t="s">
        <v>16544</v>
      </c>
      <c r="F2600" s="27" t="s">
        <v>19051</v>
      </c>
      <c r="G2600" s="27" t="s">
        <v>19052</v>
      </c>
      <c r="H2600" s="27" t="s">
        <v>19108</v>
      </c>
      <c r="I2600" s="27"/>
      <c r="J2600" s="27"/>
      <c r="K2600" s="27"/>
      <c r="L2600" s="27"/>
      <c r="N2600" s="27"/>
      <c r="T2600" s="28" t="str">
        <f>LOOKUP(1,1/(Table1[[#This Row],[Level_0]:[Level 15]]&gt;0),(Table1[[#This Row],[Level_0]:[Level 15]]))</f>
        <v>110201 - [Machinery &amp; Equipment Cost]</v>
      </c>
      <c r="U2600" s="22">
        <v>2595</v>
      </c>
      <c r="W2600" s="13" t="str">
        <f>LOOKUP(1,1/(Table1[[#This Row],[Level_0]:[Level 15]]&gt;0),(Table1[[#This Row],[Level_0]:[Level 15]]))</f>
        <v>110201 - [Machinery &amp; Equipment Cost]</v>
      </c>
    </row>
    <row r="2601" spans="1:23" x14ac:dyDescent="0.25">
      <c r="A2601">
        <v>7620000020</v>
      </c>
      <c r="B2601" s="16" t="s">
        <v>21546</v>
      </c>
      <c r="C2601" s="16" t="e">
        <f>VLOOKUP(Table1[[#This Row],[Node]],Parent!A:B,2,0)</f>
        <v>#N/A</v>
      </c>
      <c r="D2601" s="25" t="s">
        <v>19346</v>
      </c>
      <c r="E2601" s="26" t="s">
        <v>16544</v>
      </c>
      <c r="F2601" s="27" t="s">
        <v>19051</v>
      </c>
      <c r="G2601" s="27" t="s">
        <v>19052</v>
      </c>
      <c r="H2601" s="27" t="s">
        <v>19108</v>
      </c>
      <c r="I2601" s="27" t="s">
        <v>19109</v>
      </c>
      <c r="J2601" s="27"/>
      <c r="K2601" s="27"/>
      <c r="L2601" s="27"/>
      <c r="N2601" s="27"/>
      <c r="T2601" s="28" t="str">
        <f>LOOKUP(1,1/(Table1[[#This Row],[Level_0]:[Level 15]]&gt;0),(Table1[[#This Row],[Level_0]:[Level 15]]))</f>
        <v>7620000020 - [AOM Rental Charges]</v>
      </c>
      <c r="U2601" s="22">
        <v>2596</v>
      </c>
      <c r="W2601" s="13" t="str">
        <f>LOOKUP(1,1/(Table1[[#This Row],[Level_0]:[Level 15]]&gt;0),(Table1[[#This Row],[Level_0]:[Level 15]]))</f>
        <v>7620000020 - [AOM Rental Charges]</v>
      </c>
    </row>
    <row r="2602" spans="1:23" x14ac:dyDescent="0.25">
      <c r="A2602">
        <v>7320110014</v>
      </c>
      <c r="B2602" s="16" t="s">
        <v>20848</v>
      </c>
      <c r="C2602" s="16" t="e">
        <f>VLOOKUP(Table1[[#This Row],[Node]],Parent!A:B,2,0)</f>
        <v>#N/A</v>
      </c>
      <c r="D2602" s="25" t="s">
        <v>19346</v>
      </c>
      <c r="E2602" s="26" t="s">
        <v>16544</v>
      </c>
      <c r="F2602" s="27" t="s">
        <v>19051</v>
      </c>
      <c r="G2602" s="27" t="s">
        <v>19052</v>
      </c>
      <c r="H2602" s="27" t="s">
        <v>19108</v>
      </c>
      <c r="I2602" s="27" t="s">
        <v>19110</v>
      </c>
      <c r="J2602" s="27"/>
      <c r="K2602" s="27"/>
      <c r="L2602" s="27"/>
      <c r="N2602" s="27"/>
      <c r="T2602" s="28" t="str">
        <f>LOOKUP(1,1/(Table1[[#This Row],[Level_0]:[Level 15]]&gt;0),(Table1[[#This Row],[Level_0]:[Level 15]]))</f>
        <v>7320110014 - [AOM P.Fix - Equipm. Rest  (Comp.Split)]</v>
      </c>
      <c r="U2602" s="22">
        <v>2597</v>
      </c>
      <c r="W2602" s="13" t="str">
        <f>LOOKUP(1,1/(Table1[[#This Row],[Level_0]:[Level 15]]&gt;0),(Table1[[#This Row],[Level_0]:[Level 15]]))</f>
        <v>7320110014 - [AOM P.Fix - Equipm. Rest  (Comp.Split)]</v>
      </c>
    </row>
    <row r="2603" spans="1:23" x14ac:dyDescent="0.25">
      <c r="A2603">
        <v>7320110012</v>
      </c>
      <c r="B2603" s="16" t="s">
        <v>20846</v>
      </c>
      <c r="C2603" s="16" t="e">
        <f>VLOOKUP(Table1[[#This Row],[Node]],Parent!A:B,2,0)</f>
        <v>#N/A</v>
      </c>
      <c r="D2603" s="25" t="s">
        <v>19346</v>
      </c>
      <c r="E2603" s="26" t="s">
        <v>16544</v>
      </c>
      <c r="F2603" s="27" t="s">
        <v>19051</v>
      </c>
      <c r="G2603" s="27" t="s">
        <v>19052</v>
      </c>
      <c r="H2603" s="27" t="s">
        <v>19108</v>
      </c>
      <c r="I2603" s="27" t="s">
        <v>19111</v>
      </c>
      <c r="J2603" s="27"/>
      <c r="K2603" s="27"/>
      <c r="L2603" s="27"/>
      <c r="N2603" s="27"/>
      <c r="T2603" s="28" t="str">
        <f>LOOKUP(1,1/(Table1[[#This Row],[Level_0]:[Level 15]]&gt;0),(Table1[[#This Row],[Level_0]:[Level 15]]))</f>
        <v>7320110012 - [AOM General Production Equipment]</v>
      </c>
      <c r="U2603" s="22">
        <v>2598</v>
      </c>
      <c r="W2603" s="13" t="str">
        <f>LOOKUP(1,1/(Table1[[#This Row],[Level_0]:[Level 15]]&gt;0),(Table1[[#This Row],[Level_0]:[Level 15]]))</f>
        <v>7320110012 - [AOM General Production Equipment]</v>
      </c>
    </row>
    <row r="2604" spans="1:23" x14ac:dyDescent="0.25">
      <c r="A2604">
        <v>7600301011</v>
      </c>
      <c r="B2604" s="16" t="s">
        <v>21128</v>
      </c>
      <c r="C2604" s="16" t="e">
        <f>VLOOKUP(Table1[[#This Row],[Node]],Parent!A:B,2,0)</f>
        <v>#N/A</v>
      </c>
      <c r="D2604" s="25" t="s">
        <v>19346</v>
      </c>
      <c r="E2604" s="26" t="s">
        <v>16544</v>
      </c>
      <c r="F2604" s="27" t="s">
        <v>19051</v>
      </c>
      <c r="G2604" s="27" t="s">
        <v>19052</v>
      </c>
      <c r="H2604" s="27" t="s">
        <v>19108</v>
      </c>
      <c r="I2604" s="27" t="s">
        <v>19112</v>
      </c>
      <c r="J2604" s="27"/>
      <c r="K2604" s="27"/>
      <c r="L2604" s="27"/>
      <c r="N2604" s="27"/>
      <c r="T2604" s="28" t="str">
        <f>LOOKUP(1,1/(Table1[[#This Row],[Level_0]:[Level 15]]&gt;0),(Table1[[#This Row],[Level_0]:[Level 15]]))</f>
        <v>7600301011 - [DAA Equip./Machine rental 1]</v>
      </c>
      <c r="U2604" s="22">
        <v>2599</v>
      </c>
      <c r="W2604" s="13" t="str">
        <f>LOOKUP(1,1/(Table1[[#This Row],[Level_0]:[Level 15]]&gt;0),(Table1[[#This Row],[Level_0]:[Level 15]]))</f>
        <v>7600301011 - [DAA Equip./Machine rental 1]</v>
      </c>
    </row>
    <row r="2605" spans="1:23" x14ac:dyDescent="0.25">
      <c r="A2605">
        <v>110100</v>
      </c>
      <c r="B2605" s="16" t="s">
        <v>19381</v>
      </c>
      <c r="C2605" s="16" t="e">
        <f>VLOOKUP(Table1[[#This Row],[Node]],Parent!A:B,2,0)</f>
        <v>#N/A</v>
      </c>
      <c r="D2605" s="25" t="s">
        <v>19346</v>
      </c>
      <c r="E2605" s="26" t="s">
        <v>16544</v>
      </c>
      <c r="F2605" s="27" t="s">
        <v>19051</v>
      </c>
      <c r="G2605" s="27" t="s">
        <v>19113</v>
      </c>
      <c r="H2605" s="27"/>
      <c r="I2605" s="27"/>
      <c r="J2605" s="27"/>
      <c r="K2605" s="27"/>
      <c r="L2605" s="27"/>
      <c r="N2605" s="27"/>
      <c r="T2605" s="28" t="str">
        <f>LOOKUP(1,1/(Table1[[#This Row],[Level_0]:[Level 15]]&gt;0),(Table1[[#This Row],[Level_0]:[Level 15]]))</f>
        <v>110100 - [D&amp;A incl.Capitalz Leases/EBITDA pre rel.]</v>
      </c>
      <c r="U2605" s="22">
        <v>2600</v>
      </c>
      <c r="W2605" s="13" t="str">
        <f>LOOKUP(1,1/(Table1[[#This Row],[Level_0]:[Level 15]]&gt;0),(Table1[[#This Row],[Level_0]:[Level 15]]))</f>
        <v>110100 - [D&amp;A incl.Capitalz Leases/EBITDA pre rel.]</v>
      </c>
    </row>
    <row r="2606" spans="1:23" x14ac:dyDescent="0.25">
      <c r="A2606">
        <v>110106</v>
      </c>
      <c r="B2606" s="16" t="s">
        <v>19387</v>
      </c>
      <c r="C2606" s="16" t="e">
        <f>VLOOKUP(Table1[[#This Row],[Node]],Parent!A:B,2,0)</f>
        <v>#N/A</v>
      </c>
      <c r="D2606" s="25" t="s">
        <v>19346</v>
      </c>
      <c r="E2606" s="26" t="s">
        <v>16544</v>
      </c>
      <c r="F2606" s="27" t="s">
        <v>19051</v>
      </c>
      <c r="G2606" s="27" t="s">
        <v>19113</v>
      </c>
      <c r="H2606" s="27" t="s">
        <v>19114</v>
      </c>
      <c r="I2606" s="27"/>
      <c r="J2606" s="27"/>
      <c r="K2606" s="27"/>
      <c r="L2606" s="27"/>
      <c r="N2606" s="27"/>
      <c r="T2606" s="28" t="str">
        <f>LOOKUP(1,1/(Table1[[#This Row],[Level_0]:[Level 15]]&gt;0),(Table1[[#This Row],[Level_0]:[Level 15]]))</f>
        <v>110106 - [Elimination invoice Leasing Inc/Exp IFRS]</v>
      </c>
      <c r="U2606" s="22">
        <v>2601</v>
      </c>
      <c r="W2606" s="13" t="str">
        <f>LOOKUP(1,1/(Table1[[#This Row],[Level_0]:[Level 15]]&gt;0),(Table1[[#This Row],[Level_0]:[Level 15]]))</f>
        <v>110106 - [Elimination invoice Leasing Inc/Exp IFRS]</v>
      </c>
    </row>
    <row r="2607" spans="1:23" x14ac:dyDescent="0.25">
      <c r="A2607">
        <v>110126</v>
      </c>
      <c r="B2607" s="16" t="s">
        <v>19389</v>
      </c>
      <c r="C2607" s="16" t="e">
        <f>VLOOKUP(Table1[[#This Row],[Node]],Parent!A:B,2,0)</f>
        <v>#N/A</v>
      </c>
      <c r="D2607" s="25" t="s">
        <v>19346</v>
      </c>
      <c r="E2607" s="26" t="s">
        <v>16544</v>
      </c>
      <c r="F2607" s="27" t="s">
        <v>19051</v>
      </c>
      <c r="G2607" s="27" t="s">
        <v>19113</v>
      </c>
      <c r="H2607" s="27" t="s">
        <v>19114</v>
      </c>
      <c r="I2607" s="27" t="s">
        <v>19115</v>
      </c>
      <c r="J2607" s="27"/>
      <c r="K2607" s="27"/>
      <c r="L2607" s="27"/>
      <c r="N2607" s="27"/>
      <c r="T2607" s="28" t="str">
        <f>LOOKUP(1,1/(Table1[[#This Row],[Level_0]:[Level 15]]&gt;0),(Table1[[#This Row],[Level_0]:[Level 15]]))</f>
        <v>110126 - [Elimination of Cap. leased invoices IFRS]</v>
      </c>
      <c r="U2607" s="22">
        <v>2602</v>
      </c>
      <c r="W2607" s="13" t="str">
        <f>LOOKUP(1,1/(Table1[[#This Row],[Level_0]:[Level 15]]&gt;0),(Table1[[#This Row],[Level_0]:[Level 15]]))</f>
        <v>110126 - [Elimination of Cap. leased invoices IFRS]</v>
      </c>
    </row>
    <row r="2608" spans="1:23" x14ac:dyDescent="0.25">
      <c r="A2608">
        <v>4515400000</v>
      </c>
      <c r="B2608" s="16" t="s">
        <v>19947</v>
      </c>
      <c r="C2608" s="16" t="e">
        <f>VLOOKUP(Table1[[#This Row],[Node]],Parent!A:B,2,0)</f>
        <v>#N/A</v>
      </c>
      <c r="D2608" s="25" t="s">
        <v>19346</v>
      </c>
      <c r="E2608" s="26" t="s">
        <v>16544</v>
      </c>
      <c r="F2608" s="27" t="s">
        <v>19051</v>
      </c>
      <c r="G2608" s="27" t="s">
        <v>19113</v>
      </c>
      <c r="H2608" s="27" t="s">
        <v>19114</v>
      </c>
      <c r="I2608" s="27" t="s">
        <v>19115</v>
      </c>
      <c r="J2608" s="27" t="s">
        <v>19116</v>
      </c>
      <c r="K2608" s="27"/>
      <c r="L2608" s="27"/>
      <c r="N2608" s="27"/>
      <c r="T2608" s="28" t="str">
        <f>LOOKUP(1,1/(Table1[[#This Row],[Level_0]:[Level 15]]&gt;0),(Table1[[#This Row],[Level_0]:[Level 15]]))</f>
        <v>4515400000 - [Recognized Expense - Carpool - RoU]</v>
      </c>
      <c r="U2608" s="22">
        <v>2603</v>
      </c>
      <c r="W2608" s="13" t="str">
        <f>LOOKUP(1,1/(Table1[[#This Row],[Level_0]:[Level 15]]&gt;0),(Table1[[#This Row],[Level_0]:[Level 15]]))</f>
        <v>4515400000 - [Recognized Expense - Carpool - RoU]</v>
      </c>
    </row>
    <row r="2609" spans="1:23" x14ac:dyDescent="0.25">
      <c r="A2609">
        <v>4515200000</v>
      </c>
      <c r="B2609" s="16" t="s">
        <v>19945</v>
      </c>
      <c r="C2609" s="16" t="e">
        <f>VLOOKUP(Table1[[#This Row],[Node]],Parent!A:B,2,0)</f>
        <v>#N/A</v>
      </c>
      <c r="D2609" s="25" t="s">
        <v>19346</v>
      </c>
      <c r="E2609" s="26" t="s">
        <v>16544</v>
      </c>
      <c r="F2609" s="27" t="s">
        <v>19051</v>
      </c>
      <c r="G2609" s="27" t="s">
        <v>19113</v>
      </c>
      <c r="H2609" s="27" t="s">
        <v>19114</v>
      </c>
      <c r="I2609" s="27" t="s">
        <v>19115</v>
      </c>
      <c r="J2609" s="27" t="s">
        <v>19117</v>
      </c>
      <c r="K2609" s="27"/>
      <c r="L2609" s="27"/>
      <c r="N2609" s="27"/>
      <c r="T2609" s="28" t="str">
        <f>LOOKUP(1,1/(Table1[[#This Row],[Level_0]:[Level 15]]&gt;0),(Table1[[#This Row],[Level_0]:[Level 15]]))</f>
        <v>4515200000 - [Recognized Expense - Building - RoU]</v>
      </c>
      <c r="U2609" s="22">
        <v>2604</v>
      </c>
      <c r="W2609" s="13" t="str">
        <f>LOOKUP(1,1/(Table1[[#This Row],[Level_0]:[Level 15]]&gt;0),(Table1[[#This Row],[Level_0]:[Level 15]]))</f>
        <v>4515200000 - [Recognized Expense - Building - RoU]</v>
      </c>
    </row>
    <row r="2610" spans="1:23" x14ac:dyDescent="0.25">
      <c r="A2610">
        <v>4515100000</v>
      </c>
      <c r="B2610" s="16" t="s">
        <v>19944</v>
      </c>
      <c r="C2610" s="16" t="e">
        <f>VLOOKUP(Table1[[#This Row],[Node]],Parent!A:B,2,0)</f>
        <v>#N/A</v>
      </c>
      <c r="D2610" s="25" t="s">
        <v>19346</v>
      </c>
      <c r="E2610" s="26" t="s">
        <v>16544</v>
      </c>
      <c r="F2610" s="27" t="s">
        <v>19051</v>
      </c>
      <c r="G2610" s="27" t="s">
        <v>19113</v>
      </c>
      <c r="H2610" s="27" t="s">
        <v>19114</v>
      </c>
      <c r="I2610" s="27" t="s">
        <v>19115</v>
      </c>
      <c r="J2610" s="27" t="s">
        <v>19118</v>
      </c>
      <c r="K2610" s="27"/>
      <c r="L2610" s="27"/>
      <c r="N2610" s="27"/>
      <c r="T2610" s="28" t="str">
        <f>LOOKUP(1,1/(Table1[[#This Row],[Level_0]:[Level 15]]&gt;0),(Table1[[#This Row],[Level_0]:[Level 15]]))</f>
        <v>4515100000 - [Recognized Expense - Land - RoU]</v>
      </c>
      <c r="U2610" s="22">
        <v>2605</v>
      </c>
      <c r="W2610" s="13" t="str">
        <f>LOOKUP(1,1/(Table1[[#This Row],[Level_0]:[Level 15]]&gt;0),(Table1[[#This Row],[Level_0]:[Level 15]]))</f>
        <v>4515100000 - [Recognized Expense - Land - RoU]</v>
      </c>
    </row>
    <row r="2611" spans="1:23" x14ac:dyDescent="0.25">
      <c r="A2611">
        <v>5969008000</v>
      </c>
      <c r="B2611" s="16" t="s">
        <v>20606</v>
      </c>
      <c r="C2611" s="16" t="e">
        <f>VLOOKUP(Table1[[#This Row],[Node]],Parent!A:B,2,0)</f>
        <v>#N/A</v>
      </c>
      <c r="D2611" s="25" t="s">
        <v>19346</v>
      </c>
      <c r="E2611" s="26" t="s">
        <v>16544</v>
      </c>
      <c r="F2611" s="27" t="s">
        <v>19051</v>
      </c>
      <c r="G2611" s="27" t="s">
        <v>19113</v>
      </c>
      <c r="H2611" s="27" t="s">
        <v>19114</v>
      </c>
      <c r="I2611" s="27" t="s">
        <v>19115</v>
      </c>
      <c r="J2611" s="27" t="s">
        <v>19119</v>
      </c>
      <c r="K2611" s="27"/>
      <c r="L2611" s="27"/>
      <c r="N2611" s="27"/>
      <c r="T2611" s="28" t="str">
        <f>LOOKUP(1,1/(Table1[[#This Row],[Level_0]:[Level 15]]&gt;0),(Table1[[#This Row],[Level_0]:[Level 15]]))</f>
        <v>5969008000 - [Oth Exp - RoU - Clearing]</v>
      </c>
      <c r="U2611" s="22">
        <v>2606</v>
      </c>
      <c r="W2611" s="13" t="str">
        <f>LOOKUP(1,1/(Table1[[#This Row],[Level_0]:[Level 15]]&gt;0),(Table1[[#This Row],[Level_0]:[Level 15]]))</f>
        <v>5969008000 - [Oth Exp - RoU - Clearing]</v>
      </c>
    </row>
    <row r="2612" spans="1:23" x14ac:dyDescent="0.25">
      <c r="A2612">
        <v>5172000001</v>
      </c>
      <c r="B2612" s="16" t="s">
        <v>20084</v>
      </c>
      <c r="C2612" s="16" t="e">
        <f>VLOOKUP(Table1[[#This Row],[Node]],Parent!A:B,2,0)</f>
        <v>#N/A</v>
      </c>
      <c r="D2612" s="25" t="s">
        <v>19346</v>
      </c>
      <c r="E2612" s="26" t="s">
        <v>16544</v>
      </c>
      <c r="F2612" s="27" t="s">
        <v>19051</v>
      </c>
      <c r="G2612" s="27" t="s">
        <v>19113</v>
      </c>
      <c r="H2612" s="27" t="s">
        <v>19114</v>
      </c>
      <c r="I2612" s="27" t="s">
        <v>19115</v>
      </c>
      <c r="J2612" s="27" t="s">
        <v>19120</v>
      </c>
      <c r="K2612" s="27"/>
      <c r="L2612" s="27"/>
      <c r="N2612" s="27"/>
      <c r="T2612" s="28" t="str">
        <f>LOOKUP(1,1/(Table1[[#This Row],[Level_0]:[Level 15]]&gt;0),(Table1[[#This Row],[Level_0]:[Level 15]]))</f>
        <v>5172000001 - [Leasing Costs - Tech Machine &amp; Equipment]</v>
      </c>
      <c r="U2612" s="22">
        <v>2607</v>
      </c>
      <c r="W2612" s="13" t="str">
        <f>LOOKUP(1,1/(Table1[[#This Row],[Level_0]:[Level 15]]&gt;0),(Table1[[#This Row],[Level_0]:[Level 15]]))</f>
        <v>5172000001 - [Leasing Costs - Tech Machine &amp; Equipment]</v>
      </c>
    </row>
    <row r="2613" spans="1:23" x14ac:dyDescent="0.25">
      <c r="A2613">
        <v>5172000000</v>
      </c>
      <c r="B2613" s="16" t="s">
        <v>20083</v>
      </c>
      <c r="C2613" s="16" t="e">
        <f>VLOOKUP(Table1[[#This Row],[Node]],Parent!A:B,2,0)</f>
        <v>#N/A</v>
      </c>
      <c r="D2613" s="25" t="s">
        <v>19346</v>
      </c>
      <c r="E2613" s="26" t="s">
        <v>16544</v>
      </c>
      <c r="F2613" s="27" t="s">
        <v>19051</v>
      </c>
      <c r="G2613" s="27" t="s">
        <v>19113</v>
      </c>
      <c r="H2613" s="27" t="s">
        <v>19114</v>
      </c>
      <c r="I2613" s="27" t="s">
        <v>19115</v>
      </c>
      <c r="J2613" s="27" t="s">
        <v>19121</v>
      </c>
      <c r="K2613" s="27"/>
      <c r="L2613" s="27"/>
      <c r="N2613" s="27"/>
      <c r="T2613" s="28" t="str">
        <f>LOOKUP(1,1/(Table1[[#This Row],[Level_0]:[Level 15]]&gt;0),(Table1[[#This Row],[Level_0]:[Level 15]]))</f>
        <v>5172000000 - [Leasing Costs - Other Tangible Assets]</v>
      </c>
      <c r="U2613" s="22">
        <v>2608</v>
      </c>
      <c r="W2613" s="13" t="str">
        <f>LOOKUP(1,1/(Table1[[#This Row],[Level_0]:[Level 15]]&gt;0),(Table1[[#This Row],[Level_0]:[Level 15]]))</f>
        <v>5172000000 - [Leasing Costs - Other Tangible Assets]</v>
      </c>
    </row>
    <row r="2614" spans="1:23" x14ac:dyDescent="0.25">
      <c r="A2614">
        <v>5171000001</v>
      </c>
      <c r="B2614" s="16" t="s">
        <v>20082</v>
      </c>
      <c r="C2614" s="16" t="e">
        <f>VLOOKUP(Table1[[#This Row],[Node]],Parent!A:B,2,0)</f>
        <v>#N/A</v>
      </c>
      <c r="D2614" s="25" t="s">
        <v>19346</v>
      </c>
      <c r="E2614" s="26" t="s">
        <v>16544</v>
      </c>
      <c r="F2614" s="27" t="s">
        <v>19051</v>
      </c>
      <c r="G2614" s="27" t="s">
        <v>19113</v>
      </c>
      <c r="H2614" s="27" t="s">
        <v>19114</v>
      </c>
      <c r="I2614" s="27" t="s">
        <v>19115</v>
      </c>
      <c r="J2614" s="27" t="s">
        <v>19122</v>
      </c>
      <c r="K2614" s="27"/>
      <c r="L2614" s="27"/>
      <c r="N2614" s="27"/>
      <c r="T2614" s="28" t="str">
        <f>LOOKUP(1,1/(Table1[[#This Row],[Level_0]:[Level 15]]&gt;0),(Table1[[#This Row],[Level_0]:[Level 15]]))</f>
        <v>5171000001 - [Leasing Costs - Land&amp;Build Add Prop Exp]</v>
      </c>
      <c r="U2614" s="22">
        <v>2609</v>
      </c>
      <c r="W2614" s="13" t="str">
        <f>LOOKUP(1,1/(Table1[[#This Row],[Level_0]:[Level 15]]&gt;0),(Table1[[#This Row],[Level_0]:[Level 15]]))</f>
        <v>5171000001 - [Leasing Costs - Land&amp;Build Add Prop Exp]</v>
      </c>
    </row>
    <row r="2615" spans="1:23" x14ac:dyDescent="0.25">
      <c r="A2615">
        <v>5171000000</v>
      </c>
      <c r="B2615" s="16" t="s">
        <v>20081</v>
      </c>
      <c r="C2615" s="16" t="e">
        <f>VLOOKUP(Table1[[#This Row],[Node]],Parent!A:B,2,0)</f>
        <v>#N/A</v>
      </c>
      <c r="D2615" s="25" t="s">
        <v>19346</v>
      </c>
      <c r="E2615" s="26" t="s">
        <v>16544</v>
      </c>
      <c r="F2615" s="27" t="s">
        <v>19051</v>
      </c>
      <c r="G2615" s="27" t="s">
        <v>19113</v>
      </c>
      <c r="H2615" s="27" t="s">
        <v>19114</v>
      </c>
      <c r="I2615" s="27" t="s">
        <v>19115</v>
      </c>
      <c r="J2615" s="27" t="s">
        <v>19123</v>
      </c>
      <c r="K2615" s="27"/>
      <c r="L2615" s="27"/>
      <c r="N2615" s="27"/>
      <c r="T2615" s="28" t="str">
        <f>LOOKUP(1,1/(Table1[[#This Row],[Level_0]:[Level 15]]&gt;0),(Table1[[#This Row],[Level_0]:[Level 15]]))</f>
        <v>5171000000 - [Leasing Costs - Land and Buildings]</v>
      </c>
      <c r="U2615" s="22">
        <v>2610</v>
      </c>
      <c r="W2615" s="13" t="str">
        <f>LOOKUP(1,1/(Table1[[#This Row],[Level_0]:[Level 15]]&gt;0),(Table1[[#This Row],[Level_0]:[Level 15]]))</f>
        <v>5171000000 - [Leasing Costs - Land and Buildings]</v>
      </c>
    </row>
    <row r="2616" spans="1:23" x14ac:dyDescent="0.25">
      <c r="A2616">
        <v>5170000000</v>
      </c>
      <c r="B2616" s="16" t="s">
        <v>20079</v>
      </c>
      <c r="C2616" s="16" t="e">
        <f>VLOOKUP(Table1[[#This Row],[Node]],Parent!A:B,2,0)</f>
        <v>#N/A</v>
      </c>
      <c r="D2616" s="25" t="s">
        <v>19346</v>
      </c>
      <c r="E2616" s="26" t="s">
        <v>16544</v>
      </c>
      <c r="F2616" s="27" t="s">
        <v>19051</v>
      </c>
      <c r="G2616" s="27" t="s">
        <v>19113</v>
      </c>
      <c r="H2616" s="27" t="s">
        <v>19114</v>
      </c>
      <c r="I2616" s="27" t="s">
        <v>19115</v>
      </c>
      <c r="J2616" s="27" t="s">
        <v>19124</v>
      </c>
      <c r="K2616" s="27"/>
      <c r="L2616" s="27"/>
      <c r="N2616" s="27"/>
      <c r="T2616" s="28" t="str">
        <f>LOOKUP(1,1/(Table1[[#This Row],[Level_0]:[Level 15]]&gt;0),(Table1[[#This Row],[Level_0]:[Level 15]]))</f>
        <v>5170000000 - [Leasing Costs - Vehicles]</v>
      </c>
      <c r="U2616" s="22">
        <v>2611</v>
      </c>
      <c r="W2616" s="13" t="str">
        <f>LOOKUP(1,1/(Table1[[#This Row],[Level_0]:[Level 15]]&gt;0),(Table1[[#This Row],[Level_0]:[Level 15]]))</f>
        <v>5170000000 - [Leasing Costs - Vehicles]</v>
      </c>
    </row>
    <row r="2617" spans="1:23" x14ac:dyDescent="0.25">
      <c r="A2617">
        <v>5169000000</v>
      </c>
      <c r="B2617" s="16" t="s">
        <v>20078</v>
      </c>
      <c r="C2617" s="16" t="e">
        <f>VLOOKUP(Table1[[#This Row],[Node]],Parent!A:B,2,0)</f>
        <v>#N/A</v>
      </c>
      <c r="D2617" s="25" t="s">
        <v>19346</v>
      </c>
      <c r="E2617" s="26" t="s">
        <v>16544</v>
      </c>
      <c r="F2617" s="27" t="s">
        <v>19051</v>
      </c>
      <c r="G2617" s="27" t="s">
        <v>19113</v>
      </c>
      <c r="H2617" s="27" t="s">
        <v>19114</v>
      </c>
      <c r="I2617" s="27" t="s">
        <v>19115</v>
      </c>
      <c r="J2617" s="27" t="s">
        <v>19125</v>
      </c>
      <c r="K2617" s="27"/>
      <c r="L2617" s="27"/>
      <c r="N2617" s="27"/>
      <c r="T2617" s="28" t="str">
        <f>LOOKUP(1,1/(Table1[[#This Row],[Level_0]:[Level 15]]&gt;0),(Table1[[#This Row],[Level_0]:[Level 15]]))</f>
        <v>5169000000 - [Rental Costs - Other Tangible Assets]</v>
      </c>
      <c r="U2617" s="22">
        <v>2612</v>
      </c>
      <c r="W2617" s="13" t="str">
        <f>LOOKUP(1,1/(Table1[[#This Row],[Level_0]:[Level 15]]&gt;0),(Table1[[#This Row],[Level_0]:[Level 15]]))</f>
        <v>5169000000 - [Rental Costs - Other Tangible Assets]</v>
      </c>
    </row>
    <row r="2618" spans="1:23" x14ac:dyDescent="0.25">
      <c r="A2618">
        <v>5161000000</v>
      </c>
      <c r="B2618" s="16" t="s">
        <v>20077</v>
      </c>
      <c r="C2618" s="16" t="e">
        <f>VLOOKUP(Table1[[#This Row],[Node]],Parent!A:B,2,0)</f>
        <v>#N/A</v>
      </c>
      <c r="D2618" s="25" t="s">
        <v>19346</v>
      </c>
      <c r="E2618" s="26" t="s">
        <v>16544</v>
      </c>
      <c r="F2618" s="27" t="s">
        <v>19051</v>
      </c>
      <c r="G2618" s="27" t="s">
        <v>19113</v>
      </c>
      <c r="H2618" s="27" t="s">
        <v>19114</v>
      </c>
      <c r="I2618" s="27" t="s">
        <v>19115</v>
      </c>
      <c r="J2618" s="27" t="s">
        <v>19126</v>
      </c>
      <c r="K2618" s="27"/>
      <c r="L2618" s="27"/>
      <c r="N2618" s="27"/>
      <c r="T2618" s="28" t="str">
        <f>LOOKUP(1,1/(Table1[[#This Row],[Level_0]:[Level 15]]&gt;0),(Table1[[#This Row],[Level_0]:[Level 15]]))</f>
        <v>5161000000 - [Rental Costs - Plants &amp; Mach/Fixt &amp; Fitt]</v>
      </c>
      <c r="U2618" s="22">
        <v>2613</v>
      </c>
      <c r="W2618" s="13" t="str">
        <f>LOOKUP(1,1/(Table1[[#This Row],[Level_0]:[Level 15]]&gt;0),(Table1[[#This Row],[Level_0]:[Level 15]]))</f>
        <v>5161000000 - [Rental Costs - Plants &amp; Mach/Fixt &amp; Fitt]</v>
      </c>
    </row>
    <row r="2619" spans="1:23" x14ac:dyDescent="0.25">
      <c r="A2619">
        <v>5160000000</v>
      </c>
      <c r="B2619" s="16" t="s">
        <v>20076</v>
      </c>
      <c r="C2619" s="16" t="e">
        <f>VLOOKUP(Table1[[#This Row],[Node]],Parent!A:B,2,0)</f>
        <v>#N/A</v>
      </c>
      <c r="D2619" s="25" t="s">
        <v>19346</v>
      </c>
      <c r="E2619" s="26" t="s">
        <v>16544</v>
      </c>
      <c r="F2619" s="27" t="s">
        <v>19051</v>
      </c>
      <c r="G2619" s="27" t="s">
        <v>19113</v>
      </c>
      <c r="H2619" s="27" t="s">
        <v>19114</v>
      </c>
      <c r="I2619" s="27" t="s">
        <v>19115</v>
      </c>
      <c r="J2619" s="27" t="s">
        <v>19127</v>
      </c>
      <c r="K2619" s="27"/>
      <c r="L2619" s="27"/>
      <c r="N2619" s="27"/>
      <c r="T2619" s="28" t="str">
        <f>LOOKUP(1,1/(Table1[[#This Row],[Level_0]:[Level 15]]&gt;0),(Table1[[#This Row],[Level_0]:[Level 15]]))</f>
        <v>5160000000 - [Rental Costs - Land and Buildings]</v>
      </c>
      <c r="U2619" s="22">
        <v>2614</v>
      </c>
      <c r="W2619" s="13" t="str">
        <f>LOOKUP(1,1/(Table1[[#This Row],[Level_0]:[Level 15]]&gt;0),(Table1[[#This Row],[Level_0]:[Level 15]]))</f>
        <v>5160000000 - [Rental Costs - Land and Buildings]</v>
      </c>
    </row>
    <row r="2620" spans="1:23" x14ac:dyDescent="0.25">
      <c r="A2620">
        <v>4515600000</v>
      </c>
      <c r="B2620" s="16" t="s">
        <v>19949</v>
      </c>
      <c r="C2620" s="16" t="e">
        <f>VLOOKUP(Table1[[#This Row],[Node]],Parent!A:B,2,0)</f>
        <v>#N/A</v>
      </c>
      <c r="D2620" s="25" t="s">
        <v>19346</v>
      </c>
      <c r="E2620" s="26" t="s">
        <v>16544</v>
      </c>
      <c r="F2620" s="27" t="s">
        <v>19051</v>
      </c>
      <c r="G2620" s="27" t="s">
        <v>19113</v>
      </c>
      <c r="H2620" s="27" t="s">
        <v>19114</v>
      </c>
      <c r="I2620" s="27" t="s">
        <v>19115</v>
      </c>
      <c r="J2620" s="27" t="s">
        <v>19128</v>
      </c>
      <c r="K2620" s="27"/>
      <c r="L2620" s="27"/>
      <c r="N2620" s="27"/>
      <c r="T2620" s="28" t="str">
        <f>LOOKUP(1,1/(Table1[[#This Row],[Level_0]:[Level 15]]&gt;0),(Table1[[#This Row],[Level_0]:[Level 15]]))</f>
        <v>4515600000 - [Recognized Expense - OthFixA - RoU]</v>
      </c>
      <c r="U2620" s="22">
        <v>2615</v>
      </c>
      <c r="W2620" s="13" t="str">
        <f>LOOKUP(1,1/(Table1[[#This Row],[Level_0]:[Level 15]]&gt;0),(Table1[[#This Row],[Level_0]:[Level 15]]))</f>
        <v>4515600000 - [Recognized Expense - OthFixA - RoU]</v>
      </c>
    </row>
    <row r="2621" spans="1:23" x14ac:dyDescent="0.25">
      <c r="A2621">
        <v>4515500000</v>
      </c>
      <c r="B2621" s="16" t="s">
        <v>19948</v>
      </c>
      <c r="C2621" s="16" t="e">
        <f>VLOOKUP(Table1[[#This Row],[Node]],Parent!A:B,2,0)</f>
        <v>#N/A</v>
      </c>
      <c r="D2621" s="25" t="s">
        <v>19346</v>
      </c>
      <c r="E2621" s="26" t="s">
        <v>16544</v>
      </c>
      <c r="F2621" s="27" t="s">
        <v>19051</v>
      </c>
      <c r="G2621" s="27" t="s">
        <v>19113</v>
      </c>
      <c r="H2621" s="27" t="s">
        <v>19114</v>
      </c>
      <c r="I2621" s="27" t="s">
        <v>19115</v>
      </c>
      <c r="J2621" s="27" t="s">
        <v>19129</v>
      </c>
      <c r="K2621" s="27"/>
      <c r="L2621" s="27"/>
      <c r="N2621" s="27"/>
      <c r="T2621" s="28" t="str">
        <f>LOOKUP(1,1/(Table1[[#This Row],[Level_0]:[Level 15]]&gt;0),(Table1[[#This Row],[Level_0]:[Level 15]]))</f>
        <v>4515500000 - [Recognized Expense - ITEquipm - RoU]</v>
      </c>
      <c r="U2621" s="22">
        <v>2616</v>
      </c>
      <c r="W2621" s="13" t="str">
        <f>LOOKUP(1,1/(Table1[[#This Row],[Level_0]:[Level 15]]&gt;0),(Table1[[#This Row],[Level_0]:[Level 15]]))</f>
        <v>4515500000 - [Recognized Expense - ITEquipm - RoU]</v>
      </c>
    </row>
    <row r="2622" spans="1:23" x14ac:dyDescent="0.25">
      <c r="A2622">
        <v>4515300000</v>
      </c>
      <c r="B2622" s="16" t="s">
        <v>19946</v>
      </c>
      <c r="C2622" s="16" t="e">
        <f>VLOOKUP(Table1[[#This Row],[Node]],Parent!A:B,2,0)</f>
        <v>#N/A</v>
      </c>
      <c r="D2622" s="25" t="s">
        <v>19346</v>
      </c>
      <c r="E2622" s="26" t="s">
        <v>16544</v>
      </c>
      <c r="F2622" s="27" t="s">
        <v>19051</v>
      </c>
      <c r="G2622" s="27" t="s">
        <v>19113</v>
      </c>
      <c r="H2622" s="27" t="s">
        <v>19114</v>
      </c>
      <c r="I2622" s="27" t="s">
        <v>19115</v>
      </c>
      <c r="J2622" s="27" t="s">
        <v>19130</v>
      </c>
      <c r="K2622" s="27"/>
      <c r="L2622" s="27"/>
      <c r="N2622" s="27"/>
      <c r="T2622" s="28" t="str">
        <f>LOOKUP(1,1/(Table1[[#This Row],[Level_0]:[Level 15]]&gt;0),(Table1[[#This Row],[Level_0]:[Level 15]]))</f>
        <v>4515300000 - [Recognized Expense - TecEqMa - RoU]</v>
      </c>
      <c r="U2622" s="22">
        <v>2617</v>
      </c>
      <c r="W2622" s="13" t="str">
        <f>LOOKUP(1,1/(Table1[[#This Row],[Level_0]:[Level 15]]&gt;0),(Table1[[#This Row],[Level_0]:[Level 15]]))</f>
        <v>4515300000 - [Recognized Expense - TecEqMa - RoU]</v>
      </c>
    </row>
    <row r="2623" spans="1:23" x14ac:dyDescent="0.25">
      <c r="A2623">
        <v>4515000000</v>
      </c>
      <c r="B2623" s="16" t="s">
        <v>19943</v>
      </c>
      <c r="C2623" s="16" t="e">
        <f>VLOOKUP(Table1[[#This Row],[Node]],Parent!A:B,2,0)</f>
        <v>#N/A</v>
      </c>
      <c r="D2623" s="25" t="s">
        <v>19346</v>
      </c>
      <c r="E2623" s="26" t="s">
        <v>16544</v>
      </c>
      <c r="F2623" s="27" t="s">
        <v>19051</v>
      </c>
      <c r="G2623" s="27" t="s">
        <v>19113</v>
      </c>
      <c r="H2623" s="27" t="s">
        <v>19114</v>
      </c>
      <c r="I2623" s="27" t="s">
        <v>19115</v>
      </c>
      <c r="J2623" s="27" t="s">
        <v>19131</v>
      </c>
      <c r="K2623" s="27"/>
      <c r="L2623" s="27"/>
      <c r="N2623" s="27"/>
      <c r="T2623" s="28" t="str">
        <f>LOOKUP(1,1/(Table1[[#This Row],[Level_0]:[Level 15]]&gt;0),(Table1[[#This Row],[Level_0]:[Level 15]]))</f>
        <v>4515000000 - [Lease Payments Before Commencement Date]</v>
      </c>
      <c r="U2623" s="22">
        <v>2618</v>
      </c>
      <c r="W2623" s="13" t="str">
        <f>LOOKUP(1,1/(Table1[[#This Row],[Level_0]:[Level 15]]&gt;0),(Table1[[#This Row],[Level_0]:[Level 15]]))</f>
        <v>4515000000 - [Lease Payments Before Commencement Date]</v>
      </c>
    </row>
    <row r="2624" spans="1:23" x14ac:dyDescent="0.25">
      <c r="A2624">
        <v>4514000000</v>
      </c>
      <c r="B2624" s="16" t="s">
        <v>19942</v>
      </c>
      <c r="C2624" s="16" t="e">
        <f>VLOOKUP(Table1[[#This Row],[Node]],Parent!A:B,2,0)</f>
        <v>#N/A</v>
      </c>
      <c r="D2624" s="25" t="s">
        <v>19346</v>
      </c>
      <c r="E2624" s="26" t="s">
        <v>16544</v>
      </c>
      <c r="F2624" s="27" t="s">
        <v>19051</v>
      </c>
      <c r="G2624" s="27" t="s">
        <v>19113</v>
      </c>
      <c r="H2624" s="27" t="s">
        <v>19114</v>
      </c>
      <c r="I2624" s="27" t="s">
        <v>19115</v>
      </c>
      <c r="J2624" s="27" t="s">
        <v>19132</v>
      </c>
      <c r="K2624" s="27"/>
      <c r="L2624" s="27"/>
      <c r="N2624" s="27"/>
      <c r="T2624" s="28" t="str">
        <f>LOOKUP(1,1/(Table1[[#This Row],[Level_0]:[Level 15]]&gt;0),(Table1[[#This Row],[Level_0]:[Level 15]]))</f>
        <v>4514000000 - [Leased Assets - Initial Direct Costs]</v>
      </c>
      <c r="U2624" s="22">
        <v>2619</v>
      </c>
      <c r="W2624" s="13" t="str">
        <f>LOOKUP(1,1/(Table1[[#This Row],[Level_0]:[Level 15]]&gt;0),(Table1[[#This Row],[Level_0]:[Level 15]]))</f>
        <v>4514000000 - [Leased Assets - Initial Direct Costs]</v>
      </c>
    </row>
    <row r="2625" spans="1:23" x14ac:dyDescent="0.25">
      <c r="A2625">
        <v>4513000000</v>
      </c>
      <c r="B2625" s="16" t="s">
        <v>19941</v>
      </c>
      <c r="C2625" s="16" t="e">
        <f>VLOOKUP(Table1[[#This Row],[Node]],Parent!A:B,2,0)</f>
        <v>#N/A</v>
      </c>
      <c r="D2625" s="25" t="s">
        <v>19346</v>
      </c>
      <c r="E2625" s="26" t="s">
        <v>16544</v>
      </c>
      <c r="F2625" s="27" t="s">
        <v>19051</v>
      </c>
      <c r="G2625" s="27" t="s">
        <v>19113</v>
      </c>
      <c r="H2625" s="27" t="s">
        <v>19114</v>
      </c>
      <c r="I2625" s="27" t="s">
        <v>19115</v>
      </c>
      <c r="J2625" s="27" t="s">
        <v>19133</v>
      </c>
      <c r="K2625" s="27"/>
      <c r="L2625" s="27"/>
      <c r="N2625" s="27"/>
      <c r="T2625" s="28" t="str">
        <f>LOOKUP(1,1/(Table1[[#This Row],[Level_0]:[Level 15]]&gt;0),(Table1[[#This Row],[Level_0]:[Level 15]]))</f>
        <v>4513000000 - [Capitalized Finance Lease Lessee]</v>
      </c>
      <c r="U2625" s="22">
        <v>2620</v>
      </c>
      <c r="W2625" s="13" t="str">
        <f>LOOKUP(1,1/(Table1[[#This Row],[Level_0]:[Level 15]]&gt;0),(Table1[[#This Row],[Level_0]:[Level 15]]))</f>
        <v>4513000000 - [Capitalized Finance Lease Lessee]</v>
      </c>
    </row>
    <row r="2626" spans="1:23" x14ac:dyDescent="0.25">
      <c r="A2626">
        <v>5170000001</v>
      </c>
      <c r="B2626" s="16" t="s">
        <v>20080</v>
      </c>
      <c r="C2626" s="16" t="e">
        <f>VLOOKUP(Table1[[#This Row],[Node]],Parent!A:B,2,0)</f>
        <v>#N/A</v>
      </c>
      <c r="D2626" s="25" t="s">
        <v>19346</v>
      </c>
      <c r="E2626" s="26" t="s">
        <v>16544</v>
      </c>
      <c r="F2626" s="27" t="s">
        <v>19051</v>
      </c>
      <c r="G2626" s="27" t="s">
        <v>19113</v>
      </c>
      <c r="H2626" s="27" t="s">
        <v>19114</v>
      </c>
      <c r="I2626" s="27" t="s">
        <v>19115</v>
      </c>
      <c r="J2626" s="27" t="s">
        <v>19134</v>
      </c>
      <c r="K2626" s="27"/>
      <c r="L2626" s="27"/>
      <c r="N2626" s="27"/>
      <c r="T2626" s="28" t="str">
        <f>LOOKUP(1,1/(Table1[[#This Row],[Level_0]:[Level 15]]&gt;0),(Table1[[#This Row],[Level_0]:[Level 15]]))</f>
        <v>5170000001 - [Leasing Costs - Vehicles - Tax]</v>
      </c>
      <c r="U2626" s="22">
        <v>2621</v>
      </c>
      <c r="W2626" s="13" t="str">
        <f>LOOKUP(1,1/(Table1[[#This Row],[Level_0]:[Level 15]]&gt;0),(Table1[[#This Row],[Level_0]:[Level 15]]))</f>
        <v>5170000001 - [Leasing Costs - Vehicles - Tax]</v>
      </c>
    </row>
    <row r="2627" spans="1:23" x14ac:dyDescent="0.25">
      <c r="A2627">
        <v>110116</v>
      </c>
      <c r="B2627" s="16" t="s">
        <v>19388</v>
      </c>
      <c r="C2627" s="16" t="e">
        <f>VLOOKUP(Table1[[#This Row],[Node]],Parent!A:B,2,0)</f>
        <v>#N/A</v>
      </c>
      <c r="D2627" s="25" t="s">
        <v>19346</v>
      </c>
      <c r="E2627" s="26" t="s">
        <v>16544</v>
      </c>
      <c r="F2627" s="27" t="s">
        <v>19051</v>
      </c>
      <c r="G2627" s="27" t="s">
        <v>19113</v>
      </c>
      <c r="H2627" s="27" t="s">
        <v>19114</v>
      </c>
      <c r="I2627" s="27" t="s">
        <v>19135</v>
      </c>
      <c r="J2627" s="27"/>
      <c r="K2627" s="27"/>
      <c r="L2627" s="27"/>
      <c r="N2627" s="27"/>
      <c r="T2627" s="28" t="str">
        <f>LOOKUP(1,1/(Table1[[#This Row],[Level_0]:[Level 15]]&gt;0),(Table1[[#This Row],[Level_0]:[Level 15]]))</f>
        <v>110116 - [Leased Invoices for Capitalization IFRS]</v>
      </c>
      <c r="U2627" s="22">
        <v>2622</v>
      </c>
      <c r="W2627" s="13" t="str">
        <f>LOOKUP(1,1/(Table1[[#This Row],[Level_0]:[Level 15]]&gt;0),(Table1[[#This Row],[Level_0]:[Level 15]]))</f>
        <v>110116 - [Leased Invoices for Capitalization IFRS]</v>
      </c>
    </row>
    <row r="2628" spans="1:23" x14ac:dyDescent="0.25">
      <c r="A2628">
        <v>5202400000</v>
      </c>
      <c r="B2628" s="16" t="s">
        <v>20110</v>
      </c>
      <c r="C2628" s="16" t="e">
        <f>VLOOKUP(Table1[[#This Row],[Node]],Parent!A:B,2,0)</f>
        <v>#N/A</v>
      </c>
      <c r="D2628" s="25" t="s">
        <v>19346</v>
      </c>
      <c r="E2628" s="26" t="s">
        <v>16544</v>
      </c>
      <c r="F2628" s="27" t="s">
        <v>19051</v>
      </c>
      <c r="G2628" s="27" t="s">
        <v>19113</v>
      </c>
      <c r="H2628" s="27" t="s">
        <v>19114</v>
      </c>
      <c r="I2628" s="27" t="s">
        <v>19135</v>
      </c>
      <c r="J2628" s="27" t="s">
        <v>19136</v>
      </c>
      <c r="K2628" s="27"/>
      <c r="L2628" s="27"/>
      <c r="N2628" s="27"/>
      <c r="T2628" s="28" t="str">
        <f>LOOKUP(1,1/(Table1[[#This Row],[Level_0]:[Level 15]]&gt;0),(Table1[[#This Row],[Level_0]:[Level 15]]))</f>
        <v>5202400000 - [Finance Lease Lessee for Fixed Assets]</v>
      </c>
      <c r="U2628" s="22">
        <v>2623</v>
      </c>
      <c r="W2628" s="13" t="str">
        <f>LOOKUP(1,1/(Table1[[#This Row],[Level_0]:[Level 15]]&gt;0),(Table1[[#This Row],[Level_0]:[Level 15]]))</f>
        <v>5202400000 - [Finance Lease Lessee for Fixed Assets]</v>
      </c>
    </row>
    <row r="2629" spans="1:23" x14ac:dyDescent="0.25">
      <c r="A2629">
        <v>110105</v>
      </c>
      <c r="B2629" s="16" t="s">
        <v>19386</v>
      </c>
      <c r="C2629" s="16" t="e">
        <f>VLOOKUP(Table1[[#This Row],[Node]],Parent!A:B,2,0)</f>
        <v>#N/A</v>
      </c>
      <c r="D2629" s="25" t="s">
        <v>19346</v>
      </c>
      <c r="E2629" s="26" t="s">
        <v>16544</v>
      </c>
      <c r="F2629" s="27" t="s">
        <v>19051</v>
      </c>
      <c r="G2629" s="27" t="s">
        <v>19113</v>
      </c>
      <c r="H2629" s="27" t="s">
        <v>19137</v>
      </c>
      <c r="I2629" s="27"/>
      <c r="J2629" s="27"/>
      <c r="K2629" s="27"/>
      <c r="L2629" s="27"/>
      <c r="N2629" s="27"/>
      <c r="T2629" s="28" t="str">
        <f>LOOKUP(1,1/(Table1[[#This Row],[Level_0]:[Level 15]]&gt;0),(Table1[[#This Row],[Level_0]:[Level 15]]))</f>
        <v>110105 - [Vehicle depreciation &amp; impairm.]</v>
      </c>
      <c r="U2629" s="22">
        <v>2624</v>
      </c>
      <c r="W2629" s="13" t="str">
        <f>LOOKUP(1,1/(Table1[[#This Row],[Level_0]:[Level 15]]&gt;0),(Table1[[#This Row],[Level_0]:[Level 15]]))</f>
        <v>110105 - [Vehicle depreciation &amp; impairm.]</v>
      </c>
    </row>
    <row r="2630" spans="1:23" x14ac:dyDescent="0.25">
      <c r="A2630">
        <v>5113500400</v>
      </c>
      <c r="B2630" s="16" t="s">
        <v>20053</v>
      </c>
      <c r="C2630" s="16" t="e">
        <f>VLOOKUP(Table1[[#This Row],[Node]],Parent!A:B,2,0)</f>
        <v>#N/A</v>
      </c>
      <c r="D2630" s="25" t="s">
        <v>19346</v>
      </c>
      <c r="E2630" s="26" t="s">
        <v>16544</v>
      </c>
      <c r="F2630" s="27" t="s">
        <v>19051</v>
      </c>
      <c r="G2630" s="27" t="s">
        <v>19113</v>
      </c>
      <c r="H2630" s="27" t="s">
        <v>19137</v>
      </c>
      <c r="I2630" s="27" t="s">
        <v>19138</v>
      </c>
      <c r="J2630" s="27"/>
      <c r="K2630" s="27"/>
      <c r="L2630" s="27"/>
      <c r="N2630" s="27"/>
      <c r="T2630" s="28" t="str">
        <f>LOOKUP(1,1/(Table1[[#This Row],[Level_0]:[Level 15]]&gt;0),(Table1[[#This Row],[Level_0]:[Level 15]]))</f>
        <v>5113500400 - [Impairment - Carpool - RoU]</v>
      </c>
      <c r="U2630" s="22">
        <v>2625</v>
      </c>
      <c r="W2630" s="13" t="str">
        <f>LOOKUP(1,1/(Table1[[#This Row],[Level_0]:[Level 15]]&gt;0),(Table1[[#This Row],[Level_0]:[Level 15]]))</f>
        <v>5113500400 - [Impairment - Carpool - RoU]</v>
      </c>
    </row>
    <row r="2631" spans="1:23" x14ac:dyDescent="0.25">
      <c r="A2631">
        <v>5113500001</v>
      </c>
      <c r="B2631" s="16" t="s">
        <v>20058</v>
      </c>
      <c r="C2631" s="16" t="e">
        <f>VLOOKUP(Table1[[#This Row],[Node]],Parent!A:B,2,0)</f>
        <v>#N/A</v>
      </c>
      <c r="D2631" s="25" t="s">
        <v>19346</v>
      </c>
      <c r="E2631" s="26" t="s">
        <v>16544</v>
      </c>
      <c r="F2631" s="27" t="s">
        <v>19051</v>
      </c>
      <c r="G2631" s="27" t="s">
        <v>19113</v>
      </c>
      <c r="H2631" s="27" t="s">
        <v>19137</v>
      </c>
      <c r="I2631" s="27" t="s">
        <v>19139</v>
      </c>
      <c r="J2631" s="27"/>
      <c r="K2631" s="27"/>
      <c r="L2631" s="27"/>
      <c r="N2631" s="27"/>
      <c r="T2631" s="28" t="str">
        <f>LOOKUP(1,1/(Table1[[#This Row],[Level_0]:[Level 15]]&gt;0),(Table1[[#This Row],[Level_0]:[Level 15]]))</f>
        <v>5113500001 - [Impairment - Carpool - Acc1]</v>
      </c>
      <c r="U2631" s="22">
        <v>2626</v>
      </c>
      <c r="W2631" s="13" t="str">
        <f>LOOKUP(1,1/(Table1[[#This Row],[Level_0]:[Level 15]]&gt;0),(Table1[[#This Row],[Level_0]:[Level 15]]))</f>
        <v>5113500001 - [Impairment - Carpool - Acc1]</v>
      </c>
    </row>
    <row r="2632" spans="1:23" x14ac:dyDescent="0.25">
      <c r="A2632">
        <v>5113500000</v>
      </c>
      <c r="B2632" s="16" t="s">
        <v>20057</v>
      </c>
      <c r="C2632" s="16" t="e">
        <f>VLOOKUP(Table1[[#This Row],[Node]],Parent!A:B,2,0)</f>
        <v>#N/A</v>
      </c>
      <c r="D2632" s="25" t="s">
        <v>19346</v>
      </c>
      <c r="E2632" s="26" t="s">
        <v>16544</v>
      </c>
      <c r="F2632" s="27" t="s">
        <v>19051</v>
      </c>
      <c r="G2632" s="27" t="s">
        <v>19113</v>
      </c>
      <c r="H2632" s="27" t="s">
        <v>19137</v>
      </c>
      <c r="I2632" s="27" t="s">
        <v>19140</v>
      </c>
      <c r="J2632" s="27"/>
      <c r="K2632" s="27"/>
      <c r="L2632" s="27"/>
      <c r="N2632" s="27"/>
      <c r="T2632" s="28" t="str">
        <f>LOOKUP(1,1/(Table1[[#This Row],[Level_0]:[Level 15]]&gt;0),(Table1[[#This Row],[Level_0]:[Level 15]]))</f>
        <v>5113500000 - [Impairment - Carpool]</v>
      </c>
      <c r="U2632" s="22">
        <v>2627</v>
      </c>
      <c r="W2632" s="13" t="str">
        <f>LOOKUP(1,1/(Table1[[#This Row],[Level_0]:[Level 15]]&gt;0),(Table1[[#This Row],[Level_0]:[Level 15]]))</f>
        <v>5113500000 - [Impairment - Carpool]</v>
      </c>
    </row>
    <row r="2633" spans="1:23" x14ac:dyDescent="0.25">
      <c r="A2633">
        <v>5113000300</v>
      </c>
      <c r="B2633" s="16" t="s">
        <v>20056</v>
      </c>
      <c r="C2633" s="16" t="e">
        <f>VLOOKUP(Table1[[#This Row],[Node]],Parent!A:B,2,0)</f>
        <v>#N/A</v>
      </c>
      <c r="D2633" s="25" t="s">
        <v>19346</v>
      </c>
      <c r="E2633" s="26" t="s">
        <v>16544</v>
      </c>
      <c r="F2633" s="27" t="s">
        <v>19051</v>
      </c>
      <c r="G2633" s="27" t="s">
        <v>19113</v>
      </c>
      <c r="H2633" s="27" t="s">
        <v>19137</v>
      </c>
      <c r="I2633" s="27" t="s">
        <v>19141</v>
      </c>
      <c r="J2633" s="27"/>
      <c r="K2633" s="27"/>
      <c r="L2633" s="27"/>
      <c r="N2633" s="27"/>
      <c r="T2633" s="28" t="str">
        <f>LOOKUP(1,1/(Table1[[#This Row],[Level_0]:[Level 15]]&gt;0),(Table1[[#This Row],[Level_0]:[Level 15]]))</f>
        <v>5113000300 - [Depreciation - Carpool - RoU]</v>
      </c>
      <c r="U2633" s="22">
        <v>2628</v>
      </c>
      <c r="W2633" s="13" t="str">
        <f>LOOKUP(1,1/(Table1[[#This Row],[Level_0]:[Level 15]]&gt;0),(Table1[[#This Row],[Level_0]:[Level 15]]))</f>
        <v>5113000300 - [Depreciation - Carpool - RoU]</v>
      </c>
    </row>
    <row r="2634" spans="1:23" x14ac:dyDescent="0.25">
      <c r="A2634">
        <v>5113000001</v>
      </c>
      <c r="B2634" s="16" t="s">
        <v>20055</v>
      </c>
      <c r="C2634" s="16" t="e">
        <f>VLOOKUP(Table1[[#This Row],[Node]],Parent!A:B,2,0)</f>
        <v>#N/A</v>
      </c>
      <c r="D2634" s="25" t="s">
        <v>19346</v>
      </c>
      <c r="E2634" s="26" t="s">
        <v>16544</v>
      </c>
      <c r="F2634" s="27" t="s">
        <v>19051</v>
      </c>
      <c r="G2634" s="27" t="s">
        <v>19113</v>
      </c>
      <c r="H2634" s="27" t="s">
        <v>19137</v>
      </c>
      <c r="I2634" s="27" t="s">
        <v>19142</v>
      </c>
      <c r="J2634" s="27"/>
      <c r="K2634" s="27"/>
      <c r="L2634" s="27"/>
      <c r="N2634" s="27"/>
      <c r="T2634" s="28" t="str">
        <f>LOOKUP(1,1/(Table1[[#This Row],[Level_0]:[Level 15]]&gt;0),(Table1[[#This Row],[Level_0]:[Level 15]]))</f>
        <v>5113000001 - [Depreciation - Carpool - Acc1]</v>
      </c>
      <c r="U2634" s="22">
        <v>2629</v>
      </c>
      <c r="W2634" s="13" t="str">
        <f>LOOKUP(1,1/(Table1[[#This Row],[Level_0]:[Level 15]]&gt;0),(Table1[[#This Row],[Level_0]:[Level 15]]))</f>
        <v>5113000001 - [Depreciation - Carpool - Acc1]</v>
      </c>
    </row>
    <row r="2635" spans="1:23" x14ac:dyDescent="0.25">
      <c r="A2635">
        <v>5113000000</v>
      </c>
      <c r="B2635" s="16" t="s">
        <v>20054</v>
      </c>
      <c r="C2635" s="16" t="e">
        <f>VLOOKUP(Table1[[#This Row],[Node]],Parent!A:B,2,0)</f>
        <v>#N/A</v>
      </c>
      <c r="D2635" s="25" t="s">
        <v>19346</v>
      </c>
      <c r="E2635" s="26" t="s">
        <v>16544</v>
      </c>
      <c r="F2635" s="27" t="s">
        <v>19051</v>
      </c>
      <c r="G2635" s="27" t="s">
        <v>19113</v>
      </c>
      <c r="H2635" s="27" t="s">
        <v>19137</v>
      </c>
      <c r="I2635" s="27" t="s">
        <v>19143</v>
      </c>
      <c r="J2635" s="27"/>
      <c r="K2635" s="27"/>
      <c r="L2635" s="27"/>
      <c r="N2635" s="27"/>
      <c r="T2635" s="28" t="str">
        <f>LOOKUP(1,1/(Table1[[#This Row],[Level_0]:[Level 15]]&gt;0),(Table1[[#This Row],[Level_0]:[Level 15]]))</f>
        <v>5113000000 - [Depreciation - Carpool]</v>
      </c>
      <c r="U2635" s="22">
        <v>2630</v>
      </c>
      <c r="W2635" s="13" t="str">
        <f>LOOKUP(1,1/(Table1[[#This Row],[Level_0]:[Level 15]]&gt;0),(Table1[[#This Row],[Level_0]:[Level 15]]))</f>
        <v>5113000000 - [Depreciation - Carpool]</v>
      </c>
    </row>
    <row r="2636" spans="1:23" x14ac:dyDescent="0.25">
      <c r="A2636">
        <v>5112500400</v>
      </c>
      <c r="B2636" s="16" t="s">
        <v>20053</v>
      </c>
      <c r="C2636" s="16" t="e">
        <f>VLOOKUP(Table1[[#This Row],[Node]],Parent!A:B,2,0)</f>
        <v>#N/A</v>
      </c>
      <c r="D2636" s="25" t="s">
        <v>19346</v>
      </c>
      <c r="E2636" s="26" t="s">
        <v>16544</v>
      </c>
      <c r="F2636" s="27" t="s">
        <v>19051</v>
      </c>
      <c r="G2636" s="27" t="s">
        <v>19113</v>
      </c>
      <c r="H2636" s="27" t="s">
        <v>19137</v>
      </c>
      <c r="I2636" s="27" t="s">
        <v>19144</v>
      </c>
      <c r="J2636" s="27"/>
      <c r="K2636" s="27"/>
      <c r="L2636" s="27"/>
      <c r="N2636" s="27"/>
      <c r="T2636" s="28" t="str">
        <f>LOOKUP(1,1/(Table1[[#This Row],[Level_0]:[Level 15]]&gt;0),(Table1[[#This Row],[Level_0]:[Level 15]]))</f>
        <v>5112500400 - [Impairment - Carpool - RoU]</v>
      </c>
      <c r="U2636" s="22">
        <v>2631</v>
      </c>
      <c r="W2636" s="13" t="str">
        <f>LOOKUP(1,1/(Table1[[#This Row],[Level_0]:[Level 15]]&gt;0),(Table1[[#This Row],[Level_0]:[Level 15]]))</f>
        <v>5112500400 - [Impairment - Carpool - RoU]</v>
      </c>
    </row>
    <row r="2637" spans="1:23" x14ac:dyDescent="0.25">
      <c r="A2637">
        <v>110104</v>
      </c>
      <c r="B2637" s="16" t="s">
        <v>19385</v>
      </c>
      <c r="C2637" s="16" t="e">
        <f>VLOOKUP(Table1[[#This Row],[Node]],Parent!A:B,2,0)</f>
        <v>#N/A</v>
      </c>
      <c r="D2637" s="25" t="s">
        <v>19346</v>
      </c>
      <c r="E2637" s="26" t="s">
        <v>16544</v>
      </c>
      <c r="F2637" s="27" t="s">
        <v>19051</v>
      </c>
      <c r="G2637" s="27" t="s">
        <v>19113</v>
      </c>
      <c r="H2637" s="27" t="s">
        <v>19145</v>
      </c>
      <c r="I2637" s="27"/>
      <c r="J2637" s="27"/>
      <c r="K2637" s="27"/>
      <c r="L2637" s="27"/>
      <c r="N2637" s="27"/>
      <c r="T2637" s="28" t="str">
        <f>LOOKUP(1,1/(Table1[[#This Row],[Level_0]:[Level 15]]&gt;0),(Table1[[#This Row],[Level_0]:[Level 15]]))</f>
        <v>110104 - [Other Depreciation, Amort &amp; Imparim.]</v>
      </c>
      <c r="U2637" s="22">
        <v>2632</v>
      </c>
      <c r="W2637" s="13" t="str">
        <f>LOOKUP(1,1/(Table1[[#This Row],[Level_0]:[Level 15]]&gt;0),(Table1[[#This Row],[Level_0]:[Level 15]]))</f>
        <v>110104 - [Other Depreciation, Amort &amp; Imparim.]</v>
      </c>
    </row>
    <row r="2638" spans="1:23" x14ac:dyDescent="0.25">
      <c r="A2638">
        <v>5119000000</v>
      </c>
      <c r="B2638" s="16" t="s">
        <v>20072</v>
      </c>
      <c r="C2638" s="16" t="e">
        <f>VLOOKUP(Table1[[#This Row],[Node]],Parent!A:B,2,0)</f>
        <v>#N/A</v>
      </c>
      <c r="D2638" s="25" t="s">
        <v>19346</v>
      </c>
      <c r="E2638" s="26" t="s">
        <v>16544</v>
      </c>
      <c r="F2638" s="27" t="s">
        <v>19051</v>
      </c>
      <c r="G2638" s="27" t="s">
        <v>19113</v>
      </c>
      <c r="H2638" s="27" t="s">
        <v>19145</v>
      </c>
      <c r="I2638" s="27" t="s">
        <v>19146</v>
      </c>
      <c r="J2638" s="27"/>
      <c r="K2638" s="27"/>
      <c r="L2638" s="27"/>
      <c r="N2638" s="27"/>
      <c r="T2638" s="28" t="str">
        <f>LOOKUP(1,1/(Table1[[#This Row],[Level_0]:[Level 15]]&gt;0),(Table1[[#This Row],[Level_0]:[Level 15]]))</f>
        <v>5119000000 - [Low Value Assets - Purchase]</v>
      </c>
      <c r="U2638" s="22">
        <v>2633</v>
      </c>
      <c r="W2638" s="13" t="str">
        <f>LOOKUP(1,1/(Table1[[#This Row],[Level_0]:[Level 15]]&gt;0),(Table1[[#This Row],[Level_0]:[Level 15]]))</f>
        <v>5119000000 - [Low Value Assets - Purchase]</v>
      </c>
    </row>
    <row r="2639" spans="1:23" x14ac:dyDescent="0.25">
      <c r="A2639">
        <v>5115000010</v>
      </c>
      <c r="B2639" s="16" t="s">
        <v>20067</v>
      </c>
      <c r="C2639" s="16" t="e">
        <f>VLOOKUP(Table1[[#This Row],[Node]],Parent!A:B,2,0)</f>
        <v>#N/A</v>
      </c>
      <c r="D2639" s="25" t="s">
        <v>19346</v>
      </c>
      <c r="E2639" s="26" t="s">
        <v>16544</v>
      </c>
      <c r="F2639" s="27" t="s">
        <v>19051</v>
      </c>
      <c r="G2639" s="27" t="s">
        <v>19113</v>
      </c>
      <c r="H2639" s="27" t="s">
        <v>19145</v>
      </c>
      <c r="I2639" s="27" t="s">
        <v>19147</v>
      </c>
      <c r="J2639" s="27"/>
      <c r="K2639" s="27"/>
      <c r="L2639" s="27"/>
      <c r="N2639" s="27"/>
      <c r="T2639" s="28" t="str">
        <f>LOOKUP(1,1/(Table1[[#This Row],[Level_0]:[Level 15]]&gt;0),(Table1[[#This Row],[Level_0]:[Level 15]]))</f>
        <v>5115000010 - [Depreciation - Other Fixed Assets - PPA]</v>
      </c>
      <c r="U2639" s="22">
        <v>2634</v>
      </c>
      <c r="W2639" s="13" t="str">
        <f>LOOKUP(1,1/(Table1[[#This Row],[Level_0]:[Level 15]]&gt;0),(Table1[[#This Row],[Level_0]:[Level 15]]))</f>
        <v>5115000010 - [Depreciation - Other Fixed Assets - PPA]</v>
      </c>
    </row>
    <row r="2640" spans="1:23" x14ac:dyDescent="0.25">
      <c r="A2640">
        <v>7824210000</v>
      </c>
      <c r="B2640" s="16" t="s">
        <v>21892</v>
      </c>
      <c r="C2640" s="16" t="e">
        <f>VLOOKUP(Table1[[#This Row],[Node]],Parent!A:B,2,0)</f>
        <v>#N/A</v>
      </c>
      <c r="D2640" s="25" t="s">
        <v>19346</v>
      </c>
      <c r="E2640" s="26" t="s">
        <v>16544</v>
      </c>
      <c r="F2640" s="27" t="s">
        <v>19051</v>
      </c>
      <c r="G2640" s="27" t="s">
        <v>19113</v>
      </c>
      <c r="H2640" s="27" t="s">
        <v>19145</v>
      </c>
      <c r="I2640" s="27" t="s">
        <v>19148</v>
      </c>
      <c r="J2640" s="27"/>
      <c r="K2640" s="27"/>
      <c r="L2640" s="27"/>
      <c r="N2640" s="27"/>
      <c r="T2640" s="28" t="str">
        <f>LOOKUP(1,1/(Table1[[#This Row],[Level_0]:[Level 15]]&gt;0),(Table1[[#This Row],[Level_0]:[Level 15]]))</f>
        <v>7824210000 - [APA Amort. of int. assets Other]</v>
      </c>
      <c r="U2640" s="22">
        <v>2635</v>
      </c>
      <c r="W2640" s="13" t="str">
        <f>LOOKUP(1,1/(Table1[[#This Row],[Level_0]:[Level 15]]&gt;0),(Table1[[#This Row],[Level_0]:[Level 15]]))</f>
        <v>7824210000 - [APA Amort. of int. assets Other]</v>
      </c>
    </row>
    <row r="2641" spans="1:23" x14ac:dyDescent="0.25">
      <c r="A2641">
        <v>7824110000</v>
      </c>
      <c r="B2641" s="16" t="s">
        <v>21863</v>
      </c>
      <c r="C2641" s="16" t="e">
        <f>VLOOKUP(Table1[[#This Row],[Node]],Parent!A:B,2,0)</f>
        <v>#N/A</v>
      </c>
      <c r="D2641" s="25" t="s">
        <v>19346</v>
      </c>
      <c r="E2641" s="26" t="s">
        <v>16544</v>
      </c>
      <c r="F2641" s="27" t="s">
        <v>19051</v>
      </c>
      <c r="G2641" s="27" t="s">
        <v>19113</v>
      </c>
      <c r="H2641" s="27" t="s">
        <v>19145</v>
      </c>
      <c r="I2641" s="27" t="s">
        <v>19149</v>
      </c>
      <c r="J2641" s="27"/>
      <c r="K2641" s="27"/>
      <c r="L2641" s="27"/>
      <c r="N2641" s="27"/>
      <c r="T2641" s="28" t="str">
        <f>LOOKUP(1,1/(Table1[[#This Row],[Level_0]:[Level 15]]&gt;0),(Table1[[#This Row],[Level_0]:[Level 15]]))</f>
        <v>7824110000 - [APA Asset impairment]</v>
      </c>
      <c r="U2641" s="22">
        <v>2636</v>
      </c>
      <c r="W2641" s="13" t="str">
        <f>LOOKUP(1,1/(Table1[[#This Row],[Level_0]:[Level 15]]&gt;0),(Table1[[#This Row],[Level_0]:[Level 15]]))</f>
        <v>7824110000 - [APA Asset impairment]</v>
      </c>
    </row>
    <row r="2642" spans="1:23" x14ac:dyDescent="0.25">
      <c r="A2642">
        <v>7823200000</v>
      </c>
      <c r="B2642" s="16" t="s">
        <v>21840</v>
      </c>
      <c r="C2642" s="16" t="e">
        <f>VLOOKUP(Table1[[#This Row],[Node]],Parent!A:B,2,0)</f>
        <v>#N/A</v>
      </c>
      <c r="D2642" s="25" t="s">
        <v>19346</v>
      </c>
      <c r="E2642" s="26" t="s">
        <v>16544</v>
      </c>
      <c r="F2642" s="27" t="s">
        <v>19051</v>
      </c>
      <c r="G2642" s="27" t="s">
        <v>19113</v>
      </c>
      <c r="H2642" s="27" t="s">
        <v>19145</v>
      </c>
      <c r="I2642" s="27" t="s">
        <v>19150</v>
      </c>
      <c r="J2642" s="27"/>
      <c r="K2642" s="27"/>
      <c r="L2642" s="27"/>
      <c r="N2642" s="27"/>
      <c r="T2642" s="28" t="str">
        <f>LOOKUP(1,1/(Table1[[#This Row],[Level_0]:[Level 15]]&gt;0),(Table1[[#This Row],[Level_0]:[Level 15]]))</f>
        <v>7823200000 - [APA Income from reversal of impairments]</v>
      </c>
      <c r="U2642" s="22">
        <v>2637</v>
      </c>
      <c r="W2642" s="13" t="str">
        <f>LOOKUP(1,1/(Table1[[#This Row],[Level_0]:[Level 15]]&gt;0),(Table1[[#This Row],[Level_0]:[Level 15]]))</f>
        <v>7823200000 - [APA Income from reversal of impairments]</v>
      </c>
    </row>
    <row r="2643" spans="1:23" x14ac:dyDescent="0.25">
      <c r="A2643">
        <v>7820120002</v>
      </c>
      <c r="B2643" s="16" t="s">
        <v>21789</v>
      </c>
      <c r="C2643" s="16" t="e">
        <f>VLOOKUP(Table1[[#This Row],[Node]],Parent!A:B,2,0)</f>
        <v>#N/A</v>
      </c>
      <c r="D2643" s="25" t="s">
        <v>19346</v>
      </c>
      <c r="E2643" s="26" t="s">
        <v>16544</v>
      </c>
      <c r="F2643" s="27" t="s">
        <v>19051</v>
      </c>
      <c r="G2643" s="27" t="s">
        <v>19113</v>
      </c>
      <c r="H2643" s="27" t="s">
        <v>19145</v>
      </c>
      <c r="I2643" s="27" t="s">
        <v>19151</v>
      </c>
      <c r="J2643" s="27"/>
      <c r="K2643" s="27"/>
      <c r="L2643" s="27"/>
      <c r="N2643" s="27"/>
      <c r="T2643" s="28" t="str">
        <f>LOOKUP(1,1/(Table1[[#This Row],[Level_0]:[Level 15]]&gt;0),(Table1[[#This Row],[Level_0]:[Level 15]]))</f>
        <v>7820120002 - [APA Field force - Depreciation]</v>
      </c>
      <c r="U2643" s="22">
        <v>2638</v>
      </c>
      <c r="W2643" s="13" t="str">
        <f>LOOKUP(1,1/(Table1[[#This Row],[Level_0]:[Level 15]]&gt;0),(Table1[[#This Row],[Level_0]:[Level 15]]))</f>
        <v>7820120002 - [APA Field force - Depreciation]</v>
      </c>
    </row>
    <row r="2644" spans="1:23" x14ac:dyDescent="0.25">
      <c r="A2644">
        <v>7620000019</v>
      </c>
      <c r="B2644" s="16" t="s">
        <v>21545</v>
      </c>
      <c r="C2644" s="16" t="e">
        <f>VLOOKUP(Table1[[#This Row],[Node]],Parent!A:B,2,0)</f>
        <v>#N/A</v>
      </c>
      <c r="D2644" s="25" t="s">
        <v>19346</v>
      </c>
      <c r="E2644" s="26" t="s">
        <v>16544</v>
      </c>
      <c r="F2644" s="27" t="s">
        <v>19051</v>
      </c>
      <c r="G2644" s="27" t="s">
        <v>19113</v>
      </c>
      <c r="H2644" s="27" t="s">
        <v>19145</v>
      </c>
      <c r="I2644" s="27" t="s">
        <v>19152</v>
      </c>
      <c r="J2644" s="27"/>
      <c r="K2644" s="27"/>
      <c r="L2644" s="27"/>
      <c r="N2644" s="27"/>
      <c r="T2644" s="28" t="str">
        <f>LOOKUP(1,1/(Table1[[#This Row],[Level_0]:[Level 15]]&gt;0),(Table1[[#This Row],[Level_0]:[Level 15]]))</f>
        <v>7620000019 - [AOM Depreciation GWG]</v>
      </c>
      <c r="U2644" s="22">
        <v>2639</v>
      </c>
      <c r="W2644" s="13" t="str">
        <f>LOOKUP(1,1/(Table1[[#This Row],[Level_0]:[Level 15]]&gt;0),(Table1[[#This Row],[Level_0]:[Level 15]]))</f>
        <v>7620000019 - [AOM Depreciation GWG]</v>
      </c>
    </row>
    <row r="2645" spans="1:23" x14ac:dyDescent="0.25">
      <c r="A2645">
        <v>7600304012</v>
      </c>
      <c r="B2645" s="16" t="s">
        <v>21213</v>
      </c>
      <c r="C2645" s="16" t="e">
        <f>VLOOKUP(Table1[[#This Row],[Node]],Parent!A:B,2,0)</f>
        <v>#N/A</v>
      </c>
      <c r="D2645" s="25" t="s">
        <v>19346</v>
      </c>
      <c r="E2645" s="26" t="s">
        <v>16544</v>
      </c>
      <c r="F2645" s="27" t="s">
        <v>19051</v>
      </c>
      <c r="G2645" s="27" t="s">
        <v>19113</v>
      </c>
      <c r="H2645" s="27" t="s">
        <v>19145</v>
      </c>
      <c r="I2645" s="27" t="s">
        <v>19153</v>
      </c>
      <c r="J2645" s="27"/>
      <c r="K2645" s="27"/>
      <c r="L2645" s="27"/>
      <c r="N2645" s="27"/>
      <c r="T2645" s="28" t="str">
        <f>LOOKUP(1,1/(Table1[[#This Row],[Level_0]:[Level 15]]&gt;0),(Table1[[#This Row],[Level_0]:[Level 15]]))</f>
        <v>7600304012 - [DAA Contractor Mgmt]</v>
      </c>
      <c r="U2645" s="22">
        <v>2640</v>
      </c>
      <c r="W2645" s="13" t="str">
        <f>LOOKUP(1,1/(Table1[[#This Row],[Level_0]:[Level 15]]&gt;0),(Table1[[#This Row],[Level_0]:[Level 15]]))</f>
        <v>7600304012 - [DAA Contractor Mgmt]</v>
      </c>
    </row>
    <row r="2646" spans="1:23" x14ac:dyDescent="0.25">
      <c r="A2646">
        <v>7320110009</v>
      </c>
      <c r="B2646" s="16" t="s">
        <v>20843</v>
      </c>
      <c r="C2646" s="16" t="e">
        <f>VLOOKUP(Table1[[#This Row],[Node]],Parent!A:B,2,0)</f>
        <v>#N/A</v>
      </c>
      <c r="D2646" s="25" t="s">
        <v>19346</v>
      </c>
      <c r="E2646" s="26" t="s">
        <v>16544</v>
      </c>
      <c r="F2646" s="27" t="s">
        <v>19051</v>
      </c>
      <c r="G2646" s="27" t="s">
        <v>19113</v>
      </c>
      <c r="H2646" s="27" t="s">
        <v>19145</v>
      </c>
      <c r="I2646" s="27" t="s">
        <v>19154</v>
      </c>
      <c r="J2646" s="27"/>
      <c r="K2646" s="27"/>
      <c r="L2646" s="27"/>
      <c r="N2646" s="27"/>
      <c r="T2646" s="28" t="str">
        <f>LOOKUP(1,1/(Table1[[#This Row],[Level_0]:[Level 15]]&gt;0),(Table1[[#This Row],[Level_0]:[Level 15]]))</f>
        <v>7320110009 - [AOM Depreciation]</v>
      </c>
      <c r="U2646" s="22">
        <v>2641</v>
      </c>
      <c r="W2646" s="13" t="str">
        <f>LOOKUP(1,1/(Table1[[#This Row],[Level_0]:[Level 15]]&gt;0),(Table1[[#This Row],[Level_0]:[Level 15]]))</f>
        <v>7320110009 - [AOM Depreciation]</v>
      </c>
    </row>
    <row r="2647" spans="1:23" x14ac:dyDescent="0.25">
      <c r="A2647">
        <v>5119400000</v>
      </c>
      <c r="B2647" s="16" t="s">
        <v>20075</v>
      </c>
      <c r="C2647" s="16" t="e">
        <f>VLOOKUP(Table1[[#This Row],[Node]],Parent!A:B,2,0)</f>
        <v>#N/A</v>
      </c>
      <c r="D2647" s="25" t="s">
        <v>19346</v>
      </c>
      <c r="E2647" s="26" t="s">
        <v>16544</v>
      </c>
      <c r="F2647" s="27" t="s">
        <v>19051</v>
      </c>
      <c r="G2647" s="27" t="s">
        <v>19113</v>
      </c>
      <c r="H2647" s="27" t="s">
        <v>19145</v>
      </c>
      <c r="I2647" s="27" t="s">
        <v>19155</v>
      </c>
      <c r="J2647" s="27"/>
      <c r="K2647" s="27"/>
      <c r="L2647" s="27"/>
      <c r="N2647" s="27"/>
      <c r="T2647" s="28" t="str">
        <f>LOOKUP(1,1/(Table1[[#This Row],[Level_0]:[Level 15]]&gt;0),(Table1[[#This Row],[Level_0]:[Level 15]]))</f>
        <v>5119400000 - [Low Value Assets - Capitalization]</v>
      </c>
      <c r="U2647" s="22">
        <v>2642</v>
      </c>
      <c r="W2647" s="13" t="str">
        <f>LOOKUP(1,1/(Table1[[#This Row],[Level_0]:[Level 15]]&gt;0),(Table1[[#This Row],[Level_0]:[Level 15]]))</f>
        <v>5119400000 - [Low Value Assets - Capitalization]</v>
      </c>
    </row>
    <row r="2648" spans="1:23" x14ac:dyDescent="0.25">
      <c r="A2648">
        <v>5119200001</v>
      </c>
      <c r="B2648" s="16" t="s">
        <v>20074</v>
      </c>
      <c r="C2648" s="16" t="e">
        <f>VLOOKUP(Table1[[#This Row],[Node]],Parent!A:B,2,0)</f>
        <v>#N/A</v>
      </c>
      <c r="D2648" s="25" t="s">
        <v>19346</v>
      </c>
      <c r="E2648" s="26" t="s">
        <v>16544</v>
      </c>
      <c r="F2648" s="27" t="s">
        <v>19051</v>
      </c>
      <c r="G2648" s="27" t="s">
        <v>19113</v>
      </c>
      <c r="H2648" s="27" t="s">
        <v>19145</v>
      </c>
      <c r="I2648" s="27" t="s">
        <v>19156</v>
      </c>
      <c r="J2648" s="27"/>
      <c r="K2648" s="27"/>
      <c r="L2648" s="27"/>
      <c r="N2648" s="27"/>
      <c r="T2648" s="28" t="str">
        <f>LOOKUP(1,1/(Table1[[#This Row],[Level_0]:[Level 15]]&gt;0),(Table1[[#This Row],[Level_0]:[Level 15]]))</f>
        <v>5119200001 - [Low Value Assets - Depreciation - Acc1]</v>
      </c>
      <c r="U2648" s="22">
        <v>2643</v>
      </c>
      <c r="W2648" s="13" t="str">
        <f>LOOKUP(1,1/(Table1[[#This Row],[Level_0]:[Level 15]]&gt;0),(Table1[[#This Row],[Level_0]:[Level 15]]))</f>
        <v>5119200001 - [Low Value Assets - Depreciation - Acc1]</v>
      </c>
    </row>
    <row r="2649" spans="1:23" x14ac:dyDescent="0.25">
      <c r="A2649">
        <v>5119200000</v>
      </c>
      <c r="B2649" s="16" t="s">
        <v>20073</v>
      </c>
      <c r="C2649" s="16" t="e">
        <f>VLOOKUP(Table1[[#This Row],[Node]],Parent!A:B,2,0)</f>
        <v>#N/A</v>
      </c>
      <c r="D2649" s="25" t="s">
        <v>19346</v>
      </c>
      <c r="E2649" s="26" t="s">
        <v>16544</v>
      </c>
      <c r="F2649" s="27" t="s">
        <v>19051</v>
      </c>
      <c r="G2649" s="27" t="s">
        <v>19113</v>
      </c>
      <c r="H2649" s="27" t="s">
        <v>19145</v>
      </c>
      <c r="I2649" s="27" t="s">
        <v>19157</v>
      </c>
      <c r="J2649" s="27"/>
      <c r="K2649" s="27"/>
      <c r="L2649" s="27"/>
      <c r="N2649" s="27"/>
      <c r="T2649" s="28" t="str">
        <f>LOOKUP(1,1/(Table1[[#This Row],[Level_0]:[Level 15]]&gt;0),(Table1[[#This Row],[Level_0]:[Level 15]]))</f>
        <v>5119200000 - [Low Value Assets - Depreciation]</v>
      </c>
      <c r="U2649" s="22">
        <v>2644</v>
      </c>
      <c r="W2649" s="13" t="str">
        <f>LOOKUP(1,1/(Table1[[#This Row],[Level_0]:[Level 15]]&gt;0),(Table1[[#This Row],[Level_0]:[Level 15]]))</f>
        <v>5119200000 - [Low Value Assets - Depreciation]</v>
      </c>
    </row>
    <row r="2650" spans="1:23" x14ac:dyDescent="0.25">
      <c r="A2650">
        <v>5115500400</v>
      </c>
      <c r="B2650" s="16" t="s">
        <v>20071</v>
      </c>
      <c r="C2650" s="16" t="e">
        <f>VLOOKUP(Table1[[#This Row],[Node]],Parent!A:B,2,0)</f>
        <v>#N/A</v>
      </c>
      <c r="D2650" s="25" t="s">
        <v>19346</v>
      </c>
      <c r="E2650" s="26" t="s">
        <v>16544</v>
      </c>
      <c r="F2650" s="27" t="s">
        <v>19051</v>
      </c>
      <c r="G2650" s="27" t="s">
        <v>19113</v>
      </c>
      <c r="H2650" s="27" t="s">
        <v>19145</v>
      </c>
      <c r="I2650" s="27" t="s">
        <v>19158</v>
      </c>
      <c r="J2650" s="27"/>
      <c r="K2650" s="27"/>
      <c r="L2650" s="27"/>
      <c r="N2650" s="27"/>
      <c r="T2650" s="28" t="str">
        <f>LOOKUP(1,1/(Table1[[#This Row],[Level_0]:[Level 15]]&gt;0),(Table1[[#This Row],[Level_0]:[Level 15]]))</f>
        <v>5115500400 - [Impairment - Other Fixed Assets - RoU]</v>
      </c>
      <c r="U2650" s="22">
        <v>2645</v>
      </c>
      <c r="W2650" s="13" t="str">
        <f>LOOKUP(1,1/(Table1[[#This Row],[Level_0]:[Level 15]]&gt;0),(Table1[[#This Row],[Level_0]:[Level 15]]))</f>
        <v>5115500400 - [Impairment - Other Fixed Assets - RoU]</v>
      </c>
    </row>
    <row r="2651" spans="1:23" x14ac:dyDescent="0.25">
      <c r="A2651">
        <v>5115500001</v>
      </c>
      <c r="B2651" s="16" t="s">
        <v>20070</v>
      </c>
      <c r="C2651" s="16" t="e">
        <f>VLOOKUP(Table1[[#This Row],[Node]],Parent!A:B,2,0)</f>
        <v>#N/A</v>
      </c>
      <c r="D2651" s="25" t="s">
        <v>19346</v>
      </c>
      <c r="E2651" s="26" t="s">
        <v>16544</v>
      </c>
      <c r="F2651" s="27" t="s">
        <v>19051</v>
      </c>
      <c r="G2651" s="27" t="s">
        <v>19113</v>
      </c>
      <c r="H2651" s="27" t="s">
        <v>19145</v>
      </c>
      <c r="I2651" s="27" t="s">
        <v>19159</v>
      </c>
      <c r="J2651" s="27"/>
      <c r="K2651" s="27"/>
      <c r="L2651" s="27"/>
      <c r="N2651" s="27"/>
      <c r="T2651" s="28" t="str">
        <f>LOOKUP(1,1/(Table1[[#This Row],[Level_0]:[Level 15]]&gt;0),(Table1[[#This Row],[Level_0]:[Level 15]]))</f>
        <v>5115500001 - [Impairment - Other Fixed Assets - Acc1]</v>
      </c>
      <c r="U2651" s="22">
        <v>2646</v>
      </c>
      <c r="W2651" s="13" t="str">
        <f>LOOKUP(1,1/(Table1[[#This Row],[Level_0]:[Level 15]]&gt;0),(Table1[[#This Row],[Level_0]:[Level 15]]))</f>
        <v>5115500001 - [Impairment - Other Fixed Assets - Acc1]</v>
      </c>
    </row>
    <row r="2652" spans="1:23" x14ac:dyDescent="0.25">
      <c r="A2652">
        <v>5115500000</v>
      </c>
      <c r="B2652" s="16" t="s">
        <v>20069</v>
      </c>
      <c r="C2652" s="16" t="e">
        <f>VLOOKUP(Table1[[#This Row],[Node]],Parent!A:B,2,0)</f>
        <v>#N/A</v>
      </c>
      <c r="D2652" s="25" t="s">
        <v>19346</v>
      </c>
      <c r="E2652" s="26" t="s">
        <v>16544</v>
      </c>
      <c r="F2652" s="27" t="s">
        <v>19051</v>
      </c>
      <c r="G2652" s="27" t="s">
        <v>19113</v>
      </c>
      <c r="H2652" s="27" t="s">
        <v>19145</v>
      </c>
      <c r="I2652" s="27" t="s">
        <v>19160</v>
      </c>
      <c r="J2652" s="27"/>
      <c r="K2652" s="27"/>
      <c r="L2652" s="27"/>
      <c r="N2652" s="27"/>
      <c r="T2652" s="28" t="str">
        <f>LOOKUP(1,1/(Table1[[#This Row],[Level_0]:[Level 15]]&gt;0),(Table1[[#This Row],[Level_0]:[Level 15]]))</f>
        <v>5115500000 - [Impairment - Other Fixed Assets]</v>
      </c>
      <c r="U2652" s="22">
        <v>2647</v>
      </c>
      <c r="W2652" s="13" t="str">
        <f>LOOKUP(1,1/(Table1[[#This Row],[Level_0]:[Level 15]]&gt;0),(Table1[[#This Row],[Level_0]:[Level 15]]))</f>
        <v>5115500000 - [Impairment - Other Fixed Assets]</v>
      </c>
    </row>
    <row r="2653" spans="1:23" x14ac:dyDescent="0.25">
      <c r="A2653">
        <v>5115000300</v>
      </c>
      <c r="B2653" s="16" t="s">
        <v>20068</v>
      </c>
      <c r="C2653" s="16" t="e">
        <f>VLOOKUP(Table1[[#This Row],[Node]],Parent!A:B,2,0)</f>
        <v>#N/A</v>
      </c>
      <c r="D2653" s="25" t="s">
        <v>19346</v>
      </c>
      <c r="E2653" s="26" t="s">
        <v>16544</v>
      </c>
      <c r="F2653" s="27" t="s">
        <v>19051</v>
      </c>
      <c r="G2653" s="27" t="s">
        <v>19113</v>
      </c>
      <c r="H2653" s="27" t="s">
        <v>19145</v>
      </c>
      <c r="I2653" s="27" t="s">
        <v>19161</v>
      </c>
      <c r="J2653" s="27"/>
      <c r="K2653" s="27"/>
      <c r="L2653" s="27"/>
      <c r="N2653" s="27"/>
      <c r="T2653" s="28" t="str">
        <f>LOOKUP(1,1/(Table1[[#This Row],[Level_0]:[Level 15]]&gt;0),(Table1[[#This Row],[Level_0]:[Level 15]]))</f>
        <v>5115000300 - [Depreciation - Other Fixed Assets - RoU]</v>
      </c>
      <c r="U2653" s="22">
        <v>2648</v>
      </c>
      <c r="W2653" s="13" t="str">
        <f>LOOKUP(1,1/(Table1[[#This Row],[Level_0]:[Level 15]]&gt;0),(Table1[[#This Row],[Level_0]:[Level 15]]))</f>
        <v>5115000300 - [Depreciation - Other Fixed Assets - RoU]</v>
      </c>
    </row>
    <row r="2654" spans="1:23" x14ac:dyDescent="0.25">
      <c r="A2654">
        <v>5115000001</v>
      </c>
      <c r="B2654" s="16" t="s">
        <v>20066</v>
      </c>
      <c r="C2654" s="16" t="e">
        <f>VLOOKUP(Table1[[#This Row],[Node]],Parent!A:B,2,0)</f>
        <v>#N/A</v>
      </c>
      <c r="D2654" s="25" t="s">
        <v>19346</v>
      </c>
      <c r="E2654" s="26" t="s">
        <v>16544</v>
      </c>
      <c r="F2654" s="27" t="s">
        <v>19051</v>
      </c>
      <c r="G2654" s="27" t="s">
        <v>19113</v>
      </c>
      <c r="H2654" s="27" t="s">
        <v>19145</v>
      </c>
      <c r="I2654" s="27" t="s">
        <v>19162</v>
      </c>
      <c r="J2654" s="27"/>
      <c r="K2654" s="27"/>
      <c r="L2654" s="27"/>
      <c r="N2654" s="27"/>
      <c r="T2654" s="28" t="str">
        <f>LOOKUP(1,1/(Table1[[#This Row],[Level_0]:[Level 15]]&gt;0),(Table1[[#This Row],[Level_0]:[Level 15]]))</f>
        <v>5115000001 - [Depreciation - Other Fixed Assets - Acc1]</v>
      </c>
      <c r="U2654" s="22">
        <v>2649</v>
      </c>
      <c r="W2654" s="13" t="str">
        <f>LOOKUP(1,1/(Table1[[#This Row],[Level_0]:[Level 15]]&gt;0),(Table1[[#This Row],[Level_0]:[Level 15]]))</f>
        <v>5115000001 - [Depreciation - Other Fixed Assets - Acc1]</v>
      </c>
    </row>
    <row r="2655" spans="1:23" x14ac:dyDescent="0.25">
      <c r="A2655">
        <v>5115000000</v>
      </c>
      <c r="B2655" s="16" t="s">
        <v>20065</v>
      </c>
      <c r="C2655" s="16" t="e">
        <f>VLOOKUP(Table1[[#This Row],[Node]],Parent!A:B,2,0)</f>
        <v>#N/A</v>
      </c>
      <c r="D2655" s="25" t="s">
        <v>19346</v>
      </c>
      <c r="E2655" s="26" t="s">
        <v>16544</v>
      </c>
      <c r="F2655" s="27" t="s">
        <v>19051</v>
      </c>
      <c r="G2655" s="27" t="s">
        <v>19113</v>
      </c>
      <c r="H2655" s="27" t="s">
        <v>19145</v>
      </c>
      <c r="I2655" s="27" t="s">
        <v>19163</v>
      </c>
      <c r="J2655" s="27"/>
      <c r="K2655" s="27"/>
      <c r="L2655" s="27"/>
      <c r="N2655" s="27"/>
      <c r="T2655" s="28" t="str">
        <f>LOOKUP(1,1/(Table1[[#This Row],[Level_0]:[Level 15]]&gt;0),(Table1[[#This Row],[Level_0]:[Level 15]]))</f>
        <v>5115000000 - [Depreciation - Other Fixed Assets]</v>
      </c>
      <c r="U2655" s="22">
        <v>2650</v>
      </c>
      <c r="W2655" s="13" t="str">
        <f>LOOKUP(1,1/(Table1[[#This Row],[Level_0]:[Level 15]]&gt;0),(Table1[[#This Row],[Level_0]:[Level 15]]))</f>
        <v>5115000000 - [Depreciation - Other Fixed Assets]</v>
      </c>
    </row>
    <row r="2656" spans="1:23" x14ac:dyDescent="0.25">
      <c r="A2656">
        <v>3314000000</v>
      </c>
      <c r="B2656" s="16" t="s">
        <v>19662</v>
      </c>
      <c r="C2656" s="16" t="e">
        <f>VLOOKUP(Table1[[#This Row],[Node]],Parent!A:B,2,0)</f>
        <v>#N/A</v>
      </c>
      <c r="D2656" s="25" t="s">
        <v>19346</v>
      </c>
      <c r="E2656" s="26" t="s">
        <v>16544</v>
      </c>
      <c r="F2656" s="27" t="s">
        <v>19051</v>
      </c>
      <c r="G2656" s="27" t="s">
        <v>19113</v>
      </c>
      <c r="H2656" s="27" t="s">
        <v>19145</v>
      </c>
      <c r="I2656" s="27" t="s">
        <v>19164</v>
      </c>
      <c r="J2656" s="27"/>
      <c r="K2656" s="27"/>
      <c r="L2656" s="27"/>
      <c r="N2656" s="27"/>
      <c r="T2656" s="28" t="str">
        <f>LOOKUP(1,1/(Table1[[#This Row],[Level_0]:[Level 15]]&gt;0),(Table1[[#This Row],[Level_0]:[Level 15]]))</f>
        <v>3314000000 - [Revers of Imp-NRVM of Assets HFS/ DispGr]</v>
      </c>
      <c r="U2656" s="22">
        <v>2651</v>
      </c>
      <c r="W2656" s="13" t="str">
        <f>LOOKUP(1,1/(Table1[[#This Row],[Level_0]:[Level 15]]&gt;0),(Table1[[#This Row],[Level_0]:[Level 15]]))</f>
        <v>3314000000 - [Revers of Imp-NRVM of Assets HFS/ DispGr]</v>
      </c>
    </row>
    <row r="2657" spans="1:23" x14ac:dyDescent="0.25">
      <c r="A2657">
        <v>3311000400</v>
      </c>
      <c r="B2657" s="16" t="s">
        <v>19658</v>
      </c>
      <c r="C2657" s="16" t="e">
        <f>VLOOKUP(Table1[[#This Row],[Node]],Parent!A:B,2,0)</f>
        <v>#N/A</v>
      </c>
      <c r="D2657" s="25" t="s">
        <v>19346</v>
      </c>
      <c r="E2657" s="26" t="s">
        <v>16544</v>
      </c>
      <c r="F2657" s="27" t="s">
        <v>19051</v>
      </c>
      <c r="G2657" s="27" t="s">
        <v>19113</v>
      </c>
      <c r="H2657" s="27" t="s">
        <v>19145</v>
      </c>
      <c r="I2657" s="27" t="s">
        <v>19165</v>
      </c>
      <c r="J2657" s="27"/>
      <c r="K2657" s="27"/>
      <c r="L2657" s="27"/>
      <c r="N2657" s="27"/>
      <c r="T2657" s="28" t="str">
        <f>LOOKUP(1,1/(Table1[[#This Row],[Level_0]:[Level 15]]&gt;0),(Table1[[#This Row],[Level_0]:[Level 15]]))</f>
        <v>3311000400 - [Revers of Imp - Fixed Assets - RoU]</v>
      </c>
      <c r="U2657" s="22">
        <v>2652</v>
      </c>
      <c r="W2657" s="13" t="str">
        <f>LOOKUP(1,1/(Table1[[#This Row],[Level_0]:[Level 15]]&gt;0),(Table1[[#This Row],[Level_0]:[Level 15]]))</f>
        <v>3311000400 - [Revers of Imp - Fixed Assets - RoU]</v>
      </c>
    </row>
    <row r="2658" spans="1:23" x14ac:dyDescent="0.25">
      <c r="A2658">
        <v>3311000001</v>
      </c>
      <c r="B2658" s="16" t="s">
        <v>19657</v>
      </c>
      <c r="C2658" s="16" t="e">
        <f>VLOOKUP(Table1[[#This Row],[Node]],Parent!A:B,2,0)</f>
        <v>#N/A</v>
      </c>
      <c r="D2658" s="25" t="s">
        <v>19346</v>
      </c>
      <c r="E2658" s="26" t="s">
        <v>16544</v>
      </c>
      <c r="F2658" s="27" t="s">
        <v>19051</v>
      </c>
      <c r="G2658" s="27" t="s">
        <v>19113</v>
      </c>
      <c r="H2658" s="27" t="s">
        <v>19145</v>
      </c>
      <c r="I2658" s="27" t="s">
        <v>19166</v>
      </c>
      <c r="J2658" s="27"/>
      <c r="K2658" s="27"/>
      <c r="L2658" s="27"/>
      <c r="N2658" s="27"/>
      <c r="T2658" s="28" t="str">
        <f>LOOKUP(1,1/(Table1[[#This Row],[Level_0]:[Level 15]]&gt;0),(Table1[[#This Row],[Level_0]:[Level 15]]))</f>
        <v>3311000001 - [Revers of Imp - Tangible Fix Assets-Acc1]</v>
      </c>
      <c r="U2658" s="22">
        <v>2653</v>
      </c>
      <c r="W2658" s="13" t="str">
        <f>LOOKUP(1,1/(Table1[[#This Row],[Level_0]:[Level 15]]&gt;0),(Table1[[#This Row],[Level_0]:[Level 15]]))</f>
        <v>3311000001 - [Revers of Imp - Tangible Fix Assets-Acc1]</v>
      </c>
    </row>
    <row r="2659" spans="1:23" x14ac:dyDescent="0.25">
      <c r="A2659">
        <v>3311000000</v>
      </c>
      <c r="B2659" s="16" t="s">
        <v>19656</v>
      </c>
      <c r="C2659" s="16" t="e">
        <f>VLOOKUP(Table1[[#This Row],[Node]],Parent!A:B,2,0)</f>
        <v>#N/A</v>
      </c>
      <c r="D2659" s="25" t="s">
        <v>19346</v>
      </c>
      <c r="E2659" s="26" t="s">
        <v>16544</v>
      </c>
      <c r="F2659" s="27" t="s">
        <v>19051</v>
      </c>
      <c r="G2659" s="27" t="s">
        <v>19113</v>
      </c>
      <c r="H2659" s="27" t="s">
        <v>19145</v>
      </c>
      <c r="I2659" s="27" t="s">
        <v>19167</v>
      </c>
      <c r="J2659" s="27"/>
      <c r="K2659" s="27"/>
      <c r="L2659" s="27"/>
      <c r="N2659" s="27"/>
      <c r="T2659" s="28" t="str">
        <f>LOOKUP(1,1/(Table1[[#This Row],[Level_0]:[Level 15]]&gt;0),(Table1[[#This Row],[Level_0]:[Level 15]]))</f>
        <v>3311000000 - [Revers of Imp - Tangible Fixed Assets]</v>
      </c>
      <c r="U2659" s="22">
        <v>2654</v>
      </c>
      <c r="W2659" s="13" t="str">
        <f>LOOKUP(1,1/(Table1[[#This Row],[Level_0]:[Level 15]]&gt;0),(Table1[[#This Row],[Level_0]:[Level 15]]))</f>
        <v>3311000000 - [Revers of Imp - Tangible Fixed Assets]</v>
      </c>
    </row>
    <row r="2660" spans="1:23" x14ac:dyDescent="0.25">
      <c r="A2660">
        <v>110103</v>
      </c>
      <c r="B2660" s="16" t="s">
        <v>19384</v>
      </c>
      <c r="C2660" s="16" t="e">
        <f>VLOOKUP(Table1[[#This Row],[Node]],Parent!A:B,2,0)</f>
        <v>#N/A</v>
      </c>
      <c r="D2660" s="25" t="s">
        <v>19346</v>
      </c>
      <c r="E2660" s="26" t="s">
        <v>16544</v>
      </c>
      <c r="F2660" s="27" t="s">
        <v>19051</v>
      </c>
      <c r="G2660" s="27" t="s">
        <v>19113</v>
      </c>
      <c r="H2660" s="27" t="s">
        <v>19168</v>
      </c>
      <c r="I2660" s="27"/>
      <c r="J2660" s="27"/>
      <c r="K2660" s="27"/>
      <c r="L2660" s="27"/>
      <c r="N2660" s="27"/>
      <c r="T2660" s="28" t="str">
        <f>LOOKUP(1,1/(Table1[[#This Row],[Level_0]:[Level 15]]&gt;0),(Table1[[#This Row],[Level_0]:[Level 15]]))</f>
        <v>110103 - [Intangible Asset amortization &amp; impairme]</v>
      </c>
      <c r="U2660" s="22">
        <v>2655</v>
      </c>
      <c r="W2660" s="13" t="str">
        <f>LOOKUP(1,1/(Table1[[#This Row],[Level_0]:[Level 15]]&gt;0),(Table1[[#This Row],[Level_0]:[Level 15]]))</f>
        <v>110103 - [Intangible Asset amortization &amp; impairme]</v>
      </c>
    </row>
    <row r="2661" spans="1:23" x14ac:dyDescent="0.25">
      <c r="A2661">
        <v>5100000011</v>
      </c>
      <c r="B2661" s="16" t="s">
        <v>20030</v>
      </c>
      <c r="C2661" s="16" t="e">
        <f>VLOOKUP(Table1[[#This Row],[Node]],Parent!A:B,2,0)</f>
        <v>#N/A</v>
      </c>
      <c r="D2661" s="25" t="s">
        <v>19346</v>
      </c>
      <c r="E2661" s="26" t="s">
        <v>16544</v>
      </c>
      <c r="F2661" s="27" t="s">
        <v>19051</v>
      </c>
      <c r="G2661" s="27" t="s">
        <v>19113</v>
      </c>
      <c r="H2661" s="27" t="s">
        <v>19168</v>
      </c>
      <c r="I2661" s="27" t="s">
        <v>19169</v>
      </c>
      <c r="J2661" s="27"/>
      <c r="K2661" s="27"/>
      <c r="L2661" s="27"/>
      <c r="N2661" s="27"/>
      <c r="T2661" s="28" t="str">
        <f>LOOKUP(1,1/(Table1[[#This Row],[Level_0]:[Level 15]]&gt;0),(Table1[[#This Row],[Level_0]:[Level 15]]))</f>
        <v>5100000011 - [Amor of Intangible Assets (without SW)]</v>
      </c>
      <c r="U2661" s="22">
        <v>2656</v>
      </c>
      <c r="W2661" s="13" t="str">
        <f>LOOKUP(1,1/(Table1[[#This Row],[Level_0]:[Level 15]]&gt;0),(Table1[[#This Row],[Level_0]:[Level 15]]))</f>
        <v>5100000011 - [Amor of Intangible Assets (without SW)]</v>
      </c>
    </row>
    <row r="2662" spans="1:23" x14ac:dyDescent="0.25">
      <c r="A2662">
        <v>5100000010</v>
      </c>
      <c r="B2662" s="16" t="s">
        <v>20032</v>
      </c>
      <c r="C2662" s="16" t="e">
        <f>VLOOKUP(Table1[[#This Row],[Node]],Parent!A:B,2,0)</f>
        <v>#N/A</v>
      </c>
      <c r="D2662" s="25" t="s">
        <v>19346</v>
      </c>
      <c r="E2662" s="26" t="s">
        <v>16544</v>
      </c>
      <c r="F2662" s="27" t="s">
        <v>19051</v>
      </c>
      <c r="G2662" s="27" t="s">
        <v>19113</v>
      </c>
      <c r="H2662" s="27" t="s">
        <v>19168</v>
      </c>
      <c r="I2662" s="27" t="s">
        <v>19170</v>
      </c>
      <c r="J2662" s="27"/>
      <c r="K2662" s="27"/>
      <c r="L2662" s="27"/>
      <c r="N2662" s="27"/>
      <c r="T2662" s="28" t="str">
        <f>LOOKUP(1,1/(Table1[[#This Row],[Level_0]:[Level 15]]&gt;0),(Table1[[#This Row],[Level_0]:[Level 15]]))</f>
        <v>5100000010 - [Amor of Intangible Assets (w/o SW) - PPA]</v>
      </c>
      <c r="U2662" s="22">
        <v>2657</v>
      </c>
      <c r="W2662" s="13" t="str">
        <f>LOOKUP(1,1/(Table1[[#This Row],[Level_0]:[Level 15]]&gt;0),(Table1[[#This Row],[Level_0]:[Level 15]]))</f>
        <v>5100000010 - [Amor of Intangible Assets (w/o SW) - PPA]</v>
      </c>
    </row>
    <row r="2663" spans="1:23" x14ac:dyDescent="0.25">
      <c r="A2663">
        <v>5101000010</v>
      </c>
      <c r="B2663" s="16" t="s">
        <v>20037</v>
      </c>
      <c r="C2663" s="16" t="e">
        <f>VLOOKUP(Table1[[#This Row],[Node]],Parent!A:B,2,0)</f>
        <v>#N/A</v>
      </c>
      <c r="D2663" s="25" t="s">
        <v>19346</v>
      </c>
      <c r="E2663" s="26" t="s">
        <v>16544</v>
      </c>
      <c r="F2663" s="27" t="s">
        <v>19051</v>
      </c>
      <c r="G2663" s="27" t="s">
        <v>19113</v>
      </c>
      <c r="H2663" s="27" t="s">
        <v>19168</v>
      </c>
      <c r="I2663" s="27" t="s">
        <v>19171</v>
      </c>
      <c r="J2663" s="27"/>
      <c r="K2663" s="27"/>
      <c r="L2663" s="27"/>
      <c r="N2663" s="27"/>
      <c r="T2663" s="28" t="str">
        <f>LOOKUP(1,1/(Table1[[#This Row],[Level_0]:[Level 15]]&gt;0),(Table1[[#This Row],[Level_0]:[Level 15]]))</f>
        <v>5101000010 - [Impairment of Intangible Assets - PPA]</v>
      </c>
      <c r="U2663" s="22">
        <v>2658</v>
      </c>
      <c r="W2663" s="13" t="str">
        <f>LOOKUP(1,1/(Table1[[#This Row],[Level_0]:[Level 15]]&gt;0),(Table1[[#This Row],[Level_0]:[Level 15]]))</f>
        <v>5101000010 - [Impairment of Intangible Assets - PPA]</v>
      </c>
    </row>
    <row r="2664" spans="1:23" x14ac:dyDescent="0.25">
      <c r="A2664">
        <v>5101000001</v>
      </c>
      <c r="B2664" s="16" t="s">
        <v>20036</v>
      </c>
      <c r="C2664" s="16" t="e">
        <f>VLOOKUP(Table1[[#This Row],[Node]],Parent!A:B,2,0)</f>
        <v>#N/A</v>
      </c>
      <c r="D2664" s="25" t="s">
        <v>19346</v>
      </c>
      <c r="E2664" s="26" t="s">
        <v>16544</v>
      </c>
      <c r="F2664" s="27" t="s">
        <v>19051</v>
      </c>
      <c r="G2664" s="27" t="s">
        <v>19113</v>
      </c>
      <c r="H2664" s="27" t="s">
        <v>19168</v>
      </c>
      <c r="I2664" s="27" t="s">
        <v>19172</v>
      </c>
      <c r="J2664" s="27"/>
      <c r="K2664" s="27"/>
      <c r="L2664" s="27"/>
      <c r="N2664" s="27"/>
      <c r="T2664" s="28" t="str">
        <f>LOOKUP(1,1/(Table1[[#This Row],[Level_0]:[Level 15]]&gt;0),(Table1[[#This Row],[Level_0]:[Level 15]]))</f>
        <v>5101000001 - [Impairment of Intangible Assets-Acc1]</v>
      </c>
      <c r="U2664" s="22">
        <v>2659</v>
      </c>
      <c r="W2664" s="13" t="str">
        <f>LOOKUP(1,1/(Table1[[#This Row],[Level_0]:[Level 15]]&gt;0),(Table1[[#This Row],[Level_0]:[Level 15]]))</f>
        <v>5101000001 - [Impairment of Intangible Assets-Acc1]</v>
      </c>
    </row>
    <row r="2665" spans="1:23" x14ac:dyDescent="0.25">
      <c r="A2665">
        <v>5101000000</v>
      </c>
      <c r="B2665" s="16" t="s">
        <v>20035</v>
      </c>
      <c r="C2665" s="16" t="e">
        <f>VLOOKUP(Table1[[#This Row],[Node]],Parent!A:B,2,0)</f>
        <v>#N/A</v>
      </c>
      <c r="D2665" s="25" t="s">
        <v>19346</v>
      </c>
      <c r="E2665" s="26" t="s">
        <v>16544</v>
      </c>
      <c r="F2665" s="27" t="s">
        <v>19051</v>
      </c>
      <c r="G2665" s="27" t="s">
        <v>19113</v>
      </c>
      <c r="H2665" s="27" t="s">
        <v>19168</v>
      </c>
      <c r="I2665" s="27" t="s">
        <v>19173</v>
      </c>
      <c r="J2665" s="27"/>
      <c r="K2665" s="27"/>
      <c r="L2665" s="27"/>
      <c r="N2665" s="27"/>
      <c r="T2665" s="28" t="str">
        <f>LOOKUP(1,1/(Table1[[#This Row],[Level_0]:[Level 15]]&gt;0),(Table1[[#This Row],[Level_0]:[Level 15]]))</f>
        <v>5101000000 - [Impairment of Intangible Assets]</v>
      </c>
      <c r="U2665" s="22">
        <v>2660</v>
      </c>
      <c r="W2665" s="13" t="str">
        <f>LOOKUP(1,1/(Table1[[#This Row],[Level_0]:[Level 15]]&gt;0),(Table1[[#This Row],[Level_0]:[Level 15]]))</f>
        <v>5101000000 - [Impairment of Intangible Assets]</v>
      </c>
    </row>
    <row r="2666" spans="1:23" x14ac:dyDescent="0.25">
      <c r="A2666">
        <v>5100010001</v>
      </c>
      <c r="B2666" s="16" t="s">
        <v>20034</v>
      </c>
      <c r="C2666" s="16" t="e">
        <f>VLOOKUP(Table1[[#This Row],[Node]],Parent!A:B,2,0)</f>
        <v>#N/A</v>
      </c>
      <c r="D2666" s="25" t="s">
        <v>19346</v>
      </c>
      <c r="E2666" s="26" t="s">
        <v>16544</v>
      </c>
      <c r="F2666" s="27" t="s">
        <v>19051</v>
      </c>
      <c r="G2666" s="27" t="s">
        <v>19113</v>
      </c>
      <c r="H2666" s="27" t="s">
        <v>19168</v>
      </c>
      <c r="I2666" s="27" t="s">
        <v>19174</v>
      </c>
      <c r="J2666" s="27"/>
      <c r="K2666" s="27"/>
      <c r="L2666" s="27"/>
      <c r="N2666" s="27"/>
      <c r="T2666" s="28" t="str">
        <f>LOOKUP(1,1/(Table1[[#This Row],[Level_0]:[Level 15]]&gt;0),(Table1[[#This Row],[Level_0]:[Level 15]]))</f>
        <v>5100010001 - [Amor of Intangible Assets - SW - Acc1]</v>
      </c>
      <c r="U2666" s="22">
        <v>2661</v>
      </c>
      <c r="W2666" s="13" t="str">
        <f>LOOKUP(1,1/(Table1[[#This Row],[Level_0]:[Level 15]]&gt;0),(Table1[[#This Row],[Level_0]:[Level 15]]))</f>
        <v>5100010001 - [Amor of Intangible Assets - SW - Acc1]</v>
      </c>
    </row>
    <row r="2667" spans="1:23" x14ac:dyDescent="0.25">
      <c r="A2667">
        <v>5100010000</v>
      </c>
      <c r="B2667" s="16" t="s">
        <v>20033</v>
      </c>
      <c r="C2667" s="16" t="e">
        <f>VLOOKUP(Table1[[#This Row],[Node]],Parent!A:B,2,0)</f>
        <v>#N/A</v>
      </c>
      <c r="D2667" s="25" t="s">
        <v>19346</v>
      </c>
      <c r="E2667" s="26" t="s">
        <v>16544</v>
      </c>
      <c r="F2667" s="27" t="s">
        <v>19051</v>
      </c>
      <c r="G2667" s="27" t="s">
        <v>19113</v>
      </c>
      <c r="H2667" s="27" t="s">
        <v>19168</v>
      </c>
      <c r="I2667" s="27" t="s">
        <v>19175</v>
      </c>
      <c r="J2667" s="27"/>
      <c r="K2667" s="27"/>
      <c r="L2667" s="27"/>
      <c r="N2667" s="27"/>
      <c r="T2667" s="28" t="str">
        <f>LOOKUP(1,1/(Table1[[#This Row],[Level_0]:[Level 15]]&gt;0),(Table1[[#This Row],[Level_0]:[Level 15]]))</f>
        <v>5100010000 - [Amor of Intangible Assets - SW]</v>
      </c>
      <c r="U2667" s="22">
        <v>2662</v>
      </c>
      <c r="W2667" s="13" t="str">
        <f>LOOKUP(1,1/(Table1[[#This Row],[Level_0]:[Level 15]]&gt;0),(Table1[[#This Row],[Level_0]:[Level 15]]))</f>
        <v>5100010000 - [Amor of Intangible Assets - SW]</v>
      </c>
    </row>
    <row r="2668" spans="1:23" x14ac:dyDescent="0.25">
      <c r="A2668">
        <v>5100000001</v>
      </c>
      <c r="B2668" s="16" t="s">
        <v>20031</v>
      </c>
      <c r="C2668" s="16" t="e">
        <f>VLOOKUP(Table1[[#This Row],[Node]],Parent!A:B,2,0)</f>
        <v>#N/A</v>
      </c>
      <c r="D2668" s="25" t="s">
        <v>19346</v>
      </c>
      <c r="E2668" s="26" t="s">
        <v>16544</v>
      </c>
      <c r="F2668" s="27" t="s">
        <v>19051</v>
      </c>
      <c r="G2668" s="27" t="s">
        <v>19113</v>
      </c>
      <c r="H2668" s="27" t="s">
        <v>19168</v>
      </c>
      <c r="I2668" s="27" t="s">
        <v>19176</v>
      </c>
      <c r="J2668" s="27"/>
      <c r="K2668" s="27"/>
      <c r="L2668" s="27"/>
      <c r="N2668" s="27"/>
      <c r="T2668" s="28" t="str">
        <f>LOOKUP(1,1/(Table1[[#This Row],[Level_0]:[Level 15]]&gt;0),(Table1[[#This Row],[Level_0]:[Level 15]]))</f>
        <v>5100000001 - [Amor of Intang Assets (without SW)-Acc1]</v>
      </c>
      <c r="U2668" s="22">
        <v>2663</v>
      </c>
      <c r="W2668" s="13" t="str">
        <f>LOOKUP(1,1/(Table1[[#This Row],[Level_0]:[Level 15]]&gt;0),(Table1[[#This Row],[Level_0]:[Level 15]]))</f>
        <v>5100000001 - [Amor of Intang Assets (without SW)-Acc1]</v>
      </c>
    </row>
    <row r="2669" spans="1:23" x14ac:dyDescent="0.25">
      <c r="A2669">
        <v>5100000000</v>
      </c>
      <c r="B2669" s="16" t="s">
        <v>20030</v>
      </c>
      <c r="C2669" s="16" t="e">
        <f>VLOOKUP(Table1[[#This Row],[Node]],Parent!A:B,2,0)</f>
        <v>#N/A</v>
      </c>
      <c r="D2669" s="25" t="s">
        <v>19346</v>
      </c>
      <c r="E2669" s="26" t="s">
        <v>16544</v>
      </c>
      <c r="F2669" s="27" t="s">
        <v>19051</v>
      </c>
      <c r="G2669" s="27" t="s">
        <v>19113</v>
      </c>
      <c r="H2669" s="27" t="s">
        <v>19168</v>
      </c>
      <c r="I2669" s="27" t="s">
        <v>19177</v>
      </c>
      <c r="J2669" s="27"/>
      <c r="K2669" s="27"/>
      <c r="L2669" s="27"/>
      <c r="N2669" s="27"/>
      <c r="T2669" s="28" t="str">
        <f>LOOKUP(1,1/(Table1[[#This Row],[Level_0]:[Level 15]]&gt;0),(Table1[[#This Row],[Level_0]:[Level 15]]))</f>
        <v>5100000000 - [Amor of Intangible Assets (without SW)]</v>
      </c>
      <c r="U2669" s="22">
        <v>2664</v>
      </c>
      <c r="W2669" s="13" t="str">
        <f>LOOKUP(1,1/(Table1[[#This Row],[Level_0]:[Level 15]]&gt;0),(Table1[[#This Row],[Level_0]:[Level 15]]))</f>
        <v>5100000000 - [Amor of Intangible Assets (without SW)]</v>
      </c>
    </row>
    <row r="2670" spans="1:23" x14ac:dyDescent="0.25">
      <c r="A2670">
        <v>3310000001</v>
      </c>
      <c r="B2670" s="16" t="s">
        <v>19655</v>
      </c>
      <c r="C2670" s="16" t="e">
        <f>VLOOKUP(Table1[[#This Row],[Node]],Parent!A:B,2,0)</f>
        <v>#N/A</v>
      </c>
      <c r="D2670" s="25" t="s">
        <v>19346</v>
      </c>
      <c r="E2670" s="26" t="s">
        <v>16544</v>
      </c>
      <c r="F2670" s="27" t="s">
        <v>19051</v>
      </c>
      <c r="G2670" s="27" t="s">
        <v>19113</v>
      </c>
      <c r="H2670" s="27" t="s">
        <v>19168</v>
      </c>
      <c r="I2670" s="27" t="s">
        <v>19178</v>
      </c>
      <c r="J2670" s="27"/>
      <c r="K2670" s="27"/>
      <c r="L2670" s="27"/>
      <c r="N2670" s="27"/>
      <c r="T2670" s="28" t="str">
        <f>LOOKUP(1,1/(Table1[[#This Row],[Level_0]:[Level 15]]&gt;0),(Table1[[#This Row],[Level_0]:[Level 15]]))</f>
        <v>3310000001 - [Revers of Impairment - IntangAssets-Acc1]</v>
      </c>
      <c r="U2670" s="22">
        <v>2665</v>
      </c>
      <c r="W2670" s="13" t="str">
        <f>LOOKUP(1,1/(Table1[[#This Row],[Level_0]:[Level 15]]&gt;0),(Table1[[#This Row],[Level_0]:[Level 15]]))</f>
        <v>3310000001 - [Revers of Impairment - IntangAssets-Acc1]</v>
      </c>
    </row>
    <row r="2671" spans="1:23" x14ac:dyDescent="0.25">
      <c r="A2671">
        <v>3310000000</v>
      </c>
      <c r="B2671" s="16" t="s">
        <v>19654</v>
      </c>
      <c r="C2671" s="16" t="e">
        <f>VLOOKUP(Table1[[#This Row],[Node]],Parent!A:B,2,0)</f>
        <v>#N/A</v>
      </c>
      <c r="D2671" s="25" t="s">
        <v>19346</v>
      </c>
      <c r="E2671" s="26" t="s">
        <v>16544</v>
      </c>
      <c r="F2671" s="27" t="s">
        <v>19051</v>
      </c>
      <c r="G2671" s="27" t="s">
        <v>19113</v>
      </c>
      <c r="H2671" s="27" t="s">
        <v>19168</v>
      </c>
      <c r="I2671" s="27" t="s">
        <v>19179</v>
      </c>
      <c r="J2671" s="27"/>
      <c r="K2671" s="27"/>
      <c r="L2671" s="27"/>
      <c r="N2671" s="27"/>
      <c r="T2671" s="28" t="str">
        <f>LOOKUP(1,1/(Table1[[#This Row],[Level_0]:[Level 15]]&gt;0),(Table1[[#This Row],[Level_0]:[Level 15]]))</f>
        <v>3310000000 - [Revers of Impairment - Intangible Assets]</v>
      </c>
      <c r="U2671" s="22">
        <v>2666</v>
      </c>
      <c r="W2671" s="13" t="str">
        <f>LOOKUP(1,1/(Table1[[#This Row],[Level_0]:[Level 15]]&gt;0),(Table1[[#This Row],[Level_0]:[Level 15]]))</f>
        <v>3310000000 - [Revers of Impairment - Intangible Assets]</v>
      </c>
    </row>
    <row r="2672" spans="1:23" x14ac:dyDescent="0.25">
      <c r="A2672">
        <v>110102</v>
      </c>
      <c r="B2672" s="16" t="s">
        <v>19383</v>
      </c>
      <c r="C2672" s="16" t="e">
        <f>VLOOKUP(Table1[[#This Row],[Node]],Parent!A:B,2,0)</f>
        <v>#N/A</v>
      </c>
      <c r="D2672" s="25" t="s">
        <v>19346</v>
      </c>
      <c r="E2672" s="26" t="s">
        <v>16544</v>
      </c>
      <c r="F2672" s="27" t="s">
        <v>19051</v>
      </c>
      <c r="G2672" s="27" t="s">
        <v>19113</v>
      </c>
      <c r="H2672" s="27" t="s">
        <v>19180</v>
      </c>
      <c r="I2672" s="27"/>
      <c r="J2672" s="27"/>
      <c r="K2672" s="27"/>
      <c r="L2672" s="27"/>
      <c r="N2672" s="27"/>
      <c r="T2672" s="28" t="str">
        <f>LOOKUP(1,1/(Table1[[#This Row],[Level_0]:[Level 15]]&gt;0),(Table1[[#This Row],[Level_0]:[Level 15]]))</f>
        <v>110102 - [Building, land &amp; facility Deprc &amp; Impair]</v>
      </c>
      <c r="U2672" s="22">
        <v>2667</v>
      </c>
      <c r="W2672" s="13" t="str">
        <f>LOOKUP(1,1/(Table1[[#This Row],[Level_0]:[Level 15]]&gt;0),(Table1[[#This Row],[Level_0]:[Level 15]]))</f>
        <v>110102 - [Building, land &amp; facility Deprc &amp; Impair]</v>
      </c>
    </row>
    <row r="2673" spans="1:23" x14ac:dyDescent="0.25">
      <c r="A2673">
        <v>7620000017</v>
      </c>
      <c r="B2673" s="16" t="s">
        <v>21543</v>
      </c>
      <c r="C2673" s="16" t="e">
        <f>VLOOKUP(Table1[[#This Row],[Node]],Parent!A:B,2,0)</f>
        <v>#N/A</v>
      </c>
      <c r="D2673" s="25" t="s">
        <v>19346</v>
      </c>
      <c r="E2673" s="26" t="s">
        <v>16544</v>
      </c>
      <c r="F2673" s="27" t="s">
        <v>19051</v>
      </c>
      <c r="G2673" s="27" t="s">
        <v>19113</v>
      </c>
      <c r="H2673" s="27" t="s">
        <v>19180</v>
      </c>
      <c r="I2673" s="27" t="s">
        <v>19181</v>
      </c>
      <c r="J2673" s="27"/>
      <c r="K2673" s="27"/>
      <c r="L2673" s="27"/>
      <c r="N2673" s="27"/>
      <c r="T2673" s="28" t="str">
        <f>LOOKUP(1,1/(Table1[[#This Row],[Level_0]:[Level 15]]&gt;0),(Table1[[#This Row],[Level_0]:[Level 15]]))</f>
        <v>7620000017 - [AOM Depreciation Buildings]</v>
      </c>
      <c r="U2673" s="22">
        <v>2668</v>
      </c>
      <c r="W2673" s="13" t="str">
        <f>LOOKUP(1,1/(Table1[[#This Row],[Level_0]:[Level 15]]&gt;0),(Table1[[#This Row],[Level_0]:[Level 15]]))</f>
        <v>7620000017 - [AOM Depreciation Buildings]</v>
      </c>
    </row>
    <row r="2674" spans="1:23" x14ac:dyDescent="0.25">
      <c r="A2674">
        <v>5111500400</v>
      </c>
      <c r="B2674" s="16" t="s">
        <v>20047</v>
      </c>
      <c r="C2674" s="16" t="e">
        <f>VLOOKUP(Table1[[#This Row],[Node]],Parent!A:B,2,0)</f>
        <v>#N/A</v>
      </c>
      <c r="D2674" s="25" t="s">
        <v>19346</v>
      </c>
      <c r="E2674" s="26" t="s">
        <v>16544</v>
      </c>
      <c r="F2674" s="27" t="s">
        <v>19051</v>
      </c>
      <c r="G2674" s="27" t="s">
        <v>19113</v>
      </c>
      <c r="H2674" s="27" t="s">
        <v>19180</v>
      </c>
      <c r="I2674" s="27" t="s">
        <v>19182</v>
      </c>
      <c r="J2674" s="27"/>
      <c r="K2674" s="27"/>
      <c r="L2674" s="27"/>
      <c r="N2674" s="27"/>
      <c r="T2674" s="28" t="str">
        <f>LOOKUP(1,1/(Table1[[#This Row],[Level_0]:[Level 15]]&gt;0),(Table1[[#This Row],[Level_0]:[Level 15]]))</f>
        <v>5111500400 - [Impairment - Land &amp; Buildings - RoU]</v>
      </c>
      <c r="U2674" s="22">
        <v>2669</v>
      </c>
      <c r="W2674" s="13" t="str">
        <f>LOOKUP(1,1/(Table1[[#This Row],[Level_0]:[Level 15]]&gt;0),(Table1[[#This Row],[Level_0]:[Level 15]]))</f>
        <v>5111500400 - [Impairment - Land &amp; Buildings - RoU]</v>
      </c>
    </row>
    <row r="2675" spans="1:23" x14ac:dyDescent="0.25">
      <c r="A2675">
        <v>5111500010</v>
      </c>
      <c r="B2675" s="16" t="s">
        <v>20046</v>
      </c>
      <c r="C2675" s="16" t="e">
        <f>VLOOKUP(Table1[[#This Row],[Node]],Parent!A:B,2,0)</f>
        <v>#N/A</v>
      </c>
      <c r="D2675" s="25" t="s">
        <v>19346</v>
      </c>
      <c r="E2675" s="26" t="s">
        <v>16544</v>
      </c>
      <c r="F2675" s="27" t="s">
        <v>19051</v>
      </c>
      <c r="G2675" s="27" t="s">
        <v>19113</v>
      </c>
      <c r="H2675" s="27" t="s">
        <v>19180</v>
      </c>
      <c r="I2675" s="27" t="s">
        <v>19183</v>
      </c>
      <c r="J2675" s="27"/>
      <c r="K2675" s="27"/>
      <c r="L2675" s="27"/>
      <c r="N2675" s="27"/>
      <c r="T2675" s="28" t="str">
        <f>LOOKUP(1,1/(Table1[[#This Row],[Level_0]:[Level 15]]&gt;0),(Table1[[#This Row],[Level_0]:[Level 15]]))</f>
        <v>5111500010 - [Impairment - Land &amp; Buildings - PPA]</v>
      </c>
      <c r="U2675" s="22">
        <v>2670</v>
      </c>
      <c r="W2675" s="13" t="str">
        <f>LOOKUP(1,1/(Table1[[#This Row],[Level_0]:[Level 15]]&gt;0),(Table1[[#This Row],[Level_0]:[Level 15]]))</f>
        <v>5111500010 - [Impairment - Land &amp; Buildings - PPA]</v>
      </c>
    </row>
    <row r="2676" spans="1:23" x14ac:dyDescent="0.25">
      <c r="A2676">
        <v>5111500001</v>
      </c>
      <c r="B2676" s="16" t="s">
        <v>20045</v>
      </c>
      <c r="C2676" s="16" t="e">
        <f>VLOOKUP(Table1[[#This Row],[Node]],Parent!A:B,2,0)</f>
        <v>#N/A</v>
      </c>
      <c r="D2676" s="25" t="s">
        <v>19346</v>
      </c>
      <c r="E2676" s="26" t="s">
        <v>16544</v>
      </c>
      <c r="F2676" s="27" t="s">
        <v>19051</v>
      </c>
      <c r="G2676" s="27" t="s">
        <v>19113</v>
      </c>
      <c r="H2676" s="27" t="s">
        <v>19180</v>
      </c>
      <c r="I2676" s="27" t="s">
        <v>19184</v>
      </c>
      <c r="J2676" s="27"/>
      <c r="K2676" s="27"/>
      <c r="L2676" s="27"/>
      <c r="N2676" s="27"/>
      <c r="T2676" s="28" t="str">
        <f>LOOKUP(1,1/(Table1[[#This Row],[Level_0]:[Level 15]]&gt;0),(Table1[[#This Row],[Level_0]:[Level 15]]))</f>
        <v>5111500001 - [Impairment - Land &amp; Buildings-Account 1]</v>
      </c>
      <c r="U2676" s="22">
        <v>2671</v>
      </c>
      <c r="W2676" s="13" t="str">
        <f>LOOKUP(1,1/(Table1[[#This Row],[Level_0]:[Level 15]]&gt;0),(Table1[[#This Row],[Level_0]:[Level 15]]))</f>
        <v>5111500001 - [Impairment - Land &amp; Buildings-Account 1]</v>
      </c>
    </row>
    <row r="2677" spans="1:23" x14ac:dyDescent="0.25">
      <c r="A2677">
        <v>5111500000</v>
      </c>
      <c r="B2677" s="16" t="s">
        <v>20044</v>
      </c>
      <c r="C2677" s="16" t="e">
        <f>VLOOKUP(Table1[[#This Row],[Node]],Parent!A:B,2,0)</f>
        <v>#N/A</v>
      </c>
      <c r="D2677" s="25" t="s">
        <v>19346</v>
      </c>
      <c r="E2677" s="26" t="s">
        <v>16544</v>
      </c>
      <c r="F2677" s="27" t="s">
        <v>19051</v>
      </c>
      <c r="G2677" s="27" t="s">
        <v>19113</v>
      </c>
      <c r="H2677" s="27" t="s">
        <v>19180</v>
      </c>
      <c r="I2677" s="27" t="s">
        <v>19185</v>
      </c>
      <c r="J2677" s="27"/>
      <c r="K2677" s="27"/>
      <c r="L2677" s="27"/>
      <c r="N2677" s="27"/>
      <c r="T2677" s="28" t="str">
        <f>LOOKUP(1,1/(Table1[[#This Row],[Level_0]:[Level 15]]&gt;0),(Table1[[#This Row],[Level_0]:[Level 15]]))</f>
        <v>5111500000 - [Impairment - Land &amp; Buildings]</v>
      </c>
      <c r="U2677" s="22">
        <v>2672</v>
      </c>
      <c r="W2677" s="13" t="str">
        <f>LOOKUP(1,1/(Table1[[#This Row],[Level_0]:[Level 15]]&gt;0),(Table1[[#This Row],[Level_0]:[Level 15]]))</f>
        <v>5111500000 - [Impairment - Land &amp; Buildings]</v>
      </c>
    </row>
    <row r="2678" spans="1:23" x14ac:dyDescent="0.25">
      <c r="A2678">
        <v>5111000300</v>
      </c>
      <c r="B2678" s="16" t="s">
        <v>20043</v>
      </c>
      <c r="C2678" s="16" t="e">
        <f>VLOOKUP(Table1[[#This Row],[Node]],Parent!A:B,2,0)</f>
        <v>#N/A</v>
      </c>
      <c r="D2678" s="25" t="s">
        <v>19346</v>
      </c>
      <c r="E2678" s="26" t="s">
        <v>16544</v>
      </c>
      <c r="F2678" s="27" t="s">
        <v>19051</v>
      </c>
      <c r="G2678" s="27" t="s">
        <v>19113</v>
      </c>
      <c r="H2678" s="27" t="s">
        <v>19180</v>
      </c>
      <c r="I2678" s="27" t="s">
        <v>19186</v>
      </c>
      <c r="J2678" s="27"/>
      <c r="K2678" s="27"/>
      <c r="L2678" s="27"/>
      <c r="N2678" s="27"/>
      <c r="T2678" s="28" t="str">
        <f>LOOKUP(1,1/(Table1[[#This Row],[Level_0]:[Level 15]]&gt;0),(Table1[[#This Row],[Level_0]:[Level 15]]))</f>
        <v>5111000300 - [Depreciation - Buildings - Right of Use]</v>
      </c>
      <c r="U2678" s="22">
        <v>2673</v>
      </c>
      <c r="W2678" s="13" t="str">
        <f>LOOKUP(1,1/(Table1[[#This Row],[Level_0]:[Level 15]]&gt;0),(Table1[[#This Row],[Level_0]:[Level 15]]))</f>
        <v>5111000300 - [Depreciation - Buildings - Right of Use]</v>
      </c>
    </row>
    <row r="2679" spans="1:23" x14ac:dyDescent="0.25">
      <c r="A2679">
        <v>5111000010</v>
      </c>
      <c r="B2679" s="16" t="s">
        <v>20042</v>
      </c>
      <c r="C2679" s="16" t="e">
        <f>VLOOKUP(Table1[[#This Row],[Node]],Parent!A:B,2,0)</f>
        <v>#N/A</v>
      </c>
      <c r="D2679" s="25" t="s">
        <v>19346</v>
      </c>
      <c r="E2679" s="26" t="s">
        <v>16544</v>
      </c>
      <c r="F2679" s="27" t="s">
        <v>19051</v>
      </c>
      <c r="G2679" s="27" t="s">
        <v>19113</v>
      </c>
      <c r="H2679" s="27" t="s">
        <v>19180</v>
      </c>
      <c r="I2679" s="27" t="s">
        <v>19187</v>
      </c>
      <c r="J2679" s="27"/>
      <c r="K2679" s="27"/>
      <c r="L2679" s="27"/>
      <c r="N2679" s="27"/>
      <c r="T2679" s="28" t="str">
        <f>LOOKUP(1,1/(Table1[[#This Row],[Level_0]:[Level 15]]&gt;0),(Table1[[#This Row],[Level_0]:[Level 15]]))</f>
        <v>5111000010 - [Depreciation - Buildings - PPA]</v>
      </c>
      <c r="U2679" s="22">
        <v>2674</v>
      </c>
      <c r="W2679" s="13" t="str">
        <f>LOOKUP(1,1/(Table1[[#This Row],[Level_0]:[Level 15]]&gt;0),(Table1[[#This Row],[Level_0]:[Level 15]]))</f>
        <v>5111000010 - [Depreciation - Buildings - PPA]</v>
      </c>
    </row>
    <row r="2680" spans="1:23" x14ac:dyDescent="0.25">
      <c r="A2680">
        <v>5111000001</v>
      </c>
      <c r="B2680" s="16" t="s">
        <v>20041</v>
      </c>
      <c r="C2680" s="16" t="e">
        <f>VLOOKUP(Table1[[#This Row],[Node]],Parent!A:B,2,0)</f>
        <v>#N/A</v>
      </c>
      <c r="D2680" s="25" t="s">
        <v>19346</v>
      </c>
      <c r="E2680" s="26" t="s">
        <v>16544</v>
      </c>
      <c r="F2680" s="27" t="s">
        <v>19051</v>
      </c>
      <c r="G2680" s="27" t="s">
        <v>19113</v>
      </c>
      <c r="H2680" s="27" t="s">
        <v>19180</v>
      </c>
      <c r="I2680" s="27" t="s">
        <v>19188</v>
      </c>
      <c r="J2680" s="27"/>
      <c r="K2680" s="27"/>
      <c r="L2680" s="27"/>
      <c r="N2680" s="27"/>
      <c r="T2680" s="28" t="str">
        <f>LOOKUP(1,1/(Table1[[#This Row],[Level_0]:[Level 15]]&gt;0),(Table1[[#This Row],[Level_0]:[Level 15]]))</f>
        <v>5111000001 - [Depreciation - Buildings-Account 1]</v>
      </c>
      <c r="U2680" s="22">
        <v>2675</v>
      </c>
      <c r="W2680" s="13" t="str">
        <f>LOOKUP(1,1/(Table1[[#This Row],[Level_0]:[Level 15]]&gt;0),(Table1[[#This Row],[Level_0]:[Level 15]]))</f>
        <v>5111000001 - [Depreciation - Buildings-Account 1]</v>
      </c>
    </row>
    <row r="2681" spans="1:23" x14ac:dyDescent="0.25">
      <c r="A2681">
        <v>5111000000</v>
      </c>
      <c r="B2681" s="16" t="s">
        <v>20040</v>
      </c>
      <c r="C2681" s="16" t="e">
        <f>VLOOKUP(Table1[[#This Row],[Node]],Parent!A:B,2,0)</f>
        <v>#N/A</v>
      </c>
      <c r="D2681" s="25" t="s">
        <v>19346</v>
      </c>
      <c r="E2681" s="26" t="s">
        <v>16544</v>
      </c>
      <c r="F2681" s="27" t="s">
        <v>19051</v>
      </c>
      <c r="G2681" s="27" t="s">
        <v>19113</v>
      </c>
      <c r="H2681" s="27" t="s">
        <v>19180</v>
      </c>
      <c r="I2681" s="27" t="s">
        <v>19189</v>
      </c>
      <c r="J2681" s="27"/>
      <c r="K2681" s="27"/>
      <c r="L2681" s="27"/>
      <c r="N2681" s="27"/>
      <c r="T2681" s="28" t="str">
        <f>LOOKUP(1,1/(Table1[[#This Row],[Level_0]:[Level 15]]&gt;0),(Table1[[#This Row],[Level_0]:[Level 15]]))</f>
        <v>5111000000 - [Depreciation - Buildings]</v>
      </c>
      <c r="U2681" s="22">
        <v>2676</v>
      </c>
      <c r="W2681" s="13" t="str">
        <f>LOOKUP(1,1/(Table1[[#This Row],[Level_0]:[Level 15]]&gt;0),(Table1[[#This Row],[Level_0]:[Level 15]]))</f>
        <v>5111000000 - [Depreciation - Buildings]</v>
      </c>
    </row>
    <row r="2682" spans="1:23" x14ac:dyDescent="0.25">
      <c r="A2682">
        <v>110101</v>
      </c>
      <c r="B2682" s="16" t="s">
        <v>19382</v>
      </c>
      <c r="C2682" s="16" t="e">
        <f>VLOOKUP(Table1[[#This Row],[Node]],Parent!A:B,2,0)</f>
        <v>#N/A</v>
      </c>
      <c r="D2682" s="25" t="s">
        <v>19346</v>
      </c>
      <c r="E2682" s="26" t="s">
        <v>16544</v>
      </c>
      <c r="F2682" s="27" t="s">
        <v>19051</v>
      </c>
      <c r="G2682" s="27" t="s">
        <v>19113</v>
      </c>
      <c r="H2682" s="27" t="s">
        <v>19190</v>
      </c>
      <c r="I2682" s="27"/>
      <c r="J2682" s="27"/>
      <c r="K2682" s="27"/>
      <c r="L2682" s="27"/>
      <c r="N2682" s="27"/>
      <c r="T2682" s="28" t="str">
        <f>LOOKUP(1,1/(Table1[[#This Row],[Level_0]:[Level 15]]&gt;0),(Table1[[#This Row],[Level_0]:[Level 15]]))</f>
        <v>110101 - [Machinery &amp; equipment Deprec. &amp; Impairm.]</v>
      </c>
      <c r="U2682" s="22">
        <v>2677</v>
      </c>
      <c r="W2682" s="13" t="str">
        <f>LOOKUP(1,1/(Table1[[#This Row],[Level_0]:[Level 15]]&gt;0),(Table1[[#This Row],[Level_0]:[Level 15]]))</f>
        <v>110101 - [Machinery &amp; equipment Deprec. &amp; Impairm.]</v>
      </c>
    </row>
    <row r="2683" spans="1:23" x14ac:dyDescent="0.25">
      <c r="A2683">
        <v>7620000018</v>
      </c>
      <c r="B2683" s="16" t="s">
        <v>21544</v>
      </c>
      <c r="C2683" s="16" t="e">
        <f>VLOOKUP(Table1[[#This Row],[Node]],Parent!A:B,2,0)</f>
        <v>#N/A</v>
      </c>
      <c r="D2683" s="25" t="s">
        <v>19346</v>
      </c>
      <c r="E2683" s="26" t="s">
        <v>16544</v>
      </c>
      <c r="F2683" s="27" t="s">
        <v>19051</v>
      </c>
      <c r="G2683" s="27" t="s">
        <v>19113</v>
      </c>
      <c r="H2683" s="27" t="s">
        <v>19190</v>
      </c>
      <c r="I2683" s="27" t="s">
        <v>19191</v>
      </c>
      <c r="J2683" s="27"/>
      <c r="K2683" s="27"/>
      <c r="L2683" s="27"/>
      <c r="N2683" s="27"/>
      <c r="T2683" s="28" t="str">
        <f>LOOKUP(1,1/(Table1[[#This Row],[Level_0]:[Level 15]]&gt;0),(Table1[[#This Row],[Level_0]:[Level 15]]))</f>
        <v>7620000018 - [AOM Depreciation Equipment]</v>
      </c>
      <c r="U2683" s="22">
        <v>2678</v>
      </c>
      <c r="W2683" s="13" t="str">
        <f>LOOKUP(1,1/(Table1[[#This Row],[Level_0]:[Level 15]]&gt;0),(Table1[[#This Row],[Level_0]:[Level 15]]))</f>
        <v>7620000018 - [AOM Depreciation Equipment]</v>
      </c>
    </row>
    <row r="2684" spans="1:23" x14ac:dyDescent="0.25">
      <c r="A2684">
        <v>5114500400</v>
      </c>
      <c r="B2684" s="16" t="s">
        <v>20064</v>
      </c>
      <c r="C2684" s="16" t="e">
        <f>VLOOKUP(Table1[[#This Row],[Node]],Parent!A:B,2,0)</f>
        <v>#N/A</v>
      </c>
      <c r="D2684" s="25" t="s">
        <v>19346</v>
      </c>
      <c r="E2684" s="26" t="s">
        <v>16544</v>
      </c>
      <c r="F2684" s="27" t="s">
        <v>19051</v>
      </c>
      <c r="G2684" s="27" t="s">
        <v>19113</v>
      </c>
      <c r="H2684" s="27" t="s">
        <v>19190</v>
      </c>
      <c r="I2684" s="27" t="s">
        <v>19192</v>
      </c>
      <c r="J2684" s="27"/>
      <c r="K2684" s="27"/>
      <c r="L2684" s="27"/>
      <c r="N2684" s="27"/>
      <c r="T2684" s="28" t="str">
        <f>LOOKUP(1,1/(Table1[[#This Row],[Level_0]:[Level 15]]&gt;0),(Table1[[#This Row],[Level_0]:[Level 15]]))</f>
        <v>5114500400 - [Impairment - IT Equipment - RoU]</v>
      </c>
      <c r="U2684" s="22">
        <v>2679</v>
      </c>
      <c r="W2684" s="13" t="str">
        <f>LOOKUP(1,1/(Table1[[#This Row],[Level_0]:[Level 15]]&gt;0),(Table1[[#This Row],[Level_0]:[Level 15]]))</f>
        <v>5114500400 - [Impairment - IT Equipment - RoU]</v>
      </c>
    </row>
    <row r="2685" spans="1:23" x14ac:dyDescent="0.25">
      <c r="A2685">
        <v>5114500001</v>
      </c>
      <c r="B2685" s="16" t="s">
        <v>20063</v>
      </c>
      <c r="C2685" s="16" t="e">
        <f>VLOOKUP(Table1[[#This Row],[Node]],Parent!A:B,2,0)</f>
        <v>#N/A</v>
      </c>
      <c r="D2685" s="25" t="s">
        <v>19346</v>
      </c>
      <c r="E2685" s="26" t="s">
        <v>16544</v>
      </c>
      <c r="F2685" s="27" t="s">
        <v>19051</v>
      </c>
      <c r="G2685" s="27" t="s">
        <v>19113</v>
      </c>
      <c r="H2685" s="27" t="s">
        <v>19190</v>
      </c>
      <c r="I2685" s="27" t="s">
        <v>19193</v>
      </c>
      <c r="J2685" s="27"/>
      <c r="K2685" s="27"/>
      <c r="L2685" s="27"/>
      <c r="N2685" s="27"/>
      <c r="T2685" s="28" t="str">
        <f>LOOKUP(1,1/(Table1[[#This Row],[Level_0]:[Level 15]]&gt;0),(Table1[[#This Row],[Level_0]:[Level 15]]))</f>
        <v>5114500001 - [Impairment - IT Equipment - Acc1]</v>
      </c>
      <c r="U2685" s="22">
        <v>2680</v>
      </c>
      <c r="W2685" s="13" t="str">
        <f>LOOKUP(1,1/(Table1[[#This Row],[Level_0]:[Level 15]]&gt;0),(Table1[[#This Row],[Level_0]:[Level 15]]))</f>
        <v>5114500001 - [Impairment - IT Equipment - Acc1]</v>
      </c>
    </row>
    <row r="2686" spans="1:23" x14ac:dyDescent="0.25">
      <c r="A2686">
        <v>5114500000</v>
      </c>
      <c r="B2686" s="16" t="s">
        <v>20062</v>
      </c>
      <c r="C2686" s="16" t="e">
        <f>VLOOKUP(Table1[[#This Row],[Node]],Parent!A:B,2,0)</f>
        <v>#N/A</v>
      </c>
      <c r="D2686" s="25" t="s">
        <v>19346</v>
      </c>
      <c r="E2686" s="26" t="s">
        <v>16544</v>
      </c>
      <c r="F2686" s="27" t="s">
        <v>19051</v>
      </c>
      <c r="G2686" s="27" t="s">
        <v>19113</v>
      </c>
      <c r="H2686" s="27" t="s">
        <v>19190</v>
      </c>
      <c r="I2686" s="27" t="s">
        <v>19194</v>
      </c>
      <c r="J2686" s="27"/>
      <c r="K2686" s="27"/>
      <c r="L2686" s="27"/>
      <c r="N2686" s="27"/>
      <c r="T2686" s="28" t="str">
        <f>LOOKUP(1,1/(Table1[[#This Row],[Level_0]:[Level 15]]&gt;0),(Table1[[#This Row],[Level_0]:[Level 15]]))</f>
        <v>5114500000 - [Impairment - IT Equipment]</v>
      </c>
      <c r="U2686" s="22">
        <v>2681</v>
      </c>
      <c r="W2686" s="13" t="str">
        <f>LOOKUP(1,1/(Table1[[#This Row],[Level_0]:[Level 15]]&gt;0),(Table1[[#This Row],[Level_0]:[Level 15]]))</f>
        <v>5114500000 - [Impairment - IT Equipment]</v>
      </c>
    </row>
    <row r="2687" spans="1:23" x14ac:dyDescent="0.25">
      <c r="A2687">
        <v>5114000300</v>
      </c>
      <c r="B2687" s="16" t="s">
        <v>20061</v>
      </c>
      <c r="C2687" s="16" t="e">
        <f>VLOOKUP(Table1[[#This Row],[Node]],Parent!A:B,2,0)</f>
        <v>#N/A</v>
      </c>
      <c r="D2687" s="25" t="s">
        <v>19346</v>
      </c>
      <c r="E2687" s="26" t="s">
        <v>16544</v>
      </c>
      <c r="F2687" s="27" t="s">
        <v>19051</v>
      </c>
      <c r="G2687" s="27" t="s">
        <v>19113</v>
      </c>
      <c r="H2687" s="27" t="s">
        <v>19190</v>
      </c>
      <c r="I2687" s="27" t="s">
        <v>19195</v>
      </c>
      <c r="J2687" s="27"/>
      <c r="K2687" s="27"/>
      <c r="L2687" s="27"/>
      <c r="N2687" s="27"/>
      <c r="T2687" s="28" t="str">
        <f>LOOKUP(1,1/(Table1[[#This Row],[Level_0]:[Level 15]]&gt;0),(Table1[[#This Row],[Level_0]:[Level 15]]))</f>
        <v>5114000300 - [Depreciation - IT Equipment - RoU]</v>
      </c>
      <c r="U2687" s="22">
        <v>2682</v>
      </c>
      <c r="W2687" s="13" t="str">
        <f>LOOKUP(1,1/(Table1[[#This Row],[Level_0]:[Level 15]]&gt;0),(Table1[[#This Row],[Level_0]:[Level 15]]))</f>
        <v>5114000300 - [Depreciation - IT Equipment - RoU]</v>
      </c>
    </row>
    <row r="2688" spans="1:23" x14ac:dyDescent="0.25">
      <c r="A2688">
        <v>5114000001</v>
      </c>
      <c r="B2688" s="16" t="s">
        <v>20060</v>
      </c>
      <c r="C2688" s="16" t="e">
        <f>VLOOKUP(Table1[[#This Row],[Node]],Parent!A:B,2,0)</f>
        <v>#N/A</v>
      </c>
      <c r="D2688" s="25" t="s">
        <v>19346</v>
      </c>
      <c r="E2688" s="26" t="s">
        <v>16544</v>
      </c>
      <c r="F2688" s="27" t="s">
        <v>19051</v>
      </c>
      <c r="G2688" s="27" t="s">
        <v>19113</v>
      </c>
      <c r="H2688" s="27" t="s">
        <v>19190</v>
      </c>
      <c r="I2688" s="27" t="s">
        <v>19196</v>
      </c>
      <c r="J2688" s="27"/>
      <c r="K2688" s="27"/>
      <c r="L2688" s="27"/>
      <c r="N2688" s="27"/>
      <c r="T2688" s="28" t="str">
        <f>LOOKUP(1,1/(Table1[[#This Row],[Level_0]:[Level 15]]&gt;0),(Table1[[#This Row],[Level_0]:[Level 15]]))</f>
        <v>5114000001 - [Depreciation - IT Equipment - Acc1]</v>
      </c>
      <c r="U2688" s="22">
        <v>2683</v>
      </c>
      <c r="W2688" s="13" t="str">
        <f>LOOKUP(1,1/(Table1[[#This Row],[Level_0]:[Level 15]]&gt;0),(Table1[[#This Row],[Level_0]:[Level 15]]))</f>
        <v>5114000001 - [Depreciation - IT Equipment - Acc1]</v>
      </c>
    </row>
    <row r="2689" spans="1:23" x14ac:dyDescent="0.25">
      <c r="A2689">
        <v>5114000000</v>
      </c>
      <c r="B2689" s="16" t="s">
        <v>20059</v>
      </c>
      <c r="C2689" s="16" t="e">
        <f>VLOOKUP(Table1[[#This Row],[Node]],Parent!A:B,2,0)</f>
        <v>#N/A</v>
      </c>
      <c r="D2689" s="25" t="s">
        <v>19346</v>
      </c>
      <c r="E2689" s="26" t="s">
        <v>16544</v>
      </c>
      <c r="F2689" s="27" t="s">
        <v>19051</v>
      </c>
      <c r="G2689" s="27" t="s">
        <v>19113</v>
      </c>
      <c r="H2689" s="27" t="s">
        <v>19190</v>
      </c>
      <c r="I2689" s="27" t="s">
        <v>19197</v>
      </c>
      <c r="J2689" s="27"/>
      <c r="K2689" s="27"/>
      <c r="L2689" s="27"/>
      <c r="N2689" s="27"/>
      <c r="T2689" s="28" t="str">
        <f>LOOKUP(1,1/(Table1[[#This Row],[Level_0]:[Level 15]]&gt;0),(Table1[[#This Row],[Level_0]:[Level 15]]))</f>
        <v>5114000000 - [Depreciation - IT Equipment]</v>
      </c>
      <c r="U2689" s="22">
        <v>2684</v>
      </c>
      <c r="W2689" s="13" t="str">
        <f>LOOKUP(1,1/(Table1[[#This Row],[Level_0]:[Level 15]]&gt;0),(Table1[[#This Row],[Level_0]:[Level 15]]))</f>
        <v>5114000000 - [Depreciation - IT Equipment]</v>
      </c>
    </row>
    <row r="2690" spans="1:23" x14ac:dyDescent="0.25">
      <c r="A2690">
        <v>5112500001</v>
      </c>
      <c r="B2690" s="16" t="s">
        <v>20052</v>
      </c>
      <c r="C2690" s="16" t="e">
        <f>VLOOKUP(Table1[[#This Row],[Node]],Parent!A:B,2,0)</f>
        <v>#N/A</v>
      </c>
      <c r="D2690" s="25" t="s">
        <v>19346</v>
      </c>
      <c r="E2690" s="26" t="s">
        <v>16544</v>
      </c>
      <c r="F2690" s="27" t="s">
        <v>19051</v>
      </c>
      <c r="G2690" s="27" t="s">
        <v>19113</v>
      </c>
      <c r="H2690" s="27" t="s">
        <v>19190</v>
      </c>
      <c r="I2690" s="27" t="s">
        <v>19198</v>
      </c>
      <c r="J2690" s="27"/>
      <c r="K2690" s="27"/>
      <c r="L2690" s="27"/>
      <c r="N2690" s="27"/>
      <c r="T2690" s="28" t="str">
        <f>LOOKUP(1,1/(Table1[[#This Row],[Level_0]:[Level 15]]&gt;0),(Table1[[#This Row],[Level_0]:[Level 15]]))</f>
        <v>5112500001 - [Impairment - Techn Equipment &amp; Mach]</v>
      </c>
      <c r="U2690" s="22">
        <v>2685</v>
      </c>
      <c r="W2690" s="13" t="str">
        <f>LOOKUP(1,1/(Table1[[#This Row],[Level_0]:[Level 15]]&gt;0),(Table1[[#This Row],[Level_0]:[Level 15]]))</f>
        <v>5112500001 - [Impairment - Techn Equipment &amp; Mach]</v>
      </c>
    </row>
    <row r="2691" spans="1:23" x14ac:dyDescent="0.25">
      <c r="A2691">
        <v>5112500000</v>
      </c>
      <c r="B2691" s="16" t="s">
        <v>20052</v>
      </c>
      <c r="C2691" s="16" t="e">
        <f>VLOOKUP(Table1[[#This Row],[Node]],Parent!A:B,2,0)</f>
        <v>#N/A</v>
      </c>
      <c r="D2691" s="25" t="s">
        <v>19346</v>
      </c>
      <c r="E2691" s="26" t="s">
        <v>16544</v>
      </c>
      <c r="F2691" s="27" t="s">
        <v>19051</v>
      </c>
      <c r="G2691" s="27" t="s">
        <v>19113</v>
      </c>
      <c r="H2691" s="27" t="s">
        <v>19190</v>
      </c>
      <c r="I2691" s="27" t="s">
        <v>19199</v>
      </c>
      <c r="J2691" s="27"/>
      <c r="K2691" s="27"/>
      <c r="L2691" s="27"/>
      <c r="N2691" s="27"/>
      <c r="T2691" s="28" t="str">
        <f>LOOKUP(1,1/(Table1[[#This Row],[Level_0]:[Level 15]]&gt;0),(Table1[[#This Row],[Level_0]:[Level 15]]))</f>
        <v>5112500000 - [Impairment - Techn Equipment &amp; Mach]</v>
      </c>
      <c r="U2691" s="22">
        <v>2686</v>
      </c>
      <c r="W2691" s="13" t="str">
        <f>LOOKUP(1,1/(Table1[[#This Row],[Level_0]:[Level 15]]&gt;0),(Table1[[#This Row],[Level_0]:[Level 15]]))</f>
        <v>5112500000 - [Impairment - Techn Equipment &amp; Mach]</v>
      </c>
    </row>
    <row r="2692" spans="1:23" x14ac:dyDescent="0.25">
      <c r="A2692">
        <v>5112000300</v>
      </c>
      <c r="B2692" s="16" t="s">
        <v>20051</v>
      </c>
      <c r="C2692" s="16" t="e">
        <f>VLOOKUP(Table1[[#This Row],[Node]],Parent!A:B,2,0)</f>
        <v>#N/A</v>
      </c>
      <c r="D2692" s="25" t="s">
        <v>19346</v>
      </c>
      <c r="E2692" s="26" t="s">
        <v>16544</v>
      </c>
      <c r="F2692" s="27" t="s">
        <v>19051</v>
      </c>
      <c r="G2692" s="27" t="s">
        <v>19113</v>
      </c>
      <c r="H2692" s="27" t="s">
        <v>19190</v>
      </c>
      <c r="I2692" s="27" t="s">
        <v>19200</v>
      </c>
      <c r="J2692" s="27"/>
      <c r="K2692" s="27"/>
      <c r="L2692" s="27"/>
      <c r="N2692" s="27"/>
      <c r="T2692" s="28" t="str">
        <f>LOOKUP(1,1/(Table1[[#This Row],[Level_0]:[Level 15]]&gt;0),(Table1[[#This Row],[Level_0]:[Level 15]]))</f>
        <v>5112000300 - [Depreciation - Techn Equip &amp; Mach - RoU]</v>
      </c>
      <c r="U2692" s="22">
        <v>2687</v>
      </c>
      <c r="W2692" s="13" t="str">
        <f>LOOKUP(1,1/(Table1[[#This Row],[Level_0]:[Level 15]]&gt;0),(Table1[[#This Row],[Level_0]:[Level 15]]))</f>
        <v>5112000300 - [Depreciation - Techn Equip &amp; Mach - RoU]</v>
      </c>
    </row>
    <row r="2693" spans="1:23" x14ac:dyDescent="0.25">
      <c r="A2693">
        <v>5112000010</v>
      </c>
      <c r="B2693" s="16" t="s">
        <v>20050</v>
      </c>
      <c r="C2693" s="16" t="e">
        <f>VLOOKUP(Table1[[#This Row],[Node]],Parent!A:B,2,0)</f>
        <v>#N/A</v>
      </c>
      <c r="D2693" s="25" t="s">
        <v>19346</v>
      </c>
      <c r="E2693" s="26" t="s">
        <v>16544</v>
      </c>
      <c r="F2693" s="27" t="s">
        <v>19051</v>
      </c>
      <c r="G2693" s="27" t="s">
        <v>19113</v>
      </c>
      <c r="H2693" s="27" t="s">
        <v>19190</v>
      </c>
      <c r="I2693" s="27" t="s">
        <v>19201</v>
      </c>
      <c r="J2693" s="27"/>
      <c r="K2693" s="27"/>
      <c r="L2693" s="27"/>
      <c r="N2693" s="27"/>
      <c r="T2693" s="28" t="str">
        <f>LOOKUP(1,1/(Table1[[#This Row],[Level_0]:[Level 15]]&gt;0),(Table1[[#This Row],[Level_0]:[Level 15]]))</f>
        <v>5112000010 - [Depreciation - Techn Equip. &amp; Mach - PPA]</v>
      </c>
      <c r="U2693" s="22">
        <v>2688</v>
      </c>
      <c r="W2693" s="13" t="str">
        <f>LOOKUP(1,1/(Table1[[#This Row],[Level_0]:[Level 15]]&gt;0),(Table1[[#This Row],[Level_0]:[Level 15]]))</f>
        <v>5112000010 - [Depreciation - Techn Equip. &amp; Mach - PPA]</v>
      </c>
    </row>
    <row r="2694" spans="1:23" x14ac:dyDescent="0.25">
      <c r="A2694">
        <v>5112000001</v>
      </c>
      <c r="B2694" s="16" t="s">
        <v>20049</v>
      </c>
      <c r="C2694" s="16" t="e">
        <f>VLOOKUP(Table1[[#This Row],[Node]],Parent!A:B,2,0)</f>
        <v>#N/A</v>
      </c>
      <c r="D2694" s="25" t="s">
        <v>19346</v>
      </c>
      <c r="E2694" s="26" t="s">
        <v>16544</v>
      </c>
      <c r="F2694" s="27" t="s">
        <v>19051</v>
      </c>
      <c r="G2694" s="27" t="s">
        <v>19113</v>
      </c>
      <c r="H2694" s="27" t="s">
        <v>19190</v>
      </c>
      <c r="I2694" s="27" t="s">
        <v>19202</v>
      </c>
      <c r="J2694" s="27"/>
      <c r="K2694" s="27"/>
      <c r="L2694" s="27"/>
      <c r="N2694" s="27"/>
      <c r="T2694" s="28" t="str">
        <f>LOOKUP(1,1/(Table1[[#This Row],[Level_0]:[Level 15]]&gt;0),(Table1[[#This Row],[Level_0]:[Level 15]]))</f>
        <v>5112000001 - [Depreciation - Techn Equipm &amp; Mach-Acc1]</v>
      </c>
      <c r="U2694" s="22">
        <v>2689</v>
      </c>
      <c r="W2694" s="13" t="str">
        <f>LOOKUP(1,1/(Table1[[#This Row],[Level_0]:[Level 15]]&gt;0),(Table1[[#This Row],[Level_0]:[Level 15]]))</f>
        <v>5112000001 - [Depreciation - Techn Equipm &amp; Mach-Acc1]</v>
      </c>
    </row>
    <row r="2695" spans="1:23" x14ac:dyDescent="0.25">
      <c r="A2695">
        <v>5112000000</v>
      </c>
      <c r="B2695" s="16" t="s">
        <v>20048</v>
      </c>
      <c r="C2695" s="16" t="e">
        <f>VLOOKUP(Table1[[#This Row],[Node]],Parent!A:B,2,0)</f>
        <v>#N/A</v>
      </c>
      <c r="D2695" s="25" t="s">
        <v>19346</v>
      </c>
      <c r="E2695" s="26" t="s">
        <v>16544</v>
      </c>
      <c r="F2695" s="27" t="s">
        <v>19051</v>
      </c>
      <c r="G2695" s="27" t="s">
        <v>19113</v>
      </c>
      <c r="H2695" s="27" t="s">
        <v>19190</v>
      </c>
      <c r="I2695" s="27" t="s">
        <v>19203</v>
      </c>
      <c r="J2695" s="27"/>
      <c r="K2695" s="27"/>
      <c r="L2695" s="27"/>
      <c r="N2695" s="27"/>
      <c r="T2695" s="28" t="str">
        <f>LOOKUP(1,1/(Table1[[#This Row],[Level_0]:[Level 15]]&gt;0),(Table1[[#This Row],[Level_0]:[Level 15]]))</f>
        <v>5112000000 - [Depreciation - Techn Equipment &amp; Mach]</v>
      </c>
      <c r="U2695" s="22">
        <v>2690</v>
      </c>
      <c r="W2695" s="13" t="str">
        <f>LOOKUP(1,1/(Table1[[#This Row],[Level_0]:[Level 15]]&gt;0),(Table1[[#This Row],[Level_0]:[Level 15]]))</f>
        <v>5112000000 - [Depreciation - Techn Equipment &amp; Mach]</v>
      </c>
    </row>
    <row r="2696" spans="1:23" hidden="1" x14ac:dyDescent="0.25">
      <c r="A2696">
        <v>100000</v>
      </c>
      <c r="B2696" s="16" t="s">
        <v>19358</v>
      </c>
      <c r="C2696" s="16" t="e">
        <f>VLOOKUP(Table1[[#This Row],[Node]],Parent!A:B,2,0)</f>
        <v>#N/A</v>
      </c>
      <c r="D2696" s="25" t="s">
        <v>19346</v>
      </c>
      <c r="E2696" s="26" t="s">
        <v>16544</v>
      </c>
      <c r="F2696" s="27" t="s">
        <v>19204</v>
      </c>
      <c r="G2696" s="27"/>
      <c r="H2696" s="27"/>
      <c r="I2696" s="27"/>
      <c r="J2696" s="27"/>
      <c r="K2696" s="27"/>
      <c r="L2696" s="27"/>
      <c r="N2696" s="27"/>
      <c r="T2696" s="28" t="str">
        <f>LOOKUP(1,1/(Table1[[#This Row],[Level_0]:[Level 15]]&gt;0),(Table1[[#This Row],[Level_0]:[Level 15]]))</f>
        <v>100000 - [Personnel Costs]</v>
      </c>
      <c r="U2696" s="22">
        <v>2691</v>
      </c>
      <c r="W2696" s="13" t="str">
        <f>LOOKUP(1,1/(Table1[[#This Row],[Level_0]:[Level 15]]&gt;0),(Table1[[#This Row],[Level_0]:[Level 15]]))</f>
        <v>100000 - [Personnel Costs]</v>
      </c>
    </row>
    <row r="2697" spans="1:23" hidden="1" x14ac:dyDescent="0.25">
      <c r="A2697">
        <v>100500</v>
      </c>
      <c r="B2697" s="16" t="s">
        <v>19379</v>
      </c>
      <c r="C2697" s="16" t="e">
        <f>VLOOKUP(Table1[[#This Row],[Node]],Parent!A:B,2,0)</f>
        <v>#N/A</v>
      </c>
      <c r="D2697" s="25" t="s">
        <v>19346</v>
      </c>
      <c r="E2697" s="26" t="s">
        <v>16544</v>
      </c>
      <c r="F2697" s="27" t="s">
        <v>19204</v>
      </c>
      <c r="G2697" s="27" t="s">
        <v>19205</v>
      </c>
      <c r="H2697" s="27"/>
      <c r="I2697" s="27"/>
      <c r="J2697" s="27"/>
      <c r="K2697" s="27"/>
      <c r="L2697" s="27"/>
      <c r="N2697" s="27"/>
      <c r="T2697" s="28" t="str">
        <f>LOOKUP(1,1/(Table1[[#This Row],[Level_0]:[Level 15]]&gt;0),(Table1[[#This Row],[Level_0]:[Level 15]]))</f>
        <v>100500 - [Intercompany Persn'l Costs (excl. Expat)]</v>
      </c>
      <c r="U2697" s="22">
        <v>2692</v>
      </c>
      <c r="W2697" s="13" t="str">
        <f>LOOKUP(1,1/(Table1[[#This Row],[Level_0]:[Level 15]]&gt;0),(Table1[[#This Row],[Level_0]:[Level 15]]))</f>
        <v>100500 - [Intercompany Persn'l Costs (excl. Expat)]</v>
      </c>
    </row>
    <row r="2698" spans="1:23" hidden="1" x14ac:dyDescent="0.25">
      <c r="A2698">
        <v>7240000009</v>
      </c>
      <c r="B2698" s="16" t="s">
        <v>20730</v>
      </c>
      <c r="C2698" s="16" t="e">
        <f>VLOOKUP(Table1[[#This Row],[Node]],Parent!A:B,2,0)</f>
        <v>#N/A</v>
      </c>
      <c r="D2698" s="25" t="s">
        <v>19346</v>
      </c>
      <c r="E2698" s="26" t="s">
        <v>16544</v>
      </c>
      <c r="F2698" s="27" t="s">
        <v>19204</v>
      </c>
      <c r="G2698" s="27" t="s">
        <v>19205</v>
      </c>
      <c r="H2698" s="27" t="s">
        <v>19206</v>
      </c>
      <c r="I2698" s="27"/>
      <c r="J2698" s="27"/>
      <c r="K2698" s="27"/>
      <c r="L2698" s="27"/>
      <c r="N2698" s="27"/>
      <c r="T2698" s="28" t="str">
        <f>LOOKUP(1,1/(Table1[[#This Row],[Level_0]:[Level 15]]&gt;0),(Table1[[#This Row],[Level_0]:[Level 15]]))</f>
        <v>7240000009 - [SOM Employee Related Settlement]</v>
      </c>
      <c r="U2698" s="22">
        <v>2693</v>
      </c>
      <c r="W2698" s="13" t="str">
        <f>LOOKUP(1,1/(Table1[[#This Row],[Level_0]:[Level 15]]&gt;0),(Table1[[#This Row],[Level_0]:[Level 15]]))</f>
        <v>7240000009 - [SOM Employee Related Settlement]</v>
      </c>
    </row>
    <row r="2699" spans="1:23" hidden="1" x14ac:dyDescent="0.25">
      <c r="A2699">
        <v>5060010000</v>
      </c>
      <c r="B2699" s="16" t="s">
        <v>20029</v>
      </c>
      <c r="C2699" s="16" t="e">
        <f>VLOOKUP(Table1[[#This Row],[Node]],Parent!A:B,2,0)</f>
        <v>#N/A</v>
      </c>
      <c r="D2699" s="25" t="s">
        <v>19346</v>
      </c>
      <c r="E2699" s="26" t="s">
        <v>16544</v>
      </c>
      <c r="F2699" s="27" t="s">
        <v>19204</v>
      </c>
      <c r="G2699" s="27" t="s">
        <v>19205</v>
      </c>
      <c r="H2699" s="27" t="s">
        <v>19207</v>
      </c>
      <c r="I2699" s="27"/>
      <c r="J2699" s="27"/>
      <c r="K2699" s="27"/>
      <c r="L2699" s="27"/>
      <c r="N2699" s="27"/>
      <c r="T2699" s="28" t="str">
        <f>LOOKUP(1,1/(Table1[[#This Row],[Level_0]:[Level 15]]&gt;0),(Table1[[#This Row],[Level_0]:[Level 15]]))</f>
        <v>5060010000 - [IC Expenses - External Training HR]</v>
      </c>
      <c r="U2699" s="22">
        <v>2694</v>
      </c>
      <c r="W2699" s="13" t="str">
        <f>LOOKUP(1,1/(Table1[[#This Row],[Level_0]:[Level 15]]&gt;0),(Table1[[#This Row],[Level_0]:[Level 15]]))</f>
        <v>5060010000 - [IC Expenses - External Training HR]</v>
      </c>
    </row>
    <row r="2700" spans="1:23" hidden="1" x14ac:dyDescent="0.25">
      <c r="A2700">
        <v>5050010000</v>
      </c>
      <c r="B2700" s="16" t="s">
        <v>20028</v>
      </c>
      <c r="C2700" s="16" t="e">
        <f>VLOOKUP(Table1[[#This Row],[Node]],Parent!A:B,2,0)</f>
        <v>#N/A</v>
      </c>
      <c r="D2700" s="25" t="s">
        <v>19346</v>
      </c>
      <c r="E2700" s="26" t="s">
        <v>16544</v>
      </c>
      <c r="F2700" s="27" t="s">
        <v>19204</v>
      </c>
      <c r="G2700" s="27" t="s">
        <v>19205</v>
      </c>
      <c r="H2700" s="27" t="s">
        <v>19208</v>
      </c>
      <c r="I2700" s="27"/>
      <c r="J2700" s="27"/>
      <c r="K2700" s="27"/>
      <c r="L2700" s="27"/>
      <c r="N2700" s="27"/>
      <c r="T2700" s="28" t="str">
        <f>LOOKUP(1,1/(Table1[[#This Row],[Level_0]:[Level 15]]&gt;0),(Table1[[#This Row],[Level_0]:[Level 15]]))</f>
        <v>5050010000 - [IC Expenses - External Recruiting HR]</v>
      </c>
      <c r="U2700" s="22">
        <v>2695</v>
      </c>
      <c r="W2700" s="13" t="str">
        <f>LOOKUP(1,1/(Table1[[#This Row],[Level_0]:[Level 15]]&gt;0),(Table1[[#This Row],[Level_0]:[Level 15]]))</f>
        <v>5050010000 - [IC Expenses - External Recruiting HR]</v>
      </c>
    </row>
    <row r="2701" spans="1:23" hidden="1" x14ac:dyDescent="0.25">
      <c r="A2701">
        <v>100400</v>
      </c>
      <c r="B2701" s="16" t="s">
        <v>19375</v>
      </c>
      <c r="C2701" s="16" t="e">
        <f>VLOOKUP(Table1[[#This Row],[Node]],Parent!A:B,2,0)</f>
        <v>#N/A</v>
      </c>
      <c r="D2701" s="25" t="s">
        <v>19346</v>
      </c>
      <c r="E2701" s="26" t="s">
        <v>16544</v>
      </c>
      <c r="F2701" s="27" t="s">
        <v>19204</v>
      </c>
      <c r="G2701" s="27" t="s">
        <v>19209</v>
      </c>
      <c r="H2701" s="27"/>
      <c r="I2701" s="27"/>
      <c r="J2701" s="27"/>
      <c r="K2701" s="27"/>
      <c r="L2701" s="27"/>
      <c r="N2701" s="27"/>
      <c r="T2701" s="28" t="str">
        <f>LOOKUP(1,1/(Table1[[#This Row],[Level_0]:[Level 15]]&gt;0),(Table1[[#This Row],[Level_0]:[Level 15]]))</f>
        <v>100400 - [Other staff related costs]</v>
      </c>
      <c r="U2701" s="22">
        <v>2696</v>
      </c>
      <c r="W2701" s="13" t="str">
        <f>LOOKUP(1,1/(Table1[[#This Row],[Level_0]:[Level 15]]&gt;0),(Table1[[#This Row],[Level_0]:[Level 15]]))</f>
        <v>100400 - [Other staff related costs]</v>
      </c>
    </row>
    <row r="2702" spans="1:23" hidden="1" x14ac:dyDescent="0.25">
      <c r="A2702">
        <v>100403</v>
      </c>
      <c r="B2702" s="16" t="s">
        <v>19378</v>
      </c>
      <c r="C2702" s="16" t="e">
        <f>VLOOKUP(Table1[[#This Row],[Node]],Parent!A:B,2,0)</f>
        <v>#N/A</v>
      </c>
      <c r="D2702" s="25" t="s">
        <v>19346</v>
      </c>
      <c r="E2702" s="26" t="s">
        <v>16544</v>
      </c>
      <c r="F2702" s="27" t="s">
        <v>19204</v>
      </c>
      <c r="G2702" s="27" t="s">
        <v>19209</v>
      </c>
      <c r="H2702" s="27" t="s">
        <v>19210</v>
      </c>
      <c r="I2702" s="27"/>
      <c r="J2702" s="27"/>
      <c r="K2702" s="27"/>
      <c r="L2702" s="27"/>
      <c r="N2702" s="27"/>
      <c r="T2702" s="28" t="str">
        <f>LOOKUP(1,1/(Table1[[#This Row],[Level_0]:[Level 15]]&gt;0),(Table1[[#This Row],[Level_0]:[Level 15]]))</f>
        <v>100403 - [Severance &amp; Retention]</v>
      </c>
      <c r="U2702" s="22">
        <v>2697</v>
      </c>
      <c r="W2702" s="13" t="str">
        <f>LOOKUP(1,1/(Table1[[#This Row],[Level_0]:[Level 15]]&gt;0),(Table1[[#This Row],[Level_0]:[Level 15]]))</f>
        <v>100403 - [Severance &amp; Retention]</v>
      </c>
    </row>
    <row r="2703" spans="1:23" hidden="1" x14ac:dyDescent="0.25">
      <c r="A2703">
        <v>100423</v>
      </c>
      <c r="B2703" s="16" t="s">
        <v>19354</v>
      </c>
      <c r="C2703" s="16" t="e">
        <f>VLOOKUP(Table1[[#This Row],[Node]],Parent!A:B,2,0)</f>
        <v>#N/A</v>
      </c>
      <c r="D2703" s="25" t="s">
        <v>19346</v>
      </c>
      <c r="E2703" s="26" t="s">
        <v>16544</v>
      </c>
      <c r="F2703" s="27" t="s">
        <v>19204</v>
      </c>
      <c r="G2703" s="27" t="s">
        <v>19209</v>
      </c>
      <c r="H2703" s="27" t="s">
        <v>19210</v>
      </c>
      <c r="I2703" s="27" t="s">
        <v>19211</v>
      </c>
      <c r="J2703" s="27"/>
      <c r="K2703" s="27"/>
      <c r="L2703" s="27"/>
      <c r="N2703" s="27"/>
      <c r="T2703" s="28" t="str">
        <f>LOOKUP(1,1/(Table1[[#This Row],[Level_0]:[Level 15]]&gt;0),(Table1[[#This Row],[Level_0]:[Level 15]]))</f>
        <v>100423 - [Severance]</v>
      </c>
      <c r="U2703" s="22">
        <v>2698</v>
      </c>
      <c r="W2703" s="13" t="str">
        <f>LOOKUP(1,1/(Table1[[#This Row],[Level_0]:[Level 15]]&gt;0),(Table1[[#This Row],[Level_0]:[Level 15]]))</f>
        <v>100423 - [Severance]</v>
      </c>
    </row>
    <row r="2704" spans="1:23" hidden="1" x14ac:dyDescent="0.25">
      <c r="A2704">
        <v>5020010000</v>
      </c>
      <c r="B2704" s="16" t="s">
        <v>19992</v>
      </c>
      <c r="C2704" s="16" t="e">
        <f>VLOOKUP(Table1[[#This Row],[Node]],Parent!A:B,2,0)</f>
        <v>#N/A</v>
      </c>
      <c r="D2704" s="25" t="s">
        <v>19346</v>
      </c>
      <c r="E2704" s="26" t="s">
        <v>16544</v>
      </c>
      <c r="F2704" s="27" t="s">
        <v>19204</v>
      </c>
      <c r="G2704" s="27" t="s">
        <v>19209</v>
      </c>
      <c r="H2704" s="27" t="s">
        <v>19210</v>
      </c>
      <c r="I2704" s="27" t="s">
        <v>19211</v>
      </c>
      <c r="J2704" s="27" t="s">
        <v>19212</v>
      </c>
      <c r="K2704" s="27"/>
      <c r="L2704" s="27"/>
      <c r="N2704" s="27"/>
      <c r="T2704" s="28" t="str">
        <f>LOOKUP(1,1/(Table1[[#This Row],[Level_0]:[Level 15]]&gt;0),(Table1[[#This Row],[Level_0]:[Level 15]]))</f>
        <v>5020010000 - [Payr - Severance Pay]</v>
      </c>
      <c r="U2704" s="22">
        <v>2699</v>
      </c>
      <c r="W2704" s="13" t="str">
        <f>LOOKUP(1,1/(Table1[[#This Row],[Level_0]:[Level 15]]&gt;0),(Table1[[#This Row],[Level_0]:[Level 15]]))</f>
        <v>5020010000 - [Payr - Severance Pay]</v>
      </c>
    </row>
    <row r="2705" spans="1:23" hidden="1" x14ac:dyDescent="0.25">
      <c r="A2705">
        <v>100413</v>
      </c>
      <c r="B2705" s="16" t="s">
        <v>19355</v>
      </c>
      <c r="C2705" s="16" t="e">
        <f>VLOOKUP(Table1[[#This Row],[Node]],Parent!A:B,2,0)</f>
        <v>#N/A</v>
      </c>
      <c r="D2705" s="25" t="s">
        <v>19346</v>
      </c>
      <c r="E2705" s="26" t="s">
        <v>16544</v>
      </c>
      <c r="F2705" s="27" t="s">
        <v>19204</v>
      </c>
      <c r="G2705" s="27" t="s">
        <v>19209</v>
      </c>
      <c r="H2705" s="27" t="s">
        <v>19210</v>
      </c>
      <c r="I2705" s="27" t="s">
        <v>19213</v>
      </c>
      <c r="J2705" s="27"/>
      <c r="K2705" s="27"/>
      <c r="L2705" s="27"/>
      <c r="N2705" s="27"/>
      <c r="T2705" s="28" t="str">
        <f>LOOKUP(1,1/(Table1[[#This Row],[Level_0]:[Level 15]]&gt;0),(Table1[[#This Row],[Level_0]:[Level 15]]))</f>
        <v>100413 - [Retention]</v>
      </c>
      <c r="U2705" s="22">
        <v>2700</v>
      </c>
      <c r="W2705" s="13" t="str">
        <f>LOOKUP(1,1/(Table1[[#This Row],[Level_0]:[Level 15]]&gt;0),(Table1[[#This Row],[Level_0]:[Level 15]]))</f>
        <v>100413 - [Retention]</v>
      </c>
    </row>
    <row r="2706" spans="1:23" hidden="1" x14ac:dyDescent="0.25">
      <c r="A2706">
        <v>5001003000</v>
      </c>
      <c r="B2706" s="16" t="s">
        <v>19973</v>
      </c>
      <c r="C2706" s="16" t="e">
        <f>VLOOKUP(Table1[[#This Row],[Node]],Parent!A:B,2,0)</f>
        <v>#N/A</v>
      </c>
      <c r="D2706" s="25" t="s">
        <v>19346</v>
      </c>
      <c r="E2706" s="26" t="s">
        <v>16544</v>
      </c>
      <c r="F2706" s="27" t="s">
        <v>19204</v>
      </c>
      <c r="G2706" s="27" t="s">
        <v>19209</v>
      </c>
      <c r="H2706" s="27" t="s">
        <v>19210</v>
      </c>
      <c r="I2706" s="27" t="s">
        <v>19213</v>
      </c>
      <c r="J2706" s="27" t="s">
        <v>19214</v>
      </c>
      <c r="K2706" s="27"/>
      <c r="L2706" s="27"/>
      <c r="N2706" s="27"/>
      <c r="T2706" s="28" t="str">
        <f>LOOKUP(1,1/(Table1[[#This Row],[Level_0]:[Level 15]]&gt;0),(Table1[[#This Row],[Level_0]:[Level 15]]))</f>
        <v>5001003000 - [Bonuses - Retention Bonus]</v>
      </c>
      <c r="U2706" s="22">
        <v>2701</v>
      </c>
      <c r="W2706" s="13" t="str">
        <f>LOOKUP(1,1/(Table1[[#This Row],[Level_0]:[Level 15]]&gt;0),(Table1[[#This Row],[Level_0]:[Level 15]]))</f>
        <v>5001003000 - [Bonuses - Retention Bonus]</v>
      </c>
    </row>
    <row r="2707" spans="1:23" hidden="1" x14ac:dyDescent="0.25">
      <c r="A2707">
        <v>100402</v>
      </c>
      <c r="B2707" s="16" t="s">
        <v>19377</v>
      </c>
      <c r="C2707" s="16" t="e">
        <f>VLOOKUP(Table1[[#This Row],[Node]],Parent!A:B,2,0)</f>
        <v>#N/A</v>
      </c>
      <c r="D2707" s="25" t="s">
        <v>19346</v>
      </c>
      <c r="E2707" s="26" t="s">
        <v>16544</v>
      </c>
      <c r="F2707" s="27" t="s">
        <v>19204</v>
      </c>
      <c r="G2707" s="27" t="s">
        <v>19209</v>
      </c>
      <c r="H2707" s="27" t="s">
        <v>19215</v>
      </c>
      <c r="I2707" s="27"/>
      <c r="J2707" s="27"/>
      <c r="K2707" s="27"/>
      <c r="L2707" s="27"/>
      <c r="N2707" s="27"/>
      <c r="T2707" s="28" t="str">
        <f>LOOKUP(1,1/(Table1[[#This Row],[Level_0]:[Level 15]]&gt;0),(Table1[[#This Row],[Level_0]:[Level 15]]))</f>
        <v>100402 - [Other Personnel Cost]</v>
      </c>
      <c r="U2707" s="22">
        <v>2702</v>
      </c>
      <c r="W2707" s="13" t="str">
        <f>LOOKUP(1,1/(Table1[[#This Row],[Level_0]:[Level 15]]&gt;0),(Table1[[#This Row],[Level_0]:[Level 15]]))</f>
        <v>100402 - [Other Personnel Cost]</v>
      </c>
    </row>
    <row r="2708" spans="1:23" hidden="1" x14ac:dyDescent="0.25">
      <c r="A2708">
        <v>7320110013</v>
      </c>
      <c r="B2708" s="16" t="s">
        <v>20847</v>
      </c>
      <c r="C2708" s="16" t="e">
        <f>VLOOKUP(Table1[[#This Row],[Node]],Parent!A:B,2,0)</f>
        <v>#N/A</v>
      </c>
      <c r="D2708" s="25" t="s">
        <v>19346</v>
      </c>
      <c r="E2708" s="26" t="s">
        <v>16544</v>
      </c>
      <c r="F2708" s="27" t="s">
        <v>19204</v>
      </c>
      <c r="G2708" s="27" t="s">
        <v>19209</v>
      </c>
      <c r="H2708" s="27" t="s">
        <v>19215</v>
      </c>
      <c r="I2708" s="27" t="s">
        <v>19216</v>
      </c>
      <c r="J2708" s="27"/>
      <c r="K2708" s="27"/>
      <c r="L2708" s="27"/>
      <c r="N2708" s="27"/>
      <c r="T2708" s="28" t="str">
        <f>LOOKUP(1,1/(Table1[[#This Row],[Level_0]:[Level 15]]&gt;0),(Table1[[#This Row],[Level_0]:[Level 15]]))</f>
        <v>7320110013 - [AOM Prod. Fix - Dir. Pers.  (Comp.Split)]</v>
      </c>
      <c r="U2708" s="22">
        <v>2703</v>
      </c>
      <c r="W2708" s="13" t="str">
        <f>LOOKUP(1,1/(Table1[[#This Row],[Level_0]:[Level 15]]&gt;0),(Table1[[#This Row],[Level_0]:[Level 15]]))</f>
        <v>7320110013 - [AOM Prod. Fix - Dir. Pers.  (Comp.Split)]</v>
      </c>
    </row>
    <row r="2709" spans="1:23" hidden="1" x14ac:dyDescent="0.25">
      <c r="A2709">
        <v>7240000006</v>
      </c>
      <c r="B2709" s="16" t="s">
        <v>20727</v>
      </c>
      <c r="C2709" s="16" t="e">
        <f>VLOOKUP(Table1[[#This Row],[Node]],Parent!A:B,2,0)</f>
        <v>#N/A</v>
      </c>
      <c r="D2709" s="25" t="s">
        <v>19346</v>
      </c>
      <c r="E2709" s="26" t="s">
        <v>16544</v>
      </c>
      <c r="F2709" s="27" t="s">
        <v>19204</v>
      </c>
      <c r="G2709" s="27" t="s">
        <v>19209</v>
      </c>
      <c r="H2709" s="27" t="s">
        <v>19215</v>
      </c>
      <c r="I2709" s="27" t="s">
        <v>19217</v>
      </c>
      <c r="J2709" s="27"/>
      <c r="K2709" s="27"/>
      <c r="L2709" s="27"/>
      <c r="N2709" s="27"/>
      <c r="T2709" s="28" t="str">
        <f>LOOKUP(1,1/(Table1[[#This Row],[Level_0]:[Level 15]]&gt;0),(Table1[[#This Row],[Level_0]:[Level 15]]))</f>
        <v>7240000006 - [SOM Compensation Settlement]</v>
      </c>
      <c r="U2709" s="22">
        <v>2704</v>
      </c>
      <c r="W2709" s="13" t="str">
        <f>LOOKUP(1,1/(Table1[[#This Row],[Level_0]:[Level 15]]&gt;0),(Table1[[#This Row],[Level_0]:[Level 15]]))</f>
        <v>7240000006 - [SOM Compensation Settlement]</v>
      </c>
    </row>
    <row r="2710" spans="1:23" hidden="1" x14ac:dyDescent="0.25">
      <c r="A2710">
        <v>7200000010</v>
      </c>
      <c r="B2710" s="16" t="s">
        <v>20700</v>
      </c>
      <c r="C2710" s="16" t="e">
        <f>VLOOKUP(Table1[[#This Row],[Node]],Parent!A:B,2,0)</f>
        <v>#N/A</v>
      </c>
      <c r="D2710" s="25" t="s">
        <v>19346</v>
      </c>
      <c r="E2710" s="26" t="s">
        <v>16544</v>
      </c>
      <c r="F2710" s="27" t="s">
        <v>19204</v>
      </c>
      <c r="G2710" s="27" t="s">
        <v>19209</v>
      </c>
      <c r="H2710" s="27" t="s">
        <v>19215</v>
      </c>
      <c r="I2710" s="27" t="s">
        <v>19218</v>
      </c>
      <c r="J2710" s="27"/>
      <c r="K2710" s="27"/>
      <c r="L2710" s="27"/>
      <c r="N2710" s="27"/>
      <c r="T2710" s="28" t="str">
        <f>LOOKUP(1,1/(Table1[[#This Row],[Level_0]:[Level 15]]&gt;0),(Table1[[#This Row],[Level_0]:[Level 15]]))</f>
        <v>7200000010 - [DAA_MGF Absence hours]</v>
      </c>
      <c r="U2710" s="22">
        <v>2705</v>
      </c>
      <c r="W2710" s="13" t="str">
        <f>LOOKUP(1,1/(Table1[[#This Row],[Level_0]:[Level 15]]&gt;0),(Table1[[#This Row],[Level_0]:[Level 15]]))</f>
        <v>7200000010 - [DAA_MGF Absence hours]</v>
      </c>
    </row>
    <row r="2711" spans="1:23" hidden="1" x14ac:dyDescent="0.25">
      <c r="A2711">
        <v>5030990000</v>
      </c>
      <c r="B2711" s="16" t="s">
        <v>20017</v>
      </c>
      <c r="C2711" s="16" t="e">
        <f>VLOOKUP(Table1[[#This Row],[Node]],Parent!A:B,2,0)</f>
        <v>#N/A</v>
      </c>
      <c r="D2711" s="25" t="s">
        <v>19346</v>
      </c>
      <c r="E2711" s="26" t="s">
        <v>16544</v>
      </c>
      <c r="F2711" s="27" t="s">
        <v>19204</v>
      </c>
      <c r="G2711" s="27" t="s">
        <v>19209</v>
      </c>
      <c r="H2711" s="27" t="s">
        <v>19215</v>
      </c>
      <c r="I2711" s="27" t="s">
        <v>19219</v>
      </c>
      <c r="J2711" s="27"/>
      <c r="K2711" s="27"/>
      <c r="L2711" s="27"/>
      <c r="N2711" s="27"/>
      <c r="T2711" s="28" t="str">
        <f>LOOKUP(1,1/(Table1[[#This Row],[Level_0]:[Level 15]]&gt;0),(Table1[[#This Row],[Level_0]:[Level 15]]))</f>
        <v>5030990000 - [Non-Allocable Personnel Exp]</v>
      </c>
      <c r="U2711" s="22">
        <v>2706</v>
      </c>
      <c r="W2711" s="13" t="str">
        <f>LOOKUP(1,1/(Table1[[#This Row],[Level_0]:[Level 15]]&gt;0),(Table1[[#This Row],[Level_0]:[Level 15]]))</f>
        <v>5030990000 - [Non-Allocable Personnel Exp]</v>
      </c>
    </row>
    <row r="2712" spans="1:23" hidden="1" x14ac:dyDescent="0.25">
      <c r="A2712">
        <v>5030090007</v>
      </c>
      <c r="B2712" s="16" t="s">
        <v>20016</v>
      </c>
      <c r="C2712" s="16" t="e">
        <f>VLOOKUP(Table1[[#This Row],[Node]],Parent!A:B,2,0)</f>
        <v>#N/A</v>
      </c>
      <c r="D2712" s="25" t="s">
        <v>19346</v>
      </c>
      <c r="E2712" s="26" t="s">
        <v>16544</v>
      </c>
      <c r="F2712" s="27" t="s">
        <v>19204</v>
      </c>
      <c r="G2712" s="27" t="s">
        <v>19209</v>
      </c>
      <c r="H2712" s="27" t="s">
        <v>19215</v>
      </c>
      <c r="I2712" s="27" t="s">
        <v>19220</v>
      </c>
      <c r="J2712" s="27"/>
      <c r="K2712" s="27"/>
      <c r="L2712" s="27"/>
      <c r="N2712" s="27"/>
      <c r="T2712" s="28" t="str">
        <f>LOOKUP(1,1/(Table1[[#This Row],[Level_0]:[Level 15]]&gt;0),(Table1[[#This Row],[Level_0]:[Level 15]]))</f>
        <v>5030090007 - [Oth Pers Exp - Employben/KomplexScrTest]</v>
      </c>
      <c r="U2712" s="22">
        <v>2707</v>
      </c>
      <c r="W2712" s="13" t="str">
        <f>LOOKUP(1,1/(Table1[[#This Row],[Level_0]:[Level 15]]&gt;0),(Table1[[#This Row],[Level_0]:[Level 15]]))</f>
        <v>5030090007 - [Oth Pers Exp - Employben/KomplexScrTest]</v>
      </c>
    </row>
    <row r="2713" spans="1:23" hidden="1" x14ac:dyDescent="0.25">
      <c r="A2713">
        <v>5030090006</v>
      </c>
      <c r="B2713" s="16" t="s">
        <v>20015</v>
      </c>
      <c r="C2713" s="16" t="e">
        <f>VLOOKUP(Table1[[#This Row],[Node]],Parent!A:B,2,0)</f>
        <v>#N/A</v>
      </c>
      <c r="D2713" s="25" t="s">
        <v>19346</v>
      </c>
      <c r="E2713" s="26" t="s">
        <v>16544</v>
      </c>
      <c r="F2713" s="27" t="s">
        <v>19204</v>
      </c>
      <c r="G2713" s="27" t="s">
        <v>19209</v>
      </c>
      <c r="H2713" s="27" t="s">
        <v>19215</v>
      </c>
      <c r="I2713" s="27" t="s">
        <v>19221</v>
      </c>
      <c r="J2713" s="27"/>
      <c r="K2713" s="27"/>
      <c r="L2713" s="27"/>
      <c r="N2713" s="27"/>
      <c r="T2713" s="28" t="str">
        <f>LOOKUP(1,1/(Table1[[#This Row],[Level_0]:[Level 15]]&gt;0),(Table1[[#This Row],[Level_0]:[Level 15]]))</f>
        <v>5030090006 - [Oth Pers Exp - Employben/Cash]</v>
      </c>
      <c r="U2713" s="22">
        <v>2708</v>
      </c>
      <c r="W2713" s="13" t="str">
        <f>LOOKUP(1,1/(Table1[[#This Row],[Level_0]:[Level 15]]&gt;0),(Table1[[#This Row],[Level_0]:[Level 15]]))</f>
        <v>5030090006 - [Oth Pers Exp - Employben/Cash]</v>
      </c>
    </row>
    <row r="2714" spans="1:23" hidden="1" x14ac:dyDescent="0.25">
      <c r="A2714">
        <v>5030090002</v>
      </c>
      <c r="B2714" s="16" t="s">
        <v>20011</v>
      </c>
      <c r="C2714" s="16" t="e">
        <f>VLOOKUP(Table1[[#This Row],[Node]],Parent!A:B,2,0)</f>
        <v>#N/A</v>
      </c>
      <c r="D2714" s="25" t="s">
        <v>19346</v>
      </c>
      <c r="E2714" s="26" t="s">
        <v>16544</v>
      </c>
      <c r="F2714" s="27" t="s">
        <v>19204</v>
      </c>
      <c r="G2714" s="27" t="s">
        <v>19209</v>
      </c>
      <c r="H2714" s="27" t="s">
        <v>19215</v>
      </c>
      <c r="I2714" s="27" t="s">
        <v>19222</v>
      </c>
      <c r="J2714" s="27"/>
      <c r="K2714" s="27"/>
      <c r="L2714" s="27"/>
      <c r="N2714" s="27"/>
      <c r="T2714" s="28" t="str">
        <f>LOOKUP(1,1/(Table1[[#This Row],[Level_0]:[Level 15]]&gt;0),(Table1[[#This Row],[Level_0]:[Level 15]]))</f>
        <v>5030090002 - [Oth Pers Exp - Employben/EDENRED Card]</v>
      </c>
      <c r="U2714" s="22">
        <v>2709</v>
      </c>
      <c r="W2714" s="13" t="str">
        <f>LOOKUP(1,1/(Table1[[#This Row],[Level_0]:[Level 15]]&gt;0),(Table1[[#This Row],[Level_0]:[Level 15]]))</f>
        <v>5030090002 - [Oth Pers Exp - Employben/EDENRED Card]</v>
      </c>
    </row>
    <row r="2715" spans="1:23" hidden="1" x14ac:dyDescent="0.25">
      <c r="A2715">
        <v>5030090001</v>
      </c>
      <c r="B2715" s="16" t="s">
        <v>20010</v>
      </c>
      <c r="C2715" s="16" t="e">
        <f>VLOOKUP(Table1[[#This Row],[Node]],Parent!A:B,2,0)</f>
        <v>#N/A</v>
      </c>
      <c r="D2715" s="25" t="s">
        <v>19346</v>
      </c>
      <c r="E2715" s="26" t="s">
        <v>16544</v>
      </c>
      <c r="F2715" s="27" t="s">
        <v>19204</v>
      </c>
      <c r="G2715" s="27" t="s">
        <v>19209</v>
      </c>
      <c r="H2715" s="27" t="s">
        <v>19215</v>
      </c>
      <c r="I2715" s="27" t="s">
        <v>19223</v>
      </c>
      <c r="J2715" s="27"/>
      <c r="K2715" s="27"/>
      <c r="L2715" s="27"/>
      <c r="N2715" s="27"/>
      <c r="T2715" s="28" t="str">
        <f>LOOKUP(1,1/(Table1[[#This Row],[Level_0]:[Level 15]]&gt;0),(Table1[[#This Row],[Level_0]:[Level 15]]))</f>
        <v>5030090001 - [Oth Pers Exp - Employben/OthPersCost]</v>
      </c>
      <c r="U2715" s="22">
        <v>2710</v>
      </c>
      <c r="W2715" s="13" t="str">
        <f>LOOKUP(1,1/(Table1[[#This Row],[Level_0]:[Level 15]]&gt;0),(Table1[[#This Row],[Level_0]:[Level 15]]))</f>
        <v>5030090001 - [Oth Pers Exp - Employben/OthPersCost]</v>
      </c>
    </row>
    <row r="2716" spans="1:23" hidden="1" x14ac:dyDescent="0.25">
      <c r="A2716">
        <v>5030090000</v>
      </c>
      <c r="B2716" s="16" t="s">
        <v>20009</v>
      </c>
      <c r="C2716" s="16" t="e">
        <f>VLOOKUP(Table1[[#This Row],[Node]],Parent!A:B,2,0)</f>
        <v>#N/A</v>
      </c>
      <c r="D2716" s="25" t="s">
        <v>19346</v>
      </c>
      <c r="E2716" s="26" t="s">
        <v>16544</v>
      </c>
      <c r="F2716" s="27" t="s">
        <v>19204</v>
      </c>
      <c r="G2716" s="27" t="s">
        <v>19209</v>
      </c>
      <c r="H2716" s="27" t="s">
        <v>19215</v>
      </c>
      <c r="I2716" s="27" t="s">
        <v>19224</v>
      </c>
      <c r="J2716" s="27"/>
      <c r="K2716" s="27"/>
      <c r="L2716" s="27"/>
      <c r="N2716" s="27"/>
      <c r="T2716" s="28" t="str">
        <f>LOOKUP(1,1/(Table1[[#This Row],[Level_0]:[Level 15]]&gt;0),(Table1[[#This Row],[Level_0]:[Level 15]]))</f>
        <v>5030090000 - [Oth Pers Exp - Miscellaneous]</v>
      </c>
      <c r="U2716" s="22">
        <v>2711</v>
      </c>
      <c r="W2716" s="13" t="str">
        <f>LOOKUP(1,1/(Table1[[#This Row],[Level_0]:[Level 15]]&gt;0),(Table1[[#This Row],[Level_0]:[Level 15]]))</f>
        <v>5030090000 - [Oth Pers Exp - Miscellaneous]</v>
      </c>
    </row>
    <row r="2717" spans="1:23" hidden="1" x14ac:dyDescent="0.25">
      <c r="A2717">
        <v>5030010012</v>
      </c>
      <c r="B2717" s="16" t="s">
        <v>20008</v>
      </c>
      <c r="C2717" s="16" t="e">
        <f>VLOOKUP(Table1[[#This Row],[Node]],Parent!A:B,2,0)</f>
        <v>#N/A</v>
      </c>
      <c r="D2717" s="25" t="s">
        <v>19346</v>
      </c>
      <c r="E2717" s="26" t="s">
        <v>16544</v>
      </c>
      <c r="F2717" s="27" t="s">
        <v>19204</v>
      </c>
      <c r="G2717" s="27" t="s">
        <v>19209</v>
      </c>
      <c r="H2717" s="27" t="s">
        <v>19215</v>
      </c>
      <c r="I2717" s="27" t="s">
        <v>19225</v>
      </c>
      <c r="J2717" s="27"/>
      <c r="K2717" s="27"/>
      <c r="L2717" s="27"/>
      <c r="N2717" s="27"/>
      <c r="T2717" s="28" t="str">
        <f>LOOKUP(1,1/(Table1[[#This Row],[Level_0]:[Level 15]]&gt;0),(Table1[[#This Row],[Level_0]:[Level 15]]))</f>
        <v>5030010012 - [Oth Pers Exp - Allowances-Acc12]</v>
      </c>
      <c r="U2717" s="22">
        <v>2712</v>
      </c>
      <c r="W2717" s="13" t="str">
        <f>LOOKUP(1,1/(Table1[[#This Row],[Level_0]:[Level 15]]&gt;0),(Table1[[#This Row],[Level_0]:[Level 15]]))</f>
        <v>5030010012 - [Oth Pers Exp - Allowances-Acc12]</v>
      </c>
    </row>
    <row r="2718" spans="1:23" hidden="1" x14ac:dyDescent="0.25">
      <c r="A2718">
        <v>5030010011</v>
      </c>
      <c r="B2718" s="16" t="s">
        <v>20007</v>
      </c>
      <c r="C2718" s="16" t="e">
        <f>VLOOKUP(Table1[[#This Row],[Node]],Parent!A:B,2,0)</f>
        <v>#N/A</v>
      </c>
      <c r="D2718" s="25" t="s">
        <v>19346</v>
      </c>
      <c r="E2718" s="26" t="s">
        <v>16544</v>
      </c>
      <c r="F2718" s="27" t="s">
        <v>19204</v>
      </c>
      <c r="G2718" s="27" t="s">
        <v>19209</v>
      </c>
      <c r="H2718" s="27" t="s">
        <v>19215</v>
      </c>
      <c r="I2718" s="27" t="s">
        <v>19226</v>
      </c>
      <c r="J2718" s="27"/>
      <c r="K2718" s="27"/>
      <c r="L2718" s="27"/>
      <c r="N2718" s="27"/>
      <c r="T2718" s="28" t="str">
        <f>LOOKUP(1,1/(Table1[[#This Row],[Level_0]:[Level 15]]&gt;0),(Table1[[#This Row],[Level_0]:[Level 15]]))</f>
        <v>5030010011 - [Oth Pers Exp - Allowances-Acc11]</v>
      </c>
      <c r="U2718" s="22">
        <v>2713</v>
      </c>
      <c r="W2718" s="13" t="str">
        <f>LOOKUP(1,1/(Table1[[#This Row],[Level_0]:[Level 15]]&gt;0),(Table1[[#This Row],[Level_0]:[Level 15]]))</f>
        <v>5030010011 - [Oth Pers Exp - Allowances-Acc11]</v>
      </c>
    </row>
    <row r="2719" spans="1:23" hidden="1" x14ac:dyDescent="0.25">
      <c r="A2719">
        <v>5030010002</v>
      </c>
      <c r="B2719" s="16" t="s">
        <v>20006</v>
      </c>
      <c r="C2719" s="16" t="e">
        <f>VLOOKUP(Table1[[#This Row],[Node]],Parent!A:B,2,0)</f>
        <v>#N/A</v>
      </c>
      <c r="D2719" s="25" t="s">
        <v>19346</v>
      </c>
      <c r="E2719" s="26" t="s">
        <v>16544</v>
      </c>
      <c r="F2719" s="27" t="s">
        <v>19204</v>
      </c>
      <c r="G2719" s="27" t="s">
        <v>19209</v>
      </c>
      <c r="H2719" s="27" t="s">
        <v>19215</v>
      </c>
      <c r="I2719" s="27" t="s">
        <v>19227</v>
      </c>
      <c r="J2719" s="27"/>
      <c r="K2719" s="27"/>
      <c r="L2719" s="27"/>
      <c r="N2719" s="27"/>
      <c r="T2719" s="28" t="str">
        <f>LOOKUP(1,1/(Table1[[#This Row],[Level_0]:[Level 15]]&gt;0),(Table1[[#This Row],[Level_0]:[Level 15]]))</f>
        <v>5030010002 - [Oth Pers Exp - Allowances-Acc2]</v>
      </c>
      <c r="U2719" s="22">
        <v>2714</v>
      </c>
      <c r="W2719" s="13" t="str">
        <f>LOOKUP(1,1/(Table1[[#This Row],[Level_0]:[Level 15]]&gt;0),(Table1[[#This Row],[Level_0]:[Level 15]]))</f>
        <v>5030010002 - [Oth Pers Exp - Allowances-Acc2]</v>
      </c>
    </row>
    <row r="2720" spans="1:23" hidden="1" x14ac:dyDescent="0.25">
      <c r="A2720">
        <v>5030010001</v>
      </c>
      <c r="B2720" s="16" t="s">
        <v>20005</v>
      </c>
      <c r="C2720" s="16" t="e">
        <f>VLOOKUP(Table1[[#This Row],[Node]],Parent!A:B,2,0)</f>
        <v>#N/A</v>
      </c>
      <c r="D2720" s="25" t="s">
        <v>19346</v>
      </c>
      <c r="E2720" s="26" t="s">
        <v>16544</v>
      </c>
      <c r="F2720" s="27" t="s">
        <v>19204</v>
      </c>
      <c r="G2720" s="27" t="s">
        <v>19209</v>
      </c>
      <c r="H2720" s="27" t="s">
        <v>19215</v>
      </c>
      <c r="I2720" s="27" t="s">
        <v>19228</v>
      </c>
      <c r="J2720" s="27"/>
      <c r="K2720" s="27"/>
      <c r="L2720" s="27"/>
      <c r="N2720" s="27"/>
      <c r="T2720" s="28" t="str">
        <f>LOOKUP(1,1/(Table1[[#This Row],[Level_0]:[Level 15]]&gt;0),(Table1[[#This Row],[Level_0]:[Level 15]]))</f>
        <v>5030010001 - [Oth Pers Exp - Allowances-Acc1]</v>
      </c>
      <c r="U2720" s="22">
        <v>2715</v>
      </c>
      <c r="W2720" s="13" t="str">
        <f>LOOKUP(1,1/(Table1[[#This Row],[Level_0]:[Level 15]]&gt;0),(Table1[[#This Row],[Level_0]:[Level 15]]))</f>
        <v>5030010001 - [Oth Pers Exp - Allowances-Acc1]</v>
      </c>
    </row>
    <row r="2721" spans="1:23" hidden="1" x14ac:dyDescent="0.25">
      <c r="A2721">
        <v>5030009001</v>
      </c>
      <c r="B2721" s="16" t="s">
        <v>20004</v>
      </c>
      <c r="C2721" s="16" t="e">
        <f>VLOOKUP(Table1[[#This Row],[Node]],Parent!A:B,2,0)</f>
        <v>#N/A</v>
      </c>
      <c r="D2721" s="25" t="s">
        <v>19346</v>
      </c>
      <c r="E2721" s="26" t="s">
        <v>16544</v>
      </c>
      <c r="F2721" s="27" t="s">
        <v>19204</v>
      </c>
      <c r="G2721" s="27" t="s">
        <v>19209</v>
      </c>
      <c r="H2721" s="27" t="s">
        <v>19215</v>
      </c>
      <c r="I2721" s="27" t="s">
        <v>19229</v>
      </c>
      <c r="J2721" s="27"/>
      <c r="K2721" s="27"/>
      <c r="L2721" s="27"/>
      <c r="N2721" s="27"/>
      <c r="T2721" s="28" t="str">
        <f>LOOKUP(1,1/(Table1[[#This Row],[Level_0]:[Level 15]]&gt;0),(Table1[[#This Row],[Level_0]:[Level 15]]))</f>
        <v>5030009001 - [Oth Pers Exp - Gifts to Employee OLL]</v>
      </c>
      <c r="U2721" s="22">
        <v>2716</v>
      </c>
      <c r="W2721" s="13" t="str">
        <f>LOOKUP(1,1/(Table1[[#This Row],[Level_0]:[Level 15]]&gt;0),(Table1[[#This Row],[Level_0]:[Level 15]]))</f>
        <v>5030009001 - [Oth Pers Exp - Gifts to Employee OLL]</v>
      </c>
    </row>
    <row r="2722" spans="1:23" hidden="1" x14ac:dyDescent="0.25">
      <c r="A2722">
        <v>5030009000</v>
      </c>
      <c r="B2722" s="16" t="s">
        <v>20003</v>
      </c>
      <c r="C2722" s="16" t="e">
        <f>VLOOKUP(Table1[[#This Row],[Node]],Parent!A:B,2,0)</f>
        <v>#N/A</v>
      </c>
      <c r="D2722" s="25" t="s">
        <v>19346</v>
      </c>
      <c r="E2722" s="26" t="s">
        <v>16544</v>
      </c>
      <c r="F2722" s="27" t="s">
        <v>19204</v>
      </c>
      <c r="G2722" s="27" t="s">
        <v>19209</v>
      </c>
      <c r="H2722" s="27" t="s">
        <v>19215</v>
      </c>
      <c r="I2722" s="27" t="s">
        <v>19230</v>
      </c>
      <c r="J2722" s="27"/>
      <c r="K2722" s="27"/>
      <c r="L2722" s="27"/>
      <c r="N2722" s="27"/>
      <c r="T2722" s="28" t="str">
        <f>LOOKUP(1,1/(Table1[[#This Row],[Level_0]:[Level 15]]&gt;0),(Table1[[#This Row],[Level_0]:[Level 15]]))</f>
        <v>5030009000 - [Oth Pers Exp - Gifts to Employee ULL]</v>
      </c>
      <c r="U2722" s="22">
        <v>2717</v>
      </c>
      <c r="W2722" s="13" t="str">
        <f>LOOKUP(1,1/(Table1[[#This Row],[Level_0]:[Level 15]]&gt;0),(Table1[[#This Row],[Level_0]:[Level 15]]))</f>
        <v>5030009000 - [Oth Pers Exp - Gifts to Employee ULL]</v>
      </c>
    </row>
    <row r="2723" spans="1:23" hidden="1" x14ac:dyDescent="0.25">
      <c r="A2723">
        <v>5030007000</v>
      </c>
      <c r="B2723" s="16" t="s">
        <v>20001</v>
      </c>
      <c r="C2723" s="16" t="e">
        <f>VLOOKUP(Table1[[#This Row],[Node]],Parent!A:B,2,0)</f>
        <v>#N/A</v>
      </c>
      <c r="D2723" s="25" t="s">
        <v>19346</v>
      </c>
      <c r="E2723" s="26" t="s">
        <v>16544</v>
      </c>
      <c r="F2723" s="27" t="s">
        <v>19204</v>
      </c>
      <c r="G2723" s="27" t="s">
        <v>19209</v>
      </c>
      <c r="H2723" s="27" t="s">
        <v>19215</v>
      </c>
      <c r="I2723" s="27" t="s">
        <v>19231</v>
      </c>
      <c r="J2723" s="27"/>
      <c r="K2723" s="27"/>
      <c r="L2723" s="27"/>
      <c r="N2723" s="27"/>
      <c r="T2723" s="28" t="str">
        <f>LOOKUP(1,1/(Table1[[#This Row],[Level_0]:[Level 15]]&gt;0),(Table1[[#This Row],[Level_0]:[Level 15]]))</f>
        <v>5030007000 - [Oth Pers Exp - Lump-Sum Tax f. Bene Ik]</v>
      </c>
      <c r="U2723" s="22">
        <v>2718</v>
      </c>
      <c r="W2723" s="13" t="str">
        <f>LOOKUP(1,1/(Table1[[#This Row],[Level_0]:[Level 15]]&gt;0),(Table1[[#This Row],[Level_0]:[Level 15]]))</f>
        <v>5030007000 - [Oth Pers Exp - Lump-Sum Tax f. Bene Ik]</v>
      </c>
    </row>
    <row r="2724" spans="1:23" hidden="1" x14ac:dyDescent="0.25">
      <c r="A2724">
        <v>5030006001</v>
      </c>
      <c r="B2724" s="16" t="s">
        <v>20000</v>
      </c>
      <c r="C2724" s="16" t="e">
        <f>VLOOKUP(Table1[[#This Row],[Node]],Parent!A:B,2,0)</f>
        <v>#N/A</v>
      </c>
      <c r="D2724" s="25" t="s">
        <v>19346</v>
      </c>
      <c r="E2724" s="26" t="s">
        <v>16544</v>
      </c>
      <c r="F2724" s="27" t="s">
        <v>19204</v>
      </c>
      <c r="G2724" s="27" t="s">
        <v>19209</v>
      </c>
      <c r="H2724" s="27" t="s">
        <v>19215</v>
      </c>
      <c r="I2724" s="27" t="s">
        <v>19232</v>
      </c>
      <c r="J2724" s="27"/>
      <c r="K2724" s="27"/>
      <c r="L2724" s="27"/>
      <c r="N2724" s="27"/>
      <c r="T2724" s="28" t="str">
        <f>LOOKUP(1,1/(Table1[[#This Row],[Level_0]:[Level 15]]&gt;0),(Table1[[#This Row],[Level_0]:[Level 15]]))</f>
        <v>5030006001 - [Oth Pers Exp - Events/Meals f. Empl OLL]</v>
      </c>
      <c r="U2724" s="22">
        <v>2719</v>
      </c>
      <c r="W2724" s="13" t="str">
        <f>LOOKUP(1,1/(Table1[[#This Row],[Level_0]:[Level 15]]&gt;0),(Table1[[#This Row],[Level_0]:[Level 15]]))</f>
        <v>5030006001 - [Oth Pers Exp - Events/Meals f. Empl OLL]</v>
      </c>
    </row>
    <row r="2725" spans="1:23" hidden="1" x14ac:dyDescent="0.25">
      <c r="A2725">
        <v>5030006000</v>
      </c>
      <c r="B2725" s="16" t="s">
        <v>19999</v>
      </c>
      <c r="C2725" s="16" t="e">
        <f>VLOOKUP(Table1[[#This Row],[Node]],Parent!A:B,2,0)</f>
        <v>#N/A</v>
      </c>
      <c r="D2725" s="25" t="s">
        <v>19346</v>
      </c>
      <c r="E2725" s="26" t="s">
        <v>16544</v>
      </c>
      <c r="F2725" s="27" t="s">
        <v>19204</v>
      </c>
      <c r="G2725" s="27" t="s">
        <v>19209</v>
      </c>
      <c r="H2725" s="27" t="s">
        <v>19215</v>
      </c>
      <c r="I2725" s="27" t="s">
        <v>19233</v>
      </c>
      <c r="J2725" s="27"/>
      <c r="K2725" s="27"/>
      <c r="L2725" s="27"/>
      <c r="N2725" s="27"/>
      <c r="T2725" s="28" t="str">
        <f>LOOKUP(1,1/(Table1[[#This Row],[Level_0]:[Level 15]]&gt;0),(Table1[[#This Row],[Level_0]:[Level 15]]))</f>
        <v>5030006000 - [Oth Pers Exp - Events/Meals f. Empl ULL]</v>
      </c>
      <c r="U2725" s="22">
        <v>2720</v>
      </c>
      <c r="W2725" s="13" t="str">
        <f>LOOKUP(1,1/(Table1[[#This Row],[Level_0]:[Level 15]]&gt;0),(Table1[[#This Row],[Level_0]:[Level 15]]))</f>
        <v>5030006000 - [Oth Pers Exp - Events/Meals f. Empl ULL]</v>
      </c>
    </row>
    <row r="2726" spans="1:23" hidden="1" x14ac:dyDescent="0.25">
      <c r="A2726">
        <v>5030004000</v>
      </c>
      <c r="B2726" s="16" t="s">
        <v>19997</v>
      </c>
      <c r="C2726" s="16" t="e">
        <f>VLOOKUP(Table1[[#This Row],[Node]],Parent!A:B,2,0)</f>
        <v>#N/A</v>
      </c>
      <c r="D2726" s="25" t="s">
        <v>19346</v>
      </c>
      <c r="E2726" s="26" t="s">
        <v>16544</v>
      </c>
      <c r="F2726" s="27" t="s">
        <v>19204</v>
      </c>
      <c r="G2726" s="27" t="s">
        <v>19209</v>
      </c>
      <c r="H2726" s="27" t="s">
        <v>19215</v>
      </c>
      <c r="I2726" s="27" t="s">
        <v>19234</v>
      </c>
      <c r="J2726" s="27"/>
      <c r="K2726" s="27"/>
      <c r="L2726" s="27"/>
      <c r="N2726" s="27"/>
      <c r="T2726" s="28" t="str">
        <f>LOOKUP(1,1/(Table1[[#This Row],[Level_0]:[Level 15]]&gt;0),(Table1[[#This Row],[Level_0]:[Level 15]]))</f>
        <v>5030004000 - [Oth Pers Exp - Rent Free Housing]</v>
      </c>
      <c r="U2726" s="22">
        <v>2721</v>
      </c>
      <c r="W2726" s="13" t="str">
        <f>LOOKUP(1,1/(Table1[[#This Row],[Level_0]:[Level 15]]&gt;0),(Table1[[#This Row],[Level_0]:[Level 15]]))</f>
        <v>5030004000 - [Oth Pers Exp - Rent Free Housing]</v>
      </c>
    </row>
    <row r="2727" spans="1:23" hidden="1" x14ac:dyDescent="0.25">
      <c r="A2727">
        <v>5030003000</v>
      </c>
      <c r="B2727" s="16" t="s">
        <v>19996</v>
      </c>
      <c r="C2727" s="16" t="e">
        <f>VLOOKUP(Table1[[#This Row],[Node]],Parent!A:B,2,0)</f>
        <v>#N/A</v>
      </c>
      <c r="D2727" s="25" t="s">
        <v>19346</v>
      </c>
      <c r="E2727" s="26" t="s">
        <v>16544</v>
      </c>
      <c r="F2727" s="27" t="s">
        <v>19204</v>
      </c>
      <c r="G2727" s="27" t="s">
        <v>19209</v>
      </c>
      <c r="H2727" s="27" t="s">
        <v>19215</v>
      </c>
      <c r="I2727" s="27" t="s">
        <v>19235</v>
      </c>
      <c r="J2727" s="27"/>
      <c r="K2727" s="27"/>
      <c r="L2727" s="27"/>
      <c r="N2727" s="27"/>
      <c r="T2727" s="28" t="str">
        <f>LOOKUP(1,1/(Table1[[#This Row],[Level_0]:[Level 15]]&gt;0),(Table1[[#This Row],[Level_0]:[Level 15]]))</f>
        <v>5030003000 - [Oth Pers Exp - Subsid of Employee Meals]</v>
      </c>
      <c r="U2727" s="22">
        <v>2722</v>
      </c>
      <c r="W2727" s="13" t="str">
        <f>LOOKUP(1,1/(Table1[[#This Row],[Level_0]:[Level 15]]&gt;0),(Table1[[#This Row],[Level_0]:[Level 15]]))</f>
        <v>5030003000 - [Oth Pers Exp - Subsid of Employee Meals]</v>
      </c>
    </row>
    <row r="2728" spans="1:23" hidden="1" x14ac:dyDescent="0.25">
      <c r="A2728">
        <v>5000006000</v>
      </c>
      <c r="B2728" s="16" t="s">
        <v>19960</v>
      </c>
      <c r="C2728" s="16" t="e">
        <f>VLOOKUP(Table1[[#This Row],[Node]],Parent!A:B,2,0)</f>
        <v>#N/A</v>
      </c>
      <c r="D2728" s="25" t="s">
        <v>19346</v>
      </c>
      <c r="E2728" s="26" t="s">
        <v>16544</v>
      </c>
      <c r="F2728" s="27" t="s">
        <v>19204</v>
      </c>
      <c r="G2728" s="27" t="s">
        <v>19209</v>
      </c>
      <c r="H2728" s="27" t="s">
        <v>19215</v>
      </c>
      <c r="I2728" s="27" t="s">
        <v>19236</v>
      </c>
      <c r="J2728" s="27"/>
      <c r="K2728" s="27"/>
      <c r="L2728" s="27"/>
      <c r="N2728" s="27"/>
      <c r="T2728" s="28" t="str">
        <f>LOOKUP(1,1/(Table1[[#This Row],[Level_0]:[Level 15]]&gt;0),(Table1[[#This Row],[Level_0]:[Level 15]]))</f>
        <v>5000006000 - [Payroll - Gratuity Paid]</v>
      </c>
      <c r="U2728" s="22">
        <v>2723</v>
      </c>
      <c r="W2728" s="13" t="str">
        <f>LOOKUP(1,1/(Table1[[#This Row],[Level_0]:[Level 15]]&gt;0),(Table1[[#This Row],[Level_0]:[Level 15]]))</f>
        <v>5000006000 - [Payroll - Gratuity Paid]</v>
      </c>
    </row>
    <row r="2729" spans="1:23" hidden="1" x14ac:dyDescent="0.25">
      <c r="A2729">
        <v>3955500000</v>
      </c>
      <c r="B2729" s="16" t="s">
        <v>19748</v>
      </c>
      <c r="C2729" s="16" t="e">
        <f>VLOOKUP(Table1[[#This Row],[Node]],Parent!A:B,2,0)</f>
        <v>#N/A</v>
      </c>
      <c r="D2729" s="25" t="s">
        <v>19346</v>
      </c>
      <c r="E2729" s="26" t="s">
        <v>16544</v>
      </c>
      <c r="F2729" s="27" t="s">
        <v>19204</v>
      </c>
      <c r="G2729" s="27" t="s">
        <v>19209</v>
      </c>
      <c r="H2729" s="27" t="s">
        <v>19215</v>
      </c>
      <c r="I2729" s="27" t="s">
        <v>19237</v>
      </c>
      <c r="J2729" s="27"/>
      <c r="K2729" s="27"/>
      <c r="L2729" s="27"/>
      <c r="N2729" s="27"/>
      <c r="T2729" s="28" t="str">
        <f>LOOKUP(1,1/(Table1[[#This Row],[Level_0]:[Level 15]]&gt;0),(Table1[[#This Row],[Level_0]:[Level 15]]))</f>
        <v>3955500000 - [Oth Inc - ReFund of Employee Priv Use]</v>
      </c>
      <c r="U2729" s="22">
        <v>2724</v>
      </c>
      <c r="W2729" s="13" t="str">
        <f>LOOKUP(1,1/(Table1[[#This Row],[Level_0]:[Level 15]]&gt;0),(Table1[[#This Row],[Level_0]:[Level 15]]))</f>
        <v>3955500000 - [Oth Inc - ReFund of Employee Priv Use]</v>
      </c>
    </row>
    <row r="2730" spans="1:23" hidden="1" x14ac:dyDescent="0.25">
      <c r="A2730">
        <v>100401</v>
      </c>
      <c r="B2730" s="16" t="s">
        <v>19376</v>
      </c>
      <c r="C2730" s="16" t="e">
        <f>VLOOKUP(Table1[[#This Row],[Node]],Parent!A:B,2,0)</f>
        <v>#N/A</v>
      </c>
      <c r="D2730" s="25" t="s">
        <v>19346</v>
      </c>
      <c r="E2730" s="26" t="s">
        <v>16544</v>
      </c>
      <c r="F2730" s="27" t="s">
        <v>19204</v>
      </c>
      <c r="G2730" s="27" t="s">
        <v>19209</v>
      </c>
      <c r="H2730" s="27" t="s">
        <v>19238</v>
      </c>
      <c r="I2730" s="27"/>
      <c r="J2730" s="27"/>
      <c r="K2730" s="27"/>
      <c r="L2730" s="27"/>
      <c r="N2730" s="27"/>
      <c r="T2730" s="28" t="str">
        <f>LOOKUP(1,1/(Table1[[#This Row],[Level_0]:[Level 15]]&gt;0),(Table1[[#This Row],[Level_0]:[Level 15]]))</f>
        <v>100401 - [Recruitment Costs]</v>
      </c>
      <c r="U2730" s="22">
        <v>2725</v>
      </c>
      <c r="W2730" s="13" t="str">
        <f>LOOKUP(1,1/(Table1[[#This Row],[Level_0]:[Level 15]]&gt;0),(Table1[[#This Row],[Level_0]:[Level 15]]))</f>
        <v>100401 - [Recruitment Costs]</v>
      </c>
    </row>
    <row r="2731" spans="1:23" hidden="1" x14ac:dyDescent="0.25">
      <c r="A2731">
        <v>7220000019</v>
      </c>
      <c r="B2731" s="16" t="s">
        <v>20720</v>
      </c>
      <c r="C2731" s="16" t="e">
        <f>VLOOKUP(Table1[[#This Row],[Node]],Parent!A:B,2,0)</f>
        <v>#N/A</v>
      </c>
      <c r="D2731" s="25" t="s">
        <v>19346</v>
      </c>
      <c r="E2731" s="26" t="s">
        <v>16544</v>
      </c>
      <c r="F2731" s="27" t="s">
        <v>19204</v>
      </c>
      <c r="G2731" s="27" t="s">
        <v>19209</v>
      </c>
      <c r="H2731" s="27" t="s">
        <v>19238</v>
      </c>
      <c r="I2731" s="27" t="s">
        <v>19239</v>
      </c>
      <c r="J2731" s="27"/>
      <c r="K2731" s="27"/>
      <c r="L2731" s="27"/>
      <c r="N2731" s="27"/>
      <c r="T2731" s="28" t="str">
        <f>LOOKUP(1,1/(Table1[[#This Row],[Level_0]:[Level 15]]&gt;0),(Table1[[#This Row],[Level_0]:[Level 15]]))</f>
        <v>7220000019 - [AOM ExternalRecruiting&amp;OtherPersonlCosts]</v>
      </c>
      <c r="U2731" s="22">
        <v>2726</v>
      </c>
      <c r="W2731" s="13" t="str">
        <f>LOOKUP(1,1/(Table1[[#This Row],[Level_0]:[Level 15]]&gt;0),(Table1[[#This Row],[Level_0]:[Level 15]]))</f>
        <v>7220000019 - [AOM ExternalRecruiting&amp;OtherPersonlCosts]</v>
      </c>
    </row>
    <row r="2732" spans="1:23" hidden="1" x14ac:dyDescent="0.25">
      <c r="A2732">
        <v>7220000014</v>
      </c>
      <c r="B2732" s="16" t="s">
        <v>20715</v>
      </c>
      <c r="C2732" s="16" t="e">
        <f>VLOOKUP(Table1[[#This Row],[Node]],Parent!A:B,2,0)</f>
        <v>#N/A</v>
      </c>
      <c r="D2732" s="25" t="s">
        <v>19346</v>
      </c>
      <c r="E2732" s="26" t="s">
        <v>16544</v>
      </c>
      <c r="F2732" s="27" t="s">
        <v>19204</v>
      </c>
      <c r="G2732" s="27" t="s">
        <v>19209</v>
      </c>
      <c r="H2732" s="27" t="s">
        <v>19238</v>
      </c>
      <c r="I2732" s="27" t="s">
        <v>19240</v>
      </c>
      <c r="J2732" s="27"/>
      <c r="K2732" s="27"/>
      <c r="L2732" s="27"/>
      <c r="N2732" s="27"/>
      <c r="T2732" s="28" t="str">
        <f>LOOKUP(1,1/(Table1[[#This Row],[Level_0]:[Level 15]]&gt;0),(Table1[[#This Row],[Level_0]:[Level 15]]))</f>
        <v>7220000014 - [AOM Recruiting expenses]</v>
      </c>
      <c r="U2732" s="22">
        <v>2727</v>
      </c>
      <c r="W2732" s="13" t="str">
        <f>LOOKUP(1,1/(Table1[[#This Row],[Level_0]:[Level 15]]&gt;0),(Table1[[#This Row],[Level_0]:[Level 15]]))</f>
        <v>7220000014 - [AOM Recruiting expenses]</v>
      </c>
    </row>
    <row r="2733" spans="1:23" hidden="1" x14ac:dyDescent="0.25">
      <c r="A2733">
        <v>5981310000</v>
      </c>
      <c r="B2733" s="16" t="s">
        <v>20621</v>
      </c>
      <c r="C2733" s="16" t="e">
        <f>VLOOKUP(Table1[[#This Row],[Node]],Parent!A:B,2,0)</f>
        <v>#N/A</v>
      </c>
      <c r="D2733" s="25" t="s">
        <v>19346</v>
      </c>
      <c r="E2733" s="26" t="s">
        <v>16544</v>
      </c>
      <c r="F2733" s="27" t="s">
        <v>19204</v>
      </c>
      <c r="G2733" s="27" t="s">
        <v>19209</v>
      </c>
      <c r="H2733" s="27" t="s">
        <v>19238</v>
      </c>
      <c r="I2733" s="27" t="s">
        <v>19241</v>
      </c>
      <c r="J2733" s="27"/>
      <c r="K2733" s="27"/>
      <c r="L2733" s="27"/>
      <c r="N2733" s="27"/>
      <c r="T2733" s="28" t="str">
        <f>LOOKUP(1,1/(Table1[[#This Row],[Level_0]:[Level 15]]&gt;0),(Table1[[#This Row],[Level_0]:[Level 15]]))</f>
        <v>5981310000 - [Reimbursement IC - External Recruit HR]</v>
      </c>
      <c r="U2733" s="22">
        <v>2728</v>
      </c>
      <c r="W2733" s="13" t="str">
        <f>LOOKUP(1,1/(Table1[[#This Row],[Level_0]:[Level 15]]&gt;0),(Table1[[#This Row],[Level_0]:[Level 15]]))</f>
        <v>5981310000 - [Reimbursement IC - External Recruit HR]</v>
      </c>
    </row>
    <row r="2734" spans="1:23" hidden="1" x14ac:dyDescent="0.25">
      <c r="A2734">
        <v>5050005000</v>
      </c>
      <c r="B2734" s="16" t="s">
        <v>20027</v>
      </c>
      <c r="C2734" s="16" t="e">
        <f>VLOOKUP(Table1[[#This Row],[Node]],Parent!A:B,2,0)</f>
        <v>#N/A</v>
      </c>
      <c r="D2734" s="25" t="s">
        <v>19346</v>
      </c>
      <c r="E2734" s="26" t="s">
        <v>16544</v>
      </c>
      <c r="F2734" s="27" t="s">
        <v>19204</v>
      </c>
      <c r="G2734" s="27" t="s">
        <v>19209</v>
      </c>
      <c r="H2734" s="27" t="s">
        <v>19238</v>
      </c>
      <c r="I2734" s="27" t="s">
        <v>19242</v>
      </c>
      <c r="J2734" s="27"/>
      <c r="K2734" s="27"/>
      <c r="L2734" s="27"/>
      <c r="N2734" s="27"/>
      <c r="T2734" s="28" t="str">
        <f>LOOKUP(1,1/(Table1[[#This Row],[Level_0]:[Level 15]]&gt;0),(Table1[[#This Row],[Level_0]:[Level 15]]))</f>
        <v>5050005000 - [Recruitment - Travel Exp for Candidates]</v>
      </c>
      <c r="U2734" s="22">
        <v>2729</v>
      </c>
      <c r="W2734" s="13" t="str">
        <f>LOOKUP(1,1/(Table1[[#This Row],[Level_0]:[Level 15]]&gt;0),(Table1[[#This Row],[Level_0]:[Level 15]]))</f>
        <v>5050005000 - [Recruitment - Travel Exp for Candidates]</v>
      </c>
    </row>
    <row r="2735" spans="1:23" hidden="1" x14ac:dyDescent="0.25">
      <c r="A2735">
        <v>5050004000</v>
      </c>
      <c r="B2735" s="16" t="s">
        <v>20026</v>
      </c>
      <c r="C2735" s="16" t="e">
        <f>VLOOKUP(Table1[[#This Row],[Node]],Parent!A:B,2,0)</f>
        <v>#N/A</v>
      </c>
      <c r="D2735" s="25" t="s">
        <v>19346</v>
      </c>
      <c r="E2735" s="26" t="s">
        <v>16544</v>
      </c>
      <c r="F2735" s="27" t="s">
        <v>19204</v>
      </c>
      <c r="G2735" s="27" t="s">
        <v>19209</v>
      </c>
      <c r="H2735" s="27" t="s">
        <v>19238</v>
      </c>
      <c r="I2735" s="27" t="s">
        <v>19243</v>
      </c>
      <c r="J2735" s="27"/>
      <c r="K2735" s="27"/>
      <c r="L2735" s="27"/>
      <c r="N2735" s="27"/>
      <c r="T2735" s="28" t="str">
        <f>LOOKUP(1,1/(Table1[[#This Row],[Level_0]:[Level 15]]&gt;0),(Table1[[#This Row],[Level_0]:[Level 15]]))</f>
        <v>5050004000 - [Recruitment  - Personnel Procurement Exp]</v>
      </c>
      <c r="U2735" s="22">
        <v>2730</v>
      </c>
      <c r="W2735" s="13" t="str">
        <f>LOOKUP(1,1/(Table1[[#This Row],[Level_0]:[Level 15]]&gt;0),(Table1[[#This Row],[Level_0]:[Level 15]]))</f>
        <v>5050004000 - [Recruitment  - Personnel Procurement Exp]</v>
      </c>
    </row>
    <row r="2736" spans="1:23" hidden="1" x14ac:dyDescent="0.25">
      <c r="A2736">
        <v>5050003000</v>
      </c>
      <c r="B2736" s="16" t="s">
        <v>20025</v>
      </c>
      <c r="C2736" s="16" t="e">
        <f>VLOOKUP(Table1[[#This Row],[Node]],Parent!A:B,2,0)</f>
        <v>#N/A</v>
      </c>
      <c r="D2736" s="25" t="s">
        <v>19346</v>
      </c>
      <c r="E2736" s="26" t="s">
        <v>16544</v>
      </c>
      <c r="F2736" s="27" t="s">
        <v>19204</v>
      </c>
      <c r="G2736" s="27" t="s">
        <v>19209</v>
      </c>
      <c r="H2736" s="27" t="s">
        <v>19238</v>
      </c>
      <c r="I2736" s="27" t="s">
        <v>19244</v>
      </c>
      <c r="J2736" s="27"/>
      <c r="K2736" s="27"/>
      <c r="L2736" s="27"/>
      <c r="N2736" s="27"/>
      <c r="T2736" s="28" t="str">
        <f>LOOKUP(1,1/(Table1[[#This Row],[Level_0]:[Level 15]]&gt;0),(Table1[[#This Row],[Level_0]:[Level 15]]))</f>
        <v>5050003000 - [Recruitment - Ext Recruiting Supp Serv]</v>
      </c>
      <c r="U2736" s="22">
        <v>2731</v>
      </c>
      <c r="W2736" s="13" t="str">
        <f>LOOKUP(1,1/(Table1[[#This Row],[Level_0]:[Level 15]]&gt;0),(Table1[[#This Row],[Level_0]:[Level 15]]))</f>
        <v>5050003000 - [Recruitment - Ext Recruiting Supp Serv]</v>
      </c>
    </row>
    <row r="2737" spans="1:23" hidden="1" x14ac:dyDescent="0.25">
      <c r="A2737">
        <v>5050002000</v>
      </c>
      <c r="B2737" s="16" t="s">
        <v>20024</v>
      </c>
      <c r="C2737" s="16" t="e">
        <f>VLOOKUP(Table1[[#This Row],[Node]],Parent!A:B,2,0)</f>
        <v>#N/A</v>
      </c>
      <c r="D2737" s="25" t="s">
        <v>19346</v>
      </c>
      <c r="E2737" s="26" t="s">
        <v>16544</v>
      </c>
      <c r="F2737" s="27" t="s">
        <v>19204</v>
      </c>
      <c r="G2737" s="27" t="s">
        <v>19209</v>
      </c>
      <c r="H2737" s="27" t="s">
        <v>19238</v>
      </c>
      <c r="I2737" s="27" t="s">
        <v>19245</v>
      </c>
      <c r="J2737" s="27"/>
      <c r="K2737" s="27"/>
      <c r="L2737" s="27"/>
      <c r="N2737" s="27"/>
      <c r="T2737" s="28" t="str">
        <f>LOOKUP(1,1/(Table1[[#This Row],[Level_0]:[Level 15]]&gt;0),(Table1[[#This Row],[Level_0]:[Level 15]]))</f>
        <v>5050002000 - [Recruitment - Headhunter Expenses]</v>
      </c>
      <c r="U2737" s="22">
        <v>2732</v>
      </c>
      <c r="W2737" s="13" t="str">
        <f>LOOKUP(1,1/(Table1[[#This Row],[Level_0]:[Level 15]]&gt;0),(Table1[[#This Row],[Level_0]:[Level 15]]))</f>
        <v>5050002000 - [Recruitment - Headhunter Expenses]</v>
      </c>
    </row>
    <row r="2738" spans="1:23" hidden="1" x14ac:dyDescent="0.25">
      <c r="A2738">
        <v>5050001000</v>
      </c>
      <c r="B2738" s="16" t="s">
        <v>20023</v>
      </c>
      <c r="C2738" s="16" t="e">
        <f>VLOOKUP(Table1[[#This Row],[Node]],Parent!A:B,2,0)</f>
        <v>#N/A</v>
      </c>
      <c r="D2738" s="25" t="s">
        <v>19346</v>
      </c>
      <c r="E2738" s="26" t="s">
        <v>16544</v>
      </c>
      <c r="F2738" s="27" t="s">
        <v>19204</v>
      </c>
      <c r="G2738" s="27" t="s">
        <v>19209</v>
      </c>
      <c r="H2738" s="27" t="s">
        <v>19238</v>
      </c>
      <c r="I2738" s="27" t="s">
        <v>19246</v>
      </c>
      <c r="J2738" s="27"/>
      <c r="K2738" s="27"/>
      <c r="L2738" s="27"/>
      <c r="N2738" s="27"/>
      <c r="T2738" s="28" t="str">
        <f>LOOKUP(1,1/(Table1[[#This Row],[Level_0]:[Level 15]]&gt;0),(Table1[[#This Row],[Level_0]:[Level 15]]))</f>
        <v>5050001000 - [Recruitment - Job Postings/Online Sourc]</v>
      </c>
      <c r="U2738" s="22">
        <v>2733</v>
      </c>
      <c r="W2738" s="13" t="str">
        <f>LOOKUP(1,1/(Table1[[#This Row],[Level_0]:[Level 15]]&gt;0),(Table1[[#This Row],[Level_0]:[Level 15]]))</f>
        <v>5050001000 - [Recruitment - Job Postings/Online Sourc]</v>
      </c>
    </row>
    <row r="2739" spans="1:23" hidden="1" x14ac:dyDescent="0.25">
      <c r="A2739">
        <v>5050000000</v>
      </c>
      <c r="B2739" s="16" t="s">
        <v>20022</v>
      </c>
      <c r="C2739" s="16" t="e">
        <f>VLOOKUP(Table1[[#This Row],[Node]],Parent!A:B,2,0)</f>
        <v>#N/A</v>
      </c>
      <c r="D2739" s="25" t="s">
        <v>19346</v>
      </c>
      <c r="E2739" s="26" t="s">
        <v>16544</v>
      </c>
      <c r="F2739" s="27" t="s">
        <v>19204</v>
      </c>
      <c r="G2739" s="27" t="s">
        <v>19209</v>
      </c>
      <c r="H2739" s="27" t="s">
        <v>19238</v>
      </c>
      <c r="I2739" s="27" t="s">
        <v>19247</v>
      </c>
      <c r="J2739" s="27"/>
      <c r="K2739" s="27"/>
      <c r="L2739" s="27"/>
      <c r="N2739" s="27"/>
      <c r="T2739" s="28" t="str">
        <f>LOOKUP(1,1/(Table1[[#This Row],[Level_0]:[Level 15]]&gt;0),(Table1[[#This Row],[Level_0]:[Level 15]]))</f>
        <v>5050000000 - [Recruitment - Recruiting Expenses]</v>
      </c>
      <c r="U2739" s="22">
        <v>2734</v>
      </c>
      <c r="W2739" s="13" t="str">
        <f>LOOKUP(1,1/(Table1[[#This Row],[Level_0]:[Level 15]]&gt;0),(Table1[[#This Row],[Level_0]:[Level 15]]))</f>
        <v>5050000000 - [Recruitment - Recruiting Expenses]</v>
      </c>
    </row>
    <row r="2740" spans="1:23" hidden="1" x14ac:dyDescent="0.25">
      <c r="A2740">
        <v>5030002000</v>
      </c>
      <c r="B2740" s="16" t="s">
        <v>19995</v>
      </c>
      <c r="C2740" s="16" t="e">
        <f>VLOOKUP(Table1[[#This Row],[Node]],Parent!A:B,2,0)</f>
        <v>#N/A</v>
      </c>
      <c r="D2740" s="25" t="s">
        <v>19346</v>
      </c>
      <c r="E2740" s="26" t="s">
        <v>16544</v>
      </c>
      <c r="F2740" s="27" t="s">
        <v>19204</v>
      </c>
      <c r="G2740" s="27" t="s">
        <v>19209</v>
      </c>
      <c r="H2740" s="27" t="s">
        <v>19238</v>
      </c>
      <c r="I2740" s="27" t="s">
        <v>19248</v>
      </c>
      <c r="J2740" s="27"/>
      <c r="K2740" s="27"/>
      <c r="L2740" s="27"/>
      <c r="N2740" s="27"/>
      <c r="T2740" s="28" t="str">
        <f>LOOKUP(1,1/(Table1[[#This Row],[Level_0]:[Level 15]]&gt;0),(Table1[[#This Row],[Level_0]:[Level 15]]))</f>
        <v>5030002000 - [Oth Pers Exp - Referral Bonus]</v>
      </c>
      <c r="U2740" s="22">
        <v>2735</v>
      </c>
      <c r="W2740" s="13" t="str">
        <f>LOOKUP(1,1/(Table1[[#This Row],[Level_0]:[Level 15]]&gt;0),(Table1[[#This Row],[Level_0]:[Level 15]]))</f>
        <v>5030002000 - [Oth Pers Exp - Referral Bonus]</v>
      </c>
    </row>
    <row r="2741" spans="1:23" hidden="1" x14ac:dyDescent="0.25">
      <c r="A2741">
        <v>5030001000</v>
      </c>
      <c r="B2741" s="16" t="s">
        <v>19994</v>
      </c>
      <c r="C2741" s="16" t="e">
        <f>VLOOKUP(Table1[[#This Row],[Node]],Parent!A:B,2,0)</f>
        <v>#N/A</v>
      </c>
      <c r="D2741" s="25" t="s">
        <v>19346</v>
      </c>
      <c r="E2741" s="26" t="s">
        <v>16544</v>
      </c>
      <c r="F2741" s="27" t="s">
        <v>19204</v>
      </c>
      <c r="G2741" s="27" t="s">
        <v>19209</v>
      </c>
      <c r="H2741" s="27" t="s">
        <v>19238</v>
      </c>
      <c r="I2741" s="27" t="s">
        <v>19249</v>
      </c>
      <c r="J2741" s="27"/>
      <c r="K2741" s="27"/>
      <c r="L2741" s="27"/>
      <c r="N2741" s="27"/>
      <c r="T2741" s="28" t="str">
        <f>LOOKUP(1,1/(Table1[[#This Row],[Level_0]:[Level 15]]&gt;0),(Table1[[#This Row],[Level_0]:[Level 15]]))</f>
        <v>5030001000 - [Oth Pers Exp - Signing Bonus]</v>
      </c>
      <c r="U2741" s="22">
        <v>2736</v>
      </c>
      <c r="W2741" s="13" t="str">
        <f>LOOKUP(1,1/(Table1[[#This Row],[Level_0]:[Level 15]]&gt;0),(Table1[[#This Row],[Level_0]:[Level 15]]))</f>
        <v>5030001000 - [Oth Pers Exp - Signing Bonus]</v>
      </c>
    </row>
    <row r="2742" spans="1:23" hidden="1" x14ac:dyDescent="0.25">
      <c r="A2742">
        <v>5030000000</v>
      </c>
      <c r="B2742" s="16" t="s">
        <v>19993</v>
      </c>
      <c r="C2742" s="16" t="e">
        <f>VLOOKUP(Table1[[#This Row],[Node]],Parent!A:B,2,0)</f>
        <v>#N/A</v>
      </c>
      <c r="D2742" s="25" t="s">
        <v>19346</v>
      </c>
      <c r="E2742" s="26" t="s">
        <v>16544</v>
      </c>
      <c r="F2742" s="27" t="s">
        <v>19204</v>
      </c>
      <c r="G2742" s="27" t="s">
        <v>19209</v>
      </c>
      <c r="H2742" s="27" t="s">
        <v>19238</v>
      </c>
      <c r="I2742" s="27" t="s">
        <v>19250</v>
      </c>
      <c r="J2742" s="27"/>
      <c r="K2742" s="27"/>
      <c r="L2742" s="27"/>
      <c r="N2742" s="27"/>
      <c r="T2742" s="28" t="str">
        <f>LOOKUP(1,1/(Table1[[#This Row],[Level_0]:[Level 15]]&gt;0),(Table1[[#This Row],[Level_0]:[Level 15]]))</f>
        <v>5030000000 - [Oth Pers Exp - Moving Expenses]</v>
      </c>
      <c r="U2742" s="22">
        <v>2737</v>
      </c>
      <c r="W2742" s="13" t="str">
        <f>LOOKUP(1,1/(Table1[[#This Row],[Level_0]:[Level 15]]&gt;0),(Table1[[#This Row],[Level_0]:[Level 15]]))</f>
        <v>5030000000 - [Oth Pers Exp - Moving Expenses]</v>
      </c>
    </row>
    <row r="2743" spans="1:23" hidden="1" x14ac:dyDescent="0.25">
      <c r="A2743">
        <v>100300</v>
      </c>
      <c r="B2743" s="16" t="s">
        <v>19374</v>
      </c>
      <c r="C2743" s="16" t="e">
        <f>VLOOKUP(Table1[[#This Row],[Node]],Parent!A:B,2,0)</f>
        <v>#N/A</v>
      </c>
      <c r="D2743" s="25" t="s">
        <v>19346</v>
      </c>
      <c r="E2743" s="26" t="s">
        <v>16544</v>
      </c>
      <c r="F2743" s="27" t="s">
        <v>19204</v>
      </c>
      <c r="G2743" s="27" t="s">
        <v>19251</v>
      </c>
      <c r="H2743" s="27"/>
      <c r="I2743" s="27"/>
      <c r="J2743" s="27"/>
      <c r="K2743" s="27"/>
      <c r="L2743" s="27"/>
      <c r="N2743" s="27"/>
      <c r="T2743" s="28" t="str">
        <f>LOOKUP(1,1/(Table1[[#This Row],[Level_0]:[Level 15]]&gt;0),(Table1[[#This Row],[Level_0]:[Level 15]]))</f>
        <v>100300 - [Training &amp; Development Costs]</v>
      </c>
      <c r="U2743" s="22">
        <v>2738</v>
      </c>
      <c r="W2743" s="13" t="str">
        <f>LOOKUP(1,1/(Table1[[#This Row],[Level_0]:[Level 15]]&gt;0),(Table1[[#This Row],[Level_0]:[Level 15]]))</f>
        <v>100300 - [Training &amp; Development Costs]</v>
      </c>
    </row>
    <row r="2744" spans="1:23" hidden="1" x14ac:dyDescent="0.25">
      <c r="A2744">
        <v>7600304182</v>
      </c>
      <c r="B2744" s="16" t="s">
        <v>21377</v>
      </c>
      <c r="C2744" s="16" t="e">
        <f>VLOOKUP(Table1[[#This Row],[Node]],Parent!A:B,2,0)</f>
        <v>#N/A</v>
      </c>
      <c r="D2744" s="25" t="s">
        <v>19346</v>
      </c>
      <c r="E2744" s="26" t="s">
        <v>16544</v>
      </c>
      <c r="F2744" s="27" t="s">
        <v>19204</v>
      </c>
      <c r="G2744" s="27" t="s">
        <v>19251</v>
      </c>
      <c r="H2744" s="27" t="s">
        <v>19252</v>
      </c>
      <c r="I2744" s="27"/>
      <c r="J2744" s="27"/>
      <c r="K2744" s="27"/>
      <c r="L2744" s="27"/>
      <c r="N2744" s="27"/>
      <c r="T2744" s="28" t="str">
        <f>LOOKUP(1,1/(Table1[[#This Row],[Level_0]:[Level 15]]&gt;0),(Table1[[#This Row],[Level_0]:[Level 15]]))</f>
        <v>7600304182 - [DAA_RTI other services]</v>
      </c>
      <c r="U2744" s="22">
        <v>2739</v>
      </c>
      <c r="W2744" s="13" t="str">
        <f>LOOKUP(1,1/(Table1[[#This Row],[Level_0]:[Level 15]]&gt;0),(Table1[[#This Row],[Level_0]:[Level 15]]))</f>
        <v>7600304182 - [DAA_RTI other services]</v>
      </c>
    </row>
    <row r="2745" spans="1:23" hidden="1" x14ac:dyDescent="0.25">
      <c r="A2745">
        <v>7600304148</v>
      </c>
      <c r="B2745" s="16" t="s">
        <v>21346</v>
      </c>
      <c r="C2745" s="16" t="e">
        <f>VLOOKUP(Table1[[#This Row],[Node]],Parent!A:B,2,0)</f>
        <v>#N/A</v>
      </c>
      <c r="D2745" s="25" t="s">
        <v>19346</v>
      </c>
      <c r="E2745" s="26" t="s">
        <v>16544</v>
      </c>
      <c r="F2745" s="27" t="s">
        <v>19204</v>
      </c>
      <c r="G2745" s="27" t="s">
        <v>19251</v>
      </c>
      <c r="H2745" s="27" t="s">
        <v>19253</v>
      </c>
      <c r="I2745" s="27"/>
      <c r="J2745" s="27"/>
      <c r="K2745" s="27"/>
      <c r="L2745" s="27"/>
      <c r="N2745" s="27"/>
      <c r="T2745" s="28" t="str">
        <f>LOOKUP(1,1/(Table1[[#This Row],[Level_0]:[Level 15]]&gt;0),(Table1[[#This Row],[Level_0]:[Level 15]]))</f>
        <v>7600304148 - [DAA Social Counselling Trainings]</v>
      </c>
      <c r="U2745" s="22">
        <v>2740</v>
      </c>
      <c r="W2745" s="13" t="str">
        <f>LOOKUP(1,1/(Table1[[#This Row],[Level_0]:[Level 15]]&gt;0),(Table1[[#This Row],[Level_0]:[Level 15]]))</f>
        <v>7600304148 - [DAA Social Counselling Trainings]</v>
      </c>
    </row>
    <row r="2746" spans="1:23" hidden="1" x14ac:dyDescent="0.25">
      <c r="A2746">
        <v>7600304144</v>
      </c>
      <c r="B2746" s="16" t="s">
        <v>21342</v>
      </c>
      <c r="C2746" s="16" t="e">
        <f>VLOOKUP(Table1[[#This Row],[Node]],Parent!A:B,2,0)</f>
        <v>#N/A</v>
      </c>
      <c r="D2746" s="25" t="s">
        <v>19346</v>
      </c>
      <c r="E2746" s="26" t="s">
        <v>16544</v>
      </c>
      <c r="F2746" s="27" t="s">
        <v>19204</v>
      </c>
      <c r="G2746" s="27" t="s">
        <v>19251</v>
      </c>
      <c r="H2746" s="27" t="s">
        <v>19254</v>
      </c>
      <c r="I2746" s="27"/>
      <c r="J2746" s="27"/>
      <c r="K2746" s="27"/>
      <c r="L2746" s="27"/>
      <c r="N2746" s="27"/>
      <c r="T2746" s="28" t="str">
        <f>LOOKUP(1,1/(Table1[[#This Row],[Level_0]:[Level 15]]&gt;0),(Table1[[#This Row],[Level_0]:[Level 15]]))</f>
        <v>7600304144 - [DAA Health Trainings]</v>
      </c>
      <c r="U2746" s="22">
        <v>2741</v>
      </c>
      <c r="W2746" s="13" t="str">
        <f>LOOKUP(1,1/(Table1[[#This Row],[Level_0]:[Level 15]]&gt;0),(Table1[[#This Row],[Level_0]:[Level 15]]))</f>
        <v>7600304144 - [DAA Health Trainings]</v>
      </c>
    </row>
    <row r="2747" spans="1:23" hidden="1" x14ac:dyDescent="0.25">
      <c r="A2747">
        <v>7600304067</v>
      </c>
      <c r="B2747" s="16" t="s">
        <v>21268</v>
      </c>
      <c r="C2747" s="16" t="e">
        <f>VLOOKUP(Table1[[#This Row],[Node]],Parent!A:B,2,0)</f>
        <v>#N/A</v>
      </c>
      <c r="D2747" s="25" t="s">
        <v>19346</v>
      </c>
      <c r="E2747" s="26" t="s">
        <v>16544</v>
      </c>
      <c r="F2747" s="27" t="s">
        <v>19204</v>
      </c>
      <c r="G2747" s="27" t="s">
        <v>19251</v>
      </c>
      <c r="H2747" s="27" t="s">
        <v>19255</v>
      </c>
      <c r="I2747" s="27"/>
      <c r="J2747" s="27"/>
      <c r="K2747" s="27"/>
      <c r="L2747" s="27"/>
      <c r="N2747" s="27"/>
      <c r="T2747" s="28" t="str">
        <f>LOOKUP(1,1/(Table1[[#This Row],[Level_0]:[Level 15]]&gt;0),(Table1[[#This Row],[Level_0]:[Level 15]]))</f>
        <v>7600304067 - [DAA Training Occupational &amp; plant safety]</v>
      </c>
      <c r="U2747" s="22">
        <v>2742</v>
      </c>
      <c r="W2747" s="13" t="str">
        <f>LOOKUP(1,1/(Table1[[#This Row],[Level_0]:[Level 15]]&gt;0),(Table1[[#This Row],[Level_0]:[Level 15]]))</f>
        <v>7600304067 - [DAA Training Occupational &amp; plant safety]</v>
      </c>
    </row>
    <row r="2748" spans="1:23" hidden="1" x14ac:dyDescent="0.25">
      <c r="A2748">
        <v>7600304038</v>
      </c>
      <c r="B2748" s="16" t="s">
        <v>21239</v>
      </c>
      <c r="C2748" s="16" t="e">
        <f>VLOOKUP(Table1[[#This Row],[Node]],Parent!A:B,2,0)</f>
        <v>#N/A</v>
      </c>
      <c r="D2748" s="25" t="s">
        <v>19346</v>
      </c>
      <c r="E2748" s="26" t="s">
        <v>16544</v>
      </c>
      <c r="F2748" s="27" t="s">
        <v>19204</v>
      </c>
      <c r="G2748" s="27" t="s">
        <v>19251</v>
      </c>
      <c r="H2748" s="27" t="s">
        <v>19256</v>
      </c>
      <c r="I2748" s="27"/>
      <c r="J2748" s="27"/>
      <c r="K2748" s="27"/>
      <c r="L2748" s="27"/>
      <c r="N2748" s="27"/>
      <c r="T2748" s="28" t="str">
        <f>LOOKUP(1,1/(Table1[[#This Row],[Level_0]:[Level 15]]&gt;0),(Table1[[#This Row],[Level_0]:[Level 15]]))</f>
        <v>7600304038 - [DAA Training Environm.]</v>
      </c>
      <c r="U2748" s="22">
        <v>2743</v>
      </c>
      <c r="W2748" s="13" t="str">
        <f>LOOKUP(1,1/(Table1[[#This Row],[Level_0]:[Level 15]]&gt;0),(Table1[[#This Row],[Level_0]:[Level 15]]))</f>
        <v>7600304038 - [DAA Training Environm.]</v>
      </c>
    </row>
    <row r="2749" spans="1:23" hidden="1" x14ac:dyDescent="0.25">
      <c r="A2749">
        <v>7560000003</v>
      </c>
      <c r="B2749" s="16" t="s">
        <v>21044</v>
      </c>
      <c r="C2749" s="16" t="e">
        <f>VLOOKUP(Table1[[#This Row],[Node]],Parent!A:B,2,0)</f>
        <v>#N/A</v>
      </c>
      <c r="D2749" s="25" t="s">
        <v>19346</v>
      </c>
      <c r="E2749" s="26" t="s">
        <v>16544</v>
      </c>
      <c r="F2749" s="27" t="s">
        <v>19204</v>
      </c>
      <c r="G2749" s="27" t="s">
        <v>19251</v>
      </c>
      <c r="H2749" s="27" t="s">
        <v>19257</v>
      </c>
      <c r="I2749" s="27"/>
      <c r="J2749" s="27"/>
      <c r="K2749" s="27"/>
      <c r="L2749" s="27"/>
      <c r="N2749" s="27"/>
      <c r="T2749" s="28" t="str">
        <f>LOOKUP(1,1/(Table1[[#This Row],[Level_0]:[Level 15]]&gt;0),(Table1[[#This Row],[Level_0]:[Level 15]]))</f>
        <v>7560000003 - [AOM IC External Training]</v>
      </c>
      <c r="U2749" s="22">
        <v>2744</v>
      </c>
      <c r="W2749" s="13" t="str">
        <f>LOOKUP(1,1/(Table1[[#This Row],[Level_0]:[Level 15]]&gt;0),(Table1[[#This Row],[Level_0]:[Level 15]]))</f>
        <v>7560000003 - [AOM IC External Training]</v>
      </c>
    </row>
    <row r="2750" spans="1:23" hidden="1" x14ac:dyDescent="0.25">
      <c r="A2750">
        <v>7200000011</v>
      </c>
      <c r="B2750" s="16" t="s">
        <v>20701</v>
      </c>
      <c r="C2750" s="16" t="e">
        <f>VLOOKUP(Table1[[#This Row],[Node]],Parent!A:B,2,0)</f>
        <v>#N/A</v>
      </c>
      <c r="D2750" s="25" t="s">
        <v>19346</v>
      </c>
      <c r="E2750" s="26" t="s">
        <v>16544</v>
      </c>
      <c r="F2750" s="27" t="s">
        <v>19204</v>
      </c>
      <c r="G2750" s="27" t="s">
        <v>19251</v>
      </c>
      <c r="H2750" s="27" t="s">
        <v>19258</v>
      </c>
      <c r="I2750" s="27"/>
      <c r="J2750" s="27"/>
      <c r="K2750" s="27"/>
      <c r="L2750" s="27"/>
      <c r="N2750" s="27"/>
      <c r="T2750" s="28" t="str">
        <f>LOOKUP(1,1/(Table1[[#This Row],[Level_0]:[Level 15]]&gt;0),(Table1[[#This Row],[Level_0]:[Level 15]]))</f>
        <v>7200000011 - [DAA_MGF Charge Other]</v>
      </c>
      <c r="U2750" s="22">
        <v>2745</v>
      </c>
      <c r="W2750" s="13" t="str">
        <f>LOOKUP(1,1/(Table1[[#This Row],[Level_0]:[Level 15]]&gt;0),(Table1[[#This Row],[Level_0]:[Level 15]]))</f>
        <v>7200000011 - [DAA_MGF Charge Other]</v>
      </c>
    </row>
    <row r="2751" spans="1:23" hidden="1" x14ac:dyDescent="0.25">
      <c r="A2751">
        <v>7200000009</v>
      </c>
      <c r="B2751" s="16" t="s">
        <v>20699</v>
      </c>
      <c r="C2751" s="16" t="e">
        <f>VLOOKUP(Table1[[#This Row],[Node]],Parent!A:B,2,0)</f>
        <v>#N/A</v>
      </c>
      <c r="D2751" s="25" t="s">
        <v>19346</v>
      </c>
      <c r="E2751" s="26" t="s">
        <v>16544</v>
      </c>
      <c r="F2751" s="27" t="s">
        <v>19204</v>
      </c>
      <c r="G2751" s="27" t="s">
        <v>19251</v>
      </c>
      <c r="H2751" s="27" t="s">
        <v>19259</v>
      </c>
      <c r="I2751" s="27"/>
      <c r="J2751" s="27"/>
      <c r="K2751" s="27"/>
      <c r="L2751" s="27"/>
      <c r="N2751" s="27"/>
      <c r="T2751" s="28" t="str">
        <f>LOOKUP(1,1/(Table1[[#This Row],[Level_0]:[Level 15]]&gt;0),(Table1[[#This Row],[Level_0]:[Level 15]]))</f>
        <v>7200000009 - [DAA_MGF Training]</v>
      </c>
      <c r="U2751" s="22">
        <v>2746</v>
      </c>
      <c r="W2751" s="13" t="str">
        <f>LOOKUP(1,1/(Table1[[#This Row],[Level_0]:[Level 15]]&gt;0),(Table1[[#This Row],[Level_0]:[Level 15]]))</f>
        <v>7200000009 - [DAA_MGF Training]</v>
      </c>
    </row>
    <row r="2752" spans="1:23" hidden="1" x14ac:dyDescent="0.25">
      <c r="A2752">
        <v>7200000008</v>
      </c>
      <c r="B2752" s="16" t="s">
        <v>20698</v>
      </c>
      <c r="C2752" s="16" t="e">
        <f>VLOOKUP(Table1[[#This Row],[Node]],Parent!A:B,2,0)</f>
        <v>#N/A</v>
      </c>
      <c r="D2752" s="25" t="s">
        <v>19346</v>
      </c>
      <c r="E2752" s="26" t="s">
        <v>16544</v>
      </c>
      <c r="F2752" s="27" t="s">
        <v>19204</v>
      </c>
      <c r="G2752" s="27" t="s">
        <v>19251</v>
      </c>
      <c r="H2752" s="27" t="s">
        <v>19260</v>
      </c>
      <c r="I2752" s="27"/>
      <c r="J2752" s="27"/>
      <c r="K2752" s="27"/>
      <c r="L2752" s="27"/>
      <c r="N2752" s="27"/>
      <c r="T2752" s="28" t="str">
        <f>LOOKUP(1,1/(Table1[[#This Row],[Level_0]:[Level 15]]&gt;0),(Table1[[#This Row],[Level_0]:[Level 15]]))</f>
        <v>7200000008 - [DAA Training Non HR personnel]</v>
      </c>
      <c r="U2752" s="22">
        <v>2747</v>
      </c>
      <c r="W2752" s="13" t="str">
        <f>LOOKUP(1,1/(Table1[[#This Row],[Level_0]:[Level 15]]&gt;0),(Table1[[#This Row],[Level_0]:[Level 15]]))</f>
        <v>7200000008 - [DAA Training Non HR personnel]</v>
      </c>
    </row>
    <row r="2753" spans="1:23" hidden="1" x14ac:dyDescent="0.25">
      <c r="A2753">
        <v>7200000007</v>
      </c>
      <c r="B2753" s="16" t="s">
        <v>20697</v>
      </c>
      <c r="C2753" s="16" t="e">
        <f>VLOOKUP(Table1[[#This Row],[Node]],Parent!A:B,2,0)</f>
        <v>#N/A</v>
      </c>
      <c r="D2753" s="25" t="s">
        <v>19346</v>
      </c>
      <c r="E2753" s="26" t="s">
        <v>16544</v>
      </c>
      <c r="F2753" s="27" t="s">
        <v>19204</v>
      </c>
      <c r="G2753" s="27" t="s">
        <v>19251</v>
      </c>
      <c r="H2753" s="27" t="s">
        <v>19261</v>
      </c>
      <c r="I2753" s="27"/>
      <c r="J2753" s="27"/>
      <c r="K2753" s="27"/>
      <c r="L2753" s="27"/>
      <c r="N2753" s="27"/>
      <c r="T2753" s="28" t="str">
        <f>LOOKUP(1,1/(Table1[[#This Row],[Level_0]:[Level 15]]&gt;0),(Table1[[#This Row],[Level_0]:[Level 15]]))</f>
        <v>7200000007 - [DAA Training HR personnel]</v>
      </c>
      <c r="U2753" s="22">
        <v>2748</v>
      </c>
      <c r="W2753" s="13" t="str">
        <f>LOOKUP(1,1/(Table1[[#This Row],[Level_0]:[Level 15]]&gt;0),(Table1[[#This Row],[Level_0]:[Level 15]]))</f>
        <v>7200000007 - [DAA Training HR personnel]</v>
      </c>
    </row>
    <row r="2754" spans="1:23" hidden="1" x14ac:dyDescent="0.25">
      <c r="A2754">
        <v>7120000004</v>
      </c>
      <c r="B2754" s="16" t="s">
        <v>20680</v>
      </c>
      <c r="C2754" s="16" t="e">
        <f>VLOOKUP(Table1[[#This Row],[Node]],Parent!A:B,2,0)</f>
        <v>#N/A</v>
      </c>
      <c r="D2754" s="25" t="s">
        <v>19346</v>
      </c>
      <c r="E2754" s="26" t="s">
        <v>16544</v>
      </c>
      <c r="F2754" s="27" t="s">
        <v>19204</v>
      </c>
      <c r="G2754" s="27" t="s">
        <v>19251</v>
      </c>
      <c r="H2754" s="27" t="s">
        <v>19262</v>
      </c>
      <c r="I2754" s="27"/>
      <c r="J2754" s="27"/>
      <c r="K2754" s="27"/>
      <c r="L2754" s="27"/>
      <c r="N2754" s="27"/>
      <c r="T2754" s="28" t="str">
        <f>LOOKUP(1,1/(Table1[[#This Row],[Level_0]:[Level 15]]&gt;0),(Table1[[#This Row],[Level_0]:[Level 15]]))</f>
        <v>7120000004 - [AOM IT TRAINING]</v>
      </c>
      <c r="U2754" s="22">
        <v>2749</v>
      </c>
      <c r="W2754" s="13" t="str">
        <f>LOOKUP(1,1/(Table1[[#This Row],[Level_0]:[Level 15]]&gt;0),(Table1[[#This Row],[Level_0]:[Level 15]]))</f>
        <v>7120000004 - [AOM IT TRAINING]</v>
      </c>
    </row>
    <row r="2755" spans="1:23" hidden="1" x14ac:dyDescent="0.25">
      <c r="A2755">
        <v>7100000020</v>
      </c>
      <c r="B2755" s="16" t="s">
        <v>20672</v>
      </c>
      <c r="C2755" s="16" t="e">
        <f>VLOOKUP(Table1[[#This Row],[Node]],Parent!A:B,2,0)</f>
        <v>#N/A</v>
      </c>
      <c r="D2755" s="25" t="s">
        <v>19346</v>
      </c>
      <c r="E2755" s="26" t="s">
        <v>16544</v>
      </c>
      <c r="F2755" s="27" t="s">
        <v>19204</v>
      </c>
      <c r="G2755" s="27" t="s">
        <v>19251</v>
      </c>
      <c r="H2755" s="27" t="s">
        <v>19263</v>
      </c>
      <c r="I2755" s="27"/>
      <c r="J2755" s="27"/>
      <c r="K2755" s="27"/>
      <c r="L2755" s="27"/>
      <c r="N2755" s="27"/>
      <c r="T2755" s="28" t="str">
        <f>LOOKUP(1,1/(Table1[[#This Row],[Level_0]:[Level 15]]&gt;0),(Table1[[#This Row],[Level_0]:[Level 15]]))</f>
        <v>7100000020 - [DAA_IT Training]</v>
      </c>
      <c r="U2755" s="22">
        <v>2750</v>
      </c>
      <c r="W2755" s="13" t="str">
        <f>LOOKUP(1,1/(Table1[[#This Row],[Level_0]:[Level 15]]&gt;0),(Table1[[#This Row],[Level_0]:[Level 15]]))</f>
        <v>7100000020 - [DAA_IT Training]</v>
      </c>
    </row>
    <row r="2756" spans="1:23" hidden="1" x14ac:dyDescent="0.25">
      <c r="A2756">
        <v>7100000009</v>
      </c>
      <c r="B2756" s="16" t="s">
        <v>20661</v>
      </c>
      <c r="C2756" s="16" t="e">
        <f>VLOOKUP(Table1[[#This Row],[Node]],Parent!A:B,2,0)</f>
        <v>#N/A</v>
      </c>
      <c r="D2756" s="25" t="s">
        <v>19346</v>
      </c>
      <c r="E2756" s="26" t="s">
        <v>16544</v>
      </c>
      <c r="F2756" s="27" t="s">
        <v>19204</v>
      </c>
      <c r="G2756" s="27" t="s">
        <v>19251</v>
      </c>
      <c r="H2756" s="27" t="s">
        <v>19264</v>
      </c>
      <c r="I2756" s="27"/>
      <c r="J2756" s="27"/>
      <c r="K2756" s="27"/>
      <c r="L2756" s="27"/>
      <c r="N2756" s="27"/>
      <c r="T2756" s="28" t="str">
        <f>LOOKUP(1,1/(Table1[[#This Row],[Level_0]:[Level 15]]&gt;0),(Table1[[#This Row],[Level_0]:[Level 15]]))</f>
        <v>7100000009 - [DAA IT TRAINING]</v>
      </c>
      <c r="U2756" s="22">
        <v>2751</v>
      </c>
      <c r="W2756" s="13" t="str">
        <f>LOOKUP(1,1/(Table1[[#This Row],[Level_0]:[Level 15]]&gt;0),(Table1[[#This Row],[Level_0]:[Level 15]]))</f>
        <v>7100000009 - [DAA IT TRAINING]</v>
      </c>
    </row>
    <row r="2757" spans="1:23" hidden="1" x14ac:dyDescent="0.25">
      <c r="A2757">
        <v>5980610000</v>
      </c>
      <c r="B2757" s="16" t="s">
        <v>20614</v>
      </c>
      <c r="C2757" s="16" t="e">
        <f>VLOOKUP(Table1[[#This Row],[Node]],Parent!A:B,2,0)</f>
        <v>#N/A</v>
      </c>
      <c r="D2757" s="25" t="s">
        <v>19346</v>
      </c>
      <c r="E2757" s="26" t="s">
        <v>16544</v>
      </c>
      <c r="F2757" s="27" t="s">
        <v>19204</v>
      </c>
      <c r="G2757" s="27" t="s">
        <v>19251</v>
      </c>
      <c r="H2757" s="27" t="s">
        <v>19265</v>
      </c>
      <c r="I2757" s="27"/>
      <c r="J2757" s="27"/>
      <c r="K2757" s="27"/>
      <c r="L2757" s="27"/>
      <c r="N2757" s="27"/>
      <c r="T2757" s="28" t="str">
        <f>LOOKUP(1,1/(Table1[[#This Row],[Level_0]:[Level 15]]&gt;0),(Table1[[#This Row],[Level_0]:[Level 15]]))</f>
        <v>5980610000 - [Reimbursement IC - External Training HR]</v>
      </c>
      <c r="U2757" s="22">
        <v>2752</v>
      </c>
      <c r="W2757" s="13" t="str">
        <f>LOOKUP(1,1/(Table1[[#This Row],[Level_0]:[Level 15]]&gt;0),(Table1[[#This Row],[Level_0]:[Level 15]]))</f>
        <v>5980610000 - [Reimbursement IC - External Training HR]</v>
      </c>
    </row>
    <row r="2758" spans="1:23" hidden="1" x14ac:dyDescent="0.25">
      <c r="A2758">
        <v>5060000000</v>
      </c>
      <c r="B2758" s="16" t="s">
        <v>19352</v>
      </c>
      <c r="C2758" s="16" t="e">
        <f>VLOOKUP(Table1[[#This Row],[Node]],Parent!A:B,2,0)</f>
        <v>#N/A</v>
      </c>
      <c r="D2758" s="25" t="s">
        <v>19346</v>
      </c>
      <c r="E2758" s="26" t="s">
        <v>16544</v>
      </c>
      <c r="F2758" s="27" t="s">
        <v>19204</v>
      </c>
      <c r="G2758" s="27" t="s">
        <v>19251</v>
      </c>
      <c r="H2758" s="27" t="s">
        <v>19266</v>
      </c>
      <c r="I2758" s="27"/>
      <c r="J2758" s="27"/>
      <c r="K2758" s="27"/>
      <c r="L2758" s="27"/>
      <c r="N2758" s="27"/>
      <c r="T2758" s="28" t="str">
        <f>LOOKUP(1,1/(Table1[[#This Row],[Level_0]:[Level 15]]&gt;0),(Table1[[#This Row],[Level_0]:[Level 15]]))</f>
        <v>5060000000 - [Training]</v>
      </c>
      <c r="U2758" s="22">
        <v>2753</v>
      </c>
      <c r="W2758" s="13" t="str">
        <f>LOOKUP(1,1/(Table1[[#This Row],[Level_0]:[Level 15]]&gt;0),(Table1[[#This Row],[Level_0]:[Level 15]]))</f>
        <v>5060000000 - [Training]</v>
      </c>
    </row>
    <row r="2759" spans="1:23" hidden="1" x14ac:dyDescent="0.25">
      <c r="A2759">
        <v>100200</v>
      </c>
      <c r="B2759" s="16" t="s">
        <v>19371</v>
      </c>
      <c r="C2759" s="16" t="e">
        <f>VLOOKUP(Table1[[#This Row],[Node]],Parent!A:B,2,0)</f>
        <v>#N/A</v>
      </c>
      <c r="D2759" s="25" t="s">
        <v>19346</v>
      </c>
      <c r="E2759" s="26" t="s">
        <v>16544</v>
      </c>
      <c r="F2759" s="27" t="s">
        <v>19204</v>
      </c>
      <c r="G2759" s="27" t="s">
        <v>19267</v>
      </c>
      <c r="H2759" s="27"/>
      <c r="I2759" s="27"/>
      <c r="J2759" s="27"/>
      <c r="K2759" s="27"/>
      <c r="L2759" s="27"/>
      <c r="N2759" s="27"/>
      <c r="T2759" s="28" t="str">
        <f>LOOKUP(1,1/(Table1[[#This Row],[Level_0]:[Level 15]]&gt;0),(Table1[[#This Row],[Level_0]:[Level 15]]))</f>
        <v>100200 - [Temporary staff]</v>
      </c>
      <c r="U2759" s="22">
        <v>2754</v>
      </c>
      <c r="W2759" s="13" t="str">
        <f>LOOKUP(1,1/(Table1[[#This Row],[Level_0]:[Level 15]]&gt;0),(Table1[[#This Row],[Level_0]:[Level 15]]))</f>
        <v>100200 - [Temporary staff]</v>
      </c>
    </row>
    <row r="2760" spans="1:23" hidden="1" x14ac:dyDescent="0.25">
      <c r="A2760">
        <v>100202</v>
      </c>
      <c r="B2760" s="16" t="s">
        <v>19373</v>
      </c>
      <c r="C2760" s="16" t="e">
        <f>VLOOKUP(Table1[[#This Row],[Node]],Parent!A:B,2,0)</f>
        <v>#N/A</v>
      </c>
      <c r="D2760" s="25" t="s">
        <v>19346</v>
      </c>
      <c r="E2760" s="26" t="s">
        <v>16544</v>
      </c>
      <c r="F2760" s="27" t="s">
        <v>19204</v>
      </c>
      <c r="G2760" s="27" t="s">
        <v>19267</v>
      </c>
      <c r="H2760" s="27" t="s">
        <v>19268</v>
      </c>
      <c r="I2760" s="27"/>
      <c r="J2760" s="27"/>
      <c r="K2760" s="27"/>
      <c r="L2760" s="27"/>
      <c r="N2760" s="27"/>
      <c r="T2760" s="28" t="str">
        <f>LOOKUP(1,1/(Table1[[#This Row],[Level_0]:[Level 15]]&gt;0),(Table1[[#This Row],[Level_0]:[Level 15]]))</f>
        <v>100202 - [Internal Temporary Staff Costs]</v>
      </c>
      <c r="U2760" s="22">
        <v>2755</v>
      </c>
      <c r="W2760" s="13" t="str">
        <f>LOOKUP(1,1/(Table1[[#This Row],[Level_0]:[Level 15]]&gt;0),(Table1[[#This Row],[Level_0]:[Level 15]]))</f>
        <v>100202 - [Internal Temporary Staff Costs]</v>
      </c>
    </row>
    <row r="2761" spans="1:23" hidden="1" x14ac:dyDescent="0.25">
      <c r="A2761">
        <v>7600304188</v>
      </c>
      <c r="B2761" s="16" t="s">
        <v>21382</v>
      </c>
      <c r="C2761" s="16" t="e">
        <f>VLOOKUP(Table1[[#This Row],[Node]],Parent!A:B,2,0)</f>
        <v>#N/A</v>
      </c>
      <c r="D2761" s="25" t="s">
        <v>19346</v>
      </c>
      <c r="E2761" s="26" t="s">
        <v>16544</v>
      </c>
      <c r="F2761" s="27" t="s">
        <v>19204</v>
      </c>
      <c r="G2761" s="27" t="s">
        <v>19267</v>
      </c>
      <c r="H2761" s="27" t="s">
        <v>19268</v>
      </c>
      <c r="I2761" s="27" t="s">
        <v>19269</v>
      </c>
      <c r="J2761" s="27"/>
      <c r="K2761" s="27"/>
      <c r="L2761" s="27"/>
      <c r="N2761" s="27"/>
      <c r="T2761" s="28" t="str">
        <f>LOOKUP(1,1/(Table1[[#This Row],[Level_0]:[Level 15]]&gt;0),(Table1[[#This Row],[Level_0]:[Level 15]]))</f>
        <v>7600304188 - [DAA_LAT_Hours]</v>
      </c>
      <c r="U2761" s="22">
        <v>2756</v>
      </c>
      <c r="W2761" s="13" t="str">
        <f>LOOKUP(1,1/(Table1[[#This Row],[Level_0]:[Level 15]]&gt;0),(Table1[[#This Row],[Level_0]:[Level 15]]))</f>
        <v>7600304188 - [DAA_LAT_Hours]</v>
      </c>
    </row>
    <row r="2762" spans="1:23" hidden="1" x14ac:dyDescent="0.25">
      <c r="A2762">
        <v>7600304078</v>
      </c>
      <c r="B2762" s="16" t="s">
        <v>21278</v>
      </c>
      <c r="C2762" s="16" t="e">
        <f>VLOOKUP(Table1[[#This Row],[Node]],Parent!A:B,2,0)</f>
        <v>#N/A</v>
      </c>
      <c r="D2762" s="25" t="s">
        <v>19346</v>
      </c>
      <c r="E2762" s="26" t="s">
        <v>16544</v>
      </c>
      <c r="F2762" s="27" t="s">
        <v>19204</v>
      </c>
      <c r="G2762" s="27" t="s">
        <v>19267</v>
      </c>
      <c r="H2762" s="27" t="s">
        <v>19268</v>
      </c>
      <c r="I2762" s="27" t="s">
        <v>19270</v>
      </c>
      <c r="J2762" s="27"/>
      <c r="K2762" s="27"/>
      <c r="L2762" s="27"/>
      <c r="N2762" s="27"/>
      <c r="T2762" s="28" t="str">
        <f>LOOKUP(1,1/(Table1[[#This Row],[Level_0]:[Level 15]]&gt;0),(Table1[[#This Row],[Level_0]:[Level 15]]))</f>
        <v>7600304078 - [DAA Waste Avoidance / Off-Spec Sales]</v>
      </c>
      <c r="U2762" s="22">
        <v>2757</v>
      </c>
      <c r="W2762" s="13" t="str">
        <f>LOOKUP(1,1/(Table1[[#This Row],[Level_0]:[Level 15]]&gt;0),(Table1[[#This Row],[Level_0]:[Level 15]]))</f>
        <v>7600304078 - [DAA Waste Avoidance / Off-Spec Sales]</v>
      </c>
    </row>
    <row r="2763" spans="1:23" hidden="1" x14ac:dyDescent="0.25">
      <c r="A2763">
        <v>7600304025</v>
      </c>
      <c r="B2763" s="16" t="s">
        <v>21226</v>
      </c>
      <c r="C2763" s="16" t="e">
        <f>VLOOKUP(Table1[[#This Row],[Node]],Parent!A:B,2,0)</f>
        <v>#N/A</v>
      </c>
      <c r="D2763" s="25" t="s">
        <v>19346</v>
      </c>
      <c r="E2763" s="26" t="s">
        <v>16544</v>
      </c>
      <c r="F2763" s="27" t="s">
        <v>19204</v>
      </c>
      <c r="G2763" s="27" t="s">
        <v>19267</v>
      </c>
      <c r="H2763" s="27" t="s">
        <v>19268</v>
      </c>
      <c r="I2763" s="27" t="s">
        <v>19271</v>
      </c>
      <c r="J2763" s="27"/>
      <c r="K2763" s="27"/>
      <c r="L2763" s="27"/>
      <c r="N2763" s="27"/>
      <c r="T2763" s="28" t="str">
        <f>LOOKUP(1,1/(Table1[[#This Row],[Level_0]:[Level 15]]&gt;0),(Table1[[#This Row],[Level_0]:[Level 15]]))</f>
        <v>7600304025 - [DAA Interim Work./Integrat.]</v>
      </c>
      <c r="U2763" s="22">
        <v>2758</v>
      </c>
      <c r="W2763" s="13" t="str">
        <f>LOOKUP(1,1/(Table1[[#This Row],[Level_0]:[Level 15]]&gt;0),(Table1[[#This Row],[Level_0]:[Level 15]]))</f>
        <v>7600304025 - [DAA Interim Work./Integrat.]</v>
      </c>
    </row>
    <row r="2764" spans="1:23" hidden="1" x14ac:dyDescent="0.25">
      <c r="A2764">
        <v>7600304024</v>
      </c>
      <c r="B2764" s="16" t="s">
        <v>21225</v>
      </c>
      <c r="C2764" s="16" t="e">
        <f>VLOOKUP(Table1[[#This Row],[Node]],Parent!A:B,2,0)</f>
        <v>#N/A</v>
      </c>
      <c r="D2764" s="25" t="s">
        <v>19346</v>
      </c>
      <c r="E2764" s="26" t="s">
        <v>16544</v>
      </c>
      <c r="F2764" s="27" t="s">
        <v>19204</v>
      </c>
      <c r="G2764" s="27" t="s">
        <v>19267</v>
      </c>
      <c r="H2764" s="27" t="s">
        <v>19268</v>
      </c>
      <c r="I2764" s="27" t="s">
        <v>19272</v>
      </c>
      <c r="J2764" s="27"/>
      <c r="K2764" s="27"/>
      <c r="L2764" s="27"/>
      <c r="N2764" s="27"/>
      <c r="T2764" s="28" t="str">
        <f>LOOKUP(1,1/(Table1[[#This Row],[Level_0]:[Level 15]]&gt;0),(Table1[[#This Row],[Level_0]:[Level 15]]))</f>
        <v>7600304024 - [DAA Interim Workf./N-Tariff]</v>
      </c>
      <c r="U2764" s="22">
        <v>2759</v>
      </c>
      <c r="W2764" s="13" t="str">
        <f>LOOKUP(1,1/(Table1[[#This Row],[Level_0]:[Level 15]]&gt;0),(Table1[[#This Row],[Level_0]:[Level 15]]))</f>
        <v>7600304024 - [DAA Interim Workf./N-Tariff]</v>
      </c>
    </row>
    <row r="2765" spans="1:23" hidden="1" x14ac:dyDescent="0.25">
      <c r="A2765">
        <v>7600304023</v>
      </c>
      <c r="B2765" s="16" t="s">
        <v>21224</v>
      </c>
      <c r="C2765" s="16" t="e">
        <f>VLOOKUP(Table1[[#This Row],[Node]],Parent!A:B,2,0)</f>
        <v>#N/A</v>
      </c>
      <c r="D2765" s="25" t="s">
        <v>19346</v>
      </c>
      <c r="E2765" s="26" t="s">
        <v>16544</v>
      </c>
      <c r="F2765" s="27" t="s">
        <v>19204</v>
      </c>
      <c r="G2765" s="27" t="s">
        <v>19267</v>
      </c>
      <c r="H2765" s="27" t="s">
        <v>19268</v>
      </c>
      <c r="I2765" s="27" t="s">
        <v>19273</v>
      </c>
      <c r="J2765" s="27"/>
      <c r="K2765" s="27"/>
      <c r="L2765" s="27"/>
      <c r="N2765" s="27"/>
      <c r="T2765" s="28" t="str">
        <f>LOOKUP(1,1/(Table1[[#This Row],[Level_0]:[Level 15]]&gt;0),(Table1[[#This Row],[Level_0]:[Level 15]]))</f>
        <v>7600304023 - [DAA Interim Workf./Tariff]</v>
      </c>
      <c r="U2765" s="22">
        <v>2760</v>
      </c>
      <c r="W2765" s="13" t="str">
        <f>LOOKUP(1,1/(Table1[[#This Row],[Level_0]:[Level 15]]&gt;0),(Table1[[#This Row],[Level_0]:[Level 15]]))</f>
        <v>7600304023 - [DAA Interim Workf./Tariff]</v>
      </c>
    </row>
    <row r="2766" spans="1:23" hidden="1" x14ac:dyDescent="0.25">
      <c r="A2766">
        <v>7600304022</v>
      </c>
      <c r="B2766" s="16" t="s">
        <v>21223</v>
      </c>
      <c r="C2766" s="16" t="e">
        <f>VLOOKUP(Table1[[#This Row],[Node]],Parent!A:B,2,0)</f>
        <v>#N/A</v>
      </c>
      <c r="D2766" s="25" t="s">
        <v>19346</v>
      </c>
      <c r="E2766" s="26" t="s">
        <v>16544</v>
      </c>
      <c r="F2766" s="27" t="s">
        <v>19204</v>
      </c>
      <c r="G2766" s="27" t="s">
        <v>19267</v>
      </c>
      <c r="H2766" s="27" t="s">
        <v>19268</v>
      </c>
      <c r="I2766" s="27" t="s">
        <v>19274</v>
      </c>
      <c r="J2766" s="27"/>
      <c r="K2766" s="27"/>
      <c r="L2766" s="27"/>
      <c r="N2766" s="27"/>
      <c r="T2766" s="28" t="str">
        <f>LOOKUP(1,1/(Table1[[#This Row],[Level_0]:[Level 15]]&gt;0),(Table1[[#This Row],[Level_0]:[Level 15]]))</f>
        <v>7600304022 - [DAA Interim Workf./Trainee]</v>
      </c>
      <c r="U2766" s="22">
        <v>2761</v>
      </c>
      <c r="W2766" s="13" t="str">
        <f>LOOKUP(1,1/(Table1[[#This Row],[Level_0]:[Level 15]]&gt;0),(Table1[[#This Row],[Level_0]:[Level 15]]))</f>
        <v>7600304022 - [DAA Interim Workf./Trainee]</v>
      </c>
    </row>
    <row r="2767" spans="1:23" hidden="1" x14ac:dyDescent="0.25">
      <c r="A2767">
        <v>7310120001</v>
      </c>
      <c r="B2767" s="16" t="s">
        <v>20814</v>
      </c>
      <c r="C2767" s="16" t="e">
        <f>VLOOKUP(Table1[[#This Row],[Node]],Parent!A:B,2,0)</f>
        <v>#N/A</v>
      </c>
      <c r="D2767" s="25" t="s">
        <v>19346</v>
      </c>
      <c r="E2767" s="26" t="s">
        <v>16544</v>
      </c>
      <c r="F2767" s="27" t="s">
        <v>19204</v>
      </c>
      <c r="G2767" s="27" t="s">
        <v>19267</v>
      </c>
      <c r="H2767" s="27" t="s">
        <v>19268</v>
      </c>
      <c r="I2767" s="27" t="s">
        <v>19275</v>
      </c>
      <c r="J2767" s="27"/>
      <c r="K2767" s="27"/>
      <c r="L2767" s="27"/>
      <c r="N2767" s="27"/>
      <c r="T2767" s="28" t="str">
        <f>LOOKUP(1,1/(Table1[[#This Row],[Level_0]:[Level 15]]&gt;0),(Table1[[#This Row],[Level_0]:[Level 15]]))</f>
        <v>7310120001 - [IAA Personnel pool Direct Production]</v>
      </c>
      <c r="U2767" s="22">
        <v>2762</v>
      </c>
      <c r="W2767" s="13" t="str">
        <f>LOOKUP(1,1/(Table1[[#This Row],[Level_0]:[Level 15]]&gt;0),(Table1[[#This Row],[Level_0]:[Level 15]]))</f>
        <v>7310120001 - [IAA Personnel pool Direct Production]</v>
      </c>
    </row>
    <row r="2768" spans="1:23" hidden="1" x14ac:dyDescent="0.25">
      <c r="A2768">
        <v>7300007000</v>
      </c>
      <c r="B2768" s="16" t="s">
        <v>20736</v>
      </c>
      <c r="C2768" s="16" t="e">
        <f>VLOOKUP(Table1[[#This Row],[Node]],Parent!A:B,2,0)</f>
        <v>#N/A</v>
      </c>
      <c r="D2768" s="25" t="s">
        <v>19346</v>
      </c>
      <c r="E2768" s="26" t="s">
        <v>16544</v>
      </c>
      <c r="F2768" s="27" t="s">
        <v>19204</v>
      </c>
      <c r="G2768" s="27" t="s">
        <v>19267</v>
      </c>
      <c r="H2768" s="27" t="s">
        <v>19268</v>
      </c>
      <c r="I2768" s="27" t="s">
        <v>19276</v>
      </c>
      <c r="J2768" s="27"/>
      <c r="K2768" s="27"/>
      <c r="L2768" s="27"/>
      <c r="N2768" s="27"/>
      <c r="T2768" s="28" t="str">
        <f>LOOKUP(1,1/(Table1[[#This Row],[Level_0]:[Level 15]]&gt;0),(Table1[[#This Row],[Level_0]:[Level 15]]))</f>
        <v>7300007000 - [DAA Service Core Business]</v>
      </c>
      <c r="U2768" s="22">
        <v>2763</v>
      </c>
      <c r="W2768" s="13" t="str">
        <f>LOOKUP(1,1/(Table1[[#This Row],[Level_0]:[Level 15]]&gt;0),(Table1[[#This Row],[Level_0]:[Level 15]]))</f>
        <v>7300007000 - [DAA Service Core Business]</v>
      </c>
    </row>
    <row r="2769" spans="1:23" hidden="1" x14ac:dyDescent="0.25">
      <c r="A2769">
        <v>7200000006</v>
      </c>
      <c r="B2769" s="16" t="s">
        <v>20696</v>
      </c>
      <c r="C2769" s="16" t="e">
        <f>VLOOKUP(Table1[[#This Row],[Node]],Parent!A:B,2,0)</f>
        <v>#N/A</v>
      </c>
      <c r="D2769" s="25" t="s">
        <v>19346</v>
      </c>
      <c r="E2769" s="26" t="s">
        <v>16544</v>
      </c>
      <c r="F2769" s="27" t="s">
        <v>19204</v>
      </c>
      <c r="G2769" s="27" t="s">
        <v>19267</v>
      </c>
      <c r="H2769" s="27" t="s">
        <v>19268</v>
      </c>
      <c r="I2769" s="27" t="s">
        <v>19277</v>
      </c>
      <c r="J2769" s="27"/>
      <c r="K2769" s="27"/>
      <c r="L2769" s="27"/>
      <c r="N2769" s="27"/>
      <c r="T2769" s="28" t="str">
        <f>LOOKUP(1,1/(Table1[[#This Row],[Level_0]:[Level 15]]&gt;0),(Table1[[#This Row],[Level_0]:[Level 15]]))</f>
        <v>7200000006 - [DAA Temporary Personnel]</v>
      </c>
      <c r="U2769" s="22">
        <v>2764</v>
      </c>
      <c r="W2769" s="13" t="str">
        <f>LOOKUP(1,1/(Table1[[#This Row],[Level_0]:[Level 15]]&gt;0),(Table1[[#This Row],[Level_0]:[Level 15]]))</f>
        <v>7200000006 - [DAA Temporary Personnel]</v>
      </c>
    </row>
    <row r="2770" spans="1:23" hidden="1" x14ac:dyDescent="0.25">
      <c r="A2770">
        <v>7020000006</v>
      </c>
      <c r="B2770" s="16" t="s">
        <v>20645</v>
      </c>
      <c r="C2770" s="16" t="e">
        <f>VLOOKUP(Table1[[#This Row],[Node]],Parent!A:B,2,0)</f>
        <v>#N/A</v>
      </c>
      <c r="D2770" s="25" t="s">
        <v>19346</v>
      </c>
      <c r="E2770" s="26" t="s">
        <v>16544</v>
      </c>
      <c r="F2770" s="27" t="s">
        <v>19204</v>
      </c>
      <c r="G2770" s="27" t="s">
        <v>19267</v>
      </c>
      <c r="H2770" s="27" t="s">
        <v>19268</v>
      </c>
      <c r="I2770" s="27" t="s">
        <v>19278</v>
      </c>
      <c r="J2770" s="27"/>
      <c r="K2770" s="27"/>
      <c r="L2770" s="27"/>
      <c r="N2770" s="27"/>
      <c r="T2770" s="28" t="str">
        <f>LOOKUP(1,1/(Table1[[#This Row],[Level_0]:[Level 15]]&gt;0),(Table1[[#This Row],[Level_0]:[Level 15]]))</f>
        <v>7020000006 - [AOM Cost transfer Personnel]</v>
      </c>
      <c r="U2770" s="22">
        <v>2765</v>
      </c>
      <c r="W2770" s="13" t="str">
        <f>LOOKUP(1,1/(Table1[[#This Row],[Level_0]:[Level 15]]&gt;0),(Table1[[#This Row],[Level_0]:[Level 15]]))</f>
        <v>7020000006 - [AOM Cost transfer Personnel]</v>
      </c>
    </row>
    <row r="2771" spans="1:23" hidden="1" x14ac:dyDescent="0.25">
      <c r="A2771">
        <v>7000000002</v>
      </c>
      <c r="B2771" s="16" t="s">
        <v>20638</v>
      </c>
      <c r="C2771" s="16" t="e">
        <f>VLOOKUP(Table1[[#This Row],[Node]],Parent!A:B,2,0)</f>
        <v>#N/A</v>
      </c>
      <c r="D2771" s="25" t="s">
        <v>19346</v>
      </c>
      <c r="E2771" s="26" t="s">
        <v>16544</v>
      </c>
      <c r="F2771" s="27" t="s">
        <v>19204</v>
      </c>
      <c r="G2771" s="27" t="s">
        <v>19267</v>
      </c>
      <c r="H2771" s="27" t="s">
        <v>19268</v>
      </c>
      <c r="I2771" s="27" t="s">
        <v>19279</v>
      </c>
      <c r="J2771" s="27"/>
      <c r="K2771" s="27"/>
      <c r="L2771" s="27"/>
      <c r="N2771" s="27"/>
      <c r="T2771" s="28" t="str">
        <f>LOOKUP(1,1/(Table1[[#This Row],[Level_0]:[Level 15]]&gt;0),(Table1[[#This Row],[Level_0]:[Level 15]]))</f>
        <v>7000000002 - [DAA-Without Tarif High Rate *prev. LAT]</v>
      </c>
      <c r="U2771" s="22">
        <v>2766</v>
      </c>
      <c r="W2771" s="13" t="str">
        <f>LOOKUP(1,1/(Table1[[#This Row],[Level_0]:[Level 15]]&gt;0),(Table1[[#This Row],[Level_0]:[Level 15]]))</f>
        <v>7000000002 - [DAA-Without Tarif High Rate *prev. LAT]</v>
      </c>
    </row>
    <row r="2772" spans="1:23" hidden="1" x14ac:dyDescent="0.25">
      <c r="A2772">
        <v>7000000001</v>
      </c>
      <c r="B2772" s="16" t="s">
        <v>20637</v>
      </c>
      <c r="C2772" s="16" t="e">
        <f>VLOOKUP(Table1[[#This Row],[Node]],Parent!A:B,2,0)</f>
        <v>#N/A</v>
      </c>
      <c r="D2772" s="25" t="s">
        <v>19346</v>
      </c>
      <c r="E2772" s="26" t="s">
        <v>16544</v>
      </c>
      <c r="F2772" s="27" t="s">
        <v>19204</v>
      </c>
      <c r="G2772" s="27" t="s">
        <v>19267</v>
      </c>
      <c r="H2772" s="27" t="s">
        <v>19268</v>
      </c>
      <c r="I2772" s="27" t="s">
        <v>19280</v>
      </c>
      <c r="J2772" s="27"/>
      <c r="K2772" s="27"/>
      <c r="L2772" s="27"/>
      <c r="N2772" s="27"/>
      <c r="T2772" s="28" t="str">
        <f>LOOKUP(1,1/(Table1[[#This Row],[Level_0]:[Level 15]]&gt;0),(Table1[[#This Row],[Level_0]:[Level 15]]))</f>
        <v>7000000001 - [DAA-With Tarif Low Rate *prev.LEI]</v>
      </c>
      <c r="U2772" s="22">
        <v>2767</v>
      </c>
      <c r="W2772" s="13" t="str">
        <f>LOOKUP(1,1/(Table1[[#This Row],[Level_0]:[Level 15]]&gt;0),(Table1[[#This Row],[Level_0]:[Level 15]]))</f>
        <v>7000000001 - [DAA-With Tarif Low Rate *prev.LEI]</v>
      </c>
    </row>
    <row r="2773" spans="1:23" hidden="1" x14ac:dyDescent="0.25">
      <c r="A2773">
        <v>5223510000</v>
      </c>
      <c r="B2773" s="16" t="s">
        <v>20184</v>
      </c>
      <c r="C2773" s="16" t="e">
        <f>VLOOKUP(Table1[[#This Row],[Node]],Parent!A:B,2,0)</f>
        <v>#N/A</v>
      </c>
      <c r="D2773" s="25" t="s">
        <v>19346</v>
      </c>
      <c r="E2773" s="26" t="s">
        <v>16544</v>
      </c>
      <c r="F2773" s="27" t="s">
        <v>19204</v>
      </c>
      <c r="G2773" s="27" t="s">
        <v>19267</v>
      </c>
      <c r="H2773" s="27" t="s">
        <v>19268</v>
      </c>
      <c r="I2773" s="27" t="s">
        <v>19281</v>
      </c>
      <c r="J2773" s="27"/>
      <c r="K2773" s="27"/>
      <c r="L2773" s="27"/>
      <c r="N2773" s="27"/>
      <c r="T2773" s="28" t="str">
        <f>LOOKUP(1,1/(Table1[[#This Row],[Level_0]:[Level 15]]&gt;0),(Table1[[#This Row],[Level_0]:[Level 15]]))</f>
        <v>5223510000 - [IC Exp - SMS – MyJob@Merck]</v>
      </c>
      <c r="U2773" s="22">
        <v>2768</v>
      </c>
      <c r="W2773" s="13" t="str">
        <f>LOOKUP(1,1/(Table1[[#This Row],[Level_0]:[Level 15]]&gt;0),(Table1[[#This Row],[Level_0]:[Level 15]]))</f>
        <v>5223510000 - [IC Exp - SMS – MyJob@Merck]</v>
      </c>
    </row>
    <row r="2774" spans="1:23" hidden="1" x14ac:dyDescent="0.25">
      <c r="A2774">
        <v>5040000001</v>
      </c>
      <c r="B2774" s="16" t="s">
        <v>20019</v>
      </c>
      <c r="C2774" s="16" t="e">
        <f>VLOOKUP(Table1[[#This Row],[Node]],Parent!A:B,2,0)</f>
        <v>#N/A</v>
      </c>
      <c r="D2774" s="25" t="s">
        <v>19346</v>
      </c>
      <c r="E2774" s="26" t="s">
        <v>16544</v>
      </c>
      <c r="F2774" s="27" t="s">
        <v>19204</v>
      </c>
      <c r="G2774" s="27" t="s">
        <v>19267</v>
      </c>
      <c r="H2774" s="27" t="s">
        <v>19268</v>
      </c>
      <c r="I2774" s="27" t="s">
        <v>19282</v>
      </c>
      <c r="J2774" s="27"/>
      <c r="K2774" s="27"/>
      <c r="L2774" s="27"/>
      <c r="N2774" s="27"/>
      <c r="T2774" s="28" t="str">
        <f>LOOKUP(1,1/(Table1[[#This Row],[Level_0]:[Level 15]]&gt;0),(Table1[[#This Row],[Level_0]:[Level 15]]))</f>
        <v>5040000001 - [External Personnel costs-Acc1]</v>
      </c>
      <c r="U2774" s="22">
        <v>2769</v>
      </c>
      <c r="W2774" s="13" t="str">
        <f>LOOKUP(1,1/(Table1[[#This Row],[Level_0]:[Level 15]]&gt;0),(Table1[[#This Row],[Level_0]:[Level 15]]))</f>
        <v>5040000001 - [External Personnel costs-Acc1]</v>
      </c>
    </row>
    <row r="2775" spans="1:23" hidden="1" x14ac:dyDescent="0.25">
      <c r="A2775">
        <v>100201</v>
      </c>
      <c r="B2775" s="16" t="s">
        <v>19372</v>
      </c>
      <c r="C2775" s="16" t="e">
        <f>VLOOKUP(Table1[[#This Row],[Node]],Parent!A:B,2,0)</f>
        <v>#N/A</v>
      </c>
      <c r="D2775" s="25" t="s">
        <v>19346</v>
      </c>
      <c r="E2775" s="26" t="s">
        <v>16544</v>
      </c>
      <c r="F2775" s="27" t="s">
        <v>19204</v>
      </c>
      <c r="G2775" s="27" t="s">
        <v>19267</v>
      </c>
      <c r="H2775" s="27" t="s">
        <v>19283</v>
      </c>
      <c r="I2775" s="27"/>
      <c r="J2775" s="27"/>
      <c r="K2775" s="27"/>
      <c r="L2775" s="27"/>
      <c r="N2775" s="27"/>
      <c r="T2775" s="28" t="str">
        <f>LOOKUP(1,1/(Table1[[#This Row],[Level_0]:[Level 15]]&gt;0),(Table1[[#This Row],[Level_0]:[Level 15]]))</f>
        <v>100201 - [External Temporary Staff Costs]</v>
      </c>
      <c r="U2775" s="22">
        <v>2770</v>
      </c>
      <c r="W2775" s="13" t="str">
        <f>LOOKUP(1,1/(Table1[[#This Row],[Level_0]:[Level 15]]&gt;0),(Table1[[#This Row],[Level_0]:[Level 15]]))</f>
        <v>100201 - [External Temporary Staff Costs]</v>
      </c>
    </row>
    <row r="2776" spans="1:23" hidden="1" x14ac:dyDescent="0.25">
      <c r="A2776">
        <v>5040090000</v>
      </c>
      <c r="B2776" s="16" t="s">
        <v>20021</v>
      </c>
      <c r="C2776" s="16" t="e">
        <f>VLOOKUP(Table1[[#This Row],[Node]],Parent!A:B,2,0)</f>
        <v>#N/A</v>
      </c>
      <c r="D2776" s="25" t="s">
        <v>19346</v>
      </c>
      <c r="E2776" s="26" t="s">
        <v>16544</v>
      </c>
      <c r="F2776" s="27" t="s">
        <v>19204</v>
      </c>
      <c r="G2776" s="27" t="s">
        <v>19267</v>
      </c>
      <c r="H2776" s="27" t="s">
        <v>19283</v>
      </c>
      <c r="I2776" s="27" t="s">
        <v>19284</v>
      </c>
      <c r="J2776" s="27"/>
      <c r="K2776" s="27"/>
      <c r="L2776" s="27"/>
      <c r="N2776" s="27"/>
      <c r="T2776" s="28" t="str">
        <f>LOOKUP(1,1/(Table1[[#This Row],[Level_0]:[Level 15]]&gt;0),(Table1[[#This Row],[Level_0]:[Level 15]]))</f>
        <v>5040090000 - [Ext Pers - Oth Ext Staff Non-Project Rel]</v>
      </c>
      <c r="U2776" s="22">
        <v>2771</v>
      </c>
      <c r="W2776" s="13" t="str">
        <f>LOOKUP(1,1/(Table1[[#This Row],[Level_0]:[Level 15]]&gt;0),(Table1[[#This Row],[Level_0]:[Level 15]]))</f>
        <v>5040090000 - [Ext Pers - Oth Ext Staff Non-Project Rel]</v>
      </c>
    </row>
    <row r="2777" spans="1:23" hidden="1" x14ac:dyDescent="0.25">
      <c r="A2777">
        <v>5040010000</v>
      </c>
      <c r="B2777" s="16" t="s">
        <v>20020</v>
      </c>
      <c r="C2777" s="16" t="e">
        <f>VLOOKUP(Table1[[#This Row],[Node]],Parent!A:B,2,0)</f>
        <v>#N/A</v>
      </c>
      <c r="D2777" s="25" t="s">
        <v>19346</v>
      </c>
      <c r="E2777" s="26" t="s">
        <v>16544</v>
      </c>
      <c r="F2777" s="27" t="s">
        <v>19204</v>
      </c>
      <c r="G2777" s="27" t="s">
        <v>19267</v>
      </c>
      <c r="H2777" s="27" t="s">
        <v>19283</v>
      </c>
      <c r="I2777" s="27" t="s">
        <v>19285</v>
      </c>
      <c r="J2777" s="27"/>
      <c r="K2777" s="27"/>
      <c r="L2777" s="27"/>
      <c r="N2777" s="27"/>
      <c r="T2777" s="28" t="str">
        <f>LOOKUP(1,1/(Table1[[#This Row],[Level_0]:[Level 15]]&gt;0),(Table1[[#This Row],[Level_0]:[Level 15]]))</f>
        <v>5040010000 - [External Personnel - Subcontractors]</v>
      </c>
      <c r="U2777" s="22">
        <v>2772</v>
      </c>
      <c r="W2777" s="13" t="str">
        <f>LOOKUP(1,1/(Table1[[#This Row],[Level_0]:[Level 15]]&gt;0),(Table1[[#This Row],[Level_0]:[Level 15]]))</f>
        <v>5040010000 - [External Personnel - Subcontractors]</v>
      </c>
    </row>
    <row r="2778" spans="1:23" hidden="1" x14ac:dyDescent="0.25">
      <c r="A2778">
        <v>5040000000</v>
      </c>
      <c r="B2778" s="16" t="s">
        <v>20018</v>
      </c>
      <c r="C2778" s="16" t="e">
        <f>VLOOKUP(Table1[[#This Row],[Node]],Parent!A:B,2,0)</f>
        <v>#N/A</v>
      </c>
      <c r="D2778" s="25" t="s">
        <v>19346</v>
      </c>
      <c r="E2778" s="26" t="s">
        <v>16544</v>
      </c>
      <c r="F2778" s="27" t="s">
        <v>19204</v>
      </c>
      <c r="G2778" s="27" t="s">
        <v>19267</v>
      </c>
      <c r="H2778" s="27" t="s">
        <v>19283</v>
      </c>
      <c r="I2778" s="27" t="s">
        <v>19286</v>
      </c>
      <c r="J2778" s="27"/>
      <c r="K2778" s="27"/>
      <c r="L2778" s="27"/>
      <c r="N2778" s="27"/>
      <c r="T2778" s="28" t="str">
        <f>LOOKUP(1,1/(Table1[[#This Row],[Level_0]:[Level 15]]&gt;0),(Table1[[#This Row],[Level_0]:[Level 15]]))</f>
        <v>5040000000 - [External Personnel costs]</v>
      </c>
      <c r="U2778" s="22">
        <v>2773</v>
      </c>
      <c r="W2778" s="13" t="str">
        <f>LOOKUP(1,1/(Table1[[#This Row],[Level_0]:[Level 15]]&gt;0),(Table1[[#This Row],[Level_0]:[Level 15]]))</f>
        <v>5040000000 - [External Personnel costs]</v>
      </c>
    </row>
    <row r="2779" spans="1:23" hidden="1" x14ac:dyDescent="0.25">
      <c r="A2779">
        <v>100100</v>
      </c>
      <c r="B2779" s="16" t="s">
        <v>19359</v>
      </c>
      <c r="C2779" s="16" t="e">
        <f>VLOOKUP(Table1[[#This Row],[Node]],Parent!A:B,2,0)</f>
        <v>#N/A</v>
      </c>
      <c r="D2779" s="25" t="s">
        <v>19346</v>
      </c>
      <c r="E2779" s="26" t="s">
        <v>16544</v>
      </c>
      <c r="F2779" s="27" t="s">
        <v>19204</v>
      </c>
      <c r="G2779" s="27" t="s">
        <v>19287</v>
      </c>
      <c r="H2779" s="27"/>
      <c r="I2779" s="27"/>
      <c r="J2779" s="27"/>
      <c r="K2779" s="27"/>
      <c r="L2779" s="27"/>
      <c r="N2779" s="27"/>
      <c r="T2779" s="28" t="str">
        <f>LOOKUP(1,1/(Table1[[#This Row],[Level_0]:[Level 15]]&gt;0),(Table1[[#This Row],[Level_0]:[Level 15]]))</f>
        <v>100100 - [Personnel Costs w/o Temps]</v>
      </c>
      <c r="U2779" s="22">
        <v>2774</v>
      </c>
      <c r="W2779" s="13" t="str">
        <f>LOOKUP(1,1/(Table1[[#This Row],[Level_0]:[Level 15]]&gt;0),(Table1[[#This Row],[Level_0]:[Level 15]]))</f>
        <v>100100 - [Personnel Costs w/o Temps]</v>
      </c>
    </row>
    <row r="2780" spans="1:23" hidden="1" x14ac:dyDescent="0.25">
      <c r="A2780">
        <v>100105</v>
      </c>
      <c r="B2780" s="16" t="s">
        <v>19370</v>
      </c>
      <c r="C2780" s="16" t="e">
        <f>VLOOKUP(Table1[[#This Row],[Node]],Parent!A:B,2,0)</f>
        <v>#N/A</v>
      </c>
      <c r="D2780" s="25" t="s">
        <v>19346</v>
      </c>
      <c r="E2780" s="26" t="s">
        <v>16544</v>
      </c>
      <c r="F2780" s="27" t="s">
        <v>19204</v>
      </c>
      <c r="G2780" s="27" t="s">
        <v>19287</v>
      </c>
      <c r="H2780" s="27" t="s">
        <v>19288</v>
      </c>
      <c r="I2780" s="27"/>
      <c r="J2780" s="27"/>
      <c r="K2780" s="27"/>
      <c r="L2780" s="27"/>
      <c r="N2780" s="27"/>
      <c r="T2780" s="28" t="str">
        <f>LOOKUP(1,1/(Table1[[#This Row],[Level_0]:[Level 15]]&gt;0),(Table1[[#This Row],[Level_0]:[Level 15]]))</f>
        <v>100105 - [Expatriate Costs]</v>
      </c>
      <c r="U2780" s="22">
        <v>2775</v>
      </c>
      <c r="W2780" s="13" t="str">
        <f>LOOKUP(1,1/(Table1[[#This Row],[Level_0]:[Level 15]]&gt;0),(Table1[[#This Row],[Level_0]:[Level 15]]))</f>
        <v>100105 - [Expatriate Costs]</v>
      </c>
    </row>
    <row r="2781" spans="1:23" hidden="1" x14ac:dyDescent="0.25">
      <c r="A2781">
        <v>7240000008</v>
      </c>
      <c r="B2781" s="16" t="s">
        <v>20729</v>
      </c>
      <c r="C2781" s="16" t="e">
        <f>VLOOKUP(Table1[[#This Row],[Node]],Parent!A:B,2,0)</f>
        <v>#N/A</v>
      </c>
      <c r="D2781" s="25" t="s">
        <v>19346</v>
      </c>
      <c r="E2781" s="26" t="s">
        <v>16544</v>
      </c>
      <c r="F2781" s="27" t="s">
        <v>19204</v>
      </c>
      <c r="G2781" s="27" t="s">
        <v>19287</v>
      </c>
      <c r="H2781" s="27" t="s">
        <v>19288</v>
      </c>
      <c r="I2781" s="27" t="s">
        <v>19289</v>
      </c>
      <c r="J2781" s="27"/>
      <c r="K2781" s="27"/>
      <c r="L2781" s="27"/>
      <c r="N2781" s="27"/>
      <c r="T2781" s="28" t="str">
        <f>LOOKUP(1,1/(Table1[[#This Row],[Level_0]:[Level 15]]&gt;0),(Table1[[#This Row],[Level_0]:[Level 15]]))</f>
        <v>7240000008 - [SOM ExPat Cost Settlement]</v>
      </c>
      <c r="U2781" s="22">
        <v>2776</v>
      </c>
      <c r="W2781" s="13" t="str">
        <f>LOOKUP(1,1/(Table1[[#This Row],[Level_0]:[Level 15]]&gt;0),(Table1[[#This Row],[Level_0]:[Level 15]]))</f>
        <v>7240000008 - [SOM ExPat Cost Settlement]</v>
      </c>
    </row>
    <row r="2782" spans="1:23" hidden="1" x14ac:dyDescent="0.25">
      <c r="A2782">
        <v>7220000013</v>
      </c>
      <c r="B2782" s="16" t="s">
        <v>20714</v>
      </c>
      <c r="C2782" s="16" t="e">
        <f>VLOOKUP(Table1[[#This Row],[Node]],Parent!A:B,2,0)</f>
        <v>#N/A</v>
      </c>
      <c r="D2782" s="25" t="s">
        <v>19346</v>
      </c>
      <c r="E2782" s="26" t="s">
        <v>16544</v>
      </c>
      <c r="F2782" s="27" t="s">
        <v>19204</v>
      </c>
      <c r="G2782" s="27" t="s">
        <v>19287</v>
      </c>
      <c r="H2782" s="27" t="s">
        <v>19288</v>
      </c>
      <c r="I2782" s="27" t="s">
        <v>19290</v>
      </c>
      <c r="J2782" s="27"/>
      <c r="K2782" s="27"/>
      <c r="L2782" s="27"/>
      <c r="N2782" s="27"/>
      <c r="T2782" s="28" t="str">
        <f>LOOKUP(1,1/(Table1[[#This Row],[Level_0]:[Level 15]]&gt;0),(Table1[[#This Row],[Level_0]:[Level 15]]))</f>
        <v>7220000013 - [AOM Expatriate expenses]</v>
      </c>
      <c r="U2782" s="22">
        <v>2777</v>
      </c>
      <c r="W2782" s="13" t="str">
        <f>LOOKUP(1,1/(Table1[[#This Row],[Level_0]:[Level 15]]&gt;0),(Table1[[#This Row],[Level_0]:[Level 15]]))</f>
        <v>7220000013 - [AOM Expatriate expenses]</v>
      </c>
    </row>
    <row r="2783" spans="1:23" hidden="1" x14ac:dyDescent="0.25">
      <c r="A2783">
        <v>5980710000</v>
      </c>
      <c r="B2783" s="16" t="s">
        <v>20615</v>
      </c>
      <c r="C2783" s="16" t="e">
        <f>VLOOKUP(Table1[[#This Row],[Node]],Parent!A:B,2,0)</f>
        <v>#N/A</v>
      </c>
      <c r="D2783" s="25" t="s">
        <v>19346</v>
      </c>
      <c r="E2783" s="26" t="s">
        <v>16544</v>
      </c>
      <c r="F2783" s="27" t="s">
        <v>19204</v>
      </c>
      <c r="G2783" s="27" t="s">
        <v>19287</v>
      </c>
      <c r="H2783" s="27" t="s">
        <v>19288</v>
      </c>
      <c r="I2783" s="27" t="s">
        <v>19291</v>
      </c>
      <c r="J2783" s="27"/>
      <c r="K2783" s="27"/>
      <c r="L2783" s="27"/>
      <c r="N2783" s="27"/>
      <c r="T2783" s="28" t="str">
        <f>LOOKUP(1,1/(Table1[[#This Row],[Level_0]:[Level 15]]&gt;0),(Table1[[#This Row],[Level_0]:[Level 15]]))</f>
        <v>5980710000 - [Reimbursement IC - Expat Compens &amp; Benef]</v>
      </c>
      <c r="U2783" s="22">
        <v>2778</v>
      </c>
      <c r="W2783" s="13" t="str">
        <f>LOOKUP(1,1/(Table1[[#This Row],[Level_0]:[Level 15]]&gt;0),(Table1[[#This Row],[Level_0]:[Level 15]]))</f>
        <v>5980710000 - [Reimbursement IC - Expat Compens &amp; Benef]</v>
      </c>
    </row>
    <row r="2784" spans="1:23" hidden="1" x14ac:dyDescent="0.25">
      <c r="A2784">
        <v>5002010000</v>
      </c>
      <c r="B2784" s="16" t="s">
        <v>19977</v>
      </c>
      <c r="C2784" s="16" t="e">
        <f>VLOOKUP(Table1[[#This Row],[Node]],Parent!A:B,2,0)</f>
        <v>#N/A</v>
      </c>
      <c r="D2784" s="25" t="s">
        <v>19346</v>
      </c>
      <c r="E2784" s="26" t="s">
        <v>16544</v>
      </c>
      <c r="F2784" s="27" t="s">
        <v>19204</v>
      </c>
      <c r="G2784" s="27" t="s">
        <v>19287</v>
      </c>
      <c r="H2784" s="27" t="s">
        <v>19288</v>
      </c>
      <c r="I2784" s="27" t="s">
        <v>19292</v>
      </c>
      <c r="J2784" s="27"/>
      <c r="K2784" s="27"/>
      <c r="L2784" s="27"/>
      <c r="N2784" s="27"/>
      <c r="T2784" s="28" t="str">
        <f>LOOKUP(1,1/(Table1[[#This Row],[Level_0]:[Level 15]]&gt;0),(Table1[[#This Row],[Level_0]:[Level 15]]))</f>
        <v>5002010000 - [IC Expences - Expat Compensation &amp; Benef]</v>
      </c>
      <c r="U2784" s="22">
        <v>2779</v>
      </c>
      <c r="W2784" s="13" t="str">
        <f>LOOKUP(1,1/(Table1[[#This Row],[Level_0]:[Level 15]]&gt;0),(Table1[[#This Row],[Level_0]:[Level 15]]))</f>
        <v>5002010000 - [IC Expences - Expat Compensation &amp; Benef]</v>
      </c>
    </row>
    <row r="2785" spans="1:23" hidden="1" x14ac:dyDescent="0.25">
      <c r="A2785">
        <v>5002003000</v>
      </c>
      <c r="B2785" s="16" t="s">
        <v>19976</v>
      </c>
      <c r="C2785" s="16" t="e">
        <f>VLOOKUP(Table1[[#This Row],[Node]],Parent!A:B,2,0)</f>
        <v>#N/A</v>
      </c>
      <c r="D2785" s="25" t="s">
        <v>19346</v>
      </c>
      <c r="E2785" s="26" t="s">
        <v>16544</v>
      </c>
      <c r="F2785" s="27" t="s">
        <v>19204</v>
      </c>
      <c r="G2785" s="27" t="s">
        <v>19287</v>
      </c>
      <c r="H2785" s="27" t="s">
        <v>19288</v>
      </c>
      <c r="I2785" s="27" t="s">
        <v>19293</v>
      </c>
      <c r="J2785" s="27"/>
      <c r="K2785" s="27"/>
      <c r="L2785" s="27"/>
      <c r="N2785" s="27"/>
      <c r="T2785" s="28" t="str">
        <f>LOOKUP(1,1/(Table1[[#This Row],[Level_0]:[Level 15]]&gt;0),(Table1[[#This Row],[Level_0]:[Level 15]]))</f>
        <v>5002003000 - [Expat Exp - Car Allowances]</v>
      </c>
      <c r="U2785" s="22">
        <v>2780</v>
      </c>
      <c r="W2785" s="13" t="str">
        <f>LOOKUP(1,1/(Table1[[#This Row],[Level_0]:[Level 15]]&gt;0),(Table1[[#This Row],[Level_0]:[Level 15]]))</f>
        <v>5002003000 - [Expat Exp - Car Allowances]</v>
      </c>
    </row>
    <row r="2786" spans="1:23" hidden="1" x14ac:dyDescent="0.25">
      <c r="A2786">
        <v>5002002000</v>
      </c>
      <c r="B2786" s="16" t="s">
        <v>19975</v>
      </c>
      <c r="C2786" s="16" t="e">
        <f>VLOOKUP(Table1[[#This Row],[Node]],Parent!A:B,2,0)</f>
        <v>#N/A</v>
      </c>
      <c r="D2786" s="25" t="s">
        <v>19346</v>
      </c>
      <c r="E2786" s="26" t="s">
        <v>16544</v>
      </c>
      <c r="F2786" s="27" t="s">
        <v>19204</v>
      </c>
      <c r="G2786" s="27" t="s">
        <v>19287</v>
      </c>
      <c r="H2786" s="27" t="s">
        <v>19288</v>
      </c>
      <c r="I2786" s="27" t="s">
        <v>19294</v>
      </c>
      <c r="J2786" s="27"/>
      <c r="K2786" s="27"/>
      <c r="L2786" s="27"/>
      <c r="N2786" s="27"/>
      <c r="T2786" s="28" t="str">
        <f>LOOKUP(1,1/(Table1[[#This Row],[Level_0]:[Level 15]]&gt;0),(Table1[[#This Row],[Level_0]:[Level 15]]))</f>
        <v>5002002000 - [Expat Exp - Non-Personnel Allowances]</v>
      </c>
      <c r="U2786" s="22">
        <v>2781</v>
      </c>
      <c r="W2786" s="13" t="str">
        <f>LOOKUP(1,1/(Table1[[#This Row],[Level_0]:[Level 15]]&gt;0),(Table1[[#This Row],[Level_0]:[Level 15]]))</f>
        <v>5002002000 - [Expat Exp - Non-Personnel Allowances]</v>
      </c>
    </row>
    <row r="2787" spans="1:23" hidden="1" x14ac:dyDescent="0.25">
      <c r="A2787">
        <v>100104</v>
      </c>
      <c r="B2787" s="16" t="s">
        <v>19369</v>
      </c>
      <c r="C2787" s="16" t="e">
        <f>VLOOKUP(Table1[[#This Row],[Node]],Parent!A:B,2,0)</f>
        <v>#N/A</v>
      </c>
      <c r="D2787" s="25" t="s">
        <v>19346</v>
      </c>
      <c r="E2787" s="26" t="s">
        <v>16544</v>
      </c>
      <c r="F2787" s="27" t="s">
        <v>19204</v>
      </c>
      <c r="G2787" s="27" t="s">
        <v>19287</v>
      </c>
      <c r="H2787" s="27" t="s">
        <v>19295</v>
      </c>
      <c r="I2787" s="27"/>
      <c r="J2787" s="27"/>
      <c r="K2787" s="27"/>
      <c r="L2787" s="27"/>
      <c r="N2787" s="27"/>
      <c r="T2787" s="28" t="str">
        <f>LOOKUP(1,1/(Table1[[#This Row],[Level_0]:[Level 15]]&gt;0),(Table1[[#This Row],[Level_0]:[Level 15]]))</f>
        <v>100104 - [Long Term Incentive Plan (LTIP)]</v>
      </c>
      <c r="U2787" s="22">
        <v>2782</v>
      </c>
      <c r="W2787" s="13" t="str">
        <f>LOOKUP(1,1/(Table1[[#This Row],[Level_0]:[Level 15]]&gt;0),(Table1[[#This Row],[Level_0]:[Level 15]]))</f>
        <v>100104 - [Long Term Incentive Plan (LTIP)]</v>
      </c>
    </row>
    <row r="2788" spans="1:23" hidden="1" x14ac:dyDescent="0.25">
      <c r="A2788">
        <v>5001002000</v>
      </c>
      <c r="B2788" s="16" t="s">
        <v>19972</v>
      </c>
      <c r="C2788" s="16" t="e">
        <f>VLOOKUP(Table1[[#This Row],[Node]],Parent!A:B,2,0)</f>
        <v>#N/A</v>
      </c>
      <c r="D2788" s="25" t="s">
        <v>19346</v>
      </c>
      <c r="E2788" s="26" t="s">
        <v>16544</v>
      </c>
      <c r="F2788" s="27" t="s">
        <v>19204</v>
      </c>
      <c r="G2788" s="27" t="s">
        <v>19287</v>
      </c>
      <c r="H2788" s="27" t="s">
        <v>19295</v>
      </c>
      <c r="I2788" s="27" t="s">
        <v>19296</v>
      </c>
      <c r="J2788" s="27"/>
      <c r="K2788" s="27"/>
      <c r="L2788" s="27"/>
      <c r="N2788" s="27"/>
      <c r="T2788" s="28" t="str">
        <f>LOOKUP(1,1/(Table1[[#This Row],[Level_0]:[Level 15]]&gt;0),(Table1[[#This Row],[Level_0]:[Level 15]]))</f>
        <v>5001002000 - [Bonu - Company Incentive Payment Schemes]</v>
      </c>
      <c r="U2788" s="22">
        <v>2783</v>
      </c>
      <c r="W2788" s="13" t="str">
        <f>LOOKUP(1,1/(Table1[[#This Row],[Level_0]:[Level 15]]&gt;0),(Table1[[#This Row],[Level_0]:[Level 15]]))</f>
        <v>5001002000 - [Bonu - Company Incentive Payment Schemes]</v>
      </c>
    </row>
    <row r="2789" spans="1:23" hidden="1" x14ac:dyDescent="0.25">
      <c r="A2789">
        <v>100103</v>
      </c>
      <c r="B2789" s="16" t="s">
        <v>19365</v>
      </c>
      <c r="C2789" s="16" t="e">
        <f>VLOOKUP(Table1[[#This Row],[Node]],Parent!A:B,2,0)</f>
        <v>#N/A</v>
      </c>
      <c r="D2789" s="25" t="s">
        <v>19346</v>
      </c>
      <c r="E2789" s="26" t="s">
        <v>16544</v>
      </c>
      <c r="F2789" s="27" t="s">
        <v>19204</v>
      </c>
      <c r="G2789" s="27" t="s">
        <v>19287</v>
      </c>
      <c r="H2789" s="27" t="s">
        <v>19297</v>
      </c>
      <c r="I2789" s="27"/>
      <c r="J2789" s="27"/>
      <c r="K2789" s="27"/>
      <c r="L2789" s="27"/>
      <c r="N2789" s="27"/>
      <c r="T2789" s="28" t="str">
        <f>LOOKUP(1,1/(Table1[[#This Row],[Level_0]:[Level 15]]&gt;0),(Table1[[#This Row],[Level_0]:[Level 15]]))</f>
        <v>100103 - [Bonuses]</v>
      </c>
      <c r="U2789" s="22">
        <v>2784</v>
      </c>
      <c r="W2789" s="13" t="str">
        <f>LOOKUP(1,1/(Table1[[#This Row],[Level_0]:[Level 15]]&gt;0),(Table1[[#This Row],[Level_0]:[Level 15]]))</f>
        <v>100103 - [Bonuses]</v>
      </c>
    </row>
    <row r="2790" spans="1:23" hidden="1" x14ac:dyDescent="0.25">
      <c r="A2790">
        <v>100133</v>
      </c>
      <c r="B2790" s="16" t="s">
        <v>19368</v>
      </c>
      <c r="C2790" s="16" t="e">
        <f>VLOOKUP(Table1[[#This Row],[Node]],Parent!A:B,2,0)</f>
        <v>#N/A</v>
      </c>
      <c r="D2790" s="25" t="s">
        <v>19346</v>
      </c>
      <c r="E2790" s="26" t="s">
        <v>16544</v>
      </c>
      <c r="F2790" s="27" t="s">
        <v>19204</v>
      </c>
      <c r="G2790" s="27" t="s">
        <v>19287</v>
      </c>
      <c r="H2790" s="27" t="s">
        <v>19297</v>
      </c>
      <c r="I2790" s="27" t="s">
        <v>19298</v>
      </c>
      <c r="J2790" s="27"/>
      <c r="K2790" s="27"/>
      <c r="L2790" s="27"/>
      <c r="N2790" s="27"/>
      <c r="T2790" s="28" t="str">
        <f>LOOKUP(1,1/(Table1[[#This Row],[Level_0]:[Level 15]]&gt;0),(Table1[[#This Row],[Level_0]:[Level 15]]))</f>
        <v>100133 - [Other Bonuses]</v>
      </c>
      <c r="U2790" s="22">
        <v>2785</v>
      </c>
      <c r="W2790" s="13" t="str">
        <f>LOOKUP(1,1/(Table1[[#This Row],[Level_0]:[Level 15]]&gt;0),(Table1[[#This Row],[Level_0]:[Level 15]]))</f>
        <v>100133 - [Other Bonuses]</v>
      </c>
    </row>
    <row r="2791" spans="1:23" hidden="1" x14ac:dyDescent="0.25">
      <c r="A2791">
        <v>5001000001</v>
      </c>
      <c r="B2791" s="16" t="s">
        <v>19967</v>
      </c>
      <c r="C2791" s="16" t="e">
        <f>VLOOKUP(Table1[[#This Row],[Node]],Parent!A:B,2,0)</f>
        <v>#N/A</v>
      </c>
      <c r="D2791" s="25" t="s">
        <v>19346</v>
      </c>
      <c r="E2791" s="26" t="s">
        <v>16544</v>
      </c>
      <c r="F2791" s="27" t="s">
        <v>19204</v>
      </c>
      <c r="G2791" s="27" t="s">
        <v>19287</v>
      </c>
      <c r="H2791" s="27" t="s">
        <v>19297</v>
      </c>
      <c r="I2791" s="27" t="s">
        <v>19298</v>
      </c>
      <c r="J2791" s="27" t="s">
        <v>19299</v>
      </c>
      <c r="K2791" s="27"/>
      <c r="L2791" s="27"/>
      <c r="N2791" s="27"/>
      <c r="T2791" s="28" t="str">
        <f>LOOKUP(1,1/(Table1[[#This Row],[Level_0]:[Level 15]]&gt;0),(Table1[[#This Row],[Level_0]:[Level 15]]))</f>
        <v>5001000001 - [Bonuses - Bonus - Account 1]</v>
      </c>
      <c r="U2791" s="22">
        <v>2786</v>
      </c>
      <c r="W2791" s="13" t="str">
        <f>LOOKUP(1,1/(Table1[[#This Row],[Level_0]:[Level 15]]&gt;0),(Table1[[#This Row],[Level_0]:[Level 15]]))</f>
        <v>5001000001 - [Bonuses - Bonus - Account 1]</v>
      </c>
    </row>
    <row r="2792" spans="1:23" hidden="1" x14ac:dyDescent="0.25">
      <c r="A2792">
        <v>5001001000</v>
      </c>
      <c r="B2792" s="16" t="s">
        <v>19971</v>
      </c>
      <c r="C2792" s="16" t="e">
        <f>VLOOKUP(Table1[[#This Row],[Node]],Parent!A:B,2,0)</f>
        <v>#N/A</v>
      </c>
      <c r="D2792" s="25" t="s">
        <v>19346</v>
      </c>
      <c r="E2792" s="26" t="s">
        <v>16544</v>
      </c>
      <c r="F2792" s="27" t="s">
        <v>19204</v>
      </c>
      <c r="G2792" s="27" t="s">
        <v>19287</v>
      </c>
      <c r="H2792" s="27" t="s">
        <v>19297</v>
      </c>
      <c r="I2792" s="27" t="s">
        <v>19298</v>
      </c>
      <c r="J2792" s="27" t="s">
        <v>19300</v>
      </c>
      <c r="K2792" s="27"/>
      <c r="L2792" s="27"/>
      <c r="N2792" s="27"/>
      <c r="T2792" s="28" t="str">
        <f>LOOKUP(1,1/(Table1[[#This Row],[Level_0]:[Level 15]]&gt;0),(Table1[[#This Row],[Level_0]:[Level 15]]))</f>
        <v>5001001000 - [Bonuses - Incentives]</v>
      </c>
      <c r="U2792" s="22">
        <v>2787</v>
      </c>
      <c r="W2792" s="13" t="str">
        <f>LOOKUP(1,1/(Table1[[#This Row],[Level_0]:[Level 15]]&gt;0),(Table1[[#This Row],[Level_0]:[Level 15]]))</f>
        <v>5001001000 - [Bonuses - Incentives]</v>
      </c>
    </row>
    <row r="2793" spans="1:23" hidden="1" x14ac:dyDescent="0.25">
      <c r="A2793">
        <v>5001000003</v>
      </c>
      <c r="B2793" s="16" t="s">
        <v>19969</v>
      </c>
      <c r="C2793" s="16" t="e">
        <f>VLOOKUP(Table1[[#This Row],[Node]],Parent!A:B,2,0)</f>
        <v>#N/A</v>
      </c>
      <c r="D2793" s="25" t="s">
        <v>19346</v>
      </c>
      <c r="E2793" s="26" t="s">
        <v>16544</v>
      </c>
      <c r="F2793" s="27" t="s">
        <v>19204</v>
      </c>
      <c r="G2793" s="27" t="s">
        <v>19287</v>
      </c>
      <c r="H2793" s="27" t="s">
        <v>19297</v>
      </c>
      <c r="I2793" s="27" t="s">
        <v>19298</v>
      </c>
      <c r="J2793" s="27" t="s">
        <v>19301</v>
      </c>
      <c r="K2793" s="27"/>
      <c r="L2793" s="27"/>
      <c r="N2793" s="27"/>
      <c r="T2793" s="28" t="str">
        <f>LOOKUP(1,1/(Table1[[#This Row],[Level_0]:[Level 15]]&gt;0),(Table1[[#This Row],[Level_0]:[Level 15]]))</f>
        <v>5001000003 - [Bonuses - Bonus provision related]</v>
      </c>
      <c r="U2793" s="22">
        <v>2788</v>
      </c>
      <c r="W2793" s="13" t="str">
        <f>LOOKUP(1,1/(Table1[[#This Row],[Level_0]:[Level 15]]&gt;0),(Table1[[#This Row],[Level_0]:[Level 15]]))</f>
        <v>5001000003 - [Bonuses - Bonus provision related]</v>
      </c>
    </row>
    <row r="2794" spans="1:23" hidden="1" x14ac:dyDescent="0.25">
      <c r="A2794">
        <v>5001000002</v>
      </c>
      <c r="B2794" s="16" t="s">
        <v>19968</v>
      </c>
      <c r="C2794" s="16" t="e">
        <f>VLOOKUP(Table1[[#This Row],[Node]],Parent!A:B,2,0)</f>
        <v>#N/A</v>
      </c>
      <c r="D2794" s="25" t="s">
        <v>19346</v>
      </c>
      <c r="E2794" s="26" t="s">
        <v>16544</v>
      </c>
      <c r="F2794" s="27" t="s">
        <v>19204</v>
      </c>
      <c r="G2794" s="27" t="s">
        <v>19287</v>
      </c>
      <c r="H2794" s="27" t="s">
        <v>19297</v>
      </c>
      <c r="I2794" s="27" t="s">
        <v>19298</v>
      </c>
      <c r="J2794" s="27" t="s">
        <v>19302</v>
      </c>
      <c r="K2794" s="27"/>
      <c r="L2794" s="27"/>
      <c r="N2794" s="27"/>
      <c r="T2794" s="28" t="str">
        <f>LOOKUP(1,1/(Table1[[#This Row],[Level_0]:[Level 15]]&gt;0),(Table1[[#This Row],[Level_0]:[Level 15]]))</f>
        <v>5001000002 - [Bonuses - Bonus - Account 2]</v>
      </c>
      <c r="U2794" s="22">
        <v>2789</v>
      </c>
      <c r="W2794" s="13" t="str">
        <f>LOOKUP(1,1/(Table1[[#This Row],[Level_0]:[Level 15]]&gt;0),(Table1[[#This Row],[Level_0]:[Level 15]]))</f>
        <v>5001000002 - [Bonuses - Bonus - Account 2]</v>
      </c>
    </row>
    <row r="2795" spans="1:23" hidden="1" x14ac:dyDescent="0.25">
      <c r="A2795">
        <v>100123</v>
      </c>
      <c r="B2795" s="16" t="s">
        <v>19367</v>
      </c>
      <c r="C2795" s="16" t="e">
        <f>VLOOKUP(Table1[[#This Row],[Node]],Parent!A:B,2,0)</f>
        <v>#N/A</v>
      </c>
      <c r="D2795" s="25" t="s">
        <v>19346</v>
      </c>
      <c r="E2795" s="26" t="s">
        <v>16544</v>
      </c>
      <c r="F2795" s="27" t="s">
        <v>19204</v>
      </c>
      <c r="G2795" s="27" t="s">
        <v>19287</v>
      </c>
      <c r="H2795" s="27" t="s">
        <v>19297</v>
      </c>
      <c r="I2795" s="27" t="s">
        <v>19303</v>
      </c>
      <c r="J2795" s="27"/>
      <c r="K2795" s="27"/>
      <c r="L2795" s="27"/>
      <c r="N2795" s="27"/>
      <c r="T2795" s="28" t="str">
        <f>LOOKUP(1,1/(Table1[[#This Row],[Level_0]:[Level 15]]&gt;0),(Table1[[#This Row],[Level_0]:[Level 15]]))</f>
        <v>100123 - [Sales Incentive Plan (SIP)]</v>
      </c>
      <c r="U2795" s="22">
        <v>2790</v>
      </c>
      <c r="W2795" s="13" t="str">
        <f>LOOKUP(1,1/(Table1[[#This Row],[Level_0]:[Level 15]]&gt;0),(Table1[[#This Row],[Level_0]:[Level 15]]))</f>
        <v>100123 - [Sales Incentive Plan (SIP)]</v>
      </c>
    </row>
    <row r="2796" spans="1:23" hidden="1" x14ac:dyDescent="0.25">
      <c r="A2796">
        <v>5000007000</v>
      </c>
      <c r="B2796" s="16" t="s">
        <v>19961</v>
      </c>
      <c r="C2796" s="16" t="e">
        <f>VLOOKUP(Table1[[#This Row],[Node]],Parent!A:B,2,0)</f>
        <v>#N/A</v>
      </c>
      <c r="D2796" s="25" t="s">
        <v>19346</v>
      </c>
      <c r="E2796" s="26" t="s">
        <v>16544</v>
      </c>
      <c r="F2796" s="27" t="s">
        <v>19204</v>
      </c>
      <c r="G2796" s="27" t="s">
        <v>19287</v>
      </c>
      <c r="H2796" s="27" t="s">
        <v>19297</v>
      </c>
      <c r="I2796" s="27" t="s">
        <v>19303</v>
      </c>
      <c r="J2796" s="27" t="s">
        <v>19304</v>
      </c>
      <c r="K2796" s="27"/>
      <c r="L2796" s="27"/>
      <c r="N2796" s="27"/>
      <c r="T2796" s="28" t="str">
        <f>LOOKUP(1,1/(Table1[[#This Row],[Level_0]:[Level 15]]&gt;0),(Table1[[#This Row],[Level_0]:[Level 15]]))</f>
        <v>5000007000 - [Payroll - Employee Commissions]</v>
      </c>
      <c r="U2796" s="22">
        <v>2791</v>
      </c>
      <c r="W2796" s="13" t="str">
        <f>LOOKUP(1,1/(Table1[[#This Row],[Level_0]:[Level 15]]&gt;0),(Table1[[#This Row],[Level_0]:[Level 15]]))</f>
        <v>5000007000 - [Payroll - Employee Commissions]</v>
      </c>
    </row>
    <row r="2797" spans="1:23" hidden="1" x14ac:dyDescent="0.25">
      <c r="A2797">
        <v>100113</v>
      </c>
      <c r="B2797" s="16" t="s">
        <v>19366</v>
      </c>
      <c r="C2797" s="16" t="e">
        <f>VLOOKUP(Table1[[#This Row],[Node]],Parent!A:B,2,0)</f>
        <v>#N/A</v>
      </c>
      <c r="D2797" s="25" t="s">
        <v>19346</v>
      </c>
      <c r="E2797" s="26" t="s">
        <v>16544</v>
      </c>
      <c r="F2797" s="27" t="s">
        <v>19204</v>
      </c>
      <c r="G2797" s="27" t="s">
        <v>19287</v>
      </c>
      <c r="H2797" s="27" t="s">
        <v>19297</v>
      </c>
      <c r="I2797" s="27" t="s">
        <v>19305</v>
      </c>
      <c r="J2797" s="27"/>
      <c r="K2797" s="27"/>
      <c r="L2797" s="27"/>
      <c r="N2797" s="27"/>
      <c r="T2797" s="28" t="str">
        <f>LOOKUP(1,1/(Table1[[#This Row],[Level_0]:[Level 15]]&gt;0),(Table1[[#This Row],[Level_0]:[Level 15]]))</f>
        <v>100113 - [Annual Incentive Plan (AIP)]</v>
      </c>
      <c r="U2797" s="22">
        <v>2792</v>
      </c>
      <c r="W2797" s="13" t="str">
        <f>LOOKUP(1,1/(Table1[[#This Row],[Level_0]:[Level 15]]&gt;0),(Table1[[#This Row],[Level_0]:[Level 15]]))</f>
        <v>100113 - [Annual Incentive Plan (AIP)]</v>
      </c>
    </row>
    <row r="2798" spans="1:23" hidden="1" x14ac:dyDescent="0.25">
      <c r="A2798">
        <v>5001000000</v>
      </c>
      <c r="B2798" s="16" t="s">
        <v>19966</v>
      </c>
      <c r="C2798" s="16" t="e">
        <f>VLOOKUP(Table1[[#This Row],[Node]],Parent!A:B,2,0)</f>
        <v>#N/A</v>
      </c>
      <c r="D2798" s="25" t="s">
        <v>19346</v>
      </c>
      <c r="E2798" s="26" t="s">
        <v>16544</v>
      </c>
      <c r="F2798" s="27" t="s">
        <v>19204</v>
      </c>
      <c r="G2798" s="27" t="s">
        <v>19287</v>
      </c>
      <c r="H2798" s="27" t="s">
        <v>19297</v>
      </c>
      <c r="I2798" s="27" t="s">
        <v>19305</v>
      </c>
      <c r="J2798" s="27" t="s">
        <v>19306</v>
      </c>
      <c r="K2798" s="27"/>
      <c r="L2798" s="27"/>
      <c r="N2798" s="27"/>
      <c r="T2798" s="28" t="str">
        <f>LOOKUP(1,1/(Table1[[#This Row],[Level_0]:[Level 15]]&gt;0),(Table1[[#This Row],[Level_0]:[Level 15]]))</f>
        <v>5001000000 - [Bonuses - Bonus - AIP]</v>
      </c>
      <c r="U2798" s="22">
        <v>2793</v>
      </c>
      <c r="W2798" s="13" t="str">
        <f>LOOKUP(1,1/(Table1[[#This Row],[Level_0]:[Level 15]]&gt;0),(Table1[[#This Row],[Level_0]:[Level 15]]))</f>
        <v>5001000000 - [Bonuses - Bonus - AIP]</v>
      </c>
    </row>
    <row r="2799" spans="1:23" hidden="1" x14ac:dyDescent="0.25">
      <c r="A2799">
        <v>100102</v>
      </c>
      <c r="B2799" s="16" t="s">
        <v>19361</v>
      </c>
      <c r="C2799" s="16" t="e">
        <f>VLOOKUP(Table1[[#This Row],[Node]],Parent!A:B,2,0)</f>
        <v>#N/A</v>
      </c>
      <c r="D2799" s="25" t="s">
        <v>19346</v>
      </c>
      <c r="E2799" s="26" t="s">
        <v>16544</v>
      </c>
      <c r="F2799" s="27" t="s">
        <v>19204</v>
      </c>
      <c r="G2799" s="27" t="s">
        <v>19287</v>
      </c>
      <c r="H2799" s="27" t="s">
        <v>19307</v>
      </c>
      <c r="I2799" s="27"/>
      <c r="J2799" s="27"/>
      <c r="K2799" s="27"/>
      <c r="L2799" s="27"/>
      <c r="N2799" s="27"/>
      <c r="T2799" s="28" t="str">
        <f>LOOKUP(1,1/(Table1[[#This Row],[Level_0]:[Level 15]]&gt;0),(Table1[[#This Row],[Level_0]:[Level 15]]))</f>
        <v>100102 - [Fringes]</v>
      </c>
      <c r="U2799" s="22">
        <v>2794</v>
      </c>
      <c r="W2799" s="13" t="str">
        <f>LOOKUP(1,1/(Table1[[#This Row],[Level_0]:[Level 15]]&gt;0),(Table1[[#This Row],[Level_0]:[Level 15]]))</f>
        <v>100102 - [Fringes]</v>
      </c>
    </row>
    <row r="2800" spans="1:23" hidden="1" x14ac:dyDescent="0.25">
      <c r="A2800">
        <v>100132</v>
      </c>
      <c r="B2800" s="16" t="s">
        <v>19364</v>
      </c>
      <c r="C2800" s="16" t="e">
        <f>VLOOKUP(Table1[[#This Row],[Node]],Parent!A:B,2,0)</f>
        <v>#N/A</v>
      </c>
      <c r="D2800" s="25" t="s">
        <v>19346</v>
      </c>
      <c r="E2800" s="26" t="s">
        <v>16544</v>
      </c>
      <c r="F2800" s="27" t="s">
        <v>19204</v>
      </c>
      <c r="G2800" s="27" t="s">
        <v>19287</v>
      </c>
      <c r="H2800" s="27" t="s">
        <v>19307</v>
      </c>
      <c r="I2800" s="27" t="s">
        <v>19308</v>
      </c>
      <c r="J2800" s="27"/>
      <c r="K2800" s="27"/>
      <c r="L2800" s="27"/>
      <c r="N2800" s="27"/>
      <c r="T2800" s="28" t="str">
        <f>LOOKUP(1,1/(Table1[[#This Row],[Level_0]:[Level 15]]&gt;0),(Table1[[#This Row],[Level_0]:[Level 15]]))</f>
        <v>100132 - [Variable Salary Payments]</v>
      </c>
      <c r="U2800" s="22">
        <v>2795</v>
      </c>
      <c r="W2800" s="13" t="str">
        <f>LOOKUP(1,1/(Table1[[#This Row],[Level_0]:[Level 15]]&gt;0),(Table1[[#This Row],[Level_0]:[Level 15]]))</f>
        <v>100132 - [Variable Salary Payments]</v>
      </c>
    </row>
    <row r="2801" spans="1:23" hidden="1" x14ac:dyDescent="0.25">
      <c r="A2801">
        <v>5000091000</v>
      </c>
      <c r="B2801" s="16" t="s">
        <v>19963</v>
      </c>
      <c r="C2801" s="16" t="e">
        <f>VLOOKUP(Table1[[#This Row],[Node]],Parent!A:B,2,0)</f>
        <v>#N/A</v>
      </c>
      <c r="D2801" s="25" t="s">
        <v>19346</v>
      </c>
      <c r="E2801" s="26" t="s">
        <v>16544</v>
      </c>
      <c r="F2801" s="27" t="s">
        <v>19204</v>
      </c>
      <c r="G2801" s="27" t="s">
        <v>19287</v>
      </c>
      <c r="H2801" s="27" t="s">
        <v>19307</v>
      </c>
      <c r="I2801" s="27" t="s">
        <v>19308</v>
      </c>
      <c r="J2801" s="27" t="s">
        <v>19309</v>
      </c>
      <c r="K2801" s="27"/>
      <c r="L2801" s="27"/>
      <c r="N2801" s="27"/>
      <c r="T2801" s="28" t="str">
        <f>LOOKUP(1,1/(Table1[[#This Row],[Level_0]:[Level 15]]&gt;0),(Table1[[#This Row],[Level_0]:[Level 15]]))</f>
        <v>5000091000 - [Payroll - Oth Pay - Special Tax Treatmen]</v>
      </c>
      <c r="U2801" s="22">
        <v>2796</v>
      </c>
      <c r="W2801" s="13" t="str">
        <f>LOOKUP(1,1/(Table1[[#This Row],[Level_0]:[Level 15]]&gt;0),(Table1[[#This Row],[Level_0]:[Level 15]]))</f>
        <v>5000091000 - [Payroll - Oth Pay - Special Tax Treatmen]</v>
      </c>
    </row>
    <row r="2802" spans="1:23" hidden="1" x14ac:dyDescent="0.25">
      <c r="A2802">
        <v>5000090000</v>
      </c>
      <c r="B2802" s="16" t="s">
        <v>19962</v>
      </c>
      <c r="C2802" s="16" t="e">
        <f>VLOOKUP(Table1[[#This Row],[Node]],Parent!A:B,2,0)</f>
        <v>#N/A</v>
      </c>
      <c r="D2802" s="25" t="s">
        <v>19346</v>
      </c>
      <c r="E2802" s="26" t="s">
        <v>16544</v>
      </c>
      <c r="F2802" s="27" t="s">
        <v>19204</v>
      </c>
      <c r="G2802" s="27" t="s">
        <v>19287</v>
      </c>
      <c r="H2802" s="27" t="s">
        <v>19307</v>
      </c>
      <c r="I2802" s="27" t="s">
        <v>19308</v>
      </c>
      <c r="J2802" s="27" t="s">
        <v>19310</v>
      </c>
      <c r="K2802" s="27"/>
      <c r="L2802" s="27"/>
      <c r="N2802" s="27"/>
      <c r="T2802" s="28" t="str">
        <f>LOOKUP(1,1/(Table1[[#This Row],[Level_0]:[Level 15]]&gt;0),(Table1[[#This Row],[Level_0]:[Level 15]]))</f>
        <v>5000090000 - [Payroll - Other Pay]</v>
      </c>
      <c r="U2802" s="22">
        <v>2797</v>
      </c>
      <c r="W2802" s="13" t="str">
        <f>LOOKUP(1,1/(Table1[[#This Row],[Level_0]:[Level 15]]&gt;0),(Table1[[#This Row],[Level_0]:[Level 15]]))</f>
        <v>5000090000 - [Payroll - Other Pay]</v>
      </c>
    </row>
    <row r="2803" spans="1:23" hidden="1" x14ac:dyDescent="0.25">
      <c r="A2803">
        <v>5000004000</v>
      </c>
      <c r="B2803" s="16" t="s">
        <v>19957</v>
      </c>
      <c r="C2803" s="16" t="e">
        <f>VLOOKUP(Table1[[#This Row],[Node]],Parent!A:B,2,0)</f>
        <v>#N/A</v>
      </c>
      <c r="D2803" s="25" t="s">
        <v>19346</v>
      </c>
      <c r="E2803" s="26" t="s">
        <v>16544</v>
      </c>
      <c r="F2803" s="27" t="s">
        <v>19204</v>
      </c>
      <c r="G2803" s="27" t="s">
        <v>19287</v>
      </c>
      <c r="H2803" s="27" t="s">
        <v>19307</v>
      </c>
      <c r="I2803" s="27" t="s">
        <v>19308</v>
      </c>
      <c r="J2803" s="27" t="s">
        <v>19311</v>
      </c>
      <c r="K2803" s="27"/>
      <c r="L2803" s="27"/>
      <c r="N2803" s="27"/>
      <c r="T2803" s="28" t="str">
        <f>LOOKUP(1,1/(Table1[[#This Row],[Level_0]:[Level 15]]&gt;0),(Table1[[#This Row],[Level_0]:[Level 15]]))</f>
        <v>5000004000 - [Payroll - Employee Leave Benefits]</v>
      </c>
      <c r="U2803" s="22">
        <v>2798</v>
      </c>
      <c r="W2803" s="13" t="str">
        <f>LOOKUP(1,1/(Table1[[#This Row],[Level_0]:[Level 15]]&gt;0),(Table1[[#This Row],[Level_0]:[Level 15]]))</f>
        <v>5000004000 - [Payroll - Employee Leave Benefits]</v>
      </c>
    </row>
    <row r="2804" spans="1:23" hidden="1" x14ac:dyDescent="0.25">
      <c r="A2804">
        <v>5000003002</v>
      </c>
      <c r="B2804" s="16" t="s">
        <v>19956</v>
      </c>
      <c r="C2804" s="16" t="e">
        <f>VLOOKUP(Table1[[#This Row],[Node]],Parent!A:B,2,0)</f>
        <v>#N/A</v>
      </c>
      <c r="D2804" s="25" t="s">
        <v>19346</v>
      </c>
      <c r="E2804" s="26" t="s">
        <v>16544</v>
      </c>
      <c r="F2804" s="27" t="s">
        <v>19204</v>
      </c>
      <c r="G2804" s="27" t="s">
        <v>19287</v>
      </c>
      <c r="H2804" s="27" t="s">
        <v>19307</v>
      </c>
      <c r="I2804" s="27" t="s">
        <v>19308</v>
      </c>
      <c r="J2804" s="27" t="s">
        <v>19312</v>
      </c>
      <c r="K2804" s="27"/>
      <c r="L2804" s="27"/>
      <c r="N2804" s="27"/>
      <c r="T2804" s="28" t="str">
        <f>LOOKUP(1,1/(Table1[[#This Row],[Level_0]:[Level 15]]&gt;0),(Table1[[#This Row],[Level_0]:[Level 15]]))</f>
        <v>5000003002 - [Payroll - Holiday Pay - Account 2]</v>
      </c>
      <c r="U2804" s="22">
        <v>2799</v>
      </c>
      <c r="W2804" s="13" t="str">
        <f>LOOKUP(1,1/(Table1[[#This Row],[Level_0]:[Level 15]]&gt;0),(Table1[[#This Row],[Level_0]:[Level 15]]))</f>
        <v>5000003002 - [Payroll - Holiday Pay - Account 2]</v>
      </c>
    </row>
    <row r="2805" spans="1:23" hidden="1" x14ac:dyDescent="0.25">
      <c r="A2805">
        <v>5000003000</v>
      </c>
      <c r="B2805" s="16" t="s">
        <v>19955</v>
      </c>
      <c r="C2805" s="16" t="e">
        <f>VLOOKUP(Table1[[#This Row],[Node]],Parent!A:B,2,0)</f>
        <v>#N/A</v>
      </c>
      <c r="D2805" s="25" t="s">
        <v>19346</v>
      </c>
      <c r="E2805" s="26" t="s">
        <v>16544</v>
      </c>
      <c r="F2805" s="27" t="s">
        <v>19204</v>
      </c>
      <c r="G2805" s="27" t="s">
        <v>19287</v>
      </c>
      <c r="H2805" s="27" t="s">
        <v>19307</v>
      </c>
      <c r="I2805" s="27" t="s">
        <v>19308</v>
      </c>
      <c r="J2805" s="27" t="s">
        <v>19313</v>
      </c>
      <c r="K2805" s="27"/>
      <c r="L2805" s="27"/>
      <c r="N2805" s="27"/>
      <c r="T2805" s="28" t="str">
        <f>LOOKUP(1,1/(Table1[[#This Row],[Level_0]:[Level 15]]&gt;0),(Table1[[#This Row],[Level_0]:[Level 15]]))</f>
        <v>5000003000 - [Payroll - Holiday Pay]</v>
      </c>
      <c r="U2805" s="22">
        <v>2800</v>
      </c>
      <c r="W2805" s="13" t="str">
        <f>LOOKUP(1,1/(Table1[[#This Row],[Level_0]:[Level 15]]&gt;0),(Table1[[#This Row],[Level_0]:[Level 15]]))</f>
        <v>5000003000 - [Payroll - Holiday Pay]</v>
      </c>
    </row>
    <row r="2806" spans="1:23" hidden="1" x14ac:dyDescent="0.25">
      <c r="A2806">
        <v>5000002000</v>
      </c>
      <c r="B2806" s="16" t="s">
        <v>19954</v>
      </c>
      <c r="C2806" s="16" t="e">
        <f>VLOOKUP(Table1[[#This Row],[Node]],Parent!A:B,2,0)</f>
        <v>#N/A</v>
      </c>
      <c r="D2806" s="25" t="s">
        <v>19346</v>
      </c>
      <c r="E2806" s="26" t="s">
        <v>16544</v>
      </c>
      <c r="F2806" s="27" t="s">
        <v>19204</v>
      </c>
      <c r="G2806" s="27" t="s">
        <v>19287</v>
      </c>
      <c r="H2806" s="27" t="s">
        <v>19307</v>
      </c>
      <c r="I2806" s="27" t="s">
        <v>19308</v>
      </c>
      <c r="J2806" s="27" t="s">
        <v>19314</v>
      </c>
      <c r="K2806" s="27"/>
      <c r="L2806" s="27"/>
      <c r="N2806" s="27"/>
      <c r="T2806" s="28" t="str">
        <f>LOOKUP(1,1/(Table1[[#This Row],[Level_0]:[Level 15]]&gt;0),(Table1[[#This Row],[Level_0]:[Level 15]]))</f>
        <v>5000002000 - [Payroll - Overtime Pay]</v>
      </c>
      <c r="U2806" s="22">
        <v>2801</v>
      </c>
      <c r="W2806" s="13" t="str">
        <f>LOOKUP(1,1/(Table1[[#This Row],[Level_0]:[Level 15]]&gt;0),(Table1[[#This Row],[Level_0]:[Level 15]]))</f>
        <v>5000002000 - [Payroll - Overtime Pay]</v>
      </c>
    </row>
    <row r="2807" spans="1:23" hidden="1" x14ac:dyDescent="0.25">
      <c r="A2807">
        <v>5000001000</v>
      </c>
      <c r="B2807" s="16" t="s">
        <v>19953</v>
      </c>
      <c r="C2807" s="16" t="e">
        <f>VLOOKUP(Table1[[#This Row],[Node]],Parent!A:B,2,0)</f>
        <v>#N/A</v>
      </c>
      <c r="D2807" s="25" t="s">
        <v>19346</v>
      </c>
      <c r="E2807" s="26" t="s">
        <v>16544</v>
      </c>
      <c r="F2807" s="27" t="s">
        <v>19204</v>
      </c>
      <c r="G2807" s="27" t="s">
        <v>19287</v>
      </c>
      <c r="H2807" s="27" t="s">
        <v>19307</v>
      </c>
      <c r="I2807" s="27" t="s">
        <v>19308</v>
      </c>
      <c r="J2807" s="27" t="s">
        <v>19315</v>
      </c>
      <c r="K2807" s="27"/>
      <c r="L2807" s="27"/>
      <c r="N2807" s="27"/>
      <c r="T2807" s="28" t="str">
        <f>LOOKUP(1,1/(Table1[[#This Row],[Level_0]:[Level 15]]&gt;0),(Table1[[#This Row],[Level_0]:[Level 15]]))</f>
        <v>5000001000 - [Payroll - Shift Pay]</v>
      </c>
      <c r="U2807" s="22">
        <v>2802</v>
      </c>
      <c r="W2807" s="13" t="str">
        <f>LOOKUP(1,1/(Table1[[#This Row],[Level_0]:[Level 15]]&gt;0),(Table1[[#This Row],[Level_0]:[Level 15]]))</f>
        <v>5000001000 - [Payroll - Shift Pay]</v>
      </c>
    </row>
    <row r="2808" spans="1:23" hidden="1" x14ac:dyDescent="0.25">
      <c r="A2808">
        <v>100122</v>
      </c>
      <c r="B2808" s="16" t="s">
        <v>19363</v>
      </c>
      <c r="C2808" s="16" t="e">
        <f>VLOOKUP(Table1[[#This Row],[Node]],Parent!A:B,2,0)</f>
        <v>#N/A</v>
      </c>
      <c r="D2808" s="25" t="s">
        <v>19346</v>
      </c>
      <c r="E2808" s="26" t="s">
        <v>16544</v>
      </c>
      <c r="F2808" s="27" t="s">
        <v>19204</v>
      </c>
      <c r="G2808" s="27" t="s">
        <v>19287</v>
      </c>
      <c r="H2808" s="27" t="s">
        <v>19307</v>
      </c>
      <c r="I2808" s="27" t="s">
        <v>19316</v>
      </c>
      <c r="J2808" s="27"/>
      <c r="K2808" s="27"/>
      <c r="L2808" s="27"/>
      <c r="N2808" s="27"/>
      <c r="T2808" s="28" t="str">
        <f>LOOKUP(1,1/(Table1[[#This Row],[Level_0]:[Level 15]]&gt;0),(Table1[[#This Row],[Level_0]:[Level 15]]))</f>
        <v>100122 - [Retirement/Pension Plans]</v>
      </c>
      <c r="U2808" s="22">
        <v>2803</v>
      </c>
      <c r="W2808" s="13" t="str">
        <f>LOOKUP(1,1/(Table1[[#This Row],[Level_0]:[Level 15]]&gt;0),(Table1[[#This Row],[Level_0]:[Level 15]]))</f>
        <v>100122 - [Retirement/Pension Plans]</v>
      </c>
    </row>
    <row r="2809" spans="1:23" hidden="1" x14ac:dyDescent="0.25">
      <c r="A2809">
        <v>5030090004</v>
      </c>
      <c r="B2809" s="16" t="s">
        <v>20013</v>
      </c>
      <c r="C2809" s="16" t="e">
        <f>VLOOKUP(Table1[[#This Row],[Node]],Parent!A:B,2,0)</f>
        <v>#N/A</v>
      </c>
      <c r="D2809" s="25" t="s">
        <v>19346</v>
      </c>
      <c r="E2809" s="26" t="s">
        <v>16544</v>
      </c>
      <c r="F2809" s="27" t="s">
        <v>19204</v>
      </c>
      <c r="G2809" s="27" t="s">
        <v>19287</v>
      </c>
      <c r="H2809" s="27" t="s">
        <v>19307</v>
      </c>
      <c r="I2809" s="27" t="s">
        <v>19316</v>
      </c>
      <c r="J2809" s="27" t="s">
        <v>19317</v>
      </c>
      <c r="K2809" s="27"/>
      <c r="L2809" s="27"/>
      <c r="N2809" s="27"/>
      <c r="T2809" s="28" t="str">
        <f>LOOKUP(1,1/(Table1[[#This Row],[Level_0]:[Level 15]]&gt;0),(Table1[[#This Row],[Level_0]:[Level 15]]))</f>
        <v>5030090004 - [Oth Pers Exp - Employben Private Pension]</v>
      </c>
      <c r="U2809" s="22">
        <v>2804</v>
      </c>
      <c r="W2809" s="13" t="str">
        <f>LOOKUP(1,1/(Table1[[#This Row],[Level_0]:[Level 15]]&gt;0),(Table1[[#This Row],[Level_0]:[Level 15]]))</f>
        <v>5030090004 - [Oth Pers Exp - Employben Private Pension]</v>
      </c>
    </row>
    <row r="2810" spans="1:23" hidden="1" x14ac:dyDescent="0.25">
      <c r="A2810">
        <v>5020002000</v>
      </c>
      <c r="B2810" s="16" t="s">
        <v>19991</v>
      </c>
      <c r="C2810" s="16" t="e">
        <f>VLOOKUP(Table1[[#This Row],[Node]],Parent!A:B,2,0)</f>
        <v>#N/A</v>
      </c>
      <c r="D2810" s="25" t="s">
        <v>19346</v>
      </c>
      <c r="E2810" s="26" t="s">
        <v>16544</v>
      </c>
      <c r="F2810" s="27" t="s">
        <v>19204</v>
      </c>
      <c r="G2810" s="27" t="s">
        <v>19287</v>
      </c>
      <c r="H2810" s="27" t="s">
        <v>19307</v>
      </c>
      <c r="I2810" s="27" t="s">
        <v>19316</v>
      </c>
      <c r="J2810" s="27" t="s">
        <v>19318</v>
      </c>
      <c r="K2810" s="27"/>
      <c r="L2810" s="27"/>
      <c r="N2810" s="27"/>
      <c r="T2810" s="28" t="str">
        <f>LOOKUP(1,1/(Table1[[#This Row],[Level_0]:[Level 15]]&gt;0),(Table1[[#This Row],[Level_0]:[Level 15]]))</f>
        <v>5020002000 - [Pension Fund Contributions]</v>
      </c>
      <c r="U2810" s="22">
        <v>2805</v>
      </c>
      <c r="W2810" s="13" t="str">
        <f>LOOKUP(1,1/(Table1[[#This Row],[Level_0]:[Level 15]]&gt;0),(Table1[[#This Row],[Level_0]:[Level 15]]))</f>
        <v>5020002000 - [Pension Fund Contributions]</v>
      </c>
    </row>
    <row r="2811" spans="1:23" hidden="1" x14ac:dyDescent="0.25">
      <c r="A2811">
        <v>5020001000</v>
      </c>
      <c r="B2811" s="16" t="s">
        <v>19990</v>
      </c>
      <c r="C2811" s="16" t="e">
        <f>VLOOKUP(Table1[[#This Row],[Node]],Parent!A:B,2,0)</f>
        <v>#N/A</v>
      </c>
      <c r="D2811" s="25" t="s">
        <v>19346</v>
      </c>
      <c r="E2811" s="26" t="s">
        <v>16544</v>
      </c>
      <c r="F2811" s="27" t="s">
        <v>19204</v>
      </c>
      <c r="G2811" s="27" t="s">
        <v>19287</v>
      </c>
      <c r="H2811" s="27" t="s">
        <v>19307</v>
      </c>
      <c r="I2811" s="27" t="s">
        <v>19316</v>
      </c>
      <c r="J2811" s="27" t="s">
        <v>19319</v>
      </c>
      <c r="K2811" s="27"/>
      <c r="L2811" s="27"/>
      <c r="N2811" s="27"/>
      <c r="T2811" s="28" t="str">
        <f>LOOKUP(1,1/(Table1[[#This Row],[Level_0]:[Level 15]]&gt;0),(Table1[[#This Row],[Level_0]:[Level 15]]))</f>
        <v>5020001000 - [Stat Pension Insurance Contributions]</v>
      </c>
      <c r="U2811" s="22">
        <v>2806</v>
      </c>
      <c r="W2811" s="13" t="str">
        <f>LOOKUP(1,1/(Table1[[#This Row],[Level_0]:[Level 15]]&gt;0),(Table1[[#This Row],[Level_0]:[Level 15]]))</f>
        <v>5020001000 - [Stat Pension Insurance Contributions]</v>
      </c>
    </row>
    <row r="2812" spans="1:23" hidden="1" x14ac:dyDescent="0.25">
      <c r="A2812">
        <v>5020000001</v>
      </c>
      <c r="B2812" s="16" t="s">
        <v>19989</v>
      </c>
      <c r="C2812" s="16" t="e">
        <f>VLOOKUP(Table1[[#This Row],[Node]],Parent!A:B,2,0)</f>
        <v>#N/A</v>
      </c>
      <c r="D2812" s="25" t="s">
        <v>19346</v>
      </c>
      <c r="E2812" s="26" t="s">
        <v>16544</v>
      </c>
      <c r="F2812" s="27" t="s">
        <v>19204</v>
      </c>
      <c r="G2812" s="27" t="s">
        <v>19287</v>
      </c>
      <c r="H2812" s="27" t="s">
        <v>19307</v>
      </c>
      <c r="I2812" s="27" t="s">
        <v>19316</v>
      </c>
      <c r="J2812" s="27" t="s">
        <v>19320</v>
      </c>
      <c r="K2812" s="27"/>
      <c r="L2812" s="27"/>
      <c r="N2812" s="27"/>
      <c r="T2812" s="28" t="str">
        <f>LOOKUP(1,1/(Table1[[#This Row],[Level_0]:[Level 15]]&gt;0),(Table1[[#This Row],[Level_0]:[Level 15]]))</f>
        <v>5020000001 - [Pensions - Pension Plan Expenses - Acc1]</v>
      </c>
      <c r="U2812" s="22">
        <v>2807</v>
      </c>
      <c r="W2812" s="13" t="str">
        <f>LOOKUP(1,1/(Table1[[#This Row],[Level_0]:[Level 15]]&gt;0),(Table1[[#This Row],[Level_0]:[Level 15]]))</f>
        <v>5020000001 - [Pensions - Pension Plan Expenses - Acc1]</v>
      </c>
    </row>
    <row r="2813" spans="1:23" hidden="1" x14ac:dyDescent="0.25">
      <c r="A2813">
        <v>5020000000</v>
      </c>
      <c r="B2813" s="16" t="s">
        <v>19988</v>
      </c>
      <c r="C2813" s="16" t="e">
        <f>VLOOKUP(Table1[[#This Row],[Node]],Parent!A:B,2,0)</f>
        <v>#N/A</v>
      </c>
      <c r="D2813" s="25" t="s">
        <v>19346</v>
      </c>
      <c r="E2813" s="26" t="s">
        <v>16544</v>
      </c>
      <c r="F2813" s="27" t="s">
        <v>19204</v>
      </c>
      <c r="G2813" s="27" t="s">
        <v>19287</v>
      </c>
      <c r="H2813" s="27" t="s">
        <v>19307</v>
      </c>
      <c r="I2813" s="27" t="s">
        <v>19316</v>
      </c>
      <c r="J2813" s="27" t="s">
        <v>19321</v>
      </c>
      <c r="K2813" s="27"/>
      <c r="L2813" s="27"/>
      <c r="N2813" s="27"/>
      <c r="T2813" s="28" t="str">
        <f>LOOKUP(1,1/(Table1[[#This Row],[Level_0]:[Level 15]]&gt;0),(Table1[[#This Row],[Level_0]:[Level 15]]))</f>
        <v>5020000000 - [Pensions - Pension Plan Expenses]</v>
      </c>
      <c r="U2813" s="22">
        <v>2808</v>
      </c>
      <c r="W2813" s="13" t="str">
        <f>LOOKUP(1,1/(Table1[[#This Row],[Level_0]:[Level 15]]&gt;0),(Table1[[#This Row],[Level_0]:[Level 15]]))</f>
        <v>5020000000 - [Pensions - Pension Plan Expenses]</v>
      </c>
    </row>
    <row r="2814" spans="1:23" hidden="1" x14ac:dyDescent="0.25">
      <c r="A2814">
        <v>7020000011</v>
      </c>
      <c r="B2814" s="16" t="s">
        <v>20650</v>
      </c>
      <c r="C2814" s="16" t="e">
        <f>VLOOKUP(Table1[[#This Row],[Node]],Parent!A:B,2,0)</f>
        <v>#N/A</v>
      </c>
      <c r="D2814" s="25" t="s">
        <v>19346</v>
      </c>
      <c r="E2814" s="26" t="s">
        <v>16544</v>
      </c>
      <c r="F2814" s="27" t="s">
        <v>19204</v>
      </c>
      <c r="G2814" s="27" t="s">
        <v>19287</v>
      </c>
      <c r="H2814" s="27" t="s">
        <v>19307</v>
      </c>
      <c r="I2814" s="27" t="s">
        <v>19316</v>
      </c>
      <c r="J2814" s="27" t="s">
        <v>19322</v>
      </c>
      <c r="K2814" s="27"/>
      <c r="L2814" s="27"/>
      <c r="N2814" s="27"/>
      <c r="T2814" s="28" t="str">
        <f>LOOKUP(1,1/(Table1[[#This Row],[Level_0]:[Level 15]]&gt;0),(Table1[[#This Row],[Level_0]:[Level 15]]))</f>
        <v>7020000011 - [AOM Pensionssicherungsverein pens. secur]</v>
      </c>
      <c r="U2814" s="22">
        <v>2809</v>
      </c>
      <c r="W2814" s="13" t="str">
        <f>LOOKUP(1,1/(Table1[[#This Row],[Level_0]:[Level 15]]&gt;0),(Table1[[#This Row],[Level_0]:[Level 15]]))</f>
        <v>7020000011 - [AOM Pensionssicherungsverein pens. secur]</v>
      </c>
    </row>
    <row r="2815" spans="1:23" hidden="1" x14ac:dyDescent="0.25">
      <c r="A2815">
        <v>7020000010</v>
      </c>
      <c r="B2815" s="16" t="s">
        <v>20649</v>
      </c>
      <c r="C2815" s="16" t="e">
        <f>VLOOKUP(Table1[[#This Row],[Node]],Parent!A:B,2,0)</f>
        <v>#N/A</v>
      </c>
      <c r="D2815" s="25" t="s">
        <v>19346</v>
      </c>
      <c r="E2815" s="26" t="s">
        <v>16544</v>
      </c>
      <c r="F2815" s="27" t="s">
        <v>19204</v>
      </c>
      <c r="G2815" s="27" t="s">
        <v>19287</v>
      </c>
      <c r="H2815" s="27" t="s">
        <v>19307</v>
      </c>
      <c r="I2815" s="27" t="s">
        <v>19316</v>
      </c>
      <c r="J2815" s="27" t="s">
        <v>19323</v>
      </c>
      <c r="K2815" s="27"/>
      <c r="L2815" s="27"/>
      <c r="N2815" s="27"/>
      <c r="T2815" s="28" t="str">
        <f>LOOKUP(1,1/(Table1[[#This Row],[Level_0]:[Level 15]]&gt;0),(Table1[[#This Row],[Level_0]:[Level 15]]))</f>
        <v>7020000010 - [AOM Pensionsrueckstellung pension accrua]</v>
      </c>
      <c r="U2815" s="22">
        <v>2810</v>
      </c>
      <c r="W2815" s="13" t="str">
        <f>LOOKUP(1,1/(Table1[[#This Row],[Level_0]:[Level 15]]&gt;0),(Table1[[#This Row],[Level_0]:[Level 15]]))</f>
        <v>7020000010 - [AOM Pensionsrueckstellung pension accrua]</v>
      </c>
    </row>
    <row r="2816" spans="1:23" hidden="1" x14ac:dyDescent="0.25">
      <c r="A2816">
        <v>100112</v>
      </c>
      <c r="B2816" s="16" t="s">
        <v>19362</v>
      </c>
      <c r="C2816" s="16" t="e">
        <f>VLOOKUP(Table1[[#This Row],[Node]],Parent!A:B,2,0)</f>
        <v>#N/A</v>
      </c>
      <c r="D2816" s="25" t="s">
        <v>19346</v>
      </c>
      <c r="E2816" s="26" t="s">
        <v>16544</v>
      </c>
      <c r="F2816" s="27" t="s">
        <v>19204</v>
      </c>
      <c r="G2816" s="27" t="s">
        <v>19287</v>
      </c>
      <c r="H2816" s="27" t="s">
        <v>19307</v>
      </c>
      <c r="I2816" s="27" t="s">
        <v>19324</v>
      </c>
      <c r="J2816" s="27"/>
      <c r="K2816" s="27"/>
      <c r="L2816" s="27"/>
      <c r="N2816" s="27"/>
      <c r="T2816" s="28" t="str">
        <f>LOOKUP(1,1/(Table1[[#This Row],[Level_0]:[Level 15]]&gt;0),(Table1[[#This Row],[Level_0]:[Level 15]]))</f>
        <v>100112 - [Social Contributions]</v>
      </c>
      <c r="U2816" s="22">
        <v>2811</v>
      </c>
      <c r="W2816" s="13" t="str">
        <f>LOOKUP(1,1/(Table1[[#This Row],[Level_0]:[Level 15]]&gt;0),(Table1[[#This Row],[Level_0]:[Level 15]]))</f>
        <v>100112 - [Social Contributions]</v>
      </c>
    </row>
    <row r="2817" spans="1:23" hidden="1" x14ac:dyDescent="0.25">
      <c r="A2817">
        <v>5030090003</v>
      </c>
      <c r="B2817" s="16" t="s">
        <v>20012</v>
      </c>
      <c r="C2817" s="16" t="e">
        <f>VLOOKUP(Table1[[#This Row],[Node]],Parent!A:B,2,0)</f>
        <v>#N/A</v>
      </c>
      <c r="D2817" s="25" t="s">
        <v>19346</v>
      </c>
      <c r="E2817" s="26" t="s">
        <v>16544</v>
      </c>
      <c r="F2817" s="27" t="s">
        <v>19204</v>
      </c>
      <c r="G2817" s="27" t="s">
        <v>19287</v>
      </c>
      <c r="H2817" s="27" t="s">
        <v>19307</v>
      </c>
      <c r="I2817" s="27" t="s">
        <v>19324</v>
      </c>
      <c r="J2817" s="27" t="s">
        <v>19325</v>
      </c>
      <c r="K2817" s="27"/>
      <c r="L2817" s="27"/>
      <c r="N2817" s="27"/>
      <c r="T2817" s="28" t="str">
        <f>LOOKUP(1,1/(Table1[[#This Row],[Level_0]:[Level 15]]&gt;0),(Table1[[#This Row],[Level_0]:[Level 15]]))</f>
        <v>5030090003 - [Oth Pers Exp - Employben Priv HealthCare]</v>
      </c>
      <c r="U2817" s="22">
        <v>2812</v>
      </c>
      <c r="W2817" s="13" t="str">
        <f>LOOKUP(1,1/(Table1[[#This Row],[Level_0]:[Level 15]]&gt;0),(Table1[[#This Row],[Level_0]:[Level 15]]))</f>
        <v>5030090003 - [Oth Pers Exp - Employben Priv HealthCare]</v>
      </c>
    </row>
    <row r="2818" spans="1:23" hidden="1" x14ac:dyDescent="0.25">
      <c r="A2818">
        <v>5030008000</v>
      </c>
      <c r="B2818" s="16" t="s">
        <v>20002</v>
      </c>
      <c r="C2818" s="16" t="e">
        <f>VLOOKUP(Table1[[#This Row],[Node]],Parent!A:B,2,0)</f>
        <v>#N/A</v>
      </c>
      <c r="D2818" s="25" t="s">
        <v>19346</v>
      </c>
      <c r="E2818" s="26" t="s">
        <v>16544</v>
      </c>
      <c r="F2818" s="27" t="s">
        <v>19204</v>
      </c>
      <c r="G2818" s="27" t="s">
        <v>19287</v>
      </c>
      <c r="H2818" s="27" t="s">
        <v>19307</v>
      </c>
      <c r="I2818" s="27" t="s">
        <v>19324</v>
      </c>
      <c r="J2818" s="27" t="s">
        <v>19326</v>
      </c>
      <c r="K2818" s="27"/>
      <c r="L2818" s="27"/>
      <c r="N2818" s="27"/>
      <c r="T2818" s="28" t="str">
        <f>LOOKUP(1,1/(Table1[[#This Row],[Level_0]:[Level 15]]&gt;0),(Table1[[#This Row],[Level_0]:[Level 15]]))</f>
        <v>5030008000 - [Oth Pers Exp - Contribution to Soc Funds]</v>
      </c>
      <c r="U2818" s="22">
        <v>2813</v>
      </c>
      <c r="W2818" s="13" t="str">
        <f>LOOKUP(1,1/(Table1[[#This Row],[Level_0]:[Level 15]]&gt;0),(Table1[[#This Row],[Level_0]:[Level 15]]))</f>
        <v>5030008000 - [Oth Pers Exp - Contribution to Soc Funds]</v>
      </c>
    </row>
    <row r="2819" spans="1:23" hidden="1" x14ac:dyDescent="0.25">
      <c r="A2819">
        <v>5030005000</v>
      </c>
      <c r="B2819" s="16" t="s">
        <v>19998</v>
      </c>
      <c r="C2819" s="16" t="e">
        <f>VLOOKUP(Table1[[#This Row],[Node]],Parent!A:B,2,0)</f>
        <v>#N/A</v>
      </c>
      <c r="D2819" s="25" t="s">
        <v>19346</v>
      </c>
      <c r="E2819" s="26" t="s">
        <v>16544</v>
      </c>
      <c r="F2819" s="27" t="s">
        <v>19204</v>
      </c>
      <c r="G2819" s="27" t="s">
        <v>19287</v>
      </c>
      <c r="H2819" s="27" t="s">
        <v>19307</v>
      </c>
      <c r="I2819" s="27" t="s">
        <v>19324</v>
      </c>
      <c r="J2819" s="27" t="s">
        <v>19327</v>
      </c>
      <c r="K2819" s="27"/>
      <c r="L2819" s="27"/>
      <c r="N2819" s="27"/>
      <c r="T2819" s="28" t="str">
        <f>LOOKUP(1,1/(Table1[[#This Row],[Level_0]:[Level 15]]&gt;0),(Table1[[#This Row],[Level_0]:[Level 15]]))</f>
        <v>5030005000 - [Oth Pers Exp - Voluntary Social Exp]</v>
      </c>
      <c r="U2819" s="22">
        <v>2814</v>
      </c>
      <c r="W2819" s="13" t="str">
        <f>LOOKUP(1,1/(Table1[[#This Row],[Level_0]:[Level 15]]&gt;0),(Table1[[#This Row],[Level_0]:[Level 15]]))</f>
        <v>5030005000 - [Oth Pers Exp - Voluntary Social Exp]</v>
      </c>
    </row>
    <row r="2820" spans="1:23" hidden="1" x14ac:dyDescent="0.25">
      <c r="A2820">
        <v>5010020000</v>
      </c>
      <c r="B2820" s="16" t="s">
        <v>19987</v>
      </c>
      <c r="C2820" s="16" t="e">
        <f>VLOOKUP(Table1[[#This Row],[Node]],Parent!A:B,2,0)</f>
        <v>#N/A</v>
      </c>
      <c r="D2820" s="25" t="s">
        <v>19346</v>
      </c>
      <c r="E2820" s="26" t="s">
        <v>16544</v>
      </c>
      <c r="F2820" s="27" t="s">
        <v>19204</v>
      </c>
      <c r="G2820" s="27" t="s">
        <v>19287</v>
      </c>
      <c r="H2820" s="27" t="s">
        <v>19307</v>
      </c>
      <c r="I2820" s="27" t="s">
        <v>19324</v>
      </c>
      <c r="J2820" s="27" t="s">
        <v>19328</v>
      </c>
      <c r="K2820" s="27"/>
      <c r="L2820" s="27"/>
      <c r="N2820" s="27"/>
      <c r="T2820" s="28" t="str">
        <f>LOOKUP(1,1/(Table1[[#This Row],[Level_0]:[Level 15]]&gt;0),(Table1[[#This Row],[Level_0]:[Level 15]]))</f>
        <v>5010020000 - [Payr - Health Care]</v>
      </c>
      <c r="U2820" s="22">
        <v>2815</v>
      </c>
      <c r="W2820" s="13" t="str">
        <f>LOOKUP(1,1/(Table1[[#This Row],[Level_0]:[Level 15]]&gt;0),(Table1[[#This Row],[Level_0]:[Level 15]]))</f>
        <v>5010020000 - [Payr - Health Care]</v>
      </c>
    </row>
    <row r="2821" spans="1:23" hidden="1" x14ac:dyDescent="0.25">
      <c r="A2821">
        <v>5010010000</v>
      </c>
      <c r="B2821" s="16" t="s">
        <v>19986</v>
      </c>
      <c r="C2821" s="16" t="e">
        <f>VLOOKUP(Table1[[#This Row],[Node]],Parent!A:B,2,0)</f>
        <v>#N/A</v>
      </c>
      <c r="D2821" s="25" t="s">
        <v>19346</v>
      </c>
      <c r="E2821" s="26" t="s">
        <v>16544</v>
      </c>
      <c r="F2821" s="27" t="s">
        <v>19204</v>
      </c>
      <c r="G2821" s="27" t="s">
        <v>19287</v>
      </c>
      <c r="H2821" s="27" t="s">
        <v>19307</v>
      </c>
      <c r="I2821" s="27" t="s">
        <v>19324</v>
      </c>
      <c r="J2821" s="27" t="s">
        <v>19329</v>
      </c>
      <c r="K2821" s="27"/>
      <c r="L2821" s="27"/>
      <c r="N2821" s="27"/>
      <c r="T2821" s="28" t="str">
        <f>LOOKUP(1,1/(Table1[[#This Row],[Level_0]:[Level 15]]&gt;0),(Table1[[#This Row],[Level_0]:[Level 15]]))</f>
        <v>5010010000 - [Payr - Public &amp; Employee Liab Insurance]</v>
      </c>
      <c r="U2821" s="22">
        <v>2816</v>
      </c>
      <c r="W2821" s="13" t="str">
        <f>LOOKUP(1,1/(Table1[[#This Row],[Level_0]:[Level 15]]&gt;0),(Table1[[#This Row],[Level_0]:[Level 15]]))</f>
        <v>5010010000 - [Payr - Public &amp; Employee Liab Insurance]</v>
      </c>
    </row>
    <row r="2822" spans="1:23" hidden="1" x14ac:dyDescent="0.25">
      <c r="A2822">
        <v>5010009000</v>
      </c>
      <c r="B2822" s="16" t="s">
        <v>19985</v>
      </c>
      <c r="C2822" s="16" t="e">
        <f>VLOOKUP(Table1[[#This Row],[Node]],Parent!A:B,2,0)</f>
        <v>#N/A</v>
      </c>
      <c r="D2822" s="25" t="s">
        <v>19346</v>
      </c>
      <c r="E2822" s="26" t="s">
        <v>16544</v>
      </c>
      <c r="F2822" s="27" t="s">
        <v>19204</v>
      </c>
      <c r="G2822" s="27" t="s">
        <v>19287</v>
      </c>
      <c r="H2822" s="27" t="s">
        <v>19307</v>
      </c>
      <c r="I2822" s="27" t="s">
        <v>19324</v>
      </c>
      <c r="J2822" s="27" t="s">
        <v>19330</v>
      </c>
      <c r="K2822" s="27"/>
      <c r="L2822" s="27"/>
      <c r="N2822" s="27"/>
      <c r="T2822" s="28" t="str">
        <f>LOOKUP(1,1/(Table1[[#This Row],[Level_0]:[Level 15]]&gt;0),(Table1[[#This Row],[Level_0]:[Level 15]]))</f>
        <v>5010009000 - [Payr - Social Insurance Contrib - Oth]</v>
      </c>
      <c r="U2822" s="22">
        <v>2817</v>
      </c>
      <c r="W2822" s="13" t="str">
        <f>LOOKUP(1,1/(Table1[[#This Row],[Level_0]:[Level 15]]&gt;0),(Table1[[#This Row],[Level_0]:[Level 15]]))</f>
        <v>5010009000 - [Payr - Social Insurance Contrib - Oth]</v>
      </c>
    </row>
    <row r="2823" spans="1:23" hidden="1" x14ac:dyDescent="0.25">
      <c r="A2823">
        <v>5010001000</v>
      </c>
      <c r="B2823" s="16" t="s">
        <v>19984</v>
      </c>
      <c r="C2823" s="16" t="e">
        <f>VLOOKUP(Table1[[#This Row],[Node]],Parent!A:B,2,0)</f>
        <v>#N/A</v>
      </c>
      <c r="D2823" s="25" t="s">
        <v>19346</v>
      </c>
      <c r="E2823" s="26" t="s">
        <v>16544</v>
      </c>
      <c r="F2823" s="27" t="s">
        <v>19204</v>
      </c>
      <c r="G2823" s="27" t="s">
        <v>19287</v>
      </c>
      <c r="H2823" s="27" t="s">
        <v>19307</v>
      </c>
      <c r="I2823" s="27" t="s">
        <v>19324</v>
      </c>
      <c r="J2823" s="27" t="s">
        <v>19331</v>
      </c>
      <c r="K2823" s="27"/>
      <c r="L2823" s="27"/>
      <c r="N2823" s="27"/>
      <c r="T2823" s="28" t="str">
        <f>LOOKUP(1,1/(Table1[[#This Row],[Level_0]:[Level 15]]&gt;0),(Table1[[#This Row],[Level_0]:[Level 15]]))</f>
        <v>5010001000 - [Payr - Social Insurance - Unemployment]</v>
      </c>
      <c r="U2823" s="22">
        <v>2818</v>
      </c>
      <c r="W2823" s="13" t="str">
        <f>LOOKUP(1,1/(Table1[[#This Row],[Level_0]:[Level 15]]&gt;0),(Table1[[#This Row],[Level_0]:[Level 15]]))</f>
        <v>5010001000 - [Payr - Social Insurance - Unemployment]</v>
      </c>
    </row>
    <row r="2824" spans="1:23" hidden="1" x14ac:dyDescent="0.25">
      <c r="A2824">
        <v>5010000002</v>
      </c>
      <c r="B2824" s="16" t="s">
        <v>19980</v>
      </c>
      <c r="C2824" s="16" t="e">
        <f>VLOOKUP(Table1[[#This Row],[Node]],Parent!A:B,2,0)</f>
        <v>#N/A</v>
      </c>
      <c r="D2824" s="25" t="s">
        <v>19346</v>
      </c>
      <c r="E2824" s="26" t="s">
        <v>16544</v>
      </c>
      <c r="F2824" s="27" t="s">
        <v>19204</v>
      </c>
      <c r="G2824" s="27" t="s">
        <v>19287</v>
      </c>
      <c r="H2824" s="27" t="s">
        <v>19307</v>
      </c>
      <c r="I2824" s="27" t="s">
        <v>19324</v>
      </c>
      <c r="J2824" s="27" t="s">
        <v>19332</v>
      </c>
      <c r="K2824" s="27"/>
      <c r="L2824" s="27"/>
      <c r="N2824" s="27"/>
      <c r="T2824" s="28" t="str">
        <f>LOOKUP(1,1/(Table1[[#This Row],[Level_0]:[Level 15]]&gt;0),(Table1[[#This Row],[Level_0]:[Level 15]]))</f>
        <v>5010000002 - [Payr - Social Insurance Contrib - Acc 2]</v>
      </c>
      <c r="U2824" s="22">
        <v>2819</v>
      </c>
      <c r="W2824" s="13" t="str">
        <f>LOOKUP(1,1/(Table1[[#This Row],[Level_0]:[Level 15]]&gt;0),(Table1[[#This Row],[Level_0]:[Level 15]]))</f>
        <v>5010000002 - [Payr - Social Insurance Contrib - Acc 2]</v>
      </c>
    </row>
    <row r="2825" spans="1:23" hidden="1" x14ac:dyDescent="0.25">
      <c r="A2825">
        <v>5010000001</v>
      </c>
      <c r="B2825" s="16" t="s">
        <v>19979</v>
      </c>
      <c r="C2825" s="16" t="e">
        <f>VLOOKUP(Table1[[#This Row],[Node]],Parent!A:B,2,0)</f>
        <v>#N/A</v>
      </c>
      <c r="D2825" s="25" t="s">
        <v>19346</v>
      </c>
      <c r="E2825" s="26" t="s">
        <v>16544</v>
      </c>
      <c r="F2825" s="27" t="s">
        <v>19204</v>
      </c>
      <c r="G2825" s="27" t="s">
        <v>19287</v>
      </c>
      <c r="H2825" s="27" t="s">
        <v>19307</v>
      </c>
      <c r="I2825" s="27" t="s">
        <v>19324</v>
      </c>
      <c r="J2825" s="27" t="s">
        <v>19333</v>
      </c>
      <c r="K2825" s="27"/>
      <c r="L2825" s="27"/>
      <c r="N2825" s="27"/>
      <c r="T2825" s="28" t="str">
        <f>LOOKUP(1,1/(Table1[[#This Row],[Level_0]:[Level 15]]&gt;0),(Table1[[#This Row],[Level_0]:[Level 15]]))</f>
        <v>5010000001 - [Payr - Social Insurance Contrib - Acc 1]</v>
      </c>
      <c r="U2825" s="22">
        <v>2820</v>
      </c>
      <c r="W2825" s="13" t="str">
        <f>LOOKUP(1,1/(Table1[[#This Row],[Level_0]:[Level 15]]&gt;0),(Table1[[#This Row],[Level_0]:[Level 15]]))</f>
        <v>5010000001 - [Payr - Social Insurance Contrib - Acc 1]</v>
      </c>
    </row>
    <row r="2826" spans="1:23" hidden="1" x14ac:dyDescent="0.25">
      <c r="A2826">
        <v>5010000000</v>
      </c>
      <c r="B2826" s="16" t="s">
        <v>19978</v>
      </c>
      <c r="C2826" s="16" t="e">
        <f>VLOOKUP(Table1[[#This Row],[Node]],Parent!A:B,2,0)</f>
        <v>#N/A</v>
      </c>
      <c r="D2826" s="25" t="s">
        <v>19346</v>
      </c>
      <c r="E2826" s="26" t="s">
        <v>16544</v>
      </c>
      <c r="F2826" s="27" t="s">
        <v>19204</v>
      </c>
      <c r="G2826" s="27" t="s">
        <v>19287</v>
      </c>
      <c r="H2826" s="27" t="s">
        <v>19307</v>
      </c>
      <c r="I2826" s="27" t="s">
        <v>19324</v>
      </c>
      <c r="J2826" s="27" t="s">
        <v>19334</v>
      </c>
      <c r="K2826" s="27"/>
      <c r="L2826" s="27"/>
      <c r="N2826" s="27"/>
      <c r="T2826" s="28" t="str">
        <f>LOOKUP(1,1/(Table1[[#This Row],[Level_0]:[Level 15]]&gt;0),(Table1[[#This Row],[Level_0]:[Level 15]]))</f>
        <v>5010000000 - [Payr - Social Insurance Contribution]</v>
      </c>
      <c r="U2826" s="22">
        <v>2821</v>
      </c>
      <c r="W2826" s="13" t="str">
        <f>LOOKUP(1,1/(Table1[[#This Row],[Level_0]:[Level 15]]&gt;0),(Table1[[#This Row],[Level_0]:[Level 15]]))</f>
        <v>5010000000 - [Payr - Social Insurance Contribution]</v>
      </c>
    </row>
    <row r="2827" spans="1:23" hidden="1" x14ac:dyDescent="0.25">
      <c r="A2827">
        <v>5002000000</v>
      </c>
      <c r="B2827" s="16" t="s">
        <v>19974</v>
      </c>
      <c r="C2827" s="16" t="e">
        <f>VLOOKUP(Table1[[#This Row],[Node]],Parent!A:B,2,0)</f>
        <v>#N/A</v>
      </c>
      <c r="D2827" s="25" t="s">
        <v>19346</v>
      </c>
      <c r="E2827" s="26" t="s">
        <v>16544</v>
      </c>
      <c r="F2827" s="27" t="s">
        <v>19204</v>
      </c>
      <c r="G2827" s="27" t="s">
        <v>19287</v>
      </c>
      <c r="H2827" s="27" t="s">
        <v>19307</v>
      </c>
      <c r="I2827" s="27" t="s">
        <v>19324</v>
      </c>
      <c r="J2827" s="27" t="s">
        <v>19335</v>
      </c>
      <c r="K2827" s="27"/>
      <c r="L2827" s="27"/>
      <c r="N2827" s="27"/>
      <c r="T2827" s="28" t="str">
        <f>LOOKUP(1,1/(Table1[[#This Row],[Level_0]:[Level 15]]&gt;0),(Table1[[#This Row],[Level_0]:[Level 15]]))</f>
        <v>5002000000 - [Expat Exp - Remun &amp; Soc Contrib Co]</v>
      </c>
      <c r="U2827" s="22">
        <v>2822</v>
      </c>
      <c r="W2827" s="13" t="str">
        <f>LOOKUP(1,1/(Table1[[#This Row],[Level_0]:[Level 15]]&gt;0),(Table1[[#This Row],[Level_0]:[Level 15]]))</f>
        <v>5002000000 - [Expat Exp - Remun &amp; Soc Contrib Co]</v>
      </c>
    </row>
    <row r="2828" spans="1:23" hidden="1" x14ac:dyDescent="0.25">
      <c r="A2828">
        <v>5001000004</v>
      </c>
      <c r="B2828" s="16" t="s">
        <v>19970</v>
      </c>
      <c r="C2828" s="16" t="e">
        <f>VLOOKUP(Table1[[#This Row],[Node]],Parent!A:B,2,0)</f>
        <v>#N/A</v>
      </c>
      <c r="D2828" s="25" t="s">
        <v>19346</v>
      </c>
      <c r="E2828" s="26" t="s">
        <v>16544</v>
      </c>
      <c r="F2828" s="27" t="s">
        <v>19204</v>
      </c>
      <c r="G2828" s="27" t="s">
        <v>19287</v>
      </c>
      <c r="H2828" s="27" t="s">
        <v>19307</v>
      </c>
      <c r="I2828" s="27" t="s">
        <v>19324</v>
      </c>
      <c r="J2828" s="27" t="s">
        <v>19336</v>
      </c>
      <c r="K2828" s="27"/>
      <c r="L2828" s="27"/>
      <c r="N2828" s="27"/>
      <c r="T2828" s="28" t="str">
        <f>LOOKUP(1,1/(Table1[[#This Row],[Level_0]:[Level 15]]&gt;0),(Table1[[#This Row],[Level_0]:[Level 15]]))</f>
        <v>5001000004 - [Bonuses - Social tax on prov rel bonus]</v>
      </c>
      <c r="U2828" s="22">
        <v>2823</v>
      </c>
      <c r="W2828" s="13" t="str">
        <f>LOOKUP(1,1/(Table1[[#This Row],[Level_0]:[Level 15]]&gt;0),(Table1[[#This Row],[Level_0]:[Level 15]]))</f>
        <v>5001000004 - [Bonuses - Social tax on prov rel bonus]</v>
      </c>
    </row>
    <row r="2829" spans="1:23" hidden="1" x14ac:dyDescent="0.25">
      <c r="A2829">
        <v>5000093000</v>
      </c>
      <c r="B2829" s="16" t="s">
        <v>19965</v>
      </c>
      <c r="C2829" s="16" t="e">
        <f>VLOOKUP(Table1[[#This Row],[Node]],Parent!A:B,2,0)</f>
        <v>#N/A</v>
      </c>
      <c r="D2829" s="25" t="s">
        <v>19346</v>
      </c>
      <c r="E2829" s="26" t="s">
        <v>16544</v>
      </c>
      <c r="F2829" s="27" t="s">
        <v>19204</v>
      </c>
      <c r="G2829" s="27" t="s">
        <v>19287</v>
      </c>
      <c r="H2829" s="27" t="s">
        <v>19307</v>
      </c>
      <c r="I2829" s="27" t="s">
        <v>19324</v>
      </c>
      <c r="J2829" s="27" t="s">
        <v>19337</v>
      </c>
      <c r="K2829" s="27"/>
      <c r="L2829" s="27"/>
      <c r="N2829" s="27"/>
      <c r="T2829" s="28" t="str">
        <f>LOOKUP(1,1/(Table1[[#This Row],[Level_0]:[Level 15]]&gt;0),(Table1[[#This Row],[Level_0]:[Level 15]]))</f>
        <v>5000093000 - [Payroll - Oth Payments - Not Tax Relev]</v>
      </c>
      <c r="U2829" s="22">
        <v>2824</v>
      </c>
      <c r="W2829" s="13" t="str">
        <f>LOOKUP(1,1/(Table1[[#This Row],[Level_0]:[Level 15]]&gt;0),(Table1[[#This Row],[Level_0]:[Level 15]]))</f>
        <v>5000093000 - [Payroll - Oth Payments - Not Tax Relev]</v>
      </c>
    </row>
    <row r="2830" spans="1:23" hidden="1" x14ac:dyDescent="0.25">
      <c r="A2830">
        <v>5000092000</v>
      </c>
      <c r="B2830" s="16" t="s">
        <v>19964</v>
      </c>
      <c r="C2830" s="16" t="e">
        <f>VLOOKUP(Table1[[#This Row],[Node]],Parent!A:B,2,0)</f>
        <v>#N/A</v>
      </c>
      <c r="D2830" s="25" t="s">
        <v>19346</v>
      </c>
      <c r="E2830" s="26" t="s">
        <v>16544</v>
      </c>
      <c r="F2830" s="27" t="s">
        <v>19204</v>
      </c>
      <c r="G2830" s="27" t="s">
        <v>19287</v>
      </c>
      <c r="H2830" s="27" t="s">
        <v>19307</v>
      </c>
      <c r="I2830" s="27" t="s">
        <v>19324</v>
      </c>
      <c r="J2830" s="27" t="s">
        <v>19338</v>
      </c>
      <c r="K2830" s="27"/>
      <c r="L2830" s="27"/>
      <c r="N2830" s="27"/>
      <c r="T2830" s="28" t="str">
        <f>LOOKUP(1,1/(Table1[[#This Row],[Level_0]:[Level 15]]&gt;0),(Table1[[#This Row],[Level_0]:[Level 15]]))</f>
        <v>5000092000 - [Payroll - Other Remuneration]</v>
      </c>
      <c r="U2830" s="22">
        <v>2825</v>
      </c>
      <c r="W2830" s="13" t="str">
        <f>LOOKUP(1,1/(Table1[[#This Row],[Level_0]:[Level 15]]&gt;0),(Table1[[#This Row],[Level_0]:[Level 15]]))</f>
        <v>5000092000 - [Payroll - Other Remuneration]</v>
      </c>
    </row>
    <row r="2831" spans="1:23" hidden="1" x14ac:dyDescent="0.25">
      <c r="A2831">
        <v>7020000009</v>
      </c>
      <c r="B2831" s="16" t="s">
        <v>20648</v>
      </c>
      <c r="C2831" s="16" t="e">
        <f>VLOOKUP(Table1[[#This Row],[Node]],Parent!A:B,2,0)</f>
        <v>#N/A</v>
      </c>
      <c r="D2831" s="25" t="s">
        <v>19346</v>
      </c>
      <c r="E2831" s="26" t="s">
        <v>16544</v>
      </c>
      <c r="F2831" s="27" t="s">
        <v>19204</v>
      </c>
      <c r="G2831" s="27" t="s">
        <v>19287</v>
      </c>
      <c r="H2831" s="27" t="s">
        <v>19307</v>
      </c>
      <c r="I2831" s="27" t="s">
        <v>19324</v>
      </c>
      <c r="J2831" s="27" t="s">
        <v>19339</v>
      </c>
      <c r="K2831" s="27"/>
      <c r="L2831" s="27"/>
      <c r="N2831" s="27"/>
      <c r="T2831" s="28" t="str">
        <f>LOOKUP(1,1/(Table1[[#This Row],[Level_0]:[Level 15]]&gt;0),(Table1[[#This Row],[Level_0]:[Level 15]]))</f>
        <v>7020000009 - [AOM Berufsgenossenschaft trade associati]</v>
      </c>
      <c r="U2831" s="22">
        <v>2826</v>
      </c>
      <c r="W2831" s="13" t="str">
        <f>LOOKUP(1,1/(Table1[[#This Row],[Level_0]:[Level 15]]&gt;0),(Table1[[#This Row],[Level_0]:[Level 15]]))</f>
        <v>7020000009 - [AOM Berufsgenossenschaft trade associati]</v>
      </c>
    </row>
    <row r="2832" spans="1:23" hidden="1" x14ac:dyDescent="0.25">
      <c r="A2832">
        <v>100101</v>
      </c>
      <c r="B2832" s="16" t="s">
        <v>19360</v>
      </c>
      <c r="C2832" s="16" t="e">
        <f>VLOOKUP(Table1[[#This Row],[Node]],Parent!A:B,2,0)</f>
        <v>#N/A</v>
      </c>
      <c r="D2832" s="25" t="s">
        <v>19346</v>
      </c>
      <c r="E2832" s="26" t="s">
        <v>16544</v>
      </c>
      <c r="F2832" s="27" t="s">
        <v>19204</v>
      </c>
      <c r="G2832" s="27" t="s">
        <v>19287</v>
      </c>
      <c r="H2832" s="27" t="s">
        <v>19340</v>
      </c>
      <c r="I2832" s="27"/>
      <c r="J2832" s="27"/>
      <c r="K2832" s="27"/>
      <c r="L2832" s="27"/>
      <c r="N2832" s="27"/>
      <c r="T2832" s="28" t="str">
        <f>LOOKUP(1,1/(Table1[[#This Row],[Level_0]:[Level 15]]&gt;0),(Table1[[#This Row],[Level_0]:[Level 15]]))</f>
        <v>100101 - [Base Salaries / Wages]</v>
      </c>
      <c r="U2832" s="22">
        <v>2827</v>
      </c>
      <c r="W2832" s="13" t="str">
        <f>LOOKUP(1,1/(Table1[[#This Row],[Level_0]:[Level 15]]&gt;0),(Table1[[#This Row],[Level_0]:[Level 15]]))</f>
        <v>100101 - [Base Salaries / Wages]</v>
      </c>
    </row>
    <row r="2833" spans="1:23" hidden="1" x14ac:dyDescent="0.25">
      <c r="A2833">
        <v>5000005001</v>
      </c>
      <c r="B2833" s="16" t="s">
        <v>19959</v>
      </c>
      <c r="C2833" s="16" t="e">
        <f>VLOOKUP(Table1[[#This Row],[Node]],Parent!A:B,2,0)</f>
        <v>#N/A</v>
      </c>
      <c r="D2833" s="25" t="s">
        <v>19346</v>
      </c>
      <c r="E2833" s="26" t="s">
        <v>16544</v>
      </c>
      <c r="F2833" s="27" t="s">
        <v>19204</v>
      </c>
      <c r="G2833" s="27" t="s">
        <v>19287</v>
      </c>
      <c r="H2833" s="27" t="s">
        <v>19340</v>
      </c>
      <c r="I2833" s="27" t="s">
        <v>19341</v>
      </c>
      <c r="J2833" s="27"/>
      <c r="K2833" s="27"/>
      <c r="L2833" s="27"/>
      <c r="N2833" s="27"/>
      <c r="T2833" s="28" t="str">
        <f>LOOKUP(1,1/(Table1[[#This Row],[Level_0]:[Level 15]]&gt;0),(Table1[[#This Row],[Level_0]:[Level 15]]))</f>
        <v>5000005001 - [Payroll - Sick Pay - PaidSickFund]</v>
      </c>
      <c r="U2833" s="22">
        <v>2828</v>
      </c>
      <c r="W2833" s="13" t="str">
        <f>LOOKUP(1,1/(Table1[[#This Row],[Level_0]:[Level 15]]&gt;0),(Table1[[#This Row],[Level_0]:[Level 15]]))</f>
        <v>5000005001 - [Payroll - Sick Pay - PaidSickFund]</v>
      </c>
    </row>
    <row r="2834" spans="1:23" hidden="1" x14ac:dyDescent="0.25">
      <c r="A2834">
        <v>5000005000</v>
      </c>
      <c r="B2834" s="16" t="s">
        <v>19958</v>
      </c>
      <c r="C2834" s="16" t="e">
        <f>VLOOKUP(Table1[[#This Row],[Node]],Parent!A:B,2,0)</f>
        <v>#N/A</v>
      </c>
      <c r="D2834" s="25" t="s">
        <v>19346</v>
      </c>
      <c r="E2834" s="26" t="s">
        <v>16544</v>
      </c>
      <c r="F2834" s="27" t="s">
        <v>19204</v>
      </c>
      <c r="G2834" s="27" t="s">
        <v>19287</v>
      </c>
      <c r="H2834" s="27" t="s">
        <v>19340</v>
      </c>
      <c r="I2834" s="27" t="s">
        <v>19342</v>
      </c>
      <c r="J2834" s="27"/>
      <c r="K2834" s="27"/>
      <c r="L2834" s="27"/>
      <c r="N2834" s="27"/>
      <c r="T2834" s="28" t="str">
        <f>LOOKUP(1,1/(Table1[[#This Row],[Level_0]:[Level 15]]&gt;0),(Table1[[#This Row],[Level_0]:[Level 15]]))</f>
        <v>5000005000 - [Payroll - Sick Pay]</v>
      </c>
      <c r="U2834" s="22">
        <v>2829</v>
      </c>
      <c r="W2834" s="13" t="str">
        <f>LOOKUP(1,1/(Table1[[#This Row],[Level_0]:[Level 15]]&gt;0),(Table1[[#This Row],[Level_0]:[Level 15]]))</f>
        <v>5000005000 - [Payroll - Sick Pay]</v>
      </c>
    </row>
    <row r="2835" spans="1:23" hidden="1" x14ac:dyDescent="0.25">
      <c r="A2835">
        <v>5000000002</v>
      </c>
      <c r="B2835" s="16" t="s">
        <v>19952</v>
      </c>
      <c r="C2835" s="16" t="e">
        <f>VLOOKUP(Table1[[#This Row],[Node]],Parent!A:B,2,0)</f>
        <v>#N/A</v>
      </c>
      <c r="D2835" s="25" t="s">
        <v>19346</v>
      </c>
      <c r="E2835" s="26" t="s">
        <v>16544</v>
      </c>
      <c r="F2835" s="27" t="s">
        <v>19204</v>
      </c>
      <c r="G2835" s="27" t="s">
        <v>19287</v>
      </c>
      <c r="H2835" s="27" t="s">
        <v>19340</v>
      </c>
      <c r="I2835" s="27" t="s">
        <v>19343</v>
      </c>
      <c r="J2835" s="27"/>
      <c r="K2835" s="27"/>
      <c r="L2835" s="27"/>
      <c r="N2835" s="27"/>
      <c r="T2835" s="28" t="str">
        <f>LOOKUP(1,1/(Table1[[#This Row],[Level_0]:[Level 15]]&gt;0),(Table1[[#This Row],[Level_0]:[Level 15]]))</f>
        <v>5000000002 - [Payroll - Salaries and Wages - Account 2]</v>
      </c>
      <c r="U2835" s="22">
        <v>2830</v>
      </c>
      <c r="W2835" s="13" t="str">
        <f>LOOKUP(1,1/(Table1[[#This Row],[Level_0]:[Level 15]]&gt;0),(Table1[[#This Row],[Level_0]:[Level 15]]))</f>
        <v>5000000002 - [Payroll - Salaries and Wages - Account 2]</v>
      </c>
    </row>
    <row r="2836" spans="1:23" hidden="1" x14ac:dyDescent="0.25">
      <c r="A2836">
        <v>5000000001</v>
      </c>
      <c r="B2836" s="16" t="s">
        <v>19951</v>
      </c>
      <c r="C2836" s="16" t="e">
        <f>VLOOKUP(Table1[[#This Row],[Node]],Parent!A:B,2,0)</f>
        <v>#N/A</v>
      </c>
      <c r="D2836" s="25" t="s">
        <v>19346</v>
      </c>
      <c r="E2836" s="26" t="s">
        <v>16544</v>
      </c>
      <c r="F2836" s="27" t="s">
        <v>19204</v>
      </c>
      <c r="G2836" s="27" t="s">
        <v>19287</v>
      </c>
      <c r="H2836" s="27" t="s">
        <v>19340</v>
      </c>
      <c r="I2836" s="27" t="s">
        <v>19344</v>
      </c>
      <c r="J2836" s="27"/>
      <c r="K2836" s="27"/>
      <c r="L2836" s="27"/>
      <c r="N2836" s="27"/>
      <c r="T2836" s="28" t="str">
        <f>LOOKUP(1,1/(Table1[[#This Row],[Level_0]:[Level 15]]&gt;0),(Table1[[#This Row],[Level_0]:[Level 15]]))</f>
        <v>5000000001 - [Payroll - Salaries and Wages - Account 1]</v>
      </c>
      <c r="U2836" s="22">
        <v>2831</v>
      </c>
      <c r="W2836" s="13" t="str">
        <f>LOOKUP(1,1/(Table1[[#This Row],[Level_0]:[Level 15]]&gt;0),(Table1[[#This Row],[Level_0]:[Level 15]]))</f>
        <v>5000000001 - [Payroll - Salaries and Wages - Account 1]</v>
      </c>
    </row>
    <row r="2837" spans="1:23" hidden="1" x14ac:dyDescent="0.25">
      <c r="A2837">
        <v>5000000000</v>
      </c>
      <c r="B2837" s="16" t="s">
        <v>19950</v>
      </c>
      <c r="C2837" s="16" t="e">
        <f>VLOOKUP(Table1[[#This Row],[Node]],Parent!A:B,2,0)</f>
        <v>#N/A</v>
      </c>
      <c r="D2837" s="25" t="s">
        <v>19346</v>
      </c>
      <c r="E2837" s="26" t="s">
        <v>16544</v>
      </c>
      <c r="F2837" s="27" t="s">
        <v>19204</v>
      </c>
      <c r="G2837" s="27" t="s">
        <v>19287</v>
      </c>
      <c r="H2837" s="27" t="s">
        <v>19340</v>
      </c>
      <c r="I2837" s="27" t="s">
        <v>19345</v>
      </c>
      <c r="J2837" s="27"/>
      <c r="K2837" s="27"/>
      <c r="L2837" s="27"/>
      <c r="N2837" s="27"/>
      <c r="T2837" s="28" t="str">
        <f>LOOKUP(1,1/(Table1[[#This Row],[Level_0]:[Level 15]]&gt;0),(Table1[[#This Row],[Level_0]:[Level 15]]))</f>
        <v>5000000000 - [Payroll - Salaries and Wages]</v>
      </c>
      <c r="U2837" s="22">
        <v>2832</v>
      </c>
      <c r="W2837" s="13" t="str">
        <f>LOOKUP(1,1/(Table1[[#This Row],[Level_0]:[Level 15]]&gt;0),(Table1[[#This Row],[Level_0]:[Level 15]]))</f>
        <v>5000000000 - [Payroll - Salaries and Wages]</v>
      </c>
    </row>
  </sheetData>
  <mergeCells count="3">
    <mergeCell ref="AB4:AC4"/>
    <mergeCell ref="AE4:AF4"/>
    <mergeCell ref="D4:E4"/>
  </mergeCells>
  <phoneticPr fontId="10" type="noConversion"/>
  <pageMargins left="0.7" right="0.7" top="0.75" bottom="0.75" header="0.3" footer="0.3"/>
  <pageSetup paperSize="9" orientation="portrait" horizontalDpi="90" verticalDpi="90"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6" r:id="rId5" name="Label 2">
              <controlPr defaultSize="0" autoFill="0" autoLine="0" autoPict="0">
                <anchor moveWithCells="1">
                  <from>
                    <xdr:col>4</xdr:col>
                    <xdr:colOff>1181100</xdr:colOff>
                    <xdr:row>3</xdr:row>
                    <xdr:rowOff>228600</xdr:rowOff>
                  </from>
                  <to>
                    <xdr:col>5</xdr:col>
                    <xdr:colOff>390525</xdr:colOff>
                    <xdr:row>3</xdr:row>
                    <xdr:rowOff>647700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3A95A-0B8C-44BC-BAC2-B5E19D94D644}">
  <dimension ref="A1:A2833"/>
  <sheetViews>
    <sheetView topLeftCell="A2772" workbookViewId="0">
      <selection sqref="A1:A2833"/>
    </sheetView>
  </sheetViews>
  <sheetFormatPr defaultRowHeight="15" x14ac:dyDescent="0.25"/>
  <cols>
    <col min="1" max="1" width="11" bestFit="1" customWidth="1"/>
  </cols>
  <sheetData>
    <row r="1" spans="1:1" x14ac:dyDescent="0.25">
      <c r="A1" t="s">
        <v>19346</v>
      </c>
    </row>
    <row r="2" spans="1:1" x14ac:dyDescent="0.25">
      <c r="A2">
        <v>190340</v>
      </c>
    </row>
    <row r="3" spans="1:1" x14ac:dyDescent="0.25">
      <c r="A3">
        <v>7040000001</v>
      </c>
    </row>
    <row r="4" spans="1:1" x14ac:dyDescent="0.25">
      <c r="A4">
        <v>5769910000</v>
      </c>
    </row>
    <row r="5" spans="1:1" x14ac:dyDescent="0.25">
      <c r="A5">
        <v>5769902000</v>
      </c>
    </row>
    <row r="6" spans="1:1" x14ac:dyDescent="0.25">
      <c r="A6">
        <v>5764510000</v>
      </c>
    </row>
    <row r="7" spans="1:1" x14ac:dyDescent="0.25">
      <c r="A7">
        <v>5753916000</v>
      </c>
    </row>
    <row r="8" spans="1:1" x14ac:dyDescent="0.25">
      <c r="A8">
        <v>5752310000</v>
      </c>
    </row>
    <row r="9" spans="1:1" x14ac:dyDescent="0.25">
      <c r="A9">
        <v>5201110000</v>
      </c>
    </row>
    <row r="10" spans="1:1" x14ac:dyDescent="0.25">
      <c r="A10">
        <v>5754710000</v>
      </c>
    </row>
    <row r="11" spans="1:1" x14ac:dyDescent="0.25">
      <c r="A11">
        <v>190330</v>
      </c>
    </row>
    <row r="12" spans="1:1" x14ac:dyDescent="0.25">
      <c r="A12">
        <v>7600304235</v>
      </c>
    </row>
    <row r="13" spans="1:1" x14ac:dyDescent="0.25">
      <c r="A13">
        <v>7560000001</v>
      </c>
    </row>
    <row r="14" spans="1:1" x14ac:dyDescent="0.25">
      <c r="A14">
        <v>7320230002</v>
      </c>
    </row>
    <row r="15" spans="1:1" x14ac:dyDescent="0.25">
      <c r="A15">
        <v>7220000009</v>
      </c>
    </row>
    <row r="16" spans="1:1" x14ac:dyDescent="0.25">
      <c r="A16">
        <v>7220000008</v>
      </c>
    </row>
    <row r="17" spans="1:1" x14ac:dyDescent="0.25">
      <c r="A17">
        <v>7040000002</v>
      </c>
    </row>
    <row r="18" spans="1:1" x14ac:dyDescent="0.25">
      <c r="A18">
        <v>7020000003</v>
      </c>
    </row>
    <row r="19" spans="1:1" x14ac:dyDescent="0.25">
      <c r="A19">
        <v>5984110000</v>
      </c>
    </row>
    <row r="20" spans="1:1" x14ac:dyDescent="0.25">
      <c r="A20">
        <v>5981410000</v>
      </c>
    </row>
    <row r="21" spans="1:1" x14ac:dyDescent="0.25">
      <c r="A21">
        <v>5980910000</v>
      </c>
    </row>
    <row r="22" spans="1:1" x14ac:dyDescent="0.25">
      <c r="A22">
        <v>5980310000</v>
      </c>
    </row>
    <row r="23" spans="1:1" x14ac:dyDescent="0.25">
      <c r="A23">
        <v>5980010000</v>
      </c>
    </row>
    <row r="24" spans="1:1" x14ac:dyDescent="0.25">
      <c r="A24">
        <v>5963510000</v>
      </c>
    </row>
    <row r="25" spans="1:1" x14ac:dyDescent="0.25">
      <c r="A25">
        <v>3959910000</v>
      </c>
    </row>
    <row r="26" spans="1:1" x14ac:dyDescent="0.25">
      <c r="A26">
        <v>3959902000</v>
      </c>
    </row>
    <row r="27" spans="1:1" x14ac:dyDescent="0.25">
      <c r="A27">
        <v>3957106000</v>
      </c>
    </row>
    <row r="28" spans="1:1" x14ac:dyDescent="0.25">
      <c r="A28">
        <v>3954910000</v>
      </c>
    </row>
    <row r="29" spans="1:1" x14ac:dyDescent="0.25">
      <c r="A29">
        <v>3954810000</v>
      </c>
    </row>
    <row r="30" spans="1:1" x14ac:dyDescent="0.25">
      <c r="A30">
        <v>3953710000</v>
      </c>
    </row>
    <row r="31" spans="1:1" x14ac:dyDescent="0.25">
      <c r="A31" t="s">
        <v>19356</v>
      </c>
    </row>
    <row r="32" spans="1:1" x14ac:dyDescent="0.25">
      <c r="A32">
        <v>300000</v>
      </c>
    </row>
    <row r="33" spans="1:1" x14ac:dyDescent="0.25">
      <c r="A33">
        <v>300100</v>
      </c>
    </row>
    <row r="34" spans="1:1" x14ac:dyDescent="0.25">
      <c r="A34">
        <v>7600304192</v>
      </c>
    </row>
    <row r="35" spans="1:1" x14ac:dyDescent="0.25">
      <c r="A35">
        <v>5225710000</v>
      </c>
    </row>
    <row r="36" spans="1:1" x14ac:dyDescent="0.25">
      <c r="A36">
        <v>5225610000</v>
      </c>
    </row>
    <row r="37" spans="1:1" x14ac:dyDescent="0.25">
      <c r="A37">
        <v>5225310000</v>
      </c>
    </row>
    <row r="38" spans="1:1" x14ac:dyDescent="0.25">
      <c r="A38">
        <v>7600304104</v>
      </c>
    </row>
    <row r="39" spans="1:1" x14ac:dyDescent="0.25">
      <c r="A39">
        <v>5223610000</v>
      </c>
    </row>
    <row r="40" spans="1:1" x14ac:dyDescent="0.25">
      <c r="A40">
        <v>7300110019</v>
      </c>
    </row>
    <row r="41" spans="1:1" x14ac:dyDescent="0.25">
      <c r="A41">
        <v>7300110015</v>
      </c>
    </row>
    <row r="42" spans="1:1" x14ac:dyDescent="0.25">
      <c r="A42">
        <v>9155941000</v>
      </c>
    </row>
    <row r="43" spans="1:1" x14ac:dyDescent="0.25">
      <c r="A43">
        <v>9155940000</v>
      </c>
    </row>
    <row r="44" spans="1:1" x14ac:dyDescent="0.25">
      <c r="A44">
        <v>9154301000</v>
      </c>
    </row>
    <row r="45" spans="1:1" x14ac:dyDescent="0.25">
      <c r="A45">
        <v>9154300000</v>
      </c>
    </row>
    <row r="46" spans="1:1" x14ac:dyDescent="0.25">
      <c r="A46">
        <v>9154230000</v>
      </c>
    </row>
    <row r="47" spans="1:1" x14ac:dyDescent="0.25">
      <c r="A47">
        <v>9009200000</v>
      </c>
    </row>
    <row r="48" spans="1:1" x14ac:dyDescent="0.25">
      <c r="A48">
        <v>8750000000</v>
      </c>
    </row>
    <row r="49" spans="1:1" x14ac:dyDescent="0.25">
      <c r="A49">
        <v>8720000000</v>
      </c>
    </row>
    <row r="50" spans="1:1" x14ac:dyDescent="0.25">
      <c r="A50">
        <v>8630000000</v>
      </c>
    </row>
    <row r="51" spans="1:1" x14ac:dyDescent="0.25">
      <c r="A51">
        <v>8620000000</v>
      </c>
    </row>
    <row r="52" spans="1:1" x14ac:dyDescent="0.25">
      <c r="A52">
        <v>8610000000</v>
      </c>
    </row>
    <row r="53" spans="1:1" x14ac:dyDescent="0.25">
      <c r="A53">
        <v>8582410000</v>
      </c>
    </row>
    <row r="54" spans="1:1" x14ac:dyDescent="0.25">
      <c r="A54">
        <v>8560110000</v>
      </c>
    </row>
    <row r="55" spans="1:1" x14ac:dyDescent="0.25">
      <c r="A55">
        <v>8536200000</v>
      </c>
    </row>
    <row r="56" spans="1:1" x14ac:dyDescent="0.25">
      <c r="A56">
        <v>8536000000</v>
      </c>
    </row>
    <row r="57" spans="1:1" x14ac:dyDescent="0.25">
      <c r="A57">
        <v>8535000000</v>
      </c>
    </row>
    <row r="58" spans="1:1" x14ac:dyDescent="0.25">
      <c r="A58">
        <v>8533000000</v>
      </c>
    </row>
    <row r="59" spans="1:1" x14ac:dyDescent="0.25">
      <c r="A59">
        <v>8531000000</v>
      </c>
    </row>
    <row r="60" spans="1:1" x14ac:dyDescent="0.25">
      <c r="A60">
        <v>8521000000</v>
      </c>
    </row>
    <row r="61" spans="1:1" x14ac:dyDescent="0.25">
      <c r="A61">
        <v>8520000000</v>
      </c>
    </row>
    <row r="62" spans="1:1" x14ac:dyDescent="0.25">
      <c r="A62">
        <v>8500100000</v>
      </c>
    </row>
    <row r="63" spans="1:1" x14ac:dyDescent="0.25">
      <c r="A63">
        <v>8500000000</v>
      </c>
    </row>
    <row r="64" spans="1:1" x14ac:dyDescent="0.25">
      <c r="A64">
        <v>8470000999</v>
      </c>
    </row>
    <row r="65" spans="1:1" x14ac:dyDescent="0.25">
      <c r="A65">
        <v>8420010000</v>
      </c>
    </row>
    <row r="66" spans="1:1" x14ac:dyDescent="0.25">
      <c r="A66">
        <v>8400010001</v>
      </c>
    </row>
    <row r="67" spans="1:1" x14ac:dyDescent="0.25">
      <c r="A67">
        <v>8280210000</v>
      </c>
    </row>
    <row r="68" spans="1:1" x14ac:dyDescent="0.25">
      <c r="A68">
        <v>8233000000</v>
      </c>
    </row>
    <row r="69" spans="1:1" x14ac:dyDescent="0.25">
      <c r="A69">
        <v>8231000000</v>
      </c>
    </row>
    <row r="70" spans="1:1" x14ac:dyDescent="0.25">
      <c r="A70">
        <v>8221000000</v>
      </c>
    </row>
    <row r="71" spans="1:1" x14ac:dyDescent="0.25">
      <c r="A71">
        <v>8220000000</v>
      </c>
    </row>
    <row r="72" spans="1:1" x14ac:dyDescent="0.25">
      <c r="A72">
        <v>8202000000</v>
      </c>
    </row>
    <row r="73" spans="1:1" x14ac:dyDescent="0.25">
      <c r="A73">
        <v>8200000000</v>
      </c>
    </row>
    <row r="74" spans="1:1" x14ac:dyDescent="0.25">
      <c r="A74">
        <v>8170000000</v>
      </c>
    </row>
    <row r="75" spans="1:1" x14ac:dyDescent="0.25">
      <c r="A75">
        <v>8130000000</v>
      </c>
    </row>
    <row r="76" spans="1:1" x14ac:dyDescent="0.25">
      <c r="A76">
        <v>8100010001</v>
      </c>
    </row>
    <row r="77" spans="1:1" x14ac:dyDescent="0.25">
      <c r="A77">
        <v>8100000002</v>
      </c>
    </row>
    <row r="78" spans="1:1" x14ac:dyDescent="0.25">
      <c r="A78">
        <v>8000007777</v>
      </c>
    </row>
    <row r="79" spans="1:1" x14ac:dyDescent="0.25">
      <c r="A79">
        <v>7920000004</v>
      </c>
    </row>
    <row r="80" spans="1:1" x14ac:dyDescent="0.25">
      <c r="A80">
        <v>7920000003</v>
      </c>
    </row>
    <row r="81" spans="1:1" x14ac:dyDescent="0.25">
      <c r="A81">
        <v>7920000002</v>
      </c>
    </row>
    <row r="82" spans="1:1" x14ac:dyDescent="0.25">
      <c r="A82">
        <v>7920000001</v>
      </c>
    </row>
    <row r="83" spans="1:1" x14ac:dyDescent="0.25">
      <c r="A83">
        <v>7824190000</v>
      </c>
    </row>
    <row r="84" spans="1:1" x14ac:dyDescent="0.25">
      <c r="A84">
        <v>7820140007</v>
      </c>
    </row>
    <row r="85" spans="1:1" x14ac:dyDescent="0.25">
      <c r="A85">
        <v>7820140006</v>
      </c>
    </row>
    <row r="86" spans="1:1" x14ac:dyDescent="0.25">
      <c r="A86">
        <v>7820140005</v>
      </c>
    </row>
    <row r="87" spans="1:1" x14ac:dyDescent="0.25">
      <c r="A87">
        <v>7820140004</v>
      </c>
    </row>
    <row r="88" spans="1:1" x14ac:dyDescent="0.25">
      <c r="A88">
        <v>7820140003</v>
      </c>
    </row>
    <row r="89" spans="1:1" x14ac:dyDescent="0.25">
      <c r="A89">
        <v>7820140002</v>
      </c>
    </row>
    <row r="90" spans="1:1" x14ac:dyDescent="0.25">
      <c r="A90">
        <v>7811200000</v>
      </c>
    </row>
    <row r="91" spans="1:1" x14ac:dyDescent="0.25">
      <c r="A91">
        <v>7721121400</v>
      </c>
    </row>
    <row r="92" spans="1:1" x14ac:dyDescent="0.25">
      <c r="A92">
        <v>7720152100</v>
      </c>
    </row>
    <row r="93" spans="1:1" x14ac:dyDescent="0.25">
      <c r="A93">
        <v>7720140007</v>
      </c>
    </row>
    <row r="94" spans="1:1" x14ac:dyDescent="0.25">
      <c r="A94">
        <v>7720140006</v>
      </c>
    </row>
    <row r="95" spans="1:1" x14ac:dyDescent="0.25">
      <c r="A95">
        <v>7720140005</v>
      </c>
    </row>
    <row r="96" spans="1:1" x14ac:dyDescent="0.25">
      <c r="A96">
        <v>7720140004</v>
      </c>
    </row>
    <row r="97" spans="1:1" x14ac:dyDescent="0.25">
      <c r="A97">
        <v>7720140003</v>
      </c>
    </row>
    <row r="98" spans="1:1" x14ac:dyDescent="0.25">
      <c r="A98">
        <v>7720140002</v>
      </c>
    </row>
    <row r="99" spans="1:1" x14ac:dyDescent="0.25">
      <c r="A99">
        <v>7720140001</v>
      </c>
    </row>
    <row r="100" spans="1:1" x14ac:dyDescent="0.25">
      <c r="A100">
        <v>7720104008</v>
      </c>
    </row>
    <row r="101" spans="1:1" x14ac:dyDescent="0.25">
      <c r="A101">
        <v>7720103008</v>
      </c>
    </row>
    <row r="102" spans="1:1" x14ac:dyDescent="0.25">
      <c r="A102">
        <v>7720101008</v>
      </c>
    </row>
    <row r="103" spans="1:1" x14ac:dyDescent="0.25">
      <c r="A103">
        <v>7720101007</v>
      </c>
    </row>
    <row r="104" spans="1:1" x14ac:dyDescent="0.25">
      <c r="A104">
        <v>7720101006</v>
      </c>
    </row>
    <row r="105" spans="1:1" x14ac:dyDescent="0.25">
      <c r="A105">
        <v>7720101005</v>
      </c>
    </row>
    <row r="106" spans="1:1" x14ac:dyDescent="0.25">
      <c r="A106">
        <v>7720101004</v>
      </c>
    </row>
    <row r="107" spans="1:1" x14ac:dyDescent="0.25">
      <c r="A107">
        <v>7720101003</v>
      </c>
    </row>
    <row r="108" spans="1:1" x14ac:dyDescent="0.25">
      <c r="A108">
        <v>7720101002</v>
      </c>
    </row>
    <row r="109" spans="1:1" x14ac:dyDescent="0.25">
      <c r="A109">
        <v>7720101001</v>
      </c>
    </row>
    <row r="110" spans="1:1" x14ac:dyDescent="0.25">
      <c r="A110">
        <v>7711113003</v>
      </c>
    </row>
    <row r="111" spans="1:1" x14ac:dyDescent="0.25">
      <c r="A111">
        <v>7711111100</v>
      </c>
    </row>
    <row r="112" spans="1:1" x14ac:dyDescent="0.25">
      <c r="A112">
        <v>7711101200</v>
      </c>
    </row>
    <row r="113" spans="1:1" x14ac:dyDescent="0.25">
      <c r="A113">
        <v>7600330101</v>
      </c>
    </row>
    <row r="114" spans="1:1" x14ac:dyDescent="0.25">
      <c r="A114">
        <v>7600000011</v>
      </c>
    </row>
    <row r="115" spans="1:1" x14ac:dyDescent="0.25">
      <c r="A115">
        <v>7600000010</v>
      </c>
    </row>
    <row r="116" spans="1:1" x14ac:dyDescent="0.25">
      <c r="A116">
        <v>7600000009</v>
      </c>
    </row>
    <row r="117" spans="1:1" x14ac:dyDescent="0.25">
      <c r="A117">
        <v>7600000008</v>
      </c>
    </row>
    <row r="118" spans="1:1" x14ac:dyDescent="0.25">
      <c r="A118">
        <v>7600000007</v>
      </c>
    </row>
    <row r="119" spans="1:1" x14ac:dyDescent="0.25">
      <c r="A119">
        <v>7600000006</v>
      </c>
    </row>
    <row r="120" spans="1:1" x14ac:dyDescent="0.25">
      <c r="A120">
        <v>7600000005</v>
      </c>
    </row>
    <row r="121" spans="1:1" x14ac:dyDescent="0.25">
      <c r="A121">
        <v>7600000004</v>
      </c>
    </row>
    <row r="122" spans="1:1" x14ac:dyDescent="0.25">
      <c r="A122">
        <v>7600000003</v>
      </c>
    </row>
    <row r="123" spans="1:1" x14ac:dyDescent="0.25">
      <c r="A123">
        <v>7440000007</v>
      </c>
    </row>
    <row r="124" spans="1:1" x14ac:dyDescent="0.25">
      <c r="A124">
        <v>7401000003</v>
      </c>
    </row>
    <row r="125" spans="1:1" x14ac:dyDescent="0.25">
      <c r="A125">
        <v>7401000002</v>
      </c>
    </row>
    <row r="126" spans="1:1" x14ac:dyDescent="0.25">
      <c r="A126">
        <v>7401000001</v>
      </c>
    </row>
    <row r="127" spans="1:1" x14ac:dyDescent="0.25">
      <c r="A127">
        <v>7350111038</v>
      </c>
    </row>
    <row r="128" spans="1:1" x14ac:dyDescent="0.25">
      <c r="A128">
        <v>7350111037</v>
      </c>
    </row>
    <row r="129" spans="1:1" x14ac:dyDescent="0.25">
      <c r="A129">
        <v>7350111036</v>
      </c>
    </row>
    <row r="130" spans="1:1" x14ac:dyDescent="0.25">
      <c r="A130">
        <v>7350111035</v>
      </c>
    </row>
    <row r="131" spans="1:1" x14ac:dyDescent="0.25">
      <c r="A131">
        <v>7350111028</v>
      </c>
    </row>
    <row r="132" spans="1:1" x14ac:dyDescent="0.25">
      <c r="A132">
        <v>7350111025</v>
      </c>
    </row>
    <row r="133" spans="1:1" x14ac:dyDescent="0.25">
      <c r="A133">
        <v>7350111024</v>
      </c>
    </row>
    <row r="134" spans="1:1" x14ac:dyDescent="0.25">
      <c r="A134">
        <v>7350111023</v>
      </c>
    </row>
    <row r="135" spans="1:1" x14ac:dyDescent="0.25">
      <c r="A135">
        <v>7350111022</v>
      </c>
    </row>
    <row r="136" spans="1:1" x14ac:dyDescent="0.25">
      <c r="A136">
        <v>7350111000</v>
      </c>
    </row>
    <row r="137" spans="1:1" x14ac:dyDescent="0.25">
      <c r="A137">
        <v>7330170009</v>
      </c>
    </row>
    <row r="138" spans="1:1" x14ac:dyDescent="0.25">
      <c r="A138">
        <v>7330170007</v>
      </c>
    </row>
    <row r="139" spans="1:1" x14ac:dyDescent="0.25">
      <c r="A139">
        <v>7310140013</v>
      </c>
    </row>
    <row r="140" spans="1:1" x14ac:dyDescent="0.25">
      <c r="A140">
        <v>7310140012</v>
      </c>
    </row>
    <row r="141" spans="1:1" x14ac:dyDescent="0.25">
      <c r="A141">
        <v>7300120001</v>
      </c>
    </row>
    <row r="142" spans="1:1" x14ac:dyDescent="0.25">
      <c r="A142">
        <v>7300110027</v>
      </c>
    </row>
    <row r="143" spans="1:1" x14ac:dyDescent="0.25">
      <c r="A143">
        <v>7300110024</v>
      </c>
    </row>
    <row r="144" spans="1:1" x14ac:dyDescent="0.25">
      <c r="A144">
        <v>7300110023</v>
      </c>
    </row>
    <row r="145" spans="1:1" x14ac:dyDescent="0.25">
      <c r="A145">
        <v>5960100001</v>
      </c>
    </row>
    <row r="146" spans="1:1" x14ac:dyDescent="0.25">
      <c r="A146">
        <v>5950000004</v>
      </c>
    </row>
    <row r="147" spans="1:1" x14ac:dyDescent="0.25">
      <c r="A147">
        <v>5931200000</v>
      </c>
    </row>
    <row r="148" spans="1:1" x14ac:dyDescent="0.25">
      <c r="A148">
        <v>5925700000</v>
      </c>
    </row>
    <row r="149" spans="1:1" x14ac:dyDescent="0.25">
      <c r="A149">
        <v>5925520000</v>
      </c>
    </row>
    <row r="150" spans="1:1" x14ac:dyDescent="0.25">
      <c r="A150">
        <v>5925500000</v>
      </c>
    </row>
    <row r="151" spans="1:1" x14ac:dyDescent="0.25">
      <c r="A151">
        <v>5925300000</v>
      </c>
    </row>
    <row r="152" spans="1:1" x14ac:dyDescent="0.25">
      <c r="A152">
        <v>5925220000</v>
      </c>
    </row>
    <row r="153" spans="1:1" x14ac:dyDescent="0.25">
      <c r="A153">
        <v>5925200000</v>
      </c>
    </row>
    <row r="154" spans="1:1" x14ac:dyDescent="0.25">
      <c r="A154">
        <v>5810000003</v>
      </c>
    </row>
    <row r="155" spans="1:1" x14ac:dyDescent="0.25">
      <c r="A155">
        <v>5559007777</v>
      </c>
    </row>
    <row r="156" spans="1:1" x14ac:dyDescent="0.25">
      <c r="A156">
        <v>5488000400</v>
      </c>
    </row>
    <row r="157" spans="1:1" x14ac:dyDescent="0.25">
      <c r="A157">
        <v>5484907777</v>
      </c>
    </row>
    <row r="158" spans="1:1" x14ac:dyDescent="0.25">
      <c r="A158">
        <v>5469000000</v>
      </c>
    </row>
    <row r="159" spans="1:1" x14ac:dyDescent="0.25">
      <c r="A159">
        <v>5463000000</v>
      </c>
    </row>
    <row r="160" spans="1:1" x14ac:dyDescent="0.25">
      <c r="A160">
        <v>5462000000</v>
      </c>
    </row>
    <row r="161" spans="1:1" x14ac:dyDescent="0.25">
      <c r="A161">
        <v>5461000000</v>
      </c>
    </row>
    <row r="162" spans="1:1" x14ac:dyDescent="0.25">
      <c r="A162">
        <v>5452000000</v>
      </c>
    </row>
    <row r="163" spans="1:1" x14ac:dyDescent="0.25">
      <c r="A163">
        <v>5451000000</v>
      </c>
    </row>
    <row r="164" spans="1:1" x14ac:dyDescent="0.25">
      <c r="A164">
        <v>5443100000</v>
      </c>
    </row>
    <row r="165" spans="1:1" x14ac:dyDescent="0.25">
      <c r="A165">
        <v>5443007777</v>
      </c>
    </row>
    <row r="166" spans="1:1" x14ac:dyDescent="0.25">
      <c r="A166">
        <v>5415000000</v>
      </c>
    </row>
    <row r="167" spans="1:1" x14ac:dyDescent="0.25">
      <c r="A167">
        <v>5413010000</v>
      </c>
    </row>
    <row r="168" spans="1:1" x14ac:dyDescent="0.25">
      <c r="A168">
        <v>5410060000</v>
      </c>
    </row>
    <row r="169" spans="1:1" x14ac:dyDescent="0.25">
      <c r="A169">
        <v>5410020000</v>
      </c>
    </row>
    <row r="170" spans="1:1" x14ac:dyDescent="0.25">
      <c r="A170">
        <v>5407000000</v>
      </c>
    </row>
    <row r="171" spans="1:1" x14ac:dyDescent="0.25">
      <c r="A171">
        <v>5405000000</v>
      </c>
    </row>
    <row r="172" spans="1:1" x14ac:dyDescent="0.25">
      <c r="A172">
        <v>5404000000</v>
      </c>
    </row>
    <row r="173" spans="1:1" x14ac:dyDescent="0.25">
      <c r="A173">
        <v>5403000000</v>
      </c>
    </row>
    <row r="174" spans="1:1" x14ac:dyDescent="0.25">
      <c r="A174">
        <v>5391200001</v>
      </c>
    </row>
    <row r="175" spans="1:1" x14ac:dyDescent="0.25">
      <c r="A175">
        <v>5355100000</v>
      </c>
    </row>
    <row r="176" spans="1:1" x14ac:dyDescent="0.25">
      <c r="A176">
        <v>5102100000</v>
      </c>
    </row>
    <row r="177" spans="1:1" x14ac:dyDescent="0.25">
      <c r="A177">
        <v>5102000000</v>
      </c>
    </row>
    <row r="178" spans="1:1" x14ac:dyDescent="0.25">
      <c r="A178">
        <v>5030090005</v>
      </c>
    </row>
    <row r="179" spans="1:1" x14ac:dyDescent="0.25">
      <c r="A179">
        <v>5010002000</v>
      </c>
    </row>
    <row r="180" spans="1:1" x14ac:dyDescent="0.25">
      <c r="A180">
        <v>5010000005</v>
      </c>
    </row>
    <row r="181" spans="1:1" x14ac:dyDescent="0.25">
      <c r="A181">
        <v>5010000004</v>
      </c>
    </row>
    <row r="182" spans="1:1" x14ac:dyDescent="0.25">
      <c r="A182">
        <v>5010000003</v>
      </c>
    </row>
    <row r="183" spans="1:1" x14ac:dyDescent="0.25">
      <c r="A183">
        <v>4401200000</v>
      </c>
    </row>
    <row r="184" spans="1:1" x14ac:dyDescent="0.25">
      <c r="A184">
        <v>4243010000</v>
      </c>
    </row>
    <row r="185" spans="1:1" x14ac:dyDescent="0.25">
      <c r="A185">
        <v>4243000000</v>
      </c>
    </row>
    <row r="186" spans="1:1" x14ac:dyDescent="0.25">
      <c r="A186">
        <v>4233400000</v>
      </c>
    </row>
    <row r="187" spans="1:1" x14ac:dyDescent="0.25">
      <c r="A187">
        <v>4230400000</v>
      </c>
    </row>
    <row r="188" spans="1:1" x14ac:dyDescent="0.25">
      <c r="A188">
        <v>4230200000</v>
      </c>
    </row>
    <row r="189" spans="1:1" x14ac:dyDescent="0.25">
      <c r="A189">
        <v>4200000020</v>
      </c>
    </row>
    <row r="190" spans="1:1" x14ac:dyDescent="0.25">
      <c r="A190">
        <v>4200000010</v>
      </c>
    </row>
    <row r="191" spans="1:1" x14ac:dyDescent="0.25">
      <c r="A191">
        <v>4103110000</v>
      </c>
    </row>
    <row r="192" spans="1:1" x14ac:dyDescent="0.25">
      <c r="A192">
        <v>4103100000</v>
      </c>
    </row>
    <row r="193" spans="1:1" x14ac:dyDescent="0.25">
      <c r="A193">
        <v>4100300096</v>
      </c>
    </row>
    <row r="194" spans="1:1" x14ac:dyDescent="0.25">
      <c r="A194">
        <v>4007000000</v>
      </c>
    </row>
    <row r="195" spans="1:1" x14ac:dyDescent="0.25">
      <c r="A195">
        <v>4006200000</v>
      </c>
    </row>
    <row r="196" spans="1:1" x14ac:dyDescent="0.25">
      <c r="A196">
        <v>4006110000</v>
      </c>
    </row>
    <row r="197" spans="1:1" x14ac:dyDescent="0.25">
      <c r="A197">
        <v>4006100000</v>
      </c>
    </row>
    <row r="198" spans="1:1" x14ac:dyDescent="0.25">
      <c r="A198">
        <v>4005610000</v>
      </c>
    </row>
    <row r="199" spans="1:1" x14ac:dyDescent="0.25">
      <c r="A199">
        <v>4005600000</v>
      </c>
    </row>
    <row r="200" spans="1:1" x14ac:dyDescent="0.25">
      <c r="A200">
        <v>4005500000</v>
      </c>
    </row>
    <row r="201" spans="1:1" x14ac:dyDescent="0.25">
      <c r="A201">
        <v>4005400000</v>
      </c>
    </row>
    <row r="202" spans="1:1" x14ac:dyDescent="0.25">
      <c r="A202">
        <v>4005300000</v>
      </c>
    </row>
    <row r="203" spans="1:1" x14ac:dyDescent="0.25">
      <c r="A203">
        <v>4005200000</v>
      </c>
    </row>
    <row r="204" spans="1:1" x14ac:dyDescent="0.25">
      <c r="A204">
        <v>4005110000</v>
      </c>
    </row>
    <row r="205" spans="1:1" x14ac:dyDescent="0.25">
      <c r="A205">
        <v>4005100000</v>
      </c>
    </row>
    <row r="206" spans="1:1" x14ac:dyDescent="0.25">
      <c r="A206">
        <v>4003700000</v>
      </c>
    </row>
    <row r="207" spans="1:1" x14ac:dyDescent="0.25">
      <c r="A207">
        <v>4003000000</v>
      </c>
    </row>
    <row r="208" spans="1:1" x14ac:dyDescent="0.25">
      <c r="A208">
        <v>4001100001</v>
      </c>
    </row>
    <row r="209" spans="1:1" x14ac:dyDescent="0.25">
      <c r="A209">
        <v>4000600001</v>
      </c>
    </row>
    <row r="210" spans="1:1" x14ac:dyDescent="0.25">
      <c r="A210">
        <v>4000500001</v>
      </c>
    </row>
    <row r="211" spans="1:1" x14ac:dyDescent="0.25">
      <c r="A211">
        <v>4000406002</v>
      </c>
    </row>
    <row r="212" spans="1:1" x14ac:dyDescent="0.25">
      <c r="A212">
        <v>4000406001</v>
      </c>
    </row>
    <row r="213" spans="1:1" x14ac:dyDescent="0.25">
      <c r="A213">
        <v>4000007777</v>
      </c>
    </row>
    <row r="214" spans="1:1" x14ac:dyDescent="0.25">
      <c r="A214">
        <v>3970011000</v>
      </c>
    </row>
    <row r="215" spans="1:1" x14ac:dyDescent="0.25">
      <c r="A215">
        <v>3966000000</v>
      </c>
    </row>
    <row r="216" spans="1:1" x14ac:dyDescent="0.25">
      <c r="A216">
        <v>3965000000</v>
      </c>
    </row>
    <row r="217" spans="1:1" x14ac:dyDescent="0.25">
      <c r="A217">
        <v>3957700000</v>
      </c>
    </row>
    <row r="218" spans="1:1" x14ac:dyDescent="0.25">
      <c r="A218">
        <v>3953916000</v>
      </c>
    </row>
    <row r="219" spans="1:1" x14ac:dyDescent="0.25">
      <c r="A219">
        <v>3952416000</v>
      </c>
    </row>
    <row r="220" spans="1:1" x14ac:dyDescent="0.25">
      <c r="A220">
        <v>3943000000</v>
      </c>
    </row>
    <row r="221" spans="1:1" x14ac:dyDescent="0.25">
      <c r="A221">
        <v>3932006000</v>
      </c>
    </row>
    <row r="222" spans="1:1" x14ac:dyDescent="0.25">
      <c r="A222">
        <v>3932000000</v>
      </c>
    </row>
    <row r="223" spans="1:1" x14ac:dyDescent="0.25">
      <c r="A223">
        <v>3931006000</v>
      </c>
    </row>
    <row r="224" spans="1:1" x14ac:dyDescent="0.25">
      <c r="A224">
        <v>3931000000</v>
      </c>
    </row>
    <row r="225" spans="1:1" x14ac:dyDescent="0.25">
      <c r="A225">
        <v>3925700000</v>
      </c>
    </row>
    <row r="226" spans="1:1" x14ac:dyDescent="0.25">
      <c r="A226">
        <v>3925620000</v>
      </c>
    </row>
    <row r="227" spans="1:1" x14ac:dyDescent="0.25">
      <c r="A227">
        <v>3925600000</v>
      </c>
    </row>
    <row r="228" spans="1:1" x14ac:dyDescent="0.25">
      <c r="A228">
        <v>3925520000</v>
      </c>
    </row>
    <row r="229" spans="1:1" x14ac:dyDescent="0.25">
      <c r="A229">
        <v>3925500000</v>
      </c>
    </row>
    <row r="230" spans="1:1" x14ac:dyDescent="0.25">
      <c r="A230">
        <v>3925400000</v>
      </c>
    </row>
    <row r="231" spans="1:1" x14ac:dyDescent="0.25">
      <c r="A231">
        <v>3925220000</v>
      </c>
    </row>
    <row r="232" spans="1:1" x14ac:dyDescent="0.25">
      <c r="A232">
        <v>3925200000</v>
      </c>
    </row>
    <row r="233" spans="1:1" x14ac:dyDescent="0.25">
      <c r="A233">
        <v>3921006000</v>
      </c>
    </row>
    <row r="234" spans="1:1" x14ac:dyDescent="0.25">
      <c r="A234">
        <v>3920200000</v>
      </c>
    </row>
    <row r="235" spans="1:1" x14ac:dyDescent="0.25">
      <c r="A235">
        <v>3920100000</v>
      </c>
    </row>
    <row r="236" spans="1:1" x14ac:dyDescent="0.25">
      <c r="A236">
        <v>3912100000</v>
      </c>
    </row>
    <row r="237" spans="1:1" x14ac:dyDescent="0.25">
      <c r="A237">
        <v>3912000000</v>
      </c>
    </row>
    <row r="238" spans="1:1" x14ac:dyDescent="0.25">
      <c r="A238">
        <v>3911000000</v>
      </c>
    </row>
    <row r="239" spans="1:1" x14ac:dyDescent="0.25">
      <c r="A239">
        <v>3319500000</v>
      </c>
    </row>
    <row r="240" spans="1:1" x14ac:dyDescent="0.25">
      <c r="A240">
        <v>3313200000</v>
      </c>
    </row>
    <row r="241" spans="1:1" x14ac:dyDescent="0.25">
      <c r="A241">
        <v>3306008000</v>
      </c>
    </row>
    <row r="242" spans="1:1" x14ac:dyDescent="0.25">
      <c r="A242">
        <v>3306000000</v>
      </c>
    </row>
    <row r="243" spans="1:1" x14ac:dyDescent="0.25">
      <c r="A243">
        <v>3305000000</v>
      </c>
    </row>
    <row r="244" spans="1:1" x14ac:dyDescent="0.25">
      <c r="A244">
        <v>3221000000</v>
      </c>
    </row>
    <row r="245" spans="1:1" x14ac:dyDescent="0.25">
      <c r="A245">
        <v>3214006000</v>
      </c>
    </row>
    <row r="246" spans="1:1" x14ac:dyDescent="0.25">
      <c r="A246">
        <v>3214000000</v>
      </c>
    </row>
    <row r="247" spans="1:1" x14ac:dyDescent="0.25">
      <c r="A247">
        <v>3213000000</v>
      </c>
    </row>
    <row r="248" spans="1:1" x14ac:dyDescent="0.25">
      <c r="A248">
        <v>3212000000</v>
      </c>
    </row>
    <row r="249" spans="1:1" x14ac:dyDescent="0.25">
      <c r="A249">
        <v>3211000000</v>
      </c>
    </row>
    <row r="250" spans="1:1" x14ac:dyDescent="0.25">
      <c r="A250">
        <v>3203006000</v>
      </c>
    </row>
    <row r="251" spans="1:1" x14ac:dyDescent="0.25">
      <c r="A251">
        <v>3203000000</v>
      </c>
    </row>
    <row r="252" spans="1:1" x14ac:dyDescent="0.25">
      <c r="A252">
        <v>3202000000</v>
      </c>
    </row>
    <row r="253" spans="1:1" x14ac:dyDescent="0.25">
      <c r="A253">
        <v>3201000000</v>
      </c>
    </row>
    <row r="254" spans="1:1" x14ac:dyDescent="0.25">
      <c r="A254">
        <v>3151000000</v>
      </c>
    </row>
    <row r="255" spans="1:1" x14ac:dyDescent="0.25">
      <c r="A255">
        <v>3150000000</v>
      </c>
    </row>
    <row r="256" spans="1:1" x14ac:dyDescent="0.25">
      <c r="A256">
        <v>3141000000</v>
      </c>
    </row>
    <row r="257" spans="1:1" x14ac:dyDescent="0.25">
      <c r="A257">
        <v>3140000000</v>
      </c>
    </row>
    <row r="258" spans="1:1" x14ac:dyDescent="0.25">
      <c r="A258">
        <v>3135006000</v>
      </c>
    </row>
    <row r="259" spans="1:1" x14ac:dyDescent="0.25">
      <c r="A259">
        <v>3135000000</v>
      </c>
    </row>
    <row r="260" spans="1:1" x14ac:dyDescent="0.25">
      <c r="A260">
        <v>3133006000</v>
      </c>
    </row>
    <row r="261" spans="1:1" x14ac:dyDescent="0.25">
      <c r="A261">
        <v>3132006000</v>
      </c>
    </row>
    <row r="262" spans="1:1" x14ac:dyDescent="0.25">
      <c r="A262">
        <v>3132000000</v>
      </c>
    </row>
    <row r="263" spans="1:1" x14ac:dyDescent="0.25">
      <c r="A263">
        <v>3131006000</v>
      </c>
    </row>
    <row r="264" spans="1:1" x14ac:dyDescent="0.25">
      <c r="A264">
        <v>3131000000</v>
      </c>
    </row>
    <row r="265" spans="1:1" x14ac:dyDescent="0.25">
      <c r="A265">
        <v>3127006000</v>
      </c>
    </row>
    <row r="266" spans="1:1" x14ac:dyDescent="0.25">
      <c r="A266">
        <v>3127000000</v>
      </c>
    </row>
    <row r="267" spans="1:1" x14ac:dyDescent="0.25">
      <c r="A267">
        <v>3126006000</v>
      </c>
    </row>
    <row r="268" spans="1:1" x14ac:dyDescent="0.25">
      <c r="A268">
        <v>3126000000</v>
      </c>
    </row>
    <row r="269" spans="1:1" x14ac:dyDescent="0.25">
      <c r="A269">
        <v>3125006000</v>
      </c>
    </row>
    <row r="270" spans="1:1" x14ac:dyDescent="0.25">
      <c r="A270">
        <v>3125000000</v>
      </c>
    </row>
    <row r="271" spans="1:1" x14ac:dyDescent="0.25">
      <c r="A271">
        <v>3123006000</v>
      </c>
    </row>
    <row r="272" spans="1:1" x14ac:dyDescent="0.25">
      <c r="A272">
        <v>3123000000</v>
      </c>
    </row>
    <row r="273" spans="1:1" x14ac:dyDescent="0.25">
      <c r="A273">
        <v>3122006000</v>
      </c>
    </row>
    <row r="274" spans="1:1" x14ac:dyDescent="0.25">
      <c r="A274">
        <v>3122000000</v>
      </c>
    </row>
    <row r="275" spans="1:1" x14ac:dyDescent="0.25">
      <c r="A275">
        <v>3121006000</v>
      </c>
    </row>
    <row r="276" spans="1:1" x14ac:dyDescent="0.25">
      <c r="A276">
        <v>3117000000</v>
      </c>
    </row>
    <row r="277" spans="1:1" x14ac:dyDescent="0.25">
      <c r="A277">
        <v>3116000020</v>
      </c>
    </row>
    <row r="278" spans="1:1" x14ac:dyDescent="0.25">
      <c r="A278">
        <v>3115100000</v>
      </c>
    </row>
    <row r="279" spans="1:1" x14ac:dyDescent="0.25">
      <c r="A279">
        <v>3115000100</v>
      </c>
    </row>
    <row r="280" spans="1:1" x14ac:dyDescent="0.25">
      <c r="A280">
        <v>3114006000</v>
      </c>
    </row>
    <row r="281" spans="1:1" x14ac:dyDescent="0.25">
      <c r="A281">
        <v>3114000000</v>
      </c>
    </row>
    <row r="282" spans="1:1" x14ac:dyDescent="0.25">
      <c r="A282">
        <v>3112000100</v>
      </c>
    </row>
    <row r="283" spans="1:1" x14ac:dyDescent="0.25">
      <c r="A283">
        <v>3111010100</v>
      </c>
    </row>
    <row r="284" spans="1:1" x14ac:dyDescent="0.25">
      <c r="A284">
        <v>3111010001</v>
      </c>
    </row>
    <row r="285" spans="1:1" x14ac:dyDescent="0.25">
      <c r="A285">
        <v>3111000100</v>
      </c>
    </row>
    <row r="286" spans="1:1" x14ac:dyDescent="0.25">
      <c r="A286">
        <v>3111000001</v>
      </c>
    </row>
    <row r="287" spans="1:1" x14ac:dyDescent="0.25">
      <c r="A287">
        <v>3110000100</v>
      </c>
    </row>
    <row r="288" spans="1:1" x14ac:dyDescent="0.25">
      <c r="A288">
        <v>3110000002</v>
      </c>
    </row>
    <row r="289" spans="1:1" x14ac:dyDescent="0.25">
      <c r="A289">
        <v>3110000001</v>
      </c>
    </row>
    <row r="290" spans="1:1" x14ac:dyDescent="0.25">
      <c r="A290">
        <v>3107000000</v>
      </c>
    </row>
    <row r="291" spans="1:1" x14ac:dyDescent="0.25">
      <c r="A291">
        <v>3106000020</v>
      </c>
    </row>
    <row r="292" spans="1:1" x14ac:dyDescent="0.25">
      <c r="A292">
        <v>3106000001</v>
      </c>
    </row>
    <row r="293" spans="1:1" x14ac:dyDescent="0.25">
      <c r="A293">
        <v>3105100000</v>
      </c>
    </row>
    <row r="294" spans="1:1" x14ac:dyDescent="0.25">
      <c r="A294">
        <v>3104006000</v>
      </c>
    </row>
    <row r="295" spans="1:1" x14ac:dyDescent="0.25">
      <c r="A295">
        <v>3104000000</v>
      </c>
    </row>
    <row r="296" spans="1:1" x14ac:dyDescent="0.25">
      <c r="A296">
        <v>3102000000</v>
      </c>
    </row>
    <row r="297" spans="1:1" x14ac:dyDescent="0.25">
      <c r="A297">
        <v>3050000000</v>
      </c>
    </row>
    <row r="298" spans="1:1" x14ac:dyDescent="0.25">
      <c r="A298">
        <v>3041000000</v>
      </c>
    </row>
    <row r="299" spans="1:1" x14ac:dyDescent="0.25">
      <c r="A299">
        <v>3021000000</v>
      </c>
    </row>
    <row r="300" spans="1:1" x14ac:dyDescent="0.25">
      <c r="A300">
        <v>3011000100</v>
      </c>
    </row>
    <row r="301" spans="1:1" x14ac:dyDescent="0.25">
      <c r="A301">
        <v>3011000001</v>
      </c>
    </row>
    <row r="302" spans="1:1" x14ac:dyDescent="0.25">
      <c r="A302">
        <v>3010300000</v>
      </c>
    </row>
    <row r="303" spans="1:1" x14ac:dyDescent="0.25">
      <c r="A303">
        <v>3010200000</v>
      </c>
    </row>
    <row r="304" spans="1:1" x14ac:dyDescent="0.25">
      <c r="A304">
        <v>3010100000</v>
      </c>
    </row>
    <row r="305" spans="1:1" x14ac:dyDescent="0.25">
      <c r="A305">
        <v>3010010100</v>
      </c>
    </row>
    <row r="306" spans="1:1" x14ac:dyDescent="0.25">
      <c r="A306">
        <v>3010010001</v>
      </c>
    </row>
    <row r="307" spans="1:1" x14ac:dyDescent="0.25">
      <c r="A307">
        <v>3010010000</v>
      </c>
    </row>
    <row r="308" spans="1:1" x14ac:dyDescent="0.25">
      <c r="A308">
        <v>3010000100</v>
      </c>
    </row>
    <row r="309" spans="1:1" x14ac:dyDescent="0.25">
      <c r="A309">
        <v>3010000002</v>
      </c>
    </row>
    <row r="310" spans="1:1" x14ac:dyDescent="0.25">
      <c r="A310">
        <v>3010000001</v>
      </c>
    </row>
    <row r="311" spans="1:1" x14ac:dyDescent="0.25">
      <c r="A311">
        <v>3000300000</v>
      </c>
    </row>
    <row r="312" spans="1:1" x14ac:dyDescent="0.25">
      <c r="A312">
        <v>3000200000</v>
      </c>
    </row>
    <row r="313" spans="1:1" x14ac:dyDescent="0.25">
      <c r="A313">
        <v>3000000004</v>
      </c>
    </row>
    <row r="314" spans="1:1" x14ac:dyDescent="0.25">
      <c r="A314">
        <v>1527000000</v>
      </c>
    </row>
    <row r="315" spans="1:1" x14ac:dyDescent="0.25">
      <c r="A315">
        <v>1507100000</v>
      </c>
    </row>
    <row r="316" spans="1:1" x14ac:dyDescent="0.25">
      <c r="A316">
        <v>1506100000</v>
      </c>
    </row>
    <row r="317" spans="1:1" x14ac:dyDescent="0.25">
      <c r="A317">
        <v>250000</v>
      </c>
    </row>
    <row r="318" spans="1:1" x14ac:dyDescent="0.25">
      <c r="A318">
        <v>250500</v>
      </c>
    </row>
    <row r="319" spans="1:1" x14ac:dyDescent="0.25">
      <c r="A319">
        <v>250502</v>
      </c>
    </row>
    <row r="320" spans="1:1" x14ac:dyDescent="0.25">
      <c r="A320">
        <v>8470000000</v>
      </c>
    </row>
    <row r="321" spans="1:1" x14ac:dyDescent="0.25">
      <c r="A321">
        <v>7831108000</v>
      </c>
    </row>
    <row r="322" spans="1:1" x14ac:dyDescent="0.25">
      <c r="A322">
        <v>7350110034</v>
      </c>
    </row>
    <row r="323" spans="1:1" x14ac:dyDescent="0.25">
      <c r="A323">
        <v>7350110033</v>
      </c>
    </row>
    <row r="324" spans="1:1" x14ac:dyDescent="0.25">
      <c r="A324">
        <v>7350110032</v>
      </c>
    </row>
    <row r="325" spans="1:1" x14ac:dyDescent="0.25">
      <c r="A325">
        <v>7350110031</v>
      </c>
    </row>
    <row r="326" spans="1:1" x14ac:dyDescent="0.25">
      <c r="A326">
        <v>7350110030</v>
      </c>
    </row>
    <row r="327" spans="1:1" x14ac:dyDescent="0.25">
      <c r="A327">
        <v>7350110029</v>
      </c>
    </row>
    <row r="328" spans="1:1" x14ac:dyDescent="0.25">
      <c r="A328">
        <v>7350110028</v>
      </c>
    </row>
    <row r="329" spans="1:1" x14ac:dyDescent="0.25">
      <c r="A329">
        <v>7350110027</v>
      </c>
    </row>
    <row r="330" spans="1:1" x14ac:dyDescent="0.25">
      <c r="A330">
        <v>7350110026</v>
      </c>
    </row>
    <row r="331" spans="1:1" x14ac:dyDescent="0.25">
      <c r="A331">
        <v>7350110025</v>
      </c>
    </row>
    <row r="332" spans="1:1" x14ac:dyDescent="0.25">
      <c r="A332">
        <v>7350110024</v>
      </c>
    </row>
    <row r="333" spans="1:1" x14ac:dyDescent="0.25">
      <c r="A333">
        <v>7350110023</v>
      </c>
    </row>
    <row r="334" spans="1:1" x14ac:dyDescent="0.25">
      <c r="A334">
        <v>7350110022</v>
      </c>
    </row>
    <row r="335" spans="1:1" x14ac:dyDescent="0.25">
      <c r="A335">
        <v>7350110021</v>
      </c>
    </row>
    <row r="336" spans="1:1" x14ac:dyDescent="0.25">
      <c r="A336">
        <v>7350110020</v>
      </c>
    </row>
    <row r="337" spans="1:1" x14ac:dyDescent="0.25">
      <c r="A337">
        <v>7350110019</v>
      </c>
    </row>
    <row r="338" spans="1:1" x14ac:dyDescent="0.25">
      <c r="A338">
        <v>7350110018</v>
      </c>
    </row>
    <row r="339" spans="1:1" x14ac:dyDescent="0.25">
      <c r="A339">
        <v>7350110017</v>
      </c>
    </row>
    <row r="340" spans="1:1" x14ac:dyDescent="0.25">
      <c r="A340">
        <v>7350110016</v>
      </c>
    </row>
    <row r="341" spans="1:1" x14ac:dyDescent="0.25">
      <c r="A341">
        <v>7350110015</v>
      </c>
    </row>
    <row r="342" spans="1:1" x14ac:dyDescent="0.25">
      <c r="A342">
        <v>7350110014</v>
      </c>
    </row>
    <row r="343" spans="1:1" x14ac:dyDescent="0.25">
      <c r="A343">
        <v>7350110013</v>
      </c>
    </row>
    <row r="344" spans="1:1" x14ac:dyDescent="0.25">
      <c r="A344">
        <v>7350110012</v>
      </c>
    </row>
    <row r="345" spans="1:1" x14ac:dyDescent="0.25">
      <c r="A345">
        <v>7350110011</v>
      </c>
    </row>
    <row r="346" spans="1:1" x14ac:dyDescent="0.25">
      <c r="A346">
        <v>7350110010</v>
      </c>
    </row>
    <row r="347" spans="1:1" x14ac:dyDescent="0.25">
      <c r="A347">
        <v>7350110009</v>
      </c>
    </row>
    <row r="348" spans="1:1" x14ac:dyDescent="0.25">
      <c r="A348">
        <v>7350110008</v>
      </c>
    </row>
    <row r="349" spans="1:1" x14ac:dyDescent="0.25">
      <c r="A349">
        <v>7350110007</v>
      </c>
    </row>
    <row r="350" spans="1:1" x14ac:dyDescent="0.25">
      <c r="A350">
        <v>7350110006</v>
      </c>
    </row>
    <row r="351" spans="1:1" x14ac:dyDescent="0.25">
      <c r="A351">
        <v>7350110005</v>
      </c>
    </row>
    <row r="352" spans="1:1" x14ac:dyDescent="0.25">
      <c r="A352">
        <v>7350110004</v>
      </c>
    </row>
    <row r="353" spans="1:1" x14ac:dyDescent="0.25">
      <c r="A353">
        <v>7350110003</v>
      </c>
    </row>
    <row r="354" spans="1:1" x14ac:dyDescent="0.25">
      <c r="A354">
        <v>7350110002</v>
      </c>
    </row>
    <row r="355" spans="1:1" x14ac:dyDescent="0.25">
      <c r="A355">
        <v>7350110001</v>
      </c>
    </row>
    <row r="356" spans="1:1" x14ac:dyDescent="0.25">
      <c r="A356">
        <v>4512000000</v>
      </c>
    </row>
    <row r="357" spans="1:1" x14ac:dyDescent="0.25">
      <c r="A357">
        <v>4511000000</v>
      </c>
    </row>
    <row r="358" spans="1:1" x14ac:dyDescent="0.25">
      <c r="A358">
        <v>4510000000</v>
      </c>
    </row>
    <row r="359" spans="1:1" x14ac:dyDescent="0.25">
      <c r="A359">
        <v>4502008001</v>
      </c>
    </row>
    <row r="360" spans="1:1" x14ac:dyDescent="0.25">
      <c r="A360">
        <v>4502008000</v>
      </c>
    </row>
    <row r="361" spans="1:1" x14ac:dyDescent="0.25">
      <c r="A361">
        <v>4502000001</v>
      </c>
    </row>
    <row r="362" spans="1:1" x14ac:dyDescent="0.25">
      <c r="A362">
        <v>4502000000</v>
      </c>
    </row>
    <row r="363" spans="1:1" x14ac:dyDescent="0.25">
      <c r="A363">
        <v>4501000000</v>
      </c>
    </row>
    <row r="364" spans="1:1" x14ac:dyDescent="0.25">
      <c r="A364">
        <v>4500000000</v>
      </c>
    </row>
    <row r="365" spans="1:1" x14ac:dyDescent="0.25">
      <c r="A365">
        <v>4242000000</v>
      </c>
    </row>
    <row r="366" spans="1:1" x14ac:dyDescent="0.25">
      <c r="A366">
        <v>4241010000</v>
      </c>
    </row>
    <row r="367" spans="1:1" x14ac:dyDescent="0.25">
      <c r="A367">
        <v>4241000000</v>
      </c>
    </row>
    <row r="368" spans="1:1" x14ac:dyDescent="0.25">
      <c r="A368">
        <v>250501</v>
      </c>
    </row>
    <row r="369" spans="1:1" x14ac:dyDescent="0.25">
      <c r="A369">
        <v>7831118000</v>
      </c>
    </row>
    <row r="370" spans="1:1" x14ac:dyDescent="0.25">
      <c r="A370">
        <v>7831117000</v>
      </c>
    </row>
    <row r="371" spans="1:1" x14ac:dyDescent="0.25">
      <c r="A371">
        <v>7831111000</v>
      </c>
    </row>
    <row r="372" spans="1:1" x14ac:dyDescent="0.25">
      <c r="A372">
        <v>7831109000</v>
      </c>
    </row>
    <row r="373" spans="1:1" x14ac:dyDescent="0.25">
      <c r="A373">
        <v>7831106000</v>
      </c>
    </row>
    <row r="374" spans="1:1" x14ac:dyDescent="0.25">
      <c r="A374">
        <v>7831105000</v>
      </c>
    </row>
    <row r="375" spans="1:1" x14ac:dyDescent="0.25">
      <c r="A375">
        <v>7830129000</v>
      </c>
    </row>
    <row r="376" spans="1:1" x14ac:dyDescent="0.25">
      <c r="A376">
        <v>7830128000</v>
      </c>
    </row>
    <row r="377" spans="1:1" x14ac:dyDescent="0.25">
      <c r="A377">
        <v>7830127000</v>
      </c>
    </row>
    <row r="378" spans="1:1" x14ac:dyDescent="0.25">
      <c r="A378">
        <v>7830124000</v>
      </c>
    </row>
    <row r="379" spans="1:1" x14ac:dyDescent="0.25">
      <c r="A379">
        <v>7830122000</v>
      </c>
    </row>
    <row r="380" spans="1:1" x14ac:dyDescent="0.25">
      <c r="A380">
        <v>7830121100</v>
      </c>
    </row>
    <row r="381" spans="1:1" x14ac:dyDescent="0.25">
      <c r="A381">
        <v>7830121000</v>
      </c>
    </row>
    <row r="382" spans="1:1" x14ac:dyDescent="0.25">
      <c r="A382">
        <v>7830117000</v>
      </c>
    </row>
    <row r="383" spans="1:1" x14ac:dyDescent="0.25">
      <c r="A383">
        <v>7830116000</v>
      </c>
    </row>
    <row r="384" spans="1:1" x14ac:dyDescent="0.25">
      <c r="A384">
        <v>7830115000</v>
      </c>
    </row>
    <row r="385" spans="1:1" x14ac:dyDescent="0.25">
      <c r="A385">
        <v>7830114000</v>
      </c>
    </row>
    <row r="386" spans="1:1" x14ac:dyDescent="0.25">
      <c r="A386">
        <v>7830113000</v>
      </c>
    </row>
    <row r="387" spans="1:1" x14ac:dyDescent="0.25">
      <c r="A387">
        <v>7823452000</v>
      </c>
    </row>
    <row r="388" spans="1:1" x14ac:dyDescent="0.25">
      <c r="A388">
        <v>7823301400</v>
      </c>
    </row>
    <row r="389" spans="1:1" x14ac:dyDescent="0.25">
      <c r="A389">
        <v>7823301300</v>
      </c>
    </row>
    <row r="390" spans="1:1" x14ac:dyDescent="0.25">
      <c r="A390">
        <v>7831114000</v>
      </c>
    </row>
    <row r="391" spans="1:1" x14ac:dyDescent="0.25">
      <c r="A391">
        <v>7831112000</v>
      </c>
    </row>
    <row r="392" spans="1:1" x14ac:dyDescent="0.25">
      <c r="A392">
        <v>7831111100</v>
      </c>
    </row>
    <row r="393" spans="1:1" x14ac:dyDescent="0.25">
      <c r="A393">
        <v>7830100000</v>
      </c>
    </row>
    <row r="394" spans="1:1" x14ac:dyDescent="0.25">
      <c r="A394">
        <v>7824200000</v>
      </c>
    </row>
    <row r="395" spans="1:1" x14ac:dyDescent="0.25">
      <c r="A395">
        <v>7824177003</v>
      </c>
    </row>
    <row r="396" spans="1:1" x14ac:dyDescent="0.25">
      <c r="A396">
        <v>7824177002</v>
      </c>
    </row>
    <row r="397" spans="1:1" x14ac:dyDescent="0.25">
      <c r="A397">
        <v>7824176000</v>
      </c>
    </row>
    <row r="398" spans="1:1" x14ac:dyDescent="0.25">
      <c r="A398">
        <v>7824175000</v>
      </c>
    </row>
    <row r="399" spans="1:1" x14ac:dyDescent="0.25">
      <c r="A399">
        <v>7824174000</v>
      </c>
    </row>
    <row r="400" spans="1:1" x14ac:dyDescent="0.25">
      <c r="A400">
        <v>7824173000</v>
      </c>
    </row>
    <row r="401" spans="1:1" x14ac:dyDescent="0.25">
      <c r="A401">
        <v>7824172000</v>
      </c>
    </row>
    <row r="402" spans="1:1" x14ac:dyDescent="0.25">
      <c r="A402">
        <v>7824171000</v>
      </c>
    </row>
    <row r="403" spans="1:1" x14ac:dyDescent="0.25">
      <c r="A403">
        <v>7824161000</v>
      </c>
    </row>
    <row r="404" spans="1:1" x14ac:dyDescent="0.25">
      <c r="A404">
        <v>7824150000</v>
      </c>
    </row>
    <row r="405" spans="1:1" x14ac:dyDescent="0.25">
      <c r="A405">
        <v>7824140002</v>
      </c>
    </row>
    <row r="406" spans="1:1" x14ac:dyDescent="0.25">
      <c r="A406">
        <v>7824140000</v>
      </c>
    </row>
    <row r="407" spans="1:1" x14ac:dyDescent="0.25">
      <c r="A407">
        <v>7824131500</v>
      </c>
    </row>
    <row r="408" spans="1:1" x14ac:dyDescent="0.25">
      <c r="A408">
        <v>7824131400</v>
      </c>
    </row>
    <row r="409" spans="1:1" x14ac:dyDescent="0.25">
      <c r="A409">
        <v>7824131300</v>
      </c>
    </row>
    <row r="410" spans="1:1" x14ac:dyDescent="0.25">
      <c r="A410">
        <v>7824120000</v>
      </c>
    </row>
    <row r="411" spans="1:1" x14ac:dyDescent="0.25">
      <c r="A411">
        <v>7824100000</v>
      </c>
    </row>
    <row r="412" spans="1:1" x14ac:dyDescent="0.25">
      <c r="A412">
        <v>7823700000</v>
      </c>
    </row>
    <row r="413" spans="1:1" x14ac:dyDescent="0.25">
      <c r="A413">
        <v>7823650000</v>
      </c>
    </row>
    <row r="414" spans="1:1" x14ac:dyDescent="0.25">
      <c r="A414">
        <v>7823600000</v>
      </c>
    </row>
    <row r="415" spans="1:1" x14ac:dyDescent="0.25">
      <c r="A415">
        <v>7823454000</v>
      </c>
    </row>
    <row r="416" spans="1:1" x14ac:dyDescent="0.25">
      <c r="A416">
        <v>7823453000</v>
      </c>
    </row>
    <row r="417" spans="1:1" x14ac:dyDescent="0.25">
      <c r="A417">
        <v>7823451000</v>
      </c>
    </row>
    <row r="418" spans="1:1" x14ac:dyDescent="0.25">
      <c r="A418">
        <v>7823350000</v>
      </c>
    </row>
    <row r="419" spans="1:1" x14ac:dyDescent="0.25">
      <c r="A419">
        <v>7823301500</v>
      </c>
    </row>
    <row r="420" spans="1:1" x14ac:dyDescent="0.25">
      <c r="A420">
        <v>7823250000</v>
      </c>
    </row>
    <row r="421" spans="1:1" x14ac:dyDescent="0.25">
      <c r="A421">
        <v>7824165000</v>
      </c>
    </row>
    <row r="422" spans="1:1" x14ac:dyDescent="0.25">
      <c r="A422">
        <v>7824164000</v>
      </c>
    </row>
    <row r="423" spans="1:1" x14ac:dyDescent="0.25">
      <c r="A423">
        <v>7823405000</v>
      </c>
    </row>
    <row r="424" spans="1:1" x14ac:dyDescent="0.25">
      <c r="A424">
        <v>7823404000</v>
      </c>
    </row>
    <row r="425" spans="1:1" x14ac:dyDescent="0.25">
      <c r="A425">
        <v>7831119000</v>
      </c>
    </row>
    <row r="426" spans="1:1" x14ac:dyDescent="0.25">
      <c r="A426">
        <v>7831115000</v>
      </c>
    </row>
    <row r="427" spans="1:1" x14ac:dyDescent="0.25">
      <c r="A427">
        <v>7831109200</v>
      </c>
    </row>
    <row r="428" spans="1:1" x14ac:dyDescent="0.25">
      <c r="A428">
        <v>7831109100</v>
      </c>
    </row>
    <row r="429" spans="1:1" x14ac:dyDescent="0.25">
      <c r="A429">
        <v>7831104000</v>
      </c>
    </row>
    <row r="430" spans="1:1" x14ac:dyDescent="0.25">
      <c r="A430">
        <v>7831103000</v>
      </c>
    </row>
    <row r="431" spans="1:1" x14ac:dyDescent="0.25">
      <c r="A431">
        <v>7831102000</v>
      </c>
    </row>
    <row r="432" spans="1:1" x14ac:dyDescent="0.25">
      <c r="A432">
        <v>7831101000</v>
      </c>
    </row>
    <row r="433" spans="1:1" x14ac:dyDescent="0.25">
      <c r="A433">
        <v>7830119100</v>
      </c>
    </row>
    <row r="434" spans="1:1" x14ac:dyDescent="0.25">
      <c r="A434">
        <v>7830119000</v>
      </c>
    </row>
    <row r="435" spans="1:1" x14ac:dyDescent="0.25">
      <c r="A435">
        <v>7830112000</v>
      </c>
    </row>
    <row r="436" spans="1:1" x14ac:dyDescent="0.25">
      <c r="A436">
        <v>7830111000</v>
      </c>
    </row>
    <row r="437" spans="1:1" x14ac:dyDescent="0.25">
      <c r="A437">
        <v>7824177001</v>
      </c>
    </row>
    <row r="438" spans="1:1" x14ac:dyDescent="0.25">
      <c r="A438">
        <v>7820120004</v>
      </c>
    </row>
    <row r="439" spans="1:1" x14ac:dyDescent="0.25">
      <c r="A439">
        <v>7823101400</v>
      </c>
    </row>
    <row r="440" spans="1:1" x14ac:dyDescent="0.25">
      <c r="A440">
        <v>7823101300</v>
      </c>
    </row>
    <row r="441" spans="1:1" x14ac:dyDescent="0.25">
      <c r="A441">
        <v>7820120003</v>
      </c>
    </row>
    <row r="442" spans="1:1" x14ac:dyDescent="0.25">
      <c r="A442">
        <v>7820106000</v>
      </c>
    </row>
    <row r="443" spans="1:1" x14ac:dyDescent="0.25">
      <c r="A443">
        <v>7711142200</v>
      </c>
    </row>
    <row r="444" spans="1:1" x14ac:dyDescent="0.25">
      <c r="A444">
        <v>7820120005</v>
      </c>
    </row>
    <row r="445" spans="1:1" x14ac:dyDescent="0.25">
      <c r="A445">
        <v>7840104000</v>
      </c>
    </row>
    <row r="446" spans="1:1" x14ac:dyDescent="0.25">
      <c r="A446">
        <v>7840103000</v>
      </c>
    </row>
    <row r="447" spans="1:1" x14ac:dyDescent="0.25">
      <c r="A447">
        <v>7840102000</v>
      </c>
    </row>
    <row r="448" spans="1:1" x14ac:dyDescent="0.25">
      <c r="A448">
        <v>7840101000</v>
      </c>
    </row>
    <row r="449" spans="1:1" x14ac:dyDescent="0.25">
      <c r="A449">
        <v>7720130008</v>
      </c>
    </row>
    <row r="450" spans="1:1" x14ac:dyDescent="0.25">
      <c r="A450">
        <v>7722100001</v>
      </c>
    </row>
    <row r="451" spans="1:1" x14ac:dyDescent="0.25">
      <c r="A451">
        <v>7720105008</v>
      </c>
    </row>
    <row r="452" spans="1:1" x14ac:dyDescent="0.25">
      <c r="A452">
        <v>7711171100</v>
      </c>
    </row>
    <row r="453" spans="1:1" x14ac:dyDescent="0.25">
      <c r="A453">
        <v>7724173000</v>
      </c>
    </row>
    <row r="454" spans="1:1" x14ac:dyDescent="0.25">
      <c r="A454">
        <v>7722120001</v>
      </c>
    </row>
    <row r="455" spans="1:1" x14ac:dyDescent="0.25">
      <c r="A455">
        <v>7720120008</v>
      </c>
    </row>
    <row r="456" spans="1:1" x14ac:dyDescent="0.25">
      <c r="A456">
        <v>9009302000</v>
      </c>
    </row>
    <row r="457" spans="1:1" x14ac:dyDescent="0.25">
      <c r="A457">
        <v>7831107000</v>
      </c>
    </row>
    <row r="458" spans="1:1" x14ac:dyDescent="0.25">
      <c r="A458">
        <v>7824177000</v>
      </c>
    </row>
    <row r="459" spans="1:1" x14ac:dyDescent="0.25">
      <c r="A459">
        <v>7823750000</v>
      </c>
    </row>
    <row r="460" spans="1:1" x14ac:dyDescent="0.25">
      <c r="A460">
        <v>7823455000</v>
      </c>
    </row>
    <row r="461" spans="1:1" x14ac:dyDescent="0.25">
      <c r="A461">
        <v>7831116000</v>
      </c>
    </row>
    <row r="462" spans="1:1" x14ac:dyDescent="0.25">
      <c r="A462">
        <v>7830126000</v>
      </c>
    </row>
    <row r="463" spans="1:1" x14ac:dyDescent="0.25">
      <c r="A463">
        <v>7830125000</v>
      </c>
    </row>
    <row r="464" spans="1:1" x14ac:dyDescent="0.25">
      <c r="A464">
        <v>7824163000</v>
      </c>
    </row>
    <row r="465" spans="1:1" x14ac:dyDescent="0.25">
      <c r="A465">
        <v>7824162000</v>
      </c>
    </row>
    <row r="466" spans="1:1" x14ac:dyDescent="0.25">
      <c r="A466">
        <v>7824140001</v>
      </c>
    </row>
    <row r="467" spans="1:1" x14ac:dyDescent="0.25">
      <c r="A467">
        <v>7823403000</v>
      </c>
    </row>
    <row r="468" spans="1:1" x14ac:dyDescent="0.25">
      <c r="A468">
        <v>7711171300</v>
      </c>
    </row>
    <row r="469" spans="1:1" x14ac:dyDescent="0.25">
      <c r="A469">
        <v>7711171200</v>
      </c>
    </row>
    <row r="470" spans="1:1" x14ac:dyDescent="0.25">
      <c r="A470">
        <v>7840116000</v>
      </c>
    </row>
    <row r="471" spans="1:1" x14ac:dyDescent="0.25">
      <c r="A471">
        <v>7840115000</v>
      </c>
    </row>
    <row r="472" spans="1:1" x14ac:dyDescent="0.25">
      <c r="A472">
        <v>7840114000</v>
      </c>
    </row>
    <row r="473" spans="1:1" x14ac:dyDescent="0.25">
      <c r="A473">
        <v>7840113000</v>
      </c>
    </row>
    <row r="474" spans="1:1" x14ac:dyDescent="0.25">
      <c r="A474">
        <v>7840112000</v>
      </c>
    </row>
    <row r="475" spans="1:1" x14ac:dyDescent="0.25">
      <c r="A475">
        <v>7840111000</v>
      </c>
    </row>
    <row r="476" spans="1:1" x14ac:dyDescent="0.25">
      <c r="A476">
        <v>7840105000</v>
      </c>
    </row>
    <row r="477" spans="1:1" x14ac:dyDescent="0.25">
      <c r="A477">
        <v>7823402000</v>
      </c>
    </row>
    <row r="478" spans="1:1" x14ac:dyDescent="0.25">
      <c r="A478">
        <v>7823401000</v>
      </c>
    </row>
    <row r="479" spans="1:1" x14ac:dyDescent="0.25">
      <c r="A479">
        <v>7823301200</v>
      </c>
    </row>
    <row r="480" spans="1:1" x14ac:dyDescent="0.25">
      <c r="A480">
        <v>7823101200</v>
      </c>
    </row>
    <row r="481" spans="1:1" x14ac:dyDescent="0.25">
      <c r="A481">
        <v>7823101100</v>
      </c>
    </row>
    <row r="482" spans="1:1" x14ac:dyDescent="0.25">
      <c r="A482">
        <v>7822150000</v>
      </c>
    </row>
    <row r="483" spans="1:1" x14ac:dyDescent="0.25">
      <c r="A483">
        <v>7822140000</v>
      </c>
    </row>
    <row r="484" spans="1:1" x14ac:dyDescent="0.25">
      <c r="A484">
        <v>7822130001</v>
      </c>
    </row>
    <row r="485" spans="1:1" x14ac:dyDescent="0.25">
      <c r="A485">
        <v>7822130000</v>
      </c>
    </row>
    <row r="486" spans="1:1" x14ac:dyDescent="0.25">
      <c r="A486">
        <v>7822120000</v>
      </c>
    </row>
    <row r="487" spans="1:1" x14ac:dyDescent="0.25">
      <c r="A487">
        <v>7822110000</v>
      </c>
    </row>
    <row r="488" spans="1:1" x14ac:dyDescent="0.25">
      <c r="A488">
        <v>7822100000</v>
      </c>
    </row>
    <row r="489" spans="1:1" x14ac:dyDescent="0.25">
      <c r="A489">
        <v>7821150000</v>
      </c>
    </row>
    <row r="490" spans="1:1" x14ac:dyDescent="0.25">
      <c r="A490">
        <v>7821121301</v>
      </c>
    </row>
    <row r="491" spans="1:1" x14ac:dyDescent="0.25">
      <c r="A491">
        <v>7821121300</v>
      </c>
    </row>
    <row r="492" spans="1:1" x14ac:dyDescent="0.25">
      <c r="A492">
        <v>7821101307</v>
      </c>
    </row>
    <row r="493" spans="1:1" x14ac:dyDescent="0.25">
      <c r="A493">
        <v>7821101306</v>
      </c>
    </row>
    <row r="494" spans="1:1" x14ac:dyDescent="0.25">
      <c r="A494">
        <v>7821101305</v>
      </c>
    </row>
    <row r="495" spans="1:1" x14ac:dyDescent="0.25">
      <c r="A495">
        <v>7821101304</v>
      </c>
    </row>
    <row r="496" spans="1:1" x14ac:dyDescent="0.25">
      <c r="A496">
        <v>7821101303</v>
      </c>
    </row>
    <row r="497" spans="1:1" x14ac:dyDescent="0.25">
      <c r="A497">
        <v>7821101302</v>
      </c>
    </row>
    <row r="498" spans="1:1" x14ac:dyDescent="0.25">
      <c r="A498">
        <v>7821101301</v>
      </c>
    </row>
    <row r="499" spans="1:1" x14ac:dyDescent="0.25">
      <c r="A499">
        <v>7821101300</v>
      </c>
    </row>
    <row r="500" spans="1:1" x14ac:dyDescent="0.25">
      <c r="A500">
        <v>7820190000</v>
      </c>
    </row>
    <row r="501" spans="1:1" x14ac:dyDescent="0.25">
      <c r="A501">
        <v>7820180000</v>
      </c>
    </row>
    <row r="502" spans="1:1" x14ac:dyDescent="0.25">
      <c r="A502">
        <v>7820170000</v>
      </c>
    </row>
    <row r="503" spans="1:1" x14ac:dyDescent="0.25">
      <c r="A503">
        <v>7820160000</v>
      </c>
    </row>
    <row r="504" spans="1:1" x14ac:dyDescent="0.25">
      <c r="A504">
        <v>7820152200</v>
      </c>
    </row>
    <row r="505" spans="1:1" x14ac:dyDescent="0.25">
      <c r="A505">
        <v>7820152100</v>
      </c>
    </row>
    <row r="506" spans="1:1" x14ac:dyDescent="0.25">
      <c r="A506">
        <v>7820151320</v>
      </c>
    </row>
    <row r="507" spans="1:1" x14ac:dyDescent="0.25">
      <c r="A507">
        <v>7820151210</v>
      </c>
    </row>
    <row r="508" spans="1:1" x14ac:dyDescent="0.25">
      <c r="A508">
        <v>7820151110</v>
      </c>
    </row>
    <row r="509" spans="1:1" x14ac:dyDescent="0.25">
      <c r="A509">
        <v>7820140001</v>
      </c>
    </row>
    <row r="510" spans="1:1" x14ac:dyDescent="0.25">
      <c r="A510">
        <v>7820140000</v>
      </c>
    </row>
    <row r="511" spans="1:1" x14ac:dyDescent="0.25">
      <c r="A511">
        <v>7820130007</v>
      </c>
    </row>
    <row r="512" spans="1:1" x14ac:dyDescent="0.25">
      <c r="A512">
        <v>7820130006</v>
      </c>
    </row>
    <row r="513" spans="1:1" x14ac:dyDescent="0.25">
      <c r="A513">
        <v>7820130005</v>
      </c>
    </row>
    <row r="514" spans="1:1" x14ac:dyDescent="0.25">
      <c r="A514">
        <v>7820130004</v>
      </c>
    </row>
    <row r="515" spans="1:1" x14ac:dyDescent="0.25">
      <c r="A515">
        <v>7820130003</v>
      </c>
    </row>
    <row r="516" spans="1:1" x14ac:dyDescent="0.25">
      <c r="A516">
        <v>7820130002</v>
      </c>
    </row>
    <row r="517" spans="1:1" x14ac:dyDescent="0.25">
      <c r="A517">
        <v>7820130001</v>
      </c>
    </row>
    <row r="518" spans="1:1" x14ac:dyDescent="0.25">
      <c r="A518">
        <v>7820130000</v>
      </c>
    </row>
    <row r="519" spans="1:1" x14ac:dyDescent="0.25">
      <c r="A519">
        <v>7820120007</v>
      </c>
    </row>
    <row r="520" spans="1:1" x14ac:dyDescent="0.25">
      <c r="A520">
        <v>7820120001</v>
      </c>
    </row>
    <row r="521" spans="1:1" x14ac:dyDescent="0.25">
      <c r="A521">
        <v>7820120000</v>
      </c>
    </row>
    <row r="522" spans="1:1" x14ac:dyDescent="0.25">
      <c r="A522">
        <v>7811190000</v>
      </c>
    </row>
    <row r="523" spans="1:1" x14ac:dyDescent="0.25">
      <c r="A523">
        <v>7811180000</v>
      </c>
    </row>
    <row r="524" spans="1:1" x14ac:dyDescent="0.25">
      <c r="A524">
        <v>7811173000</v>
      </c>
    </row>
    <row r="525" spans="1:1" x14ac:dyDescent="0.25">
      <c r="A525">
        <v>7811172000</v>
      </c>
    </row>
    <row r="526" spans="1:1" x14ac:dyDescent="0.25">
      <c r="A526">
        <v>7811171400</v>
      </c>
    </row>
    <row r="527" spans="1:1" x14ac:dyDescent="0.25">
      <c r="A527">
        <v>7811171300</v>
      </c>
    </row>
    <row r="528" spans="1:1" x14ac:dyDescent="0.25">
      <c r="A528">
        <v>7811171200</v>
      </c>
    </row>
    <row r="529" spans="1:1" x14ac:dyDescent="0.25">
      <c r="A529">
        <v>7811171100</v>
      </c>
    </row>
    <row r="530" spans="1:1" x14ac:dyDescent="0.25">
      <c r="A530">
        <v>7811121000</v>
      </c>
    </row>
    <row r="531" spans="1:1" x14ac:dyDescent="0.25">
      <c r="A531">
        <v>7811115001</v>
      </c>
    </row>
    <row r="532" spans="1:1" x14ac:dyDescent="0.25">
      <c r="A532">
        <v>7811111300</v>
      </c>
    </row>
    <row r="533" spans="1:1" x14ac:dyDescent="0.25">
      <c r="A533">
        <v>7810180000</v>
      </c>
    </row>
    <row r="534" spans="1:1" x14ac:dyDescent="0.25">
      <c r="A534">
        <v>7810130000</v>
      </c>
    </row>
    <row r="535" spans="1:1" x14ac:dyDescent="0.25">
      <c r="A535">
        <v>7724190000</v>
      </c>
    </row>
    <row r="536" spans="1:1" x14ac:dyDescent="0.25">
      <c r="A536">
        <v>7724177000</v>
      </c>
    </row>
    <row r="537" spans="1:1" x14ac:dyDescent="0.25">
      <c r="A537">
        <v>7724171000</v>
      </c>
    </row>
    <row r="538" spans="1:1" x14ac:dyDescent="0.25">
      <c r="A538">
        <v>7724161100</v>
      </c>
    </row>
    <row r="539" spans="1:1" x14ac:dyDescent="0.25">
      <c r="A539">
        <v>7724140000</v>
      </c>
    </row>
    <row r="540" spans="1:1" x14ac:dyDescent="0.25">
      <c r="A540">
        <v>7723550000</v>
      </c>
    </row>
    <row r="541" spans="1:1" x14ac:dyDescent="0.25">
      <c r="A541">
        <v>7723500000</v>
      </c>
    </row>
    <row r="542" spans="1:1" x14ac:dyDescent="0.25">
      <c r="A542">
        <v>7723451000</v>
      </c>
    </row>
    <row r="543" spans="1:1" x14ac:dyDescent="0.25">
      <c r="A543">
        <v>7722140001</v>
      </c>
    </row>
    <row r="544" spans="1:1" x14ac:dyDescent="0.25">
      <c r="A544">
        <v>7722140000</v>
      </c>
    </row>
    <row r="545" spans="1:1" x14ac:dyDescent="0.25">
      <c r="A545">
        <v>7722130004</v>
      </c>
    </row>
    <row r="546" spans="1:1" x14ac:dyDescent="0.25">
      <c r="A546">
        <v>7722130003</v>
      </c>
    </row>
    <row r="547" spans="1:1" x14ac:dyDescent="0.25">
      <c r="A547">
        <v>7722130002</v>
      </c>
    </row>
    <row r="548" spans="1:1" x14ac:dyDescent="0.25">
      <c r="A548">
        <v>7722130001</v>
      </c>
    </row>
    <row r="549" spans="1:1" x14ac:dyDescent="0.25">
      <c r="A549">
        <v>7722130000</v>
      </c>
    </row>
    <row r="550" spans="1:1" x14ac:dyDescent="0.25">
      <c r="A550">
        <v>7722120000</v>
      </c>
    </row>
    <row r="551" spans="1:1" x14ac:dyDescent="0.25">
      <c r="A551">
        <v>7722110003</v>
      </c>
    </row>
    <row r="552" spans="1:1" x14ac:dyDescent="0.25">
      <c r="A552">
        <v>7722110002</v>
      </c>
    </row>
    <row r="553" spans="1:1" x14ac:dyDescent="0.25">
      <c r="A553">
        <v>7722110001</v>
      </c>
    </row>
    <row r="554" spans="1:1" x14ac:dyDescent="0.25">
      <c r="A554">
        <v>7722110000</v>
      </c>
    </row>
    <row r="555" spans="1:1" x14ac:dyDescent="0.25">
      <c r="A555">
        <v>7722100000</v>
      </c>
    </row>
    <row r="556" spans="1:1" x14ac:dyDescent="0.25">
      <c r="A556">
        <v>7721140000</v>
      </c>
    </row>
    <row r="557" spans="1:1" x14ac:dyDescent="0.25">
      <c r="A557">
        <v>7721130001</v>
      </c>
    </row>
    <row r="558" spans="1:1" x14ac:dyDescent="0.25">
      <c r="A558">
        <v>7721130000</v>
      </c>
    </row>
    <row r="559" spans="1:1" x14ac:dyDescent="0.25">
      <c r="A559">
        <v>7721121302</v>
      </c>
    </row>
    <row r="560" spans="1:1" x14ac:dyDescent="0.25">
      <c r="A560">
        <v>7721121301</v>
      </c>
    </row>
    <row r="561" spans="1:1" x14ac:dyDescent="0.25">
      <c r="A561">
        <v>7721121300</v>
      </c>
    </row>
    <row r="562" spans="1:1" x14ac:dyDescent="0.25">
      <c r="A562">
        <v>7721121200</v>
      </c>
    </row>
    <row r="563" spans="1:1" x14ac:dyDescent="0.25">
      <c r="A563">
        <v>7721121100</v>
      </c>
    </row>
    <row r="564" spans="1:1" x14ac:dyDescent="0.25">
      <c r="A564">
        <v>7721110000</v>
      </c>
    </row>
    <row r="565" spans="1:1" x14ac:dyDescent="0.25">
      <c r="A565">
        <v>7721101308</v>
      </c>
    </row>
    <row r="566" spans="1:1" x14ac:dyDescent="0.25">
      <c r="A566">
        <v>7721101307</v>
      </c>
    </row>
    <row r="567" spans="1:1" x14ac:dyDescent="0.25">
      <c r="A567">
        <v>7721101306</v>
      </c>
    </row>
    <row r="568" spans="1:1" x14ac:dyDescent="0.25">
      <c r="A568">
        <v>7721101305</v>
      </c>
    </row>
    <row r="569" spans="1:1" x14ac:dyDescent="0.25">
      <c r="A569">
        <v>7721101304</v>
      </c>
    </row>
    <row r="570" spans="1:1" x14ac:dyDescent="0.25">
      <c r="A570">
        <v>7721101303</v>
      </c>
    </row>
    <row r="571" spans="1:1" x14ac:dyDescent="0.25">
      <c r="A571">
        <v>7721101302</v>
      </c>
    </row>
    <row r="572" spans="1:1" x14ac:dyDescent="0.25">
      <c r="A572">
        <v>7721101301</v>
      </c>
    </row>
    <row r="573" spans="1:1" x14ac:dyDescent="0.25">
      <c r="A573">
        <v>7721101300</v>
      </c>
    </row>
    <row r="574" spans="1:1" x14ac:dyDescent="0.25">
      <c r="A574">
        <v>7721101100</v>
      </c>
    </row>
    <row r="575" spans="1:1" x14ac:dyDescent="0.25">
      <c r="A575">
        <v>7720140000</v>
      </c>
    </row>
    <row r="576" spans="1:1" x14ac:dyDescent="0.25">
      <c r="A576">
        <v>7720130007</v>
      </c>
    </row>
    <row r="577" spans="1:1" x14ac:dyDescent="0.25">
      <c r="A577">
        <v>7720130006</v>
      </c>
    </row>
    <row r="578" spans="1:1" x14ac:dyDescent="0.25">
      <c r="A578">
        <v>7720130005</v>
      </c>
    </row>
    <row r="579" spans="1:1" x14ac:dyDescent="0.25">
      <c r="A579">
        <v>7720130004</v>
      </c>
    </row>
    <row r="580" spans="1:1" x14ac:dyDescent="0.25">
      <c r="A580">
        <v>7720130003</v>
      </c>
    </row>
    <row r="581" spans="1:1" x14ac:dyDescent="0.25">
      <c r="A581">
        <v>7720130002</v>
      </c>
    </row>
    <row r="582" spans="1:1" x14ac:dyDescent="0.25">
      <c r="A582">
        <v>7720130001</v>
      </c>
    </row>
    <row r="583" spans="1:1" x14ac:dyDescent="0.25">
      <c r="A583">
        <v>7720130000</v>
      </c>
    </row>
    <row r="584" spans="1:1" x14ac:dyDescent="0.25">
      <c r="A584">
        <v>7720120007</v>
      </c>
    </row>
    <row r="585" spans="1:1" x14ac:dyDescent="0.25">
      <c r="A585">
        <v>7720120006</v>
      </c>
    </row>
    <row r="586" spans="1:1" x14ac:dyDescent="0.25">
      <c r="A586">
        <v>7720120005</v>
      </c>
    </row>
    <row r="587" spans="1:1" x14ac:dyDescent="0.25">
      <c r="A587">
        <v>7720120004</v>
      </c>
    </row>
    <row r="588" spans="1:1" x14ac:dyDescent="0.25">
      <c r="A588">
        <v>7720120003</v>
      </c>
    </row>
    <row r="589" spans="1:1" x14ac:dyDescent="0.25">
      <c r="A589">
        <v>7720120002</v>
      </c>
    </row>
    <row r="590" spans="1:1" x14ac:dyDescent="0.25">
      <c r="A590">
        <v>7720120001</v>
      </c>
    </row>
    <row r="591" spans="1:1" x14ac:dyDescent="0.25">
      <c r="A591">
        <v>7720120000</v>
      </c>
    </row>
    <row r="592" spans="1:1" x14ac:dyDescent="0.25">
      <c r="A592">
        <v>7720115007</v>
      </c>
    </row>
    <row r="593" spans="1:1" x14ac:dyDescent="0.25">
      <c r="A593">
        <v>7720115006</v>
      </c>
    </row>
    <row r="594" spans="1:1" x14ac:dyDescent="0.25">
      <c r="A594">
        <v>7720115005</v>
      </c>
    </row>
    <row r="595" spans="1:1" x14ac:dyDescent="0.25">
      <c r="A595">
        <v>7720115004</v>
      </c>
    </row>
    <row r="596" spans="1:1" x14ac:dyDescent="0.25">
      <c r="A596">
        <v>7720115003</v>
      </c>
    </row>
    <row r="597" spans="1:1" x14ac:dyDescent="0.25">
      <c r="A597">
        <v>7720115002</v>
      </c>
    </row>
    <row r="598" spans="1:1" x14ac:dyDescent="0.25">
      <c r="A598">
        <v>7720115001</v>
      </c>
    </row>
    <row r="599" spans="1:1" x14ac:dyDescent="0.25">
      <c r="A599">
        <v>7720115000</v>
      </c>
    </row>
    <row r="600" spans="1:1" x14ac:dyDescent="0.25">
      <c r="A600">
        <v>7720114007</v>
      </c>
    </row>
    <row r="601" spans="1:1" x14ac:dyDescent="0.25">
      <c r="A601">
        <v>7720114006</v>
      </c>
    </row>
    <row r="602" spans="1:1" x14ac:dyDescent="0.25">
      <c r="A602">
        <v>7720114005</v>
      </c>
    </row>
    <row r="603" spans="1:1" x14ac:dyDescent="0.25">
      <c r="A603">
        <v>7720114004</v>
      </c>
    </row>
    <row r="604" spans="1:1" x14ac:dyDescent="0.25">
      <c r="A604">
        <v>7720114003</v>
      </c>
    </row>
    <row r="605" spans="1:1" x14ac:dyDescent="0.25">
      <c r="A605">
        <v>7720114002</v>
      </c>
    </row>
    <row r="606" spans="1:1" x14ac:dyDescent="0.25">
      <c r="A606">
        <v>7720114001</v>
      </c>
    </row>
    <row r="607" spans="1:1" x14ac:dyDescent="0.25">
      <c r="A607">
        <v>7720114000</v>
      </c>
    </row>
    <row r="608" spans="1:1" x14ac:dyDescent="0.25">
      <c r="A608">
        <v>7720113007</v>
      </c>
    </row>
    <row r="609" spans="1:1" x14ac:dyDescent="0.25">
      <c r="A609">
        <v>7720113006</v>
      </c>
    </row>
    <row r="610" spans="1:1" x14ac:dyDescent="0.25">
      <c r="A610">
        <v>7720113005</v>
      </c>
    </row>
    <row r="611" spans="1:1" x14ac:dyDescent="0.25">
      <c r="A611">
        <v>7720113004</v>
      </c>
    </row>
    <row r="612" spans="1:1" x14ac:dyDescent="0.25">
      <c r="A612">
        <v>7720113003</v>
      </c>
    </row>
    <row r="613" spans="1:1" x14ac:dyDescent="0.25">
      <c r="A613">
        <v>7720113002</v>
      </c>
    </row>
    <row r="614" spans="1:1" x14ac:dyDescent="0.25">
      <c r="A614">
        <v>7720113001</v>
      </c>
    </row>
    <row r="615" spans="1:1" x14ac:dyDescent="0.25">
      <c r="A615">
        <v>7720113000</v>
      </c>
    </row>
    <row r="616" spans="1:1" x14ac:dyDescent="0.25">
      <c r="A616">
        <v>7720112007</v>
      </c>
    </row>
    <row r="617" spans="1:1" x14ac:dyDescent="0.25">
      <c r="A617">
        <v>7720112006</v>
      </c>
    </row>
    <row r="618" spans="1:1" x14ac:dyDescent="0.25">
      <c r="A618">
        <v>7720112005</v>
      </c>
    </row>
    <row r="619" spans="1:1" x14ac:dyDescent="0.25">
      <c r="A619">
        <v>7720112004</v>
      </c>
    </row>
    <row r="620" spans="1:1" x14ac:dyDescent="0.25">
      <c r="A620">
        <v>7720112003</v>
      </c>
    </row>
    <row r="621" spans="1:1" x14ac:dyDescent="0.25">
      <c r="A621">
        <v>7720112002</v>
      </c>
    </row>
    <row r="622" spans="1:1" x14ac:dyDescent="0.25">
      <c r="A622">
        <v>7720112001</v>
      </c>
    </row>
    <row r="623" spans="1:1" x14ac:dyDescent="0.25">
      <c r="A623">
        <v>7720112000</v>
      </c>
    </row>
    <row r="624" spans="1:1" x14ac:dyDescent="0.25">
      <c r="A624">
        <v>7720106007</v>
      </c>
    </row>
    <row r="625" spans="1:1" x14ac:dyDescent="0.25">
      <c r="A625">
        <v>7720106006</v>
      </c>
    </row>
    <row r="626" spans="1:1" x14ac:dyDescent="0.25">
      <c r="A626">
        <v>7720106005</v>
      </c>
    </row>
    <row r="627" spans="1:1" x14ac:dyDescent="0.25">
      <c r="A627">
        <v>7720106004</v>
      </c>
    </row>
    <row r="628" spans="1:1" x14ac:dyDescent="0.25">
      <c r="A628">
        <v>7720106003</v>
      </c>
    </row>
    <row r="629" spans="1:1" x14ac:dyDescent="0.25">
      <c r="A629">
        <v>7720106002</v>
      </c>
    </row>
    <row r="630" spans="1:1" x14ac:dyDescent="0.25">
      <c r="A630">
        <v>7720106001</v>
      </c>
    </row>
    <row r="631" spans="1:1" x14ac:dyDescent="0.25">
      <c r="A631">
        <v>7720106000</v>
      </c>
    </row>
    <row r="632" spans="1:1" x14ac:dyDescent="0.25">
      <c r="A632">
        <v>7720105007</v>
      </c>
    </row>
    <row r="633" spans="1:1" x14ac:dyDescent="0.25">
      <c r="A633">
        <v>7720105006</v>
      </c>
    </row>
    <row r="634" spans="1:1" x14ac:dyDescent="0.25">
      <c r="A634">
        <v>7720105005</v>
      </c>
    </row>
    <row r="635" spans="1:1" x14ac:dyDescent="0.25">
      <c r="A635">
        <v>7720105004</v>
      </c>
    </row>
    <row r="636" spans="1:1" x14ac:dyDescent="0.25">
      <c r="A636">
        <v>7720105003</v>
      </c>
    </row>
    <row r="637" spans="1:1" x14ac:dyDescent="0.25">
      <c r="A637">
        <v>7720105002</v>
      </c>
    </row>
    <row r="638" spans="1:1" x14ac:dyDescent="0.25">
      <c r="A638">
        <v>7720105001</v>
      </c>
    </row>
    <row r="639" spans="1:1" x14ac:dyDescent="0.25">
      <c r="A639">
        <v>7720105000</v>
      </c>
    </row>
    <row r="640" spans="1:1" x14ac:dyDescent="0.25">
      <c r="A640">
        <v>7720104007</v>
      </c>
    </row>
    <row r="641" spans="1:1" x14ac:dyDescent="0.25">
      <c r="A641">
        <v>7720104006</v>
      </c>
    </row>
    <row r="642" spans="1:1" x14ac:dyDescent="0.25">
      <c r="A642">
        <v>7720104005</v>
      </c>
    </row>
    <row r="643" spans="1:1" x14ac:dyDescent="0.25">
      <c r="A643">
        <v>7720104004</v>
      </c>
    </row>
    <row r="644" spans="1:1" x14ac:dyDescent="0.25">
      <c r="A644">
        <v>7720104003</v>
      </c>
    </row>
    <row r="645" spans="1:1" x14ac:dyDescent="0.25">
      <c r="A645">
        <v>7720104002</v>
      </c>
    </row>
    <row r="646" spans="1:1" x14ac:dyDescent="0.25">
      <c r="A646">
        <v>7720104001</v>
      </c>
    </row>
    <row r="647" spans="1:1" x14ac:dyDescent="0.25">
      <c r="A647">
        <v>7720104000</v>
      </c>
    </row>
    <row r="648" spans="1:1" x14ac:dyDescent="0.25">
      <c r="A648">
        <v>7720103007</v>
      </c>
    </row>
    <row r="649" spans="1:1" x14ac:dyDescent="0.25">
      <c r="A649">
        <v>7720103006</v>
      </c>
    </row>
    <row r="650" spans="1:1" x14ac:dyDescent="0.25">
      <c r="A650">
        <v>7720103005</v>
      </c>
    </row>
    <row r="651" spans="1:1" x14ac:dyDescent="0.25">
      <c r="A651">
        <v>7720103004</v>
      </c>
    </row>
    <row r="652" spans="1:1" x14ac:dyDescent="0.25">
      <c r="A652">
        <v>7720103003</v>
      </c>
    </row>
    <row r="653" spans="1:1" x14ac:dyDescent="0.25">
      <c r="A653">
        <v>7720103002</v>
      </c>
    </row>
    <row r="654" spans="1:1" x14ac:dyDescent="0.25">
      <c r="A654">
        <v>7720103001</v>
      </c>
    </row>
    <row r="655" spans="1:1" x14ac:dyDescent="0.25">
      <c r="A655">
        <v>7720103000</v>
      </c>
    </row>
    <row r="656" spans="1:1" x14ac:dyDescent="0.25">
      <c r="A656">
        <v>7720101000</v>
      </c>
    </row>
    <row r="657" spans="1:1" x14ac:dyDescent="0.25">
      <c r="A657">
        <v>7711122000</v>
      </c>
    </row>
    <row r="658" spans="1:1" x14ac:dyDescent="0.25">
      <c r="A658">
        <v>7711121000</v>
      </c>
    </row>
    <row r="659" spans="1:1" x14ac:dyDescent="0.25">
      <c r="A659">
        <v>7711113001</v>
      </c>
    </row>
    <row r="660" spans="1:1" x14ac:dyDescent="0.25">
      <c r="A660">
        <v>7710190000</v>
      </c>
    </row>
    <row r="661" spans="1:1" x14ac:dyDescent="0.25">
      <c r="A661">
        <v>7710150001</v>
      </c>
    </row>
    <row r="662" spans="1:1" x14ac:dyDescent="0.25">
      <c r="A662">
        <v>7710150000</v>
      </c>
    </row>
    <row r="663" spans="1:1" x14ac:dyDescent="0.25">
      <c r="A663">
        <v>7710120004</v>
      </c>
    </row>
    <row r="664" spans="1:1" x14ac:dyDescent="0.25">
      <c r="A664">
        <v>7710100001</v>
      </c>
    </row>
    <row r="665" spans="1:1" x14ac:dyDescent="0.25">
      <c r="A665">
        <v>7710100000</v>
      </c>
    </row>
    <row r="666" spans="1:1" x14ac:dyDescent="0.25">
      <c r="A666">
        <v>7620304112</v>
      </c>
    </row>
    <row r="667" spans="1:1" x14ac:dyDescent="0.25">
      <c r="A667">
        <v>7620304110</v>
      </c>
    </row>
    <row r="668" spans="1:1" x14ac:dyDescent="0.25">
      <c r="A668">
        <v>7620304109</v>
      </c>
    </row>
    <row r="669" spans="1:1" x14ac:dyDescent="0.25">
      <c r="A669">
        <v>7600340099</v>
      </c>
    </row>
    <row r="670" spans="1:1" x14ac:dyDescent="0.25">
      <c r="A670">
        <v>7600340053</v>
      </c>
    </row>
    <row r="671" spans="1:1" x14ac:dyDescent="0.25">
      <c r="A671">
        <v>7600340052</v>
      </c>
    </row>
    <row r="672" spans="1:1" x14ac:dyDescent="0.25">
      <c r="A672">
        <v>7600340051</v>
      </c>
    </row>
    <row r="673" spans="1:1" x14ac:dyDescent="0.25">
      <c r="A673">
        <v>7600340050</v>
      </c>
    </row>
    <row r="674" spans="1:1" x14ac:dyDescent="0.25">
      <c r="A674">
        <v>7600340049</v>
      </c>
    </row>
    <row r="675" spans="1:1" x14ac:dyDescent="0.25">
      <c r="A675">
        <v>7600340045</v>
      </c>
    </row>
    <row r="676" spans="1:1" x14ac:dyDescent="0.25">
      <c r="A676">
        <v>7600340024</v>
      </c>
    </row>
    <row r="677" spans="1:1" x14ac:dyDescent="0.25">
      <c r="A677">
        <v>7600340022</v>
      </c>
    </row>
    <row r="678" spans="1:1" x14ac:dyDescent="0.25">
      <c r="A678">
        <v>7600340021</v>
      </c>
    </row>
    <row r="679" spans="1:1" x14ac:dyDescent="0.25">
      <c r="A679">
        <v>7600340020</v>
      </c>
    </row>
    <row r="680" spans="1:1" x14ac:dyDescent="0.25">
      <c r="A680">
        <v>7600340019</v>
      </c>
    </row>
    <row r="681" spans="1:1" x14ac:dyDescent="0.25">
      <c r="A681">
        <v>7600340018</v>
      </c>
    </row>
    <row r="682" spans="1:1" x14ac:dyDescent="0.25">
      <c r="A682">
        <v>7600340017</v>
      </c>
    </row>
    <row r="683" spans="1:1" x14ac:dyDescent="0.25">
      <c r="A683">
        <v>7600340016</v>
      </c>
    </row>
    <row r="684" spans="1:1" x14ac:dyDescent="0.25">
      <c r="A684">
        <v>7600340015</v>
      </c>
    </row>
    <row r="685" spans="1:1" x14ac:dyDescent="0.25">
      <c r="A685">
        <v>7600340014</v>
      </c>
    </row>
    <row r="686" spans="1:1" x14ac:dyDescent="0.25">
      <c r="A686">
        <v>7600340013</v>
      </c>
    </row>
    <row r="687" spans="1:1" x14ac:dyDescent="0.25">
      <c r="A687">
        <v>7600340012</v>
      </c>
    </row>
    <row r="688" spans="1:1" x14ac:dyDescent="0.25">
      <c r="A688">
        <v>7600340011</v>
      </c>
    </row>
    <row r="689" spans="1:1" x14ac:dyDescent="0.25">
      <c r="A689">
        <v>7600340010</v>
      </c>
    </row>
    <row r="690" spans="1:1" x14ac:dyDescent="0.25">
      <c r="A690">
        <v>7600340009</v>
      </c>
    </row>
    <row r="691" spans="1:1" x14ac:dyDescent="0.25">
      <c r="A691">
        <v>7600340008</v>
      </c>
    </row>
    <row r="692" spans="1:1" x14ac:dyDescent="0.25">
      <c r="A692">
        <v>7600340007</v>
      </c>
    </row>
    <row r="693" spans="1:1" x14ac:dyDescent="0.25">
      <c r="A693">
        <v>7600340006</v>
      </c>
    </row>
    <row r="694" spans="1:1" x14ac:dyDescent="0.25">
      <c r="A694">
        <v>7600330122</v>
      </c>
    </row>
    <row r="695" spans="1:1" x14ac:dyDescent="0.25">
      <c r="A695">
        <v>7600330118</v>
      </c>
    </row>
    <row r="696" spans="1:1" x14ac:dyDescent="0.25">
      <c r="A696">
        <v>7600330117</v>
      </c>
    </row>
    <row r="697" spans="1:1" x14ac:dyDescent="0.25">
      <c r="A697">
        <v>7600330116</v>
      </c>
    </row>
    <row r="698" spans="1:1" x14ac:dyDescent="0.25">
      <c r="A698">
        <v>7600330115</v>
      </c>
    </row>
    <row r="699" spans="1:1" x14ac:dyDescent="0.25">
      <c r="A699">
        <v>7600330114</v>
      </c>
    </row>
    <row r="700" spans="1:1" x14ac:dyDescent="0.25">
      <c r="A700">
        <v>7600330113</v>
      </c>
    </row>
    <row r="701" spans="1:1" x14ac:dyDescent="0.25">
      <c r="A701">
        <v>7600330112</v>
      </c>
    </row>
    <row r="702" spans="1:1" x14ac:dyDescent="0.25">
      <c r="A702">
        <v>7600330111</v>
      </c>
    </row>
    <row r="703" spans="1:1" x14ac:dyDescent="0.25">
      <c r="A703">
        <v>7600330110</v>
      </c>
    </row>
    <row r="704" spans="1:1" x14ac:dyDescent="0.25">
      <c r="A704">
        <v>7600330109</v>
      </c>
    </row>
    <row r="705" spans="1:1" x14ac:dyDescent="0.25">
      <c r="A705">
        <v>7600330108</v>
      </c>
    </row>
    <row r="706" spans="1:1" x14ac:dyDescent="0.25">
      <c r="A706">
        <v>7600330107</v>
      </c>
    </row>
    <row r="707" spans="1:1" x14ac:dyDescent="0.25">
      <c r="A707">
        <v>7600330106</v>
      </c>
    </row>
    <row r="708" spans="1:1" x14ac:dyDescent="0.25">
      <c r="A708">
        <v>7600330105</v>
      </c>
    </row>
    <row r="709" spans="1:1" x14ac:dyDescent="0.25">
      <c r="A709">
        <v>7600330104</v>
      </c>
    </row>
    <row r="710" spans="1:1" x14ac:dyDescent="0.25">
      <c r="A710">
        <v>7600330103</v>
      </c>
    </row>
    <row r="711" spans="1:1" x14ac:dyDescent="0.25">
      <c r="A711">
        <v>7600330102</v>
      </c>
    </row>
    <row r="712" spans="1:1" x14ac:dyDescent="0.25">
      <c r="A712">
        <v>7600330099</v>
      </c>
    </row>
    <row r="713" spans="1:1" x14ac:dyDescent="0.25">
      <c r="A713">
        <v>7600330024</v>
      </c>
    </row>
    <row r="714" spans="1:1" x14ac:dyDescent="0.25">
      <c r="A714">
        <v>7600330023</v>
      </c>
    </row>
    <row r="715" spans="1:1" x14ac:dyDescent="0.25">
      <c r="A715">
        <v>7600330022</v>
      </c>
    </row>
    <row r="716" spans="1:1" x14ac:dyDescent="0.25">
      <c r="A716">
        <v>7600330021</v>
      </c>
    </row>
    <row r="717" spans="1:1" x14ac:dyDescent="0.25">
      <c r="A717">
        <v>7600330016</v>
      </c>
    </row>
    <row r="718" spans="1:1" x14ac:dyDescent="0.25">
      <c r="A718">
        <v>7600330014</v>
      </c>
    </row>
    <row r="719" spans="1:1" x14ac:dyDescent="0.25">
      <c r="A719">
        <v>7600330013</v>
      </c>
    </row>
    <row r="720" spans="1:1" x14ac:dyDescent="0.25">
      <c r="A720">
        <v>7600330012</v>
      </c>
    </row>
    <row r="721" spans="1:1" x14ac:dyDescent="0.25">
      <c r="A721">
        <v>7600330011</v>
      </c>
    </row>
    <row r="722" spans="1:1" x14ac:dyDescent="0.25">
      <c r="A722">
        <v>7600330010</v>
      </c>
    </row>
    <row r="723" spans="1:1" x14ac:dyDescent="0.25">
      <c r="A723">
        <v>7600330008</v>
      </c>
    </row>
    <row r="724" spans="1:1" x14ac:dyDescent="0.25">
      <c r="A724">
        <v>7600330007</v>
      </c>
    </row>
    <row r="725" spans="1:1" x14ac:dyDescent="0.25">
      <c r="A725">
        <v>7600330006</v>
      </c>
    </row>
    <row r="726" spans="1:1" x14ac:dyDescent="0.25">
      <c r="A726">
        <v>7600330005</v>
      </c>
    </row>
    <row r="727" spans="1:1" x14ac:dyDescent="0.25">
      <c r="A727">
        <v>7600330004</v>
      </c>
    </row>
    <row r="728" spans="1:1" x14ac:dyDescent="0.25">
      <c r="A728">
        <v>7600330003</v>
      </c>
    </row>
    <row r="729" spans="1:1" x14ac:dyDescent="0.25">
      <c r="A729">
        <v>7600309012</v>
      </c>
    </row>
    <row r="730" spans="1:1" x14ac:dyDescent="0.25">
      <c r="A730">
        <v>7600309011</v>
      </c>
    </row>
    <row r="731" spans="1:1" x14ac:dyDescent="0.25">
      <c r="A731">
        <v>7600309009</v>
      </c>
    </row>
    <row r="732" spans="1:1" x14ac:dyDescent="0.25">
      <c r="A732">
        <v>7600309008</v>
      </c>
    </row>
    <row r="733" spans="1:1" x14ac:dyDescent="0.25">
      <c r="A733">
        <v>7600309007</v>
      </c>
    </row>
    <row r="734" spans="1:1" x14ac:dyDescent="0.25">
      <c r="A734">
        <v>7600309006</v>
      </c>
    </row>
    <row r="735" spans="1:1" x14ac:dyDescent="0.25">
      <c r="A735">
        <v>7600309005</v>
      </c>
    </row>
    <row r="736" spans="1:1" x14ac:dyDescent="0.25">
      <c r="A736">
        <v>7600309004</v>
      </c>
    </row>
    <row r="737" spans="1:1" x14ac:dyDescent="0.25">
      <c r="A737">
        <v>7600309003</v>
      </c>
    </row>
    <row r="738" spans="1:1" x14ac:dyDescent="0.25">
      <c r="A738">
        <v>7600309002</v>
      </c>
    </row>
    <row r="739" spans="1:1" x14ac:dyDescent="0.25">
      <c r="A739">
        <v>7600309001</v>
      </c>
    </row>
    <row r="740" spans="1:1" x14ac:dyDescent="0.25">
      <c r="A740">
        <v>7600309000</v>
      </c>
    </row>
    <row r="741" spans="1:1" x14ac:dyDescent="0.25">
      <c r="A741">
        <v>7600304180</v>
      </c>
    </row>
    <row r="742" spans="1:1" x14ac:dyDescent="0.25">
      <c r="A742">
        <v>7600304179</v>
      </c>
    </row>
    <row r="743" spans="1:1" x14ac:dyDescent="0.25">
      <c r="A743">
        <v>7600304178</v>
      </c>
    </row>
    <row r="744" spans="1:1" x14ac:dyDescent="0.25">
      <c r="A744">
        <v>7600304175</v>
      </c>
    </row>
    <row r="745" spans="1:1" x14ac:dyDescent="0.25">
      <c r="A745">
        <v>7600304174</v>
      </c>
    </row>
    <row r="746" spans="1:1" x14ac:dyDescent="0.25">
      <c r="A746">
        <v>7600304173</v>
      </c>
    </row>
    <row r="747" spans="1:1" x14ac:dyDescent="0.25">
      <c r="A747">
        <v>7600304171</v>
      </c>
    </row>
    <row r="748" spans="1:1" x14ac:dyDescent="0.25">
      <c r="A748">
        <v>7600304166</v>
      </c>
    </row>
    <row r="749" spans="1:1" x14ac:dyDescent="0.25">
      <c r="A749">
        <v>7600304162</v>
      </c>
    </row>
    <row r="750" spans="1:1" x14ac:dyDescent="0.25">
      <c r="A750">
        <v>7600304160</v>
      </c>
    </row>
    <row r="751" spans="1:1" x14ac:dyDescent="0.25">
      <c r="A751">
        <v>7600304159</v>
      </c>
    </row>
    <row r="752" spans="1:1" x14ac:dyDescent="0.25">
      <c r="A752">
        <v>7600304158</v>
      </c>
    </row>
    <row r="753" spans="1:1" x14ac:dyDescent="0.25">
      <c r="A753">
        <v>7600304156</v>
      </c>
    </row>
    <row r="754" spans="1:1" x14ac:dyDescent="0.25">
      <c r="A754">
        <v>7600304153</v>
      </c>
    </row>
    <row r="755" spans="1:1" x14ac:dyDescent="0.25">
      <c r="A755">
        <v>7600304152</v>
      </c>
    </row>
    <row r="756" spans="1:1" x14ac:dyDescent="0.25">
      <c r="A756">
        <v>7600304147</v>
      </c>
    </row>
    <row r="757" spans="1:1" x14ac:dyDescent="0.25">
      <c r="A757">
        <v>7600304143</v>
      </c>
    </row>
    <row r="758" spans="1:1" x14ac:dyDescent="0.25">
      <c r="A758">
        <v>7600304142</v>
      </c>
    </row>
    <row r="759" spans="1:1" x14ac:dyDescent="0.25">
      <c r="A759">
        <v>7600304140</v>
      </c>
    </row>
    <row r="760" spans="1:1" x14ac:dyDescent="0.25">
      <c r="A760">
        <v>7600304139</v>
      </c>
    </row>
    <row r="761" spans="1:1" x14ac:dyDescent="0.25">
      <c r="A761">
        <v>7600304138</v>
      </c>
    </row>
    <row r="762" spans="1:1" x14ac:dyDescent="0.25">
      <c r="A762">
        <v>7600304137</v>
      </c>
    </row>
    <row r="763" spans="1:1" x14ac:dyDescent="0.25">
      <c r="A763">
        <v>7600304136</v>
      </c>
    </row>
    <row r="764" spans="1:1" x14ac:dyDescent="0.25">
      <c r="A764">
        <v>7600304135</v>
      </c>
    </row>
    <row r="765" spans="1:1" x14ac:dyDescent="0.25">
      <c r="A765">
        <v>7600304134</v>
      </c>
    </row>
    <row r="766" spans="1:1" x14ac:dyDescent="0.25">
      <c r="A766">
        <v>7600304133</v>
      </c>
    </row>
    <row r="767" spans="1:1" x14ac:dyDescent="0.25">
      <c r="A767">
        <v>7600304132</v>
      </c>
    </row>
    <row r="768" spans="1:1" x14ac:dyDescent="0.25">
      <c r="A768">
        <v>7600304130</v>
      </c>
    </row>
    <row r="769" spans="1:1" x14ac:dyDescent="0.25">
      <c r="A769">
        <v>7600304129</v>
      </c>
    </row>
    <row r="770" spans="1:1" x14ac:dyDescent="0.25">
      <c r="A770">
        <v>7600304125</v>
      </c>
    </row>
    <row r="771" spans="1:1" x14ac:dyDescent="0.25">
      <c r="A771">
        <v>7600304122</v>
      </c>
    </row>
    <row r="772" spans="1:1" x14ac:dyDescent="0.25">
      <c r="A772">
        <v>7600304121</v>
      </c>
    </row>
    <row r="773" spans="1:1" x14ac:dyDescent="0.25">
      <c r="A773">
        <v>7600304120</v>
      </c>
    </row>
    <row r="774" spans="1:1" x14ac:dyDescent="0.25">
      <c r="A774">
        <v>7600304119</v>
      </c>
    </row>
    <row r="775" spans="1:1" x14ac:dyDescent="0.25">
      <c r="A775">
        <v>7600304118</v>
      </c>
    </row>
    <row r="776" spans="1:1" x14ac:dyDescent="0.25">
      <c r="A776">
        <v>7600304117</v>
      </c>
    </row>
    <row r="777" spans="1:1" x14ac:dyDescent="0.25">
      <c r="A777">
        <v>7600304115</v>
      </c>
    </row>
    <row r="778" spans="1:1" x14ac:dyDescent="0.25">
      <c r="A778">
        <v>7600304114</v>
      </c>
    </row>
    <row r="779" spans="1:1" x14ac:dyDescent="0.25">
      <c r="A779">
        <v>7600304113</v>
      </c>
    </row>
    <row r="780" spans="1:1" x14ac:dyDescent="0.25">
      <c r="A780">
        <v>7600304112</v>
      </c>
    </row>
    <row r="781" spans="1:1" x14ac:dyDescent="0.25">
      <c r="A781">
        <v>7600304111</v>
      </c>
    </row>
    <row r="782" spans="1:1" x14ac:dyDescent="0.25">
      <c r="A782">
        <v>7600304110</v>
      </c>
    </row>
    <row r="783" spans="1:1" x14ac:dyDescent="0.25">
      <c r="A783">
        <v>7600304109</v>
      </c>
    </row>
    <row r="784" spans="1:1" x14ac:dyDescent="0.25">
      <c r="A784">
        <v>7600304108</v>
      </c>
    </row>
    <row r="785" spans="1:1" x14ac:dyDescent="0.25">
      <c r="A785">
        <v>7600304107</v>
      </c>
    </row>
    <row r="786" spans="1:1" x14ac:dyDescent="0.25">
      <c r="A786">
        <v>7600304106</v>
      </c>
    </row>
    <row r="787" spans="1:1" x14ac:dyDescent="0.25">
      <c r="A787">
        <v>7600304103</v>
      </c>
    </row>
    <row r="788" spans="1:1" x14ac:dyDescent="0.25">
      <c r="A788">
        <v>7600304102</v>
      </c>
    </row>
    <row r="789" spans="1:1" x14ac:dyDescent="0.25">
      <c r="A789">
        <v>7600304098</v>
      </c>
    </row>
    <row r="790" spans="1:1" x14ac:dyDescent="0.25">
      <c r="A790">
        <v>7600304081</v>
      </c>
    </row>
    <row r="791" spans="1:1" x14ac:dyDescent="0.25">
      <c r="A791">
        <v>7600304080</v>
      </c>
    </row>
    <row r="792" spans="1:1" x14ac:dyDescent="0.25">
      <c r="A792">
        <v>7600304077</v>
      </c>
    </row>
    <row r="793" spans="1:1" x14ac:dyDescent="0.25">
      <c r="A793">
        <v>7600304072</v>
      </c>
    </row>
    <row r="794" spans="1:1" x14ac:dyDescent="0.25">
      <c r="A794">
        <v>7600304071</v>
      </c>
    </row>
    <row r="795" spans="1:1" x14ac:dyDescent="0.25">
      <c r="A795">
        <v>7600304069</v>
      </c>
    </row>
    <row r="796" spans="1:1" x14ac:dyDescent="0.25">
      <c r="A796">
        <v>7600304068</v>
      </c>
    </row>
    <row r="797" spans="1:1" x14ac:dyDescent="0.25">
      <c r="A797">
        <v>7600304066</v>
      </c>
    </row>
    <row r="798" spans="1:1" x14ac:dyDescent="0.25">
      <c r="A798">
        <v>7600304065</v>
      </c>
    </row>
    <row r="799" spans="1:1" x14ac:dyDescent="0.25">
      <c r="A799">
        <v>7600304064</v>
      </c>
    </row>
    <row r="800" spans="1:1" x14ac:dyDescent="0.25">
      <c r="A800">
        <v>7600304062</v>
      </c>
    </row>
    <row r="801" spans="1:1" x14ac:dyDescent="0.25">
      <c r="A801">
        <v>7600304061</v>
      </c>
    </row>
    <row r="802" spans="1:1" x14ac:dyDescent="0.25">
      <c r="A802">
        <v>7600304059</v>
      </c>
    </row>
    <row r="803" spans="1:1" x14ac:dyDescent="0.25">
      <c r="A803">
        <v>7600304041</v>
      </c>
    </row>
    <row r="804" spans="1:1" x14ac:dyDescent="0.25">
      <c r="A804">
        <v>7600304040</v>
      </c>
    </row>
    <row r="805" spans="1:1" x14ac:dyDescent="0.25">
      <c r="A805">
        <v>7600304039</v>
      </c>
    </row>
    <row r="806" spans="1:1" x14ac:dyDescent="0.25">
      <c r="A806">
        <v>7600304037</v>
      </c>
    </row>
    <row r="807" spans="1:1" x14ac:dyDescent="0.25">
      <c r="A807">
        <v>7600304008</v>
      </c>
    </row>
    <row r="808" spans="1:1" x14ac:dyDescent="0.25">
      <c r="A808">
        <v>7600301091</v>
      </c>
    </row>
    <row r="809" spans="1:1" x14ac:dyDescent="0.25">
      <c r="A809">
        <v>7600301084</v>
      </c>
    </row>
    <row r="810" spans="1:1" x14ac:dyDescent="0.25">
      <c r="A810">
        <v>7600301080</v>
      </c>
    </row>
    <row r="811" spans="1:1" x14ac:dyDescent="0.25">
      <c r="A811">
        <v>7600301079</v>
      </c>
    </row>
    <row r="812" spans="1:1" x14ac:dyDescent="0.25">
      <c r="A812">
        <v>7600301078</v>
      </c>
    </row>
    <row r="813" spans="1:1" x14ac:dyDescent="0.25">
      <c r="A813">
        <v>7600301077</v>
      </c>
    </row>
    <row r="814" spans="1:1" x14ac:dyDescent="0.25">
      <c r="A814">
        <v>7600301076</v>
      </c>
    </row>
    <row r="815" spans="1:1" x14ac:dyDescent="0.25">
      <c r="A815">
        <v>7600301075</v>
      </c>
    </row>
    <row r="816" spans="1:1" x14ac:dyDescent="0.25">
      <c r="A816">
        <v>7600301074</v>
      </c>
    </row>
    <row r="817" spans="1:1" x14ac:dyDescent="0.25">
      <c r="A817">
        <v>7600301073</v>
      </c>
    </row>
    <row r="818" spans="1:1" x14ac:dyDescent="0.25">
      <c r="A818">
        <v>7600301072</v>
      </c>
    </row>
    <row r="819" spans="1:1" x14ac:dyDescent="0.25">
      <c r="A819">
        <v>7600301071</v>
      </c>
    </row>
    <row r="820" spans="1:1" x14ac:dyDescent="0.25">
      <c r="A820">
        <v>7600301070</v>
      </c>
    </row>
    <row r="821" spans="1:1" x14ac:dyDescent="0.25">
      <c r="A821">
        <v>7600301069</v>
      </c>
    </row>
    <row r="822" spans="1:1" x14ac:dyDescent="0.25">
      <c r="A822">
        <v>7600301067</v>
      </c>
    </row>
    <row r="823" spans="1:1" x14ac:dyDescent="0.25">
      <c r="A823">
        <v>7600301066</v>
      </c>
    </row>
    <row r="824" spans="1:1" x14ac:dyDescent="0.25">
      <c r="A824">
        <v>7600301065</v>
      </c>
    </row>
    <row r="825" spans="1:1" x14ac:dyDescent="0.25">
      <c r="A825">
        <v>7600301064</v>
      </c>
    </row>
    <row r="826" spans="1:1" x14ac:dyDescent="0.25">
      <c r="A826">
        <v>7600301062</v>
      </c>
    </row>
    <row r="827" spans="1:1" x14ac:dyDescent="0.25">
      <c r="A827">
        <v>7600301061</v>
      </c>
    </row>
    <row r="828" spans="1:1" x14ac:dyDescent="0.25">
      <c r="A828">
        <v>7600301060</v>
      </c>
    </row>
    <row r="829" spans="1:1" x14ac:dyDescent="0.25">
      <c r="A829">
        <v>7600301059</v>
      </c>
    </row>
    <row r="830" spans="1:1" x14ac:dyDescent="0.25">
      <c r="A830">
        <v>7600301058</v>
      </c>
    </row>
    <row r="831" spans="1:1" x14ac:dyDescent="0.25">
      <c r="A831">
        <v>7600301057</v>
      </c>
    </row>
    <row r="832" spans="1:1" x14ac:dyDescent="0.25">
      <c r="A832">
        <v>7600301056</v>
      </c>
    </row>
    <row r="833" spans="1:1" x14ac:dyDescent="0.25">
      <c r="A833">
        <v>7600301055</v>
      </c>
    </row>
    <row r="834" spans="1:1" x14ac:dyDescent="0.25">
      <c r="A834">
        <v>7600301053</v>
      </c>
    </row>
    <row r="835" spans="1:1" x14ac:dyDescent="0.25">
      <c r="A835">
        <v>7600301052</v>
      </c>
    </row>
    <row r="836" spans="1:1" x14ac:dyDescent="0.25">
      <c r="A836">
        <v>7600301048</v>
      </c>
    </row>
    <row r="837" spans="1:1" x14ac:dyDescent="0.25">
      <c r="A837">
        <v>7600301047</v>
      </c>
    </row>
    <row r="838" spans="1:1" x14ac:dyDescent="0.25">
      <c r="A838">
        <v>7600301046</v>
      </c>
    </row>
    <row r="839" spans="1:1" x14ac:dyDescent="0.25">
      <c r="A839">
        <v>7600301045</v>
      </c>
    </row>
    <row r="840" spans="1:1" x14ac:dyDescent="0.25">
      <c r="A840">
        <v>7600301044</v>
      </c>
    </row>
    <row r="841" spans="1:1" x14ac:dyDescent="0.25">
      <c r="A841">
        <v>7600301042</v>
      </c>
    </row>
    <row r="842" spans="1:1" x14ac:dyDescent="0.25">
      <c r="A842">
        <v>7600301041</v>
      </c>
    </row>
    <row r="843" spans="1:1" x14ac:dyDescent="0.25">
      <c r="A843">
        <v>7600301037</v>
      </c>
    </row>
    <row r="844" spans="1:1" x14ac:dyDescent="0.25">
      <c r="A844">
        <v>7600301035</v>
      </c>
    </row>
    <row r="845" spans="1:1" x14ac:dyDescent="0.25">
      <c r="A845">
        <v>7600301034</v>
      </c>
    </row>
    <row r="846" spans="1:1" x14ac:dyDescent="0.25">
      <c r="A846">
        <v>7600301033</v>
      </c>
    </row>
    <row r="847" spans="1:1" x14ac:dyDescent="0.25">
      <c r="A847">
        <v>7600301032</v>
      </c>
    </row>
    <row r="848" spans="1:1" x14ac:dyDescent="0.25">
      <c r="A848">
        <v>7600301030</v>
      </c>
    </row>
    <row r="849" spans="1:1" x14ac:dyDescent="0.25">
      <c r="A849">
        <v>7600301028</v>
      </c>
    </row>
    <row r="850" spans="1:1" x14ac:dyDescent="0.25">
      <c r="A850">
        <v>7600301027</v>
      </c>
    </row>
    <row r="851" spans="1:1" x14ac:dyDescent="0.25">
      <c r="A851">
        <v>7600301026</v>
      </c>
    </row>
    <row r="852" spans="1:1" x14ac:dyDescent="0.25">
      <c r="A852">
        <v>7600301024</v>
      </c>
    </row>
    <row r="853" spans="1:1" x14ac:dyDescent="0.25">
      <c r="A853">
        <v>7600301023</v>
      </c>
    </row>
    <row r="854" spans="1:1" x14ac:dyDescent="0.25">
      <c r="A854">
        <v>7600301022</v>
      </c>
    </row>
    <row r="855" spans="1:1" x14ac:dyDescent="0.25">
      <c r="A855">
        <v>7600301021</v>
      </c>
    </row>
    <row r="856" spans="1:1" x14ac:dyDescent="0.25">
      <c r="A856">
        <v>7600301019</v>
      </c>
    </row>
    <row r="857" spans="1:1" x14ac:dyDescent="0.25">
      <c r="A857">
        <v>7600301018</v>
      </c>
    </row>
    <row r="858" spans="1:1" x14ac:dyDescent="0.25">
      <c r="A858">
        <v>7600301017</v>
      </c>
    </row>
    <row r="859" spans="1:1" x14ac:dyDescent="0.25">
      <c r="A859">
        <v>7600301016</v>
      </c>
    </row>
    <row r="860" spans="1:1" x14ac:dyDescent="0.25">
      <c r="A860">
        <v>7600301013</v>
      </c>
    </row>
    <row r="861" spans="1:1" x14ac:dyDescent="0.25">
      <c r="A861">
        <v>7600301012</v>
      </c>
    </row>
    <row r="862" spans="1:1" x14ac:dyDescent="0.25">
      <c r="A862">
        <v>7600301010</v>
      </c>
    </row>
    <row r="863" spans="1:1" x14ac:dyDescent="0.25">
      <c r="A863">
        <v>7600301009</v>
      </c>
    </row>
    <row r="864" spans="1:1" x14ac:dyDescent="0.25">
      <c r="A864">
        <v>7600301008</v>
      </c>
    </row>
    <row r="865" spans="1:1" x14ac:dyDescent="0.25">
      <c r="A865">
        <v>7600301007</v>
      </c>
    </row>
    <row r="866" spans="1:1" x14ac:dyDescent="0.25">
      <c r="A866">
        <v>7600301006</v>
      </c>
    </row>
    <row r="867" spans="1:1" x14ac:dyDescent="0.25">
      <c r="A867">
        <v>7600301005</v>
      </c>
    </row>
    <row r="868" spans="1:1" x14ac:dyDescent="0.25">
      <c r="A868">
        <v>7600301004</v>
      </c>
    </row>
    <row r="869" spans="1:1" x14ac:dyDescent="0.25">
      <c r="A869">
        <v>7600301000</v>
      </c>
    </row>
    <row r="870" spans="1:1" x14ac:dyDescent="0.25">
      <c r="A870">
        <v>7600300022</v>
      </c>
    </row>
    <row r="871" spans="1:1" x14ac:dyDescent="0.25">
      <c r="A871">
        <v>7600300017</v>
      </c>
    </row>
    <row r="872" spans="1:1" x14ac:dyDescent="0.25">
      <c r="A872">
        <v>7600300016</v>
      </c>
    </row>
    <row r="873" spans="1:1" x14ac:dyDescent="0.25">
      <c r="A873">
        <v>7600300014</v>
      </c>
    </row>
    <row r="874" spans="1:1" x14ac:dyDescent="0.25">
      <c r="A874">
        <v>7600300012</v>
      </c>
    </row>
    <row r="875" spans="1:1" x14ac:dyDescent="0.25">
      <c r="A875">
        <v>7600300010</v>
      </c>
    </row>
    <row r="876" spans="1:1" x14ac:dyDescent="0.25">
      <c r="A876">
        <v>7600300008</v>
      </c>
    </row>
    <row r="877" spans="1:1" x14ac:dyDescent="0.25">
      <c r="A877">
        <v>7600300007</v>
      </c>
    </row>
    <row r="878" spans="1:1" x14ac:dyDescent="0.25">
      <c r="A878">
        <v>7600300005</v>
      </c>
    </row>
    <row r="879" spans="1:1" x14ac:dyDescent="0.25">
      <c r="A879">
        <v>7600300004</v>
      </c>
    </row>
    <row r="880" spans="1:1" x14ac:dyDescent="0.25">
      <c r="A880">
        <v>7600000099</v>
      </c>
    </row>
    <row r="881" spans="1:1" x14ac:dyDescent="0.25">
      <c r="A881">
        <v>5961802000</v>
      </c>
    </row>
    <row r="882" spans="1:1" x14ac:dyDescent="0.25">
      <c r="A882">
        <v>5909002000</v>
      </c>
    </row>
    <row r="883" spans="1:1" x14ac:dyDescent="0.25">
      <c r="A883">
        <v>4421000000</v>
      </c>
    </row>
    <row r="884" spans="1:1" x14ac:dyDescent="0.25">
      <c r="A884">
        <v>7724140001</v>
      </c>
    </row>
    <row r="885" spans="1:1" x14ac:dyDescent="0.25">
      <c r="A885">
        <v>7722140002</v>
      </c>
    </row>
    <row r="886" spans="1:1" x14ac:dyDescent="0.25">
      <c r="A886">
        <v>7722130005</v>
      </c>
    </row>
    <row r="887" spans="1:1" x14ac:dyDescent="0.25">
      <c r="A887">
        <v>7721101309</v>
      </c>
    </row>
    <row r="888" spans="1:1" x14ac:dyDescent="0.25">
      <c r="A888">
        <v>7720140008</v>
      </c>
    </row>
    <row r="889" spans="1:1" x14ac:dyDescent="0.25">
      <c r="A889">
        <v>7824320000</v>
      </c>
    </row>
    <row r="890" spans="1:1" x14ac:dyDescent="0.25">
      <c r="A890">
        <v>7711172001</v>
      </c>
    </row>
    <row r="891" spans="1:1" x14ac:dyDescent="0.25">
      <c r="A891">
        <v>250400</v>
      </c>
    </row>
    <row r="892" spans="1:1" x14ac:dyDescent="0.25">
      <c r="A892">
        <v>250402</v>
      </c>
    </row>
    <row r="893" spans="1:1" x14ac:dyDescent="0.25">
      <c r="A893">
        <v>5901710000</v>
      </c>
    </row>
    <row r="894" spans="1:1" x14ac:dyDescent="0.25">
      <c r="A894">
        <v>5754010000</v>
      </c>
    </row>
    <row r="895" spans="1:1" x14ac:dyDescent="0.25">
      <c r="A895">
        <v>5752810000</v>
      </c>
    </row>
    <row r="896" spans="1:1" x14ac:dyDescent="0.25">
      <c r="A896">
        <v>5752710000</v>
      </c>
    </row>
    <row r="897" spans="1:1" x14ac:dyDescent="0.25">
      <c r="A897">
        <v>5752610000</v>
      </c>
    </row>
    <row r="898" spans="1:1" x14ac:dyDescent="0.25">
      <c r="A898">
        <v>5752110000</v>
      </c>
    </row>
    <row r="899" spans="1:1" x14ac:dyDescent="0.25">
      <c r="A899">
        <v>5751610000</v>
      </c>
    </row>
    <row r="900" spans="1:1" x14ac:dyDescent="0.25">
      <c r="A900">
        <v>5751510000</v>
      </c>
    </row>
    <row r="901" spans="1:1" x14ac:dyDescent="0.25">
      <c r="A901">
        <v>5751410000</v>
      </c>
    </row>
    <row r="902" spans="1:1" x14ac:dyDescent="0.25">
      <c r="A902">
        <v>5751310000</v>
      </c>
    </row>
    <row r="903" spans="1:1" x14ac:dyDescent="0.25">
      <c r="A903">
        <v>5751210000</v>
      </c>
    </row>
    <row r="904" spans="1:1" x14ac:dyDescent="0.25">
      <c r="A904">
        <v>5751010000</v>
      </c>
    </row>
    <row r="905" spans="1:1" x14ac:dyDescent="0.25">
      <c r="A905">
        <v>5752510000</v>
      </c>
    </row>
    <row r="906" spans="1:1" x14ac:dyDescent="0.25">
      <c r="A906">
        <v>250401</v>
      </c>
    </row>
    <row r="907" spans="1:1" x14ac:dyDescent="0.25">
      <c r="A907">
        <v>5983110000</v>
      </c>
    </row>
    <row r="908" spans="1:1" x14ac:dyDescent="0.25">
      <c r="A908">
        <v>5983010000</v>
      </c>
    </row>
    <row r="909" spans="1:1" x14ac:dyDescent="0.25">
      <c r="A909">
        <v>7240000013</v>
      </c>
    </row>
    <row r="910" spans="1:1" x14ac:dyDescent="0.25">
      <c r="A910">
        <v>7620000010</v>
      </c>
    </row>
    <row r="911" spans="1:1" x14ac:dyDescent="0.25">
      <c r="A911">
        <v>7620000008</v>
      </c>
    </row>
    <row r="912" spans="1:1" x14ac:dyDescent="0.25">
      <c r="A912">
        <v>7240000011</v>
      </c>
    </row>
    <row r="913" spans="1:1" x14ac:dyDescent="0.25">
      <c r="A913">
        <v>7240000007</v>
      </c>
    </row>
    <row r="914" spans="1:1" x14ac:dyDescent="0.25">
      <c r="A914">
        <v>7240000005</v>
      </c>
    </row>
    <row r="915" spans="1:1" x14ac:dyDescent="0.25">
      <c r="A915">
        <v>7240000004</v>
      </c>
    </row>
    <row r="916" spans="1:1" x14ac:dyDescent="0.25">
      <c r="A916">
        <v>7240000003</v>
      </c>
    </row>
    <row r="917" spans="1:1" x14ac:dyDescent="0.25">
      <c r="A917">
        <v>7240000002</v>
      </c>
    </row>
    <row r="918" spans="1:1" x14ac:dyDescent="0.25">
      <c r="A918">
        <v>7240000001</v>
      </c>
    </row>
    <row r="919" spans="1:1" x14ac:dyDescent="0.25">
      <c r="A919">
        <v>7220000016</v>
      </c>
    </row>
    <row r="920" spans="1:1" x14ac:dyDescent="0.25">
      <c r="A920">
        <v>7220000015</v>
      </c>
    </row>
    <row r="921" spans="1:1" x14ac:dyDescent="0.25">
      <c r="A921">
        <v>7220000012</v>
      </c>
    </row>
    <row r="922" spans="1:1" x14ac:dyDescent="0.25">
      <c r="A922">
        <v>7220000011</v>
      </c>
    </row>
    <row r="923" spans="1:1" x14ac:dyDescent="0.25">
      <c r="A923">
        <v>7220000010</v>
      </c>
    </row>
    <row r="924" spans="1:1" x14ac:dyDescent="0.25">
      <c r="A924">
        <v>7220000007</v>
      </c>
    </row>
    <row r="925" spans="1:1" x14ac:dyDescent="0.25">
      <c r="A925">
        <v>7220000006</v>
      </c>
    </row>
    <row r="926" spans="1:1" x14ac:dyDescent="0.25">
      <c r="A926">
        <v>7220000005</v>
      </c>
    </row>
    <row r="927" spans="1:1" x14ac:dyDescent="0.25">
      <c r="A927">
        <v>7220000004</v>
      </c>
    </row>
    <row r="928" spans="1:1" x14ac:dyDescent="0.25">
      <c r="A928">
        <v>7220000003</v>
      </c>
    </row>
    <row r="929" spans="1:1" x14ac:dyDescent="0.25">
      <c r="A929">
        <v>7220000002</v>
      </c>
    </row>
    <row r="930" spans="1:1" x14ac:dyDescent="0.25">
      <c r="A930">
        <v>7220000001</v>
      </c>
    </row>
    <row r="931" spans="1:1" x14ac:dyDescent="0.25">
      <c r="A931">
        <v>5983910000</v>
      </c>
    </row>
    <row r="932" spans="1:1" x14ac:dyDescent="0.25">
      <c r="A932">
        <v>5983810000</v>
      </c>
    </row>
    <row r="933" spans="1:1" x14ac:dyDescent="0.25">
      <c r="A933">
        <v>5983710000</v>
      </c>
    </row>
    <row r="934" spans="1:1" x14ac:dyDescent="0.25">
      <c r="A934">
        <v>5983610000</v>
      </c>
    </row>
    <row r="935" spans="1:1" x14ac:dyDescent="0.25">
      <c r="A935">
        <v>5983510000</v>
      </c>
    </row>
    <row r="936" spans="1:1" x14ac:dyDescent="0.25">
      <c r="A936">
        <v>5983210000</v>
      </c>
    </row>
    <row r="937" spans="1:1" x14ac:dyDescent="0.25">
      <c r="A937">
        <v>5981110000</v>
      </c>
    </row>
    <row r="938" spans="1:1" x14ac:dyDescent="0.25">
      <c r="A938">
        <v>5981010000</v>
      </c>
    </row>
    <row r="939" spans="1:1" x14ac:dyDescent="0.25">
      <c r="A939">
        <v>5980810000</v>
      </c>
    </row>
    <row r="940" spans="1:1" x14ac:dyDescent="0.25">
      <c r="A940">
        <v>7220000018</v>
      </c>
    </row>
    <row r="941" spans="1:1" x14ac:dyDescent="0.25">
      <c r="A941">
        <v>250300</v>
      </c>
    </row>
    <row r="942" spans="1:1" x14ac:dyDescent="0.25">
      <c r="A942">
        <v>8600000002</v>
      </c>
    </row>
    <row r="943" spans="1:1" x14ac:dyDescent="0.25">
      <c r="A943">
        <v>8642000000</v>
      </c>
    </row>
    <row r="944" spans="1:1" x14ac:dyDescent="0.25">
      <c r="A944">
        <v>8641000000</v>
      </c>
    </row>
    <row r="945" spans="1:1" x14ac:dyDescent="0.25">
      <c r="A945">
        <v>8604000000</v>
      </c>
    </row>
    <row r="946" spans="1:1" x14ac:dyDescent="0.25">
      <c r="A946">
        <v>8603000000</v>
      </c>
    </row>
    <row r="947" spans="1:1" x14ac:dyDescent="0.25">
      <c r="A947">
        <v>8602000000</v>
      </c>
    </row>
    <row r="948" spans="1:1" x14ac:dyDescent="0.25">
      <c r="A948">
        <v>8601000000</v>
      </c>
    </row>
    <row r="949" spans="1:1" x14ac:dyDescent="0.25">
      <c r="A949">
        <v>8760000000</v>
      </c>
    </row>
    <row r="950" spans="1:1" x14ac:dyDescent="0.25">
      <c r="A950">
        <v>8740000000</v>
      </c>
    </row>
    <row r="951" spans="1:1" x14ac:dyDescent="0.25">
      <c r="A951">
        <v>8730000000</v>
      </c>
    </row>
    <row r="952" spans="1:1" x14ac:dyDescent="0.25">
      <c r="A952">
        <v>8710000000</v>
      </c>
    </row>
    <row r="953" spans="1:1" x14ac:dyDescent="0.25">
      <c r="A953">
        <v>8700000000</v>
      </c>
    </row>
    <row r="954" spans="1:1" x14ac:dyDescent="0.25">
      <c r="A954">
        <v>8640000000</v>
      </c>
    </row>
    <row r="955" spans="1:1" x14ac:dyDescent="0.25">
      <c r="A955">
        <v>250200</v>
      </c>
    </row>
    <row r="956" spans="1:1" x14ac:dyDescent="0.25">
      <c r="A956">
        <v>8532000000</v>
      </c>
    </row>
    <row r="957" spans="1:1" x14ac:dyDescent="0.25">
      <c r="A957">
        <v>8441000000</v>
      </c>
    </row>
    <row r="958" spans="1:1" x14ac:dyDescent="0.25">
      <c r="A958">
        <v>8232000000</v>
      </c>
    </row>
    <row r="959" spans="1:1" x14ac:dyDescent="0.25">
      <c r="A959">
        <v>8141000000</v>
      </c>
    </row>
    <row r="960" spans="1:1" x14ac:dyDescent="0.25">
      <c r="A960">
        <v>8800200000</v>
      </c>
    </row>
    <row r="961" spans="1:1" x14ac:dyDescent="0.25">
      <c r="A961">
        <v>8250200000</v>
      </c>
    </row>
    <row r="962" spans="1:1" x14ac:dyDescent="0.25">
      <c r="A962">
        <v>8240000000</v>
      </c>
    </row>
    <row r="963" spans="1:1" x14ac:dyDescent="0.25">
      <c r="A963">
        <v>8102000000</v>
      </c>
    </row>
    <row r="964" spans="1:1" x14ac:dyDescent="0.25">
      <c r="A964">
        <v>8800100000</v>
      </c>
    </row>
    <row r="965" spans="1:1" x14ac:dyDescent="0.25">
      <c r="A965">
        <v>8582600000</v>
      </c>
    </row>
    <row r="966" spans="1:1" x14ac:dyDescent="0.25">
      <c r="A966">
        <v>8582500000</v>
      </c>
    </row>
    <row r="967" spans="1:1" x14ac:dyDescent="0.25">
      <c r="A967">
        <v>8582300000</v>
      </c>
    </row>
    <row r="968" spans="1:1" x14ac:dyDescent="0.25">
      <c r="A968">
        <v>8582200000</v>
      </c>
    </row>
    <row r="969" spans="1:1" x14ac:dyDescent="0.25">
      <c r="A969">
        <v>8582100000</v>
      </c>
    </row>
    <row r="970" spans="1:1" x14ac:dyDescent="0.25">
      <c r="A970">
        <v>8582000000</v>
      </c>
    </row>
    <row r="971" spans="1:1" x14ac:dyDescent="0.25">
      <c r="A971">
        <v>8580110000</v>
      </c>
    </row>
    <row r="972" spans="1:1" x14ac:dyDescent="0.25">
      <c r="A972">
        <v>8580100000</v>
      </c>
    </row>
    <row r="973" spans="1:1" x14ac:dyDescent="0.25">
      <c r="A973">
        <v>8560100000</v>
      </c>
    </row>
    <row r="974" spans="1:1" x14ac:dyDescent="0.25">
      <c r="A974">
        <v>8550210000</v>
      </c>
    </row>
    <row r="975" spans="1:1" x14ac:dyDescent="0.25">
      <c r="A975">
        <v>8550100000</v>
      </c>
    </row>
    <row r="976" spans="1:1" x14ac:dyDescent="0.25">
      <c r="A976">
        <v>8540210000</v>
      </c>
    </row>
    <row r="977" spans="1:1" x14ac:dyDescent="0.25">
      <c r="A977">
        <v>8540100000</v>
      </c>
    </row>
    <row r="978" spans="1:1" x14ac:dyDescent="0.25">
      <c r="A978">
        <v>8534000000</v>
      </c>
    </row>
    <row r="979" spans="1:1" x14ac:dyDescent="0.25">
      <c r="A979">
        <v>8440900000</v>
      </c>
    </row>
    <row r="980" spans="1:1" x14ac:dyDescent="0.25">
      <c r="A980">
        <v>8440100000</v>
      </c>
    </row>
    <row r="981" spans="1:1" x14ac:dyDescent="0.25">
      <c r="A981">
        <v>8420000000</v>
      </c>
    </row>
    <row r="982" spans="1:1" x14ac:dyDescent="0.25">
      <c r="A982">
        <v>8412000000</v>
      </c>
    </row>
    <row r="983" spans="1:1" x14ac:dyDescent="0.25">
      <c r="A983">
        <v>8280310000</v>
      </c>
    </row>
    <row r="984" spans="1:1" x14ac:dyDescent="0.25">
      <c r="A984">
        <v>8280110000</v>
      </c>
    </row>
    <row r="985" spans="1:1" x14ac:dyDescent="0.25">
      <c r="A985">
        <v>8280100000</v>
      </c>
    </row>
    <row r="986" spans="1:1" x14ac:dyDescent="0.25">
      <c r="A986">
        <v>8280010000</v>
      </c>
    </row>
    <row r="987" spans="1:1" x14ac:dyDescent="0.25">
      <c r="A987">
        <v>8280000000</v>
      </c>
    </row>
    <row r="988" spans="1:1" x14ac:dyDescent="0.25">
      <c r="A988">
        <v>8260200000</v>
      </c>
    </row>
    <row r="989" spans="1:1" x14ac:dyDescent="0.25">
      <c r="A989">
        <v>8260100000</v>
      </c>
    </row>
    <row r="990" spans="1:1" x14ac:dyDescent="0.25">
      <c r="A990">
        <v>8260000000</v>
      </c>
    </row>
    <row r="991" spans="1:1" x14ac:dyDescent="0.25">
      <c r="A991">
        <v>8250210000</v>
      </c>
    </row>
    <row r="992" spans="1:1" x14ac:dyDescent="0.25">
      <c r="A992">
        <v>8250110000</v>
      </c>
    </row>
    <row r="993" spans="1:1" x14ac:dyDescent="0.25">
      <c r="A993">
        <v>8250100000</v>
      </c>
    </row>
    <row r="994" spans="1:1" x14ac:dyDescent="0.25">
      <c r="A994">
        <v>8240908000</v>
      </c>
    </row>
    <row r="995" spans="1:1" x14ac:dyDescent="0.25">
      <c r="A995">
        <v>8240100000</v>
      </c>
    </row>
    <row r="996" spans="1:1" x14ac:dyDescent="0.25">
      <c r="A996">
        <v>8235000000</v>
      </c>
    </row>
    <row r="997" spans="1:1" x14ac:dyDescent="0.25">
      <c r="A997">
        <v>8234000000</v>
      </c>
    </row>
    <row r="998" spans="1:1" x14ac:dyDescent="0.25">
      <c r="A998">
        <v>8112000000</v>
      </c>
    </row>
    <row r="999" spans="1:1" x14ac:dyDescent="0.25">
      <c r="A999">
        <v>8110110000</v>
      </c>
    </row>
    <row r="1000" spans="1:1" x14ac:dyDescent="0.25">
      <c r="A1000">
        <v>8100010002</v>
      </c>
    </row>
    <row r="1001" spans="1:1" x14ac:dyDescent="0.25">
      <c r="A1001">
        <v>8580000000</v>
      </c>
    </row>
    <row r="1002" spans="1:1" x14ac:dyDescent="0.25">
      <c r="A1002">
        <v>8570000000</v>
      </c>
    </row>
    <row r="1003" spans="1:1" x14ac:dyDescent="0.25">
      <c r="A1003">
        <v>8560000000</v>
      </c>
    </row>
    <row r="1004" spans="1:1" x14ac:dyDescent="0.25">
      <c r="A1004">
        <v>8550000000</v>
      </c>
    </row>
    <row r="1005" spans="1:1" x14ac:dyDescent="0.25">
      <c r="A1005">
        <v>8540000000</v>
      </c>
    </row>
    <row r="1006" spans="1:1" x14ac:dyDescent="0.25">
      <c r="A1006">
        <v>8510000000</v>
      </c>
    </row>
    <row r="1007" spans="1:1" x14ac:dyDescent="0.25">
      <c r="A1007">
        <v>8480000000</v>
      </c>
    </row>
    <row r="1008" spans="1:1" x14ac:dyDescent="0.25">
      <c r="A1008">
        <v>8475000000</v>
      </c>
    </row>
    <row r="1009" spans="1:1" x14ac:dyDescent="0.25">
      <c r="A1009">
        <v>8460000000</v>
      </c>
    </row>
    <row r="1010" spans="1:1" x14ac:dyDescent="0.25">
      <c r="A1010">
        <v>8450000000</v>
      </c>
    </row>
    <row r="1011" spans="1:1" x14ac:dyDescent="0.25">
      <c r="A1011">
        <v>8440000000</v>
      </c>
    </row>
    <row r="1012" spans="1:1" x14ac:dyDescent="0.25">
      <c r="A1012">
        <v>8430000000</v>
      </c>
    </row>
    <row r="1013" spans="1:1" x14ac:dyDescent="0.25">
      <c r="A1013">
        <v>8282000000</v>
      </c>
    </row>
    <row r="1014" spans="1:1" x14ac:dyDescent="0.25">
      <c r="A1014">
        <v>8270000000</v>
      </c>
    </row>
    <row r="1015" spans="1:1" x14ac:dyDescent="0.25">
      <c r="A1015">
        <v>8250000000</v>
      </c>
    </row>
    <row r="1016" spans="1:1" x14ac:dyDescent="0.25">
      <c r="A1016">
        <v>8210000000</v>
      </c>
    </row>
    <row r="1017" spans="1:1" x14ac:dyDescent="0.25">
      <c r="A1017">
        <v>8160000000</v>
      </c>
    </row>
    <row r="1018" spans="1:1" x14ac:dyDescent="0.25">
      <c r="A1018">
        <v>8150000000</v>
      </c>
    </row>
    <row r="1019" spans="1:1" x14ac:dyDescent="0.25">
      <c r="A1019">
        <v>8140000000</v>
      </c>
    </row>
    <row r="1020" spans="1:1" x14ac:dyDescent="0.25">
      <c r="A1020">
        <v>8120000000</v>
      </c>
    </row>
    <row r="1021" spans="1:1" x14ac:dyDescent="0.25">
      <c r="A1021">
        <v>8000000000</v>
      </c>
    </row>
    <row r="1022" spans="1:1" x14ac:dyDescent="0.25">
      <c r="A1022">
        <v>5961400000</v>
      </c>
    </row>
    <row r="1023" spans="1:1" x14ac:dyDescent="0.25">
      <c r="A1023">
        <v>5945000000</v>
      </c>
    </row>
    <row r="1024" spans="1:1" x14ac:dyDescent="0.25">
      <c r="A1024">
        <v>5944200000</v>
      </c>
    </row>
    <row r="1025" spans="1:1" x14ac:dyDescent="0.25">
      <c r="A1025">
        <v>5944000000</v>
      </c>
    </row>
    <row r="1026" spans="1:1" x14ac:dyDescent="0.25">
      <c r="A1026">
        <v>5941300000</v>
      </c>
    </row>
    <row r="1027" spans="1:1" x14ac:dyDescent="0.25">
      <c r="A1027">
        <v>5941200000</v>
      </c>
    </row>
    <row r="1028" spans="1:1" x14ac:dyDescent="0.25">
      <c r="A1028">
        <v>5941000000</v>
      </c>
    </row>
    <row r="1029" spans="1:1" x14ac:dyDescent="0.25">
      <c r="A1029">
        <v>5931100000</v>
      </c>
    </row>
    <row r="1030" spans="1:1" x14ac:dyDescent="0.25">
      <c r="A1030">
        <v>5925720000</v>
      </c>
    </row>
    <row r="1031" spans="1:1" x14ac:dyDescent="0.25">
      <c r="A1031">
        <v>5925320000</v>
      </c>
    </row>
    <row r="1032" spans="1:1" x14ac:dyDescent="0.25">
      <c r="A1032">
        <v>5444000000</v>
      </c>
    </row>
    <row r="1033" spans="1:1" x14ac:dyDescent="0.25">
      <c r="A1033">
        <v>3945000000</v>
      </c>
    </row>
    <row r="1034" spans="1:1" x14ac:dyDescent="0.25">
      <c r="A1034">
        <v>3944200000</v>
      </c>
    </row>
    <row r="1035" spans="1:1" x14ac:dyDescent="0.25">
      <c r="A1035">
        <v>3944000000</v>
      </c>
    </row>
    <row r="1036" spans="1:1" x14ac:dyDescent="0.25">
      <c r="A1036">
        <v>3941200000</v>
      </c>
    </row>
    <row r="1037" spans="1:1" x14ac:dyDescent="0.25">
      <c r="A1037">
        <v>3941000000</v>
      </c>
    </row>
    <row r="1038" spans="1:1" x14ac:dyDescent="0.25">
      <c r="A1038">
        <v>3926000000</v>
      </c>
    </row>
    <row r="1039" spans="1:1" x14ac:dyDescent="0.25">
      <c r="A1039">
        <v>3925720000</v>
      </c>
    </row>
    <row r="1040" spans="1:1" x14ac:dyDescent="0.25">
      <c r="A1040">
        <v>3925320000</v>
      </c>
    </row>
    <row r="1041" spans="1:1" x14ac:dyDescent="0.25">
      <c r="A1041">
        <v>3925300000</v>
      </c>
    </row>
    <row r="1042" spans="1:1" x14ac:dyDescent="0.25">
      <c r="A1042">
        <v>3318500000</v>
      </c>
    </row>
    <row r="1043" spans="1:1" x14ac:dyDescent="0.25">
      <c r="A1043">
        <v>3305100010</v>
      </c>
    </row>
    <row r="1044" spans="1:1" x14ac:dyDescent="0.25">
      <c r="A1044">
        <v>3304000000</v>
      </c>
    </row>
    <row r="1045" spans="1:1" x14ac:dyDescent="0.25">
      <c r="A1045">
        <v>3303000000</v>
      </c>
    </row>
    <row r="1046" spans="1:1" x14ac:dyDescent="0.25">
      <c r="A1046">
        <v>250100</v>
      </c>
    </row>
    <row r="1047" spans="1:1" x14ac:dyDescent="0.25">
      <c r="A1047">
        <v>3121000000</v>
      </c>
    </row>
    <row r="1048" spans="1:1" x14ac:dyDescent="0.25">
      <c r="A1048">
        <v>4001800001</v>
      </c>
    </row>
    <row r="1049" spans="1:1" x14ac:dyDescent="0.25">
      <c r="A1049">
        <v>4001212000</v>
      </c>
    </row>
    <row r="1050" spans="1:1" x14ac:dyDescent="0.25">
      <c r="A1050">
        <v>4009000000</v>
      </c>
    </row>
    <row r="1051" spans="1:1" x14ac:dyDescent="0.25">
      <c r="A1051">
        <v>7340000022</v>
      </c>
    </row>
    <row r="1052" spans="1:1" x14ac:dyDescent="0.25">
      <c r="A1052">
        <v>4001000100</v>
      </c>
    </row>
    <row r="1053" spans="1:1" x14ac:dyDescent="0.25">
      <c r="A1053">
        <v>4000006000</v>
      </c>
    </row>
    <row r="1054" spans="1:1" x14ac:dyDescent="0.25">
      <c r="A1054">
        <v>7711101100</v>
      </c>
    </row>
    <row r="1055" spans="1:1" x14ac:dyDescent="0.25">
      <c r="A1055">
        <v>4050100998</v>
      </c>
    </row>
    <row r="1056" spans="1:1" x14ac:dyDescent="0.25">
      <c r="A1056">
        <v>4050000001</v>
      </c>
    </row>
    <row r="1057" spans="1:1" x14ac:dyDescent="0.25">
      <c r="A1057">
        <v>4010200000</v>
      </c>
    </row>
    <row r="1058" spans="1:1" x14ac:dyDescent="0.25">
      <c r="A1058">
        <v>4001106000</v>
      </c>
    </row>
    <row r="1059" spans="1:1" x14ac:dyDescent="0.25">
      <c r="A1059">
        <v>4000400002</v>
      </c>
    </row>
    <row r="1060" spans="1:1" x14ac:dyDescent="0.25">
      <c r="A1060">
        <v>4000400001</v>
      </c>
    </row>
    <row r="1061" spans="1:1" x14ac:dyDescent="0.25">
      <c r="A1061">
        <v>4000116000</v>
      </c>
    </row>
    <row r="1062" spans="1:1" x14ac:dyDescent="0.25">
      <c r="A1062">
        <v>3920000001</v>
      </c>
    </row>
    <row r="1063" spans="1:1" x14ac:dyDescent="0.25">
      <c r="A1063">
        <v>3130006000</v>
      </c>
    </row>
    <row r="1064" spans="1:1" x14ac:dyDescent="0.25">
      <c r="A1064">
        <v>3120006000</v>
      </c>
    </row>
    <row r="1065" spans="1:1" x14ac:dyDescent="0.25">
      <c r="A1065">
        <v>4001700000</v>
      </c>
    </row>
    <row r="1066" spans="1:1" x14ac:dyDescent="0.25">
      <c r="A1066">
        <v>4001200000</v>
      </c>
    </row>
    <row r="1067" spans="1:1" x14ac:dyDescent="0.25">
      <c r="A1067">
        <v>4001116000</v>
      </c>
    </row>
    <row r="1068" spans="1:1" x14ac:dyDescent="0.25">
      <c r="A1068">
        <v>4001100000</v>
      </c>
    </row>
    <row r="1069" spans="1:1" x14ac:dyDescent="0.25">
      <c r="A1069">
        <v>4000700000</v>
      </c>
    </row>
    <row r="1070" spans="1:1" x14ac:dyDescent="0.25">
      <c r="A1070">
        <v>4000616000</v>
      </c>
    </row>
    <row r="1071" spans="1:1" x14ac:dyDescent="0.25">
      <c r="A1071">
        <v>4000610000</v>
      </c>
    </row>
    <row r="1072" spans="1:1" x14ac:dyDescent="0.25">
      <c r="A1072">
        <v>4000600000</v>
      </c>
    </row>
    <row r="1073" spans="1:1" x14ac:dyDescent="0.25">
      <c r="A1073">
        <v>4000500000</v>
      </c>
    </row>
    <row r="1074" spans="1:1" x14ac:dyDescent="0.25">
      <c r="A1074">
        <v>4000406000</v>
      </c>
    </row>
    <row r="1075" spans="1:1" x14ac:dyDescent="0.25">
      <c r="A1075">
        <v>4000400000</v>
      </c>
    </row>
    <row r="1076" spans="1:1" x14ac:dyDescent="0.25">
      <c r="A1076">
        <v>4000306000</v>
      </c>
    </row>
    <row r="1077" spans="1:1" x14ac:dyDescent="0.25">
      <c r="A1077">
        <v>4000000100</v>
      </c>
    </row>
    <row r="1078" spans="1:1" x14ac:dyDescent="0.25">
      <c r="A1078">
        <v>3000000002</v>
      </c>
    </row>
    <row r="1079" spans="1:1" x14ac:dyDescent="0.25">
      <c r="A1079">
        <v>4005000000</v>
      </c>
    </row>
    <row r="1080" spans="1:1" x14ac:dyDescent="0.25">
      <c r="A1080">
        <v>7811210000</v>
      </c>
    </row>
    <row r="1081" spans="1:1" x14ac:dyDescent="0.25">
      <c r="A1081">
        <v>7810140000</v>
      </c>
    </row>
    <row r="1082" spans="1:1" x14ac:dyDescent="0.25">
      <c r="A1082">
        <v>7711172000</v>
      </c>
    </row>
    <row r="1083" spans="1:1" x14ac:dyDescent="0.25">
      <c r="A1083">
        <v>7710120003</v>
      </c>
    </row>
    <row r="1084" spans="1:1" x14ac:dyDescent="0.25">
      <c r="A1084">
        <v>7710120002</v>
      </c>
    </row>
    <row r="1085" spans="1:1" x14ac:dyDescent="0.25">
      <c r="A1085">
        <v>7710120001</v>
      </c>
    </row>
    <row r="1086" spans="1:1" x14ac:dyDescent="0.25">
      <c r="A1086">
        <v>7710120000</v>
      </c>
    </row>
    <row r="1087" spans="1:1" x14ac:dyDescent="0.25">
      <c r="A1087">
        <v>7620000004</v>
      </c>
    </row>
    <row r="1088" spans="1:1" x14ac:dyDescent="0.25">
      <c r="A1088">
        <v>7620000003</v>
      </c>
    </row>
    <row r="1089" spans="1:1" x14ac:dyDescent="0.25">
      <c r="A1089">
        <v>7620000002</v>
      </c>
    </row>
    <row r="1090" spans="1:1" x14ac:dyDescent="0.25">
      <c r="A1090">
        <v>7620000001</v>
      </c>
    </row>
    <row r="1091" spans="1:1" x14ac:dyDescent="0.25">
      <c r="A1091">
        <v>7620000000</v>
      </c>
    </row>
    <row r="1092" spans="1:1" x14ac:dyDescent="0.25">
      <c r="A1092">
        <v>5445000000</v>
      </c>
    </row>
    <row r="1093" spans="1:1" x14ac:dyDescent="0.25">
      <c r="A1093">
        <v>4060000000</v>
      </c>
    </row>
    <row r="1094" spans="1:1" x14ac:dyDescent="0.25">
      <c r="A1094">
        <v>4009006000</v>
      </c>
    </row>
    <row r="1095" spans="1:1" x14ac:dyDescent="0.25">
      <c r="A1095">
        <v>4002000000</v>
      </c>
    </row>
    <row r="1096" spans="1:1" x14ac:dyDescent="0.25">
      <c r="A1096">
        <v>4001110000</v>
      </c>
    </row>
    <row r="1097" spans="1:1" x14ac:dyDescent="0.25">
      <c r="A1097">
        <v>4001000000</v>
      </c>
    </row>
    <row r="1098" spans="1:1" x14ac:dyDescent="0.25">
      <c r="A1098">
        <v>4000800001</v>
      </c>
    </row>
    <row r="1099" spans="1:1" x14ac:dyDescent="0.25">
      <c r="A1099">
        <v>4000700001</v>
      </c>
    </row>
    <row r="1100" spans="1:1" x14ac:dyDescent="0.25">
      <c r="A1100">
        <v>4000402300</v>
      </c>
    </row>
    <row r="1101" spans="1:1" x14ac:dyDescent="0.25">
      <c r="A1101">
        <v>4000402200</v>
      </c>
    </row>
    <row r="1102" spans="1:1" x14ac:dyDescent="0.25">
      <c r="A1102">
        <v>4000402100</v>
      </c>
    </row>
    <row r="1103" spans="1:1" x14ac:dyDescent="0.25">
      <c r="A1103">
        <v>4000300000</v>
      </c>
    </row>
    <row r="1104" spans="1:1" x14ac:dyDescent="0.25">
      <c r="A1104">
        <v>4000212000</v>
      </c>
    </row>
    <row r="1105" spans="1:1" x14ac:dyDescent="0.25">
      <c r="A1105">
        <v>4000200000</v>
      </c>
    </row>
    <row r="1106" spans="1:1" x14ac:dyDescent="0.25">
      <c r="A1106">
        <v>4000110000</v>
      </c>
    </row>
    <row r="1107" spans="1:1" x14ac:dyDescent="0.25">
      <c r="A1107">
        <v>4000106000</v>
      </c>
    </row>
    <row r="1108" spans="1:1" x14ac:dyDescent="0.25">
      <c r="A1108">
        <v>4000100000</v>
      </c>
    </row>
    <row r="1109" spans="1:1" x14ac:dyDescent="0.25">
      <c r="A1109">
        <v>4000000000</v>
      </c>
    </row>
    <row r="1110" spans="1:1" x14ac:dyDescent="0.25">
      <c r="A1110">
        <v>3930000000</v>
      </c>
    </row>
    <row r="1111" spans="1:1" x14ac:dyDescent="0.25">
      <c r="A1111">
        <v>3921000000</v>
      </c>
    </row>
    <row r="1112" spans="1:1" x14ac:dyDescent="0.25">
      <c r="A1112">
        <v>3920010000</v>
      </c>
    </row>
    <row r="1113" spans="1:1" x14ac:dyDescent="0.25">
      <c r="A1113">
        <v>3920000000</v>
      </c>
    </row>
    <row r="1114" spans="1:1" x14ac:dyDescent="0.25">
      <c r="A1114">
        <v>3313100000</v>
      </c>
    </row>
    <row r="1115" spans="1:1" x14ac:dyDescent="0.25">
      <c r="A1115">
        <v>3305100000</v>
      </c>
    </row>
    <row r="1116" spans="1:1" x14ac:dyDescent="0.25">
      <c r="A1116">
        <v>3220000000</v>
      </c>
    </row>
    <row r="1117" spans="1:1" x14ac:dyDescent="0.25">
      <c r="A1117">
        <v>3215100000</v>
      </c>
    </row>
    <row r="1118" spans="1:1" x14ac:dyDescent="0.25">
      <c r="A1118">
        <v>3215000000</v>
      </c>
    </row>
    <row r="1119" spans="1:1" x14ac:dyDescent="0.25">
      <c r="A1119">
        <v>3213006000</v>
      </c>
    </row>
    <row r="1120" spans="1:1" x14ac:dyDescent="0.25">
      <c r="A1120">
        <v>3212006000</v>
      </c>
    </row>
    <row r="1121" spans="1:1" x14ac:dyDescent="0.25">
      <c r="A1121">
        <v>3211006000</v>
      </c>
    </row>
    <row r="1122" spans="1:1" x14ac:dyDescent="0.25">
      <c r="A1122">
        <v>3205100000</v>
      </c>
    </row>
    <row r="1123" spans="1:1" x14ac:dyDescent="0.25">
      <c r="A1123">
        <v>3205000000</v>
      </c>
    </row>
    <row r="1124" spans="1:1" x14ac:dyDescent="0.25">
      <c r="A1124">
        <v>3202006000</v>
      </c>
    </row>
    <row r="1125" spans="1:1" x14ac:dyDescent="0.25">
      <c r="A1125">
        <v>3133000000</v>
      </c>
    </row>
    <row r="1126" spans="1:1" x14ac:dyDescent="0.25">
      <c r="A1126">
        <v>3130000000</v>
      </c>
    </row>
    <row r="1127" spans="1:1" x14ac:dyDescent="0.25">
      <c r="A1127">
        <v>3120100000</v>
      </c>
    </row>
    <row r="1128" spans="1:1" x14ac:dyDescent="0.25">
      <c r="A1128">
        <v>3120000000</v>
      </c>
    </row>
    <row r="1129" spans="1:1" x14ac:dyDescent="0.25">
      <c r="A1129">
        <v>3116006000</v>
      </c>
    </row>
    <row r="1130" spans="1:1" x14ac:dyDescent="0.25">
      <c r="A1130">
        <v>3116000010</v>
      </c>
    </row>
    <row r="1131" spans="1:1" x14ac:dyDescent="0.25">
      <c r="A1131">
        <v>3116000002</v>
      </c>
    </row>
    <row r="1132" spans="1:1" x14ac:dyDescent="0.25">
      <c r="A1132">
        <v>3116000001</v>
      </c>
    </row>
    <row r="1133" spans="1:1" x14ac:dyDescent="0.25">
      <c r="A1133">
        <v>3116000000</v>
      </c>
    </row>
    <row r="1134" spans="1:1" x14ac:dyDescent="0.25">
      <c r="A1134">
        <v>3115006000</v>
      </c>
    </row>
    <row r="1135" spans="1:1" x14ac:dyDescent="0.25">
      <c r="A1135">
        <v>3115000001</v>
      </c>
    </row>
    <row r="1136" spans="1:1" x14ac:dyDescent="0.25">
      <c r="A1136">
        <v>3115000000</v>
      </c>
    </row>
    <row r="1137" spans="1:1" x14ac:dyDescent="0.25">
      <c r="A1137">
        <v>3113006000</v>
      </c>
    </row>
    <row r="1138" spans="1:1" x14ac:dyDescent="0.25">
      <c r="A1138">
        <v>3113000000</v>
      </c>
    </row>
    <row r="1139" spans="1:1" x14ac:dyDescent="0.25">
      <c r="A1139">
        <v>3112006000</v>
      </c>
    </row>
    <row r="1140" spans="1:1" x14ac:dyDescent="0.25">
      <c r="A1140">
        <v>3112000000</v>
      </c>
    </row>
    <row r="1141" spans="1:1" x14ac:dyDescent="0.25">
      <c r="A1141">
        <v>3111006000</v>
      </c>
    </row>
    <row r="1142" spans="1:1" x14ac:dyDescent="0.25">
      <c r="A1142">
        <v>3111000000</v>
      </c>
    </row>
    <row r="1143" spans="1:1" x14ac:dyDescent="0.25">
      <c r="A1143">
        <v>3110006000</v>
      </c>
    </row>
    <row r="1144" spans="1:1" x14ac:dyDescent="0.25">
      <c r="A1144">
        <v>3110000000</v>
      </c>
    </row>
    <row r="1145" spans="1:1" x14ac:dyDescent="0.25">
      <c r="A1145">
        <v>3106006000</v>
      </c>
    </row>
    <row r="1146" spans="1:1" x14ac:dyDescent="0.25">
      <c r="A1146">
        <v>3106000010</v>
      </c>
    </row>
    <row r="1147" spans="1:1" x14ac:dyDescent="0.25">
      <c r="A1147">
        <v>3106000002</v>
      </c>
    </row>
    <row r="1148" spans="1:1" x14ac:dyDescent="0.25">
      <c r="A1148">
        <v>3106000000</v>
      </c>
    </row>
    <row r="1149" spans="1:1" x14ac:dyDescent="0.25">
      <c r="A1149">
        <v>3105006000</v>
      </c>
    </row>
    <row r="1150" spans="1:1" x14ac:dyDescent="0.25">
      <c r="A1150">
        <v>3105000000</v>
      </c>
    </row>
    <row r="1151" spans="1:1" x14ac:dyDescent="0.25">
      <c r="A1151">
        <v>3103006000</v>
      </c>
    </row>
    <row r="1152" spans="1:1" x14ac:dyDescent="0.25">
      <c r="A1152">
        <v>3103000000</v>
      </c>
    </row>
    <row r="1153" spans="1:1" x14ac:dyDescent="0.25">
      <c r="A1153">
        <v>3102006000</v>
      </c>
    </row>
    <row r="1154" spans="1:1" x14ac:dyDescent="0.25">
      <c r="A1154">
        <v>3101006000</v>
      </c>
    </row>
    <row r="1155" spans="1:1" x14ac:dyDescent="0.25">
      <c r="A1155">
        <v>3101000000</v>
      </c>
    </row>
    <row r="1156" spans="1:1" x14ac:dyDescent="0.25">
      <c r="A1156">
        <v>3100006000</v>
      </c>
    </row>
    <row r="1157" spans="1:1" x14ac:dyDescent="0.25">
      <c r="A1157">
        <v>3100000000</v>
      </c>
    </row>
    <row r="1158" spans="1:1" x14ac:dyDescent="0.25">
      <c r="A1158">
        <v>3060000000</v>
      </c>
    </row>
    <row r="1159" spans="1:1" x14ac:dyDescent="0.25">
      <c r="A1159">
        <v>3040000000</v>
      </c>
    </row>
    <row r="1160" spans="1:1" x14ac:dyDescent="0.25">
      <c r="A1160">
        <v>3031000000</v>
      </c>
    </row>
    <row r="1161" spans="1:1" x14ac:dyDescent="0.25">
      <c r="A1161">
        <v>3030006000</v>
      </c>
    </row>
    <row r="1162" spans="1:1" x14ac:dyDescent="0.25">
      <c r="A1162">
        <v>3030000000</v>
      </c>
    </row>
    <row r="1163" spans="1:1" x14ac:dyDescent="0.25">
      <c r="A1163">
        <v>3029000000</v>
      </c>
    </row>
    <row r="1164" spans="1:1" x14ac:dyDescent="0.25">
      <c r="A1164">
        <v>3020200000</v>
      </c>
    </row>
    <row r="1165" spans="1:1" x14ac:dyDescent="0.25">
      <c r="A1165">
        <v>3020100000</v>
      </c>
    </row>
    <row r="1166" spans="1:1" x14ac:dyDescent="0.25">
      <c r="A1166">
        <v>3020006000</v>
      </c>
    </row>
    <row r="1167" spans="1:1" x14ac:dyDescent="0.25">
      <c r="A1167">
        <v>3020000000</v>
      </c>
    </row>
    <row r="1168" spans="1:1" x14ac:dyDescent="0.25">
      <c r="A1168">
        <v>3011000000</v>
      </c>
    </row>
    <row r="1169" spans="1:1" x14ac:dyDescent="0.25">
      <c r="A1169">
        <v>3010006000</v>
      </c>
    </row>
    <row r="1170" spans="1:1" x14ac:dyDescent="0.25">
      <c r="A1170">
        <v>3010000000</v>
      </c>
    </row>
    <row r="1171" spans="1:1" x14ac:dyDescent="0.25">
      <c r="A1171">
        <v>3001000000</v>
      </c>
    </row>
    <row r="1172" spans="1:1" x14ac:dyDescent="0.25">
      <c r="A1172">
        <v>3000100000</v>
      </c>
    </row>
    <row r="1173" spans="1:1" x14ac:dyDescent="0.25">
      <c r="A1173">
        <v>3000007777</v>
      </c>
    </row>
    <row r="1174" spans="1:1" x14ac:dyDescent="0.25">
      <c r="A1174">
        <v>3000006000</v>
      </c>
    </row>
    <row r="1175" spans="1:1" x14ac:dyDescent="0.25">
      <c r="A1175">
        <v>3000000001</v>
      </c>
    </row>
    <row r="1176" spans="1:1" x14ac:dyDescent="0.25">
      <c r="A1176">
        <v>3000000000</v>
      </c>
    </row>
    <row r="1177" spans="1:1" x14ac:dyDescent="0.25">
      <c r="A1177">
        <v>3201006000</v>
      </c>
    </row>
    <row r="1178" spans="1:1" x14ac:dyDescent="0.25">
      <c r="A1178">
        <v>4006000000</v>
      </c>
    </row>
    <row r="1179" spans="1:1" x14ac:dyDescent="0.25">
      <c r="A1179">
        <v>3929000000</v>
      </c>
    </row>
    <row r="1180" spans="1:1" x14ac:dyDescent="0.25">
      <c r="A1180">
        <v>230000</v>
      </c>
    </row>
    <row r="1181" spans="1:1" x14ac:dyDescent="0.25">
      <c r="A1181">
        <v>232000</v>
      </c>
    </row>
    <row r="1182" spans="1:1" x14ac:dyDescent="0.25">
      <c r="A1182">
        <v>7711160000</v>
      </c>
    </row>
    <row r="1183" spans="1:1" x14ac:dyDescent="0.25">
      <c r="A1183">
        <v>7300110020</v>
      </c>
    </row>
    <row r="1184" spans="1:1" x14ac:dyDescent="0.25">
      <c r="A1184">
        <v>231000</v>
      </c>
    </row>
    <row r="1185" spans="1:1" x14ac:dyDescent="0.25">
      <c r="A1185">
        <v>7711150000</v>
      </c>
    </row>
    <row r="1186" spans="1:1" x14ac:dyDescent="0.25">
      <c r="A1186">
        <v>7320110015</v>
      </c>
    </row>
    <row r="1187" spans="1:1" x14ac:dyDescent="0.25">
      <c r="A1187">
        <v>220000</v>
      </c>
    </row>
    <row r="1188" spans="1:1" x14ac:dyDescent="0.25">
      <c r="A1188">
        <v>225000</v>
      </c>
    </row>
    <row r="1189" spans="1:1" x14ac:dyDescent="0.25">
      <c r="A1189">
        <v>7811122000</v>
      </c>
    </row>
    <row r="1190" spans="1:1" x14ac:dyDescent="0.25">
      <c r="A1190">
        <v>7600000050</v>
      </c>
    </row>
    <row r="1191" spans="1:1" x14ac:dyDescent="0.25">
      <c r="A1191">
        <v>7600000049</v>
      </c>
    </row>
    <row r="1192" spans="1:1" x14ac:dyDescent="0.25">
      <c r="A1192">
        <v>7600000048</v>
      </c>
    </row>
    <row r="1193" spans="1:1" x14ac:dyDescent="0.25">
      <c r="A1193">
        <v>7600000047</v>
      </c>
    </row>
    <row r="1194" spans="1:1" x14ac:dyDescent="0.25">
      <c r="A1194">
        <v>7600000046</v>
      </c>
    </row>
    <row r="1195" spans="1:1" x14ac:dyDescent="0.25">
      <c r="A1195">
        <v>7600000045</v>
      </c>
    </row>
    <row r="1196" spans="1:1" x14ac:dyDescent="0.25">
      <c r="A1196">
        <v>7600000044</v>
      </c>
    </row>
    <row r="1197" spans="1:1" x14ac:dyDescent="0.25">
      <c r="A1197">
        <v>7600000043</v>
      </c>
    </row>
    <row r="1198" spans="1:1" x14ac:dyDescent="0.25">
      <c r="A1198">
        <v>7600000042</v>
      </c>
    </row>
    <row r="1199" spans="1:1" x14ac:dyDescent="0.25">
      <c r="A1199">
        <v>7600000041</v>
      </c>
    </row>
    <row r="1200" spans="1:1" x14ac:dyDescent="0.25">
      <c r="A1200">
        <v>7600000040</v>
      </c>
    </row>
    <row r="1201" spans="1:1" x14ac:dyDescent="0.25">
      <c r="A1201">
        <v>7600000038</v>
      </c>
    </row>
    <row r="1202" spans="1:1" x14ac:dyDescent="0.25">
      <c r="A1202">
        <v>7600000037</v>
      </c>
    </row>
    <row r="1203" spans="1:1" x14ac:dyDescent="0.25">
      <c r="A1203">
        <v>7600000036</v>
      </c>
    </row>
    <row r="1204" spans="1:1" x14ac:dyDescent="0.25">
      <c r="A1204">
        <v>7600000035</v>
      </c>
    </row>
    <row r="1205" spans="1:1" x14ac:dyDescent="0.25">
      <c r="A1205">
        <v>7600000034</v>
      </c>
    </row>
    <row r="1206" spans="1:1" x14ac:dyDescent="0.25">
      <c r="A1206">
        <v>7600000033</v>
      </c>
    </row>
    <row r="1207" spans="1:1" x14ac:dyDescent="0.25">
      <c r="A1207">
        <v>7600000032</v>
      </c>
    </row>
    <row r="1208" spans="1:1" x14ac:dyDescent="0.25">
      <c r="A1208">
        <v>7600000031</v>
      </c>
    </row>
    <row r="1209" spans="1:1" x14ac:dyDescent="0.25">
      <c r="A1209">
        <v>7600000030</v>
      </c>
    </row>
    <row r="1210" spans="1:1" x14ac:dyDescent="0.25">
      <c r="A1210">
        <v>7600000029</v>
      </c>
    </row>
    <row r="1211" spans="1:1" x14ac:dyDescent="0.25">
      <c r="A1211">
        <v>7600000028</v>
      </c>
    </row>
    <row r="1212" spans="1:1" x14ac:dyDescent="0.25">
      <c r="A1212">
        <v>7600000027</v>
      </c>
    </row>
    <row r="1213" spans="1:1" x14ac:dyDescent="0.25">
      <c r="A1213">
        <v>7600000026</v>
      </c>
    </row>
    <row r="1214" spans="1:1" x14ac:dyDescent="0.25">
      <c r="A1214">
        <v>7600000025</v>
      </c>
    </row>
    <row r="1215" spans="1:1" x14ac:dyDescent="0.25">
      <c r="A1215">
        <v>7600000024</v>
      </c>
    </row>
    <row r="1216" spans="1:1" x14ac:dyDescent="0.25">
      <c r="A1216">
        <v>7600000023</v>
      </c>
    </row>
    <row r="1217" spans="1:1" x14ac:dyDescent="0.25">
      <c r="A1217">
        <v>7600000022</v>
      </c>
    </row>
    <row r="1218" spans="1:1" x14ac:dyDescent="0.25">
      <c r="A1218">
        <v>7600000021</v>
      </c>
    </row>
    <row r="1219" spans="1:1" x14ac:dyDescent="0.25">
      <c r="A1219">
        <v>7600000020</v>
      </c>
    </row>
    <row r="1220" spans="1:1" x14ac:dyDescent="0.25">
      <c r="A1220">
        <v>7600000019</v>
      </c>
    </row>
    <row r="1221" spans="1:1" x14ac:dyDescent="0.25">
      <c r="A1221">
        <v>7600000018</v>
      </c>
    </row>
    <row r="1222" spans="1:1" x14ac:dyDescent="0.25">
      <c r="A1222">
        <v>7600000017</v>
      </c>
    </row>
    <row r="1223" spans="1:1" x14ac:dyDescent="0.25">
      <c r="A1223">
        <v>7600000016</v>
      </c>
    </row>
    <row r="1224" spans="1:1" x14ac:dyDescent="0.25">
      <c r="A1224">
        <v>7600000015</v>
      </c>
    </row>
    <row r="1225" spans="1:1" x14ac:dyDescent="0.25">
      <c r="A1225">
        <v>7600000014</v>
      </c>
    </row>
    <row r="1226" spans="1:1" x14ac:dyDescent="0.25">
      <c r="A1226">
        <v>7600000013</v>
      </c>
    </row>
    <row r="1227" spans="1:1" x14ac:dyDescent="0.25">
      <c r="A1227">
        <v>7600000012</v>
      </c>
    </row>
    <row r="1228" spans="1:1" x14ac:dyDescent="0.25">
      <c r="A1228">
        <v>7600000002</v>
      </c>
    </row>
    <row r="1229" spans="1:1" x14ac:dyDescent="0.25">
      <c r="A1229">
        <v>7600000001</v>
      </c>
    </row>
    <row r="1230" spans="1:1" x14ac:dyDescent="0.25">
      <c r="A1230">
        <v>224000</v>
      </c>
    </row>
    <row r="1231" spans="1:1" x14ac:dyDescent="0.25">
      <c r="A1231">
        <v>9009300911</v>
      </c>
    </row>
    <row r="1232" spans="1:1" x14ac:dyDescent="0.25">
      <c r="A1232">
        <v>9009300901</v>
      </c>
    </row>
    <row r="1233" spans="1:1" x14ac:dyDescent="0.25">
      <c r="A1233">
        <v>9009300912</v>
      </c>
    </row>
    <row r="1234" spans="1:1" x14ac:dyDescent="0.25">
      <c r="A1234">
        <v>9009300902</v>
      </c>
    </row>
    <row r="1235" spans="1:1" x14ac:dyDescent="0.25">
      <c r="A1235">
        <v>7340000017</v>
      </c>
    </row>
    <row r="1236" spans="1:1" x14ac:dyDescent="0.25">
      <c r="A1236">
        <v>7811113005</v>
      </c>
    </row>
    <row r="1237" spans="1:1" x14ac:dyDescent="0.25">
      <c r="A1237">
        <v>7811113003</v>
      </c>
    </row>
    <row r="1238" spans="1:1" x14ac:dyDescent="0.25">
      <c r="A1238">
        <v>7811113002</v>
      </c>
    </row>
    <row r="1239" spans="1:1" x14ac:dyDescent="0.25">
      <c r="A1239">
        <v>7811113001</v>
      </c>
    </row>
    <row r="1240" spans="1:1" x14ac:dyDescent="0.25">
      <c r="A1240">
        <v>7711112000</v>
      </c>
    </row>
    <row r="1241" spans="1:1" x14ac:dyDescent="0.25">
      <c r="A1241">
        <v>7320110010</v>
      </c>
    </row>
    <row r="1242" spans="1:1" x14ac:dyDescent="0.25">
      <c r="A1242">
        <v>7300110003</v>
      </c>
    </row>
    <row r="1243" spans="1:1" x14ac:dyDescent="0.25">
      <c r="A1243">
        <v>5929000000</v>
      </c>
    </row>
    <row r="1244" spans="1:1" x14ac:dyDescent="0.25">
      <c r="A1244">
        <v>4242200000</v>
      </c>
    </row>
    <row r="1245" spans="1:1" x14ac:dyDescent="0.25">
      <c r="A1245">
        <v>4242100000</v>
      </c>
    </row>
    <row r="1246" spans="1:1" x14ac:dyDescent="0.25">
      <c r="A1246">
        <v>4100302900</v>
      </c>
    </row>
    <row r="1247" spans="1:1" x14ac:dyDescent="0.25">
      <c r="A1247">
        <v>4100302800</v>
      </c>
    </row>
    <row r="1248" spans="1:1" x14ac:dyDescent="0.25">
      <c r="A1248">
        <v>4100302700</v>
      </c>
    </row>
    <row r="1249" spans="1:1" x14ac:dyDescent="0.25">
      <c r="A1249">
        <v>4100302600</v>
      </c>
    </row>
    <row r="1250" spans="1:1" x14ac:dyDescent="0.25">
      <c r="A1250">
        <v>4100302500</v>
      </c>
    </row>
    <row r="1251" spans="1:1" x14ac:dyDescent="0.25">
      <c r="A1251">
        <v>4100302400</v>
      </c>
    </row>
    <row r="1252" spans="1:1" x14ac:dyDescent="0.25">
      <c r="A1252">
        <v>4100302300</v>
      </c>
    </row>
    <row r="1253" spans="1:1" x14ac:dyDescent="0.25">
      <c r="A1253">
        <v>4100302200</v>
      </c>
    </row>
    <row r="1254" spans="1:1" x14ac:dyDescent="0.25">
      <c r="A1254">
        <v>4100302100</v>
      </c>
    </row>
    <row r="1255" spans="1:1" x14ac:dyDescent="0.25">
      <c r="A1255">
        <v>4100300097</v>
      </c>
    </row>
    <row r="1256" spans="1:1" x14ac:dyDescent="0.25">
      <c r="A1256">
        <v>4100300000</v>
      </c>
    </row>
    <row r="1257" spans="1:1" x14ac:dyDescent="0.25">
      <c r="A1257">
        <v>4100112900</v>
      </c>
    </row>
    <row r="1258" spans="1:1" x14ac:dyDescent="0.25">
      <c r="A1258">
        <v>4100112800</v>
      </c>
    </row>
    <row r="1259" spans="1:1" x14ac:dyDescent="0.25">
      <c r="A1259">
        <v>4100112700</v>
      </c>
    </row>
    <row r="1260" spans="1:1" x14ac:dyDescent="0.25">
      <c r="A1260">
        <v>4100112600</v>
      </c>
    </row>
    <row r="1261" spans="1:1" x14ac:dyDescent="0.25">
      <c r="A1261">
        <v>4100112500</v>
      </c>
    </row>
    <row r="1262" spans="1:1" x14ac:dyDescent="0.25">
      <c r="A1262">
        <v>4100112400</v>
      </c>
    </row>
    <row r="1263" spans="1:1" x14ac:dyDescent="0.25">
      <c r="A1263">
        <v>4100112300</v>
      </c>
    </row>
    <row r="1264" spans="1:1" x14ac:dyDescent="0.25">
      <c r="A1264">
        <v>4100112200</v>
      </c>
    </row>
    <row r="1265" spans="1:1" x14ac:dyDescent="0.25">
      <c r="A1265">
        <v>4100112100</v>
      </c>
    </row>
    <row r="1266" spans="1:1" x14ac:dyDescent="0.25">
      <c r="A1266">
        <v>4100110000</v>
      </c>
    </row>
    <row r="1267" spans="1:1" x14ac:dyDescent="0.25">
      <c r="A1267">
        <v>4100102900</v>
      </c>
    </row>
    <row r="1268" spans="1:1" x14ac:dyDescent="0.25">
      <c r="A1268">
        <v>4100102800</v>
      </c>
    </row>
    <row r="1269" spans="1:1" x14ac:dyDescent="0.25">
      <c r="A1269">
        <v>4100102700</v>
      </c>
    </row>
    <row r="1270" spans="1:1" x14ac:dyDescent="0.25">
      <c r="A1270">
        <v>4100102600</v>
      </c>
    </row>
    <row r="1271" spans="1:1" x14ac:dyDescent="0.25">
      <c r="A1271">
        <v>4100102500</v>
      </c>
    </row>
    <row r="1272" spans="1:1" x14ac:dyDescent="0.25">
      <c r="A1272">
        <v>4100102400</v>
      </c>
    </row>
    <row r="1273" spans="1:1" x14ac:dyDescent="0.25">
      <c r="A1273">
        <v>4100102300</v>
      </c>
    </row>
    <row r="1274" spans="1:1" x14ac:dyDescent="0.25">
      <c r="A1274">
        <v>4100102200</v>
      </c>
    </row>
    <row r="1275" spans="1:1" x14ac:dyDescent="0.25">
      <c r="A1275">
        <v>4100102100</v>
      </c>
    </row>
    <row r="1276" spans="1:1" x14ac:dyDescent="0.25">
      <c r="A1276">
        <v>4100100000</v>
      </c>
    </row>
    <row r="1277" spans="1:1" x14ac:dyDescent="0.25">
      <c r="A1277">
        <v>4055000000</v>
      </c>
    </row>
    <row r="1278" spans="1:1" x14ac:dyDescent="0.25">
      <c r="A1278">
        <v>4054000000</v>
      </c>
    </row>
    <row r="1279" spans="1:1" x14ac:dyDescent="0.25">
      <c r="A1279">
        <v>4053000000</v>
      </c>
    </row>
    <row r="1280" spans="1:1" x14ac:dyDescent="0.25">
      <c r="A1280">
        <v>4052000000</v>
      </c>
    </row>
    <row r="1281" spans="1:1" x14ac:dyDescent="0.25">
      <c r="A1281">
        <v>4051900000</v>
      </c>
    </row>
    <row r="1282" spans="1:1" x14ac:dyDescent="0.25">
      <c r="A1282">
        <v>4051000000</v>
      </c>
    </row>
    <row r="1283" spans="1:1" x14ac:dyDescent="0.25">
      <c r="A1283">
        <v>4050000000</v>
      </c>
    </row>
    <row r="1284" spans="1:1" x14ac:dyDescent="0.25">
      <c r="A1284">
        <v>7811113009</v>
      </c>
    </row>
    <row r="1285" spans="1:1" x14ac:dyDescent="0.25">
      <c r="A1285">
        <v>7811113010</v>
      </c>
    </row>
    <row r="1286" spans="1:1" x14ac:dyDescent="0.25">
      <c r="A1286">
        <v>223300</v>
      </c>
    </row>
    <row r="1287" spans="1:1" x14ac:dyDescent="0.25">
      <c r="A1287">
        <v>7300110022</v>
      </c>
    </row>
    <row r="1288" spans="1:1" x14ac:dyDescent="0.25">
      <c r="A1288">
        <v>7300110018</v>
      </c>
    </row>
    <row r="1289" spans="1:1" x14ac:dyDescent="0.25">
      <c r="A1289">
        <v>7300110017</v>
      </c>
    </row>
    <row r="1290" spans="1:1" x14ac:dyDescent="0.25">
      <c r="A1290">
        <v>7300110016</v>
      </c>
    </row>
    <row r="1291" spans="1:1" x14ac:dyDescent="0.25">
      <c r="A1291">
        <v>7300110014</v>
      </c>
    </row>
    <row r="1292" spans="1:1" x14ac:dyDescent="0.25">
      <c r="A1292">
        <v>7300110013</v>
      </c>
    </row>
    <row r="1293" spans="1:1" x14ac:dyDescent="0.25">
      <c r="A1293">
        <v>7300110012</v>
      </c>
    </row>
    <row r="1294" spans="1:1" x14ac:dyDescent="0.25">
      <c r="A1294">
        <v>7300110011</v>
      </c>
    </row>
    <row r="1295" spans="1:1" x14ac:dyDescent="0.25">
      <c r="A1295">
        <v>7300110010</v>
      </c>
    </row>
    <row r="1296" spans="1:1" x14ac:dyDescent="0.25">
      <c r="A1296">
        <v>7300110009</v>
      </c>
    </row>
    <row r="1297" spans="1:1" x14ac:dyDescent="0.25">
      <c r="A1297">
        <v>7300110008</v>
      </c>
    </row>
    <row r="1298" spans="1:1" x14ac:dyDescent="0.25">
      <c r="A1298">
        <v>7300110007</v>
      </c>
    </row>
    <row r="1299" spans="1:1" x14ac:dyDescent="0.25">
      <c r="A1299">
        <v>7300110006</v>
      </c>
    </row>
    <row r="1300" spans="1:1" x14ac:dyDescent="0.25">
      <c r="A1300">
        <v>223200</v>
      </c>
    </row>
    <row r="1301" spans="1:1" x14ac:dyDescent="0.25">
      <c r="A1301">
        <v>7300110041</v>
      </c>
    </row>
    <row r="1302" spans="1:1" x14ac:dyDescent="0.25">
      <c r="A1302">
        <v>7300110040</v>
      </c>
    </row>
    <row r="1303" spans="1:1" x14ac:dyDescent="0.25">
      <c r="A1303">
        <v>7300110039</v>
      </c>
    </row>
    <row r="1304" spans="1:1" x14ac:dyDescent="0.25">
      <c r="A1304">
        <v>7300110038</v>
      </c>
    </row>
    <row r="1305" spans="1:1" x14ac:dyDescent="0.25">
      <c r="A1305">
        <v>7300110037</v>
      </c>
    </row>
    <row r="1306" spans="1:1" x14ac:dyDescent="0.25">
      <c r="A1306">
        <v>7300110033</v>
      </c>
    </row>
    <row r="1307" spans="1:1" x14ac:dyDescent="0.25">
      <c r="A1307">
        <v>7300110032</v>
      </c>
    </row>
    <row r="1308" spans="1:1" x14ac:dyDescent="0.25">
      <c r="A1308">
        <v>7300110005</v>
      </c>
    </row>
    <row r="1309" spans="1:1" x14ac:dyDescent="0.25">
      <c r="A1309">
        <v>7300110004</v>
      </c>
    </row>
    <row r="1310" spans="1:1" x14ac:dyDescent="0.25">
      <c r="A1310">
        <v>7300110001</v>
      </c>
    </row>
    <row r="1311" spans="1:1" x14ac:dyDescent="0.25">
      <c r="A1311">
        <v>223100</v>
      </c>
    </row>
    <row r="1312" spans="1:1" x14ac:dyDescent="0.25">
      <c r="A1312">
        <v>7300110036</v>
      </c>
    </row>
    <row r="1313" spans="1:1" x14ac:dyDescent="0.25">
      <c r="A1313">
        <v>7300110035</v>
      </c>
    </row>
    <row r="1314" spans="1:1" x14ac:dyDescent="0.25">
      <c r="A1314">
        <v>7300110034</v>
      </c>
    </row>
    <row r="1315" spans="1:1" x14ac:dyDescent="0.25">
      <c r="A1315">
        <v>7300110002</v>
      </c>
    </row>
    <row r="1316" spans="1:1" x14ac:dyDescent="0.25">
      <c r="A1316">
        <v>222000</v>
      </c>
    </row>
    <row r="1317" spans="1:1" x14ac:dyDescent="0.25">
      <c r="A1317">
        <v>7811113004</v>
      </c>
    </row>
    <row r="1318" spans="1:1" x14ac:dyDescent="0.25">
      <c r="A1318">
        <v>7340000016</v>
      </c>
    </row>
    <row r="1319" spans="1:1" x14ac:dyDescent="0.25">
      <c r="A1319">
        <v>7711110000</v>
      </c>
    </row>
    <row r="1320" spans="1:1" x14ac:dyDescent="0.25">
      <c r="A1320">
        <v>7330170005</v>
      </c>
    </row>
    <row r="1321" spans="1:1" x14ac:dyDescent="0.25">
      <c r="A1321">
        <v>221000</v>
      </c>
    </row>
    <row r="1322" spans="1:1" x14ac:dyDescent="0.25">
      <c r="A1322">
        <v>7330170002</v>
      </c>
    </row>
    <row r="1323" spans="1:1" x14ac:dyDescent="0.25">
      <c r="A1323">
        <v>7330170011</v>
      </c>
    </row>
    <row r="1324" spans="1:1" x14ac:dyDescent="0.25">
      <c r="A1324">
        <v>7330170010</v>
      </c>
    </row>
    <row r="1325" spans="1:1" x14ac:dyDescent="0.25">
      <c r="A1325">
        <v>7330170008</v>
      </c>
    </row>
    <row r="1326" spans="1:1" x14ac:dyDescent="0.25">
      <c r="A1326">
        <v>7330170004</v>
      </c>
    </row>
    <row r="1327" spans="1:1" x14ac:dyDescent="0.25">
      <c r="A1327">
        <v>7330170003</v>
      </c>
    </row>
    <row r="1328" spans="1:1" x14ac:dyDescent="0.25">
      <c r="A1328">
        <v>7330170001</v>
      </c>
    </row>
    <row r="1329" spans="1:1" x14ac:dyDescent="0.25">
      <c r="A1329">
        <v>7330170006</v>
      </c>
    </row>
    <row r="1330" spans="1:1" x14ac:dyDescent="0.25">
      <c r="A1330">
        <v>210000</v>
      </c>
    </row>
    <row r="1331" spans="1:1" x14ac:dyDescent="0.25">
      <c r="A1331">
        <v>210500</v>
      </c>
    </row>
    <row r="1332" spans="1:1" x14ac:dyDescent="0.25">
      <c r="A1332">
        <v>3952110000</v>
      </c>
    </row>
    <row r="1333" spans="1:1" x14ac:dyDescent="0.25">
      <c r="A1333">
        <v>3954116000</v>
      </c>
    </row>
    <row r="1334" spans="1:1" x14ac:dyDescent="0.25">
      <c r="A1334">
        <v>3951610000</v>
      </c>
    </row>
    <row r="1335" spans="1:1" x14ac:dyDescent="0.25">
      <c r="A1335">
        <v>3970010000</v>
      </c>
    </row>
    <row r="1336" spans="1:1" x14ac:dyDescent="0.25">
      <c r="A1336">
        <v>3951410000</v>
      </c>
    </row>
    <row r="1337" spans="1:1" x14ac:dyDescent="0.25">
      <c r="A1337">
        <v>3951310000</v>
      </c>
    </row>
    <row r="1338" spans="1:1" x14ac:dyDescent="0.25">
      <c r="A1338">
        <v>3951010000</v>
      </c>
    </row>
    <row r="1339" spans="1:1" x14ac:dyDescent="0.25">
      <c r="A1339">
        <v>5392000000</v>
      </c>
    </row>
    <row r="1340" spans="1:1" x14ac:dyDescent="0.25">
      <c r="A1340">
        <v>3953310000</v>
      </c>
    </row>
    <row r="1341" spans="1:1" x14ac:dyDescent="0.25">
      <c r="A1341">
        <v>3952710000</v>
      </c>
    </row>
    <row r="1342" spans="1:1" x14ac:dyDescent="0.25">
      <c r="A1342">
        <v>3952610000</v>
      </c>
    </row>
    <row r="1343" spans="1:1" x14ac:dyDescent="0.25">
      <c r="A1343">
        <v>3952310000</v>
      </c>
    </row>
    <row r="1344" spans="1:1" x14ac:dyDescent="0.25">
      <c r="A1344">
        <v>3954610000</v>
      </c>
    </row>
    <row r="1345" spans="1:1" x14ac:dyDescent="0.25">
      <c r="A1345">
        <v>3955010000</v>
      </c>
    </row>
    <row r="1346" spans="1:1" x14ac:dyDescent="0.25">
      <c r="A1346">
        <v>3952810000</v>
      </c>
    </row>
    <row r="1347" spans="1:1" x14ac:dyDescent="0.25">
      <c r="A1347">
        <v>3952510000</v>
      </c>
    </row>
    <row r="1348" spans="1:1" x14ac:dyDescent="0.25">
      <c r="A1348">
        <v>3951810000</v>
      </c>
    </row>
    <row r="1349" spans="1:1" x14ac:dyDescent="0.25">
      <c r="A1349">
        <v>3951710000</v>
      </c>
    </row>
    <row r="1350" spans="1:1" x14ac:dyDescent="0.25">
      <c r="A1350">
        <v>3951510000</v>
      </c>
    </row>
    <row r="1351" spans="1:1" x14ac:dyDescent="0.25">
      <c r="A1351">
        <v>3050000001</v>
      </c>
    </row>
    <row r="1352" spans="1:1" x14ac:dyDescent="0.25">
      <c r="A1352">
        <v>7824220000</v>
      </c>
    </row>
    <row r="1353" spans="1:1" x14ac:dyDescent="0.25">
      <c r="A1353">
        <v>7824180000</v>
      </c>
    </row>
    <row r="1354" spans="1:1" x14ac:dyDescent="0.25">
      <c r="A1354">
        <v>5970016000</v>
      </c>
    </row>
    <row r="1355" spans="1:1" x14ac:dyDescent="0.25">
      <c r="A1355">
        <v>5970010000</v>
      </c>
    </row>
    <row r="1356" spans="1:1" x14ac:dyDescent="0.25">
      <c r="A1356">
        <v>5960111000</v>
      </c>
    </row>
    <row r="1357" spans="1:1" x14ac:dyDescent="0.25">
      <c r="A1357">
        <v>5960110000</v>
      </c>
    </row>
    <row r="1358" spans="1:1" x14ac:dyDescent="0.25">
      <c r="A1358">
        <v>5940010000</v>
      </c>
    </row>
    <row r="1359" spans="1:1" x14ac:dyDescent="0.25">
      <c r="A1359">
        <v>5763910000</v>
      </c>
    </row>
    <row r="1360" spans="1:1" x14ac:dyDescent="0.25">
      <c r="A1360">
        <v>3970016000</v>
      </c>
    </row>
    <row r="1361" spans="1:1" x14ac:dyDescent="0.25">
      <c r="A1361">
        <v>3954710000</v>
      </c>
    </row>
    <row r="1362" spans="1:1" x14ac:dyDescent="0.25">
      <c r="A1362">
        <v>3954510000</v>
      </c>
    </row>
    <row r="1363" spans="1:1" x14ac:dyDescent="0.25">
      <c r="A1363">
        <v>3954010000</v>
      </c>
    </row>
    <row r="1364" spans="1:1" x14ac:dyDescent="0.25">
      <c r="A1364">
        <v>3953610000</v>
      </c>
    </row>
    <row r="1365" spans="1:1" x14ac:dyDescent="0.25">
      <c r="A1365">
        <v>3951910000</v>
      </c>
    </row>
    <row r="1366" spans="1:1" x14ac:dyDescent="0.25">
      <c r="A1366">
        <v>3950110000</v>
      </c>
    </row>
    <row r="1367" spans="1:1" x14ac:dyDescent="0.25">
      <c r="A1367">
        <v>7724177001</v>
      </c>
    </row>
    <row r="1368" spans="1:1" x14ac:dyDescent="0.25">
      <c r="A1368">
        <v>210400</v>
      </c>
    </row>
    <row r="1369" spans="1:1" x14ac:dyDescent="0.25">
      <c r="A1369">
        <v>5921400010</v>
      </c>
    </row>
    <row r="1370" spans="1:1" x14ac:dyDescent="0.25">
      <c r="A1370">
        <v>8530000000</v>
      </c>
    </row>
    <row r="1371" spans="1:1" x14ac:dyDescent="0.25">
      <c r="A1371">
        <v>8230000000</v>
      </c>
    </row>
    <row r="1372" spans="1:1" x14ac:dyDescent="0.25">
      <c r="A1372">
        <v>7824131200</v>
      </c>
    </row>
    <row r="1373" spans="1:1" x14ac:dyDescent="0.25">
      <c r="A1373">
        <v>7824131100</v>
      </c>
    </row>
    <row r="1374" spans="1:1" x14ac:dyDescent="0.25">
      <c r="A1374">
        <v>7823301100</v>
      </c>
    </row>
    <row r="1375" spans="1:1" x14ac:dyDescent="0.25">
      <c r="A1375">
        <v>5967600000</v>
      </c>
    </row>
    <row r="1376" spans="1:1" x14ac:dyDescent="0.25">
      <c r="A1376">
        <v>5928400000</v>
      </c>
    </row>
    <row r="1377" spans="1:1" x14ac:dyDescent="0.25">
      <c r="A1377">
        <v>5927400010</v>
      </c>
    </row>
    <row r="1378" spans="1:1" x14ac:dyDescent="0.25">
      <c r="A1378">
        <v>5927400000</v>
      </c>
    </row>
    <row r="1379" spans="1:1" x14ac:dyDescent="0.25">
      <c r="A1379">
        <v>5926400000</v>
      </c>
    </row>
    <row r="1380" spans="1:1" x14ac:dyDescent="0.25">
      <c r="A1380">
        <v>5926000000</v>
      </c>
    </row>
    <row r="1381" spans="1:1" x14ac:dyDescent="0.25">
      <c r="A1381">
        <v>5925000000</v>
      </c>
    </row>
    <row r="1382" spans="1:1" x14ac:dyDescent="0.25">
      <c r="A1382">
        <v>5924000000</v>
      </c>
    </row>
    <row r="1383" spans="1:1" x14ac:dyDescent="0.25">
      <c r="A1383">
        <v>5923000000</v>
      </c>
    </row>
    <row r="1384" spans="1:1" x14ac:dyDescent="0.25">
      <c r="A1384">
        <v>5921400001</v>
      </c>
    </row>
    <row r="1385" spans="1:1" x14ac:dyDescent="0.25">
      <c r="A1385">
        <v>5921400000</v>
      </c>
    </row>
    <row r="1386" spans="1:1" x14ac:dyDescent="0.25">
      <c r="A1386">
        <v>5921000001</v>
      </c>
    </row>
    <row r="1387" spans="1:1" x14ac:dyDescent="0.25">
      <c r="A1387">
        <v>5921000000</v>
      </c>
    </row>
    <row r="1388" spans="1:1" x14ac:dyDescent="0.25">
      <c r="A1388">
        <v>5920400010</v>
      </c>
    </row>
    <row r="1389" spans="1:1" x14ac:dyDescent="0.25">
      <c r="A1389">
        <v>5920400001</v>
      </c>
    </row>
    <row r="1390" spans="1:1" x14ac:dyDescent="0.25">
      <c r="A1390">
        <v>5920400000</v>
      </c>
    </row>
    <row r="1391" spans="1:1" x14ac:dyDescent="0.25">
      <c r="A1391">
        <v>5920000001</v>
      </c>
    </row>
    <row r="1392" spans="1:1" x14ac:dyDescent="0.25">
      <c r="A1392">
        <v>5920000000</v>
      </c>
    </row>
    <row r="1393" spans="1:1" x14ac:dyDescent="0.25">
      <c r="A1393">
        <v>3301000000</v>
      </c>
    </row>
    <row r="1394" spans="1:1" x14ac:dyDescent="0.25">
      <c r="A1394">
        <v>3300018000</v>
      </c>
    </row>
    <row r="1395" spans="1:1" x14ac:dyDescent="0.25">
      <c r="A1395">
        <v>3300008000</v>
      </c>
    </row>
    <row r="1396" spans="1:1" x14ac:dyDescent="0.25">
      <c r="A1396">
        <v>3300016000</v>
      </c>
    </row>
    <row r="1397" spans="1:1" x14ac:dyDescent="0.25">
      <c r="A1397">
        <v>3300000001</v>
      </c>
    </row>
    <row r="1398" spans="1:1" x14ac:dyDescent="0.25">
      <c r="A1398">
        <v>3300000000</v>
      </c>
    </row>
    <row r="1399" spans="1:1" x14ac:dyDescent="0.25">
      <c r="A1399">
        <v>210300</v>
      </c>
    </row>
    <row r="1400" spans="1:1" x14ac:dyDescent="0.25">
      <c r="A1400">
        <v>7620301103</v>
      </c>
    </row>
    <row r="1401" spans="1:1" x14ac:dyDescent="0.25">
      <c r="A1401">
        <v>7340000005</v>
      </c>
    </row>
    <row r="1402" spans="1:1" x14ac:dyDescent="0.25">
      <c r="A1402">
        <v>7340000018</v>
      </c>
    </row>
    <row r="1403" spans="1:1" x14ac:dyDescent="0.25">
      <c r="A1403">
        <v>8800000001</v>
      </c>
    </row>
    <row r="1404" spans="1:1" x14ac:dyDescent="0.25">
      <c r="A1404">
        <v>8799970000</v>
      </c>
    </row>
    <row r="1405" spans="1:1" x14ac:dyDescent="0.25">
      <c r="A1405">
        <v>7620000009</v>
      </c>
    </row>
    <row r="1406" spans="1:1" x14ac:dyDescent="0.25">
      <c r="A1406">
        <v>7600304232</v>
      </c>
    </row>
    <row r="1407" spans="1:1" x14ac:dyDescent="0.25">
      <c r="A1407">
        <v>7600304157</v>
      </c>
    </row>
    <row r="1408" spans="1:1" x14ac:dyDescent="0.25">
      <c r="A1408">
        <v>7220000020</v>
      </c>
    </row>
    <row r="1409" spans="1:1" x14ac:dyDescent="0.25">
      <c r="A1409">
        <v>7100000013</v>
      </c>
    </row>
    <row r="1410" spans="1:1" x14ac:dyDescent="0.25">
      <c r="A1410">
        <v>7100000012</v>
      </c>
    </row>
    <row r="1411" spans="1:1" x14ac:dyDescent="0.25">
      <c r="A1411">
        <v>5966000000</v>
      </c>
    </row>
    <row r="1412" spans="1:1" x14ac:dyDescent="0.25">
      <c r="A1412">
        <v>5965000000</v>
      </c>
    </row>
    <row r="1413" spans="1:1" x14ac:dyDescent="0.25">
      <c r="A1413">
        <v>5964000000</v>
      </c>
    </row>
    <row r="1414" spans="1:1" x14ac:dyDescent="0.25">
      <c r="A1414">
        <v>5963000000</v>
      </c>
    </row>
    <row r="1415" spans="1:1" x14ac:dyDescent="0.25">
      <c r="A1415">
        <v>5961800000</v>
      </c>
    </row>
    <row r="1416" spans="1:1" x14ac:dyDescent="0.25">
      <c r="A1416">
        <v>5961200000</v>
      </c>
    </row>
    <row r="1417" spans="1:1" x14ac:dyDescent="0.25">
      <c r="A1417">
        <v>5961000000</v>
      </c>
    </row>
    <row r="1418" spans="1:1" x14ac:dyDescent="0.25">
      <c r="A1418">
        <v>5960500000</v>
      </c>
    </row>
    <row r="1419" spans="1:1" x14ac:dyDescent="0.25">
      <c r="A1419">
        <v>5960400001</v>
      </c>
    </row>
    <row r="1420" spans="1:1" x14ac:dyDescent="0.25">
      <c r="A1420">
        <v>5960400000</v>
      </c>
    </row>
    <row r="1421" spans="1:1" x14ac:dyDescent="0.25">
      <c r="A1421">
        <v>5960200000</v>
      </c>
    </row>
    <row r="1422" spans="1:1" x14ac:dyDescent="0.25">
      <c r="A1422">
        <v>5960100000</v>
      </c>
    </row>
    <row r="1423" spans="1:1" x14ac:dyDescent="0.25">
      <c r="A1423">
        <v>5960000000</v>
      </c>
    </row>
    <row r="1424" spans="1:1" x14ac:dyDescent="0.25">
      <c r="A1424">
        <v>4420000000</v>
      </c>
    </row>
    <row r="1425" spans="1:1" x14ac:dyDescent="0.25">
      <c r="A1425">
        <v>3959000001</v>
      </c>
    </row>
    <row r="1426" spans="1:1" x14ac:dyDescent="0.25">
      <c r="A1426">
        <v>3959000000</v>
      </c>
    </row>
    <row r="1427" spans="1:1" x14ac:dyDescent="0.25">
      <c r="A1427">
        <v>3958800000</v>
      </c>
    </row>
    <row r="1428" spans="1:1" x14ac:dyDescent="0.25">
      <c r="A1428">
        <v>3957600000</v>
      </c>
    </row>
    <row r="1429" spans="1:1" x14ac:dyDescent="0.25">
      <c r="A1429">
        <v>3957500000</v>
      </c>
    </row>
    <row r="1430" spans="1:1" x14ac:dyDescent="0.25">
      <c r="A1430">
        <v>3957230000</v>
      </c>
    </row>
    <row r="1431" spans="1:1" x14ac:dyDescent="0.25">
      <c r="A1431">
        <v>3957200000</v>
      </c>
    </row>
    <row r="1432" spans="1:1" x14ac:dyDescent="0.25">
      <c r="A1432">
        <v>3956300001</v>
      </c>
    </row>
    <row r="1433" spans="1:1" x14ac:dyDescent="0.25">
      <c r="A1433">
        <v>3956300000</v>
      </c>
    </row>
    <row r="1434" spans="1:1" x14ac:dyDescent="0.25">
      <c r="A1434">
        <v>3956200000</v>
      </c>
    </row>
    <row r="1435" spans="1:1" x14ac:dyDescent="0.25">
      <c r="A1435">
        <v>3956100000</v>
      </c>
    </row>
    <row r="1436" spans="1:1" x14ac:dyDescent="0.25">
      <c r="A1436">
        <v>3956000000</v>
      </c>
    </row>
    <row r="1437" spans="1:1" x14ac:dyDescent="0.25">
      <c r="A1437">
        <v>3955600000</v>
      </c>
    </row>
    <row r="1438" spans="1:1" x14ac:dyDescent="0.25">
      <c r="A1438">
        <v>3955500003</v>
      </c>
    </row>
    <row r="1439" spans="1:1" x14ac:dyDescent="0.25">
      <c r="A1439">
        <v>3955500002</v>
      </c>
    </row>
    <row r="1440" spans="1:1" x14ac:dyDescent="0.25">
      <c r="A1440">
        <v>3955500001</v>
      </c>
    </row>
    <row r="1441" spans="1:1" x14ac:dyDescent="0.25">
      <c r="A1441">
        <v>3955000001</v>
      </c>
    </row>
    <row r="1442" spans="1:1" x14ac:dyDescent="0.25">
      <c r="A1442">
        <v>3955000000</v>
      </c>
    </row>
    <row r="1443" spans="1:1" x14ac:dyDescent="0.25">
      <c r="A1443">
        <v>3954502000</v>
      </c>
    </row>
    <row r="1444" spans="1:1" x14ac:dyDescent="0.25">
      <c r="A1444">
        <v>3954500010</v>
      </c>
    </row>
    <row r="1445" spans="1:1" x14ac:dyDescent="0.25">
      <c r="A1445">
        <v>3954500000</v>
      </c>
    </row>
    <row r="1446" spans="1:1" x14ac:dyDescent="0.25">
      <c r="A1446">
        <v>3953710001</v>
      </c>
    </row>
    <row r="1447" spans="1:1" x14ac:dyDescent="0.25">
      <c r="A1447">
        <v>3953700001</v>
      </c>
    </row>
    <row r="1448" spans="1:1" x14ac:dyDescent="0.25">
      <c r="A1448">
        <v>3953700000</v>
      </c>
    </row>
    <row r="1449" spans="1:1" x14ac:dyDescent="0.25">
      <c r="A1449">
        <v>3930006000</v>
      </c>
    </row>
    <row r="1450" spans="1:1" x14ac:dyDescent="0.25">
      <c r="A1450">
        <v>3910000000</v>
      </c>
    </row>
    <row r="1451" spans="1:1" x14ac:dyDescent="0.25">
      <c r="A1451">
        <v>3953700002</v>
      </c>
    </row>
    <row r="1452" spans="1:1" x14ac:dyDescent="0.25">
      <c r="A1452">
        <v>5961500000</v>
      </c>
    </row>
    <row r="1453" spans="1:1" x14ac:dyDescent="0.25">
      <c r="A1453">
        <v>3954500001</v>
      </c>
    </row>
    <row r="1454" spans="1:1" x14ac:dyDescent="0.25">
      <c r="A1454">
        <v>210200</v>
      </c>
    </row>
    <row r="1455" spans="1:1" x14ac:dyDescent="0.25">
      <c r="A1455">
        <v>210202</v>
      </c>
    </row>
    <row r="1456" spans="1:1" x14ac:dyDescent="0.25">
      <c r="A1456">
        <v>5950000001</v>
      </c>
    </row>
    <row r="1457" spans="1:1" x14ac:dyDescent="0.25">
      <c r="A1457">
        <v>5950000003</v>
      </c>
    </row>
    <row r="1458" spans="1:1" x14ac:dyDescent="0.25">
      <c r="A1458">
        <v>8600000001</v>
      </c>
    </row>
    <row r="1459" spans="1:1" x14ac:dyDescent="0.25">
      <c r="A1459">
        <v>5953000000</v>
      </c>
    </row>
    <row r="1460" spans="1:1" x14ac:dyDescent="0.25">
      <c r="A1460">
        <v>5952000000</v>
      </c>
    </row>
    <row r="1461" spans="1:1" x14ac:dyDescent="0.25">
      <c r="A1461">
        <v>5950200000</v>
      </c>
    </row>
    <row r="1462" spans="1:1" x14ac:dyDescent="0.25">
      <c r="A1462">
        <v>5950000300</v>
      </c>
    </row>
    <row r="1463" spans="1:1" x14ac:dyDescent="0.25">
      <c r="A1463">
        <v>5950000200</v>
      </c>
    </row>
    <row r="1464" spans="1:1" x14ac:dyDescent="0.25">
      <c r="A1464">
        <v>5950000100</v>
      </c>
    </row>
    <row r="1465" spans="1:1" x14ac:dyDescent="0.25">
      <c r="A1465">
        <v>5950000008</v>
      </c>
    </row>
    <row r="1466" spans="1:1" x14ac:dyDescent="0.25">
      <c r="A1466">
        <v>5950000006</v>
      </c>
    </row>
    <row r="1467" spans="1:1" x14ac:dyDescent="0.25">
      <c r="A1467">
        <v>5950000007</v>
      </c>
    </row>
    <row r="1468" spans="1:1" x14ac:dyDescent="0.25">
      <c r="A1468">
        <v>5950000014</v>
      </c>
    </row>
    <row r="1469" spans="1:1" x14ac:dyDescent="0.25">
      <c r="A1469">
        <v>5950000013</v>
      </c>
    </row>
    <row r="1470" spans="1:1" x14ac:dyDescent="0.25">
      <c r="A1470">
        <v>5950000012</v>
      </c>
    </row>
    <row r="1471" spans="1:1" x14ac:dyDescent="0.25">
      <c r="A1471">
        <v>5950000011</v>
      </c>
    </row>
    <row r="1472" spans="1:1" x14ac:dyDescent="0.25">
      <c r="A1472">
        <v>5950000015</v>
      </c>
    </row>
    <row r="1473" spans="1:1" x14ac:dyDescent="0.25">
      <c r="A1473">
        <v>5950000005</v>
      </c>
    </row>
    <row r="1474" spans="1:1" x14ac:dyDescent="0.25">
      <c r="A1474">
        <v>5950000002</v>
      </c>
    </row>
    <row r="1475" spans="1:1" x14ac:dyDescent="0.25">
      <c r="A1475">
        <v>5950000000</v>
      </c>
    </row>
    <row r="1476" spans="1:1" x14ac:dyDescent="0.25">
      <c r="A1476">
        <v>5701400000</v>
      </c>
    </row>
    <row r="1477" spans="1:1" x14ac:dyDescent="0.25">
      <c r="A1477">
        <v>5221000000</v>
      </c>
    </row>
    <row r="1478" spans="1:1" x14ac:dyDescent="0.25">
      <c r="A1478">
        <v>3957300000</v>
      </c>
    </row>
    <row r="1479" spans="1:1" x14ac:dyDescent="0.25">
      <c r="A1479">
        <v>210201</v>
      </c>
    </row>
    <row r="1480" spans="1:1" x14ac:dyDescent="0.25">
      <c r="A1480">
        <v>5925100000</v>
      </c>
    </row>
    <row r="1481" spans="1:1" x14ac:dyDescent="0.25">
      <c r="A1481">
        <v>8411000000</v>
      </c>
    </row>
    <row r="1482" spans="1:1" x14ac:dyDescent="0.25">
      <c r="A1482">
        <v>8410000000</v>
      </c>
    </row>
    <row r="1483" spans="1:1" x14ac:dyDescent="0.25">
      <c r="A1483">
        <v>8401000000</v>
      </c>
    </row>
    <row r="1484" spans="1:1" x14ac:dyDescent="0.25">
      <c r="A1484">
        <v>8400010000</v>
      </c>
    </row>
    <row r="1485" spans="1:1" x14ac:dyDescent="0.25">
      <c r="A1485">
        <v>8400000000</v>
      </c>
    </row>
    <row r="1486" spans="1:1" x14ac:dyDescent="0.25">
      <c r="A1486">
        <v>8111000000</v>
      </c>
    </row>
    <row r="1487" spans="1:1" x14ac:dyDescent="0.25">
      <c r="A1487">
        <v>8110100000</v>
      </c>
    </row>
    <row r="1488" spans="1:1" x14ac:dyDescent="0.25">
      <c r="A1488">
        <v>8110000000</v>
      </c>
    </row>
    <row r="1489" spans="1:1" x14ac:dyDescent="0.25">
      <c r="A1489">
        <v>8101000000</v>
      </c>
    </row>
    <row r="1490" spans="1:1" x14ac:dyDescent="0.25">
      <c r="A1490">
        <v>8100010000</v>
      </c>
    </row>
    <row r="1491" spans="1:1" x14ac:dyDescent="0.25">
      <c r="A1491">
        <v>8100000001</v>
      </c>
    </row>
    <row r="1492" spans="1:1" x14ac:dyDescent="0.25">
      <c r="A1492">
        <v>8100000000</v>
      </c>
    </row>
    <row r="1493" spans="1:1" x14ac:dyDescent="0.25">
      <c r="A1493">
        <v>5943200000</v>
      </c>
    </row>
    <row r="1494" spans="1:1" x14ac:dyDescent="0.25">
      <c r="A1494">
        <v>5943000000</v>
      </c>
    </row>
    <row r="1495" spans="1:1" x14ac:dyDescent="0.25">
      <c r="A1495">
        <v>5942200000</v>
      </c>
    </row>
    <row r="1496" spans="1:1" x14ac:dyDescent="0.25">
      <c r="A1496">
        <v>5942000000</v>
      </c>
    </row>
    <row r="1497" spans="1:1" x14ac:dyDescent="0.25">
      <c r="A1497">
        <v>5940200000</v>
      </c>
    </row>
    <row r="1498" spans="1:1" x14ac:dyDescent="0.25">
      <c r="A1498">
        <v>5940000000</v>
      </c>
    </row>
    <row r="1499" spans="1:1" x14ac:dyDescent="0.25">
      <c r="A1499">
        <v>3943200000</v>
      </c>
    </row>
    <row r="1500" spans="1:1" x14ac:dyDescent="0.25">
      <c r="A1500">
        <v>3942200000</v>
      </c>
    </row>
    <row r="1501" spans="1:1" x14ac:dyDescent="0.25">
      <c r="A1501">
        <v>3942000000</v>
      </c>
    </row>
    <row r="1502" spans="1:1" x14ac:dyDescent="0.25">
      <c r="A1502">
        <v>3940200000</v>
      </c>
    </row>
    <row r="1503" spans="1:1" x14ac:dyDescent="0.25">
      <c r="A1503">
        <v>3940000000</v>
      </c>
    </row>
    <row r="1504" spans="1:1" x14ac:dyDescent="0.25">
      <c r="A1504">
        <v>8400000003</v>
      </c>
    </row>
    <row r="1505" spans="1:1" x14ac:dyDescent="0.25">
      <c r="A1505">
        <v>8100000003</v>
      </c>
    </row>
    <row r="1506" spans="1:1" x14ac:dyDescent="0.25">
      <c r="A1506">
        <v>8402000000</v>
      </c>
    </row>
    <row r="1507" spans="1:1" x14ac:dyDescent="0.25">
      <c r="A1507">
        <v>210100</v>
      </c>
    </row>
    <row r="1508" spans="1:1" x14ac:dyDescent="0.25">
      <c r="A1508">
        <v>7620301110</v>
      </c>
    </row>
    <row r="1509" spans="1:1" x14ac:dyDescent="0.25">
      <c r="A1509">
        <v>7620301108</v>
      </c>
    </row>
    <row r="1510" spans="1:1" x14ac:dyDescent="0.25">
      <c r="A1510">
        <v>7620301107</v>
      </c>
    </row>
    <row r="1511" spans="1:1" x14ac:dyDescent="0.25">
      <c r="A1511">
        <v>7620301106</v>
      </c>
    </row>
    <row r="1512" spans="1:1" x14ac:dyDescent="0.25">
      <c r="A1512">
        <v>7620301105</v>
      </c>
    </row>
    <row r="1513" spans="1:1" x14ac:dyDescent="0.25">
      <c r="A1513">
        <v>7620301104</v>
      </c>
    </row>
    <row r="1514" spans="1:1" x14ac:dyDescent="0.25">
      <c r="A1514">
        <v>7600309010</v>
      </c>
    </row>
    <row r="1515" spans="1:1" x14ac:dyDescent="0.25">
      <c r="A1515">
        <v>7600304258</v>
      </c>
    </row>
    <row r="1516" spans="1:1" x14ac:dyDescent="0.25">
      <c r="A1516">
        <v>7600304250</v>
      </c>
    </row>
    <row r="1517" spans="1:1" x14ac:dyDescent="0.25">
      <c r="A1517">
        <v>7600304227</v>
      </c>
    </row>
    <row r="1518" spans="1:1" x14ac:dyDescent="0.25">
      <c r="A1518">
        <v>7600304226</v>
      </c>
    </row>
    <row r="1519" spans="1:1" x14ac:dyDescent="0.25">
      <c r="A1519">
        <v>7600304224</v>
      </c>
    </row>
    <row r="1520" spans="1:1" x14ac:dyDescent="0.25">
      <c r="A1520">
        <v>7600304223</v>
      </c>
    </row>
    <row r="1521" spans="1:1" x14ac:dyDescent="0.25">
      <c r="A1521">
        <v>7600304220</v>
      </c>
    </row>
    <row r="1522" spans="1:1" x14ac:dyDescent="0.25">
      <c r="A1522">
        <v>7600304218</v>
      </c>
    </row>
    <row r="1523" spans="1:1" x14ac:dyDescent="0.25">
      <c r="A1523">
        <v>7600304190</v>
      </c>
    </row>
    <row r="1524" spans="1:1" x14ac:dyDescent="0.25">
      <c r="A1524">
        <v>7600304184</v>
      </c>
    </row>
    <row r="1525" spans="1:1" x14ac:dyDescent="0.25">
      <c r="A1525">
        <v>7600304183</v>
      </c>
    </row>
    <row r="1526" spans="1:1" x14ac:dyDescent="0.25">
      <c r="A1526">
        <v>7600304172</v>
      </c>
    </row>
    <row r="1527" spans="1:1" x14ac:dyDescent="0.25">
      <c r="A1527">
        <v>7600304165</v>
      </c>
    </row>
    <row r="1528" spans="1:1" x14ac:dyDescent="0.25">
      <c r="A1528">
        <v>7600304161</v>
      </c>
    </row>
    <row r="1529" spans="1:1" x14ac:dyDescent="0.25">
      <c r="A1529">
        <v>7600304154</v>
      </c>
    </row>
    <row r="1530" spans="1:1" x14ac:dyDescent="0.25">
      <c r="A1530">
        <v>7600304146</v>
      </c>
    </row>
    <row r="1531" spans="1:1" x14ac:dyDescent="0.25">
      <c r="A1531">
        <v>7600304145</v>
      </c>
    </row>
    <row r="1532" spans="1:1" x14ac:dyDescent="0.25">
      <c r="A1532">
        <v>7600304141</v>
      </c>
    </row>
    <row r="1533" spans="1:1" x14ac:dyDescent="0.25">
      <c r="A1533">
        <v>7600304128</v>
      </c>
    </row>
    <row r="1534" spans="1:1" x14ac:dyDescent="0.25">
      <c r="A1534">
        <v>7600304127</v>
      </c>
    </row>
    <row r="1535" spans="1:1" x14ac:dyDescent="0.25">
      <c r="A1535">
        <v>7600304123</v>
      </c>
    </row>
    <row r="1536" spans="1:1" x14ac:dyDescent="0.25">
      <c r="A1536">
        <v>7600304105</v>
      </c>
    </row>
    <row r="1537" spans="1:1" x14ac:dyDescent="0.25">
      <c r="A1537">
        <v>7600304101</v>
      </c>
    </row>
    <row r="1538" spans="1:1" x14ac:dyDescent="0.25">
      <c r="A1538">
        <v>7600304100</v>
      </c>
    </row>
    <row r="1539" spans="1:1" x14ac:dyDescent="0.25">
      <c r="A1539">
        <v>7600304096</v>
      </c>
    </row>
    <row r="1540" spans="1:1" x14ac:dyDescent="0.25">
      <c r="A1540">
        <v>7600304091</v>
      </c>
    </row>
    <row r="1541" spans="1:1" x14ac:dyDescent="0.25">
      <c r="A1541">
        <v>7600304079</v>
      </c>
    </row>
    <row r="1542" spans="1:1" x14ac:dyDescent="0.25">
      <c r="A1542">
        <v>7600304076</v>
      </c>
    </row>
    <row r="1543" spans="1:1" x14ac:dyDescent="0.25">
      <c r="A1543">
        <v>7600304075</v>
      </c>
    </row>
    <row r="1544" spans="1:1" x14ac:dyDescent="0.25">
      <c r="A1544">
        <v>7600304042</v>
      </c>
    </row>
    <row r="1545" spans="1:1" x14ac:dyDescent="0.25">
      <c r="A1545">
        <v>7600304026</v>
      </c>
    </row>
    <row r="1546" spans="1:1" x14ac:dyDescent="0.25">
      <c r="A1546">
        <v>7600304018</v>
      </c>
    </row>
    <row r="1547" spans="1:1" x14ac:dyDescent="0.25">
      <c r="A1547">
        <v>7600304017</v>
      </c>
    </row>
    <row r="1548" spans="1:1" x14ac:dyDescent="0.25">
      <c r="A1548">
        <v>7600304011</v>
      </c>
    </row>
    <row r="1549" spans="1:1" x14ac:dyDescent="0.25">
      <c r="A1549">
        <v>7600304009</v>
      </c>
    </row>
    <row r="1550" spans="1:1" x14ac:dyDescent="0.25">
      <c r="A1550">
        <v>7600304007</v>
      </c>
    </row>
    <row r="1551" spans="1:1" x14ac:dyDescent="0.25">
      <c r="A1551">
        <v>7600304006</v>
      </c>
    </row>
    <row r="1552" spans="1:1" x14ac:dyDescent="0.25">
      <c r="A1552">
        <v>7600304001</v>
      </c>
    </row>
    <row r="1553" spans="1:1" x14ac:dyDescent="0.25">
      <c r="A1553">
        <v>7600301085</v>
      </c>
    </row>
    <row r="1554" spans="1:1" x14ac:dyDescent="0.25">
      <c r="A1554">
        <v>7600301063</v>
      </c>
    </row>
    <row r="1555" spans="1:1" x14ac:dyDescent="0.25">
      <c r="A1555">
        <v>7600301054</v>
      </c>
    </row>
    <row r="1556" spans="1:1" x14ac:dyDescent="0.25">
      <c r="A1556">
        <v>7600301050</v>
      </c>
    </row>
    <row r="1557" spans="1:1" x14ac:dyDescent="0.25">
      <c r="A1557">
        <v>7600301039</v>
      </c>
    </row>
    <row r="1558" spans="1:1" x14ac:dyDescent="0.25">
      <c r="A1558">
        <v>7600301036</v>
      </c>
    </row>
    <row r="1559" spans="1:1" x14ac:dyDescent="0.25">
      <c r="A1559">
        <v>7600301025</v>
      </c>
    </row>
    <row r="1560" spans="1:1" x14ac:dyDescent="0.25">
      <c r="A1560">
        <v>7600301020</v>
      </c>
    </row>
    <row r="1561" spans="1:1" x14ac:dyDescent="0.25">
      <c r="A1561">
        <v>7600301014</v>
      </c>
    </row>
    <row r="1562" spans="1:1" x14ac:dyDescent="0.25">
      <c r="A1562">
        <v>7600301003</v>
      </c>
    </row>
    <row r="1563" spans="1:1" x14ac:dyDescent="0.25">
      <c r="A1563">
        <v>7600301002</v>
      </c>
    </row>
    <row r="1564" spans="1:1" x14ac:dyDescent="0.25">
      <c r="A1564">
        <v>7600301001</v>
      </c>
    </row>
    <row r="1565" spans="1:1" x14ac:dyDescent="0.25">
      <c r="A1565">
        <v>7320160001</v>
      </c>
    </row>
    <row r="1566" spans="1:1" x14ac:dyDescent="0.25">
      <c r="A1566">
        <v>7320140004</v>
      </c>
    </row>
    <row r="1567" spans="1:1" x14ac:dyDescent="0.25">
      <c r="A1567">
        <v>7240000010</v>
      </c>
    </row>
    <row r="1568" spans="1:1" x14ac:dyDescent="0.25">
      <c r="A1568">
        <v>7020000008</v>
      </c>
    </row>
    <row r="1569" spans="1:1" x14ac:dyDescent="0.25">
      <c r="A1569">
        <v>5912000000</v>
      </c>
    </row>
    <row r="1570" spans="1:1" x14ac:dyDescent="0.25">
      <c r="A1570">
        <v>5909000008</v>
      </c>
    </row>
    <row r="1571" spans="1:1" x14ac:dyDescent="0.25">
      <c r="A1571">
        <v>5909000006</v>
      </c>
    </row>
    <row r="1572" spans="1:1" x14ac:dyDescent="0.25">
      <c r="A1572">
        <v>5909000005</v>
      </c>
    </row>
    <row r="1573" spans="1:1" x14ac:dyDescent="0.25">
      <c r="A1573">
        <v>5909000004</v>
      </c>
    </row>
    <row r="1574" spans="1:1" x14ac:dyDescent="0.25">
      <c r="A1574">
        <v>5909000003</v>
      </c>
    </row>
    <row r="1575" spans="1:1" x14ac:dyDescent="0.25">
      <c r="A1575">
        <v>5909000002</v>
      </c>
    </row>
    <row r="1576" spans="1:1" x14ac:dyDescent="0.25">
      <c r="A1576">
        <v>5909000001</v>
      </c>
    </row>
    <row r="1577" spans="1:1" x14ac:dyDescent="0.25">
      <c r="A1577">
        <v>5909000000</v>
      </c>
    </row>
    <row r="1578" spans="1:1" x14ac:dyDescent="0.25">
      <c r="A1578">
        <v>5900000000</v>
      </c>
    </row>
    <row r="1579" spans="1:1" x14ac:dyDescent="0.25">
      <c r="A1579">
        <v>5410110000</v>
      </c>
    </row>
    <row r="1580" spans="1:1" x14ac:dyDescent="0.25">
      <c r="A1580">
        <v>5334010000</v>
      </c>
    </row>
    <row r="1581" spans="1:1" x14ac:dyDescent="0.25">
      <c r="A1581">
        <v>7620000029</v>
      </c>
    </row>
    <row r="1582" spans="1:1" x14ac:dyDescent="0.25">
      <c r="A1582">
        <v>200000</v>
      </c>
    </row>
    <row r="1583" spans="1:1" x14ac:dyDescent="0.25">
      <c r="A1583">
        <v>200200</v>
      </c>
    </row>
    <row r="1584" spans="1:1" x14ac:dyDescent="0.25">
      <c r="A1584">
        <v>5820010000</v>
      </c>
    </row>
    <row r="1585" spans="1:1" x14ac:dyDescent="0.25">
      <c r="A1585">
        <v>7600304155</v>
      </c>
    </row>
    <row r="1586" spans="1:1" x14ac:dyDescent="0.25">
      <c r="A1586">
        <v>7600304116</v>
      </c>
    </row>
    <row r="1587" spans="1:1" x14ac:dyDescent="0.25">
      <c r="A1587">
        <v>7600304016</v>
      </c>
    </row>
    <row r="1588" spans="1:1" x14ac:dyDescent="0.25">
      <c r="A1588">
        <v>7020000007</v>
      </c>
    </row>
    <row r="1589" spans="1:1" x14ac:dyDescent="0.25">
      <c r="A1589">
        <v>5812000000</v>
      </c>
    </row>
    <row r="1590" spans="1:1" x14ac:dyDescent="0.25">
      <c r="A1590">
        <v>5810000010</v>
      </c>
    </row>
    <row r="1591" spans="1:1" x14ac:dyDescent="0.25">
      <c r="A1591">
        <v>5810000004</v>
      </c>
    </row>
    <row r="1592" spans="1:1" x14ac:dyDescent="0.25">
      <c r="A1592">
        <v>5810000002</v>
      </c>
    </row>
    <row r="1593" spans="1:1" x14ac:dyDescent="0.25">
      <c r="A1593">
        <v>5810000001</v>
      </c>
    </row>
    <row r="1594" spans="1:1" x14ac:dyDescent="0.25">
      <c r="A1594">
        <v>5810000000</v>
      </c>
    </row>
    <row r="1595" spans="1:1" x14ac:dyDescent="0.25">
      <c r="A1595">
        <v>200100</v>
      </c>
    </row>
    <row r="1596" spans="1:1" x14ac:dyDescent="0.25">
      <c r="A1596">
        <v>7820120006</v>
      </c>
    </row>
    <row r="1597" spans="1:1" x14ac:dyDescent="0.25">
      <c r="A1597">
        <v>5809000000</v>
      </c>
    </row>
    <row r="1598" spans="1:1" x14ac:dyDescent="0.25">
      <c r="A1598">
        <v>5806000000</v>
      </c>
    </row>
    <row r="1599" spans="1:1" x14ac:dyDescent="0.25">
      <c r="A1599">
        <v>5805000000</v>
      </c>
    </row>
    <row r="1600" spans="1:1" x14ac:dyDescent="0.25">
      <c r="A1600">
        <v>5804000000</v>
      </c>
    </row>
    <row r="1601" spans="1:1" x14ac:dyDescent="0.25">
      <c r="A1601">
        <v>5803000001</v>
      </c>
    </row>
    <row r="1602" spans="1:1" x14ac:dyDescent="0.25">
      <c r="A1602">
        <v>5803000000</v>
      </c>
    </row>
    <row r="1603" spans="1:1" x14ac:dyDescent="0.25">
      <c r="A1603">
        <v>5802000001</v>
      </c>
    </row>
    <row r="1604" spans="1:1" x14ac:dyDescent="0.25">
      <c r="A1604">
        <v>5802000000</v>
      </c>
    </row>
    <row r="1605" spans="1:1" x14ac:dyDescent="0.25">
      <c r="A1605">
        <v>5801000000</v>
      </c>
    </row>
    <row r="1606" spans="1:1" x14ac:dyDescent="0.25">
      <c r="A1606">
        <v>190000</v>
      </c>
    </row>
    <row r="1607" spans="1:1" x14ac:dyDescent="0.25">
      <c r="A1607">
        <v>190300</v>
      </c>
    </row>
    <row r="1608" spans="1:1" x14ac:dyDescent="0.25">
      <c r="A1608">
        <v>190200</v>
      </c>
    </row>
    <row r="1609" spans="1:1" x14ac:dyDescent="0.25">
      <c r="A1609">
        <v>190202</v>
      </c>
    </row>
    <row r="1610" spans="1:1" x14ac:dyDescent="0.25">
      <c r="A1610">
        <v>5981210000</v>
      </c>
    </row>
    <row r="1611" spans="1:1" x14ac:dyDescent="0.25">
      <c r="A1611">
        <v>7560000002</v>
      </c>
    </row>
    <row r="1612" spans="1:1" x14ac:dyDescent="0.25">
      <c r="A1612">
        <v>7200000001</v>
      </c>
    </row>
    <row r="1613" spans="1:1" x14ac:dyDescent="0.25">
      <c r="A1613">
        <v>7100000004</v>
      </c>
    </row>
    <row r="1614" spans="1:1" x14ac:dyDescent="0.25">
      <c r="A1614">
        <v>5712410000</v>
      </c>
    </row>
    <row r="1615" spans="1:1" x14ac:dyDescent="0.25">
      <c r="A1615">
        <v>190201</v>
      </c>
    </row>
    <row r="1616" spans="1:1" x14ac:dyDescent="0.25">
      <c r="A1616">
        <v>5710000000</v>
      </c>
    </row>
    <row r="1617" spans="1:1" x14ac:dyDescent="0.25">
      <c r="A1617">
        <v>190100</v>
      </c>
    </row>
    <row r="1618" spans="1:1" x14ac:dyDescent="0.25">
      <c r="A1618">
        <v>190105</v>
      </c>
    </row>
    <row r="1619" spans="1:1" x14ac:dyDescent="0.25">
      <c r="A1619">
        <v>190135</v>
      </c>
    </row>
    <row r="1620" spans="1:1" x14ac:dyDescent="0.25">
      <c r="A1620">
        <v>5701600001</v>
      </c>
    </row>
    <row r="1621" spans="1:1" x14ac:dyDescent="0.25">
      <c r="A1621">
        <v>5701600000</v>
      </c>
    </row>
    <row r="1622" spans="1:1" x14ac:dyDescent="0.25">
      <c r="A1622">
        <v>5701500000</v>
      </c>
    </row>
    <row r="1623" spans="1:1" x14ac:dyDescent="0.25">
      <c r="A1623">
        <v>190125</v>
      </c>
    </row>
    <row r="1624" spans="1:1" x14ac:dyDescent="0.25">
      <c r="A1624">
        <v>5914000000</v>
      </c>
    </row>
    <row r="1625" spans="1:1" x14ac:dyDescent="0.25">
      <c r="A1625">
        <v>5913000000</v>
      </c>
    </row>
    <row r="1626" spans="1:1" x14ac:dyDescent="0.25">
      <c r="A1626">
        <v>5700800000</v>
      </c>
    </row>
    <row r="1627" spans="1:1" x14ac:dyDescent="0.25">
      <c r="A1627">
        <v>190115</v>
      </c>
    </row>
    <row r="1628" spans="1:1" x14ac:dyDescent="0.25">
      <c r="A1628">
        <v>5901900000</v>
      </c>
    </row>
    <row r="1629" spans="1:1" x14ac:dyDescent="0.25">
      <c r="A1629">
        <v>5901400000</v>
      </c>
    </row>
    <row r="1630" spans="1:1" x14ac:dyDescent="0.25">
      <c r="A1630">
        <v>5901200000</v>
      </c>
    </row>
    <row r="1631" spans="1:1" x14ac:dyDescent="0.25">
      <c r="A1631">
        <v>5901000000</v>
      </c>
    </row>
    <row r="1632" spans="1:1" x14ac:dyDescent="0.25">
      <c r="A1632">
        <v>5483000000</v>
      </c>
    </row>
    <row r="1633" spans="1:1" x14ac:dyDescent="0.25">
      <c r="A1633">
        <v>5201010000</v>
      </c>
    </row>
    <row r="1634" spans="1:1" x14ac:dyDescent="0.25">
      <c r="A1634">
        <v>3957000000</v>
      </c>
    </row>
    <row r="1635" spans="1:1" x14ac:dyDescent="0.25">
      <c r="A1635">
        <v>5901900001</v>
      </c>
    </row>
    <row r="1636" spans="1:1" x14ac:dyDescent="0.25">
      <c r="A1636">
        <v>190104</v>
      </c>
    </row>
    <row r="1637" spans="1:1" x14ac:dyDescent="0.25">
      <c r="A1637">
        <v>5712000000</v>
      </c>
    </row>
    <row r="1638" spans="1:1" x14ac:dyDescent="0.25">
      <c r="A1638">
        <v>7340000020</v>
      </c>
    </row>
    <row r="1639" spans="1:1" x14ac:dyDescent="0.25">
      <c r="A1639">
        <v>5709000000</v>
      </c>
    </row>
    <row r="1640" spans="1:1" x14ac:dyDescent="0.25">
      <c r="A1640">
        <v>5702200000</v>
      </c>
    </row>
    <row r="1641" spans="1:1" x14ac:dyDescent="0.25">
      <c r="A1641">
        <v>5702000000</v>
      </c>
    </row>
    <row r="1642" spans="1:1" x14ac:dyDescent="0.25">
      <c r="A1642">
        <v>5700600000</v>
      </c>
    </row>
    <row r="1643" spans="1:1" x14ac:dyDescent="0.25">
      <c r="A1643">
        <v>190103</v>
      </c>
    </row>
    <row r="1644" spans="1:1" x14ac:dyDescent="0.25">
      <c r="A1644">
        <v>5700040000</v>
      </c>
    </row>
    <row r="1645" spans="1:1" x14ac:dyDescent="0.25">
      <c r="A1645">
        <v>5711000000</v>
      </c>
    </row>
    <row r="1646" spans="1:1" x14ac:dyDescent="0.25">
      <c r="A1646">
        <v>5701800000</v>
      </c>
    </row>
    <row r="1647" spans="1:1" x14ac:dyDescent="0.25">
      <c r="A1647">
        <v>5700300000</v>
      </c>
    </row>
    <row r="1648" spans="1:1" x14ac:dyDescent="0.25">
      <c r="A1648">
        <v>5700200000</v>
      </c>
    </row>
    <row r="1649" spans="1:1" x14ac:dyDescent="0.25">
      <c r="A1649">
        <v>5700050000</v>
      </c>
    </row>
    <row r="1650" spans="1:1" x14ac:dyDescent="0.25">
      <c r="A1650">
        <v>5700030000</v>
      </c>
    </row>
    <row r="1651" spans="1:1" x14ac:dyDescent="0.25">
      <c r="A1651">
        <v>5700020000</v>
      </c>
    </row>
    <row r="1652" spans="1:1" x14ac:dyDescent="0.25">
      <c r="A1652">
        <v>5700010000</v>
      </c>
    </row>
    <row r="1653" spans="1:1" x14ac:dyDescent="0.25">
      <c r="A1653">
        <v>5700000000</v>
      </c>
    </row>
    <row r="1654" spans="1:1" x14ac:dyDescent="0.25">
      <c r="A1654">
        <v>5530000000</v>
      </c>
    </row>
    <row r="1655" spans="1:1" x14ac:dyDescent="0.25">
      <c r="A1655">
        <v>5440000000</v>
      </c>
    </row>
    <row r="1656" spans="1:1" x14ac:dyDescent="0.25">
      <c r="A1656">
        <v>190102</v>
      </c>
    </row>
    <row r="1657" spans="1:1" x14ac:dyDescent="0.25">
      <c r="A1657">
        <v>5701000001</v>
      </c>
    </row>
    <row r="1658" spans="1:1" x14ac:dyDescent="0.25">
      <c r="A1658">
        <v>5701000000</v>
      </c>
    </row>
    <row r="1659" spans="1:1" x14ac:dyDescent="0.25">
      <c r="A1659">
        <v>190101</v>
      </c>
    </row>
    <row r="1660" spans="1:1" x14ac:dyDescent="0.25">
      <c r="A1660">
        <v>5700430000</v>
      </c>
    </row>
    <row r="1661" spans="1:1" x14ac:dyDescent="0.25">
      <c r="A1661">
        <v>5700420000</v>
      </c>
    </row>
    <row r="1662" spans="1:1" x14ac:dyDescent="0.25">
      <c r="A1662">
        <v>5700410000</v>
      </c>
    </row>
    <row r="1663" spans="1:1" x14ac:dyDescent="0.25">
      <c r="A1663">
        <v>5700400000</v>
      </c>
    </row>
    <row r="1664" spans="1:1" x14ac:dyDescent="0.25">
      <c r="A1664">
        <v>180000</v>
      </c>
    </row>
    <row r="1665" spans="1:1" x14ac:dyDescent="0.25">
      <c r="A1665">
        <v>180400</v>
      </c>
    </row>
    <row r="1666" spans="1:1" x14ac:dyDescent="0.25">
      <c r="A1666">
        <v>180403</v>
      </c>
    </row>
    <row r="1667" spans="1:1" x14ac:dyDescent="0.25">
      <c r="A1667">
        <v>7140000007</v>
      </c>
    </row>
    <row r="1668" spans="1:1" x14ac:dyDescent="0.25">
      <c r="A1668">
        <v>7140000006</v>
      </c>
    </row>
    <row r="1669" spans="1:1" x14ac:dyDescent="0.25">
      <c r="A1669">
        <v>7140000005</v>
      </c>
    </row>
    <row r="1670" spans="1:1" x14ac:dyDescent="0.25">
      <c r="A1670">
        <v>180402</v>
      </c>
    </row>
    <row r="1671" spans="1:1" x14ac:dyDescent="0.25">
      <c r="A1671">
        <v>7140000003</v>
      </c>
    </row>
    <row r="1672" spans="1:1" x14ac:dyDescent="0.25">
      <c r="A1672">
        <v>7140000002</v>
      </c>
    </row>
    <row r="1673" spans="1:1" x14ac:dyDescent="0.25">
      <c r="A1673">
        <v>180401</v>
      </c>
    </row>
    <row r="1674" spans="1:1" x14ac:dyDescent="0.25">
      <c r="A1674">
        <v>7100000024</v>
      </c>
    </row>
    <row r="1675" spans="1:1" x14ac:dyDescent="0.25">
      <c r="A1675">
        <v>7100000021</v>
      </c>
    </row>
    <row r="1676" spans="1:1" x14ac:dyDescent="0.25">
      <c r="A1676">
        <v>7100000018</v>
      </c>
    </row>
    <row r="1677" spans="1:1" x14ac:dyDescent="0.25">
      <c r="A1677">
        <v>7100000016</v>
      </c>
    </row>
    <row r="1678" spans="1:1" x14ac:dyDescent="0.25">
      <c r="A1678">
        <v>7100000023</v>
      </c>
    </row>
    <row r="1679" spans="1:1" x14ac:dyDescent="0.25">
      <c r="A1679">
        <v>7600301068</v>
      </c>
    </row>
    <row r="1680" spans="1:1" x14ac:dyDescent="0.25">
      <c r="A1680">
        <v>7100000005</v>
      </c>
    </row>
    <row r="1681" spans="1:1" x14ac:dyDescent="0.25">
      <c r="A1681">
        <v>180300</v>
      </c>
    </row>
    <row r="1682" spans="1:1" x14ac:dyDescent="0.25">
      <c r="A1682">
        <v>7140000008</v>
      </c>
    </row>
    <row r="1683" spans="1:1" x14ac:dyDescent="0.25">
      <c r="A1683">
        <v>7140000001</v>
      </c>
    </row>
    <row r="1684" spans="1:1" x14ac:dyDescent="0.25">
      <c r="A1684">
        <v>7120000002</v>
      </c>
    </row>
    <row r="1685" spans="1:1" x14ac:dyDescent="0.25">
      <c r="A1685">
        <v>5983310000</v>
      </c>
    </row>
    <row r="1686" spans="1:1" x14ac:dyDescent="0.25">
      <c r="A1686">
        <v>5651910000</v>
      </c>
    </row>
    <row r="1687" spans="1:1" x14ac:dyDescent="0.25">
      <c r="A1687">
        <v>5622210000</v>
      </c>
    </row>
    <row r="1688" spans="1:1" x14ac:dyDescent="0.25">
      <c r="A1688">
        <v>180200</v>
      </c>
    </row>
    <row r="1689" spans="1:1" x14ac:dyDescent="0.25">
      <c r="A1689">
        <v>180203</v>
      </c>
    </row>
    <row r="1690" spans="1:1" x14ac:dyDescent="0.25">
      <c r="A1690">
        <v>7120000003</v>
      </c>
    </row>
    <row r="1691" spans="1:1" x14ac:dyDescent="0.25">
      <c r="A1691">
        <v>7100000003</v>
      </c>
    </row>
    <row r="1692" spans="1:1" x14ac:dyDescent="0.25">
      <c r="A1692">
        <v>7100000002</v>
      </c>
    </row>
    <row r="1693" spans="1:1" x14ac:dyDescent="0.25">
      <c r="A1693">
        <v>180202</v>
      </c>
    </row>
    <row r="1694" spans="1:1" x14ac:dyDescent="0.25">
      <c r="A1694">
        <v>7600304230</v>
      </c>
    </row>
    <row r="1695" spans="1:1" x14ac:dyDescent="0.25">
      <c r="A1695">
        <v>7600304210</v>
      </c>
    </row>
    <row r="1696" spans="1:1" x14ac:dyDescent="0.25">
      <c r="A1696">
        <v>7600301082</v>
      </c>
    </row>
    <row r="1697" spans="1:1" x14ac:dyDescent="0.25">
      <c r="A1697">
        <v>7140000004</v>
      </c>
    </row>
    <row r="1698" spans="1:1" x14ac:dyDescent="0.25">
      <c r="A1698">
        <v>7120000006</v>
      </c>
    </row>
    <row r="1699" spans="1:1" x14ac:dyDescent="0.25">
      <c r="A1699">
        <v>7120000005</v>
      </c>
    </row>
    <row r="1700" spans="1:1" x14ac:dyDescent="0.25">
      <c r="A1700">
        <v>7100000022</v>
      </c>
    </row>
    <row r="1701" spans="1:1" x14ac:dyDescent="0.25">
      <c r="A1701">
        <v>7100000019</v>
      </c>
    </row>
    <row r="1702" spans="1:1" x14ac:dyDescent="0.25">
      <c r="A1702">
        <v>7100000015</v>
      </c>
    </row>
    <row r="1703" spans="1:1" x14ac:dyDescent="0.25">
      <c r="A1703">
        <v>7100000011</v>
      </c>
    </row>
    <row r="1704" spans="1:1" x14ac:dyDescent="0.25">
      <c r="A1704">
        <v>7100000010</v>
      </c>
    </row>
    <row r="1705" spans="1:1" x14ac:dyDescent="0.25">
      <c r="A1705">
        <v>7100000007</v>
      </c>
    </row>
    <row r="1706" spans="1:1" x14ac:dyDescent="0.25">
      <c r="A1706">
        <v>180201</v>
      </c>
    </row>
    <row r="1707" spans="1:1" x14ac:dyDescent="0.25">
      <c r="A1707">
        <v>7120000001</v>
      </c>
    </row>
    <row r="1708" spans="1:1" x14ac:dyDescent="0.25">
      <c r="A1708">
        <v>7100000017</v>
      </c>
    </row>
    <row r="1709" spans="1:1" x14ac:dyDescent="0.25">
      <c r="A1709">
        <v>7100000008</v>
      </c>
    </row>
    <row r="1710" spans="1:1" x14ac:dyDescent="0.25">
      <c r="A1710">
        <v>7100000006</v>
      </c>
    </row>
    <row r="1711" spans="1:1" x14ac:dyDescent="0.25">
      <c r="A1711">
        <v>7100000001</v>
      </c>
    </row>
    <row r="1712" spans="1:1" x14ac:dyDescent="0.25">
      <c r="A1712">
        <v>180100</v>
      </c>
    </row>
    <row r="1713" spans="1:1" x14ac:dyDescent="0.25">
      <c r="A1713">
        <v>180105</v>
      </c>
    </row>
    <row r="1714" spans="1:1" x14ac:dyDescent="0.25">
      <c r="A1714">
        <v>5640000000</v>
      </c>
    </row>
    <row r="1715" spans="1:1" x14ac:dyDescent="0.25">
      <c r="A1715">
        <v>5631000000</v>
      </c>
    </row>
    <row r="1716" spans="1:1" x14ac:dyDescent="0.25">
      <c r="A1716">
        <v>180104</v>
      </c>
    </row>
    <row r="1717" spans="1:1" x14ac:dyDescent="0.25">
      <c r="A1717">
        <v>5643000000</v>
      </c>
    </row>
    <row r="1718" spans="1:1" x14ac:dyDescent="0.25">
      <c r="A1718">
        <v>5642000000</v>
      </c>
    </row>
    <row r="1719" spans="1:1" x14ac:dyDescent="0.25">
      <c r="A1719">
        <v>5641000000</v>
      </c>
    </row>
    <row r="1720" spans="1:1" x14ac:dyDescent="0.25">
      <c r="A1720">
        <v>180103</v>
      </c>
    </row>
    <row r="1721" spans="1:1" x14ac:dyDescent="0.25">
      <c r="A1721">
        <v>5632000000</v>
      </c>
    </row>
    <row r="1722" spans="1:1" x14ac:dyDescent="0.25">
      <c r="A1722">
        <v>5630000000</v>
      </c>
    </row>
    <row r="1723" spans="1:1" x14ac:dyDescent="0.25">
      <c r="A1723">
        <v>180102</v>
      </c>
    </row>
    <row r="1724" spans="1:1" x14ac:dyDescent="0.25">
      <c r="A1724">
        <v>5620000000</v>
      </c>
    </row>
    <row r="1725" spans="1:1" x14ac:dyDescent="0.25">
      <c r="A1725">
        <v>180101</v>
      </c>
    </row>
    <row r="1726" spans="1:1" x14ac:dyDescent="0.25">
      <c r="A1726">
        <v>5610000000</v>
      </c>
    </row>
    <row r="1727" spans="1:1" x14ac:dyDescent="0.25">
      <c r="A1727">
        <v>5600000001</v>
      </c>
    </row>
    <row r="1728" spans="1:1" x14ac:dyDescent="0.25">
      <c r="A1728">
        <v>5600000000</v>
      </c>
    </row>
    <row r="1729" spans="1:1" x14ac:dyDescent="0.25">
      <c r="A1729">
        <v>170000</v>
      </c>
    </row>
    <row r="1730" spans="1:1" x14ac:dyDescent="0.25">
      <c r="A1730">
        <v>170500</v>
      </c>
    </row>
    <row r="1731" spans="1:1" x14ac:dyDescent="0.25">
      <c r="A1731">
        <v>170502</v>
      </c>
    </row>
    <row r="1732" spans="1:1" x14ac:dyDescent="0.25">
      <c r="A1732">
        <v>7400000001</v>
      </c>
    </row>
    <row r="1733" spans="1:1" x14ac:dyDescent="0.25">
      <c r="A1733">
        <v>5771360000</v>
      </c>
    </row>
    <row r="1734" spans="1:1" x14ac:dyDescent="0.25">
      <c r="A1734">
        <v>5771290000</v>
      </c>
    </row>
    <row r="1735" spans="1:1" x14ac:dyDescent="0.25">
      <c r="A1735">
        <v>5771210000</v>
      </c>
    </row>
    <row r="1736" spans="1:1" x14ac:dyDescent="0.25">
      <c r="A1736">
        <v>5771220000</v>
      </c>
    </row>
    <row r="1737" spans="1:1" x14ac:dyDescent="0.25">
      <c r="A1737">
        <v>5772400000</v>
      </c>
    </row>
    <row r="1738" spans="1:1" x14ac:dyDescent="0.25">
      <c r="A1738">
        <v>5772050000</v>
      </c>
    </row>
    <row r="1739" spans="1:1" x14ac:dyDescent="0.25">
      <c r="A1739">
        <v>5772070000</v>
      </c>
    </row>
    <row r="1740" spans="1:1" x14ac:dyDescent="0.25">
      <c r="A1740">
        <v>5772060000</v>
      </c>
    </row>
    <row r="1741" spans="1:1" x14ac:dyDescent="0.25">
      <c r="A1741">
        <v>5772040000</v>
      </c>
    </row>
    <row r="1742" spans="1:1" x14ac:dyDescent="0.25">
      <c r="A1742">
        <v>5772030000</v>
      </c>
    </row>
    <row r="1743" spans="1:1" x14ac:dyDescent="0.25">
      <c r="A1743">
        <v>5772020000</v>
      </c>
    </row>
    <row r="1744" spans="1:1" x14ac:dyDescent="0.25">
      <c r="A1744">
        <v>5771280000</v>
      </c>
    </row>
    <row r="1745" spans="1:1" x14ac:dyDescent="0.25">
      <c r="A1745">
        <v>7440000002</v>
      </c>
    </row>
    <row r="1746" spans="1:1" x14ac:dyDescent="0.25">
      <c r="A1746">
        <v>7420000004</v>
      </c>
    </row>
    <row r="1747" spans="1:1" x14ac:dyDescent="0.25">
      <c r="A1747">
        <v>7200000005</v>
      </c>
    </row>
    <row r="1748" spans="1:1" x14ac:dyDescent="0.25">
      <c r="A1748">
        <v>5981610000</v>
      </c>
    </row>
    <row r="1749" spans="1:1" x14ac:dyDescent="0.25">
      <c r="A1749">
        <v>5516910000</v>
      </c>
    </row>
    <row r="1750" spans="1:1" x14ac:dyDescent="0.25">
      <c r="A1750">
        <v>5516710000</v>
      </c>
    </row>
    <row r="1751" spans="1:1" x14ac:dyDescent="0.25">
      <c r="A1751">
        <v>5516610000</v>
      </c>
    </row>
    <row r="1752" spans="1:1" x14ac:dyDescent="0.25">
      <c r="A1752">
        <v>5516510000</v>
      </c>
    </row>
    <row r="1753" spans="1:1" x14ac:dyDescent="0.25">
      <c r="A1753">
        <v>5516410000</v>
      </c>
    </row>
    <row r="1754" spans="1:1" x14ac:dyDescent="0.25">
      <c r="A1754">
        <v>5516310000</v>
      </c>
    </row>
    <row r="1755" spans="1:1" x14ac:dyDescent="0.25">
      <c r="A1755">
        <v>5516210000</v>
      </c>
    </row>
    <row r="1756" spans="1:1" x14ac:dyDescent="0.25">
      <c r="A1756">
        <v>5516110000</v>
      </c>
    </row>
    <row r="1757" spans="1:1" x14ac:dyDescent="0.25">
      <c r="A1757">
        <v>5516010000</v>
      </c>
    </row>
    <row r="1758" spans="1:1" x14ac:dyDescent="0.25">
      <c r="A1758">
        <v>5515710000</v>
      </c>
    </row>
    <row r="1759" spans="1:1" x14ac:dyDescent="0.25">
      <c r="A1759">
        <v>5515610000</v>
      </c>
    </row>
    <row r="1760" spans="1:1" x14ac:dyDescent="0.25">
      <c r="A1760">
        <v>5515510000</v>
      </c>
    </row>
    <row r="1761" spans="1:1" x14ac:dyDescent="0.25">
      <c r="A1761">
        <v>5515410000</v>
      </c>
    </row>
    <row r="1762" spans="1:1" x14ac:dyDescent="0.25">
      <c r="A1762">
        <v>5515310000</v>
      </c>
    </row>
    <row r="1763" spans="1:1" x14ac:dyDescent="0.25">
      <c r="A1763">
        <v>5515210000</v>
      </c>
    </row>
    <row r="1764" spans="1:1" x14ac:dyDescent="0.25">
      <c r="A1764">
        <v>5515110000</v>
      </c>
    </row>
    <row r="1765" spans="1:1" x14ac:dyDescent="0.25">
      <c r="A1765">
        <v>5515010000</v>
      </c>
    </row>
    <row r="1766" spans="1:1" x14ac:dyDescent="0.25">
      <c r="A1766">
        <v>5514410000</v>
      </c>
    </row>
    <row r="1767" spans="1:1" x14ac:dyDescent="0.25">
      <c r="A1767">
        <v>5514310000</v>
      </c>
    </row>
    <row r="1768" spans="1:1" x14ac:dyDescent="0.25">
      <c r="A1768">
        <v>5514210000</v>
      </c>
    </row>
    <row r="1769" spans="1:1" x14ac:dyDescent="0.25">
      <c r="A1769">
        <v>5514110000</v>
      </c>
    </row>
    <row r="1770" spans="1:1" x14ac:dyDescent="0.25">
      <c r="A1770">
        <v>5514010000</v>
      </c>
    </row>
    <row r="1771" spans="1:1" x14ac:dyDescent="0.25">
      <c r="A1771">
        <v>5513710000</v>
      </c>
    </row>
    <row r="1772" spans="1:1" x14ac:dyDescent="0.25">
      <c r="A1772">
        <v>5513610000</v>
      </c>
    </row>
    <row r="1773" spans="1:1" x14ac:dyDescent="0.25">
      <c r="A1773">
        <v>5513510000</v>
      </c>
    </row>
    <row r="1774" spans="1:1" x14ac:dyDescent="0.25">
      <c r="A1774">
        <v>5513410000</v>
      </c>
    </row>
    <row r="1775" spans="1:1" x14ac:dyDescent="0.25">
      <c r="A1775">
        <v>5513310000</v>
      </c>
    </row>
    <row r="1776" spans="1:1" x14ac:dyDescent="0.25">
      <c r="A1776">
        <v>5513210000</v>
      </c>
    </row>
    <row r="1777" spans="1:1" x14ac:dyDescent="0.25">
      <c r="A1777">
        <v>5513110000</v>
      </c>
    </row>
    <row r="1778" spans="1:1" x14ac:dyDescent="0.25">
      <c r="A1778">
        <v>5513010000</v>
      </c>
    </row>
    <row r="1779" spans="1:1" x14ac:dyDescent="0.25">
      <c r="A1779">
        <v>5512416000</v>
      </c>
    </row>
    <row r="1780" spans="1:1" x14ac:dyDescent="0.25">
      <c r="A1780">
        <v>5230020000</v>
      </c>
    </row>
    <row r="1781" spans="1:1" x14ac:dyDescent="0.25">
      <c r="A1781">
        <v>7600320011</v>
      </c>
    </row>
    <row r="1782" spans="1:1" x14ac:dyDescent="0.25">
      <c r="A1782">
        <v>7600320006</v>
      </c>
    </row>
    <row r="1783" spans="1:1" x14ac:dyDescent="0.25">
      <c r="A1783">
        <v>170501</v>
      </c>
    </row>
    <row r="1784" spans="1:1" x14ac:dyDescent="0.25">
      <c r="A1784">
        <v>7440000004</v>
      </c>
    </row>
    <row r="1785" spans="1:1" x14ac:dyDescent="0.25">
      <c r="A1785">
        <v>7440000001</v>
      </c>
    </row>
    <row r="1786" spans="1:1" x14ac:dyDescent="0.25">
      <c r="A1786">
        <v>5981510000</v>
      </c>
    </row>
    <row r="1787" spans="1:1" x14ac:dyDescent="0.25">
      <c r="A1787">
        <v>5512410000</v>
      </c>
    </row>
    <row r="1788" spans="1:1" x14ac:dyDescent="0.25">
      <c r="A1788">
        <v>5512210000</v>
      </c>
    </row>
    <row r="1789" spans="1:1" x14ac:dyDescent="0.25">
      <c r="A1789">
        <v>7420000002</v>
      </c>
    </row>
    <row r="1790" spans="1:1" x14ac:dyDescent="0.25">
      <c r="A1790">
        <v>7420000003</v>
      </c>
    </row>
    <row r="1791" spans="1:1" x14ac:dyDescent="0.25">
      <c r="A1791">
        <v>170400</v>
      </c>
    </row>
    <row r="1792" spans="1:1" x14ac:dyDescent="0.25">
      <c r="A1792">
        <v>3925000000</v>
      </c>
    </row>
    <row r="1793" spans="1:1" x14ac:dyDescent="0.25">
      <c r="A1793">
        <v>3924000000</v>
      </c>
    </row>
    <row r="1794" spans="1:1" x14ac:dyDescent="0.25">
      <c r="A1794">
        <v>3927000000</v>
      </c>
    </row>
    <row r="1795" spans="1:1" x14ac:dyDescent="0.25">
      <c r="A1795">
        <v>170300</v>
      </c>
    </row>
    <row r="1796" spans="1:1" x14ac:dyDescent="0.25">
      <c r="A1796">
        <v>5540000000</v>
      </c>
    </row>
    <row r="1797" spans="1:1" x14ac:dyDescent="0.25">
      <c r="A1797">
        <v>170200</v>
      </c>
    </row>
    <row r="1798" spans="1:1" x14ac:dyDescent="0.25">
      <c r="A1798">
        <v>7940000001</v>
      </c>
    </row>
    <row r="1799" spans="1:1" x14ac:dyDescent="0.25">
      <c r="A1799">
        <v>7920000013</v>
      </c>
    </row>
    <row r="1800" spans="1:1" x14ac:dyDescent="0.25">
      <c r="A1800">
        <v>7920000012</v>
      </c>
    </row>
    <row r="1801" spans="1:1" x14ac:dyDescent="0.25">
      <c r="A1801">
        <v>7920000011</v>
      </c>
    </row>
    <row r="1802" spans="1:1" x14ac:dyDescent="0.25">
      <c r="A1802">
        <v>7920000010</v>
      </c>
    </row>
    <row r="1803" spans="1:1" x14ac:dyDescent="0.25">
      <c r="A1803">
        <v>7920000008</v>
      </c>
    </row>
    <row r="1804" spans="1:1" x14ac:dyDescent="0.25">
      <c r="A1804">
        <v>7920000007</v>
      </c>
    </row>
    <row r="1805" spans="1:1" x14ac:dyDescent="0.25">
      <c r="A1805">
        <v>7620330122</v>
      </c>
    </row>
    <row r="1806" spans="1:1" x14ac:dyDescent="0.25">
      <c r="A1806">
        <v>7620330101</v>
      </c>
    </row>
    <row r="1807" spans="1:1" x14ac:dyDescent="0.25">
      <c r="A1807">
        <v>7620300109</v>
      </c>
    </row>
    <row r="1808" spans="1:1" x14ac:dyDescent="0.25">
      <c r="A1808">
        <v>7620000027</v>
      </c>
    </row>
    <row r="1809" spans="1:1" x14ac:dyDescent="0.25">
      <c r="A1809">
        <v>7620000022</v>
      </c>
    </row>
    <row r="1810" spans="1:1" x14ac:dyDescent="0.25">
      <c r="A1810">
        <v>7600320007</v>
      </c>
    </row>
    <row r="1811" spans="1:1" x14ac:dyDescent="0.25">
      <c r="A1811">
        <v>7600320003</v>
      </c>
    </row>
    <row r="1812" spans="1:1" x14ac:dyDescent="0.25">
      <c r="A1812">
        <v>7600320002</v>
      </c>
    </row>
    <row r="1813" spans="1:1" x14ac:dyDescent="0.25">
      <c r="A1813">
        <v>7600304237</v>
      </c>
    </row>
    <row r="1814" spans="1:1" x14ac:dyDescent="0.25">
      <c r="A1814">
        <v>7600300019</v>
      </c>
    </row>
    <row r="1815" spans="1:1" x14ac:dyDescent="0.25">
      <c r="A1815">
        <v>7600300009</v>
      </c>
    </row>
    <row r="1816" spans="1:1" x14ac:dyDescent="0.25">
      <c r="A1816">
        <v>7440000003</v>
      </c>
    </row>
    <row r="1817" spans="1:1" x14ac:dyDescent="0.25">
      <c r="A1817">
        <v>7420000005</v>
      </c>
    </row>
    <row r="1818" spans="1:1" x14ac:dyDescent="0.25">
      <c r="A1818">
        <v>7420000001</v>
      </c>
    </row>
    <row r="1819" spans="1:1" x14ac:dyDescent="0.25">
      <c r="A1819">
        <v>7400000005</v>
      </c>
    </row>
    <row r="1820" spans="1:1" x14ac:dyDescent="0.25">
      <c r="A1820">
        <v>7400000004</v>
      </c>
    </row>
    <row r="1821" spans="1:1" x14ac:dyDescent="0.25">
      <c r="A1821">
        <v>7400000003</v>
      </c>
    </row>
    <row r="1822" spans="1:1" x14ac:dyDescent="0.25">
      <c r="A1822">
        <v>7400000002</v>
      </c>
    </row>
    <row r="1823" spans="1:1" x14ac:dyDescent="0.25">
      <c r="A1823">
        <v>7340000008</v>
      </c>
    </row>
    <row r="1824" spans="1:1" x14ac:dyDescent="0.25">
      <c r="A1824">
        <v>7340000007</v>
      </c>
    </row>
    <row r="1825" spans="1:1" x14ac:dyDescent="0.25">
      <c r="A1825">
        <v>7340000006</v>
      </c>
    </row>
    <row r="1826" spans="1:1" x14ac:dyDescent="0.25">
      <c r="A1826">
        <v>7100000014</v>
      </c>
    </row>
    <row r="1827" spans="1:1" x14ac:dyDescent="0.25">
      <c r="A1827">
        <v>170100</v>
      </c>
    </row>
    <row r="1828" spans="1:1" x14ac:dyDescent="0.25">
      <c r="A1828">
        <v>170103</v>
      </c>
    </row>
    <row r="1829" spans="1:1" x14ac:dyDescent="0.25">
      <c r="A1829">
        <v>5559000000</v>
      </c>
    </row>
    <row r="1830" spans="1:1" x14ac:dyDescent="0.25">
      <c r="A1830">
        <v>5512800000</v>
      </c>
    </row>
    <row r="1831" spans="1:1" x14ac:dyDescent="0.25">
      <c r="A1831">
        <v>5512600000</v>
      </c>
    </row>
    <row r="1832" spans="1:1" x14ac:dyDescent="0.25">
      <c r="A1832">
        <v>5510200000</v>
      </c>
    </row>
    <row r="1833" spans="1:1" x14ac:dyDescent="0.25">
      <c r="A1833">
        <v>170102</v>
      </c>
    </row>
    <row r="1834" spans="1:1" x14ac:dyDescent="0.25">
      <c r="A1834">
        <v>5511200000</v>
      </c>
    </row>
    <row r="1835" spans="1:1" x14ac:dyDescent="0.25">
      <c r="A1835">
        <v>5511000000</v>
      </c>
    </row>
    <row r="1836" spans="1:1" x14ac:dyDescent="0.25">
      <c r="A1836">
        <v>170101</v>
      </c>
    </row>
    <row r="1837" spans="1:1" x14ac:dyDescent="0.25">
      <c r="A1837">
        <v>5510600000</v>
      </c>
    </row>
    <row r="1838" spans="1:1" x14ac:dyDescent="0.25">
      <c r="A1838">
        <v>5500000000</v>
      </c>
    </row>
    <row r="1839" spans="1:1" x14ac:dyDescent="0.25">
      <c r="A1839">
        <v>160000</v>
      </c>
    </row>
    <row r="1840" spans="1:1" x14ac:dyDescent="0.25">
      <c r="A1840">
        <v>160300</v>
      </c>
    </row>
    <row r="1841" spans="1:1" x14ac:dyDescent="0.25">
      <c r="A1841">
        <v>7540000001</v>
      </c>
    </row>
    <row r="1842" spans="1:1" x14ac:dyDescent="0.25">
      <c r="A1842">
        <v>7520000004</v>
      </c>
    </row>
    <row r="1843" spans="1:1" x14ac:dyDescent="0.25">
      <c r="A1843">
        <v>7520000003</v>
      </c>
    </row>
    <row r="1844" spans="1:1" x14ac:dyDescent="0.25">
      <c r="A1844">
        <v>7520000002</v>
      </c>
    </row>
    <row r="1845" spans="1:1" x14ac:dyDescent="0.25">
      <c r="A1845">
        <v>7520000001</v>
      </c>
    </row>
    <row r="1846" spans="1:1" x14ac:dyDescent="0.25">
      <c r="A1846">
        <v>5980410000</v>
      </c>
    </row>
    <row r="1847" spans="1:1" x14ac:dyDescent="0.25">
      <c r="A1847">
        <v>5980210000</v>
      </c>
    </row>
    <row r="1848" spans="1:1" x14ac:dyDescent="0.25">
      <c r="A1848">
        <v>5980110000</v>
      </c>
    </row>
    <row r="1849" spans="1:1" x14ac:dyDescent="0.25">
      <c r="A1849">
        <v>5494810000</v>
      </c>
    </row>
    <row r="1850" spans="1:1" x14ac:dyDescent="0.25">
      <c r="A1850">
        <v>5494710000</v>
      </c>
    </row>
    <row r="1851" spans="1:1" x14ac:dyDescent="0.25">
      <c r="A1851">
        <v>5494610000</v>
      </c>
    </row>
    <row r="1852" spans="1:1" x14ac:dyDescent="0.25">
      <c r="A1852">
        <v>5494116000</v>
      </c>
    </row>
    <row r="1853" spans="1:1" x14ac:dyDescent="0.25">
      <c r="A1853">
        <v>5491810000</v>
      </c>
    </row>
    <row r="1854" spans="1:1" x14ac:dyDescent="0.25">
      <c r="A1854">
        <v>160200</v>
      </c>
    </row>
    <row r="1855" spans="1:1" x14ac:dyDescent="0.25">
      <c r="A1855">
        <v>5414000000</v>
      </c>
    </row>
    <row r="1856" spans="1:1" x14ac:dyDescent="0.25">
      <c r="A1856">
        <v>7240000014</v>
      </c>
    </row>
    <row r="1857" spans="1:1" x14ac:dyDescent="0.25">
      <c r="A1857">
        <v>5424000000</v>
      </c>
    </row>
    <row r="1858" spans="1:1" x14ac:dyDescent="0.25">
      <c r="A1858">
        <v>5423500000</v>
      </c>
    </row>
    <row r="1859" spans="1:1" x14ac:dyDescent="0.25">
      <c r="A1859">
        <v>5423000000</v>
      </c>
    </row>
    <row r="1860" spans="1:1" x14ac:dyDescent="0.25">
      <c r="A1860">
        <v>7820104000</v>
      </c>
    </row>
    <row r="1861" spans="1:1" x14ac:dyDescent="0.25">
      <c r="A1861">
        <v>5429000000</v>
      </c>
    </row>
    <row r="1862" spans="1:1" x14ac:dyDescent="0.25">
      <c r="A1862">
        <v>5425000000</v>
      </c>
    </row>
    <row r="1863" spans="1:1" x14ac:dyDescent="0.25">
      <c r="A1863">
        <v>5422500000</v>
      </c>
    </row>
    <row r="1864" spans="1:1" x14ac:dyDescent="0.25">
      <c r="A1864">
        <v>5422000000</v>
      </c>
    </row>
    <row r="1865" spans="1:1" x14ac:dyDescent="0.25">
      <c r="A1865">
        <v>5421000000</v>
      </c>
    </row>
    <row r="1866" spans="1:1" x14ac:dyDescent="0.25">
      <c r="A1866">
        <v>160100</v>
      </c>
    </row>
    <row r="1867" spans="1:1" x14ac:dyDescent="0.25">
      <c r="A1867">
        <v>160106</v>
      </c>
    </row>
    <row r="1868" spans="1:1" x14ac:dyDescent="0.25">
      <c r="A1868">
        <v>5479000000</v>
      </c>
    </row>
    <row r="1869" spans="1:1" x14ac:dyDescent="0.25">
      <c r="A1869">
        <v>5472000000</v>
      </c>
    </row>
    <row r="1870" spans="1:1" x14ac:dyDescent="0.25">
      <c r="A1870">
        <v>5471000000</v>
      </c>
    </row>
    <row r="1871" spans="1:1" x14ac:dyDescent="0.25">
      <c r="A1871">
        <v>5470000000</v>
      </c>
    </row>
    <row r="1872" spans="1:1" x14ac:dyDescent="0.25">
      <c r="A1872">
        <v>160105</v>
      </c>
    </row>
    <row r="1873" spans="1:1" x14ac:dyDescent="0.25">
      <c r="A1873">
        <v>5460000000</v>
      </c>
    </row>
    <row r="1874" spans="1:1" x14ac:dyDescent="0.25">
      <c r="A1874">
        <v>160104</v>
      </c>
    </row>
    <row r="1875" spans="1:1" x14ac:dyDescent="0.25">
      <c r="A1875">
        <v>5961300000</v>
      </c>
    </row>
    <row r="1876" spans="1:1" x14ac:dyDescent="0.25">
      <c r="A1876">
        <v>5459000000</v>
      </c>
    </row>
    <row r="1877" spans="1:1" x14ac:dyDescent="0.25">
      <c r="A1877">
        <v>5453000000</v>
      </c>
    </row>
    <row r="1878" spans="1:1" x14ac:dyDescent="0.25">
      <c r="A1878">
        <v>5452010000</v>
      </c>
    </row>
    <row r="1879" spans="1:1" x14ac:dyDescent="0.25">
      <c r="A1879">
        <v>5450000000</v>
      </c>
    </row>
    <row r="1880" spans="1:1" x14ac:dyDescent="0.25">
      <c r="A1880">
        <v>160103</v>
      </c>
    </row>
    <row r="1881" spans="1:1" x14ac:dyDescent="0.25">
      <c r="A1881">
        <v>7440000005</v>
      </c>
    </row>
    <row r="1882" spans="1:1" x14ac:dyDescent="0.25">
      <c r="A1882">
        <v>7440000006</v>
      </c>
    </row>
    <row r="1883" spans="1:1" x14ac:dyDescent="0.25">
      <c r="A1883">
        <v>5511900000</v>
      </c>
    </row>
    <row r="1884" spans="1:1" x14ac:dyDescent="0.25">
      <c r="A1884">
        <v>5511800000</v>
      </c>
    </row>
    <row r="1885" spans="1:1" x14ac:dyDescent="0.25">
      <c r="A1885">
        <v>5443000000</v>
      </c>
    </row>
    <row r="1886" spans="1:1" x14ac:dyDescent="0.25">
      <c r="A1886">
        <v>5442000000</v>
      </c>
    </row>
    <row r="1887" spans="1:1" x14ac:dyDescent="0.25">
      <c r="A1887">
        <v>160102</v>
      </c>
    </row>
    <row r="1888" spans="1:1" x14ac:dyDescent="0.25">
      <c r="A1888">
        <v>5432000000</v>
      </c>
    </row>
    <row r="1889" spans="1:1" x14ac:dyDescent="0.25">
      <c r="A1889">
        <v>5431000000</v>
      </c>
    </row>
    <row r="1890" spans="1:1" x14ac:dyDescent="0.25">
      <c r="A1890">
        <v>160101</v>
      </c>
    </row>
    <row r="1891" spans="1:1" x14ac:dyDescent="0.25">
      <c r="A1891">
        <v>5909000007</v>
      </c>
    </row>
    <row r="1892" spans="1:1" x14ac:dyDescent="0.25">
      <c r="A1892">
        <v>7540000010</v>
      </c>
    </row>
    <row r="1893" spans="1:1" x14ac:dyDescent="0.25">
      <c r="A1893">
        <v>5962000000</v>
      </c>
    </row>
    <row r="1894" spans="1:1" x14ac:dyDescent="0.25">
      <c r="A1894">
        <v>5419000001</v>
      </c>
    </row>
    <row r="1895" spans="1:1" x14ac:dyDescent="0.25">
      <c r="A1895">
        <v>5419000000</v>
      </c>
    </row>
    <row r="1896" spans="1:1" x14ac:dyDescent="0.25">
      <c r="A1896">
        <v>5414020000</v>
      </c>
    </row>
    <row r="1897" spans="1:1" x14ac:dyDescent="0.25">
      <c r="A1897">
        <v>5413020000</v>
      </c>
    </row>
    <row r="1898" spans="1:1" x14ac:dyDescent="0.25">
      <c r="A1898">
        <v>5413000000</v>
      </c>
    </row>
    <row r="1899" spans="1:1" x14ac:dyDescent="0.25">
      <c r="A1899">
        <v>5412010000</v>
      </c>
    </row>
    <row r="1900" spans="1:1" x14ac:dyDescent="0.25">
      <c r="A1900">
        <v>5412000000</v>
      </c>
    </row>
    <row r="1901" spans="1:1" x14ac:dyDescent="0.25">
      <c r="A1901">
        <v>5411010000</v>
      </c>
    </row>
    <row r="1902" spans="1:1" x14ac:dyDescent="0.25">
      <c r="A1902">
        <v>5411000000</v>
      </c>
    </row>
    <row r="1903" spans="1:1" x14ac:dyDescent="0.25">
      <c r="A1903">
        <v>5410090000</v>
      </c>
    </row>
    <row r="1904" spans="1:1" x14ac:dyDescent="0.25">
      <c r="A1904">
        <v>5410070000</v>
      </c>
    </row>
    <row r="1905" spans="1:1" x14ac:dyDescent="0.25">
      <c r="A1905">
        <v>5410050000</v>
      </c>
    </row>
    <row r="1906" spans="1:1" x14ac:dyDescent="0.25">
      <c r="A1906">
        <v>5410040000</v>
      </c>
    </row>
    <row r="1907" spans="1:1" x14ac:dyDescent="0.25">
      <c r="A1907">
        <v>5410010000</v>
      </c>
    </row>
    <row r="1908" spans="1:1" x14ac:dyDescent="0.25">
      <c r="A1908">
        <v>5410000000</v>
      </c>
    </row>
    <row r="1909" spans="1:1" x14ac:dyDescent="0.25">
      <c r="A1909">
        <v>5409000000</v>
      </c>
    </row>
    <row r="1910" spans="1:1" x14ac:dyDescent="0.25">
      <c r="A1910">
        <v>5402000000</v>
      </c>
    </row>
    <row r="1911" spans="1:1" x14ac:dyDescent="0.25">
      <c r="A1911">
        <v>5401000002</v>
      </c>
    </row>
    <row r="1912" spans="1:1" x14ac:dyDescent="0.25">
      <c r="A1912">
        <v>5401000001</v>
      </c>
    </row>
    <row r="1913" spans="1:1" x14ac:dyDescent="0.25">
      <c r="A1913">
        <v>5401000000</v>
      </c>
    </row>
    <row r="1914" spans="1:1" x14ac:dyDescent="0.25">
      <c r="A1914">
        <v>5400000000</v>
      </c>
    </row>
    <row r="1915" spans="1:1" x14ac:dyDescent="0.25">
      <c r="A1915">
        <v>5401000003</v>
      </c>
    </row>
    <row r="1916" spans="1:1" x14ac:dyDescent="0.25">
      <c r="A1916">
        <v>5401000004</v>
      </c>
    </row>
    <row r="1917" spans="1:1" x14ac:dyDescent="0.25">
      <c r="A1917">
        <v>5414010000</v>
      </c>
    </row>
    <row r="1918" spans="1:1" x14ac:dyDescent="0.25">
      <c r="A1918">
        <v>150000</v>
      </c>
    </row>
    <row r="1919" spans="1:1" x14ac:dyDescent="0.25">
      <c r="A1919">
        <v>150400</v>
      </c>
    </row>
    <row r="1920" spans="1:1" x14ac:dyDescent="0.25">
      <c r="A1920">
        <v>5720010000</v>
      </c>
    </row>
    <row r="1921" spans="1:1" x14ac:dyDescent="0.25">
      <c r="A1921">
        <v>5720000100</v>
      </c>
    </row>
    <row r="1922" spans="1:1" x14ac:dyDescent="0.25">
      <c r="A1922">
        <v>5720000000</v>
      </c>
    </row>
    <row r="1923" spans="1:1" x14ac:dyDescent="0.25">
      <c r="A1923">
        <v>4419000000</v>
      </c>
    </row>
    <row r="1924" spans="1:1" x14ac:dyDescent="0.25">
      <c r="A1924">
        <v>4401000000</v>
      </c>
    </row>
    <row r="1925" spans="1:1" x14ac:dyDescent="0.25">
      <c r="A1925">
        <v>4401006000</v>
      </c>
    </row>
    <row r="1926" spans="1:1" x14ac:dyDescent="0.25">
      <c r="A1926">
        <v>7340000014</v>
      </c>
    </row>
    <row r="1927" spans="1:1" x14ac:dyDescent="0.25">
      <c r="A1927">
        <v>150300</v>
      </c>
    </row>
    <row r="1928" spans="1:1" x14ac:dyDescent="0.25">
      <c r="A1928">
        <v>150302</v>
      </c>
    </row>
    <row r="1929" spans="1:1" x14ac:dyDescent="0.25">
      <c r="A1929">
        <v>4300011000</v>
      </c>
    </row>
    <row r="1930" spans="1:1" x14ac:dyDescent="0.25">
      <c r="A1930">
        <v>4300010000</v>
      </c>
    </row>
    <row r="1931" spans="1:1" x14ac:dyDescent="0.25">
      <c r="A1931">
        <v>9009300913</v>
      </c>
    </row>
    <row r="1932" spans="1:1" x14ac:dyDescent="0.25">
      <c r="A1932">
        <v>9009300903</v>
      </c>
    </row>
    <row r="1933" spans="1:1" x14ac:dyDescent="0.25">
      <c r="A1933">
        <v>4300016000</v>
      </c>
    </row>
    <row r="1934" spans="1:1" x14ac:dyDescent="0.25">
      <c r="A1934">
        <v>4240010000</v>
      </c>
    </row>
    <row r="1935" spans="1:1" x14ac:dyDescent="0.25">
      <c r="A1935">
        <v>150301</v>
      </c>
    </row>
    <row r="1936" spans="1:1" x14ac:dyDescent="0.25">
      <c r="A1936">
        <v>9009300914</v>
      </c>
    </row>
    <row r="1937" spans="1:1" x14ac:dyDescent="0.25">
      <c r="A1937">
        <v>9009300904</v>
      </c>
    </row>
    <row r="1938" spans="1:1" x14ac:dyDescent="0.25">
      <c r="A1938">
        <v>4301006000</v>
      </c>
    </row>
    <row r="1939" spans="1:1" x14ac:dyDescent="0.25">
      <c r="A1939">
        <v>4301000000</v>
      </c>
    </row>
    <row r="1940" spans="1:1" x14ac:dyDescent="0.25">
      <c r="A1940">
        <v>4300006000</v>
      </c>
    </row>
    <row r="1941" spans="1:1" x14ac:dyDescent="0.25">
      <c r="A1941">
        <v>4300001000</v>
      </c>
    </row>
    <row r="1942" spans="1:1" x14ac:dyDescent="0.25">
      <c r="A1942">
        <v>4300000000</v>
      </c>
    </row>
    <row r="1943" spans="1:1" x14ac:dyDescent="0.25">
      <c r="A1943">
        <v>4240000000</v>
      </c>
    </row>
    <row r="1944" spans="1:1" x14ac:dyDescent="0.25">
      <c r="A1944">
        <v>150200</v>
      </c>
    </row>
    <row r="1945" spans="1:1" x14ac:dyDescent="0.25">
      <c r="A1945">
        <v>150203</v>
      </c>
    </row>
    <row r="1946" spans="1:1" x14ac:dyDescent="0.25">
      <c r="A1946">
        <v>4234400000</v>
      </c>
    </row>
    <row r="1947" spans="1:1" x14ac:dyDescent="0.25">
      <c r="A1947">
        <v>4233200000</v>
      </c>
    </row>
    <row r="1948" spans="1:1" x14ac:dyDescent="0.25">
      <c r="A1948">
        <v>9009300910</v>
      </c>
    </row>
    <row r="1949" spans="1:1" x14ac:dyDescent="0.25">
      <c r="A1949">
        <v>9009300900</v>
      </c>
    </row>
    <row r="1950" spans="1:1" x14ac:dyDescent="0.25">
      <c r="A1950">
        <v>4242300000</v>
      </c>
    </row>
    <row r="1951" spans="1:1" x14ac:dyDescent="0.25">
      <c r="A1951">
        <v>4239500000</v>
      </c>
    </row>
    <row r="1952" spans="1:1" x14ac:dyDescent="0.25">
      <c r="A1952">
        <v>4239000000</v>
      </c>
    </row>
    <row r="1953" spans="1:1" x14ac:dyDescent="0.25">
      <c r="A1953">
        <v>4234200000</v>
      </c>
    </row>
    <row r="1954" spans="1:1" x14ac:dyDescent="0.25">
      <c r="A1954">
        <v>4234000000</v>
      </c>
    </row>
    <row r="1955" spans="1:1" x14ac:dyDescent="0.25">
      <c r="A1955">
        <v>4233006000</v>
      </c>
    </row>
    <row r="1956" spans="1:1" x14ac:dyDescent="0.25">
      <c r="A1956">
        <v>4233000000</v>
      </c>
    </row>
    <row r="1957" spans="1:1" x14ac:dyDescent="0.25">
      <c r="A1957">
        <v>4232000000</v>
      </c>
    </row>
    <row r="1958" spans="1:1" x14ac:dyDescent="0.25">
      <c r="A1958">
        <v>4231000000</v>
      </c>
    </row>
    <row r="1959" spans="1:1" x14ac:dyDescent="0.25">
      <c r="A1959">
        <v>4230006000</v>
      </c>
    </row>
    <row r="1960" spans="1:1" x14ac:dyDescent="0.25">
      <c r="A1960">
        <v>4230000000</v>
      </c>
    </row>
    <row r="1961" spans="1:1" x14ac:dyDescent="0.25">
      <c r="A1961">
        <v>4229000000</v>
      </c>
    </row>
    <row r="1962" spans="1:1" x14ac:dyDescent="0.25">
      <c r="A1962">
        <v>4228000000</v>
      </c>
    </row>
    <row r="1963" spans="1:1" x14ac:dyDescent="0.25">
      <c r="A1963">
        <v>4227000000</v>
      </c>
    </row>
    <row r="1964" spans="1:1" x14ac:dyDescent="0.25">
      <c r="A1964">
        <v>4226000000</v>
      </c>
    </row>
    <row r="1965" spans="1:1" x14ac:dyDescent="0.25">
      <c r="A1965">
        <v>4225000000</v>
      </c>
    </row>
    <row r="1966" spans="1:1" x14ac:dyDescent="0.25">
      <c r="A1966">
        <v>150202</v>
      </c>
    </row>
    <row r="1967" spans="1:1" x14ac:dyDescent="0.25">
      <c r="A1967">
        <v>3301000001</v>
      </c>
    </row>
    <row r="1968" spans="1:1" x14ac:dyDescent="0.25">
      <c r="A1968">
        <v>4250100000</v>
      </c>
    </row>
    <row r="1969" spans="1:1" x14ac:dyDescent="0.25">
      <c r="A1969">
        <v>4250006000</v>
      </c>
    </row>
    <row r="1970" spans="1:1" x14ac:dyDescent="0.25">
      <c r="A1970">
        <v>4250000000</v>
      </c>
    </row>
    <row r="1971" spans="1:1" x14ac:dyDescent="0.25">
      <c r="A1971">
        <v>150201</v>
      </c>
    </row>
    <row r="1972" spans="1:1" x14ac:dyDescent="0.25">
      <c r="A1972">
        <v>4200000000</v>
      </c>
    </row>
    <row r="1973" spans="1:1" x14ac:dyDescent="0.25">
      <c r="A1973">
        <v>150100</v>
      </c>
    </row>
    <row r="1974" spans="1:1" x14ac:dyDescent="0.25">
      <c r="A1974">
        <v>150106</v>
      </c>
    </row>
    <row r="1975" spans="1:1" x14ac:dyDescent="0.25">
      <c r="A1975">
        <v>5399010000</v>
      </c>
    </row>
    <row r="1976" spans="1:1" x14ac:dyDescent="0.25">
      <c r="A1976">
        <v>7340000015</v>
      </c>
    </row>
    <row r="1977" spans="1:1" x14ac:dyDescent="0.25">
      <c r="A1977">
        <v>7600304231</v>
      </c>
    </row>
    <row r="1978" spans="1:1" x14ac:dyDescent="0.25">
      <c r="A1978">
        <v>7340000012</v>
      </c>
    </row>
    <row r="1979" spans="1:1" x14ac:dyDescent="0.25">
      <c r="A1979">
        <v>7320110005</v>
      </c>
    </row>
    <row r="1980" spans="1:1" x14ac:dyDescent="0.25">
      <c r="A1980">
        <v>5919000000</v>
      </c>
    </row>
    <row r="1981" spans="1:1" x14ac:dyDescent="0.25">
      <c r="A1981">
        <v>5399000001</v>
      </c>
    </row>
    <row r="1982" spans="1:1" x14ac:dyDescent="0.25">
      <c r="A1982">
        <v>5399000000</v>
      </c>
    </row>
    <row r="1983" spans="1:1" x14ac:dyDescent="0.25">
      <c r="A1983">
        <v>5391600000</v>
      </c>
    </row>
    <row r="1984" spans="1:1" x14ac:dyDescent="0.25">
      <c r="A1984">
        <v>5391200000</v>
      </c>
    </row>
    <row r="1985" spans="1:1" x14ac:dyDescent="0.25">
      <c r="A1985">
        <v>5202202200</v>
      </c>
    </row>
    <row r="1986" spans="1:1" x14ac:dyDescent="0.25">
      <c r="A1986">
        <v>150105</v>
      </c>
    </row>
    <row r="1987" spans="1:1" x14ac:dyDescent="0.25">
      <c r="A1987">
        <v>5355000000</v>
      </c>
    </row>
    <row r="1988" spans="1:1" x14ac:dyDescent="0.25">
      <c r="A1988">
        <v>5359000000</v>
      </c>
    </row>
    <row r="1989" spans="1:1" x14ac:dyDescent="0.25">
      <c r="A1989">
        <v>5354010000</v>
      </c>
    </row>
    <row r="1990" spans="1:1" x14ac:dyDescent="0.25">
      <c r="A1990">
        <v>5354000000</v>
      </c>
    </row>
    <row r="1991" spans="1:1" x14ac:dyDescent="0.25">
      <c r="A1991">
        <v>5353010000</v>
      </c>
    </row>
    <row r="1992" spans="1:1" x14ac:dyDescent="0.25">
      <c r="A1992">
        <v>5353000000</v>
      </c>
    </row>
    <row r="1993" spans="1:1" x14ac:dyDescent="0.25">
      <c r="A1993">
        <v>5352010000</v>
      </c>
    </row>
    <row r="1994" spans="1:1" x14ac:dyDescent="0.25">
      <c r="A1994">
        <v>5352000000</v>
      </c>
    </row>
    <row r="1995" spans="1:1" x14ac:dyDescent="0.25">
      <c r="A1995">
        <v>5351010000</v>
      </c>
    </row>
    <row r="1996" spans="1:1" x14ac:dyDescent="0.25">
      <c r="A1996">
        <v>5351000000</v>
      </c>
    </row>
    <row r="1997" spans="1:1" x14ac:dyDescent="0.25">
      <c r="A1997">
        <v>5350010000</v>
      </c>
    </row>
    <row r="1998" spans="1:1" x14ac:dyDescent="0.25">
      <c r="A1998">
        <v>5350000000</v>
      </c>
    </row>
    <row r="1999" spans="1:1" x14ac:dyDescent="0.25">
      <c r="A1999">
        <v>5341000000</v>
      </c>
    </row>
    <row r="2000" spans="1:1" x14ac:dyDescent="0.25">
      <c r="A2000">
        <v>5331000000</v>
      </c>
    </row>
    <row r="2001" spans="1:1" x14ac:dyDescent="0.25">
      <c r="A2001">
        <v>5321000000</v>
      </c>
    </row>
    <row r="2002" spans="1:1" x14ac:dyDescent="0.25">
      <c r="A2002">
        <v>5301000000</v>
      </c>
    </row>
    <row r="2003" spans="1:1" x14ac:dyDescent="0.25">
      <c r="A2003">
        <v>150104</v>
      </c>
    </row>
    <row r="2004" spans="1:1" x14ac:dyDescent="0.25">
      <c r="A2004">
        <v>5342010000</v>
      </c>
    </row>
    <row r="2005" spans="1:1" x14ac:dyDescent="0.25">
      <c r="A2005">
        <v>5342000000</v>
      </c>
    </row>
    <row r="2006" spans="1:1" x14ac:dyDescent="0.25">
      <c r="A2006">
        <v>150103</v>
      </c>
    </row>
    <row r="2007" spans="1:1" x14ac:dyDescent="0.25">
      <c r="A2007">
        <v>5322010000</v>
      </c>
    </row>
    <row r="2008" spans="1:1" x14ac:dyDescent="0.25">
      <c r="A2008">
        <v>5322000000</v>
      </c>
    </row>
    <row r="2009" spans="1:1" x14ac:dyDescent="0.25">
      <c r="A2009">
        <v>5320010000</v>
      </c>
    </row>
    <row r="2010" spans="1:1" x14ac:dyDescent="0.25">
      <c r="A2010">
        <v>5320000000</v>
      </c>
    </row>
    <row r="2011" spans="1:1" x14ac:dyDescent="0.25">
      <c r="A2011">
        <v>5312010000</v>
      </c>
    </row>
    <row r="2012" spans="1:1" x14ac:dyDescent="0.25">
      <c r="A2012">
        <v>5312000000</v>
      </c>
    </row>
    <row r="2013" spans="1:1" x14ac:dyDescent="0.25">
      <c r="A2013">
        <v>5310010000</v>
      </c>
    </row>
    <row r="2014" spans="1:1" x14ac:dyDescent="0.25">
      <c r="A2014">
        <v>5310000000</v>
      </c>
    </row>
    <row r="2015" spans="1:1" x14ac:dyDescent="0.25">
      <c r="A2015">
        <v>150102</v>
      </c>
    </row>
    <row r="2016" spans="1:1" x14ac:dyDescent="0.25">
      <c r="A2016">
        <v>5339000000</v>
      </c>
    </row>
    <row r="2017" spans="1:1" x14ac:dyDescent="0.25">
      <c r="A2017">
        <v>5330010000</v>
      </c>
    </row>
    <row r="2018" spans="1:1" x14ac:dyDescent="0.25">
      <c r="A2018">
        <v>5330000000</v>
      </c>
    </row>
    <row r="2019" spans="1:1" x14ac:dyDescent="0.25">
      <c r="A2019">
        <v>150101</v>
      </c>
    </row>
    <row r="2020" spans="1:1" x14ac:dyDescent="0.25">
      <c r="A2020">
        <v>5309000000</v>
      </c>
    </row>
    <row r="2021" spans="1:1" x14ac:dyDescent="0.25">
      <c r="A2021">
        <v>5300010000</v>
      </c>
    </row>
    <row r="2022" spans="1:1" x14ac:dyDescent="0.25">
      <c r="A2022">
        <v>5300000000</v>
      </c>
    </row>
    <row r="2023" spans="1:1" x14ac:dyDescent="0.25">
      <c r="A2023">
        <v>5202202400</v>
      </c>
    </row>
    <row r="2024" spans="1:1" x14ac:dyDescent="0.25">
      <c r="A2024">
        <v>5202202300</v>
      </c>
    </row>
    <row r="2025" spans="1:1" x14ac:dyDescent="0.25">
      <c r="A2025">
        <v>5202202100</v>
      </c>
    </row>
    <row r="2026" spans="1:1" x14ac:dyDescent="0.25">
      <c r="A2026">
        <v>140000</v>
      </c>
    </row>
    <row r="2027" spans="1:1" x14ac:dyDescent="0.25">
      <c r="A2027">
        <v>140400</v>
      </c>
    </row>
    <row r="2028" spans="1:1" x14ac:dyDescent="0.25">
      <c r="A2028">
        <v>7340000021</v>
      </c>
    </row>
    <row r="2029" spans="1:1" x14ac:dyDescent="0.25">
      <c r="A2029">
        <v>7220000017</v>
      </c>
    </row>
    <row r="2030" spans="1:1" x14ac:dyDescent="0.25">
      <c r="A2030">
        <v>5484910000</v>
      </c>
    </row>
    <row r="2031" spans="1:1" x14ac:dyDescent="0.25">
      <c r="A2031">
        <v>5484710000</v>
      </c>
    </row>
    <row r="2032" spans="1:1" x14ac:dyDescent="0.25">
      <c r="A2032">
        <v>140300</v>
      </c>
    </row>
    <row r="2033" spans="1:1" x14ac:dyDescent="0.25">
      <c r="A2033">
        <v>7600304233</v>
      </c>
    </row>
    <row r="2034" spans="1:1" x14ac:dyDescent="0.25">
      <c r="A2034">
        <v>5486000000</v>
      </c>
    </row>
    <row r="2035" spans="1:1" x14ac:dyDescent="0.25">
      <c r="A2035">
        <v>5485000000</v>
      </c>
    </row>
    <row r="2036" spans="1:1" x14ac:dyDescent="0.25">
      <c r="A2036">
        <v>140200</v>
      </c>
    </row>
    <row r="2037" spans="1:1" x14ac:dyDescent="0.25">
      <c r="A2037">
        <v>140202</v>
      </c>
    </row>
    <row r="2038" spans="1:1" x14ac:dyDescent="0.25">
      <c r="A2038">
        <v>5489100000</v>
      </c>
    </row>
    <row r="2039" spans="1:1" x14ac:dyDescent="0.25">
      <c r="A2039">
        <v>5488100000</v>
      </c>
    </row>
    <row r="2040" spans="1:1" x14ac:dyDescent="0.25">
      <c r="A2040">
        <v>5487100000</v>
      </c>
    </row>
    <row r="2041" spans="1:1" x14ac:dyDescent="0.25">
      <c r="A2041">
        <v>140201</v>
      </c>
    </row>
    <row r="2042" spans="1:1" x14ac:dyDescent="0.25">
      <c r="A2042">
        <v>5489000000</v>
      </c>
    </row>
    <row r="2043" spans="1:1" x14ac:dyDescent="0.25">
      <c r="A2043">
        <v>5488200000</v>
      </c>
    </row>
    <row r="2044" spans="1:1" x14ac:dyDescent="0.25">
      <c r="A2044">
        <v>5488000300</v>
      </c>
    </row>
    <row r="2045" spans="1:1" x14ac:dyDescent="0.25">
      <c r="A2045">
        <v>5488000200</v>
      </c>
    </row>
    <row r="2046" spans="1:1" x14ac:dyDescent="0.25">
      <c r="A2046">
        <v>5488000100</v>
      </c>
    </row>
    <row r="2047" spans="1:1" x14ac:dyDescent="0.25">
      <c r="A2047">
        <v>5488000000</v>
      </c>
    </row>
    <row r="2048" spans="1:1" x14ac:dyDescent="0.25">
      <c r="A2048">
        <v>5487000000</v>
      </c>
    </row>
    <row r="2049" spans="1:1" x14ac:dyDescent="0.25">
      <c r="A2049">
        <v>5486000001</v>
      </c>
    </row>
    <row r="2050" spans="1:1" x14ac:dyDescent="0.25">
      <c r="A2050">
        <v>140100</v>
      </c>
    </row>
    <row r="2051" spans="1:1" x14ac:dyDescent="0.25">
      <c r="A2051">
        <v>140102</v>
      </c>
    </row>
    <row r="2052" spans="1:1" x14ac:dyDescent="0.25">
      <c r="A2052">
        <v>4020000000</v>
      </c>
    </row>
    <row r="2053" spans="1:1" x14ac:dyDescent="0.25">
      <c r="A2053">
        <v>140101</v>
      </c>
    </row>
    <row r="2054" spans="1:1" x14ac:dyDescent="0.25">
      <c r="A2054">
        <v>5484000000</v>
      </c>
    </row>
    <row r="2055" spans="1:1" x14ac:dyDescent="0.25">
      <c r="A2055">
        <v>4021000000</v>
      </c>
    </row>
    <row r="2056" spans="1:1" x14ac:dyDescent="0.25">
      <c r="A2056">
        <v>120000</v>
      </c>
    </row>
    <row r="2057" spans="1:1" x14ac:dyDescent="0.25">
      <c r="A2057">
        <v>120500</v>
      </c>
    </row>
    <row r="2058" spans="1:1" x14ac:dyDescent="0.25">
      <c r="A2058">
        <v>7600304150</v>
      </c>
    </row>
    <row r="2059" spans="1:1" x14ac:dyDescent="0.25">
      <c r="A2059">
        <v>7340000019</v>
      </c>
    </row>
    <row r="2060" spans="1:1" x14ac:dyDescent="0.25">
      <c r="A2060">
        <v>5222710000</v>
      </c>
    </row>
    <row r="2061" spans="1:1" x14ac:dyDescent="0.25">
      <c r="A2061">
        <v>5222410000</v>
      </c>
    </row>
    <row r="2062" spans="1:1" x14ac:dyDescent="0.25">
      <c r="A2062">
        <v>5222510000</v>
      </c>
    </row>
    <row r="2063" spans="1:1" x14ac:dyDescent="0.25">
      <c r="A2063">
        <v>5223310000</v>
      </c>
    </row>
    <row r="2064" spans="1:1" x14ac:dyDescent="0.25">
      <c r="A2064">
        <v>5752210000</v>
      </c>
    </row>
    <row r="2065" spans="1:1" x14ac:dyDescent="0.25">
      <c r="A2065">
        <v>5752410000</v>
      </c>
    </row>
    <row r="2066" spans="1:1" x14ac:dyDescent="0.25">
      <c r="A2066">
        <v>7620000014</v>
      </c>
    </row>
    <row r="2067" spans="1:1" x14ac:dyDescent="0.25">
      <c r="A2067">
        <v>7600304149</v>
      </c>
    </row>
    <row r="2068" spans="1:1" x14ac:dyDescent="0.25">
      <c r="A2068">
        <v>7600304126</v>
      </c>
    </row>
    <row r="2069" spans="1:1" x14ac:dyDescent="0.25">
      <c r="A2069">
        <v>7600304124</v>
      </c>
    </row>
    <row r="2070" spans="1:1" x14ac:dyDescent="0.25">
      <c r="A2070">
        <v>7600304084</v>
      </c>
    </row>
    <row r="2071" spans="1:1" x14ac:dyDescent="0.25">
      <c r="A2071">
        <v>7600304083</v>
      </c>
    </row>
    <row r="2072" spans="1:1" x14ac:dyDescent="0.25">
      <c r="A2072">
        <v>7600304082</v>
      </c>
    </row>
    <row r="2073" spans="1:1" x14ac:dyDescent="0.25">
      <c r="A2073">
        <v>7600304074</v>
      </c>
    </row>
    <row r="2074" spans="1:1" x14ac:dyDescent="0.25">
      <c r="A2074">
        <v>7600304029</v>
      </c>
    </row>
    <row r="2075" spans="1:1" x14ac:dyDescent="0.25">
      <c r="A2075">
        <v>7600304028</v>
      </c>
    </row>
    <row r="2076" spans="1:1" x14ac:dyDescent="0.25">
      <c r="A2076">
        <v>7320150007</v>
      </c>
    </row>
    <row r="2077" spans="1:1" x14ac:dyDescent="0.25">
      <c r="A2077">
        <v>7320150006</v>
      </c>
    </row>
    <row r="2078" spans="1:1" x14ac:dyDescent="0.25">
      <c r="A2078">
        <v>7320150005</v>
      </c>
    </row>
    <row r="2079" spans="1:1" x14ac:dyDescent="0.25">
      <c r="A2079">
        <v>7320150004</v>
      </c>
    </row>
    <row r="2080" spans="1:1" x14ac:dyDescent="0.25">
      <c r="A2080">
        <v>7320150003</v>
      </c>
    </row>
    <row r="2081" spans="1:1" x14ac:dyDescent="0.25">
      <c r="A2081">
        <v>7320150002</v>
      </c>
    </row>
    <row r="2082" spans="1:1" x14ac:dyDescent="0.25">
      <c r="A2082">
        <v>7320150001</v>
      </c>
    </row>
    <row r="2083" spans="1:1" x14ac:dyDescent="0.25">
      <c r="A2083">
        <v>7320110004</v>
      </c>
    </row>
    <row r="2084" spans="1:1" x14ac:dyDescent="0.25">
      <c r="A2084">
        <v>7310150004</v>
      </c>
    </row>
    <row r="2085" spans="1:1" x14ac:dyDescent="0.25">
      <c r="A2085">
        <v>7310150003</v>
      </c>
    </row>
    <row r="2086" spans="1:1" x14ac:dyDescent="0.25">
      <c r="A2086">
        <v>7310150002</v>
      </c>
    </row>
    <row r="2087" spans="1:1" x14ac:dyDescent="0.25">
      <c r="A2087">
        <v>7310150001</v>
      </c>
    </row>
    <row r="2088" spans="1:1" x14ac:dyDescent="0.25">
      <c r="A2088">
        <v>7301150004</v>
      </c>
    </row>
    <row r="2089" spans="1:1" x14ac:dyDescent="0.25">
      <c r="A2089">
        <v>7301150003</v>
      </c>
    </row>
    <row r="2090" spans="1:1" x14ac:dyDescent="0.25">
      <c r="A2090">
        <v>7301150002</v>
      </c>
    </row>
    <row r="2091" spans="1:1" x14ac:dyDescent="0.25">
      <c r="A2091">
        <v>7301150001</v>
      </c>
    </row>
    <row r="2092" spans="1:1" x14ac:dyDescent="0.25">
      <c r="A2092">
        <v>7200000002</v>
      </c>
    </row>
    <row r="2093" spans="1:1" x14ac:dyDescent="0.25">
      <c r="A2093">
        <v>7020000002</v>
      </c>
    </row>
    <row r="2094" spans="1:1" x14ac:dyDescent="0.25">
      <c r="A2094">
        <v>5984010000</v>
      </c>
    </row>
    <row r="2095" spans="1:1" x14ac:dyDescent="0.25">
      <c r="A2095">
        <v>5224010000</v>
      </c>
    </row>
    <row r="2096" spans="1:1" x14ac:dyDescent="0.25">
      <c r="A2096">
        <v>5222600000</v>
      </c>
    </row>
    <row r="2097" spans="1:1" x14ac:dyDescent="0.25">
      <c r="A2097">
        <v>5222400000</v>
      </c>
    </row>
    <row r="2098" spans="1:1" x14ac:dyDescent="0.25">
      <c r="A2098">
        <v>5221410000</v>
      </c>
    </row>
    <row r="2099" spans="1:1" x14ac:dyDescent="0.25">
      <c r="A2099">
        <v>120400</v>
      </c>
    </row>
    <row r="2100" spans="1:1" x14ac:dyDescent="0.25">
      <c r="A2100">
        <v>5771390000</v>
      </c>
    </row>
    <row r="2101" spans="1:1" x14ac:dyDescent="0.25">
      <c r="A2101">
        <v>5230010000</v>
      </c>
    </row>
    <row r="2102" spans="1:1" x14ac:dyDescent="0.25">
      <c r="A2102">
        <v>7920000009</v>
      </c>
    </row>
    <row r="2103" spans="1:1" x14ac:dyDescent="0.25">
      <c r="A2103">
        <v>7920000006</v>
      </c>
    </row>
    <row r="2104" spans="1:1" x14ac:dyDescent="0.25">
      <c r="A2104">
        <v>7920000005</v>
      </c>
    </row>
    <row r="2105" spans="1:1" x14ac:dyDescent="0.25">
      <c r="A2105">
        <v>7620330116</v>
      </c>
    </row>
    <row r="2106" spans="1:1" x14ac:dyDescent="0.25">
      <c r="A2106">
        <v>7620330109</v>
      </c>
    </row>
    <row r="2107" spans="1:1" x14ac:dyDescent="0.25">
      <c r="A2107">
        <v>7620330108</v>
      </c>
    </row>
    <row r="2108" spans="1:1" x14ac:dyDescent="0.25">
      <c r="A2108">
        <v>7620330102</v>
      </c>
    </row>
    <row r="2109" spans="1:1" x14ac:dyDescent="0.25">
      <c r="A2109">
        <v>7620000025</v>
      </c>
    </row>
    <row r="2110" spans="1:1" x14ac:dyDescent="0.25">
      <c r="A2110">
        <v>7620000024</v>
      </c>
    </row>
    <row r="2111" spans="1:1" x14ac:dyDescent="0.25">
      <c r="A2111">
        <v>7600330020</v>
      </c>
    </row>
    <row r="2112" spans="1:1" x14ac:dyDescent="0.25">
      <c r="A2112">
        <v>7600330019</v>
      </c>
    </row>
    <row r="2113" spans="1:1" x14ac:dyDescent="0.25">
      <c r="A2113">
        <v>7600330009</v>
      </c>
    </row>
    <row r="2114" spans="1:1" x14ac:dyDescent="0.25">
      <c r="A2114">
        <v>7600330002</v>
      </c>
    </row>
    <row r="2115" spans="1:1" x14ac:dyDescent="0.25">
      <c r="A2115">
        <v>7600330001</v>
      </c>
    </row>
    <row r="2116" spans="1:1" x14ac:dyDescent="0.25">
      <c r="A2116">
        <v>7600320099</v>
      </c>
    </row>
    <row r="2117" spans="1:1" x14ac:dyDescent="0.25">
      <c r="A2117">
        <v>7600320012</v>
      </c>
    </row>
    <row r="2118" spans="1:1" x14ac:dyDescent="0.25">
      <c r="A2118">
        <v>7600320004</v>
      </c>
    </row>
    <row r="2119" spans="1:1" x14ac:dyDescent="0.25">
      <c r="A2119">
        <v>7600320001</v>
      </c>
    </row>
    <row r="2120" spans="1:1" x14ac:dyDescent="0.25">
      <c r="A2120">
        <v>7600304222</v>
      </c>
    </row>
    <row r="2121" spans="1:1" x14ac:dyDescent="0.25">
      <c r="A2121">
        <v>7600304221</v>
      </c>
    </row>
    <row r="2122" spans="1:1" x14ac:dyDescent="0.25">
      <c r="A2122">
        <v>7600304219</v>
      </c>
    </row>
    <row r="2123" spans="1:1" x14ac:dyDescent="0.25">
      <c r="A2123">
        <v>7600304131</v>
      </c>
    </row>
    <row r="2124" spans="1:1" x14ac:dyDescent="0.25">
      <c r="A2124">
        <v>7600300021</v>
      </c>
    </row>
    <row r="2125" spans="1:1" x14ac:dyDescent="0.25">
      <c r="A2125">
        <v>7600300020</v>
      </c>
    </row>
    <row r="2126" spans="1:1" x14ac:dyDescent="0.25">
      <c r="A2126">
        <v>7600300018</v>
      </c>
    </row>
    <row r="2127" spans="1:1" x14ac:dyDescent="0.25">
      <c r="A2127">
        <v>7600300015</v>
      </c>
    </row>
    <row r="2128" spans="1:1" x14ac:dyDescent="0.25">
      <c r="A2128">
        <v>7600300013</v>
      </c>
    </row>
    <row r="2129" spans="1:1" x14ac:dyDescent="0.25">
      <c r="A2129">
        <v>7600300011</v>
      </c>
    </row>
    <row r="2130" spans="1:1" x14ac:dyDescent="0.25">
      <c r="A2130">
        <v>7600300006</v>
      </c>
    </row>
    <row r="2131" spans="1:1" x14ac:dyDescent="0.25">
      <c r="A2131">
        <v>7600300003</v>
      </c>
    </row>
    <row r="2132" spans="1:1" x14ac:dyDescent="0.25">
      <c r="A2132">
        <v>7600300002</v>
      </c>
    </row>
    <row r="2133" spans="1:1" x14ac:dyDescent="0.25">
      <c r="A2133">
        <v>7600300001</v>
      </c>
    </row>
    <row r="2134" spans="1:1" x14ac:dyDescent="0.25">
      <c r="A2134">
        <v>7321120011</v>
      </c>
    </row>
    <row r="2135" spans="1:1" x14ac:dyDescent="0.25">
      <c r="A2135">
        <v>7321120010</v>
      </c>
    </row>
    <row r="2136" spans="1:1" x14ac:dyDescent="0.25">
      <c r="A2136">
        <v>7321120009</v>
      </c>
    </row>
    <row r="2137" spans="1:1" x14ac:dyDescent="0.25">
      <c r="A2137">
        <v>7321120008</v>
      </c>
    </row>
    <row r="2138" spans="1:1" x14ac:dyDescent="0.25">
      <c r="A2138">
        <v>7321120007</v>
      </c>
    </row>
    <row r="2139" spans="1:1" x14ac:dyDescent="0.25">
      <c r="A2139">
        <v>7321120006</v>
      </c>
    </row>
    <row r="2140" spans="1:1" x14ac:dyDescent="0.25">
      <c r="A2140">
        <v>7321120005</v>
      </c>
    </row>
    <row r="2141" spans="1:1" x14ac:dyDescent="0.25">
      <c r="A2141">
        <v>7321120004</v>
      </c>
    </row>
    <row r="2142" spans="1:1" x14ac:dyDescent="0.25">
      <c r="A2142">
        <v>7321120003</v>
      </c>
    </row>
    <row r="2143" spans="1:1" x14ac:dyDescent="0.25">
      <c r="A2143">
        <v>7321120002</v>
      </c>
    </row>
    <row r="2144" spans="1:1" x14ac:dyDescent="0.25">
      <c r="A2144">
        <v>7321120001</v>
      </c>
    </row>
    <row r="2145" spans="1:1" x14ac:dyDescent="0.25">
      <c r="A2145">
        <v>7320230001</v>
      </c>
    </row>
    <row r="2146" spans="1:1" x14ac:dyDescent="0.25">
      <c r="A2146">
        <v>7320120005</v>
      </c>
    </row>
    <row r="2147" spans="1:1" x14ac:dyDescent="0.25">
      <c r="A2147">
        <v>7320120004</v>
      </c>
    </row>
    <row r="2148" spans="1:1" x14ac:dyDescent="0.25">
      <c r="A2148">
        <v>7320120003</v>
      </c>
    </row>
    <row r="2149" spans="1:1" x14ac:dyDescent="0.25">
      <c r="A2149">
        <v>7320120002</v>
      </c>
    </row>
    <row r="2150" spans="1:1" x14ac:dyDescent="0.25">
      <c r="A2150">
        <v>7320120001</v>
      </c>
    </row>
    <row r="2151" spans="1:1" x14ac:dyDescent="0.25">
      <c r="A2151">
        <v>7320110007</v>
      </c>
    </row>
    <row r="2152" spans="1:1" x14ac:dyDescent="0.25">
      <c r="A2152">
        <v>7311120002</v>
      </c>
    </row>
    <row r="2153" spans="1:1" x14ac:dyDescent="0.25">
      <c r="A2153">
        <v>7311120001</v>
      </c>
    </row>
    <row r="2154" spans="1:1" x14ac:dyDescent="0.25">
      <c r="A2154">
        <v>7301120002</v>
      </c>
    </row>
    <row r="2155" spans="1:1" x14ac:dyDescent="0.25">
      <c r="A2155">
        <v>7301120001</v>
      </c>
    </row>
    <row r="2156" spans="1:1" x14ac:dyDescent="0.25">
      <c r="A2156">
        <v>7200000004</v>
      </c>
    </row>
    <row r="2157" spans="1:1" x14ac:dyDescent="0.25">
      <c r="A2157">
        <v>7200000003</v>
      </c>
    </row>
    <row r="2158" spans="1:1" x14ac:dyDescent="0.25">
      <c r="A2158">
        <v>5772010000</v>
      </c>
    </row>
    <row r="2159" spans="1:1" x14ac:dyDescent="0.25">
      <c r="A2159">
        <v>5772000000</v>
      </c>
    </row>
    <row r="2160" spans="1:1" x14ac:dyDescent="0.25">
      <c r="A2160">
        <v>5771160000</v>
      </c>
    </row>
    <row r="2161" spans="1:1" x14ac:dyDescent="0.25">
      <c r="A2161">
        <v>5771150000</v>
      </c>
    </row>
    <row r="2162" spans="1:1" x14ac:dyDescent="0.25">
      <c r="A2162">
        <v>5771080000</v>
      </c>
    </row>
    <row r="2163" spans="1:1" x14ac:dyDescent="0.25">
      <c r="A2163">
        <v>5771010000</v>
      </c>
    </row>
    <row r="2164" spans="1:1" x14ac:dyDescent="0.25">
      <c r="A2164">
        <v>5771000000</v>
      </c>
    </row>
    <row r="2165" spans="1:1" x14ac:dyDescent="0.25">
      <c r="A2165">
        <v>5754610000</v>
      </c>
    </row>
    <row r="2166" spans="1:1" x14ac:dyDescent="0.25">
      <c r="A2166">
        <v>5754310000</v>
      </c>
    </row>
    <row r="2167" spans="1:1" x14ac:dyDescent="0.25">
      <c r="A2167">
        <v>5400210000</v>
      </c>
    </row>
    <row r="2168" spans="1:1" x14ac:dyDescent="0.25">
      <c r="A2168">
        <v>5230210000</v>
      </c>
    </row>
    <row r="2169" spans="1:1" x14ac:dyDescent="0.25">
      <c r="A2169">
        <v>5230110000</v>
      </c>
    </row>
    <row r="2170" spans="1:1" x14ac:dyDescent="0.25">
      <c r="A2170">
        <v>5224510000</v>
      </c>
    </row>
    <row r="2171" spans="1:1" x14ac:dyDescent="0.25">
      <c r="A2171">
        <v>5224310000</v>
      </c>
    </row>
    <row r="2172" spans="1:1" x14ac:dyDescent="0.25">
      <c r="A2172">
        <v>5224210000</v>
      </c>
    </row>
    <row r="2173" spans="1:1" x14ac:dyDescent="0.25">
      <c r="A2173">
        <v>5222300000</v>
      </c>
    </row>
    <row r="2174" spans="1:1" x14ac:dyDescent="0.25">
      <c r="A2174">
        <v>5221810000</v>
      </c>
    </row>
    <row r="2175" spans="1:1" x14ac:dyDescent="0.25">
      <c r="A2175">
        <v>5221710000</v>
      </c>
    </row>
    <row r="2176" spans="1:1" x14ac:dyDescent="0.25">
      <c r="A2176">
        <v>120300</v>
      </c>
    </row>
    <row r="2177" spans="1:1" x14ac:dyDescent="0.25">
      <c r="A2177">
        <v>120303</v>
      </c>
    </row>
    <row r="2178" spans="1:1" x14ac:dyDescent="0.25">
      <c r="A2178">
        <v>5227010000</v>
      </c>
    </row>
    <row r="2179" spans="1:1" x14ac:dyDescent="0.25">
      <c r="A2179">
        <v>7620000015</v>
      </c>
    </row>
    <row r="2180" spans="1:1" x14ac:dyDescent="0.25">
      <c r="A2180">
        <v>7600304193</v>
      </c>
    </row>
    <row r="2181" spans="1:1" x14ac:dyDescent="0.25">
      <c r="A2181">
        <v>7600304191</v>
      </c>
    </row>
    <row r="2182" spans="1:1" x14ac:dyDescent="0.25">
      <c r="A2182">
        <v>7600304170</v>
      </c>
    </row>
    <row r="2183" spans="1:1" x14ac:dyDescent="0.25">
      <c r="A2183">
        <v>7600304169</v>
      </c>
    </row>
    <row r="2184" spans="1:1" x14ac:dyDescent="0.25">
      <c r="A2184">
        <v>7600304168</v>
      </c>
    </row>
    <row r="2185" spans="1:1" x14ac:dyDescent="0.25">
      <c r="A2185">
        <v>7600304167</v>
      </c>
    </row>
    <row r="2186" spans="1:1" x14ac:dyDescent="0.25">
      <c r="A2186">
        <v>7600304164</v>
      </c>
    </row>
    <row r="2187" spans="1:1" x14ac:dyDescent="0.25">
      <c r="A2187">
        <v>7600304163</v>
      </c>
    </row>
    <row r="2188" spans="1:1" x14ac:dyDescent="0.25">
      <c r="A2188">
        <v>7600301031</v>
      </c>
    </row>
    <row r="2189" spans="1:1" x14ac:dyDescent="0.25">
      <c r="A2189">
        <v>7340000009</v>
      </c>
    </row>
    <row r="2190" spans="1:1" x14ac:dyDescent="0.25">
      <c r="A2190">
        <v>7320170003</v>
      </c>
    </row>
    <row r="2191" spans="1:1" x14ac:dyDescent="0.25">
      <c r="A2191">
        <v>7320160003</v>
      </c>
    </row>
    <row r="2192" spans="1:1" x14ac:dyDescent="0.25">
      <c r="A2192">
        <v>7320160002</v>
      </c>
    </row>
    <row r="2193" spans="1:1" x14ac:dyDescent="0.25">
      <c r="A2193">
        <v>7320130002</v>
      </c>
    </row>
    <row r="2194" spans="1:1" x14ac:dyDescent="0.25">
      <c r="A2194">
        <v>7320110011</v>
      </c>
    </row>
    <row r="2195" spans="1:1" x14ac:dyDescent="0.25">
      <c r="A2195">
        <v>7320110006</v>
      </c>
    </row>
    <row r="2196" spans="1:1" x14ac:dyDescent="0.25">
      <c r="A2196">
        <v>7320110002</v>
      </c>
    </row>
    <row r="2197" spans="1:1" x14ac:dyDescent="0.25">
      <c r="A2197">
        <v>7301160002</v>
      </c>
    </row>
    <row r="2198" spans="1:1" x14ac:dyDescent="0.25">
      <c r="A2198">
        <v>120302</v>
      </c>
    </row>
    <row r="2199" spans="1:1" x14ac:dyDescent="0.25">
      <c r="A2199">
        <v>7320170004</v>
      </c>
    </row>
    <row r="2200" spans="1:1" x14ac:dyDescent="0.25">
      <c r="A2200">
        <v>7320170002</v>
      </c>
    </row>
    <row r="2201" spans="1:1" x14ac:dyDescent="0.25">
      <c r="A2201">
        <v>5494510000</v>
      </c>
    </row>
    <row r="2202" spans="1:1" x14ac:dyDescent="0.25">
      <c r="A2202">
        <v>7600304004</v>
      </c>
    </row>
    <row r="2203" spans="1:1" x14ac:dyDescent="0.25">
      <c r="A2203">
        <v>7600304003</v>
      </c>
    </row>
    <row r="2204" spans="1:1" x14ac:dyDescent="0.25">
      <c r="A2204">
        <v>5225110000</v>
      </c>
    </row>
    <row r="2205" spans="1:1" x14ac:dyDescent="0.25">
      <c r="A2205">
        <v>5228010000</v>
      </c>
    </row>
    <row r="2206" spans="1:1" x14ac:dyDescent="0.25">
      <c r="A2206">
        <v>5200410000</v>
      </c>
    </row>
    <row r="2207" spans="1:1" x14ac:dyDescent="0.25">
      <c r="A2207">
        <v>7940000003</v>
      </c>
    </row>
    <row r="2208" spans="1:1" x14ac:dyDescent="0.25">
      <c r="A2208">
        <v>7920000019</v>
      </c>
    </row>
    <row r="2209" spans="1:1" x14ac:dyDescent="0.25">
      <c r="A2209">
        <v>7920000018</v>
      </c>
    </row>
    <row r="2210" spans="1:1" x14ac:dyDescent="0.25">
      <c r="A2210">
        <v>7620304113</v>
      </c>
    </row>
    <row r="2211" spans="1:1" x14ac:dyDescent="0.25">
      <c r="A2211">
        <v>7620000028</v>
      </c>
    </row>
    <row r="2212" spans="1:1" x14ac:dyDescent="0.25">
      <c r="A2212">
        <v>7620000026</v>
      </c>
    </row>
    <row r="2213" spans="1:1" x14ac:dyDescent="0.25">
      <c r="A2213">
        <v>7600304239</v>
      </c>
    </row>
    <row r="2214" spans="1:1" x14ac:dyDescent="0.25">
      <c r="A2214">
        <v>7600304238</v>
      </c>
    </row>
    <row r="2215" spans="1:1" x14ac:dyDescent="0.25">
      <c r="A2215">
        <v>7360170031</v>
      </c>
    </row>
    <row r="2216" spans="1:1" x14ac:dyDescent="0.25">
      <c r="A2216">
        <v>7360170030</v>
      </c>
    </row>
    <row r="2217" spans="1:1" x14ac:dyDescent="0.25">
      <c r="A2217">
        <v>7360170029</v>
      </c>
    </row>
    <row r="2218" spans="1:1" x14ac:dyDescent="0.25">
      <c r="A2218">
        <v>7360170028</v>
      </c>
    </row>
    <row r="2219" spans="1:1" x14ac:dyDescent="0.25">
      <c r="A2219">
        <v>7360170027</v>
      </c>
    </row>
    <row r="2220" spans="1:1" x14ac:dyDescent="0.25">
      <c r="A2220">
        <v>7360170026</v>
      </c>
    </row>
    <row r="2221" spans="1:1" x14ac:dyDescent="0.25">
      <c r="A2221">
        <v>7360170025</v>
      </c>
    </row>
    <row r="2222" spans="1:1" x14ac:dyDescent="0.25">
      <c r="A2222">
        <v>7360170024</v>
      </c>
    </row>
    <row r="2223" spans="1:1" x14ac:dyDescent="0.25">
      <c r="A2223">
        <v>7360170023</v>
      </c>
    </row>
    <row r="2224" spans="1:1" x14ac:dyDescent="0.25">
      <c r="A2224">
        <v>7360170022</v>
      </c>
    </row>
    <row r="2225" spans="1:1" x14ac:dyDescent="0.25">
      <c r="A2225">
        <v>7360170021</v>
      </c>
    </row>
    <row r="2226" spans="1:1" x14ac:dyDescent="0.25">
      <c r="A2226">
        <v>7360170020</v>
      </c>
    </row>
    <row r="2227" spans="1:1" x14ac:dyDescent="0.25">
      <c r="A2227">
        <v>7360170019</v>
      </c>
    </row>
    <row r="2228" spans="1:1" x14ac:dyDescent="0.25">
      <c r="A2228">
        <v>7360170018</v>
      </c>
    </row>
    <row r="2229" spans="1:1" x14ac:dyDescent="0.25">
      <c r="A2229">
        <v>7360170017</v>
      </c>
    </row>
    <row r="2230" spans="1:1" x14ac:dyDescent="0.25">
      <c r="A2230">
        <v>7360170016</v>
      </c>
    </row>
    <row r="2231" spans="1:1" x14ac:dyDescent="0.25">
      <c r="A2231">
        <v>7360170015</v>
      </c>
    </row>
    <row r="2232" spans="1:1" x14ac:dyDescent="0.25">
      <c r="A2232">
        <v>7360170014</v>
      </c>
    </row>
    <row r="2233" spans="1:1" x14ac:dyDescent="0.25">
      <c r="A2233">
        <v>7360170013</v>
      </c>
    </row>
    <row r="2234" spans="1:1" x14ac:dyDescent="0.25">
      <c r="A2234">
        <v>7360170012</v>
      </c>
    </row>
    <row r="2235" spans="1:1" x14ac:dyDescent="0.25">
      <c r="A2235">
        <v>7360170011</v>
      </c>
    </row>
    <row r="2236" spans="1:1" x14ac:dyDescent="0.25">
      <c r="A2236">
        <v>7360170010</v>
      </c>
    </row>
    <row r="2237" spans="1:1" x14ac:dyDescent="0.25">
      <c r="A2237">
        <v>7360170009</v>
      </c>
    </row>
    <row r="2238" spans="1:1" x14ac:dyDescent="0.25">
      <c r="A2238">
        <v>7360170008</v>
      </c>
    </row>
    <row r="2239" spans="1:1" x14ac:dyDescent="0.25">
      <c r="A2239">
        <v>7360170007</v>
      </c>
    </row>
    <row r="2240" spans="1:1" x14ac:dyDescent="0.25">
      <c r="A2240">
        <v>7360170006</v>
      </c>
    </row>
    <row r="2241" spans="1:1" x14ac:dyDescent="0.25">
      <c r="A2241">
        <v>7360170005</v>
      </c>
    </row>
    <row r="2242" spans="1:1" x14ac:dyDescent="0.25">
      <c r="A2242">
        <v>7360170004</v>
      </c>
    </row>
    <row r="2243" spans="1:1" x14ac:dyDescent="0.25">
      <c r="A2243">
        <v>7360170003</v>
      </c>
    </row>
    <row r="2244" spans="1:1" x14ac:dyDescent="0.25">
      <c r="A2244">
        <v>7360170002</v>
      </c>
    </row>
    <row r="2245" spans="1:1" x14ac:dyDescent="0.25">
      <c r="A2245">
        <v>7360170001</v>
      </c>
    </row>
    <row r="2246" spans="1:1" x14ac:dyDescent="0.25">
      <c r="A2246">
        <v>7320170001</v>
      </c>
    </row>
    <row r="2247" spans="1:1" x14ac:dyDescent="0.25">
      <c r="A2247">
        <v>7310160001</v>
      </c>
    </row>
    <row r="2248" spans="1:1" x14ac:dyDescent="0.25">
      <c r="A2248">
        <v>7020000004</v>
      </c>
    </row>
    <row r="2249" spans="1:1" x14ac:dyDescent="0.25">
      <c r="A2249">
        <v>7020000001</v>
      </c>
    </row>
    <row r="2250" spans="1:1" x14ac:dyDescent="0.25">
      <c r="A2250">
        <v>7600304000</v>
      </c>
    </row>
    <row r="2251" spans="1:1" x14ac:dyDescent="0.25">
      <c r="A2251">
        <v>5337510000</v>
      </c>
    </row>
    <row r="2252" spans="1:1" x14ac:dyDescent="0.25">
      <c r="A2252">
        <v>120301</v>
      </c>
    </row>
    <row r="2253" spans="1:1" x14ac:dyDescent="0.25">
      <c r="A2253">
        <v>5225510000</v>
      </c>
    </row>
    <row r="2254" spans="1:1" x14ac:dyDescent="0.25">
      <c r="A2254">
        <v>7600304151</v>
      </c>
    </row>
    <row r="2255" spans="1:1" x14ac:dyDescent="0.25">
      <c r="A2255">
        <v>7600304002</v>
      </c>
    </row>
    <row r="2256" spans="1:1" x14ac:dyDescent="0.25">
      <c r="A2256">
        <v>5200110000</v>
      </c>
    </row>
    <row r="2257" spans="1:1" x14ac:dyDescent="0.25">
      <c r="A2257">
        <v>5231010000</v>
      </c>
    </row>
    <row r="2258" spans="1:1" x14ac:dyDescent="0.25">
      <c r="A2258">
        <v>5223410000</v>
      </c>
    </row>
    <row r="2259" spans="1:1" x14ac:dyDescent="0.25">
      <c r="A2259">
        <v>5223210000</v>
      </c>
    </row>
    <row r="2260" spans="1:1" x14ac:dyDescent="0.25">
      <c r="A2260">
        <v>5754110000</v>
      </c>
    </row>
    <row r="2261" spans="1:1" x14ac:dyDescent="0.25">
      <c r="A2261">
        <v>5751710000</v>
      </c>
    </row>
    <row r="2262" spans="1:1" x14ac:dyDescent="0.25">
      <c r="A2262">
        <v>5232010000</v>
      </c>
    </row>
    <row r="2263" spans="1:1" x14ac:dyDescent="0.25">
      <c r="A2263">
        <v>5751810000</v>
      </c>
    </row>
    <row r="2264" spans="1:1" x14ac:dyDescent="0.25">
      <c r="A2264">
        <v>5754410000</v>
      </c>
    </row>
    <row r="2265" spans="1:1" x14ac:dyDescent="0.25">
      <c r="A2265">
        <v>5223110000</v>
      </c>
    </row>
    <row r="2266" spans="1:1" x14ac:dyDescent="0.25">
      <c r="A2266">
        <v>5200310000</v>
      </c>
    </row>
    <row r="2267" spans="1:1" x14ac:dyDescent="0.25">
      <c r="A2267">
        <v>5229010000</v>
      </c>
    </row>
    <row r="2268" spans="1:1" x14ac:dyDescent="0.25">
      <c r="A2268">
        <v>7920000015</v>
      </c>
    </row>
    <row r="2269" spans="1:1" x14ac:dyDescent="0.25">
      <c r="A2269">
        <v>7920000014</v>
      </c>
    </row>
    <row r="2270" spans="1:1" x14ac:dyDescent="0.25">
      <c r="A2270">
        <v>7620000021</v>
      </c>
    </row>
    <row r="2271" spans="1:1" x14ac:dyDescent="0.25">
      <c r="A2271">
        <v>7600304234</v>
      </c>
    </row>
    <row r="2272" spans="1:1" x14ac:dyDescent="0.25">
      <c r="A2272">
        <v>7600304217</v>
      </c>
    </row>
    <row r="2273" spans="1:1" x14ac:dyDescent="0.25">
      <c r="A2273">
        <v>7600304216</v>
      </c>
    </row>
    <row r="2274" spans="1:1" x14ac:dyDescent="0.25">
      <c r="A2274">
        <v>7600304215</v>
      </c>
    </row>
    <row r="2275" spans="1:1" x14ac:dyDescent="0.25">
      <c r="A2275">
        <v>7600304213</v>
      </c>
    </row>
    <row r="2276" spans="1:1" x14ac:dyDescent="0.25">
      <c r="A2276">
        <v>7600304212</v>
      </c>
    </row>
    <row r="2277" spans="1:1" x14ac:dyDescent="0.25">
      <c r="A2277">
        <v>7600304211</v>
      </c>
    </row>
    <row r="2278" spans="1:1" x14ac:dyDescent="0.25">
      <c r="A2278">
        <v>7600304092</v>
      </c>
    </row>
    <row r="2279" spans="1:1" x14ac:dyDescent="0.25">
      <c r="A2279">
        <v>7600304089</v>
      </c>
    </row>
    <row r="2280" spans="1:1" x14ac:dyDescent="0.25">
      <c r="A2280">
        <v>5981710000</v>
      </c>
    </row>
    <row r="2281" spans="1:1" x14ac:dyDescent="0.25">
      <c r="A2281">
        <v>5911000000</v>
      </c>
    </row>
    <row r="2282" spans="1:1" x14ac:dyDescent="0.25">
      <c r="A2282">
        <v>5754510000</v>
      </c>
    </row>
    <row r="2283" spans="1:1" x14ac:dyDescent="0.25">
      <c r="A2283">
        <v>5229000000</v>
      </c>
    </row>
    <row r="2284" spans="1:1" x14ac:dyDescent="0.25">
      <c r="A2284">
        <v>5226210000</v>
      </c>
    </row>
    <row r="2285" spans="1:1" x14ac:dyDescent="0.25">
      <c r="A2285">
        <v>5226110000</v>
      </c>
    </row>
    <row r="2286" spans="1:1" x14ac:dyDescent="0.25">
      <c r="A2286">
        <v>5225910000</v>
      </c>
    </row>
    <row r="2287" spans="1:1" x14ac:dyDescent="0.25">
      <c r="A2287">
        <v>5224410000</v>
      </c>
    </row>
    <row r="2288" spans="1:1" x14ac:dyDescent="0.25">
      <c r="A2288">
        <v>5223000000</v>
      </c>
    </row>
    <row r="2289" spans="1:1" x14ac:dyDescent="0.25">
      <c r="A2289">
        <v>5222800000</v>
      </c>
    </row>
    <row r="2290" spans="1:1" x14ac:dyDescent="0.25">
      <c r="A2290">
        <v>5222200000</v>
      </c>
    </row>
    <row r="2291" spans="1:1" x14ac:dyDescent="0.25">
      <c r="A2291">
        <v>5222000000</v>
      </c>
    </row>
    <row r="2292" spans="1:1" x14ac:dyDescent="0.25">
      <c r="A2292">
        <v>5221900000</v>
      </c>
    </row>
    <row r="2293" spans="1:1" x14ac:dyDescent="0.25">
      <c r="A2293">
        <v>5221610000</v>
      </c>
    </row>
    <row r="2294" spans="1:1" x14ac:dyDescent="0.25">
      <c r="A2294">
        <v>5221310000</v>
      </c>
    </row>
    <row r="2295" spans="1:1" x14ac:dyDescent="0.25">
      <c r="A2295">
        <v>5221210000</v>
      </c>
    </row>
    <row r="2296" spans="1:1" x14ac:dyDescent="0.25">
      <c r="A2296">
        <v>5204010000</v>
      </c>
    </row>
    <row r="2297" spans="1:1" x14ac:dyDescent="0.25">
      <c r="A2297">
        <v>120200</v>
      </c>
    </row>
    <row r="2298" spans="1:1" x14ac:dyDescent="0.25">
      <c r="A2298">
        <v>120202</v>
      </c>
    </row>
    <row r="2299" spans="1:1" x14ac:dyDescent="0.25">
      <c r="A2299">
        <v>120270</v>
      </c>
    </row>
    <row r="2300" spans="1:1" x14ac:dyDescent="0.25">
      <c r="A2300">
        <v>5225810000</v>
      </c>
    </row>
    <row r="2301" spans="1:1" x14ac:dyDescent="0.25">
      <c r="A2301">
        <v>5219010000</v>
      </c>
    </row>
    <row r="2302" spans="1:1" x14ac:dyDescent="0.25">
      <c r="A2302">
        <v>7240000012</v>
      </c>
    </row>
    <row r="2303" spans="1:1" x14ac:dyDescent="0.25">
      <c r="A2303">
        <v>7620000016</v>
      </c>
    </row>
    <row r="2304" spans="1:1" x14ac:dyDescent="0.25">
      <c r="A2304">
        <v>7600304197</v>
      </c>
    </row>
    <row r="2305" spans="1:1" x14ac:dyDescent="0.25">
      <c r="A2305">
        <v>7600304196</v>
      </c>
    </row>
    <row r="2306" spans="1:1" x14ac:dyDescent="0.25">
      <c r="A2306">
        <v>7600304195</v>
      </c>
    </row>
    <row r="2307" spans="1:1" x14ac:dyDescent="0.25">
      <c r="A2307">
        <v>7600304073</v>
      </c>
    </row>
    <row r="2308" spans="1:1" x14ac:dyDescent="0.25">
      <c r="A2308">
        <v>7600304060</v>
      </c>
    </row>
    <row r="2309" spans="1:1" x14ac:dyDescent="0.25">
      <c r="A2309">
        <v>7600304058</v>
      </c>
    </row>
    <row r="2310" spans="1:1" x14ac:dyDescent="0.25">
      <c r="A2310">
        <v>7600304057</v>
      </c>
    </row>
    <row r="2311" spans="1:1" x14ac:dyDescent="0.25">
      <c r="A2311">
        <v>7600304056</v>
      </c>
    </row>
    <row r="2312" spans="1:1" x14ac:dyDescent="0.25">
      <c r="A2312">
        <v>7600304054</v>
      </c>
    </row>
    <row r="2313" spans="1:1" x14ac:dyDescent="0.25">
      <c r="A2313">
        <v>7600304053</v>
      </c>
    </row>
    <row r="2314" spans="1:1" x14ac:dyDescent="0.25">
      <c r="A2314">
        <v>7600304050</v>
      </c>
    </row>
    <row r="2315" spans="1:1" x14ac:dyDescent="0.25">
      <c r="A2315">
        <v>7600304048</v>
      </c>
    </row>
    <row r="2316" spans="1:1" x14ac:dyDescent="0.25">
      <c r="A2316">
        <v>7600304045</v>
      </c>
    </row>
    <row r="2317" spans="1:1" x14ac:dyDescent="0.25">
      <c r="A2317">
        <v>7320140009</v>
      </c>
    </row>
    <row r="2318" spans="1:1" x14ac:dyDescent="0.25">
      <c r="A2318">
        <v>7320140005</v>
      </c>
    </row>
    <row r="2319" spans="1:1" x14ac:dyDescent="0.25">
      <c r="A2319">
        <v>7310140011</v>
      </c>
    </row>
    <row r="2320" spans="1:1" x14ac:dyDescent="0.25">
      <c r="A2320">
        <v>7310140005</v>
      </c>
    </row>
    <row r="2321" spans="1:1" x14ac:dyDescent="0.25">
      <c r="A2321">
        <v>7310140004</v>
      </c>
    </row>
    <row r="2322" spans="1:1" x14ac:dyDescent="0.25">
      <c r="A2322">
        <v>7301140007</v>
      </c>
    </row>
    <row r="2323" spans="1:1" x14ac:dyDescent="0.25">
      <c r="A2323">
        <v>7301140004</v>
      </c>
    </row>
    <row r="2324" spans="1:1" x14ac:dyDescent="0.25">
      <c r="A2324">
        <v>7300110021</v>
      </c>
    </row>
    <row r="2325" spans="1:1" x14ac:dyDescent="0.25">
      <c r="A2325">
        <v>5217410000</v>
      </c>
    </row>
    <row r="2326" spans="1:1" x14ac:dyDescent="0.25">
      <c r="A2326">
        <v>5216710000</v>
      </c>
    </row>
    <row r="2327" spans="1:1" x14ac:dyDescent="0.25">
      <c r="A2327">
        <v>5212810000</v>
      </c>
    </row>
    <row r="2328" spans="1:1" x14ac:dyDescent="0.25">
      <c r="A2328">
        <v>5212610000</v>
      </c>
    </row>
    <row r="2329" spans="1:1" x14ac:dyDescent="0.25">
      <c r="A2329">
        <v>5212510000</v>
      </c>
    </row>
    <row r="2330" spans="1:1" x14ac:dyDescent="0.25">
      <c r="A2330">
        <v>5212410000</v>
      </c>
    </row>
    <row r="2331" spans="1:1" x14ac:dyDescent="0.25">
      <c r="A2331">
        <v>5212210000</v>
      </c>
    </row>
    <row r="2332" spans="1:1" x14ac:dyDescent="0.25">
      <c r="A2332">
        <v>5212110000</v>
      </c>
    </row>
    <row r="2333" spans="1:1" x14ac:dyDescent="0.25">
      <c r="A2333">
        <v>120260</v>
      </c>
    </row>
    <row r="2334" spans="1:1" x14ac:dyDescent="0.25">
      <c r="A2334">
        <v>7320110003</v>
      </c>
    </row>
    <row r="2335" spans="1:1" x14ac:dyDescent="0.25">
      <c r="A2335">
        <v>120250</v>
      </c>
    </row>
    <row r="2336" spans="1:1" x14ac:dyDescent="0.25">
      <c r="A2336">
        <v>7600304251</v>
      </c>
    </row>
    <row r="2337" spans="1:1" x14ac:dyDescent="0.25">
      <c r="A2337">
        <v>7600304199</v>
      </c>
    </row>
    <row r="2338" spans="1:1" x14ac:dyDescent="0.25">
      <c r="A2338">
        <v>7310140009</v>
      </c>
    </row>
    <row r="2339" spans="1:1" x14ac:dyDescent="0.25">
      <c r="A2339">
        <v>7320140019</v>
      </c>
    </row>
    <row r="2340" spans="1:1" x14ac:dyDescent="0.25">
      <c r="A2340">
        <v>7301140009</v>
      </c>
    </row>
    <row r="2341" spans="1:1" x14ac:dyDescent="0.25">
      <c r="A2341">
        <v>5217310000</v>
      </c>
    </row>
    <row r="2342" spans="1:1" x14ac:dyDescent="0.25">
      <c r="A2342">
        <v>5217110000</v>
      </c>
    </row>
    <row r="2343" spans="1:1" x14ac:dyDescent="0.25">
      <c r="A2343">
        <v>5217010000</v>
      </c>
    </row>
    <row r="2344" spans="1:1" x14ac:dyDescent="0.25">
      <c r="A2344">
        <v>5216910000</v>
      </c>
    </row>
    <row r="2345" spans="1:1" x14ac:dyDescent="0.25">
      <c r="A2345">
        <v>7600304097</v>
      </c>
    </row>
    <row r="2346" spans="1:1" x14ac:dyDescent="0.25">
      <c r="A2346">
        <v>7600304095</v>
      </c>
    </row>
    <row r="2347" spans="1:1" x14ac:dyDescent="0.25">
      <c r="A2347">
        <v>7600304094</v>
      </c>
    </row>
    <row r="2348" spans="1:1" x14ac:dyDescent="0.25">
      <c r="A2348">
        <v>7600304090</v>
      </c>
    </row>
    <row r="2349" spans="1:1" x14ac:dyDescent="0.25">
      <c r="A2349">
        <v>7600304087</v>
      </c>
    </row>
    <row r="2350" spans="1:1" x14ac:dyDescent="0.25">
      <c r="A2350">
        <v>7600304086</v>
      </c>
    </row>
    <row r="2351" spans="1:1" x14ac:dyDescent="0.25">
      <c r="A2351">
        <v>7600304099</v>
      </c>
    </row>
    <row r="2352" spans="1:1" x14ac:dyDescent="0.25">
      <c r="A2352">
        <v>5216260000</v>
      </c>
    </row>
    <row r="2353" spans="1:1" x14ac:dyDescent="0.25">
      <c r="A2353">
        <v>5216010000</v>
      </c>
    </row>
    <row r="2354" spans="1:1" x14ac:dyDescent="0.25">
      <c r="A2354">
        <v>5216610000</v>
      </c>
    </row>
    <row r="2355" spans="1:1" x14ac:dyDescent="0.25">
      <c r="A2355">
        <v>5216110000</v>
      </c>
    </row>
    <row r="2356" spans="1:1" x14ac:dyDescent="0.25">
      <c r="A2356">
        <v>5216270000</v>
      </c>
    </row>
    <row r="2357" spans="1:1" x14ac:dyDescent="0.25">
      <c r="A2357">
        <v>7600304252</v>
      </c>
    </row>
    <row r="2358" spans="1:1" x14ac:dyDescent="0.25">
      <c r="A2358">
        <v>7600304229</v>
      </c>
    </row>
    <row r="2359" spans="1:1" x14ac:dyDescent="0.25">
      <c r="A2359">
        <v>7600304225</v>
      </c>
    </row>
    <row r="2360" spans="1:1" x14ac:dyDescent="0.25">
      <c r="A2360">
        <v>7600304063</v>
      </c>
    </row>
    <row r="2361" spans="1:1" x14ac:dyDescent="0.25">
      <c r="A2361">
        <v>7600304052</v>
      </c>
    </row>
    <row r="2362" spans="1:1" x14ac:dyDescent="0.25">
      <c r="A2362">
        <v>7600304049</v>
      </c>
    </row>
    <row r="2363" spans="1:1" x14ac:dyDescent="0.25">
      <c r="A2363">
        <v>7600304046</v>
      </c>
    </row>
    <row r="2364" spans="1:1" x14ac:dyDescent="0.25">
      <c r="A2364">
        <v>7320140021</v>
      </c>
    </row>
    <row r="2365" spans="1:1" x14ac:dyDescent="0.25">
      <c r="A2365">
        <v>7320140020</v>
      </c>
    </row>
    <row r="2366" spans="1:1" x14ac:dyDescent="0.25">
      <c r="A2366">
        <v>7320140018</v>
      </c>
    </row>
    <row r="2367" spans="1:1" x14ac:dyDescent="0.25">
      <c r="A2367">
        <v>7320140017</v>
      </c>
    </row>
    <row r="2368" spans="1:1" x14ac:dyDescent="0.25">
      <c r="A2368">
        <v>7320140016</v>
      </c>
    </row>
    <row r="2369" spans="1:1" x14ac:dyDescent="0.25">
      <c r="A2369">
        <v>7320140015</v>
      </c>
    </row>
    <row r="2370" spans="1:1" x14ac:dyDescent="0.25">
      <c r="A2370">
        <v>7320140013</v>
      </c>
    </row>
    <row r="2371" spans="1:1" x14ac:dyDescent="0.25">
      <c r="A2371">
        <v>7320140010</v>
      </c>
    </row>
    <row r="2372" spans="1:1" x14ac:dyDescent="0.25">
      <c r="A2372">
        <v>7310140010</v>
      </c>
    </row>
    <row r="2373" spans="1:1" x14ac:dyDescent="0.25">
      <c r="A2373">
        <v>7310140008</v>
      </c>
    </row>
    <row r="2374" spans="1:1" x14ac:dyDescent="0.25">
      <c r="A2374">
        <v>7310140007</v>
      </c>
    </row>
    <row r="2375" spans="1:1" x14ac:dyDescent="0.25">
      <c r="A2375">
        <v>7301140018</v>
      </c>
    </row>
    <row r="2376" spans="1:1" x14ac:dyDescent="0.25">
      <c r="A2376">
        <v>7301140014</v>
      </c>
    </row>
    <row r="2377" spans="1:1" x14ac:dyDescent="0.25">
      <c r="A2377">
        <v>7301140012</v>
      </c>
    </row>
    <row r="2378" spans="1:1" x14ac:dyDescent="0.25">
      <c r="A2378">
        <v>7301140011</v>
      </c>
    </row>
    <row r="2379" spans="1:1" x14ac:dyDescent="0.25">
      <c r="A2379">
        <v>7301140010</v>
      </c>
    </row>
    <row r="2380" spans="1:1" x14ac:dyDescent="0.25">
      <c r="A2380">
        <v>7301140008</v>
      </c>
    </row>
    <row r="2381" spans="1:1" x14ac:dyDescent="0.25">
      <c r="A2381">
        <v>7301140006</v>
      </c>
    </row>
    <row r="2382" spans="1:1" x14ac:dyDescent="0.25">
      <c r="A2382">
        <v>5216810000</v>
      </c>
    </row>
    <row r="2383" spans="1:1" x14ac:dyDescent="0.25">
      <c r="A2383">
        <v>5216250000</v>
      </c>
    </row>
    <row r="2384" spans="1:1" x14ac:dyDescent="0.25">
      <c r="A2384">
        <v>5216210000</v>
      </c>
    </row>
    <row r="2385" spans="1:1" x14ac:dyDescent="0.25">
      <c r="A2385">
        <v>120240</v>
      </c>
    </row>
    <row r="2386" spans="1:1" x14ac:dyDescent="0.25">
      <c r="A2386">
        <v>5217210000</v>
      </c>
    </row>
    <row r="2387" spans="1:1" x14ac:dyDescent="0.25">
      <c r="A2387">
        <v>7600304055</v>
      </c>
    </row>
    <row r="2388" spans="1:1" x14ac:dyDescent="0.25">
      <c r="A2388">
        <v>7600304047</v>
      </c>
    </row>
    <row r="2389" spans="1:1" x14ac:dyDescent="0.25">
      <c r="A2389">
        <v>7320140025</v>
      </c>
    </row>
    <row r="2390" spans="1:1" x14ac:dyDescent="0.25">
      <c r="A2390">
        <v>7320140014</v>
      </c>
    </row>
    <row r="2391" spans="1:1" x14ac:dyDescent="0.25">
      <c r="A2391">
        <v>7320140012</v>
      </c>
    </row>
    <row r="2392" spans="1:1" x14ac:dyDescent="0.25">
      <c r="A2392">
        <v>7320140011</v>
      </c>
    </row>
    <row r="2393" spans="1:1" x14ac:dyDescent="0.25">
      <c r="A2393">
        <v>7310140001</v>
      </c>
    </row>
    <row r="2394" spans="1:1" x14ac:dyDescent="0.25">
      <c r="A2394">
        <v>7301140019</v>
      </c>
    </row>
    <row r="2395" spans="1:1" x14ac:dyDescent="0.25">
      <c r="A2395">
        <v>7301140013</v>
      </c>
    </row>
    <row r="2396" spans="1:1" x14ac:dyDescent="0.25">
      <c r="A2396">
        <v>7301140001</v>
      </c>
    </row>
    <row r="2397" spans="1:1" x14ac:dyDescent="0.25">
      <c r="A2397">
        <v>5216410000</v>
      </c>
    </row>
    <row r="2398" spans="1:1" x14ac:dyDescent="0.25">
      <c r="A2398">
        <v>5216310000</v>
      </c>
    </row>
    <row r="2399" spans="1:1" x14ac:dyDescent="0.25">
      <c r="A2399">
        <v>120230</v>
      </c>
    </row>
    <row r="2400" spans="1:1" x14ac:dyDescent="0.25">
      <c r="A2400">
        <v>7600304257</v>
      </c>
    </row>
    <row r="2401" spans="1:1" x14ac:dyDescent="0.25">
      <c r="A2401">
        <v>7600304194</v>
      </c>
    </row>
    <row r="2402" spans="1:1" x14ac:dyDescent="0.25">
      <c r="A2402">
        <v>7600304044</v>
      </c>
    </row>
    <row r="2403" spans="1:1" x14ac:dyDescent="0.25">
      <c r="A2403">
        <v>7320140008</v>
      </c>
    </row>
    <row r="2404" spans="1:1" x14ac:dyDescent="0.25">
      <c r="A2404">
        <v>7320140002</v>
      </c>
    </row>
    <row r="2405" spans="1:1" x14ac:dyDescent="0.25">
      <c r="A2405">
        <v>7310140006</v>
      </c>
    </row>
    <row r="2406" spans="1:1" x14ac:dyDescent="0.25">
      <c r="A2406">
        <v>7301140005</v>
      </c>
    </row>
    <row r="2407" spans="1:1" x14ac:dyDescent="0.25">
      <c r="A2407">
        <v>5216510000</v>
      </c>
    </row>
    <row r="2408" spans="1:1" x14ac:dyDescent="0.25">
      <c r="A2408">
        <v>120220</v>
      </c>
    </row>
    <row r="2409" spans="1:1" x14ac:dyDescent="0.25">
      <c r="A2409">
        <v>5212710000</v>
      </c>
    </row>
    <row r="2410" spans="1:1" x14ac:dyDescent="0.25">
      <c r="A2410">
        <v>7600304256</v>
      </c>
    </row>
    <row r="2411" spans="1:1" x14ac:dyDescent="0.25">
      <c r="A2411">
        <v>7600304253</v>
      </c>
    </row>
    <row r="2412" spans="1:1" x14ac:dyDescent="0.25">
      <c r="A2412">
        <v>7600304198</v>
      </c>
    </row>
    <row r="2413" spans="1:1" x14ac:dyDescent="0.25">
      <c r="A2413">
        <v>7620000011</v>
      </c>
    </row>
    <row r="2414" spans="1:1" x14ac:dyDescent="0.25">
      <c r="A2414">
        <v>7620000007</v>
      </c>
    </row>
    <row r="2415" spans="1:1" x14ac:dyDescent="0.25">
      <c r="A2415">
        <v>7600304051</v>
      </c>
    </row>
    <row r="2416" spans="1:1" x14ac:dyDescent="0.25">
      <c r="A2416">
        <v>7320140024</v>
      </c>
    </row>
    <row r="2417" spans="1:1" x14ac:dyDescent="0.25">
      <c r="A2417">
        <v>7320140023</v>
      </c>
    </row>
    <row r="2418" spans="1:1" x14ac:dyDescent="0.25">
      <c r="A2418">
        <v>7320140022</v>
      </c>
    </row>
    <row r="2419" spans="1:1" x14ac:dyDescent="0.25">
      <c r="A2419">
        <v>7320140007</v>
      </c>
    </row>
    <row r="2420" spans="1:1" x14ac:dyDescent="0.25">
      <c r="A2420">
        <v>7320140003</v>
      </c>
    </row>
    <row r="2421" spans="1:1" x14ac:dyDescent="0.25">
      <c r="A2421">
        <v>7310140003</v>
      </c>
    </row>
    <row r="2422" spans="1:1" x14ac:dyDescent="0.25">
      <c r="A2422">
        <v>7301140020</v>
      </c>
    </row>
    <row r="2423" spans="1:1" x14ac:dyDescent="0.25">
      <c r="A2423">
        <v>7301140017</v>
      </c>
    </row>
    <row r="2424" spans="1:1" x14ac:dyDescent="0.25">
      <c r="A2424">
        <v>7301140016</v>
      </c>
    </row>
    <row r="2425" spans="1:1" x14ac:dyDescent="0.25">
      <c r="A2425">
        <v>7301140015</v>
      </c>
    </row>
    <row r="2426" spans="1:1" x14ac:dyDescent="0.25">
      <c r="A2426">
        <v>7301140003</v>
      </c>
    </row>
    <row r="2427" spans="1:1" x14ac:dyDescent="0.25">
      <c r="A2427">
        <v>5212310000</v>
      </c>
    </row>
    <row r="2428" spans="1:1" x14ac:dyDescent="0.25">
      <c r="A2428">
        <v>120210</v>
      </c>
    </row>
    <row r="2429" spans="1:1" x14ac:dyDescent="0.25">
      <c r="A2429">
        <v>5210110000</v>
      </c>
    </row>
    <row r="2430" spans="1:1" x14ac:dyDescent="0.25">
      <c r="A2430">
        <v>5210120000</v>
      </c>
    </row>
    <row r="2431" spans="1:1" x14ac:dyDescent="0.25">
      <c r="A2431">
        <v>7620300006</v>
      </c>
    </row>
    <row r="2432" spans="1:1" x14ac:dyDescent="0.25">
      <c r="A2432">
        <v>7620300005</v>
      </c>
    </row>
    <row r="2433" spans="1:1" x14ac:dyDescent="0.25">
      <c r="A2433">
        <v>7600304255</v>
      </c>
    </row>
    <row r="2434" spans="1:1" x14ac:dyDescent="0.25">
      <c r="A2434">
        <v>7600304254</v>
      </c>
    </row>
    <row r="2435" spans="1:1" x14ac:dyDescent="0.25">
      <c r="A2435">
        <v>7600304228</v>
      </c>
    </row>
    <row r="2436" spans="1:1" x14ac:dyDescent="0.25">
      <c r="A2436">
        <v>7600304070</v>
      </c>
    </row>
    <row r="2437" spans="1:1" x14ac:dyDescent="0.25">
      <c r="A2437">
        <v>7600304043</v>
      </c>
    </row>
    <row r="2438" spans="1:1" x14ac:dyDescent="0.25">
      <c r="A2438">
        <v>7320140006</v>
      </c>
    </row>
    <row r="2439" spans="1:1" x14ac:dyDescent="0.25">
      <c r="A2439">
        <v>7320140001</v>
      </c>
    </row>
    <row r="2440" spans="1:1" x14ac:dyDescent="0.25">
      <c r="A2440">
        <v>7310140002</v>
      </c>
    </row>
    <row r="2441" spans="1:1" x14ac:dyDescent="0.25">
      <c r="A2441">
        <v>7301140002</v>
      </c>
    </row>
    <row r="2442" spans="1:1" x14ac:dyDescent="0.25">
      <c r="A2442">
        <v>5215010000</v>
      </c>
    </row>
    <row r="2443" spans="1:1" x14ac:dyDescent="0.25">
      <c r="A2443">
        <v>120201</v>
      </c>
    </row>
    <row r="2444" spans="1:1" x14ac:dyDescent="0.25">
      <c r="A2444">
        <v>5219000000</v>
      </c>
    </row>
    <row r="2445" spans="1:1" x14ac:dyDescent="0.25">
      <c r="A2445">
        <v>5214000000</v>
      </c>
    </row>
    <row r="2446" spans="1:1" x14ac:dyDescent="0.25">
      <c r="A2446">
        <v>5213000000</v>
      </c>
    </row>
    <row r="2447" spans="1:1" x14ac:dyDescent="0.25">
      <c r="A2447">
        <v>5212000000</v>
      </c>
    </row>
    <row r="2448" spans="1:1" x14ac:dyDescent="0.25">
      <c r="A2448">
        <v>5211000000</v>
      </c>
    </row>
    <row r="2449" spans="1:1" x14ac:dyDescent="0.25">
      <c r="A2449">
        <v>5210000000</v>
      </c>
    </row>
    <row r="2450" spans="1:1" x14ac:dyDescent="0.25">
      <c r="A2450">
        <v>3920300000</v>
      </c>
    </row>
    <row r="2451" spans="1:1" x14ac:dyDescent="0.25">
      <c r="A2451">
        <v>120100</v>
      </c>
    </row>
    <row r="2452" spans="1:1" x14ac:dyDescent="0.25">
      <c r="A2452">
        <v>120105</v>
      </c>
    </row>
    <row r="2453" spans="1:1" x14ac:dyDescent="0.25">
      <c r="A2453">
        <v>7620000012</v>
      </c>
    </row>
    <row r="2454" spans="1:1" x14ac:dyDescent="0.25">
      <c r="A2454">
        <v>7600304186</v>
      </c>
    </row>
    <row r="2455" spans="1:1" x14ac:dyDescent="0.25">
      <c r="A2455">
        <v>7600304185</v>
      </c>
    </row>
    <row r="2456" spans="1:1" x14ac:dyDescent="0.25">
      <c r="A2456">
        <v>7600301029</v>
      </c>
    </row>
    <row r="2457" spans="1:1" x14ac:dyDescent="0.25">
      <c r="A2457">
        <v>7340000010</v>
      </c>
    </row>
    <row r="2458" spans="1:1" x14ac:dyDescent="0.25">
      <c r="A2458">
        <v>5773100000</v>
      </c>
    </row>
    <row r="2459" spans="1:1" x14ac:dyDescent="0.25">
      <c r="A2459">
        <v>5773080000</v>
      </c>
    </row>
    <row r="2460" spans="1:1" x14ac:dyDescent="0.25">
      <c r="A2460">
        <v>5773070000</v>
      </c>
    </row>
    <row r="2461" spans="1:1" x14ac:dyDescent="0.25">
      <c r="A2461">
        <v>5773060000</v>
      </c>
    </row>
    <row r="2462" spans="1:1" x14ac:dyDescent="0.25">
      <c r="A2462">
        <v>5773050000</v>
      </c>
    </row>
    <row r="2463" spans="1:1" x14ac:dyDescent="0.25">
      <c r="A2463">
        <v>5773040000</v>
      </c>
    </row>
    <row r="2464" spans="1:1" x14ac:dyDescent="0.25">
      <c r="A2464">
        <v>120104</v>
      </c>
    </row>
    <row r="2465" spans="1:1" x14ac:dyDescent="0.25">
      <c r="A2465">
        <v>7301130007</v>
      </c>
    </row>
    <row r="2466" spans="1:1" x14ac:dyDescent="0.25">
      <c r="A2466">
        <v>7940000002</v>
      </c>
    </row>
    <row r="2467" spans="1:1" x14ac:dyDescent="0.25">
      <c r="A2467">
        <v>7920000017</v>
      </c>
    </row>
    <row r="2468" spans="1:1" x14ac:dyDescent="0.25">
      <c r="A2468">
        <v>7920000016</v>
      </c>
    </row>
    <row r="2469" spans="1:1" x14ac:dyDescent="0.25">
      <c r="A2469">
        <v>7620301111</v>
      </c>
    </row>
    <row r="2470" spans="1:1" x14ac:dyDescent="0.25">
      <c r="A2470">
        <v>7620301109</v>
      </c>
    </row>
    <row r="2471" spans="1:1" x14ac:dyDescent="0.25">
      <c r="A2471">
        <v>7620301101</v>
      </c>
    </row>
    <row r="2472" spans="1:1" x14ac:dyDescent="0.25">
      <c r="A2472">
        <v>7620301100</v>
      </c>
    </row>
    <row r="2473" spans="1:1" x14ac:dyDescent="0.25">
      <c r="A2473">
        <v>7620000013</v>
      </c>
    </row>
    <row r="2474" spans="1:1" x14ac:dyDescent="0.25">
      <c r="A2474">
        <v>7600304236</v>
      </c>
    </row>
    <row r="2475" spans="1:1" x14ac:dyDescent="0.25">
      <c r="A2475">
        <v>7600304204</v>
      </c>
    </row>
    <row r="2476" spans="1:1" x14ac:dyDescent="0.25">
      <c r="A2476">
        <v>7600304203</v>
      </c>
    </row>
    <row r="2477" spans="1:1" x14ac:dyDescent="0.25">
      <c r="A2477">
        <v>7600304202</v>
      </c>
    </row>
    <row r="2478" spans="1:1" x14ac:dyDescent="0.25">
      <c r="A2478">
        <v>7600304201</v>
      </c>
    </row>
    <row r="2479" spans="1:1" x14ac:dyDescent="0.25">
      <c r="A2479">
        <v>7600304200</v>
      </c>
    </row>
    <row r="2480" spans="1:1" x14ac:dyDescent="0.25">
      <c r="A2480">
        <v>7600301111</v>
      </c>
    </row>
    <row r="2481" spans="1:1" x14ac:dyDescent="0.25">
      <c r="A2481">
        <v>7600301100</v>
      </c>
    </row>
    <row r="2482" spans="1:1" x14ac:dyDescent="0.25">
      <c r="A2482">
        <v>7600301081</v>
      </c>
    </row>
    <row r="2483" spans="1:1" x14ac:dyDescent="0.25">
      <c r="A2483">
        <v>7600301051</v>
      </c>
    </row>
    <row r="2484" spans="1:1" x14ac:dyDescent="0.25">
      <c r="A2484">
        <v>7600301049</v>
      </c>
    </row>
    <row r="2485" spans="1:1" x14ac:dyDescent="0.25">
      <c r="A2485">
        <v>7600301040</v>
      </c>
    </row>
    <row r="2486" spans="1:1" x14ac:dyDescent="0.25">
      <c r="A2486">
        <v>7600301015</v>
      </c>
    </row>
    <row r="2487" spans="1:1" x14ac:dyDescent="0.25">
      <c r="A2487">
        <v>7340000013</v>
      </c>
    </row>
    <row r="2488" spans="1:1" x14ac:dyDescent="0.25">
      <c r="A2488">
        <v>7340000011</v>
      </c>
    </row>
    <row r="2489" spans="1:1" x14ac:dyDescent="0.25">
      <c r="A2489">
        <v>7340000003</v>
      </c>
    </row>
    <row r="2490" spans="1:1" x14ac:dyDescent="0.25">
      <c r="A2490">
        <v>7340000002</v>
      </c>
    </row>
    <row r="2491" spans="1:1" x14ac:dyDescent="0.25">
      <c r="A2491">
        <v>7340000001</v>
      </c>
    </row>
    <row r="2492" spans="1:1" x14ac:dyDescent="0.25">
      <c r="A2492">
        <v>7320130001</v>
      </c>
    </row>
    <row r="2493" spans="1:1" x14ac:dyDescent="0.25">
      <c r="A2493">
        <v>7320110001</v>
      </c>
    </row>
    <row r="2494" spans="1:1" x14ac:dyDescent="0.25">
      <c r="A2494">
        <v>7301130013</v>
      </c>
    </row>
    <row r="2495" spans="1:1" x14ac:dyDescent="0.25">
      <c r="A2495">
        <v>7301130012</v>
      </c>
    </row>
    <row r="2496" spans="1:1" x14ac:dyDescent="0.25">
      <c r="A2496">
        <v>7301130011</v>
      </c>
    </row>
    <row r="2497" spans="1:1" x14ac:dyDescent="0.25">
      <c r="A2497">
        <v>7301130010</v>
      </c>
    </row>
    <row r="2498" spans="1:1" x14ac:dyDescent="0.25">
      <c r="A2498">
        <v>7301130009</v>
      </c>
    </row>
    <row r="2499" spans="1:1" x14ac:dyDescent="0.25">
      <c r="A2499">
        <v>7301130008</v>
      </c>
    </row>
    <row r="2500" spans="1:1" x14ac:dyDescent="0.25">
      <c r="A2500">
        <v>7301130006</v>
      </c>
    </row>
    <row r="2501" spans="1:1" x14ac:dyDescent="0.25">
      <c r="A2501">
        <v>7301130005</v>
      </c>
    </row>
    <row r="2502" spans="1:1" x14ac:dyDescent="0.25">
      <c r="A2502">
        <v>7301130004</v>
      </c>
    </row>
    <row r="2503" spans="1:1" x14ac:dyDescent="0.25">
      <c r="A2503">
        <v>7301130003</v>
      </c>
    </row>
    <row r="2504" spans="1:1" x14ac:dyDescent="0.25">
      <c r="A2504">
        <v>7301130002</v>
      </c>
    </row>
    <row r="2505" spans="1:1" x14ac:dyDescent="0.25">
      <c r="A2505">
        <v>7301130001</v>
      </c>
    </row>
    <row r="2506" spans="1:1" x14ac:dyDescent="0.25">
      <c r="A2506">
        <v>5773090000</v>
      </c>
    </row>
    <row r="2507" spans="1:1" x14ac:dyDescent="0.25">
      <c r="A2507">
        <v>5773030000</v>
      </c>
    </row>
    <row r="2508" spans="1:1" x14ac:dyDescent="0.25">
      <c r="A2508">
        <v>5773010000</v>
      </c>
    </row>
    <row r="2509" spans="1:1" x14ac:dyDescent="0.25">
      <c r="A2509">
        <v>5203310000</v>
      </c>
    </row>
    <row r="2510" spans="1:1" x14ac:dyDescent="0.25">
      <c r="A2510">
        <v>5773000000</v>
      </c>
    </row>
    <row r="2511" spans="1:1" x14ac:dyDescent="0.25">
      <c r="A2511">
        <v>5225410000</v>
      </c>
    </row>
    <row r="2512" spans="1:1" x14ac:dyDescent="0.25">
      <c r="A2512">
        <v>5225210000</v>
      </c>
    </row>
    <row r="2513" spans="1:1" x14ac:dyDescent="0.25">
      <c r="A2513">
        <v>5225010000</v>
      </c>
    </row>
    <row r="2514" spans="1:1" x14ac:dyDescent="0.25">
      <c r="A2514">
        <v>5223150000</v>
      </c>
    </row>
    <row r="2515" spans="1:1" x14ac:dyDescent="0.25">
      <c r="A2515">
        <v>5203110000</v>
      </c>
    </row>
    <row r="2516" spans="1:1" x14ac:dyDescent="0.25">
      <c r="A2516">
        <v>5203210000</v>
      </c>
    </row>
    <row r="2517" spans="1:1" x14ac:dyDescent="0.25">
      <c r="A2517">
        <v>5201210000</v>
      </c>
    </row>
    <row r="2518" spans="1:1" x14ac:dyDescent="0.25">
      <c r="A2518">
        <v>5203410000</v>
      </c>
    </row>
    <row r="2519" spans="1:1" x14ac:dyDescent="0.25">
      <c r="A2519">
        <v>5203010000</v>
      </c>
    </row>
    <row r="2520" spans="1:1" x14ac:dyDescent="0.25">
      <c r="A2520">
        <v>120103</v>
      </c>
    </row>
    <row r="2521" spans="1:1" x14ac:dyDescent="0.25">
      <c r="A2521">
        <v>5209000000</v>
      </c>
    </row>
    <row r="2522" spans="1:1" x14ac:dyDescent="0.25">
      <c r="A2522">
        <v>5200500000</v>
      </c>
    </row>
    <row r="2523" spans="1:1" x14ac:dyDescent="0.25">
      <c r="A2523">
        <v>5200400000</v>
      </c>
    </row>
    <row r="2524" spans="1:1" x14ac:dyDescent="0.25">
      <c r="A2524">
        <v>5200200000</v>
      </c>
    </row>
    <row r="2525" spans="1:1" x14ac:dyDescent="0.25">
      <c r="A2525">
        <v>5200000000</v>
      </c>
    </row>
    <row r="2526" spans="1:1" x14ac:dyDescent="0.25">
      <c r="A2526">
        <v>120102</v>
      </c>
    </row>
    <row r="2527" spans="1:1" x14ac:dyDescent="0.25">
      <c r="A2527">
        <v>5202010000</v>
      </c>
    </row>
    <row r="2528" spans="1:1" x14ac:dyDescent="0.25">
      <c r="A2528">
        <v>7620301102</v>
      </c>
    </row>
    <row r="2529" spans="1:1" x14ac:dyDescent="0.25">
      <c r="A2529">
        <v>7340000004</v>
      </c>
    </row>
    <row r="2530" spans="1:1" x14ac:dyDescent="0.25">
      <c r="A2530">
        <v>7330130001</v>
      </c>
    </row>
    <row r="2531" spans="1:1" x14ac:dyDescent="0.25">
      <c r="A2531">
        <v>5773020000</v>
      </c>
    </row>
    <row r="2532" spans="1:1" x14ac:dyDescent="0.25">
      <c r="A2532">
        <v>7620301112</v>
      </c>
    </row>
    <row r="2533" spans="1:1" x14ac:dyDescent="0.25">
      <c r="A2533">
        <v>120101</v>
      </c>
    </row>
    <row r="2534" spans="1:1" x14ac:dyDescent="0.25">
      <c r="A2534">
        <v>5202200000</v>
      </c>
    </row>
    <row r="2535" spans="1:1" x14ac:dyDescent="0.25">
      <c r="A2535">
        <v>5202106000</v>
      </c>
    </row>
    <row r="2536" spans="1:1" x14ac:dyDescent="0.25">
      <c r="A2536">
        <v>5202100000</v>
      </c>
    </row>
    <row r="2537" spans="1:1" x14ac:dyDescent="0.25">
      <c r="A2537">
        <v>5202000000</v>
      </c>
    </row>
    <row r="2538" spans="1:1" x14ac:dyDescent="0.25">
      <c r="A2538">
        <v>110000</v>
      </c>
    </row>
    <row r="2539" spans="1:1" x14ac:dyDescent="0.25">
      <c r="A2539">
        <v>110200</v>
      </c>
    </row>
    <row r="2540" spans="1:1" x14ac:dyDescent="0.25">
      <c r="A2540">
        <v>110205</v>
      </c>
    </row>
    <row r="2541" spans="1:1" x14ac:dyDescent="0.25">
      <c r="A2541">
        <v>5925400000</v>
      </c>
    </row>
    <row r="2542" spans="1:1" x14ac:dyDescent="0.25">
      <c r="A2542">
        <v>5932000000</v>
      </c>
    </row>
    <row r="2543" spans="1:1" x14ac:dyDescent="0.25">
      <c r="A2543">
        <v>5931000000</v>
      </c>
    </row>
    <row r="2544" spans="1:1" x14ac:dyDescent="0.25">
      <c r="A2544">
        <v>3313000000</v>
      </c>
    </row>
    <row r="2545" spans="1:1" x14ac:dyDescent="0.25">
      <c r="A2545">
        <v>110204</v>
      </c>
    </row>
    <row r="2546" spans="1:1" x14ac:dyDescent="0.25">
      <c r="A2546">
        <v>5202300000</v>
      </c>
    </row>
    <row r="2547" spans="1:1" x14ac:dyDescent="0.25">
      <c r="A2547">
        <v>5173000000</v>
      </c>
    </row>
    <row r="2548" spans="1:1" x14ac:dyDescent="0.25">
      <c r="A2548">
        <v>3911100000</v>
      </c>
    </row>
    <row r="2549" spans="1:1" x14ac:dyDescent="0.25">
      <c r="A2549">
        <v>3317100000</v>
      </c>
    </row>
    <row r="2550" spans="1:1" x14ac:dyDescent="0.25">
      <c r="A2550">
        <v>110203</v>
      </c>
    </row>
    <row r="2551" spans="1:1" x14ac:dyDescent="0.25">
      <c r="A2551">
        <v>5205210000</v>
      </c>
    </row>
    <row r="2552" spans="1:1" x14ac:dyDescent="0.25">
      <c r="A2552">
        <v>7600304005</v>
      </c>
    </row>
    <row r="2553" spans="1:1" x14ac:dyDescent="0.25">
      <c r="A2553">
        <v>7600304036</v>
      </c>
    </row>
    <row r="2554" spans="1:1" x14ac:dyDescent="0.25">
      <c r="A2554">
        <v>7600304035</v>
      </c>
    </row>
    <row r="2555" spans="1:1" x14ac:dyDescent="0.25">
      <c r="A2555">
        <v>7600304034</v>
      </c>
    </row>
    <row r="2556" spans="1:1" x14ac:dyDescent="0.25">
      <c r="A2556">
        <v>7600304033</v>
      </c>
    </row>
    <row r="2557" spans="1:1" x14ac:dyDescent="0.25">
      <c r="A2557">
        <v>7600304032</v>
      </c>
    </row>
    <row r="2558" spans="1:1" x14ac:dyDescent="0.25">
      <c r="A2558">
        <v>7600304031</v>
      </c>
    </row>
    <row r="2559" spans="1:1" x14ac:dyDescent="0.25">
      <c r="A2559">
        <v>7600304030</v>
      </c>
    </row>
    <row r="2560" spans="1:1" x14ac:dyDescent="0.25">
      <c r="A2560">
        <v>7600304027</v>
      </c>
    </row>
    <row r="2561" spans="1:1" x14ac:dyDescent="0.25">
      <c r="A2561">
        <v>7600304021</v>
      </c>
    </row>
    <row r="2562" spans="1:1" x14ac:dyDescent="0.25">
      <c r="A2562">
        <v>7600304013</v>
      </c>
    </row>
    <row r="2563" spans="1:1" x14ac:dyDescent="0.25">
      <c r="A2563">
        <v>5205110000</v>
      </c>
    </row>
    <row r="2564" spans="1:1" x14ac:dyDescent="0.25">
      <c r="A2564">
        <v>5203510000</v>
      </c>
    </row>
    <row r="2565" spans="1:1" x14ac:dyDescent="0.25">
      <c r="A2565">
        <v>5205310000</v>
      </c>
    </row>
    <row r="2566" spans="1:1" x14ac:dyDescent="0.25">
      <c r="A2566">
        <v>7600304020</v>
      </c>
    </row>
    <row r="2567" spans="1:1" x14ac:dyDescent="0.25">
      <c r="A2567">
        <v>7600304019</v>
      </c>
    </row>
    <row r="2568" spans="1:1" x14ac:dyDescent="0.25">
      <c r="A2568">
        <v>7600304015</v>
      </c>
    </row>
    <row r="2569" spans="1:1" x14ac:dyDescent="0.25">
      <c r="A2569">
        <v>7600304014</v>
      </c>
    </row>
    <row r="2570" spans="1:1" x14ac:dyDescent="0.25">
      <c r="A2570">
        <v>7600304010</v>
      </c>
    </row>
    <row r="2571" spans="1:1" x14ac:dyDescent="0.25">
      <c r="A2571">
        <v>5201090000</v>
      </c>
    </row>
    <row r="2572" spans="1:1" x14ac:dyDescent="0.25">
      <c r="A2572">
        <v>5201030000</v>
      </c>
    </row>
    <row r="2573" spans="1:1" x14ac:dyDescent="0.25">
      <c r="A2573">
        <v>5201020000</v>
      </c>
    </row>
    <row r="2574" spans="1:1" x14ac:dyDescent="0.25">
      <c r="A2574">
        <v>5201000000</v>
      </c>
    </row>
    <row r="2575" spans="1:1" x14ac:dyDescent="0.25">
      <c r="A2575">
        <v>110202</v>
      </c>
    </row>
    <row r="2576" spans="1:1" x14ac:dyDescent="0.25">
      <c r="A2576">
        <v>110220</v>
      </c>
    </row>
    <row r="2577" spans="1:1" x14ac:dyDescent="0.25">
      <c r="A2577">
        <v>5220110000</v>
      </c>
    </row>
    <row r="2578" spans="1:1" x14ac:dyDescent="0.25">
      <c r="A2578">
        <v>5221110000</v>
      </c>
    </row>
    <row r="2579" spans="1:1" x14ac:dyDescent="0.25">
      <c r="A2579">
        <v>5221510000</v>
      </c>
    </row>
    <row r="2580" spans="1:1" x14ac:dyDescent="0.25">
      <c r="A2580">
        <v>7620304224</v>
      </c>
    </row>
    <row r="2581" spans="1:1" x14ac:dyDescent="0.25">
      <c r="A2581">
        <v>7620304223</v>
      </c>
    </row>
    <row r="2582" spans="1:1" x14ac:dyDescent="0.25">
      <c r="A2582">
        <v>7620304222</v>
      </c>
    </row>
    <row r="2583" spans="1:1" x14ac:dyDescent="0.25">
      <c r="A2583">
        <v>7620000031</v>
      </c>
    </row>
    <row r="2584" spans="1:1" x14ac:dyDescent="0.25">
      <c r="A2584">
        <v>7620000030</v>
      </c>
    </row>
    <row r="2585" spans="1:1" x14ac:dyDescent="0.25">
      <c r="A2585">
        <v>7600304214</v>
      </c>
    </row>
    <row r="2586" spans="1:1" x14ac:dyDescent="0.25">
      <c r="A2586">
        <v>7600304209</v>
      </c>
    </row>
    <row r="2587" spans="1:1" x14ac:dyDescent="0.25">
      <c r="A2587">
        <v>7600304208</v>
      </c>
    </row>
    <row r="2588" spans="1:1" x14ac:dyDescent="0.25">
      <c r="A2588">
        <v>7600304207</v>
      </c>
    </row>
    <row r="2589" spans="1:1" x14ac:dyDescent="0.25">
      <c r="A2589">
        <v>7600304093</v>
      </c>
    </row>
    <row r="2590" spans="1:1" x14ac:dyDescent="0.25">
      <c r="A2590">
        <v>7600304088</v>
      </c>
    </row>
    <row r="2591" spans="1:1" x14ac:dyDescent="0.25">
      <c r="A2591">
        <v>7320110008</v>
      </c>
    </row>
    <row r="2592" spans="1:1" x14ac:dyDescent="0.25">
      <c r="A2592">
        <v>7301160001</v>
      </c>
    </row>
    <row r="2593" spans="1:1" x14ac:dyDescent="0.25">
      <c r="A2593">
        <v>7020000005</v>
      </c>
    </row>
    <row r="2594" spans="1:1" x14ac:dyDescent="0.25">
      <c r="A2594">
        <v>7010000001</v>
      </c>
    </row>
    <row r="2595" spans="1:1" x14ac:dyDescent="0.25">
      <c r="A2595">
        <v>110201</v>
      </c>
    </row>
    <row r="2596" spans="1:1" x14ac:dyDescent="0.25">
      <c r="A2596">
        <v>7620000020</v>
      </c>
    </row>
    <row r="2597" spans="1:1" x14ac:dyDescent="0.25">
      <c r="A2597">
        <v>7320110014</v>
      </c>
    </row>
    <row r="2598" spans="1:1" x14ac:dyDescent="0.25">
      <c r="A2598">
        <v>7320110012</v>
      </c>
    </row>
    <row r="2599" spans="1:1" x14ac:dyDescent="0.25">
      <c r="A2599">
        <v>7600301011</v>
      </c>
    </row>
    <row r="2600" spans="1:1" x14ac:dyDescent="0.25">
      <c r="A2600">
        <v>110100</v>
      </c>
    </row>
    <row r="2601" spans="1:1" x14ac:dyDescent="0.25">
      <c r="A2601">
        <v>110106</v>
      </c>
    </row>
    <row r="2602" spans="1:1" x14ac:dyDescent="0.25">
      <c r="A2602">
        <v>110126</v>
      </c>
    </row>
    <row r="2603" spans="1:1" x14ac:dyDescent="0.25">
      <c r="A2603">
        <v>4515400000</v>
      </c>
    </row>
    <row r="2604" spans="1:1" x14ac:dyDescent="0.25">
      <c r="A2604">
        <v>4515200000</v>
      </c>
    </row>
    <row r="2605" spans="1:1" x14ac:dyDescent="0.25">
      <c r="A2605">
        <v>4515100000</v>
      </c>
    </row>
    <row r="2606" spans="1:1" x14ac:dyDescent="0.25">
      <c r="A2606">
        <v>5969008000</v>
      </c>
    </row>
    <row r="2607" spans="1:1" x14ac:dyDescent="0.25">
      <c r="A2607">
        <v>5172000001</v>
      </c>
    </row>
    <row r="2608" spans="1:1" x14ac:dyDescent="0.25">
      <c r="A2608">
        <v>5172000000</v>
      </c>
    </row>
    <row r="2609" spans="1:1" x14ac:dyDescent="0.25">
      <c r="A2609">
        <v>5171000001</v>
      </c>
    </row>
    <row r="2610" spans="1:1" x14ac:dyDescent="0.25">
      <c r="A2610">
        <v>5171000000</v>
      </c>
    </row>
    <row r="2611" spans="1:1" x14ac:dyDescent="0.25">
      <c r="A2611">
        <v>5170000000</v>
      </c>
    </row>
    <row r="2612" spans="1:1" x14ac:dyDescent="0.25">
      <c r="A2612">
        <v>5169000000</v>
      </c>
    </row>
    <row r="2613" spans="1:1" x14ac:dyDescent="0.25">
      <c r="A2613">
        <v>5161000000</v>
      </c>
    </row>
    <row r="2614" spans="1:1" x14ac:dyDescent="0.25">
      <c r="A2614">
        <v>5160000000</v>
      </c>
    </row>
    <row r="2615" spans="1:1" x14ac:dyDescent="0.25">
      <c r="A2615">
        <v>4515600000</v>
      </c>
    </row>
    <row r="2616" spans="1:1" x14ac:dyDescent="0.25">
      <c r="A2616">
        <v>4515500000</v>
      </c>
    </row>
    <row r="2617" spans="1:1" x14ac:dyDescent="0.25">
      <c r="A2617">
        <v>4515300000</v>
      </c>
    </row>
    <row r="2618" spans="1:1" x14ac:dyDescent="0.25">
      <c r="A2618">
        <v>4515000000</v>
      </c>
    </row>
    <row r="2619" spans="1:1" x14ac:dyDescent="0.25">
      <c r="A2619">
        <v>4514000000</v>
      </c>
    </row>
    <row r="2620" spans="1:1" x14ac:dyDescent="0.25">
      <c r="A2620">
        <v>4513000000</v>
      </c>
    </row>
    <row r="2621" spans="1:1" x14ac:dyDescent="0.25">
      <c r="A2621">
        <v>5170000001</v>
      </c>
    </row>
    <row r="2622" spans="1:1" x14ac:dyDescent="0.25">
      <c r="A2622">
        <v>110116</v>
      </c>
    </row>
    <row r="2623" spans="1:1" x14ac:dyDescent="0.25">
      <c r="A2623">
        <v>5202400000</v>
      </c>
    </row>
    <row r="2624" spans="1:1" x14ac:dyDescent="0.25">
      <c r="A2624">
        <v>110105</v>
      </c>
    </row>
    <row r="2625" spans="1:1" x14ac:dyDescent="0.25">
      <c r="A2625">
        <v>5113500400</v>
      </c>
    </row>
    <row r="2626" spans="1:1" x14ac:dyDescent="0.25">
      <c r="A2626">
        <v>5113500001</v>
      </c>
    </row>
    <row r="2627" spans="1:1" x14ac:dyDescent="0.25">
      <c r="A2627">
        <v>5113500000</v>
      </c>
    </row>
    <row r="2628" spans="1:1" x14ac:dyDescent="0.25">
      <c r="A2628">
        <v>5113000300</v>
      </c>
    </row>
    <row r="2629" spans="1:1" x14ac:dyDescent="0.25">
      <c r="A2629">
        <v>5113000001</v>
      </c>
    </row>
    <row r="2630" spans="1:1" x14ac:dyDescent="0.25">
      <c r="A2630">
        <v>5113000000</v>
      </c>
    </row>
    <row r="2631" spans="1:1" x14ac:dyDescent="0.25">
      <c r="A2631">
        <v>5112500400</v>
      </c>
    </row>
    <row r="2632" spans="1:1" x14ac:dyDescent="0.25">
      <c r="A2632">
        <v>110104</v>
      </c>
    </row>
    <row r="2633" spans="1:1" x14ac:dyDescent="0.25">
      <c r="A2633">
        <v>5119000000</v>
      </c>
    </row>
    <row r="2634" spans="1:1" x14ac:dyDescent="0.25">
      <c r="A2634">
        <v>5115000010</v>
      </c>
    </row>
    <row r="2635" spans="1:1" x14ac:dyDescent="0.25">
      <c r="A2635">
        <v>7824210000</v>
      </c>
    </row>
    <row r="2636" spans="1:1" x14ac:dyDescent="0.25">
      <c r="A2636">
        <v>7824110000</v>
      </c>
    </row>
    <row r="2637" spans="1:1" x14ac:dyDescent="0.25">
      <c r="A2637">
        <v>7823200000</v>
      </c>
    </row>
    <row r="2638" spans="1:1" x14ac:dyDescent="0.25">
      <c r="A2638">
        <v>7820120002</v>
      </c>
    </row>
    <row r="2639" spans="1:1" x14ac:dyDescent="0.25">
      <c r="A2639">
        <v>7620000019</v>
      </c>
    </row>
    <row r="2640" spans="1:1" x14ac:dyDescent="0.25">
      <c r="A2640">
        <v>7600304012</v>
      </c>
    </row>
    <row r="2641" spans="1:1" x14ac:dyDescent="0.25">
      <c r="A2641">
        <v>7320110009</v>
      </c>
    </row>
    <row r="2642" spans="1:1" x14ac:dyDescent="0.25">
      <c r="A2642">
        <v>5119400000</v>
      </c>
    </row>
    <row r="2643" spans="1:1" x14ac:dyDescent="0.25">
      <c r="A2643">
        <v>5119200001</v>
      </c>
    </row>
    <row r="2644" spans="1:1" x14ac:dyDescent="0.25">
      <c r="A2644">
        <v>5119200000</v>
      </c>
    </row>
    <row r="2645" spans="1:1" x14ac:dyDescent="0.25">
      <c r="A2645">
        <v>5115500400</v>
      </c>
    </row>
    <row r="2646" spans="1:1" x14ac:dyDescent="0.25">
      <c r="A2646">
        <v>5115500001</v>
      </c>
    </row>
    <row r="2647" spans="1:1" x14ac:dyDescent="0.25">
      <c r="A2647">
        <v>5115500000</v>
      </c>
    </row>
    <row r="2648" spans="1:1" x14ac:dyDescent="0.25">
      <c r="A2648">
        <v>5115000300</v>
      </c>
    </row>
    <row r="2649" spans="1:1" x14ac:dyDescent="0.25">
      <c r="A2649">
        <v>5115000001</v>
      </c>
    </row>
    <row r="2650" spans="1:1" x14ac:dyDescent="0.25">
      <c r="A2650">
        <v>5115000000</v>
      </c>
    </row>
    <row r="2651" spans="1:1" x14ac:dyDescent="0.25">
      <c r="A2651">
        <v>3314000000</v>
      </c>
    </row>
    <row r="2652" spans="1:1" x14ac:dyDescent="0.25">
      <c r="A2652">
        <v>3311000400</v>
      </c>
    </row>
    <row r="2653" spans="1:1" x14ac:dyDescent="0.25">
      <c r="A2653">
        <v>3311000001</v>
      </c>
    </row>
    <row r="2654" spans="1:1" x14ac:dyDescent="0.25">
      <c r="A2654">
        <v>3311000000</v>
      </c>
    </row>
    <row r="2655" spans="1:1" x14ac:dyDescent="0.25">
      <c r="A2655">
        <v>110103</v>
      </c>
    </row>
    <row r="2656" spans="1:1" x14ac:dyDescent="0.25">
      <c r="A2656">
        <v>5100000011</v>
      </c>
    </row>
    <row r="2657" spans="1:1" x14ac:dyDescent="0.25">
      <c r="A2657">
        <v>5100000010</v>
      </c>
    </row>
    <row r="2658" spans="1:1" x14ac:dyDescent="0.25">
      <c r="A2658">
        <v>5101000010</v>
      </c>
    </row>
    <row r="2659" spans="1:1" x14ac:dyDescent="0.25">
      <c r="A2659">
        <v>5101000001</v>
      </c>
    </row>
    <row r="2660" spans="1:1" x14ac:dyDescent="0.25">
      <c r="A2660">
        <v>5101000000</v>
      </c>
    </row>
    <row r="2661" spans="1:1" x14ac:dyDescent="0.25">
      <c r="A2661">
        <v>5100010001</v>
      </c>
    </row>
    <row r="2662" spans="1:1" x14ac:dyDescent="0.25">
      <c r="A2662">
        <v>5100010000</v>
      </c>
    </row>
    <row r="2663" spans="1:1" x14ac:dyDescent="0.25">
      <c r="A2663">
        <v>5100000001</v>
      </c>
    </row>
    <row r="2664" spans="1:1" x14ac:dyDescent="0.25">
      <c r="A2664">
        <v>5100000000</v>
      </c>
    </row>
    <row r="2665" spans="1:1" x14ac:dyDescent="0.25">
      <c r="A2665">
        <v>3310000001</v>
      </c>
    </row>
    <row r="2666" spans="1:1" x14ac:dyDescent="0.25">
      <c r="A2666">
        <v>3310000000</v>
      </c>
    </row>
    <row r="2667" spans="1:1" x14ac:dyDescent="0.25">
      <c r="A2667">
        <v>110102</v>
      </c>
    </row>
    <row r="2668" spans="1:1" x14ac:dyDescent="0.25">
      <c r="A2668">
        <v>7620000017</v>
      </c>
    </row>
    <row r="2669" spans="1:1" x14ac:dyDescent="0.25">
      <c r="A2669">
        <v>5111500400</v>
      </c>
    </row>
    <row r="2670" spans="1:1" x14ac:dyDescent="0.25">
      <c r="A2670">
        <v>5111500010</v>
      </c>
    </row>
    <row r="2671" spans="1:1" x14ac:dyDescent="0.25">
      <c r="A2671">
        <v>5111500001</v>
      </c>
    </row>
    <row r="2672" spans="1:1" x14ac:dyDescent="0.25">
      <c r="A2672">
        <v>5111500000</v>
      </c>
    </row>
    <row r="2673" spans="1:1" x14ac:dyDescent="0.25">
      <c r="A2673">
        <v>5111000300</v>
      </c>
    </row>
    <row r="2674" spans="1:1" x14ac:dyDescent="0.25">
      <c r="A2674">
        <v>5111000010</v>
      </c>
    </row>
    <row r="2675" spans="1:1" x14ac:dyDescent="0.25">
      <c r="A2675">
        <v>5111000001</v>
      </c>
    </row>
    <row r="2676" spans="1:1" x14ac:dyDescent="0.25">
      <c r="A2676">
        <v>5111000000</v>
      </c>
    </row>
    <row r="2677" spans="1:1" x14ac:dyDescent="0.25">
      <c r="A2677">
        <v>110101</v>
      </c>
    </row>
    <row r="2678" spans="1:1" x14ac:dyDescent="0.25">
      <c r="A2678">
        <v>7620000018</v>
      </c>
    </row>
    <row r="2679" spans="1:1" x14ac:dyDescent="0.25">
      <c r="A2679">
        <v>5114500400</v>
      </c>
    </row>
    <row r="2680" spans="1:1" x14ac:dyDescent="0.25">
      <c r="A2680">
        <v>5114500001</v>
      </c>
    </row>
    <row r="2681" spans="1:1" x14ac:dyDescent="0.25">
      <c r="A2681">
        <v>5114500000</v>
      </c>
    </row>
    <row r="2682" spans="1:1" x14ac:dyDescent="0.25">
      <c r="A2682">
        <v>5114000300</v>
      </c>
    </row>
    <row r="2683" spans="1:1" x14ac:dyDescent="0.25">
      <c r="A2683">
        <v>5114000001</v>
      </c>
    </row>
    <row r="2684" spans="1:1" x14ac:dyDescent="0.25">
      <c r="A2684">
        <v>5114000000</v>
      </c>
    </row>
    <row r="2685" spans="1:1" x14ac:dyDescent="0.25">
      <c r="A2685">
        <v>5112500001</v>
      </c>
    </row>
    <row r="2686" spans="1:1" x14ac:dyDescent="0.25">
      <c r="A2686">
        <v>5112500000</v>
      </c>
    </row>
    <row r="2687" spans="1:1" x14ac:dyDescent="0.25">
      <c r="A2687">
        <v>5112000300</v>
      </c>
    </row>
    <row r="2688" spans="1:1" x14ac:dyDescent="0.25">
      <c r="A2688">
        <v>5112000010</v>
      </c>
    </row>
    <row r="2689" spans="1:1" x14ac:dyDescent="0.25">
      <c r="A2689">
        <v>5112000001</v>
      </c>
    </row>
    <row r="2690" spans="1:1" x14ac:dyDescent="0.25">
      <c r="A2690">
        <v>5112000000</v>
      </c>
    </row>
    <row r="2691" spans="1:1" x14ac:dyDescent="0.25">
      <c r="A2691">
        <v>100000</v>
      </c>
    </row>
    <row r="2692" spans="1:1" x14ac:dyDescent="0.25">
      <c r="A2692">
        <v>100500</v>
      </c>
    </row>
    <row r="2693" spans="1:1" x14ac:dyDescent="0.25">
      <c r="A2693">
        <v>7240000009</v>
      </c>
    </row>
    <row r="2694" spans="1:1" x14ac:dyDescent="0.25">
      <c r="A2694">
        <v>5060010000</v>
      </c>
    </row>
    <row r="2695" spans="1:1" x14ac:dyDescent="0.25">
      <c r="A2695">
        <v>5050010000</v>
      </c>
    </row>
    <row r="2696" spans="1:1" x14ac:dyDescent="0.25">
      <c r="A2696">
        <v>100400</v>
      </c>
    </row>
    <row r="2697" spans="1:1" x14ac:dyDescent="0.25">
      <c r="A2697">
        <v>100403</v>
      </c>
    </row>
    <row r="2698" spans="1:1" x14ac:dyDescent="0.25">
      <c r="A2698">
        <v>100423</v>
      </c>
    </row>
    <row r="2699" spans="1:1" x14ac:dyDescent="0.25">
      <c r="A2699">
        <v>5020010000</v>
      </c>
    </row>
    <row r="2700" spans="1:1" x14ac:dyDescent="0.25">
      <c r="A2700">
        <v>100413</v>
      </c>
    </row>
    <row r="2701" spans="1:1" x14ac:dyDescent="0.25">
      <c r="A2701">
        <v>5001003000</v>
      </c>
    </row>
    <row r="2702" spans="1:1" x14ac:dyDescent="0.25">
      <c r="A2702">
        <v>100402</v>
      </c>
    </row>
    <row r="2703" spans="1:1" x14ac:dyDescent="0.25">
      <c r="A2703">
        <v>7320110013</v>
      </c>
    </row>
    <row r="2704" spans="1:1" x14ac:dyDescent="0.25">
      <c r="A2704">
        <v>7240000006</v>
      </c>
    </row>
    <row r="2705" spans="1:1" x14ac:dyDescent="0.25">
      <c r="A2705">
        <v>7200000010</v>
      </c>
    </row>
    <row r="2706" spans="1:1" x14ac:dyDescent="0.25">
      <c r="A2706">
        <v>5030990000</v>
      </c>
    </row>
    <row r="2707" spans="1:1" x14ac:dyDescent="0.25">
      <c r="A2707">
        <v>5030090007</v>
      </c>
    </row>
    <row r="2708" spans="1:1" x14ac:dyDescent="0.25">
      <c r="A2708">
        <v>5030090006</v>
      </c>
    </row>
    <row r="2709" spans="1:1" x14ac:dyDescent="0.25">
      <c r="A2709">
        <v>5030090002</v>
      </c>
    </row>
    <row r="2710" spans="1:1" x14ac:dyDescent="0.25">
      <c r="A2710">
        <v>5030090001</v>
      </c>
    </row>
    <row r="2711" spans="1:1" x14ac:dyDescent="0.25">
      <c r="A2711">
        <v>5030090000</v>
      </c>
    </row>
    <row r="2712" spans="1:1" x14ac:dyDescent="0.25">
      <c r="A2712">
        <v>5030010012</v>
      </c>
    </row>
    <row r="2713" spans="1:1" x14ac:dyDescent="0.25">
      <c r="A2713">
        <v>5030010011</v>
      </c>
    </row>
    <row r="2714" spans="1:1" x14ac:dyDescent="0.25">
      <c r="A2714">
        <v>5030010002</v>
      </c>
    </row>
    <row r="2715" spans="1:1" x14ac:dyDescent="0.25">
      <c r="A2715">
        <v>5030010001</v>
      </c>
    </row>
    <row r="2716" spans="1:1" x14ac:dyDescent="0.25">
      <c r="A2716">
        <v>5030009001</v>
      </c>
    </row>
    <row r="2717" spans="1:1" x14ac:dyDescent="0.25">
      <c r="A2717">
        <v>5030009000</v>
      </c>
    </row>
    <row r="2718" spans="1:1" x14ac:dyDescent="0.25">
      <c r="A2718">
        <v>5030007000</v>
      </c>
    </row>
    <row r="2719" spans="1:1" x14ac:dyDescent="0.25">
      <c r="A2719">
        <v>5030006001</v>
      </c>
    </row>
    <row r="2720" spans="1:1" x14ac:dyDescent="0.25">
      <c r="A2720">
        <v>5030006000</v>
      </c>
    </row>
    <row r="2721" spans="1:1" x14ac:dyDescent="0.25">
      <c r="A2721">
        <v>5030004000</v>
      </c>
    </row>
    <row r="2722" spans="1:1" x14ac:dyDescent="0.25">
      <c r="A2722">
        <v>5030003000</v>
      </c>
    </row>
    <row r="2723" spans="1:1" x14ac:dyDescent="0.25">
      <c r="A2723">
        <v>5000006000</v>
      </c>
    </row>
    <row r="2724" spans="1:1" x14ac:dyDescent="0.25">
      <c r="A2724">
        <v>3955500000</v>
      </c>
    </row>
    <row r="2725" spans="1:1" x14ac:dyDescent="0.25">
      <c r="A2725">
        <v>100401</v>
      </c>
    </row>
    <row r="2726" spans="1:1" x14ac:dyDescent="0.25">
      <c r="A2726">
        <v>7220000019</v>
      </c>
    </row>
    <row r="2727" spans="1:1" x14ac:dyDescent="0.25">
      <c r="A2727">
        <v>7220000014</v>
      </c>
    </row>
    <row r="2728" spans="1:1" x14ac:dyDescent="0.25">
      <c r="A2728">
        <v>5981310000</v>
      </c>
    </row>
    <row r="2729" spans="1:1" x14ac:dyDescent="0.25">
      <c r="A2729">
        <v>5050005000</v>
      </c>
    </row>
    <row r="2730" spans="1:1" x14ac:dyDescent="0.25">
      <c r="A2730">
        <v>5050004000</v>
      </c>
    </row>
    <row r="2731" spans="1:1" x14ac:dyDescent="0.25">
      <c r="A2731">
        <v>5050003000</v>
      </c>
    </row>
    <row r="2732" spans="1:1" x14ac:dyDescent="0.25">
      <c r="A2732">
        <v>5050002000</v>
      </c>
    </row>
    <row r="2733" spans="1:1" x14ac:dyDescent="0.25">
      <c r="A2733">
        <v>5050001000</v>
      </c>
    </row>
    <row r="2734" spans="1:1" x14ac:dyDescent="0.25">
      <c r="A2734">
        <v>5050000000</v>
      </c>
    </row>
    <row r="2735" spans="1:1" x14ac:dyDescent="0.25">
      <c r="A2735">
        <v>5030002000</v>
      </c>
    </row>
    <row r="2736" spans="1:1" x14ac:dyDescent="0.25">
      <c r="A2736">
        <v>5030001000</v>
      </c>
    </row>
    <row r="2737" spans="1:1" x14ac:dyDescent="0.25">
      <c r="A2737">
        <v>5030000000</v>
      </c>
    </row>
    <row r="2738" spans="1:1" x14ac:dyDescent="0.25">
      <c r="A2738">
        <v>100300</v>
      </c>
    </row>
    <row r="2739" spans="1:1" x14ac:dyDescent="0.25">
      <c r="A2739">
        <v>7600304182</v>
      </c>
    </row>
    <row r="2740" spans="1:1" x14ac:dyDescent="0.25">
      <c r="A2740">
        <v>7600304148</v>
      </c>
    </row>
    <row r="2741" spans="1:1" x14ac:dyDescent="0.25">
      <c r="A2741">
        <v>7600304144</v>
      </c>
    </row>
    <row r="2742" spans="1:1" x14ac:dyDescent="0.25">
      <c r="A2742">
        <v>7600304067</v>
      </c>
    </row>
    <row r="2743" spans="1:1" x14ac:dyDescent="0.25">
      <c r="A2743">
        <v>7600304038</v>
      </c>
    </row>
    <row r="2744" spans="1:1" x14ac:dyDescent="0.25">
      <c r="A2744">
        <v>7560000003</v>
      </c>
    </row>
    <row r="2745" spans="1:1" x14ac:dyDescent="0.25">
      <c r="A2745">
        <v>7200000011</v>
      </c>
    </row>
    <row r="2746" spans="1:1" x14ac:dyDescent="0.25">
      <c r="A2746">
        <v>7200000009</v>
      </c>
    </row>
    <row r="2747" spans="1:1" x14ac:dyDescent="0.25">
      <c r="A2747">
        <v>7200000008</v>
      </c>
    </row>
    <row r="2748" spans="1:1" x14ac:dyDescent="0.25">
      <c r="A2748">
        <v>7200000007</v>
      </c>
    </row>
    <row r="2749" spans="1:1" x14ac:dyDescent="0.25">
      <c r="A2749">
        <v>7120000004</v>
      </c>
    </row>
    <row r="2750" spans="1:1" x14ac:dyDescent="0.25">
      <c r="A2750">
        <v>7100000020</v>
      </c>
    </row>
    <row r="2751" spans="1:1" x14ac:dyDescent="0.25">
      <c r="A2751">
        <v>7100000009</v>
      </c>
    </row>
    <row r="2752" spans="1:1" x14ac:dyDescent="0.25">
      <c r="A2752">
        <v>5980610000</v>
      </c>
    </row>
    <row r="2753" spans="1:1" x14ac:dyDescent="0.25">
      <c r="A2753">
        <v>5060000000</v>
      </c>
    </row>
    <row r="2754" spans="1:1" x14ac:dyDescent="0.25">
      <c r="A2754">
        <v>100200</v>
      </c>
    </row>
    <row r="2755" spans="1:1" x14ac:dyDescent="0.25">
      <c r="A2755">
        <v>100202</v>
      </c>
    </row>
    <row r="2756" spans="1:1" x14ac:dyDescent="0.25">
      <c r="A2756">
        <v>7600304188</v>
      </c>
    </row>
    <row r="2757" spans="1:1" x14ac:dyDescent="0.25">
      <c r="A2757">
        <v>7600304078</v>
      </c>
    </row>
    <row r="2758" spans="1:1" x14ac:dyDescent="0.25">
      <c r="A2758">
        <v>7600304025</v>
      </c>
    </row>
    <row r="2759" spans="1:1" x14ac:dyDescent="0.25">
      <c r="A2759">
        <v>7600304024</v>
      </c>
    </row>
    <row r="2760" spans="1:1" x14ac:dyDescent="0.25">
      <c r="A2760">
        <v>7600304023</v>
      </c>
    </row>
    <row r="2761" spans="1:1" x14ac:dyDescent="0.25">
      <c r="A2761">
        <v>7600304022</v>
      </c>
    </row>
    <row r="2762" spans="1:1" x14ac:dyDescent="0.25">
      <c r="A2762">
        <v>7310120001</v>
      </c>
    </row>
    <row r="2763" spans="1:1" x14ac:dyDescent="0.25">
      <c r="A2763">
        <v>7300007000</v>
      </c>
    </row>
    <row r="2764" spans="1:1" x14ac:dyDescent="0.25">
      <c r="A2764">
        <v>7200000006</v>
      </c>
    </row>
    <row r="2765" spans="1:1" x14ac:dyDescent="0.25">
      <c r="A2765">
        <v>7020000006</v>
      </c>
    </row>
    <row r="2766" spans="1:1" x14ac:dyDescent="0.25">
      <c r="A2766">
        <v>7000000002</v>
      </c>
    </row>
    <row r="2767" spans="1:1" x14ac:dyDescent="0.25">
      <c r="A2767">
        <v>7000000001</v>
      </c>
    </row>
    <row r="2768" spans="1:1" x14ac:dyDescent="0.25">
      <c r="A2768">
        <v>5223510000</v>
      </c>
    </row>
    <row r="2769" spans="1:1" x14ac:dyDescent="0.25">
      <c r="A2769">
        <v>5040000001</v>
      </c>
    </row>
    <row r="2770" spans="1:1" x14ac:dyDescent="0.25">
      <c r="A2770">
        <v>100201</v>
      </c>
    </row>
    <row r="2771" spans="1:1" x14ac:dyDescent="0.25">
      <c r="A2771">
        <v>5040090000</v>
      </c>
    </row>
    <row r="2772" spans="1:1" x14ac:dyDescent="0.25">
      <c r="A2772">
        <v>5040010000</v>
      </c>
    </row>
    <row r="2773" spans="1:1" x14ac:dyDescent="0.25">
      <c r="A2773">
        <v>5040000000</v>
      </c>
    </row>
    <row r="2774" spans="1:1" x14ac:dyDescent="0.25">
      <c r="A2774">
        <v>100100</v>
      </c>
    </row>
    <row r="2775" spans="1:1" x14ac:dyDescent="0.25">
      <c r="A2775">
        <v>100105</v>
      </c>
    </row>
    <row r="2776" spans="1:1" x14ac:dyDescent="0.25">
      <c r="A2776">
        <v>7240000008</v>
      </c>
    </row>
    <row r="2777" spans="1:1" x14ac:dyDescent="0.25">
      <c r="A2777">
        <v>7220000013</v>
      </c>
    </row>
    <row r="2778" spans="1:1" x14ac:dyDescent="0.25">
      <c r="A2778">
        <v>5980710000</v>
      </c>
    </row>
    <row r="2779" spans="1:1" x14ac:dyDescent="0.25">
      <c r="A2779">
        <v>5002010000</v>
      </c>
    </row>
    <row r="2780" spans="1:1" x14ac:dyDescent="0.25">
      <c r="A2780">
        <v>5002003000</v>
      </c>
    </row>
    <row r="2781" spans="1:1" x14ac:dyDescent="0.25">
      <c r="A2781">
        <v>5002002000</v>
      </c>
    </row>
    <row r="2782" spans="1:1" x14ac:dyDescent="0.25">
      <c r="A2782">
        <v>100104</v>
      </c>
    </row>
    <row r="2783" spans="1:1" x14ac:dyDescent="0.25">
      <c r="A2783">
        <v>5001002000</v>
      </c>
    </row>
    <row r="2784" spans="1:1" x14ac:dyDescent="0.25">
      <c r="A2784">
        <v>100103</v>
      </c>
    </row>
    <row r="2785" spans="1:1" x14ac:dyDescent="0.25">
      <c r="A2785">
        <v>100133</v>
      </c>
    </row>
    <row r="2786" spans="1:1" x14ac:dyDescent="0.25">
      <c r="A2786">
        <v>5001000001</v>
      </c>
    </row>
    <row r="2787" spans="1:1" x14ac:dyDescent="0.25">
      <c r="A2787">
        <v>5001001000</v>
      </c>
    </row>
    <row r="2788" spans="1:1" x14ac:dyDescent="0.25">
      <c r="A2788">
        <v>5001000003</v>
      </c>
    </row>
    <row r="2789" spans="1:1" x14ac:dyDescent="0.25">
      <c r="A2789">
        <v>5001000002</v>
      </c>
    </row>
    <row r="2790" spans="1:1" x14ac:dyDescent="0.25">
      <c r="A2790">
        <v>100123</v>
      </c>
    </row>
    <row r="2791" spans="1:1" x14ac:dyDescent="0.25">
      <c r="A2791">
        <v>5000007000</v>
      </c>
    </row>
    <row r="2792" spans="1:1" x14ac:dyDescent="0.25">
      <c r="A2792">
        <v>100113</v>
      </c>
    </row>
    <row r="2793" spans="1:1" x14ac:dyDescent="0.25">
      <c r="A2793">
        <v>5001000000</v>
      </c>
    </row>
    <row r="2794" spans="1:1" x14ac:dyDescent="0.25">
      <c r="A2794">
        <v>100102</v>
      </c>
    </row>
    <row r="2795" spans="1:1" x14ac:dyDescent="0.25">
      <c r="A2795">
        <v>100132</v>
      </c>
    </row>
    <row r="2796" spans="1:1" x14ac:dyDescent="0.25">
      <c r="A2796">
        <v>5000091000</v>
      </c>
    </row>
    <row r="2797" spans="1:1" x14ac:dyDescent="0.25">
      <c r="A2797">
        <v>5000090000</v>
      </c>
    </row>
    <row r="2798" spans="1:1" x14ac:dyDescent="0.25">
      <c r="A2798">
        <v>5000004000</v>
      </c>
    </row>
    <row r="2799" spans="1:1" x14ac:dyDescent="0.25">
      <c r="A2799">
        <v>5000003002</v>
      </c>
    </row>
    <row r="2800" spans="1:1" x14ac:dyDescent="0.25">
      <c r="A2800">
        <v>5000003000</v>
      </c>
    </row>
    <row r="2801" spans="1:1" x14ac:dyDescent="0.25">
      <c r="A2801">
        <v>5000002000</v>
      </c>
    </row>
    <row r="2802" spans="1:1" x14ac:dyDescent="0.25">
      <c r="A2802">
        <v>5000001000</v>
      </c>
    </row>
    <row r="2803" spans="1:1" x14ac:dyDescent="0.25">
      <c r="A2803">
        <v>100122</v>
      </c>
    </row>
    <row r="2804" spans="1:1" x14ac:dyDescent="0.25">
      <c r="A2804">
        <v>5030090004</v>
      </c>
    </row>
    <row r="2805" spans="1:1" x14ac:dyDescent="0.25">
      <c r="A2805">
        <v>5020002000</v>
      </c>
    </row>
    <row r="2806" spans="1:1" x14ac:dyDescent="0.25">
      <c r="A2806">
        <v>5020001000</v>
      </c>
    </row>
    <row r="2807" spans="1:1" x14ac:dyDescent="0.25">
      <c r="A2807">
        <v>5020000001</v>
      </c>
    </row>
    <row r="2808" spans="1:1" x14ac:dyDescent="0.25">
      <c r="A2808">
        <v>5020000000</v>
      </c>
    </row>
    <row r="2809" spans="1:1" x14ac:dyDescent="0.25">
      <c r="A2809">
        <v>7020000011</v>
      </c>
    </row>
    <row r="2810" spans="1:1" x14ac:dyDescent="0.25">
      <c r="A2810">
        <v>7020000010</v>
      </c>
    </row>
    <row r="2811" spans="1:1" x14ac:dyDescent="0.25">
      <c r="A2811">
        <v>100112</v>
      </c>
    </row>
    <row r="2812" spans="1:1" x14ac:dyDescent="0.25">
      <c r="A2812">
        <v>5030090003</v>
      </c>
    </row>
    <row r="2813" spans="1:1" x14ac:dyDescent="0.25">
      <c r="A2813">
        <v>5030008000</v>
      </c>
    </row>
    <row r="2814" spans="1:1" x14ac:dyDescent="0.25">
      <c r="A2814">
        <v>5030005000</v>
      </c>
    </row>
    <row r="2815" spans="1:1" x14ac:dyDescent="0.25">
      <c r="A2815">
        <v>5010020000</v>
      </c>
    </row>
    <row r="2816" spans="1:1" x14ac:dyDescent="0.25">
      <c r="A2816">
        <v>5010010000</v>
      </c>
    </row>
    <row r="2817" spans="1:1" x14ac:dyDescent="0.25">
      <c r="A2817">
        <v>5010009000</v>
      </c>
    </row>
    <row r="2818" spans="1:1" x14ac:dyDescent="0.25">
      <c r="A2818">
        <v>5010001000</v>
      </c>
    </row>
    <row r="2819" spans="1:1" x14ac:dyDescent="0.25">
      <c r="A2819">
        <v>5010000002</v>
      </c>
    </row>
    <row r="2820" spans="1:1" x14ac:dyDescent="0.25">
      <c r="A2820">
        <v>5010000001</v>
      </c>
    </row>
    <row r="2821" spans="1:1" x14ac:dyDescent="0.25">
      <c r="A2821">
        <v>5010000000</v>
      </c>
    </row>
    <row r="2822" spans="1:1" x14ac:dyDescent="0.25">
      <c r="A2822">
        <v>5002000000</v>
      </c>
    </row>
    <row r="2823" spans="1:1" x14ac:dyDescent="0.25">
      <c r="A2823">
        <v>5001000004</v>
      </c>
    </row>
    <row r="2824" spans="1:1" x14ac:dyDescent="0.25">
      <c r="A2824">
        <v>5000093000</v>
      </c>
    </row>
    <row r="2825" spans="1:1" x14ac:dyDescent="0.25">
      <c r="A2825">
        <v>5000092000</v>
      </c>
    </row>
    <row r="2826" spans="1:1" x14ac:dyDescent="0.25">
      <c r="A2826">
        <v>7020000009</v>
      </c>
    </row>
    <row r="2827" spans="1:1" x14ac:dyDescent="0.25">
      <c r="A2827">
        <v>100101</v>
      </c>
    </row>
    <row r="2828" spans="1:1" x14ac:dyDescent="0.25">
      <c r="A2828">
        <v>5000005001</v>
      </c>
    </row>
    <row r="2829" spans="1:1" x14ac:dyDescent="0.25">
      <c r="A2829">
        <v>5000005000</v>
      </c>
    </row>
    <row r="2830" spans="1:1" x14ac:dyDescent="0.25">
      <c r="A2830">
        <v>5000000002</v>
      </c>
    </row>
    <row r="2831" spans="1:1" x14ac:dyDescent="0.25">
      <c r="A2831">
        <v>5000000001</v>
      </c>
    </row>
    <row r="2832" spans="1:1" x14ac:dyDescent="0.25">
      <c r="A2832">
        <v>5000000000</v>
      </c>
    </row>
    <row r="2833" spans="1:1" x14ac:dyDescent="0.25">
      <c r="A2833" t="s">
        <v>19346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B5252-1749-4CA1-8CEE-A0F6488E89F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4E90F-4D6C-40B1-A5EF-981CC64FCB54}">
  <sheetPr codeName="Sheet3"/>
  <dimension ref="A1:B2813"/>
  <sheetViews>
    <sheetView topLeftCell="A2764" workbookViewId="0">
      <selection activeCell="A2813" sqref="A2813"/>
    </sheetView>
  </sheetViews>
  <sheetFormatPr defaultRowHeight="15" x14ac:dyDescent="0.25"/>
  <cols>
    <col min="1" max="1" width="48.42578125" bestFit="1" customWidth="1"/>
    <col min="2" max="2" width="44.42578125" bestFit="1" customWidth="1"/>
  </cols>
  <sheetData>
    <row r="1" spans="1:2" x14ac:dyDescent="0.25">
      <c r="A1" t="s">
        <v>13463</v>
      </c>
      <c r="B1" t="s">
        <v>13464</v>
      </c>
    </row>
    <row r="2" spans="1:2" x14ac:dyDescent="0.25">
      <c r="A2" s="33" t="s">
        <v>19348</v>
      </c>
      <c r="B2" s="33" t="s">
        <v>19357</v>
      </c>
    </row>
    <row r="3" spans="1:2" x14ac:dyDescent="0.25">
      <c r="A3" s="33">
        <v>100000</v>
      </c>
      <c r="B3" s="33" t="s">
        <v>19358</v>
      </c>
    </row>
    <row r="4" spans="1:2" x14ac:dyDescent="0.25">
      <c r="A4" s="33">
        <v>100100</v>
      </c>
      <c r="B4" s="33" t="s">
        <v>19359</v>
      </c>
    </row>
    <row r="5" spans="1:2" x14ac:dyDescent="0.25">
      <c r="A5" s="33">
        <v>100101</v>
      </c>
      <c r="B5" s="33" t="s">
        <v>19360</v>
      </c>
    </row>
    <row r="6" spans="1:2" x14ac:dyDescent="0.25">
      <c r="A6" s="33">
        <v>100102</v>
      </c>
      <c r="B6" s="33" t="s">
        <v>19361</v>
      </c>
    </row>
    <row r="7" spans="1:2" x14ac:dyDescent="0.25">
      <c r="A7" s="33">
        <v>100112</v>
      </c>
      <c r="B7" s="33" t="s">
        <v>19362</v>
      </c>
    </row>
    <row r="8" spans="1:2" x14ac:dyDescent="0.25">
      <c r="A8" s="33">
        <v>100122</v>
      </c>
      <c r="B8" s="33" t="s">
        <v>19363</v>
      </c>
    </row>
    <row r="9" spans="1:2" x14ac:dyDescent="0.25">
      <c r="A9" s="33">
        <v>100132</v>
      </c>
      <c r="B9" s="33" t="s">
        <v>19364</v>
      </c>
    </row>
    <row r="10" spans="1:2" x14ac:dyDescent="0.25">
      <c r="A10" s="33">
        <v>100103</v>
      </c>
      <c r="B10" s="33" t="s">
        <v>19365</v>
      </c>
    </row>
    <row r="11" spans="1:2" x14ac:dyDescent="0.25">
      <c r="A11" s="33">
        <v>100113</v>
      </c>
      <c r="B11" s="33" t="s">
        <v>19366</v>
      </c>
    </row>
    <row r="12" spans="1:2" x14ac:dyDescent="0.25">
      <c r="A12" s="33">
        <v>100123</v>
      </c>
      <c r="B12" s="33" t="s">
        <v>19367</v>
      </c>
    </row>
    <row r="13" spans="1:2" x14ac:dyDescent="0.25">
      <c r="A13" s="33">
        <v>100133</v>
      </c>
      <c r="B13" s="33" t="s">
        <v>19368</v>
      </c>
    </row>
    <row r="14" spans="1:2" x14ac:dyDescent="0.25">
      <c r="A14" s="33">
        <v>100104</v>
      </c>
      <c r="B14" s="33" t="s">
        <v>19369</v>
      </c>
    </row>
    <row r="15" spans="1:2" x14ac:dyDescent="0.25">
      <c r="A15" s="33">
        <v>100105</v>
      </c>
      <c r="B15" s="33" t="s">
        <v>19370</v>
      </c>
    </row>
    <row r="16" spans="1:2" x14ac:dyDescent="0.25">
      <c r="A16" s="33">
        <v>100200</v>
      </c>
      <c r="B16" s="33" t="s">
        <v>19371</v>
      </c>
    </row>
    <row r="17" spans="1:2" x14ac:dyDescent="0.25">
      <c r="A17" s="33">
        <v>100201</v>
      </c>
      <c r="B17" s="33" t="s">
        <v>19372</v>
      </c>
    </row>
    <row r="18" spans="1:2" x14ac:dyDescent="0.25">
      <c r="A18" s="33">
        <v>100202</v>
      </c>
      <c r="B18" s="33" t="s">
        <v>19373</v>
      </c>
    </row>
    <row r="19" spans="1:2" x14ac:dyDescent="0.25">
      <c r="A19" s="33">
        <v>100300</v>
      </c>
      <c r="B19" s="33" t="s">
        <v>19374</v>
      </c>
    </row>
    <row r="20" spans="1:2" x14ac:dyDescent="0.25">
      <c r="A20" s="33">
        <v>100400</v>
      </c>
      <c r="B20" s="33" t="s">
        <v>19375</v>
      </c>
    </row>
    <row r="21" spans="1:2" x14ac:dyDescent="0.25">
      <c r="A21" s="33">
        <v>100401</v>
      </c>
      <c r="B21" s="33" t="s">
        <v>19376</v>
      </c>
    </row>
    <row r="22" spans="1:2" x14ac:dyDescent="0.25">
      <c r="A22" s="33">
        <v>100402</v>
      </c>
      <c r="B22" s="33" t="s">
        <v>19377</v>
      </c>
    </row>
    <row r="23" spans="1:2" x14ac:dyDescent="0.25">
      <c r="A23" s="33">
        <v>100403</v>
      </c>
      <c r="B23" s="33" t="s">
        <v>19378</v>
      </c>
    </row>
    <row r="24" spans="1:2" x14ac:dyDescent="0.25">
      <c r="A24" s="33">
        <v>100413</v>
      </c>
      <c r="B24" s="33" t="s">
        <v>19355</v>
      </c>
    </row>
    <row r="25" spans="1:2" x14ac:dyDescent="0.25">
      <c r="A25" s="33">
        <v>100423</v>
      </c>
      <c r="B25" s="33" t="s">
        <v>19354</v>
      </c>
    </row>
    <row r="26" spans="1:2" x14ac:dyDescent="0.25">
      <c r="A26" s="33">
        <v>100500</v>
      </c>
      <c r="B26" s="33" t="s">
        <v>19379</v>
      </c>
    </row>
    <row r="27" spans="1:2" x14ac:dyDescent="0.25">
      <c r="A27" s="33">
        <v>110000</v>
      </c>
      <c r="B27" s="33" t="s">
        <v>19380</v>
      </c>
    </row>
    <row r="28" spans="1:2" x14ac:dyDescent="0.25">
      <c r="A28" s="33">
        <v>110100</v>
      </c>
      <c r="B28" s="33" t="s">
        <v>19381</v>
      </c>
    </row>
    <row r="29" spans="1:2" x14ac:dyDescent="0.25">
      <c r="A29" s="33">
        <v>110101</v>
      </c>
      <c r="B29" s="33" t="s">
        <v>19382</v>
      </c>
    </row>
    <row r="30" spans="1:2" x14ac:dyDescent="0.25">
      <c r="A30" s="33">
        <v>110102</v>
      </c>
      <c r="B30" s="33" t="s">
        <v>19383</v>
      </c>
    </row>
    <row r="31" spans="1:2" x14ac:dyDescent="0.25">
      <c r="A31" s="33">
        <v>110103</v>
      </c>
      <c r="B31" s="33" t="s">
        <v>19384</v>
      </c>
    </row>
    <row r="32" spans="1:2" x14ac:dyDescent="0.25">
      <c r="A32" s="33">
        <v>110104</v>
      </c>
      <c r="B32" s="33" t="s">
        <v>19385</v>
      </c>
    </row>
    <row r="33" spans="1:2" x14ac:dyDescent="0.25">
      <c r="A33" s="33">
        <v>110105</v>
      </c>
      <c r="B33" s="33" t="s">
        <v>19386</v>
      </c>
    </row>
    <row r="34" spans="1:2" x14ac:dyDescent="0.25">
      <c r="A34" s="33">
        <v>110106</v>
      </c>
      <c r="B34" s="33" t="s">
        <v>19387</v>
      </c>
    </row>
    <row r="35" spans="1:2" x14ac:dyDescent="0.25">
      <c r="A35" s="33">
        <v>110116</v>
      </c>
      <c r="B35" s="33" t="s">
        <v>19388</v>
      </c>
    </row>
    <row r="36" spans="1:2" x14ac:dyDescent="0.25">
      <c r="A36" s="33">
        <v>110126</v>
      </c>
      <c r="B36" s="33" t="s">
        <v>19389</v>
      </c>
    </row>
    <row r="37" spans="1:2" x14ac:dyDescent="0.25">
      <c r="A37" s="33">
        <v>110200</v>
      </c>
      <c r="B37" s="33" t="s">
        <v>19390</v>
      </c>
    </row>
    <row r="38" spans="1:2" x14ac:dyDescent="0.25">
      <c r="A38" s="33">
        <v>110201</v>
      </c>
      <c r="B38" s="33" t="s">
        <v>19391</v>
      </c>
    </row>
    <row r="39" spans="1:2" x14ac:dyDescent="0.25">
      <c r="A39" s="33">
        <v>110202</v>
      </c>
      <c r="B39" s="33" t="s">
        <v>19392</v>
      </c>
    </row>
    <row r="40" spans="1:2" x14ac:dyDescent="0.25">
      <c r="A40" s="33">
        <v>110220</v>
      </c>
      <c r="B40" s="33" t="s">
        <v>19393</v>
      </c>
    </row>
    <row r="41" spans="1:2" x14ac:dyDescent="0.25">
      <c r="A41" s="33">
        <v>110203</v>
      </c>
      <c r="B41" s="33" t="s">
        <v>19394</v>
      </c>
    </row>
    <row r="42" spans="1:2" x14ac:dyDescent="0.25">
      <c r="A42" s="33">
        <v>110204</v>
      </c>
      <c r="B42" s="33" t="s">
        <v>19395</v>
      </c>
    </row>
    <row r="43" spans="1:2" x14ac:dyDescent="0.25">
      <c r="A43" s="33">
        <v>110205</v>
      </c>
      <c r="B43" s="33" t="s">
        <v>19396</v>
      </c>
    </row>
    <row r="44" spans="1:2" x14ac:dyDescent="0.25">
      <c r="A44" s="33">
        <v>120000</v>
      </c>
      <c r="B44" s="33" t="s">
        <v>19397</v>
      </c>
    </row>
    <row r="45" spans="1:2" x14ac:dyDescent="0.25">
      <c r="A45" s="33">
        <v>120100</v>
      </c>
      <c r="B45" s="33" t="s">
        <v>19398</v>
      </c>
    </row>
    <row r="46" spans="1:2" x14ac:dyDescent="0.25">
      <c r="A46" s="33">
        <v>120101</v>
      </c>
      <c r="B46" s="33" t="s">
        <v>19399</v>
      </c>
    </row>
    <row r="47" spans="1:2" x14ac:dyDescent="0.25">
      <c r="A47" s="33">
        <v>120102</v>
      </c>
      <c r="B47" s="33" t="s">
        <v>19400</v>
      </c>
    </row>
    <row r="48" spans="1:2" x14ac:dyDescent="0.25">
      <c r="A48" s="33">
        <v>120103</v>
      </c>
      <c r="B48" s="33" t="s">
        <v>19401</v>
      </c>
    </row>
    <row r="49" spans="1:2" x14ac:dyDescent="0.25">
      <c r="A49" s="33">
        <v>120104</v>
      </c>
      <c r="B49" s="33" t="s">
        <v>19402</v>
      </c>
    </row>
    <row r="50" spans="1:2" x14ac:dyDescent="0.25">
      <c r="A50" s="33">
        <v>120105</v>
      </c>
      <c r="B50" s="33" t="s">
        <v>19403</v>
      </c>
    </row>
    <row r="51" spans="1:2" x14ac:dyDescent="0.25">
      <c r="A51" s="33">
        <v>120200</v>
      </c>
      <c r="B51" s="33" t="s">
        <v>19350</v>
      </c>
    </row>
    <row r="52" spans="1:2" x14ac:dyDescent="0.25">
      <c r="A52" s="33">
        <v>120201</v>
      </c>
      <c r="B52" s="33" t="s">
        <v>19404</v>
      </c>
    </row>
    <row r="53" spans="1:2" x14ac:dyDescent="0.25">
      <c r="A53" s="33">
        <v>120202</v>
      </c>
      <c r="B53" s="33" t="s">
        <v>19405</v>
      </c>
    </row>
    <row r="54" spans="1:2" x14ac:dyDescent="0.25">
      <c r="A54" s="33">
        <v>120210</v>
      </c>
      <c r="B54" s="33" t="s">
        <v>19353</v>
      </c>
    </row>
    <row r="55" spans="1:2" x14ac:dyDescent="0.25">
      <c r="A55" s="33">
        <v>120220</v>
      </c>
      <c r="B55" s="33" t="s">
        <v>19406</v>
      </c>
    </row>
    <row r="56" spans="1:2" x14ac:dyDescent="0.25">
      <c r="A56" s="33">
        <v>120230</v>
      </c>
      <c r="B56" s="33" t="s">
        <v>19351</v>
      </c>
    </row>
    <row r="57" spans="1:2" x14ac:dyDescent="0.25">
      <c r="A57" s="33">
        <v>120240</v>
      </c>
      <c r="B57" s="33" t="s">
        <v>19407</v>
      </c>
    </row>
    <row r="58" spans="1:2" x14ac:dyDescent="0.25">
      <c r="A58" s="33">
        <v>120250</v>
      </c>
      <c r="B58" s="33" t="s">
        <v>19349</v>
      </c>
    </row>
    <row r="59" spans="1:2" x14ac:dyDescent="0.25">
      <c r="A59" s="33">
        <v>120260</v>
      </c>
      <c r="B59" s="33" t="s">
        <v>19408</v>
      </c>
    </row>
    <row r="60" spans="1:2" x14ac:dyDescent="0.25">
      <c r="A60" s="33">
        <v>120270</v>
      </c>
      <c r="B60" s="33" t="s">
        <v>19409</v>
      </c>
    </row>
    <row r="61" spans="1:2" x14ac:dyDescent="0.25">
      <c r="A61" s="33">
        <v>120300</v>
      </c>
      <c r="B61" s="33" t="s">
        <v>19410</v>
      </c>
    </row>
    <row r="62" spans="1:2" x14ac:dyDescent="0.25">
      <c r="A62" s="33">
        <v>120301</v>
      </c>
      <c r="B62" s="33" t="s">
        <v>19411</v>
      </c>
    </row>
    <row r="63" spans="1:2" x14ac:dyDescent="0.25">
      <c r="A63" s="33">
        <v>120302</v>
      </c>
      <c r="B63" s="33" t="s">
        <v>19412</v>
      </c>
    </row>
    <row r="64" spans="1:2" x14ac:dyDescent="0.25">
      <c r="A64" s="33">
        <v>120303</v>
      </c>
      <c r="B64" s="33" t="s">
        <v>19413</v>
      </c>
    </row>
    <row r="65" spans="1:2" x14ac:dyDescent="0.25">
      <c r="A65" s="33">
        <v>120400</v>
      </c>
      <c r="B65" s="33" t="s">
        <v>19414</v>
      </c>
    </row>
    <row r="66" spans="1:2" x14ac:dyDescent="0.25">
      <c r="A66" s="33">
        <v>120500</v>
      </c>
      <c r="B66" s="33" t="s">
        <v>19415</v>
      </c>
    </row>
    <row r="67" spans="1:2" x14ac:dyDescent="0.25">
      <c r="A67" s="33">
        <v>140000</v>
      </c>
      <c r="B67" s="33" t="s">
        <v>19347</v>
      </c>
    </row>
    <row r="68" spans="1:2" x14ac:dyDescent="0.25">
      <c r="A68" s="33">
        <v>140100</v>
      </c>
      <c r="B68" s="33" t="s">
        <v>19416</v>
      </c>
    </row>
    <row r="69" spans="1:2" x14ac:dyDescent="0.25">
      <c r="A69" s="33">
        <v>140101</v>
      </c>
      <c r="B69" s="33" t="s">
        <v>19417</v>
      </c>
    </row>
    <row r="70" spans="1:2" x14ac:dyDescent="0.25">
      <c r="A70" s="33">
        <v>140102</v>
      </c>
      <c r="B70" s="33" t="s">
        <v>19418</v>
      </c>
    </row>
    <row r="71" spans="1:2" x14ac:dyDescent="0.25">
      <c r="A71" s="33">
        <v>140200</v>
      </c>
      <c r="B71" s="33" t="s">
        <v>19419</v>
      </c>
    </row>
    <row r="72" spans="1:2" x14ac:dyDescent="0.25">
      <c r="A72" s="33">
        <v>140201</v>
      </c>
      <c r="B72" s="33" t="s">
        <v>19420</v>
      </c>
    </row>
    <row r="73" spans="1:2" x14ac:dyDescent="0.25">
      <c r="A73" s="33">
        <v>140202</v>
      </c>
      <c r="B73" s="33" t="s">
        <v>19421</v>
      </c>
    </row>
    <row r="74" spans="1:2" x14ac:dyDescent="0.25">
      <c r="A74" s="33">
        <v>140300</v>
      </c>
      <c r="B74" s="33" t="s">
        <v>19422</v>
      </c>
    </row>
    <row r="75" spans="1:2" x14ac:dyDescent="0.25">
      <c r="A75" s="33">
        <v>140400</v>
      </c>
      <c r="B75" s="33" t="s">
        <v>19423</v>
      </c>
    </row>
    <row r="76" spans="1:2" x14ac:dyDescent="0.25">
      <c r="A76" s="33">
        <v>150000</v>
      </c>
      <c r="B76" s="33" t="s">
        <v>19424</v>
      </c>
    </row>
    <row r="77" spans="1:2" x14ac:dyDescent="0.25">
      <c r="A77" s="33">
        <v>150100</v>
      </c>
      <c r="B77" s="33" t="s">
        <v>19425</v>
      </c>
    </row>
    <row r="78" spans="1:2" x14ac:dyDescent="0.25">
      <c r="A78" s="33">
        <v>150101</v>
      </c>
      <c r="B78" s="33" t="s">
        <v>19426</v>
      </c>
    </row>
    <row r="79" spans="1:2" x14ac:dyDescent="0.25">
      <c r="A79" s="33">
        <v>150102</v>
      </c>
      <c r="B79" s="33" t="s">
        <v>19427</v>
      </c>
    </row>
    <row r="80" spans="1:2" x14ac:dyDescent="0.25">
      <c r="A80" s="33">
        <v>150103</v>
      </c>
      <c r="B80" s="33" t="s">
        <v>19428</v>
      </c>
    </row>
    <row r="81" spans="1:2" x14ac:dyDescent="0.25">
      <c r="A81" s="33">
        <v>150104</v>
      </c>
      <c r="B81" s="33" t="s">
        <v>19429</v>
      </c>
    </row>
    <row r="82" spans="1:2" x14ac:dyDescent="0.25">
      <c r="A82" s="33">
        <v>150105</v>
      </c>
      <c r="B82" s="33" t="s">
        <v>19430</v>
      </c>
    </row>
    <row r="83" spans="1:2" x14ac:dyDescent="0.25">
      <c r="A83" s="33">
        <v>150106</v>
      </c>
      <c r="B83" s="33" t="s">
        <v>19431</v>
      </c>
    </row>
    <row r="84" spans="1:2" x14ac:dyDescent="0.25">
      <c r="A84" s="33">
        <v>150200</v>
      </c>
      <c r="B84" s="33" t="s">
        <v>19432</v>
      </c>
    </row>
    <row r="85" spans="1:2" x14ac:dyDescent="0.25">
      <c r="A85" s="33">
        <v>150201</v>
      </c>
      <c r="B85" s="33" t="s">
        <v>19433</v>
      </c>
    </row>
    <row r="86" spans="1:2" x14ac:dyDescent="0.25">
      <c r="A86" s="33">
        <v>150202</v>
      </c>
      <c r="B86" s="33" t="s">
        <v>19434</v>
      </c>
    </row>
    <row r="87" spans="1:2" x14ac:dyDescent="0.25">
      <c r="A87" s="33">
        <v>150203</v>
      </c>
      <c r="B87" s="33" t="s">
        <v>19435</v>
      </c>
    </row>
    <row r="88" spans="1:2" x14ac:dyDescent="0.25">
      <c r="A88" s="33">
        <v>150300</v>
      </c>
      <c r="B88" s="33" t="s">
        <v>19436</v>
      </c>
    </row>
    <row r="89" spans="1:2" x14ac:dyDescent="0.25">
      <c r="A89" s="33">
        <v>150301</v>
      </c>
      <c r="B89" s="33" t="s">
        <v>19437</v>
      </c>
    </row>
    <row r="90" spans="1:2" x14ac:dyDescent="0.25">
      <c r="A90" s="33">
        <v>150302</v>
      </c>
      <c r="B90" s="33" t="s">
        <v>19438</v>
      </c>
    </row>
    <row r="91" spans="1:2" x14ac:dyDescent="0.25">
      <c r="A91" s="33">
        <v>150400</v>
      </c>
      <c r="B91" s="33" t="s">
        <v>19439</v>
      </c>
    </row>
    <row r="92" spans="1:2" x14ac:dyDescent="0.25">
      <c r="A92" s="33">
        <v>160000</v>
      </c>
      <c r="B92" s="33" t="s">
        <v>19440</v>
      </c>
    </row>
    <row r="93" spans="1:2" x14ac:dyDescent="0.25">
      <c r="A93" s="33">
        <v>160100</v>
      </c>
      <c r="B93" s="33" t="s">
        <v>19441</v>
      </c>
    </row>
    <row r="94" spans="1:2" x14ac:dyDescent="0.25">
      <c r="A94" s="33">
        <v>160101</v>
      </c>
      <c r="B94" s="33" t="s">
        <v>19442</v>
      </c>
    </row>
    <row r="95" spans="1:2" x14ac:dyDescent="0.25">
      <c r="A95" s="33">
        <v>160102</v>
      </c>
      <c r="B95" s="33" t="s">
        <v>19443</v>
      </c>
    </row>
    <row r="96" spans="1:2" x14ac:dyDescent="0.25">
      <c r="A96" s="33">
        <v>160103</v>
      </c>
      <c r="B96" s="33" t="s">
        <v>19444</v>
      </c>
    </row>
    <row r="97" spans="1:2" x14ac:dyDescent="0.25">
      <c r="A97" s="33">
        <v>160104</v>
      </c>
      <c r="B97" s="33" t="s">
        <v>19445</v>
      </c>
    </row>
    <row r="98" spans="1:2" x14ac:dyDescent="0.25">
      <c r="A98" s="33">
        <v>160105</v>
      </c>
      <c r="B98" s="33" t="s">
        <v>19446</v>
      </c>
    </row>
    <row r="99" spans="1:2" x14ac:dyDescent="0.25">
      <c r="A99" s="33">
        <v>160106</v>
      </c>
      <c r="B99" s="33" t="s">
        <v>19447</v>
      </c>
    </row>
    <row r="100" spans="1:2" x14ac:dyDescent="0.25">
      <c r="A100" s="33">
        <v>160200</v>
      </c>
      <c r="B100" s="33" t="s">
        <v>19448</v>
      </c>
    </row>
    <row r="101" spans="1:2" x14ac:dyDescent="0.25">
      <c r="A101" s="33">
        <v>160300</v>
      </c>
      <c r="B101" s="33" t="s">
        <v>19449</v>
      </c>
    </row>
    <row r="102" spans="1:2" x14ac:dyDescent="0.25">
      <c r="A102" s="33">
        <v>170000</v>
      </c>
      <c r="B102" s="33" t="s">
        <v>16445</v>
      </c>
    </row>
    <row r="103" spans="1:2" x14ac:dyDescent="0.25">
      <c r="A103" s="33">
        <v>170100</v>
      </c>
      <c r="B103" s="33" t="s">
        <v>19450</v>
      </c>
    </row>
    <row r="104" spans="1:2" x14ac:dyDescent="0.25">
      <c r="A104" s="33">
        <v>170101</v>
      </c>
      <c r="B104" s="33" t="s">
        <v>19451</v>
      </c>
    </row>
    <row r="105" spans="1:2" x14ac:dyDescent="0.25">
      <c r="A105" s="33">
        <v>170102</v>
      </c>
      <c r="B105" s="33" t="s">
        <v>19452</v>
      </c>
    </row>
    <row r="106" spans="1:2" x14ac:dyDescent="0.25">
      <c r="A106" s="33">
        <v>170103</v>
      </c>
      <c r="B106" s="33" t="s">
        <v>19453</v>
      </c>
    </row>
    <row r="107" spans="1:2" x14ac:dyDescent="0.25">
      <c r="A107" s="33">
        <v>170200</v>
      </c>
      <c r="B107" s="33" t="s">
        <v>19454</v>
      </c>
    </row>
    <row r="108" spans="1:2" x14ac:dyDescent="0.25">
      <c r="A108" s="33">
        <v>170300</v>
      </c>
      <c r="B108" s="33" t="s">
        <v>19455</v>
      </c>
    </row>
    <row r="109" spans="1:2" x14ac:dyDescent="0.25">
      <c r="A109" s="33">
        <v>170400</v>
      </c>
      <c r="B109" s="33" t="s">
        <v>19456</v>
      </c>
    </row>
    <row r="110" spans="1:2" x14ac:dyDescent="0.25">
      <c r="A110" s="33">
        <v>170500</v>
      </c>
      <c r="B110" s="33" t="s">
        <v>19457</v>
      </c>
    </row>
    <row r="111" spans="1:2" x14ac:dyDescent="0.25">
      <c r="A111" s="33">
        <v>170501</v>
      </c>
      <c r="B111" s="33" t="s">
        <v>19458</v>
      </c>
    </row>
    <row r="112" spans="1:2" x14ac:dyDescent="0.25">
      <c r="A112" s="33">
        <v>170502</v>
      </c>
      <c r="B112" s="33" t="s">
        <v>19459</v>
      </c>
    </row>
    <row r="113" spans="1:2" x14ac:dyDescent="0.25">
      <c r="A113" s="33">
        <v>180000</v>
      </c>
      <c r="B113" s="33" t="s">
        <v>19460</v>
      </c>
    </row>
    <row r="114" spans="1:2" x14ac:dyDescent="0.25">
      <c r="A114" s="33">
        <v>180100</v>
      </c>
      <c r="B114" s="33" t="s">
        <v>19461</v>
      </c>
    </row>
    <row r="115" spans="1:2" x14ac:dyDescent="0.25">
      <c r="A115" s="33">
        <v>180101</v>
      </c>
      <c r="B115" s="33" t="s">
        <v>19462</v>
      </c>
    </row>
    <row r="116" spans="1:2" x14ac:dyDescent="0.25">
      <c r="A116" s="33">
        <v>180102</v>
      </c>
      <c r="B116" s="33" t="s">
        <v>19463</v>
      </c>
    </row>
    <row r="117" spans="1:2" x14ac:dyDescent="0.25">
      <c r="A117" s="33">
        <v>180103</v>
      </c>
      <c r="B117" s="33" t="s">
        <v>19464</v>
      </c>
    </row>
    <row r="118" spans="1:2" x14ac:dyDescent="0.25">
      <c r="A118" s="33">
        <v>180104</v>
      </c>
      <c r="B118" s="33" t="s">
        <v>19465</v>
      </c>
    </row>
    <row r="119" spans="1:2" x14ac:dyDescent="0.25">
      <c r="A119" s="33">
        <v>180105</v>
      </c>
      <c r="B119" s="33" t="s">
        <v>19466</v>
      </c>
    </row>
    <row r="120" spans="1:2" x14ac:dyDescent="0.25">
      <c r="A120" s="33">
        <v>180200</v>
      </c>
      <c r="B120" s="33" t="s">
        <v>19467</v>
      </c>
    </row>
    <row r="121" spans="1:2" x14ac:dyDescent="0.25">
      <c r="A121" s="33">
        <v>180201</v>
      </c>
      <c r="B121" s="33" t="s">
        <v>19468</v>
      </c>
    </row>
    <row r="122" spans="1:2" x14ac:dyDescent="0.25">
      <c r="A122" s="33">
        <v>180202</v>
      </c>
      <c r="B122" s="33" t="s">
        <v>19469</v>
      </c>
    </row>
    <row r="123" spans="1:2" x14ac:dyDescent="0.25">
      <c r="A123" s="33">
        <v>180203</v>
      </c>
      <c r="B123" s="33" t="s">
        <v>19470</v>
      </c>
    </row>
    <row r="124" spans="1:2" x14ac:dyDescent="0.25">
      <c r="A124" s="33">
        <v>180300</v>
      </c>
      <c r="B124" s="33" t="s">
        <v>19471</v>
      </c>
    </row>
    <row r="125" spans="1:2" x14ac:dyDescent="0.25">
      <c r="A125" s="33">
        <v>180400</v>
      </c>
      <c r="B125" s="33" t="s">
        <v>19472</v>
      </c>
    </row>
    <row r="126" spans="1:2" x14ac:dyDescent="0.25">
      <c r="A126" s="33">
        <v>180401</v>
      </c>
      <c r="B126" s="33" t="s">
        <v>19473</v>
      </c>
    </row>
    <row r="127" spans="1:2" x14ac:dyDescent="0.25">
      <c r="A127" s="33">
        <v>180402</v>
      </c>
      <c r="B127" s="33" t="s">
        <v>19474</v>
      </c>
    </row>
    <row r="128" spans="1:2" x14ac:dyDescent="0.25">
      <c r="A128" s="33">
        <v>180403</v>
      </c>
      <c r="B128" s="33" t="s">
        <v>19475</v>
      </c>
    </row>
    <row r="129" spans="1:2" x14ac:dyDescent="0.25">
      <c r="A129" s="33">
        <v>190000</v>
      </c>
      <c r="B129" s="33" t="s">
        <v>19476</v>
      </c>
    </row>
    <row r="130" spans="1:2" x14ac:dyDescent="0.25">
      <c r="A130" s="33">
        <v>190100</v>
      </c>
      <c r="B130" s="33" t="s">
        <v>19477</v>
      </c>
    </row>
    <row r="131" spans="1:2" x14ac:dyDescent="0.25">
      <c r="A131" s="33">
        <v>190101</v>
      </c>
      <c r="B131" s="33" t="s">
        <v>19478</v>
      </c>
    </row>
    <row r="132" spans="1:2" x14ac:dyDescent="0.25">
      <c r="A132" s="33">
        <v>190102</v>
      </c>
      <c r="B132" s="33" t="s">
        <v>19479</v>
      </c>
    </row>
    <row r="133" spans="1:2" x14ac:dyDescent="0.25">
      <c r="A133" s="33">
        <v>190103</v>
      </c>
      <c r="B133" s="33" t="s">
        <v>19480</v>
      </c>
    </row>
    <row r="134" spans="1:2" x14ac:dyDescent="0.25">
      <c r="A134" s="33">
        <v>190104</v>
      </c>
      <c r="B134" s="33" t="s">
        <v>19481</v>
      </c>
    </row>
    <row r="135" spans="1:2" x14ac:dyDescent="0.25">
      <c r="A135" s="33">
        <v>190105</v>
      </c>
      <c r="B135" s="33" t="s">
        <v>19482</v>
      </c>
    </row>
    <row r="136" spans="1:2" x14ac:dyDescent="0.25">
      <c r="A136" s="33">
        <v>190115</v>
      </c>
      <c r="B136" s="33" t="s">
        <v>19483</v>
      </c>
    </row>
    <row r="137" spans="1:2" x14ac:dyDescent="0.25">
      <c r="A137" s="33">
        <v>190125</v>
      </c>
      <c r="B137" s="33" t="s">
        <v>19484</v>
      </c>
    </row>
    <row r="138" spans="1:2" x14ac:dyDescent="0.25">
      <c r="A138" s="33">
        <v>190135</v>
      </c>
      <c r="B138" s="33" t="s">
        <v>19485</v>
      </c>
    </row>
    <row r="139" spans="1:2" x14ac:dyDescent="0.25">
      <c r="A139" s="33">
        <v>190200</v>
      </c>
      <c r="B139" s="33" t="s">
        <v>19486</v>
      </c>
    </row>
    <row r="140" spans="1:2" x14ac:dyDescent="0.25">
      <c r="A140" s="33">
        <v>190201</v>
      </c>
      <c r="B140" s="33" t="s">
        <v>19487</v>
      </c>
    </row>
    <row r="141" spans="1:2" x14ac:dyDescent="0.25">
      <c r="A141" s="33">
        <v>190202</v>
      </c>
      <c r="B141" s="33" t="s">
        <v>19488</v>
      </c>
    </row>
    <row r="142" spans="1:2" x14ac:dyDescent="0.25">
      <c r="A142" s="33">
        <v>190300</v>
      </c>
      <c r="B142" s="33" t="s">
        <v>19489</v>
      </c>
    </row>
    <row r="143" spans="1:2" x14ac:dyDescent="0.25">
      <c r="A143" s="33">
        <v>190330</v>
      </c>
      <c r="B143" s="33" t="s">
        <v>19490</v>
      </c>
    </row>
    <row r="144" spans="1:2" x14ac:dyDescent="0.25">
      <c r="A144" s="33">
        <v>190340</v>
      </c>
      <c r="B144" s="33" t="s">
        <v>19491</v>
      </c>
    </row>
    <row r="145" spans="1:2" x14ac:dyDescent="0.25">
      <c r="A145" s="33">
        <v>200000</v>
      </c>
      <c r="B145" s="33" t="s">
        <v>19492</v>
      </c>
    </row>
    <row r="146" spans="1:2" x14ac:dyDescent="0.25">
      <c r="A146" s="33">
        <v>200100</v>
      </c>
      <c r="B146" s="33" t="s">
        <v>19493</v>
      </c>
    </row>
    <row r="147" spans="1:2" x14ac:dyDescent="0.25">
      <c r="A147" s="33">
        <v>200200</v>
      </c>
      <c r="B147" s="33" t="s">
        <v>19494</v>
      </c>
    </row>
    <row r="148" spans="1:2" x14ac:dyDescent="0.25">
      <c r="A148" s="33">
        <v>210000</v>
      </c>
      <c r="B148" s="33" t="s">
        <v>11829</v>
      </c>
    </row>
    <row r="149" spans="1:2" x14ac:dyDescent="0.25">
      <c r="A149" s="33">
        <v>210100</v>
      </c>
      <c r="B149" s="33" t="s">
        <v>19495</v>
      </c>
    </row>
    <row r="150" spans="1:2" x14ac:dyDescent="0.25">
      <c r="A150" s="33">
        <v>210200</v>
      </c>
      <c r="B150" s="33" t="s">
        <v>19496</v>
      </c>
    </row>
    <row r="151" spans="1:2" x14ac:dyDescent="0.25">
      <c r="A151" s="33">
        <v>210201</v>
      </c>
      <c r="B151" s="33" t="s">
        <v>19497</v>
      </c>
    </row>
    <row r="152" spans="1:2" x14ac:dyDescent="0.25">
      <c r="A152" s="33">
        <v>210202</v>
      </c>
      <c r="B152" s="33" t="s">
        <v>19498</v>
      </c>
    </row>
    <row r="153" spans="1:2" x14ac:dyDescent="0.25">
      <c r="A153" s="33">
        <v>210300</v>
      </c>
      <c r="B153" s="33" t="s">
        <v>19499</v>
      </c>
    </row>
    <row r="154" spans="1:2" x14ac:dyDescent="0.25">
      <c r="A154" s="33">
        <v>210400</v>
      </c>
      <c r="B154" s="33" t="s">
        <v>19500</v>
      </c>
    </row>
    <row r="155" spans="1:2" x14ac:dyDescent="0.25">
      <c r="A155" s="33">
        <v>210500</v>
      </c>
      <c r="B155" s="33" t="s">
        <v>19501</v>
      </c>
    </row>
    <row r="156" spans="1:2" x14ac:dyDescent="0.25">
      <c r="A156" s="33">
        <v>220000</v>
      </c>
      <c r="B156" s="33" t="s">
        <v>19502</v>
      </c>
    </row>
    <row r="157" spans="1:2" x14ac:dyDescent="0.25">
      <c r="A157" s="33">
        <v>221000</v>
      </c>
      <c r="B157" s="33" t="s">
        <v>19503</v>
      </c>
    </row>
    <row r="158" spans="1:2" x14ac:dyDescent="0.25">
      <c r="A158" s="33">
        <v>222000</v>
      </c>
      <c r="B158" s="33" t="s">
        <v>19504</v>
      </c>
    </row>
    <row r="159" spans="1:2" x14ac:dyDescent="0.25">
      <c r="A159" s="33">
        <v>1506100000</v>
      </c>
      <c r="B159" s="33" t="s">
        <v>19505</v>
      </c>
    </row>
    <row r="160" spans="1:2" x14ac:dyDescent="0.25">
      <c r="A160" s="33">
        <v>1507100000</v>
      </c>
      <c r="B160" s="33" t="s">
        <v>19505</v>
      </c>
    </row>
    <row r="161" spans="1:2" x14ac:dyDescent="0.25">
      <c r="A161" s="33">
        <v>1527000000</v>
      </c>
      <c r="B161" s="33" t="s">
        <v>19506</v>
      </c>
    </row>
    <row r="162" spans="1:2" x14ac:dyDescent="0.25">
      <c r="A162" s="33">
        <v>3000000000</v>
      </c>
      <c r="B162" s="33" t="s">
        <v>19507</v>
      </c>
    </row>
    <row r="163" spans="1:2" x14ac:dyDescent="0.25">
      <c r="A163" s="33">
        <v>3000000001</v>
      </c>
      <c r="B163" s="33" t="s">
        <v>19508</v>
      </c>
    </row>
    <row r="164" spans="1:2" x14ac:dyDescent="0.25">
      <c r="A164" s="33">
        <v>3000000002</v>
      </c>
      <c r="B164" s="33" t="s">
        <v>19509</v>
      </c>
    </row>
    <row r="165" spans="1:2" x14ac:dyDescent="0.25">
      <c r="A165" s="33">
        <v>3000000004</v>
      </c>
      <c r="B165" s="33" t="s">
        <v>19507</v>
      </c>
    </row>
    <row r="166" spans="1:2" x14ac:dyDescent="0.25">
      <c r="A166" s="33">
        <v>3000006000</v>
      </c>
      <c r="B166" s="33" t="s">
        <v>19510</v>
      </c>
    </row>
    <row r="167" spans="1:2" x14ac:dyDescent="0.25">
      <c r="A167" s="33">
        <v>3000007777</v>
      </c>
      <c r="B167" s="33" t="s">
        <v>19511</v>
      </c>
    </row>
    <row r="168" spans="1:2" x14ac:dyDescent="0.25">
      <c r="A168" s="33">
        <v>3000100000</v>
      </c>
      <c r="B168" s="33" t="s">
        <v>19512</v>
      </c>
    </row>
    <row r="169" spans="1:2" x14ac:dyDescent="0.25">
      <c r="A169" s="33">
        <v>3000200000</v>
      </c>
      <c r="B169" s="33" t="s">
        <v>19513</v>
      </c>
    </row>
    <row r="170" spans="1:2" x14ac:dyDescent="0.25">
      <c r="A170" s="33">
        <v>3000300000</v>
      </c>
      <c r="B170" s="33" t="s">
        <v>19514</v>
      </c>
    </row>
    <row r="171" spans="1:2" x14ac:dyDescent="0.25">
      <c r="A171" s="33">
        <v>3001000000</v>
      </c>
      <c r="B171" s="33" t="s">
        <v>19515</v>
      </c>
    </row>
    <row r="172" spans="1:2" x14ac:dyDescent="0.25">
      <c r="A172" s="33">
        <v>3010000000</v>
      </c>
      <c r="B172" s="33" t="s">
        <v>19516</v>
      </c>
    </row>
    <row r="173" spans="1:2" x14ac:dyDescent="0.25">
      <c r="A173" s="33">
        <v>3010000001</v>
      </c>
      <c r="B173" s="33" t="s">
        <v>19517</v>
      </c>
    </row>
    <row r="174" spans="1:2" x14ac:dyDescent="0.25">
      <c r="A174" s="33">
        <v>3010000002</v>
      </c>
      <c r="B174" s="33" t="s">
        <v>19518</v>
      </c>
    </row>
    <row r="175" spans="1:2" x14ac:dyDescent="0.25">
      <c r="A175" s="33">
        <v>3010000100</v>
      </c>
      <c r="B175" s="33" t="s">
        <v>19517</v>
      </c>
    </row>
    <row r="176" spans="1:2" x14ac:dyDescent="0.25">
      <c r="A176" s="33">
        <v>3010006000</v>
      </c>
      <c r="B176" s="33" t="s">
        <v>19519</v>
      </c>
    </row>
    <row r="177" spans="1:2" x14ac:dyDescent="0.25">
      <c r="A177" s="33">
        <v>3010010000</v>
      </c>
      <c r="B177" s="33" t="s">
        <v>19520</v>
      </c>
    </row>
    <row r="178" spans="1:2" x14ac:dyDescent="0.25">
      <c r="A178" s="33">
        <v>3010010001</v>
      </c>
      <c r="B178" s="33" t="s">
        <v>19521</v>
      </c>
    </row>
    <row r="179" spans="1:2" x14ac:dyDescent="0.25">
      <c r="A179" s="33">
        <v>3010010100</v>
      </c>
      <c r="B179" s="33" t="s">
        <v>19522</v>
      </c>
    </row>
    <row r="180" spans="1:2" x14ac:dyDescent="0.25">
      <c r="A180" s="33">
        <v>3010100000</v>
      </c>
      <c r="B180" s="33" t="s">
        <v>19523</v>
      </c>
    </row>
    <row r="181" spans="1:2" x14ac:dyDescent="0.25">
      <c r="A181" s="33">
        <v>3010200000</v>
      </c>
      <c r="B181" s="33" t="s">
        <v>19524</v>
      </c>
    </row>
    <row r="182" spans="1:2" x14ac:dyDescent="0.25">
      <c r="A182" s="33">
        <v>3010300000</v>
      </c>
      <c r="B182" s="33" t="s">
        <v>19525</v>
      </c>
    </row>
    <row r="183" spans="1:2" x14ac:dyDescent="0.25">
      <c r="A183" s="33">
        <v>3011000000</v>
      </c>
      <c r="B183" s="33" t="s">
        <v>19526</v>
      </c>
    </row>
    <row r="184" spans="1:2" x14ac:dyDescent="0.25">
      <c r="A184" s="33">
        <v>3011000001</v>
      </c>
      <c r="B184" s="33" t="s">
        <v>19527</v>
      </c>
    </row>
    <row r="185" spans="1:2" x14ac:dyDescent="0.25">
      <c r="A185" s="33">
        <v>3011000100</v>
      </c>
      <c r="B185" s="33" t="s">
        <v>19528</v>
      </c>
    </row>
    <row r="186" spans="1:2" x14ac:dyDescent="0.25">
      <c r="A186" s="33">
        <v>3020000000</v>
      </c>
      <c r="B186" s="33" t="s">
        <v>19529</v>
      </c>
    </row>
    <row r="187" spans="1:2" x14ac:dyDescent="0.25">
      <c r="A187" s="33">
        <v>3020006000</v>
      </c>
      <c r="B187" s="33" t="s">
        <v>19530</v>
      </c>
    </row>
    <row r="188" spans="1:2" x14ac:dyDescent="0.25">
      <c r="A188" s="33">
        <v>3020100000</v>
      </c>
      <c r="B188" s="33" t="s">
        <v>19531</v>
      </c>
    </row>
    <row r="189" spans="1:2" x14ac:dyDescent="0.25">
      <c r="A189" s="33">
        <v>3020200000</v>
      </c>
      <c r="B189" s="33" t="s">
        <v>19532</v>
      </c>
    </row>
    <row r="190" spans="1:2" x14ac:dyDescent="0.25">
      <c r="A190" s="33">
        <v>3021000000</v>
      </c>
      <c r="B190" s="33" t="s">
        <v>19533</v>
      </c>
    </row>
    <row r="191" spans="1:2" x14ac:dyDescent="0.25">
      <c r="A191" s="33">
        <v>3029000000</v>
      </c>
      <c r="B191" s="33" t="s">
        <v>19534</v>
      </c>
    </row>
    <row r="192" spans="1:2" x14ac:dyDescent="0.25">
      <c r="A192" s="33">
        <v>3030000000</v>
      </c>
      <c r="B192" s="33" t="s">
        <v>19535</v>
      </c>
    </row>
    <row r="193" spans="1:2" x14ac:dyDescent="0.25">
      <c r="A193" s="33">
        <v>3030006000</v>
      </c>
      <c r="B193" s="33" t="s">
        <v>19536</v>
      </c>
    </row>
    <row r="194" spans="1:2" x14ac:dyDescent="0.25">
      <c r="A194" s="33">
        <v>3031000000</v>
      </c>
      <c r="B194" s="33" t="s">
        <v>19537</v>
      </c>
    </row>
    <row r="195" spans="1:2" x14ac:dyDescent="0.25">
      <c r="A195" s="33">
        <v>3040000000</v>
      </c>
      <c r="B195" s="33" t="s">
        <v>19538</v>
      </c>
    </row>
    <row r="196" spans="1:2" x14ac:dyDescent="0.25">
      <c r="A196" s="33">
        <v>3041000000</v>
      </c>
      <c r="B196" s="33" t="s">
        <v>19539</v>
      </c>
    </row>
    <row r="197" spans="1:2" x14ac:dyDescent="0.25">
      <c r="A197" s="33">
        <v>3050000000</v>
      </c>
      <c r="B197" s="33" t="s">
        <v>19540</v>
      </c>
    </row>
    <row r="198" spans="1:2" x14ac:dyDescent="0.25">
      <c r="A198" s="33">
        <v>3050000001</v>
      </c>
      <c r="B198" s="33" t="s">
        <v>19541</v>
      </c>
    </row>
    <row r="199" spans="1:2" x14ac:dyDescent="0.25">
      <c r="A199" s="33">
        <v>3060000000</v>
      </c>
      <c r="B199" s="33" t="s">
        <v>19542</v>
      </c>
    </row>
    <row r="200" spans="1:2" x14ac:dyDescent="0.25">
      <c r="A200" s="33">
        <v>3100000000</v>
      </c>
      <c r="B200" s="33" t="s">
        <v>19543</v>
      </c>
    </row>
    <row r="201" spans="1:2" x14ac:dyDescent="0.25">
      <c r="A201" s="33">
        <v>3100006000</v>
      </c>
      <c r="B201" s="33" t="s">
        <v>19544</v>
      </c>
    </row>
    <row r="202" spans="1:2" x14ac:dyDescent="0.25">
      <c r="A202" s="33">
        <v>3101000000</v>
      </c>
      <c r="B202" s="33" t="s">
        <v>19545</v>
      </c>
    </row>
    <row r="203" spans="1:2" x14ac:dyDescent="0.25">
      <c r="A203" s="33">
        <v>3101006000</v>
      </c>
      <c r="B203" s="33" t="s">
        <v>19546</v>
      </c>
    </row>
    <row r="204" spans="1:2" x14ac:dyDescent="0.25">
      <c r="A204" s="33">
        <v>3102000000</v>
      </c>
      <c r="B204" s="33" t="s">
        <v>19547</v>
      </c>
    </row>
    <row r="205" spans="1:2" x14ac:dyDescent="0.25">
      <c r="A205" s="33">
        <v>3102006000</v>
      </c>
      <c r="B205" s="33" t="s">
        <v>19548</v>
      </c>
    </row>
    <row r="206" spans="1:2" x14ac:dyDescent="0.25">
      <c r="A206" s="33">
        <v>3103000000</v>
      </c>
      <c r="B206" s="33" t="s">
        <v>19549</v>
      </c>
    </row>
    <row r="207" spans="1:2" x14ac:dyDescent="0.25">
      <c r="A207" s="33">
        <v>3103006000</v>
      </c>
      <c r="B207" s="33" t="s">
        <v>19550</v>
      </c>
    </row>
    <row r="208" spans="1:2" x14ac:dyDescent="0.25">
      <c r="A208" s="33">
        <v>3104000000</v>
      </c>
      <c r="B208" s="33" t="s">
        <v>19551</v>
      </c>
    </row>
    <row r="209" spans="1:2" x14ac:dyDescent="0.25">
      <c r="A209" s="33">
        <v>3104006000</v>
      </c>
      <c r="B209" s="33" t="s">
        <v>19552</v>
      </c>
    </row>
    <row r="210" spans="1:2" x14ac:dyDescent="0.25">
      <c r="A210" s="33">
        <v>3105000000</v>
      </c>
      <c r="B210" s="33" t="s">
        <v>19553</v>
      </c>
    </row>
    <row r="211" spans="1:2" x14ac:dyDescent="0.25">
      <c r="A211" s="33">
        <v>3105006000</v>
      </c>
      <c r="B211" s="33" t="s">
        <v>19554</v>
      </c>
    </row>
    <row r="212" spans="1:2" x14ac:dyDescent="0.25">
      <c r="A212" s="33">
        <v>3105100000</v>
      </c>
      <c r="B212" s="33" t="s">
        <v>19555</v>
      </c>
    </row>
    <row r="213" spans="1:2" x14ac:dyDescent="0.25">
      <c r="A213" s="33">
        <v>3106000000</v>
      </c>
      <c r="B213" s="33" t="s">
        <v>19556</v>
      </c>
    </row>
    <row r="214" spans="1:2" x14ac:dyDescent="0.25">
      <c r="A214" s="33">
        <v>3106000001</v>
      </c>
      <c r="B214" s="33" t="s">
        <v>19557</v>
      </c>
    </row>
    <row r="215" spans="1:2" x14ac:dyDescent="0.25">
      <c r="A215" s="33">
        <v>3106000002</v>
      </c>
      <c r="B215" s="33" t="s">
        <v>19558</v>
      </c>
    </row>
    <row r="216" spans="1:2" x14ac:dyDescent="0.25">
      <c r="A216" s="33">
        <v>3106000010</v>
      </c>
      <c r="B216" s="33" t="s">
        <v>19559</v>
      </c>
    </row>
    <row r="217" spans="1:2" x14ac:dyDescent="0.25">
      <c r="A217" s="33">
        <v>3106000020</v>
      </c>
      <c r="B217" s="33" t="s">
        <v>19560</v>
      </c>
    </row>
    <row r="218" spans="1:2" x14ac:dyDescent="0.25">
      <c r="A218" s="33">
        <v>3106006000</v>
      </c>
      <c r="B218" s="33" t="s">
        <v>19561</v>
      </c>
    </row>
    <row r="219" spans="1:2" x14ac:dyDescent="0.25">
      <c r="A219" s="33">
        <v>3107000000</v>
      </c>
      <c r="B219" s="33" t="s">
        <v>19562</v>
      </c>
    </row>
    <row r="220" spans="1:2" x14ac:dyDescent="0.25">
      <c r="A220" s="33">
        <v>3110000000</v>
      </c>
      <c r="B220" s="33" t="s">
        <v>19563</v>
      </c>
    </row>
    <row r="221" spans="1:2" x14ac:dyDescent="0.25">
      <c r="A221" s="33">
        <v>3110000001</v>
      </c>
      <c r="B221" s="33" t="s">
        <v>19564</v>
      </c>
    </row>
    <row r="222" spans="1:2" x14ac:dyDescent="0.25">
      <c r="A222" s="33">
        <v>3110000002</v>
      </c>
      <c r="B222" s="33" t="s">
        <v>19565</v>
      </c>
    </row>
    <row r="223" spans="1:2" x14ac:dyDescent="0.25">
      <c r="A223" s="33">
        <v>3110000100</v>
      </c>
      <c r="B223" s="33" t="s">
        <v>19566</v>
      </c>
    </row>
    <row r="224" spans="1:2" x14ac:dyDescent="0.25">
      <c r="A224" s="33">
        <v>3110006000</v>
      </c>
      <c r="B224" s="33" t="s">
        <v>19567</v>
      </c>
    </row>
    <row r="225" spans="1:2" x14ac:dyDescent="0.25">
      <c r="A225" s="33">
        <v>3111000000</v>
      </c>
      <c r="B225" s="33" t="s">
        <v>19568</v>
      </c>
    </row>
    <row r="226" spans="1:2" x14ac:dyDescent="0.25">
      <c r="A226" s="33">
        <v>3111000001</v>
      </c>
      <c r="B226" s="33" t="s">
        <v>19569</v>
      </c>
    </row>
    <row r="227" spans="1:2" x14ac:dyDescent="0.25">
      <c r="A227" s="33">
        <v>3111000100</v>
      </c>
      <c r="B227" s="33" t="s">
        <v>19569</v>
      </c>
    </row>
    <row r="228" spans="1:2" x14ac:dyDescent="0.25">
      <c r="A228" s="33">
        <v>3111006000</v>
      </c>
      <c r="B228" s="33" t="s">
        <v>19570</v>
      </c>
    </row>
    <row r="229" spans="1:2" x14ac:dyDescent="0.25">
      <c r="A229" s="33">
        <v>3111010001</v>
      </c>
      <c r="B229" s="33" t="s">
        <v>19571</v>
      </c>
    </row>
    <row r="230" spans="1:2" x14ac:dyDescent="0.25">
      <c r="A230" s="33">
        <v>3111010100</v>
      </c>
      <c r="B230" s="33" t="s">
        <v>19572</v>
      </c>
    </row>
    <row r="231" spans="1:2" x14ac:dyDescent="0.25">
      <c r="A231" s="33">
        <v>3112000000</v>
      </c>
      <c r="B231" s="33" t="s">
        <v>19573</v>
      </c>
    </row>
    <row r="232" spans="1:2" x14ac:dyDescent="0.25">
      <c r="A232" s="33">
        <v>3112000100</v>
      </c>
      <c r="B232" s="33" t="s">
        <v>19574</v>
      </c>
    </row>
    <row r="233" spans="1:2" x14ac:dyDescent="0.25">
      <c r="A233" s="33">
        <v>3112006000</v>
      </c>
      <c r="B233" s="33" t="s">
        <v>19575</v>
      </c>
    </row>
    <row r="234" spans="1:2" x14ac:dyDescent="0.25">
      <c r="A234" s="33">
        <v>3113000000</v>
      </c>
      <c r="B234" s="33" t="s">
        <v>19576</v>
      </c>
    </row>
    <row r="235" spans="1:2" x14ac:dyDescent="0.25">
      <c r="A235" s="33">
        <v>3113006000</v>
      </c>
      <c r="B235" s="33" t="s">
        <v>19577</v>
      </c>
    </row>
    <row r="236" spans="1:2" x14ac:dyDescent="0.25">
      <c r="A236" s="33">
        <v>3114000000</v>
      </c>
      <c r="B236" s="33" t="s">
        <v>19578</v>
      </c>
    </row>
    <row r="237" spans="1:2" x14ac:dyDescent="0.25">
      <c r="A237" s="33">
        <v>3114006000</v>
      </c>
      <c r="B237" s="33" t="s">
        <v>19579</v>
      </c>
    </row>
    <row r="238" spans="1:2" x14ac:dyDescent="0.25">
      <c r="A238" s="33">
        <v>3115000000</v>
      </c>
      <c r="B238" s="33" t="s">
        <v>19580</v>
      </c>
    </row>
    <row r="239" spans="1:2" x14ac:dyDescent="0.25">
      <c r="A239" s="33">
        <v>3115000001</v>
      </c>
      <c r="B239" s="33" t="s">
        <v>19581</v>
      </c>
    </row>
    <row r="240" spans="1:2" x14ac:dyDescent="0.25">
      <c r="A240" s="33">
        <v>3115000100</v>
      </c>
      <c r="B240" s="33" t="s">
        <v>19582</v>
      </c>
    </row>
    <row r="241" spans="1:2" x14ac:dyDescent="0.25">
      <c r="A241" s="33">
        <v>3115006000</v>
      </c>
      <c r="B241" s="33" t="s">
        <v>19583</v>
      </c>
    </row>
    <row r="242" spans="1:2" x14ac:dyDescent="0.25">
      <c r="A242" s="33">
        <v>3115100000</v>
      </c>
      <c r="B242" s="33" t="s">
        <v>19584</v>
      </c>
    </row>
    <row r="243" spans="1:2" x14ac:dyDescent="0.25">
      <c r="A243" s="33">
        <v>3116000000</v>
      </c>
      <c r="B243" s="33" t="s">
        <v>19585</v>
      </c>
    </row>
    <row r="244" spans="1:2" x14ac:dyDescent="0.25">
      <c r="A244" s="33">
        <v>3116000001</v>
      </c>
      <c r="B244" s="33" t="s">
        <v>19586</v>
      </c>
    </row>
    <row r="245" spans="1:2" x14ac:dyDescent="0.25">
      <c r="A245" s="33">
        <v>3116000002</v>
      </c>
      <c r="B245" s="33" t="s">
        <v>19587</v>
      </c>
    </row>
    <row r="246" spans="1:2" x14ac:dyDescent="0.25">
      <c r="A246" s="33">
        <v>3116000010</v>
      </c>
      <c r="B246" s="33" t="s">
        <v>19588</v>
      </c>
    </row>
    <row r="247" spans="1:2" x14ac:dyDescent="0.25">
      <c r="A247" s="33">
        <v>3116000020</v>
      </c>
      <c r="B247" s="33" t="s">
        <v>19589</v>
      </c>
    </row>
    <row r="248" spans="1:2" x14ac:dyDescent="0.25">
      <c r="A248" s="33">
        <v>3116006000</v>
      </c>
      <c r="B248" s="33" t="s">
        <v>19590</v>
      </c>
    </row>
    <row r="249" spans="1:2" x14ac:dyDescent="0.25">
      <c r="A249" s="33">
        <v>3117000000</v>
      </c>
      <c r="B249" s="33" t="s">
        <v>19591</v>
      </c>
    </row>
    <row r="250" spans="1:2" x14ac:dyDescent="0.25">
      <c r="A250" s="33">
        <v>3120000000</v>
      </c>
      <c r="B250" s="33" t="s">
        <v>19592</v>
      </c>
    </row>
    <row r="251" spans="1:2" x14ac:dyDescent="0.25">
      <c r="A251" s="33">
        <v>3120006000</v>
      </c>
      <c r="B251" s="33" t="s">
        <v>19593</v>
      </c>
    </row>
    <row r="252" spans="1:2" x14ac:dyDescent="0.25">
      <c r="A252" s="33">
        <v>3120100000</v>
      </c>
      <c r="B252" s="33" t="s">
        <v>19594</v>
      </c>
    </row>
    <row r="253" spans="1:2" x14ac:dyDescent="0.25">
      <c r="A253" s="33">
        <v>3121000000</v>
      </c>
      <c r="B253" s="33" t="s">
        <v>19595</v>
      </c>
    </row>
    <row r="254" spans="1:2" x14ac:dyDescent="0.25">
      <c r="A254" s="33">
        <v>3121006000</v>
      </c>
      <c r="B254" s="33" t="s">
        <v>19596</v>
      </c>
    </row>
    <row r="255" spans="1:2" x14ac:dyDescent="0.25">
      <c r="A255" s="33">
        <v>3122000000</v>
      </c>
      <c r="B255" s="33" t="s">
        <v>19597</v>
      </c>
    </row>
    <row r="256" spans="1:2" x14ac:dyDescent="0.25">
      <c r="A256" s="33">
        <v>3122006000</v>
      </c>
      <c r="B256" s="33" t="s">
        <v>19598</v>
      </c>
    </row>
    <row r="257" spans="1:2" x14ac:dyDescent="0.25">
      <c r="A257" s="33">
        <v>3123000000</v>
      </c>
      <c r="B257" s="33" t="s">
        <v>19599</v>
      </c>
    </row>
    <row r="258" spans="1:2" x14ac:dyDescent="0.25">
      <c r="A258" s="33">
        <v>3123006000</v>
      </c>
      <c r="B258" s="33" t="s">
        <v>19600</v>
      </c>
    </row>
    <row r="259" spans="1:2" x14ac:dyDescent="0.25">
      <c r="A259" s="33">
        <v>3125000000</v>
      </c>
      <c r="B259" s="33" t="s">
        <v>19601</v>
      </c>
    </row>
    <row r="260" spans="1:2" x14ac:dyDescent="0.25">
      <c r="A260" s="33">
        <v>3125006000</v>
      </c>
      <c r="B260" s="33" t="s">
        <v>19602</v>
      </c>
    </row>
    <row r="261" spans="1:2" x14ac:dyDescent="0.25">
      <c r="A261" s="33">
        <v>3126000000</v>
      </c>
      <c r="B261" s="33" t="s">
        <v>19603</v>
      </c>
    </row>
    <row r="262" spans="1:2" x14ac:dyDescent="0.25">
      <c r="A262" s="33">
        <v>3126006000</v>
      </c>
      <c r="B262" s="33" t="s">
        <v>19604</v>
      </c>
    </row>
    <row r="263" spans="1:2" x14ac:dyDescent="0.25">
      <c r="A263" s="33">
        <v>3127000000</v>
      </c>
      <c r="B263" s="33" t="s">
        <v>19605</v>
      </c>
    </row>
    <row r="264" spans="1:2" x14ac:dyDescent="0.25">
      <c r="A264" s="33">
        <v>3127006000</v>
      </c>
      <c r="B264" s="33" t="s">
        <v>19606</v>
      </c>
    </row>
    <row r="265" spans="1:2" x14ac:dyDescent="0.25">
      <c r="A265" s="33">
        <v>3130000000</v>
      </c>
      <c r="B265" s="33" t="s">
        <v>19607</v>
      </c>
    </row>
    <row r="266" spans="1:2" x14ac:dyDescent="0.25">
      <c r="A266" s="33">
        <v>3130006000</v>
      </c>
      <c r="B266" s="33" t="s">
        <v>19608</v>
      </c>
    </row>
    <row r="267" spans="1:2" x14ac:dyDescent="0.25">
      <c r="A267" s="33">
        <v>3131000000</v>
      </c>
      <c r="B267" s="33" t="s">
        <v>19609</v>
      </c>
    </row>
    <row r="268" spans="1:2" x14ac:dyDescent="0.25">
      <c r="A268" s="33">
        <v>3131006000</v>
      </c>
      <c r="B268" s="33" t="s">
        <v>19610</v>
      </c>
    </row>
    <row r="269" spans="1:2" x14ac:dyDescent="0.25">
      <c r="A269" s="33">
        <v>3132000000</v>
      </c>
      <c r="B269" s="33" t="s">
        <v>19611</v>
      </c>
    </row>
    <row r="270" spans="1:2" x14ac:dyDescent="0.25">
      <c r="A270" s="33">
        <v>3132006000</v>
      </c>
      <c r="B270" s="33" t="s">
        <v>19612</v>
      </c>
    </row>
    <row r="271" spans="1:2" x14ac:dyDescent="0.25">
      <c r="A271" s="33">
        <v>3133000000</v>
      </c>
      <c r="B271" s="33" t="s">
        <v>19613</v>
      </c>
    </row>
    <row r="272" spans="1:2" x14ac:dyDescent="0.25">
      <c r="A272" s="33">
        <v>3133006000</v>
      </c>
      <c r="B272" s="33" t="s">
        <v>19614</v>
      </c>
    </row>
    <row r="273" spans="1:2" x14ac:dyDescent="0.25">
      <c r="A273" s="33">
        <v>3135000000</v>
      </c>
      <c r="B273" s="33" t="s">
        <v>19615</v>
      </c>
    </row>
    <row r="274" spans="1:2" x14ac:dyDescent="0.25">
      <c r="A274" s="33">
        <v>3135006000</v>
      </c>
      <c r="B274" s="33" t="s">
        <v>19616</v>
      </c>
    </row>
    <row r="275" spans="1:2" x14ac:dyDescent="0.25">
      <c r="A275" s="33">
        <v>3140000000</v>
      </c>
      <c r="B275" s="33" t="s">
        <v>19617</v>
      </c>
    </row>
    <row r="276" spans="1:2" x14ac:dyDescent="0.25">
      <c r="A276" s="33">
        <v>3141000000</v>
      </c>
      <c r="B276" s="33" t="s">
        <v>19618</v>
      </c>
    </row>
    <row r="277" spans="1:2" x14ac:dyDescent="0.25">
      <c r="A277" s="33">
        <v>3150000000</v>
      </c>
      <c r="B277" s="33" t="s">
        <v>19619</v>
      </c>
    </row>
    <row r="278" spans="1:2" x14ac:dyDescent="0.25">
      <c r="A278" s="33">
        <v>3151000000</v>
      </c>
      <c r="B278" s="33" t="s">
        <v>19620</v>
      </c>
    </row>
    <row r="279" spans="1:2" x14ac:dyDescent="0.25">
      <c r="A279" s="33">
        <v>3201000000</v>
      </c>
      <c r="B279" s="33" t="s">
        <v>19621</v>
      </c>
    </row>
    <row r="280" spans="1:2" x14ac:dyDescent="0.25">
      <c r="A280" s="33">
        <v>3201006000</v>
      </c>
      <c r="B280" s="33" t="s">
        <v>19622</v>
      </c>
    </row>
    <row r="281" spans="1:2" x14ac:dyDescent="0.25">
      <c r="A281" s="33">
        <v>3202000000</v>
      </c>
      <c r="B281" s="33" t="s">
        <v>19623</v>
      </c>
    </row>
    <row r="282" spans="1:2" x14ac:dyDescent="0.25">
      <c r="A282" s="33">
        <v>3202006000</v>
      </c>
      <c r="B282" s="33" t="s">
        <v>19624</v>
      </c>
    </row>
    <row r="283" spans="1:2" x14ac:dyDescent="0.25">
      <c r="A283" s="33">
        <v>3203000000</v>
      </c>
      <c r="B283" s="33" t="s">
        <v>19625</v>
      </c>
    </row>
    <row r="284" spans="1:2" x14ac:dyDescent="0.25">
      <c r="A284" s="33">
        <v>3203006000</v>
      </c>
      <c r="B284" s="33" t="s">
        <v>19626</v>
      </c>
    </row>
    <row r="285" spans="1:2" x14ac:dyDescent="0.25">
      <c r="A285" s="33">
        <v>3205000000</v>
      </c>
      <c r="B285" s="33" t="s">
        <v>19627</v>
      </c>
    </row>
    <row r="286" spans="1:2" x14ac:dyDescent="0.25">
      <c r="A286" s="33">
        <v>3205100000</v>
      </c>
      <c r="B286" s="33" t="s">
        <v>19628</v>
      </c>
    </row>
    <row r="287" spans="1:2" x14ac:dyDescent="0.25">
      <c r="A287" s="33">
        <v>3211000000</v>
      </c>
      <c r="B287" s="33" t="s">
        <v>19629</v>
      </c>
    </row>
    <row r="288" spans="1:2" x14ac:dyDescent="0.25">
      <c r="A288" s="33">
        <v>3211006000</v>
      </c>
      <c r="B288" s="33" t="s">
        <v>19630</v>
      </c>
    </row>
    <row r="289" spans="1:2" x14ac:dyDescent="0.25">
      <c r="A289" s="33">
        <v>3212000000</v>
      </c>
      <c r="B289" s="33" t="s">
        <v>19631</v>
      </c>
    </row>
    <row r="290" spans="1:2" x14ac:dyDescent="0.25">
      <c r="A290" s="33">
        <v>3212006000</v>
      </c>
      <c r="B290" s="33" t="s">
        <v>19632</v>
      </c>
    </row>
    <row r="291" spans="1:2" x14ac:dyDescent="0.25">
      <c r="A291" s="33">
        <v>3213000000</v>
      </c>
      <c r="B291" s="33" t="s">
        <v>19633</v>
      </c>
    </row>
    <row r="292" spans="1:2" x14ac:dyDescent="0.25">
      <c r="A292" s="33">
        <v>3213006000</v>
      </c>
      <c r="B292" s="33" t="s">
        <v>19634</v>
      </c>
    </row>
    <row r="293" spans="1:2" x14ac:dyDescent="0.25">
      <c r="A293" s="33">
        <v>3214000000</v>
      </c>
      <c r="B293" s="33" t="s">
        <v>19635</v>
      </c>
    </row>
    <row r="294" spans="1:2" x14ac:dyDescent="0.25">
      <c r="A294" s="33">
        <v>3214006000</v>
      </c>
      <c r="B294" s="33" t="s">
        <v>19636</v>
      </c>
    </row>
    <row r="295" spans="1:2" x14ac:dyDescent="0.25">
      <c r="A295" s="33">
        <v>3215000000</v>
      </c>
      <c r="B295" s="33" t="s">
        <v>19637</v>
      </c>
    </row>
    <row r="296" spans="1:2" x14ac:dyDescent="0.25">
      <c r="A296" s="33">
        <v>3215100000</v>
      </c>
      <c r="B296" s="33" t="s">
        <v>19638</v>
      </c>
    </row>
    <row r="297" spans="1:2" x14ac:dyDescent="0.25">
      <c r="A297" s="33">
        <v>3220000000</v>
      </c>
      <c r="B297" s="33" t="s">
        <v>19639</v>
      </c>
    </row>
    <row r="298" spans="1:2" x14ac:dyDescent="0.25">
      <c r="A298" s="33">
        <v>3221000000</v>
      </c>
      <c r="B298" s="33" t="s">
        <v>19640</v>
      </c>
    </row>
    <row r="299" spans="1:2" x14ac:dyDescent="0.25">
      <c r="A299" s="33">
        <v>3300000000</v>
      </c>
      <c r="B299" s="33" t="s">
        <v>19641</v>
      </c>
    </row>
    <row r="300" spans="1:2" x14ac:dyDescent="0.25">
      <c r="A300" s="33">
        <v>3300000001</v>
      </c>
      <c r="B300" s="33" t="s">
        <v>19642</v>
      </c>
    </row>
    <row r="301" spans="1:2" x14ac:dyDescent="0.25">
      <c r="A301" s="33">
        <v>3300008000</v>
      </c>
      <c r="B301" s="33" t="s">
        <v>19643</v>
      </c>
    </row>
    <row r="302" spans="1:2" x14ac:dyDescent="0.25">
      <c r="A302" s="33">
        <v>3300016000</v>
      </c>
      <c r="B302" s="33" t="s">
        <v>19644</v>
      </c>
    </row>
    <row r="303" spans="1:2" x14ac:dyDescent="0.25">
      <c r="A303" s="33">
        <v>3300018000</v>
      </c>
      <c r="B303" s="33" t="s">
        <v>19645</v>
      </c>
    </row>
    <row r="304" spans="1:2" x14ac:dyDescent="0.25">
      <c r="A304" s="33">
        <v>3301000000</v>
      </c>
      <c r="B304" s="33" t="s">
        <v>19646</v>
      </c>
    </row>
    <row r="305" spans="1:2" x14ac:dyDescent="0.25">
      <c r="A305" s="33">
        <v>3301000001</v>
      </c>
      <c r="B305" s="33" t="s">
        <v>19647</v>
      </c>
    </row>
    <row r="306" spans="1:2" x14ac:dyDescent="0.25">
      <c r="A306" s="33">
        <v>3303000000</v>
      </c>
      <c r="B306" s="33" t="s">
        <v>19648</v>
      </c>
    </row>
    <row r="307" spans="1:2" x14ac:dyDescent="0.25">
      <c r="A307" s="33">
        <v>3304000000</v>
      </c>
      <c r="B307" s="33" t="s">
        <v>19649</v>
      </c>
    </row>
    <row r="308" spans="1:2" x14ac:dyDescent="0.25">
      <c r="A308" s="33">
        <v>3305000000</v>
      </c>
      <c r="B308" s="33" t="s">
        <v>19650</v>
      </c>
    </row>
    <row r="309" spans="1:2" x14ac:dyDescent="0.25">
      <c r="A309" s="33">
        <v>3305100000</v>
      </c>
      <c r="B309" s="33" t="s">
        <v>19651</v>
      </c>
    </row>
    <row r="310" spans="1:2" x14ac:dyDescent="0.25">
      <c r="A310" s="33">
        <v>3305100010</v>
      </c>
      <c r="B310" s="33" t="s">
        <v>19651</v>
      </c>
    </row>
    <row r="311" spans="1:2" x14ac:dyDescent="0.25">
      <c r="A311" s="33">
        <v>3306000000</v>
      </c>
      <c r="B311" s="33" t="s">
        <v>19652</v>
      </c>
    </row>
    <row r="312" spans="1:2" x14ac:dyDescent="0.25">
      <c r="A312" s="33">
        <v>3306008000</v>
      </c>
      <c r="B312" s="33" t="s">
        <v>19653</v>
      </c>
    </row>
    <row r="313" spans="1:2" x14ac:dyDescent="0.25">
      <c r="A313" s="33">
        <v>3310000000</v>
      </c>
      <c r="B313" s="33" t="s">
        <v>19654</v>
      </c>
    </row>
    <row r="314" spans="1:2" x14ac:dyDescent="0.25">
      <c r="A314" s="33">
        <v>3310000001</v>
      </c>
      <c r="B314" s="33" t="s">
        <v>19655</v>
      </c>
    </row>
    <row r="315" spans="1:2" x14ac:dyDescent="0.25">
      <c r="A315" s="33">
        <v>3311000000</v>
      </c>
      <c r="B315" s="33" t="s">
        <v>19656</v>
      </c>
    </row>
    <row r="316" spans="1:2" x14ac:dyDescent="0.25">
      <c r="A316" s="33">
        <v>3311000001</v>
      </c>
      <c r="B316" s="33" t="s">
        <v>19657</v>
      </c>
    </row>
    <row r="317" spans="1:2" x14ac:dyDescent="0.25">
      <c r="A317" s="33">
        <v>3311000400</v>
      </c>
      <c r="B317" s="33" t="s">
        <v>19658</v>
      </c>
    </row>
    <row r="318" spans="1:2" x14ac:dyDescent="0.25">
      <c r="A318" s="33">
        <v>3313000000</v>
      </c>
      <c r="B318" s="33" t="s">
        <v>19659</v>
      </c>
    </row>
    <row r="319" spans="1:2" x14ac:dyDescent="0.25">
      <c r="A319" s="33">
        <v>3313100000</v>
      </c>
      <c r="B319" s="33" t="s">
        <v>19660</v>
      </c>
    </row>
    <row r="320" spans="1:2" x14ac:dyDescent="0.25">
      <c r="A320" s="33">
        <v>3313200000</v>
      </c>
      <c r="B320" s="33" t="s">
        <v>19661</v>
      </c>
    </row>
    <row r="321" spans="1:2" x14ac:dyDescent="0.25">
      <c r="A321" s="33">
        <v>3314000000</v>
      </c>
      <c r="B321" s="33" t="s">
        <v>19662</v>
      </c>
    </row>
    <row r="322" spans="1:2" x14ac:dyDescent="0.25">
      <c r="A322" s="33">
        <v>3317100000</v>
      </c>
      <c r="B322" s="33" t="s">
        <v>19663</v>
      </c>
    </row>
    <row r="323" spans="1:2" x14ac:dyDescent="0.25">
      <c r="A323" s="33">
        <v>3318500000</v>
      </c>
      <c r="B323" s="33" t="s">
        <v>19664</v>
      </c>
    </row>
    <row r="324" spans="1:2" x14ac:dyDescent="0.25">
      <c r="A324" s="33">
        <v>3319500000</v>
      </c>
      <c r="B324" s="33" t="s">
        <v>19665</v>
      </c>
    </row>
    <row r="325" spans="1:2" x14ac:dyDescent="0.25">
      <c r="A325" s="33">
        <v>3910000000</v>
      </c>
      <c r="B325" s="33" t="s">
        <v>19666</v>
      </c>
    </row>
    <row r="326" spans="1:2" x14ac:dyDescent="0.25">
      <c r="A326" s="33">
        <v>3911000000</v>
      </c>
      <c r="B326" s="33" t="s">
        <v>19667</v>
      </c>
    </row>
    <row r="327" spans="1:2" x14ac:dyDescent="0.25">
      <c r="A327" s="33">
        <v>3911100000</v>
      </c>
      <c r="B327" s="33" t="s">
        <v>19668</v>
      </c>
    </row>
    <row r="328" spans="1:2" x14ac:dyDescent="0.25">
      <c r="A328" s="33">
        <v>3912000000</v>
      </c>
      <c r="B328" s="33" t="s">
        <v>19669</v>
      </c>
    </row>
    <row r="329" spans="1:2" x14ac:dyDescent="0.25">
      <c r="A329" s="33">
        <v>3912100000</v>
      </c>
      <c r="B329" s="33" t="s">
        <v>19670</v>
      </c>
    </row>
    <row r="330" spans="1:2" x14ac:dyDescent="0.25">
      <c r="A330" s="33">
        <v>3920000000</v>
      </c>
      <c r="B330" s="33" t="s">
        <v>19671</v>
      </c>
    </row>
    <row r="331" spans="1:2" x14ac:dyDescent="0.25">
      <c r="A331" s="33">
        <v>3920000001</v>
      </c>
      <c r="B331" s="33" t="s">
        <v>19672</v>
      </c>
    </row>
    <row r="332" spans="1:2" x14ac:dyDescent="0.25">
      <c r="A332" s="33">
        <v>3920010000</v>
      </c>
      <c r="B332" s="33" t="s">
        <v>19673</v>
      </c>
    </row>
    <row r="333" spans="1:2" x14ac:dyDescent="0.25">
      <c r="A333" s="33">
        <v>3920100000</v>
      </c>
      <c r="B333" s="33" t="s">
        <v>19674</v>
      </c>
    </row>
    <row r="334" spans="1:2" x14ac:dyDescent="0.25">
      <c r="A334" s="33">
        <v>3920200000</v>
      </c>
      <c r="B334" s="33" t="s">
        <v>19675</v>
      </c>
    </row>
    <row r="335" spans="1:2" x14ac:dyDescent="0.25">
      <c r="A335" s="33">
        <v>3920300000</v>
      </c>
      <c r="B335" s="33" t="s">
        <v>19676</v>
      </c>
    </row>
    <row r="336" spans="1:2" x14ac:dyDescent="0.25">
      <c r="A336" s="33">
        <v>3921000000</v>
      </c>
      <c r="B336" s="33" t="s">
        <v>19677</v>
      </c>
    </row>
    <row r="337" spans="1:2" x14ac:dyDescent="0.25">
      <c r="A337" s="33">
        <v>3921006000</v>
      </c>
      <c r="B337" s="33" t="s">
        <v>19678</v>
      </c>
    </row>
    <row r="338" spans="1:2" x14ac:dyDescent="0.25">
      <c r="A338" s="33">
        <v>3924000000</v>
      </c>
      <c r="B338" s="33" t="s">
        <v>19679</v>
      </c>
    </row>
    <row r="339" spans="1:2" x14ac:dyDescent="0.25">
      <c r="A339" s="33">
        <v>3925000000</v>
      </c>
      <c r="B339" s="33" t="s">
        <v>19680</v>
      </c>
    </row>
    <row r="340" spans="1:2" x14ac:dyDescent="0.25">
      <c r="A340" s="33">
        <v>3925200000</v>
      </c>
      <c r="B340" s="33" t="s">
        <v>19681</v>
      </c>
    </row>
    <row r="341" spans="1:2" x14ac:dyDescent="0.25">
      <c r="A341" s="33">
        <v>3925220000</v>
      </c>
      <c r="B341" s="33" t="s">
        <v>19682</v>
      </c>
    </row>
    <row r="342" spans="1:2" x14ac:dyDescent="0.25">
      <c r="A342" s="33">
        <v>3925300000</v>
      </c>
      <c r="B342" s="33" t="s">
        <v>19683</v>
      </c>
    </row>
    <row r="343" spans="1:2" x14ac:dyDescent="0.25">
      <c r="A343" s="33">
        <v>3925320000</v>
      </c>
      <c r="B343" s="33" t="s">
        <v>19684</v>
      </c>
    </row>
    <row r="344" spans="1:2" x14ac:dyDescent="0.25">
      <c r="A344" s="33">
        <v>3925400000</v>
      </c>
      <c r="B344" s="33" t="s">
        <v>19685</v>
      </c>
    </row>
    <row r="345" spans="1:2" x14ac:dyDescent="0.25">
      <c r="A345" s="33">
        <v>3925500000</v>
      </c>
      <c r="B345" s="33" t="s">
        <v>19686</v>
      </c>
    </row>
    <row r="346" spans="1:2" x14ac:dyDescent="0.25">
      <c r="A346" s="33">
        <v>3925520000</v>
      </c>
      <c r="B346" s="33" t="s">
        <v>19687</v>
      </c>
    </row>
    <row r="347" spans="1:2" x14ac:dyDescent="0.25">
      <c r="A347" s="33">
        <v>3925600000</v>
      </c>
      <c r="B347" s="33" t="s">
        <v>19688</v>
      </c>
    </row>
    <row r="348" spans="1:2" x14ac:dyDescent="0.25">
      <c r="A348" s="33">
        <v>3925620000</v>
      </c>
      <c r="B348" s="33" t="s">
        <v>19689</v>
      </c>
    </row>
    <row r="349" spans="1:2" x14ac:dyDescent="0.25">
      <c r="A349" s="33">
        <v>3925700000</v>
      </c>
      <c r="B349" s="33" t="s">
        <v>19690</v>
      </c>
    </row>
    <row r="350" spans="1:2" x14ac:dyDescent="0.25">
      <c r="A350" s="33">
        <v>3925720000</v>
      </c>
      <c r="B350" s="33" t="s">
        <v>19691</v>
      </c>
    </row>
    <row r="351" spans="1:2" x14ac:dyDescent="0.25">
      <c r="A351" s="33">
        <v>3926000000</v>
      </c>
      <c r="B351" s="33" t="s">
        <v>19692</v>
      </c>
    </row>
    <row r="352" spans="1:2" x14ac:dyDescent="0.25">
      <c r="A352" s="33">
        <v>3927000000</v>
      </c>
      <c r="B352" s="33" t="s">
        <v>19693</v>
      </c>
    </row>
    <row r="353" spans="1:2" x14ac:dyDescent="0.25">
      <c r="A353" s="33">
        <v>3929000000</v>
      </c>
      <c r="B353" s="33" t="s">
        <v>19694</v>
      </c>
    </row>
    <row r="354" spans="1:2" x14ac:dyDescent="0.25">
      <c r="A354" s="33">
        <v>3930000000</v>
      </c>
      <c r="B354" s="33" t="s">
        <v>19695</v>
      </c>
    </row>
    <row r="355" spans="1:2" x14ac:dyDescent="0.25">
      <c r="A355" s="33">
        <v>3930006000</v>
      </c>
      <c r="B355" s="33" t="s">
        <v>19696</v>
      </c>
    </row>
    <row r="356" spans="1:2" x14ac:dyDescent="0.25">
      <c r="A356" s="33">
        <v>3931000000</v>
      </c>
      <c r="B356" s="33" t="s">
        <v>19697</v>
      </c>
    </row>
    <row r="357" spans="1:2" x14ac:dyDescent="0.25">
      <c r="A357" s="33">
        <v>3931006000</v>
      </c>
      <c r="B357" s="33" t="s">
        <v>19698</v>
      </c>
    </row>
    <row r="358" spans="1:2" x14ac:dyDescent="0.25">
      <c r="A358" s="33">
        <v>3932000000</v>
      </c>
      <c r="B358" s="33" t="s">
        <v>19699</v>
      </c>
    </row>
    <row r="359" spans="1:2" x14ac:dyDescent="0.25">
      <c r="A359" s="33">
        <v>3932006000</v>
      </c>
      <c r="B359" s="33" t="s">
        <v>19700</v>
      </c>
    </row>
    <row r="360" spans="1:2" x14ac:dyDescent="0.25">
      <c r="A360" s="33">
        <v>3940000000</v>
      </c>
      <c r="B360" s="33" t="s">
        <v>19701</v>
      </c>
    </row>
    <row r="361" spans="1:2" x14ac:dyDescent="0.25">
      <c r="A361" s="33">
        <v>3940200000</v>
      </c>
      <c r="B361" s="33" t="s">
        <v>19702</v>
      </c>
    </row>
    <row r="362" spans="1:2" x14ac:dyDescent="0.25">
      <c r="A362" s="33">
        <v>3941000000</v>
      </c>
      <c r="B362" s="33" t="s">
        <v>19703</v>
      </c>
    </row>
    <row r="363" spans="1:2" x14ac:dyDescent="0.25">
      <c r="A363" s="33">
        <v>3941200000</v>
      </c>
      <c r="B363" s="33" t="s">
        <v>19704</v>
      </c>
    </row>
    <row r="364" spans="1:2" x14ac:dyDescent="0.25">
      <c r="A364" s="33">
        <v>3942000000</v>
      </c>
      <c r="B364" s="33" t="s">
        <v>19705</v>
      </c>
    </row>
    <row r="365" spans="1:2" x14ac:dyDescent="0.25">
      <c r="A365" s="33">
        <v>3942200000</v>
      </c>
      <c r="B365" s="33" t="s">
        <v>19706</v>
      </c>
    </row>
    <row r="366" spans="1:2" x14ac:dyDescent="0.25">
      <c r="A366" s="33">
        <v>3943000000</v>
      </c>
      <c r="B366" s="33" t="s">
        <v>19707</v>
      </c>
    </row>
    <row r="367" spans="1:2" x14ac:dyDescent="0.25">
      <c r="A367" s="33">
        <v>3943200000</v>
      </c>
      <c r="B367" s="33" t="s">
        <v>19708</v>
      </c>
    </row>
    <row r="368" spans="1:2" x14ac:dyDescent="0.25">
      <c r="A368" s="33">
        <v>3944000000</v>
      </c>
      <c r="B368" s="33" t="s">
        <v>19709</v>
      </c>
    </row>
    <row r="369" spans="1:2" x14ac:dyDescent="0.25">
      <c r="A369" s="33">
        <v>3944200000</v>
      </c>
      <c r="B369" s="33" t="s">
        <v>19710</v>
      </c>
    </row>
    <row r="370" spans="1:2" x14ac:dyDescent="0.25">
      <c r="A370" s="33">
        <v>3945000000</v>
      </c>
      <c r="B370" s="33" t="s">
        <v>19711</v>
      </c>
    </row>
    <row r="371" spans="1:2" x14ac:dyDescent="0.25">
      <c r="A371" s="33">
        <v>3950110000</v>
      </c>
      <c r="B371" s="33" t="s">
        <v>19712</v>
      </c>
    </row>
    <row r="372" spans="1:2" x14ac:dyDescent="0.25">
      <c r="A372" s="33">
        <v>3951010000</v>
      </c>
      <c r="B372" s="33" t="s">
        <v>19713</v>
      </c>
    </row>
    <row r="373" spans="1:2" x14ac:dyDescent="0.25">
      <c r="A373" s="33">
        <v>3951310000</v>
      </c>
      <c r="B373" s="33" t="s">
        <v>19714</v>
      </c>
    </row>
    <row r="374" spans="1:2" x14ac:dyDescent="0.25">
      <c r="A374" s="33">
        <v>3951410000</v>
      </c>
      <c r="B374" s="33" t="s">
        <v>19715</v>
      </c>
    </row>
    <row r="375" spans="1:2" x14ac:dyDescent="0.25">
      <c r="A375" s="33">
        <v>3951510000</v>
      </c>
      <c r="B375" s="33" t="s">
        <v>19716</v>
      </c>
    </row>
    <row r="376" spans="1:2" x14ac:dyDescent="0.25">
      <c r="A376" s="33">
        <v>3951610000</v>
      </c>
      <c r="B376" s="33" t="s">
        <v>19717</v>
      </c>
    </row>
    <row r="377" spans="1:2" x14ac:dyDescent="0.25">
      <c r="A377" s="33">
        <v>3951710000</v>
      </c>
      <c r="B377" s="33" t="s">
        <v>19718</v>
      </c>
    </row>
    <row r="378" spans="1:2" x14ac:dyDescent="0.25">
      <c r="A378" s="33">
        <v>3951810000</v>
      </c>
      <c r="B378" s="33" t="s">
        <v>19719</v>
      </c>
    </row>
    <row r="379" spans="1:2" x14ac:dyDescent="0.25">
      <c r="A379" s="33">
        <v>3951910000</v>
      </c>
      <c r="B379" s="33" t="s">
        <v>19720</v>
      </c>
    </row>
    <row r="380" spans="1:2" x14ac:dyDescent="0.25">
      <c r="A380" s="33">
        <v>3952110000</v>
      </c>
      <c r="B380" s="33" t="s">
        <v>19721</v>
      </c>
    </row>
    <row r="381" spans="1:2" x14ac:dyDescent="0.25">
      <c r="A381" s="33">
        <v>3952310000</v>
      </c>
      <c r="B381" s="33" t="s">
        <v>19722</v>
      </c>
    </row>
    <row r="382" spans="1:2" x14ac:dyDescent="0.25">
      <c r="A382" s="33">
        <v>3952416000</v>
      </c>
      <c r="B382" s="33" t="s">
        <v>19723</v>
      </c>
    </row>
    <row r="383" spans="1:2" x14ac:dyDescent="0.25">
      <c r="A383" s="33">
        <v>3952510000</v>
      </c>
      <c r="B383" s="33" t="s">
        <v>19724</v>
      </c>
    </row>
    <row r="384" spans="1:2" x14ac:dyDescent="0.25">
      <c r="A384" s="33">
        <v>3952610000</v>
      </c>
      <c r="B384" s="33" t="s">
        <v>19725</v>
      </c>
    </row>
    <row r="385" spans="1:2" x14ac:dyDescent="0.25">
      <c r="A385" s="33">
        <v>3952710000</v>
      </c>
      <c r="B385" s="33" t="s">
        <v>19726</v>
      </c>
    </row>
    <row r="386" spans="1:2" x14ac:dyDescent="0.25">
      <c r="A386" s="33">
        <v>3952810000</v>
      </c>
      <c r="B386" s="33" t="s">
        <v>19727</v>
      </c>
    </row>
    <row r="387" spans="1:2" x14ac:dyDescent="0.25">
      <c r="A387" s="33">
        <v>3953310000</v>
      </c>
      <c r="B387" s="33" t="s">
        <v>19728</v>
      </c>
    </row>
    <row r="388" spans="1:2" x14ac:dyDescent="0.25">
      <c r="A388" s="33">
        <v>3953610000</v>
      </c>
      <c r="B388" s="33" t="s">
        <v>19729</v>
      </c>
    </row>
    <row r="389" spans="1:2" x14ac:dyDescent="0.25">
      <c r="A389" s="33">
        <v>3953700000</v>
      </c>
      <c r="B389" s="33" t="s">
        <v>19730</v>
      </c>
    </row>
    <row r="390" spans="1:2" x14ac:dyDescent="0.25">
      <c r="A390" s="33">
        <v>3953700001</v>
      </c>
      <c r="B390" s="33" t="s">
        <v>19731</v>
      </c>
    </row>
    <row r="391" spans="1:2" x14ac:dyDescent="0.25">
      <c r="A391" s="33">
        <v>3953700002</v>
      </c>
      <c r="B391" s="33" t="s">
        <v>19732</v>
      </c>
    </row>
    <row r="392" spans="1:2" x14ac:dyDescent="0.25">
      <c r="A392" s="33">
        <v>3953710000</v>
      </c>
      <c r="B392" s="33" t="s">
        <v>19733</v>
      </c>
    </row>
    <row r="393" spans="1:2" x14ac:dyDescent="0.25">
      <c r="A393" s="33">
        <v>3953710001</v>
      </c>
      <c r="B393" s="33" t="s">
        <v>19734</v>
      </c>
    </row>
    <row r="394" spans="1:2" x14ac:dyDescent="0.25">
      <c r="A394" s="33">
        <v>3953916000</v>
      </c>
      <c r="B394" s="33" t="s">
        <v>19735</v>
      </c>
    </row>
    <row r="395" spans="1:2" x14ac:dyDescent="0.25">
      <c r="A395" s="33">
        <v>3954010000</v>
      </c>
      <c r="B395" s="33" t="s">
        <v>19736</v>
      </c>
    </row>
    <row r="396" spans="1:2" x14ac:dyDescent="0.25">
      <c r="A396" s="33">
        <v>3954116000</v>
      </c>
      <c r="B396" s="33" t="s">
        <v>19737</v>
      </c>
    </row>
    <row r="397" spans="1:2" x14ac:dyDescent="0.25">
      <c r="A397" s="33">
        <v>3954500000</v>
      </c>
      <c r="B397" s="33" t="s">
        <v>19738</v>
      </c>
    </row>
    <row r="398" spans="1:2" x14ac:dyDescent="0.25">
      <c r="A398" s="33">
        <v>3954500001</v>
      </c>
      <c r="B398" s="33" t="s">
        <v>19739</v>
      </c>
    </row>
    <row r="399" spans="1:2" x14ac:dyDescent="0.25">
      <c r="A399" s="33">
        <v>3954500010</v>
      </c>
      <c r="B399" s="33" t="s">
        <v>19738</v>
      </c>
    </row>
    <row r="400" spans="1:2" x14ac:dyDescent="0.25">
      <c r="A400" s="33">
        <v>3954502000</v>
      </c>
      <c r="B400" s="33" t="s">
        <v>19738</v>
      </c>
    </row>
    <row r="401" spans="1:2" x14ac:dyDescent="0.25">
      <c r="A401" s="33">
        <v>3954510000</v>
      </c>
      <c r="B401" s="33" t="s">
        <v>19740</v>
      </c>
    </row>
    <row r="402" spans="1:2" x14ac:dyDescent="0.25">
      <c r="A402" s="33">
        <v>3954610000</v>
      </c>
      <c r="B402" s="33" t="s">
        <v>19741</v>
      </c>
    </row>
    <row r="403" spans="1:2" x14ac:dyDescent="0.25">
      <c r="A403" s="33">
        <v>3954710000</v>
      </c>
      <c r="B403" s="33" t="s">
        <v>19742</v>
      </c>
    </row>
    <row r="404" spans="1:2" x14ac:dyDescent="0.25">
      <c r="A404" s="33">
        <v>3954810000</v>
      </c>
      <c r="B404" s="33" t="s">
        <v>19743</v>
      </c>
    </row>
    <row r="405" spans="1:2" x14ac:dyDescent="0.25">
      <c r="A405" s="33">
        <v>3954910000</v>
      </c>
      <c r="B405" s="33" t="s">
        <v>19744</v>
      </c>
    </row>
    <row r="406" spans="1:2" x14ac:dyDescent="0.25">
      <c r="A406" s="33">
        <v>3955000000</v>
      </c>
      <c r="B406" s="33" t="s">
        <v>19745</v>
      </c>
    </row>
    <row r="407" spans="1:2" x14ac:dyDescent="0.25">
      <c r="A407" s="33">
        <v>3955000001</v>
      </c>
      <c r="B407" s="33" t="s">
        <v>19746</v>
      </c>
    </row>
    <row r="408" spans="1:2" x14ac:dyDescent="0.25">
      <c r="A408" s="33">
        <v>3955010000</v>
      </c>
      <c r="B408" s="33" t="s">
        <v>19747</v>
      </c>
    </row>
    <row r="409" spans="1:2" x14ac:dyDescent="0.25">
      <c r="A409" s="33">
        <v>3955500000</v>
      </c>
      <c r="B409" s="33" t="s">
        <v>19748</v>
      </c>
    </row>
    <row r="410" spans="1:2" x14ac:dyDescent="0.25">
      <c r="A410" s="33">
        <v>3955500001</v>
      </c>
      <c r="B410" s="33" t="s">
        <v>19749</v>
      </c>
    </row>
    <row r="411" spans="1:2" x14ac:dyDescent="0.25">
      <c r="A411" s="33">
        <v>3955500002</v>
      </c>
      <c r="B411" s="33" t="s">
        <v>19750</v>
      </c>
    </row>
    <row r="412" spans="1:2" x14ac:dyDescent="0.25">
      <c r="A412" s="33">
        <v>3955500003</v>
      </c>
      <c r="B412" s="33" t="s">
        <v>19751</v>
      </c>
    </row>
    <row r="413" spans="1:2" x14ac:dyDescent="0.25">
      <c r="A413" s="33">
        <v>3955600000</v>
      </c>
      <c r="B413" s="33" t="s">
        <v>19752</v>
      </c>
    </row>
    <row r="414" spans="1:2" x14ac:dyDescent="0.25">
      <c r="A414" s="33">
        <v>3956000000</v>
      </c>
      <c r="B414" s="33" t="s">
        <v>19753</v>
      </c>
    </row>
    <row r="415" spans="1:2" x14ac:dyDescent="0.25">
      <c r="A415" s="33">
        <v>3956100000</v>
      </c>
      <c r="B415" s="33" t="s">
        <v>19754</v>
      </c>
    </row>
    <row r="416" spans="1:2" x14ac:dyDescent="0.25">
      <c r="A416" s="33">
        <v>3956200000</v>
      </c>
      <c r="B416" s="33" t="s">
        <v>19755</v>
      </c>
    </row>
    <row r="417" spans="1:2" x14ac:dyDescent="0.25">
      <c r="A417" s="33">
        <v>3956300000</v>
      </c>
      <c r="B417" s="33" t="s">
        <v>19756</v>
      </c>
    </row>
    <row r="418" spans="1:2" x14ac:dyDescent="0.25">
      <c r="A418" s="33">
        <v>3956300001</v>
      </c>
      <c r="B418" s="33" t="s">
        <v>19757</v>
      </c>
    </row>
    <row r="419" spans="1:2" x14ac:dyDescent="0.25">
      <c r="A419" s="33">
        <v>3957000000</v>
      </c>
      <c r="B419" s="33" t="s">
        <v>19758</v>
      </c>
    </row>
    <row r="420" spans="1:2" x14ac:dyDescent="0.25">
      <c r="A420" s="33">
        <v>3957106000</v>
      </c>
      <c r="B420" s="33" t="s">
        <v>19759</v>
      </c>
    </row>
    <row r="421" spans="1:2" x14ac:dyDescent="0.25">
      <c r="A421" s="33">
        <v>3957200000</v>
      </c>
      <c r="B421" s="33" t="s">
        <v>19760</v>
      </c>
    </row>
    <row r="422" spans="1:2" x14ac:dyDescent="0.25">
      <c r="A422" s="33">
        <v>3957230000</v>
      </c>
      <c r="B422" s="33" t="s">
        <v>19761</v>
      </c>
    </row>
    <row r="423" spans="1:2" x14ac:dyDescent="0.25">
      <c r="A423" s="33">
        <v>3957300000</v>
      </c>
      <c r="B423" s="33" t="s">
        <v>19762</v>
      </c>
    </row>
    <row r="424" spans="1:2" x14ac:dyDescent="0.25">
      <c r="A424" s="33">
        <v>3957500000</v>
      </c>
      <c r="B424" s="33" t="s">
        <v>19763</v>
      </c>
    </row>
    <row r="425" spans="1:2" x14ac:dyDescent="0.25">
      <c r="A425" s="33">
        <v>3957600000</v>
      </c>
      <c r="B425" s="33" t="s">
        <v>19764</v>
      </c>
    </row>
    <row r="426" spans="1:2" x14ac:dyDescent="0.25">
      <c r="A426" s="33">
        <v>3957700000</v>
      </c>
      <c r="B426" s="33" t="s">
        <v>19765</v>
      </c>
    </row>
    <row r="427" spans="1:2" x14ac:dyDescent="0.25">
      <c r="A427" s="33">
        <v>3958800000</v>
      </c>
      <c r="B427" s="33" t="s">
        <v>19766</v>
      </c>
    </row>
    <row r="428" spans="1:2" x14ac:dyDescent="0.25">
      <c r="A428" s="33">
        <v>3959000000</v>
      </c>
      <c r="B428" s="33" t="s">
        <v>19767</v>
      </c>
    </row>
    <row r="429" spans="1:2" x14ac:dyDescent="0.25">
      <c r="A429" s="33">
        <v>3959000001</v>
      </c>
      <c r="B429" s="33" t="s">
        <v>19768</v>
      </c>
    </row>
    <row r="430" spans="1:2" x14ac:dyDescent="0.25">
      <c r="A430" s="33">
        <v>3959902000</v>
      </c>
      <c r="B430" s="33" t="s">
        <v>19769</v>
      </c>
    </row>
    <row r="431" spans="1:2" x14ac:dyDescent="0.25">
      <c r="A431" s="33">
        <v>3959910000</v>
      </c>
      <c r="B431" s="33" t="s">
        <v>19770</v>
      </c>
    </row>
    <row r="432" spans="1:2" x14ac:dyDescent="0.25">
      <c r="A432" s="33">
        <v>3965000000</v>
      </c>
      <c r="B432" s="33" t="s">
        <v>19771</v>
      </c>
    </row>
    <row r="433" spans="1:2" x14ac:dyDescent="0.25">
      <c r="A433" s="33">
        <v>3966000000</v>
      </c>
      <c r="B433" s="33" t="s">
        <v>19772</v>
      </c>
    </row>
    <row r="434" spans="1:2" x14ac:dyDescent="0.25">
      <c r="A434" s="33">
        <v>3970010000</v>
      </c>
      <c r="B434" s="33" t="s">
        <v>19773</v>
      </c>
    </row>
    <row r="435" spans="1:2" x14ac:dyDescent="0.25">
      <c r="A435" s="33">
        <v>3970011000</v>
      </c>
      <c r="B435" s="33" t="s">
        <v>19774</v>
      </c>
    </row>
    <row r="436" spans="1:2" x14ac:dyDescent="0.25">
      <c r="A436" s="33">
        <v>3970016000</v>
      </c>
      <c r="B436" s="33" t="s">
        <v>19775</v>
      </c>
    </row>
    <row r="437" spans="1:2" x14ac:dyDescent="0.25">
      <c r="A437" s="33">
        <v>4000000000</v>
      </c>
      <c r="B437" s="33" t="s">
        <v>19776</v>
      </c>
    </row>
    <row r="438" spans="1:2" x14ac:dyDescent="0.25">
      <c r="A438" s="33">
        <v>4000000100</v>
      </c>
      <c r="B438" s="33" t="s">
        <v>19777</v>
      </c>
    </row>
    <row r="439" spans="1:2" x14ac:dyDescent="0.25">
      <c r="A439" s="33">
        <v>4000006000</v>
      </c>
      <c r="B439" s="33" t="s">
        <v>19778</v>
      </c>
    </row>
    <row r="440" spans="1:2" x14ac:dyDescent="0.25">
      <c r="A440" s="33">
        <v>4000007777</v>
      </c>
      <c r="B440" s="33" t="s">
        <v>19779</v>
      </c>
    </row>
    <row r="441" spans="1:2" x14ac:dyDescent="0.25">
      <c r="A441" s="33">
        <v>4000100000</v>
      </c>
      <c r="B441" s="33" t="s">
        <v>19780</v>
      </c>
    </row>
    <row r="442" spans="1:2" x14ac:dyDescent="0.25">
      <c r="A442" s="33">
        <v>4000106000</v>
      </c>
      <c r="B442" s="33" t="s">
        <v>19781</v>
      </c>
    </row>
    <row r="443" spans="1:2" x14ac:dyDescent="0.25">
      <c r="A443" s="33">
        <v>4000110000</v>
      </c>
      <c r="B443" s="33" t="s">
        <v>19782</v>
      </c>
    </row>
    <row r="444" spans="1:2" x14ac:dyDescent="0.25">
      <c r="A444" s="33">
        <v>4000116000</v>
      </c>
      <c r="B444" s="33" t="s">
        <v>19783</v>
      </c>
    </row>
    <row r="445" spans="1:2" x14ac:dyDescent="0.25">
      <c r="A445" s="33">
        <v>4000200000</v>
      </c>
      <c r="B445" s="33" t="s">
        <v>19784</v>
      </c>
    </row>
    <row r="446" spans="1:2" x14ac:dyDescent="0.25">
      <c r="A446" s="33">
        <v>4000212000</v>
      </c>
      <c r="B446" s="33" t="s">
        <v>19785</v>
      </c>
    </row>
    <row r="447" spans="1:2" x14ac:dyDescent="0.25">
      <c r="A447" s="33">
        <v>4000300000</v>
      </c>
      <c r="B447" s="33" t="s">
        <v>19786</v>
      </c>
    </row>
    <row r="448" spans="1:2" x14ac:dyDescent="0.25">
      <c r="A448" s="33">
        <v>4000306000</v>
      </c>
      <c r="B448" s="33" t="s">
        <v>19787</v>
      </c>
    </row>
    <row r="449" spans="1:2" x14ac:dyDescent="0.25">
      <c r="A449" s="33">
        <v>4000400000</v>
      </c>
      <c r="B449" s="33" t="s">
        <v>19788</v>
      </c>
    </row>
    <row r="450" spans="1:2" x14ac:dyDescent="0.25">
      <c r="A450" s="33">
        <v>4000400001</v>
      </c>
      <c r="B450" s="33" t="s">
        <v>19789</v>
      </c>
    </row>
    <row r="451" spans="1:2" x14ac:dyDescent="0.25">
      <c r="A451" s="33">
        <v>4000400002</v>
      </c>
      <c r="B451" s="33" t="s">
        <v>19790</v>
      </c>
    </row>
    <row r="452" spans="1:2" x14ac:dyDescent="0.25">
      <c r="A452" s="33">
        <v>4000402100</v>
      </c>
      <c r="B452" s="33" t="s">
        <v>19791</v>
      </c>
    </row>
    <row r="453" spans="1:2" x14ac:dyDescent="0.25">
      <c r="A453" s="33">
        <v>4000402200</v>
      </c>
      <c r="B453" s="33" t="s">
        <v>19792</v>
      </c>
    </row>
    <row r="454" spans="1:2" x14ac:dyDescent="0.25">
      <c r="A454" s="33">
        <v>4000402300</v>
      </c>
      <c r="B454" s="33" t="s">
        <v>19793</v>
      </c>
    </row>
    <row r="455" spans="1:2" x14ac:dyDescent="0.25">
      <c r="A455" s="33">
        <v>4000406000</v>
      </c>
      <c r="B455" s="33" t="s">
        <v>19794</v>
      </c>
    </row>
    <row r="456" spans="1:2" x14ac:dyDescent="0.25">
      <c r="A456" s="33">
        <v>4000406001</v>
      </c>
      <c r="B456" s="33" t="s">
        <v>19795</v>
      </c>
    </row>
    <row r="457" spans="1:2" x14ac:dyDescent="0.25">
      <c r="A457" s="33">
        <v>4000406002</v>
      </c>
      <c r="B457" s="33" t="s">
        <v>19796</v>
      </c>
    </row>
    <row r="458" spans="1:2" x14ac:dyDescent="0.25">
      <c r="A458" s="33">
        <v>4000500000</v>
      </c>
      <c r="B458" s="33" t="s">
        <v>19797</v>
      </c>
    </row>
    <row r="459" spans="1:2" x14ac:dyDescent="0.25">
      <c r="A459" s="33">
        <v>4000500001</v>
      </c>
      <c r="B459" s="33" t="s">
        <v>19798</v>
      </c>
    </row>
    <row r="460" spans="1:2" x14ac:dyDescent="0.25">
      <c r="A460" s="33">
        <v>4000600000</v>
      </c>
      <c r="B460" s="33" t="s">
        <v>19799</v>
      </c>
    </row>
    <row r="461" spans="1:2" x14ac:dyDescent="0.25">
      <c r="A461" s="33">
        <v>4000600001</v>
      </c>
      <c r="B461" s="33" t="s">
        <v>19800</v>
      </c>
    </row>
    <row r="462" spans="1:2" x14ac:dyDescent="0.25">
      <c r="A462" s="33">
        <v>4000610000</v>
      </c>
      <c r="B462" s="33" t="s">
        <v>19801</v>
      </c>
    </row>
    <row r="463" spans="1:2" x14ac:dyDescent="0.25">
      <c r="A463" s="33">
        <v>4000616000</v>
      </c>
      <c r="B463" s="33" t="s">
        <v>19802</v>
      </c>
    </row>
    <row r="464" spans="1:2" x14ac:dyDescent="0.25">
      <c r="A464" s="33">
        <v>4000700000</v>
      </c>
      <c r="B464" s="33" t="s">
        <v>19803</v>
      </c>
    </row>
    <row r="465" spans="1:2" x14ac:dyDescent="0.25">
      <c r="A465" s="33">
        <v>4000700001</v>
      </c>
      <c r="B465" s="33" t="s">
        <v>19804</v>
      </c>
    </row>
    <row r="466" spans="1:2" x14ac:dyDescent="0.25">
      <c r="A466" s="33">
        <v>4000800001</v>
      </c>
      <c r="B466" s="33" t="s">
        <v>19805</v>
      </c>
    </row>
    <row r="467" spans="1:2" x14ac:dyDescent="0.25">
      <c r="A467" s="33">
        <v>4001000000</v>
      </c>
      <c r="B467" s="33" t="s">
        <v>19806</v>
      </c>
    </row>
    <row r="468" spans="1:2" x14ac:dyDescent="0.25">
      <c r="A468" s="33">
        <v>4001000100</v>
      </c>
      <c r="B468" s="33" t="s">
        <v>19807</v>
      </c>
    </row>
    <row r="469" spans="1:2" x14ac:dyDescent="0.25">
      <c r="A469" s="33">
        <v>4001100000</v>
      </c>
      <c r="B469" s="33" t="s">
        <v>19808</v>
      </c>
    </row>
    <row r="470" spans="1:2" x14ac:dyDescent="0.25">
      <c r="A470" s="33">
        <v>4001100001</v>
      </c>
      <c r="B470" s="33" t="s">
        <v>19809</v>
      </c>
    </row>
    <row r="471" spans="1:2" x14ac:dyDescent="0.25">
      <c r="A471" s="33">
        <v>4001106000</v>
      </c>
      <c r="B471" s="33" t="s">
        <v>19810</v>
      </c>
    </row>
    <row r="472" spans="1:2" x14ac:dyDescent="0.25">
      <c r="A472" s="33">
        <v>4001110000</v>
      </c>
      <c r="B472" s="33" t="s">
        <v>19811</v>
      </c>
    </row>
    <row r="473" spans="1:2" x14ac:dyDescent="0.25">
      <c r="A473" s="33">
        <v>4001116000</v>
      </c>
      <c r="B473" s="33" t="s">
        <v>19812</v>
      </c>
    </row>
    <row r="474" spans="1:2" x14ac:dyDescent="0.25">
      <c r="A474" s="33">
        <v>4001200000</v>
      </c>
      <c r="B474" s="33" t="s">
        <v>19813</v>
      </c>
    </row>
    <row r="475" spans="1:2" x14ac:dyDescent="0.25">
      <c r="A475" s="33">
        <v>4001212000</v>
      </c>
      <c r="B475" s="33" t="s">
        <v>19814</v>
      </c>
    </row>
    <row r="476" spans="1:2" x14ac:dyDescent="0.25">
      <c r="A476" s="33">
        <v>4001700000</v>
      </c>
      <c r="B476" s="33" t="s">
        <v>19815</v>
      </c>
    </row>
    <row r="477" spans="1:2" x14ac:dyDescent="0.25">
      <c r="A477" s="33">
        <v>4001800001</v>
      </c>
      <c r="B477" s="33" t="s">
        <v>19816</v>
      </c>
    </row>
    <row r="478" spans="1:2" x14ac:dyDescent="0.25">
      <c r="A478" s="33">
        <v>4002000000</v>
      </c>
      <c r="B478" s="33" t="s">
        <v>19817</v>
      </c>
    </row>
    <row r="479" spans="1:2" x14ac:dyDescent="0.25">
      <c r="A479" s="33">
        <v>4003000000</v>
      </c>
      <c r="B479" s="33" t="s">
        <v>19818</v>
      </c>
    </row>
    <row r="480" spans="1:2" x14ac:dyDescent="0.25">
      <c r="A480" s="33">
        <v>4003700000</v>
      </c>
      <c r="B480" s="33" t="s">
        <v>19819</v>
      </c>
    </row>
    <row r="481" spans="1:2" x14ac:dyDescent="0.25">
      <c r="A481" s="33">
        <v>4005000000</v>
      </c>
      <c r="B481" s="33" t="s">
        <v>19820</v>
      </c>
    </row>
    <row r="482" spans="1:2" x14ac:dyDescent="0.25">
      <c r="A482" s="33">
        <v>4005100000</v>
      </c>
      <c r="B482" s="33" t="s">
        <v>19821</v>
      </c>
    </row>
    <row r="483" spans="1:2" x14ac:dyDescent="0.25">
      <c r="A483" s="33">
        <v>4005110000</v>
      </c>
      <c r="B483" s="33" t="s">
        <v>19822</v>
      </c>
    </row>
    <row r="484" spans="1:2" x14ac:dyDescent="0.25">
      <c r="A484" s="33">
        <v>4005200000</v>
      </c>
      <c r="B484" s="33" t="s">
        <v>19823</v>
      </c>
    </row>
    <row r="485" spans="1:2" x14ac:dyDescent="0.25">
      <c r="A485" s="33">
        <v>4005300000</v>
      </c>
      <c r="B485" s="33" t="s">
        <v>19824</v>
      </c>
    </row>
    <row r="486" spans="1:2" x14ac:dyDescent="0.25">
      <c r="A486" s="33">
        <v>4005400000</v>
      </c>
      <c r="B486" s="33" t="s">
        <v>19825</v>
      </c>
    </row>
    <row r="487" spans="1:2" x14ac:dyDescent="0.25">
      <c r="A487" s="33">
        <v>4005500000</v>
      </c>
      <c r="B487" s="33" t="s">
        <v>19826</v>
      </c>
    </row>
    <row r="488" spans="1:2" x14ac:dyDescent="0.25">
      <c r="A488" s="33">
        <v>4005600000</v>
      </c>
      <c r="B488" s="33" t="s">
        <v>19827</v>
      </c>
    </row>
    <row r="489" spans="1:2" x14ac:dyDescent="0.25">
      <c r="A489" s="33">
        <v>4005610000</v>
      </c>
      <c r="B489" s="33" t="s">
        <v>19828</v>
      </c>
    </row>
    <row r="490" spans="1:2" x14ac:dyDescent="0.25">
      <c r="A490" s="33">
        <v>4006000000</v>
      </c>
      <c r="B490" s="33" t="s">
        <v>19829</v>
      </c>
    </row>
    <row r="491" spans="1:2" x14ac:dyDescent="0.25">
      <c r="A491" s="33">
        <v>4006100000</v>
      </c>
      <c r="B491" s="33" t="s">
        <v>19830</v>
      </c>
    </row>
    <row r="492" spans="1:2" x14ac:dyDescent="0.25">
      <c r="A492" s="33">
        <v>4006110000</v>
      </c>
      <c r="B492" s="33" t="s">
        <v>19831</v>
      </c>
    </row>
    <row r="493" spans="1:2" x14ac:dyDescent="0.25">
      <c r="A493" s="33">
        <v>4006200000</v>
      </c>
      <c r="B493" s="33" t="s">
        <v>19832</v>
      </c>
    </row>
    <row r="494" spans="1:2" x14ac:dyDescent="0.25">
      <c r="A494" s="33">
        <v>4007000000</v>
      </c>
      <c r="B494" s="33" t="s">
        <v>19833</v>
      </c>
    </row>
    <row r="495" spans="1:2" x14ac:dyDescent="0.25">
      <c r="A495" s="33">
        <v>4009000000</v>
      </c>
      <c r="B495" s="33" t="s">
        <v>19834</v>
      </c>
    </row>
    <row r="496" spans="1:2" x14ac:dyDescent="0.25">
      <c r="A496" s="33">
        <v>4009006000</v>
      </c>
      <c r="B496" s="33" t="s">
        <v>19835</v>
      </c>
    </row>
    <row r="497" spans="1:2" x14ac:dyDescent="0.25">
      <c r="A497" s="33">
        <v>4010200000</v>
      </c>
      <c r="B497" s="33" t="s">
        <v>19836</v>
      </c>
    </row>
    <row r="498" spans="1:2" x14ac:dyDescent="0.25">
      <c r="A498" s="33">
        <v>4020000000</v>
      </c>
      <c r="B498" s="33" t="s">
        <v>19837</v>
      </c>
    </row>
    <row r="499" spans="1:2" x14ac:dyDescent="0.25">
      <c r="A499" s="33">
        <v>4021000000</v>
      </c>
      <c r="B499" s="33" t="s">
        <v>19838</v>
      </c>
    </row>
    <row r="500" spans="1:2" x14ac:dyDescent="0.25">
      <c r="A500" s="33">
        <v>4050000000</v>
      </c>
      <c r="B500" s="33" t="s">
        <v>19839</v>
      </c>
    </row>
    <row r="501" spans="1:2" x14ac:dyDescent="0.25">
      <c r="A501" s="33">
        <v>4050000001</v>
      </c>
      <c r="B501" s="33" t="s">
        <v>19840</v>
      </c>
    </row>
    <row r="502" spans="1:2" x14ac:dyDescent="0.25">
      <c r="A502" s="33">
        <v>4050100998</v>
      </c>
      <c r="B502" s="33" t="s">
        <v>19841</v>
      </c>
    </row>
    <row r="503" spans="1:2" x14ac:dyDescent="0.25">
      <c r="A503" s="33">
        <v>4051000000</v>
      </c>
      <c r="B503" s="33" t="s">
        <v>19842</v>
      </c>
    </row>
    <row r="504" spans="1:2" x14ac:dyDescent="0.25">
      <c r="A504" s="33">
        <v>4051900000</v>
      </c>
      <c r="B504" s="33" t="s">
        <v>19843</v>
      </c>
    </row>
    <row r="505" spans="1:2" x14ac:dyDescent="0.25">
      <c r="A505" s="33">
        <v>4052000000</v>
      </c>
      <c r="B505" s="33" t="s">
        <v>19844</v>
      </c>
    </row>
    <row r="506" spans="1:2" x14ac:dyDescent="0.25">
      <c r="A506" s="33">
        <v>4053000000</v>
      </c>
      <c r="B506" s="33" t="s">
        <v>19845</v>
      </c>
    </row>
    <row r="507" spans="1:2" x14ac:dyDescent="0.25">
      <c r="A507" s="33">
        <v>4054000000</v>
      </c>
      <c r="B507" s="33" t="s">
        <v>19846</v>
      </c>
    </row>
    <row r="508" spans="1:2" x14ac:dyDescent="0.25">
      <c r="A508" s="33">
        <v>4055000000</v>
      </c>
      <c r="B508" s="33" t="s">
        <v>19847</v>
      </c>
    </row>
    <row r="509" spans="1:2" x14ac:dyDescent="0.25">
      <c r="A509" s="33">
        <v>4060000000</v>
      </c>
      <c r="B509" s="33" t="s">
        <v>19848</v>
      </c>
    </row>
    <row r="510" spans="1:2" x14ac:dyDescent="0.25">
      <c r="A510" s="33">
        <v>4100100000</v>
      </c>
      <c r="B510" s="33" t="s">
        <v>19849</v>
      </c>
    </row>
    <row r="511" spans="1:2" x14ac:dyDescent="0.25">
      <c r="A511" s="33">
        <v>4100102100</v>
      </c>
      <c r="B511" s="33" t="s">
        <v>19850</v>
      </c>
    </row>
    <row r="512" spans="1:2" x14ac:dyDescent="0.25">
      <c r="A512" s="33">
        <v>4100102200</v>
      </c>
      <c r="B512" s="33" t="s">
        <v>19851</v>
      </c>
    </row>
    <row r="513" spans="1:2" x14ac:dyDescent="0.25">
      <c r="A513" s="33">
        <v>4100102300</v>
      </c>
      <c r="B513" s="33" t="s">
        <v>19852</v>
      </c>
    </row>
    <row r="514" spans="1:2" x14ac:dyDescent="0.25">
      <c r="A514" s="33">
        <v>4100102400</v>
      </c>
      <c r="B514" s="33" t="s">
        <v>19853</v>
      </c>
    </row>
    <row r="515" spans="1:2" x14ac:dyDescent="0.25">
      <c r="A515" s="33">
        <v>4100102500</v>
      </c>
      <c r="B515" s="33" t="s">
        <v>19854</v>
      </c>
    </row>
    <row r="516" spans="1:2" x14ac:dyDescent="0.25">
      <c r="A516" s="33">
        <v>4100102600</v>
      </c>
      <c r="B516" s="33" t="s">
        <v>19855</v>
      </c>
    </row>
    <row r="517" spans="1:2" x14ac:dyDescent="0.25">
      <c r="A517" s="33">
        <v>4100102700</v>
      </c>
      <c r="B517" s="33" t="s">
        <v>19856</v>
      </c>
    </row>
    <row r="518" spans="1:2" x14ac:dyDescent="0.25">
      <c r="A518" s="33">
        <v>4100102800</v>
      </c>
      <c r="B518" s="33" t="s">
        <v>19857</v>
      </c>
    </row>
    <row r="519" spans="1:2" x14ac:dyDescent="0.25">
      <c r="A519" s="33">
        <v>4100102900</v>
      </c>
      <c r="B519" s="33" t="s">
        <v>19858</v>
      </c>
    </row>
    <row r="520" spans="1:2" x14ac:dyDescent="0.25">
      <c r="A520" s="33">
        <v>4100110000</v>
      </c>
      <c r="B520" s="33" t="s">
        <v>19859</v>
      </c>
    </row>
    <row r="521" spans="1:2" x14ac:dyDescent="0.25">
      <c r="A521" s="33">
        <v>4100112100</v>
      </c>
      <c r="B521" s="33" t="s">
        <v>19860</v>
      </c>
    </row>
    <row r="522" spans="1:2" x14ac:dyDescent="0.25">
      <c r="A522" s="33">
        <v>4100112200</v>
      </c>
      <c r="B522" s="33" t="s">
        <v>19861</v>
      </c>
    </row>
    <row r="523" spans="1:2" x14ac:dyDescent="0.25">
      <c r="A523" s="33">
        <v>4100112300</v>
      </c>
      <c r="B523" s="33" t="s">
        <v>19862</v>
      </c>
    </row>
    <row r="524" spans="1:2" x14ac:dyDescent="0.25">
      <c r="A524" s="33">
        <v>4100112400</v>
      </c>
      <c r="B524" s="33" t="s">
        <v>19863</v>
      </c>
    </row>
    <row r="525" spans="1:2" x14ac:dyDescent="0.25">
      <c r="A525" s="33">
        <v>4100112500</v>
      </c>
      <c r="B525" s="33" t="s">
        <v>19864</v>
      </c>
    </row>
    <row r="526" spans="1:2" x14ac:dyDescent="0.25">
      <c r="A526" s="33">
        <v>4100112600</v>
      </c>
      <c r="B526" s="33" t="s">
        <v>19865</v>
      </c>
    </row>
    <row r="527" spans="1:2" x14ac:dyDescent="0.25">
      <c r="A527" s="33">
        <v>4100112700</v>
      </c>
      <c r="B527" s="33" t="s">
        <v>19866</v>
      </c>
    </row>
    <row r="528" spans="1:2" x14ac:dyDescent="0.25">
      <c r="A528" s="33">
        <v>4100112800</v>
      </c>
      <c r="B528" s="33" t="s">
        <v>19867</v>
      </c>
    </row>
    <row r="529" spans="1:2" x14ac:dyDescent="0.25">
      <c r="A529" s="33">
        <v>4100112900</v>
      </c>
      <c r="B529" s="33" t="s">
        <v>19868</v>
      </c>
    </row>
    <row r="530" spans="1:2" x14ac:dyDescent="0.25">
      <c r="A530" s="33">
        <v>4100300000</v>
      </c>
      <c r="B530" s="33" t="s">
        <v>19869</v>
      </c>
    </row>
    <row r="531" spans="1:2" x14ac:dyDescent="0.25">
      <c r="A531" s="33">
        <v>4100300096</v>
      </c>
      <c r="B531" s="33" t="s">
        <v>19870</v>
      </c>
    </row>
    <row r="532" spans="1:2" x14ac:dyDescent="0.25">
      <c r="A532" s="33">
        <v>4100300097</v>
      </c>
      <c r="B532" s="33" t="s">
        <v>19871</v>
      </c>
    </row>
    <row r="533" spans="1:2" x14ac:dyDescent="0.25">
      <c r="A533" s="33">
        <v>4100302100</v>
      </c>
      <c r="B533" s="33" t="s">
        <v>19872</v>
      </c>
    </row>
    <row r="534" spans="1:2" x14ac:dyDescent="0.25">
      <c r="A534" s="33">
        <v>4100302200</v>
      </c>
      <c r="B534" s="33" t="s">
        <v>19873</v>
      </c>
    </row>
    <row r="535" spans="1:2" x14ac:dyDescent="0.25">
      <c r="A535" s="33">
        <v>4100302300</v>
      </c>
      <c r="B535" s="33" t="s">
        <v>19874</v>
      </c>
    </row>
    <row r="536" spans="1:2" x14ac:dyDescent="0.25">
      <c r="A536" s="33">
        <v>4100302400</v>
      </c>
      <c r="B536" s="33" t="s">
        <v>19875</v>
      </c>
    </row>
    <row r="537" spans="1:2" x14ac:dyDescent="0.25">
      <c r="A537" s="33">
        <v>4100302500</v>
      </c>
      <c r="B537" s="33" t="s">
        <v>19876</v>
      </c>
    </row>
    <row r="538" spans="1:2" x14ac:dyDescent="0.25">
      <c r="A538" s="33">
        <v>4100302600</v>
      </c>
      <c r="B538" s="33" t="s">
        <v>19877</v>
      </c>
    </row>
    <row r="539" spans="1:2" x14ac:dyDescent="0.25">
      <c r="A539" s="33">
        <v>4100302700</v>
      </c>
      <c r="B539" s="33" t="s">
        <v>19878</v>
      </c>
    </row>
    <row r="540" spans="1:2" x14ac:dyDescent="0.25">
      <c r="A540" s="33">
        <v>4100302800</v>
      </c>
      <c r="B540" s="33" t="s">
        <v>19879</v>
      </c>
    </row>
    <row r="541" spans="1:2" x14ac:dyDescent="0.25">
      <c r="A541" s="33">
        <v>4100302900</v>
      </c>
      <c r="B541" s="33" t="s">
        <v>19880</v>
      </c>
    </row>
    <row r="542" spans="1:2" x14ac:dyDescent="0.25">
      <c r="A542" s="33">
        <v>4103100000</v>
      </c>
      <c r="B542" s="33" t="s">
        <v>19881</v>
      </c>
    </row>
    <row r="543" spans="1:2" x14ac:dyDescent="0.25">
      <c r="A543" s="33">
        <v>4103110000</v>
      </c>
      <c r="B543" s="33" t="s">
        <v>19882</v>
      </c>
    </row>
    <row r="544" spans="1:2" x14ac:dyDescent="0.25">
      <c r="A544" s="33">
        <v>4200000000</v>
      </c>
      <c r="B544" s="33" t="s">
        <v>19883</v>
      </c>
    </row>
    <row r="545" spans="1:2" x14ac:dyDescent="0.25">
      <c r="A545" s="33">
        <v>4200000010</v>
      </c>
      <c r="B545" s="33" t="s">
        <v>19884</v>
      </c>
    </row>
    <row r="546" spans="1:2" x14ac:dyDescent="0.25">
      <c r="A546" s="33">
        <v>4200000020</v>
      </c>
      <c r="B546" s="33" t="s">
        <v>19885</v>
      </c>
    </row>
    <row r="547" spans="1:2" x14ac:dyDescent="0.25">
      <c r="A547" s="33">
        <v>4225000000</v>
      </c>
      <c r="B547" s="33" t="s">
        <v>19886</v>
      </c>
    </row>
    <row r="548" spans="1:2" x14ac:dyDescent="0.25">
      <c r="A548" s="33">
        <v>4226000000</v>
      </c>
      <c r="B548" s="33" t="s">
        <v>19887</v>
      </c>
    </row>
    <row r="549" spans="1:2" x14ac:dyDescent="0.25">
      <c r="A549" s="33">
        <v>4227000000</v>
      </c>
      <c r="B549" s="33" t="s">
        <v>19888</v>
      </c>
    </row>
    <row r="550" spans="1:2" x14ac:dyDescent="0.25">
      <c r="A550" s="33">
        <v>4228000000</v>
      </c>
      <c r="B550" s="33" t="s">
        <v>19889</v>
      </c>
    </row>
    <row r="551" spans="1:2" x14ac:dyDescent="0.25">
      <c r="A551" s="33">
        <v>4229000000</v>
      </c>
      <c r="B551" s="33" t="s">
        <v>19890</v>
      </c>
    </row>
    <row r="552" spans="1:2" x14ac:dyDescent="0.25">
      <c r="A552" s="33">
        <v>4230000000</v>
      </c>
      <c r="B552" s="33" t="s">
        <v>19891</v>
      </c>
    </row>
    <row r="553" spans="1:2" x14ac:dyDescent="0.25">
      <c r="A553" s="33">
        <v>4230006000</v>
      </c>
      <c r="B553" s="33" t="s">
        <v>19892</v>
      </c>
    </row>
    <row r="554" spans="1:2" x14ac:dyDescent="0.25">
      <c r="A554" s="33">
        <v>4230200000</v>
      </c>
      <c r="B554" s="33" t="s">
        <v>19893</v>
      </c>
    </row>
    <row r="555" spans="1:2" x14ac:dyDescent="0.25">
      <c r="A555" s="33">
        <v>4230400000</v>
      </c>
      <c r="B555" s="33" t="s">
        <v>19894</v>
      </c>
    </row>
    <row r="556" spans="1:2" x14ac:dyDescent="0.25">
      <c r="A556" s="33">
        <v>4231000000</v>
      </c>
      <c r="B556" s="33" t="s">
        <v>19895</v>
      </c>
    </row>
    <row r="557" spans="1:2" x14ac:dyDescent="0.25">
      <c r="A557" s="33">
        <v>4232000000</v>
      </c>
      <c r="B557" s="33" t="s">
        <v>19896</v>
      </c>
    </row>
    <row r="558" spans="1:2" x14ac:dyDescent="0.25">
      <c r="A558" s="33">
        <v>4233000000</v>
      </c>
      <c r="B558" s="33" t="s">
        <v>19897</v>
      </c>
    </row>
    <row r="559" spans="1:2" x14ac:dyDescent="0.25">
      <c r="A559" s="33">
        <v>4233006000</v>
      </c>
      <c r="B559" s="33" t="s">
        <v>19897</v>
      </c>
    </row>
    <row r="560" spans="1:2" x14ac:dyDescent="0.25">
      <c r="A560" s="33">
        <v>4233200000</v>
      </c>
      <c r="B560" s="33" t="s">
        <v>19898</v>
      </c>
    </row>
    <row r="561" spans="1:2" x14ac:dyDescent="0.25">
      <c r="A561" s="33">
        <v>4233400000</v>
      </c>
      <c r="B561" s="33" t="s">
        <v>19899</v>
      </c>
    </row>
    <row r="562" spans="1:2" x14ac:dyDescent="0.25">
      <c r="A562" s="33">
        <v>4234000000</v>
      </c>
      <c r="B562" s="33" t="s">
        <v>19900</v>
      </c>
    </row>
    <row r="563" spans="1:2" x14ac:dyDescent="0.25">
      <c r="A563" s="33">
        <v>4234200000</v>
      </c>
      <c r="B563" s="33" t="s">
        <v>19901</v>
      </c>
    </row>
    <row r="564" spans="1:2" x14ac:dyDescent="0.25">
      <c r="A564" s="33">
        <v>4234400000</v>
      </c>
      <c r="B564" s="33" t="s">
        <v>19902</v>
      </c>
    </row>
    <row r="565" spans="1:2" x14ac:dyDescent="0.25">
      <c r="A565" s="33">
        <v>4239000000</v>
      </c>
      <c r="B565" s="33" t="s">
        <v>19903</v>
      </c>
    </row>
    <row r="566" spans="1:2" x14ac:dyDescent="0.25">
      <c r="A566" s="33">
        <v>4239500000</v>
      </c>
      <c r="B566" s="33" t="s">
        <v>19904</v>
      </c>
    </row>
    <row r="567" spans="1:2" x14ac:dyDescent="0.25">
      <c r="A567" s="33">
        <v>4240000000</v>
      </c>
      <c r="B567" s="33" t="s">
        <v>19905</v>
      </c>
    </row>
    <row r="568" spans="1:2" x14ac:dyDescent="0.25">
      <c r="A568" s="33">
        <v>4240010000</v>
      </c>
      <c r="B568" s="33" t="s">
        <v>19906</v>
      </c>
    </row>
    <row r="569" spans="1:2" x14ac:dyDescent="0.25">
      <c r="A569" s="33">
        <v>4241000000</v>
      </c>
      <c r="B569" s="33" t="s">
        <v>19907</v>
      </c>
    </row>
    <row r="570" spans="1:2" x14ac:dyDescent="0.25">
      <c r="A570" s="33">
        <v>4241010000</v>
      </c>
      <c r="B570" s="33" t="s">
        <v>19908</v>
      </c>
    </row>
    <row r="571" spans="1:2" x14ac:dyDescent="0.25">
      <c r="A571" s="33">
        <v>4242000000</v>
      </c>
      <c r="B571" s="33" t="s">
        <v>19909</v>
      </c>
    </row>
    <row r="572" spans="1:2" x14ac:dyDescent="0.25">
      <c r="A572" s="33">
        <v>4242100000</v>
      </c>
      <c r="B572" s="33" t="s">
        <v>19910</v>
      </c>
    </row>
    <row r="573" spans="1:2" x14ac:dyDescent="0.25">
      <c r="A573" s="33">
        <v>4242200000</v>
      </c>
      <c r="B573" s="33" t="s">
        <v>19911</v>
      </c>
    </row>
    <row r="574" spans="1:2" x14ac:dyDescent="0.25">
      <c r="A574" s="33">
        <v>4242300000</v>
      </c>
      <c r="B574" s="33" t="s">
        <v>19912</v>
      </c>
    </row>
    <row r="575" spans="1:2" x14ac:dyDescent="0.25">
      <c r="A575" s="33">
        <v>4243000000</v>
      </c>
      <c r="B575" s="33" t="s">
        <v>19913</v>
      </c>
    </row>
    <row r="576" spans="1:2" x14ac:dyDescent="0.25">
      <c r="A576" s="33">
        <v>4243010000</v>
      </c>
      <c r="B576" s="33" t="s">
        <v>19914</v>
      </c>
    </row>
    <row r="577" spans="1:2" x14ac:dyDescent="0.25">
      <c r="A577" s="33">
        <v>4250000000</v>
      </c>
      <c r="B577" s="33" t="s">
        <v>19915</v>
      </c>
    </row>
    <row r="578" spans="1:2" x14ac:dyDescent="0.25">
      <c r="A578" s="33">
        <v>4250006000</v>
      </c>
      <c r="B578" s="33" t="s">
        <v>19916</v>
      </c>
    </row>
    <row r="579" spans="1:2" x14ac:dyDescent="0.25">
      <c r="A579" s="33">
        <v>4250100000</v>
      </c>
      <c r="B579" s="33" t="s">
        <v>19917</v>
      </c>
    </row>
    <row r="580" spans="1:2" x14ac:dyDescent="0.25">
      <c r="A580" s="33">
        <v>4300000000</v>
      </c>
      <c r="B580" s="33" t="s">
        <v>19918</v>
      </c>
    </row>
    <row r="581" spans="1:2" x14ac:dyDescent="0.25">
      <c r="A581" s="33">
        <v>4300001000</v>
      </c>
      <c r="B581" s="33" t="s">
        <v>19919</v>
      </c>
    </row>
    <row r="582" spans="1:2" x14ac:dyDescent="0.25">
      <c r="A582" s="33">
        <v>4300006000</v>
      </c>
      <c r="B582" s="33" t="s">
        <v>19920</v>
      </c>
    </row>
    <row r="583" spans="1:2" x14ac:dyDescent="0.25">
      <c r="A583" s="33">
        <v>4300010000</v>
      </c>
      <c r="B583" s="33" t="s">
        <v>19921</v>
      </c>
    </row>
    <row r="584" spans="1:2" x14ac:dyDescent="0.25">
      <c r="A584" s="33">
        <v>4300011000</v>
      </c>
      <c r="B584" s="33" t="s">
        <v>19922</v>
      </c>
    </row>
    <row r="585" spans="1:2" x14ac:dyDescent="0.25">
      <c r="A585" s="33">
        <v>4300016000</v>
      </c>
      <c r="B585" s="33" t="s">
        <v>19923</v>
      </c>
    </row>
    <row r="586" spans="1:2" x14ac:dyDescent="0.25">
      <c r="A586" s="33">
        <v>4301000000</v>
      </c>
      <c r="B586" s="33" t="s">
        <v>19924</v>
      </c>
    </row>
    <row r="587" spans="1:2" x14ac:dyDescent="0.25">
      <c r="A587" s="33">
        <v>4301006000</v>
      </c>
      <c r="B587" s="33" t="s">
        <v>19925</v>
      </c>
    </row>
    <row r="588" spans="1:2" x14ac:dyDescent="0.25">
      <c r="A588" s="33">
        <v>4401000000</v>
      </c>
      <c r="B588" s="33" t="s">
        <v>19926</v>
      </c>
    </row>
    <row r="589" spans="1:2" x14ac:dyDescent="0.25">
      <c r="A589" s="33">
        <v>4401006000</v>
      </c>
      <c r="B589" s="33" t="s">
        <v>19927</v>
      </c>
    </row>
    <row r="590" spans="1:2" x14ac:dyDescent="0.25">
      <c r="A590" s="33">
        <v>4401200000</v>
      </c>
      <c r="B590" s="33" t="s">
        <v>19928</v>
      </c>
    </row>
    <row r="591" spans="1:2" x14ac:dyDescent="0.25">
      <c r="A591" s="33">
        <v>4419000000</v>
      </c>
      <c r="B591" s="33" t="s">
        <v>19929</v>
      </c>
    </row>
    <row r="592" spans="1:2" x14ac:dyDescent="0.25">
      <c r="A592" s="33">
        <v>4420000000</v>
      </c>
      <c r="B592" s="33" t="s">
        <v>19930</v>
      </c>
    </row>
    <row r="593" spans="1:2" x14ac:dyDescent="0.25">
      <c r="A593" s="33">
        <v>4421000000</v>
      </c>
      <c r="B593" s="33" t="s">
        <v>19931</v>
      </c>
    </row>
    <row r="594" spans="1:2" x14ac:dyDescent="0.25">
      <c r="A594" s="33">
        <v>4500000000</v>
      </c>
      <c r="B594" s="33" t="s">
        <v>19932</v>
      </c>
    </row>
    <row r="595" spans="1:2" x14ac:dyDescent="0.25">
      <c r="A595" s="33">
        <v>4501000000</v>
      </c>
      <c r="B595" s="33" t="s">
        <v>19933</v>
      </c>
    </row>
    <row r="596" spans="1:2" x14ac:dyDescent="0.25">
      <c r="A596" s="33">
        <v>4502000000</v>
      </c>
      <c r="B596" s="33" t="s">
        <v>19934</v>
      </c>
    </row>
    <row r="597" spans="1:2" x14ac:dyDescent="0.25">
      <c r="A597" s="33">
        <v>4502000001</v>
      </c>
      <c r="B597" s="33" t="s">
        <v>19935</v>
      </c>
    </row>
    <row r="598" spans="1:2" x14ac:dyDescent="0.25">
      <c r="A598" s="33">
        <v>4502008000</v>
      </c>
      <c r="B598" s="33" t="s">
        <v>19936</v>
      </c>
    </row>
    <row r="599" spans="1:2" x14ac:dyDescent="0.25">
      <c r="A599" s="33">
        <v>4502008001</v>
      </c>
      <c r="B599" s="33" t="s">
        <v>19937</v>
      </c>
    </row>
    <row r="600" spans="1:2" x14ac:dyDescent="0.25">
      <c r="A600" s="33">
        <v>4510000000</v>
      </c>
      <c r="B600" s="33" t="s">
        <v>19938</v>
      </c>
    </row>
    <row r="601" spans="1:2" x14ac:dyDescent="0.25">
      <c r="A601" s="33">
        <v>4511000000</v>
      </c>
      <c r="B601" s="33" t="s">
        <v>19939</v>
      </c>
    </row>
    <row r="602" spans="1:2" x14ac:dyDescent="0.25">
      <c r="A602" s="33">
        <v>4512000000</v>
      </c>
      <c r="B602" s="33" t="s">
        <v>19940</v>
      </c>
    </row>
    <row r="603" spans="1:2" x14ac:dyDescent="0.25">
      <c r="A603" s="33">
        <v>4513000000</v>
      </c>
      <c r="B603" s="33" t="s">
        <v>19941</v>
      </c>
    </row>
    <row r="604" spans="1:2" x14ac:dyDescent="0.25">
      <c r="A604" s="33">
        <v>4514000000</v>
      </c>
      <c r="B604" s="33" t="s">
        <v>19942</v>
      </c>
    </row>
    <row r="605" spans="1:2" x14ac:dyDescent="0.25">
      <c r="A605" s="33">
        <v>4515000000</v>
      </c>
      <c r="B605" s="33" t="s">
        <v>19943</v>
      </c>
    </row>
    <row r="606" spans="1:2" x14ac:dyDescent="0.25">
      <c r="A606" s="33">
        <v>4515100000</v>
      </c>
      <c r="B606" s="33" t="s">
        <v>19944</v>
      </c>
    </row>
    <row r="607" spans="1:2" x14ac:dyDescent="0.25">
      <c r="A607" s="33">
        <v>4515200000</v>
      </c>
      <c r="B607" s="33" t="s">
        <v>19945</v>
      </c>
    </row>
    <row r="608" spans="1:2" x14ac:dyDescent="0.25">
      <c r="A608" s="33">
        <v>4515300000</v>
      </c>
      <c r="B608" s="33" t="s">
        <v>19946</v>
      </c>
    </row>
    <row r="609" spans="1:2" x14ac:dyDescent="0.25">
      <c r="A609" s="33">
        <v>4515400000</v>
      </c>
      <c r="B609" s="33" t="s">
        <v>19947</v>
      </c>
    </row>
    <row r="610" spans="1:2" x14ac:dyDescent="0.25">
      <c r="A610" s="33">
        <v>4515500000</v>
      </c>
      <c r="B610" s="33" t="s">
        <v>19948</v>
      </c>
    </row>
    <row r="611" spans="1:2" x14ac:dyDescent="0.25">
      <c r="A611" s="33">
        <v>4515600000</v>
      </c>
      <c r="B611" s="33" t="s">
        <v>19949</v>
      </c>
    </row>
    <row r="612" spans="1:2" x14ac:dyDescent="0.25">
      <c r="A612" s="33">
        <v>5000000000</v>
      </c>
      <c r="B612" s="33" t="s">
        <v>19950</v>
      </c>
    </row>
    <row r="613" spans="1:2" x14ac:dyDescent="0.25">
      <c r="A613" s="33">
        <v>5000000001</v>
      </c>
      <c r="B613" s="33" t="s">
        <v>19951</v>
      </c>
    </row>
    <row r="614" spans="1:2" x14ac:dyDescent="0.25">
      <c r="A614" s="33">
        <v>5000000002</v>
      </c>
      <c r="B614" s="33" t="s">
        <v>19952</v>
      </c>
    </row>
    <row r="615" spans="1:2" x14ac:dyDescent="0.25">
      <c r="A615" s="33">
        <v>5000001000</v>
      </c>
      <c r="B615" s="33" t="s">
        <v>19953</v>
      </c>
    </row>
    <row r="616" spans="1:2" x14ac:dyDescent="0.25">
      <c r="A616" s="33">
        <v>5000002000</v>
      </c>
      <c r="B616" s="33" t="s">
        <v>19954</v>
      </c>
    </row>
    <row r="617" spans="1:2" x14ac:dyDescent="0.25">
      <c r="A617" s="33">
        <v>5000003000</v>
      </c>
      <c r="B617" s="33" t="s">
        <v>19955</v>
      </c>
    </row>
    <row r="618" spans="1:2" x14ac:dyDescent="0.25">
      <c r="A618" s="33">
        <v>5000003002</v>
      </c>
      <c r="B618" s="33" t="s">
        <v>19956</v>
      </c>
    </row>
    <row r="619" spans="1:2" x14ac:dyDescent="0.25">
      <c r="A619" s="33">
        <v>5000004000</v>
      </c>
      <c r="B619" s="33" t="s">
        <v>19957</v>
      </c>
    </row>
    <row r="620" spans="1:2" x14ac:dyDescent="0.25">
      <c r="A620" s="33">
        <v>5000005000</v>
      </c>
      <c r="B620" s="33" t="s">
        <v>19958</v>
      </c>
    </row>
    <row r="621" spans="1:2" x14ac:dyDescent="0.25">
      <c r="A621" s="33">
        <v>5000005001</v>
      </c>
      <c r="B621" s="33" t="s">
        <v>19959</v>
      </c>
    </row>
    <row r="622" spans="1:2" x14ac:dyDescent="0.25">
      <c r="A622" s="33">
        <v>5000006000</v>
      </c>
      <c r="B622" s="33" t="s">
        <v>19960</v>
      </c>
    </row>
    <row r="623" spans="1:2" x14ac:dyDescent="0.25">
      <c r="A623" s="33">
        <v>5000007000</v>
      </c>
      <c r="B623" s="33" t="s">
        <v>19961</v>
      </c>
    </row>
    <row r="624" spans="1:2" x14ac:dyDescent="0.25">
      <c r="A624" s="33">
        <v>5000090000</v>
      </c>
      <c r="B624" s="33" t="s">
        <v>19962</v>
      </c>
    </row>
    <row r="625" spans="1:2" x14ac:dyDescent="0.25">
      <c r="A625" s="33">
        <v>5000091000</v>
      </c>
      <c r="B625" s="33" t="s">
        <v>19963</v>
      </c>
    </row>
    <row r="626" spans="1:2" x14ac:dyDescent="0.25">
      <c r="A626" s="33">
        <v>5000092000</v>
      </c>
      <c r="B626" s="33" t="s">
        <v>19964</v>
      </c>
    </row>
    <row r="627" spans="1:2" x14ac:dyDescent="0.25">
      <c r="A627" s="33">
        <v>5000093000</v>
      </c>
      <c r="B627" s="33" t="s">
        <v>19965</v>
      </c>
    </row>
    <row r="628" spans="1:2" x14ac:dyDescent="0.25">
      <c r="A628" s="33">
        <v>5001000000</v>
      </c>
      <c r="B628" s="33" t="s">
        <v>19966</v>
      </c>
    </row>
    <row r="629" spans="1:2" x14ac:dyDescent="0.25">
      <c r="A629" s="33">
        <v>5001000001</v>
      </c>
      <c r="B629" s="33" t="s">
        <v>19967</v>
      </c>
    </row>
    <row r="630" spans="1:2" x14ac:dyDescent="0.25">
      <c r="A630" s="33">
        <v>5001000002</v>
      </c>
      <c r="B630" s="33" t="s">
        <v>19968</v>
      </c>
    </row>
    <row r="631" spans="1:2" x14ac:dyDescent="0.25">
      <c r="A631" s="33">
        <v>5001000003</v>
      </c>
      <c r="B631" s="33" t="s">
        <v>19969</v>
      </c>
    </row>
    <row r="632" spans="1:2" x14ac:dyDescent="0.25">
      <c r="A632" s="33">
        <v>5001000004</v>
      </c>
      <c r="B632" s="33" t="s">
        <v>19970</v>
      </c>
    </row>
    <row r="633" spans="1:2" x14ac:dyDescent="0.25">
      <c r="A633" s="33">
        <v>5001001000</v>
      </c>
      <c r="B633" s="33" t="s">
        <v>19971</v>
      </c>
    </row>
    <row r="634" spans="1:2" x14ac:dyDescent="0.25">
      <c r="A634" s="33">
        <v>5001002000</v>
      </c>
      <c r="B634" s="33" t="s">
        <v>19972</v>
      </c>
    </row>
    <row r="635" spans="1:2" x14ac:dyDescent="0.25">
      <c r="A635" s="33">
        <v>5001003000</v>
      </c>
      <c r="B635" s="33" t="s">
        <v>19973</v>
      </c>
    </row>
    <row r="636" spans="1:2" x14ac:dyDescent="0.25">
      <c r="A636" s="33">
        <v>5002000000</v>
      </c>
      <c r="B636" s="33" t="s">
        <v>19974</v>
      </c>
    </row>
    <row r="637" spans="1:2" x14ac:dyDescent="0.25">
      <c r="A637" s="33">
        <v>5002002000</v>
      </c>
      <c r="B637" s="33" t="s">
        <v>19975</v>
      </c>
    </row>
    <row r="638" spans="1:2" x14ac:dyDescent="0.25">
      <c r="A638" s="33">
        <v>5002003000</v>
      </c>
      <c r="B638" s="33" t="s">
        <v>19976</v>
      </c>
    </row>
    <row r="639" spans="1:2" x14ac:dyDescent="0.25">
      <c r="A639" s="33">
        <v>5002010000</v>
      </c>
      <c r="B639" s="33" t="s">
        <v>19977</v>
      </c>
    </row>
    <row r="640" spans="1:2" x14ac:dyDescent="0.25">
      <c r="A640" s="33">
        <v>5010000000</v>
      </c>
      <c r="B640" s="33" t="s">
        <v>19978</v>
      </c>
    </row>
    <row r="641" spans="1:2" x14ac:dyDescent="0.25">
      <c r="A641" s="33">
        <v>5010000001</v>
      </c>
      <c r="B641" s="33" t="s">
        <v>19979</v>
      </c>
    </row>
    <row r="642" spans="1:2" x14ac:dyDescent="0.25">
      <c r="A642" s="33">
        <v>5010000002</v>
      </c>
      <c r="B642" s="33" t="s">
        <v>19980</v>
      </c>
    </row>
    <row r="643" spans="1:2" x14ac:dyDescent="0.25">
      <c r="A643" s="33">
        <v>5010000003</v>
      </c>
      <c r="B643" s="33" t="s">
        <v>19981</v>
      </c>
    </row>
    <row r="644" spans="1:2" x14ac:dyDescent="0.25">
      <c r="A644" s="33">
        <v>5010000004</v>
      </c>
      <c r="B644" s="33" t="s">
        <v>19982</v>
      </c>
    </row>
    <row r="645" spans="1:2" x14ac:dyDescent="0.25">
      <c r="A645" s="33">
        <v>5010000005</v>
      </c>
      <c r="B645" s="33" t="s">
        <v>19983</v>
      </c>
    </row>
    <row r="646" spans="1:2" x14ac:dyDescent="0.25">
      <c r="A646" s="33">
        <v>5010001000</v>
      </c>
      <c r="B646" s="33" t="s">
        <v>19984</v>
      </c>
    </row>
    <row r="647" spans="1:2" x14ac:dyDescent="0.25">
      <c r="A647" s="33">
        <v>5010002000</v>
      </c>
      <c r="B647" s="33" t="s">
        <v>19539</v>
      </c>
    </row>
    <row r="648" spans="1:2" x14ac:dyDescent="0.25">
      <c r="A648" s="33">
        <v>5010009000</v>
      </c>
      <c r="B648" s="33" t="s">
        <v>19985</v>
      </c>
    </row>
    <row r="649" spans="1:2" x14ac:dyDescent="0.25">
      <c r="A649" s="33">
        <v>5010010000</v>
      </c>
      <c r="B649" s="33" t="s">
        <v>19986</v>
      </c>
    </row>
    <row r="650" spans="1:2" x14ac:dyDescent="0.25">
      <c r="A650" s="33">
        <v>5010020000</v>
      </c>
      <c r="B650" s="33" t="s">
        <v>19987</v>
      </c>
    </row>
    <row r="651" spans="1:2" x14ac:dyDescent="0.25">
      <c r="A651" s="33">
        <v>5020000000</v>
      </c>
      <c r="B651" s="33" t="s">
        <v>19988</v>
      </c>
    </row>
    <row r="652" spans="1:2" x14ac:dyDescent="0.25">
      <c r="A652" s="33">
        <v>5020000001</v>
      </c>
      <c r="B652" s="33" t="s">
        <v>19989</v>
      </c>
    </row>
    <row r="653" spans="1:2" x14ac:dyDescent="0.25">
      <c r="A653" s="33">
        <v>5020001000</v>
      </c>
      <c r="B653" s="33" t="s">
        <v>19990</v>
      </c>
    </row>
    <row r="654" spans="1:2" x14ac:dyDescent="0.25">
      <c r="A654" s="33">
        <v>5020002000</v>
      </c>
      <c r="B654" s="33" t="s">
        <v>19991</v>
      </c>
    </row>
    <row r="655" spans="1:2" x14ac:dyDescent="0.25">
      <c r="A655" s="33">
        <v>5020010000</v>
      </c>
      <c r="B655" s="33" t="s">
        <v>19992</v>
      </c>
    </row>
    <row r="656" spans="1:2" x14ac:dyDescent="0.25">
      <c r="A656" s="33">
        <v>5030000000</v>
      </c>
      <c r="B656" s="33" t="s">
        <v>19993</v>
      </c>
    </row>
    <row r="657" spans="1:2" x14ac:dyDescent="0.25">
      <c r="A657" s="33">
        <v>5030001000</v>
      </c>
      <c r="B657" s="33" t="s">
        <v>19994</v>
      </c>
    </row>
    <row r="658" spans="1:2" x14ac:dyDescent="0.25">
      <c r="A658" s="33">
        <v>5030002000</v>
      </c>
      <c r="B658" s="33" t="s">
        <v>19995</v>
      </c>
    </row>
    <row r="659" spans="1:2" x14ac:dyDescent="0.25">
      <c r="A659" s="33">
        <v>5030003000</v>
      </c>
      <c r="B659" s="33" t="s">
        <v>19996</v>
      </c>
    </row>
    <row r="660" spans="1:2" x14ac:dyDescent="0.25">
      <c r="A660" s="33">
        <v>5030004000</v>
      </c>
      <c r="B660" s="33" t="s">
        <v>19997</v>
      </c>
    </row>
    <row r="661" spans="1:2" x14ac:dyDescent="0.25">
      <c r="A661" s="33">
        <v>5030005000</v>
      </c>
      <c r="B661" s="33" t="s">
        <v>19998</v>
      </c>
    </row>
    <row r="662" spans="1:2" x14ac:dyDescent="0.25">
      <c r="A662" s="33">
        <v>5030006000</v>
      </c>
      <c r="B662" s="33" t="s">
        <v>19999</v>
      </c>
    </row>
    <row r="663" spans="1:2" x14ac:dyDescent="0.25">
      <c r="A663" s="33">
        <v>5030006001</v>
      </c>
      <c r="B663" s="33" t="s">
        <v>20000</v>
      </c>
    </row>
    <row r="664" spans="1:2" x14ac:dyDescent="0.25">
      <c r="A664" s="33">
        <v>5030007000</v>
      </c>
      <c r="B664" s="33" t="s">
        <v>20001</v>
      </c>
    </row>
    <row r="665" spans="1:2" x14ac:dyDescent="0.25">
      <c r="A665" s="33">
        <v>5030008000</v>
      </c>
      <c r="B665" s="33" t="s">
        <v>20002</v>
      </c>
    </row>
    <row r="666" spans="1:2" x14ac:dyDescent="0.25">
      <c r="A666" s="33">
        <v>5030009000</v>
      </c>
      <c r="B666" s="33" t="s">
        <v>20003</v>
      </c>
    </row>
    <row r="667" spans="1:2" x14ac:dyDescent="0.25">
      <c r="A667" s="33">
        <v>5030009001</v>
      </c>
      <c r="B667" s="33" t="s">
        <v>20004</v>
      </c>
    </row>
    <row r="668" spans="1:2" x14ac:dyDescent="0.25">
      <c r="A668" s="33">
        <v>5030010001</v>
      </c>
      <c r="B668" s="33" t="s">
        <v>20005</v>
      </c>
    </row>
    <row r="669" spans="1:2" x14ac:dyDescent="0.25">
      <c r="A669" s="33">
        <v>5030010002</v>
      </c>
      <c r="B669" s="33" t="s">
        <v>20006</v>
      </c>
    </row>
    <row r="670" spans="1:2" x14ac:dyDescent="0.25">
      <c r="A670" s="33">
        <v>5030010011</v>
      </c>
      <c r="B670" s="33" t="s">
        <v>20007</v>
      </c>
    </row>
    <row r="671" spans="1:2" x14ac:dyDescent="0.25">
      <c r="A671" s="33">
        <v>5030010012</v>
      </c>
      <c r="B671" s="33" t="s">
        <v>20008</v>
      </c>
    </row>
    <row r="672" spans="1:2" x14ac:dyDescent="0.25">
      <c r="A672" s="33">
        <v>5030090000</v>
      </c>
      <c r="B672" s="33" t="s">
        <v>20009</v>
      </c>
    </row>
    <row r="673" spans="1:2" x14ac:dyDescent="0.25">
      <c r="A673" s="33">
        <v>5030090001</v>
      </c>
      <c r="B673" s="33" t="s">
        <v>20010</v>
      </c>
    </row>
    <row r="674" spans="1:2" x14ac:dyDescent="0.25">
      <c r="A674" s="33">
        <v>5030090002</v>
      </c>
      <c r="B674" s="33" t="s">
        <v>20011</v>
      </c>
    </row>
    <row r="675" spans="1:2" x14ac:dyDescent="0.25">
      <c r="A675" s="33">
        <v>5030090003</v>
      </c>
      <c r="B675" s="33" t="s">
        <v>20012</v>
      </c>
    </row>
    <row r="676" spans="1:2" x14ac:dyDescent="0.25">
      <c r="A676" s="33">
        <v>5030090004</v>
      </c>
      <c r="B676" s="33" t="s">
        <v>20013</v>
      </c>
    </row>
    <row r="677" spans="1:2" x14ac:dyDescent="0.25">
      <c r="A677" s="33">
        <v>5030090005</v>
      </c>
      <c r="B677" s="33" t="s">
        <v>20014</v>
      </c>
    </row>
    <row r="678" spans="1:2" x14ac:dyDescent="0.25">
      <c r="A678" s="33">
        <v>5030090006</v>
      </c>
      <c r="B678" s="33" t="s">
        <v>20015</v>
      </c>
    </row>
    <row r="679" spans="1:2" x14ac:dyDescent="0.25">
      <c r="A679" s="33">
        <v>5030090007</v>
      </c>
      <c r="B679" s="33" t="s">
        <v>20016</v>
      </c>
    </row>
    <row r="680" spans="1:2" x14ac:dyDescent="0.25">
      <c r="A680" s="33">
        <v>5030990000</v>
      </c>
      <c r="B680" s="33" t="s">
        <v>20017</v>
      </c>
    </row>
    <row r="681" spans="1:2" x14ac:dyDescent="0.25">
      <c r="A681" s="33">
        <v>5040000000</v>
      </c>
      <c r="B681" s="33" t="s">
        <v>20018</v>
      </c>
    </row>
    <row r="682" spans="1:2" x14ac:dyDescent="0.25">
      <c r="A682" s="33">
        <v>5040000001</v>
      </c>
      <c r="B682" s="33" t="s">
        <v>20019</v>
      </c>
    </row>
    <row r="683" spans="1:2" x14ac:dyDescent="0.25">
      <c r="A683" s="33">
        <v>5040010000</v>
      </c>
      <c r="B683" s="33" t="s">
        <v>20020</v>
      </c>
    </row>
    <row r="684" spans="1:2" x14ac:dyDescent="0.25">
      <c r="A684" s="33">
        <v>5040090000</v>
      </c>
      <c r="B684" s="33" t="s">
        <v>20021</v>
      </c>
    </row>
    <row r="685" spans="1:2" x14ac:dyDescent="0.25">
      <c r="A685" s="33">
        <v>5050000000</v>
      </c>
      <c r="B685" s="33" t="s">
        <v>20022</v>
      </c>
    </row>
    <row r="686" spans="1:2" x14ac:dyDescent="0.25">
      <c r="A686" s="33">
        <v>5050001000</v>
      </c>
      <c r="B686" s="33" t="s">
        <v>20023</v>
      </c>
    </row>
    <row r="687" spans="1:2" x14ac:dyDescent="0.25">
      <c r="A687" s="33">
        <v>5050002000</v>
      </c>
      <c r="B687" s="33" t="s">
        <v>20024</v>
      </c>
    </row>
    <row r="688" spans="1:2" x14ac:dyDescent="0.25">
      <c r="A688" s="33">
        <v>5050003000</v>
      </c>
      <c r="B688" s="33" t="s">
        <v>20025</v>
      </c>
    </row>
    <row r="689" spans="1:2" x14ac:dyDescent="0.25">
      <c r="A689" s="33">
        <v>5050004000</v>
      </c>
      <c r="B689" s="33" t="s">
        <v>20026</v>
      </c>
    </row>
    <row r="690" spans="1:2" x14ac:dyDescent="0.25">
      <c r="A690" s="33">
        <v>5050005000</v>
      </c>
      <c r="B690" s="33" t="s">
        <v>20027</v>
      </c>
    </row>
    <row r="691" spans="1:2" x14ac:dyDescent="0.25">
      <c r="A691" s="33">
        <v>5050010000</v>
      </c>
      <c r="B691" s="33" t="s">
        <v>20028</v>
      </c>
    </row>
    <row r="692" spans="1:2" x14ac:dyDescent="0.25">
      <c r="A692" s="33">
        <v>5060000000</v>
      </c>
      <c r="B692" s="33" t="s">
        <v>19352</v>
      </c>
    </row>
    <row r="693" spans="1:2" x14ac:dyDescent="0.25">
      <c r="A693" s="33">
        <v>5060010000</v>
      </c>
      <c r="B693" s="33" t="s">
        <v>20029</v>
      </c>
    </row>
    <row r="694" spans="1:2" x14ac:dyDescent="0.25">
      <c r="A694" s="33">
        <v>5100000000</v>
      </c>
      <c r="B694" s="33" t="s">
        <v>20030</v>
      </c>
    </row>
    <row r="695" spans="1:2" x14ac:dyDescent="0.25">
      <c r="A695" s="33">
        <v>5100000001</v>
      </c>
      <c r="B695" s="33" t="s">
        <v>20031</v>
      </c>
    </row>
    <row r="696" spans="1:2" x14ac:dyDescent="0.25">
      <c r="A696" s="33">
        <v>5100000010</v>
      </c>
      <c r="B696" s="33" t="s">
        <v>20032</v>
      </c>
    </row>
    <row r="697" spans="1:2" x14ac:dyDescent="0.25">
      <c r="A697" s="33">
        <v>5100000011</v>
      </c>
      <c r="B697" s="33" t="s">
        <v>20030</v>
      </c>
    </row>
    <row r="698" spans="1:2" x14ac:dyDescent="0.25">
      <c r="A698" s="33">
        <v>5100010000</v>
      </c>
      <c r="B698" s="33" t="s">
        <v>20033</v>
      </c>
    </row>
    <row r="699" spans="1:2" x14ac:dyDescent="0.25">
      <c r="A699" s="33">
        <v>5100010001</v>
      </c>
      <c r="B699" s="33" t="s">
        <v>20034</v>
      </c>
    </row>
    <row r="700" spans="1:2" x14ac:dyDescent="0.25">
      <c r="A700" s="33">
        <v>5101000000</v>
      </c>
      <c r="B700" s="33" t="s">
        <v>20035</v>
      </c>
    </row>
    <row r="701" spans="1:2" x14ac:dyDescent="0.25">
      <c r="A701" s="33">
        <v>5101000001</v>
      </c>
      <c r="B701" s="33" t="s">
        <v>20036</v>
      </c>
    </row>
    <row r="702" spans="1:2" x14ac:dyDescent="0.25">
      <c r="A702" s="33">
        <v>5101000010</v>
      </c>
      <c r="B702" s="33" t="s">
        <v>20037</v>
      </c>
    </row>
    <row r="703" spans="1:2" x14ac:dyDescent="0.25">
      <c r="A703" s="33">
        <v>5102000000</v>
      </c>
      <c r="B703" s="33" t="s">
        <v>20038</v>
      </c>
    </row>
    <row r="704" spans="1:2" x14ac:dyDescent="0.25">
      <c r="A704" s="33">
        <v>5102100000</v>
      </c>
      <c r="B704" s="33" t="s">
        <v>20039</v>
      </c>
    </row>
    <row r="705" spans="1:2" x14ac:dyDescent="0.25">
      <c r="A705" s="33">
        <v>5111000000</v>
      </c>
      <c r="B705" s="33" t="s">
        <v>20040</v>
      </c>
    </row>
    <row r="706" spans="1:2" x14ac:dyDescent="0.25">
      <c r="A706" s="33">
        <v>5111000001</v>
      </c>
      <c r="B706" s="33" t="s">
        <v>20041</v>
      </c>
    </row>
    <row r="707" spans="1:2" x14ac:dyDescent="0.25">
      <c r="A707" s="33">
        <v>5111000010</v>
      </c>
      <c r="B707" s="33" t="s">
        <v>20042</v>
      </c>
    </row>
    <row r="708" spans="1:2" x14ac:dyDescent="0.25">
      <c r="A708" s="33">
        <v>5111000300</v>
      </c>
      <c r="B708" s="33" t="s">
        <v>20043</v>
      </c>
    </row>
    <row r="709" spans="1:2" x14ac:dyDescent="0.25">
      <c r="A709" s="33">
        <v>5111500000</v>
      </c>
      <c r="B709" s="33" t="s">
        <v>20044</v>
      </c>
    </row>
    <row r="710" spans="1:2" x14ac:dyDescent="0.25">
      <c r="A710" s="33">
        <v>5111500001</v>
      </c>
      <c r="B710" s="33" t="s">
        <v>20045</v>
      </c>
    </row>
    <row r="711" spans="1:2" x14ac:dyDescent="0.25">
      <c r="A711" s="33">
        <v>5111500010</v>
      </c>
      <c r="B711" s="33" t="s">
        <v>20046</v>
      </c>
    </row>
    <row r="712" spans="1:2" x14ac:dyDescent="0.25">
      <c r="A712" s="33">
        <v>5111500400</v>
      </c>
      <c r="B712" s="33" t="s">
        <v>20047</v>
      </c>
    </row>
    <row r="713" spans="1:2" x14ac:dyDescent="0.25">
      <c r="A713" s="33">
        <v>5112000000</v>
      </c>
      <c r="B713" s="33" t="s">
        <v>20048</v>
      </c>
    </row>
    <row r="714" spans="1:2" x14ac:dyDescent="0.25">
      <c r="A714" s="33">
        <v>5112000001</v>
      </c>
      <c r="B714" s="33" t="s">
        <v>20049</v>
      </c>
    </row>
    <row r="715" spans="1:2" x14ac:dyDescent="0.25">
      <c r="A715" s="33">
        <v>5112000010</v>
      </c>
      <c r="B715" s="33" t="s">
        <v>20050</v>
      </c>
    </row>
    <row r="716" spans="1:2" x14ac:dyDescent="0.25">
      <c r="A716" s="33">
        <v>5112000300</v>
      </c>
      <c r="B716" s="33" t="s">
        <v>20051</v>
      </c>
    </row>
    <row r="717" spans="1:2" x14ac:dyDescent="0.25">
      <c r="A717" s="33">
        <v>5112500000</v>
      </c>
      <c r="B717" s="33" t="s">
        <v>20052</v>
      </c>
    </row>
    <row r="718" spans="1:2" x14ac:dyDescent="0.25">
      <c r="A718" s="33">
        <v>5112500001</v>
      </c>
      <c r="B718" s="33" t="s">
        <v>20052</v>
      </c>
    </row>
    <row r="719" spans="1:2" x14ac:dyDescent="0.25">
      <c r="A719" s="33">
        <v>5112500400</v>
      </c>
      <c r="B719" s="33" t="s">
        <v>20053</v>
      </c>
    </row>
    <row r="720" spans="1:2" x14ac:dyDescent="0.25">
      <c r="A720" s="33">
        <v>5113000000</v>
      </c>
      <c r="B720" s="33" t="s">
        <v>20054</v>
      </c>
    </row>
    <row r="721" spans="1:2" x14ac:dyDescent="0.25">
      <c r="A721" s="33">
        <v>5113000001</v>
      </c>
      <c r="B721" s="33" t="s">
        <v>20055</v>
      </c>
    </row>
    <row r="722" spans="1:2" x14ac:dyDescent="0.25">
      <c r="A722" s="33">
        <v>5113000300</v>
      </c>
      <c r="B722" s="33" t="s">
        <v>20056</v>
      </c>
    </row>
    <row r="723" spans="1:2" x14ac:dyDescent="0.25">
      <c r="A723" s="33">
        <v>5113500000</v>
      </c>
      <c r="B723" s="33" t="s">
        <v>20057</v>
      </c>
    </row>
    <row r="724" spans="1:2" x14ac:dyDescent="0.25">
      <c r="A724" s="33">
        <v>5113500001</v>
      </c>
      <c r="B724" s="33" t="s">
        <v>20058</v>
      </c>
    </row>
    <row r="725" spans="1:2" x14ac:dyDescent="0.25">
      <c r="A725" s="33">
        <v>5113500400</v>
      </c>
      <c r="B725" s="33" t="s">
        <v>20053</v>
      </c>
    </row>
    <row r="726" spans="1:2" x14ac:dyDescent="0.25">
      <c r="A726" s="33">
        <v>5114000000</v>
      </c>
      <c r="B726" s="33" t="s">
        <v>20059</v>
      </c>
    </row>
    <row r="727" spans="1:2" x14ac:dyDescent="0.25">
      <c r="A727" s="33">
        <v>5114000001</v>
      </c>
      <c r="B727" s="33" t="s">
        <v>20060</v>
      </c>
    </row>
    <row r="728" spans="1:2" x14ac:dyDescent="0.25">
      <c r="A728" s="33">
        <v>5114000300</v>
      </c>
      <c r="B728" s="33" t="s">
        <v>20061</v>
      </c>
    </row>
    <row r="729" spans="1:2" x14ac:dyDescent="0.25">
      <c r="A729" s="33">
        <v>5114500000</v>
      </c>
      <c r="B729" s="33" t="s">
        <v>20062</v>
      </c>
    </row>
    <row r="730" spans="1:2" x14ac:dyDescent="0.25">
      <c r="A730" s="33">
        <v>5114500001</v>
      </c>
      <c r="B730" s="33" t="s">
        <v>20063</v>
      </c>
    </row>
    <row r="731" spans="1:2" x14ac:dyDescent="0.25">
      <c r="A731" s="33">
        <v>5114500400</v>
      </c>
      <c r="B731" s="33" t="s">
        <v>20064</v>
      </c>
    </row>
    <row r="732" spans="1:2" x14ac:dyDescent="0.25">
      <c r="A732" s="33">
        <v>5115000000</v>
      </c>
      <c r="B732" s="33" t="s">
        <v>20065</v>
      </c>
    </row>
    <row r="733" spans="1:2" x14ac:dyDescent="0.25">
      <c r="A733" s="33">
        <v>5115000001</v>
      </c>
      <c r="B733" s="33" t="s">
        <v>20066</v>
      </c>
    </row>
    <row r="734" spans="1:2" x14ac:dyDescent="0.25">
      <c r="A734" s="33">
        <v>5115000010</v>
      </c>
      <c r="B734" s="33" t="s">
        <v>20067</v>
      </c>
    </row>
    <row r="735" spans="1:2" x14ac:dyDescent="0.25">
      <c r="A735" s="33">
        <v>5115000300</v>
      </c>
      <c r="B735" s="33" t="s">
        <v>20068</v>
      </c>
    </row>
    <row r="736" spans="1:2" x14ac:dyDescent="0.25">
      <c r="A736" s="33">
        <v>5115500000</v>
      </c>
      <c r="B736" s="33" t="s">
        <v>20069</v>
      </c>
    </row>
    <row r="737" spans="1:2" x14ac:dyDescent="0.25">
      <c r="A737" s="33">
        <v>5115500001</v>
      </c>
      <c r="B737" s="33" t="s">
        <v>20070</v>
      </c>
    </row>
    <row r="738" spans="1:2" x14ac:dyDescent="0.25">
      <c r="A738" s="33">
        <v>5115500400</v>
      </c>
      <c r="B738" s="33" t="s">
        <v>20071</v>
      </c>
    </row>
    <row r="739" spans="1:2" x14ac:dyDescent="0.25">
      <c r="A739" s="33">
        <v>5119000000</v>
      </c>
      <c r="B739" s="33" t="s">
        <v>20072</v>
      </c>
    </row>
    <row r="740" spans="1:2" x14ac:dyDescent="0.25">
      <c r="A740" s="33">
        <v>5119200000</v>
      </c>
      <c r="B740" s="33" t="s">
        <v>20073</v>
      </c>
    </row>
    <row r="741" spans="1:2" x14ac:dyDescent="0.25">
      <c r="A741" s="33">
        <v>5119200001</v>
      </c>
      <c r="B741" s="33" t="s">
        <v>20074</v>
      </c>
    </row>
    <row r="742" spans="1:2" x14ac:dyDescent="0.25">
      <c r="A742" s="33">
        <v>5119400000</v>
      </c>
      <c r="B742" s="33" t="s">
        <v>20075</v>
      </c>
    </row>
    <row r="743" spans="1:2" x14ac:dyDescent="0.25">
      <c r="A743" s="33">
        <v>5160000000</v>
      </c>
      <c r="B743" s="33" t="s">
        <v>20076</v>
      </c>
    </row>
    <row r="744" spans="1:2" x14ac:dyDescent="0.25">
      <c r="A744" s="33">
        <v>5161000000</v>
      </c>
      <c r="B744" s="33" t="s">
        <v>20077</v>
      </c>
    </row>
    <row r="745" spans="1:2" x14ac:dyDescent="0.25">
      <c r="A745" s="33">
        <v>5169000000</v>
      </c>
      <c r="B745" s="33" t="s">
        <v>20078</v>
      </c>
    </row>
    <row r="746" spans="1:2" x14ac:dyDescent="0.25">
      <c r="A746" s="33">
        <v>5170000000</v>
      </c>
      <c r="B746" s="33" t="s">
        <v>20079</v>
      </c>
    </row>
    <row r="747" spans="1:2" x14ac:dyDescent="0.25">
      <c r="A747" s="33">
        <v>5170000001</v>
      </c>
      <c r="B747" s="33" t="s">
        <v>20080</v>
      </c>
    </row>
    <row r="748" spans="1:2" x14ac:dyDescent="0.25">
      <c r="A748" s="33">
        <v>5171000000</v>
      </c>
      <c r="B748" s="33" t="s">
        <v>20081</v>
      </c>
    </row>
    <row r="749" spans="1:2" x14ac:dyDescent="0.25">
      <c r="A749" s="33">
        <v>5171000001</v>
      </c>
      <c r="B749" s="33" t="s">
        <v>20082</v>
      </c>
    </row>
    <row r="750" spans="1:2" x14ac:dyDescent="0.25">
      <c r="A750" s="33">
        <v>5172000000</v>
      </c>
      <c r="B750" s="33" t="s">
        <v>20083</v>
      </c>
    </row>
    <row r="751" spans="1:2" x14ac:dyDescent="0.25">
      <c r="A751" s="33">
        <v>5172000001</v>
      </c>
      <c r="B751" s="33" t="s">
        <v>20084</v>
      </c>
    </row>
    <row r="752" spans="1:2" x14ac:dyDescent="0.25">
      <c r="A752" s="33">
        <v>5173000000</v>
      </c>
      <c r="B752" s="33" t="s">
        <v>20085</v>
      </c>
    </row>
    <row r="753" spans="1:2" x14ac:dyDescent="0.25">
      <c r="A753" s="33">
        <v>5200000000</v>
      </c>
      <c r="B753" s="33" t="s">
        <v>20086</v>
      </c>
    </row>
    <row r="754" spans="1:2" x14ac:dyDescent="0.25">
      <c r="A754" s="33">
        <v>5200110000</v>
      </c>
      <c r="B754" s="33" t="s">
        <v>20087</v>
      </c>
    </row>
    <row r="755" spans="1:2" x14ac:dyDescent="0.25">
      <c r="A755" s="33">
        <v>5200200000</v>
      </c>
      <c r="B755" s="33" t="s">
        <v>20088</v>
      </c>
    </row>
    <row r="756" spans="1:2" x14ac:dyDescent="0.25">
      <c r="A756" s="33">
        <v>5200310000</v>
      </c>
      <c r="B756" s="33" t="s">
        <v>20089</v>
      </c>
    </row>
    <row r="757" spans="1:2" x14ac:dyDescent="0.25">
      <c r="A757" s="33">
        <v>5200400000</v>
      </c>
      <c r="B757" s="33" t="s">
        <v>20090</v>
      </c>
    </row>
    <row r="758" spans="1:2" x14ac:dyDescent="0.25">
      <c r="A758" s="33">
        <v>5200410000</v>
      </c>
      <c r="B758" s="33" t="s">
        <v>20091</v>
      </c>
    </row>
    <row r="759" spans="1:2" x14ac:dyDescent="0.25">
      <c r="A759" s="33">
        <v>5200500000</v>
      </c>
      <c r="B759" s="33" t="s">
        <v>20092</v>
      </c>
    </row>
    <row r="760" spans="1:2" x14ac:dyDescent="0.25">
      <c r="A760" s="33">
        <v>5201000000</v>
      </c>
      <c r="B760" s="33" t="s">
        <v>20093</v>
      </c>
    </row>
    <row r="761" spans="1:2" x14ac:dyDescent="0.25">
      <c r="A761" s="33">
        <v>5201010000</v>
      </c>
      <c r="B761" s="33" t="s">
        <v>20094</v>
      </c>
    </row>
    <row r="762" spans="1:2" x14ac:dyDescent="0.25">
      <c r="A762" s="33">
        <v>5201020000</v>
      </c>
      <c r="B762" s="33" t="s">
        <v>20095</v>
      </c>
    </row>
    <row r="763" spans="1:2" x14ac:dyDescent="0.25">
      <c r="A763" s="33">
        <v>5201030000</v>
      </c>
      <c r="B763" s="33" t="s">
        <v>20096</v>
      </c>
    </row>
    <row r="764" spans="1:2" x14ac:dyDescent="0.25">
      <c r="A764" s="33">
        <v>5201090000</v>
      </c>
      <c r="B764" s="33" t="s">
        <v>20097</v>
      </c>
    </row>
    <row r="765" spans="1:2" x14ac:dyDescent="0.25">
      <c r="A765" s="33">
        <v>5201110000</v>
      </c>
      <c r="B765" s="33" t="s">
        <v>20098</v>
      </c>
    </row>
    <row r="766" spans="1:2" x14ac:dyDescent="0.25">
      <c r="A766" s="33">
        <v>5201210000</v>
      </c>
      <c r="B766" s="33" t="s">
        <v>20099</v>
      </c>
    </row>
    <row r="767" spans="1:2" x14ac:dyDescent="0.25">
      <c r="A767" s="33">
        <v>5202000000</v>
      </c>
      <c r="B767" s="33" t="s">
        <v>20100</v>
      </c>
    </row>
    <row r="768" spans="1:2" x14ac:dyDescent="0.25">
      <c r="A768" s="33">
        <v>5202010000</v>
      </c>
      <c r="B768" s="33" t="s">
        <v>20101</v>
      </c>
    </row>
    <row r="769" spans="1:2" x14ac:dyDescent="0.25">
      <c r="A769" s="33">
        <v>5202100000</v>
      </c>
      <c r="B769" s="33" t="s">
        <v>20102</v>
      </c>
    </row>
    <row r="770" spans="1:2" x14ac:dyDescent="0.25">
      <c r="A770" s="33">
        <v>5202106000</v>
      </c>
      <c r="B770" s="33" t="s">
        <v>20103</v>
      </c>
    </row>
    <row r="771" spans="1:2" x14ac:dyDescent="0.25">
      <c r="A771" s="33">
        <v>5202200000</v>
      </c>
      <c r="B771" s="33" t="s">
        <v>20104</v>
      </c>
    </row>
    <row r="772" spans="1:2" x14ac:dyDescent="0.25">
      <c r="A772" s="33">
        <v>5202202100</v>
      </c>
      <c r="B772" s="33" t="s">
        <v>20105</v>
      </c>
    </row>
    <row r="773" spans="1:2" x14ac:dyDescent="0.25">
      <c r="A773" s="33">
        <v>5202202200</v>
      </c>
      <c r="B773" s="33" t="s">
        <v>20106</v>
      </c>
    </row>
    <row r="774" spans="1:2" x14ac:dyDescent="0.25">
      <c r="A774" s="33">
        <v>5202202300</v>
      </c>
      <c r="B774" s="33" t="s">
        <v>20107</v>
      </c>
    </row>
    <row r="775" spans="1:2" x14ac:dyDescent="0.25">
      <c r="A775" s="33">
        <v>5202202400</v>
      </c>
      <c r="B775" s="33" t="s">
        <v>20108</v>
      </c>
    </row>
    <row r="776" spans="1:2" x14ac:dyDescent="0.25">
      <c r="A776" s="33">
        <v>5202300000</v>
      </c>
      <c r="B776" s="33" t="s">
        <v>20109</v>
      </c>
    </row>
    <row r="777" spans="1:2" x14ac:dyDescent="0.25">
      <c r="A777" s="33">
        <v>5202400000</v>
      </c>
      <c r="B777" s="33" t="s">
        <v>20110</v>
      </c>
    </row>
    <row r="778" spans="1:2" x14ac:dyDescent="0.25">
      <c r="A778" s="33">
        <v>5203010000</v>
      </c>
      <c r="B778" s="33" t="s">
        <v>20111</v>
      </c>
    </row>
    <row r="779" spans="1:2" x14ac:dyDescent="0.25">
      <c r="A779" s="33">
        <v>5203110000</v>
      </c>
      <c r="B779" s="33" t="s">
        <v>20112</v>
      </c>
    </row>
    <row r="780" spans="1:2" x14ac:dyDescent="0.25">
      <c r="A780" s="33">
        <v>5203210000</v>
      </c>
      <c r="B780" s="33" t="s">
        <v>20113</v>
      </c>
    </row>
    <row r="781" spans="1:2" x14ac:dyDescent="0.25">
      <c r="A781" s="33">
        <v>5203310000</v>
      </c>
      <c r="B781" s="33" t="s">
        <v>20114</v>
      </c>
    </row>
    <row r="782" spans="1:2" x14ac:dyDescent="0.25">
      <c r="A782" s="33">
        <v>5203410000</v>
      </c>
      <c r="B782" s="33" t="s">
        <v>20115</v>
      </c>
    </row>
    <row r="783" spans="1:2" x14ac:dyDescent="0.25">
      <c r="A783" s="33">
        <v>5203510000</v>
      </c>
      <c r="B783" s="33" t="s">
        <v>20116</v>
      </c>
    </row>
    <row r="784" spans="1:2" x14ac:dyDescent="0.25">
      <c r="A784" s="33">
        <v>5204010000</v>
      </c>
      <c r="B784" s="33" t="s">
        <v>20117</v>
      </c>
    </row>
    <row r="785" spans="1:2" x14ac:dyDescent="0.25">
      <c r="A785" s="33">
        <v>5205110000</v>
      </c>
      <c r="B785" s="33" t="s">
        <v>20118</v>
      </c>
    </row>
    <row r="786" spans="1:2" x14ac:dyDescent="0.25">
      <c r="A786" s="33">
        <v>5205210000</v>
      </c>
      <c r="B786" s="33" t="s">
        <v>20119</v>
      </c>
    </row>
    <row r="787" spans="1:2" x14ac:dyDescent="0.25">
      <c r="A787" s="33">
        <v>5205310000</v>
      </c>
      <c r="B787" s="33" t="s">
        <v>20120</v>
      </c>
    </row>
    <row r="788" spans="1:2" x14ac:dyDescent="0.25">
      <c r="A788" s="33">
        <v>5209000000</v>
      </c>
      <c r="B788" s="33" t="s">
        <v>20121</v>
      </c>
    </row>
    <row r="789" spans="1:2" x14ac:dyDescent="0.25">
      <c r="A789" s="33">
        <v>5210000000</v>
      </c>
      <c r="B789" s="33" t="s">
        <v>20122</v>
      </c>
    </row>
    <row r="790" spans="1:2" x14ac:dyDescent="0.25">
      <c r="A790" s="33">
        <v>5210110000</v>
      </c>
      <c r="B790" s="33" t="s">
        <v>20123</v>
      </c>
    </row>
    <row r="791" spans="1:2" x14ac:dyDescent="0.25">
      <c r="A791" s="33">
        <v>5210120000</v>
      </c>
      <c r="B791" s="33" t="s">
        <v>20124</v>
      </c>
    </row>
    <row r="792" spans="1:2" x14ac:dyDescent="0.25">
      <c r="A792" s="33">
        <v>5211000000</v>
      </c>
      <c r="B792" s="33" t="s">
        <v>20125</v>
      </c>
    </row>
    <row r="793" spans="1:2" x14ac:dyDescent="0.25">
      <c r="A793" s="33">
        <v>5212000000</v>
      </c>
      <c r="B793" s="33" t="s">
        <v>20126</v>
      </c>
    </row>
    <row r="794" spans="1:2" x14ac:dyDescent="0.25">
      <c r="A794" s="33">
        <v>5212110000</v>
      </c>
      <c r="B794" s="33" t="s">
        <v>20127</v>
      </c>
    </row>
    <row r="795" spans="1:2" x14ac:dyDescent="0.25">
      <c r="A795" s="33">
        <v>5212210000</v>
      </c>
      <c r="B795" s="33" t="s">
        <v>20128</v>
      </c>
    </row>
    <row r="796" spans="1:2" x14ac:dyDescent="0.25">
      <c r="A796" s="33">
        <v>5212310000</v>
      </c>
      <c r="B796" s="33" t="s">
        <v>20129</v>
      </c>
    </row>
    <row r="797" spans="1:2" x14ac:dyDescent="0.25">
      <c r="A797" s="33">
        <v>5212410000</v>
      </c>
      <c r="B797" s="33" t="s">
        <v>20130</v>
      </c>
    </row>
    <row r="798" spans="1:2" x14ac:dyDescent="0.25">
      <c r="A798" s="33">
        <v>5212510000</v>
      </c>
      <c r="B798" s="33" t="s">
        <v>20131</v>
      </c>
    </row>
    <row r="799" spans="1:2" x14ac:dyDescent="0.25">
      <c r="A799" s="33">
        <v>5212610000</v>
      </c>
      <c r="B799" s="33" t="s">
        <v>20132</v>
      </c>
    </row>
    <row r="800" spans="1:2" x14ac:dyDescent="0.25">
      <c r="A800" s="33">
        <v>5212710000</v>
      </c>
      <c r="B800" s="33" t="s">
        <v>20133</v>
      </c>
    </row>
    <row r="801" spans="1:2" x14ac:dyDescent="0.25">
      <c r="A801" s="33">
        <v>5212810000</v>
      </c>
      <c r="B801" s="33" t="s">
        <v>20134</v>
      </c>
    </row>
    <row r="802" spans="1:2" x14ac:dyDescent="0.25">
      <c r="A802" s="33">
        <v>5213000000</v>
      </c>
      <c r="B802" s="33" t="s">
        <v>20135</v>
      </c>
    </row>
    <row r="803" spans="1:2" x14ac:dyDescent="0.25">
      <c r="A803" s="33">
        <v>5214000000</v>
      </c>
      <c r="B803" s="33" t="s">
        <v>20136</v>
      </c>
    </row>
    <row r="804" spans="1:2" x14ac:dyDescent="0.25">
      <c r="A804" s="33">
        <v>5215010000</v>
      </c>
      <c r="B804" s="33" t="s">
        <v>20137</v>
      </c>
    </row>
    <row r="805" spans="1:2" x14ac:dyDescent="0.25">
      <c r="A805" s="33">
        <v>5216010000</v>
      </c>
      <c r="B805" s="33" t="s">
        <v>20138</v>
      </c>
    </row>
    <row r="806" spans="1:2" x14ac:dyDescent="0.25">
      <c r="A806" s="33">
        <v>5216110000</v>
      </c>
      <c r="B806" s="33" t="s">
        <v>20139</v>
      </c>
    </row>
    <row r="807" spans="1:2" x14ac:dyDescent="0.25">
      <c r="A807" s="33">
        <v>5216210000</v>
      </c>
      <c r="B807" s="33" t="s">
        <v>20140</v>
      </c>
    </row>
    <row r="808" spans="1:2" x14ac:dyDescent="0.25">
      <c r="A808" s="33">
        <v>5216250000</v>
      </c>
      <c r="B808" s="33" t="s">
        <v>20141</v>
      </c>
    </row>
    <row r="809" spans="1:2" x14ac:dyDescent="0.25">
      <c r="A809" s="33">
        <v>5216260000</v>
      </c>
      <c r="B809" s="33" t="s">
        <v>20142</v>
      </c>
    </row>
    <row r="810" spans="1:2" x14ac:dyDescent="0.25">
      <c r="A810" s="33">
        <v>5216270000</v>
      </c>
      <c r="B810" s="33" t="s">
        <v>20143</v>
      </c>
    </row>
    <row r="811" spans="1:2" x14ac:dyDescent="0.25">
      <c r="A811" s="33">
        <v>5216310000</v>
      </c>
      <c r="B811" s="33" t="s">
        <v>20144</v>
      </c>
    </row>
    <row r="812" spans="1:2" x14ac:dyDescent="0.25">
      <c r="A812" s="33">
        <v>5216410000</v>
      </c>
      <c r="B812" s="33" t="s">
        <v>20145</v>
      </c>
    </row>
    <row r="813" spans="1:2" x14ac:dyDescent="0.25">
      <c r="A813" s="33">
        <v>5216510000</v>
      </c>
      <c r="B813" s="33" t="s">
        <v>20146</v>
      </c>
    </row>
    <row r="814" spans="1:2" x14ac:dyDescent="0.25">
      <c r="A814" s="33">
        <v>5216610000</v>
      </c>
      <c r="B814" s="33" t="s">
        <v>20147</v>
      </c>
    </row>
    <row r="815" spans="1:2" x14ac:dyDescent="0.25">
      <c r="A815" s="33">
        <v>5216710000</v>
      </c>
      <c r="B815" s="33" t="s">
        <v>20148</v>
      </c>
    </row>
    <row r="816" spans="1:2" x14ac:dyDescent="0.25">
      <c r="A816" s="33">
        <v>5216810000</v>
      </c>
      <c r="B816" s="33" t="s">
        <v>20149</v>
      </c>
    </row>
    <row r="817" spans="1:2" x14ac:dyDescent="0.25">
      <c r="A817" s="33">
        <v>5216910000</v>
      </c>
      <c r="B817" s="33" t="s">
        <v>20150</v>
      </c>
    </row>
    <row r="818" spans="1:2" x14ac:dyDescent="0.25">
      <c r="A818" s="33">
        <v>5217010000</v>
      </c>
      <c r="B818" s="33" t="s">
        <v>20151</v>
      </c>
    </row>
    <row r="819" spans="1:2" x14ac:dyDescent="0.25">
      <c r="A819" s="33">
        <v>5217110000</v>
      </c>
      <c r="B819" s="33" t="s">
        <v>20152</v>
      </c>
    </row>
    <row r="820" spans="1:2" x14ac:dyDescent="0.25">
      <c r="A820" s="33">
        <v>5217210000</v>
      </c>
      <c r="B820" s="33" t="s">
        <v>20153</v>
      </c>
    </row>
    <row r="821" spans="1:2" x14ac:dyDescent="0.25">
      <c r="A821" s="33">
        <v>5217310000</v>
      </c>
      <c r="B821" s="33" t="s">
        <v>20154</v>
      </c>
    </row>
    <row r="822" spans="1:2" x14ac:dyDescent="0.25">
      <c r="A822" s="33">
        <v>5217410000</v>
      </c>
      <c r="B822" s="33" t="s">
        <v>20155</v>
      </c>
    </row>
    <row r="823" spans="1:2" x14ac:dyDescent="0.25">
      <c r="A823" s="33">
        <v>5219000000</v>
      </c>
      <c r="B823" s="33" t="s">
        <v>20156</v>
      </c>
    </row>
    <row r="824" spans="1:2" x14ac:dyDescent="0.25">
      <c r="A824" s="33">
        <v>5219010000</v>
      </c>
      <c r="B824" s="33" t="s">
        <v>20157</v>
      </c>
    </row>
    <row r="825" spans="1:2" x14ac:dyDescent="0.25">
      <c r="A825" s="33">
        <v>5220110000</v>
      </c>
      <c r="B825" s="33" t="s">
        <v>20158</v>
      </c>
    </row>
    <row r="826" spans="1:2" x14ac:dyDescent="0.25">
      <c r="A826" s="33">
        <v>5221000000</v>
      </c>
      <c r="B826" s="33" t="s">
        <v>20159</v>
      </c>
    </row>
    <row r="827" spans="1:2" x14ac:dyDescent="0.25">
      <c r="A827" s="33">
        <v>5221110000</v>
      </c>
      <c r="B827" s="33" t="s">
        <v>20160</v>
      </c>
    </row>
    <row r="828" spans="1:2" x14ac:dyDescent="0.25">
      <c r="A828" s="33">
        <v>5221210000</v>
      </c>
      <c r="B828" s="33" t="s">
        <v>20161</v>
      </c>
    </row>
    <row r="829" spans="1:2" x14ac:dyDescent="0.25">
      <c r="A829" s="33">
        <v>5221310000</v>
      </c>
      <c r="B829" s="33" t="s">
        <v>20162</v>
      </c>
    </row>
    <row r="830" spans="1:2" x14ac:dyDescent="0.25">
      <c r="A830" s="33">
        <v>5221410000</v>
      </c>
      <c r="B830" s="33" t="s">
        <v>20163</v>
      </c>
    </row>
    <row r="831" spans="1:2" x14ac:dyDescent="0.25">
      <c r="A831" s="33">
        <v>5221510000</v>
      </c>
      <c r="B831" s="33" t="s">
        <v>20164</v>
      </c>
    </row>
    <row r="832" spans="1:2" x14ac:dyDescent="0.25">
      <c r="A832" s="33">
        <v>5221610000</v>
      </c>
      <c r="B832" s="33" t="s">
        <v>20165</v>
      </c>
    </row>
    <row r="833" spans="1:2" x14ac:dyDescent="0.25">
      <c r="A833" s="33">
        <v>5221710000</v>
      </c>
      <c r="B833" s="33" t="s">
        <v>20166</v>
      </c>
    </row>
    <row r="834" spans="1:2" x14ac:dyDescent="0.25">
      <c r="A834" s="33">
        <v>5221810000</v>
      </c>
      <c r="B834" s="33" t="s">
        <v>20167</v>
      </c>
    </row>
    <row r="835" spans="1:2" x14ac:dyDescent="0.25">
      <c r="A835" s="33">
        <v>5221900000</v>
      </c>
      <c r="B835" s="33" t="s">
        <v>20168</v>
      </c>
    </row>
    <row r="836" spans="1:2" x14ac:dyDescent="0.25">
      <c r="A836" s="33">
        <v>5222000000</v>
      </c>
      <c r="B836" s="33" t="s">
        <v>20169</v>
      </c>
    </row>
    <row r="837" spans="1:2" x14ac:dyDescent="0.25">
      <c r="A837" s="33">
        <v>5222200000</v>
      </c>
      <c r="B837" s="33" t="s">
        <v>20170</v>
      </c>
    </row>
    <row r="838" spans="1:2" x14ac:dyDescent="0.25">
      <c r="A838" s="33">
        <v>5222300000</v>
      </c>
      <c r="B838" s="33" t="s">
        <v>20171</v>
      </c>
    </row>
    <row r="839" spans="1:2" x14ac:dyDescent="0.25">
      <c r="A839" s="33">
        <v>5222400000</v>
      </c>
      <c r="B839" s="33" t="s">
        <v>20172</v>
      </c>
    </row>
    <row r="840" spans="1:2" x14ac:dyDescent="0.25">
      <c r="A840" s="33">
        <v>5222410000</v>
      </c>
      <c r="B840" s="33" t="s">
        <v>20173</v>
      </c>
    </row>
    <row r="841" spans="1:2" x14ac:dyDescent="0.25">
      <c r="A841" s="33">
        <v>5222510000</v>
      </c>
      <c r="B841" s="33" t="s">
        <v>20174</v>
      </c>
    </row>
    <row r="842" spans="1:2" x14ac:dyDescent="0.25">
      <c r="A842" s="33">
        <v>5222600000</v>
      </c>
      <c r="B842" s="33" t="s">
        <v>20175</v>
      </c>
    </row>
    <row r="843" spans="1:2" x14ac:dyDescent="0.25">
      <c r="A843" s="33">
        <v>5222710000</v>
      </c>
      <c r="B843" s="33" t="s">
        <v>20176</v>
      </c>
    </row>
    <row r="844" spans="1:2" x14ac:dyDescent="0.25">
      <c r="A844" s="33">
        <v>5222800000</v>
      </c>
      <c r="B844" s="33" t="s">
        <v>20177</v>
      </c>
    </row>
    <row r="845" spans="1:2" x14ac:dyDescent="0.25">
      <c r="A845" s="33">
        <v>5223000000</v>
      </c>
      <c r="B845" s="33" t="s">
        <v>20178</v>
      </c>
    </row>
    <row r="846" spans="1:2" x14ac:dyDescent="0.25">
      <c r="A846" s="33">
        <v>5223110000</v>
      </c>
      <c r="B846" s="33" t="s">
        <v>20179</v>
      </c>
    </row>
    <row r="847" spans="1:2" x14ac:dyDescent="0.25">
      <c r="A847" s="33">
        <v>5223150000</v>
      </c>
      <c r="B847" s="33" t="s">
        <v>20180</v>
      </c>
    </row>
    <row r="848" spans="1:2" x14ac:dyDescent="0.25">
      <c r="A848" s="33">
        <v>5223210000</v>
      </c>
      <c r="B848" s="33" t="s">
        <v>20181</v>
      </c>
    </row>
    <row r="849" spans="1:2" x14ac:dyDescent="0.25">
      <c r="A849" s="33">
        <v>5223310000</v>
      </c>
      <c r="B849" s="33" t="s">
        <v>20182</v>
      </c>
    </row>
    <row r="850" spans="1:2" x14ac:dyDescent="0.25">
      <c r="A850" s="33">
        <v>5223410000</v>
      </c>
      <c r="B850" s="33" t="s">
        <v>20183</v>
      </c>
    </row>
    <row r="851" spans="1:2" x14ac:dyDescent="0.25">
      <c r="A851" s="33">
        <v>5223510000</v>
      </c>
      <c r="B851" s="33" t="s">
        <v>20184</v>
      </c>
    </row>
    <row r="852" spans="1:2" x14ac:dyDescent="0.25">
      <c r="A852" s="33">
        <v>5223610000</v>
      </c>
      <c r="B852" s="33" t="s">
        <v>20185</v>
      </c>
    </row>
    <row r="853" spans="1:2" x14ac:dyDescent="0.25">
      <c r="A853" s="33">
        <v>5224010000</v>
      </c>
      <c r="B853" s="33" t="s">
        <v>20186</v>
      </c>
    </row>
    <row r="854" spans="1:2" x14ac:dyDescent="0.25">
      <c r="A854" s="33">
        <v>5224210000</v>
      </c>
      <c r="B854" s="33" t="s">
        <v>20187</v>
      </c>
    </row>
    <row r="855" spans="1:2" x14ac:dyDescent="0.25">
      <c r="A855" s="33">
        <v>5224310000</v>
      </c>
      <c r="B855" s="33" t="s">
        <v>20188</v>
      </c>
    </row>
    <row r="856" spans="1:2" x14ac:dyDescent="0.25">
      <c r="A856" s="33">
        <v>5224410000</v>
      </c>
      <c r="B856" s="33" t="s">
        <v>20189</v>
      </c>
    </row>
    <row r="857" spans="1:2" x14ac:dyDescent="0.25">
      <c r="A857" s="33">
        <v>5224510000</v>
      </c>
      <c r="B857" s="33" t="s">
        <v>20190</v>
      </c>
    </row>
    <row r="858" spans="1:2" x14ac:dyDescent="0.25">
      <c r="A858" s="33">
        <v>5225010000</v>
      </c>
      <c r="B858" s="33" t="s">
        <v>20191</v>
      </c>
    </row>
    <row r="859" spans="1:2" x14ac:dyDescent="0.25">
      <c r="A859" s="33">
        <v>5225110000</v>
      </c>
      <c r="B859" s="33" t="s">
        <v>20192</v>
      </c>
    </row>
    <row r="860" spans="1:2" x14ac:dyDescent="0.25">
      <c r="A860" s="33">
        <v>5225210000</v>
      </c>
      <c r="B860" s="33" t="s">
        <v>20193</v>
      </c>
    </row>
    <row r="861" spans="1:2" x14ac:dyDescent="0.25">
      <c r="A861" s="33">
        <v>5225310000</v>
      </c>
      <c r="B861" s="33" t="s">
        <v>20194</v>
      </c>
    </row>
    <row r="862" spans="1:2" x14ac:dyDescent="0.25">
      <c r="A862" s="33">
        <v>5225410000</v>
      </c>
      <c r="B862" s="33" t="s">
        <v>20195</v>
      </c>
    </row>
    <row r="863" spans="1:2" x14ac:dyDescent="0.25">
      <c r="A863" s="33">
        <v>5225510000</v>
      </c>
      <c r="B863" s="33" t="s">
        <v>20196</v>
      </c>
    </row>
    <row r="864" spans="1:2" x14ac:dyDescent="0.25">
      <c r="A864" s="33">
        <v>5225610000</v>
      </c>
      <c r="B864" s="33" t="s">
        <v>20197</v>
      </c>
    </row>
    <row r="865" spans="1:2" x14ac:dyDescent="0.25">
      <c r="A865" s="33">
        <v>5225710000</v>
      </c>
      <c r="B865" s="33" t="s">
        <v>20198</v>
      </c>
    </row>
    <row r="866" spans="1:2" x14ac:dyDescent="0.25">
      <c r="A866" s="33">
        <v>5225810000</v>
      </c>
      <c r="B866" s="33" t="s">
        <v>20199</v>
      </c>
    </row>
    <row r="867" spans="1:2" x14ac:dyDescent="0.25">
      <c r="A867" s="33">
        <v>5225910000</v>
      </c>
      <c r="B867" s="33" t="s">
        <v>20200</v>
      </c>
    </row>
    <row r="868" spans="1:2" x14ac:dyDescent="0.25">
      <c r="A868" s="33">
        <v>5226110000</v>
      </c>
      <c r="B868" s="33" t="s">
        <v>20201</v>
      </c>
    </row>
    <row r="869" spans="1:2" x14ac:dyDescent="0.25">
      <c r="A869" s="33">
        <v>5226210000</v>
      </c>
      <c r="B869" s="33" t="s">
        <v>20202</v>
      </c>
    </row>
    <row r="870" spans="1:2" x14ac:dyDescent="0.25">
      <c r="A870" s="33">
        <v>5227010000</v>
      </c>
      <c r="B870" s="33" t="s">
        <v>20203</v>
      </c>
    </row>
    <row r="871" spans="1:2" x14ac:dyDescent="0.25">
      <c r="A871" s="33">
        <v>5228010000</v>
      </c>
      <c r="B871" s="33" t="s">
        <v>20204</v>
      </c>
    </row>
    <row r="872" spans="1:2" x14ac:dyDescent="0.25">
      <c r="A872" s="33">
        <v>5229000000</v>
      </c>
      <c r="B872" s="33" t="s">
        <v>20205</v>
      </c>
    </row>
    <row r="873" spans="1:2" x14ac:dyDescent="0.25">
      <c r="A873" s="33">
        <v>5229010000</v>
      </c>
      <c r="B873" s="33" t="s">
        <v>20206</v>
      </c>
    </row>
    <row r="874" spans="1:2" x14ac:dyDescent="0.25">
      <c r="A874" s="33">
        <v>5230010000</v>
      </c>
      <c r="B874" s="33" t="s">
        <v>20207</v>
      </c>
    </row>
    <row r="875" spans="1:2" x14ac:dyDescent="0.25">
      <c r="A875" s="33">
        <v>5230020000</v>
      </c>
      <c r="B875" s="33" t="s">
        <v>20208</v>
      </c>
    </row>
    <row r="876" spans="1:2" x14ac:dyDescent="0.25">
      <c r="A876" s="33">
        <v>5230110000</v>
      </c>
      <c r="B876" s="33" t="s">
        <v>20209</v>
      </c>
    </row>
    <row r="877" spans="1:2" x14ac:dyDescent="0.25">
      <c r="A877" s="33">
        <v>5230210000</v>
      </c>
      <c r="B877" s="33" t="s">
        <v>20210</v>
      </c>
    </row>
    <row r="878" spans="1:2" x14ac:dyDescent="0.25">
      <c r="A878" s="33">
        <v>5231010000</v>
      </c>
      <c r="B878" s="33" t="s">
        <v>20211</v>
      </c>
    </row>
    <row r="879" spans="1:2" x14ac:dyDescent="0.25">
      <c r="A879" s="33">
        <v>5232010000</v>
      </c>
      <c r="B879" s="33" t="s">
        <v>20212</v>
      </c>
    </row>
    <row r="880" spans="1:2" x14ac:dyDescent="0.25">
      <c r="A880" s="33">
        <v>5300000000</v>
      </c>
      <c r="B880" s="33" t="s">
        <v>20213</v>
      </c>
    </row>
    <row r="881" spans="1:2" x14ac:dyDescent="0.25">
      <c r="A881" s="33">
        <v>5300010000</v>
      </c>
      <c r="B881" s="33" t="s">
        <v>20214</v>
      </c>
    </row>
    <row r="882" spans="1:2" x14ac:dyDescent="0.25">
      <c r="A882" s="33">
        <v>5301000000</v>
      </c>
      <c r="B882" s="33" t="s">
        <v>20215</v>
      </c>
    </row>
    <row r="883" spans="1:2" x14ac:dyDescent="0.25">
      <c r="A883" s="33">
        <v>5309000000</v>
      </c>
      <c r="B883" s="33" t="s">
        <v>20216</v>
      </c>
    </row>
    <row r="884" spans="1:2" x14ac:dyDescent="0.25">
      <c r="A884" s="33">
        <v>5310000000</v>
      </c>
      <c r="B884" s="33" t="s">
        <v>20217</v>
      </c>
    </row>
    <row r="885" spans="1:2" x14ac:dyDescent="0.25">
      <c r="A885" s="33">
        <v>5310010000</v>
      </c>
      <c r="B885" s="33" t="s">
        <v>20218</v>
      </c>
    </row>
    <row r="886" spans="1:2" x14ac:dyDescent="0.25">
      <c r="A886" s="33">
        <v>5312000000</v>
      </c>
      <c r="B886" s="33" t="s">
        <v>20219</v>
      </c>
    </row>
    <row r="887" spans="1:2" x14ac:dyDescent="0.25">
      <c r="A887" s="33">
        <v>5312010000</v>
      </c>
      <c r="B887" s="33" t="s">
        <v>20220</v>
      </c>
    </row>
    <row r="888" spans="1:2" x14ac:dyDescent="0.25">
      <c r="A888" s="33">
        <v>5320000000</v>
      </c>
      <c r="B888" s="33" t="s">
        <v>20221</v>
      </c>
    </row>
    <row r="889" spans="1:2" x14ac:dyDescent="0.25">
      <c r="A889" s="33">
        <v>5320010000</v>
      </c>
      <c r="B889" s="33" t="s">
        <v>20222</v>
      </c>
    </row>
    <row r="890" spans="1:2" x14ac:dyDescent="0.25">
      <c r="A890" s="33">
        <v>5321000000</v>
      </c>
      <c r="B890" s="33" t="s">
        <v>20223</v>
      </c>
    </row>
    <row r="891" spans="1:2" x14ac:dyDescent="0.25">
      <c r="A891" s="33">
        <v>5322000000</v>
      </c>
      <c r="B891" s="33" t="s">
        <v>20224</v>
      </c>
    </row>
    <row r="892" spans="1:2" x14ac:dyDescent="0.25">
      <c r="A892" s="33">
        <v>5322010000</v>
      </c>
      <c r="B892" s="33" t="s">
        <v>20225</v>
      </c>
    </row>
    <row r="893" spans="1:2" x14ac:dyDescent="0.25">
      <c r="A893" s="33">
        <v>5330000000</v>
      </c>
      <c r="B893" s="33" t="s">
        <v>20226</v>
      </c>
    </row>
    <row r="894" spans="1:2" x14ac:dyDescent="0.25">
      <c r="A894" s="33">
        <v>5330010000</v>
      </c>
      <c r="B894" s="33" t="s">
        <v>20227</v>
      </c>
    </row>
    <row r="895" spans="1:2" x14ac:dyDescent="0.25">
      <c r="A895" s="33">
        <v>5331000000</v>
      </c>
      <c r="B895" s="33" t="s">
        <v>20228</v>
      </c>
    </row>
    <row r="896" spans="1:2" x14ac:dyDescent="0.25">
      <c r="A896" s="33">
        <v>5334010000</v>
      </c>
      <c r="B896" s="33" t="s">
        <v>20229</v>
      </c>
    </row>
    <row r="897" spans="1:2" x14ac:dyDescent="0.25">
      <c r="A897" s="33">
        <v>5337510000</v>
      </c>
      <c r="B897" s="33" t="s">
        <v>20230</v>
      </c>
    </row>
    <row r="898" spans="1:2" x14ac:dyDescent="0.25">
      <c r="A898" s="33">
        <v>5339000000</v>
      </c>
      <c r="B898" s="33" t="s">
        <v>20231</v>
      </c>
    </row>
    <row r="899" spans="1:2" x14ac:dyDescent="0.25">
      <c r="A899" s="33">
        <v>5341000000</v>
      </c>
      <c r="B899" s="33" t="s">
        <v>20232</v>
      </c>
    </row>
    <row r="900" spans="1:2" x14ac:dyDescent="0.25">
      <c r="A900" s="33">
        <v>5342000000</v>
      </c>
      <c r="B900" s="33" t="s">
        <v>20233</v>
      </c>
    </row>
    <row r="901" spans="1:2" x14ac:dyDescent="0.25">
      <c r="A901" s="33">
        <v>5342010000</v>
      </c>
      <c r="B901" s="33" t="s">
        <v>20234</v>
      </c>
    </row>
    <row r="902" spans="1:2" x14ac:dyDescent="0.25">
      <c r="A902" s="33">
        <v>5350000000</v>
      </c>
      <c r="B902" s="33" t="s">
        <v>20235</v>
      </c>
    </row>
    <row r="903" spans="1:2" x14ac:dyDescent="0.25">
      <c r="A903" s="33">
        <v>5350010000</v>
      </c>
      <c r="B903" s="33" t="s">
        <v>20236</v>
      </c>
    </row>
    <row r="904" spans="1:2" x14ac:dyDescent="0.25">
      <c r="A904" s="33">
        <v>5351000000</v>
      </c>
      <c r="B904" s="33" t="s">
        <v>20237</v>
      </c>
    </row>
    <row r="905" spans="1:2" x14ac:dyDescent="0.25">
      <c r="A905" s="33">
        <v>5351010000</v>
      </c>
      <c r="B905" s="33" t="s">
        <v>20238</v>
      </c>
    </row>
    <row r="906" spans="1:2" x14ac:dyDescent="0.25">
      <c r="A906" s="33">
        <v>5352000000</v>
      </c>
      <c r="B906" s="33" t="s">
        <v>20239</v>
      </c>
    </row>
    <row r="907" spans="1:2" x14ac:dyDescent="0.25">
      <c r="A907" s="33">
        <v>5352010000</v>
      </c>
      <c r="B907" s="33" t="s">
        <v>20240</v>
      </c>
    </row>
    <row r="908" spans="1:2" x14ac:dyDescent="0.25">
      <c r="A908" s="33">
        <v>5353000000</v>
      </c>
      <c r="B908" s="33" t="s">
        <v>20241</v>
      </c>
    </row>
    <row r="909" spans="1:2" x14ac:dyDescent="0.25">
      <c r="A909" s="33">
        <v>5353010000</v>
      </c>
      <c r="B909" s="33" t="s">
        <v>20242</v>
      </c>
    </row>
    <row r="910" spans="1:2" x14ac:dyDescent="0.25">
      <c r="A910" s="33">
        <v>5354000000</v>
      </c>
      <c r="B910" s="33" t="s">
        <v>20243</v>
      </c>
    </row>
    <row r="911" spans="1:2" x14ac:dyDescent="0.25">
      <c r="A911" s="33">
        <v>5354010000</v>
      </c>
      <c r="B911" s="33" t="s">
        <v>20244</v>
      </c>
    </row>
    <row r="912" spans="1:2" x14ac:dyDescent="0.25">
      <c r="A912" s="33">
        <v>5355000000</v>
      </c>
      <c r="B912" s="33" t="s">
        <v>20245</v>
      </c>
    </row>
    <row r="913" spans="1:2" x14ac:dyDescent="0.25">
      <c r="A913" s="33">
        <v>5355100000</v>
      </c>
      <c r="B913" s="33" t="s">
        <v>20246</v>
      </c>
    </row>
    <row r="914" spans="1:2" x14ac:dyDescent="0.25">
      <c r="A914" s="33">
        <v>5359000000</v>
      </c>
      <c r="B914" s="33" t="s">
        <v>20247</v>
      </c>
    </row>
    <row r="915" spans="1:2" x14ac:dyDescent="0.25">
      <c r="A915" s="33">
        <v>5391200000</v>
      </c>
      <c r="B915" s="33" t="s">
        <v>20248</v>
      </c>
    </row>
    <row r="916" spans="1:2" x14ac:dyDescent="0.25">
      <c r="A916" s="33">
        <v>5391200001</v>
      </c>
      <c r="B916" s="33" t="s">
        <v>20249</v>
      </c>
    </row>
    <row r="917" spans="1:2" x14ac:dyDescent="0.25">
      <c r="A917" s="33">
        <v>5391600000</v>
      </c>
      <c r="B917" s="33" t="s">
        <v>20250</v>
      </c>
    </row>
    <row r="918" spans="1:2" x14ac:dyDescent="0.25">
      <c r="A918" s="33">
        <v>5392000000</v>
      </c>
      <c r="B918" s="33" t="s">
        <v>20251</v>
      </c>
    </row>
    <row r="919" spans="1:2" x14ac:dyDescent="0.25">
      <c r="A919" s="33">
        <v>5399000000</v>
      </c>
      <c r="B919" s="33" t="s">
        <v>20252</v>
      </c>
    </row>
    <row r="920" spans="1:2" x14ac:dyDescent="0.25">
      <c r="A920" s="33">
        <v>5399000001</v>
      </c>
      <c r="B920" s="33" t="s">
        <v>20253</v>
      </c>
    </row>
    <row r="921" spans="1:2" x14ac:dyDescent="0.25">
      <c r="A921" s="33">
        <v>5399010000</v>
      </c>
      <c r="B921" s="33" t="s">
        <v>20254</v>
      </c>
    </row>
    <row r="922" spans="1:2" x14ac:dyDescent="0.25">
      <c r="A922" s="33">
        <v>5400000000</v>
      </c>
      <c r="B922" s="33" t="s">
        <v>20255</v>
      </c>
    </row>
    <row r="923" spans="1:2" x14ac:dyDescent="0.25">
      <c r="A923" s="33">
        <v>5400210000</v>
      </c>
      <c r="B923" s="33" t="s">
        <v>20256</v>
      </c>
    </row>
    <row r="924" spans="1:2" x14ac:dyDescent="0.25">
      <c r="A924" s="33">
        <v>5401000000</v>
      </c>
      <c r="B924" s="33" t="s">
        <v>20257</v>
      </c>
    </row>
    <row r="925" spans="1:2" x14ac:dyDescent="0.25">
      <c r="A925" s="33">
        <v>5401000001</v>
      </c>
      <c r="B925" s="33" t="s">
        <v>20258</v>
      </c>
    </row>
    <row r="926" spans="1:2" x14ac:dyDescent="0.25">
      <c r="A926" s="33">
        <v>5401000002</v>
      </c>
      <c r="B926" s="33" t="s">
        <v>20259</v>
      </c>
    </row>
    <row r="927" spans="1:2" x14ac:dyDescent="0.25">
      <c r="A927" s="33">
        <v>5401000003</v>
      </c>
      <c r="B927" s="33">
        <v>0</v>
      </c>
    </row>
    <row r="928" spans="1:2" x14ac:dyDescent="0.25">
      <c r="A928" s="33">
        <v>5401000004</v>
      </c>
      <c r="B928" s="33" t="s">
        <v>20260</v>
      </c>
    </row>
    <row r="929" spans="1:2" x14ac:dyDescent="0.25">
      <c r="A929" s="33">
        <v>5402000000</v>
      </c>
      <c r="B929" s="33" t="s">
        <v>20261</v>
      </c>
    </row>
    <row r="930" spans="1:2" x14ac:dyDescent="0.25">
      <c r="A930" s="33">
        <v>5403000000</v>
      </c>
      <c r="B930" s="33" t="s">
        <v>19539</v>
      </c>
    </row>
    <row r="931" spans="1:2" x14ac:dyDescent="0.25">
      <c r="A931" s="33">
        <v>5404000000</v>
      </c>
      <c r="B931" s="33" t="s">
        <v>19539</v>
      </c>
    </row>
    <row r="932" spans="1:2" x14ac:dyDescent="0.25">
      <c r="A932" s="33">
        <v>5405000000</v>
      </c>
      <c r="B932" s="33" t="s">
        <v>19539</v>
      </c>
    </row>
    <row r="933" spans="1:2" x14ac:dyDescent="0.25">
      <c r="A933" s="33">
        <v>5407000000</v>
      </c>
      <c r="B933" s="33" t="s">
        <v>19539</v>
      </c>
    </row>
    <row r="934" spans="1:2" x14ac:dyDescent="0.25">
      <c r="A934" s="33">
        <v>5409000000</v>
      </c>
      <c r="B934" s="33" t="s">
        <v>20262</v>
      </c>
    </row>
    <row r="935" spans="1:2" x14ac:dyDescent="0.25">
      <c r="A935" s="33">
        <v>5410000000</v>
      </c>
      <c r="B935" s="33" t="s">
        <v>20263</v>
      </c>
    </row>
    <row r="936" spans="1:2" x14ac:dyDescent="0.25">
      <c r="A936" s="33">
        <v>5410010000</v>
      </c>
      <c r="B936" s="33" t="s">
        <v>20264</v>
      </c>
    </row>
    <row r="937" spans="1:2" x14ac:dyDescent="0.25">
      <c r="A937" s="33">
        <v>5410020000</v>
      </c>
      <c r="B937" s="33" t="s">
        <v>19539</v>
      </c>
    </row>
    <row r="938" spans="1:2" x14ac:dyDescent="0.25">
      <c r="A938" s="33">
        <v>5410040000</v>
      </c>
      <c r="B938" s="33" t="s">
        <v>20265</v>
      </c>
    </row>
    <row r="939" spans="1:2" x14ac:dyDescent="0.25">
      <c r="A939" s="33">
        <v>5410050000</v>
      </c>
      <c r="B939" s="33" t="s">
        <v>20266</v>
      </c>
    </row>
    <row r="940" spans="1:2" x14ac:dyDescent="0.25">
      <c r="A940" s="33">
        <v>5410060000</v>
      </c>
      <c r="B940" s="33" t="s">
        <v>19539</v>
      </c>
    </row>
    <row r="941" spans="1:2" x14ac:dyDescent="0.25">
      <c r="A941" s="33">
        <v>5410070000</v>
      </c>
      <c r="B941" s="33" t="s">
        <v>20267</v>
      </c>
    </row>
    <row r="942" spans="1:2" x14ac:dyDescent="0.25">
      <c r="A942" s="33">
        <v>5410090000</v>
      </c>
      <c r="B942" s="33" t="s">
        <v>20268</v>
      </c>
    </row>
    <row r="943" spans="1:2" x14ac:dyDescent="0.25">
      <c r="A943" s="33">
        <v>5410110000</v>
      </c>
      <c r="B943" s="33" t="s">
        <v>20269</v>
      </c>
    </row>
    <row r="944" spans="1:2" x14ac:dyDescent="0.25">
      <c r="A944" s="33">
        <v>5411000000</v>
      </c>
      <c r="B944" s="33" t="s">
        <v>20270</v>
      </c>
    </row>
    <row r="945" spans="1:2" x14ac:dyDescent="0.25">
      <c r="A945" s="33">
        <v>5411010000</v>
      </c>
      <c r="B945" s="33" t="s">
        <v>20271</v>
      </c>
    </row>
    <row r="946" spans="1:2" x14ac:dyDescent="0.25">
      <c r="A946" s="33">
        <v>5412000000</v>
      </c>
      <c r="B946" s="33" t="s">
        <v>20272</v>
      </c>
    </row>
    <row r="947" spans="1:2" x14ac:dyDescent="0.25">
      <c r="A947" s="33">
        <v>5412010000</v>
      </c>
      <c r="B947" s="33" t="s">
        <v>20273</v>
      </c>
    </row>
    <row r="948" spans="1:2" x14ac:dyDescent="0.25">
      <c r="A948" s="33">
        <v>5413000000</v>
      </c>
      <c r="B948" s="33" t="s">
        <v>20274</v>
      </c>
    </row>
    <row r="949" spans="1:2" x14ac:dyDescent="0.25">
      <c r="A949" s="33">
        <v>5413010000</v>
      </c>
      <c r="B949" s="33" t="s">
        <v>19539</v>
      </c>
    </row>
    <row r="950" spans="1:2" x14ac:dyDescent="0.25">
      <c r="A950" s="33">
        <v>5413020000</v>
      </c>
      <c r="B950" s="33" t="s">
        <v>20275</v>
      </c>
    </row>
    <row r="951" spans="1:2" x14ac:dyDescent="0.25">
      <c r="A951" s="33">
        <v>5414000000</v>
      </c>
      <c r="B951" s="33" t="s">
        <v>20276</v>
      </c>
    </row>
    <row r="952" spans="1:2" x14ac:dyDescent="0.25">
      <c r="A952" s="33">
        <v>5414010000</v>
      </c>
      <c r="B952" s="33" t="s">
        <v>20277</v>
      </c>
    </row>
    <row r="953" spans="1:2" x14ac:dyDescent="0.25">
      <c r="A953" s="33">
        <v>5414020000</v>
      </c>
      <c r="B953" s="33" t="s">
        <v>20278</v>
      </c>
    </row>
    <row r="954" spans="1:2" x14ac:dyDescent="0.25">
      <c r="A954" s="33">
        <v>5415000000</v>
      </c>
      <c r="B954" s="33" t="s">
        <v>19539</v>
      </c>
    </row>
    <row r="955" spans="1:2" x14ac:dyDescent="0.25">
      <c r="A955" s="33">
        <v>5419000000</v>
      </c>
      <c r="B955" s="33" t="s">
        <v>20279</v>
      </c>
    </row>
    <row r="956" spans="1:2" x14ac:dyDescent="0.25">
      <c r="A956" s="33">
        <v>5419000001</v>
      </c>
      <c r="B956" s="33" t="s">
        <v>20280</v>
      </c>
    </row>
    <row r="957" spans="1:2" x14ac:dyDescent="0.25">
      <c r="A957" s="33">
        <v>5421000000</v>
      </c>
      <c r="B957" s="33" t="s">
        <v>20281</v>
      </c>
    </row>
    <row r="958" spans="1:2" x14ac:dyDescent="0.25">
      <c r="A958" s="33">
        <v>5422000000</v>
      </c>
      <c r="B958" s="33" t="s">
        <v>20282</v>
      </c>
    </row>
    <row r="959" spans="1:2" x14ac:dyDescent="0.25">
      <c r="A959" s="33">
        <v>5422500000</v>
      </c>
      <c r="B959" s="33" t="s">
        <v>20283</v>
      </c>
    </row>
    <row r="960" spans="1:2" x14ac:dyDescent="0.25">
      <c r="A960" s="33">
        <v>5423000000</v>
      </c>
      <c r="B960" s="33" t="s">
        <v>20284</v>
      </c>
    </row>
    <row r="961" spans="1:2" x14ac:dyDescent="0.25">
      <c r="A961" s="33">
        <v>5423500000</v>
      </c>
      <c r="B961" s="33" t="s">
        <v>20285</v>
      </c>
    </row>
    <row r="962" spans="1:2" x14ac:dyDescent="0.25">
      <c r="A962" s="33">
        <v>5424000000</v>
      </c>
      <c r="B962" s="33" t="s">
        <v>20286</v>
      </c>
    </row>
    <row r="963" spans="1:2" x14ac:dyDescent="0.25">
      <c r="A963" s="33">
        <v>5425000000</v>
      </c>
      <c r="B963" s="33" t="s">
        <v>20287</v>
      </c>
    </row>
    <row r="964" spans="1:2" x14ac:dyDescent="0.25">
      <c r="A964" s="33">
        <v>5429000000</v>
      </c>
      <c r="B964" s="33" t="s">
        <v>20288</v>
      </c>
    </row>
    <row r="965" spans="1:2" x14ac:dyDescent="0.25">
      <c r="A965" s="33">
        <v>5431000000</v>
      </c>
      <c r="B965" s="33" t="s">
        <v>20289</v>
      </c>
    </row>
    <row r="966" spans="1:2" x14ac:dyDescent="0.25">
      <c r="A966" s="33">
        <v>5432000000</v>
      </c>
      <c r="B966" s="33" t="s">
        <v>20290</v>
      </c>
    </row>
    <row r="967" spans="1:2" x14ac:dyDescent="0.25">
      <c r="A967" s="33">
        <v>5440000000</v>
      </c>
      <c r="B967" s="33" t="s">
        <v>20291</v>
      </c>
    </row>
    <row r="968" spans="1:2" x14ac:dyDescent="0.25">
      <c r="A968" s="33">
        <v>5442000000</v>
      </c>
      <c r="B968" s="33" t="s">
        <v>20292</v>
      </c>
    </row>
    <row r="969" spans="1:2" x14ac:dyDescent="0.25">
      <c r="A969" s="33">
        <v>5443000000</v>
      </c>
      <c r="B969" s="33" t="s">
        <v>20293</v>
      </c>
    </row>
    <row r="970" spans="1:2" x14ac:dyDescent="0.25">
      <c r="A970" s="33">
        <v>5443007777</v>
      </c>
      <c r="B970" s="33" t="s">
        <v>20294</v>
      </c>
    </row>
    <row r="971" spans="1:2" x14ac:dyDescent="0.25">
      <c r="A971" s="33">
        <v>5443100000</v>
      </c>
      <c r="B971" s="33" t="s">
        <v>20295</v>
      </c>
    </row>
    <row r="972" spans="1:2" x14ac:dyDescent="0.25">
      <c r="A972" s="33">
        <v>5444000000</v>
      </c>
      <c r="B972" s="33" t="s">
        <v>20296</v>
      </c>
    </row>
    <row r="973" spans="1:2" x14ac:dyDescent="0.25">
      <c r="A973" s="33">
        <v>5445000000</v>
      </c>
      <c r="B973" s="33" t="s">
        <v>20297</v>
      </c>
    </row>
    <row r="974" spans="1:2" x14ac:dyDescent="0.25">
      <c r="A974" s="33">
        <v>5450000000</v>
      </c>
      <c r="B974" s="33" t="s">
        <v>20298</v>
      </c>
    </row>
    <row r="975" spans="1:2" x14ac:dyDescent="0.25">
      <c r="A975" s="33">
        <v>5451000000</v>
      </c>
      <c r="B975" s="33" t="s">
        <v>19539</v>
      </c>
    </row>
    <row r="976" spans="1:2" x14ac:dyDescent="0.25">
      <c r="A976" s="33">
        <v>5452000000</v>
      </c>
      <c r="B976" s="33" t="s">
        <v>19539</v>
      </c>
    </row>
    <row r="977" spans="1:2" x14ac:dyDescent="0.25">
      <c r="A977" s="33">
        <v>5452010000</v>
      </c>
      <c r="B977" s="33" t="s">
        <v>20299</v>
      </c>
    </row>
    <row r="978" spans="1:2" x14ac:dyDescent="0.25">
      <c r="A978" s="33">
        <v>5453000000</v>
      </c>
      <c r="B978" s="33" t="s">
        <v>20300</v>
      </c>
    </row>
    <row r="979" spans="1:2" x14ac:dyDescent="0.25">
      <c r="A979" s="33">
        <v>5459000000</v>
      </c>
      <c r="B979" s="33" t="s">
        <v>20301</v>
      </c>
    </row>
    <row r="980" spans="1:2" x14ac:dyDescent="0.25">
      <c r="A980" s="33">
        <v>5460000000</v>
      </c>
      <c r="B980" s="33" t="s">
        <v>20302</v>
      </c>
    </row>
    <row r="981" spans="1:2" x14ac:dyDescent="0.25">
      <c r="A981" s="33">
        <v>5461000000</v>
      </c>
      <c r="B981" s="33" t="s">
        <v>20303</v>
      </c>
    </row>
    <row r="982" spans="1:2" x14ac:dyDescent="0.25">
      <c r="A982" s="33">
        <v>5462000000</v>
      </c>
      <c r="B982" s="33" t="s">
        <v>19539</v>
      </c>
    </row>
    <row r="983" spans="1:2" x14ac:dyDescent="0.25">
      <c r="A983" s="33">
        <v>5463000000</v>
      </c>
      <c r="B983" s="33" t="s">
        <v>19539</v>
      </c>
    </row>
    <row r="984" spans="1:2" x14ac:dyDescent="0.25">
      <c r="A984" s="33">
        <v>5469000000</v>
      </c>
      <c r="B984" s="33" t="s">
        <v>19539</v>
      </c>
    </row>
    <row r="985" spans="1:2" x14ac:dyDescent="0.25">
      <c r="A985" s="33">
        <v>5470000000</v>
      </c>
      <c r="B985" s="33" t="s">
        <v>20304</v>
      </c>
    </row>
    <row r="986" spans="1:2" x14ac:dyDescent="0.25">
      <c r="A986" s="33">
        <v>5471000000</v>
      </c>
      <c r="B986" s="33" t="s">
        <v>20305</v>
      </c>
    </row>
    <row r="987" spans="1:2" x14ac:dyDescent="0.25">
      <c r="A987" s="33">
        <v>5472000000</v>
      </c>
      <c r="B987" s="33" t="s">
        <v>20306</v>
      </c>
    </row>
    <row r="988" spans="1:2" x14ac:dyDescent="0.25">
      <c r="A988" s="33">
        <v>5479000000</v>
      </c>
      <c r="B988" s="33" t="s">
        <v>20307</v>
      </c>
    </row>
    <row r="989" spans="1:2" x14ac:dyDescent="0.25">
      <c r="A989" s="33">
        <v>5483000000</v>
      </c>
      <c r="B989" s="33" t="s">
        <v>20308</v>
      </c>
    </row>
    <row r="990" spans="1:2" x14ac:dyDescent="0.25">
      <c r="A990" s="33">
        <v>5484000000</v>
      </c>
      <c r="B990" s="33" t="s">
        <v>20309</v>
      </c>
    </row>
    <row r="991" spans="1:2" x14ac:dyDescent="0.25">
      <c r="A991" s="33">
        <v>5484710000</v>
      </c>
      <c r="B991" s="33" t="s">
        <v>20310</v>
      </c>
    </row>
    <row r="992" spans="1:2" x14ac:dyDescent="0.25">
      <c r="A992" s="33">
        <v>5484907777</v>
      </c>
      <c r="B992" s="33" t="s">
        <v>20311</v>
      </c>
    </row>
    <row r="993" spans="1:2" x14ac:dyDescent="0.25">
      <c r="A993" s="33">
        <v>5484910000</v>
      </c>
      <c r="B993" s="33" t="s">
        <v>20312</v>
      </c>
    </row>
    <row r="994" spans="1:2" x14ac:dyDescent="0.25">
      <c r="A994" s="33">
        <v>5485000000</v>
      </c>
      <c r="B994" s="33" t="s">
        <v>19422</v>
      </c>
    </row>
    <row r="995" spans="1:2" x14ac:dyDescent="0.25">
      <c r="A995" s="33">
        <v>5486000000</v>
      </c>
      <c r="B995" s="33" t="s">
        <v>20313</v>
      </c>
    </row>
    <row r="996" spans="1:2" x14ac:dyDescent="0.25">
      <c r="A996" s="33">
        <v>5486000001</v>
      </c>
      <c r="B996" s="33" t="s">
        <v>20314</v>
      </c>
    </row>
    <row r="997" spans="1:2" x14ac:dyDescent="0.25">
      <c r="A997" s="33">
        <v>5487000000</v>
      </c>
      <c r="B997" s="33" t="s">
        <v>20315</v>
      </c>
    </row>
    <row r="998" spans="1:2" x14ac:dyDescent="0.25">
      <c r="A998" s="33">
        <v>5487100000</v>
      </c>
      <c r="B998" s="33" t="s">
        <v>20316</v>
      </c>
    </row>
    <row r="999" spans="1:2" x14ac:dyDescent="0.25">
      <c r="A999" s="33">
        <v>5488000000</v>
      </c>
      <c r="B999" s="33" t="s">
        <v>20317</v>
      </c>
    </row>
    <row r="1000" spans="1:2" x14ac:dyDescent="0.25">
      <c r="A1000" s="33">
        <v>5488000100</v>
      </c>
      <c r="B1000" s="33" t="s">
        <v>20318</v>
      </c>
    </row>
    <row r="1001" spans="1:2" x14ac:dyDescent="0.25">
      <c r="A1001" s="33">
        <v>5488000200</v>
      </c>
      <c r="B1001" s="33" t="s">
        <v>20319</v>
      </c>
    </row>
    <row r="1002" spans="1:2" x14ac:dyDescent="0.25">
      <c r="A1002" s="33">
        <v>5488000300</v>
      </c>
      <c r="B1002" s="33" t="s">
        <v>20320</v>
      </c>
    </row>
    <row r="1003" spans="1:2" x14ac:dyDescent="0.25">
      <c r="A1003" s="33">
        <v>5488000400</v>
      </c>
      <c r="B1003" s="33" t="s">
        <v>20321</v>
      </c>
    </row>
    <row r="1004" spans="1:2" x14ac:dyDescent="0.25">
      <c r="A1004" s="33">
        <v>5488100000</v>
      </c>
      <c r="B1004" s="33" t="s">
        <v>20322</v>
      </c>
    </row>
    <row r="1005" spans="1:2" x14ac:dyDescent="0.25">
      <c r="A1005" s="33">
        <v>5488200000</v>
      </c>
      <c r="B1005" s="33" t="s">
        <v>20323</v>
      </c>
    </row>
    <row r="1006" spans="1:2" x14ac:dyDescent="0.25">
      <c r="A1006" s="33">
        <v>5489000000</v>
      </c>
      <c r="B1006" s="33" t="s">
        <v>20324</v>
      </c>
    </row>
    <row r="1007" spans="1:2" x14ac:dyDescent="0.25">
      <c r="A1007" s="33">
        <v>5489100000</v>
      </c>
      <c r="B1007" s="33" t="s">
        <v>20325</v>
      </c>
    </row>
    <row r="1008" spans="1:2" x14ac:dyDescent="0.25">
      <c r="A1008" s="33">
        <v>5491810000</v>
      </c>
      <c r="B1008" s="33" t="s">
        <v>20326</v>
      </c>
    </row>
    <row r="1009" spans="1:2" x14ac:dyDescent="0.25">
      <c r="A1009" s="33">
        <v>5494116000</v>
      </c>
      <c r="B1009" s="33" t="s">
        <v>20327</v>
      </c>
    </row>
    <row r="1010" spans="1:2" x14ac:dyDescent="0.25">
      <c r="A1010" s="33">
        <v>5494510000</v>
      </c>
      <c r="B1010" s="33" t="s">
        <v>20328</v>
      </c>
    </row>
    <row r="1011" spans="1:2" x14ac:dyDescent="0.25">
      <c r="A1011" s="33">
        <v>5494610000</v>
      </c>
      <c r="B1011" s="33" t="s">
        <v>20329</v>
      </c>
    </row>
    <row r="1012" spans="1:2" x14ac:dyDescent="0.25">
      <c r="A1012" s="33">
        <v>5494710000</v>
      </c>
      <c r="B1012" s="33" t="s">
        <v>20330</v>
      </c>
    </row>
    <row r="1013" spans="1:2" x14ac:dyDescent="0.25">
      <c r="A1013" s="33">
        <v>5494810000</v>
      </c>
      <c r="B1013" s="33" t="s">
        <v>20331</v>
      </c>
    </row>
    <row r="1014" spans="1:2" x14ac:dyDescent="0.25">
      <c r="A1014" s="33">
        <v>5500000000</v>
      </c>
      <c r="B1014" s="33" t="s">
        <v>20332</v>
      </c>
    </row>
    <row r="1015" spans="1:2" x14ac:dyDescent="0.25">
      <c r="A1015" s="33">
        <v>5510200000</v>
      </c>
      <c r="B1015" s="33" t="s">
        <v>20333</v>
      </c>
    </row>
    <row r="1016" spans="1:2" x14ac:dyDescent="0.25">
      <c r="A1016" s="33">
        <v>5510600000</v>
      </c>
      <c r="B1016" s="33" t="s">
        <v>20334</v>
      </c>
    </row>
    <row r="1017" spans="1:2" x14ac:dyDescent="0.25">
      <c r="A1017" s="33">
        <v>5511000000</v>
      </c>
      <c r="B1017" s="33" t="s">
        <v>20335</v>
      </c>
    </row>
    <row r="1018" spans="1:2" x14ac:dyDescent="0.25">
      <c r="A1018" s="33">
        <v>5511200000</v>
      </c>
      <c r="B1018" s="33" t="s">
        <v>20336</v>
      </c>
    </row>
    <row r="1019" spans="1:2" x14ac:dyDescent="0.25">
      <c r="A1019" s="33">
        <v>5511800000</v>
      </c>
      <c r="B1019" s="33" t="s">
        <v>20337</v>
      </c>
    </row>
    <row r="1020" spans="1:2" x14ac:dyDescent="0.25">
      <c r="A1020" s="33">
        <v>5511900000</v>
      </c>
      <c r="B1020" s="33" t="s">
        <v>20338</v>
      </c>
    </row>
    <row r="1021" spans="1:2" x14ac:dyDescent="0.25">
      <c r="A1021" s="33">
        <v>5512210000</v>
      </c>
      <c r="B1021" s="33" t="s">
        <v>20339</v>
      </c>
    </row>
    <row r="1022" spans="1:2" x14ac:dyDescent="0.25">
      <c r="A1022" s="33">
        <v>5512410000</v>
      </c>
      <c r="B1022" s="33" t="s">
        <v>20340</v>
      </c>
    </row>
    <row r="1023" spans="1:2" x14ac:dyDescent="0.25">
      <c r="A1023" s="33">
        <v>5512416000</v>
      </c>
      <c r="B1023" s="33" t="s">
        <v>20341</v>
      </c>
    </row>
    <row r="1024" spans="1:2" x14ac:dyDescent="0.25">
      <c r="A1024" s="33">
        <v>5512600000</v>
      </c>
      <c r="B1024" s="33" t="s">
        <v>20342</v>
      </c>
    </row>
    <row r="1025" spans="1:2" x14ac:dyDescent="0.25">
      <c r="A1025" s="33">
        <v>5512800000</v>
      </c>
      <c r="B1025" s="33" t="s">
        <v>20343</v>
      </c>
    </row>
    <row r="1026" spans="1:2" x14ac:dyDescent="0.25">
      <c r="A1026" s="33">
        <v>5513010000</v>
      </c>
      <c r="B1026" s="33" t="s">
        <v>20344</v>
      </c>
    </row>
    <row r="1027" spans="1:2" x14ac:dyDescent="0.25">
      <c r="A1027" s="33">
        <v>5513110000</v>
      </c>
      <c r="B1027" s="33" t="s">
        <v>20345</v>
      </c>
    </row>
    <row r="1028" spans="1:2" x14ac:dyDescent="0.25">
      <c r="A1028" s="33">
        <v>5513210000</v>
      </c>
      <c r="B1028" s="33" t="s">
        <v>20346</v>
      </c>
    </row>
    <row r="1029" spans="1:2" x14ac:dyDescent="0.25">
      <c r="A1029" s="33">
        <v>5513310000</v>
      </c>
      <c r="B1029" s="33" t="s">
        <v>20347</v>
      </c>
    </row>
    <row r="1030" spans="1:2" x14ac:dyDescent="0.25">
      <c r="A1030" s="33">
        <v>5513410000</v>
      </c>
      <c r="B1030" s="33" t="s">
        <v>20348</v>
      </c>
    </row>
    <row r="1031" spans="1:2" x14ac:dyDescent="0.25">
      <c r="A1031" s="33">
        <v>5513510000</v>
      </c>
      <c r="B1031" s="33" t="s">
        <v>20349</v>
      </c>
    </row>
    <row r="1032" spans="1:2" x14ac:dyDescent="0.25">
      <c r="A1032" s="33">
        <v>5513610000</v>
      </c>
      <c r="B1032" s="33" t="s">
        <v>20350</v>
      </c>
    </row>
    <row r="1033" spans="1:2" x14ac:dyDescent="0.25">
      <c r="A1033" s="33">
        <v>5513710000</v>
      </c>
      <c r="B1033" s="33" t="s">
        <v>20351</v>
      </c>
    </row>
    <row r="1034" spans="1:2" x14ac:dyDescent="0.25">
      <c r="A1034" s="33">
        <v>5514010000</v>
      </c>
      <c r="B1034" s="33" t="s">
        <v>20352</v>
      </c>
    </row>
    <row r="1035" spans="1:2" x14ac:dyDescent="0.25">
      <c r="A1035" s="33">
        <v>5514110000</v>
      </c>
      <c r="B1035" s="33" t="s">
        <v>20353</v>
      </c>
    </row>
    <row r="1036" spans="1:2" x14ac:dyDescent="0.25">
      <c r="A1036" s="33">
        <v>5514210000</v>
      </c>
      <c r="B1036" s="33" t="s">
        <v>20354</v>
      </c>
    </row>
    <row r="1037" spans="1:2" x14ac:dyDescent="0.25">
      <c r="A1037" s="33">
        <v>5514310000</v>
      </c>
      <c r="B1037" s="33" t="s">
        <v>20355</v>
      </c>
    </row>
    <row r="1038" spans="1:2" x14ac:dyDescent="0.25">
      <c r="A1038" s="33">
        <v>5514410000</v>
      </c>
      <c r="B1038" s="33" t="s">
        <v>20356</v>
      </c>
    </row>
    <row r="1039" spans="1:2" x14ac:dyDescent="0.25">
      <c r="A1039" s="33">
        <v>5515010000</v>
      </c>
      <c r="B1039" s="33" t="s">
        <v>20357</v>
      </c>
    </row>
    <row r="1040" spans="1:2" x14ac:dyDescent="0.25">
      <c r="A1040" s="33">
        <v>5515110000</v>
      </c>
      <c r="B1040" s="33" t="s">
        <v>20358</v>
      </c>
    </row>
    <row r="1041" spans="1:2" x14ac:dyDescent="0.25">
      <c r="A1041" s="33">
        <v>5515210000</v>
      </c>
      <c r="B1041" s="33" t="s">
        <v>20359</v>
      </c>
    </row>
    <row r="1042" spans="1:2" x14ac:dyDescent="0.25">
      <c r="A1042" s="33">
        <v>5515310000</v>
      </c>
      <c r="B1042" s="33" t="s">
        <v>20360</v>
      </c>
    </row>
    <row r="1043" spans="1:2" x14ac:dyDescent="0.25">
      <c r="A1043" s="33">
        <v>5515410000</v>
      </c>
      <c r="B1043" s="33" t="s">
        <v>20361</v>
      </c>
    </row>
    <row r="1044" spans="1:2" x14ac:dyDescent="0.25">
      <c r="A1044" s="33">
        <v>5515510000</v>
      </c>
      <c r="B1044" s="33" t="s">
        <v>20362</v>
      </c>
    </row>
    <row r="1045" spans="1:2" x14ac:dyDescent="0.25">
      <c r="A1045" s="33">
        <v>5515610000</v>
      </c>
      <c r="B1045" s="33" t="s">
        <v>20363</v>
      </c>
    </row>
    <row r="1046" spans="1:2" x14ac:dyDescent="0.25">
      <c r="A1046" s="33">
        <v>5515710000</v>
      </c>
      <c r="B1046" s="33" t="s">
        <v>20364</v>
      </c>
    </row>
    <row r="1047" spans="1:2" x14ac:dyDescent="0.25">
      <c r="A1047" s="33">
        <v>5516010000</v>
      </c>
      <c r="B1047" s="33" t="s">
        <v>20365</v>
      </c>
    </row>
    <row r="1048" spans="1:2" x14ac:dyDescent="0.25">
      <c r="A1048" s="33">
        <v>5516110000</v>
      </c>
      <c r="B1048" s="33" t="s">
        <v>20366</v>
      </c>
    </row>
    <row r="1049" spans="1:2" x14ac:dyDescent="0.25">
      <c r="A1049" s="33">
        <v>5516210000</v>
      </c>
      <c r="B1049" s="33" t="s">
        <v>20367</v>
      </c>
    </row>
    <row r="1050" spans="1:2" x14ac:dyDescent="0.25">
      <c r="A1050" s="33">
        <v>5516310000</v>
      </c>
      <c r="B1050" s="33" t="s">
        <v>20368</v>
      </c>
    </row>
    <row r="1051" spans="1:2" x14ac:dyDescent="0.25">
      <c r="A1051" s="33">
        <v>5516410000</v>
      </c>
      <c r="B1051" s="33" t="s">
        <v>20369</v>
      </c>
    </row>
    <row r="1052" spans="1:2" x14ac:dyDescent="0.25">
      <c r="A1052" s="33">
        <v>5516510000</v>
      </c>
      <c r="B1052" s="33" t="s">
        <v>20370</v>
      </c>
    </row>
    <row r="1053" spans="1:2" x14ac:dyDescent="0.25">
      <c r="A1053" s="33">
        <v>5516610000</v>
      </c>
      <c r="B1053" s="33" t="s">
        <v>20371</v>
      </c>
    </row>
    <row r="1054" spans="1:2" x14ac:dyDescent="0.25">
      <c r="A1054" s="33">
        <v>5516710000</v>
      </c>
      <c r="B1054" s="33" t="s">
        <v>20372</v>
      </c>
    </row>
    <row r="1055" spans="1:2" x14ac:dyDescent="0.25">
      <c r="A1055" s="33">
        <v>5516910000</v>
      </c>
      <c r="B1055" s="33" t="s">
        <v>20373</v>
      </c>
    </row>
    <row r="1056" spans="1:2" x14ac:dyDescent="0.25">
      <c r="A1056" s="33">
        <v>5530000000</v>
      </c>
      <c r="B1056" s="33" t="s">
        <v>20374</v>
      </c>
    </row>
    <row r="1057" spans="1:2" x14ac:dyDescent="0.25">
      <c r="A1057" s="33">
        <v>5540000000</v>
      </c>
      <c r="B1057" s="33" t="s">
        <v>20375</v>
      </c>
    </row>
    <row r="1058" spans="1:2" x14ac:dyDescent="0.25">
      <c r="A1058" s="33">
        <v>5559000000</v>
      </c>
      <c r="B1058" s="33" t="s">
        <v>20376</v>
      </c>
    </row>
    <row r="1059" spans="1:2" x14ac:dyDescent="0.25">
      <c r="A1059" s="33">
        <v>5559007777</v>
      </c>
      <c r="B1059" s="33" t="s">
        <v>20377</v>
      </c>
    </row>
    <row r="1060" spans="1:2" x14ac:dyDescent="0.25">
      <c r="A1060" s="33">
        <v>5600000000</v>
      </c>
      <c r="B1060" s="33" t="s">
        <v>20378</v>
      </c>
    </row>
    <row r="1061" spans="1:2" x14ac:dyDescent="0.25">
      <c r="A1061" s="33">
        <v>5600000001</v>
      </c>
      <c r="B1061" s="33" t="s">
        <v>20379</v>
      </c>
    </row>
    <row r="1062" spans="1:2" x14ac:dyDescent="0.25">
      <c r="A1062" s="33">
        <v>5610000000</v>
      </c>
      <c r="B1062" s="33" t="s">
        <v>20380</v>
      </c>
    </row>
    <row r="1063" spans="1:2" x14ac:dyDescent="0.25">
      <c r="A1063" s="33">
        <v>5620000000</v>
      </c>
      <c r="B1063" s="33" t="s">
        <v>20381</v>
      </c>
    </row>
    <row r="1064" spans="1:2" x14ac:dyDescent="0.25">
      <c r="A1064" s="33">
        <v>5622210000</v>
      </c>
      <c r="B1064" s="33" t="s">
        <v>20382</v>
      </c>
    </row>
    <row r="1065" spans="1:2" x14ac:dyDescent="0.25">
      <c r="A1065" s="33">
        <v>5630000000</v>
      </c>
      <c r="B1065" s="33" t="s">
        <v>20383</v>
      </c>
    </row>
    <row r="1066" spans="1:2" x14ac:dyDescent="0.25">
      <c r="A1066" s="33">
        <v>5631000000</v>
      </c>
      <c r="B1066" s="33" t="s">
        <v>20384</v>
      </c>
    </row>
    <row r="1067" spans="1:2" x14ac:dyDescent="0.25">
      <c r="A1067" s="33">
        <v>5632000000</v>
      </c>
      <c r="B1067" s="33" t="s">
        <v>20385</v>
      </c>
    </row>
    <row r="1068" spans="1:2" x14ac:dyDescent="0.25">
      <c r="A1068" s="33">
        <v>5640000000</v>
      </c>
      <c r="B1068" s="33" t="s">
        <v>20386</v>
      </c>
    </row>
    <row r="1069" spans="1:2" x14ac:dyDescent="0.25">
      <c r="A1069" s="33">
        <v>5641000000</v>
      </c>
      <c r="B1069" s="33" t="s">
        <v>20387</v>
      </c>
    </row>
    <row r="1070" spans="1:2" x14ac:dyDescent="0.25">
      <c r="A1070" s="33">
        <v>5642000000</v>
      </c>
      <c r="B1070" s="33" t="s">
        <v>20388</v>
      </c>
    </row>
    <row r="1071" spans="1:2" x14ac:dyDescent="0.25">
      <c r="A1071" s="33">
        <v>5643000000</v>
      </c>
      <c r="B1071" s="33" t="s">
        <v>20389</v>
      </c>
    </row>
    <row r="1072" spans="1:2" x14ac:dyDescent="0.25">
      <c r="A1072" s="33">
        <v>5651910000</v>
      </c>
      <c r="B1072" s="33" t="s">
        <v>20390</v>
      </c>
    </row>
    <row r="1073" spans="1:2" x14ac:dyDescent="0.25">
      <c r="A1073" s="33">
        <v>5700000000</v>
      </c>
      <c r="B1073" s="33" t="s">
        <v>20391</v>
      </c>
    </row>
    <row r="1074" spans="1:2" x14ac:dyDescent="0.25">
      <c r="A1074" s="33">
        <v>5700010000</v>
      </c>
      <c r="B1074" s="33" t="s">
        <v>20392</v>
      </c>
    </row>
    <row r="1075" spans="1:2" x14ac:dyDescent="0.25">
      <c r="A1075" s="33">
        <v>5700020000</v>
      </c>
      <c r="B1075" s="33" t="s">
        <v>20393</v>
      </c>
    </row>
    <row r="1076" spans="1:2" x14ac:dyDescent="0.25">
      <c r="A1076" s="33">
        <v>5700030000</v>
      </c>
      <c r="B1076" s="33" t="s">
        <v>20394</v>
      </c>
    </row>
    <row r="1077" spans="1:2" x14ac:dyDescent="0.25">
      <c r="A1077" s="33">
        <v>5700040000</v>
      </c>
      <c r="B1077" s="33" t="s">
        <v>20395</v>
      </c>
    </row>
    <row r="1078" spans="1:2" x14ac:dyDescent="0.25">
      <c r="A1078" s="33">
        <v>5700050000</v>
      </c>
      <c r="B1078" s="33" t="s">
        <v>20396</v>
      </c>
    </row>
    <row r="1079" spans="1:2" x14ac:dyDescent="0.25">
      <c r="A1079" s="33">
        <v>5700200000</v>
      </c>
      <c r="B1079" s="33" t="s">
        <v>20397</v>
      </c>
    </row>
    <row r="1080" spans="1:2" x14ac:dyDescent="0.25">
      <c r="A1080" s="33">
        <v>5700300000</v>
      </c>
      <c r="B1080" s="33" t="s">
        <v>20397</v>
      </c>
    </row>
    <row r="1081" spans="1:2" x14ac:dyDescent="0.25">
      <c r="A1081" s="33">
        <v>5700400000</v>
      </c>
      <c r="B1081" s="33" t="s">
        <v>20398</v>
      </c>
    </row>
    <row r="1082" spans="1:2" x14ac:dyDescent="0.25">
      <c r="A1082" s="33">
        <v>5700410000</v>
      </c>
      <c r="B1082" s="33" t="s">
        <v>20399</v>
      </c>
    </row>
    <row r="1083" spans="1:2" x14ac:dyDescent="0.25">
      <c r="A1083" s="33">
        <v>5700420000</v>
      </c>
      <c r="B1083" s="33" t="s">
        <v>20400</v>
      </c>
    </row>
    <row r="1084" spans="1:2" x14ac:dyDescent="0.25">
      <c r="A1084" s="33">
        <v>5700430000</v>
      </c>
      <c r="B1084" s="33" t="s">
        <v>20401</v>
      </c>
    </row>
    <row r="1085" spans="1:2" x14ac:dyDescent="0.25">
      <c r="A1085" s="33">
        <v>5700600000</v>
      </c>
      <c r="B1085" s="33" t="s">
        <v>20402</v>
      </c>
    </row>
    <row r="1086" spans="1:2" x14ac:dyDescent="0.25">
      <c r="A1086" s="33">
        <v>5700800000</v>
      </c>
      <c r="B1086" s="33" t="s">
        <v>20403</v>
      </c>
    </row>
    <row r="1087" spans="1:2" x14ac:dyDescent="0.25">
      <c r="A1087" s="33">
        <v>5701000000</v>
      </c>
      <c r="B1087" s="33" t="s">
        <v>20404</v>
      </c>
    </row>
    <row r="1088" spans="1:2" x14ac:dyDescent="0.25">
      <c r="A1088" s="33">
        <v>5701000001</v>
      </c>
      <c r="B1088" s="33" t="s">
        <v>20405</v>
      </c>
    </row>
    <row r="1089" spans="1:2" x14ac:dyDescent="0.25">
      <c r="A1089" s="33">
        <v>5701400000</v>
      </c>
      <c r="B1089" s="33" t="s">
        <v>20406</v>
      </c>
    </row>
    <row r="1090" spans="1:2" x14ac:dyDescent="0.25">
      <c r="A1090" s="33">
        <v>5701500000</v>
      </c>
      <c r="B1090" s="33" t="s">
        <v>20407</v>
      </c>
    </row>
    <row r="1091" spans="1:2" x14ac:dyDescent="0.25">
      <c r="A1091" s="33">
        <v>5701600000</v>
      </c>
      <c r="B1091" s="33" t="s">
        <v>20408</v>
      </c>
    </row>
    <row r="1092" spans="1:2" x14ac:dyDescent="0.25">
      <c r="A1092" s="33">
        <v>5701600001</v>
      </c>
      <c r="B1092" s="33" t="s">
        <v>20409</v>
      </c>
    </row>
    <row r="1093" spans="1:2" x14ac:dyDescent="0.25">
      <c r="A1093" s="33">
        <v>5701800000</v>
      </c>
      <c r="B1093" s="33" t="s">
        <v>20410</v>
      </c>
    </row>
    <row r="1094" spans="1:2" x14ac:dyDescent="0.25">
      <c r="A1094" s="33">
        <v>5702000000</v>
      </c>
      <c r="B1094" s="33" t="s">
        <v>20411</v>
      </c>
    </row>
    <row r="1095" spans="1:2" x14ac:dyDescent="0.25">
      <c r="A1095" s="33">
        <v>5702200000</v>
      </c>
      <c r="B1095" s="33" t="s">
        <v>20412</v>
      </c>
    </row>
    <row r="1096" spans="1:2" x14ac:dyDescent="0.25">
      <c r="A1096" s="33">
        <v>5709000000</v>
      </c>
      <c r="B1096" s="33" t="s">
        <v>20413</v>
      </c>
    </row>
    <row r="1097" spans="1:2" x14ac:dyDescent="0.25">
      <c r="A1097" s="33">
        <v>5710000000</v>
      </c>
      <c r="B1097" s="33" t="s">
        <v>20414</v>
      </c>
    </row>
    <row r="1098" spans="1:2" x14ac:dyDescent="0.25">
      <c r="A1098" s="33">
        <v>5711000000</v>
      </c>
      <c r="B1098" s="33" t="s">
        <v>20415</v>
      </c>
    </row>
    <row r="1099" spans="1:2" x14ac:dyDescent="0.25">
      <c r="A1099" s="33">
        <v>5712000000</v>
      </c>
      <c r="B1099" s="33" t="s">
        <v>20416</v>
      </c>
    </row>
    <row r="1100" spans="1:2" x14ac:dyDescent="0.25">
      <c r="A1100" s="33">
        <v>5712410000</v>
      </c>
      <c r="B1100" s="33" t="s">
        <v>20417</v>
      </c>
    </row>
    <row r="1101" spans="1:2" x14ac:dyDescent="0.25">
      <c r="A1101" s="33">
        <v>5720000000</v>
      </c>
      <c r="B1101" s="33" t="s">
        <v>20418</v>
      </c>
    </row>
    <row r="1102" spans="1:2" x14ac:dyDescent="0.25">
      <c r="A1102" s="33">
        <v>5720000100</v>
      </c>
      <c r="B1102" s="33" t="s">
        <v>20419</v>
      </c>
    </row>
    <row r="1103" spans="1:2" x14ac:dyDescent="0.25">
      <c r="A1103" s="33">
        <v>5720010000</v>
      </c>
      <c r="B1103" s="33" t="s">
        <v>20420</v>
      </c>
    </row>
    <row r="1104" spans="1:2" x14ac:dyDescent="0.25">
      <c r="A1104" s="33">
        <v>5751010000</v>
      </c>
      <c r="B1104" s="33" t="s">
        <v>20421</v>
      </c>
    </row>
    <row r="1105" spans="1:2" x14ac:dyDescent="0.25">
      <c r="A1105" s="33">
        <v>5751210000</v>
      </c>
      <c r="B1105" s="33" t="s">
        <v>20422</v>
      </c>
    </row>
    <row r="1106" spans="1:2" x14ac:dyDescent="0.25">
      <c r="A1106" s="33">
        <v>5751310000</v>
      </c>
      <c r="B1106" s="33" t="s">
        <v>20423</v>
      </c>
    </row>
    <row r="1107" spans="1:2" x14ac:dyDescent="0.25">
      <c r="A1107" s="33">
        <v>5751410000</v>
      </c>
      <c r="B1107" s="33" t="s">
        <v>20424</v>
      </c>
    </row>
    <row r="1108" spans="1:2" x14ac:dyDescent="0.25">
      <c r="A1108" s="33">
        <v>5751510000</v>
      </c>
      <c r="B1108" s="33" t="s">
        <v>20425</v>
      </c>
    </row>
    <row r="1109" spans="1:2" x14ac:dyDescent="0.25">
      <c r="A1109" s="33">
        <v>5751610000</v>
      </c>
      <c r="B1109" s="33" t="s">
        <v>20426</v>
      </c>
    </row>
    <row r="1110" spans="1:2" x14ac:dyDescent="0.25">
      <c r="A1110" s="33">
        <v>5751710000</v>
      </c>
      <c r="B1110" s="33" t="s">
        <v>20427</v>
      </c>
    </row>
    <row r="1111" spans="1:2" x14ac:dyDescent="0.25">
      <c r="A1111" s="33">
        <v>5751810000</v>
      </c>
      <c r="B1111" s="33" t="s">
        <v>20428</v>
      </c>
    </row>
    <row r="1112" spans="1:2" x14ac:dyDescent="0.25">
      <c r="A1112" s="33">
        <v>5752110000</v>
      </c>
      <c r="B1112" s="33" t="s">
        <v>20429</v>
      </c>
    </row>
    <row r="1113" spans="1:2" x14ac:dyDescent="0.25">
      <c r="A1113" s="33">
        <v>5752210000</v>
      </c>
      <c r="B1113" s="33" t="s">
        <v>20430</v>
      </c>
    </row>
    <row r="1114" spans="1:2" x14ac:dyDescent="0.25">
      <c r="A1114" s="33">
        <v>5752310000</v>
      </c>
      <c r="B1114" s="33" t="s">
        <v>20431</v>
      </c>
    </row>
    <row r="1115" spans="1:2" x14ac:dyDescent="0.25">
      <c r="A1115" s="33">
        <v>5752410000</v>
      </c>
      <c r="B1115" s="33" t="s">
        <v>20186</v>
      </c>
    </row>
    <row r="1116" spans="1:2" x14ac:dyDescent="0.25">
      <c r="A1116" s="33">
        <v>5752510000</v>
      </c>
      <c r="B1116" s="33" t="s">
        <v>20432</v>
      </c>
    </row>
    <row r="1117" spans="1:2" x14ac:dyDescent="0.25">
      <c r="A1117" s="33">
        <v>5752610000</v>
      </c>
      <c r="B1117" s="33" t="s">
        <v>20433</v>
      </c>
    </row>
    <row r="1118" spans="1:2" x14ac:dyDescent="0.25">
      <c r="A1118" s="33">
        <v>5752710000</v>
      </c>
      <c r="B1118" s="33" t="s">
        <v>20434</v>
      </c>
    </row>
    <row r="1119" spans="1:2" x14ac:dyDescent="0.25">
      <c r="A1119" s="33">
        <v>5752810000</v>
      </c>
      <c r="B1119" s="33" t="s">
        <v>20435</v>
      </c>
    </row>
    <row r="1120" spans="1:2" x14ac:dyDescent="0.25">
      <c r="A1120" s="33">
        <v>5753916000</v>
      </c>
      <c r="B1120" s="33" t="s">
        <v>20436</v>
      </c>
    </row>
    <row r="1121" spans="1:2" x14ac:dyDescent="0.25">
      <c r="A1121" s="33">
        <v>5754010000</v>
      </c>
      <c r="B1121" s="33" t="s">
        <v>20437</v>
      </c>
    </row>
    <row r="1122" spans="1:2" x14ac:dyDescent="0.25">
      <c r="A1122" s="33">
        <v>5754110000</v>
      </c>
      <c r="B1122" s="33" t="s">
        <v>20438</v>
      </c>
    </row>
    <row r="1123" spans="1:2" x14ac:dyDescent="0.25">
      <c r="A1123" s="33">
        <v>5754310000</v>
      </c>
      <c r="B1123" s="33" t="s">
        <v>20439</v>
      </c>
    </row>
    <row r="1124" spans="1:2" x14ac:dyDescent="0.25">
      <c r="A1124" s="33">
        <v>5754410000</v>
      </c>
      <c r="B1124" s="33" t="s">
        <v>20440</v>
      </c>
    </row>
    <row r="1125" spans="1:2" x14ac:dyDescent="0.25">
      <c r="A1125" s="33">
        <v>5754510000</v>
      </c>
      <c r="B1125" s="33" t="s">
        <v>20441</v>
      </c>
    </row>
    <row r="1126" spans="1:2" x14ac:dyDescent="0.25">
      <c r="A1126" s="33">
        <v>5754610000</v>
      </c>
      <c r="B1126" s="33" t="s">
        <v>20442</v>
      </c>
    </row>
    <row r="1127" spans="1:2" x14ac:dyDescent="0.25">
      <c r="A1127" s="33">
        <v>5754710000</v>
      </c>
      <c r="B1127" s="33" t="s">
        <v>20443</v>
      </c>
    </row>
    <row r="1128" spans="1:2" x14ac:dyDescent="0.25">
      <c r="A1128" s="33">
        <v>5763910000</v>
      </c>
      <c r="B1128" s="33" t="s">
        <v>20444</v>
      </c>
    </row>
    <row r="1129" spans="1:2" x14ac:dyDescent="0.25">
      <c r="A1129" s="33">
        <v>5764510000</v>
      </c>
      <c r="B1129" s="33" t="s">
        <v>20445</v>
      </c>
    </row>
    <row r="1130" spans="1:2" x14ac:dyDescent="0.25">
      <c r="A1130" s="33">
        <v>5769902000</v>
      </c>
      <c r="B1130" s="33" t="s">
        <v>20446</v>
      </c>
    </row>
    <row r="1131" spans="1:2" x14ac:dyDescent="0.25">
      <c r="A1131" s="33">
        <v>5769910000</v>
      </c>
      <c r="B1131" s="33" t="s">
        <v>20447</v>
      </c>
    </row>
    <row r="1132" spans="1:2" x14ac:dyDescent="0.25">
      <c r="A1132" s="33">
        <v>5771000000</v>
      </c>
      <c r="B1132" s="33" t="s">
        <v>20448</v>
      </c>
    </row>
    <row r="1133" spans="1:2" x14ac:dyDescent="0.25">
      <c r="A1133" s="33">
        <v>5771010000</v>
      </c>
      <c r="B1133" s="33" t="s">
        <v>20449</v>
      </c>
    </row>
    <row r="1134" spans="1:2" x14ac:dyDescent="0.25">
      <c r="A1134" s="33">
        <v>5771080000</v>
      </c>
      <c r="B1134" s="33" t="s">
        <v>20450</v>
      </c>
    </row>
    <row r="1135" spans="1:2" x14ac:dyDescent="0.25">
      <c r="A1135" s="33">
        <v>5771150000</v>
      </c>
      <c r="B1135" s="33" t="s">
        <v>20451</v>
      </c>
    </row>
    <row r="1136" spans="1:2" x14ac:dyDescent="0.25">
      <c r="A1136" s="33">
        <v>5771160000</v>
      </c>
      <c r="B1136" s="33" t="s">
        <v>20452</v>
      </c>
    </row>
    <row r="1137" spans="1:2" x14ac:dyDescent="0.25">
      <c r="A1137" s="33">
        <v>5771210000</v>
      </c>
      <c r="B1137" s="33" t="s">
        <v>20453</v>
      </c>
    </row>
    <row r="1138" spans="1:2" x14ac:dyDescent="0.25">
      <c r="A1138" s="33">
        <v>5771220000</v>
      </c>
      <c r="B1138" s="33" t="s">
        <v>20454</v>
      </c>
    </row>
    <row r="1139" spans="1:2" x14ac:dyDescent="0.25">
      <c r="A1139" s="33">
        <v>5771280000</v>
      </c>
      <c r="B1139" s="33" t="s">
        <v>20455</v>
      </c>
    </row>
    <row r="1140" spans="1:2" x14ac:dyDescent="0.25">
      <c r="A1140" s="33">
        <v>5771290000</v>
      </c>
      <c r="B1140" s="33" t="s">
        <v>20456</v>
      </c>
    </row>
    <row r="1141" spans="1:2" x14ac:dyDescent="0.25">
      <c r="A1141" s="33">
        <v>5771360000</v>
      </c>
      <c r="B1141" s="33" t="s">
        <v>20457</v>
      </c>
    </row>
    <row r="1142" spans="1:2" x14ac:dyDescent="0.25">
      <c r="A1142" s="33">
        <v>5771390000</v>
      </c>
      <c r="B1142" s="33" t="s">
        <v>20458</v>
      </c>
    </row>
    <row r="1143" spans="1:2" x14ac:dyDescent="0.25">
      <c r="A1143" s="33">
        <v>5772000000</v>
      </c>
      <c r="B1143" s="33" t="s">
        <v>20459</v>
      </c>
    </row>
    <row r="1144" spans="1:2" x14ac:dyDescent="0.25">
      <c r="A1144" s="33">
        <v>5772010000</v>
      </c>
      <c r="B1144" s="33" t="s">
        <v>20460</v>
      </c>
    </row>
    <row r="1145" spans="1:2" x14ac:dyDescent="0.25">
      <c r="A1145" s="33">
        <v>5772020000</v>
      </c>
      <c r="B1145" s="33" t="s">
        <v>20461</v>
      </c>
    </row>
    <row r="1146" spans="1:2" x14ac:dyDescent="0.25">
      <c r="A1146" s="33">
        <v>5772030000</v>
      </c>
      <c r="B1146" s="33" t="s">
        <v>20462</v>
      </c>
    </row>
    <row r="1147" spans="1:2" x14ac:dyDescent="0.25">
      <c r="A1147" s="33">
        <v>5772040000</v>
      </c>
      <c r="B1147" s="33" t="s">
        <v>20463</v>
      </c>
    </row>
    <row r="1148" spans="1:2" x14ac:dyDescent="0.25">
      <c r="A1148" s="33">
        <v>5772050000</v>
      </c>
      <c r="B1148" s="33" t="s">
        <v>20464</v>
      </c>
    </row>
    <row r="1149" spans="1:2" x14ac:dyDescent="0.25">
      <c r="A1149" s="33">
        <v>5772060000</v>
      </c>
      <c r="B1149" s="33" t="s">
        <v>20465</v>
      </c>
    </row>
    <row r="1150" spans="1:2" x14ac:dyDescent="0.25">
      <c r="A1150" s="33">
        <v>5772070000</v>
      </c>
      <c r="B1150" s="33" t="s">
        <v>20466</v>
      </c>
    </row>
    <row r="1151" spans="1:2" x14ac:dyDescent="0.25">
      <c r="A1151" s="33">
        <v>5772400000</v>
      </c>
      <c r="B1151" s="33" t="s">
        <v>20467</v>
      </c>
    </row>
    <row r="1152" spans="1:2" x14ac:dyDescent="0.25">
      <c r="A1152" s="33">
        <v>5773000000</v>
      </c>
      <c r="B1152" s="33" t="s">
        <v>20468</v>
      </c>
    </row>
    <row r="1153" spans="1:2" x14ac:dyDescent="0.25">
      <c r="A1153" s="33">
        <v>5773010000</v>
      </c>
      <c r="B1153" s="33" t="s">
        <v>20469</v>
      </c>
    </row>
    <row r="1154" spans="1:2" x14ac:dyDescent="0.25">
      <c r="A1154" s="33">
        <v>5773020000</v>
      </c>
      <c r="B1154" s="33" t="s">
        <v>20470</v>
      </c>
    </row>
    <row r="1155" spans="1:2" x14ac:dyDescent="0.25">
      <c r="A1155" s="33">
        <v>5773030000</v>
      </c>
      <c r="B1155" s="33" t="s">
        <v>20471</v>
      </c>
    </row>
    <row r="1156" spans="1:2" x14ac:dyDescent="0.25">
      <c r="A1156" s="33">
        <v>5773040000</v>
      </c>
      <c r="B1156" s="33" t="s">
        <v>20472</v>
      </c>
    </row>
    <row r="1157" spans="1:2" x14ac:dyDescent="0.25">
      <c r="A1157" s="33">
        <v>5773050000</v>
      </c>
      <c r="B1157" s="33" t="s">
        <v>20473</v>
      </c>
    </row>
    <row r="1158" spans="1:2" x14ac:dyDescent="0.25">
      <c r="A1158" s="33">
        <v>5773060000</v>
      </c>
      <c r="B1158" s="33" t="s">
        <v>20474</v>
      </c>
    </row>
    <row r="1159" spans="1:2" x14ac:dyDescent="0.25">
      <c r="A1159" s="33">
        <v>5773070000</v>
      </c>
      <c r="B1159" s="33" t="s">
        <v>20475</v>
      </c>
    </row>
    <row r="1160" spans="1:2" x14ac:dyDescent="0.25">
      <c r="A1160" s="33">
        <v>5773080000</v>
      </c>
      <c r="B1160" s="33" t="s">
        <v>20476</v>
      </c>
    </row>
    <row r="1161" spans="1:2" x14ac:dyDescent="0.25">
      <c r="A1161" s="33">
        <v>5773090000</v>
      </c>
      <c r="B1161" s="33" t="s">
        <v>20477</v>
      </c>
    </row>
    <row r="1162" spans="1:2" x14ac:dyDescent="0.25">
      <c r="A1162" s="33">
        <v>5773100000</v>
      </c>
      <c r="B1162" s="33" t="s">
        <v>20478</v>
      </c>
    </row>
    <row r="1163" spans="1:2" x14ac:dyDescent="0.25">
      <c r="A1163" s="33">
        <v>5801000000</v>
      </c>
      <c r="B1163" s="33" t="s">
        <v>20479</v>
      </c>
    </row>
    <row r="1164" spans="1:2" x14ac:dyDescent="0.25">
      <c r="A1164" s="33">
        <v>5802000000</v>
      </c>
      <c r="B1164" s="33" t="s">
        <v>20480</v>
      </c>
    </row>
    <row r="1165" spans="1:2" x14ac:dyDescent="0.25">
      <c r="A1165" s="33">
        <v>5802000001</v>
      </c>
      <c r="B1165" s="33" t="s">
        <v>20481</v>
      </c>
    </row>
    <row r="1166" spans="1:2" x14ac:dyDescent="0.25">
      <c r="A1166" s="33">
        <v>5803000000</v>
      </c>
      <c r="B1166" s="33" t="s">
        <v>20482</v>
      </c>
    </row>
    <row r="1167" spans="1:2" x14ac:dyDescent="0.25">
      <c r="A1167" s="33">
        <v>5803000001</v>
      </c>
      <c r="B1167" s="33" t="s">
        <v>20483</v>
      </c>
    </row>
    <row r="1168" spans="1:2" x14ac:dyDescent="0.25">
      <c r="A1168" s="33">
        <v>5804000000</v>
      </c>
      <c r="B1168" s="33" t="s">
        <v>20484</v>
      </c>
    </row>
    <row r="1169" spans="1:2" x14ac:dyDescent="0.25">
      <c r="A1169" s="33">
        <v>5805000000</v>
      </c>
      <c r="B1169" s="33" t="s">
        <v>20485</v>
      </c>
    </row>
    <row r="1170" spans="1:2" x14ac:dyDescent="0.25">
      <c r="A1170" s="33">
        <v>5806000000</v>
      </c>
      <c r="B1170" s="33" t="s">
        <v>20486</v>
      </c>
    </row>
    <row r="1171" spans="1:2" x14ac:dyDescent="0.25">
      <c r="A1171" s="33">
        <v>5809000000</v>
      </c>
      <c r="B1171" s="33" t="s">
        <v>20487</v>
      </c>
    </row>
    <row r="1172" spans="1:2" x14ac:dyDescent="0.25">
      <c r="A1172" s="33">
        <v>5810000000</v>
      </c>
      <c r="B1172" s="33" t="s">
        <v>20488</v>
      </c>
    </row>
    <row r="1173" spans="1:2" x14ac:dyDescent="0.25">
      <c r="A1173" s="33">
        <v>5810000001</v>
      </c>
      <c r="B1173" s="33" t="s">
        <v>20489</v>
      </c>
    </row>
    <row r="1174" spans="1:2" x14ac:dyDescent="0.25">
      <c r="A1174" s="33">
        <v>5810000002</v>
      </c>
      <c r="B1174" s="33" t="s">
        <v>20490</v>
      </c>
    </row>
    <row r="1175" spans="1:2" x14ac:dyDescent="0.25">
      <c r="A1175" s="33">
        <v>5810000003</v>
      </c>
      <c r="B1175" s="33" t="s">
        <v>20491</v>
      </c>
    </row>
    <row r="1176" spans="1:2" x14ac:dyDescent="0.25">
      <c r="A1176" s="33">
        <v>5810000004</v>
      </c>
      <c r="B1176" s="33" t="s">
        <v>20492</v>
      </c>
    </row>
    <row r="1177" spans="1:2" x14ac:dyDescent="0.25">
      <c r="A1177" s="33">
        <v>5810000010</v>
      </c>
      <c r="B1177" s="33" t="s">
        <v>20493</v>
      </c>
    </row>
    <row r="1178" spans="1:2" x14ac:dyDescent="0.25">
      <c r="A1178" s="33">
        <v>5812000000</v>
      </c>
      <c r="B1178" s="33" t="s">
        <v>20494</v>
      </c>
    </row>
    <row r="1179" spans="1:2" x14ac:dyDescent="0.25">
      <c r="A1179" s="33">
        <v>5820010000</v>
      </c>
      <c r="B1179" s="33" t="s">
        <v>20495</v>
      </c>
    </row>
    <row r="1180" spans="1:2" x14ac:dyDescent="0.25">
      <c r="A1180" s="33">
        <v>5900000000</v>
      </c>
      <c r="B1180" s="33" t="s">
        <v>20496</v>
      </c>
    </row>
    <row r="1181" spans="1:2" x14ac:dyDescent="0.25">
      <c r="A1181" s="33">
        <v>5901000000</v>
      </c>
      <c r="B1181" s="33" t="s">
        <v>20497</v>
      </c>
    </row>
    <row r="1182" spans="1:2" x14ac:dyDescent="0.25">
      <c r="A1182" s="33">
        <v>5901200000</v>
      </c>
      <c r="B1182" s="33" t="s">
        <v>20498</v>
      </c>
    </row>
    <row r="1183" spans="1:2" x14ac:dyDescent="0.25">
      <c r="A1183" s="33">
        <v>5901400000</v>
      </c>
      <c r="B1183" s="33" t="s">
        <v>20499</v>
      </c>
    </row>
    <row r="1184" spans="1:2" x14ac:dyDescent="0.25">
      <c r="A1184" s="33">
        <v>5901710000</v>
      </c>
      <c r="B1184" s="33" t="s">
        <v>20500</v>
      </c>
    </row>
    <row r="1185" spans="1:2" x14ac:dyDescent="0.25">
      <c r="A1185" s="33">
        <v>5901900000</v>
      </c>
      <c r="B1185" s="33" t="s">
        <v>20501</v>
      </c>
    </row>
    <row r="1186" spans="1:2" x14ac:dyDescent="0.25">
      <c r="A1186" s="33">
        <v>5901900001</v>
      </c>
      <c r="B1186" s="33" t="s">
        <v>20502</v>
      </c>
    </row>
    <row r="1187" spans="1:2" x14ac:dyDescent="0.25">
      <c r="A1187" s="33">
        <v>5909000000</v>
      </c>
      <c r="B1187" s="33" t="s">
        <v>20503</v>
      </c>
    </row>
    <row r="1188" spans="1:2" x14ac:dyDescent="0.25">
      <c r="A1188" s="33">
        <v>5909000001</v>
      </c>
      <c r="B1188" s="33" t="s">
        <v>20504</v>
      </c>
    </row>
    <row r="1189" spans="1:2" x14ac:dyDescent="0.25">
      <c r="A1189" s="33">
        <v>5909000002</v>
      </c>
      <c r="B1189" s="33" t="s">
        <v>20505</v>
      </c>
    </row>
    <row r="1190" spans="1:2" x14ac:dyDescent="0.25">
      <c r="A1190" s="33">
        <v>5909000003</v>
      </c>
      <c r="B1190" s="33" t="s">
        <v>20506</v>
      </c>
    </row>
    <row r="1191" spans="1:2" x14ac:dyDescent="0.25">
      <c r="A1191" s="33">
        <v>5909000004</v>
      </c>
      <c r="B1191" s="33" t="s">
        <v>20507</v>
      </c>
    </row>
    <row r="1192" spans="1:2" x14ac:dyDescent="0.25">
      <c r="A1192" s="33">
        <v>5909000005</v>
      </c>
      <c r="B1192" s="33" t="s">
        <v>20508</v>
      </c>
    </row>
    <row r="1193" spans="1:2" x14ac:dyDescent="0.25">
      <c r="A1193" s="33">
        <v>5909000006</v>
      </c>
      <c r="B1193" s="33" t="s">
        <v>20509</v>
      </c>
    </row>
    <row r="1194" spans="1:2" x14ac:dyDescent="0.25">
      <c r="A1194" s="33">
        <v>5909000007</v>
      </c>
      <c r="B1194" s="33" t="s">
        <v>20510</v>
      </c>
    </row>
    <row r="1195" spans="1:2" x14ac:dyDescent="0.25">
      <c r="A1195" s="33">
        <v>5909000008</v>
      </c>
      <c r="B1195" s="33" t="s">
        <v>20511</v>
      </c>
    </row>
    <row r="1196" spans="1:2" x14ac:dyDescent="0.25">
      <c r="A1196" s="33">
        <v>5909002000</v>
      </c>
      <c r="B1196" s="33" t="s">
        <v>20512</v>
      </c>
    </row>
    <row r="1197" spans="1:2" x14ac:dyDescent="0.25">
      <c r="A1197" s="33">
        <v>5911000000</v>
      </c>
      <c r="B1197" s="33" t="s">
        <v>20513</v>
      </c>
    </row>
    <row r="1198" spans="1:2" x14ac:dyDescent="0.25">
      <c r="A1198" s="33">
        <v>5912000000</v>
      </c>
      <c r="B1198" s="33" t="s">
        <v>20514</v>
      </c>
    </row>
    <row r="1199" spans="1:2" x14ac:dyDescent="0.25">
      <c r="A1199" s="33">
        <v>5913000000</v>
      </c>
      <c r="B1199" s="33" t="s">
        <v>20515</v>
      </c>
    </row>
    <row r="1200" spans="1:2" x14ac:dyDescent="0.25">
      <c r="A1200" s="33">
        <v>5914000000</v>
      </c>
      <c r="B1200" s="33" t="s">
        <v>20516</v>
      </c>
    </row>
    <row r="1201" spans="1:2" x14ac:dyDescent="0.25">
      <c r="A1201" s="33">
        <v>5919000000</v>
      </c>
      <c r="B1201" s="33" t="s">
        <v>20517</v>
      </c>
    </row>
    <row r="1202" spans="1:2" x14ac:dyDescent="0.25">
      <c r="A1202" s="33">
        <v>5920000000</v>
      </c>
      <c r="B1202" s="33" t="s">
        <v>20518</v>
      </c>
    </row>
    <row r="1203" spans="1:2" x14ac:dyDescent="0.25">
      <c r="A1203" s="33">
        <v>5920000001</v>
      </c>
      <c r="B1203" s="33" t="s">
        <v>20519</v>
      </c>
    </row>
    <row r="1204" spans="1:2" x14ac:dyDescent="0.25">
      <c r="A1204" s="33">
        <v>5920400000</v>
      </c>
      <c r="B1204" s="33" t="s">
        <v>20520</v>
      </c>
    </row>
    <row r="1205" spans="1:2" x14ac:dyDescent="0.25">
      <c r="A1205" s="33">
        <v>5920400001</v>
      </c>
      <c r="B1205" s="33" t="s">
        <v>20521</v>
      </c>
    </row>
    <row r="1206" spans="1:2" x14ac:dyDescent="0.25">
      <c r="A1206" s="33">
        <v>5920400010</v>
      </c>
      <c r="B1206" s="33" t="s">
        <v>20522</v>
      </c>
    </row>
    <row r="1207" spans="1:2" x14ac:dyDescent="0.25">
      <c r="A1207" s="33">
        <v>5921000000</v>
      </c>
      <c r="B1207" s="33" t="s">
        <v>20523</v>
      </c>
    </row>
    <row r="1208" spans="1:2" x14ac:dyDescent="0.25">
      <c r="A1208" s="33">
        <v>5921000001</v>
      </c>
      <c r="B1208" s="33" t="s">
        <v>20524</v>
      </c>
    </row>
    <row r="1209" spans="1:2" x14ac:dyDescent="0.25">
      <c r="A1209" s="33">
        <v>5921400000</v>
      </c>
      <c r="B1209" s="33" t="s">
        <v>20525</v>
      </c>
    </row>
    <row r="1210" spans="1:2" x14ac:dyDescent="0.25">
      <c r="A1210" s="33">
        <v>5921400001</v>
      </c>
      <c r="B1210" s="33" t="s">
        <v>20526</v>
      </c>
    </row>
    <row r="1211" spans="1:2" x14ac:dyDescent="0.25">
      <c r="A1211" s="33">
        <v>5921400010</v>
      </c>
      <c r="B1211" s="33" t="s">
        <v>20527</v>
      </c>
    </row>
    <row r="1212" spans="1:2" x14ac:dyDescent="0.25">
      <c r="A1212" s="33">
        <v>5923000000</v>
      </c>
      <c r="B1212" s="33" t="s">
        <v>20528</v>
      </c>
    </row>
    <row r="1213" spans="1:2" x14ac:dyDescent="0.25">
      <c r="A1213" s="33">
        <v>5924000000</v>
      </c>
      <c r="B1213" s="33" t="s">
        <v>20529</v>
      </c>
    </row>
    <row r="1214" spans="1:2" x14ac:dyDescent="0.25">
      <c r="A1214" s="33">
        <v>5925000000</v>
      </c>
      <c r="B1214" s="33" t="s">
        <v>20530</v>
      </c>
    </row>
    <row r="1215" spans="1:2" x14ac:dyDescent="0.25">
      <c r="A1215" s="33">
        <v>5925100000</v>
      </c>
      <c r="B1215" s="33" t="s">
        <v>20531</v>
      </c>
    </row>
    <row r="1216" spans="1:2" x14ac:dyDescent="0.25">
      <c r="A1216" s="33">
        <v>5925200000</v>
      </c>
      <c r="B1216" s="33" t="s">
        <v>20532</v>
      </c>
    </row>
    <row r="1217" spans="1:2" x14ac:dyDescent="0.25">
      <c r="A1217" s="33">
        <v>5925220000</v>
      </c>
      <c r="B1217" s="33" t="s">
        <v>20533</v>
      </c>
    </row>
    <row r="1218" spans="1:2" x14ac:dyDescent="0.25">
      <c r="A1218" s="33">
        <v>5925300000</v>
      </c>
      <c r="B1218" s="33" t="s">
        <v>20534</v>
      </c>
    </row>
    <row r="1219" spans="1:2" x14ac:dyDescent="0.25">
      <c r="A1219" s="33">
        <v>5925320000</v>
      </c>
      <c r="B1219" s="33" t="s">
        <v>20535</v>
      </c>
    </row>
    <row r="1220" spans="1:2" x14ac:dyDescent="0.25">
      <c r="A1220" s="33">
        <v>5925400000</v>
      </c>
      <c r="B1220" s="33" t="s">
        <v>20536</v>
      </c>
    </row>
    <row r="1221" spans="1:2" x14ac:dyDescent="0.25">
      <c r="A1221" s="33">
        <v>5925500000</v>
      </c>
      <c r="B1221" s="33" t="s">
        <v>20537</v>
      </c>
    </row>
    <row r="1222" spans="1:2" x14ac:dyDescent="0.25">
      <c r="A1222" s="33">
        <v>5925520000</v>
      </c>
      <c r="B1222" s="33" t="s">
        <v>20538</v>
      </c>
    </row>
    <row r="1223" spans="1:2" x14ac:dyDescent="0.25">
      <c r="A1223" s="33">
        <v>5925700000</v>
      </c>
      <c r="B1223" s="33" t="s">
        <v>20539</v>
      </c>
    </row>
    <row r="1224" spans="1:2" x14ac:dyDescent="0.25">
      <c r="A1224" s="33">
        <v>5925720000</v>
      </c>
      <c r="B1224" s="33" t="s">
        <v>20540</v>
      </c>
    </row>
    <row r="1225" spans="1:2" x14ac:dyDescent="0.25">
      <c r="A1225" s="33">
        <v>5926000000</v>
      </c>
      <c r="B1225" s="33" t="s">
        <v>20541</v>
      </c>
    </row>
    <row r="1226" spans="1:2" x14ac:dyDescent="0.25">
      <c r="A1226" s="33">
        <v>5926400000</v>
      </c>
      <c r="B1226" s="33" t="s">
        <v>20542</v>
      </c>
    </row>
    <row r="1227" spans="1:2" x14ac:dyDescent="0.25">
      <c r="A1227" s="33">
        <v>5927400000</v>
      </c>
      <c r="B1227" s="33" t="s">
        <v>20543</v>
      </c>
    </row>
    <row r="1228" spans="1:2" x14ac:dyDescent="0.25">
      <c r="A1228" s="33">
        <v>5927400010</v>
      </c>
      <c r="B1228" s="33" t="s">
        <v>20544</v>
      </c>
    </row>
    <row r="1229" spans="1:2" x14ac:dyDescent="0.25">
      <c r="A1229" s="33">
        <v>5928400000</v>
      </c>
      <c r="B1229" s="33" t="s">
        <v>20545</v>
      </c>
    </row>
    <row r="1230" spans="1:2" x14ac:dyDescent="0.25">
      <c r="A1230" s="33">
        <v>5929000000</v>
      </c>
      <c r="B1230" s="33" t="s">
        <v>20546</v>
      </c>
    </row>
    <row r="1231" spans="1:2" x14ac:dyDescent="0.25">
      <c r="A1231" s="33">
        <v>5931000000</v>
      </c>
      <c r="B1231" s="33" t="s">
        <v>20547</v>
      </c>
    </row>
    <row r="1232" spans="1:2" x14ac:dyDescent="0.25">
      <c r="A1232" s="33">
        <v>5931100000</v>
      </c>
      <c r="B1232" s="33" t="s">
        <v>20548</v>
      </c>
    </row>
    <row r="1233" spans="1:2" x14ac:dyDescent="0.25">
      <c r="A1233" s="33">
        <v>5931200000</v>
      </c>
      <c r="B1233" s="33" t="s">
        <v>20549</v>
      </c>
    </row>
    <row r="1234" spans="1:2" x14ac:dyDescent="0.25">
      <c r="A1234" s="33">
        <v>5932000000</v>
      </c>
      <c r="B1234" s="33" t="s">
        <v>20550</v>
      </c>
    </row>
    <row r="1235" spans="1:2" x14ac:dyDescent="0.25">
      <c r="A1235" s="33">
        <v>5940000000</v>
      </c>
      <c r="B1235" s="33" t="s">
        <v>20551</v>
      </c>
    </row>
    <row r="1236" spans="1:2" x14ac:dyDescent="0.25">
      <c r="A1236" s="33">
        <v>5940010000</v>
      </c>
      <c r="B1236" s="33" t="s">
        <v>20552</v>
      </c>
    </row>
    <row r="1237" spans="1:2" x14ac:dyDescent="0.25">
      <c r="A1237" s="33">
        <v>5940200000</v>
      </c>
      <c r="B1237" s="33" t="s">
        <v>20553</v>
      </c>
    </row>
    <row r="1238" spans="1:2" x14ac:dyDescent="0.25">
      <c r="A1238" s="33">
        <v>5941000000</v>
      </c>
      <c r="B1238" s="33" t="s">
        <v>20554</v>
      </c>
    </row>
    <row r="1239" spans="1:2" x14ac:dyDescent="0.25">
      <c r="A1239" s="33">
        <v>5941200000</v>
      </c>
      <c r="B1239" s="33" t="s">
        <v>20555</v>
      </c>
    </row>
    <row r="1240" spans="1:2" x14ac:dyDescent="0.25">
      <c r="A1240" s="33">
        <v>5941300000</v>
      </c>
      <c r="B1240" s="33" t="s">
        <v>20556</v>
      </c>
    </row>
    <row r="1241" spans="1:2" x14ac:dyDescent="0.25">
      <c r="A1241" s="33">
        <v>5942000000</v>
      </c>
      <c r="B1241" s="33" t="s">
        <v>20557</v>
      </c>
    </row>
    <row r="1242" spans="1:2" x14ac:dyDescent="0.25">
      <c r="A1242" s="33">
        <v>5942200000</v>
      </c>
      <c r="B1242" s="33" t="s">
        <v>20558</v>
      </c>
    </row>
    <row r="1243" spans="1:2" x14ac:dyDescent="0.25">
      <c r="A1243" s="33">
        <v>5943000000</v>
      </c>
      <c r="B1243" s="33" t="s">
        <v>20559</v>
      </c>
    </row>
    <row r="1244" spans="1:2" x14ac:dyDescent="0.25">
      <c r="A1244" s="33">
        <v>5943200000</v>
      </c>
      <c r="B1244" s="33" t="s">
        <v>20560</v>
      </c>
    </row>
    <row r="1245" spans="1:2" x14ac:dyDescent="0.25">
      <c r="A1245" s="33">
        <v>5944000000</v>
      </c>
      <c r="B1245" s="33" t="s">
        <v>20561</v>
      </c>
    </row>
    <row r="1246" spans="1:2" x14ac:dyDescent="0.25">
      <c r="A1246" s="33">
        <v>5944200000</v>
      </c>
      <c r="B1246" s="33" t="s">
        <v>20562</v>
      </c>
    </row>
    <row r="1247" spans="1:2" x14ac:dyDescent="0.25">
      <c r="A1247" s="33">
        <v>5945000000</v>
      </c>
      <c r="B1247" s="33" t="s">
        <v>20563</v>
      </c>
    </row>
    <row r="1248" spans="1:2" x14ac:dyDescent="0.25">
      <c r="A1248" s="33">
        <v>5950000000</v>
      </c>
      <c r="B1248" s="33" t="s">
        <v>20564</v>
      </c>
    </row>
    <row r="1249" spans="1:2" x14ac:dyDescent="0.25">
      <c r="A1249" s="33">
        <v>5950000001</v>
      </c>
      <c r="B1249" s="33" t="s">
        <v>20565</v>
      </c>
    </row>
    <row r="1250" spans="1:2" x14ac:dyDescent="0.25">
      <c r="A1250" s="33">
        <v>5950000002</v>
      </c>
      <c r="B1250" s="33" t="s">
        <v>20566</v>
      </c>
    </row>
    <row r="1251" spans="1:2" x14ac:dyDescent="0.25">
      <c r="A1251" s="33">
        <v>5950000003</v>
      </c>
      <c r="B1251" s="33" t="s">
        <v>20567</v>
      </c>
    </row>
    <row r="1252" spans="1:2" x14ac:dyDescent="0.25">
      <c r="A1252" s="33">
        <v>5950000004</v>
      </c>
      <c r="B1252" s="33" t="s">
        <v>20568</v>
      </c>
    </row>
    <row r="1253" spans="1:2" x14ac:dyDescent="0.25">
      <c r="A1253" s="33">
        <v>5950000005</v>
      </c>
      <c r="B1253" s="33" t="s">
        <v>20569</v>
      </c>
    </row>
    <row r="1254" spans="1:2" x14ac:dyDescent="0.25">
      <c r="A1254" s="33">
        <v>5950000006</v>
      </c>
      <c r="B1254" s="33" t="s">
        <v>20570</v>
      </c>
    </row>
    <row r="1255" spans="1:2" x14ac:dyDescent="0.25">
      <c r="A1255" s="33">
        <v>5950000007</v>
      </c>
      <c r="B1255" s="33" t="s">
        <v>20571</v>
      </c>
    </row>
    <row r="1256" spans="1:2" x14ac:dyDescent="0.25">
      <c r="A1256" s="33">
        <v>5950000008</v>
      </c>
      <c r="B1256" s="33" t="s">
        <v>20572</v>
      </c>
    </row>
    <row r="1257" spans="1:2" x14ac:dyDescent="0.25">
      <c r="A1257" s="33">
        <v>5950000011</v>
      </c>
      <c r="B1257" s="33" t="s">
        <v>20573</v>
      </c>
    </row>
    <row r="1258" spans="1:2" x14ac:dyDescent="0.25">
      <c r="A1258" s="33">
        <v>5950000012</v>
      </c>
      <c r="B1258" s="33" t="s">
        <v>20574</v>
      </c>
    </row>
    <row r="1259" spans="1:2" x14ac:dyDescent="0.25">
      <c r="A1259" s="33">
        <v>5950000013</v>
      </c>
      <c r="B1259" s="33" t="s">
        <v>20575</v>
      </c>
    </row>
    <row r="1260" spans="1:2" x14ac:dyDescent="0.25">
      <c r="A1260" s="33">
        <v>5950000014</v>
      </c>
      <c r="B1260" s="33" t="s">
        <v>20576</v>
      </c>
    </row>
    <row r="1261" spans="1:2" x14ac:dyDescent="0.25">
      <c r="A1261" s="33">
        <v>5950000015</v>
      </c>
      <c r="B1261" s="33" t="s">
        <v>20577</v>
      </c>
    </row>
    <row r="1262" spans="1:2" x14ac:dyDescent="0.25">
      <c r="A1262" s="33">
        <v>5950000100</v>
      </c>
      <c r="B1262" s="33" t="s">
        <v>20578</v>
      </c>
    </row>
    <row r="1263" spans="1:2" x14ac:dyDescent="0.25">
      <c r="A1263" s="33">
        <v>5950000200</v>
      </c>
      <c r="B1263" s="33" t="s">
        <v>20579</v>
      </c>
    </row>
    <row r="1264" spans="1:2" x14ac:dyDescent="0.25">
      <c r="A1264" s="33">
        <v>5950000300</v>
      </c>
      <c r="B1264" s="33" t="s">
        <v>20580</v>
      </c>
    </row>
    <row r="1265" spans="1:2" x14ac:dyDescent="0.25">
      <c r="A1265" s="33">
        <v>5950200000</v>
      </c>
      <c r="B1265" s="33" t="s">
        <v>20581</v>
      </c>
    </row>
    <row r="1266" spans="1:2" x14ac:dyDescent="0.25">
      <c r="A1266" s="33">
        <v>5952000000</v>
      </c>
      <c r="B1266" s="33" t="s">
        <v>20582</v>
      </c>
    </row>
    <row r="1267" spans="1:2" x14ac:dyDescent="0.25">
      <c r="A1267" s="33">
        <v>5953000000</v>
      </c>
      <c r="B1267" s="33" t="s">
        <v>20583</v>
      </c>
    </row>
    <row r="1268" spans="1:2" x14ac:dyDescent="0.25">
      <c r="A1268" s="33">
        <v>5960000000</v>
      </c>
      <c r="B1268" s="33" t="s">
        <v>20584</v>
      </c>
    </row>
    <row r="1269" spans="1:2" x14ac:dyDescent="0.25">
      <c r="A1269" s="33">
        <v>5960100000</v>
      </c>
      <c r="B1269" s="33" t="s">
        <v>20585</v>
      </c>
    </row>
    <row r="1270" spans="1:2" x14ac:dyDescent="0.25">
      <c r="A1270" s="33">
        <v>5960100001</v>
      </c>
      <c r="B1270" s="33" t="s">
        <v>20586</v>
      </c>
    </row>
    <row r="1271" spans="1:2" x14ac:dyDescent="0.25">
      <c r="A1271" s="33">
        <v>5960110000</v>
      </c>
      <c r="B1271" s="33" t="s">
        <v>20587</v>
      </c>
    </row>
    <row r="1272" spans="1:2" x14ac:dyDescent="0.25">
      <c r="A1272" s="33">
        <v>5960111000</v>
      </c>
      <c r="B1272" s="33" t="s">
        <v>20588</v>
      </c>
    </row>
    <row r="1273" spans="1:2" x14ac:dyDescent="0.25">
      <c r="A1273" s="33">
        <v>5960200000</v>
      </c>
      <c r="B1273" s="33" t="s">
        <v>20589</v>
      </c>
    </row>
    <row r="1274" spans="1:2" x14ac:dyDescent="0.25">
      <c r="A1274" s="33">
        <v>5960400000</v>
      </c>
      <c r="B1274" s="33" t="s">
        <v>20590</v>
      </c>
    </row>
    <row r="1275" spans="1:2" x14ac:dyDescent="0.25">
      <c r="A1275" s="33">
        <v>5960400001</v>
      </c>
      <c r="B1275" s="33" t="s">
        <v>20591</v>
      </c>
    </row>
    <row r="1276" spans="1:2" x14ac:dyDescent="0.25">
      <c r="A1276" s="33">
        <v>5960500000</v>
      </c>
      <c r="B1276" s="33" t="s">
        <v>20592</v>
      </c>
    </row>
    <row r="1277" spans="1:2" x14ac:dyDescent="0.25">
      <c r="A1277" s="33">
        <v>5961000000</v>
      </c>
      <c r="B1277" s="33" t="s">
        <v>20593</v>
      </c>
    </row>
    <row r="1278" spans="1:2" x14ac:dyDescent="0.25">
      <c r="A1278" s="33">
        <v>5961200000</v>
      </c>
      <c r="B1278" s="33" t="s">
        <v>20594</v>
      </c>
    </row>
    <row r="1279" spans="1:2" x14ac:dyDescent="0.25">
      <c r="A1279" s="33">
        <v>5961300000</v>
      </c>
      <c r="B1279" s="33" t="s">
        <v>20595</v>
      </c>
    </row>
    <row r="1280" spans="1:2" x14ac:dyDescent="0.25">
      <c r="A1280" s="33">
        <v>5961400000</v>
      </c>
      <c r="B1280" s="33" t="s">
        <v>20596</v>
      </c>
    </row>
    <row r="1281" spans="1:2" x14ac:dyDescent="0.25">
      <c r="A1281" s="33">
        <v>5961500000</v>
      </c>
      <c r="B1281" s="33" t="s">
        <v>20593</v>
      </c>
    </row>
    <row r="1282" spans="1:2" x14ac:dyDescent="0.25">
      <c r="A1282" s="33">
        <v>5961800000</v>
      </c>
      <c r="B1282" s="33" t="s">
        <v>20597</v>
      </c>
    </row>
    <row r="1283" spans="1:2" x14ac:dyDescent="0.25">
      <c r="A1283" s="33">
        <v>5961802000</v>
      </c>
      <c r="B1283" s="33" t="s">
        <v>20598</v>
      </c>
    </row>
    <row r="1284" spans="1:2" x14ac:dyDescent="0.25">
      <c r="A1284" s="33">
        <v>5962000000</v>
      </c>
      <c r="B1284" s="33" t="s">
        <v>20599</v>
      </c>
    </row>
    <row r="1285" spans="1:2" x14ac:dyDescent="0.25">
      <c r="A1285" s="33">
        <v>5963000000</v>
      </c>
      <c r="B1285" s="33" t="s">
        <v>20600</v>
      </c>
    </row>
    <row r="1286" spans="1:2" x14ac:dyDescent="0.25">
      <c r="A1286" s="33">
        <v>5963510000</v>
      </c>
      <c r="B1286" s="33" t="s">
        <v>20601</v>
      </c>
    </row>
    <row r="1287" spans="1:2" x14ac:dyDescent="0.25">
      <c r="A1287" s="33">
        <v>5964000000</v>
      </c>
      <c r="B1287" s="33" t="s">
        <v>20602</v>
      </c>
    </row>
    <row r="1288" spans="1:2" x14ac:dyDescent="0.25">
      <c r="A1288" s="33">
        <v>5965000000</v>
      </c>
      <c r="B1288" s="33" t="s">
        <v>20603</v>
      </c>
    </row>
    <row r="1289" spans="1:2" x14ac:dyDescent="0.25">
      <c r="A1289" s="33">
        <v>5966000000</v>
      </c>
      <c r="B1289" s="33" t="s">
        <v>20604</v>
      </c>
    </row>
    <row r="1290" spans="1:2" x14ac:dyDescent="0.25">
      <c r="A1290" s="33">
        <v>5967600000</v>
      </c>
      <c r="B1290" s="33" t="s">
        <v>20605</v>
      </c>
    </row>
    <row r="1291" spans="1:2" x14ac:dyDescent="0.25">
      <c r="A1291" s="33">
        <v>5969008000</v>
      </c>
      <c r="B1291" s="33" t="s">
        <v>20606</v>
      </c>
    </row>
    <row r="1292" spans="1:2" x14ac:dyDescent="0.25">
      <c r="A1292" s="33">
        <v>5970010000</v>
      </c>
      <c r="B1292" s="33" t="s">
        <v>20607</v>
      </c>
    </row>
    <row r="1293" spans="1:2" x14ac:dyDescent="0.25">
      <c r="A1293" s="33">
        <v>5970016000</v>
      </c>
      <c r="B1293" s="33" t="s">
        <v>20608</v>
      </c>
    </row>
    <row r="1294" spans="1:2" x14ac:dyDescent="0.25">
      <c r="A1294" s="33">
        <v>5980010000</v>
      </c>
      <c r="B1294" s="33" t="s">
        <v>20609</v>
      </c>
    </row>
    <row r="1295" spans="1:2" x14ac:dyDescent="0.25">
      <c r="A1295" s="33">
        <v>5980110000</v>
      </c>
      <c r="B1295" s="33" t="s">
        <v>20610</v>
      </c>
    </row>
    <row r="1296" spans="1:2" x14ac:dyDescent="0.25">
      <c r="A1296" s="33">
        <v>5980210000</v>
      </c>
      <c r="B1296" s="33" t="s">
        <v>20611</v>
      </c>
    </row>
    <row r="1297" spans="1:2" x14ac:dyDescent="0.25">
      <c r="A1297" s="33">
        <v>5980310000</v>
      </c>
      <c r="B1297" s="33" t="s">
        <v>20612</v>
      </c>
    </row>
    <row r="1298" spans="1:2" x14ac:dyDescent="0.25">
      <c r="A1298" s="33">
        <v>5980410000</v>
      </c>
      <c r="B1298" s="33" t="s">
        <v>20613</v>
      </c>
    </row>
    <row r="1299" spans="1:2" x14ac:dyDescent="0.25">
      <c r="A1299" s="33">
        <v>5980610000</v>
      </c>
      <c r="B1299" s="33" t="s">
        <v>20614</v>
      </c>
    </row>
    <row r="1300" spans="1:2" x14ac:dyDescent="0.25">
      <c r="A1300" s="33">
        <v>5980710000</v>
      </c>
      <c r="B1300" s="33" t="s">
        <v>20615</v>
      </c>
    </row>
    <row r="1301" spans="1:2" x14ac:dyDescent="0.25">
      <c r="A1301" s="33">
        <v>5980810000</v>
      </c>
      <c r="B1301" s="33" t="s">
        <v>20616</v>
      </c>
    </row>
    <row r="1302" spans="1:2" x14ac:dyDescent="0.25">
      <c r="A1302" s="33">
        <v>5980910000</v>
      </c>
      <c r="B1302" s="33" t="s">
        <v>20617</v>
      </c>
    </row>
    <row r="1303" spans="1:2" x14ac:dyDescent="0.25">
      <c r="A1303" s="33">
        <v>5981010000</v>
      </c>
      <c r="B1303" s="33" t="s">
        <v>20618</v>
      </c>
    </row>
    <row r="1304" spans="1:2" x14ac:dyDescent="0.25">
      <c r="A1304" s="33">
        <v>5981110000</v>
      </c>
      <c r="B1304" s="33" t="s">
        <v>20619</v>
      </c>
    </row>
    <row r="1305" spans="1:2" x14ac:dyDescent="0.25">
      <c r="A1305" s="33">
        <v>5981210000</v>
      </c>
      <c r="B1305" s="33" t="s">
        <v>20620</v>
      </c>
    </row>
    <row r="1306" spans="1:2" x14ac:dyDescent="0.25">
      <c r="A1306" s="33">
        <v>5981310000</v>
      </c>
      <c r="B1306" s="33" t="s">
        <v>20621</v>
      </c>
    </row>
    <row r="1307" spans="1:2" x14ac:dyDescent="0.25">
      <c r="A1307" s="33">
        <v>5981410000</v>
      </c>
      <c r="B1307" s="33" t="s">
        <v>20622</v>
      </c>
    </row>
    <row r="1308" spans="1:2" x14ac:dyDescent="0.25">
      <c r="A1308" s="33">
        <v>5981510000</v>
      </c>
      <c r="B1308" s="33" t="s">
        <v>20623</v>
      </c>
    </row>
    <row r="1309" spans="1:2" x14ac:dyDescent="0.25">
      <c r="A1309" s="33">
        <v>5981610000</v>
      </c>
      <c r="B1309" s="33" t="s">
        <v>20624</v>
      </c>
    </row>
    <row r="1310" spans="1:2" x14ac:dyDescent="0.25">
      <c r="A1310" s="33">
        <v>5981710000</v>
      </c>
      <c r="B1310" s="33" t="s">
        <v>20625</v>
      </c>
    </row>
    <row r="1311" spans="1:2" x14ac:dyDescent="0.25">
      <c r="A1311" s="33">
        <v>5983010000</v>
      </c>
      <c r="B1311" s="33" t="s">
        <v>20626</v>
      </c>
    </row>
    <row r="1312" spans="1:2" x14ac:dyDescent="0.25">
      <c r="A1312" s="33">
        <v>5983110000</v>
      </c>
      <c r="B1312" s="33" t="s">
        <v>20627</v>
      </c>
    </row>
    <row r="1313" spans="1:2" x14ac:dyDescent="0.25">
      <c r="A1313" s="33">
        <v>5983210000</v>
      </c>
      <c r="B1313" s="33" t="s">
        <v>20628</v>
      </c>
    </row>
    <row r="1314" spans="1:2" x14ac:dyDescent="0.25">
      <c r="A1314" s="33">
        <v>5983310000</v>
      </c>
      <c r="B1314" s="33" t="s">
        <v>20629</v>
      </c>
    </row>
    <row r="1315" spans="1:2" x14ac:dyDescent="0.25">
      <c r="A1315" s="33">
        <v>5983510000</v>
      </c>
      <c r="B1315" s="33" t="s">
        <v>20630</v>
      </c>
    </row>
    <row r="1316" spans="1:2" x14ac:dyDescent="0.25">
      <c r="A1316" s="33">
        <v>5983610000</v>
      </c>
      <c r="B1316" s="33" t="s">
        <v>20631</v>
      </c>
    </row>
    <row r="1317" spans="1:2" x14ac:dyDescent="0.25">
      <c r="A1317" s="33">
        <v>5983710000</v>
      </c>
      <c r="B1317" s="33" t="s">
        <v>20632</v>
      </c>
    </row>
    <row r="1318" spans="1:2" x14ac:dyDescent="0.25">
      <c r="A1318" s="33">
        <v>5983810000</v>
      </c>
      <c r="B1318" s="33" t="s">
        <v>20633</v>
      </c>
    </row>
    <row r="1319" spans="1:2" x14ac:dyDescent="0.25">
      <c r="A1319" s="33">
        <v>5983910000</v>
      </c>
      <c r="B1319" s="33" t="s">
        <v>20634</v>
      </c>
    </row>
    <row r="1320" spans="1:2" x14ac:dyDescent="0.25">
      <c r="A1320" s="33">
        <v>5984010000</v>
      </c>
      <c r="B1320" s="33" t="s">
        <v>20635</v>
      </c>
    </row>
    <row r="1321" spans="1:2" x14ac:dyDescent="0.25">
      <c r="A1321" s="33">
        <v>5984110000</v>
      </c>
      <c r="B1321" s="33" t="s">
        <v>20636</v>
      </c>
    </row>
    <row r="1322" spans="1:2" x14ac:dyDescent="0.25">
      <c r="A1322" s="33">
        <v>7000000001</v>
      </c>
      <c r="B1322" s="33" t="s">
        <v>20637</v>
      </c>
    </row>
    <row r="1323" spans="1:2" x14ac:dyDescent="0.25">
      <c r="A1323" s="33">
        <v>7000000002</v>
      </c>
      <c r="B1323" s="33" t="s">
        <v>20638</v>
      </c>
    </row>
    <row r="1324" spans="1:2" x14ac:dyDescent="0.25">
      <c r="A1324" s="33">
        <v>7010000001</v>
      </c>
      <c r="B1324" s="33" t="s">
        <v>20639</v>
      </c>
    </row>
    <row r="1325" spans="1:2" x14ac:dyDescent="0.25">
      <c r="A1325" s="33">
        <v>7020000001</v>
      </c>
      <c r="B1325" s="33" t="s">
        <v>20640</v>
      </c>
    </row>
    <row r="1326" spans="1:2" x14ac:dyDescent="0.25">
      <c r="A1326" s="33">
        <v>7020000002</v>
      </c>
      <c r="B1326" s="33" t="s">
        <v>20641</v>
      </c>
    </row>
    <row r="1327" spans="1:2" x14ac:dyDescent="0.25">
      <c r="A1327" s="33">
        <v>7020000003</v>
      </c>
      <c r="B1327" s="33" t="s">
        <v>20642</v>
      </c>
    </row>
    <row r="1328" spans="1:2" x14ac:dyDescent="0.25">
      <c r="A1328" s="33">
        <v>7020000004</v>
      </c>
      <c r="B1328" s="33" t="s">
        <v>20643</v>
      </c>
    </row>
    <row r="1329" spans="1:2" x14ac:dyDescent="0.25">
      <c r="A1329" s="33">
        <v>7020000005</v>
      </c>
      <c r="B1329" s="33" t="s">
        <v>20644</v>
      </c>
    </row>
    <row r="1330" spans="1:2" x14ac:dyDescent="0.25">
      <c r="A1330" s="33">
        <v>7020000006</v>
      </c>
      <c r="B1330" s="33" t="s">
        <v>20645</v>
      </c>
    </row>
    <row r="1331" spans="1:2" x14ac:dyDescent="0.25">
      <c r="A1331" s="33">
        <v>7020000007</v>
      </c>
      <c r="B1331" s="33" t="s">
        <v>20646</v>
      </c>
    </row>
    <row r="1332" spans="1:2" x14ac:dyDescent="0.25">
      <c r="A1332" s="33">
        <v>7020000008</v>
      </c>
      <c r="B1332" s="33" t="s">
        <v>20647</v>
      </c>
    </row>
    <row r="1333" spans="1:2" x14ac:dyDescent="0.25">
      <c r="A1333" s="33">
        <v>7020000009</v>
      </c>
      <c r="B1333" s="33" t="s">
        <v>20648</v>
      </c>
    </row>
    <row r="1334" spans="1:2" x14ac:dyDescent="0.25">
      <c r="A1334" s="33">
        <v>7020000010</v>
      </c>
      <c r="B1334" s="33" t="s">
        <v>20649</v>
      </c>
    </row>
    <row r="1335" spans="1:2" x14ac:dyDescent="0.25">
      <c r="A1335" s="33">
        <v>7020000011</v>
      </c>
      <c r="B1335" s="33" t="s">
        <v>20650</v>
      </c>
    </row>
    <row r="1336" spans="1:2" x14ac:dyDescent="0.25">
      <c r="A1336" s="33">
        <v>7040000001</v>
      </c>
      <c r="B1336" s="33" t="s">
        <v>20651</v>
      </c>
    </row>
    <row r="1337" spans="1:2" x14ac:dyDescent="0.25">
      <c r="A1337" s="33">
        <v>7040000002</v>
      </c>
      <c r="B1337" s="33" t="s">
        <v>20652</v>
      </c>
    </row>
    <row r="1338" spans="1:2" x14ac:dyDescent="0.25">
      <c r="A1338" s="33">
        <v>7100000001</v>
      </c>
      <c r="B1338" s="33" t="s">
        <v>20653</v>
      </c>
    </row>
    <row r="1339" spans="1:2" x14ac:dyDescent="0.25">
      <c r="A1339" s="33">
        <v>7100000002</v>
      </c>
      <c r="B1339" s="33" t="s">
        <v>20654</v>
      </c>
    </row>
    <row r="1340" spans="1:2" x14ac:dyDescent="0.25">
      <c r="A1340" s="33">
        <v>7100000003</v>
      </c>
      <c r="B1340" s="33" t="s">
        <v>20655</v>
      </c>
    </row>
    <row r="1341" spans="1:2" x14ac:dyDescent="0.25">
      <c r="A1341" s="33">
        <v>7100000004</v>
      </c>
      <c r="B1341" s="33" t="s">
        <v>20656</v>
      </c>
    </row>
    <row r="1342" spans="1:2" x14ac:dyDescent="0.25">
      <c r="A1342" s="33">
        <v>7100000005</v>
      </c>
      <c r="B1342" s="33" t="s">
        <v>20657</v>
      </c>
    </row>
    <row r="1343" spans="1:2" x14ac:dyDescent="0.25">
      <c r="A1343" s="33">
        <v>7100000006</v>
      </c>
      <c r="B1343" s="33" t="s">
        <v>20658</v>
      </c>
    </row>
    <row r="1344" spans="1:2" x14ac:dyDescent="0.25">
      <c r="A1344" s="33">
        <v>7100000007</v>
      </c>
      <c r="B1344" s="33" t="s">
        <v>20659</v>
      </c>
    </row>
    <row r="1345" spans="1:2" x14ac:dyDescent="0.25">
      <c r="A1345" s="33">
        <v>7100000008</v>
      </c>
      <c r="B1345" s="33" t="s">
        <v>20660</v>
      </c>
    </row>
    <row r="1346" spans="1:2" x14ac:dyDescent="0.25">
      <c r="A1346" s="33">
        <v>7100000009</v>
      </c>
      <c r="B1346" s="33" t="s">
        <v>20661</v>
      </c>
    </row>
    <row r="1347" spans="1:2" x14ac:dyDescent="0.25">
      <c r="A1347" s="33">
        <v>7100000010</v>
      </c>
      <c r="B1347" s="33" t="s">
        <v>20662</v>
      </c>
    </row>
    <row r="1348" spans="1:2" x14ac:dyDescent="0.25">
      <c r="A1348" s="33">
        <v>7100000011</v>
      </c>
      <c r="B1348" s="33" t="s">
        <v>20663</v>
      </c>
    </row>
    <row r="1349" spans="1:2" x14ac:dyDescent="0.25">
      <c r="A1349" s="33">
        <v>7100000012</v>
      </c>
      <c r="B1349" s="33" t="s">
        <v>20664</v>
      </c>
    </row>
    <row r="1350" spans="1:2" x14ac:dyDescent="0.25">
      <c r="A1350" s="33">
        <v>7100000013</v>
      </c>
      <c r="B1350" s="33" t="s">
        <v>20665</v>
      </c>
    </row>
    <row r="1351" spans="1:2" x14ac:dyDescent="0.25">
      <c r="A1351" s="33">
        <v>7100000014</v>
      </c>
      <c r="B1351" s="33" t="s">
        <v>20666</v>
      </c>
    </row>
    <row r="1352" spans="1:2" x14ac:dyDescent="0.25">
      <c r="A1352" s="33">
        <v>7100000015</v>
      </c>
      <c r="B1352" s="33" t="s">
        <v>20667</v>
      </c>
    </row>
    <row r="1353" spans="1:2" x14ac:dyDescent="0.25">
      <c r="A1353" s="33">
        <v>7100000016</v>
      </c>
      <c r="B1353" s="33" t="s">
        <v>20668</v>
      </c>
    </row>
    <row r="1354" spans="1:2" x14ac:dyDescent="0.25">
      <c r="A1354" s="33">
        <v>7100000017</v>
      </c>
      <c r="B1354" s="33" t="s">
        <v>20669</v>
      </c>
    </row>
    <row r="1355" spans="1:2" x14ac:dyDescent="0.25">
      <c r="A1355" s="33">
        <v>7100000018</v>
      </c>
      <c r="B1355" s="33" t="s">
        <v>20670</v>
      </c>
    </row>
    <row r="1356" spans="1:2" x14ac:dyDescent="0.25">
      <c r="A1356" s="33">
        <v>7100000019</v>
      </c>
      <c r="B1356" s="33" t="s">
        <v>20671</v>
      </c>
    </row>
    <row r="1357" spans="1:2" x14ac:dyDescent="0.25">
      <c r="A1357" s="33">
        <v>7100000020</v>
      </c>
      <c r="B1357" s="33" t="s">
        <v>20672</v>
      </c>
    </row>
    <row r="1358" spans="1:2" x14ac:dyDescent="0.25">
      <c r="A1358" s="33">
        <v>7100000021</v>
      </c>
      <c r="B1358" s="33" t="s">
        <v>20673</v>
      </c>
    </row>
    <row r="1359" spans="1:2" x14ac:dyDescent="0.25">
      <c r="A1359" s="33">
        <v>7100000022</v>
      </c>
      <c r="B1359" s="33" t="s">
        <v>20674</v>
      </c>
    </row>
    <row r="1360" spans="1:2" x14ac:dyDescent="0.25">
      <c r="A1360" s="33">
        <v>7100000023</v>
      </c>
      <c r="B1360" s="33" t="s">
        <v>20675</v>
      </c>
    </row>
    <row r="1361" spans="1:2" x14ac:dyDescent="0.25">
      <c r="A1361" s="33">
        <v>7100000024</v>
      </c>
      <c r="B1361" s="33" t="s">
        <v>20676</v>
      </c>
    </row>
    <row r="1362" spans="1:2" x14ac:dyDescent="0.25">
      <c r="A1362" s="33">
        <v>7120000001</v>
      </c>
      <c r="B1362" s="33" t="s">
        <v>20677</v>
      </c>
    </row>
    <row r="1363" spans="1:2" x14ac:dyDescent="0.25">
      <c r="A1363" s="33">
        <v>7120000002</v>
      </c>
      <c r="B1363" s="33" t="s">
        <v>20678</v>
      </c>
    </row>
    <row r="1364" spans="1:2" x14ac:dyDescent="0.25">
      <c r="A1364" s="33">
        <v>7120000003</v>
      </c>
      <c r="B1364" s="33" t="s">
        <v>20679</v>
      </c>
    </row>
    <row r="1365" spans="1:2" x14ac:dyDescent="0.25">
      <c r="A1365" s="33">
        <v>7120000004</v>
      </c>
      <c r="B1365" s="33" t="s">
        <v>20680</v>
      </c>
    </row>
    <row r="1366" spans="1:2" x14ac:dyDescent="0.25">
      <c r="A1366" s="33">
        <v>7120000005</v>
      </c>
      <c r="B1366" s="33" t="s">
        <v>20681</v>
      </c>
    </row>
    <row r="1367" spans="1:2" x14ac:dyDescent="0.25">
      <c r="A1367" s="33">
        <v>7120000006</v>
      </c>
      <c r="B1367" s="33" t="s">
        <v>20682</v>
      </c>
    </row>
    <row r="1368" spans="1:2" x14ac:dyDescent="0.25">
      <c r="A1368" s="33">
        <v>7140000001</v>
      </c>
      <c r="B1368" s="33" t="s">
        <v>20683</v>
      </c>
    </row>
    <row r="1369" spans="1:2" x14ac:dyDescent="0.25">
      <c r="A1369" s="33">
        <v>7140000002</v>
      </c>
      <c r="B1369" s="33" t="s">
        <v>20684</v>
      </c>
    </row>
    <row r="1370" spans="1:2" x14ac:dyDescent="0.25">
      <c r="A1370" s="33">
        <v>7140000003</v>
      </c>
      <c r="B1370" s="33" t="s">
        <v>20685</v>
      </c>
    </row>
    <row r="1371" spans="1:2" x14ac:dyDescent="0.25">
      <c r="A1371" s="33">
        <v>7140000004</v>
      </c>
      <c r="B1371" s="33" t="s">
        <v>20686</v>
      </c>
    </row>
    <row r="1372" spans="1:2" x14ac:dyDescent="0.25">
      <c r="A1372" s="33">
        <v>7140000005</v>
      </c>
      <c r="B1372" s="33" t="s">
        <v>20687</v>
      </c>
    </row>
    <row r="1373" spans="1:2" x14ac:dyDescent="0.25">
      <c r="A1373" s="33">
        <v>7140000006</v>
      </c>
      <c r="B1373" s="33" t="s">
        <v>20688</v>
      </c>
    </row>
    <row r="1374" spans="1:2" x14ac:dyDescent="0.25">
      <c r="A1374" s="33">
        <v>7140000007</v>
      </c>
      <c r="B1374" s="33" t="s">
        <v>20689</v>
      </c>
    </row>
    <row r="1375" spans="1:2" x14ac:dyDescent="0.25">
      <c r="A1375" s="33">
        <v>7140000008</v>
      </c>
      <c r="B1375" s="33" t="s">
        <v>20690</v>
      </c>
    </row>
    <row r="1376" spans="1:2" x14ac:dyDescent="0.25">
      <c r="A1376" s="33">
        <v>7200000001</v>
      </c>
      <c r="B1376" s="33" t="s">
        <v>20691</v>
      </c>
    </row>
    <row r="1377" spans="1:2" x14ac:dyDescent="0.25">
      <c r="A1377" s="33">
        <v>7200000002</v>
      </c>
      <c r="B1377" s="33" t="s">
        <v>20692</v>
      </c>
    </row>
    <row r="1378" spans="1:2" x14ac:dyDescent="0.25">
      <c r="A1378" s="33">
        <v>7200000003</v>
      </c>
      <c r="B1378" s="33" t="s">
        <v>20693</v>
      </c>
    </row>
    <row r="1379" spans="1:2" x14ac:dyDescent="0.25">
      <c r="A1379" s="33">
        <v>7200000004</v>
      </c>
      <c r="B1379" s="33" t="s">
        <v>20694</v>
      </c>
    </row>
    <row r="1380" spans="1:2" x14ac:dyDescent="0.25">
      <c r="A1380" s="33">
        <v>7200000005</v>
      </c>
      <c r="B1380" s="33" t="s">
        <v>20695</v>
      </c>
    </row>
    <row r="1381" spans="1:2" x14ac:dyDescent="0.25">
      <c r="A1381" s="33">
        <v>7200000006</v>
      </c>
      <c r="B1381" s="33" t="s">
        <v>20696</v>
      </c>
    </row>
    <row r="1382" spans="1:2" x14ac:dyDescent="0.25">
      <c r="A1382" s="33">
        <v>7200000007</v>
      </c>
      <c r="B1382" s="33" t="s">
        <v>20697</v>
      </c>
    </row>
    <row r="1383" spans="1:2" x14ac:dyDescent="0.25">
      <c r="A1383" s="33">
        <v>7200000008</v>
      </c>
      <c r="B1383" s="33" t="s">
        <v>20698</v>
      </c>
    </row>
    <row r="1384" spans="1:2" x14ac:dyDescent="0.25">
      <c r="A1384" s="33">
        <v>7200000009</v>
      </c>
      <c r="B1384" s="33" t="s">
        <v>20699</v>
      </c>
    </row>
    <row r="1385" spans="1:2" x14ac:dyDescent="0.25">
      <c r="A1385" s="33">
        <v>7200000010</v>
      </c>
      <c r="B1385" s="33" t="s">
        <v>20700</v>
      </c>
    </row>
    <row r="1386" spans="1:2" x14ac:dyDescent="0.25">
      <c r="A1386" s="33">
        <v>7200000011</v>
      </c>
      <c r="B1386" s="33" t="s">
        <v>20701</v>
      </c>
    </row>
    <row r="1387" spans="1:2" x14ac:dyDescent="0.25">
      <c r="A1387" s="33">
        <v>7220000001</v>
      </c>
      <c r="B1387" s="33" t="s">
        <v>20702</v>
      </c>
    </row>
    <row r="1388" spans="1:2" x14ac:dyDescent="0.25">
      <c r="A1388" s="33">
        <v>7220000002</v>
      </c>
      <c r="B1388" s="33" t="s">
        <v>20703</v>
      </c>
    </row>
    <row r="1389" spans="1:2" x14ac:dyDescent="0.25">
      <c r="A1389" s="33">
        <v>7220000003</v>
      </c>
      <c r="B1389" s="33" t="s">
        <v>20704</v>
      </c>
    </row>
    <row r="1390" spans="1:2" x14ac:dyDescent="0.25">
      <c r="A1390" s="33">
        <v>7220000004</v>
      </c>
      <c r="B1390" s="33" t="s">
        <v>20705</v>
      </c>
    </row>
    <row r="1391" spans="1:2" x14ac:dyDescent="0.25">
      <c r="A1391" s="33">
        <v>7220000005</v>
      </c>
      <c r="B1391" s="33" t="s">
        <v>20706</v>
      </c>
    </row>
    <row r="1392" spans="1:2" x14ac:dyDescent="0.25">
      <c r="A1392" s="33">
        <v>7220000006</v>
      </c>
      <c r="B1392" s="33" t="s">
        <v>20707</v>
      </c>
    </row>
    <row r="1393" spans="1:2" x14ac:dyDescent="0.25">
      <c r="A1393" s="33">
        <v>7220000007</v>
      </c>
      <c r="B1393" s="33" t="s">
        <v>20708</v>
      </c>
    </row>
    <row r="1394" spans="1:2" x14ac:dyDescent="0.25">
      <c r="A1394" s="33">
        <v>7220000008</v>
      </c>
      <c r="B1394" s="33" t="s">
        <v>20709</v>
      </c>
    </row>
    <row r="1395" spans="1:2" x14ac:dyDescent="0.25">
      <c r="A1395" s="33">
        <v>7220000009</v>
      </c>
      <c r="B1395" s="33" t="s">
        <v>20710</v>
      </c>
    </row>
    <row r="1396" spans="1:2" x14ac:dyDescent="0.25">
      <c r="A1396" s="33">
        <v>7220000010</v>
      </c>
      <c r="B1396" s="33" t="s">
        <v>20711</v>
      </c>
    </row>
    <row r="1397" spans="1:2" x14ac:dyDescent="0.25">
      <c r="A1397" s="33">
        <v>7220000011</v>
      </c>
      <c r="B1397" s="33" t="s">
        <v>20712</v>
      </c>
    </row>
    <row r="1398" spans="1:2" x14ac:dyDescent="0.25">
      <c r="A1398" s="33">
        <v>7220000012</v>
      </c>
      <c r="B1398" s="33" t="s">
        <v>20713</v>
      </c>
    </row>
    <row r="1399" spans="1:2" x14ac:dyDescent="0.25">
      <c r="A1399" s="33">
        <v>7220000013</v>
      </c>
      <c r="B1399" s="33" t="s">
        <v>20714</v>
      </c>
    </row>
    <row r="1400" spans="1:2" x14ac:dyDescent="0.25">
      <c r="A1400" s="33">
        <v>7220000014</v>
      </c>
      <c r="B1400" s="33" t="s">
        <v>20715</v>
      </c>
    </row>
    <row r="1401" spans="1:2" x14ac:dyDescent="0.25">
      <c r="A1401" s="33">
        <v>7220000015</v>
      </c>
      <c r="B1401" s="33" t="s">
        <v>20716</v>
      </c>
    </row>
    <row r="1402" spans="1:2" x14ac:dyDescent="0.25">
      <c r="A1402" s="33">
        <v>7220000016</v>
      </c>
      <c r="B1402" s="33" t="s">
        <v>20717</v>
      </c>
    </row>
    <row r="1403" spans="1:2" x14ac:dyDescent="0.25">
      <c r="A1403" s="33">
        <v>7220000017</v>
      </c>
      <c r="B1403" s="33" t="s">
        <v>20718</v>
      </c>
    </row>
    <row r="1404" spans="1:2" x14ac:dyDescent="0.25">
      <c r="A1404" s="33">
        <v>7220000018</v>
      </c>
      <c r="B1404" s="33" t="s">
        <v>20719</v>
      </c>
    </row>
    <row r="1405" spans="1:2" x14ac:dyDescent="0.25">
      <c r="A1405" s="33">
        <v>7220000019</v>
      </c>
      <c r="B1405" s="33" t="s">
        <v>20720</v>
      </c>
    </row>
    <row r="1406" spans="1:2" x14ac:dyDescent="0.25">
      <c r="A1406" s="33">
        <v>7220000020</v>
      </c>
      <c r="B1406" s="33" t="s">
        <v>20721</v>
      </c>
    </row>
    <row r="1407" spans="1:2" x14ac:dyDescent="0.25">
      <c r="A1407" s="33">
        <v>7240000001</v>
      </c>
      <c r="B1407" s="33" t="s">
        <v>20722</v>
      </c>
    </row>
    <row r="1408" spans="1:2" x14ac:dyDescent="0.25">
      <c r="A1408" s="33">
        <v>7240000002</v>
      </c>
      <c r="B1408" s="33" t="s">
        <v>20723</v>
      </c>
    </row>
    <row r="1409" spans="1:2" x14ac:dyDescent="0.25">
      <c r="A1409" s="33">
        <v>7240000003</v>
      </c>
      <c r="B1409" s="33" t="s">
        <v>20724</v>
      </c>
    </row>
    <row r="1410" spans="1:2" x14ac:dyDescent="0.25">
      <c r="A1410" s="33">
        <v>7240000004</v>
      </c>
      <c r="B1410" s="33" t="s">
        <v>20725</v>
      </c>
    </row>
    <row r="1411" spans="1:2" x14ac:dyDescent="0.25">
      <c r="A1411" s="33">
        <v>7240000005</v>
      </c>
      <c r="B1411" s="33" t="s">
        <v>20726</v>
      </c>
    </row>
    <row r="1412" spans="1:2" x14ac:dyDescent="0.25">
      <c r="A1412" s="33">
        <v>7240000006</v>
      </c>
      <c r="B1412" s="33" t="s">
        <v>20727</v>
      </c>
    </row>
    <row r="1413" spans="1:2" x14ac:dyDescent="0.25">
      <c r="A1413" s="33">
        <v>7240000007</v>
      </c>
      <c r="B1413" s="33" t="s">
        <v>20728</v>
      </c>
    </row>
    <row r="1414" spans="1:2" x14ac:dyDescent="0.25">
      <c r="A1414" s="33">
        <v>7240000008</v>
      </c>
      <c r="B1414" s="33" t="s">
        <v>20729</v>
      </c>
    </row>
    <row r="1415" spans="1:2" x14ac:dyDescent="0.25">
      <c r="A1415" s="33">
        <v>7240000009</v>
      </c>
      <c r="B1415" s="33" t="s">
        <v>20730</v>
      </c>
    </row>
    <row r="1416" spans="1:2" x14ac:dyDescent="0.25">
      <c r="A1416" s="33">
        <v>7240000010</v>
      </c>
      <c r="B1416" s="33" t="s">
        <v>20731</v>
      </c>
    </row>
    <row r="1417" spans="1:2" x14ac:dyDescent="0.25">
      <c r="A1417" s="33">
        <v>7240000011</v>
      </c>
      <c r="B1417" s="33" t="s">
        <v>20732</v>
      </c>
    </row>
    <row r="1418" spans="1:2" x14ac:dyDescent="0.25">
      <c r="A1418" s="33">
        <v>7240000012</v>
      </c>
      <c r="B1418" s="33" t="s">
        <v>20733</v>
      </c>
    </row>
    <row r="1419" spans="1:2" x14ac:dyDescent="0.25">
      <c r="A1419" s="33">
        <v>7240000013</v>
      </c>
      <c r="B1419" s="33" t="s">
        <v>20734</v>
      </c>
    </row>
    <row r="1420" spans="1:2" x14ac:dyDescent="0.25">
      <c r="A1420" s="33">
        <v>7240000014</v>
      </c>
      <c r="B1420" s="33" t="s">
        <v>20735</v>
      </c>
    </row>
    <row r="1421" spans="1:2" x14ac:dyDescent="0.25">
      <c r="A1421" s="33">
        <v>7300007000</v>
      </c>
      <c r="B1421" s="33" t="s">
        <v>20736</v>
      </c>
    </row>
    <row r="1422" spans="1:2" x14ac:dyDescent="0.25">
      <c r="A1422" s="33">
        <v>7300110001</v>
      </c>
      <c r="B1422" s="33" t="s">
        <v>20737</v>
      </c>
    </row>
    <row r="1423" spans="1:2" x14ac:dyDescent="0.25">
      <c r="A1423" s="33">
        <v>7300110002</v>
      </c>
      <c r="B1423" s="33" t="s">
        <v>20738</v>
      </c>
    </row>
    <row r="1424" spans="1:2" x14ac:dyDescent="0.25">
      <c r="A1424" s="33">
        <v>7300110003</v>
      </c>
      <c r="B1424" s="33" t="s">
        <v>20739</v>
      </c>
    </row>
    <row r="1425" spans="1:2" x14ac:dyDescent="0.25">
      <c r="A1425" s="33">
        <v>7300110004</v>
      </c>
      <c r="B1425" s="33" t="s">
        <v>20740</v>
      </c>
    </row>
    <row r="1426" spans="1:2" x14ac:dyDescent="0.25">
      <c r="A1426" s="33">
        <v>7300110005</v>
      </c>
      <c r="B1426" s="33" t="s">
        <v>20741</v>
      </c>
    </row>
    <row r="1427" spans="1:2" x14ac:dyDescent="0.25">
      <c r="A1427" s="33">
        <v>7300110006</v>
      </c>
      <c r="B1427" s="33" t="s">
        <v>20742</v>
      </c>
    </row>
    <row r="1428" spans="1:2" x14ac:dyDescent="0.25">
      <c r="A1428" s="33">
        <v>7300110007</v>
      </c>
      <c r="B1428" s="33" t="s">
        <v>20743</v>
      </c>
    </row>
    <row r="1429" spans="1:2" x14ac:dyDescent="0.25">
      <c r="A1429" s="33">
        <v>7300110008</v>
      </c>
      <c r="B1429" s="33" t="s">
        <v>20744</v>
      </c>
    </row>
    <row r="1430" spans="1:2" x14ac:dyDescent="0.25">
      <c r="A1430" s="33">
        <v>7300110009</v>
      </c>
      <c r="B1430" s="33" t="s">
        <v>20745</v>
      </c>
    </row>
    <row r="1431" spans="1:2" x14ac:dyDescent="0.25">
      <c r="A1431" s="33">
        <v>7300110010</v>
      </c>
      <c r="B1431" s="33" t="s">
        <v>20746</v>
      </c>
    </row>
    <row r="1432" spans="1:2" x14ac:dyDescent="0.25">
      <c r="A1432" s="33">
        <v>7300110011</v>
      </c>
      <c r="B1432" s="33" t="s">
        <v>20747</v>
      </c>
    </row>
    <row r="1433" spans="1:2" x14ac:dyDescent="0.25">
      <c r="A1433" s="33">
        <v>7300110012</v>
      </c>
      <c r="B1433" s="33" t="s">
        <v>20748</v>
      </c>
    </row>
    <row r="1434" spans="1:2" x14ac:dyDescent="0.25">
      <c r="A1434" s="33">
        <v>7300110013</v>
      </c>
      <c r="B1434" s="33" t="s">
        <v>20749</v>
      </c>
    </row>
    <row r="1435" spans="1:2" x14ac:dyDescent="0.25">
      <c r="A1435" s="33">
        <v>7300110014</v>
      </c>
      <c r="B1435" s="33" t="s">
        <v>20750</v>
      </c>
    </row>
    <row r="1436" spans="1:2" x14ac:dyDescent="0.25">
      <c r="A1436" s="33">
        <v>7300110015</v>
      </c>
      <c r="B1436" s="33" t="s">
        <v>20751</v>
      </c>
    </row>
    <row r="1437" spans="1:2" x14ac:dyDescent="0.25">
      <c r="A1437" s="33">
        <v>7300110016</v>
      </c>
      <c r="B1437" s="33" t="s">
        <v>20752</v>
      </c>
    </row>
    <row r="1438" spans="1:2" x14ac:dyDescent="0.25">
      <c r="A1438" s="33">
        <v>7300110017</v>
      </c>
      <c r="B1438" s="33" t="s">
        <v>20753</v>
      </c>
    </row>
    <row r="1439" spans="1:2" x14ac:dyDescent="0.25">
      <c r="A1439" s="33">
        <v>7300110018</v>
      </c>
      <c r="B1439" s="33" t="s">
        <v>20754</v>
      </c>
    </row>
    <row r="1440" spans="1:2" x14ac:dyDescent="0.25">
      <c r="A1440" s="33">
        <v>7300110019</v>
      </c>
      <c r="B1440" s="33" t="s">
        <v>20755</v>
      </c>
    </row>
    <row r="1441" spans="1:2" x14ac:dyDescent="0.25">
      <c r="A1441" s="33">
        <v>7300110020</v>
      </c>
      <c r="B1441" s="33" t="s">
        <v>20756</v>
      </c>
    </row>
    <row r="1442" spans="1:2" x14ac:dyDescent="0.25">
      <c r="A1442" s="33">
        <v>7300110021</v>
      </c>
      <c r="B1442" s="33" t="s">
        <v>20757</v>
      </c>
    </row>
    <row r="1443" spans="1:2" x14ac:dyDescent="0.25">
      <c r="A1443" s="33">
        <v>7300110022</v>
      </c>
      <c r="B1443" s="33" t="s">
        <v>20758</v>
      </c>
    </row>
    <row r="1444" spans="1:2" x14ac:dyDescent="0.25">
      <c r="A1444" s="33">
        <v>7300110023</v>
      </c>
      <c r="B1444" s="33" t="s">
        <v>20759</v>
      </c>
    </row>
    <row r="1445" spans="1:2" x14ac:dyDescent="0.25">
      <c r="A1445" s="33">
        <v>7300110024</v>
      </c>
      <c r="B1445" s="33" t="s">
        <v>20760</v>
      </c>
    </row>
    <row r="1446" spans="1:2" x14ac:dyDescent="0.25">
      <c r="A1446" s="33">
        <v>7300110027</v>
      </c>
      <c r="B1446" s="33" t="s">
        <v>20761</v>
      </c>
    </row>
    <row r="1447" spans="1:2" x14ac:dyDescent="0.25">
      <c r="A1447" s="33">
        <v>7300110032</v>
      </c>
      <c r="B1447" s="33" t="s">
        <v>20762</v>
      </c>
    </row>
    <row r="1448" spans="1:2" x14ac:dyDescent="0.25">
      <c r="A1448" s="33">
        <v>7300110033</v>
      </c>
      <c r="B1448" s="33" t="s">
        <v>20763</v>
      </c>
    </row>
    <row r="1449" spans="1:2" x14ac:dyDescent="0.25">
      <c r="A1449" s="33">
        <v>7300110034</v>
      </c>
      <c r="B1449" s="33" t="s">
        <v>20764</v>
      </c>
    </row>
    <row r="1450" spans="1:2" x14ac:dyDescent="0.25">
      <c r="A1450" s="33">
        <v>7300110035</v>
      </c>
      <c r="B1450" s="33" t="s">
        <v>20765</v>
      </c>
    </row>
    <row r="1451" spans="1:2" x14ac:dyDescent="0.25">
      <c r="A1451" s="33">
        <v>7300110036</v>
      </c>
      <c r="B1451" s="33" t="s">
        <v>20766</v>
      </c>
    </row>
    <row r="1452" spans="1:2" x14ac:dyDescent="0.25">
      <c r="A1452" s="33">
        <v>7300110037</v>
      </c>
      <c r="B1452" s="33" t="s">
        <v>20767</v>
      </c>
    </row>
    <row r="1453" spans="1:2" x14ac:dyDescent="0.25">
      <c r="A1453" s="33">
        <v>7300110038</v>
      </c>
      <c r="B1453" s="33" t="s">
        <v>20768</v>
      </c>
    </row>
    <row r="1454" spans="1:2" x14ac:dyDescent="0.25">
      <c r="A1454" s="33">
        <v>7300110039</v>
      </c>
      <c r="B1454" s="33" t="s">
        <v>20769</v>
      </c>
    </row>
    <row r="1455" spans="1:2" x14ac:dyDescent="0.25">
      <c r="A1455" s="33">
        <v>7300110040</v>
      </c>
      <c r="B1455" s="33" t="s">
        <v>20770</v>
      </c>
    </row>
    <row r="1456" spans="1:2" x14ac:dyDescent="0.25">
      <c r="A1456" s="33">
        <v>7300110041</v>
      </c>
      <c r="B1456" s="33" t="s">
        <v>20771</v>
      </c>
    </row>
    <row r="1457" spans="1:2" x14ac:dyDescent="0.25">
      <c r="A1457" s="33">
        <v>7300120001</v>
      </c>
      <c r="B1457" s="33" t="s">
        <v>20772</v>
      </c>
    </row>
    <row r="1458" spans="1:2" x14ac:dyDescent="0.25">
      <c r="A1458" s="33">
        <v>7301120001</v>
      </c>
      <c r="B1458" s="33" t="s">
        <v>20773</v>
      </c>
    </row>
    <row r="1459" spans="1:2" x14ac:dyDescent="0.25">
      <c r="A1459" s="33">
        <v>7301120002</v>
      </c>
      <c r="B1459" s="33" t="s">
        <v>20774</v>
      </c>
    </row>
    <row r="1460" spans="1:2" x14ac:dyDescent="0.25">
      <c r="A1460" s="33">
        <v>7301130001</v>
      </c>
      <c r="B1460" s="33" t="s">
        <v>20775</v>
      </c>
    </row>
    <row r="1461" spans="1:2" x14ac:dyDescent="0.25">
      <c r="A1461" s="33">
        <v>7301130002</v>
      </c>
      <c r="B1461" s="33" t="s">
        <v>20776</v>
      </c>
    </row>
    <row r="1462" spans="1:2" x14ac:dyDescent="0.25">
      <c r="A1462" s="33">
        <v>7301130003</v>
      </c>
      <c r="B1462" s="33" t="s">
        <v>20777</v>
      </c>
    </row>
    <row r="1463" spans="1:2" x14ac:dyDescent="0.25">
      <c r="A1463" s="33">
        <v>7301130004</v>
      </c>
      <c r="B1463" s="33" t="s">
        <v>20778</v>
      </c>
    </row>
    <row r="1464" spans="1:2" x14ac:dyDescent="0.25">
      <c r="A1464" s="33">
        <v>7301130005</v>
      </c>
      <c r="B1464" s="33" t="s">
        <v>20779</v>
      </c>
    </row>
    <row r="1465" spans="1:2" x14ac:dyDescent="0.25">
      <c r="A1465" s="33">
        <v>7301130006</v>
      </c>
      <c r="B1465" s="33" t="s">
        <v>20780</v>
      </c>
    </row>
    <row r="1466" spans="1:2" x14ac:dyDescent="0.25">
      <c r="A1466" s="33">
        <v>7301130007</v>
      </c>
      <c r="B1466" s="33" t="s">
        <v>20781</v>
      </c>
    </row>
    <row r="1467" spans="1:2" x14ac:dyDescent="0.25">
      <c r="A1467" s="33">
        <v>7301130008</v>
      </c>
      <c r="B1467" s="33" t="s">
        <v>20782</v>
      </c>
    </row>
    <row r="1468" spans="1:2" x14ac:dyDescent="0.25">
      <c r="A1468" s="33">
        <v>7301130009</v>
      </c>
      <c r="B1468" s="33" t="s">
        <v>20783</v>
      </c>
    </row>
    <row r="1469" spans="1:2" x14ac:dyDescent="0.25">
      <c r="A1469" s="33">
        <v>7301130010</v>
      </c>
      <c r="B1469" s="33" t="s">
        <v>20784</v>
      </c>
    </row>
    <row r="1470" spans="1:2" x14ac:dyDescent="0.25">
      <c r="A1470" s="33">
        <v>7301130011</v>
      </c>
      <c r="B1470" s="33" t="s">
        <v>20785</v>
      </c>
    </row>
    <row r="1471" spans="1:2" x14ac:dyDescent="0.25">
      <c r="A1471" s="33">
        <v>7301130012</v>
      </c>
      <c r="B1471" s="33" t="s">
        <v>20786</v>
      </c>
    </row>
    <row r="1472" spans="1:2" x14ac:dyDescent="0.25">
      <c r="A1472" s="33">
        <v>7301130013</v>
      </c>
      <c r="B1472" s="33" t="s">
        <v>20787</v>
      </c>
    </row>
    <row r="1473" spans="1:2" x14ac:dyDescent="0.25">
      <c r="A1473" s="33">
        <v>7301140001</v>
      </c>
      <c r="B1473" s="33" t="s">
        <v>20788</v>
      </c>
    </row>
    <row r="1474" spans="1:2" x14ac:dyDescent="0.25">
      <c r="A1474" s="33">
        <v>7301140002</v>
      </c>
      <c r="B1474" s="33" t="s">
        <v>20789</v>
      </c>
    </row>
    <row r="1475" spans="1:2" x14ac:dyDescent="0.25">
      <c r="A1475" s="33">
        <v>7301140003</v>
      </c>
      <c r="B1475" s="33" t="s">
        <v>20790</v>
      </c>
    </row>
    <row r="1476" spans="1:2" x14ac:dyDescent="0.25">
      <c r="A1476" s="33">
        <v>7301140004</v>
      </c>
      <c r="B1476" s="33" t="s">
        <v>20791</v>
      </c>
    </row>
    <row r="1477" spans="1:2" x14ac:dyDescent="0.25">
      <c r="A1477" s="33">
        <v>7301140005</v>
      </c>
      <c r="B1477" s="33" t="s">
        <v>20792</v>
      </c>
    </row>
    <row r="1478" spans="1:2" x14ac:dyDescent="0.25">
      <c r="A1478" s="33">
        <v>7301140006</v>
      </c>
      <c r="B1478" s="33" t="s">
        <v>20793</v>
      </c>
    </row>
    <row r="1479" spans="1:2" x14ac:dyDescent="0.25">
      <c r="A1479" s="33">
        <v>7301140007</v>
      </c>
      <c r="B1479" s="33" t="s">
        <v>20794</v>
      </c>
    </row>
    <row r="1480" spans="1:2" x14ac:dyDescent="0.25">
      <c r="A1480" s="33">
        <v>7301140008</v>
      </c>
      <c r="B1480" s="33" t="s">
        <v>20795</v>
      </c>
    </row>
    <row r="1481" spans="1:2" x14ac:dyDescent="0.25">
      <c r="A1481" s="33">
        <v>7301140009</v>
      </c>
      <c r="B1481" s="33" t="s">
        <v>20796</v>
      </c>
    </row>
    <row r="1482" spans="1:2" x14ac:dyDescent="0.25">
      <c r="A1482" s="33">
        <v>7301140010</v>
      </c>
      <c r="B1482" s="33" t="s">
        <v>20797</v>
      </c>
    </row>
    <row r="1483" spans="1:2" x14ac:dyDescent="0.25">
      <c r="A1483" s="33">
        <v>7301140011</v>
      </c>
      <c r="B1483" s="33" t="s">
        <v>20798</v>
      </c>
    </row>
    <row r="1484" spans="1:2" x14ac:dyDescent="0.25">
      <c r="A1484" s="33">
        <v>7301140012</v>
      </c>
      <c r="B1484" s="33" t="s">
        <v>20799</v>
      </c>
    </row>
    <row r="1485" spans="1:2" x14ac:dyDescent="0.25">
      <c r="A1485" s="33">
        <v>7301140013</v>
      </c>
      <c r="B1485" s="33" t="s">
        <v>20800</v>
      </c>
    </row>
    <row r="1486" spans="1:2" x14ac:dyDescent="0.25">
      <c r="A1486" s="33">
        <v>7301140014</v>
      </c>
      <c r="B1486" s="33" t="s">
        <v>20801</v>
      </c>
    </row>
    <row r="1487" spans="1:2" x14ac:dyDescent="0.25">
      <c r="A1487" s="33">
        <v>7301140015</v>
      </c>
      <c r="B1487" s="33" t="s">
        <v>20802</v>
      </c>
    </row>
    <row r="1488" spans="1:2" x14ac:dyDescent="0.25">
      <c r="A1488" s="33">
        <v>7301140016</v>
      </c>
      <c r="B1488" s="33" t="s">
        <v>20803</v>
      </c>
    </row>
    <row r="1489" spans="1:2" x14ac:dyDescent="0.25">
      <c r="A1489" s="33">
        <v>7301140017</v>
      </c>
      <c r="B1489" s="33" t="s">
        <v>20804</v>
      </c>
    </row>
    <row r="1490" spans="1:2" x14ac:dyDescent="0.25">
      <c r="A1490" s="33">
        <v>7301140018</v>
      </c>
      <c r="B1490" s="33" t="s">
        <v>20805</v>
      </c>
    </row>
    <row r="1491" spans="1:2" x14ac:dyDescent="0.25">
      <c r="A1491" s="33">
        <v>7301140019</v>
      </c>
      <c r="B1491" s="33" t="s">
        <v>20806</v>
      </c>
    </row>
    <row r="1492" spans="1:2" x14ac:dyDescent="0.25">
      <c r="A1492" s="33">
        <v>7301140020</v>
      </c>
      <c r="B1492" s="33" t="s">
        <v>20807</v>
      </c>
    </row>
    <row r="1493" spans="1:2" x14ac:dyDescent="0.25">
      <c r="A1493" s="33">
        <v>7301150001</v>
      </c>
      <c r="B1493" s="33" t="s">
        <v>20808</v>
      </c>
    </row>
    <row r="1494" spans="1:2" x14ac:dyDescent="0.25">
      <c r="A1494" s="33">
        <v>7301150002</v>
      </c>
      <c r="B1494" s="33" t="s">
        <v>20809</v>
      </c>
    </row>
    <row r="1495" spans="1:2" x14ac:dyDescent="0.25">
      <c r="A1495" s="33">
        <v>7301150003</v>
      </c>
      <c r="B1495" s="33" t="s">
        <v>20810</v>
      </c>
    </row>
    <row r="1496" spans="1:2" x14ac:dyDescent="0.25">
      <c r="A1496" s="33">
        <v>7301150004</v>
      </c>
      <c r="B1496" s="33" t="s">
        <v>20811</v>
      </c>
    </row>
    <row r="1497" spans="1:2" x14ac:dyDescent="0.25">
      <c r="A1497" s="33">
        <v>7301160001</v>
      </c>
      <c r="B1497" s="33" t="s">
        <v>20812</v>
      </c>
    </row>
    <row r="1498" spans="1:2" x14ac:dyDescent="0.25">
      <c r="A1498" s="33">
        <v>7301160002</v>
      </c>
      <c r="B1498" s="33" t="s">
        <v>20813</v>
      </c>
    </row>
    <row r="1499" spans="1:2" x14ac:dyDescent="0.25">
      <c r="A1499" s="33">
        <v>7310120001</v>
      </c>
      <c r="B1499" s="33" t="s">
        <v>20814</v>
      </c>
    </row>
    <row r="1500" spans="1:2" x14ac:dyDescent="0.25">
      <c r="A1500" s="33">
        <v>7310140001</v>
      </c>
      <c r="B1500" s="33" t="s">
        <v>20815</v>
      </c>
    </row>
    <row r="1501" spans="1:2" x14ac:dyDescent="0.25">
      <c r="A1501" s="33">
        <v>7310140002</v>
      </c>
      <c r="B1501" s="33" t="s">
        <v>20816</v>
      </c>
    </row>
    <row r="1502" spans="1:2" x14ac:dyDescent="0.25">
      <c r="A1502" s="33">
        <v>7310140003</v>
      </c>
      <c r="B1502" s="33" t="s">
        <v>20817</v>
      </c>
    </row>
    <row r="1503" spans="1:2" x14ac:dyDescent="0.25">
      <c r="A1503" s="33">
        <v>7310140004</v>
      </c>
      <c r="B1503" s="33" t="s">
        <v>20818</v>
      </c>
    </row>
    <row r="1504" spans="1:2" x14ac:dyDescent="0.25">
      <c r="A1504" s="33">
        <v>7310140005</v>
      </c>
      <c r="B1504" s="33" t="s">
        <v>20819</v>
      </c>
    </row>
    <row r="1505" spans="1:2" x14ac:dyDescent="0.25">
      <c r="A1505" s="33">
        <v>7310140006</v>
      </c>
      <c r="B1505" s="33" t="s">
        <v>20820</v>
      </c>
    </row>
    <row r="1506" spans="1:2" x14ac:dyDescent="0.25">
      <c r="A1506" s="33">
        <v>7310140007</v>
      </c>
      <c r="B1506" s="33" t="s">
        <v>20821</v>
      </c>
    </row>
    <row r="1507" spans="1:2" x14ac:dyDescent="0.25">
      <c r="A1507" s="33">
        <v>7310140008</v>
      </c>
      <c r="B1507" s="33" t="s">
        <v>20822</v>
      </c>
    </row>
    <row r="1508" spans="1:2" x14ac:dyDescent="0.25">
      <c r="A1508" s="33">
        <v>7310140009</v>
      </c>
      <c r="B1508" s="33" t="s">
        <v>20823</v>
      </c>
    </row>
    <row r="1509" spans="1:2" x14ac:dyDescent="0.25">
      <c r="A1509" s="33">
        <v>7310140010</v>
      </c>
      <c r="B1509" s="33" t="s">
        <v>20824</v>
      </c>
    </row>
    <row r="1510" spans="1:2" x14ac:dyDescent="0.25">
      <c r="A1510" s="33">
        <v>7310140011</v>
      </c>
      <c r="B1510" s="33" t="s">
        <v>20825</v>
      </c>
    </row>
    <row r="1511" spans="1:2" x14ac:dyDescent="0.25">
      <c r="A1511" s="33">
        <v>7310140012</v>
      </c>
      <c r="B1511" s="33" t="s">
        <v>20826</v>
      </c>
    </row>
    <row r="1512" spans="1:2" x14ac:dyDescent="0.25">
      <c r="A1512" s="33">
        <v>7310140013</v>
      </c>
      <c r="B1512" s="33" t="s">
        <v>20827</v>
      </c>
    </row>
    <row r="1513" spans="1:2" x14ac:dyDescent="0.25">
      <c r="A1513" s="33">
        <v>7310150001</v>
      </c>
      <c r="B1513" s="33" t="s">
        <v>20828</v>
      </c>
    </row>
    <row r="1514" spans="1:2" x14ac:dyDescent="0.25">
      <c r="A1514" s="33">
        <v>7310150002</v>
      </c>
      <c r="B1514" s="33" t="s">
        <v>20829</v>
      </c>
    </row>
    <row r="1515" spans="1:2" x14ac:dyDescent="0.25">
      <c r="A1515" s="33">
        <v>7310150003</v>
      </c>
      <c r="B1515" s="33" t="s">
        <v>20830</v>
      </c>
    </row>
    <row r="1516" spans="1:2" x14ac:dyDescent="0.25">
      <c r="A1516" s="33">
        <v>7310150004</v>
      </c>
      <c r="B1516" s="33" t="s">
        <v>20831</v>
      </c>
    </row>
    <row r="1517" spans="1:2" x14ac:dyDescent="0.25">
      <c r="A1517" s="33">
        <v>7310160001</v>
      </c>
      <c r="B1517" s="33" t="s">
        <v>20832</v>
      </c>
    </row>
    <row r="1518" spans="1:2" x14ac:dyDescent="0.25">
      <c r="A1518" s="33">
        <v>7311120001</v>
      </c>
      <c r="B1518" s="33" t="s">
        <v>20833</v>
      </c>
    </row>
    <row r="1519" spans="1:2" x14ac:dyDescent="0.25">
      <c r="A1519" s="33">
        <v>7311120002</v>
      </c>
      <c r="B1519" s="33" t="s">
        <v>20834</v>
      </c>
    </row>
    <row r="1520" spans="1:2" x14ac:dyDescent="0.25">
      <c r="A1520" s="33">
        <v>7320110001</v>
      </c>
      <c r="B1520" s="33" t="s">
        <v>20835</v>
      </c>
    </row>
    <row r="1521" spans="1:2" x14ac:dyDescent="0.25">
      <c r="A1521" s="33">
        <v>7320110002</v>
      </c>
      <c r="B1521" s="33" t="s">
        <v>20836</v>
      </c>
    </row>
    <row r="1522" spans="1:2" x14ac:dyDescent="0.25">
      <c r="A1522" s="33">
        <v>7320110003</v>
      </c>
      <c r="B1522" s="33" t="s">
        <v>20837</v>
      </c>
    </row>
    <row r="1523" spans="1:2" x14ac:dyDescent="0.25">
      <c r="A1523" s="33">
        <v>7320110004</v>
      </c>
      <c r="B1523" s="33" t="s">
        <v>20838</v>
      </c>
    </row>
    <row r="1524" spans="1:2" x14ac:dyDescent="0.25">
      <c r="A1524" s="33">
        <v>7320110005</v>
      </c>
      <c r="B1524" s="33" t="s">
        <v>20839</v>
      </c>
    </row>
    <row r="1525" spans="1:2" x14ac:dyDescent="0.25">
      <c r="A1525" s="33">
        <v>7320110006</v>
      </c>
      <c r="B1525" s="33" t="s">
        <v>20840</v>
      </c>
    </row>
    <row r="1526" spans="1:2" x14ac:dyDescent="0.25">
      <c r="A1526" s="33">
        <v>7320110007</v>
      </c>
      <c r="B1526" s="33" t="s">
        <v>20841</v>
      </c>
    </row>
    <row r="1527" spans="1:2" x14ac:dyDescent="0.25">
      <c r="A1527" s="33">
        <v>7320110008</v>
      </c>
      <c r="B1527" s="33" t="s">
        <v>20842</v>
      </c>
    </row>
    <row r="1528" spans="1:2" x14ac:dyDescent="0.25">
      <c r="A1528" s="33">
        <v>7320110009</v>
      </c>
      <c r="B1528" s="33" t="s">
        <v>20843</v>
      </c>
    </row>
    <row r="1529" spans="1:2" x14ac:dyDescent="0.25">
      <c r="A1529" s="33">
        <v>7320110010</v>
      </c>
      <c r="B1529" s="33" t="s">
        <v>20844</v>
      </c>
    </row>
    <row r="1530" spans="1:2" x14ac:dyDescent="0.25">
      <c r="A1530" s="33">
        <v>7320110011</v>
      </c>
      <c r="B1530" s="33" t="s">
        <v>20845</v>
      </c>
    </row>
    <row r="1531" spans="1:2" x14ac:dyDescent="0.25">
      <c r="A1531" s="33">
        <v>7320110012</v>
      </c>
      <c r="B1531" s="33" t="s">
        <v>20846</v>
      </c>
    </row>
    <row r="1532" spans="1:2" x14ac:dyDescent="0.25">
      <c r="A1532" s="33">
        <v>7320110013</v>
      </c>
      <c r="B1532" s="33" t="s">
        <v>20847</v>
      </c>
    </row>
    <row r="1533" spans="1:2" x14ac:dyDescent="0.25">
      <c r="A1533" s="33">
        <v>7320110014</v>
      </c>
      <c r="B1533" s="33" t="s">
        <v>20848</v>
      </c>
    </row>
    <row r="1534" spans="1:2" x14ac:dyDescent="0.25">
      <c r="A1534" s="33">
        <v>7320110015</v>
      </c>
      <c r="B1534" s="33" t="s">
        <v>20849</v>
      </c>
    </row>
    <row r="1535" spans="1:2" x14ac:dyDescent="0.25">
      <c r="A1535" s="33">
        <v>7320120001</v>
      </c>
      <c r="B1535" s="33" t="s">
        <v>20850</v>
      </c>
    </row>
    <row r="1536" spans="1:2" x14ac:dyDescent="0.25">
      <c r="A1536" s="33">
        <v>7320120002</v>
      </c>
      <c r="B1536" s="33" t="s">
        <v>20851</v>
      </c>
    </row>
    <row r="1537" spans="1:2" x14ac:dyDescent="0.25">
      <c r="A1537" s="33">
        <v>7320120003</v>
      </c>
      <c r="B1537" s="33" t="s">
        <v>20852</v>
      </c>
    </row>
    <row r="1538" spans="1:2" x14ac:dyDescent="0.25">
      <c r="A1538" s="33">
        <v>7320120004</v>
      </c>
      <c r="B1538" s="33" t="s">
        <v>20853</v>
      </c>
    </row>
    <row r="1539" spans="1:2" x14ac:dyDescent="0.25">
      <c r="A1539" s="33">
        <v>7320120005</v>
      </c>
      <c r="B1539" s="33" t="s">
        <v>20854</v>
      </c>
    </row>
    <row r="1540" spans="1:2" x14ac:dyDescent="0.25">
      <c r="A1540" s="33">
        <v>7320130001</v>
      </c>
      <c r="B1540" s="33" t="s">
        <v>20855</v>
      </c>
    </row>
    <row r="1541" spans="1:2" x14ac:dyDescent="0.25">
      <c r="A1541" s="33">
        <v>7320130002</v>
      </c>
      <c r="B1541" s="33" t="s">
        <v>20856</v>
      </c>
    </row>
    <row r="1542" spans="1:2" x14ac:dyDescent="0.25">
      <c r="A1542" s="33">
        <v>7320140001</v>
      </c>
      <c r="B1542" s="33" t="s">
        <v>20857</v>
      </c>
    </row>
    <row r="1543" spans="1:2" x14ac:dyDescent="0.25">
      <c r="A1543" s="33">
        <v>7320140002</v>
      </c>
      <c r="B1543" s="33" t="s">
        <v>20858</v>
      </c>
    </row>
    <row r="1544" spans="1:2" x14ac:dyDescent="0.25">
      <c r="A1544" s="33">
        <v>7320140003</v>
      </c>
      <c r="B1544" s="33" t="s">
        <v>20859</v>
      </c>
    </row>
    <row r="1545" spans="1:2" x14ac:dyDescent="0.25">
      <c r="A1545" s="33">
        <v>7320140004</v>
      </c>
      <c r="B1545" s="33" t="s">
        <v>20860</v>
      </c>
    </row>
    <row r="1546" spans="1:2" x14ac:dyDescent="0.25">
      <c r="A1546" s="33">
        <v>7320140005</v>
      </c>
      <c r="B1546" s="33" t="s">
        <v>20861</v>
      </c>
    </row>
    <row r="1547" spans="1:2" x14ac:dyDescent="0.25">
      <c r="A1547" s="33">
        <v>7320140006</v>
      </c>
      <c r="B1547" s="33" t="s">
        <v>20862</v>
      </c>
    </row>
    <row r="1548" spans="1:2" x14ac:dyDescent="0.25">
      <c r="A1548" s="33">
        <v>7320140007</v>
      </c>
      <c r="B1548" s="33" t="s">
        <v>20863</v>
      </c>
    </row>
    <row r="1549" spans="1:2" x14ac:dyDescent="0.25">
      <c r="A1549" s="33">
        <v>7320140008</v>
      </c>
      <c r="B1549" s="33" t="s">
        <v>20864</v>
      </c>
    </row>
    <row r="1550" spans="1:2" x14ac:dyDescent="0.25">
      <c r="A1550" s="33">
        <v>7320140009</v>
      </c>
      <c r="B1550" s="33" t="s">
        <v>20865</v>
      </c>
    </row>
    <row r="1551" spans="1:2" x14ac:dyDescent="0.25">
      <c r="A1551" s="33">
        <v>7320140010</v>
      </c>
      <c r="B1551" s="33" t="s">
        <v>20866</v>
      </c>
    </row>
    <row r="1552" spans="1:2" x14ac:dyDescent="0.25">
      <c r="A1552" s="33">
        <v>7320140011</v>
      </c>
      <c r="B1552" s="33" t="s">
        <v>20867</v>
      </c>
    </row>
    <row r="1553" spans="1:2" x14ac:dyDescent="0.25">
      <c r="A1553" s="33">
        <v>7320140012</v>
      </c>
      <c r="B1553" s="33" t="s">
        <v>20868</v>
      </c>
    </row>
    <row r="1554" spans="1:2" x14ac:dyDescent="0.25">
      <c r="A1554" s="33">
        <v>7320140013</v>
      </c>
      <c r="B1554" s="33" t="s">
        <v>20869</v>
      </c>
    </row>
    <row r="1555" spans="1:2" x14ac:dyDescent="0.25">
      <c r="A1555" s="33">
        <v>7320140014</v>
      </c>
      <c r="B1555" s="33" t="s">
        <v>20870</v>
      </c>
    </row>
    <row r="1556" spans="1:2" x14ac:dyDescent="0.25">
      <c r="A1556" s="33">
        <v>7320140015</v>
      </c>
      <c r="B1556" s="33" t="s">
        <v>20871</v>
      </c>
    </row>
    <row r="1557" spans="1:2" x14ac:dyDescent="0.25">
      <c r="A1557" s="33">
        <v>7320140016</v>
      </c>
      <c r="B1557" s="33" t="s">
        <v>20872</v>
      </c>
    </row>
    <row r="1558" spans="1:2" x14ac:dyDescent="0.25">
      <c r="A1558" s="33">
        <v>7320140017</v>
      </c>
      <c r="B1558" s="33" t="s">
        <v>20873</v>
      </c>
    </row>
    <row r="1559" spans="1:2" x14ac:dyDescent="0.25">
      <c r="A1559" s="33">
        <v>7320140018</v>
      </c>
      <c r="B1559" s="33" t="s">
        <v>20874</v>
      </c>
    </row>
    <row r="1560" spans="1:2" x14ac:dyDescent="0.25">
      <c r="A1560" s="33">
        <v>7320140019</v>
      </c>
      <c r="B1560" s="33" t="s">
        <v>20875</v>
      </c>
    </row>
    <row r="1561" spans="1:2" x14ac:dyDescent="0.25">
      <c r="A1561" s="33">
        <v>7320140020</v>
      </c>
      <c r="B1561" s="33" t="s">
        <v>20876</v>
      </c>
    </row>
    <row r="1562" spans="1:2" x14ac:dyDescent="0.25">
      <c r="A1562" s="33">
        <v>7320140021</v>
      </c>
      <c r="B1562" s="33" t="s">
        <v>20877</v>
      </c>
    </row>
    <row r="1563" spans="1:2" x14ac:dyDescent="0.25">
      <c r="A1563" s="33">
        <v>7320140022</v>
      </c>
      <c r="B1563" s="33" t="s">
        <v>20878</v>
      </c>
    </row>
    <row r="1564" spans="1:2" x14ac:dyDescent="0.25">
      <c r="A1564" s="33">
        <v>7320140023</v>
      </c>
      <c r="B1564" s="33" t="s">
        <v>20879</v>
      </c>
    </row>
    <row r="1565" spans="1:2" x14ac:dyDescent="0.25">
      <c r="A1565" s="33">
        <v>7320140024</v>
      </c>
      <c r="B1565" s="33" t="s">
        <v>20880</v>
      </c>
    </row>
    <row r="1566" spans="1:2" x14ac:dyDescent="0.25">
      <c r="A1566" s="33">
        <v>7320140025</v>
      </c>
      <c r="B1566" s="33" t="s">
        <v>20881</v>
      </c>
    </row>
    <row r="1567" spans="1:2" x14ac:dyDescent="0.25">
      <c r="A1567" s="33">
        <v>7320150001</v>
      </c>
      <c r="B1567" s="33" t="s">
        <v>20882</v>
      </c>
    </row>
    <row r="1568" spans="1:2" x14ac:dyDescent="0.25">
      <c r="A1568" s="33">
        <v>7320150002</v>
      </c>
      <c r="B1568" s="33" t="s">
        <v>20883</v>
      </c>
    </row>
    <row r="1569" spans="1:2" x14ac:dyDescent="0.25">
      <c r="A1569" s="33">
        <v>7320150003</v>
      </c>
      <c r="B1569" s="33" t="s">
        <v>20884</v>
      </c>
    </row>
    <row r="1570" spans="1:2" x14ac:dyDescent="0.25">
      <c r="A1570" s="33">
        <v>7320150004</v>
      </c>
      <c r="B1570" s="33" t="s">
        <v>20885</v>
      </c>
    </row>
    <row r="1571" spans="1:2" x14ac:dyDescent="0.25">
      <c r="A1571" s="33">
        <v>7320150005</v>
      </c>
      <c r="B1571" s="33" t="s">
        <v>20886</v>
      </c>
    </row>
    <row r="1572" spans="1:2" x14ac:dyDescent="0.25">
      <c r="A1572" s="33">
        <v>7320150006</v>
      </c>
      <c r="B1572" s="33" t="s">
        <v>20887</v>
      </c>
    </row>
    <row r="1573" spans="1:2" x14ac:dyDescent="0.25">
      <c r="A1573" s="33">
        <v>7320150007</v>
      </c>
      <c r="B1573" s="33" t="s">
        <v>20888</v>
      </c>
    </row>
    <row r="1574" spans="1:2" x14ac:dyDescent="0.25">
      <c r="A1574" s="33">
        <v>7320160001</v>
      </c>
      <c r="B1574" s="33" t="s">
        <v>20889</v>
      </c>
    </row>
    <row r="1575" spans="1:2" x14ac:dyDescent="0.25">
      <c r="A1575" s="33">
        <v>7320160002</v>
      </c>
      <c r="B1575" s="33" t="s">
        <v>20890</v>
      </c>
    </row>
    <row r="1576" spans="1:2" x14ac:dyDescent="0.25">
      <c r="A1576" s="33">
        <v>7320160003</v>
      </c>
      <c r="B1576" s="33" t="s">
        <v>20891</v>
      </c>
    </row>
    <row r="1577" spans="1:2" x14ac:dyDescent="0.25">
      <c r="A1577" s="33">
        <v>7320170001</v>
      </c>
      <c r="B1577" s="33" t="s">
        <v>20892</v>
      </c>
    </row>
    <row r="1578" spans="1:2" x14ac:dyDescent="0.25">
      <c r="A1578" s="33">
        <v>7320170002</v>
      </c>
      <c r="B1578" s="33" t="s">
        <v>20893</v>
      </c>
    </row>
    <row r="1579" spans="1:2" x14ac:dyDescent="0.25">
      <c r="A1579" s="33">
        <v>7320170003</v>
      </c>
      <c r="B1579" s="33" t="s">
        <v>20856</v>
      </c>
    </row>
    <row r="1580" spans="1:2" x14ac:dyDescent="0.25">
      <c r="A1580" s="33">
        <v>7320170004</v>
      </c>
      <c r="B1580" s="33" t="s">
        <v>20894</v>
      </c>
    </row>
    <row r="1581" spans="1:2" x14ac:dyDescent="0.25">
      <c r="A1581" s="33">
        <v>7320230001</v>
      </c>
      <c r="B1581" s="33" t="s">
        <v>20895</v>
      </c>
    </row>
    <row r="1582" spans="1:2" x14ac:dyDescent="0.25">
      <c r="A1582" s="33">
        <v>7320230002</v>
      </c>
      <c r="B1582" s="33" t="s">
        <v>20896</v>
      </c>
    </row>
    <row r="1583" spans="1:2" x14ac:dyDescent="0.25">
      <c r="A1583" s="33">
        <v>7321120001</v>
      </c>
      <c r="B1583" s="33" t="s">
        <v>20897</v>
      </c>
    </row>
    <row r="1584" spans="1:2" x14ac:dyDescent="0.25">
      <c r="A1584" s="33">
        <v>7321120002</v>
      </c>
      <c r="B1584" s="33" t="s">
        <v>20898</v>
      </c>
    </row>
    <row r="1585" spans="1:2" x14ac:dyDescent="0.25">
      <c r="A1585" s="33">
        <v>7321120003</v>
      </c>
      <c r="B1585" s="33" t="s">
        <v>20899</v>
      </c>
    </row>
    <row r="1586" spans="1:2" x14ac:dyDescent="0.25">
      <c r="A1586" s="33">
        <v>7321120004</v>
      </c>
      <c r="B1586" s="33" t="s">
        <v>20900</v>
      </c>
    </row>
    <row r="1587" spans="1:2" x14ac:dyDescent="0.25">
      <c r="A1587" s="33">
        <v>7321120005</v>
      </c>
      <c r="B1587" s="33" t="s">
        <v>20901</v>
      </c>
    </row>
    <row r="1588" spans="1:2" x14ac:dyDescent="0.25">
      <c r="A1588" s="33">
        <v>7321120006</v>
      </c>
      <c r="B1588" s="33" t="s">
        <v>20902</v>
      </c>
    </row>
    <row r="1589" spans="1:2" x14ac:dyDescent="0.25">
      <c r="A1589" s="33">
        <v>7321120007</v>
      </c>
      <c r="B1589" s="33" t="s">
        <v>20903</v>
      </c>
    </row>
    <row r="1590" spans="1:2" x14ac:dyDescent="0.25">
      <c r="A1590" s="33">
        <v>7321120008</v>
      </c>
      <c r="B1590" s="33" t="s">
        <v>20904</v>
      </c>
    </row>
    <row r="1591" spans="1:2" x14ac:dyDescent="0.25">
      <c r="A1591" s="33">
        <v>7321120009</v>
      </c>
      <c r="B1591" s="33" t="s">
        <v>20905</v>
      </c>
    </row>
    <row r="1592" spans="1:2" x14ac:dyDescent="0.25">
      <c r="A1592" s="33">
        <v>7321120010</v>
      </c>
      <c r="B1592" s="33" t="s">
        <v>20906</v>
      </c>
    </row>
    <row r="1593" spans="1:2" x14ac:dyDescent="0.25">
      <c r="A1593" s="33">
        <v>7321120011</v>
      </c>
      <c r="B1593" s="33" t="s">
        <v>20907</v>
      </c>
    </row>
    <row r="1594" spans="1:2" x14ac:dyDescent="0.25">
      <c r="A1594" s="33">
        <v>7330130001</v>
      </c>
      <c r="B1594" s="33" t="s">
        <v>20908</v>
      </c>
    </row>
    <row r="1595" spans="1:2" x14ac:dyDescent="0.25">
      <c r="A1595" s="33">
        <v>7330170001</v>
      </c>
      <c r="B1595" s="33" t="s">
        <v>20909</v>
      </c>
    </row>
    <row r="1596" spans="1:2" x14ac:dyDescent="0.25">
      <c r="A1596" s="33">
        <v>7330170002</v>
      </c>
      <c r="B1596" s="33" t="s">
        <v>20910</v>
      </c>
    </row>
    <row r="1597" spans="1:2" x14ac:dyDescent="0.25">
      <c r="A1597" s="33">
        <v>7330170003</v>
      </c>
      <c r="B1597" s="33" t="s">
        <v>20911</v>
      </c>
    </row>
    <row r="1598" spans="1:2" x14ac:dyDescent="0.25">
      <c r="A1598" s="33">
        <v>7330170004</v>
      </c>
      <c r="B1598" s="33" t="s">
        <v>20912</v>
      </c>
    </row>
    <row r="1599" spans="1:2" x14ac:dyDescent="0.25">
      <c r="A1599" s="33">
        <v>7330170005</v>
      </c>
      <c r="B1599" s="33" t="s">
        <v>20913</v>
      </c>
    </row>
    <row r="1600" spans="1:2" x14ac:dyDescent="0.25">
      <c r="A1600" s="33">
        <v>7330170006</v>
      </c>
      <c r="B1600" s="33" t="s">
        <v>20914</v>
      </c>
    </row>
    <row r="1601" spans="1:2" x14ac:dyDescent="0.25">
      <c r="A1601" s="33">
        <v>7330170007</v>
      </c>
      <c r="B1601" s="33" t="s">
        <v>20915</v>
      </c>
    </row>
    <row r="1602" spans="1:2" x14ac:dyDescent="0.25">
      <c r="A1602" s="33">
        <v>7330170008</v>
      </c>
      <c r="B1602" s="33" t="s">
        <v>20916</v>
      </c>
    </row>
    <row r="1603" spans="1:2" x14ac:dyDescent="0.25">
      <c r="A1603" s="33">
        <v>7330170009</v>
      </c>
      <c r="B1603" s="33" t="s">
        <v>20917</v>
      </c>
    </row>
    <row r="1604" spans="1:2" x14ac:dyDescent="0.25">
      <c r="A1604" s="33">
        <v>7330170010</v>
      </c>
      <c r="B1604" s="33" t="s">
        <v>20918</v>
      </c>
    </row>
    <row r="1605" spans="1:2" x14ac:dyDescent="0.25">
      <c r="A1605" s="33">
        <v>7330170011</v>
      </c>
      <c r="B1605" s="33" t="s">
        <v>20919</v>
      </c>
    </row>
    <row r="1606" spans="1:2" x14ac:dyDescent="0.25">
      <c r="A1606" s="33">
        <v>7340000001</v>
      </c>
      <c r="B1606" s="33" t="s">
        <v>20920</v>
      </c>
    </row>
    <row r="1607" spans="1:2" x14ac:dyDescent="0.25">
      <c r="A1607" s="33">
        <v>7340000002</v>
      </c>
      <c r="B1607" s="33" t="s">
        <v>20921</v>
      </c>
    </row>
    <row r="1608" spans="1:2" x14ac:dyDescent="0.25">
      <c r="A1608" s="33">
        <v>7340000003</v>
      </c>
      <c r="B1608" s="33" t="s">
        <v>20922</v>
      </c>
    </row>
    <row r="1609" spans="1:2" x14ac:dyDescent="0.25">
      <c r="A1609" s="33">
        <v>7340000004</v>
      </c>
      <c r="B1609" s="33" t="s">
        <v>20923</v>
      </c>
    </row>
    <row r="1610" spans="1:2" x14ac:dyDescent="0.25">
      <c r="A1610" s="33">
        <v>7340000005</v>
      </c>
      <c r="B1610" s="33" t="s">
        <v>20924</v>
      </c>
    </row>
    <row r="1611" spans="1:2" x14ac:dyDescent="0.25">
      <c r="A1611" s="33">
        <v>7340000006</v>
      </c>
      <c r="B1611" s="33" t="s">
        <v>20925</v>
      </c>
    </row>
    <row r="1612" spans="1:2" x14ac:dyDescent="0.25">
      <c r="A1612" s="33">
        <v>7340000007</v>
      </c>
      <c r="B1612" s="33" t="s">
        <v>20926</v>
      </c>
    </row>
    <row r="1613" spans="1:2" x14ac:dyDescent="0.25">
      <c r="A1613" s="33">
        <v>7340000008</v>
      </c>
      <c r="B1613" s="33" t="s">
        <v>20927</v>
      </c>
    </row>
    <row r="1614" spans="1:2" x14ac:dyDescent="0.25">
      <c r="A1614" s="33">
        <v>7340000009</v>
      </c>
      <c r="B1614" s="33" t="s">
        <v>20928</v>
      </c>
    </row>
    <row r="1615" spans="1:2" x14ac:dyDescent="0.25">
      <c r="A1615" s="33">
        <v>7340000010</v>
      </c>
      <c r="B1615" s="33" t="s">
        <v>20929</v>
      </c>
    </row>
    <row r="1616" spans="1:2" x14ac:dyDescent="0.25">
      <c r="A1616" s="33">
        <v>7340000011</v>
      </c>
      <c r="B1616" s="33" t="s">
        <v>20930</v>
      </c>
    </row>
    <row r="1617" spans="1:2" x14ac:dyDescent="0.25">
      <c r="A1617" s="33">
        <v>7340000012</v>
      </c>
      <c r="B1617" s="33" t="s">
        <v>20931</v>
      </c>
    </row>
    <row r="1618" spans="1:2" x14ac:dyDescent="0.25">
      <c r="A1618" s="33">
        <v>7340000013</v>
      </c>
      <c r="B1618" s="33" t="s">
        <v>20932</v>
      </c>
    </row>
    <row r="1619" spans="1:2" x14ac:dyDescent="0.25">
      <c r="A1619" s="33">
        <v>7340000014</v>
      </c>
      <c r="B1619" s="33" t="s">
        <v>20933</v>
      </c>
    </row>
    <row r="1620" spans="1:2" x14ac:dyDescent="0.25">
      <c r="A1620" s="33">
        <v>7340000015</v>
      </c>
      <c r="B1620" s="33" t="s">
        <v>20934</v>
      </c>
    </row>
    <row r="1621" spans="1:2" x14ac:dyDescent="0.25">
      <c r="A1621" s="33">
        <v>7340000016</v>
      </c>
      <c r="B1621" s="33" t="s">
        <v>20935</v>
      </c>
    </row>
    <row r="1622" spans="1:2" x14ac:dyDescent="0.25">
      <c r="A1622" s="33">
        <v>7340000017</v>
      </c>
      <c r="B1622" s="33" t="s">
        <v>20936</v>
      </c>
    </row>
    <row r="1623" spans="1:2" x14ac:dyDescent="0.25">
      <c r="A1623" s="33">
        <v>7340000018</v>
      </c>
      <c r="B1623" s="33" t="s">
        <v>20937</v>
      </c>
    </row>
    <row r="1624" spans="1:2" x14ac:dyDescent="0.25">
      <c r="A1624" s="33">
        <v>7340000019</v>
      </c>
      <c r="B1624" s="33" t="s">
        <v>20938</v>
      </c>
    </row>
    <row r="1625" spans="1:2" x14ac:dyDescent="0.25">
      <c r="A1625" s="33">
        <v>7340000020</v>
      </c>
      <c r="B1625" s="33" t="s">
        <v>20939</v>
      </c>
    </row>
    <row r="1626" spans="1:2" x14ac:dyDescent="0.25">
      <c r="A1626" s="33">
        <v>7340000021</v>
      </c>
      <c r="B1626" s="33" t="s">
        <v>20940</v>
      </c>
    </row>
    <row r="1627" spans="1:2" x14ac:dyDescent="0.25">
      <c r="A1627" s="33">
        <v>7340000022</v>
      </c>
      <c r="B1627" s="33" t="s">
        <v>20941</v>
      </c>
    </row>
    <row r="1628" spans="1:2" x14ac:dyDescent="0.25">
      <c r="A1628" s="33">
        <v>7350110001</v>
      </c>
      <c r="B1628" s="33" t="s">
        <v>20942</v>
      </c>
    </row>
    <row r="1629" spans="1:2" x14ac:dyDescent="0.25">
      <c r="A1629" s="33">
        <v>7350110002</v>
      </c>
      <c r="B1629" s="33" t="s">
        <v>20943</v>
      </c>
    </row>
    <row r="1630" spans="1:2" x14ac:dyDescent="0.25">
      <c r="A1630" s="33">
        <v>7350110003</v>
      </c>
      <c r="B1630" s="33" t="s">
        <v>20944</v>
      </c>
    </row>
    <row r="1631" spans="1:2" x14ac:dyDescent="0.25">
      <c r="A1631" s="33">
        <v>7350110004</v>
      </c>
      <c r="B1631" s="33" t="s">
        <v>20945</v>
      </c>
    </row>
    <row r="1632" spans="1:2" x14ac:dyDescent="0.25">
      <c r="A1632" s="33">
        <v>7350110005</v>
      </c>
      <c r="B1632" s="33" t="s">
        <v>20946</v>
      </c>
    </row>
    <row r="1633" spans="1:2" x14ac:dyDescent="0.25">
      <c r="A1633" s="33">
        <v>7350110006</v>
      </c>
      <c r="B1633" s="33" t="s">
        <v>20947</v>
      </c>
    </row>
    <row r="1634" spans="1:2" x14ac:dyDescent="0.25">
      <c r="A1634" s="33">
        <v>7350110007</v>
      </c>
      <c r="B1634" s="33" t="s">
        <v>20948</v>
      </c>
    </row>
    <row r="1635" spans="1:2" x14ac:dyDescent="0.25">
      <c r="A1635" s="33">
        <v>7350110008</v>
      </c>
      <c r="B1635" s="33" t="s">
        <v>20949</v>
      </c>
    </row>
    <row r="1636" spans="1:2" x14ac:dyDescent="0.25">
      <c r="A1636" s="33">
        <v>7350110009</v>
      </c>
      <c r="B1636" s="33" t="s">
        <v>20950</v>
      </c>
    </row>
    <row r="1637" spans="1:2" x14ac:dyDescent="0.25">
      <c r="A1637" s="33">
        <v>7350110010</v>
      </c>
      <c r="B1637" s="33" t="s">
        <v>20951</v>
      </c>
    </row>
    <row r="1638" spans="1:2" x14ac:dyDescent="0.25">
      <c r="A1638" s="33">
        <v>7350110011</v>
      </c>
      <c r="B1638" s="33" t="s">
        <v>20952</v>
      </c>
    </row>
    <row r="1639" spans="1:2" x14ac:dyDescent="0.25">
      <c r="A1639" s="33">
        <v>7350110012</v>
      </c>
      <c r="B1639" s="33" t="s">
        <v>20953</v>
      </c>
    </row>
    <row r="1640" spans="1:2" x14ac:dyDescent="0.25">
      <c r="A1640" s="33">
        <v>7350110013</v>
      </c>
      <c r="B1640" s="33" t="s">
        <v>20954</v>
      </c>
    </row>
    <row r="1641" spans="1:2" x14ac:dyDescent="0.25">
      <c r="A1641" s="33">
        <v>7350110014</v>
      </c>
      <c r="B1641" s="33" t="s">
        <v>20955</v>
      </c>
    </row>
    <row r="1642" spans="1:2" x14ac:dyDescent="0.25">
      <c r="A1642" s="33">
        <v>7350110015</v>
      </c>
      <c r="B1642" s="33" t="s">
        <v>20956</v>
      </c>
    </row>
    <row r="1643" spans="1:2" x14ac:dyDescent="0.25">
      <c r="A1643" s="33">
        <v>7350110016</v>
      </c>
      <c r="B1643" s="33" t="s">
        <v>20957</v>
      </c>
    </row>
    <row r="1644" spans="1:2" x14ac:dyDescent="0.25">
      <c r="A1644" s="33">
        <v>7350110017</v>
      </c>
      <c r="B1644" s="33" t="s">
        <v>20958</v>
      </c>
    </row>
    <row r="1645" spans="1:2" x14ac:dyDescent="0.25">
      <c r="A1645" s="33">
        <v>7350110018</v>
      </c>
      <c r="B1645" s="33" t="s">
        <v>20959</v>
      </c>
    </row>
    <row r="1646" spans="1:2" x14ac:dyDescent="0.25">
      <c r="A1646" s="33">
        <v>7350110019</v>
      </c>
      <c r="B1646" s="33" t="s">
        <v>20960</v>
      </c>
    </row>
    <row r="1647" spans="1:2" x14ac:dyDescent="0.25">
      <c r="A1647" s="33">
        <v>7350110020</v>
      </c>
      <c r="B1647" s="33" t="s">
        <v>20961</v>
      </c>
    </row>
    <row r="1648" spans="1:2" x14ac:dyDescent="0.25">
      <c r="A1648" s="33">
        <v>7350110021</v>
      </c>
      <c r="B1648" s="33" t="s">
        <v>20962</v>
      </c>
    </row>
    <row r="1649" spans="1:2" x14ac:dyDescent="0.25">
      <c r="A1649" s="33">
        <v>7350110022</v>
      </c>
      <c r="B1649" s="33" t="s">
        <v>20963</v>
      </c>
    </row>
    <row r="1650" spans="1:2" x14ac:dyDescent="0.25">
      <c r="A1650" s="33">
        <v>7350110023</v>
      </c>
      <c r="B1650" s="33" t="s">
        <v>20964</v>
      </c>
    </row>
    <row r="1651" spans="1:2" x14ac:dyDescent="0.25">
      <c r="A1651" s="33">
        <v>7350110024</v>
      </c>
      <c r="B1651" s="33" t="s">
        <v>20965</v>
      </c>
    </row>
    <row r="1652" spans="1:2" x14ac:dyDescent="0.25">
      <c r="A1652" s="33">
        <v>7350110025</v>
      </c>
      <c r="B1652" s="33" t="s">
        <v>20966</v>
      </c>
    </row>
    <row r="1653" spans="1:2" x14ac:dyDescent="0.25">
      <c r="A1653" s="33">
        <v>7350110026</v>
      </c>
      <c r="B1653" s="33" t="s">
        <v>20967</v>
      </c>
    </row>
    <row r="1654" spans="1:2" x14ac:dyDescent="0.25">
      <c r="A1654" s="33">
        <v>7350110027</v>
      </c>
      <c r="B1654" s="33" t="s">
        <v>20968</v>
      </c>
    </row>
    <row r="1655" spans="1:2" x14ac:dyDescent="0.25">
      <c r="A1655" s="33">
        <v>7350110028</v>
      </c>
      <c r="B1655" s="33" t="s">
        <v>20969</v>
      </c>
    </row>
    <row r="1656" spans="1:2" x14ac:dyDescent="0.25">
      <c r="A1656" s="33">
        <v>7350110029</v>
      </c>
      <c r="B1656" s="33" t="s">
        <v>20970</v>
      </c>
    </row>
    <row r="1657" spans="1:2" x14ac:dyDescent="0.25">
      <c r="A1657" s="33">
        <v>7350110030</v>
      </c>
      <c r="B1657" s="33" t="s">
        <v>20971</v>
      </c>
    </row>
    <row r="1658" spans="1:2" x14ac:dyDescent="0.25">
      <c r="A1658" s="33">
        <v>7350110031</v>
      </c>
      <c r="B1658" s="33" t="s">
        <v>20972</v>
      </c>
    </row>
    <row r="1659" spans="1:2" x14ac:dyDescent="0.25">
      <c r="A1659" s="33">
        <v>7350110032</v>
      </c>
      <c r="B1659" s="33" t="s">
        <v>20973</v>
      </c>
    </row>
    <row r="1660" spans="1:2" x14ac:dyDescent="0.25">
      <c r="A1660" s="33">
        <v>7350110033</v>
      </c>
      <c r="B1660" s="33" t="s">
        <v>20974</v>
      </c>
    </row>
    <row r="1661" spans="1:2" x14ac:dyDescent="0.25">
      <c r="A1661" s="33">
        <v>7350110034</v>
      </c>
      <c r="B1661" s="33" t="s">
        <v>20975</v>
      </c>
    </row>
    <row r="1662" spans="1:2" x14ac:dyDescent="0.25">
      <c r="A1662" s="33">
        <v>7350111000</v>
      </c>
      <c r="B1662" s="33" t="s">
        <v>20976</v>
      </c>
    </row>
    <row r="1663" spans="1:2" x14ac:dyDescent="0.25">
      <c r="A1663" s="33">
        <v>7350111022</v>
      </c>
      <c r="B1663" s="33" t="s">
        <v>20977</v>
      </c>
    </row>
    <row r="1664" spans="1:2" x14ac:dyDescent="0.25">
      <c r="A1664" s="33">
        <v>7350111023</v>
      </c>
      <c r="B1664" s="33" t="s">
        <v>20978</v>
      </c>
    </row>
    <row r="1665" spans="1:2" x14ac:dyDescent="0.25">
      <c r="A1665" s="33">
        <v>7350111024</v>
      </c>
      <c r="B1665" s="33" t="s">
        <v>20979</v>
      </c>
    </row>
    <row r="1666" spans="1:2" x14ac:dyDescent="0.25">
      <c r="A1666" s="33">
        <v>7350111025</v>
      </c>
      <c r="B1666" s="33" t="s">
        <v>20980</v>
      </c>
    </row>
    <row r="1667" spans="1:2" x14ac:dyDescent="0.25">
      <c r="A1667" s="33">
        <v>7350111028</v>
      </c>
      <c r="B1667" s="33" t="s">
        <v>20981</v>
      </c>
    </row>
    <row r="1668" spans="1:2" x14ac:dyDescent="0.25">
      <c r="A1668" s="33">
        <v>7350111035</v>
      </c>
      <c r="B1668" s="33" t="s">
        <v>20982</v>
      </c>
    </row>
    <row r="1669" spans="1:2" x14ac:dyDescent="0.25">
      <c r="A1669" s="33">
        <v>7350111036</v>
      </c>
      <c r="B1669" s="33" t="s">
        <v>20983</v>
      </c>
    </row>
    <row r="1670" spans="1:2" x14ac:dyDescent="0.25">
      <c r="A1670" s="33">
        <v>7350111037</v>
      </c>
      <c r="B1670" s="33" t="s">
        <v>20984</v>
      </c>
    </row>
    <row r="1671" spans="1:2" x14ac:dyDescent="0.25">
      <c r="A1671" s="33">
        <v>7350111038</v>
      </c>
      <c r="B1671" s="33" t="s">
        <v>20985</v>
      </c>
    </row>
    <row r="1672" spans="1:2" x14ac:dyDescent="0.25">
      <c r="A1672" s="33">
        <v>7360170001</v>
      </c>
      <c r="B1672" s="33" t="s">
        <v>20986</v>
      </c>
    </row>
    <row r="1673" spans="1:2" x14ac:dyDescent="0.25">
      <c r="A1673" s="33">
        <v>7360170002</v>
      </c>
      <c r="B1673" s="33" t="s">
        <v>20987</v>
      </c>
    </row>
    <row r="1674" spans="1:2" x14ac:dyDescent="0.25">
      <c r="A1674" s="33">
        <v>7360170003</v>
      </c>
      <c r="B1674" s="33" t="s">
        <v>20988</v>
      </c>
    </row>
    <row r="1675" spans="1:2" x14ac:dyDescent="0.25">
      <c r="A1675" s="33">
        <v>7360170004</v>
      </c>
      <c r="B1675" s="33" t="s">
        <v>20989</v>
      </c>
    </row>
    <row r="1676" spans="1:2" x14ac:dyDescent="0.25">
      <c r="A1676" s="33">
        <v>7360170005</v>
      </c>
      <c r="B1676" s="33" t="s">
        <v>20990</v>
      </c>
    </row>
    <row r="1677" spans="1:2" x14ac:dyDescent="0.25">
      <c r="A1677" s="33">
        <v>7360170006</v>
      </c>
      <c r="B1677" s="33" t="s">
        <v>20991</v>
      </c>
    </row>
    <row r="1678" spans="1:2" x14ac:dyDescent="0.25">
      <c r="A1678" s="33">
        <v>7360170007</v>
      </c>
      <c r="B1678" s="33" t="s">
        <v>20992</v>
      </c>
    </row>
    <row r="1679" spans="1:2" x14ac:dyDescent="0.25">
      <c r="A1679" s="33">
        <v>7360170008</v>
      </c>
      <c r="B1679" s="33" t="s">
        <v>20993</v>
      </c>
    </row>
    <row r="1680" spans="1:2" x14ac:dyDescent="0.25">
      <c r="A1680" s="33">
        <v>7360170009</v>
      </c>
      <c r="B1680" s="33" t="s">
        <v>20994</v>
      </c>
    </row>
    <row r="1681" spans="1:2" x14ac:dyDescent="0.25">
      <c r="A1681" s="33">
        <v>7360170010</v>
      </c>
      <c r="B1681" s="33" t="s">
        <v>20995</v>
      </c>
    </row>
    <row r="1682" spans="1:2" x14ac:dyDescent="0.25">
      <c r="A1682" s="33">
        <v>7360170011</v>
      </c>
      <c r="B1682" s="33" t="s">
        <v>20996</v>
      </c>
    </row>
    <row r="1683" spans="1:2" x14ac:dyDescent="0.25">
      <c r="A1683" s="33">
        <v>7360170012</v>
      </c>
      <c r="B1683" s="33" t="s">
        <v>20997</v>
      </c>
    </row>
    <row r="1684" spans="1:2" x14ac:dyDescent="0.25">
      <c r="A1684" s="33">
        <v>7360170013</v>
      </c>
      <c r="B1684" s="33" t="s">
        <v>20998</v>
      </c>
    </row>
    <row r="1685" spans="1:2" x14ac:dyDescent="0.25">
      <c r="A1685" s="33">
        <v>7360170014</v>
      </c>
      <c r="B1685" s="33" t="s">
        <v>20999</v>
      </c>
    </row>
    <row r="1686" spans="1:2" x14ac:dyDescent="0.25">
      <c r="A1686" s="33">
        <v>7360170015</v>
      </c>
      <c r="B1686" s="33" t="s">
        <v>21000</v>
      </c>
    </row>
    <row r="1687" spans="1:2" x14ac:dyDescent="0.25">
      <c r="A1687" s="33">
        <v>7360170016</v>
      </c>
      <c r="B1687" s="33" t="s">
        <v>21001</v>
      </c>
    </row>
    <row r="1688" spans="1:2" x14ac:dyDescent="0.25">
      <c r="A1688" s="33">
        <v>7360170017</v>
      </c>
      <c r="B1688" s="33" t="s">
        <v>21002</v>
      </c>
    </row>
    <row r="1689" spans="1:2" x14ac:dyDescent="0.25">
      <c r="A1689" s="33">
        <v>7360170018</v>
      </c>
      <c r="B1689" s="33" t="s">
        <v>21003</v>
      </c>
    </row>
    <row r="1690" spans="1:2" x14ac:dyDescent="0.25">
      <c r="A1690" s="33">
        <v>7360170019</v>
      </c>
      <c r="B1690" s="33" t="s">
        <v>21004</v>
      </c>
    </row>
    <row r="1691" spans="1:2" x14ac:dyDescent="0.25">
      <c r="A1691" s="33">
        <v>7360170020</v>
      </c>
      <c r="B1691" s="33" t="s">
        <v>21005</v>
      </c>
    </row>
    <row r="1692" spans="1:2" x14ac:dyDescent="0.25">
      <c r="A1692" s="33">
        <v>7360170021</v>
      </c>
      <c r="B1692" s="33" t="s">
        <v>21006</v>
      </c>
    </row>
    <row r="1693" spans="1:2" x14ac:dyDescent="0.25">
      <c r="A1693" s="33">
        <v>7360170022</v>
      </c>
      <c r="B1693" s="33" t="s">
        <v>21007</v>
      </c>
    </row>
    <row r="1694" spans="1:2" x14ac:dyDescent="0.25">
      <c r="A1694" s="33">
        <v>7360170023</v>
      </c>
      <c r="B1694" s="33" t="s">
        <v>21008</v>
      </c>
    </row>
    <row r="1695" spans="1:2" x14ac:dyDescent="0.25">
      <c r="A1695" s="33">
        <v>7360170024</v>
      </c>
      <c r="B1695" s="33" t="s">
        <v>21009</v>
      </c>
    </row>
    <row r="1696" spans="1:2" x14ac:dyDescent="0.25">
      <c r="A1696" s="33">
        <v>7360170025</v>
      </c>
      <c r="B1696" s="33" t="s">
        <v>21010</v>
      </c>
    </row>
    <row r="1697" spans="1:2" x14ac:dyDescent="0.25">
      <c r="A1697" s="33">
        <v>7360170026</v>
      </c>
      <c r="B1697" s="33" t="s">
        <v>21011</v>
      </c>
    </row>
    <row r="1698" spans="1:2" x14ac:dyDescent="0.25">
      <c r="A1698" s="33">
        <v>7360170027</v>
      </c>
      <c r="B1698" s="33" t="s">
        <v>21012</v>
      </c>
    </row>
    <row r="1699" spans="1:2" x14ac:dyDescent="0.25">
      <c r="A1699" s="33">
        <v>7360170028</v>
      </c>
      <c r="B1699" s="33" t="s">
        <v>21013</v>
      </c>
    </row>
    <row r="1700" spans="1:2" x14ac:dyDescent="0.25">
      <c r="A1700" s="33">
        <v>7360170029</v>
      </c>
      <c r="B1700" s="33" t="s">
        <v>21014</v>
      </c>
    </row>
    <row r="1701" spans="1:2" x14ac:dyDescent="0.25">
      <c r="A1701" s="33">
        <v>7360170030</v>
      </c>
      <c r="B1701" s="33" t="s">
        <v>21015</v>
      </c>
    </row>
    <row r="1702" spans="1:2" x14ac:dyDescent="0.25">
      <c r="A1702" s="33">
        <v>7360170031</v>
      </c>
      <c r="B1702" s="33" t="s">
        <v>21011</v>
      </c>
    </row>
    <row r="1703" spans="1:2" x14ac:dyDescent="0.25">
      <c r="A1703" s="33">
        <v>7400000001</v>
      </c>
      <c r="B1703" s="33" t="s">
        <v>21016</v>
      </c>
    </row>
    <row r="1704" spans="1:2" x14ac:dyDescent="0.25">
      <c r="A1704" s="33">
        <v>7400000002</v>
      </c>
      <c r="B1704" s="33" t="s">
        <v>21017</v>
      </c>
    </row>
    <row r="1705" spans="1:2" x14ac:dyDescent="0.25">
      <c r="A1705" s="33">
        <v>7400000003</v>
      </c>
      <c r="B1705" s="33" t="s">
        <v>21018</v>
      </c>
    </row>
    <row r="1706" spans="1:2" x14ac:dyDescent="0.25">
      <c r="A1706" s="33">
        <v>7400000004</v>
      </c>
      <c r="B1706" s="33" t="s">
        <v>21019</v>
      </c>
    </row>
    <row r="1707" spans="1:2" x14ac:dyDescent="0.25">
      <c r="A1707" s="33">
        <v>7400000005</v>
      </c>
      <c r="B1707" s="33" t="s">
        <v>21020</v>
      </c>
    </row>
    <row r="1708" spans="1:2" x14ac:dyDescent="0.25">
      <c r="A1708" s="33">
        <v>7401000001</v>
      </c>
      <c r="B1708" s="33" t="s">
        <v>21021</v>
      </c>
    </row>
    <row r="1709" spans="1:2" x14ac:dyDescent="0.25">
      <c r="A1709" s="33">
        <v>7401000002</v>
      </c>
      <c r="B1709" s="33" t="s">
        <v>21022</v>
      </c>
    </row>
    <row r="1710" spans="1:2" x14ac:dyDescent="0.25">
      <c r="A1710" s="33">
        <v>7401000003</v>
      </c>
      <c r="B1710" s="33" t="s">
        <v>21023</v>
      </c>
    </row>
    <row r="1711" spans="1:2" x14ac:dyDescent="0.25">
      <c r="A1711" s="33">
        <v>7420000001</v>
      </c>
      <c r="B1711" s="33" t="s">
        <v>21024</v>
      </c>
    </row>
    <row r="1712" spans="1:2" x14ac:dyDescent="0.25">
      <c r="A1712" s="33">
        <v>7420000002</v>
      </c>
      <c r="B1712" s="33" t="s">
        <v>21025</v>
      </c>
    </row>
    <row r="1713" spans="1:2" x14ac:dyDescent="0.25">
      <c r="A1713" s="33">
        <v>7420000003</v>
      </c>
      <c r="B1713" s="33" t="s">
        <v>21026</v>
      </c>
    </row>
    <row r="1714" spans="1:2" x14ac:dyDescent="0.25">
      <c r="A1714" s="33">
        <v>7420000004</v>
      </c>
      <c r="B1714" s="33" t="s">
        <v>21027</v>
      </c>
    </row>
    <row r="1715" spans="1:2" x14ac:dyDescent="0.25">
      <c r="A1715" s="33">
        <v>7420000005</v>
      </c>
      <c r="B1715" s="33" t="s">
        <v>21028</v>
      </c>
    </row>
    <row r="1716" spans="1:2" x14ac:dyDescent="0.25">
      <c r="A1716" s="33">
        <v>7440000001</v>
      </c>
      <c r="B1716" s="33" t="s">
        <v>21029</v>
      </c>
    </row>
    <row r="1717" spans="1:2" x14ac:dyDescent="0.25">
      <c r="A1717" s="33">
        <v>7440000002</v>
      </c>
      <c r="B1717" s="33" t="s">
        <v>21030</v>
      </c>
    </row>
    <row r="1718" spans="1:2" x14ac:dyDescent="0.25">
      <c r="A1718" s="33">
        <v>7440000003</v>
      </c>
      <c r="B1718" s="33" t="s">
        <v>21031</v>
      </c>
    </row>
    <row r="1719" spans="1:2" x14ac:dyDescent="0.25">
      <c r="A1719" s="33">
        <v>7440000004</v>
      </c>
      <c r="B1719" s="33" t="s">
        <v>21032</v>
      </c>
    </row>
    <row r="1720" spans="1:2" x14ac:dyDescent="0.25">
      <c r="A1720" s="33">
        <v>7440000005</v>
      </c>
      <c r="B1720" s="33" t="s">
        <v>21033</v>
      </c>
    </row>
    <row r="1721" spans="1:2" x14ac:dyDescent="0.25">
      <c r="A1721" s="33">
        <v>7440000006</v>
      </c>
      <c r="B1721" s="33" t="s">
        <v>21034</v>
      </c>
    </row>
    <row r="1722" spans="1:2" x14ac:dyDescent="0.25">
      <c r="A1722" s="33">
        <v>7440000007</v>
      </c>
      <c r="B1722" s="33" t="s">
        <v>21035</v>
      </c>
    </row>
    <row r="1723" spans="1:2" x14ac:dyDescent="0.25">
      <c r="A1723" s="33">
        <v>7520000001</v>
      </c>
      <c r="B1723" s="33" t="s">
        <v>21036</v>
      </c>
    </row>
    <row r="1724" spans="1:2" x14ac:dyDescent="0.25">
      <c r="A1724" s="33">
        <v>7520000002</v>
      </c>
      <c r="B1724" s="33" t="s">
        <v>21037</v>
      </c>
    </row>
    <row r="1725" spans="1:2" x14ac:dyDescent="0.25">
      <c r="A1725" s="33">
        <v>7520000003</v>
      </c>
      <c r="B1725" s="33" t="s">
        <v>21038</v>
      </c>
    </row>
    <row r="1726" spans="1:2" x14ac:dyDescent="0.25">
      <c r="A1726" s="33">
        <v>7520000004</v>
      </c>
      <c r="B1726" s="33" t="s">
        <v>21039</v>
      </c>
    </row>
    <row r="1727" spans="1:2" x14ac:dyDescent="0.25">
      <c r="A1727" s="33">
        <v>7540000001</v>
      </c>
      <c r="B1727" s="33" t="s">
        <v>21040</v>
      </c>
    </row>
    <row r="1728" spans="1:2" x14ac:dyDescent="0.25">
      <c r="A1728" s="33">
        <v>7540000010</v>
      </c>
      <c r="B1728" s="33" t="s">
        <v>21041</v>
      </c>
    </row>
    <row r="1729" spans="1:2" x14ac:dyDescent="0.25">
      <c r="A1729" s="33">
        <v>7560000001</v>
      </c>
      <c r="B1729" s="33" t="s">
        <v>21042</v>
      </c>
    </row>
    <row r="1730" spans="1:2" x14ac:dyDescent="0.25">
      <c r="A1730" s="33">
        <v>7560000002</v>
      </c>
      <c r="B1730" s="33" t="s">
        <v>21043</v>
      </c>
    </row>
    <row r="1731" spans="1:2" x14ac:dyDescent="0.25">
      <c r="A1731" s="33">
        <v>7560000003</v>
      </c>
      <c r="B1731" s="33" t="s">
        <v>21044</v>
      </c>
    </row>
    <row r="1732" spans="1:2" x14ac:dyDescent="0.25">
      <c r="A1732" s="33">
        <v>7600000001</v>
      </c>
      <c r="B1732" s="33" t="s">
        <v>21045</v>
      </c>
    </row>
    <row r="1733" spans="1:2" x14ac:dyDescent="0.25">
      <c r="A1733" s="33">
        <v>7600000002</v>
      </c>
      <c r="B1733" s="33" t="s">
        <v>21046</v>
      </c>
    </row>
    <row r="1734" spans="1:2" x14ac:dyDescent="0.25">
      <c r="A1734" s="33">
        <v>7600000003</v>
      </c>
      <c r="B1734" s="33" t="s">
        <v>21047</v>
      </c>
    </row>
    <row r="1735" spans="1:2" x14ac:dyDescent="0.25">
      <c r="A1735" s="33">
        <v>7600000004</v>
      </c>
      <c r="B1735" s="33" t="s">
        <v>21048</v>
      </c>
    </row>
    <row r="1736" spans="1:2" x14ac:dyDescent="0.25">
      <c r="A1736" s="33">
        <v>7600000005</v>
      </c>
      <c r="B1736" s="33" t="s">
        <v>21049</v>
      </c>
    </row>
    <row r="1737" spans="1:2" x14ac:dyDescent="0.25">
      <c r="A1737" s="33">
        <v>7600000006</v>
      </c>
      <c r="B1737" s="33" t="s">
        <v>21050</v>
      </c>
    </row>
    <row r="1738" spans="1:2" x14ac:dyDescent="0.25">
      <c r="A1738" s="33">
        <v>7600000007</v>
      </c>
      <c r="B1738" s="33" t="s">
        <v>21051</v>
      </c>
    </row>
    <row r="1739" spans="1:2" x14ac:dyDescent="0.25">
      <c r="A1739" s="33">
        <v>7600000008</v>
      </c>
      <c r="B1739" s="33" t="s">
        <v>21052</v>
      </c>
    </row>
    <row r="1740" spans="1:2" x14ac:dyDescent="0.25">
      <c r="A1740" s="33">
        <v>7600000009</v>
      </c>
      <c r="B1740" s="33" t="s">
        <v>21053</v>
      </c>
    </row>
    <row r="1741" spans="1:2" x14ac:dyDescent="0.25">
      <c r="A1741" s="33">
        <v>7600000010</v>
      </c>
      <c r="B1741" s="33" t="s">
        <v>21054</v>
      </c>
    </row>
    <row r="1742" spans="1:2" x14ac:dyDescent="0.25">
      <c r="A1742" s="33">
        <v>7600000011</v>
      </c>
      <c r="B1742" s="33" t="s">
        <v>21055</v>
      </c>
    </row>
    <row r="1743" spans="1:2" x14ac:dyDescent="0.25">
      <c r="A1743" s="33">
        <v>7600000012</v>
      </c>
      <c r="B1743" s="33" t="s">
        <v>21056</v>
      </c>
    </row>
    <row r="1744" spans="1:2" x14ac:dyDescent="0.25">
      <c r="A1744" s="33">
        <v>7600000013</v>
      </c>
      <c r="B1744" s="33" t="s">
        <v>21057</v>
      </c>
    </row>
    <row r="1745" spans="1:2" x14ac:dyDescent="0.25">
      <c r="A1745" s="33">
        <v>7600000014</v>
      </c>
      <c r="B1745" s="33" t="s">
        <v>21058</v>
      </c>
    </row>
    <row r="1746" spans="1:2" x14ac:dyDescent="0.25">
      <c r="A1746" s="33">
        <v>7600000015</v>
      </c>
      <c r="B1746" s="33" t="s">
        <v>21059</v>
      </c>
    </row>
    <row r="1747" spans="1:2" x14ac:dyDescent="0.25">
      <c r="A1747" s="33">
        <v>7600000016</v>
      </c>
      <c r="B1747" s="33" t="s">
        <v>21060</v>
      </c>
    </row>
    <row r="1748" spans="1:2" x14ac:dyDescent="0.25">
      <c r="A1748" s="33">
        <v>7600000017</v>
      </c>
      <c r="B1748" s="33" t="s">
        <v>21061</v>
      </c>
    </row>
    <row r="1749" spans="1:2" x14ac:dyDescent="0.25">
      <c r="A1749" s="33">
        <v>7600000018</v>
      </c>
      <c r="B1749" s="33" t="s">
        <v>21062</v>
      </c>
    </row>
    <row r="1750" spans="1:2" x14ac:dyDescent="0.25">
      <c r="A1750" s="33">
        <v>7600000019</v>
      </c>
      <c r="B1750" s="33" t="s">
        <v>21063</v>
      </c>
    </row>
    <row r="1751" spans="1:2" x14ac:dyDescent="0.25">
      <c r="A1751" s="33">
        <v>7600000020</v>
      </c>
      <c r="B1751" s="33" t="s">
        <v>21064</v>
      </c>
    </row>
    <row r="1752" spans="1:2" x14ac:dyDescent="0.25">
      <c r="A1752" s="33">
        <v>7600000021</v>
      </c>
      <c r="B1752" s="33" t="s">
        <v>21065</v>
      </c>
    </row>
    <row r="1753" spans="1:2" x14ac:dyDescent="0.25">
      <c r="A1753" s="33">
        <v>7600000022</v>
      </c>
      <c r="B1753" s="33" t="s">
        <v>21066</v>
      </c>
    </row>
    <row r="1754" spans="1:2" x14ac:dyDescent="0.25">
      <c r="A1754" s="33">
        <v>7600000023</v>
      </c>
      <c r="B1754" s="33" t="s">
        <v>21067</v>
      </c>
    </row>
    <row r="1755" spans="1:2" x14ac:dyDescent="0.25">
      <c r="A1755" s="33">
        <v>7600000024</v>
      </c>
      <c r="B1755" s="33" t="s">
        <v>21068</v>
      </c>
    </row>
    <row r="1756" spans="1:2" x14ac:dyDescent="0.25">
      <c r="A1756" s="33">
        <v>7600000025</v>
      </c>
      <c r="B1756" s="33" t="s">
        <v>21069</v>
      </c>
    </row>
    <row r="1757" spans="1:2" x14ac:dyDescent="0.25">
      <c r="A1757" s="33">
        <v>7600000026</v>
      </c>
      <c r="B1757" s="33" t="s">
        <v>21070</v>
      </c>
    </row>
    <row r="1758" spans="1:2" x14ac:dyDescent="0.25">
      <c r="A1758" s="33">
        <v>7600000027</v>
      </c>
      <c r="B1758" s="33" t="s">
        <v>21071</v>
      </c>
    </row>
    <row r="1759" spans="1:2" x14ac:dyDescent="0.25">
      <c r="A1759" s="33">
        <v>7600000028</v>
      </c>
      <c r="B1759" s="33" t="s">
        <v>21072</v>
      </c>
    </row>
    <row r="1760" spans="1:2" x14ac:dyDescent="0.25">
      <c r="A1760" s="33">
        <v>7600000029</v>
      </c>
      <c r="B1760" s="33" t="s">
        <v>21073</v>
      </c>
    </row>
    <row r="1761" spans="1:2" x14ac:dyDescent="0.25">
      <c r="A1761" s="33">
        <v>7600000030</v>
      </c>
      <c r="B1761" s="33" t="s">
        <v>21074</v>
      </c>
    </row>
    <row r="1762" spans="1:2" x14ac:dyDescent="0.25">
      <c r="A1762" s="33">
        <v>7600000031</v>
      </c>
      <c r="B1762" s="33" t="s">
        <v>21075</v>
      </c>
    </row>
    <row r="1763" spans="1:2" x14ac:dyDescent="0.25">
      <c r="A1763" s="33">
        <v>7600000032</v>
      </c>
      <c r="B1763" s="33" t="s">
        <v>21076</v>
      </c>
    </row>
    <row r="1764" spans="1:2" x14ac:dyDescent="0.25">
      <c r="A1764" s="33">
        <v>7600000033</v>
      </c>
      <c r="B1764" s="33" t="s">
        <v>21077</v>
      </c>
    </row>
    <row r="1765" spans="1:2" x14ac:dyDescent="0.25">
      <c r="A1765" s="33">
        <v>7600000034</v>
      </c>
      <c r="B1765" s="33" t="s">
        <v>21078</v>
      </c>
    </row>
    <row r="1766" spans="1:2" x14ac:dyDescent="0.25">
      <c r="A1766" s="33">
        <v>7600000035</v>
      </c>
      <c r="B1766" s="33" t="s">
        <v>21079</v>
      </c>
    </row>
    <row r="1767" spans="1:2" x14ac:dyDescent="0.25">
      <c r="A1767" s="33">
        <v>7600000036</v>
      </c>
      <c r="B1767" s="33" t="s">
        <v>21080</v>
      </c>
    </row>
    <row r="1768" spans="1:2" x14ac:dyDescent="0.25">
      <c r="A1768" s="33">
        <v>7600000037</v>
      </c>
      <c r="B1768" s="33" t="s">
        <v>21081</v>
      </c>
    </row>
    <row r="1769" spans="1:2" x14ac:dyDescent="0.25">
      <c r="A1769" s="33">
        <v>7600000038</v>
      </c>
      <c r="B1769" s="33" t="s">
        <v>21082</v>
      </c>
    </row>
    <row r="1770" spans="1:2" x14ac:dyDescent="0.25">
      <c r="A1770" s="33">
        <v>7600000040</v>
      </c>
      <c r="B1770" s="33" t="s">
        <v>21083</v>
      </c>
    </row>
    <row r="1771" spans="1:2" x14ac:dyDescent="0.25">
      <c r="A1771" s="33">
        <v>7600000041</v>
      </c>
      <c r="B1771" s="33" t="s">
        <v>21084</v>
      </c>
    </row>
    <row r="1772" spans="1:2" x14ac:dyDescent="0.25">
      <c r="A1772" s="33">
        <v>7600000042</v>
      </c>
      <c r="B1772" s="33" t="s">
        <v>21085</v>
      </c>
    </row>
    <row r="1773" spans="1:2" x14ac:dyDescent="0.25">
      <c r="A1773" s="33">
        <v>7600000043</v>
      </c>
      <c r="B1773" s="33" t="s">
        <v>21086</v>
      </c>
    </row>
    <row r="1774" spans="1:2" x14ac:dyDescent="0.25">
      <c r="A1774" s="33">
        <v>7600000044</v>
      </c>
      <c r="B1774" s="33" t="s">
        <v>21087</v>
      </c>
    </row>
    <row r="1775" spans="1:2" x14ac:dyDescent="0.25">
      <c r="A1775" s="33">
        <v>7600000045</v>
      </c>
      <c r="B1775" s="33" t="s">
        <v>21088</v>
      </c>
    </row>
    <row r="1776" spans="1:2" x14ac:dyDescent="0.25">
      <c r="A1776" s="33">
        <v>7600000046</v>
      </c>
      <c r="B1776" s="33" t="s">
        <v>21089</v>
      </c>
    </row>
    <row r="1777" spans="1:2" x14ac:dyDescent="0.25">
      <c r="A1777" s="33">
        <v>7600000047</v>
      </c>
      <c r="B1777" s="33" t="s">
        <v>21090</v>
      </c>
    </row>
    <row r="1778" spans="1:2" x14ac:dyDescent="0.25">
      <c r="A1778" s="33">
        <v>7600000048</v>
      </c>
      <c r="B1778" s="33" t="s">
        <v>21091</v>
      </c>
    </row>
    <row r="1779" spans="1:2" x14ac:dyDescent="0.25">
      <c r="A1779" s="33">
        <v>7600000049</v>
      </c>
      <c r="B1779" s="33" t="s">
        <v>21092</v>
      </c>
    </row>
    <row r="1780" spans="1:2" x14ac:dyDescent="0.25">
      <c r="A1780" s="33">
        <v>7600000050</v>
      </c>
      <c r="B1780" s="33" t="s">
        <v>21093</v>
      </c>
    </row>
    <row r="1781" spans="1:2" x14ac:dyDescent="0.25">
      <c r="A1781" s="33">
        <v>7600000099</v>
      </c>
      <c r="B1781" s="33" t="s">
        <v>21094</v>
      </c>
    </row>
    <row r="1782" spans="1:2" x14ac:dyDescent="0.25">
      <c r="A1782" s="33">
        <v>7600300001</v>
      </c>
      <c r="B1782" s="33" t="s">
        <v>21095</v>
      </c>
    </row>
    <row r="1783" spans="1:2" x14ac:dyDescent="0.25">
      <c r="A1783" s="33">
        <v>7600300002</v>
      </c>
      <c r="B1783" s="33" t="s">
        <v>21096</v>
      </c>
    </row>
    <row r="1784" spans="1:2" x14ac:dyDescent="0.25">
      <c r="A1784" s="33">
        <v>7600300003</v>
      </c>
      <c r="B1784" s="33" t="s">
        <v>21097</v>
      </c>
    </row>
    <row r="1785" spans="1:2" x14ac:dyDescent="0.25">
      <c r="A1785" s="33">
        <v>7600300004</v>
      </c>
      <c r="B1785" s="33" t="s">
        <v>21098</v>
      </c>
    </row>
    <row r="1786" spans="1:2" x14ac:dyDescent="0.25">
      <c r="A1786" s="33">
        <v>7600300005</v>
      </c>
      <c r="B1786" s="33" t="s">
        <v>21099</v>
      </c>
    </row>
    <row r="1787" spans="1:2" x14ac:dyDescent="0.25">
      <c r="A1787" s="33">
        <v>7600300006</v>
      </c>
      <c r="B1787" s="33" t="s">
        <v>21100</v>
      </c>
    </row>
    <row r="1788" spans="1:2" x14ac:dyDescent="0.25">
      <c r="A1788" s="33">
        <v>7600300007</v>
      </c>
      <c r="B1788" s="33" t="s">
        <v>21101</v>
      </c>
    </row>
    <row r="1789" spans="1:2" x14ac:dyDescent="0.25">
      <c r="A1789" s="33">
        <v>7600300008</v>
      </c>
      <c r="B1789" s="33" t="s">
        <v>21102</v>
      </c>
    </row>
    <row r="1790" spans="1:2" x14ac:dyDescent="0.25">
      <c r="A1790" s="33">
        <v>7600300009</v>
      </c>
      <c r="B1790" s="33" t="s">
        <v>21103</v>
      </c>
    </row>
    <row r="1791" spans="1:2" x14ac:dyDescent="0.25">
      <c r="A1791" s="33">
        <v>7600300010</v>
      </c>
      <c r="B1791" s="33" t="s">
        <v>21104</v>
      </c>
    </row>
    <row r="1792" spans="1:2" x14ac:dyDescent="0.25">
      <c r="A1792" s="33">
        <v>7600300011</v>
      </c>
      <c r="B1792" s="33" t="s">
        <v>21105</v>
      </c>
    </row>
    <row r="1793" spans="1:2" x14ac:dyDescent="0.25">
      <c r="A1793" s="33">
        <v>7600300012</v>
      </c>
      <c r="B1793" s="33" t="s">
        <v>21106</v>
      </c>
    </row>
    <row r="1794" spans="1:2" x14ac:dyDescent="0.25">
      <c r="A1794" s="33">
        <v>7600300013</v>
      </c>
      <c r="B1794" s="33" t="s">
        <v>21107</v>
      </c>
    </row>
    <row r="1795" spans="1:2" x14ac:dyDescent="0.25">
      <c r="A1795" s="33">
        <v>7600300014</v>
      </c>
      <c r="B1795" s="33" t="s">
        <v>21108</v>
      </c>
    </row>
    <row r="1796" spans="1:2" x14ac:dyDescent="0.25">
      <c r="A1796" s="33">
        <v>7600300015</v>
      </c>
      <c r="B1796" s="33" t="s">
        <v>21109</v>
      </c>
    </row>
    <row r="1797" spans="1:2" x14ac:dyDescent="0.25">
      <c r="A1797" s="33">
        <v>7600300016</v>
      </c>
      <c r="B1797" s="33" t="s">
        <v>21110</v>
      </c>
    </row>
    <row r="1798" spans="1:2" x14ac:dyDescent="0.25">
      <c r="A1798" s="33">
        <v>7600300017</v>
      </c>
      <c r="B1798" s="33" t="s">
        <v>21111</v>
      </c>
    </row>
    <row r="1799" spans="1:2" x14ac:dyDescent="0.25">
      <c r="A1799" s="33">
        <v>7600300018</v>
      </c>
      <c r="B1799" s="33" t="s">
        <v>21112</v>
      </c>
    </row>
    <row r="1800" spans="1:2" x14ac:dyDescent="0.25">
      <c r="A1800" s="33">
        <v>7600300019</v>
      </c>
      <c r="B1800" s="33" t="s">
        <v>21113</v>
      </c>
    </row>
    <row r="1801" spans="1:2" x14ac:dyDescent="0.25">
      <c r="A1801" s="33">
        <v>7600300020</v>
      </c>
      <c r="B1801" s="33" t="s">
        <v>21114</v>
      </c>
    </row>
    <row r="1802" spans="1:2" x14ac:dyDescent="0.25">
      <c r="A1802" s="33">
        <v>7600300021</v>
      </c>
      <c r="B1802" s="33" t="s">
        <v>21115</v>
      </c>
    </row>
    <row r="1803" spans="1:2" x14ac:dyDescent="0.25">
      <c r="A1803" s="33">
        <v>7600300022</v>
      </c>
      <c r="B1803" s="33" t="s">
        <v>21116</v>
      </c>
    </row>
    <row r="1804" spans="1:2" x14ac:dyDescent="0.25">
      <c r="A1804" s="33">
        <v>7600301000</v>
      </c>
      <c r="B1804" s="33" t="s">
        <v>21117</v>
      </c>
    </row>
    <row r="1805" spans="1:2" x14ac:dyDescent="0.25">
      <c r="A1805" s="33">
        <v>7600301001</v>
      </c>
      <c r="B1805" s="33" t="s">
        <v>21118</v>
      </c>
    </row>
    <row r="1806" spans="1:2" x14ac:dyDescent="0.25">
      <c r="A1806" s="33">
        <v>7600301002</v>
      </c>
      <c r="B1806" s="33" t="s">
        <v>21119</v>
      </c>
    </row>
    <row r="1807" spans="1:2" x14ac:dyDescent="0.25">
      <c r="A1807" s="33">
        <v>7600301003</v>
      </c>
      <c r="B1807" s="33" t="s">
        <v>21120</v>
      </c>
    </row>
    <row r="1808" spans="1:2" x14ac:dyDescent="0.25">
      <c r="A1808" s="33">
        <v>7600301004</v>
      </c>
      <c r="B1808" s="33" t="s">
        <v>21121</v>
      </c>
    </row>
    <row r="1809" spans="1:2" x14ac:dyDescent="0.25">
      <c r="A1809" s="33">
        <v>7600301005</v>
      </c>
      <c r="B1809" s="33" t="s">
        <v>21122</v>
      </c>
    </row>
    <row r="1810" spans="1:2" x14ac:dyDescent="0.25">
      <c r="A1810" s="33">
        <v>7600301006</v>
      </c>
      <c r="B1810" s="33" t="s">
        <v>21123</v>
      </c>
    </row>
    <row r="1811" spans="1:2" x14ac:dyDescent="0.25">
      <c r="A1811" s="33">
        <v>7600301007</v>
      </c>
      <c r="B1811" s="33" t="s">
        <v>21124</v>
      </c>
    </row>
    <row r="1812" spans="1:2" x14ac:dyDescent="0.25">
      <c r="A1812" s="33">
        <v>7600301008</v>
      </c>
      <c r="B1812" s="33" t="s">
        <v>21125</v>
      </c>
    </row>
    <row r="1813" spans="1:2" x14ac:dyDescent="0.25">
      <c r="A1813" s="33">
        <v>7600301009</v>
      </c>
      <c r="B1813" s="33" t="s">
        <v>21126</v>
      </c>
    </row>
    <row r="1814" spans="1:2" x14ac:dyDescent="0.25">
      <c r="A1814" s="33">
        <v>7600301010</v>
      </c>
      <c r="B1814" s="33" t="s">
        <v>21127</v>
      </c>
    </row>
    <row r="1815" spans="1:2" x14ac:dyDescent="0.25">
      <c r="A1815" s="33">
        <v>7600301011</v>
      </c>
      <c r="B1815" s="33" t="s">
        <v>21128</v>
      </c>
    </row>
    <row r="1816" spans="1:2" x14ac:dyDescent="0.25">
      <c r="A1816" s="33">
        <v>7600301012</v>
      </c>
      <c r="B1816" s="33" t="s">
        <v>21129</v>
      </c>
    </row>
    <row r="1817" spans="1:2" x14ac:dyDescent="0.25">
      <c r="A1817" s="33">
        <v>7600301013</v>
      </c>
      <c r="B1817" s="33" t="s">
        <v>21130</v>
      </c>
    </row>
    <row r="1818" spans="1:2" x14ac:dyDescent="0.25">
      <c r="A1818" s="33">
        <v>7600301014</v>
      </c>
      <c r="B1818" s="33" t="s">
        <v>21131</v>
      </c>
    </row>
    <row r="1819" spans="1:2" x14ac:dyDescent="0.25">
      <c r="A1819" s="33">
        <v>7600301015</v>
      </c>
      <c r="B1819" s="33" t="s">
        <v>21132</v>
      </c>
    </row>
    <row r="1820" spans="1:2" x14ac:dyDescent="0.25">
      <c r="A1820" s="33">
        <v>7600301016</v>
      </c>
      <c r="B1820" s="33" t="s">
        <v>21133</v>
      </c>
    </row>
    <row r="1821" spans="1:2" x14ac:dyDescent="0.25">
      <c r="A1821" s="33">
        <v>7600301017</v>
      </c>
      <c r="B1821" s="33" t="s">
        <v>21134</v>
      </c>
    </row>
    <row r="1822" spans="1:2" x14ac:dyDescent="0.25">
      <c r="A1822" s="33">
        <v>7600301018</v>
      </c>
      <c r="B1822" s="33" t="s">
        <v>21135</v>
      </c>
    </row>
    <row r="1823" spans="1:2" x14ac:dyDescent="0.25">
      <c r="A1823" s="33">
        <v>7600301019</v>
      </c>
      <c r="B1823" s="33" t="s">
        <v>21136</v>
      </c>
    </row>
    <row r="1824" spans="1:2" x14ac:dyDescent="0.25">
      <c r="A1824" s="33">
        <v>7600301020</v>
      </c>
      <c r="B1824" s="33" t="s">
        <v>21137</v>
      </c>
    </row>
    <row r="1825" spans="1:2" x14ac:dyDescent="0.25">
      <c r="A1825" s="33">
        <v>7600301021</v>
      </c>
      <c r="B1825" s="33" t="s">
        <v>21138</v>
      </c>
    </row>
    <row r="1826" spans="1:2" x14ac:dyDescent="0.25">
      <c r="A1826" s="33">
        <v>7600301022</v>
      </c>
      <c r="B1826" s="33" t="s">
        <v>21139</v>
      </c>
    </row>
    <row r="1827" spans="1:2" x14ac:dyDescent="0.25">
      <c r="A1827" s="33">
        <v>7600301023</v>
      </c>
      <c r="B1827" s="33" t="s">
        <v>21140</v>
      </c>
    </row>
    <row r="1828" spans="1:2" x14ac:dyDescent="0.25">
      <c r="A1828" s="33">
        <v>7600301024</v>
      </c>
      <c r="B1828" s="33" t="s">
        <v>21141</v>
      </c>
    </row>
    <row r="1829" spans="1:2" x14ac:dyDescent="0.25">
      <c r="A1829" s="33">
        <v>7600301025</v>
      </c>
      <c r="B1829" s="33" t="s">
        <v>21142</v>
      </c>
    </row>
    <row r="1830" spans="1:2" x14ac:dyDescent="0.25">
      <c r="A1830" s="33">
        <v>7600301026</v>
      </c>
      <c r="B1830" s="33" t="s">
        <v>21143</v>
      </c>
    </row>
    <row r="1831" spans="1:2" x14ac:dyDescent="0.25">
      <c r="A1831" s="33">
        <v>7600301027</v>
      </c>
      <c r="B1831" s="33" t="s">
        <v>21144</v>
      </c>
    </row>
    <row r="1832" spans="1:2" x14ac:dyDescent="0.25">
      <c r="A1832" s="33">
        <v>7600301028</v>
      </c>
      <c r="B1832" s="33" t="s">
        <v>21145</v>
      </c>
    </row>
    <row r="1833" spans="1:2" x14ac:dyDescent="0.25">
      <c r="A1833" s="33">
        <v>7600301029</v>
      </c>
      <c r="B1833" s="33" t="s">
        <v>21146</v>
      </c>
    </row>
    <row r="1834" spans="1:2" x14ac:dyDescent="0.25">
      <c r="A1834" s="33">
        <v>7600301030</v>
      </c>
      <c r="B1834" s="33" t="s">
        <v>21147</v>
      </c>
    </row>
    <row r="1835" spans="1:2" x14ac:dyDescent="0.25">
      <c r="A1835" s="33">
        <v>7600301031</v>
      </c>
      <c r="B1835" s="33" t="s">
        <v>21148</v>
      </c>
    </row>
    <row r="1836" spans="1:2" x14ac:dyDescent="0.25">
      <c r="A1836" s="33">
        <v>7600301032</v>
      </c>
      <c r="B1836" s="33" t="s">
        <v>21149</v>
      </c>
    </row>
    <row r="1837" spans="1:2" x14ac:dyDescent="0.25">
      <c r="A1837" s="33">
        <v>7600301033</v>
      </c>
      <c r="B1837" s="33" t="s">
        <v>21150</v>
      </c>
    </row>
    <row r="1838" spans="1:2" x14ac:dyDescent="0.25">
      <c r="A1838" s="33">
        <v>7600301034</v>
      </c>
      <c r="B1838" s="33" t="s">
        <v>21151</v>
      </c>
    </row>
    <row r="1839" spans="1:2" x14ac:dyDescent="0.25">
      <c r="A1839" s="33">
        <v>7600301035</v>
      </c>
      <c r="B1839" s="33" t="s">
        <v>21151</v>
      </c>
    </row>
    <row r="1840" spans="1:2" x14ac:dyDescent="0.25">
      <c r="A1840" s="33">
        <v>7600301036</v>
      </c>
      <c r="B1840" s="33" t="s">
        <v>21152</v>
      </c>
    </row>
    <row r="1841" spans="1:2" x14ac:dyDescent="0.25">
      <c r="A1841" s="33">
        <v>7600301037</v>
      </c>
      <c r="B1841" s="33" t="s">
        <v>21153</v>
      </c>
    </row>
    <row r="1842" spans="1:2" x14ac:dyDescent="0.25">
      <c r="A1842" s="33">
        <v>7600301039</v>
      </c>
      <c r="B1842" s="33" t="s">
        <v>21154</v>
      </c>
    </row>
    <row r="1843" spans="1:2" x14ac:dyDescent="0.25">
      <c r="A1843" s="33">
        <v>7600301040</v>
      </c>
      <c r="B1843" s="33" t="s">
        <v>21155</v>
      </c>
    </row>
    <row r="1844" spans="1:2" x14ac:dyDescent="0.25">
      <c r="A1844" s="33">
        <v>7600301041</v>
      </c>
      <c r="B1844" s="33" t="s">
        <v>21156</v>
      </c>
    </row>
    <row r="1845" spans="1:2" x14ac:dyDescent="0.25">
      <c r="A1845" s="33">
        <v>7600301042</v>
      </c>
      <c r="B1845" s="33" t="s">
        <v>21157</v>
      </c>
    </row>
    <row r="1846" spans="1:2" x14ac:dyDescent="0.25">
      <c r="A1846" s="33">
        <v>7600301044</v>
      </c>
      <c r="B1846" s="33" t="s">
        <v>21158</v>
      </c>
    </row>
    <row r="1847" spans="1:2" x14ac:dyDescent="0.25">
      <c r="A1847" s="33">
        <v>7600301045</v>
      </c>
      <c r="B1847" s="33" t="s">
        <v>21159</v>
      </c>
    </row>
    <row r="1848" spans="1:2" x14ac:dyDescent="0.25">
      <c r="A1848" s="33">
        <v>7600301046</v>
      </c>
      <c r="B1848" s="33" t="s">
        <v>21160</v>
      </c>
    </row>
    <row r="1849" spans="1:2" x14ac:dyDescent="0.25">
      <c r="A1849" s="33">
        <v>7600301047</v>
      </c>
      <c r="B1849" s="33" t="s">
        <v>21161</v>
      </c>
    </row>
    <row r="1850" spans="1:2" x14ac:dyDescent="0.25">
      <c r="A1850" s="33">
        <v>7600301048</v>
      </c>
      <c r="B1850" s="33" t="s">
        <v>21162</v>
      </c>
    </row>
    <row r="1851" spans="1:2" x14ac:dyDescent="0.25">
      <c r="A1851" s="33">
        <v>7600301049</v>
      </c>
      <c r="B1851" s="33" t="s">
        <v>21163</v>
      </c>
    </row>
    <row r="1852" spans="1:2" x14ac:dyDescent="0.25">
      <c r="A1852" s="33">
        <v>7600301050</v>
      </c>
      <c r="B1852" s="33" t="s">
        <v>21164</v>
      </c>
    </row>
    <row r="1853" spans="1:2" x14ac:dyDescent="0.25">
      <c r="A1853" s="33">
        <v>7600301051</v>
      </c>
      <c r="B1853" s="33" t="s">
        <v>21165</v>
      </c>
    </row>
    <row r="1854" spans="1:2" x14ac:dyDescent="0.25">
      <c r="A1854" s="33">
        <v>7600301052</v>
      </c>
      <c r="B1854" s="33" t="s">
        <v>21166</v>
      </c>
    </row>
    <row r="1855" spans="1:2" x14ac:dyDescent="0.25">
      <c r="A1855" s="33">
        <v>7600301053</v>
      </c>
      <c r="B1855" s="33" t="s">
        <v>21167</v>
      </c>
    </row>
    <row r="1856" spans="1:2" x14ac:dyDescent="0.25">
      <c r="A1856" s="33">
        <v>7600301054</v>
      </c>
      <c r="B1856" s="33" t="s">
        <v>21168</v>
      </c>
    </row>
    <row r="1857" spans="1:2" x14ac:dyDescent="0.25">
      <c r="A1857" s="33">
        <v>7600301055</v>
      </c>
      <c r="B1857" s="33" t="s">
        <v>21169</v>
      </c>
    </row>
    <row r="1858" spans="1:2" x14ac:dyDescent="0.25">
      <c r="A1858" s="33">
        <v>7600301056</v>
      </c>
      <c r="B1858" s="33" t="s">
        <v>21170</v>
      </c>
    </row>
    <row r="1859" spans="1:2" x14ac:dyDescent="0.25">
      <c r="A1859" s="33">
        <v>7600301057</v>
      </c>
      <c r="B1859" s="33" t="s">
        <v>21171</v>
      </c>
    </row>
    <row r="1860" spans="1:2" x14ac:dyDescent="0.25">
      <c r="A1860" s="33">
        <v>7600301058</v>
      </c>
      <c r="B1860" s="33" t="s">
        <v>21172</v>
      </c>
    </row>
    <row r="1861" spans="1:2" x14ac:dyDescent="0.25">
      <c r="A1861" s="33">
        <v>7600301059</v>
      </c>
      <c r="B1861" s="33" t="s">
        <v>21173</v>
      </c>
    </row>
    <row r="1862" spans="1:2" x14ac:dyDescent="0.25">
      <c r="A1862" s="33">
        <v>7600301060</v>
      </c>
      <c r="B1862" s="33" t="s">
        <v>21174</v>
      </c>
    </row>
    <row r="1863" spans="1:2" x14ac:dyDescent="0.25">
      <c r="A1863" s="33">
        <v>7600301061</v>
      </c>
      <c r="B1863" s="33" t="s">
        <v>21175</v>
      </c>
    </row>
    <row r="1864" spans="1:2" x14ac:dyDescent="0.25">
      <c r="A1864" s="33">
        <v>7600301062</v>
      </c>
      <c r="B1864" s="33" t="s">
        <v>21175</v>
      </c>
    </row>
    <row r="1865" spans="1:2" x14ac:dyDescent="0.25">
      <c r="A1865" s="33">
        <v>7600301063</v>
      </c>
      <c r="B1865" s="33" t="s">
        <v>21176</v>
      </c>
    </row>
    <row r="1866" spans="1:2" x14ac:dyDescent="0.25">
      <c r="A1866" s="33">
        <v>7600301064</v>
      </c>
      <c r="B1866" s="33" t="s">
        <v>21177</v>
      </c>
    </row>
    <row r="1867" spans="1:2" x14ac:dyDescent="0.25">
      <c r="A1867" s="33">
        <v>7600301065</v>
      </c>
      <c r="B1867" s="33" t="s">
        <v>21178</v>
      </c>
    </row>
    <row r="1868" spans="1:2" x14ac:dyDescent="0.25">
      <c r="A1868" s="33">
        <v>7600301066</v>
      </c>
      <c r="B1868" s="33" t="s">
        <v>21179</v>
      </c>
    </row>
    <row r="1869" spans="1:2" x14ac:dyDescent="0.25">
      <c r="A1869" s="33">
        <v>7600301067</v>
      </c>
      <c r="B1869" s="33" t="s">
        <v>21180</v>
      </c>
    </row>
    <row r="1870" spans="1:2" x14ac:dyDescent="0.25">
      <c r="A1870" s="33">
        <v>7600301068</v>
      </c>
      <c r="B1870" s="33" t="s">
        <v>21181</v>
      </c>
    </row>
    <row r="1871" spans="1:2" x14ac:dyDescent="0.25">
      <c r="A1871" s="33">
        <v>7600301069</v>
      </c>
      <c r="B1871" s="33" t="s">
        <v>21182</v>
      </c>
    </row>
    <row r="1872" spans="1:2" x14ac:dyDescent="0.25">
      <c r="A1872" s="33">
        <v>7600301070</v>
      </c>
      <c r="B1872" s="33" t="s">
        <v>21183</v>
      </c>
    </row>
    <row r="1873" spans="1:2" x14ac:dyDescent="0.25">
      <c r="A1873" s="33">
        <v>7600301071</v>
      </c>
      <c r="B1873" s="33" t="s">
        <v>21184</v>
      </c>
    </row>
    <row r="1874" spans="1:2" x14ac:dyDescent="0.25">
      <c r="A1874" s="33">
        <v>7600301072</v>
      </c>
      <c r="B1874" s="33" t="s">
        <v>21185</v>
      </c>
    </row>
    <row r="1875" spans="1:2" x14ac:dyDescent="0.25">
      <c r="A1875" s="33">
        <v>7600301073</v>
      </c>
      <c r="B1875" s="33" t="s">
        <v>21186</v>
      </c>
    </row>
    <row r="1876" spans="1:2" x14ac:dyDescent="0.25">
      <c r="A1876" s="33">
        <v>7600301074</v>
      </c>
      <c r="B1876" s="33" t="s">
        <v>21187</v>
      </c>
    </row>
    <row r="1877" spans="1:2" x14ac:dyDescent="0.25">
      <c r="A1877" s="33">
        <v>7600301075</v>
      </c>
      <c r="B1877" s="33" t="s">
        <v>21188</v>
      </c>
    </row>
    <row r="1878" spans="1:2" x14ac:dyDescent="0.25">
      <c r="A1878" s="33">
        <v>7600301076</v>
      </c>
      <c r="B1878" s="33" t="s">
        <v>21189</v>
      </c>
    </row>
    <row r="1879" spans="1:2" x14ac:dyDescent="0.25">
      <c r="A1879" s="33">
        <v>7600301077</v>
      </c>
      <c r="B1879" s="33" t="s">
        <v>21190</v>
      </c>
    </row>
    <row r="1880" spans="1:2" x14ac:dyDescent="0.25">
      <c r="A1880" s="33">
        <v>7600301078</v>
      </c>
      <c r="B1880" s="33" t="s">
        <v>21191</v>
      </c>
    </row>
    <row r="1881" spans="1:2" x14ac:dyDescent="0.25">
      <c r="A1881" s="33">
        <v>7600301079</v>
      </c>
      <c r="B1881" s="33" t="s">
        <v>21192</v>
      </c>
    </row>
    <row r="1882" spans="1:2" x14ac:dyDescent="0.25">
      <c r="A1882" s="33">
        <v>7600301080</v>
      </c>
      <c r="B1882" s="33" t="s">
        <v>21193</v>
      </c>
    </row>
    <row r="1883" spans="1:2" x14ac:dyDescent="0.25">
      <c r="A1883" s="33">
        <v>7600301081</v>
      </c>
      <c r="B1883" s="33" t="s">
        <v>21194</v>
      </c>
    </row>
    <row r="1884" spans="1:2" x14ac:dyDescent="0.25">
      <c r="A1884" s="33">
        <v>7600301082</v>
      </c>
      <c r="B1884" s="33" t="s">
        <v>21195</v>
      </c>
    </row>
    <row r="1885" spans="1:2" x14ac:dyDescent="0.25">
      <c r="A1885" s="33">
        <v>7600301084</v>
      </c>
      <c r="B1885" s="33" t="s">
        <v>21196</v>
      </c>
    </row>
    <row r="1886" spans="1:2" x14ac:dyDescent="0.25">
      <c r="A1886" s="33">
        <v>7600301085</v>
      </c>
      <c r="B1886" s="33" t="s">
        <v>21197</v>
      </c>
    </row>
    <row r="1887" spans="1:2" x14ac:dyDescent="0.25">
      <c r="A1887" s="33">
        <v>7600301091</v>
      </c>
      <c r="B1887" s="33" t="s">
        <v>21198</v>
      </c>
    </row>
    <row r="1888" spans="1:2" x14ac:dyDescent="0.25">
      <c r="A1888" s="33">
        <v>7600301100</v>
      </c>
      <c r="B1888" s="33" t="s">
        <v>21199</v>
      </c>
    </row>
    <row r="1889" spans="1:2" x14ac:dyDescent="0.25">
      <c r="A1889" s="33">
        <v>7600301111</v>
      </c>
      <c r="B1889" s="33" t="s">
        <v>21200</v>
      </c>
    </row>
    <row r="1890" spans="1:2" x14ac:dyDescent="0.25">
      <c r="A1890" s="33">
        <v>7600304000</v>
      </c>
      <c r="B1890" s="33" t="s">
        <v>21201</v>
      </c>
    </row>
    <row r="1891" spans="1:2" x14ac:dyDescent="0.25">
      <c r="A1891" s="33">
        <v>7600304001</v>
      </c>
      <c r="B1891" s="33" t="s">
        <v>21202</v>
      </c>
    </row>
    <row r="1892" spans="1:2" x14ac:dyDescent="0.25">
      <c r="A1892" s="33">
        <v>7600304002</v>
      </c>
      <c r="B1892" s="33" t="s">
        <v>21203</v>
      </c>
    </row>
    <row r="1893" spans="1:2" x14ac:dyDescent="0.25">
      <c r="A1893" s="33">
        <v>7600304003</v>
      </c>
      <c r="B1893" s="33" t="s">
        <v>21204</v>
      </c>
    </row>
    <row r="1894" spans="1:2" x14ac:dyDescent="0.25">
      <c r="A1894" s="33">
        <v>7600304004</v>
      </c>
      <c r="B1894" s="33" t="s">
        <v>21205</v>
      </c>
    </row>
    <row r="1895" spans="1:2" x14ac:dyDescent="0.25">
      <c r="A1895" s="33">
        <v>7600304005</v>
      </c>
      <c r="B1895" s="33" t="s">
        <v>21206</v>
      </c>
    </row>
    <row r="1896" spans="1:2" x14ac:dyDescent="0.25">
      <c r="A1896" s="33">
        <v>7600304006</v>
      </c>
      <c r="B1896" s="33" t="s">
        <v>21207</v>
      </c>
    </row>
    <row r="1897" spans="1:2" x14ac:dyDescent="0.25">
      <c r="A1897" s="33">
        <v>7600304007</v>
      </c>
      <c r="B1897" s="33" t="s">
        <v>21208</v>
      </c>
    </row>
    <row r="1898" spans="1:2" x14ac:dyDescent="0.25">
      <c r="A1898" s="33">
        <v>7600304008</v>
      </c>
      <c r="B1898" s="33" t="s">
        <v>21209</v>
      </c>
    </row>
    <row r="1899" spans="1:2" x14ac:dyDescent="0.25">
      <c r="A1899" s="33">
        <v>7600304009</v>
      </c>
      <c r="B1899" s="33" t="s">
        <v>21210</v>
      </c>
    </row>
    <row r="1900" spans="1:2" x14ac:dyDescent="0.25">
      <c r="A1900" s="33">
        <v>7600304010</v>
      </c>
      <c r="B1900" s="33" t="s">
        <v>21211</v>
      </c>
    </row>
    <row r="1901" spans="1:2" x14ac:dyDescent="0.25">
      <c r="A1901" s="33">
        <v>7600304011</v>
      </c>
      <c r="B1901" s="33" t="s">
        <v>21212</v>
      </c>
    </row>
    <row r="1902" spans="1:2" x14ac:dyDescent="0.25">
      <c r="A1902" s="33">
        <v>7600304012</v>
      </c>
      <c r="B1902" s="33" t="s">
        <v>21213</v>
      </c>
    </row>
    <row r="1903" spans="1:2" x14ac:dyDescent="0.25">
      <c r="A1903" s="33">
        <v>7600304013</v>
      </c>
      <c r="B1903" s="33" t="s">
        <v>21214</v>
      </c>
    </row>
    <row r="1904" spans="1:2" x14ac:dyDescent="0.25">
      <c r="A1904" s="33">
        <v>7600304014</v>
      </c>
      <c r="B1904" s="33" t="s">
        <v>21215</v>
      </c>
    </row>
    <row r="1905" spans="1:2" x14ac:dyDescent="0.25">
      <c r="A1905" s="33">
        <v>7600304015</v>
      </c>
      <c r="B1905" s="33" t="s">
        <v>21216</v>
      </c>
    </row>
    <row r="1906" spans="1:2" x14ac:dyDescent="0.25">
      <c r="A1906" s="33">
        <v>7600304016</v>
      </c>
      <c r="B1906" s="33" t="s">
        <v>21217</v>
      </c>
    </row>
    <row r="1907" spans="1:2" x14ac:dyDescent="0.25">
      <c r="A1907" s="33">
        <v>7600304017</v>
      </c>
      <c r="B1907" s="33" t="s">
        <v>21218</v>
      </c>
    </row>
    <row r="1908" spans="1:2" x14ac:dyDescent="0.25">
      <c r="A1908" s="33">
        <v>7600304018</v>
      </c>
      <c r="B1908" s="33" t="s">
        <v>21219</v>
      </c>
    </row>
    <row r="1909" spans="1:2" x14ac:dyDescent="0.25">
      <c r="A1909" s="33">
        <v>7600304019</v>
      </c>
      <c r="B1909" s="33" t="s">
        <v>21220</v>
      </c>
    </row>
    <row r="1910" spans="1:2" x14ac:dyDescent="0.25">
      <c r="A1910" s="33">
        <v>7600304020</v>
      </c>
      <c r="B1910" s="33" t="s">
        <v>21221</v>
      </c>
    </row>
    <row r="1911" spans="1:2" x14ac:dyDescent="0.25">
      <c r="A1911" s="33">
        <v>7600304021</v>
      </c>
      <c r="B1911" s="33" t="s">
        <v>21222</v>
      </c>
    </row>
    <row r="1912" spans="1:2" x14ac:dyDescent="0.25">
      <c r="A1912" s="33">
        <v>7600304022</v>
      </c>
      <c r="B1912" s="33" t="s">
        <v>21223</v>
      </c>
    </row>
    <row r="1913" spans="1:2" x14ac:dyDescent="0.25">
      <c r="A1913" s="33">
        <v>7600304023</v>
      </c>
      <c r="B1913" s="33" t="s">
        <v>21224</v>
      </c>
    </row>
    <row r="1914" spans="1:2" x14ac:dyDescent="0.25">
      <c r="A1914" s="33">
        <v>7600304024</v>
      </c>
      <c r="B1914" s="33" t="s">
        <v>21225</v>
      </c>
    </row>
    <row r="1915" spans="1:2" x14ac:dyDescent="0.25">
      <c r="A1915" s="33">
        <v>7600304025</v>
      </c>
      <c r="B1915" s="33" t="s">
        <v>21226</v>
      </c>
    </row>
    <row r="1916" spans="1:2" x14ac:dyDescent="0.25">
      <c r="A1916" s="33">
        <v>7600304026</v>
      </c>
      <c r="B1916" s="33" t="s">
        <v>21227</v>
      </c>
    </row>
    <row r="1917" spans="1:2" x14ac:dyDescent="0.25">
      <c r="A1917" s="33">
        <v>7600304027</v>
      </c>
      <c r="B1917" s="33" t="s">
        <v>21228</v>
      </c>
    </row>
    <row r="1918" spans="1:2" x14ac:dyDescent="0.25">
      <c r="A1918" s="33">
        <v>7600304028</v>
      </c>
      <c r="B1918" s="33" t="s">
        <v>21229</v>
      </c>
    </row>
    <row r="1919" spans="1:2" x14ac:dyDescent="0.25">
      <c r="A1919" s="33">
        <v>7600304029</v>
      </c>
      <c r="B1919" s="33" t="s">
        <v>21230</v>
      </c>
    </row>
    <row r="1920" spans="1:2" x14ac:dyDescent="0.25">
      <c r="A1920" s="33">
        <v>7600304030</v>
      </c>
      <c r="B1920" s="33" t="s">
        <v>21231</v>
      </c>
    </row>
    <row r="1921" spans="1:2" x14ac:dyDescent="0.25">
      <c r="A1921" s="33">
        <v>7600304031</v>
      </c>
      <c r="B1921" s="33" t="s">
        <v>21232</v>
      </c>
    </row>
    <row r="1922" spans="1:2" x14ac:dyDescent="0.25">
      <c r="A1922" s="33">
        <v>7600304032</v>
      </c>
      <c r="B1922" s="33" t="s">
        <v>21233</v>
      </c>
    </row>
    <row r="1923" spans="1:2" x14ac:dyDescent="0.25">
      <c r="A1923" s="33">
        <v>7600304033</v>
      </c>
      <c r="B1923" s="33" t="s">
        <v>21234</v>
      </c>
    </row>
    <row r="1924" spans="1:2" x14ac:dyDescent="0.25">
      <c r="A1924" s="33">
        <v>7600304034</v>
      </c>
      <c r="B1924" s="33" t="s">
        <v>21235</v>
      </c>
    </row>
    <row r="1925" spans="1:2" x14ac:dyDescent="0.25">
      <c r="A1925" s="33">
        <v>7600304035</v>
      </c>
      <c r="B1925" s="33" t="s">
        <v>21236</v>
      </c>
    </row>
    <row r="1926" spans="1:2" x14ac:dyDescent="0.25">
      <c r="A1926" s="33">
        <v>7600304036</v>
      </c>
      <c r="B1926" s="33" t="s">
        <v>21237</v>
      </c>
    </row>
    <row r="1927" spans="1:2" x14ac:dyDescent="0.25">
      <c r="A1927" s="33">
        <v>7600304037</v>
      </c>
      <c r="B1927" s="33" t="s">
        <v>21238</v>
      </c>
    </row>
    <row r="1928" spans="1:2" x14ac:dyDescent="0.25">
      <c r="A1928" s="33">
        <v>7600304038</v>
      </c>
      <c r="B1928" s="33" t="s">
        <v>21239</v>
      </c>
    </row>
    <row r="1929" spans="1:2" x14ac:dyDescent="0.25">
      <c r="A1929" s="33">
        <v>7600304039</v>
      </c>
      <c r="B1929" s="33" t="s">
        <v>21240</v>
      </c>
    </row>
    <row r="1930" spans="1:2" x14ac:dyDescent="0.25">
      <c r="A1930" s="33">
        <v>7600304040</v>
      </c>
      <c r="B1930" s="33" t="s">
        <v>21241</v>
      </c>
    </row>
    <row r="1931" spans="1:2" x14ac:dyDescent="0.25">
      <c r="A1931" s="33">
        <v>7600304041</v>
      </c>
      <c r="B1931" s="33" t="s">
        <v>21242</v>
      </c>
    </row>
    <row r="1932" spans="1:2" x14ac:dyDescent="0.25">
      <c r="A1932" s="33">
        <v>7600304042</v>
      </c>
      <c r="B1932" s="33" t="s">
        <v>21243</v>
      </c>
    </row>
    <row r="1933" spans="1:2" x14ac:dyDescent="0.25">
      <c r="A1933" s="33">
        <v>7600304043</v>
      </c>
      <c r="B1933" s="33" t="s">
        <v>21244</v>
      </c>
    </row>
    <row r="1934" spans="1:2" x14ac:dyDescent="0.25">
      <c r="A1934" s="33">
        <v>7600304044</v>
      </c>
      <c r="B1934" s="33" t="s">
        <v>21245</v>
      </c>
    </row>
    <row r="1935" spans="1:2" x14ac:dyDescent="0.25">
      <c r="A1935" s="33">
        <v>7600304045</v>
      </c>
      <c r="B1935" s="33" t="s">
        <v>21246</v>
      </c>
    </row>
    <row r="1936" spans="1:2" x14ac:dyDescent="0.25">
      <c r="A1936" s="33">
        <v>7600304046</v>
      </c>
      <c r="B1936" s="33" t="s">
        <v>21247</v>
      </c>
    </row>
    <row r="1937" spans="1:2" x14ac:dyDescent="0.25">
      <c r="A1937" s="33">
        <v>7600304047</v>
      </c>
      <c r="B1937" s="33" t="s">
        <v>21248</v>
      </c>
    </row>
    <row r="1938" spans="1:2" x14ac:dyDescent="0.25">
      <c r="A1938" s="33">
        <v>7600304048</v>
      </c>
      <c r="B1938" s="33" t="s">
        <v>21249</v>
      </c>
    </row>
    <row r="1939" spans="1:2" x14ac:dyDescent="0.25">
      <c r="A1939" s="33">
        <v>7600304049</v>
      </c>
      <c r="B1939" s="33" t="s">
        <v>21250</v>
      </c>
    </row>
    <row r="1940" spans="1:2" x14ac:dyDescent="0.25">
      <c r="A1940" s="33">
        <v>7600304050</v>
      </c>
      <c r="B1940" s="33" t="s">
        <v>21251</v>
      </c>
    </row>
    <row r="1941" spans="1:2" x14ac:dyDescent="0.25">
      <c r="A1941" s="33">
        <v>7600304051</v>
      </c>
      <c r="B1941" s="33" t="s">
        <v>21252</v>
      </c>
    </row>
    <row r="1942" spans="1:2" x14ac:dyDescent="0.25">
      <c r="A1942" s="33">
        <v>7600304052</v>
      </c>
      <c r="B1942" s="33" t="s">
        <v>21253</v>
      </c>
    </row>
    <row r="1943" spans="1:2" x14ac:dyDescent="0.25">
      <c r="A1943" s="33">
        <v>7600304053</v>
      </c>
      <c r="B1943" s="33" t="s">
        <v>21254</v>
      </c>
    </row>
    <row r="1944" spans="1:2" x14ac:dyDescent="0.25">
      <c r="A1944" s="33">
        <v>7600304054</v>
      </c>
      <c r="B1944" s="33" t="s">
        <v>21255</v>
      </c>
    </row>
    <row r="1945" spans="1:2" x14ac:dyDescent="0.25">
      <c r="A1945" s="33">
        <v>7600304055</v>
      </c>
      <c r="B1945" s="33" t="s">
        <v>21256</v>
      </c>
    </row>
    <row r="1946" spans="1:2" x14ac:dyDescent="0.25">
      <c r="A1946" s="33">
        <v>7600304056</v>
      </c>
      <c r="B1946" s="33" t="s">
        <v>21257</v>
      </c>
    </row>
    <row r="1947" spans="1:2" x14ac:dyDescent="0.25">
      <c r="A1947" s="33">
        <v>7600304057</v>
      </c>
      <c r="B1947" s="33" t="s">
        <v>21258</v>
      </c>
    </row>
    <row r="1948" spans="1:2" x14ac:dyDescent="0.25">
      <c r="A1948" s="33">
        <v>7600304058</v>
      </c>
      <c r="B1948" s="33" t="s">
        <v>21259</v>
      </c>
    </row>
    <row r="1949" spans="1:2" x14ac:dyDescent="0.25">
      <c r="A1949" s="33">
        <v>7600304059</v>
      </c>
      <c r="B1949" s="33" t="s">
        <v>21260</v>
      </c>
    </row>
    <row r="1950" spans="1:2" x14ac:dyDescent="0.25">
      <c r="A1950" s="33">
        <v>7600304060</v>
      </c>
      <c r="B1950" s="33" t="s">
        <v>21261</v>
      </c>
    </row>
    <row r="1951" spans="1:2" x14ac:dyDescent="0.25">
      <c r="A1951" s="33">
        <v>7600304061</v>
      </c>
      <c r="B1951" s="33" t="s">
        <v>21262</v>
      </c>
    </row>
    <row r="1952" spans="1:2" x14ac:dyDescent="0.25">
      <c r="A1952" s="33">
        <v>7600304062</v>
      </c>
      <c r="B1952" s="33" t="s">
        <v>21263</v>
      </c>
    </row>
    <row r="1953" spans="1:2" x14ac:dyDescent="0.25">
      <c r="A1953" s="33">
        <v>7600304063</v>
      </c>
      <c r="B1953" s="33" t="s">
        <v>21264</v>
      </c>
    </row>
    <row r="1954" spans="1:2" x14ac:dyDescent="0.25">
      <c r="A1954" s="33">
        <v>7600304064</v>
      </c>
      <c r="B1954" s="33" t="s">
        <v>21265</v>
      </c>
    </row>
    <row r="1955" spans="1:2" x14ac:dyDescent="0.25">
      <c r="A1955" s="33">
        <v>7600304065</v>
      </c>
      <c r="B1955" s="33" t="s">
        <v>21266</v>
      </c>
    </row>
    <row r="1956" spans="1:2" x14ac:dyDescent="0.25">
      <c r="A1956" s="33">
        <v>7600304066</v>
      </c>
      <c r="B1956" s="33" t="s">
        <v>21267</v>
      </c>
    </row>
    <row r="1957" spans="1:2" x14ac:dyDescent="0.25">
      <c r="A1957" s="33">
        <v>7600304067</v>
      </c>
      <c r="B1957" s="33" t="s">
        <v>21268</v>
      </c>
    </row>
    <row r="1958" spans="1:2" x14ac:dyDescent="0.25">
      <c r="A1958" s="33">
        <v>7600304068</v>
      </c>
      <c r="B1958" s="33" t="s">
        <v>21269</v>
      </c>
    </row>
    <row r="1959" spans="1:2" x14ac:dyDescent="0.25">
      <c r="A1959" s="33">
        <v>7600304069</v>
      </c>
      <c r="B1959" s="33" t="s">
        <v>21270</v>
      </c>
    </row>
    <row r="1960" spans="1:2" x14ac:dyDescent="0.25">
      <c r="A1960" s="33">
        <v>7600304070</v>
      </c>
      <c r="B1960" s="33" t="s">
        <v>21271</v>
      </c>
    </row>
    <row r="1961" spans="1:2" x14ac:dyDescent="0.25">
      <c r="A1961" s="33">
        <v>7600304071</v>
      </c>
      <c r="B1961" s="33" t="s">
        <v>21272</v>
      </c>
    </row>
    <row r="1962" spans="1:2" x14ac:dyDescent="0.25">
      <c r="A1962" s="33">
        <v>7600304072</v>
      </c>
      <c r="B1962" s="33" t="s">
        <v>21273</v>
      </c>
    </row>
    <row r="1963" spans="1:2" x14ac:dyDescent="0.25">
      <c r="A1963" s="33">
        <v>7600304073</v>
      </c>
      <c r="B1963" s="33" t="s">
        <v>21274</v>
      </c>
    </row>
    <row r="1964" spans="1:2" x14ac:dyDescent="0.25">
      <c r="A1964" s="33">
        <v>7600304074</v>
      </c>
      <c r="B1964" s="33" t="s">
        <v>21275</v>
      </c>
    </row>
    <row r="1965" spans="1:2" x14ac:dyDescent="0.25">
      <c r="A1965" s="33">
        <v>7600304075</v>
      </c>
      <c r="B1965" s="33" t="s">
        <v>21276</v>
      </c>
    </row>
    <row r="1966" spans="1:2" x14ac:dyDescent="0.25">
      <c r="A1966" s="33">
        <v>7600304076</v>
      </c>
      <c r="B1966" s="33" t="s">
        <v>21276</v>
      </c>
    </row>
    <row r="1967" spans="1:2" x14ac:dyDescent="0.25">
      <c r="A1967" s="33">
        <v>7600304077</v>
      </c>
      <c r="B1967" s="33" t="s">
        <v>21277</v>
      </c>
    </row>
    <row r="1968" spans="1:2" x14ac:dyDescent="0.25">
      <c r="A1968" s="33">
        <v>7600304078</v>
      </c>
      <c r="B1968" s="33" t="s">
        <v>21278</v>
      </c>
    </row>
    <row r="1969" spans="1:2" x14ac:dyDescent="0.25">
      <c r="A1969" s="33">
        <v>7600304079</v>
      </c>
      <c r="B1969" s="33" t="s">
        <v>21279</v>
      </c>
    </row>
    <row r="1970" spans="1:2" x14ac:dyDescent="0.25">
      <c r="A1970" s="33">
        <v>7600304080</v>
      </c>
      <c r="B1970" s="33" t="s">
        <v>21280</v>
      </c>
    </row>
    <row r="1971" spans="1:2" x14ac:dyDescent="0.25">
      <c r="A1971" s="33">
        <v>7600304081</v>
      </c>
      <c r="B1971" s="33" t="s">
        <v>21281</v>
      </c>
    </row>
    <row r="1972" spans="1:2" x14ac:dyDescent="0.25">
      <c r="A1972" s="33">
        <v>7600304082</v>
      </c>
      <c r="B1972" s="33" t="s">
        <v>21282</v>
      </c>
    </row>
    <row r="1973" spans="1:2" x14ac:dyDescent="0.25">
      <c r="A1973" s="33">
        <v>7600304083</v>
      </c>
      <c r="B1973" s="33" t="s">
        <v>21283</v>
      </c>
    </row>
    <row r="1974" spans="1:2" x14ac:dyDescent="0.25">
      <c r="A1974" s="33">
        <v>7600304084</v>
      </c>
      <c r="B1974" s="33" t="s">
        <v>21284</v>
      </c>
    </row>
    <row r="1975" spans="1:2" x14ac:dyDescent="0.25">
      <c r="A1975" s="33">
        <v>7600304086</v>
      </c>
      <c r="B1975" s="33" t="s">
        <v>21285</v>
      </c>
    </row>
    <row r="1976" spans="1:2" x14ac:dyDescent="0.25">
      <c r="A1976" s="33">
        <v>7600304087</v>
      </c>
      <c r="B1976" s="33" t="s">
        <v>21286</v>
      </c>
    </row>
    <row r="1977" spans="1:2" x14ac:dyDescent="0.25">
      <c r="A1977" s="33">
        <v>7600304088</v>
      </c>
      <c r="B1977" s="33" t="s">
        <v>21287</v>
      </c>
    </row>
    <row r="1978" spans="1:2" x14ac:dyDescent="0.25">
      <c r="A1978" s="33">
        <v>7600304089</v>
      </c>
      <c r="B1978" s="33" t="s">
        <v>21288</v>
      </c>
    </row>
    <row r="1979" spans="1:2" x14ac:dyDescent="0.25">
      <c r="A1979" s="33">
        <v>7600304090</v>
      </c>
      <c r="B1979" s="33" t="s">
        <v>21289</v>
      </c>
    </row>
    <row r="1980" spans="1:2" x14ac:dyDescent="0.25">
      <c r="A1980" s="33">
        <v>7600304091</v>
      </c>
      <c r="B1980" s="33" t="s">
        <v>21290</v>
      </c>
    </row>
    <row r="1981" spans="1:2" x14ac:dyDescent="0.25">
      <c r="A1981" s="33">
        <v>7600304092</v>
      </c>
      <c r="B1981" s="33" t="s">
        <v>21291</v>
      </c>
    </row>
    <row r="1982" spans="1:2" x14ac:dyDescent="0.25">
      <c r="A1982" s="33">
        <v>7600304093</v>
      </c>
      <c r="B1982" s="33" t="s">
        <v>21292</v>
      </c>
    </row>
    <row r="1983" spans="1:2" x14ac:dyDescent="0.25">
      <c r="A1983" s="33">
        <v>7600304094</v>
      </c>
      <c r="B1983" s="33" t="s">
        <v>21293</v>
      </c>
    </row>
    <row r="1984" spans="1:2" x14ac:dyDescent="0.25">
      <c r="A1984" s="33">
        <v>7600304095</v>
      </c>
      <c r="B1984" s="33" t="s">
        <v>21294</v>
      </c>
    </row>
    <row r="1985" spans="1:2" x14ac:dyDescent="0.25">
      <c r="A1985" s="33">
        <v>7600304096</v>
      </c>
      <c r="B1985" s="33" t="s">
        <v>21295</v>
      </c>
    </row>
    <row r="1986" spans="1:2" x14ac:dyDescent="0.25">
      <c r="A1986" s="33">
        <v>7600304097</v>
      </c>
      <c r="B1986" s="33" t="s">
        <v>21296</v>
      </c>
    </row>
    <row r="1987" spans="1:2" x14ac:dyDescent="0.25">
      <c r="A1987" s="33">
        <v>7600304098</v>
      </c>
      <c r="B1987" s="33" t="s">
        <v>21297</v>
      </c>
    </row>
    <row r="1988" spans="1:2" x14ac:dyDescent="0.25">
      <c r="A1988" s="33">
        <v>7600304099</v>
      </c>
      <c r="B1988" s="33" t="s">
        <v>21298</v>
      </c>
    </row>
    <row r="1989" spans="1:2" x14ac:dyDescent="0.25">
      <c r="A1989" s="33">
        <v>7600304100</v>
      </c>
      <c r="B1989" s="33" t="s">
        <v>21299</v>
      </c>
    </row>
    <row r="1990" spans="1:2" x14ac:dyDescent="0.25">
      <c r="A1990" s="33">
        <v>7600304101</v>
      </c>
      <c r="B1990" s="33" t="s">
        <v>21300</v>
      </c>
    </row>
    <row r="1991" spans="1:2" x14ac:dyDescent="0.25">
      <c r="A1991" s="33">
        <v>7600304102</v>
      </c>
      <c r="B1991" s="33" t="s">
        <v>21301</v>
      </c>
    </row>
    <row r="1992" spans="1:2" x14ac:dyDescent="0.25">
      <c r="A1992" s="33">
        <v>7600304103</v>
      </c>
      <c r="B1992" s="33" t="s">
        <v>21302</v>
      </c>
    </row>
    <row r="1993" spans="1:2" x14ac:dyDescent="0.25">
      <c r="A1993" s="33">
        <v>7600304104</v>
      </c>
      <c r="B1993" s="33" t="s">
        <v>21303</v>
      </c>
    </row>
    <row r="1994" spans="1:2" x14ac:dyDescent="0.25">
      <c r="A1994" s="33">
        <v>7600304105</v>
      </c>
      <c r="B1994" s="33" t="s">
        <v>21304</v>
      </c>
    </row>
    <row r="1995" spans="1:2" x14ac:dyDescent="0.25">
      <c r="A1995" s="33">
        <v>7600304106</v>
      </c>
      <c r="B1995" s="33" t="s">
        <v>21305</v>
      </c>
    </row>
    <row r="1996" spans="1:2" x14ac:dyDescent="0.25">
      <c r="A1996" s="33">
        <v>7600304107</v>
      </c>
      <c r="B1996" s="33" t="s">
        <v>21306</v>
      </c>
    </row>
    <row r="1997" spans="1:2" x14ac:dyDescent="0.25">
      <c r="A1997" s="33">
        <v>7600304108</v>
      </c>
      <c r="B1997" s="33" t="s">
        <v>21307</v>
      </c>
    </row>
    <row r="1998" spans="1:2" x14ac:dyDescent="0.25">
      <c r="A1998" s="33">
        <v>7600304109</v>
      </c>
      <c r="B1998" s="33" t="s">
        <v>21308</v>
      </c>
    </row>
    <row r="1999" spans="1:2" x14ac:dyDescent="0.25">
      <c r="A1999" s="33">
        <v>7600304110</v>
      </c>
      <c r="B1999" s="33" t="s">
        <v>21309</v>
      </c>
    </row>
    <row r="2000" spans="1:2" x14ac:dyDescent="0.25">
      <c r="A2000" s="33">
        <v>7600304111</v>
      </c>
      <c r="B2000" s="33" t="s">
        <v>21310</v>
      </c>
    </row>
    <row r="2001" spans="1:2" x14ac:dyDescent="0.25">
      <c r="A2001" s="33">
        <v>7600304112</v>
      </c>
      <c r="B2001" s="33" t="s">
        <v>21311</v>
      </c>
    </row>
    <row r="2002" spans="1:2" x14ac:dyDescent="0.25">
      <c r="A2002" s="33">
        <v>7600304113</v>
      </c>
      <c r="B2002" s="33" t="s">
        <v>21312</v>
      </c>
    </row>
    <row r="2003" spans="1:2" x14ac:dyDescent="0.25">
      <c r="A2003" s="33">
        <v>7600304114</v>
      </c>
      <c r="B2003" s="33" t="s">
        <v>21313</v>
      </c>
    </row>
    <row r="2004" spans="1:2" x14ac:dyDescent="0.25">
      <c r="A2004" s="33">
        <v>7600304115</v>
      </c>
      <c r="B2004" s="33" t="s">
        <v>21314</v>
      </c>
    </row>
    <row r="2005" spans="1:2" x14ac:dyDescent="0.25">
      <c r="A2005" s="33">
        <v>7600304116</v>
      </c>
      <c r="B2005" s="33" t="s">
        <v>21315</v>
      </c>
    </row>
    <row r="2006" spans="1:2" x14ac:dyDescent="0.25">
      <c r="A2006" s="33">
        <v>7600304117</v>
      </c>
      <c r="B2006" s="33" t="s">
        <v>21316</v>
      </c>
    </row>
    <row r="2007" spans="1:2" x14ac:dyDescent="0.25">
      <c r="A2007" s="33">
        <v>7600304118</v>
      </c>
      <c r="B2007" s="33" t="s">
        <v>21317</v>
      </c>
    </row>
    <row r="2008" spans="1:2" x14ac:dyDescent="0.25">
      <c r="A2008" s="33">
        <v>7600304119</v>
      </c>
      <c r="B2008" s="33" t="s">
        <v>21318</v>
      </c>
    </row>
    <row r="2009" spans="1:2" x14ac:dyDescent="0.25">
      <c r="A2009" s="33">
        <v>7600304120</v>
      </c>
      <c r="B2009" s="33" t="s">
        <v>21319</v>
      </c>
    </row>
    <row r="2010" spans="1:2" x14ac:dyDescent="0.25">
      <c r="A2010" s="33">
        <v>7600304121</v>
      </c>
      <c r="B2010" s="33" t="s">
        <v>21320</v>
      </c>
    </row>
    <row r="2011" spans="1:2" x14ac:dyDescent="0.25">
      <c r="A2011" s="33">
        <v>7600304122</v>
      </c>
      <c r="B2011" s="33" t="s">
        <v>21321</v>
      </c>
    </row>
    <row r="2012" spans="1:2" x14ac:dyDescent="0.25">
      <c r="A2012" s="33">
        <v>7600304123</v>
      </c>
      <c r="B2012" s="33" t="s">
        <v>21279</v>
      </c>
    </row>
    <row r="2013" spans="1:2" x14ac:dyDescent="0.25">
      <c r="A2013" s="33">
        <v>7600304124</v>
      </c>
      <c r="B2013" s="33" t="s">
        <v>21322</v>
      </c>
    </row>
    <row r="2014" spans="1:2" x14ac:dyDescent="0.25">
      <c r="A2014" s="33">
        <v>7600304125</v>
      </c>
      <c r="B2014" s="33" t="s">
        <v>21323</v>
      </c>
    </row>
    <row r="2015" spans="1:2" x14ac:dyDescent="0.25">
      <c r="A2015" s="33">
        <v>7600304126</v>
      </c>
      <c r="B2015" s="33" t="s">
        <v>21324</v>
      </c>
    </row>
    <row r="2016" spans="1:2" x14ac:dyDescent="0.25">
      <c r="A2016" s="33">
        <v>7600304127</v>
      </c>
      <c r="B2016" s="33" t="s">
        <v>21325</v>
      </c>
    </row>
    <row r="2017" spans="1:2" x14ac:dyDescent="0.25">
      <c r="A2017" s="33">
        <v>7600304128</v>
      </c>
      <c r="B2017" s="33" t="s">
        <v>21326</v>
      </c>
    </row>
    <row r="2018" spans="1:2" x14ac:dyDescent="0.25">
      <c r="A2018" s="33">
        <v>7600304129</v>
      </c>
      <c r="B2018" s="33" t="s">
        <v>21327</v>
      </c>
    </row>
    <row r="2019" spans="1:2" x14ac:dyDescent="0.25">
      <c r="A2019" s="33">
        <v>7600304130</v>
      </c>
      <c r="B2019" s="33" t="s">
        <v>21328</v>
      </c>
    </row>
    <row r="2020" spans="1:2" x14ac:dyDescent="0.25">
      <c r="A2020" s="33">
        <v>7600304131</v>
      </c>
      <c r="B2020" s="33" t="s">
        <v>21329</v>
      </c>
    </row>
    <row r="2021" spans="1:2" x14ac:dyDescent="0.25">
      <c r="A2021" s="33">
        <v>7600304132</v>
      </c>
      <c r="B2021" s="33" t="s">
        <v>21330</v>
      </c>
    </row>
    <row r="2022" spans="1:2" x14ac:dyDescent="0.25">
      <c r="A2022" s="33">
        <v>7600304133</v>
      </c>
      <c r="B2022" s="33" t="s">
        <v>21331</v>
      </c>
    </row>
    <row r="2023" spans="1:2" x14ac:dyDescent="0.25">
      <c r="A2023" s="33">
        <v>7600304134</v>
      </c>
      <c r="B2023" s="33" t="s">
        <v>21332</v>
      </c>
    </row>
    <row r="2024" spans="1:2" x14ac:dyDescent="0.25">
      <c r="A2024" s="33">
        <v>7600304135</v>
      </c>
      <c r="B2024" s="33" t="s">
        <v>21333</v>
      </c>
    </row>
    <row r="2025" spans="1:2" x14ac:dyDescent="0.25">
      <c r="A2025" s="33">
        <v>7600304136</v>
      </c>
      <c r="B2025" s="33" t="s">
        <v>21334</v>
      </c>
    </row>
    <row r="2026" spans="1:2" x14ac:dyDescent="0.25">
      <c r="A2026" s="33">
        <v>7600304137</v>
      </c>
      <c r="B2026" s="33" t="s">
        <v>21335</v>
      </c>
    </row>
    <row r="2027" spans="1:2" x14ac:dyDescent="0.25">
      <c r="A2027" s="33">
        <v>7600304138</v>
      </c>
      <c r="B2027" s="33" t="s">
        <v>21336</v>
      </c>
    </row>
    <row r="2028" spans="1:2" x14ac:dyDescent="0.25">
      <c r="A2028" s="33">
        <v>7600304139</v>
      </c>
      <c r="B2028" s="33" t="s">
        <v>21337</v>
      </c>
    </row>
    <row r="2029" spans="1:2" x14ac:dyDescent="0.25">
      <c r="A2029" s="33">
        <v>7600304140</v>
      </c>
      <c r="B2029" s="33" t="s">
        <v>21338</v>
      </c>
    </row>
    <row r="2030" spans="1:2" x14ac:dyDescent="0.25">
      <c r="A2030" s="33">
        <v>7600304141</v>
      </c>
      <c r="B2030" s="33" t="s">
        <v>21339</v>
      </c>
    </row>
    <row r="2031" spans="1:2" x14ac:dyDescent="0.25">
      <c r="A2031" s="33">
        <v>7600304142</v>
      </c>
      <c r="B2031" s="33" t="s">
        <v>21340</v>
      </c>
    </row>
    <row r="2032" spans="1:2" x14ac:dyDescent="0.25">
      <c r="A2032" s="33">
        <v>7600304143</v>
      </c>
      <c r="B2032" s="33" t="s">
        <v>21341</v>
      </c>
    </row>
    <row r="2033" spans="1:2" x14ac:dyDescent="0.25">
      <c r="A2033" s="33">
        <v>7600304144</v>
      </c>
      <c r="B2033" s="33" t="s">
        <v>21342</v>
      </c>
    </row>
    <row r="2034" spans="1:2" x14ac:dyDescent="0.25">
      <c r="A2034" s="33">
        <v>7600304145</v>
      </c>
      <c r="B2034" s="33" t="s">
        <v>21343</v>
      </c>
    </row>
    <row r="2035" spans="1:2" x14ac:dyDescent="0.25">
      <c r="A2035" s="33">
        <v>7600304146</v>
      </c>
      <c r="B2035" s="33" t="s">
        <v>21344</v>
      </c>
    </row>
    <row r="2036" spans="1:2" x14ac:dyDescent="0.25">
      <c r="A2036" s="33">
        <v>7600304147</v>
      </c>
      <c r="B2036" s="33" t="s">
        <v>21345</v>
      </c>
    </row>
    <row r="2037" spans="1:2" x14ac:dyDescent="0.25">
      <c r="A2037" s="33">
        <v>7600304148</v>
      </c>
      <c r="B2037" s="33" t="s">
        <v>21346</v>
      </c>
    </row>
    <row r="2038" spans="1:2" x14ac:dyDescent="0.25">
      <c r="A2038" s="33">
        <v>7600304149</v>
      </c>
      <c r="B2038" s="33" t="s">
        <v>21347</v>
      </c>
    </row>
    <row r="2039" spans="1:2" x14ac:dyDescent="0.25">
      <c r="A2039" s="33">
        <v>7600304150</v>
      </c>
      <c r="B2039" s="33" t="s">
        <v>21348</v>
      </c>
    </row>
    <row r="2040" spans="1:2" x14ac:dyDescent="0.25">
      <c r="A2040" s="33">
        <v>7600304151</v>
      </c>
      <c r="B2040" s="33" t="s">
        <v>21349</v>
      </c>
    </row>
    <row r="2041" spans="1:2" x14ac:dyDescent="0.25">
      <c r="A2041" s="33">
        <v>7600304152</v>
      </c>
      <c r="B2041" s="33" t="s">
        <v>21350</v>
      </c>
    </row>
    <row r="2042" spans="1:2" x14ac:dyDescent="0.25">
      <c r="A2042" s="33">
        <v>7600304153</v>
      </c>
      <c r="B2042" s="33" t="s">
        <v>21351</v>
      </c>
    </row>
    <row r="2043" spans="1:2" x14ac:dyDescent="0.25">
      <c r="A2043" s="33">
        <v>7600304154</v>
      </c>
      <c r="B2043" s="33" t="s">
        <v>21352</v>
      </c>
    </row>
    <row r="2044" spans="1:2" x14ac:dyDescent="0.25">
      <c r="A2044" s="33">
        <v>7600304155</v>
      </c>
      <c r="B2044" s="33" t="s">
        <v>21353</v>
      </c>
    </row>
    <row r="2045" spans="1:2" x14ac:dyDescent="0.25">
      <c r="A2045" s="33">
        <v>7600304156</v>
      </c>
      <c r="B2045" s="33" t="s">
        <v>21354</v>
      </c>
    </row>
    <row r="2046" spans="1:2" x14ac:dyDescent="0.25">
      <c r="A2046" s="33">
        <v>7600304157</v>
      </c>
      <c r="B2046" s="33" t="s">
        <v>21355</v>
      </c>
    </row>
    <row r="2047" spans="1:2" x14ac:dyDescent="0.25">
      <c r="A2047" s="33">
        <v>7600304158</v>
      </c>
      <c r="B2047" s="33" t="s">
        <v>21356</v>
      </c>
    </row>
    <row r="2048" spans="1:2" x14ac:dyDescent="0.25">
      <c r="A2048" s="33">
        <v>7600304159</v>
      </c>
      <c r="B2048" s="33" t="s">
        <v>21357</v>
      </c>
    </row>
    <row r="2049" spans="1:2" x14ac:dyDescent="0.25">
      <c r="A2049" s="33">
        <v>7600304160</v>
      </c>
      <c r="B2049" s="33" t="s">
        <v>21358</v>
      </c>
    </row>
    <row r="2050" spans="1:2" x14ac:dyDescent="0.25">
      <c r="A2050" s="33">
        <v>7600304161</v>
      </c>
      <c r="B2050" s="33" t="s">
        <v>21359</v>
      </c>
    </row>
    <row r="2051" spans="1:2" x14ac:dyDescent="0.25">
      <c r="A2051" s="33">
        <v>7600304162</v>
      </c>
      <c r="B2051" s="33" t="s">
        <v>21360</v>
      </c>
    </row>
    <row r="2052" spans="1:2" x14ac:dyDescent="0.25">
      <c r="A2052" s="33">
        <v>7600304163</v>
      </c>
      <c r="B2052" s="33" t="s">
        <v>21361</v>
      </c>
    </row>
    <row r="2053" spans="1:2" x14ac:dyDescent="0.25">
      <c r="A2053" s="33">
        <v>7600304164</v>
      </c>
      <c r="B2053" s="33" t="s">
        <v>21362</v>
      </c>
    </row>
    <row r="2054" spans="1:2" x14ac:dyDescent="0.25">
      <c r="A2054" s="33">
        <v>7600304165</v>
      </c>
      <c r="B2054" s="33" t="s">
        <v>21363</v>
      </c>
    </row>
    <row r="2055" spans="1:2" x14ac:dyDescent="0.25">
      <c r="A2055" s="33">
        <v>7600304166</v>
      </c>
      <c r="B2055" s="33" t="s">
        <v>21364</v>
      </c>
    </row>
    <row r="2056" spans="1:2" x14ac:dyDescent="0.25">
      <c r="A2056" s="33">
        <v>7600304167</v>
      </c>
      <c r="B2056" s="33" t="s">
        <v>21365</v>
      </c>
    </row>
    <row r="2057" spans="1:2" x14ac:dyDescent="0.25">
      <c r="A2057" s="33">
        <v>7600304168</v>
      </c>
      <c r="B2057" s="33" t="s">
        <v>21366</v>
      </c>
    </row>
    <row r="2058" spans="1:2" x14ac:dyDescent="0.25">
      <c r="A2058" s="33">
        <v>7600304169</v>
      </c>
      <c r="B2058" s="33" t="s">
        <v>21367</v>
      </c>
    </row>
    <row r="2059" spans="1:2" x14ac:dyDescent="0.25">
      <c r="A2059" s="33">
        <v>7600304170</v>
      </c>
      <c r="B2059" s="33" t="s">
        <v>21368</v>
      </c>
    </row>
    <row r="2060" spans="1:2" x14ac:dyDescent="0.25">
      <c r="A2060" s="33">
        <v>7600304171</v>
      </c>
      <c r="B2060" s="33" t="s">
        <v>21369</v>
      </c>
    </row>
    <row r="2061" spans="1:2" x14ac:dyDescent="0.25">
      <c r="A2061" s="33">
        <v>7600304172</v>
      </c>
      <c r="B2061" s="33" t="s">
        <v>21370</v>
      </c>
    </row>
    <row r="2062" spans="1:2" x14ac:dyDescent="0.25">
      <c r="A2062" s="33">
        <v>7600304173</v>
      </c>
      <c r="B2062" s="33" t="s">
        <v>21371</v>
      </c>
    </row>
    <row r="2063" spans="1:2" x14ac:dyDescent="0.25">
      <c r="A2063" s="33">
        <v>7600304174</v>
      </c>
      <c r="B2063" s="33" t="s">
        <v>21372</v>
      </c>
    </row>
    <row r="2064" spans="1:2" x14ac:dyDescent="0.25">
      <c r="A2064" s="33">
        <v>7600304175</v>
      </c>
      <c r="B2064" s="33" t="s">
        <v>21373</v>
      </c>
    </row>
    <row r="2065" spans="1:2" x14ac:dyDescent="0.25">
      <c r="A2065" s="33">
        <v>7600304178</v>
      </c>
      <c r="B2065" s="33" t="s">
        <v>21374</v>
      </c>
    </row>
    <row r="2066" spans="1:2" x14ac:dyDescent="0.25">
      <c r="A2066" s="33">
        <v>7600304179</v>
      </c>
      <c r="B2066" s="33" t="s">
        <v>21375</v>
      </c>
    </row>
    <row r="2067" spans="1:2" x14ac:dyDescent="0.25">
      <c r="A2067" s="33">
        <v>7600304180</v>
      </c>
      <c r="B2067" s="33" t="s">
        <v>21376</v>
      </c>
    </row>
    <row r="2068" spans="1:2" x14ac:dyDescent="0.25">
      <c r="A2068" s="33">
        <v>7600304182</v>
      </c>
      <c r="B2068" s="33" t="s">
        <v>21377</v>
      </c>
    </row>
    <row r="2069" spans="1:2" x14ac:dyDescent="0.25">
      <c r="A2069" s="33">
        <v>7600304183</v>
      </c>
      <c r="B2069" s="33" t="s">
        <v>21378</v>
      </c>
    </row>
    <row r="2070" spans="1:2" x14ac:dyDescent="0.25">
      <c r="A2070" s="33">
        <v>7600304184</v>
      </c>
      <c r="B2070" s="33" t="s">
        <v>21379</v>
      </c>
    </row>
    <row r="2071" spans="1:2" x14ac:dyDescent="0.25">
      <c r="A2071" s="33">
        <v>7600304185</v>
      </c>
      <c r="B2071" s="33" t="s">
        <v>21380</v>
      </c>
    </row>
    <row r="2072" spans="1:2" x14ac:dyDescent="0.25">
      <c r="A2072" s="33">
        <v>7600304186</v>
      </c>
      <c r="B2072" s="33" t="s">
        <v>21381</v>
      </c>
    </row>
    <row r="2073" spans="1:2" x14ac:dyDescent="0.25">
      <c r="A2073" s="33">
        <v>7600304188</v>
      </c>
      <c r="B2073" s="33" t="s">
        <v>21382</v>
      </c>
    </row>
    <row r="2074" spans="1:2" x14ac:dyDescent="0.25">
      <c r="A2074" s="33">
        <v>7600304190</v>
      </c>
      <c r="B2074" s="33" t="s">
        <v>21383</v>
      </c>
    </row>
    <row r="2075" spans="1:2" x14ac:dyDescent="0.25">
      <c r="A2075" s="33">
        <v>7600304191</v>
      </c>
      <c r="B2075" s="33" t="s">
        <v>21384</v>
      </c>
    </row>
    <row r="2076" spans="1:2" x14ac:dyDescent="0.25">
      <c r="A2076" s="33">
        <v>7600304192</v>
      </c>
      <c r="B2076" s="33" t="s">
        <v>21385</v>
      </c>
    </row>
    <row r="2077" spans="1:2" x14ac:dyDescent="0.25">
      <c r="A2077" s="33">
        <v>7600304193</v>
      </c>
      <c r="B2077" s="33" t="s">
        <v>21386</v>
      </c>
    </row>
    <row r="2078" spans="1:2" x14ac:dyDescent="0.25">
      <c r="A2078" s="33">
        <v>7600304194</v>
      </c>
      <c r="B2078" s="33" t="s">
        <v>21387</v>
      </c>
    </row>
    <row r="2079" spans="1:2" x14ac:dyDescent="0.25">
      <c r="A2079" s="33">
        <v>7600304195</v>
      </c>
      <c r="B2079" s="33" t="s">
        <v>21388</v>
      </c>
    </row>
    <row r="2080" spans="1:2" x14ac:dyDescent="0.25">
      <c r="A2080" s="33">
        <v>7600304196</v>
      </c>
      <c r="B2080" s="33" t="s">
        <v>21389</v>
      </c>
    </row>
    <row r="2081" spans="1:2" x14ac:dyDescent="0.25">
      <c r="A2081" s="33">
        <v>7600304197</v>
      </c>
      <c r="B2081" s="33" t="s">
        <v>21390</v>
      </c>
    </row>
    <row r="2082" spans="1:2" x14ac:dyDescent="0.25">
      <c r="A2082" s="33">
        <v>7600304198</v>
      </c>
      <c r="B2082" s="33" t="s">
        <v>21391</v>
      </c>
    </row>
    <row r="2083" spans="1:2" x14ac:dyDescent="0.25">
      <c r="A2083" s="33">
        <v>7600304199</v>
      </c>
      <c r="B2083" s="33" t="s">
        <v>21392</v>
      </c>
    </row>
    <row r="2084" spans="1:2" x14ac:dyDescent="0.25">
      <c r="A2084" s="33">
        <v>7600304200</v>
      </c>
      <c r="B2084" s="33" t="s">
        <v>21393</v>
      </c>
    </row>
    <row r="2085" spans="1:2" x14ac:dyDescent="0.25">
      <c r="A2085" s="33">
        <v>7600304201</v>
      </c>
      <c r="B2085" s="33" t="s">
        <v>21394</v>
      </c>
    </row>
    <row r="2086" spans="1:2" x14ac:dyDescent="0.25">
      <c r="A2086" s="33">
        <v>7600304202</v>
      </c>
      <c r="B2086" s="33" t="s">
        <v>21395</v>
      </c>
    </row>
    <row r="2087" spans="1:2" x14ac:dyDescent="0.25">
      <c r="A2087" s="33">
        <v>7600304203</v>
      </c>
      <c r="B2087" s="33" t="s">
        <v>21396</v>
      </c>
    </row>
    <row r="2088" spans="1:2" x14ac:dyDescent="0.25">
      <c r="A2088" s="33">
        <v>7600304204</v>
      </c>
      <c r="B2088" s="33" t="s">
        <v>21397</v>
      </c>
    </row>
    <row r="2089" spans="1:2" x14ac:dyDescent="0.25">
      <c r="A2089" s="33">
        <v>7600304207</v>
      </c>
      <c r="B2089" s="33" t="s">
        <v>21398</v>
      </c>
    </row>
    <row r="2090" spans="1:2" x14ac:dyDescent="0.25">
      <c r="A2090" s="33">
        <v>7600304208</v>
      </c>
      <c r="B2090" s="33" t="s">
        <v>21399</v>
      </c>
    </row>
    <row r="2091" spans="1:2" x14ac:dyDescent="0.25">
      <c r="A2091" s="33">
        <v>7600304209</v>
      </c>
      <c r="B2091" s="33" t="s">
        <v>21400</v>
      </c>
    </row>
    <row r="2092" spans="1:2" x14ac:dyDescent="0.25">
      <c r="A2092" s="33">
        <v>7600304210</v>
      </c>
      <c r="B2092" s="33" t="s">
        <v>21401</v>
      </c>
    </row>
    <row r="2093" spans="1:2" x14ac:dyDescent="0.25">
      <c r="A2093" s="33">
        <v>7600304211</v>
      </c>
      <c r="B2093" s="33" t="s">
        <v>21402</v>
      </c>
    </row>
    <row r="2094" spans="1:2" x14ac:dyDescent="0.25">
      <c r="A2094" s="33">
        <v>7600304212</v>
      </c>
      <c r="B2094" s="33" t="s">
        <v>21403</v>
      </c>
    </row>
    <row r="2095" spans="1:2" x14ac:dyDescent="0.25">
      <c r="A2095" s="33">
        <v>7600304213</v>
      </c>
      <c r="B2095" s="33" t="s">
        <v>21404</v>
      </c>
    </row>
    <row r="2096" spans="1:2" x14ac:dyDescent="0.25">
      <c r="A2096" s="33">
        <v>7600304214</v>
      </c>
      <c r="B2096" s="33" t="s">
        <v>21405</v>
      </c>
    </row>
    <row r="2097" spans="1:2" x14ac:dyDescent="0.25">
      <c r="A2097" s="33">
        <v>7600304215</v>
      </c>
      <c r="B2097" s="33" t="s">
        <v>21406</v>
      </c>
    </row>
    <row r="2098" spans="1:2" x14ac:dyDescent="0.25">
      <c r="A2098" s="33">
        <v>7600304216</v>
      </c>
      <c r="B2098" s="33" t="s">
        <v>21407</v>
      </c>
    </row>
    <row r="2099" spans="1:2" x14ac:dyDescent="0.25">
      <c r="A2099" s="33">
        <v>7600304217</v>
      </c>
      <c r="B2099" s="33" t="s">
        <v>21408</v>
      </c>
    </row>
    <row r="2100" spans="1:2" x14ac:dyDescent="0.25">
      <c r="A2100" s="33">
        <v>7600304218</v>
      </c>
      <c r="B2100" s="33" t="s">
        <v>21409</v>
      </c>
    </row>
    <row r="2101" spans="1:2" x14ac:dyDescent="0.25">
      <c r="A2101" s="33">
        <v>7600304219</v>
      </c>
      <c r="B2101" s="33" t="s">
        <v>21410</v>
      </c>
    </row>
    <row r="2102" spans="1:2" x14ac:dyDescent="0.25">
      <c r="A2102" s="33">
        <v>7600304220</v>
      </c>
      <c r="B2102" s="33" t="s">
        <v>21411</v>
      </c>
    </row>
    <row r="2103" spans="1:2" x14ac:dyDescent="0.25">
      <c r="A2103" s="33">
        <v>7600304221</v>
      </c>
      <c r="B2103" s="33" t="s">
        <v>21412</v>
      </c>
    </row>
    <row r="2104" spans="1:2" x14ac:dyDescent="0.25">
      <c r="A2104" s="33">
        <v>7600304222</v>
      </c>
      <c r="B2104" s="33" t="s">
        <v>21413</v>
      </c>
    </row>
    <row r="2105" spans="1:2" x14ac:dyDescent="0.25">
      <c r="A2105" s="33">
        <v>7600304223</v>
      </c>
      <c r="B2105" s="33" t="s">
        <v>21414</v>
      </c>
    </row>
    <row r="2106" spans="1:2" x14ac:dyDescent="0.25">
      <c r="A2106" s="33">
        <v>7600304224</v>
      </c>
      <c r="B2106" s="33" t="s">
        <v>21415</v>
      </c>
    </row>
    <row r="2107" spans="1:2" x14ac:dyDescent="0.25">
      <c r="A2107" s="33">
        <v>7600304225</v>
      </c>
      <c r="B2107" s="33" t="s">
        <v>21416</v>
      </c>
    </row>
    <row r="2108" spans="1:2" x14ac:dyDescent="0.25">
      <c r="A2108" s="33">
        <v>7600304226</v>
      </c>
      <c r="B2108" s="33" t="s">
        <v>21417</v>
      </c>
    </row>
    <row r="2109" spans="1:2" x14ac:dyDescent="0.25">
      <c r="A2109" s="33">
        <v>7600304227</v>
      </c>
      <c r="B2109" s="33" t="s">
        <v>21418</v>
      </c>
    </row>
    <row r="2110" spans="1:2" x14ac:dyDescent="0.25">
      <c r="A2110" s="33">
        <v>7600304228</v>
      </c>
      <c r="B2110" s="33" t="s">
        <v>21419</v>
      </c>
    </row>
    <row r="2111" spans="1:2" x14ac:dyDescent="0.25">
      <c r="A2111" s="33">
        <v>7600304229</v>
      </c>
      <c r="B2111" s="33" t="s">
        <v>21420</v>
      </c>
    </row>
    <row r="2112" spans="1:2" x14ac:dyDescent="0.25">
      <c r="A2112" s="33">
        <v>7600304230</v>
      </c>
      <c r="B2112" s="33" t="s">
        <v>21421</v>
      </c>
    </row>
    <row r="2113" spans="1:2" x14ac:dyDescent="0.25">
      <c r="A2113" s="33">
        <v>7600304231</v>
      </c>
      <c r="B2113" s="33" t="s">
        <v>21422</v>
      </c>
    </row>
    <row r="2114" spans="1:2" x14ac:dyDescent="0.25">
      <c r="A2114" s="33">
        <v>7600304232</v>
      </c>
      <c r="B2114" s="33" t="s">
        <v>21423</v>
      </c>
    </row>
    <row r="2115" spans="1:2" x14ac:dyDescent="0.25">
      <c r="A2115" s="33">
        <v>7600304233</v>
      </c>
      <c r="B2115" s="33" t="s">
        <v>21424</v>
      </c>
    </row>
    <row r="2116" spans="1:2" x14ac:dyDescent="0.25">
      <c r="A2116" s="33">
        <v>7600304234</v>
      </c>
      <c r="B2116" s="33" t="s">
        <v>21425</v>
      </c>
    </row>
    <row r="2117" spans="1:2" x14ac:dyDescent="0.25">
      <c r="A2117" s="33">
        <v>7600304235</v>
      </c>
      <c r="B2117" s="33" t="s">
        <v>21426</v>
      </c>
    </row>
    <row r="2118" spans="1:2" x14ac:dyDescent="0.25">
      <c r="A2118" s="33">
        <v>7600304236</v>
      </c>
      <c r="B2118" s="33" t="s">
        <v>21427</v>
      </c>
    </row>
    <row r="2119" spans="1:2" x14ac:dyDescent="0.25">
      <c r="A2119" s="33">
        <v>7600304237</v>
      </c>
      <c r="B2119" s="33" t="s">
        <v>21428</v>
      </c>
    </row>
    <row r="2120" spans="1:2" x14ac:dyDescent="0.25">
      <c r="A2120" s="33">
        <v>7600304238</v>
      </c>
      <c r="B2120" s="33" t="s">
        <v>21429</v>
      </c>
    </row>
    <row r="2121" spans="1:2" x14ac:dyDescent="0.25">
      <c r="A2121" s="33">
        <v>7600304239</v>
      </c>
      <c r="B2121" s="33" t="s">
        <v>21430</v>
      </c>
    </row>
    <row r="2122" spans="1:2" x14ac:dyDescent="0.25">
      <c r="A2122" s="33">
        <v>7600304250</v>
      </c>
      <c r="B2122" s="33" t="s">
        <v>21431</v>
      </c>
    </row>
    <row r="2123" spans="1:2" x14ac:dyDescent="0.25">
      <c r="A2123" s="33">
        <v>7600304251</v>
      </c>
      <c r="B2123" s="33" t="s">
        <v>21432</v>
      </c>
    </row>
    <row r="2124" spans="1:2" x14ac:dyDescent="0.25">
      <c r="A2124" s="33">
        <v>7600304252</v>
      </c>
      <c r="B2124" s="33" t="s">
        <v>21433</v>
      </c>
    </row>
    <row r="2125" spans="1:2" x14ac:dyDescent="0.25">
      <c r="A2125" s="33">
        <v>7600304253</v>
      </c>
      <c r="B2125" s="33" t="s">
        <v>21434</v>
      </c>
    </row>
    <row r="2126" spans="1:2" x14ac:dyDescent="0.25">
      <c r="A2126" s="33">
        <v>7600304254</v>
      </c>
      <c r="B2126" s="33" t="s">
        <v>21435</v>
      </c>
    </row>
    <row r="2127" spans="1:2" x14ac:dyDescent="0.25">
      <c r="A2127" s="33">
        <v>7600304255</v>
      </c>
      <c r="B2127" s="33" t="s">
        <v>21436</v>
      </c>
    </row>
    <row r="2128" spans="1:2" x14ac:dyDescent="0.25">
      <c r="A2128" s="33">
        <v>7600304256</v>
      </c>
      <c r="B2128" s="33" t="s">
        <v>21437</v>
      </c>
    </row>
    <row r="2129" spans="1:2" x14ac:dyDescent="0.25">
      <c r="A2129" s="33">
        <v>7600304257</v>
      </c>
      <c r="B2129" s="33" t="s">
        <v>21438</v>
      </c>
    </row>
    <row r="2130" spans="1:2" x14ac:dyDescent="0.25">
      <c r="A2130" s="33">
        <v>7600304258</v>
      </c>
      <c r="B2130" s="33" t="s">
        <v>21439</v>
      </c>
    </row>
    <row r="2131" spans="1:2" x14ac:dyDescent="0.25">
      <c r="A2131" s="33">
        <v>7600309000</v>
      </c>
      <c r="B2131" s="33" t="s">
        <v>21440</v>
      </c>
    </row>
    <row r="2132" spans="1:2" x14ac:dyDescent="0.25">
      <c r="A2132" s="33">
        <v>7600309001</v>
      </c>
      <c r="B2132" s="33" t="s">
        <v>21441</v>
      </c>
    </row>
    <row r="2133" spans="1:2" x14ac:dyDescent="0.25">
      <c r="A2133" s="33">
        <v>7600309002</v>
      </c>
      <c r="B2133" s="33" t="s">
        <v>21442</v>
      </c>
    </row>
    <row r="2134" spans="1:2" x14ac:dyDescent="0.25">
      <c r="A2134" s="33">
        <v>7600309003</v>
      </c>
      <c r="B2134" s="33" t="s">
        <v>21443</v>
      </c>
    </row>
    <row r="2135" spans="1:2" x14ac:dyDescent="0.25">
      <c r="A2135" s="33">
        <v>7600309004</v>
      </c>
      <c r="B2135" s="33" t="s">
        <v>21444</v>
      </c>
    </row>
    <row r="2136" spans="1:2" x14ac:dyDescent="0.25">
      <c r="A2136" s="33">
        <v>7600309005</v>
      </c>
      <c r="B2136" s="33" t="s">
        <v>21445</v>
      </c>
    </row>
    <row r="2137" spans="1:2" x14ac:dyDescent="0.25">
      <c r="A2137" s="33">
        <v>7600309006</v>
      </c>
      <c r="B2137" s="33" t="s">
        <v>21446</v>
      </c>
    </row>
    <row r="2138" spans="1:2" x14ac:dyDescent="0.25">
      <c r="A2138" s="33">
        <v>7600309007</v>
      </c>
      <c r="B2138" s="33" t="s">
        <v>21447</v>
      </c>
    </row>
    <row r="2139" spans="1:2" x14ac:dyDescent="0.25">
      <c r="A2139" s="33">
        <v>7600309008</v>
      </c>
      <c r="B2139" s="33" t="s">
        <v>21448</v>
      </c>
    </row>
    <row r="2140" spans="1:2" x14ac:dyDescent="0.25">
      <c r="A2140" s="33">
        <v>7600309009</v>
      </c>
      <c r="B2140" s="33" t="s">
        <v>21449</v>
      </c>
    </row>
    <row r="2141" spans="1:2" x14ac:dyDescent="0.25">
      <c r="A2141" s="33">
        <v>7600309010</v>
      </c>
      <c r="B2141" s="33" t="s">
        <v>21450</v>
      </c>
    </row>
    <row r="2142" spans="1:2" x14ac:dyDescent="0.25">
      <c r="A2142" s="33">
        <v>7600309011</v>
      </c>
      <c r="B2142" s="33" t="s">
        <v>21451</v>
      </c>
    </row>
    <row r="2143" spans="1:2" x14ac:dyDescent="0.25">
      <c r="A2143" s="33">
        <v>7600309012</v>
      </c>
      <c r="B2143" s="33" t="s">
        <v>21452</v>
      </c>
    </row>
    <row r="2144" spans="1:2" x14ac:dyDescent="0.25">
      <c r="A2144" s="33">
        <v>7600320001</v>
      </c>
      <c r="B2144" s="33" t="s">
        <v>21453</v>
      </c>
    </row>
    <row r="2145" spans="1:2" x14ac:dyDescent="0.25">
      <c r="A2145" s="33">
        <v>7600320002</v>
      </c>
      <c r="B2145" s="33" t="s">
        <v>21454</v>
      </c>
    </row>
    <row r="2146" spans="1:2" x14ac:dyDescent="0.25">
      <c r="A2146" s="33">
        <v>7600320003</v>
      </c>
      <c r="B2146" s="33" t="s">
        <v>21455</v>
      </c>
    </row>
    <row r="2147" spans="1:2" x14ac:dyDescent="0.25">
      <c r="A2147" s="33">
        <v>7600320004</v>
      </c>
      <c r="B2147" s="33" t="s">
        <v>21456</v>
      </c>
    </row>
    <row r="2148" spans="1:2" x14ac:dyDescent="0.25">
      <c r="A2148" s="33">
        <v>7600320006</v>
      </c>
      <c r="B2148" s="33" t="s">
        <v>21457</v>
      </c>
    </row>
    <row r="2149" spans="1:2" x14ac:dyDescent="0.25">
      <c r="A2149" s="33">
        <v>7600320007</v>
      </c>
      <c r="B2149" s="33" t="s">
        <v>21458</v>
      </c>
    </row>
    <row r="2150" spans="1:2" x14ac:dyDescent="0.25">
      <c r="A2150" s="33">
        <v>7600320011</v>
      </c>
      <c r="B2150" s="33" t="s">
        <v>21459</v>
      </c>
    </row>
    <row r="2151" spans="1:2" x14ac:dyDescent="0.25">
      <c r="A2151" s="33">
        <v>7600320012</v>
      </c>
      <c r="B2151" s="33" t="s">
        <v>21460</v>
      </c>
    </row>
    <row r="2152" spans="1:2" x14ac:dyDescent="0.25">
      <c r="A2152" s="33">
        <v>7600320099</v>
      </c>
      <c r="B2152" s="33" t="s">
        <v>21461</v>
      </c>
    </row>
    <row r="2153" spans="1:2" x14ac:dyDescent="0.25">
      <c r="A2153" s="33">
        <v>7600330001</v>
      </c>
      <c r="B2153" s="33" t="s">
        <v>21462</v>
      </c>
    </row>
    <row r="2154" spans="1:2" x14ac:dyDescent="0.25">
      <c r="A2154" s="33">
        <v>7600330002</v>
      </c>
      <c r="B2154" s="33" t="s">
        <v>21463</v>
      </c>
    </row>
    <row r="2155" spans="1:2" x14ac:dyDescent="0.25">
      <c r="A2155" s="33">
        <v>7600330003</v>
      </c>
      <c r="B2155" s="33" t="s">
        <v>21464</v>
      </c>
    </row>
    <row r="2156" spans="1:2" x14ac:dyDescent="0.25">
      <c r="A2156" s="33">
        <v>7600330004</v>
      </c>
      <c r="B2156" s="33" t="s">
        <v>21465</v>
      </c>
    </row>
    <row r="2157" spans="1:2" x14ac:dyDescent="0.25">
      <c r="A2157" s="33">
        <v>7600330005</v>
      </c>
      <c r="B2157" s="33" t="s">
        <v>21466</v>
      </c>
    </row>
    <row r="2158" spans="1:2" x14ac:dyDescent="0.25">
      <c r="A2158" s="33">
        <v>7600330006</v>
      </c>
      <c r="B2158" s="33" t="s">
        <v>21467</v>
      </c>
    </row>
    <row r="2159" spans="1:2" x14ac:dyDescent="0.25">
      <c r="A2159" s="33">
        <v>7600330007</v>
      </c>
      <c r="B2159" s="33" t="s">
        <v>21468</v>
      </c>
    </row>
    <row r="2160" spans="1:2" x14ac:dyDescent="0.25">
      <c r="A2160" s="33">
        <v>7600330008</v>
      </c>
      <c r="B2160" s="33" t="s">
        <v>21469</v>
      </c>
    </row>
    <row r="2161" spans="1:2" x14ac:dyDescent="0.25">
      <c r="A2161" s="33">
        <v>7600330009</v>
      </c>
      <c r="B2161" s="33" t="s">
        <v>21470</v>
      </c>
    </row>
    <row r="2162" spans="1:2" x14ac:dyDescent="0.25">
      <c r="A2162" s="33">
        <v>7600330010</v>
      </c>
      <c r="B2162" s="33" t="s">
        <v>21471</v>
      </c>
    </row>
    <row r="2163" spans="1:2" x14ac:dyDescent="0.25">
      <c r="A2163" s="33">
        <v>7600330011</v>
      </c>
      <c r="B2163" s="33" t="s">
        <v>21472</v>
      </c>
    </row>
    <row r="2164" spans="1:2" x14ac:dyDescent="0.25">
      <c r="A2164" s="33">
        <v>7600330012</v>
      </c>
      <c r="B2164" s="33" t="s">
        <v>21473</v>
      </c>
    </row>
    <row r="2165" spans="1:2" x14ac:dyDescent="0.25">
      <c r="A2165" s="33">
        <v>7600330013</v>
      </c>
      <c r="B2165" s="33" t="s">
        <v>21474</v>
      </c>
    </row>
    <row r="2166" spans="1:2" x14ac:dyDescent="0.25">
      <c r="A2166" s="33">
        <v>7600330014</v>
      </c>
      <c r="B2166" s="33" t="s">
        <v>21475</v>
      </c>
    </row>
    <row r="2167" spans="1:2" x14ac:dyDescent="0.25">
      <c r="A2167" s="33">
        <v>7600330016</v>
      </c>
      <c r="B2167" s="33" t="s">
        <v>21476</v>
      </c>
    </row>
    <row r="2168" spans="1:2" x14ac:dyDescent="0.25">
      <c r="A2168" s="33">
        <v>7600330019</v>
      </c>
      <c r="B2168" s="33" t="s">
        <v>21477</v>
      </c>
    </row>
    <row r="2169" spans="1:2" x14ac:dyDescent="0.25">
      <c r="A2169" s="33">
        <v>7600330020</v>
      </c>
      <c r="B2169" s="33" t="s">
        <v>21478</v>
      </c>
    </row>
    <row r="2170" spans="1:2" x14ac:dyDescent="0.25">
      <c r="A2170" s="33">
        <v>7600330021</v>
      </c>
      <c r="B2170" s="33" t="s">
        <v>21479</v>
      </c>
    </row>
    <row r="2171" spans="1:2" x14ac:dyDescent="0.25">
      <c r="A2171" s="33">
        <v>7600330022</v>
      </c>
      <c r="B2171" s="33" t="s">
        <v>21480</v>
      </c>
    </row>
    <row r="2172" spans="1:2" x14ac:dyDescent="0.25">
      <c r="A2172" s="33">
        <v>7600330023</v>
      </c>
      <c r="B2172" s="33" t="s">
        <v>21481</v>
      </c>
    </row>
    <row r="2173" spans="1:2" x14ac:dyDescent="0.25">
      <c r="A2173" s="33">
        <v>7600330024</v>
      </c>
      <c r="B2173" s="33" t="s">
        <v>21482</v>
      </c>
    </row>
    <row r="2174" spans="1:2" x14ac:dyDescent="0.25">
      <c r="A2174" s="33">
        <v>7600330099</v>
      </c>
      <c r="B2174" s="33" t="s">
        <v>21483</v>
      </c>
    </row>
    <row r="2175" spans="1:2" x14ac:dyDescent="0.25">
      <c r="A2175" s="33">
        <v>7600330101</v>
      </c>
      <c r="B2175" s="33" t="s">
        <v>21484</v>
      </c>
    </row>
    <row r="2176" spans="1:2" x14ac:dyDescent="0.25">
      <c r="A2176" s="33">
        <v>7600330102</v>
      </c>
      <c r="B2176" s="33" t="s">
        <v>21485</v>
      </c>
    </row>
    <row r="2177" spans="1:2" x14ac:dyDescent="0.25">
      <c r="A2177" s="33">
        <v>7600330103</v>
      </c>
      <c r="B2177" s="33" t="s">
        <v>21486</v>
      </c>
    </row>
    <row r="2178" spans="1:2" x14ac:dyDescent="0.25">
      <c r="A2178" s="33">
        <v>7600330104</v>
      </c>
      <c r="B2178" s="33" t="s">
        <v>21487</v>
      </c>
    </row>
    <row r="2179" spans="1:2" x14ac:dyDescent="0.25">
      <c r="A2179" s="33">
        <v>7600330105</v>
      </c>
      <c r="B2179" s="33" t="s">
        <v>21488</v>
      </c>
    </row>
    <row r="2180" spans="1:2" x14ac:dyDescent="0.25">
      <c r="A2180" s="33">
        <v>7600330106</v>
      </c>
      <c r="B2180" s="33" t="s">
        <v>21489</v>
      </c>
    </row>
    <row r="2181" spans="1:2" x14ac:dyDescent="0.25">
      <c r="A2181" s="33">
        <v>7600330107</v>
      </c>
      <c r="B2181" s="33" t="s">
        <v>21490</v>
      </c>
    </row>
    <row r="2182" spans="1:2" x14ac:dyDescent="0.25">
      <c r="A2182" s="33">
        <v>7600330108</v>
      </c>
      <c r="B2182" s="33" t="s">
        <v>21491</v>
      </c>
    </row>
    <row r="2183" spans="1:2" x14ac:dyDescent="0.25">
      <c r="A2183" s="33">
        <v>7600330109</v>
      </c>
      <c r="B2183" s="33" t="s">
        <v>21492</v>
      </c>
    </row>
    <row r="2184" spans="1:2" x14ac:dyDescent="0.25">
      <c r="A2184" s="33">
        <v>7600330110</v>
      </c>
      <c r="B2184" s="33" t="s">
        <v>21493</v>
      </c>
    </row>
    <row r="2185" spans="1:2" x14ac:dyDescent="0.25">
      <c r="A2185" s="33">
        <v>7600330111</v>
      </c>
      <c r="B2185" s="33" t="s">
        <v>21494</v>
      </c>
    </row>
    <row r="2186" spans="1:2" x14ac:dyDescent="0.25">
      <c r="A2186" s="33">
        <v>7600330112</v>
      </c>
      <c r="B2186" s="33" t="s">
        <v>21495</v>
      </c>
    </row>
    <row r="2187" spans="1:2" x14ac:dyDescent="0.25">
      <c r="A2187" s="33">
        <v>7600330113</v>
      </c>
      <c r="B2187" s="33" t="s">
        <v>21496</v>
      </c>
    </row>
    <row r="2188" spans="1:2" x14ac:dyDescent="0.25">
      <c r="A2188" s="33">
        <v>7600330114</v>
      </c>
      <c r="B2188" s="33" t="s">
        <v>21497</v>
      </c>
    </row>
    <row r="2189" spans="1:2" x14ac:dyDescent="0.25">
      <c r="A2189" s="33">
        <v>7600330115</v>
      </c>
      <c r="B2189" s="33" t="s">
        <v>21498</v>
      </c>
    </row>
    <row r="2190" spans="1:2" x14ac:dyDescent="0.25">
      <c r="A2190" s="33">
        <v>7600330116</v>
      </c>
      <c r="B2190" s="33" t="s">
        <v>21499</v>
      </c>
    </row>
    <row r="2191" spans="1:2" x14ac:dyDescent="0.25">
      <c r="A2191" s="33">
        <v>7600330117</v>
      </c>
      <c r="B2191" s="33" t="s">
        <v>21500</v>
      </c>
    </row>
    <row r="2192" spans="1:2" x14ac:dyDescent="0.25">
      <c r="A2192" s="33">
        <v>7600330118</v>
      </c>
      <c r="B2192" s="33" t="s">
        <v>21501</v>
      </c>
    </row>
    <row r="2193" spans="1:2" x14ac:dyDescent="0.25">
      <c r="A2193" s="33">
        <v>7600330122</v>
      </c>
      <c r="B2193" s="33" t="s">
        <v>21502</v>
      </c>
    </row>
    <row r="2194" spans="1:2" x14ac:dyDescent="0.25">
      <c r="A2194" s="33">
        <v>7600340006</v>
      </c>
      <c r="B2194" s="33" t="s">
        <v>21503</v>
      </c>
    </row>
    <row r="2195" spans="1:2" x14ac:dyDescent="0.25">
      <c r="A2195" s="33">
        <v>7600340007</v>
      </c>
      <c r="B2195" s="33" t="s">
        <v>21504</v>
      </c>
    </row>
    <row r="2196" spans="1:2" x14ac:dyDescent="0.25">
      <c r="A2196" s="33">
        <v>7600340008</v>
      </c>
      <c r="B2196" s="33" t="s">
        <v>21505</v>
      </c>
    </row>
    <row r="2197" spans="1:2" x14ac:dyDescent="0.25">
      <c r="A2197" s="33">
        <v>7600340009</v>
      </c>
      <c r="B2197" s="33" t="s">
        <v>21506</v>
      </c>
    </row>
    <row r="2198" spans="1:2" x14ac:dyDescent="0.25">
      <c r="A2198" s="33">
        <v>7600340010</v>
      </c>
      <c r="B2198" s="33" t="s">
        <v>21507</v>
      </c>
    </row>
    <row r="2199" spans="1:2" x14ac:dyDescent="0.25">
      <c r="A2199" s="33">
        <v>7600340011</v>
      </c>
      <c r="B2199" s="33" t="s">
        <v>21508</v>
      </c>
    </row>
    <row r="2200" spans="1:2" x14ac:dyDescent="0.25">
      <c r="A2200" s="33">
        <v>7600340012</v>
      </c>
      <c r="B2200" s="33" t="s">
        <v>21509</v>
      </c>
    </row>
    <row r="2201" spans="1:2" x14ac:dyDescent="0.25">
      <c r="A2201" s="33">
        <v>7600340013</v>
      </c>
      <c r="B2201" s="33" t="s">
        <v>21510</v>
      </c>
    </row>
    <row r="2202" spans="1:2" x14ac:dyDescent="0.25">
      <c r="A2202" s="33">
        <v>7600340014</v>
      </c>
      <c r="B2202" s="33" t="s">
        <v>21511</v>
      </c>
    </row>
    <row r="2203" spans="1:2" x14ac:dyDescent="0.25">
      <c r="A2203" s="33">
        <v>7600340015</v>
      </c>
      <c r="B2203" s="33" t="s">
        <v>21512</v>
      </c>
    </row>
    <row r="2204" spans="1:2" x14ac:dyDescent="0.25">
      <c r="A2204" s="33">
        <v>7600340016</v>
      </c>
      <c r="B2204" s="33" t="s">
        <v>21513</v>
      </c>
    </row>
    <row r="2205" spans="1:2" x14ac:dyDescent="0.25">
      <c r="A2205" s="33">
        <v>7600340017</v>
      </c>
      <c r="B2205" s="33" t="s">
        <v>21514</v>
      </c>
    </row>
    <row r="2206" spans="1:2" x14ac:dyDescent="0.25">
      <c r="A2206" s="33">
        <v>7600340018</v>
      </c>
      <c r="B2206" s="33" t="s">
        <v>21515</v>
      </c>
    </row>
    <row r="2207" spans="1:2" x14ac:dyDescent="0.25">
      <c r="A2207" s="33">
        <v>7600340019</v>
      </c>
      <c r="B2207" s="33" t="s">
        <v>21516</v>
      </c>
    </row>
    <row r="2208" spans="1:2" x14ac:dyDescent="0.25">
      <c r="A2208" s="33">
        <v>7600340020</v>
      </c>
      <c r="B2208" s="33" t="s">
        <v>21517</v>
      </c>
    </row>
    <row r="2209" spans="1:2" x14ac:dyDescent="0.25">
      <c r="A2209" s="33">
        <v>7600340021</v>
      </c>
      <c r="B2209" s="33" t="s">
        <v>21518</v>
      </c>
    </row>
    <row r="2210" spans="1:2" x14ac:dyDescent="0.25">
      <c r="A2210" s="33">
        <v>7600340022</v>
      </c>
      <c r="B2210" s="33" t="s">
        <v>21519</v>
      </c>
    </row>
    <row r="2211" spans="1:2" x14ac:dyDescent="0.25">
      <c r="A2211" s="33">
        <v>7600340024</v>
      </c>
      <c r="B2211" s="33" t="s">
        <v>21520</v>
      </c>
    </row>
    <row r="2212" spans="1:2" x14ac:dyDescent="0.25">
      <c r="A2212" s="33">
        <v>7600340045</v>
      </c>
      <c r="B2212" s="33" t="s">
        <v>21521</v>
      </c>
    </row>
    <row r="2213" spans="1:2" x14ac:dyDescent="0.25">
      <c r="A2213" s="33">
        <v>7600340049</v>
      </c>
      <c r="B2213" s="33" t="s">
        <v>21522</v>
      </c>
    </row>
    <row r="2214" spans="1:2" x14ac:dyDescent="0.25">
      <c r="A2214" s="33">
        <v>7600340050</v>
      </c>
      <c r="B2214" s="33" t="s">
        <v>21523</v>
      </c>
    </row>
    <row r="2215" spans="1:2" x14ac:dyDescent="0.25">
      <c r="A2215" s="33">
        <v>7600340051</v>
      </c>
      <c r="B2215" s="33" t="s">
        <v>21524</v>
      </c>
    </row>
    <row r="2216" spans="1:2" x14ac:dyDescent="0.25">
      <c r="A2216" s="33">
        <v>7600340052</v>
      </c>
      <c r="B2216" s="33" t="s">
        <v>21525</v>
      </c>
    </row>
    <row r="2217" spans="1:2" x14ac:dyDescent="0.25">
      <c r="A2217" s="33">
        <v>7600340053</v>
      </c>
      <c r="B2217" s="33" t="s">
        <v>21526</v>
      </c>
    </row>
    <row r="2218" spans="1:2" x14ac:dyDescent="0.25">
      <c r="A2218" s="33">
        <v>7600340099</v>
      </c>
      <c r="B2218" s="33" t="s">
        <v>21527</v>
      </c>
    </row>
    <row r="2219" spans="1:2" x14ac:dyDescent="0.25">
      <c r="A2219" s="33">
        <v>7620000000</v>
      </c>
      <c r="B2219" s="33" t="s">
        <v>21528</v>
      </c>
    </row>
    <row r="2220" spans="1:2" x14ac:dyDescent="0.25">
      <c r="A2220" s="33">
        <v>7620000001</v>
      </c>
      <c r="B2220" s="33" t="s">
        <v>21529</v>
      </c>
    </row>
    <row r="2221" spans="1:2" x14ac:dyDescent="0.25">
      <c r="A2221" s="33">
        <v>7620000002</v>
      </c>
      <c r="B2221" s="33" t="s">
        <v>21530</v>
      </c>
    </row>
    <row r="2222" spans="1:2" x14ac:dyDescent="0.25">
      <c r="A2222" s="33">
        <v>7620000003</v>
      </c>
      <c r="B2222" s="33" t="s">
        <v>21531</v>
      </c>
    </row>
    <row r="2223" spans="1:2" x14ac:dyDescent="0.25">
      <c r="A2223" s="33">
        <v>7620000004</v>
      </c>
      <c r="B2223" s="33" t="s">
        <v>21532</v>
      </c>
    </row>
    <row r="2224" spans="1:2" x14ac:dyDescent="0.25">
      <c r="A2224" s="33">
        <v>7620000007</v>
      </c>
      <c r="B2224" s="33" t="s">
        <v>21533</v>
      </c>
    </row>
    <row r="2225" spans="1:2" x14ac:dyDescent="0.25">
      <c r="A2225" s="33">
        <v>7620000008</v>
      </c>
      <c r="B2225" s="33" t="s">
        <v>21534</v>
      </c>
    </row>
    <row r="2226" spans="1:2" x14ac:dyDescent="0.25">
      <c r="A2226" s="33">
        <v>7620000009</v>
      </c>
      <c r="B2226" s="33" t="s">
        <v>21535</v>
      </c>
    </row>
    <row r="2227" spans="1:2" x14ac:dyDescent="0.25">
      <c r="A2227" s="33">
        <v>7620000010</v>
      </c>
      <c r="B2227" s="33" t="s">
        <v>21536</v>
      </c>
    </row>
    <row r="2228" spans="1:2" x14ac:dyDescent="0.25">
      <c r="A2228" s="33">
        <v>7620000011</v>
      </c>
      <c r="B2228" s="33" t="s">
        <v>21537</v>
      </c>
    </row>
    <row r="2229" spans="1:2" x14ac:dyDescent="0.25">
      <c r="A2229" s="33">
        <v>7620000012</v>
      </c>
      <c r="B2229" s="33" t="s">
        <v>21538</v>
      </c>
    </row>
    <row r="2230" spans="1:2" x14ac:dyDescent="0.25">
      <c r="A2230" s="33">
        <v>7620000013</v>
      </c>
      <c r="B2230" s="33" t="s">
        <v>21539</v>
      </c>
    </row>
    <row r="2231" spans="1:2" x14ac:dyDescent="0.25">
      <c r="A2231" s="33">
        <v>7620000014</v>
      </c>
      <c r="B2231" s="33" t="s">
        <v>21540</v>
      </c>
    </row>
    <row r="2232" spans="1:2" x14ac:dyDescent="0.25">
      <c r="A2232" s="33">
        <v>7620000015</v>
      </c>
      <c r="B2232" s="33" t="s">
        <v>21541</v>
      </c>
    </row>
    <row r="2233" spans="1:2" x14ac:dyDescent="0.25">
      <c r="A2233" s="33">
        <v>7620000016</v>
      </c>
      <c r="B2233" s="33" t="s">
        <v>21542</v>
      </c>
    </row>
    <row r="2234" spans="1:2" x14ac:dyDescent="0.25">
      <c r="A2234" s="33">
        <v>7620000017</v>
      </c>
      <c r="B2234" s="33" t="s">
        <v>21543</v>
      </c>
    </row>
    <row r="2235" spans="1:2" x14ac:dyDescent="0.25">
      <c r="A2235" s="33">
        <v>7620000018</v>
      </c>
      <c r="B2235" s="33" t="s">
        <v>21544</v>
      </c>
    </row>
    <row r="2236" spans="1:2" x14ac:dyDescent="0.25">
      <c r="A2236" s="33">
        <v>7620000019</v>
      </c>
      <c r="B2236" s="33" t="s">
        <v>21545</v>
      </c>
    </row>
    <row r="2237" spans="1:2" x14ac:dyDescent="0.25">
      <c r="A2237" s="33">
        <v>7620000020</v>
      </c>
      <c r="B2237" s="33" t="s">
        <v>21546</v>
      </c>
    </row>
    <row r="2238" spans="1:2" x14ac:dyDescent="0.25">
      <c r="A2238" s="33">
        <v>7620000021</v>
      </c>
      <c r="B2238" s="33" t="s">
        <v>21547</v>
      </c>
    </row>
    <row r="2239" spans="1:2" x14ac:dyDescent="0.25">
      <c r="A2239" s="33">
        <v>7620000022</v>
      </c>
      <c r="B2239" s="33" t="s">
        <v>21548</v>
      </c>
    </row>
    <row r="2240" spans="1:2" x14ac:dyDescent="0.25">
      <c r="A2240" s="33">
        <v>7620000024</v>
      </c>
      <c r="B2240" s="33" t="s">
        <v>21549</v>
      </c>
    </row>
    <row r="2241" spans="1:2" x14ac:dyDescent="0.25">
      <c r="A2241" s="33">
        <v>7620000025</v>
      </c>
      <c r="B2241" s="33" t="s">
        <v>21550</v>
      </c>
    </row>
    <row r="2242" spans="1:2" x14ac:dyDescent="0.25">
      <c r="A2242" s="33">
        <v>7620000026</v>
      </c>
      <c r="B2242" s="33" t="s">
        <v>21551</v>
      </c>
    </row>
    <row r="2243" spans="1:2" x14ac:dyDescent="0.25">
      <c r="A2243" s="33">
        <v>7620000027</v>
      </c>
      <c r="B2243" s="33" t="s">
        <v>21552</v>
      </c>
    </row>
    <row r="2244" spans="1:2" x14ac:dyDescent="0.25">
      <c r="A2244" s="33">
        <v>7620000028</v>
      </c>
      <c r="B2244" s="33" t="s">
        <v>21553</v>
      </c>
    </row>
    <row r="2245" spans="1:2" x14ac:dyDescent="0.25">
      <c r="A2245" s="33">
        <v>7620000029</v>
      </c>
      <c r="B2245" s="33" t="s">
        <v>21554</v>
      </c>
    </row>
    <row r="2246" spans="1:2" x14ac:dyDescent="0.25">
      <c r="A2246" s="33">
        <v>7620000030</v>
      </c>
      <c r="B2246" s="33" t="s">
        <v>21555</v>
      </c>
    </row>
    <row r="2247" spans="1:2" x14ac:dyDescent="0.25">
      <c r="A2247" s="33">
        <v>7620000031</v>
      </c>
      <c r="B2247" s="33" t="s">
        <v>21556</v>
      </c>
    </row>
    <row r="2248" spans="1:2" x14ac:dyDescent="0.25">
      <c r="A2248" s="33">
        <v>7620300005</v>
      </c>
      <c r="B2248" s="33" t="s">
        <v>21557</v>
      </c>
    </row>
    <row r="2249" spans="1:2" x14ac:dyDescent="0.25">
      <c r="A2249" s="33">
        <v>7620300006</v>
      </c>
      <c r="B2249" s="33" t="s">
        <v>21558</v>
      </c>
    </row>
    <row r="2250" spans="1:2" x14ac:dyDescent="0.25">
      <c r="A2250" s="33">
        <v>7620300109</v>
      </c>
      <c r="B2250" s="33" t="s">
        <v>21559</v>
      </c>
    </row>
    <row r="2251" spans="1:2" x14ac:dyDescent="0.25">
      <c r="A2251" s="33">
        <v>7620301100</v>
      </c>
      <c r="B2251" s="33" t="s">
        <v>21560</v>
      </c>
    </row>
    <row r="2252" spans="1:2" x14ac:dyDescent="0.25">
      <c r="A2252" s="33">
        <v>7620301101</v>
      </c>
      <c r="B2252" s="33" t="s">
        <v>21561</v>
      </c>
    </row>
    <row r="2253" spans="1:2" x14ac:dyDescent="0.25">
      <c r="A2253" s="33">
        <v>7620301102</v>
      </c>
      <c r="B2253" s="33" t="s">
        <v>21562</v>
      </c>
    </row>
    <row r="2254" spans="1:2" x14ac:dyDescent="0.25">
      <c r="A2254" s="33">
        <v>7620301103</v>
      </c>
      <c r="B2254" s="33" t="s">
        <v>21563</v>
      </c>
    </row>
    <row r="2255" spans="1:2" x14ac:dyDescent="0.25">
      <c r="A2255" s="33">
        <v>7620301104</v>
      </c>
      <c r="B2255" s="33" t="s">
        <v>21564</v>
      </c>
    </row>
    <row r="2256" spans="1:2" x14ac:dyDescent="0.25">
      <c r="A2256" s="33">
        <v>7620301105</v>
      </c>
      <c r="B2256" s="33" t="s">
        <v>21565</v>
      </c>
    </row>
    <row r="2257" spans="1:2" x14ac:dyDescent="0.25">
      <c r="A2257" s="33">
        <v>7620301106</v>
      </c>
      <c r="B2257" s="33" t="s">
        <v>21566</v>
      </c>
    </row>
    <row r="2258" spans="1:2" x14ac:dyDescent="0.25">
      <c r="A2258" s="33">
        <v>7620301107</v>
      </c>
      <c r="B2258" s="33" t="s">
        <v>21567</v>
      </c>
    </row>
    <row r="2259" spans="1:2" x14ac:dyDescent="0.25">
      <c r="A2259" s="33">
        <v>7620301108</v>
      </c>
      <c r="B2259" s="33" t="s">
        <v>21568</v>
      </c>
    </row>
    <row r="2260" spans="1:2" x14ac:dyDescent="0.25">
      <c r="A2260" s="33">
        <v>7620301109</v>
      </c>
      <c r="B2260" s="33" t="s">
        <v>21569</v>
      </c>
    </row>
    <row r="2261" spans="1:2" x14ac:dyDescent="0.25">
      <c r="A2261" s="33">
        <v>7620301110</v>
      </c>
      <c r="B2261" s="33" t="s">
        <v>21570</v>
      </c>
    </row>
    <row r="2262" spans="1:2" x14ac:dyDescent="0.25">
      <c r="A2262" s="33">
        <v>7620301111</v>
      </c>
      <c r="B2262" s="33" t="s">
        <v>21571</v>
      </c>
    </row>
    <row r="2263" spans="1:2" x14ac:dyDescent="0.25">
      <c r="A2263" s="33">
        <v>7620301112</v>
      </c>
      <c r="B2263" s="33" t="s">
        <v>21572</v>
      </c>
    </row>
    <row r="2264" spans="1:2" x14ac:dyDescent="0.25">
      <c r="A2264" s="33">
        <v>7620304109</v>
      </c>
      <c r="B2264" s="33" t="s">
        <v>21573</v>
      </c>
    </row>
    <row r="2265" spans="1:2" x14ac:dyDescent="0.25">
      <c r="A2265" s="33">
        <v>7620304110</v>
      </c>
      <c r="B2265" s="33" t="s">
        <v>21574</v>
      </c>
    </row>
    <row r="2266" spans="1:2" x14ac:dyDescent="0.25">
      <c r="A2266" s="33">
        <v>7620304112</v>
      </c>
      <c r="B2266" s="33" t="s">
        <v>21575</v>
      </c>
    </row>
    <row r="2267" spans="1:2" x14ac:dyDescent="0.25">
      <c r="A2267" s="33">
        <v>7620304113</v>
      </c>
      <c r="B2267" s="33" t="s">
        <v>21576</v>
      </c>
    </row>
    <row r="2268" spans="1:2" x14ac:dyDescent="0.25">
      <c r="A2268" s="33">
        <v>7620304222</v>
      </c>
      <c r="B2268" s="33" t="s">
        <v>21577</v>
      </c>
    </row>
    <row r="2269" spans="1:2" x14ac:dyDescent="0.25">
      <c r="A2269" s="33">
        <v>7620304223</v>
      </c>
      <c r="B2269" s="33" t="s">
        <v>21578</v>
      </c>
    </row>
    <row r="2270" spans="1:2" x14ac:dyDescent="0.25">
      <c r="A2270" s="33">
        <v>7620304224</v>
      </c>
      <c r="B2270" s="33" t="s">
        <v>21579</v>
      </c>
    </row>
    <row r="2271" spans="1:2" x14ac:dyDescent="0.25">
      <c r="A2271" s="33">
        <v>7620330101</v>
      </c>
      <c r="B2271" s="33" t="s">
        <v>21580</v>
      </c>
    </row>
    <row r="2272" spans="1:2" x14ac:dyDescent="0.25">
      <c r="A2272" s="33">
        <v>7620330102</v>
      </c>
      <c r="B2272" s="33" t="s">
        <v>21581</v>
      </c>
    </row>
    <row r="2273" spans="1:2" x14ac:dyDescent="0.25">
      <c r="A2273" s="33">
        <v>7620330108</v>
      </c>
      <c r="B2273" s="33" t="s">
        <v>21582</v>
      </c>
    </row>
    <row r="2274" spans="1:2" x14ac:dyDescent="0.25">
      <c r="A2274" s="33">
        <v>7620330109</v>
      </c>
      <c r="B2274" s="33" t="s">
        <v>21583</v>
      </c>
    </row>
    <row r="2275" spans="1:2" x14ac:dyDescent="0.25">
      <c r="A2275" s="33">
        <v>7620330116</v>
      </c>
      <c r="B2275" s="33" t="s">
        <v>21584</v>
      </c>
    </row>
    <row r="2276" spans="1:2" x14ac:dyDescent="0.25">
      <c r="A2276" s="33">
        <v>7620330122</v>
      </c>
      <c r="B2276" s="33" t="s">
        <v>21585</v>
      </c>
    </row>
    <row r="2277" spans="1:2" x14ac:dyDescent="0.25">
      <c r="A2277" s="33">
        <v>7710100000</v>
      </c>
      <c r="B2277" s="33" t="s">
        <v>21586</v>
      </c>
    </row>
    <row r="2278" spans="1:2" x14ac:dyDescent="0.25">
      <c r="A2278" s="33">
        <v>7710100001</v>
      </c>
      <c r="B2278" s="33" t="s">
        <v>21587</v>
      </c>
    </row>
    <row r="2279" spans="1:2" x14ac:dyDescent="0.25">
      <c r="A2279" s="33">
        <v>7710120000</v>
      </c>
      <c r="B2279" s="33" t="s">
        <v>21588</v>
      </c>
    </row>
    <row r="2280" spans="1:2" x14ac:dyDescent="0.25">
      <c r="A2280" s="33">
        <v>7710120001</v>
      </c>
      <c r="B2280" s="33" t="s">
        <v>21589</v>
      </c>
    </row>
    <row r="2281" spans="1:2" x14ac:dyDescent="0.25">
      <c r="A2281" s="33">
        <v>7710120002</v>
      </c>
      <c r="B2281" s="33" t="s">
        <v>21590</v>
      </c>
    </row>
    <row r="2282" spans="1:2" x14ac:dyDescent="0.25">
      <c r="A2282" s="33">
        <v>7710120003</v>
      </c>
      <c r="B2282" s="33" t="s">
        <v>21591</v>
      </c>
    </row>
    <row r="2283" spans="1:2" x14ac:dyDescent="0.25">
      <c r="A2283" s="33">
        <v>7710120004</v>
      </c>
      <c r="B2283" s="33" t="s">
        <v>21592</v>
      </c>
    </row>
    <row r="2284" spans="1:2" x14ac:dyDescent="0.25">
      <c r="A2284" s="33">
        <v>7710150000</v>
      </c>
      <c r="B2284" s="33" t="s">
        <v>21593</v>
      </c>
    </row>
    <row r="2285" spans="1:2" x14ac:dyDescent="0.25">
      <c r="A2285" s="33">
        <v>7710150001</v>
      </c>
      <c r="B2285" s="33" t="s">
        <v>21594</v>
      </c>
    </row>
    <row r="2286" spans="1:2" x14ac:dyDescent="0.25">
      <c r="A2286" s="33">
        <v>7710190000</v>
      </c>
      <c r="B2286" s="33" t="s">
        <v>21595</v>
      </c>
    </row>
    <row r="2287" spans="1:2" x14ac:dyDescent="0.25">
      <c r="A2287" s="33">
        <v>7711101100</v>
      </c>
      <c r="B2287" s="33" t="s">
        <v>21596</v>
      </c>
    </row>
    <row r="2288" spans="1:2" x14ac:dyDescent="0.25">
      <c r="A2288" s="33">
        <v>7711101200</v>
      </c>
      <c r="B2288" s="33" t="s">
        <v>21597</v>
      </c>
    </row>
    <row r="2289" spans="1:2" x14ac:dyDescent="0.25">
      <c r="A2289" s="33">
        <v>7711110000</v>
      </c>
      <c r="B2289" s="33" t="s">
        <v>21598</v>
      </c>
    </row>
    <row r="2290" spans="1:2" x14ac:dyDescent="0.25">
      <c r="A2290" s="33">
        <v>7711111100</v>
      </c>
      <c r="B2290" s="33" t="s">
        <v>21599</v>
      </c>
    </row>
    <row r="2291" spans="1:2" x14ac:dyDescent="0.25">
      <c r="A2291" s="33">
        <v>7711112000</v>
      </c>
      <c r="B2291" s="33" t="s">
        <v>21600</v>
      </c>
    </row>
    <row r="2292" spans="1:2" x14ac:dyDescent="0.25">
      <c r="A2292" s="33">
        <v>7711113001</v>
      </c>
      <c r="B2292" s="33" t="s">
        <v>21601</v>
      </c>
    </row>
    <row r="2293" spans="1:2" x14ac:dyDescent="0.25">
      <c r="A2293" s="33">
        <v>7711113003</v>
      </c>
      <c r="B2293" s="33" t="s">
        <v>21602</v>
      </c>
    </row>
    <row r="2294" spans="1:2" x14ac:dyDescent="0.25">
      <c r="A2294" s="33">
        <v>7711121000</v>
      </c>
      <c r="B2294" s="33" t="s">
        <v>21603</v>
      </c>
    </row>
    <row r="2295" spans="1:2" x14ac:dyDescent="0.25">
      <c r="A2295" s="33">
        <v>7711122000</v>
      </c>
      <c r="B2295" s="33" t="s">
        <v>21604</v>
      </c>
    </row>
    <row r="2296" spans="1:2" x14ac:dyDescent="0.25">
      <c r="A2296" s="33">
        <v>7711142200</v>
      </c>
      <c r="B2296" s="33" t="s">
        <v>21605</v>
      </c>
    </row>
    <row r="2297" spans="1:2" x14ac:dyDescent="0.25">
      <c r="A2297" s="33">
        <v>7711150000</v>
      </c>
      <c r="B2297" s="33" t="s">
        <v>21606</v>
      </c>
    </row>
    <row r="2298" spans="1:2" x14ac:dyDescent="0.25">
      <c r="A2298" s="33">
        <v>7711160000</v>
      </c>
      <c r="B2298" s="33" t="s">
        <v>21607</v>
      </c>
    </row>
    <row r="2299" spans="1:2" x14ac:dyDescent="0.25">
      <c r="A2299" s="33">
        <v>7711171100</v>
      </c>
      <c r="B2299" s="33" t="s">
        <v>21608</v>
      </c>
    </row>
    <row r="2300" spans="1:2" x14ac:dyDescent="0.25">
      <c r="A2300" s="33">
        <v>7711171200</v>
      </c>
      <c r="B2300" s="33" t="s">
        <v>21609</v>
      </c>
    </row>
    <row r="2301" spans="1:2" x14ac:dyDescent="0.25">
      <c r="A2301" s="33">
        <v>7711171300</v>
      </c>
      <c r="B2301" s="33" t="s">
        <v>21610</v>
      </c>
    </row>
    <row r="2302" spans="1:2" x14ac:dyDescent="0.25">
      <c r="A2302" s="33">
        <v>7711172000</v>
      </c>
      <c r="B2302" s="33" t="s">
        <v>21611</v>
      </c>
    </row>
    <row r="2303" spans="1:2" x14ac:dyDescent="0.25">
      <c r="A2303" s="33">
        <v>7711172001</v>
      </c>
      <c r="B2303" s="33" t="s">
        <v>21612</v>
      </c>
    </row>
    <row r="2304" spans="1:2" x14ac:dyDescent="0.25">
      <c r="A2304" s="33">
        <v>7720101000</v>
      </c>
      <c r="B2304" s="33" t="s">
        <v>21613</v>
      </c>
    </row>
    <row r="2305" spans="1:2" x14ac:dyDescent="0.25">
      <c r="A2305" s="33">
        <v>7720101001</v>
      </c>
      <c r="B2305" s="33" t="s">
        <v>21614</v>
      </c>
    </row>
    <row r="2306" spans="1:2" x14ac:dyDescent="0.25">
      <c r="A2306" s="33">
        <v>7720101002</v>
      </c>
      <c r="B2306" s="33" t="s">
        <v>21615</v>
      </c>
    </row>
    <row r="2307" spans="1:2" x14ac:dyDescent="0.25">
      <c r="A2307" s="33">
        <v>7720101003</v>
      </c>
      <c r="B2307" s="33" t="s">
        <v>21616</v>
      </c>
    </row>
    <row r="2308" spans="1:2" x14ac:dyDescent="0.25">
      <c r="A2308" s="33">
        <v>7720101004</v>
      </c>
      <c r="B2308" s="33" t="s">
        <v>21617</v>
      </c>
    </row>
    <row r="2309" spans="1:2" x14ac:dyDescent="0.25">
      <c r="A2309" s="33">
        <v>7720101005</v>
      </c>
      <c r="B2309" s="33" t="s">
        <v>21618</v>
      </c>
    </row>
    <row r="2310" spans="1:2" x14ac:dyDescent="0.25">
      <c r="A2310" s="33">
        <v>7720101006</v>
      </c>
      <c r="B2310" s="33" t="s">
        <v>21619</v>
      </c>
    </row>
    <row r="2311" spans="1:2" x14ac:dyDescent="0.25">
      <c r="A2311" s="33">
        <v>7720101007</v>
      </c>
      <c r="B2311" s="33" t="s">
        <v>21620</v>
      </c>
    </row>
    <row r="2312" spans="1:2" x14ac:dyDescent="0.25">
      <c r="A2312" s="33">
        <v>7720101008</v>
      </c>
      <c r="B2312" s="33" t="s">
        <v>21621</v>
      </c>
    </row>
    <row r="2313" spans="1:2" x14ac:dyDescent="0.25">
      <c r="A2313" s="33">
        <v>7720103000</v>
      </c>
      <c r="B2313" s="33" t="s">
        <v>21622</v>
      </c>
    </row>
    <row r="2314" spans="1:2" x14ac:dyDescent="0.25">
      <c r="A2314" s="33">
        <v>7720103001</v>
      </c>
      <c r="B2314" s="33" t="s">
        <v>21623</v>
      </c>
    </row>
    <row r="2315" spans="1:2" x14ac:dyDescent="0.25">
      <c r="A2315" s="33">
        <v>7720103002</v>
      </c>
      <c r="B2315" s="33" t="s">
        <v>21624</v>
      </c>
    </row>
    <row r="2316" spans="1:2" x14ac:dyDescent="0.25">
      <c r="A2316" s="33">
        <v>7720103003</v>
      </c>
      <c r="B2316" s="33" t="s">
        <v>21625</v>
      </c>
    </row>
    <row r="2317" spans="1:2" x14ac:dyDescent="0.25">
      <c r="A2317" s="33">
        <v>7720103004</v>
      </c>
      <c r="B2317" s="33" t="s">
        <v>21626</v>
      </c>
    </row>
    <row r="2318" spans="1:2" x14ac:dyDescent="0.25">
      <c r="A2318" s="33">
        <v>7720103005</v>
      </c>
      <c r="B2318" s="33" t="s">
        <v>21627</v>
      </c>
    </row>
    <row r="2319" spans="1:2" x14ac:dyDescent="0.25">
      <c r="A2319" s="33">
        <v>7720103006</v>
      </c>
      <c r="B2319" s="33" t="s">
        <v>21628</v>
      </c>
    </row>
    <row r="2320" spans="1:2" x14ac:dyDescent="0.25">
      <c r="A2320" s="33">
        <v>7720103007</v>
      </c>
      <c r="B2320" s="33" t="s">
        <v>21629</v>
      </c>
    </row>
    <row r="2321" spans="1:2" x14ac:dyDescent="0.25">
      <c r="A2321" s="33">
        <v>7720103008</v>
      </c>
      <c r="B2321" s="33" t="s">
        <v>21630</v>
      </c>
    </row>
    <row r="2322" spans="1:2" x14ac:dyDescent="0.25">
      <c r="A2322" s="33">
        <v>7720104000</v>
      </c>
      <c r="B2322" s="33" t="s">
        <v>21631</v>
      </c>
    </row>
    <row r="2323" spans="1:2" x14ac:dyDescent="0.25">
      <c r="A2323" s="33">
        <v>7720104001</v>
      </c>
      <c r="B2323" s="33" t="s">
        <v>21632</v>
      </c>
    </row>
    <row r="2324" spans="1:2" x14ac:dyDescent="0.25">
      <c r="A2324" s="33">
        <v>7720104002</v>
      </c>
      <c r="B2324" s="33" t="s">
        <v>21633</v>
      </c>
    </row>
    <row r="2325" spans="1:2" x14ac:dyDescent="0.25">
      <c r="A2325" s="33">
        <v>7720104003</v>
      </c>
      <c r="B2325" s="33" t="s">
        <v>21634</v>
      </c>
    </row>
    <row r="2326" spans="1:2" x14ac:dyDescent="0.25">
      <c r="A2326" s="33">
        <v>7720104004</v>
      </c>
      <c r="B2326" s="33" t="s">
        <v>21635</v>
      </c>
    </row>
    <row r="2327" spans="1:2" x14ac:dyDescent="0.25">
      <c r="A2327" s="33">
        <v>7720104005</v>
      </c>
      <c r="B2327" s="33" t="s">
        <v>21636</v>
      </c>
    </row>
    <row r="2328" spans="1:2" x14ac:dyDescent="0.25">
      <c r="A2328" s="33">
        <v>7720104006</v>
      </c>
      <c r="B2328" s="33" t="s">
        <v>21637</v>
      </c>
    </row>
    <row r="2329" spans="1:2" x14ac:dyDescent="0.25">
      <c r="A2329" s="33">
        <v>7720104007</v>
      </c>
      <c r="B2329" s="33" t="s">
        <v>21638</v>
      </c>
    </row>
    <row r="2330" spans="1:2" x14ac:dyDescent="0.25">
      <c r="A2330" s="33">
        <v>7720104008</v>
      </c>
      <c r="B2330" s="33" t="s">
        <v>21639</v>
      </c>
    </row>
    <row r="2331" spans="1:2" x14ac:dyDescent="0.25">
      <c r="A2331" s="33">
        <v>7720105000</v>
      </c>
      <c r="B2331" s="33" t="s">
        <v>21640</v>
      </c>
    </row>
    <row r="2332" spans="1:2" x14ac:dyDescent="0.25">
      <c r="A2332" s="33">
        <v>7720105001</v>
      </c>
      <c r="B2332" s="33" t="s">
        <v>21641</v>
      </c>
    </row>
    <row r="2333" spans="1:2" x14ac:dyDescent="0.25">
      <c r="A2333" s="33">
        <v>7720105002</v>
      </c>
      <c r="B2333" s="33" t="s">
        <v>21642</v>
      </c>
    </row>
    <row r="2334" spans="1:2" x14ac:dyDescent="0.25">
      <c r="A2334" s="33">
        <v>7720105003</v>
      </c>
      <c r="B2334" s="33" t="s">
        <v>21643</v>
      </c>
    </row>
    <row r="2335" spans="1:2" x14ac:dyDescent="0.25">
      <c r="A2335" s="33">
        <v>7720105004</v>
      </c>
      <c r="B2335" s="33" t="s">
        <v>21644</v>
      </c>
    </row>
    <row r="2336" spans="1:2" x14ac:dyDescent="0.25">
      <c r="A2336" s="33">
        <v>7720105005</v>
      </c>
      <c r="B2336" s="33" t="s">
        <v>21645</v>
      </c>
    </row>
    <row r="2337" spans="1:2" x14ac:dyDescent="0.25">
      <c r="A2337" s="33">
        <v>7720105006</v>
      </c>
      <c r="B2337" s="33" t="s">
        <v>21646</v>
      </c>
    </row>
    <row r="2338" spans="1:2" x14ac:dyDescent="0.25">
      <c r="A2338" s="33">
        <v>7720105007</v>
      </c>
      <c r="B2338" s="33" t="s">
        <v>21647</v>
      </c>
    </row>
    <row r="2339" spans="1:2" x14ac:dyDescent="0.25">
      <c r="A2339" s="33">
        <v>7720105008</v>
      </c>
      <c r="B2339" s="33" t="s">
        <v>21648</v>
      </c>
    </row>
    <row r="2340" spans="1:2" x14ac:dyDescent="0.25">
      <c r="A2340" s="33">
        <v>7720106000</v>
      </c>
      <c r="B2340" s="33" t="s">
        <v>21649</v>
      </c>
    </row>
    <row r="2341" spans="1:2" x14ac:dyDescent="0.25">
      <c r="A2341" s="33">
        <v>7720106001</v>
      </c>
      <c r="B2341" s="33" t="s">
        <v>21650</v>
      </c>
    </row>
    <row r="2342" spans="1:2" x14ac:dyDescent="0.25">
      <c r="A2342" s="33">
        <v>7720106002</v>
      </c>
      <c r="B2342" s="33" t="s">
        <v>21651</v>
      </c>
    </row>
    <row r="2343" spans="1:2" x14ac:dyDescent="0.25">
      <c r="A2343" s="33">
        <v>7720106003</v>
      </c>
      <c r="B2343" s="33" t="s">
        <v>21652</v>
      </c>
    </row>
    <row r="2344" spans="1:2" x14ac:dyDescent="0.25">
      <c r="A2344" s="33">
        <v>7720106004</v>
      </c>
      <c r="B2344" s="33" t="s">
        <v>21653</v>
      </c>
    </row>
    <row r="2345" spans="1:2" x14ac:dyDescent="0.25">
      <c r="A2345" s="33">
        <v>7720106005</v>
      </c>
      <c r="B2345" s="33" t="s">
        <v>21654</v>
      </c>
    </row>
    <row r="2346" spans="1:2" x14ac:dyDescent="0.25">
      <c r="A2346" s="33">
        <v>7720106006</v>
      </c>
      <c r="B2346" s="33" t="s">
        <v>21655</v>
      </c>
    </row>
    <row r="2347" spans="1:2" x14ac:dyDescent="0.25">
      <c r="A2347" s="33">
        <v>7720106007</v>
      </c>
      <c r="B2347" s="33" t="s">
        <v>21656</v>
      </c>
    </row>
    <row r="2348" spans="1:2" x14ac:dyDescent="0.25">
      <c r="A2348" s="33">
        <v>7720112000</v>
      </c>
      <c r="B2348" s="33" t="s">
        <v>21657</v>
      </c>
    </row>
    <row r="2349" spans="1:2" x14ac:dyDescent="0.25">
      <c r="A2349" s="33">
        <v>7720112001</v>
      </c>
      <c r="B2349" s="33" t="s">
        <v>21658</v>
      </c>
    </row>
    <row r="2350" spans="1:2" x14ac:dyDescent="0.25">
      <c r="A2350" s="33">
        <v>7720112002</v>
      </c>
      <c r="B2350" s="33" t="s">
        <v>21659</v>
      </c>
    </row>
    <row r="2351" spans="1:2" x14ac:dyDescent="0.25">
      <c r="A2351" s="33">
        <v>7720112003</v>
      </c>
      <c r="B2351" s="33" t="s">
        <v>21660</v>
      </c>
    </row>
    <row r="2352" spans="1:2" x14ac:dyDescent="0.25">
      <c r="A2352" s="33">
        <v>7720112004</v>
      </c>
      <c r="B2352" s="33" t="s">
        <v>21661</v>
      </c>
    </row>
    <row r="2353" spans="1:2" x14ac:dyDescent="0.25">
      <c r="A2353" s="33">
        <v>7720112005</v>
      </c>
      <c r="B2353" s="33" t="s">
        <v>21662</v>
      </c>
    </row>
    <row r="2354" spans="1:2" x14ac:dyDescent="0.25">
      <c r="A2354" s="33">
        <v>7720112006</v>
      </c>
      <c r="B2354" s="33" t="s">
        <v>21663</v>
      </c>
    </row>
    <row r="2355" spans="1:2" x14ac:dyDescent="0.25">
      <c r="A2355" s="33">
        <v>7720112007</v>
      </c>
      <c r="B2355" s="33" t="s">
        <v>21664</v>
      </c>
    </row>
    <row r="2356" spans="1:2" x14ac:dyDescent="0.25">
      <c r="A2356" s="33">
        <v>7720113000</v>
      </c>
      <c r="B2356" s="33" t="s">
        <v>21665</v>
      </c>
    </row>
    <row r="2357" spans="1:2" x14ac:dyDescent="0.25">
      <c r="A2357" s="33">
        <v>7720113001</v>
      </c>
      <c r="B2357" s="33" t="s">
        <v>21666</v>
      </c>
    </row>
    <row r="2358" spans="1:2" x14ac:dyDescent="0.25">
      <c r="A2358" s="33">
        <v>7720113002</v>
      </c>
      <c r="B2358" s="33" t="s">
        <v>21667</v>
      </c>
    </row>
    <row r="2359" spans="1:2" x14ac:dyDescent="0.25">
      <c r="A2359" s="33">
        <v>7720113003</v>
      </c>
      <c r="B2359" s="33" t="s">
        <v>21668</v>
      </c>
    </row>
    <row r="2360" spans="1:2" x14ac:dyDescent="0.25">
      <c r="A2360" s="33">
        <v>7720113004</v>
      </c>
      <c r="B2360" s="33" t="s">
        <v>21669</v>
      </c>
    </row>
    <row r="2361" spans="1:2" x14ac:dyDescent="0.25">
      <c r="A2361" s="33">
        <v>7720113005</v>
      </c>
      <c r="B2361" s="33" t="s">
        <v>21670</v>
      </c>
    </row>
    <row r="2362" spans="1:2" x14ac:dyDescent="0.25">
      <c r="A2362" s="33">
        <v>7720113006</v>
      </c>
      <c r="B2362" s="33" t="s">
        <v>21671</v>
      </c>
    </row>
    <row r="2363" spans="1:2" x14ac:dyDescent="0.25">
      <c r="A2363" s="33">
        <v>7720113007</v>
      </c>
      <c r="B2363" s="33" t="s">
        <v>21672</v>
      </c>
    </row>
    <row r="2364" spans="1:2" x14ac:dyDescent="0.25">
      <c r="A2364" s="33">
        <v>7720114000</v>
      </c>
      <c r="B2364" s="33" t="s">
        <v>21673</v>
      </c>
    </row>
    <row r="2365" spans="1:2" x14ac:dyDescent="0.25">
      <c r="A2365" s="33">
        <v>7720114001</v>
      </c>
      <c r="B2365" s="33" t="s">
        <v>21674</v>
      </c>
    </row>
    <row r="2366" spans="1:2" x14ac:dyDescent="0.25">
      <c r="A2366" s="33">
        <v>7720114002</v>
      </c>
      <c r="B2366" s="33" t="s">
        <v>21675</v>
      </c>
    </row>
    <row r="2367" spans="1:2" x14ac:dyDescent="0.25">
      <c r="A2367" s="33">
        <v>7720114003</v>
      </c>
      <c r="B2367" s="33" t="s">
        <v>21676</v>
      </c>
    </row>
    <row r="2368" spans="1:2" x14ac:dyDescent="0.25">
      <c r="A2368" s="33">
        <v>7720114004</v>
      </c>
      <c r="B2368" s="33" t="s">
        <v>21677</v>
      </c>
    </row>
    <row r="2369" spans="1:2" x14ac:dyDescent="0.25">
      <c r="A2369" s="33">
        <v>7720114005</v>
      </c>
      <c r="B2369" s="33" t="s">
        <v>21678</v>
      </c>
    </row>
    <row r="2370" spans="1:2" x14ac:dyDescent="0.25">
      <c r="A2370" s="33">
        <v>7720114006</v>
      </c>
      <c r="B2370" s="33" t="s">
        <v>21679</v>
      </c>
    </row>
    <row r="2371" spans="1:2" x14ac:dyDescent="0.25">
      <c r="A2371" s="33">
        <v>7720114007</v>
      </c>
      <c r="B2371" s="33" t="s">
        <v>21680</v>
      </c>
    </row>
    <row r="2372" spans="1:2" x14ac:dyDescent="0.25">
      <c r="A2372" s="33">
        <v>7720115000</v>
      </c>
      <c r="B2372" s="33" t="s">
        <v>21681</v>
      </c>
    </row>
    <row r="2373" spans="1:2" x14ac:dyDescent="0.25">
      <c r="A2373" s="33">
        <v>7720115001</v>
      </c>
      <c r="B2373" s="33" t="s">
        <v>21682</v>
      </c>
    </row>
    <row r="2374" spans="1:2" x14ac:dyDescent="0.25">
      <c r="A2374" s="33">
        <v>7720115002</v>
      </c>
      <c r="B2374" s="33" t="s">
        <v>21683</v>
      </c>
    </row>
    <row r="2375" spans="1:2" x14ac:dyDescent="0.25">
      <c r="A2375" s="33">
        <v>7720115003</v>
      </c>
      <c r="B2375" s="33" t="s">
        <v>21684</v>
      </c>
    </row>
    <row r="2376" spans="1:2" x14ac:dyDescent="0.25">
      <c r="A2376" s="33">
        <v>7720115004</v>
      </c>
      <c r="B2376" s="33" t="s">
        <v>21685</v>
      </c>
    </row>
    <row r="2377" spans="1:2" x14ac:dyDescent="0.25">
      <c r="A2377" s="33">
        <v>7720115005</v>
      </c>
      <c r="B2377" s="33" t="s">
        <v>21686</v>
      </c>
    </row>
    <row r="2378" spans="1:2" x14ac:dyDescent="0.25">
      <c r="A2378" s="33">
        <v>7720115006</v>
      </c>
      <c r="B2378" s="33" t="s">
        <v>21687</v>
      </c>
    </row>
    <row r="2379" spans="1:2" x14ac:dyDescent="0.25">
      <c r="A2379" s="33">
        <v>7720115007</v>
      </c>
      <c r="B2379" s="33" t="s">
        <v>21688</v>
      </c>
    </row>
    <row r="2380" spans="1:2" x14ac:dyDescent="0.25">
      <c r="A2380" s="33">
        <v>7720120000</v>
      </c>
      <c r="B2380" s="33" t="s">
        <v>21689</v>
      </c>
    </row>
    <row r="2381" spans="1:2" x14ac:dyDescent="0.25">
      <c r="A2381" s="33">
        <v>7720120001</v>
      </c>
      <c r="B2381" s="33" t="s">
        <v>21690</v>
      </c>
    </row>
    <row r="2382" spans="1:2" x14ac:dyDescent="0.25">
      <c r="A2382" s="33">
        <v>7720120002</v>
      </c>
      <c r="B2382" s="33" t="s">
        <v>21691</v>
      </c>
    </row>
    <row r="2383" spans="1:2" x14ac:dyDescent="0.25">
      <c r="A2383" s="33">
        <v>7720120003</v>
      </c>
      <c r="B2383" s="33" t="s">
        <v>21692</v>
      </c>
    </row>
    <row r="2384" spans="1:2" x14ac:dyDescent="0.25">
      <c r="A2384" s="33">
        <v>7720120004</v>
      </c>
      <c r="B2384" s="33" t="s">
        <v>21693</v>
      </c>
    </row>
    <row r="2385" spans="1:2" x14ac:dyDescent="0.25">
      <c r="A2385" s="33">
        <v>7720120005</v>
      </c>
      <c r="B2385" s="33" t="s">
        <v>21694</v>
      </c>
    </row>
    <row r="2386" spans="1:2" x14ac:dyDescent="0.25">
      <c r="A2386" s="33">
        <v>7720120006</v>
      </c>
      <c r="B2386" s="33" t="s">
        <v>21695</v>
      </c>
    </row>
    <row r="2387" spans="1:2" x14ac:dyDescent="0.25">
      <c r="A2387" s="33">
        <v>7720120007</v>
      </c>
      <c r="B2387" s="33" t="s">
        <v>21696</v>
      </c>
    </row>
    <row r="2388" spans="1:2" x14ac:dyDescent="0.25">
      <c r="A2388" s="33">
        <v>7720120008</v>
      </c>
      <c r="B2388" s="33" t="s">
        <v>21697</v>
      </c>
    </row>
    <row r="2389" spans="1:2" x14ac:dyDescent="0.25">
      <c r="A2389" s="33">
        <v>7720130000</v>
      </c>
      <c r="B2389" s="33" t="s">
        <v>21698</v>
      </c>
    </row>
    <row r="2390" spans="1:2" x14ac:dyDescent="0.25">
      <c r="A2390" s="33">
        <v>7720130001</v>
      </c>
      <c r="B2390" s="33" t="s">
        <v>21699</v>
      </c>
    </row>
    <row r="2391" spans="1:2" x14ac:dyDescent="0.25">
      <c r="A2391" s="33">
        <v>7720130002</v>
      </c>
      <c r="B2391" s="33" t="s">
        <v>21700</v>
      </c>
    </row>
    <row r="2392" spans="1:2" x14ac:dyDescent="0.25">
      <c r="A2392" s="33">
        <v>7720130003</v>
      </c>
      <c r="B2392" s="33" t="s">
        <v>21701</v>
      </c>
    </row>
    <row r="2393" spans="1:2" x14ac:dyDescent="0.25">
      <c r="A2393" s="33">
        <v>7720130004</v>
      </c>
      <c r="B2393" s="33" t="s">
        <v>21702</v>
      </c>
    </row>
    <row r="2394" spans="1:2" x14ac:dyDescent="0.25">
      <c r="A2394" s="33">
        <v>7720130005</v>
      </c>
      <c r="B2394" s="33" t="s">
        <v>21703</v>
      </c>
    </row>
    <row r="2395" spans="1:2" x14ac:dyDescent="0.25">
      <c r="A2395" s="33">
        <v>7720130006</v>
      </c>
      <c r="B2395" s="33" t="s">
        <v>21704</v>
      </c>
    </row>
    <row r="2396" spans="1:2" x14ac:dyDescent="0.25">
      <c r="A2396" s="33">
        <v>7720130007</v>
      </c>
      <c r="B2396" s="33" t="s">
        <v>21705</v>
      </c>
    </row>
    <row r="2397" spans="1:2" x14ac:dyDescent="0.25">
      <c r="A2397" s="33">
        <v>7720130008</v>
      </c>
      <c r="B2397" s="33" t="s">
        <v>21706</v>
      </c>
    </row>
    <row r="2398" spans="1:2" x14ac:dyDescent="0.25">
      <c r="A2398" s="33">
        <v>7720140000</v>
      </c>
      <c r="B2398" s="33" t="s">
        <v>21707</v>
      </c>
    </row>
    <row r="2399" spans="1:2" x14ac:dyDescent="0.25">
      <c r="A2399" s="33">
        <v>7720140001</v>
      </c>
      <c r="B2399" s="33" t="s">
        <v>21708</v>
      </c>
    </row>
    <row r="2400" spans="1:2" x14ac:dyDescent="0.25">
      <c r="A2400" s="33">
        <v>7720140002</v>
      </c>
      <c r="B2400" s="33" t="s">
        <v>21709</v>
      </c>
    </row>
    <row r="2401" spans="1:2" x14ac:dyDescent="0.25">
      <c r="A2401" s="33">
        <v>7720140003</v>
      </c>
      <c r="B2401" s="33" t="s">
        <v>21710</v>
      </c>
    </row>
    <row r="2402" spans="1:2" x14ac:dyDescent="0.25">
      <c r="A2402" s="33">
        <v>7720140004</v>
      </c>
      <c r="B2402" s="33" t="s">
        <v>21711</v>
      </c>
    </row>
    <row r="2403" spans="1:2" x14ac:dyDescent="0.25">
      <c r="A2403" s="33">
        <v>7720140005</v>
      </c>
      <c r="B2403" s="33" t="s">
        <v>21712</v>
      </c>
    </row>
    <row r="2404" spans="1:2" x14ac:dyDescent="0.25">
      <c r="A2404" s="33">
        <v>7720140006</v>
      </c>
      <c r="B2404" s="33" t="s">
        <v>21713</v>
      </c>
    </row>
    <row r="2405" spans="1:2" x14ac:dyDescent="0.25">
      <c r="A2405" s="33">
        <v>7720140007</v>
      </c>
      <c r="B2405" s="33" t="s">
        <v>21714</v>
      </c>
    </row>
    <row r="2406" spans="1:2" x14ac:dyDescent="0.25">
      <c r="A2406" s="33">
        <v>7720140008</v>
      </c>
      <c r="B2406" s="33" t="s">
        <v>21715</v>
      </c>
    </row>
    <row r="2407" spans="1:2" x14ac:dyDescent="0.25">
      <c r="A2407" s="33">
        <v>7720152100</v>
      </c>
      <c r="B2407" s="33" t="s">
        <v>21716</v>
      </c>
    </row>
    <row r="2408" spans="1:2" x14ac:dyDescent="0.25">
      <c r="A2408" s="33">
        <v>7721101100</v>
      </c>
      <c r="B2408" s="33" t="s">
        <v>21717</v>
      </c>
    </row>
    <row r="2409" spans="1:2" x14ac:dyDescent="0.25">
      <c r="A2409" s="33">
        <v>7721101300</v>
      </c>
      <c r="B2409" s="33" t="s">
        <v>21718</v>
      </c>
    </row>
    <row r="2410" spans="1:2" x14ac:dyDescent="0.25">
      <c r="A2410" s="33">
        <v>7721101301</v>
      </c>
      <c r="B2410" s="33" t="s">
        <v>21719</v>
      </c>
    </row>
    <row r="2411" spans="1:2" x14ac:dyDescent="0.25">
      <c r="A2411" s="33">
        <v>7721101302</v>
      </c>
      <c r="B2411" s="33" t="s">
        <v>21720</v>
      </c>
    </row>
    <row r="2412" spans="1:2" x14ac:dyDescent="0.25">
      <c r="A2412" s="33">
        <v>7721101303</v>
      </c>
      <c r="B2412" s="33" t="s">
        <v>21721</v>
      </c>
    </row>
    <row r="2413" spans="1:2" x14ac:dyDescent="0.25">
      <c r="A2413" s="33">
        <v>7721101304</v>
      </c>
      <c r="B2413" s="33" t="s">
        <v>21722</v>
      </c>
    </row>
    <row r="2414" spans="1:2" x14ac:dyDescent="0.25">
      <c r="A2414" s="33">
        <v>7721101305</v>
      </c>
      <c r="B2414" s="33" t="s">
        <v>21723</v>
      </c>
    </row>
    <row r="2415" spans="1:2" x14ac:dyDescent="0.25">
      <c r="A2415" s="33">
        <v>7721101306</v>
      </c>
      <c r="B2415" s="33" t="s">
        <v>21724</v>
      </c>
    </row>
    <row r="2416" spans="1:2" x14ac:dyDescent="0.25">
      <c r="A2416" s="33">
        <v>7721101307</v>
      </c>
      <c r="B2416" s="33" t="s">
        <v>21725</v>
      </c>
    </row>
    <row r="2417" spans="1:2" x14ac:dyDescent="0.25">
      <c r="A2417" s="33">
        <v>7721101308</v>
      </c>
      <c r="B2417" s="33" t="s">
        <v>21726</v>
      </c>
    </row>
    <row r="2418" spans="1:2" x14ac:dyDescent="0.25">
      <c r="A2418" s="33">
        <v>7721101309</v>
      </c>
      <c r="B2418" s="33" t="s">
        <v>21727</v>
      </c>
    </row>
    <row r="2419" spans="1:2" x14ac:dyDescent="0.25">
      <c r="A2419" s="33">
        <v>7721110000</v>
      </c>
      <c r="B2419" s="33" t="s">
        <v>21728</v>
      </c>
    </row>
    <row r="2420" spans="1:2" x14ac:dyDescent="0.25">
      <c r="A2420" s="33">
        <v>7721121100</v>
      </c>
      <c r="B2420" s="33">
        <v>0</v>
      </c>
    </row>
    <row r="2421" spans="1:2" x14ac:dyDescent="0.25">
      <c r="A2421" s="33">
        <v>7721121200</v>
      </c>
      <c r="B2421" s="33" t="s">
        <v>21729</v>
      </c>
    </row>
    <row r="2422" spans="1:2" x14ac:dyDescent="0.25">
      <c r="A2422" s="33">
        <v>7721121300</v>
      </c>
      <c r="B2422" s="33" t="s">
        <v>21730</v>
      </c>
    </row>
    <row r="2423" spans="1:2" x14ac:dyDescent="0.25">
      <c r="A2423" s="33">
        <v>7721121301</v>
      </c>
      <c r="B2423" s="33" t="s">
        <v>21731</v>
      </c>
    </row>
    <row r="2424" spans="1:2" x14ac:dyDescent="0.25">
      <c r="A2424" s="33">
        <v>7721121302</v>
      </c>
      <c r="B2424" s="33" t="s">
        <v>21732</v>
      </c>
    </row>
    <row r="2425" spans="1:2" x14ac:dyDescent="0.25">
      <c r="A2425" s="33">
        <v>7721121400</v>
      </c>
      <c r="B2425" s="33" t="s">
        <v>21733</v>
      </c>
    </row>
    <row r="2426" spans="1:2" x14ac:dyDescent="0.25">
      <c r="A2426" s="33">
        <v>7721130000</v>
      </c>
      <c r="B2426" s="33" t="s">
        <v>21734</v>
      </c>
    </row>
    <row r="2427" spans="1:2" x14ac:dyDescent="0.25">
      <c r="A2427" s="33">
        <v>7721130001</v>
      </c>
      <c r="B2427" s="33" t="s">
        <v>21735</v>
      </c>
    </row>
    <row r="2428" spans="1:2" x14ac:dyDescent="0.25">
      <c r="A2428" s="33">
        <v>7721140000</v>
      </c>
      <c r="B2428" s="33" t="s">
        <v>21736</v>
      </c>
    </row>
    <row r="2429" spans="1:2" x14ac:dyDescent="0.25">
      <c r="A2429" s="33">
        <v>7722100000</v>
      </c>
      <c r="B2429" s="33" t="s">
        <v>21737</v>
      </c>
    </row>
    <row r="2430" spans="1:2" x14ac:dyDescent="0.25">
      <c r="A2430" s="33">
        <v>7722100001</v>
      </c>
      <c r="B2430" s="33" t="s">
        <v>21738</v>
      </c>
    </row>
    <row r="2431" spans="1:2" x14ac:dyDescent="0.25">
      <c r="A2431" s="33">
        <v>7722110000</v>
      </c>
      <c r="B2431" s="33" t="s">
        <v>21739</v>
      </c>
    </row>
    <row r="2432" spans="1:2" x14ac:dyDescent="0.25">
      <c r="A2432" s="33">
        <v>7722110001</v>
      </c>
      <c r="B2432" s="33" t="s">
        <v>21740</v>
      </c>
    </row>
    <row r="2433" spans="1:2" x14ac:dyDescent="0.25">
      <c r="A2433" s="33">
        <v>7722110002</v>
      </c>
      <c r="B2433" s="33" t="s">
        <v>21741</v>
      </c>
    </row>
    <row r="2434" spans="1:2" x14ac:dyDescent="0.25">
      <c r="A2434" s="33">
        <v>7722110003</v>
      </c>
      <c r="B2434" s="33" t="s">
        <v>21742</v>
      </c>
    </row>
    <row r="2435" spans="1:2" x14ac:dyDescent="0.25">
      <c r="A2435" s="33">
        <v>7722120000</v>
      </c>
      <c r="B2435" s="33" t="s">
        <v>21743</v>
      </c>
    </row>
    <row r="2436" spans="1:2" x14ac:dyDescent="0.25">
      <c r="A2436" s="33">
        <v>7722120001</v>
      </c>
      <c r="B2436" s="33" t="s">
        <v>21744</v>
      </c>
    </row>
    <row r="2437" spans="1:2" x14ac:dyDescent="0.25">
      <c r="A2437" s="33">
        <v>7722130000</v>
      </c>
      <c r="B2437" s="33" t="s">
        <v>21745</v>
      </c>
    </row>
    <row r="2438" spans="1:2" x14ac:dyDescent="0.25">
      <c r="A2438" s="33">
        <v>7722130001</v>
      </c>
      <c r="B2438" s="33" t="s">
        <v>21746</v>
      </c>
    </row>
    <row r="2439" spans="1:2" x14ac:dyDescent="0.25">
      <c r="A2439" s="33">
        <v>7722130002</v>
      </c>
      <c r="B2439" s="33" t="s">
        <v>21746</v>
      </c>
    </row>
    <row r="2440" spans="1:2" x14ac:dyDescent="0.25">
      <c r="A2440" s="33">
        <v>7722130003</v>
      </c>
      <c r="B2440" s="33" t="s">
        <v>21746</v>
      </c>
    </row>
    <row r="2441" spans="1:2" x14ac:dyDescent="0.25">
      <c r="A2441" s="33">
        <v>7722130004</v>
      </c>
      <c r="B2441" s="33" t="s">
        <v>21746</v>
      </c>
    </row>
    <row r="2442" spans="1:2" x14ac:dyDescent="0.25">
      <c r="A2442" s="33">
        <v>7722130005</v>
      </c>
      <c r="B2442" s="33" t="s">
        <v>21747</v>
      </c>
    </row>
    <row r="2443" spans="1:2" x14ac:dyDescent="0.25">
      <c r="A2443" s="33">
        <v>7722140000</v>
      </c>
      <c r="B2443" s="33" t="s">
        <v>21748</v>
      </c>
    </row>
    <row r="2444" spans="1:2" x14ac:dyDescent="0.25">
      <c r="A2444" s="33">
        <v>7722140001</v>
      </c>
      <c r="B2444" s="33" t="s">
        <v>21749</v>
      </c>
    </row>
    <row r="2445" spans="1:2" x14ac:dyDescent="0.25">
      <c r="A2445" s="33">
        <v>7722140002</v>
      </c>
      <c r="B2445" s="33" t="s">
        <v>21750</v>
      </c>
    </row>
    <row r="2446" spans="1:2" x14ac:dyDescent="0.25">
      <c r="A2446" s="33">
        <v>7723451000</v>
      </c>
      <c r="B2446" s="33" t="s">
        <v>21751</v>
      </c>
    </row>
    <row r="2447" spans="1:2" x14ac:dyDescent="0.25">
      <c r="A2447" s="33">
        <v>7723500000</v>
      </c>
      <c r="B2447" s="33" t="s">
        <v>21752</v>
      </c>
    </row>
    <row r="2448" spans="1:2" x14ac:dyDescent="0.25">
      <c r="A2448" s="33">
        <v>7723550000</v>
      </c>
      <c r="B2448" s="33" t="s">
        <v>21753</v>
      </c>
    </row>
    <row r="2449" spans="1:2" x14ac:dyDescent="0.25">
      <c r="A2449" s="33">
        <v>7724140000</v>
      </c>
      <c r="B2449" s="33" t="s">
        <v>21754</v>
      </c>
    </row>
    <row r="2450" spans="1:2" x14ac:dyDescent="0.25">
      <c r="A2450" s="33">
        <v>7724140001</v>
      </c>
      <c r="B2450" s="33" t="s">
        <v>21755</v>
      </c>
    </row>
    <row r="2451" spans="1:2" x14ac:dyDescent="0.25">
      <c r="A2451" s="33">
        <v>7724161100</v>
      </c>
      <c r="B2451" s="33" t="s">
        <v>21756</v>
      </c>
    </row>
    <row r="2452" spans="1:2" x14ac:dyDescent="0.25">
      <c r="A2452" s="33">
        <v>7724171000</v>
      </c>
      <c r="B2452" s="33" t="s">
        <v>21757</v>
      </c>
    </row>
    <row r="2453" spans="1:2" x14ac:dyDescent="0.25">
      <c r="A2453" s="33">
        <v>7724173000</v>
      </c>
      <c r="B2453" s="33" t="s">
        <v>21758</v>
      </c>
    </row>
    <row r="2454" spans="1:2" x14ac:dyDescent="0.25">
      <c r="A2454" s="33">
        <v>7724177000</v>
      </c>
      <c r="B2454" s="33" t="s">
        <v>21759</v>
      </c>
    </row>
    <row r="2455" spans="1:2" x14ac:dyDescent="0.25">
      <c r="A2455" s="33">
        <v>7724177001</v>
      </c>
      <c r="B2455" s="33" t="s">
        <v>21760</v>
      </c>
    </row>
    <row r="2456" spans="1:2" x14ac:dyDescent="0.25">
      <c r="A2456" s="33">
        <v>7724190000</v>
      </c>
      <c r="B2456" s="33" t="s">
        <v>21761</v>
      </c>
    </row>
    <row r="2457" spans="1:2" x14ac:dyDescent="0.25">
      <c r="A2457" s="33">
        <v>7810130000</v>
      </c>
      <c r="B2457" s="33" t="s">
        <v>21762</v>
      </c>
    </row>
    <row r="2458" spans="1:2" x14ac:dyDescent="0.25">
      <c r="A2458" s="33">
        <v>7810140000</v>
      </c>
      <c r="B2458" s="33" t="s">
        <v>21763</v>
      </c>
    </row>
    <row r="2459" spans="1:2" x14ac:dyDescent="0.25">
      <c r="A2459" s="33">
        <v>7810180000</v>
      </c>
      <c r="B2459" s="33" t="s">
        <v>21764</v>
      </c>
    </row>
    <row r="2460" spans="1:2" x14ac:dyDescent="0.25">
      <c r="A2460" s="33">
        <v>7811111300</v>
      </c>
      <c r="B2460" s="33" t="s">
        <v>21765</v>
      </c>
    </row>
    <row r="2461" spans="1:2" x14ac:dyDescent="0.25">
      <c r="A2461" s="33">
        <v>7811113001</v>
      </c>
      <c r="B2461" s="33" t="s">
        <v>21766</v>
      </c>
    </row>
    <row r="2462" spans="1:2" x14ac:dyDescent="0.25">
      <c r="A2462" s="33">
        <v>7811113002</v>
      </c>
      <c r="B2462" s="33" t="s">
        <v>21767</v>
      </c>
    </row>
    <row r="2463" spans="1:2" x14ac:dyDescent="0.25">
      <c r="A2463" s="33">
        <v>7811113003</v>
      </c>
      <c r="B2463" s="33" t="s">
        <v>21768</v>
      </c>
    </row>
    <row r="2464" spans="1:2" x14ac:dyDescent="0.25">
      <c r="A2464" s="33">
        <v>7811113004</v>
      </c>
      <c r="B2464" s="33" t="s">
        <v>21769</v>
      </c>
    </row>
    <row r="2465" spans="1:2" x14ac:dyDescent="0.25">
      <c r="A2465" s="33">
        <v>7811113005</v>
      </c>
      <c r="B2465" s="33" t="s">
        <v>21770</v>
      </c>
    </row>
    <row r="2466" spans="1:2" x14ac:dyDescent="0.25">
      <c r="A2466" s="33">
        <v>7811113009</v>
      </c>
      <c r="B2466" s="33" t="s">
        <v>21771</v>
      </c>
    </row>
    <row r="2467" spans="1:2" x14ac:dyDescent="0.25">
      <c r="A2467" s="33">
        <v>7811113010</v>
      </c>
      <c r="B2467" s="33" t="s">
        <v>21772</v>
      </c>
    </row>
    <row r="2468" spans="1:2" x14ac:dyDescent="0.25">
      <c r="A2468" s="33">
        <v>7811115001</v>
      </c>
      <c r="B2468" s="33" t="s">
        <v>21773</v>
      </c>
    </row>
    <row r="2469" spans="1:2" x14ac:dyDescent="0.25">
      <c r="A2469" s="33">
        <v>7811121000</v>
      </c>
      <c r="B2469" s="33" t="s">
        <v>21774</v>
      </c>
    </row>
    <row r="2470" spans="1:2" x14ac:dyDescent="0.25">
      <c r="A2470" s="33">
        <v>7811122000</v>
      </c>
      <c r="B2470" s="33" t="s">
        <v>21775</v>
      </c>
    </row>
    <row r="2471" spans="1:2" x14ac:dyDescent="0.25">
      <c r="A2471" s="33">
        <v>7811171100</v>
      </c>
      <c r="B2471" s="33" t="s">
        <v>21776</v>
      </c>
    </row>
    <row r="2472" spans="1:2" x14ac:dyDescent="0.25">
      <c r="A2472" s="33">
        <v>7811171200</v>
      </c>
      <c r="B2472" s="33" t="s">
        <v>21777</v>
      </c>
    </row>
    <row r="2473" spans="1:2" x14ac:dyDescent="0.25">
      <c r="A2473" s="33">
        <v>7811171300</v>
      </c>
      <c r="B2473" s="33" t="s">
        <v>21778</v>
      </c>
    </row>
    <row r="2474" spans="1:2" x14ac:dyDescent="0.25">
      <c r="A2474" s="33">
        <v>7811171400</v>
      </c>
      <c r="B2474" s="33" t="s">
        <v>21779</v>
      </c>
    </row>
    <row r="2475" spans="1:2" x14ac:dyDescent="0.25">
      <c r="A2475" s="33">
        <v>7811172000</v>
      </c>
      <c r="B2475" s="33" t="s">
        <v>21780</v>
      </c>
    </row>
    <row r="2476" spans="1:2" x14ac:dyDescent="0.25">
      <c r="A2476" s="33">
        <v>7811173000</v>
      </c>
      <c r="B2476" s="33" t="s">
        <v>21781</v>
      </c>
    </row>
    <row r="2477" spans="1:2" x14ac:dyDescent="0.25">
      <c r="A2477" s="33">
        <v>7811180000</v>
      </c>
      <c r="B2477" s="33" t="s">
        <v>21782</v>
      </c>
    </row>
    <row r="2478" spans="1:2" x14ac:dyDescent="0.25">
      <c r="A2478" s="33">
        <v>7811190000</v>
      </c>
      <c r="B2478" s="33" t="s">
        <v>21783</v>
      </c>
    </row>
    <row r="2479" spans="1:2" x14ac:dyDescent="0.25">
      <c r="A2479" s="33">
        <v>7811200000</v>
      </c>
      <c r="B2479" s="33" t="s">
        <v>21781</v>
      </c>
    </row>
    <row r="2480" spans="1:2" x14ac:dyDescent="0.25">
      <c r="A2480" s="33">
        <v>7811210000</v>
      </c>
      <c r="B2480" s="33" t="s">
        <v>21784</v>
      </c>
    </row>
    <row r="2481" spans="1:2" x14ac:dyDescent="0.25">
      <c r="A2481" s="33">
        <v>7820104000</v>
      </c>
      <c r="B2481" s="33" t="s">
        <v>21785</v>
      </c>
    </row>
    <row r="2482" spans="1:2" x14ac:dyDescent="0.25">
      <c r="A2482" s="33">
        <v>7820106000</v>
      </c>
      <c r="B2482" s="33" t="s">
        <v>21786</v>
      </c>
    </row>
    <row r="2483" spans="1:2" x14ac:dyDescent="0.25">
      <c r="A2483" s="33">
        <v>7820120000</v>
      </c>
      <c r="B2483" s="33" t="s">
        <v>21787</v>
      </c>
    </row>
    <row r="2484" spans="1:2" x14ac:dyDescent="0.25">
      <c r="A2484" s="33">
        <v>7820120001</v>
      </c>
      <c r="B2484" s="33" t="s">
        <v>21788</v>
      </c>
    </row>
    <row r="2485" spans="1:2" x14ac:dyDescent="0.25">
      <c r="A2485" s="33">
        <v>7820120002</v>
      </c>
      <c r="B2485" s="33" t="s">
        <v>21789</v>
      </c>
    </row>
    <row r="2486" spans="1:2" x14ac:dyDescent="0.25">
      <c r="A2486" s="33">
        <v>7820120003</v>
      </c>
      <c r="B2486" s="33" t="s">
        <v>21790</v>
      </c>
    </row>
    <row r="2487" spans="1:2" x14ac:dyDescent="0.25">
      <c r="A2487" s="33">
        <v>7820120004</v>
      </c>
      <c r="B2487" s="33" t="s">
        <v>21791</v>
      </c>
    </row>
    <row r="2488" spans="1:2" x14ac:dyDescent="0.25">
      <c r="A2488" s="33">
        <v>7820120005</v>
      </c>
      <c r="B2488" s="33" t="s">
        <v>21792</v>
      </c>
    </row>
    <row r="2489" spans="1:2" x14ac:dyDescent="0.25">
      <c r="A2489" s="33">
        <v>7820120006</v>
      </c>
      <c r="B2489" s="33" t="s">
        <v>21793</v>
      </c>
    </row>
    <row r="2490" spans="1:2" x14ac:dyDescent="0.25">
      <c r="A2490" s="33">
        <v>7820120007</v>
      </c>
      <c r="B2490" s="33" t="s">
        <v>21794</v>
      </c>
    </row>
    <row r="2491" spans="1:2" x14ac:dyDescent="0.25">
      <c r="A2491" s="33">
        <v>7820130000</v>
      </c>
      <c r="B2491" s="33" t="s">
        <v>21795</v>
      </c>
    </row>
    <row r="2492" spans="1:2" x14ac:dyDescent="0.25">
      <c r="A2492" s="33">
        <v>7820130001</v>
      </c>
      <c r="B2492" s="33" t="s">
        <v>21796</v>
      </c>
    </row>
    <row r="2493" spans="1:2" x14ac:dyDescent="0.25">
      <c r="A2493" s="33">
        <v>7820130002</v>
      </c>
      <c r="B2493" s="33" t="s">
        <v>21797</v>
      </c>
    </row>
    <row r="2494" spans="1:2" x14ac:dyDescent="0.25">
      <c r="A2494" s="33">
        <v>7820130003</v>
      </c>
      <c r="B2494" s="33" t="s">
        <v>21798</v>
      </c>
    </row>
    <row r="2495" spans="1:2" x14ac:dyDescent="0.25">
      <c r="A2495" s="33">
        <v>7820130004</v>
      </c>
      <c r="B2495" s="33" t="s">
        <v>21799</v>
      </c>
    </row>
    <row r="2496" spans="1:2" x14ac:dyDescent="0.25">
      <c r="A2496" s="33">
        <v>7820130005</v>
      </c>
      <c r="B2496" s="33" t="s">
        <v>21800</v>
      </c>
    </row>
    <row r="2497" spans="1:2" x14ac:dyDescent="0.25">
      <c r="A2497" s="33">
        <v>7820130006</v>
      </c>
      <c r="B2497" s="33" t="s">
        <v>21801</v>
      </c>
    </row>
    <row r="2498" spans="1:2" x14ac:dyDescent="0.25">
      <c r="A2498" s="33">
        <v>7820130007</v>
      </c>
      <c r="B2498" s="33" t="s">
        <v>21802</v>
      </c>
    </row>
    <row r="2499" spans="1:2" x14ac:dyDescent="0.25">
      <c r="A2499" s="33">
        <v>7820140000</v>
      </c>
      <c r="B2499" s="33" t="s">
        <v>21803</v>
      </c>
    </row>
    <row r="2500" spans="1:2" x14ac:dyDescent="0.25">
      <c r="A2500" s="33">
        <v>7820140001</v>
      </c>
      <c r="B2500" s="33" t="s">
        <v>21804</v>
      </c>
    </row>
    <row r="2501" spans="1:2" x14ac:dyDescent="0.25">
      <c r="A2501" s="33">
        <v>7820140002</v>
      </c>
      <c r="B2501" s="33" t="s">
        <v>21805</v>
      </c>
    </row>
    <row r="2502" spans="1:2" x14ac:dyDescent="0.25">
      <c r="A2502" s="33">
        <v>7820140003</v>
      </c>
      <c r="B2502" s="33" t="s">
        <v>21806</v>
      </c>
    </row>
    <row r="2503" spans="1:2" x14ac:dyDescent="0.25">
      <c r="A2503" s="33">
        <v>7820140004</v>
      </c>
      <c r="B2503" s="33" t="s">
        <v>21807</v>
      </c>
    </row>
    <row r="2504" spans="1:2" x14ac:dyDescent="0.25">
      <c r="A2504" s="33">
        <v>7820140005</v>
      </c>
      <c r="B2504" s="33" t="s">
        <v>21808</v>
      </c>
    </row>
    <row r="2505" spans="1:2" x14ac:dyDescent="0.25">
      <c r="A2505" s="33">
        <v>7820140006</v>
      </c>
      <c r="B2505" s="33" t="s">
        <v>21809</v>
      </c>
    </row>
    <row r="2506" spans="1:2" x14ac:dyDescent="0.25">
      <c r="A2506" s="33">
        <v>7820140007</v>
      </c>
      <c r="B2506" s="33" t="s">
        <v>21810</v>
      </c>
    </row>
    <row r="2507" spans="1:2" x14ac:dyDescent="0.25">
      <c r="A2507" s="33">
        <v>7820151110</v>
      </c>
      <c r="B2507" s="33" t="s">
        <v>21811</v>
      </c>
    </row>
    <row r="2508" spans="1:2" x14ac:dyDescent="0.25">
      <c r="A2508" s="33">
        <v>7820151210</v>
      </c>
      <c r="B2508" s="33" t="s">
        <v>21812</v>
      </c>
    </row>
    <row r="2509" spans="1:2" x14ac:dyDescent="0.25">
      <c r="A2509" s="33">
        <v>7820151320</v>
      </c>
      <c r="B2509" s="33" t="s">
        <v>21813</v>
      </c>
    </row>
    <row r="2510" spans="1:2" x14ac:dyDescent="0.25">
      <c r="A2510" s="33">
        <v>7820152100</v>
      </c>
      <c r="B2510" s="33" t="s">
        <v>21814</v>
      </c>
    </row>
    <row r="2511" spans="1:2" x14ac:dyDescent="0.25">
      <c r="A2511" s="33">
        <v>7820152200</v>
      </c>
      <c r="B2511" s="33" t="s">
        <v>21815</v>
      </c>
    </row>
    <row r="2512" spans="1:2" x14ac:dyDescent="0.25">
      <c r="A2512" s="33">
        <v>7820160000</v>
      </c>
      <c r="B2512" s="33" t="s">
        <v>21816</v>
      </c>
    </row>
    <row r="2513" spans="1:2" x14ac:dyDescent="0.25">
      <c r="A2513" s="33">
        <v>7820170000</v>
      </c>
      <c r="B2513" s="33" t="s">
        <v>21817</v>
      </c>
    </row>
    <row r="2514" spans="1:2" x14ac:dyDescent="0.25">
      <c r="A2514" s="33">
        <v>7820180000</v>
      </c>
      <c r="B2514" s="33" t="s">
        <v>21818</v>
      </c>
    </row>
    <row r="2515" spans="1:2" x14ac:dyDescent="0.25">
      <c r="A2515" s="33">
        <v>7820190000</v>
      </c>
      <c r="B2515" s="33" t="s">
        <v>21819</v>
      </c>
    </row>
    <row r="2516" spans="1:2" x14ac:dyDescent="0.25">
      <c r="A2516" s="33">
        <v>7821101300</v>
      </c>
      <c r="B2516" s="33" t="s">
        <v>21820</v>
      </c>
    </row>
    <row r="2517" spans="1:2" x14ac:dyDescent="0.25">
      <c r="A2517" s="33">
        <v>7821101301</v>
      </c>
      <c r="B2517" s="33" t="s">
        <v>21821</v>
      </c>
    </row>
    <row r="2518" spans="1:2" x14ac:dyDescent="0.25">
      <c r="A2518" s="33">
        <v>7821101302</v>
      </c>
      <c r="B2518" s="33" t="s">
        <v>21822</v>
      </c>
    </row>
    <row r="2519" spans="1:2" x14ac:dyDescent="0.25">
      <c r="A2519" s="33">
        <v>7821101303</v>
      </c>
      <c r="B2519" s="33" t="s">
        <v>21823</v>
      </c>
    </row>
    <row r="2520" spans="1:2" x14ac:dyDescent="0.25">
      <c r="A2520" s="33">
        <v>7821101304</v>
      </c>
      <c r="B2520" s="33" t="s">
        <v>21824</v>
      </c>
    </row>
    <row r="2521" spans="1:2" x14ac:dyDescent="0.25">
      <c r="A2521" s="33">
        <v>7821101305</v>
      </c>
      <c r="B2521" s="33" t="s">
        <v>21825</v>
      </c>
    </row>
    <row r="2522" spans="1:2" x14ac:dyDescent="0.25">
      <c r="A2522" s="33">
        <v>7821101306</v>
      </c>
      <c r="B2522" s="33" t="s">
        <v>21826</v>
      </c>
    </row>
    <row r="2523" spans="1:2" x14ac:dyDescent="0.25">
      <c r="A2523" s="33">
        <v>7821101307</v>
      </c>
      <c r="B2523" s="33" t="s">
        <v>21827</v>
      </c>
    </row>
    <row r="2524" spans="1:2" x14ac:dyDescent="0.25">
      <c r="A2524" s="33">
        <v>7821121300</v>
      </c>
      <c r="B2524" s="33" t="s">
        <v>21828</v>
      </c>
    </row>
    <row r="2525" spans="1:2" x14ac:dyDescent="0.25">
      <c r="A2525" s="33">
        <v>7821121301</v>
      </c>
      <c r="B2525" s="33" t="s">
        <v>21829</v>
      </c>
    </row>
    <row r="2526" spans="1:2" x14ac:dyDescent="0.25">
      <c r="A2526" s="33">
        <v>7821150000</v>
      </c>
      <c r="B2526" s="33" t="s">
        <v>21830</v>
      </c>
    </row>
    <row r="2527" spans="1:2" x14ac:dyDescent="0.25">
      <c r="A2527" s="33">
        <v>7822100000</v>
      </c>
      <c r="B2527" s="33" t="s">
        <v>21831</v>
      </c>
    </row>
    <row r="2528" spans="1:2" x14ac:dyDescent="0.25">
      <c r="A2528" s="33">
        <v>7822110000</v>
      </c>
      <c r="B2528" s="33" t="s">
        <v>21832</v>
      </c>
    </row>
    <row r="2529" spans="1:2" x14ac:dyDescent="0.25">
      <c r="A2529" s="33">
        <v>7822120000</v>
      </c>
      <c r="B2529" s="33" t="s">
        <v>21833</v>
      </c>
    </row>
    <row r="2530" spans="1:2" x14ac:dyDescent="0.25">
      <c r="A2530" s="33">
        <v>7822130000</v>
      </c>
      <c r="B2530" s="33" t="s">
        <v>21834</v>
      </c>
    </row>
    <row r="2531" spans="1:2" x14ac:dyDescent="0.25">
      <c r="A2531" s="33">
        <v>7822130001</v>
      </c>
      <c r="B2531" s="33" t="s">
        <v>21835</v>
      </c>
    </row>
    <row r="2532" spans="1:2" x14ac:dyDescent="0.25">
      <c r="A2532" s="33">
        <v>7822140000</v>
      </c>
      <c r="B2532" s="33" t="s">
        <v>21836</v>
      </c>
    </row>
    <row r="2533" spans="1:2" x14ac:dyDescent="0.25">
      <c r="A2533" s="33">
        <v>7822150000</v>
      </c>
      <c r="B2533" s="33" t="s">
        <v>21837</v>
      </c>
    </row>
    <row r="2534" spans="1:2" x14ac:dyDescent="0.25">
      <c r="A2534" s="33">
        <v>7823101100</v>
      </c>
      <c r="B2534" s="33" t="s">
        <v>21838</v>
      </c>
    </row>
    <row r="2535" spans="1:2" x14ac:dyDescent="0.25">
      <c r="A2535" s="33">
        <v>7823101200</v>
      </c>
      <c r="B2535" s="33" t="s">
        <v>21839</v>
      </c>
    </row>
    <row r="2536" spans="1:2" x14ac:dyDescent="0.25">
      <c r="A2536" s="33">
        <v>7823101300</v>
      </c>
      <c r="B2536" s="33">
        <v>0</v>
      </c>
    </row>
    <row r="2537" spans="1:2" x14ac:dyDescent="0.25">
      <c r="A2537" s="33">
        <v>7823101400</v>
      </c>
      <c r="B2537" s="33">
        <v>0</v>
      </c>
    </row>
    <row r="2538" spans="1:2" x14ac:dyDescent="0.25">
      <c r="A2538" s="33">
        <v>7823200000</v>
      </c>
      <c r="B2538" s="33" t="s">
        <v>21840</v>
      </c>
    </row>
    <row r="2539" spans="1:2" x14ac:dyDescent="0.25">
      <c r="A2539" s="33">
        <v>7823250000</v>
      </c>
      <c r="B2539" s="33" t="s">
        <v>21841</v>
      </c>
    </row>
    <row r="2540" spans="1:2" x14ac:dyDescent="0.25">
      <c r="A2540" s="33">
        <v>7823301100</v>
      </c>
      <c r="B2540" s="33" t="s">
        <v>21842</v>
      </c>
    </row>
    <row r="2541" spans="1:2" x14ac:dyDescent="0.25">
      <c r="A2541" s="33">
        <v>7823301200</v>
      </c>
      <c r="B2541" s="33" t="s">
        <v>21843</v>
      </c>
    </row>
    <row r="2542" spans="1:2" x14ac:dyDescent="0.25">
      <c r="A2542" s="33">
        <v>7823301300</v>
      </c>
      <c r="B2542" s="33" t="s">
        <v>21844</v>
      </c>
    </row>
    <row r="2543" spans="1:2" x14ac:dyDescent="0.25">
      <c r="A2543" s="33">
        <v>7823301400</v>
      </c>
      <c r="B2543" s="33" t="s">
        <v>21845</v>
      </c>
    </row>
    <row r="2544" spans="1:2" x14ac:dyDescent="0.25">
      <c r="A2544" s="33">
        <v>7823301500</v>
      </c>
      <c r="B2544" s="33" t="s">
        <v>21846</v>
      </c>
    </row>
    <row r="2545" spans="1:2" x14ac:dyDescent="0.25">
      <c r="A2545" s="33">
        <v>7823350000</v>
      </c>
      <c r="B2545" s="33" t="s">
        <v>21847</v>
      </c>
    </row>
    <row r="2546" spans="1:2" x14ac:dyDescent="0.25">
      <c r="A2546" s="33">
        <v>7823401000</v>
      </c>
      <c r="B2546" s="33" t="s">
        <v>21848</v>
      </c>
    </row>
    <row r="2547" spans="1:2" x14ac:dyDescent="0.25">
      <c r="A2547" s="33">
        <v>7823402000</v>
      </c>
      <c r="B2547" s="33" t="s">
        <v>21849</v>
      </c>
    </row>
    <row r="2548" spans="1:2" x14ac:dyDescent="0.25">
      <c r="A2548" s="33">
        <v>7823403000</v>
      </c>
      <c r="B2548" s="33" t="s">
        <v>21850</v>
      </c>
    </row>
    <row r="2549" spans="1:2" x14ac:dyDescent="0.25">
      <c r="A2549" s="33">
        <v>7823404000</v>
      </c>
      <c r="B2549" s="33" t="s">
        <v>21851</v>
      </c>
    </row>
    <row r="2550" spans="1:2" x14ac:dyDescent="0.25">
      <c r="A2550" s="33">
        <v>7823405000</v>
      </c>
      <c r="B2550" s="33" t="s">
        <v>21852</v>
      </c>
    </row>
    <row r="2551" spans="1:2" x14ac:dyDescent="0.25">
      <c r="A2551" s="33">
        <v>7823451000</v>
      </c>
      <c r="B2551" s="33" t="s">
        <v>21853</v>
      </c>
    </row>
    <row r="2552" spans="1:2" x14ac:dyDescent="0.25">
      <c r="A2552" s="33">
        <v>7823452000</v>
      </c>
      <c r="B2552" s="33" t="s">
        <v>21854</v>
      </c>
    </row>
    <row r="2553" spans="1:2" x14ac:dyDescent="0.25">
      <c r="A2553" s="33">
        <v>7823453000</v>
      </c>
      <c r="B2553" s="33" t="s">
        <v>21855</v>
      </c>
    </row>
    <row r="2554" spans="1:2" x14ac:dyDescent="0.25">
      <c r="A2554" s="33">
        <v>7823454000</v>
      </c>
      <c r="B2554" s="33" t="s">
        <v>21856</v>
      </c>
    </row>
    <row r="2555" spans="1:2" x14ac:dyDescent="0.25">
      <c r="A2555" s="33">
        <v>7823455000</v>
      </c>
      <c r="B2555" s="33" t="s">
        <v>21857</v>
      </c>
    </row>
    <row r="2556" spans="1:2" x14ac:dyDescent="0.25">
      <c r="A2556" s="33">
        <v>7823600000</v>
      </c>
      <c r="B2556" s="33" t="s">
        <v>21858</v>
      </c>
    </row>
    <row r="2557" spans="1:2" x14ac:dyDescent="0.25">
      <c r="A2557" s="33">
        <v>7823650000</v>
      </c>
      <c r="B2557" s="33" t="s">
        <v>21859</v>
      </c>
    </row>
    <row r="2558" spans="1:2" x14ac:dyDescent="0.25">
      <c r="A2558" s="33">
        <v>7823700000</v>
      </c>
      <c r="B2558" s="33" t="s">
        <v>21860</v>
      </c>
    </row>
    <row r="2559" spans="1:2" x14ac:dyDescent="0.25">
      <c r="A2559" s="33">
        <v>7823750000</v>
      </c>
      <c r="B2559" s="33" t="s">
        <v>21861</v>
      </c>
    </row>
    <row r="2560" spans="1:2" x14ac:dyDescent="0.25">
      <c r="A2560" s="33">
        <v>7824100000</v>
      </c>
      <c r="B2560" s="33" t="s">
        <v>21862</v>
      </c>
    </row>
    <row r="2561" spans="1:2" x14ac:dyDescent="0.25">
      <c r="A2561" s="33">
        <v>7824110000</v>
      </c>
      <c r="B2561" s="33" t="s">
        <v>21863</v>
      </c>
    </row>
    <row r="2562" spans="1:2" x14ac:dyDescent="0.25">
      <c r="A2562" s="33">
        <v>7824120000</v>
      </c>
      <c r="B2562" s="33" t="s">
        <v>21864</v>
      </c>
    </row>
    <row r="2563" spans="1:2" x14ac:dyDescent="0.25">
      <c r="A2563" s="33">
        <v>7824131100</v>
      </c>
      <c r="B2563" s="33" t="s">
        <v>21865</v>
      </c>
    </row>
    <row r="2564" spans="1:2" x14ac:dyDescent="0.25">
      <c r="A2564" s="33">
        <v>7824131200</v>
      </c>
      <c r="B2564" s="33" t="s">
        <v>21866</v>
      </c>
    </row>
    <row r="2565" spans="1:2" x14ac:dyDescent="0.25">
      <c r="A2565" s="33">
        <v>7824131300</v>
      </c>
      <c r="B2565" s="33" t="s">
        <v>21867</v>
      </c>
    </row>
    <row r="2566" spans="1:2" x14ac:dyDescent="0.25">
      <c r="A2566" s="33">
        <v>7824131400</v>
      </c>
      <c r="B2566" s="33" t="s">
        <v>21868</v>
      </c>
    </row>
    <row r="2567" spans="1:2" x14ac:dyDescent="0.25">
      <c r="A2567" s="33">
        <v>7824131500</v>
      </c>
      <c r="B2567" s="33" t="s">
        <v>21869</v>
      </c>
    </row>
    <row r="2568" spans="1:2" x14ac:dyDescent="0.25">
      <c r="A2568" s="33">
        <v>7824140000</v>
      </c>
      <c r="B2568" s="33" t="s">
        <v>21870</v>
      </c>
    </row>
    <row r="2569" spans="1:2" x14ac:dyDescent="0.25">
      <c r="A2569" s="33">
        <v>7824140001</v>
      </c>
      <c r="B2569" s="33" t="s">
        <v>21871</v>
      </c>
    </row>
    <row r="2570" spans="1:2" x14ac:dyDescent="0.25">
      <c r="A2570" s="33">
        <v>7824140002</v>
      </c>
      <c r="B2570" s="33" t="s">
        <v>21872</v>
      </c>
    </row>
    <row r="2571" spans="1:2" x14ac:dyDescent="0.25">
      <c r="A2571" s="33">
        <v>7824150000</v>
      </c>
      <c r="B2571" s="33" t="s">
        <v>21873</v>
      </c>
    </row>
    <row r="2572" spans="1:2" x14ac:dyDescent="0.25">
      <c r="A2572" s="33">
        <v>7824161000</v>
      </c>
      <c r="B2572" s="33" t="s">
        <v>21874</v>
      </c>
    </row>
    <row r="2573" spans="1:2" x14ac:dyDescent="0.25">
      <c r="A2573" s="33">
        <v>7824162000</v>
      </c>
      <c r="B2573" s="33" t="s">
        <v>21875</v>
      </c>
    </row>
    <row r="2574" spans="1:2" x14ac:dyDescent="0.25">
      <c r="A2574" s="33">
        <v>7824163000</v>
      </c>
      <c r="B2574" s="33" t="s">
        <v>21876</v>
      </c>
    </row>
    <row r="2575" spans="1:2" x14ac:dyDescent="0.25">
      <c r="A2575" s="33">
        <v>7824164000</v>
      </c>
      <c r="B2575" s="33" t="s">
        <v>21877</v>
      </c>
    </row>
    <row r="2576" spans="1:2" x14ac:dyDescent="0.25">
      <c r="A2576" s="33">
        <v>7824165000</v>
      </c>
      <c r="B2576" s="33" t="s">
        <v>21878</v>
      </c>
    </row>
    <row r="2577" spans="1:2" x14ac:dyDescent="0.25">
      <c r="A2577" s="33">
        <v>7824171000</v>
      </c>
      <c r="B2577" s="33" t="s">
        <v>21879</v>
      </c>
    </row>
    <row r="2578" spans="1:2" x14ac:dyDescent="0.25">
      <c r="A2578" s="33">
        <v>7824172000</v>
      </c>
      <c r="B2578" s="33" t="s">
        <v>21880</v>
      </c>
    </row>
    <row r="2579" spans="1:2" x14ac:dyDescent="0.25">
      <c r="A2579" s="33">
        <v>7824173000</v>
      </c>
      <c r="B2579" s="33" t="s">
        <v>21881</v>
      </c>
    </row>
    <row r="2580" spans="1:2" x14ac:dyDescent="0.25">
      <c r="A2580" s="33">
        <v>7824174000</v>
      </c>
      <c r="B2580" s="33" t="s">
        <v>21882</v>
      </c>
    </row>
    <row r="2581" spans="1:2" x14ac:dyDescent="0.25">
      <c r="A2581" s="33">
        <v>7824175000</v>
      </c>
      <c r="B2581" s="33" t="s">
        <v>21883</v>
      </c>
    </row>
    <row r="2582" spans="1:2" x14ac:dyDescent="0.25">
      <c r="A2582" s="33">
        <v>7824176000</v>
      </c>
      <c r="B2582" s="33" t="s">
        <v>21884</v>
      </c>
    </row>
    <row r="2583" spans="1:2" x14ac:dyDescent="0.25">
      <c r="A2583" s="33">
        <v>7824177000</v>
      </c>
      <c r="B2583" s="33" t="s">
        <v>21885</v>
      </c>
    </row>
    <row r="2584" spans="1:2" x14ac:dyDescent="0.25">
      <c r="A2584" s="33">
        <v>7824177001</v>
      </c>
      <c r="B2584" s="33" t="s">
        <v>21886</v>
      </c>
    </row>
    <row r="2585" spans="1:2" x14ac:dyDescent="0.25">
      <c r="A2585" s="33">
        <v>7824177002</v>
      </c>
      <c r="B2585" s="33" t="s">
        <v>21887</v>
      </c>
    </row>
    <row r="2586" spans="1:2" x14ac:dyDescent="0.25">
      <c r="A2586" s="33">
        <v>7824177003</v>
      </c>
      <c r="B2586" s="33" t="s">
        <v>21888</v>
      </c>
    </row>
    <row r="2587" spans="1:2" x14ac:dyDescent="0.25">
      <c r="A2587" s="33">
        <v>7824180000</v>
      </c>
      <c r="B2587" s="33" t="s">
        <v>21889</v>
      </c>
    </row>
    <row r="2588" spans="1:2" x14ac:dyDescent="0.25">
      <c r="A2588" s="33">
        <v>7824190000</v>
      </c>
      <c r="B2588" s="33" t="s">
        <v>21890</v>
      </c>
    </row>
    <row r="2589" spans="1:2" x14ac:dyDescent="0.25">
      <c r="A2589" s="33">
        <v>7824200000</v>
      </c>
      <c r="B2589" s="33" t="s">
        <v>21891</v>
      </c>
    </row>
    <row r="2590" spans="1:2" x14ac:dyDescent="0.25">
      <c r="A2590" s="33">
        <v>7824210000</v>
      </c>
      <c r="B2590" s="33" t="s">
        <v>21892</v>
      </c>
    </row>
    <row r="2591" spans="1:2" x14ac:dyDescent="0.25">
      <c r="A2591" s="33">
        <v>7824220000</v>
      </c>
      <c r="B2591" s="33" t="s">
        <v>21893</v>
      </c>
    </row>
    <row r="2592" spans="1:2" x14ac:dyDescent="0.25">
      <c r="A2592" s="33">
        <v>7824320000</v>
      </c>
      <c r="B2592" s="33" t="s">
        <v>21894</v>
      </c>
    </row>
    <row r="2593" spans="1:2" x14ac:dyDescent="0.25">
      <c r="A2593" s="33">
        <v>7830100000</v>
      </c>
      <c r="B2593" s="33" t="s">
        <v>21895</v>
      </c>
    </row>
    <row r="2594" spans="1:2" x14ac:dyDescent="0.25">
      <c r="A2594" s="33">
        <v>7830111000</v>
      </c>
      <c r="B2594" s="33" t="s">
        <v>21896</v>
      </c>
    </row>
    <row r="2595" spans="1:2" x14ac:dyDescent="0.25">
      <c r="A2595" s="33">
        <v>7830112000</v>
      </c>
      <c r="B2595" s="33" t="s">
        <v>21897</v>
      </c>
    </row>
    <row r="2596" spans="1:2" x14ac:dyDescent="0.25">
      <c r="A2596" s="33">
        <v>7830113000</v>
      </c>
      <c r="B2596" s="33" t="s">
        <v>21898</v>
      </c>
    </row>
    <row r="2597" spans="1:2" x14ac:dyDescent="0.25">
      <c r="A2597" s="33">
        <v>7830114000</v>
      </c>
      <c r="B2597" s="33" t="s">
        <v>21899</v>
      </c>
    </row>
    <row r="2598" spans="1:2" x14ac:dyDescent="0.25">
      <c r="A2598" s="33">
        <v>7830115000</v>
      </c>
      <c r="B2598" s="33" t="s">
        <v>21900</v>
      </c>
    </row>
    <row r="2599" spans="1:2" x14ac:dyDescent="0.25">
      <c r="A2599" s="33">
        <v>7830116000</v>
      </c>
      <c r="B2599" s="33" t="s">
        <v>21901</v>
      </c>
    </row>
    <row r="2600" spans="1:2" x14ac:dyDescent="0.25">
      <c r="A2600" s="33">
        <v>7830117000</v>
      </c>
      <c r="B2600" s="33" t="s">
        <v>21902</v>
      </c>
    </row>
    <row r="2601" spans="1:2" x14ac:dyDescent="0.25">
      <c r="A2601" s="33">
        <v>7830119000</v>
      </c>
      <c r="B2601" s="33" t="s">
        <v>21903</v>
      </c>
    </row>
    <row r="2602" spans="1:2" x14ac:dyDescent="0.25">
      <c r="A2602" s="33">
        <v>7830119100</v>
      </c>
      <c r="B2602" s="33" t="s">
        <v>21904</v>
      </c>
    </row>
    <row r="2603" spans="1:2" x14ac:dyDescent="0.25">
      <c r="A2603" s="33">
        <v>7830121000</v>
      </c>
      <c r="B2603" s="33" t="s">
        <v>21905</v>
      </c>
    </row>
    <row r="2604" spans="1:2" x14ac:dyDescent="0.25">
      <c r="A2604" s="33">
        <v>7830121100</v>
      </c>
      <c r="B2604" s="33" t="s">
        <v>21906</v>
      </c>
    </row>
    <row r="2605" spans="1:2" x14ac:dyDescent="0.25">
      <c r="A2605" s="33">
        <v>7830122000</v>
      </c>
      <c r="B2605" s="33" t="s">
        <v>21907</v>
      </c>
    </row>
    <row r="2606" spans="1:2" x14ac:dyDescent="0.25">
      <c r="A2606" s="33">
        <v>7830124000</v>
      </c>
      <c r="B2606" s="33" t="s">
        <v>21908</v>
      </c>
    </row>
    <row r="2607" spans="1:2" x14ac:dyDescent="0.25">
      <c r="A2607" s="33">
        <v>7830125000</v>
      </c>
      <c r="B2607" s="33" t="s">
        <v>21909</v>
      </c>
    </row>
    <row r="2608" spans="1:2" x14ac:dyDescent="0.25">
      <c r="A2608" s="33">
        <v>7830126000</v>
      </c>
      <c r="B2608" s="33" t="s">
        <v>21910</v>
      </c>
    </row>
    <row r="2609" spans="1:2" x14ac:dyDescent="0.25">
      <c r="A2609" s="33">
        <v>7830127000</v>
      </c>
      <c r="B2609" s="33" t="s">
        <v>21911</v>
      </c>
    </row>
    <row r="2610" spans="1:2" x14ac:dyDescent="0.25">
      <c r="A2610" s="33">
        <v>7830128000</v>
      </c>
      <c r="B2610" s="33" t="s">
        <v>21912</v>
      </c>
    </row>
    <row r="2611" spans="1:2" x14ac:dyDescent="0.25">
      <c r="A2611" s="33">
        <v>7830129000</v>
      </c>
      <c r="B2611" s="33" t="s">
        <v>21913</v>
      </c>
    </row>
    <row r="2612" spans="1:2" x14ac:dyDescent="0.25">
      <c r="A2612" s="33">
        <v>7831101000</v>
      </c>
      <c r="B2612" s="33" t="s">
        <v>21914</v>
      </c>
    </row>
    <row r="2613" spans="1:2" x14ac:dyDescent="0.25">
      <c r="A2613" s="33">
        <v>7831102000</v>
      </c>
      <c r="B2613" s="33" t="s">
        <v>21915</v>
      </c>
    </row>
    <row r="2614" spans="1:2" x14ac:dyDescent="0.25">
      <c r="A2614" s="33">
        <v>7831103000</v>
      </c>
      <c r="B2614" s="33" t="s">
        <v>21916</v>
      </c>
    </row>
    <row r="2615" spans="1:2" x14ac:dyDescent="0.25">
      <c r="A2615" s="33">
        <v>7831104000</v>
      </c>
      <c r="B2615" s="33" t="s">
        <v>21917</v>
      </c>
    </row>
    <row r="2616" spans="1:2" x14ac:dyDescent="0.25">
      <c r="A2616" s="33">
        <v>7831105000</v>
      </c>
      <c r="B2616" s="33" t="s">
        <v>21918</v>
      </c>
    </row>
    <row r="2617" spans="1:2" x14ac:dyDescent="0.25">
      <c r="A2617" s="33">
        <v>7831106000</v>
      </c>
      <c r="B2617" s="33" t="s">
        <v>21919</v>
      </c>
    </row>
    <row r="2618" spans="1:2" x14ac:dyDescent="0.25">
      <c r="A2618" s="33">
        <v>7831107000</v>
      </c>
      <c r="B2618" s="33" t="s">
        <v>21920</v>
      </c>
    </row>
    <row r="2619" spans="1:2" x14ac:dyDescent="0.25">
      <c r="A2619" s="33">
        <v>7831108000</v>
      </c>
      <c r="B2619" s="33" t="s">
        <v>21921</v>
      </c>
    </row>
    <row r="2620" spans="1:2" x14ac:dyDescent="0.25">
      <c r="A2620" s="33">
        <v>7831109000</v>
      </c>
      <c r="B2620" s="33" t="s">
        <v>21922</v>
      </c>
    </row>
    <row r="2621" spans="1:2" x14ac:dyDescent="0.25">
      <c r="A2621" s="33">
        <v>7831109100</v>
      </c>
      <c r="B2621" s="33" t="s">
        <v>21923</v>
      </c>
    </row>
    <row r="2622" spans="1:2" x14ac:dyDescent="0.25">
      <c r="A2622" s="33">
        <v>7831109200</v>
      </c>
      <c r="B2622" s="33" t="s">
        <v>21924</v>
      </c>
    </row>
    <row r="2623" spans="1:2" x14ac:dyDescent="0.25">
      <c r="A2623" s="33">
        <v>7831111000</v>
      </c>
      <c r="B2623" s="33" t="s">
        <v>21925</v>
      </c>
    </row>
    <row r="2624" spans="1:2" x14ac:dyDescent="0.25">
      <c r="A2624" s="33">
        <v>7831111100</v>
      </c>
      <c r="B2624" s="33" t="s">
        <v>21926</v>
      </c>
    </row>
    <row r="2625" spans="1:2" x14ac:dyDescent="0.25">
      <c r="A2625" s="33">
        <v>7831112000</v>
      </c>
      <c r="B2625" s="33" t="s">
        <v>21927</v>
      </c>
    </row>
    <row r="2626" spans="1:2" x14ac:dyDescent="0.25">
      <c r="A2626" s="33">
        <v>7831114000</v>
      </c>
      <c r="B2626" s="33" t="s">
        <v>21928</v>
      </c>
    </row>
    <row r="2627" spans="1:2" x14ac:dyDescent="0.25">
      <c r="A2627" s="33">
        <v>7831115000</v>
      </c>
      <c r="B2627" s="33" t="s">
        <v>21929</v>
      </c>
    </row>
    <row r="2628" spans="1:2" x14ac:dyDescent="0.25">
      <c r="A2628" s="33">
        <v>7831116000</v>
      </c>
      <c r="B2628" s="33" t="s">
        <v>21930</v>
      </c>
    </row>
    <row r="2629" spans="1:2" x14ac:dyDescent="0.25">
      <c r="A2629" s="33">
        <v>7831117000</v>
      </c>
      <c r="B2629" s="33" t="s">
        <v>21931</v>
      </c>
    </row>
    <row r="2630" spans="1:2" x14ac:dyDescent="0.25">
      <c r="A2630" s="33">
        <v>7831118000</v>
      </c>
      <c r="B2630" s="33" t="s">
        <v>21932</v>
      </c>
    </row>
    <row r="2631" spans="1:2" x14ac:dyDescent="0.25">
      <c r="A2631" s="33">
        <v>7831119000</v>
      </c>
      <c r="B2631" s="33" t="s">
        <v>21933</v>
      </c>
    </row>
    <row r="2632" spans="1:2" x14ac:dyDescent="0.25">
      <c r="A2632" s="33">
        <v>7840101000</v>
      </c>
      <c r="B2632" s="33" t="s">
        <v>21934</v>
      </c>
    </row>
    <row r="2633" spans="1:2" x14ac:dyDescent="0.25">
      <c r="A2633" s="33">
        <v>7840102000</v>
      </c>
      <c r="B2633" s="33" t="s">
        <v>21935</v>
      </c>
    </row>
    <row r="2634" spans="1:2" x14ac:dyDescent="0.25">
      <c r="A2634" s="33">
        <v>7840103000</v>
      </c>
      <c r="B2634" s="33" t="s">
        <v>21936</v>
      </c>
    </row>
    <row r="2635" spans="1:2" x14ac:dyDescent="0.25">
      <c r="A2635" s="33">
        <v>7840104000</v>
      </c>
      <c r="B2635" s="33" t="s">
        <v>21937</v>
      </c>
    </row>
    <row r="2636" spans="1:2" x14ac:dyDescent="0.25">
      <c r="A2636" s="33">
        <v>7840105000</v>
      </c>
      <c r="B2636" s="33" t="s">
        <v>21938</v>
      </c>
    </row>
    <row r="2637" spans="1:2" x14ac:dyDescent="0.25">
      <c r="A2637" s="33">
        <v>7840111000</v>
      </c>
      <c r="B2637" s="33" t="s">
        <v>21939</v>
      </c>
    </row>
    <row r="2638" spans="1:2" x14ac:dyDescent="0.25">
      <c r="A2638" s="33">
        <v>7840112000</v>
      </c>
      <c r="B2638" s="33" t="s">
        <v>21940</v>
      </c>
    </row>
    <row r="2639" spans="1:2" x14ac:dyDescent="0.25">
      <c r="A2639" s="33">
        <v>7840113000</v>
      </c>
      <c r="B2639" s="33" t="s">
        <v>21941</v>
      </c>
    </row>
    <row r="2640" spans="1:2" x14ac:dyDescent="0.25">
      <c r="A2640" s="33">
        <v>7840114000</v>
      </c>
      <c r="B2640" s="33" t="s">
        <v>21942</v>
      </c>
    </row>
    <row r="2641" spans="1:2" x14ac:dyDescent="0.25">
      <c r="A2641" s="33">
        <v>7840115000</v>
      </c>
      <c r="B2641" s="33" t="s">
        <v>21943</v>
      </c>
    </row>
    <row r="2642" spans="1:2" x14ac:dyDescent="0.25">
      <c r="A2642" s="33">
        <v>7840116000</v>
      </c>
      <c r="B2642" s="33" t="s">
        <v>21944</v>
      </c>
    </row>
    <row r="2643" spans="1:2" x14ac:dyDescent="0.25">
      <c r="A2643" s="33">
        <v>7920000001</v>
      </c>
      <c r="B2643" s="33" t="s">
        <v>21945</v>
      </c>
    </row>
    <row r="2644" spans="1:2" x14ac:dyDescent="0.25">
      <c r="A2644" s="33">
        <v>7920000002</v>
      </c>
      <c r="B2644" s="33" t="s">
        <v>21946</v>
      </c>
    </row>
    <row r="2645" spans="1:2" x14ac:dyDescent="0.25">
      <c r="A2645" s="33">
        <v>7920000003</v>
      </c>
      <c r="B2645" s="33" t="s">
        <v>21947</v>
      </c>
    </row>
    <row r="2646" spans="1:2" x14ac:dyDescent="0.25">
      <c r="A2646" s="33">
        <v>7920000004</v>
      </c>
      <c r="B2646" s="33" t="s">
        <v>21948</v>
      </c>
    </row>
    <row r="2647" spans="1:2" x14ac:dyDescent="0.25">
      <c r="A2647" s="33">
        <v>7920000005</v>
      </c>
      <c r="B2647" s="33" t="s">
        <v>21949</v>
      </c>
    </row>
    <row r="2648" spans="1:2" x14ac:dyDescent="0.25">
      <c r="A2648" s="33">
        <v>7920000006</v>
      </c>
      <c r="B2648" s="33" t="s">
        <v>21950</v>
      </c>
    </row>
    <row r="2649" spans="1:2" x14ac:dyDescent="0.25">
      <c r="A2649" s="33">
        <v>7920000007</v>
      </c>
      <c r="B2649" s="33" t="s">
        <v>21951</v>
      </c>
    </row>
    <row r="2650" spans="1:2" x14ac:dyDescent="0.25">
      <c r="A2650" s="33">
        <v>7920000008</v>
      </c>
      <c r="B2650" s="33" t="s">
        <v>21952</v>
      </c>
    </row>
    <row r="2651" spans="1:2" x14ac:dyDescent="0.25">
      <c r="A2651" s="33">
        <v>7920000009</v>
      </c>
      <c r="B2651" s="33" t="s">
        <v>21953</v>
      </c>
    </row>
    <row r="2652" spans="1:2" x14ac:dyDescent="0.25">
      <c r="A2652" s="33">
        <v>7920000010</v>
      </c>
      <c r="B2652" s="33" t="s">
        <v>21954</v>
      </c>
    </row>
    <row r="2653" spans="1:2" x14ac:dyDescent="0.25">
      <c r="A2653" s="33">
        <v>7920000011</v>
      </c>
      <c r="B2653" s="33" t="s">
        <v>21955</v>
      </c>
    </row>
    <row r="2654" spans="1:2" x14ac:dyDescent="0.25">
      <c r="A2654" s="33">
        <v>7920000012</v>
      </c>
      <c r="B2654" s="33" t="s">
        <v>21956</v>
      </c>
    </row>
    <row r="2655" spans="1:2" x14ac:dyDescent="0.25">
      <c r="A2655" s="33">
        <v>7920000013</v>
      </c>
      <c r="B2655" s="33" t="s">
        <v>21957</v>
      </c>
    </row>
    <row r="2656" spans="1:2" x14ac:dyDescent="0.25">
      <c r="A2656" s="33">
        <v>7920000014</v>
      </c>
      <c r="B2656" s="33" t="s">
        <v>21958</v>
      </c>
    </row>
    <row r="2657" spans="1:2" x14ac:dyDescent="0.25">
      <c r="A2657" s="33">
        <v>7920000015</v>
      </c>
      <c r="B2657" s="33" t="s">
        <v>21959</v>
      </c>
    </row>
    <row r="2658" spans="1:2" x14ac:dyDescent="0.25">
      <c r="A2658" s="33">
        <v>7920000016</v>
      </c>
      <c r="B2658" s="33" t="s">
        <v>21960</v>
      </c>
    </row>
    <row r="2659" spans="1:2" x14ac:dyDescent="0.25">
      <c r="A2659" s="33">
        <v>7920000017</v>
      </c>
      <c r="B2659" s="33" t="s">
        <v>21961</v>
      </c>
    </row>
    <row r="2660" spans="1:2" x14ac:dyDescent="0.25">
      <c r="A2660" s="33">
        <v>7920000018</v>
      </c>
      <c r="B2660" s="33" t="s">
        <v>21962</v>
      </c>
    </row>
    <row r="2661" spans="1:2" x14ac:dyDescent="0.25">
      <c r="A2661" s="33">
        <v>7920000019</v>
      </c>
      <c r="B2661" s="33" t="s">
        <v>21963</v>
      </c>
    </row>
    <row r="2662" spans="1:2" x14ac:dyDescent="0.25">
      <c r="A2662" s="33">
        <v>7940000001</v>
      </c>
      <c r="B2662" s="33" t="s">
        <v>21964</v>
      </c>
    </row>
    <row r="2663" spans="1:2" x14ac:dyDescent="0.25">
      <c r="A2663" s="33">
        <v>7940000002</v>
      </c>
      <c r="B2663" s="33" t="s">
        <v>21965</v>
      </c>
    </row>
    <row r="2664" spans="1:2" x14ac:dyDescent="0.25">
      <c r="A2664" s="33">
        <v>7940000003</v>
      </c>
      <c r="B2664" s="33" t="s">
        <v>21966</v>
      </c>
    </row>
    <row r="2665" spans="1:2" x14ac:dyDescent="0.25">
      <c r="A2665" s="33">
        <v>8000000000</v>
      </c>
      <c r="B2665" s="33" t="s">
        <v>21967</v>
      </c>
    </row>
    <row r="2666" spans="1:2" x14ac:dyDescent="0.25">
      <c r="A2666" s="33">
        <v>8000007777</v>
      </c>
      <c r="B2666" s="33" t="s">
        <v>21968</v>
      </c>
    </row>
    <row r="2667" spans="1:2" x14ac:dyDescent="0.25">
      <c r="A2667" s="33">
        <v>8100000000</v>
      </c>
      <c r="B2667" s="33" t="s">
        <v>21969</v>
      </c>
    </row>
    <row r="2668" spans="1:2" x14ac:dyDescent="0.25">
      <c r="A2668" s="33">
        <v>8100000001</v>
      </c>
      <c r="B2668" s="33" t="s">
        <v>21970</v>
      </c>
    </row>
    <row r="2669" spans="1:2" x14ac:dyDescent="0.25">
      <c r="A2669" s="33">
        <v>8100000002</v>
      </c>
      <c r="B2669" s="33" t="s">
        <v>21969</v>
      </c>
    </row>
    <row r="2670" spans="1:2" x14ac:dyDescent="0.25">
      <c r="A2670" s="33">
        <v>8100000003</v>
      </c>
      <c r="B2670" s="33" t="s">
        <v>21971</v>
      </c>
    </row>
    <row r="2671" spans="1:2" x14ac:dyDescent="0.25">
      <c r="A2671" s="33">
        <v>8100010000</v>
      </c>
      <c r="B2671" s="33" t="s">
        <v>21972</v>
      </c>
    </row>
    <row r="2672" spans="1:2" x14ac:dyDescent="0.25">
      <c r="A2672" s="33">
        <v>8100010001</v>
      </c>
      <c r="B2672" s="33" t="s">
        <v>21973</v>
      </c>
    </row>
    <row r="2673" spans="1:2" x14ac:dyDescent="0.25">
      <c r="A2673" s="33">
        <v>8100010002</v>
      </c>
      <c r="B2673" s="33" t="s">
        <v>21974</v>
      </c>
    </row>
    <row r="2674" spans="1:2" x14ac:dyDescent="0.25">
      <c r="A2674" s="33">
        <v>8101000000</v>
      </c>
      <c r="B2674" s="33" t="s">
        <v>21975</v>
      </c>
    </row>
    <row r="2675" spans="1:2" x14ac:dyDescent="0.25">
      <c r="A2675" s="33">
        <v>8102000000</v>
      </c>
      <c r="B2675" s="33" t="s">
        <v>21976</v>
      </c>
    </row>
    <row r="2676" spans="1:2" x14ac:dyDescent="0.25">
      <c r="A2676" s="33">
        <v>8110000000</v>
      </c>
      <c r="B2676" s="33" t="s">
        <v>21977</v>
      </c>
    </row>
    <row r="2677" spans="1:2" x14ac:dyDescent="0.25">
      <c r="A2677" s="33">
        <v>8110100000</v>
      </c>
      <c r="B2677" s="33" t="s">
        <v>21978</v>
      </c>
    </row>
    <row r="2678" spans="1:2" x14ac:dyDescent="0.25">
      <c r="A2678" s="33">
        <v>8110110000</v>
      </c>
      <c r="B2678" s="33" t="s">
        <v>21979</v>
      </c>
    </row>
    <row r="2679" spans="1:2" x14ac:dyDescent="0.25">
      <c r="A2679" s="33">
        <v>8111000000</v>
      </c>
      <c r="B2679" s="33" t="s">
        <v>21980</v>
      </c>
    </row>
    <row r="2680" spans="1:2" x14ac:dyDescent="0.25">
      <c r="A2680" s="33">
        <v>8112000000</v>
      </c>
      <c r="B2680" s="33" t="s">
        <v>21981</v>
      </c>
    </row>
    <row r="2681" spans="1:2" x14ac:dyDescent="0.25">
      <c r="A2681" s="33">
        <v>8120000000</v>
      </c>
      <c r="B2681" s="33" t="s">
        <v>21982</v>
      </c>
    </row>
    <row r="2682" spans="1:2" x14ac:dyDescent="0.25">
      <c r="A2682" s="33">
        <v>8130000000</v>
      </c>
      <c r="B2682" s="33" t="s">
        <v>21983</v>
      </c>
    </row>
    <row r="2683" spans="1:2" x14ac:dyDescent="0.25">
      <c r="A2683" s="33">
        <v>8140000000</v>
      </c>
      <c r="B2683" s="33" t="s">
        <v>21984</v>
      </c>
    </row>
    <row r="2684" spans="1:2" x14ac:dyDescent="0.25">
      <c r="A2684" s="33">
        <v>8141000000</v>
      </c>
      <c r="B2684" s="33" t="s">
        <v>21985</v>
      </c>
    </row>
    <row r="2685" spans="1:2" x14ac:dyDescent="0.25">
      <c r="A2685" s="33">
        <v>8150000000</v>
      </c>
      <c r="B2685" s="33" t="s">
        <v>21986</v>
      </c>
    </row>
    <row r="2686" spans="1:2" x14ac:dyDescent="0.25">
      <c r="A2686" s="33">
        <v>8160000000</v>
      </c>
      <c r="B2686" s="33" t="s">
        <v>21987</v>
      </c>
    </row>
    <row r="2687" spans="1:2" x14ac:dyDescent="0.25">
      <c r="A2687" s="33">
        <v>8170000000</v>
      </c>
      <c r="B2687" s="33" t="s">
        <v>21988</v>
      </c>
    </row>
    <row r="2688" spans="1:2" x14ac:dyDescent="0.25">
      <c r="A2688" s="33">
        <v>8200000000</v>
      </c>
      <c r="B2688" s="33" t="s">
        <v>21989</v>
      </c>
    </row>
    <row r="2689" spans="1:2" x14ac:dyDescent="0.25">
      <c r="A2689" s="33">
        <v>8202000000</v>
      </c>
      <c r="B2689" s="33" t="s">
        <v>21990</v>
      </c>
    </row>
    <row r="2690" spans="1:2" x14ac:dyDescent="0.25">
      <c r="A2690" s="33">
        <v>8210000000</v>
      </c>
      <c r="B2690" s="33" t="s">
        <v>21991</v>
      </c>
    </row>
    <row r="2691" spans="1:2" x14ac:dyDescent="0.25">
      <c r="A2691" s="33">
        <v>8220000000</v>
      </c>
      <c r="B2691" s="33" t="s">
        <v>21992</v>
      </c>
    </row>
    <row r="2692" spans="1:2" x14ac:dyDescent="0.25">
      <c r="A2692" s="33">
        <v>8221000000</v>
      </c>
      <c r="B2692" s="33" t="s">
        <v>21993</v>
      </c>
    </row>
    <row r="2693" spans="1:2" x14ac:dyDescent="0.25">
      <c r="A2693" s="33">
        <v>8230000000</v>
      </c>
      <c r="B2693" s="33" t="s">
        <v>21994</v>
      </c>
    </row>
    <row r="2694" spans="1:2" x14ac:dyDescent="0.25">
      <c r="A2694" s="33">
        <v>8231000000</v>
      </c>
      <c r="B2694" s="33" t="s">
        <v>21995</v>
      </c>
    </row>
    <row r="2695" spans="1:2" x14ac:dyDescent="0.25">
      <c r="A2695" s="33">
        <v>8232000000</v>
      </c>
      <c r="B2695" s="33" t="s">
        <v>21995</v>
      </c>
    </row>
    <row r="2696" spans="1:2" x14ac:dyDescent="0.25">
      <c r="A2696" s="33">
        <v>8233000000</v>
      </c>
      <c r="B2696" s="33" t="s">
        <v>21992</v>
      </c>
    </row>
    <row r="2697" spans="1:2" x14ac:dyDescent="0.25">
      <c r="A2697" s="33">
        <v>8234000000</v>
      </c>
      <c r="B2697" s="33" t="s">
        <v>21993</v>
      </c>
    </row>
    <row r="2698" spans="1:2" x14ac:dyDescent="0.25">
      <c r="A2698" s="33">
        <v>8235000000</v>
      </c>
      <c r="B2698" s="33" t="s">
        <v>21996</v>
      </c>
    </row>
    <row r="2699" spans="1:2" x14ac:dyDescent="0.25">
      <c r="A2699" s="33">
        <v>8240000000</v>
      </c>
      <c r="B2699" s="33" t="s">
        <v>21997</v>
      </c>
    </row>
    <row r="2700" spans="1:2" x14ac:dyDescent="0.25">
      <c r="A2700" s="33">
        <v>8240100000</v>
      </c>
      <c r="B2700" s="33" t="s">
        <v>21998</v>
      </c>
    </row>
    <row r="2701" spans="1:2" x14ac:dyDescent="0.25">
      <c r="A2701" s="33">
        <v>8240908000</v>
      </c>
      <c r="B2701" s="33" t="s">
        <v>21999</v>
      </c>
    </row>
    <row r="2702" spans="1:2" x14ac:dyDescent="0.25">
      <c r="A2702" s="33">
        <v>8250000000</v>
      </c>
      <c r="B2702" s="33" t="s">
        <v>22000</v>
      </c>
    </row>
    <row r="2703" spans="1:2" x14ac:dyDescent="0.25">
      <c r="A2703" s="33">
        <v>8250100000</v>
      </c>
      <c r="B2703" s="33" t="s">
        <v>22001</v>
      </c>
    </row>
    <row r="2704" spans="1:2" x14ac:dyDescent="0.25">
      <c r="A2704" s="33">
        <v>8250110000</v>
      </c>
      <c r="B2704" s="33" t="s">
        <v>22002</v>
      </c>
    </row>
    <row r="2705" spans="1:2" x14ac:dyDescent="0.25">
      <c r="A2705" s="33">
        <v>8250200000</v>
      </c>
      <c r="B2705" s="33" t="s">
        <v>22003</v>
      </c>
    </row>
    <row r="2706" spans="1:2" x14ac:dyDescent="0.25">
      <c r="A2706" s="33">
        <v>8250210000</v>
      </c>
      <c r="B2706" s="33" t="s">
        <v>22004</v>
      </c>
    </row>
    <row r="2707" spans="1:2" x14ac:dyDescent="0.25">
      <c r="A2707" s="33">
        <v>8260000000</v>
      </c>
      <c r="B2707" s="33" t="s">
        <v>22005</v>
      </c>
    </row>
    <row r="2708" spans="1:2" x14ac:dyDescent="0.25">
      <c r="A2708" s="33">
        <v>8260100000</v>
      </c>
      <c r="B2708" s="33" t="s">
        <v>22006</v>
      </c>
    </row>
    <row r="2709" spans="1:2" x14ac:dyDescent="0.25">
      <c r="A2709" s="33">
        <v>8260200000</v>
      </c>
      <c r="B2709" s="33" t="s">
        <v>22007</v>
      </c>
    </row>
    <row r="2710" spans="1:2" x14ac:dyDescent="0.25">
      <c r="A2710" s="33">
        <v>8270000000</v>
      </c>
      <c r="B2710" s="33" t="s">
        <v>22008</v>
      </c>
    </row>
    <row r="2711" spans="1:2" x14ac:dyDescent="0.25">
      <c r="A2711" s="33">
        <v>8280000000</v>
      </c>
      <c r="B2711" s="33" t="s">
        <v>22009</v>
      </c>
    </row>
    <row r="2712" spans="1:2" x14ac:dyDescent="0.25">
      <c r="A2712" s="33">
        <v>8280010000</v>
      </c>
      <c r="B2712" s="33" t="s">
        <v>22010</v>
      </c>
    </row>
    <row r="2713" spans="1:2" x14ac:dyDescent="0.25">
      <c r="A2713" s="33">
        <v>8280100000</v>
      </c>
      <c r="B2713" s="33" t="s">
        <v>22011</v>
      </c>
    </row>
    <row r="2714" spans="1:2" x14ac:dyDescent="0.25">
      <c r="A2714" s="33">
        <v>8280110000</v>
      </c>
      <c r="B2714" s="33" t="s">
        <v>22012</v>
      </c>
    </row>
    <row r="2715" spans="1:2" x14ac:dyDescent="0.25">
      <c r="A2715" s="33">
        <v>8280210000</v>
      </c>
      <c r="B2715" s="33" t="s">
        <v>22013</v>
      </c>
    </row>
    <row r="2716" spans="1:2" x14ac:dyDescent="0.25">
      <c r="A2716" s="33">
        <v>8280310000</v>
      </c>
      <c r="B2716" s="33" t="s">
        <v>22014</v>
      </c>
    </row>
    <row r="2717" spans="1:2" x14ac:dyDescent="0.25">
      <c r="A2717" s="33">
        <v>8282000000</v>
      </c>
      <c r="B2717" s="33" t="s">
        <v>22015</v>
      </c>
    </row>
    <row r="2718" spans="1:2" x14ac:dyDescent="0.25">
      <c r="A2718" s="33">
        <v>8400000000</v>
      </c>
      <c r="B2718" s="33" t="s">
        <v>22016</v>
      </c>
    </row>
    <row r="2719" spans="1:2" x14ac:dyDescent="0.25">
      <c r="A2719" s="33">
        <v>8400000003</v>
      </c>
      <c r="B2719" s="33" t="s">
        <v>22017</v>
      </c>
    </row>
    <row r="2720" spans="1:2" x14ac:dyDescent="0.25">
      <c r="A2720" s="33">
        <v>8400010000</v>
      </c>
      <c r="B2720" s="33" t="s">
        <v>22018</v>
      </c>
    </row>
    <row r="2721" spans="1:2" x14ac:dyDescent="0.25">
      <c r="A2721" s="33">
        <v>8400010001</v>
      </c>
      <c r="B2721" s="33" t="s">
        <v>22019</v>
      </c>
    </row>
    <row r="2722" spans="1:2" x14ac:dyDescent="0.25">
      <c r="A2722" s="33">
        <v>8401000000</v>
      </c>
      <c r="B2722" s="33" t="s">
        <v>22020</v>
      </c>
    </row>
    <row r="2723" spans="1:2" x14ac:dyDescent="0.25">
      <c r="A2723" s="33">
        <v>8402000000</v>
      </c>
      <c r="B2723" s="33" t="s">
        <v>22021</v>
      </c>
    </row>
    <row r="2724" spans="1:2" x14ac:dyDescent="0.25">
      <c r="A2724" s="33">
        <v>8410000000</v>
      </c>
      <c r="B2724" s="33" t="s">
        <v>22022</v>
      </c>
    </row>
    <row r="2725" spans="1:2" x14ac:dyDescent="0.25">
      <c r="A2725" s="33">
        <v>8411000000</v>
      </c>
      <c r="B2725" s="33" t="s">
        <v>22023</v>
      </c>
    </row>
    <row r="2726" spans="1:2" x14ac:dyDescent="0.25">
      <c r="A2726" s="33">
        <v>8412000000</v>
      </c>
      <c r="B2726" s="33" t="s">
        <v>22024</v>
      </c>
    </row>
    <row r="2727" spans="1:2" x14ac:dyDescent="0.25">
      <c r="A2727" s="33">
        <v>8420000000</v>
      </c>
      <c r="B2727" s="33" t="s">
        <v>22025</v>
      </c>
    </row>
    <row r="2728" spans="1:2" x14ac:dyDescent="0.25">
      <c r="A2728" s="33">
        <v>8420010000</v>
      </c>
      <c r="B2728" s="33" t="s">
        <v>22026</v>
      </c>
    </row>
    <row r="2729" spans="1:2" x14ac:dyDescent="0.25">
      <c r="A2729" s="33">
        <v>8430000000</v>
      </c>
      <c r="B2729" s="33" t="s">
        <v>22027</v>
      </c>
    </row>
    <row r="2730" spans="1:2" x14ac:dyDescent="0.25">
      <c r="A2730" s="33">
        <v>8440000000</v>
      </c>
      <c r="B2730" s="33" t="s">
        <v>22028</v>
      </c>
    </row>
    <row r="2731" spans="1:2" x14ac:dyDescent="0.25">
      <c r="A2731" s="33">
        <v>8440100000</v>
      </c>
      <c r="B2731" s="33" t="s">
        <v>22029</v>
      </c>
    </row>
    <row r="2732" spans="1:2" x14ac:dyDescent="0.25">
      <c r="A2732" s="33">
        <v>8440900000</v>
      </c>
      <c r="B2732" s="33" t="s">
        <v>22030</v>
      </c>
    </row>
    <row r="2733" spans="1:2" x14ac:dyDescent="0.25">
      <c r="A2733" s="33">
        <v>8441000000</v>
      </c>
      <c r="B2733" s="33" t="s">
        <v>22031</v>
      </c>
    </row>
    <row r="2734" spans="1:2" x14ac:dyDescent="0.25">
      <c r="A2734" s="33">
        <v>8450000000</v>
      </c>
      <c r="B2734" s="33" t="s">
        <v>22032</v>
      </c>
    </row>
    <row r="2735" spans="1:2" x14ac:dyDescent="0.25">
      <c r="A2735" s="33">
        <v>8460000000</v>
      </c>
      <c r="B2735" s="33" t="s">
        <v>22033</v>
      </c>
    </row>
    <row r="2736" spans="1:2" x14ac:dyDescent="0.25">
      <c r="A2736" s="33">
        <v>8470000000</v>
      </c>
      <c r="B2736" s="33" t="s">
        <v>22034</v>
      </c>
    </row>
    <row r="2737" spans="1:2" x14ac:dyDescent="0.25">
      <c r="A2737" s="33">
        <v>8470000999</v>
      </c>
      <c r="B2737" s="33" t="s">
        <v>22035</v>
      </c>
    </row>
    <row r="2738" spans="1:2" x14ac:dyDescent="0.25">
      <c r="A2738" s="33">
        <v>8475000000</v>
      </c>
      <c r="B2738" s="33" t="s">
        <v>22036</v>
      </c>
    </row>
    <row r="2739" spans="1:2" x14ac:dyDescent="0.25">
      <c r="A2739" s="33">
        <v>8480000000</v>
      </c>
      <c r="B2739" s="33" t="s">
        <v>22037</v>
      </c>
    </row>
    <row r="2740" spans="1:2" x14ac:dyDescent="0.25">
      <c r="A2740" s="33">
        <v>8500000000</v>
      </c>
      <c r="B2740" s="33" t="s">
        <v>22038</v>
      </c>
    </row>
    <row r="2741" spans="1:2" x14ac:dyDescent="0.25">
      <c r="A2741" s="33">
        <v>8500100000</v>
      </c>
      <c r="B2741" s="33" t="s">
        <v>22039</v>
      </c>
    </row>
    <row r="2742" spans="1:2" x14ac:dyDescent="0.25">
      <c r="A2742" s="33">
        <v>8510000000</v>
      </c>
      <c r="B2742" s="33" t="s">
        <v>22040</v>
      </c>
    </row>
    <row r="2743" spans="1:2" x14ac:dyDescent="0.25">
      <c r="A2743" s="33">
        <v>8520000000</v>
      </c>
      <c r="B2743" s="33" t="s">
        <v>21992</v>
      </c>
    </row>
    <row r="2744" spans="1:2" x14ac:dyDescent="0.25">
      <c r="A2744" s="33">
        <v>8521000000</v>
      </c>
      <c r="B2744" s="33" t="s">
        <v>21993</v>
      </c>
    </row>
    <row r="2745" spans="1:2" x14ac:dyDescent="0.25">
      <c r="A2745" s="33">
        <v>8530000000</v>
      </c>
      <c r="B2745" s="33" t="s">
        <v>22041</v>
      </c>
    </row>
    <row r="2746" spans="1:2" x14ac:dyDescent="0.25">
      <c r="A2746" s="33">
        <v>8531000000</v>
      </c>
      <c r="B2746" s="33" t="s">
        <v>22042</v>
      </c>
    </row>
    <row r="2747" spans="1:2" x14ac:dyDescent="0.25">
      <c r="A2747" s="33">
        <v>8532000000</v>
      </c>
      <c r="B2747" s="33" t="s">
        <v>22042</v>
      </c>
    </row>
    <row r="2748" spans="1:2" x14ac:dyDescent="0.25">
      <c r="A2748" s="33">
        <v>8533000000</v>
      </c>
      <c r="B2748" s="33" t="s">
        <v>22043</v>
      </c>
    </row>
    <row r="2749" spans="1:2" x14ac:dyDescent="0.25">
      <c r="A2749" s="33">
        <v>8534000000</v>
      </c>
      <c r="B2749" s="33" t="s">
        <v>22044</v>
      </c>
    </row>
    <row r="2750" spans="1:2" x14ac:dyDescent="0.25">
      <c r="A2750" s="33">
        <v>8535000000</v>
      </c>
      <c r="B2750" s="33" t="s">
        <v>22045</v>
      </c>
    </row>
    <row r="2751" spans="1:2" x14ac:dyDescent="0.25">
      <c r="A2751" s="33">
        <v>8536000000</v>
      </c>
      <c r="B2751" s="33" t="s">
        <v>22046</v>
      </c>
    </row>
    <row r="2752" spans="1:2" x14ac:dyDescent="0.25">
      <c r="A2752" s="33">
        <v>8536200000</v>
      </c>
      <c r="B2752" s="33" t="s">
        <v>22047</v>
      </c>
    </row>
    <row r="2753" spans="1:2" x14ac:dyDescent="0.25">
      <c r="A2753" s="33">
        <v>8540000000</v>
      </c>
      <c r="B2753" s="33" t="s">
        <v>22048</v>
      </c>
    </row>
    <row r="2754" spans="1:2" x14ac:dyDescent="0.25">
      <c r="A2754" s="33">
        <v>8540100000</v>
      </c>
      <c r="B2754" s="33" t="s">
        <v>22049</v>
      </c>
    </row>
    <row r="2755" spans="1:2" x14ac:dyDescent="0.25">
      <c r="A2755" s="33">
        <v>8540210000</v>
      </c>
      <c r="B2755" s="33" t="s">
        <v>22050</v>
      </c>
    </row>
    <row r="2756" spans="1:2" x14ac:dyDescent="0.25">
      <c r="A2756" s="33">
        <v>8550000000</v>
      </c>
      <c r="B2756" s="33" t="s">
        <v>22051</v>
      </c>
    </row>
    <row r="2757" spans="1:2" x14ac:dyDescent="0.25">
      <c r="A2757" s="33">
        <v>8550100000</v>
      </c>
      <c r="B2757" s="33" t="s">
        <v>22052</v>
      </c>
    </row>
    <row r="2758" spans="1:2" x14ac:dyDescent="0.25">
      <c r="A2758" s="33">
        <v>8550210000</v>
      </c>
      <c r="B2758" s="33" t="s">
        <v>22053</v>
      </c>
    </row>
    <row r="2759" spans="1:2" x14ac:dyDescent="0.25">
      <c r="A2759" s="33">
        <v>8560000000</v>
      </c>
      <c r="B2759" s="33" t="s">
        <v>22054</v>
      </c>
    </row>
    <row r="2760" spans="1:2" x14ac:dyDescent="0.25">
      <c r="A2760" s="33">
        <v>8560100000</v>
      </c>
      <c r="B2760" s="33" t="s">
        <v>22055</v>
      </c>
    </row>
    <row r="2761" spans="1:2" x14ac:dyDescent="0.25">
      <c r="A2761" s="33">
        <v>8560110000</v>
      </c>
      <c r="B2761" s="33" t="s">
        <v>22056</v>
      </c>
    </row>
    <row r="2762" spans="1:2" x14ac:dyDescent="0.25">
      <c r="A2762" s="33">
        <v>8570000000</v>
      </c>
      <c r="B2762" s="33" t="s">
        <v>22057</v>
      </c>
    </row>
    <row r="2763" spans="1:2" x14ac:dyDescent="0.25">
      <c r="A2763" s="33">
        <v>8580000000</v>
      </c>
      <c r="B2763" s="33" t="s">
        <v>22058</v>
      </c>
    </row>
    <row r="2764" spans="1:2" x14ac:dyDescent="0.25">
      <c r="A2764" s="33">
        <v>8580100000</v>
      </c>
      <c r="B2764" s="33" t="s">
        <v>22059</v>
      </c>
    </row>
    <row r="2765" spans="1:2" x14ac:dyDescent="0.25">
      <c r="A2765" s="33">
        <v>8580110000</v>
      </c>
      <c r="B2765" s="33" t="s">
        <v>22060</v>
      </c>
    </row>
    <row r="2766" spans="1:2" x14ac:dyDescent="0.25">
      <c r="A2766" s="33">
        <v>8582000000</v>
      </c>
      <c r="B2766" s="33" t="s">
        <v>22061</v>
      </c>
    </row>
    <row r="2767" spans="1:2" x14ac:dyDescent="0.25">
      <c r="A2767" s="33">
        <v>8582100000</v>
      </c>
      <c r="B2767" s="33" t="s">
        <v>22062</v>
      </c>
    </row>
    <row r="2768" spans="1:2" x14ac:dyDescent="0.25">
      <c r="A2768" s="33">
        <v>8582200000</v>
      </c>
      <c r="B2768" s="33" t="s">
        <v>22063</v>
      </c>
    </row>
    <row r="2769" spans="1:2" x14ac:dyDescent="0.25">
      <c r="A2769" s="33">
        <v>8582300000</v>
      </c>
      <c r="B2769" s="33" t="s">
        <v>22064</v>
      </c>
    </row>
    <row r="2770" spans="1:2" x14ac:dyDescent="0.25">
      <c r="A2770" s="33">
        <v>8582410000</v>
      </c>
      <c r="B2770" s="33" t="s">
        <v>22065</v>
      </c>
    </row>
    <row r="2771" spans="1:2" x14ac:dyDescent="0.25">
      <c r="A2771" s="33">
        <v>8582500000</v>
      </c>
      <c r="B2771" s="33" t="s">
        <v>22066</v>
      </c>
    </row>
    <row r="2772" spans="1:2" x14ac:dyDescent="0.25">
      <c r="A2772" s="33">
        <v>8582600000</v>
      </c>
      <c r="B2772" s="33" t="s">
        <v>22067</v>
      </c>
    </row>
    <row r="2773" spans="1:2" x14ac:dyDescent="0.25">
      <c r="A2773" s="33">
        <v>8600000001</v>
      </c>
      <c r="B2773" s="33" t="s">
        <v>22068</v>
      </c>
    </row>
    <row r="2774" spans="1:2" x14ac:dyDescent="0.25">
      <c r="A2774" s="33">
        <v>8600000002</v>
      </c>
      <c r="B2774" s="33" t="s">
        <v>22069</v>
      </c>
    </row>
    <row r="2775" spans="1:2" x14ac:dyDescent="0.25">
      <c r="A2775" s="33">
        <v>8601000000</v>
      </c>
      <c r="B2775" s="33" t="s">
        <v>22070</v>
      </c>
    </row>
    <row r="2776" spans="1:2" x14ac:dyDescent="0.25">
      <c r="A2776" s="33">
        <v>8602000000</v>
      </c>
      <c r="B2776" s="33" t="s">
        <v>22071</v>
      </c>
    </row>
    <row r="2777" spans="1:2" x14ac:dyDescent="0.25">
      <c r="A2777" s="33">
        <v>8603000000</v>
      </c>
      <c r="B2777" s="33" t="s">
        <v>22072</v>
      </c>
    </row>
    <row r="2778" spans="1:2" x14ac:dyDescent="0.25">
      <c r="A2778" s="33">
        <v>8604000000</v>
      </c>
      <c r="B2778" s="33" t="s">
        <v>22073</v>
      </c>
    </row>
    <row r="2779" spans="1:2" x14ac:dyDescent="0.25">
      <c r="A2779" s="33">
        <v>8610000000</v>
      </c>
      <c r="B2779" s="33" t="s">
        <v>22074</v>
      </c>
    </row>
    <row r="2780" spans="1:2" x14ac:dyDescent="0.25">
      <c r="A2780" s="33">
        <v>8620000000</v>
      </c>
      <c r="B2780" s="33" t="s">
        <v>22075</v>
      </c>
    </row>
    <row r="2781" spans="1:2" x14ac:dyDescent="0.25">
      <c r="A2781" s="33">
        <v>8630000000</v>
      </c>
      <c r="B2781" s="33" t="s">
        <v>22076</v>
      </c>
    </row>
    <row r="2782" spans="1:2" x14ac:dyDescent="0.25">
      <c r="A2782" s="33">
        <v>8640000000</v>
      </c>
      <c r="B2782" s="33" t="s">
        <v>22077</v>
      </c>
    </row>
    <row r="2783" spans="1:2" x14ac:dyDescent="0.25">
      <c r="A2783" s="33">
        <v>8641000000</v>
      </c>
      <c r="B2783" s="33" t="s">
        <v>22078</v>
      </c>
    </row>
    <row r="2784" spans="1:2" x14ac:dyDescent="0.25">
      <c r="A2784" s="33">
        <v>8642000000</v>
      </c>
      <c r="B2784" s="33" t="s">
        <v>22079</v>
      </c>
    </row>
    <row r="2785" spans="1:2" x14ac:dyDescent="0.25">
      <c r="A2785" s="33">
        <v>8700000000</v>
      </c>
      <c r="B2785" s="33" t="s">
        <v>22080</v>
      </c>
    </row>
    <row r="2786" spans="1:2" x14ac:dyDescent="0.25">
      <c r="A2786" s="33">
        <v>8710000000</v>
      </c>
      <c r="B2786" s="33" t="s">
        <v>22081</v>
      </c>
    </row>
    <row r="2787" spans="1:2" x14ac:dyDescent="0.25">
      <c r="A2787" s="33">
        <v>8720000000</v>
      </c>
      <c r="B2787" s="33" t="s">
        <v>22082</v>
      </c>
    </row>
    <row r="2788" spans="1:2" x14ac:dyDescent="0.25">
      <c r="A2788" s="33">
        <v>8730000000</v>
      </c>
      <c r="B2788" s="33" t="s">
        <v>22083</v>
      </c>
    </row>
    <row r="2789" spans="1:2" x14ac:dyDescent="0.25">
      <c r="A2789" s="33">
        <v>8740000000</v>
      </c>
      <c r="B2789" s="33" t="s">
        <v>22084</v>
      </c>
    </row>
    <row r="2790" spans="1:2" x14ac:dyDescent="0.25">
      <c r="A2790" s="33">
        <v>8750000000</v>
      </c>
      <c r="B2790" s="33" t="s">
        <v>22085</v>
      </c>
    </row>
    <row r="2791" spans="1:2" x14ac:dyDescent="0.25">
      <c r="A2791" s="33">
        <v>8760000000</v>
      </c>
      <c r="B2791" s="33" t="s">
        <v>22086</v>
      </c>
    </row>
    <row r="2792" spans="1:2" x14ac:dyDescent="0.25">
      <c r="A2792" s="33">
        <v>8799970000</v>
      </c>
      <c r="B2792" s="33" t="s">
        <v>22087</v>
      </c>
    </row>
    <row r="2793" spans="1:2" x14ac:dyDescent="0.25">
      <c r="A2793" s="33">
        <v>8800000001</v>
      </c>
      <c r="B2793" s="33" t="s">
        <v>22088</v>
      </c>
    </row>
    <row r="2794" spans="1:2" x14ac:dyDescent="0.25">
      <c r="A2794" s="33">
        <v>8800100000</v>
      </c>
      <c r="B2794" s="33" t="s">
        <v>22089</v>
      </c>
    </row>
    <row r="2795" spans="1:2" x14ac:dyDescent="0.25">
      <c r="A2795" s="33">
        <v>8800200000</v>
      </c>
      <c r="B2795" s="33" t="s">
        <v>22090</v>
      </c>
    </row>
    <row r="2796" spans="1:2" x14ac:dyDescent="0.25">
      <c r="A2796" s="33">
        <v>9009200000</v>
      </c>
      <c r="B2796" s="33" t="s">
        <v>22091</v>
      </c>
    </row>
    <row r="2797" spans="1:2" x14ac:dyDescent="0.25">
      <c r="A2797" s="33">
        <v>9009300900</v>
      </c>
      <c r="B2797" s="33" t="s">
        <v>22092</v>
      </c>
    </row>
    <row r="2798" spans="1:2" x14ac:dyDescent="0.25">
      <c r="A2798" s="33">
        <v>9009300901</v>
      </c>
      <c r="B2798" s="33" t="s">
        <v>22093</v>
      </c>
    </row>
    <row r="2799" spans="1:2" x14ac:dyDescent="0.25">
      <c r="A2799" s="33">
        <v>9009300902</v>
      </c>
      <c r="B2799" s="33" t="s">
        <v>22094</v>
      </c>
    </row>
    <row r="2800" spans="1:2" x14ac:dyDescent="0.25">
      <c r="A2800" s="33">
        <v>9009300903</v>
      </c>
      <c r="B2800" s="33" t="s">
        <v>22095</v>
      </c>
    </row>
    <row r="2801" spans="1:2" x14ac:dyDescent="0.25">
      <c r="A2801" s="33">
        <v>9009300904</v>
      </c>
      <c r="B2801" s="33" t="s">
        <v>22096</v>
      </c>
    </row>
    <row r="2802" spans="1:2" x14ac:dyDescent="0.25">
      <c r="A2802" s="33">
        <v>9009300910</v>
      </c>
      <c r="B2802" s="33" t="s">
        <v>22097</v>
      </c>
    </row>
    <row r="2803" spans="1:2" x14ac:dyDescent="0.25">
      <c r="A2803" s="33">
        <v>9009300911</v>
      </c>
      <c r="B2803" s="33" t="s">
        <v>22098</v>
      </c>
    </row>
    <row r="2804" spans="1:2" x14ac:dyDescent="0.25">
      <c r="A2804" s="33">
        <v>9009300912</v>
      </c>
      <c r="B2804" s="33" t="s">
        <v>22099</v>
      </c>
    </row>
    <row r="2805" spans="1:2" x14ac:dyDescent="0.25">
      <c r="A2805" s="33">
        <v>9009300913</v>
      </c>
      <c r="B2805" s="33" t="s">
        <v>22100</v>
      </c>
    </row>
    <row r="2806" spans="1:2" x14ac:dyDescent="0.25">
      <c r="A2806" s="33">
        <v>9009300914</v>
      </c>
      <c r="B2806" s="33" t="s">
        <v>22101</v>
      </c>
    </row>
    <row r="2807" spans="1:2" x14ac:dyDescent="0.25">
      <c r="A2807" s="33">
        <v>9009302000</v>
      </c>
      <c r="B2807" s="33" t="s">
        <v>22102</v>
      </c>
    </row>
    <row r="2808" spans="1:2" x14ac:dyDescent="0.25">
      <c r="A2808" s="33">
        <v>9154230000</v>
      </c>
      <c r="B2808" s="33" t="s">
        <v>22103</v>
      </c>
    </row>
    <row r="2809" spans="1:2" x14ac:dyDescent="0.25">
      <c r="A2809" s="33">
        <v>9154300000</v>
      </c>
      <c r="B2809" s="33" t="s">
        <v>22104</v>
      </c>
    </row>
    <row r="2810" spans="1:2" x14ac:dyDescent="0.25">
      <c r="A2810" s="33">
        <v>9154301000</v>
      </c>
      <c r="B2810" s="33" t="s">
        <v>22105</v>
      </c>
    </row>
    <row r="2811" spans="1:2" x14ac:dyDescent="0.25">
      <c r="A2811" s="33">
        <v>9155940000</v>
      </c>
      <c r="B2811" s="33" t="s">
        <v>22106</v>
      </c>
    </row>
    <row r="2812" spans="1:2" x14ac:dyDescent="0.25">
      <c r="A2812" s="33">
        <v>9155941000</v>
      </c>
      <c r="B2812" s="33" t="s">
        <v>22107</v>
      </c>
    </row>
    <row r="2813" spans="1:2" x14ac:dyDescent="0.25">
      <c r="A2813" s="33" t="s">
        <v>19348</v>
      </c>
      <c r="B2813" s="33" t="s">
        <v>19357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B65B2-CCA4-41B8-B419-47ECB6D1FD5E}">
  <sheetPr codeName="Sheet4"/>
  <dimension ref="A1:B16457"/>
  <sheetViews>
    <sheetView workbookViewId="0"/>
  </sheetViews>
  <sheetFormatPr defaultRowHeight="15" x14ac:dyDescent="0.25"/>
  <cols>
    <col min="1" max="1" width="12.7109375" bestFit="1" customWidth="1"/>
    <col min="2" max="2" width="11.5703125" bestFit="1" customWidth="1"/>
  </cols>
  <sheetData>
    <row r="1" spans="1:2" x14ac:dyDescent="0.25">
      <c r="A1" t="s">
        <v>9</v>
      </c>
      <c r="B1" t="s">
        <v>12918</v>
      </c>
    </row>
    <row r="2" spans="1:2" x14ac:dyDescent="0.25">
      <c r="A2" s="20" t="s">
        <v>11607</v>
      </c>
      <c r="B2" t="s">
        <v>39</v>
      </c>
    </row>
    <row r="3" spans="1:2" x14ac:dyDescent="0.25">
      <c r="A3" s="20" t="s">
        <v>12529</v>
      </c>
      <c r="B3" t="s">
        <v>39</v>
      </c>
    </row>
    <row r="4" spans="1:2" x14ac:dyDescent="0.25">
      <c r="A4" s="20" t="s">
        <v>11746</v>
      </c>
      <c r="B4" t="s">
        <v>39</v>
      </c>
    </row>
    <row r="5" spans="1:2" x14ac:dyDescent="0.25">
      <c r="A5" s="20" t="s">
        <v>12897</v>
      </c>
      <c r="B5" t="s">
        <v>39</v>
      </c>
    </row>
    <row r="6" spans="1:2" x14ac:dyDescent="0.25">
      <c r="A6" s="21" t="s">
        <v>12512</v>
      </c>
      <c r="B6" t="s">
        <v>39</v>
      </c>
    </row>
    <row r="7" spans="1:2" x14ac:dyDescent="0.25">
      <c r="A7" t="s">
        <v>8886</v>
      </c>
      <c r="B7" t="s">
        <v>11607</v>
      </c>
    </row>
    <row r="8" spans="1:2" x14ac:dyDescent="0.25">
      <c r="A8" t="s">
        <v>393</v>
      </c>
      <c r="B8" t="s">
        <v>8886</v>
      </c>
    </row>
    <row r="9" spans="1:2" x14ac:dyDescent="0.25">
      <c r="A9" t="s">
        <v>10205</v>
      </c>
      <c r="B9" t="s">
        <v>393</v>
      </c>
    </row>
    <row r="10" spans="1:2" x14ac:dyDescent="0.25">
      <c r="A10" t="s">
        <v>40</v>
      </c>
      <c r="B10" t="s">
        <v>10205</v>
      </c>
    </row>
    <row r="11" spans="1:2" x14ac:dyDescent="0.25">
      <c r="A11" t="s">
        <v>8501</v>
      </c>
      <c r="B11" t="s">
        <v>393</v>
      </c>
    </row>
    <row r="12" spans="1:2" x14ac:dyDescent="0.25">
      <c r="A12" t="s">
        <v>4966</v>
      </c>
      <c r="B12" t="s">
        <v>8501</v>
      </c>
    </row>
    <row r="13" spans="1:2" x14ac:dyDescent="0.25">
      <c r="A13" t="s">
        <v>8887</v>
      </c>
      <c r="B13" t="s">
        <v>8501</v>
      </c>
    </row>
    <row r="14" spans="1:2" x14ac:dyDescent="0.25">
      <c r="A14" t="s">
        <v>6752</v>
      </c>
      <c r="B14" t="s">
        <v>8886</v>
      </c>
    </row>
    <row r="15" spans="1:2" x14ac:dyDescent="0.25">
      <c r="A15" t="s">
        <v>10206</v>
      </c>
      <c r="B15" t="s">
        <v>6752</v>
      </c>
    </row>
    <row r="16" spans="1:2" x14ac:dyDescent="0.25">
      <c r="A16" t="s">
        <v>4565</v>
      </c>
      <c r="B16" t="s">
        <v>10206</v>
      </c>
    </row>
    <row r="17" spans="1:2" x14ac:dyDescent="0.25">
      <c r="A17" t="s">
        <v>13592</v>
      </c>
      <c r="B17" t="s">
        <v>10206</v>
      </c>
    </row>
    <row r="18" spans="1:2" x14ac:dyDescent="0.25">
      <c r="A18" t="s">
        <v>13315</v>
      </c>
      <c r="B18" t="s">
        <v>10206</v>
      </c>
    </row>
    <row r="19" spans="1:2" x14ac:dyDescent="0.25">
      <c r="A19" t="s">
        <v>8502</v>
      </c>
      <c r="B19" t="s">
        <v>6752</v>
      </c>
    </row>
    <row r="20" spans="1:2" x14ac:dyDescent="0.25">
      <c r="A20" t="s">
        <v>4967</v>
      </c>
      <c r="B20" t="s">
        <v>8502</v>
      </c>
    </row>
    <row r="21" spans="1:2" x14ac:dyDescent="0.25">
      <c r="A21" t="s">
        <v>8888</v>
      </c>
      <c r="B21" t="s">
        <v>8502</v>
      </c>
    </row>
    <row r="22" spans="1:2" x14ac:dyDescent="0.25">
      <c r="A22" t="s">
        <v>6247</v>
      </c>
      <c r="B22" t="s">
        <v>8886</v>
      </c>
    </row>
    <row r="23" spans="1:2" x14ac:dyDescent="0.25">
      <c r="A23" t="s">
        <v>10207</v>
      </c>
      <c r="B23" t="s">
        <v>6247</v>
      </c>
    </row>
    <row r="24" spans="1:2" x14ac:dyDescent="0.25">
      <c r="A24" t="s">
        <v>41</v>
      </c>
      <c r="B24" t="s">
        <v>10207</v>
      </c>
    </row>
    <row r="25" spans="1:2" x14ac:dyDescent="0.25">
      <c r="A25" t="s">
        <v>42</v>
      </c>
      <c r="B25" t="s">
        <v>10207</v>
      </c>
    </row>
    <row r="26" spans="1:2" x14ac:dyDescent="0.25">
      <c r="A26" t="s">
        <v>13220</v>
      </c>
      <c r="B26" t="s">
        <v>42</v>
      </c>
    </row>
    <row r="27" spans="1:2" x14ac:dyDescent="0.25">
      <c r="A27" t="s">
        <v>13221</v>
      </c>
      <c r="B27" t="s">
        <v>42</v>
      </c>
    </row>
    <row r="28" spans="1:2" x14ac:dyDescent="0.25">
      <c r="A28" t="s">
        <v>4969</v>
      </c>
      <c r="B28" t="s">
        <v>10207</v>
      </c>
    </row>
    <row r="29" spans="1:2" x14ac:dyDescent="0.25">
      <c r="A29" t="s">
        <v>43</v>
      </c>
      <c r="B29" t="s">
        <v>10207</v>
      </c>
    </row>
    <row r="30" spans="1:2" x14ac:dyDescent="0.25">
      <c r="A30" t="s">
        <v>11062</v>
      </c>
      <c r="B30" t="s">
        <v>10207</v>
      </c>
    </row>
    <row r="31" spans="1:2" x14ac:dyDescent="0.25">
      <c r="A31" t="s">
        <v>8503</v>
      </c>
      <c r="B31" t="s">
        <v>6247</v>
      </c>
    </row>
    <row r="32" spans="1:2" x14ac:dyDescent="0.25">
      <c r="A32" t="s">
        <v>4968</v>
      </c>
      <c r="B32" t="s">
        <v>8503</v>
      </c>
    </row>
    <row r="33" spans="1:2" x14ac:dyDescent="0.25">
      <c r="A33" t="s">
        <v>5423</v>
      </c>
      <c r="B33" t="s">
        <v>8503</v>
      </c>
    </row>
    <row r="34" spans="1:2" x14ac:dyDescent="0.25">
      <c r="A34" t="s">
        <v>8889</v>
      </c>
      <c r="B34" t="s">
        <v>8503</v>
      </c>
    </row>
    <row r="35" spans="1:2" x14ac:dyDescent="0.25">
      <c r="A35" t="s">
        <v>3126</v>
      </c>
      <c r="B35" t="s">
        <v>8503</v>
      </c>
    </row>
    <row r="36" spans="1:2" x14ac:dyDescent="0.25">
      <c r="A36" t="s">
        <v>10062</v>
      </c>
      <c r="B36" t="s">
        <v>3126</v>
      </c>
    </row>
    <row r="37" spans="1:2" x14ac:dyDescent="0.25">
      <c r="A37" t="s">
        <v>10064</v>
      </c>
      <c r="B37" t="s">
        <v>3126</v>
      </c>
    </row>
    <row r="38" spans="1:2" x14ac:dyDescent="0.25">
      <c r="A38" t="s">
        <v>10066</v>
      </c>
      <c r="B38" t="s">
        <v>3126</v>
      </c>
    </row>
    <row r="39" spans="1:2" x14ac:dyDescent="0.25">
      <c r="A39" t="s">
        <v>10069</v>
      </c>
      <c r="B39" t="s">
        <v>3126</v>
      </c>
    </row>
    <row r="40" spans="1:2" x14ac:dyDescent="0.25">
      <c r="A40" t="s">
        <v>10071</v>
      </c>
      <c r="B40" t="s">
        <v>3126</v>
      </c>
    </row>
    <row r="41" spans="1:2" x14ac:dyDescent="0.25">
      <c r="A41" t="s">
        <v>2983</v>
      </c>
      <c r="B41" t="s">
        <v>3126</v>
      </c>
    </row>
    <row r="42" spans="1:2" x14ac:dyDescent="0.25">
      <c r="A42" t="s">
        <v>10074</v>
      </c>
      <c r="B42" t="s">
        <v>3126</v>
      </c>
    </row>
    <row r="43" spans="1:2" x14ac:dyDescent="0.25">
      <c r="A43" t="s">
        <v>2984</v>
      </c>
      <c r="B43" t="s">
        <v>3126</v>
      </c>
    </row>
    <row r="44" spans="1:2" x14ac:dyDescent="0.25">
      <c r="A44" t="s">
        <v>2985</v>
      </c>
      <c r="B44" t="s">
        <v>3126</v>
      </c>
    </row>
    <row r="45" spans="1:2" x14ac:dyDescent="0.25">
      <c r="A45" t="s">
        <v>10079</v>
      </c>
      <c r="B45" t="s">
        <v>3126</v>
      </c>
    </row>
    <row r="46" spans="1:2" x14ac:dyDescent="0.25">
      <c r="A46" t="s">
        <v>10082</v>
      </c>
      <c r="B46" t="s">
        <v>3126</v>
      </c>
    </row>
    <row r="47" spans="1:2" x14ac:dyDescent="0.25">
      <c r="A47" t="s">
        <v>2986</v>
      </c>
      <c r="B47" t="s">
        <v>3126</v>
      </c>
    </row>
    <row r="48" spans="1:2" x14ac:dyDescent="0.25">
      <c r="A48" t="s">
        <v>2987</v>
      </c>
      <c r="B48" t="s">
        <v>3126</v>
      </c>
    </row>
    <row r="49" spans="1:2" x14ac:dyDescent="0.25">
      <c r="A49" t="s">
        <v>10087</v>
      </c>
      <c r="B49" t="s">
        <v>3126</v>
      </c>
    </row>
    <row r="50" spans="1:2" x14ac:dyDescent="0.25">
      <c r="A50" t="s">
        <v>10089</v>
      </c>
      <c r="B50" t="s">
        <v>3126</v>
      </c>
    </row>
    <row r="51" spans="1:2" x14ac:dyDescent="0.25">
      <c r="A51" t="s">
        <v>10091</v>
      </c>
      <c r="B51" t="s">
        <v>3126</v>
      </c>
    </row>
    <row r="52" spans="1:2" x14ac:dyDescent="0.25">
      <c r="A52" t="s">
        <v>10095</v>
      </c>
      <c r="B52" t="s">
        <v>3126</v>
      </c>
    </row>
    <row r="53" spans="1:2" x14ac:dyDescent="0.25">
      <c r="A53" t="s">
        <v>2988</v>
      </c>
      <c r="B53" t="s">
        <v>3126</v>
      </c>
    </row>
    <row r="54" spans="1:2" x14ac:dyDescent="0.25">
      <c r="A54" t="s">
        <v>2989</v>
      </c>
      <c r="B54" t="s">
        <v>3126</v>
      </c>
    </row>
    <row r="55" spans="1:2" x14ac:dyDescent="0.25">
      <c r="A55" t="s">
        <v>10101</v>
      </c>
      <c r="B55" t="s">
        <v>3126</v>
      </c>
    </row>
    <row r="56" spans="1:2" x14ac:dyDescent="0.25">
      <c r="A56" t="s">
        <v>10103</v>
      </c>
      <c r="B56" t="s">
        <v>3126</v>
      </c>
    </row>
    <row r="57" spans="1:2" x14ac:dyDescent="0.25">
      <c r="A57" t="s">
        <v>2990</v>
      </c>
      <c r="B57" t="s">
        <v>3126</v>
      </c>
    </row>
    <row r="58" spans="1:2" x14ac:dyDescent="0.25">
      <c r="A58" t="s">
        <v>10106</v>
      </c>
      <c r="B58" t="s">
        <v>3126</v>
      </c>
    </row>
    <row r="59" spans="1:2" x14ac:dyDescent="0.25">
      <c r="A59" t="s">
        <v>10107</v>
      </c>
      <c r="B59" t="s">
        <v>3126</v>
      </c>
    </row>
    <row r="60" spans="1:2" x14ac:dyDescent="0.25">
      <c r="A60" t="s">
        <v>10196</v>
      </c>
      <c r="B60" t="s">
        <v>8886</v>
      </c>
    </row>
    <row r="61" spans="1:2" x14ac:dyDescent="0.25">
      <c r="A61" t="s">
        <v>10208</v>
      </c>
      <c r="B61" t="s">
        <v>10196</v>
      </c>
    </row>
    <row r="62" spans="1:2" x14ac:dyDescent="0.25">
      <c r="A62" t="s">
        <v>7974</v>
      </c>
      <c r="B62" t="s">
        <v>10208</v>
      </c>
    </row>
    <row r="63" spans="1:2" x14ac:dyDescent="0.25">
      <c r="A63" t="s">
        <v>13222</v>
      </c>
      <c r="B63" t="s">
        <v>10208</v>
      </c>
    </row>
    <row r="64" spans="1:2" x14ac:dyDescent="0.25">
      <c r="A64" t="s">
        <v>8504</v>
      </c>
      <c r="B64" t="s">
        <v>10196</v>
      </c>
    </row>
    <row r="65" spans="1:2" x14ac:dyDescent="0.25">
      <c r="A65" t="s">
        <v>4970</v>
      </c>
      <c r="B65" t="s">
        <v>8504</v>
      </c>
    </row>
    <row r="66" spans="1:2" x14ac:dyDescent="0.25">
      <c r="A66" t="s">
        <v>6753</v>
      </c>
      <c r="B66" t="s">
        <v>8504</v>
      </c>
    </row>
    <row r="67" spans="1:2" x14ac:dyDescent="0.25">
      <c r="A67" t="s">
        <v>8890</v>
      </c>
      <c r="B67" t="s">
        <v>8504</v>
      </c>
    </row>
    <row r="68" spans="1:2" x14ac:dyDescent="0.25">
      <c r="A68" t="s">
        <v>236</v>
      </c>
      <c r="B68" t="s">
        <v>8886</v>
      </c>
    </row>
    <row r="69" spans="1:2" x14ac:dyDescent="0.25">
      <c r="A69" t="s">
        <v>10209</v>
      </c>
      <c r="B69" t="s">
        <v>236</v>
      </c>
    </row>
    <row r="70" spans="1:2" x14ac:dyDescent="0.25">
      <c r="A70" t="s">
        <v>4057</v>
      </c>
      <c r="B70" t="s">
        <v>10209</v>
      </c>
    </row>
    <row r="71" spans="1:2" x14ac:dyDescent="0.25">
      <c r="A71" t="s">
        <v>11620</v>
      </c>
      <c r="B71" t="s">
        <v>10209</v>
      </c>
    </row>
    <row r="72" spans="1:2" x14ac:dyDescent="0.25">
      <c r="A72" t="s">
        <v>3137</v>
      </c>
      <c r="B72" t="s">
        <v>10209</v>
      </c>
    </row>
    <row r="73" spans="1:2" x14ac:dyDescent="0.25">
      <c r="A73" t="s">
        <v>68</v>
      </c>
      <c r="B73" t="s">
        <v>10209</v>
      </c>
    </row>
    <row r="74" spans="1:2" x14ac:dyDescent="0.25">
      <c r="A74" t="s">
        <v>6267</v>
      </c>
      <c r="B74" t="s">
        <v>10209</v>
      </c>
    </row>
    <row r="75" spans="1:2" x14ac:dyDescent="0.25">
      <c r="A75" t="s">
        <v>8505</v>
      </c>
      <c r="B75" t="s">
        <v>236</v>
      </c>
    </row>
    <row r="76" spans="1:2" x14ac:dyDescent="0.25">
      <c r="A76" t="s">
        <v>4971</v>
      </c>
      <c r="B76" t="s">
        <v>8505</v>
      </c>
    </row>
    <row r="77" spans="1:2" x14ac:dyDescent="0.25">
      <c r="A77" t="s">
        <v>8891</v>
      </c>
      <c r="B77" t="s">
        <v>8505</v>
      </c>
    </row>
    <row r="78" spans="1:2" x14ac:dyDescent="0.25">
      <c r="A78" t="s">
        <v>3131</v>
      </c>
      <c r="B78" t="s">
        <v>8505</v>
      </c>
    </row>
    <row r="79" spans="1:2" x14ac:dyDescent="0.25">
      <c r="A79" t="s">
        <v>4435</v>
      </c>
      <c r="B79" t="s">
        <v>3131</v>
      </c>
    </row>
    <row r="80" spans="1:2" x14ac:dyDescent="0.25">
      <c r="A80" t="s">
        <v>5309</v>
      </c>
      <c r="B80" t="s">
        <v>3131</v>
      </c>
    </row>
    <row r="81" spans="1:2" x14ac:dyDescent="0.25">
      <c r="A81" t="s">
        <v>5710</v>
      </c>
      <c r="B81" t="s">
        <v>3131</v>
      </c>
    </row>
    <row r="82" spans="1:2" x14ac:dyDescent="0.25">
      <c r="A82" t="s">
        <v>6608</v>
      </c>
      <c r="B82" t="s">
        <v>3131</v>
      </c>
    </row>
    <row r="83" spans="1:2" x14ac:dyDescent="0.25">
      <c r="A83" t="s">
        <v>5711</v>
      </c>
      <c r="B83" t="s">
        <v>3131</v>
      </c>
    </row>
    <row r="84" spans="1:2" x14ac:dyDescent="0.25">
      <c r="A84" t="s">
        <v>6610</v>
      </c>
      <c r="B84" t="s">
        <v>3131</v>
      </c>
    </row>
    <row r="85" spans="1:2" x14ac:dyDescent="0.25">
      <c r="A85" t="s">
        <v>3932</v>
      </c>
      <c r="B85" t="s">
        <v>3131</v>
      </c>
    </row>
    <row r="86" spans="1:2" x14ac:dyDescent="0.25">
      <c r="A86" t="s">
        <v>2982</v>
      </c>
      <c r="B86" t="s">
        <v>3131</v>
      </c>
    </row>
    <row r="87" spans="1:2" x14ac:dyDescent="0.25">
      <c r="A87" t="s">
        <v>5310</v>
      </c>
      <c r="B87" t="s">
        <v>3131</v>
      </c>
    </row>
    <row r="88" spans="1:2" x14ac:dyDescent="0.25">
      <c r="A88" t="s">
        <v>9982</v>
      </c>
      <c r="B88" t="s">
        <v>3131</v>
      </c>
    </row>
    <row r="89" spans="1:2" x14ac:dyDescent="0.25">
      <c r="A89" t="s">
        <v>128</v>
      </c>
      <c r="B89" t="s">
        <v>3131</v>
      </c>
    </row>
    <row r="90" spans="1:2" x14ac:dyDescent="0.25">
      <c r="A90" t="s">
        <v>12310</v>
      </c>
      <c r="B90" t="s">
        <v>3131</v>
      </c>
    </row>
    <row r="91" spans="1:2" x14ac:dyDescent="0.25">
      <c r="A91" t="s">
        <v>3119</v>
      </c>
      <c r="B91" t="s">
        <v>8886</v>
      </c>
    </row>
    <row r="92" spans="1:2" x14ac:dyDescent="0.25">
      <c r="A92" t="s">
        <v>10210</v>
      </c>
      <c r="B92" t="s">
        <v>3119</v>
      </c>
    </row>
    <row r="93" spans="1:2" x14ac:dyDescent="0.25">
      <c r="A93" t="s">
        <v>2657</v>
      </c>
      <c r="B93" t="s">
        <v>10210</v>
      </c>
    </row>
    <row r="94" spans="1:2" x14ac:dyDescent="0.25">
      <c r="A94" t="s">
        <v>2658</v>
      </c>
      <c r="B94" t="s">
        <v>10210</v>
      </c>
    </row>
    <row r="95" spans="1:2" x14ac:dyDescent="0.25">
      <c r="A95" t="s">
        <v>2659</v>
      </c>
      <c r="B95" t="s">
        <v>10210</v>
      </c>
    </row>
    <row r="96" spans="1:2" x14ac:dyDescent="0.25">
      <c r="A96" t="s">
        <v>6754</v>
      </c>
      <c r="B96" t="s">
        <v>10210</v>
      </c>
    </row>
    <row r="97" spans="1:2" x14ac:dyDescent="0.25">
      <c r="A97" t="s">
        <v>5424</v>
      </c>
      <c r="B97" t="s">
        <v>10210</v>
      </c>
    </row>
    <row r="98" spans="1:2" x14ac:dyDescent="0.25">
      <c r="A98" t="s">
        <v>6755</v>
      </c>
      <c r="B98" t="s">
        <v>10210</v>
      </c>
    </row>
    <row r="99" spans="1:2" x14ac:dyDescent="0.25">
      <c r="A99" t="s">
        <v>7356</v>
      </c>
      <c r="B99" t="s">
        <v>10210</v>
      </c>
    </row>
    <row r="100" spans="1:2" x14ac:dyDescent="0.25">
      <c r="A100" t="s">
        <v>9709</v>
      </c>
      <c r="B100" t="s">
        <v>10210</v>
      </c>
    </row>
    <row r="101" spans="1:2" x14ac:dyDescent="0.25">
      <c r="A101" t="s">
        <v>12934</v>
      </c>
      <c r="B101" t="s">
        <v>10210</v>
      </c>
    </row>
    <row r="102" spans="1:2" x14ac:dyDescent="0.25">
      <c r="A102" t="s">
        <v>12935</v>
      </c>
      <c r="B102" t="s">
        <v>10210</v>
      </c>
    </row>
    <row r="103" spans="1:2" x14ac:dyDescent="0.25">
      <c r="A103" t="s">
        <v>12936</v>
      </c>
      <c r="B103" t="s">
        <v>10210</v>
      </c>
    </row>
    <row r="104" spans="1:2" x14ac:dyDescent="0.25">
      <c r="A104" t="s">
        <v>13223</v>
      </c>
      <c r="B104" t="s">
        <v>10210</v>
      </c>
    </row>
    <row r="105" spans="1:2" x14ac:dyDescent="0.25">
      <c r="A105" t="s">
        <v>8506</v>
      </c>
      <c r="B105" t="s">
        <v>3119</v>
      </c>
    </row>
    <row r="106" spans="1:2" x14ac:dyDescent="0.25">
      <c r="A106" t="s">
        <v>4972</v>
      </c>
      <c r="B106" t="s">
        <v>8506</v>
      </c>
    </row>
    <row r="107" spans="1:2" x14ac:dyDescent="0.25">
      <c r="A107" t="s">
        <v>2261</v>
      </c>
      <c r="B107" t="s">
        <v>8506</v>
      </c>
    </row>
    <row r="108" spans="1:2" x14ac:dyDescent="0.25">
      <c r="A108" t="s">
        <v>4566</v>
      </c>
      <c r="B108" t="s">
        <v>8506</v>
      </c>
    </row>
    <row r="109" spans="1:2" x14ac:dyDescent="0.25">
      <c r="A109" t="s">
        <v>316</v>
      </c>
      <c r="B109" t="s">
        <v>4566</v>
      </c>
    </row>
    <row r="110" spans="1:2" x14ac:dyDescent="0.25">
      <c r="A110" t="s">
        <v>237</v>
      </c>
      <c r="B110" t="s">
        <v>8506</v>
      </c>
    </row>
    <row r="111" spans="1:2" x14ac:dyDescent="0.25">
      <c r="A111" t="s">
        <v>7976</v>
      </c>
      <c r="B111" t="s">
        <v>8506</v>
      </c>
    </row>
    <row r="112" spans="1:2" x14ac:dyDescent="0.25">
      <c r="A112" t="s">
        <v>8892</v>
      </c>
      <c r="B112" t="s">
        <v>8506</v>
      </c>
    </row>
    <row r="113" spans="1:2" x14ac:dyDescent="0.25">
      <c r="A113" t="s">
        <v>3132</v>
      </c>
      <c r="B113" t="s">
        <v>8506</v>
      </c>
    </row>
    <row r="114" spans="1:2" x14ac:dyDescent="0.25">
      <c r="A114" t="s">
        <v>9977</v>
      </c>
      <c r="B114" t="s">
        <v>3132</v>
      </c>
    </row>
    <row r="115" spans="1:2" x14ac:dyDescent="0.25">
      <c r="A115" t="s">
        <v>9978</v>
      </c>
      <c r="B115" t="s">
        <v>3132</v>
      </c>
    </row>
    <row r="116" spans="1:2" x14ac:dyDescent="0.25">
      <c r="A116" t="s">
        <v>9979</v>
      </c>
      <c r="B116" t="s">
        <v>3132</v>
      </c>
    </row>
    <row r="117" spans="1:2" x14ac:dyDescent="0.25">
      <c r="A117" t="s">
        <v>9980</v>
      </c>
      <c r="B117" t="s">
        <v>3132</v>
      </c>
    </row>
    <row r="118" spans="1:2" x14ac:dyDescent="0.25">
      <c r="A118" t="s">
        <v>9981</v>
      </c>
      <c r="B118" t="s">
        <v>3132</v>
      </c>
    </row>
    <row r="119" spans="1:2" x14ac:dyDescent="0.25">
      <c r="A119" t="s">
        <v>6117</v>
      </c>
      <c r="B119" t="s">
        <v>3132</v>
      </c>
    </row>
    <row r="120" spans="1:2" x14ac:dyDescent="0.25">
      <c r="A120" t="s">
        <v>6118</v>
      </c>
      <c r="B120" t="s">
        <v>3132</v>
      </c>
    </row>
    <row r="121" spans="1:2" x14ac:dyDescent="0.25">
      <c r="A121" t="s">
        <v>7910</v>
      </c>
      <c r="B121" t="s">
        <v>3132</v>
      </c>
    </row>
    <row r="122" spans="1:2" x14ac:dyDescent="0.25">
      <c r="A122" t="s">
        <v>44</v>
      </c>
      <c r="B122" t="s">
        <v>8886</v>
      </c>
    </row>
    <row r="123" spans="1:2" x14ac:dyDescent="0.25">
      <c r="A123" t="s">
        <v>10211</v>
      </c>
      <c r="B123" t="s">
        <v>44</v>
      </c>
    </row>
    <row r="124" spans="1:2" x14ac:dyDescent="0.25">
      <c r="A124" t="s">
        <v>7975</v>
      </c>
      <c r="B124" t="s">
        <v>10211</v>
      </c>
    </row>
    <row r="125" spans="1:2" x14ac:dyDescent="0.25">
      <c r="A125" t="s">
        <v>238</v>
      </c>
      <c r="B125" t="s">
        <v>10211</v>
      </c>
    </row>
    <row r="126" spans="1:2" x14ac:dyDescent="0.25">
      <c r="A126" t="s">
        <v>5425</v>
      </c>
      <c r="B126" t="s">
        <v>10211</v>
      </c>
    </row>
    <row r="127" spans="1:2" x14ac:dyDescent="0.25">
      <c r="A127" t="s">
        <v>394</v>
      </c>
      <c r="B127" t="s">
        <v>10211</v>
      </c>
    </row>
    <row r="128" spans="1:2" x14ac:dyDescent="0.25">
      <c r="A128" t="s">
        <v>6248</v>
      </c>
      <c r="B128" t="s">
        <v>10211</v>
      </c>
    </row>
    <row r="129" spans="1:2" x14ac:dyDescent="0.25">
      <c r="A129" t="s">
        <v>4058</v>
      </c>
      <c r="B129" t="s">
        <v>10211</v>
      </c>
    </row>
    <row r="130" spans="1:2" x14ac:dyDescent="0.25">
      <c r="A130" t="s">
        <v>4059</v>
      </c>
      <c r="B130" t="s">
        <v>10211</v>
      </c>
    </row>
    <row r="131" spans="1:2" x14ac:dyDescent="0.25">
      <c r="A131" t="s">
        <v>5426</v>
      </c>
      <c r="B131" t="s">
        <v>10211</v>
      </c>
    </row>
    <row r="132" spans="1:2" x14ac:dyDescent="0.25">
      <c r="A132" t="s">
        <v>7992</v>
      </c>
      <c r="B132" t="s">
        <v>10211</v>
      </c>
    </row>
    <row r="133" spans="1:2" x14ac:dyDescent="0.25">
      <c r="A133" t="s">
        <v>4073</v>
      </c>
      <c r="B133" t="s">
        <v>10211</v>
      </c>
    </row>
    <row r="134" spans="1:2" x14ac:dyDescent="0.25">
      <c r="A134" t="s">
        <v>12333</v>
      </c>
      <c r="B134" t="s">
        <v>4073</v>
      </c>
    </row>
    <row r="135" spans="1:2" x14ac:dyDescent="0.25">
      <c r="A135" t="s">
        <v>4071</v>
      </c>
      <c r="B135" t="s">
        <v>4073</v>
      </c>
    </row>
    <row r="136" spans="1:2" x14ac:dyDescent="0.25">
      <c r="A136" t="s">
        <v>5453</v>
      </c>
      <c r="B136" t="s">
        <v>4073</v>
      </c>
    </row>
    <row r="137" spans="1:2" x14ac:dyDescent="0.25">
      <c r="A137" t="s">
        <v>5834</v>
      </c>
      <c r="B137" t="s">
        <v>4073</v>
      </c>
    </row>
    <row r="138" spans="1:2" x14ac:dyDescent="0.25">
      <c r="A138" t="s">
        <v>3572</v>
      </c>
      <c r="B138" t="s">
        <v>4073</v>
      </c>
    </row>
    <row r="139" spans="1:2" x14ac:dyDescent="0.25">
      <c r="A139" t="s">
        <v>499</v>
      </c>
      <c r="B139" t="s">
        <v>4073</v>
      </c>
    </row>
    <row r="140" spans="1:2" x14ac:dyDescent="0.25">
      <c r="A140" t="s">
        <v>8523</v>
      </c>
      <c r="B140" t="s">
        <v>4073</v>
      </c>
    </row>
    <row r="141" spans="1:2" x14ac:dyDescent="0.25">
      <c r="A141" t="s">
        <v>3573</v>
      </c>
      <c r="B141" t="s">
        <v>4073</v>
      </c>
    </row>
    <row r="142" spans="1:2" x14ac:dyDescent="0.25">
      <c r="A142" t="s">
        <v>8507</v>
      </c>
      <c r="B142" t="s">
        <v>44</v>
      </c>
    </row>
    <row r="143" spans="1:2" x14ac:dyDescent="0.25">
      <c r="A143" t="s">
        <v>4973</v>
      </c>
      <c r="B143" t="s">
        <v>8507</v>
      </c>
    </row>
    <row r="144" spans="1:2" x14ac:dyDescent="0.25">
      <c r="A144" t="s">
        <v>8893</v>
      </c>
      <c r="B144" t="s">
        <v>8507</v>
      </c>
    </row>
    <row r="145" spans="1:2" x14ac:dyDescent="0.25">
      <c r="A145" t="s">
        <v>3133</v>
      </c>
      <c r="B145" t="s">
        <v>8507</v>
      </c>
    </row>
    <row r="146" spans="1:2" x14ac:dyDescent="0.25">
      <c r="A146" t="s">
        <v>7202</v>
      </c>
      <c r="B146" t="s">
        <v>3133</v>
      </c>
    </row>
    <row r="147" spans="1:2" x14ac:dyDescent="0.25">
      <c r="A147" t="s">
        <v>7203</v>
      </c>
      <c r="B147" t="s">
        <v>3133</v>
      </c>
    </row>
    <row r="148" spans="1:2" x14ac:dyDescent="0.25">
      <c r="A148" t="s">
        <v>7204</v>
      </c>
      <c r="B148" t="s">
        <v>3133</v>
      </c>
    </row>
    <row r="149" spans="1:2" x14ac:dyDescent="0.25">
      <c r="A149" t="s">
        <v>7205</v>
      </c>
      <c r="B149" t="s">
        <v>3133</v>
      </c>
    </row>
    <row r="150" spans="1:2" x14ac:dyDescent="0.25">
      <c r="A150" t="s">
        <v>7206</v>
      </c>
      <c r="B150" t="s">
        <v>3133</v>
      </c>
    </row>
    <row r="151" spans="1:2" x14ac:dyDescent="0.25">
      <c r="A151" t="s">
        <v>7207</v>
      </c>
      <c r="B151" t="s">
        <v>3133</v>
      </c>
    </row>
    <row r="152" spans="1:2" x14ac:dyDescent="0.25">
      <c r="A152" t="s">
        <v>7208</v>
      </c>
      <c r="B152" t="s">
        <v>3133</v>
      </c>
    </row>
    <row r="153" spans="1:2" x14ac:dyDescent="0.25">
      <c r="A153" t="s">
        <v>7209</v>
      </c>
      <c r="B153" t="s">
        <v>3133</v>
      </c>
    </row>
    <row r="154" spans="1:2" x14ac:dyDescent="0.25">
      <c r="A154" t="s">
        <v>7210</v>
      </c>
      <c r="B154" t="s">
        <v>3133</v>
      </c>
    </row>
    <row r="155" spans="1:2" x14ac:dyDescent="0.25">
      <c r="A155" t="s">
        <v>7211</v>
      </c>
      <c r="B155" t="s">
        <v>3133</v>
      </c>
    </row>
    <row r="156" spans="1:2" x14ac:dyDescent="0.25">
      <c r="A156" t="s">
        <v>7212</v>
      </c>
      <c r="B156" t="s">
        <v>3133</v>
      </c>
    </row>
    <row r="157" spans="1:2" x14ac:dyDescent="0.25">
      <c r="A157" t="s">
        <v>7909</v>
      </c>
      <c r="B157" t="s">
        <v>3133</v>
      </c>
    </row>
    <row r="158" spans="1:2" x14ac:dyDescent="0.25">
      <c r="A158" t="s">
        <v>5367</v>
      </c>
      <c r="B158" t="s">
        <v>3133</v>
      </c>
    </row>
    <row r="159" spans="1:2" x14ac:dyDescent="0.25">
      <c r="A159" t="s">
        <v>6187</v>
      </c>
      <c r="B159" t="s">
        <v>3133</v>
      </c>
    </row>
    <row r="160" spans="1:2" x14ac:dyDescent="0.25">
      <c r="A160" t="s">
        <v>6188</v>
      </c>
      <c r="B160" t="s">
        <v>3133</v>
      </c>
    </row>
    <row r="161" spans="1:2" x14ac:dyDescent="0.25">
      <c r="A161" t="s">
        <v>8841</v>
      </c>
      <c r="B161" t="s">
        <v>3133</v>
      </c>
    </row>
    <row r="162" spans="1:2" x14ac:dyDescent="0.25">
      <c r="A162" t="s">
        <v>4567</v>
      </c>
      <c r="B162" t="s">
        <v>8886</v>
      </c>
    </row>
    <row r="163" spans="1:2" x14ac:dyDescent="0.25">
      <c r="A163" t="s">
        <v>10212</v>
      </c>
      <c r="B163" t="s">
        <v>4567</v>
      </c>
    </row>
    <row r="164" spans="1:2" x14ac:dyDescent="0.25">
      <c r="A164" t="s">
        <v>8488</v>
      </c>
      <c r="B164" t="s">
        <v>10212</v>
      </c>
    </row>
    <row r="165" spans="1:2" x14ac:dyDescent="0.25">
      <c r="A165" t="s">
        <v>239</v>
      </c>
      <c r="B165" t="s">
        <v>10212</v>
      </c>
    </row>
    <row r="166" spans="1:2" x14ac:dyDescent="0.25">
      <c r="A166" t="s">
        <v>4568</v>
      </c>
      <c r="B166" t="s">
        <v>10212</v>
      </c>
    </row>
    <row r="167" spans="1:2" x14ac:dyDescent="0.25">
      <c r="A167" t="s">
        <v>4975</v>
      </c>
      <c r="B167" t="s">
        <v>10212</v>
      </c>
    </row>
    <row r="168" spans="1:2" x14ac:dyDescent="0.25">
      <c r="A168" t="s">
        <v>4064</v>
      </c>
      <c r="B168" t="s">
        <v>10212</v>
      </c>
    </row>
    <row r="169" spans="1:2" x14ac:dyDescent="0.25">
      <c r="A169" t="s">
        <v>8520</v>
      </c>
      <c r="B169" t="s">
        <v>10212</v>
      </c>
    </row>
    <row r="170" spans="1:2" x14ac:dyDescent="0.25">
      <c r="A170" t="s">
        <v>15172</v>
      </c>
      <c r="B170" t="s">
        <v>8520</v>
      </c>
    </row>
    <row r="171" spans="1:2" x14ac:dyDescent="0.25">
      <c r="A171" t="s">
        <v>13224</v>
      </c>
      <c r="B171" t="s">
        <v>10212</v>
      </c>
    </row>
    <row r="172" spans="1:2" x14ac:dyDescent="0.25">
      <c r="A172" t="s">
        <v>14726</v>
      </c>
      <c r="B172" t="s">
        <v>10212</v>
      </c>
    </row>
    <row r="173" spans="1:2" x14ac:dyDescent="0.25">
      <c r="A173" t="s">
        <v>8508</v>
      </c>
      <c r="B173" t="s">
        <v>4567</v>
      </c>
    </row>
    <row r="174" spans="1:2" x14ac:dyDescent="0.25">
      <c r="A174" t="s">
        <v>13225</v>
      </c>
      <c r="B174" t="s">
        <v>8508</v>
      </c>
    </row>
    <row r="175" spans="1:2" x14ac:dyDescent="0.25">
      <c r="A175" t="s">
        <v>4974</v>
      </c>
      <c r="B175" t="s">
        <v>8508</v>
      </c>
    </row>
    <row r="176" spans="1:2" x14ac:dyDescent="0.25">
      <c r="A176" t="s">
        <v>3557</v>
      </c>
      <c r="B176" t="s">
        <v>8508</v>
      </c>
    </row>
    <row r="177" spans="1:2" x14ac:dyDescent="0.25">
      <c r="A177" t="s">
        <v>395</v>
      </c>
      <c r="B177" t="s">
        <v>8508</v>
      </c>
    </row>
    <row r="178" spans="1:2" x14ac:dyDescent="0.25">
      <c r="A178" t="s">
        <v>8894</v>
      </c>
      <c r="B178" t="s">
        <v>8508</v>
      </c>
    </row>
    <row r="179" spans="1:2" x14ac:dyDescent="0.25">
      <c r="A179" t="s">
        <v>3134</v>
      </c>
      <c r="B179" t="s">
        <v>8508</v>
      </c>
    </row>
    <row r="180" spans="1:2" x14ac:dyDescent="0.25">
      <c r="A180" t="s">
        <v>7172</v>
      </c>
      <c r="B180" t="s">
        <v>3134</v>
      </c>
    </row>
    <row r="181" spans="1:2" x14ac:dyDescent="0.25">
      <c r="A181" t="s">
        <v>7173</v>
      </c>
      <c r="B181" t="s">
        <v>3134</v>
      </c>
    </row>
    <row r="182" spans="1:2" x14ac:dyDescent="0.25">
      <c r="A182" t="s">
        <v>7174</v>
      </c>
      <c r="B182" t="s">
        <v>3134</v>
      </c>
    </row>
    <row r="183" spans="1:2" x14ac:dyDescent="0.25">
      <c r="A183" t="s">
        <v>7175</v>
      </c>
      <c r="B183" t="s">
        <v>3134</v>
      </c>
    </row>
    <row r="184" spans="1:2" x14ac:dyDescent="0.25">
      <c r="A184" t="s">
        <v>7176</v>
      </c>
      <c r="B184" t="s">
        <v>3134</v>
      </c>
    </row>
    <row r="185" spans="1:2" x14ac:dyDescent="0.25">
      <c r="A185" t="s">
        <v>7177</v>
      </c>
      <c r="B185" t="s">
        <v>3134</v>
      </c>
    </row>
    <row r="186" spans="1:2" x14ac:dyDescent="0.25">
      <c r="A186" t="s">
        <v>7178</v>
      </c>
      <c r="B186" t="s">
        <v>3134</v>
      </c>
    </row>
    <row r="187" spans="1:2" x14ac:dyDescent="0.25">
      <c r="A187" t="s">
        <v>7179</v>
      </c>
      <c r="B187" t="s">
        <v>3134</v>
      </c>
    </row>
    <row r="188" spans="1:2" x14ac:dyDescent="0.25">
      <c r="A188" t="s">
        <v>7180</v>
      </c>
      <c r="B188" t="s">
        <v>3134</v>
      </c>
    </row>
    <row r="189" spans="1:2" x14ac:dyDescent="0.25">
      <c r="A189" t="s">
        <v>7181</v>
      </c>
      <c r="B189" t="s">
        <v>3134</v>
      </c>
    </row>
    <row r="190" spans="1:2" x14ac:dyDescent="0.25">
      <c r="A190" t="s">
        <v>7182</v>
      </c>
      <c r="B190" t="s">
        <v>3134</v>
      </c>
    </row>
    <row r="191" spans="1:2" x14ac:dyDescent="0.25">
      <c r="A191" t="s">
        <v>7183</v>
      </c>
      <c r="B191" t="s">
        <v>3134</v>
      </c>
    </row>
    <row r="192" spans="1:2" x14ac:dyDescent="0.25">
      <c r="A192" t="s">
        <v>7184</v>
      </c>
      <c r="B192" t="s">
        <v>3134</v>
      </c>
    </row>
    <row r="193" spans="1:2" x14ac:dyDescent="0.25">
      <c r="A193" t="s">
        <v>7185</v>
      </c>
      <c r="B193" t="s">
        <v>3134</v>
      </c>
    </row>
    <row r="194" spans="1:2" x14ac:dyDescent="0.25">
      <c r="A194" t="s">
        <v>7186</v>
      </c>
      <c r="B194" t="s">
        <v>3134</v>
      </c>
    </row>
    <row r="195" spans="1:2" x14ac:dyDescent="0.25">
      <c r="A195" t="s">
        <v>7187</v>
      </c>
      <c r="B195" t="s">
        <v>3134</v>
      </c>
    </row>
    <row r="196" spans="1:2" x14ac:dyDescent="0.25">
      <c r="A196" t="s">
        <v>7188</v>
      </c>
      <c r="B196" t="s">
        <v>3134</v>
      </c>
    </row>
    <row r="197" spans="1:2" x14ac:dyDescent="0.25">
      <c r="A197" t="s">
        <v>7189</v>
      </c>
      <c r="B197" t="s">
        <v>3134</v>
      </c>
    </row>
    <row r="198" spans="1:2" x14ac:dyDescent="0.25">
      <c r="A198" t="s">
        <v>7190</v>
      </c>
      <c r="B198" t="s">
        <v>3134</v>
      </c>
    </row>
    <row r="199" spans="1:2" x14ac:dyDescent="0.25">
      <c r="A199" t="s">
        <v>7191</v>
      </c>
      <c r="B199" t="s">
        <v>3134</v>
      </c>
    </row>
    <row r="200" spans="1:2" x14ac:dyDescent="0.25">
      <c r="A200" t="s">
        <v>7192</v>
      </c>
      <c r="B200" t="s">
        <v>3134</v>
      </c>
    </row>
    <row r="201" spans="1:2" x14ac:dyDescent="0.25">
      <c r="A201" t="s">
        <v>7193</v>
      </c>
      <c r="B201" t="s">
        <v>3134</v>
      </c>
    </row>
    <row r="202" spans="1:2" x14ac:dyDescent="0.25">
      <c r="A202" t="s">
        <v>7194</v>
      </c>
      <c r="B202" t="s">
        <v>3134</v>
      </c>
    </row>
    <row r="203" spans="1:2" x14ac:dyDescent="0.25">
      <c r="A203" t="s">
        <v>7195</v>
      </c>
      <c r="B203" t="s">
        <v>3134</v>
      </c>
    </row>
    <row r="204" spans="1:2" x14ac:dyDescent="0.25">
      <c r="A204" t="s">
        <v>7196</v>
      </c>
      <c r="B204" t="s">
        <v>3134</v>
      </c>
    </row>
    <row r="205" spans="1:2" x14ac:dyDescent="0.25">
      <c r="A205" t="s">
        <v>7197</v>
      </c>
      <c r="B205" t="s">
        <v>3134</v>
      </c>
    </row>
    <row r="206" spans="1:2" x14ac:dyDescent="0.25">
      <c r="A206" t="s">
        <v>7198</v>
      </c>
      <c r="B206" t="s">
        <v>3134</v>
      </c>
    </row>
    <row r="207" spans="1:2" x14ac:dyDescent="0.25">
      <c r="A207" t="s">
        <v>7199</v>
      </c>
      <c r="B207" t="s">
        <v>3134</v>
      </c>
    </row>
    <row r="208" spans="1:2" x14ac:dyDescent="0.25">
      <c r="A208" t="s">
        <v>7200</v>
      </c>
      <c r="B208" t="s">
        <v>3134</v>
      </c>
    </row>
    <row r="209" spans="1:2" x14ac:dyDescent="0.25">
      <c r="A209" t="s">
        <v>7201</v>
      </c>
      <c r="B209" t="s">
        <v>3134</v>
      </c>
    </row>
    <row r="210" spans="1:2" x14ac:dyDescent="0.25">
      <c r="A210" t="s">
        <v>11267</v>
      </c>
      <c r="B210" t="s">
        <v>3134</v>
      </c>
    </row>
    <row r="211" spans="1:2" x14ac:dyDescent="0.25">
      <c r="A211" t="s">
        <v>6168</v>
      </c>
      <c r="B211" t="s">
        <v>3134</v>
      </c>
    </row>
    <row r="212" spans="1:2" x14ac:dyDescent="0.25">
      <c r="A212" t="s">
        <v>11009</v>
      </c>
      <c r="B212" t="s">
        <v>3134</v>
      </c>
    </row>
    <row r="213" spans="1:2" x14ac:dyDescent="0.25">
      <c r="A213" t="s">
        <v>396</v>
      </c>
      <c r="B213" t="s">
        <v>8886</v>
      </c>
    </row>
    <row r="214" spans="1:2" x14ac:dyDescent="0.25">
      <c r="A214" t="s">
        <v>10213</v>
      </c>
      <c r="B214" t="s">
        <v>396</v>
      </c>
    </row>
    <row r="215" spans="1:2" x14ac:dyDescent="0.25">
      <c r="A215" t="s">
        <v>8489</v>
      </c>
      <c r="B215" t="s">
        <v>10213</v>
      </c>
    </row>
    <row r="216" spans="1:2" x14ac:dyDescent="0.25">
      <c r="A216" t="s">
        <v>5807</v>
      </c>
      <c r="B216" t="s">
        <v>10213</v>
      </c>
    </row>
    <row r="217" spans="1:2" x14ac:dyDescent="0.25">
      <c r="A217" t="s">
        <v>4977</v>
      </c>
      <c r="B217" t="s">
        <v>10213</v>
      </c>
    </row>
    <row r="218" spans="1:2" x14ac:dyDescent="0.25">
      <c r="A218" t="s">
        <v>5427</v>
      </c>
      <c r="B218" t="s">
        <v>10213</v>
      </c>
    </row>
    <row r="219" spans="1:2" x14ac:dyDescent="0.25">
      <c r="A219" t="s">
        <v>6756</v>
      </c>
      <c r="B219" t="s">
        <v>10213</v>
      </c>
    </row>
    <row r="220" spans="1:2" x14ac:dyDescent="0.25">
      <c r="A220" t="s">
        <v>13651</v>
      </c>
      <c r="B220" t="s">
        <v>10213</v>
      </c>
    </row>
    <row r="221" spans="1:2" x14ac:dyDescent="0.25">
      <c r="A221" t="s">
        <v>13652</v>
      </c>
      <c r="B221" t="s">
        <v>10213</v>
      </c>
    </row>
    <row r="222" spans="1:2" x14ac:dyDescent="0.25">
      <c r="A222" t="s">
        <v>13653</v>
      </c>
      <c r="B222" t="s">
        <v>10213</v>
      </c>
    </row>
    <row r="223" spans="1:2" x14ac:dyDescent="0.25">
      <c r="A223" t="s">
        <v>13654</v>
      </c>
      <c r="B223" t="s">
        <v>10213</v>
      </c>
    </row>
    <row r="224" spans="1:2" x14ac:dyDescent="0.25">
      <c r="A224" t="s">
        <v>14727</v>
      </c>
      <c r="B224" t="s">
        <v>10213</v>
      </c>
    </row>
    <row r="225" spans="1:2" x14ac:dyDescent="0.25">
      <c r="A225" t="s">
        <v>8509</v>
      </c>
      <c r="B225" t="s">
        <v>396</v>
      </c>
    </row>
    <row r="226" spans="1:2" x14ac:dyDescent="0.25">
      <c r="A226" t="s">
        <v>4976</v>
      </c>
      <c r="B226" t="s">
        <v>8509</v>
      </c>
    </row>
    <row r="227" spans="1:2" x14ac:dyDescent="0.25">
      <c r="A227" t="s">
        <v>8895</v>
      </c>
      <c r="B227" t="s">
        <v>8509</v>
      </c>
    </row>
    <row r="228" spans="1:2" x14ac:dyDescent="0.25">
      <c r="A228" t="s">
        <v>3127</v>
      </c>
      <c r="B228" t="s">
        <v>8509</v>
      </c>
    </row>
    <row r="229" spans="1:2" x14ac:dyDescent="0.25">
      <c r="A229" t="s">
        <v>10109</v>
      </c>
      <c r="B229" t="s">
        <v>3127</v>
      </c>
    </row>
    <row r="230" spans="1:2" x14ac:dyDescent="0.25">
      <c r="A230" t="s">
        <v>10110</v>
      </c>
      <c r="B230" t="s">
        <v>3127</v>
      </c>
    </row>
    <row r="231" spans="1:2" x14ac:dyDescent="0.25">
      <c r="A231" t="s">
        <v>10111</v>
      </c>
      <c r="B231" t="s">
        <v>3127</v>
      </c>
    </row>
    <row r="232" spans="1:2" x14ac:dyDescent="0.25">
      <c r="A232" t="s">
        <v>10112</v>
      </c>
      <c r="B232" t="s">
        <v>3127</v>
      </c>
    </row>
    <row r="233" spans="1:2" x14ac:dyDescent="0.25">
      <c r="A233" t="s">
        <v>10113</v>
      </c>
      <c r="B233" t="s">
        <v>3127</v>
      </c>
    </row>
    <row r="234" spans="1:2" x14ac:dyDescent="0.25">
      <c r="A234" t="s">
        <v>10651</v>
      </c>
      <c r="B234" t="s">
        <v>3127</v>
      </c>
    </row>
    <row r="235" spans="1:2" x14ac:dyDescent="0.25">
      <c r="A235" t="s">
        <v>5808</v>
      </c>
      <c r="B235" t="s">
        <v>8886</v>
      </c>
    </row>
    <row r="236" spans="1:2" x14ac:dyDescent="0.25">
      <c r="A236" t="s">
        <v>10214</v>
      </c>
      <c r="B236" t="s">
        <v>5808</v>
      </c>
    </row>
    <row r="237" spans="1:2" x14ac:dyDescent="0.25">
      <c r="A237" t="s">
        <v>3558</v>
      </c>
      <c r="B237" t="s">
        <v>10214</v>
      </c>
    </row>
    <row r="238" spans="1:2" x14ac:dyDescent="0.25">
      <c r="A238" t="s">
        <v>8510</v>
      </c>
      <c r="B238" t="s">
        <v>5808</v>
      </c>
    </row>
    <row r="239" spans="1:2" x14ac:dyDescent="0.25">
      <c r="A239" t="s">
        <v>4978</v>
      </c>
      <c r="B239" t="s">
        <v>8510</v>
      </c>
    </row>
    <row r="240" spans="1:2" x14ac:dyDescent="0.25">
      <c r="A240" t="s">
        <v>8896</v>
      </c>
      <c r="B240" t="s">
        <v>8510</v>
      </c>
    </row>
    <row r="241" spans="1:2" x14ac:dyDescent="0.25">
      <c r="A241" t="s">
        <v>7357</v>
      </c>
      <c r="B241" t="s">
        <v>8886</v>
      </c>
    </row>
    <row r="242" spans="1:2" x14ac:dyDescent="0.25">
      <c r="A242" t="s">
        <v>10215</v>
      </c>
      <c r="B242" t="s">
        <v>7357</v>
      </c>
    </row>
    <row r="243" spans="1:2" x14ac:dyDescent="0.25">
      <c r="A243" t="s">
        <v>8511</v>
      </c>
      <c r="B243" t="s">
        <v>7357</v>
      </c>
    </row>
    <row r="244" spans="1:2" x14ac:dyDescent="0.25">
      <c r="A244" t="s">
        <v>4979</v>
      </c>
      <c r="B244" t="s">
        <v>8511</v>
      </c>
    </row>
    <row r="245" spans="1:2" x14ac:dyDescent="0.25">
      <c r="A245" t="s">
        <v>6249</v>
      </c>
      <c r="B245" t="s">
        <v>8511</v>
      </c>
    </row>
    <row r="246" spans="1:2" x14ac:dyDescent="0.25">
      <c r="A246" t="s">
        <v>45</v>
      </c>
      <c r="B246" t="s">
        <v>8511</v>
      </c>
    </row>
    <row r="247" spans="1:2" x14ac:dyDescent="0.25">
      <c r="A247" t="s">
        <v>8897</v>
      </c>
      <c r="B247" t="s">
        <v>8511</v>
      </c>
    </row>
    <row r="248" spans="1:2" x14ac:dyDescent="0.25">
      <c r="A248" t="s">
        <v>3128</v>
      </c>
      <c r="B248" t="s">
        <v>8511</v>
      </c>
    </row>
    <row r="249" spans="1:2" x14ac:dyDescent="0.25">
      <c r="A249" t="s">
        <v>3842</v>
      </c>
      <c r="B249" t="s">
        <v>3128</v>
      </c>
    </row>
    <row r="250" spans="1:2" x14ac:dyDescent="0.25">
      <c r="A250" t="s">
        <v>6612</v>
      </c>
      <c r="B250" t="s">
        <v>3128</v>
      </c>
    </row>
    <row r="251" spans="1:2" x14ac:dyDescent="0.25">
      <c r="A251" t="s">
        <v>1619</v>
      </c>
      <c r="B251" t="s">
        <v>3128</v>
      </c>
    </row>
    <row r="252" spans="1:2" x14ac:dyDescent="0.25">
      <c r="A252" t="s">
        <v>3989</v>
      </c>
      <c r="B252" t="s">
        <v>3128</v>
      </c>
    </row>
    <row r="253" spans="1:2" x14ac:dyDescent="0.25">
      <c r="A253" t="s">
        <v>3990</v>
      </c>
      <c r="B253" t="s">
        <v>3128</v>
      </c>
    </row>
    <row r="254" spans="1:2" x14ac:dyDescent="0.25">
      <c r="A254" t="s">
        <v>1620</v>
      </c>
      <c r="B254" t="s">
        <v>3128</v>
      </c>
    </row>
    <row r="255" spans="1:2" x14ac:dyDescent="0.25">
      <c r="A255" t="s">
        <v>3991</v>
      </c>
      <c r="B255" t="s">
        <v>3128</v>
      </c>
    </row>
    <row r="256" spans="1:2" x14ac:dyDescent="0.25">
      <c r="A256" t="s">
        <v>1626</v>
      </c>
      <c r="B256" t="s">
        <v>3128</v>
      </c>
    </row>
    <row r="257" spans="1:2" x14ac:dyDescent="0.25">
      <c r="A257" t="s">
        <v>1627</v>
      </c>
      <c r="B257" t="s">
        <v>3128</v>
      </c>
    </row>
    <row r="258" spans="1:2" x14ac:dyDescent="0.25">
      <c r="A258" t="s">
        <v>2262</v>
      </c>
      <c r="B258" t="s">
        <v>8886</v>
      </c>
    </row>
    <row r="259" spans="1:2" x14ac:dyDescent="0.25">
      <c r="A259" t="s">
        <v>10216</v>
      </c>
      <c r="B259" t="s">
        <v>2262</v>
      </c>
    </row>
    <row r="260" spans="1:2" x14ac:dyDescent="0.25">
      <c r="A260" t="s">
        <v>46</v>
      </c>
      <c r="B260" t="s">
        <v>10216</v>
      </c>
    </row>
    <row r="261" spans="1:2" x14ac:dyDescent="0.25">
      <c r="A261" t="s">
        <v>9305</v>
      </c>
      <c r="B261" t="s">
        <v>10216</v>
      </c>
    </row>
    <row r="262" spans="1:2" x14ac:dyDescent="0.25">
      <c r="A262" t="s">
        <v>498</v>
      </c>
      <c r="B262" t="s">
        <v>9305</v>
      </c>
    </row>
    <row r="263" spans="1:2" x14ac:dyDescent="0.25">
      <c r="A263" t="s">
        <v>7993</v>
      </c>
      <c r="B263" t="s">
        <v>10216</v>
      </c>
    </row>
    <row r="264" spans="1:2" x14ac:dyDescent="0.25">
      <c r="A264" t="s">
        <v>3571</v>
      </c>
      <c r="B264" t="s">
        <v>10216</v>
      </c>
    </row>
    <row r="265" spans="1:2" x14ac:dyDescent="0.25">
      <c r="A265" t="s">
        <v>246</v>
      </c>
      <c r="B265" t="s">
        <v>10216</v>
      </c>
    </row>
    <row r="266" spans="1:2" x14ac:dyDescent="0.25">
      <c r="A266" t="s">
        <v>5452</v>
      </c>
      <c r="B266" t="s">
        <v>10216</v>
      </c>
    </row>
    <row r="267" spans="1:2" x14ac:dyDescent="0.25">
      <c r="A267" t="s">
        <v>12937</v>
      </c>
      <c r="B267" t="s">
        <v>10216</v>
      </c>
    </row>
    <row r="268" spans="1:2" x14ac:dyDescent="0.25">
      <c r="A268" t="s">
        <v>12939</v>
      </c>
      <c r="B268" t="s">
        <v>10216</v>
      </c>
    </row>
    <row r="269" spans="1:2" x14ac:dyDescent="0.25">
      <c r="A269" t="s">
        <v>14882</v>
      </c>
      <c r="B269" t="s">
        <v>10216</v>
      </c>
    </row>
    <row r="270" spans="1:2" x14ac:dyDescent="0.25">
      <c r="A270" t="s">
        <v>8512</v>
      </c>
      <c r="B270" t="s">
        <v>2262</v>
      </c>
    </row>
    <row r="271" spans="1:2" x14ac:dyDescent="0.25">
      <c r="A271" t="s">
        <v>4980</v>
      </c>
      <c r="B271" t="s">
        <v>8512</v>
      </c>
    </row>
    <row r="272" spans="1:2" x14ac:dyDescent="0.25">
      <c r="A272" t="s">
        <v>8898</v>
      </c>
      <c r="B272" t="s">
        <v>8512</v>
      </c>
    </row>
    <row r="273" spans="1:2" x14ac:dyDescent="0.25">
      <c r="A273" t="s">
        <v>10717</v>
      </c>
      <c r="B273" t="s">
        <v>8512</v>
      </c>
    </row>
    <row r="274" spans="1:2" x14ac:dyDescent="0.25">
      <c r="A274" t="s">
        <v>58</v>
      </c>
      <c r="B274" t="s">
        <v>10717</v>
      </c>
    </row>
    <row r="275" spans="1:2" x14ac:dyDescent="0.25">
      <c r="A275" t="s">
        <v>59</v>
      </c>
      <c r="B275" t="s">
        <v>10717</v>
      </c>
    </row>
    <row r="276" spans="1:2" x14ac:dyDescent="0.25">
      <c r="A276" t="s">
        <v>5829</v>
      </c>
      <c r="B276" t="s">
        <v>10717</v>
      </c>
    </row>
    <row r="277" spans="1:2" x14ac:dyDescent="0.25">
      <c r="A277" t="s">
        <v>5450</v>
      </c>
      <c r="B277" t="s">
        <v>10717</v>
      </c>
    </row>
    <row r="278" spans="1:2" x14ac:dyDescent="0.25">
      <c r="A278" t="s">
        <v>11066</v>
      </c>
      <c r="B278" t="s">
        <v>8512</v>
      </c>
    </row>
    <row r="279" spans="1:2" x14ac:dyDescent="0.25">
      <c r="A279" t="s">
        <v>12932</v>
      </c>
      <c r="B279" t="s">
        <v>8512</v>
      </c>
    </row>
    <row r="280" spans="1:2" x14ac:dyDescent="0.25">
      <c r="A280" t="s">
        <v>12933</v>
      </c>
      <c r="B280" t="s">
        <v>8512</v>
      </c>
    </row>
    <row r="281" spans="1:2" x14ac:dyDescent="0.25">
      <c r="A281" t="s">
        <v>6250</v>
      </c>
      <c r="B281" t="s">
        <v>8512</v>
      </c>
    </row>
    <row r="282" spans="1:2" x14ac:dyDescent="0.25">
      <c r="A282" t="s">
        <v>14728</v>
      </c>
      <c r="B282" t="s">
        <v>8512</v>
      </c>
    </row>
    <row r="283" spans="1:2" x14ac:dyDescent="0.25">
      <c r="A283" t="s">
        <v>14729</v>
      </c>
      <c r="B283" t="s">
        <v>14728</v>
      </c>
    </row>
    <row r="284" spans="1:2" x14ac:dyDescent="0.25">
      <c r="A284" t="s">
        <v>14730</v>
      </c>
      <c r="B284" t="s">
        <v>14728</v>
      </c>
    </row>
    <row r="285" spans="1:2" x14ac:dyDescent="0.25">
      <c r="A285" t="s">
        <v>14731</v>
      </c>
      <c r="B285" t="s">
        <v>14728</v>
      </c>
    </row>
    <row r="286" spans="1:2" x14ac:dyDescent="0.25">
      <c r="A286" t="s">
        <v>3559</v>
      </c>
      <c r="B286" t="s">
        <v>8886</v>
      </c>
    </row>
    <row r="287" spans="1:2" x14ac:dyDescent="0.25">
      <c r="A287" t="s">
        <v>10217</v>
      </c>
      <c r="B287" t="s">
        <v>3559</v>
      </c>
    </row>
    <row r="288" spans="1:2" x14ac:dyDescent="0.25">
      <c r="A288" t="s">
        <v>494</v>
      </c>
      <c r="B288" t="s">
        <v>10217</v>
      </c>
    </row>
    <row r="289" spans="1:2" x14ac:dyDescent="0.25">
      <c r="A289" t="s">
        <v>8513</v>
      </c>
      <c r="B289" t="s">
        <v>3559</v>
      </c>
    </row>
    <row r="290" spans="1:2" x14ac:dyDescent="0.25">
      <c r="A290" t="s">
        <v>4981</v>
      </c>
      <c r="B290" t="s">
        <v>8513</v>
      </c>
    </row>
    <row r="291" spans="1:2" x14ac:dyDescent="0.25">
      <c r="A291" t="s">
        <v>8899</v>
      </c>
      <c r="B291" t="s">
        <v>8513</v>
      </c>
    </row>
    <row r="292" spans="1:2" x14ac:dyDescent="0.25">
      <c r="A292" t="s">
        <v>5809</v>
      </c>
      <c r="B292" t="s">
        <v>8886</v>
      </c>
    </row>
    <row r="293" spans="1:2" x14ac:dyDescent="0.25">
      <c r="A293" t="s">
        <v>10218</v>
      </c>
      <c r="B293" t="s">
        <v>5809</v>
      </c>
    </row>
    <row r="294" spans="1:2" x14ac:dyDescent="0.25">
      <c r="A294" t="s">
        <v>9282</v>
      </c>
      <c r="B294" t="s">
        <v>10218</v>
      </c>
    </row>
    <row r="295" spans="1:2" x14ac:dyDescent="0.25">
      <c r="A295" t="s">
        <v>10197</v>
      </c>
      <c r="B295" t="s">
        <v>10218</v>
      </c>
    </row>
    <row r="296" spans="1:2" x14ac:dyDescent="0.25">
      <c r="A296" t="s">
        <v>8514</v>
      </c>
      <c r="B296" t="s">
        <v>5809</v>
      </c>
    </row>
    <row r="297" spans="1:2" x14ac:dyDescent="0.25">
      <c r="A297" t="s">
        <v>4982</v>
      </c>
      <c r="B297" t="s">
        <v>8514</v>
      </c>
    </row>
    <row r="298" spans="1:2" x14ac:dyDescent="0.25">
      <c r="A298" t="s">
        <v>8900</v>
      </c>
      <c r="B298" t="s">
        <v>8514</v>
      </c>
    </row>
    <row r="299" spans="1:2" x14ac:dyDescent="0.25">
      <c r="A299" t="s">
        <v>7978</v>
      </c>
      <c r="B299" t="s">
        <v>8886</v>
      </c>
    </row>
    <row r="300" spans="1:2" x14ac:dyDescent="0.25">
      <c r="A300" t="s">
        <v>10219</v>
      </c>
      <c r="B300" t="s">
        <v>7978</v>
      </c>
    </row>
    <row r="301" spans="1:2" x14ac:dyDescent="0.25">
      <c r="A301" t="s">
        <v>7358</v>
      </c>
      <c r="B301" t="s">
        <v>10219</v>
      </c>
    </row>
    <row r="302" spans="1:2" x14ac:dyDescent="0.25">
      <c r="A302" t="s">
        <v>5428</v>
      </c>
      <c r="B302" t="s">
        <v>10219</v>
      </c>
    </row>
    <row r="303" spans="1:2" x14ac:dyDescent="0.25">
      <c r="A303" t="s">
        <v>7979</v>
      </c>
      <c r="B303" t="s">
        <v>10219</v>
      </c>
    </row>
    <row r="304" spans="1:2" x14ac:dyDescent="0.25">
      <c r="A304" t="s">
        <v>8515</v>
      </c>
      <c r="B304" t="s">
        <v>7978</v>
      </c>
    </row>
    <row r="305" spans="1:2" x14ac:dyDescent="0.25">
      <c r="A305" t="s">
        <v>4983</v>
      </c>
      <c r="B305" t="s">
        <v>8515</v>
      </c>
    </row>
    <row r="306" spans="1:2" x14ac:dyDescent="0.25">
      <c r="A306" t="s">
        <v>8901</v>
      </c>
      <c r="B306" t="s">
        <v>8515</v>
      </c>
    </row>
    <row r="307" spans="1:2" x14ac:dyDescent="0.25">
      <c r="A307" t="s">
        <v>47</v>
      </c>
      <c r="B307" t="s">
        <v>8886</v>
      </c>
    </row>
    <row r="308" spans="1:2" x14ac:dyDescent="0.25">
      <c r="A308" t="s">
        <v>10220</v>
      </c>
      <c r="B308" t="s">
        <v>47</v>
      </c>
    </row>
    <row r="309" spans="1:2" x14ac:dyDescent="0.25">
      <c r="A309" t="s">
        <v>7977</v>
      </c>
      <c r="B309" t="s">
        <v>10220</v>
      </c>
    </row>
    <row r="310" spans="1:2" x14ac:dyDescent="0.25">
      <c r="A310" t="s">
        <v>10703</v>
      </c>
      <c r="B310" t="s">
        <v>10220</v>
      </c>
    </row>
    <row r="311" spans="1:2" x14ac:dyDescent="0.25">
      <c r="A311" t="s">
        <v>4060</v>
      </c>
      <c r="B311" t="s">
        <v>10220</v>
      </c>
    </row>
    <row r="312" spans="1:2" x14ac:dyDescent="0.25">
      <c r="A312" t="s">
        <v>3570</v>
      </c>
      <c r="B312" t="s">
        <v>10220</v>
      </c>
    </row>
    <row r="313" spans="1:2" x14ac:dyDescent="0.25">
      <c r="A313" t="s">
        <v>8516</v>
      </c>
      <c r="B313" t="s">
        <v>47</v>
      </c>
    </row>
    <row r="314" spans="1:2" x14ac:dyDescent="0.25">
      <c r="A314" t="s">
        <v>4984</v>
      </c>
      <c r="B314" t="s">
        <v>8516</v>
      </c>
    </row>
    <row r="315" spans="1:2" x14ac:dyDescent="0.25">
      <c r="A315" t="s">
        <v>8902</v>
      </c>
      <c r="B315" t="s">
        <v>8516</v>
      </c>
    </row>
    <row r="316" spans="1:2" x14ac:dyDescent="0.25">
      <c r="A316" t="s">
        <v>8903</v>
      </c>
      <c r="B316" t="s">
        <v>8516</v>
      </c>
    </row>
    <row r="317" spans="1:2" x14ac:dyDescent="0.25">
      <c r="A317" t="s">
        <v>48</v>
      </c>
      <c r="B317" t="s">
        <v>8886</v>
      </c>
    </row>
    <row r="318" spans="1:2" x14ac:dyDescent="0.25">
      <c r="A318" t="s">
        <v>10221</v>
      </c>
      <c r="B318" t="s">
        <v>48</v>
      </c>
    </row>
    <row r="319" spans="1:2" x14ac:dyDescent="0.25">
      <c r="A319" t="s">
        <v>11825</v>
      </c>
      <c r="B319" t="s">
        <v>10221</v>
      </c>
    </row>
    <row r="320" spans="1:2" x14ac:dyDescent="0.25">
      <c r="A320" t="s">
        <v>11051</v>
      </c>
      <c r="B320" t="s">
        <v>10221</v>
      </c>
    </row>
    <row r="321" spans="1:2" x14ac:dyDescent="0.25">
      <c r="A321" t="s">
        <v>5810</v>
      </c>
      <c r="B321" t="s">
        <v>10221</v>
      </c>
    </row>
    <row r="322" spans="1:2" x14ac:dyDescent="0.25">
      <c r="A322" t="s">
        <v>11826</v>
      </c>
      <c r="B322" t="s">
        <v>10221</v>
      </c>
    </row>
    <row r="323" spans="1:2" x14ac:dyDescent="0.25">
      <c r="A323" t="s">
        <v>8517</v>
      </c>
      <c r="B323" t="s">
        <v>48</v>
      </c>
    </row>
    <row r="324" spans="1:2" x14ac:dyDescent="0.25">
      <c r="A324" t="s">
        <v>4985</v>
      </c>
      <c r="B324" t="s">
        <v>8517</v>
      </c>
    </row>
    <row r="325" spans="1:2" x14ac:dyDescent="0.25">
      <c r="A325" t="s">
        <v>8904</v>
      </c>
      <c r="B325" t="s">
        <v>8517</v>
      </c>
    </row>
    <row r="326" spans="1:2" x14ac:dyDescent="0.25">
      <c r="A326" t="s">
        <v>3129</v>
      </c>
      <c r="B326" t="s">
        <v>8517</v>
      </c>
    </row>
    <row r="327" spans="1:2" x14ac:dyDescent="0.25">
      <c r="A327" t="s">
        <v>11269</v>
      </c>
      <c r="B327" t="s">
        <v>3129</v>
      </c>
    </row>
    <row r="328" spans="1:2" x14ac:dyDescent="0.25">
      <c r="A328" t="s">
        <v>11270</v>
      </c>
      <c r="B328" t="s">
        <v>3129</v>
      </c>
    </row>
    <row r="329" spans="1:2" x14ac:dyDescent="0.25">
      <c r="A329" t="s">
        <v>11271</v>
      </c>
      <c r="B329" t="s">
        <v>3129</v>
      </c>
    </row>
    <row r="330" spans="1:2" x14ac:dyDescent="0.25">
      <c r="A330" t="s">
        <v>11272</v>
      </c>
      <c r="B330" t="s">
        <v>3129</v>
      </c>
    </row>
    <row r="331" spans="1:2" x14ac:dyDescent="0.25">
      <c r="A331" t="s">
        <v>11273</v>
      </c>
      <c r="B331" t="s">
        <v>3129</v>
      </c>
    </row>
    <row r="332" spans="1:2" x14ac:dyDescent="0.25">
      <c r="A332" t="s">
        <v>11274</v>
      </c>
      <c r="B332" t="s">
        <v>3129</v>
      </c>
    </row>
    <row r="333" spans="1:2" x14ac:dyDescent="0.25">
      <c r="A333" t="s">
        <v>11275</v>
      </c>
      <c r="B333" t="s">
        <v>3129</v>
      </c>
    </row>
    <row r="334" spans="1:2" x14ac:dyDescent="0.25">
      <c r="A334" t="s">
        <v>11276</v>
      </c>
      <c r="B334" t="s">
        <v>3129</v>
      </c>
    </row>
    <row r="335" spans="1:2" x14ac:dyDescent="0.25">
      <c r="A335" t="s">
        <v>11277</v>
      </c>
      <c r="B335" t="s">
        <v>3129</v>
      </c>
    </row>
    <row r="336" spans="1:2" x14ac:dyDescent="0.25">
      <c r="A336" t="s">
        <v>11278</v>
      </c>
      <c r="B336" t="s">
        <v>3129</v>
      </c>
    </row>
    <row r="337" spans="1:2" x14ac:dyDescent="0.25">
      <c r="A337" t="s">
        <v>11279</v>
      </c>
      <c r="B337" t="s">
        <v>3129</v>
      </c>
    </row>
    <row r="338" spans="1:2" x14ac:dyDescent="0.25">
      <c r="A338" t="s">
        <v>11280</v>
      </c>
      <c r="B338" t="s">
        <v>3129</v>
      </c>
    </row>
    <row r="339" spans="1:2" x14ac:dyDescent="0.25">
      <c r="A339" t="s">
        <v>11281</v>
      </c>
      <c r="B339" t="s">
        <v>3129</v>
      </c>
    </row>
    <row r="340" spans="1:2" x14ac:dyDescent="0.25">
      <c r="A340" t="s">
        <v>11282</v>
      </c>
      <c r="B340" t="s">
        <v>3129</v>
      </c>
    </row>
    <row r="341" spans="1:2" x14ac:dyDescent="0.25">
      <c r="A341" t="s">
        <v>11283</v>
      </c>
      <c r="B341" t="s">
        <v>3129</v>
      </c>
    </row>
    <row r="342" spans="1:2" x14ac:dyDescent="0.25">
      <c r="A342" t="s">
        <v>11284</v>
      </c>
      <c r="B342" t="s">
        <v>3129</v>
      </c>
    </row>
    <row r="343" spans="1:2" x14ac:dyDescent="0.25">
      <c r="A343" t="s">
        <v>11285</v>
      </c>
      <c r="B343" t="s">
        <v>3129</v>
      </c>
    </row>
    <row r="344" spans="1:2" x14ac:dyDescent="0.25">
      <c r="A344" t="s">
        <v>11286</v>
      </c>
      <c r="B344" t="s">
        <v>3129</v>
      </c>
    </row>
    <row r="345" spans="1:2" x14ac:dyDescent="0.25">
      <c r="A345" t="s">
        <v>11287</v>
      </c>
      <c r="B345" t="s">
        <v>3129</v>
      </c>
    </row>
    <row r="346" spans="1:2" x14ac:dyDescent="0.25">
      <c r="A346" t="s">
        <v>11288</v>
      </c>
      <c r="B346" t="s">
        <v>3129</v>
      </c>
    </row>
    <row r="347" spans="1:2" x14ac:dyDescent="0.25">
      <c r="A347" t="s">
        <v>11289</v>
      </c>
      <c r="B347" t="s">
        <v>3129</v>
      </c>
    </row>
    <row r="348" spans="1:2" x14ac:dyDescent="0.25">
      <c r="A348" t="s">
        <v>11290</v>
      </c>
      <c r="B348" t="s">
        <v>3129</v>
      </c>
    </row>
    <row r="349" spans="1:2" x14ac:dyDescent="0.25">
      <c r="A349" t="s">
        <v>11291</v>
      </c>
      <c r="B349" t="s">
        <v>3129</v>
      </c>
    </row>
    <row r="350" spans="1:2" x14ac:dyDescent="0.25">
      <c r="A350" t="s">
        <v>11292</v>
      </c>
      <c r="B350" t="s">
        <v>3129</v>
      </c>
    </row>
    <row r="351" spans="1:2" x14ac:dyDescent="0.25">
      <c r="A351" t="s">
        <v>11293</v>
      </c>
      <c r="B351" t="s">
        <v>3129</v>
      </c>
    </row>
    <row r="352" spans="1:2" x14ac:dyDescent="0.25">
      <c r="A352" t="s">
        <v>11294</v>
      </c>
      <c r="B352" t="s">
        <v>3129</v>
      </c>
    </row>
    <row r="353" spans="1:2" x14ac:dyDescent="0.25">
      <c r="A353" t="s">
        <v>11295</v>
      </c>
      <c r="B353" t="s">
        <v>3129</v>
      </c>
    </row>
    <row r="354" spans="1:2" x14ac:dyDescent="0.25">
      <c r="A354" t="s">
        <v>3030</v>
      </c>
      <c r="B354" t="s">
        <v>3129</v>
      </c>
    </row>
    <row r="355" spans="1:2" x14ac:dyDescent="0.25">
      <c r="A355" t="s">
        <v>10634</v>
      </c>
      <c r="B355" t="s">
        <v>3129</v>
      </c>
    </row>
    <row r="356" spans="1:2" x14ac:dyDescent="0.25">
      <c r="A356" t="s">
        <v>6757</v>
      </c>
      <c r="B356" t="s">
        <v>8886</v>
      </c>
    </row>
    <row r="357" spans="1:2" x14ac:dyDescent="0.25">
      <c r="A357" t="s">
        <v>10223</v>
      </c>
      <c r="B357" t="s">
        <v>6757</v>
      </c>
    </row>
    <row r="358" spans="1:2" x14ac:dyDescent="0.25">
      <c r="A358" t="s">
        <v>4570</v>
      </c>
      <c r="B358" t="s">
        <v>10223</v>
      </c>
    </row>
    <row r="359" spans="1:2" x14ac:dyDescent="0.25">
      <c r="A359" t="s">
        <v>8518</v>
      </c>
      <c r="B359" t="s">
        <v>6757</v>
      </c>
    </row>
    <row r="360" spans="1:2" x14ac:dyDescent="0.25">
      <c r="A360" t="s">
        <v>4986</v>
      </c>
      <c r="B360" t="s">
        <v>8518</v>
      </c>
    </row>
    <row r="361" spans="1:2" x14ac:dyDescent="0.25">
      <c r="A361" t="s">
        <v>8905</v>
      </c>
      <c r="B361" t="s">
        <v>8518</v>
      </c>
    </row>
    <row r="362" spans="1:2" x14ac:dyDescent="0.25">
      <c r="A362" t="s">
        <v>8906</v>
      </c>
      <c r="B362" t="s">
        <v>8886</v>
      </c>
    </row>
    <row r="363" spans="1:2" x14ac:dyDescent="0.25">
      <c r="A363" t="s">
        <v>10224</v>
      </c>
      <c r="B363" t="s">
        <v>8906</v>
      </c>
    </row>
    <row r="364" spans="1:2" x14ac:dyDescent="0.25">
      <c r="A364" t="s">
        <v>13912</v>
      </c>
      <c r="B364" t="s">
        <v>10224</v>
      </c>
    </row>
    <row r="365" spans="1:2" x14ac:dyDescent="0.25">
      <c r="A365" t="s">
        <v>13863</v>
      </c>
      <c r="B365" t="s">
        <v>10224</v>
      </c>
    </row>
    <row r="366" spans="1:2" x14ac:dyDescent="0.25">
      <c r="A366" t="s">
        <v>13853</v>
      </c>
      <c r="B366" t="s">
        <v>10224</v>
      </c>
    </row>
    <row r="367" spans="1:2" x14ac:dyDescent="0.25">
      <c r="A367" t="s">
        <v>13854</v>
      </c>
      <c r="B367" t="s">
        <v>10224</v>
      </c>
    </row>
    <row r="368" spans="1:2" x14ac:dyDescent="0.25">
      <c r="A368" t="s">
        <v>13856</v>
      </c>
      <c r="B368" t="s">
        <v>10224</v>
      </c>
    </row>
    <row r="369" spans="1:2" x14ac:dyDescent="0.25">
      <c r="A369" t="s">
        <v>13905</v>
      </c>
      <c r="B369" t="s">
        <v>10224</v>
      </c>
    </row>
    <row r="370" spans="1:2" x14ac:dyDescent="0.25">
      <c r="A370" t="s">
        <v>13970</v>
      </c>
      <c r="B370" t="s">
        <v>10224</v>
      </c>
    </row>
    <row r="371" spans="1:2" x14ac:dyDescent="0.25">
      <c r="A371" t="s">
        <v>8519</v>
      </c>
      <c r="B371" t="s">
        <v>8906</v>
      </c>
    </row>
    <row r="372" spans="1:2" x14ac:dyDescent="0.25">
      <c r="A372" t="s">
        <v>4987</v>
      </c>
      <c r="B372" t="s">
        <v>8519</v>
      </c>
    </row>
    <row r="373" spans="1:2" x14ac:dyDescent="0.25">
      <c r="A373" t="s">
        <v>8907</v>
      </c>
      <c r="B373" t="s">
        <v>8519</v>
      </c>
    </row>
    <row r="374" spans="1:2" x14ac:dyDescent="0.25">
      <c r="A374" t="s">
        <v>6761</v>
      </c>
      <c r="B374" t="s">
        <v>8886</v>
      </c>
    </row>
    <row r="375" spans="1:2" x14ac:dyDescent="0.25">
      <c r="A375" t="s">
        <v>6762</v>
      </c>
      <c r="B375" t="s">
        <v>6761</v>
      </c>
    </row>
    <row r="376" spans="1:2" x14ac:dyDescent="0.25">
      <c r="A376" t="s">
        <v>12741</v>
      </c>
      <c r="B376" t="s">
        <v>6762</v>
      </c>
    </row>
    <row r="377" spans="1:2" x14ac:dyDescent="0.25">
      <c r="A377" t="s">
        <v>13308</v>
      </c>
      <c r="B377" t="s">
        <v>12741</v>
      </c>
    </row>
    <row r="378" spans="1:2" x14ac:dyDescent="0.25">
      <c r="A378" t="s">
        <v>244</v>
      </c>
      <c r="B378" t="s">
        <v>12741</v>
      </c>
    </row>
    <row r="379" spans="1:2" x14ac:dyDescent="0.25">
      <c r="A379" t="s">
        <v>4573</v>
      </c>
      <c r="B379" t="s">
        <v>244</v>
      </c>
    </row>
    <row r="380" spans="1:2" x14ac:dyDescent="0.25">
      <c r="A380" t="s">
        <v>11977</v>
      </c>
      <c r="B380" t="s">
        <v>244</v>
      </c>
    </row>
    <row r="381" spans="1:2" x14ac:dyDescent="0.25">
      <c r="A381" t="s">
        <v>10201</v>
      </c>
      <c r="B381" t="s">
        <v>244</v>
      </c>
    </row>
    <row r="382" spans="1:2" x14ac:dyDescent="0.25">
      <c r="A382" t="s">
        <v>8500</v>
      </c>
      <c r="B382" t="s">
        <v>244</v>
      </c>
    </row>
    <row r="383" spans="1:2" x14ac:dyDescent="0.25">
      <c r="A383" t="s">
        <v>5013</v>
      </c>
      <c r="B383" t="s">
        <v>244</v>
      </c>
    </row>
    <row r="384" spans="1:2" x14ac:dyDescent="0.25">
      <c r="A384" t="s">
        <v>9293</v>
      </c>
      <c r="B384" t="s">
        <v>12741</v>
      </c>
    </row>
    <row r="385" spans="1:2" x14ac:dyDescent="0.25">
      <c r="A385" t="s">
        <v>9287</v>
      </c>
      <c r="B385" t="s">
        <v>12741</v>
      </c>
    </row>
    <row r="386" spans="1:2" x14ac:dyDescent="0.25">
      <c r="A386" t="s">
        <v>10200</v>
      </c>
      <c r="B386" t="s">
        <v>6762</v>
      </c>
    </row>
    <row r="387" spans="1:2" x14ac:dyDescent="0.25">
      <c r="A387" t="s">
        <v>6254</v>
      </c>
      <c r="B387" t="s">
        <v>10200</v>
      </c>
    </row>
    <row r="388" spans="1:2" x14ac:dyDescent="0.25">
      <c r="A388" t="s">
        <v>8495</v>
      </c>
      <c r="B388" t="s">
        <v>6254</v>
      </c>
    </row>
    <row r="389" spans="1:2" x14ac:dyDescent="0.25">
      <c r="A389" t="s">
        <v>8496</v>
      </c>
      <c r="B389" t="s">
        <v>8495</v>
      </c>
    </row>
    <row r="390" spans="1:2" x14ac:dyDescent="0.25">
      <c r="A390" t="s">
        <v>5454</v>
      </c>
      <c r="B390" t="s">
        <v>6254</v>
      </c>
    </row>
    <row r="391" spans="1:2" x14ac:dyDescent="0.25">
      <c r="A391" t="s">
        <v>5445</v>
      </c>
      <c r="B391" t="s">
        <v>5454</v>
      </c>
    </row>
    <row r="392" spans="1:2" x14ac:dyDescent="0.25">
      <c r="A392" t="s">
        <v>5000</v>
      </c>
      <c r="B392" t="s">
        <v>5454</v>
      </c>
    </row>
    <row r="393" spans="1:2" x14ac:dyDescent="0.25">
      <c r="A393" t="s">
        <v>9322</v>
      </c>
      <c r="B393" t="s">
        <v>5454</v>
      </c>
    </row>
    <row r="394" spans="1:2" x14ac:dyDescent="0.25">
      <c r="A394" t="s">
        <v>11998</v>
      </c>
      <c r="B394" t="s">
        <v>6254</v>
      </c>
    </row>
    <row r="395" spans="1:2" x14ac:dyDescent="0.25">
      <c r="A395" t="s">
        <v>8914</v>
      </c>
      <c r="B395" t="s">
        <v>6254</v>
      </c>
    </row>
    <row r="396" spans="1:2" x14ac:dyDescent="0.25">
      <c r="A396" t="s">
        <v>7362</v>
      </c>
      <c r="B396" t="s">
        <v>10200</v>
      </c>
    </row>
    <row r="397" spans="1:2" x14ac:dyDescent="0.25">
      <c r="A397" t="s">
        <v>6255</v>
      </c>
      <c r="B397" t="s">
        <v>7362</v>
      </c>
    </row>
    <row r="398" spans="1:2" x14ac:dyDescent="0.25">
      <c r="A398" t="s">
        <v>11382</v>
      </c>
      <c r="B398" t="s">
        <v>7362</v>
      </c>
    </row>
    <row r="399" spans="1:2" x14ac:dyDescent="0.25">
      <c r="A399" t="s">
        <v>11611</v>
      </c>
      <c r="B399" t="s">
        <v>7362</v>
      </c>
    </row>
    <row r="400" spans="1:2" x14ac:dyDescent="0.25">
      <c r="A400" t="s">
        <v>11987</v>
      </c>
      <c r="B400" t="s">
        <v>7362</v>
      </c>
    </row>
    <row r="401" spans="1:2" x14ac:dyDescent="0.25">
      <c r="A401" t="s">
        <v>11988</v>
      </c>
      <c r="B401" t="s">
        <v>7362</v>
      </c>
    </row>
    <row r="402" spans="1:2" x14ac:dyDescent="0.25">
      <c r="A402" t="s">
        <v>10234</v>
      </c>
      <c r="B402" t="s">
        <v>7362</v>
      </c>
    </row>
    <row r="403" spans="1:2" x14ac:dyDescent="0.25">
      <c r="A403" t="s">
        <v>10719</v>
      </c>
      <c r="B403" t="s">
        <v>7362</v>
      </c>
    </row>
    <row r="404" spans="1:2" x14ac:dyDescent="0.25">
      <c r="A404" t="s">
        <v>11073</v>
      </c>
      <c r="B404" t="s">
        <v>7362</v>
      </c>
    </row>
    <row r="405" spans="1:2" x14ac:dyDescent="0.25">
      <c r="A405" t="s">
        <v>7365</v>
      </c>
      <c r="B405" t="s">
        <v>7362</v>
      </c>
    </row>
    <row r="406" spans="1:2" x14ac:dyDescent="0.25">
      <c r="A406" t="s">
        <v>6256</v>
      </c>
      <c r="B406" t="s">
        <v>7365</v>
      </c>
    </row>
    <row r="407" spans="1:2" x14ac:dyDescent="0.25">
      <c r="A407" t="s">
        <v>4061</v>
      </c>
      <c r="B407" t="s">
        <v>7365</v>
      </c>
    </row>
    <row r="408" spans="1:2" x14ac:dyDescent="0.25">
      <c r="A408" t="s">
        <v>7366</v>
      </c>
      <c r="B408" t="s">
        <v>7365</v>
      </c>
    </row>
    <row r="409" spans="1:2" x14ac:dyDescent="0.25">
      <c r="A409" t="s">
        <v>7363</v>
      </c>
      <c r="B409" t="s">
        <v>7365</v>
      </c>
    </row>
    <row r="410" spans="1:2" x14ac:dyDescent="0.25">
      <c r="A410" t="s">
        <v>6763</v>
      </c>
      <c r="B410" t="s">
        <v>10200</v>
      </c>
    </row>
    <row r="411" spans="1:2" x14ac:dyDescent="0.25">
      <c r="A411" t="s">
        <v>9707</v>
      </c>
      <c r="B411" t="s">
        <v>6763</v>
      </c>
    </row>
    <row r="412" spans="1:2" x14ac:dyDescent="0.25">
      <c r="A412" t="s">
        <v>5816</v>
      </c>
      <c r="B412" t="s">
        <v>9707</v>
      </c>
    </row>
    <row r="413" spans="1:2" x14ac:dyDescent="0.25">
      <c r="A413" t="s">
        <v>4990</v>
      </c>
      <c r="B413" t="s">
        <v>5816</v>
      </c>
    </row>
    <row r="414" spans="1:2" x14ac:dyDescent="0.25">
      <c r="A414" t="s">
        <v>8911</v>
      </c>
      <c r="B414" t="s">
        <v>5816</v>
      </c>
    </row>
    <row r="415" spans="1:2" x14ac:dyDescent="0.25">
      <c r="A415" t="s">
        <v>4991</v>
      </c>
      <c r="B415" t="s">
        <v>9707</v>
      </c>
    </row>
    <row r="416" spans="1:2" x14ac:dyDescent="0.25">
      <c r="A416" t="s">
        <v>7367</v>
      </c>
      <c r="B416" t="s">
        <v>4991</v>
      </c>
    </row>
    <row r="417" spans="1:2" x14ac:dyDescent="0.25">
      <c r="A417" t="s">
        <v>7390</v>
      </c>
      <c r="B417" t="s">
        <v>7367</v>
      </c>
    </row>
    <row r="418" spans="1:2" x14ac:dyDescent="0.25">
      <c r="A418" t="s">
        <v>6778</v>
      </c>
      <c r="B418" t="s">
        <v>7390</v>
      </c>
    </row>
    <row r="419" spans="1:2" x14ac:dyDescent="0.25">
      <c r="A419" t="s">
        <v>11396</v>
      </c>
      <c r="B419" t="s">
        <v>7390</v>
      </c>
    </row>
    <row r="420" spans="1:2" x14ac:dyDescent="0.25">
      <c r="A420" t="s">
        <v>9290</v>
      </c>
      <c r="B420" t="s">
        <v>4991</v>
      </c>
    </row>
    <row r="421" spans="1:2" x14ac:dyDescent="0.25">
      <c r="A421" t="s">
        <v>9291</v>
      </c>
      <c r="B421" t="s">
        <v>9290</v>
      </c>
    </row>
    <row r="422" spans="1:2" x14ac:dyDescent="0.25">
      <c r="A422" t="s">
        <v>5817</v>
      </c>
      <c r="B422" t="s">
        <v>9707</v>
      </c>
    </row>
    <row r="423" spans="1:2" x14ac:dyDescent="0.25">
      <c r="A423" t="s">
        <v>13309</v>
      </c>
      <c r="B423" t="s">
        <v>9707</v>
      </c>
    </row>
    <row r="424" spans="1:2" x14ac:dyDescent="0.25">
      <c r="A424" t="s">
        <v>13310</v>
      </c>
      <c r="B424" t="s">
        <v>9707</v>
      </c>
    </row>
    <row r="425" spans="1:2" x14ac:dyDescent="0.25">
      <c r="A425" t="s">
        <v>13311</v>
      </c>
      <c r="B425" t="s">
        <v>9707</v>
      </c>
    </row>
    <row r="426" spans="1:2" x14ac:dyDescent="0.25">
      <c r="A426" t="s">
        <v>13312</v>
      </c>
      <c r="B426" t="s">
        <v>9707</v>
      </c>
    </row>
    <row r="427" spans="1:2" x14ac:dyDescent="0.25">
      <c r="A427" t="s">
        <v>12901</v>
      </c>
      <c r="B427" t="s">
        <v>10200</v>
      </c>
    </row>
    <row r="428" spans="1:2" x14ac:dyDescent="0.25">
      <c r="A428" t="s">
        <v>12836</v>
      </c>
      <c r="B428" t="s">
        <v>12901</v>
      </c>
    </row>
    <row r="429" spans="1:2" x14ac:dyDescent="0.25">
      <c r="A429" t="s">
        <v>5837</v>
      </c>
      <c r="B429" t="s">
        <v>12836</v>
      </c>
    </row>
    <row r="430" spans="1:2" x14ac:dyDescent="0.25">
      <c r="A430" t="s">
        <v>5010</v>
      </c>
      <c r="B430" t="s">
        <v>5837</v>
      </c>
    </row>
    <row r="431" spans="1:2" x14ac:dyDescent="0.25">
      <c r="A431" t="s">
        <v>5011</v>
      </c>
      <c r="B431" t="s">
        <v>12836</v>
      </c>
    </row>
    <row r="432" spans="1:2" x14ac:dyDescent="0.25">
      <c r="A432" t="s">
        <v>7996</v>
      </c>
      <c r="B432" t="s">
        <v>5011</v>
      </c>
    </row>
    <row r="433" spans="1:2" x14ac:dyDescent="0.25">
      <c r="A433" t="s">
        <v>12000</v>
      </c>
      <c r="B433" t="s">
        <v>7996</v>
      </c>
    </row>
    <row r="434" spans="1:2" x14ac:dyDescent="0.25">
      <c r="A434" t="s">
        <v>11070</v>
      </c>
      <c r="B434" t="s">
        <v>12000</v>
      </c>
    </row>
    <row r="435" spans="1:2" x14ac:dyDescent="0.25">
      <c r="A435" t="s">
        <v>12335</v>
      </c>
      <c r="B435" t="s">
        <v>12000</v>
      </c>
    </row>
    <row r="436" spans="1:2" x14ac:dyDescent="0.25">
      <c r="A436" t="s">
        <v>11392</v>
      </c>
      <c r="B436" t="s">
        <v>12000</v>
      </c>
    </row>
    <row r="437" spans="1:2" x14ac:dyDescent="0.25">
      <c r="A437" t="s">
        <v>12336</v>
      </c>
      <c r="B437" t="s">
        <v>12000</v>
      </c>
    </row>
    <row r="438" spans="1:2" x14ac:dyDescent="0.25">
      <c r="A438" t="s">
        <v>12528</v>
      </c>
      <c r="B438" t="s">
        <v>12000</v>
      </c>
    </row>
    <row r="439" spans="1:2" x14ac:dyDescent="0.25">
      <c r="A439" t="s">
        <v>12337</v>
      </c>
      <c r="B439" t="s">
        <v>12000</v>
      </c>
    </row>
    <row r="440" spans="1:2" x14ac:dyDescent="0.25">
      <c r="A440" t="s">
        <v>9718</v>
      </c>
      <c r="B440" t="s">
        <v>12000</v>
      </c>
    </row>
    <row r="441" spans="1:2" x14ac:dyDescent="0.25">
      <c r="A441" t="s">
        <v>12001</v>
      </c>
      <c r="B441" t="s">
        <v>12000</v>
      </c>
    </row>
    <row r="442" spans="1:2" x14ac:dyDescent="0.25">
      <c r="A442" t="s">
        <v>11833</v>
      </c>
      <c r="B442" t="s">
        <v>12000</v>
      </c>
    </row>
    <row r="443" spans="1:2" x14ac:dyDescent="0.25">
      <c r="A443" t="s">
        <v>9719</v>
      </c>
      <c r="B443" t="s">
        <v>12000</v>
      </c>
    </row>
    <row r="444" spans="1:2" x14ac:dyDescent="0.25">
      <c r="A444" t="s">
        <v>11069</v>
      </c>
      <c r="B444" t="s">
        <v>12000</v>
      </c>
    </row>
    <row r="445" spans="1:2" x14ac:dyDescent="0.25">
      <c r="A445" t="s">
        <v>8526</v>
      </c>
      <c r="B445" t="s">
        <v>7996</v>
      </c>
    </row>
    <row r="446" spans="1:2" x14ac:dyDescent="0.25">
      <c r="A446" t="s">
        <v>6271</v>
      </c>
      <c r="B446" t="s">
        <v>5011</v>
      </c>
    </row>
    <row r="447" spans="1:2" x14ac:dyDescent="0.25">
      <c r="A447" t="s">
        <v>8924</v>
      </c>
      <c r="B447" t="s">
        <v>5011</v>
      </c>
    </row>
    <row r="448" spans="1:2" x14ac:dyDescent="0.25">
      <c r="A448" t="s">
        <v>5014</v>
      </c>
      <c r="B448" t="s">
        <v>5011</v>
      </c>
    </row>
    <row r="449" spans="1:2" x14ac:dyDescent="0.25">
      <c r="A449" t="s">
        <v>7994</v>
      </c>
      <c r="B449" t="s">
        <v>12836</v>
      </c>
    </row>
    <row r="450" spans="1:2" x14ac:dyDescent="0.25">
      <c r="A450" t="s">
        <v>7997</v>
      </c>
      <c r="B450" t="s">
        <v>7994</v>
      </c>
    </row>
    <row r="451" spans="1:2" x14ac:dyDescent="0.25">
      <c r="A451" t="s">
        <v>11071</v>
      </c>
      <c r="B451" t="s">
        <v>7997</v>
      </c>
    </row>
    <row r="452" spans="1:2" x14ac:dyDescent="0.25">
      <c r="A452" t="s">
        <v>7998</v>
      </c>
      <c r="B452" t="s">
        <v>7994</v>
      </c>
    </row>
    <row r="453" spans="1:2" x14ac:dyDescent="0.25">
      <c r="A453" t="s">
        <v>8923</v>
      </c>
      <c r="B453" t="s">
        <v>7998</v>
      </c>
    </row>
    <row r="454" spans="1:2" x14ac:dyDescent="0.25">
      <c r="A454" t="s">
        <v>6776</v>
      </c>
      <c r="B454" t="s">
        <v>12836</v>
      </c>
    </row>
    <row r="455" spans="1:2" x14ac:dyDescent="0.25">
      <c r="A455" t="s">
        <v>11072</v>
      </c>
      <c r="B455" t="s">
        <v>6776</v>
      </c>
    </row>
    <row r="456" spans="1:2" x14ac:dyDescent="0.25">
      <c r="A456" t="s">
        <v>5005</v>
      </c>
      <c r="B456" t="s">
        <v>11072</v>
      </c>
    </row>
    <row r="457" spans="1:2" x14ac:dyDescent="0.25">
      <c r="A457" t="s">
        <v>11984</v>
      </c>
      <c r="B457" t="s">
        <v>11072</v>
      </c>
    </row>
    <row r="458" spans="1:2" x14ac:dyDescent="0.25">
      <c r="A458" t="s">
        <v>11985</v>
      </c>
      <c r="B458" t="s">
        <v>11072</v>
      </c>
    </row>
    <row r="459" spans="1:2" x14ac:dyDescent="0.25">
      <c r="A459" t="s">
        <v>11986</v>
      </c>
      <c r="B459" t="s">
        <v>11072</v>
      </c>
    </row>
    <row r="460" spans="1:2" x14ac:dyDescent="0.25">
      <c r="A460" t="s">
        <v>2665</v>
      </c>
      <c r="B460" t="s">
        <v>10200</v>
      </c>
    </row>
    <row r="461" spans="1:2" x14ac:dyDescent="0.25">
      <c r="A461" t="s">
        <v>5439</v>
      </c>
      <c r="B461" t="s">
        <v>2665</v>
      </c>
    </row>
    <row r="462" spans="1:2" x14ac:dyDescent="0.25">
      <c r="A462" t="s">
        <v>5442</v>
      </c>
      <c r="B462" t="s">
        <v>2665</v>
      </c>
    </row>
    <row r="463" spans="1:2" x14ac:dyDescent="0.25">
      <c r="A463" t="s">
        <v>5443</v>
      </c>
      <c r="B463" t="s">
        <v>2665</v>
      </c>
    </row>
    <row r="464" spans="1:2" x14ac:dyDescent="0.25">
      <c r="A464" t="s">
        <v>10235</v>
      </c>
      <c r="B464" t="s">
        <v>2665</v>
      </c>
    </row>
    <row r="465" spans="1:2" x14ac:dyDescent="0.25">
      <c r="A465" t="s">
        <v>5440</v>
      </c>
      <c r="B465" t="s">
        <v>10235</v>
      </c>
    </row>
    <row r="466" spans="1:2" x14ac:dyDescent="0.25">
      <c r="A466" t="s">
        <v>5441</v>
      </c>
      <c r="B466" t="s">
        <v>10235</v>
      </c>
    </row>
    <row r="467" spans="1:2" x14ac:dyDescent="0.25">
      <c r="A467" t="s">
        <v>5434</v>
      </c>
      <c r="B467" t="s">
        <v>2665</v>
      </c>
    </row>
    <row r="468" spans="1:2" x14ac:dyDescent="0.25">
      <c r="A468" t="s">
        <v>4992</v>
      </c>
      <c r="B468" t="s">
        <v>5434</v>
      </c>
    </row>
    <row r="469" spans="1:2" x14ac:dyDescent="0.25">
      <c r="A469" t="s">
        <v>9292</v>
      </c>
      <c r="B469" t="s">
        <v>5434</v>
      </c>
    </row>
    <row r="470" spans="1:2" x14ac:dyDescent="0.25">
      <c r="A470" t="s">
        <v>8913</v>
      </c>
      <c r="B470" t="s">
        <v>2665</v>
      </c>
    </row>
    <row r="471" spans="1:2" x14ac:dyDescent="0.25">
      <c r="A471" t="s">
        <v>4996</v>
      </c>
      <c r="B471" t="s">
        <v>10200</v>
      </c>
    </row>
    <row r="472" spans="1:2" x14ac:dyDescent="0.25">
      <c r="A472" t="s">
        <v>5819</v>
      </c>
      <c r="B472" t="s">
        <v>4996</v>
      </c>
    </row>
    <row r="473" spans="1:2" x14ac:dyDescent="0.25">
      <c r="A473" t="s">
        <v>6769</v>
      </c>
      <c r="B473" t="s">
        <v>4996</v>
      </c>
    </row>
    <row r="474" spans="1:2" x14ac:dyDescent="0.25">
      <c r="A474" t="s">
        <v>7370</v>
      </c>
      <c r="B474" t="s">
        <v>4996</v>
      </c>
    </row>
    <row r="475" spans="1:2" x14ac:dyDescent="0.25">
      <c r="A475" t="s">
        <v>9294</v>
      </c>
      <c r="B475" t="s">
        <v>7370</v>
      </c>
    </row>
    <row r="476" spans="1:2" x14ac:dyDescent="0.25">
      <c r="A476" t="s">
        <v>6259</v>
      </c>
      <c r="B476" t="s">
        <v>4996</v>
      </c>
    </row>
    <row r="477" spans="1:2" x14ac:dyDescent="0.25">
      <c r="A477" t="s">
        <v>400</v>
      </c>
      <c r="B477" t="s">
        <v>10200</v>
      </c>
    </row>
    <row r="478" spans="1:2" x14ac:dyDescent="0.25">
      <c r="A478" t="s">
        <v>401</v>
      </c>
      <c r="B478" t="s">
        <v>400</v>
      </c>
    </row>
    <row r="479" spans="1:2" x14ac:dyDescent="0.25">
      <c r="A479" t="s">
        <v>5821</v>
      </c>
      <c r="B479" t="s">
        <v>400</v>
      </c>
    </row>
    <row r="480" spans="1:2" x14ac:dyDescent="0.25">
      <c r="A480" t="s">
        <v>7372</v>
      </c>
      <c r="B480" t="s">
        <v>400</v>
      </c>
    </row>
    <row r="481" spans="1:2" x14ac:dyDescent="0.25">
      <c r="A481" t="s">
        <v>4062</v>
      </c>
      <c r="B481" t="s">
        <v>400</v>
      </c>
    </row>
    <row r="482" spans="1:2" x14ac:dyDescent="0.25">
      <c r="A482" t="s">
        <v>7364</v>
      </c>
      <c r="B482" t="s">
        <v>4062</v>
      </c>
    </row>
    <row r="483" spans="1:2" x14ac:dyDescent="0.25">
      <c r="A483" t="s">
        <v>4989</v>
      </c>
      <c r="B483" t="s">
        <v>4062</v>
      </c>
    </row>
    <row r="484" spans="1:2" x14ac:dyDescent="0.25">
      <c r="A484" t="s">
        <v>9289</v>
      </c>
      <c r="B484" t="s">
        <v>4062</v>
      </c>
    </row>
    <row r="485" spans="1:2" x14ac:dyDescent="0.25">
      <c r="A485" t="s">
        <v>5823</v>
      </c>
      <c r="B485" t="s">
        <v>4062</v>
      </c>
    </row>
    <row r="486" spans="1:2" x14ac:dyDescent="0.25">
      <c r="A486" t="s">
        <v>11834</v>
      </c>
      <c r="B486" t="s">
        <v>5823</v>
      </c>
    </row>
    <row r="487" spans="1:2" x14ac:dyDescent="0.25">
      <c r="A487" t="s">
        <v>12338</v>
      </c>
      <c r="B487" t="s">
        <v>11834</v>
      </c>
    </row>
    <row r="488" spans="1:2" x14ac:dyDescent="0.25">
      <c r="A488" t="s">
        <v>3575</v>
      </c>
      <c r="B488" t="s">
        <v>11834</v>
      </c>
    </row>
    <row r="489" spans="1:2" x14ac:dyDescent="0.25">
      <c r="A489" t="s">
        <v>11832</v>
      </c>
      <c r="B489" t="s">
        <v>10200</v>
      </c>
    </row>
    <row r="490" spans="1:2" x14ac:dyDescent="0.25">
      <c r="A490" t="s">
        <v>11980</v>
      </c>
      <c r="B490" t="s">
        <v>11832</v>
      </c>
    </row>
    <row r="491" spans="1:2" x14ac:dyDescent="0.25">
      <c r="A491" t="s">
        <v>11981</v>
      </c>
      <c r="B491" t="s">
        <v>11832</v>
      </c>
    </row>
    <row r="492" spans="1:2" x14ac:dyDescent="0.25">
      <c r="A492" t="s">
        <v>11982</v>
      </c>
      <c r="B492" t="s">
        <v>11832</v>
      </c>
    </row>
    <row r="493" spans="1:2" x14ac:dyDescent="0.25">
      <c r="A493" t="s">
        <v>11618</v>
      </c>
      <c r="B493" t="s">
        <v>10200</v>
      </c>
    </row>
    <row r="494" spans="1:2" x14ac:dyDescent="0.25">
      <c r="A494" t="s">
        <v>11386</v>
      </c>
      <c r="B494" t="s">
        <v>11618</v>
      </c>
    </row>
    <row r="495" spans="1:2" x14ac:dyDescent="0.25">
      <c r="A495" t="s">
        <v>12527</v>
      </c>
      <c r="B495" t="s">
        <v>11386</v>
      </c>
    </row>
    <row r="496" spans="1:2" x14ac:dyDescent="0.25">
      <c r="A496" t="s">
        <v>7369</v>
      </c>
      <c r="B496" t="s">
        <v>11386</v>
      </c>
    </row>
    <row r="497" spans="1:2" x14ac:dyDescent="0.25">
      <c r="A497" t="s">
        <v>8525</v>
      </c>
      <c r="B497" t="s">
        <v>11386</v>
      </c>
    </row>
    <row r="498" spans="1:2" x14ac:dyDescent="0.25">
      <c r="A498" t="s">
        <v>8912</v>
      </c>
      <c r="B498" t="s">
        <v>11386</v>
      </c>
    </row>
    <row r="499" spans="1:2" x14ac:dyDescent="0.25">
      <c r="A499" t="s">
        <v>6765</v>
      </c>
      <c r="B499" t="s">
        <v>8912</v>
      </c>
    </row>
    <row r="500" spans="1:2" x14ac:dyDescent="0.25">
      <c r="A500" t="s">
        <v>6766</v>
      </c>
      <c r="B500" t="s">
        <v>6765</v>
      </c>
    </row>
    <row r="501" spans="1:2" x14ac:dyDescent="0.25">
      <c r="A501" t="s">
        <v>6767</v>
      </c>
      <c r="B501" t="s">
        <v>6766</v>
      </c>
    </row>
    <row r="502" spans="1:2" x14ac:dyDescent="0.25">
      <c r="A502" t="s">
        <v>11055</v>
      </c>
      <c r="B502" t="s">
        <v>6767</v>
      </c>
    </row>
    <row r="503" spans="1:2" x14ac:dyDescent="0.25">
      <c r="A503" t="s">
        <v>7371</v>
      </c>
      <c r="B503" t="s">
        <v>6767</v>
      </c>
    </row>
    <row r="504" spans="1:2" x14ac:dyDescent="0.25">
      <c r="A504" t="s">
        <v>5820</v>
      </c>
      <c r="B504" t="s">
        <v>6767</v>
      </c>
    </row>
    <row r="505" spans="1:2" x14ac:dyDescent="0.25">
      <c r="A505" t="s">
        <v>6770</v>
      </c>
      <c r="B505" t="s">
        <v>6766</v>
      </c>
    </row>
    <row r="506" spans="1:2" x14ac:dyDescent="0.25">
      <c r="A506" t="s">
        <v>6261</v>
      </c>
      <c r="B506" t="s">
        <v>6770</v>
      </c>
    </row>
    <row r="507" spans="1:2" x14ac:dyDescent="0.25">
      <c r="A507" t="s">
        <v>4997</v>
      </c>
      <c r="B507" t="s">
        <v>6770</v>
      </c>
    </row>
    <row r="508" spans="1:2" x14ac:dyDescent="0.25">
      <c r="A508" t="s">
        <v>5822</v>
      </c>
      <c r="B508" t="s">
        <v>6770</v>
      </c>
    </row>
    <row r="509" spans="1:2" x14ac:dyDescent="0.25">
      <c r="A509" t="s">
        <v>7373</v>
      </c>
      <c r="B509" t="s">
        <v>6766</v>
      </c>
    </row>
    <row r="510" spans="1:2" x14ac:dyDescent="0.25">
      <c r="A510" t="s">
        <v>8916</v>
      </c>
      <c r="B510" t="s">
        <v>7373</v>
      </c>
    </row>
    <row r="511" spans="1:2" x14ac:dyDescent="0.25">
      <c r="A511" t="s">
        <v>8917</v>
      </c>
      <c r="B511" t="s">
        <v>7373</v>
      </c>
    </row>
    <row r="512" spans="1:2" x14ac:dyDescent="0.25">
      <c r="A512" t="s">
        <v>9708</v>
      </c>
      <c r="B512" t="s">
        <v>7373</v>
      </c>
    </row>
    <row r="513" spans="1:2" x14ac:dyDescent="0.25">
      <c r="A513" t="s">
        <v>8918</v>
      </c>
      <c r="B513" t="s">
        <v>6765</v>
      </c>
    </row>
    <row r="514" spans="1:2" x14ac:dyDescent="0.25">
      <c r="A514" t="s">
        <v>5447</v>
      </c>
      <c r="B514" t="s">
        <v>6765</v>
      </c>
    </row>
    <row r="515" spans="1:2" x14ac:dyDescent="0.25">
      <c r="A515" t="s">
        <v>11989</v>
      </c>
      <c r="B515" t="s">
        <v>8912</v>
      </c>
    </row>
    <row r="516" spans="1:2" x14ac:dyDescent="0.25">
      <c r="A516" t="s">
        <v>11990</v>
      </c>
      <c r="B516" t="s">
        <v>11989</v>
      </c>
    </row>
    <row r="517" spans="1:2" x14ac:dyDescent="0.25">
      <c r="A517" t="s">
        <v>11991</v>
      </c>
      <c r="B517" t="s">
        <v>11990</v>
      </c>
    </row>
    <row r="518" spans="1:2" x14ac:dyDescent="0.25">
      <c r="A518" t="s">
        <v>11992</v>
      </c>
      <c r="B518" t="s">
        <v>11991</v>
      </c>
    </row>
    <row r="519" spans="1:2" x14ac:dyDescent="0.25">
      <c r="A519" t="s">
        <v>10236</v>
      </c>
      <c r="B519" t="s">
        <v>11991</v>
      </c>
    </row>
    <row r="520" spans="1:2" x14ac:dyDescent="0.25">
      <c r="A520" t="s">
        <v>6269</v>
      </c>
      <c r="B520" t="s">
        <v>11991</v>
      </c>
    </row>
    <row r="521" spans="1:2" x14ac:dyDescent="0.25">
      <c r="A521" t="s">
        <v>9313</v>
      </c>
      <c r="B521" t="s">
        <v>11990</v>
      </c>
    </row>
    <row r="522" spans="1:2" x14ac:dyDescent="0.25">
      <c r="A522" t="s">
        <v>5012</v>
      </c>
      <c r="B522" t="s">
        <v>9313</v>
      </c>
    </row>
    <row r="523" spans="1:2" x14ac:dyDescent="0.25">
      <c r="A523" t="s">
        <v>5455</v>
      </c>
      <c r="B523" t="s">
        <v>9313</v>
      </c>
    </row>
    <row r="524" spans="1:2" x14ac:dyDescent="0.25">
      <c r="A524" t="s">
        <v>6777</v>
      </c>
      <c r="B524" t="s">
        <v>9313</v>
      </c>
    </row>
    <row r="525" spans="1:2" x14ac:dyDescent="0.25">
      <c r="A525" t="s">
        <v>7392</v>
      </c>
      <c r="B525" t="s">
        <v>11990</v>
      </c>
    </row>
    <row r="526" spans="1:2" x14ac:dyDescent="0.25">
      <c r="A526" t="s">
        <v>6275</v>
      </c>
      <c r="B526" t="s">
        <v>7392</v>
      </c>
    </row>
    <row r="527" spans="1:2" x14ac:dyDescent="0.25">
      <c r="A527" t="s">
        <v>6279</v>
      </c>
      <c r="B527" t="s">
        <v>7392</v>
      </c>
    </row>
    <row r="528" spans="1:2" x14ac:dyDescent="0.25">
      <c r="A528" t="s">
        <v>10239</v>
      </c>
      <c r="B528" t="s">
        <v>7392</v>
      </c>
    </row>
    <row r="529" spans="1:2" x14ac:dyDescent="0.25">
      <c r="A529" t="s">
        <v>5840</v>
      </c>
      <c r="B529" t="s">
        <v>11989</v>
      </c>
    </row>
    <row r="530" spans="1:2" x14ac:dyDescent="0.25">
      <c r="A530" t="s">
        <v>5459</v>
      </c>
      <c r="B530" t="s">
        <v>11989</v>
      </c>
    </row>
    <row r="531" spans="1:2" x14ac:dyDescent="0.25">
      <c r="A531" t="s">
        <v>11983</v>
      </c>
      <c r="B531" t="s">
        <v>8912</v>
      </c>
    </row>
    <row r="532" spans="1:2" x14ac:dyDescent="0.25">
      <c r="A532" t="s">
        <v>9297</v>
      </c>
      <c r="B532" t="s">
        <v>11983</v>
      </c>
    </row>
    <row r="533" spans="1:2" x14ac:dyDescent="0.25">
      <c r="A533" t="s">
        <v>5826</v>
      </c>
      <c r="B533" t="s">
        <v>9297</v>
      </c>
    </row>
    <row r="534" spans="1:2" x14ac:dyDescent="0.25">
      <c r="A534" t="s">
        <v>7376</v>
      </c>
      <c r="B534" t="s">
        <v>9297</v>
      </c>
    </row>
    <row r="535" spans="1:2" x14ac:dyDescent="0.25">
      <c r="A535" t="s">
        <v>497</v>
      </c>
      <c r="B535" t="s">
        <v>7376</v>
      </c>
    </row>
    <row r="536" spans="1:2" x14ac:dyDescent="0.25">
      <c r="A536" t="s">
        <v>55</v>
      </c>
      <c r="B536" t="s">
        <v>7376</v>
      </c>
    </row>
    <row r="537" spans="1:2" x14ac:dyDescent="0.25">
      <c r="A537" t="s">
        <v>243</v>
      </c>
      <c r="B537" t="s">
        <v>7376</v>
      </c>
    </row>
    <row r="538" spans="1:2" x14ac:dyDescent="0.25">
      <c r="A538" t="s">
        <v>56</v>
      </c>
      <c r="B538" t="s">
        <v>7376</v>
      </c>
    </row>
    <row r="539" spans="1:2" x14ac:dyDescent="0.25">
      <c r="A539" t="s">
        <v>10721</v>
      </c>
      <c r="B539" t="s">
        <v>7376</v>
      </c>
    </row>
    <row r="540" spans="1:2" x14ac:dyDescent="0.25">
      <c r="A540" t="s">
        <v>1657</v>
      </c>
      <c r="B540" t="s">
        <v>10721</v>
      </c>
    </row>
    <row r="541" spans="1:2" x14ac:dyDescent="0.25">
      <c r="A541" t="s">
        <v>1656</v>
      </c>
      <c r="B541" t="s">
        <v>10721</v>
      </c>
    </row>
    <row r="542" spans="1:2" x14ac:dyDescent="0.25">
      <c r="A542" t="s">
        <v>248</v>
      </c>
      <c r="B542" t="s">
        <v>1656</v>
      </c>
    </row>
    <row r="543" spans="1:2" x14ac:dyDescent="0.25">
      <c r="A543" t="s">
        <v>4576</v>
      </c>
      <c r="B543" t="s">
        <v>1656</v>
      </c>
    </row>
    <row r="544" spans="1:2" x14ac:dyDescent="0.25">
      <c r="A544" t="s">
        <v>2270</v>
      </c>
      <c r="B544" t="s">
        <v>1656</v>
      </c>
    </row>
    <row r="545" spans="1:2" x14ac:dyDescent="0.25">
      <c r="A545" t="s">
        <v>2677</v>
      </c>
      <c r="B545" t="s">
        <v>1656</v>
      </c>
    </row>
    <row r="546" spans="1:2" x14ac:dyDescent="0.25">
      <c r="A546" t="s">
        <v>9315</v>
      </c>
      <c r="B546" t="s">
        <v>1656</v>
      </c>
    </row>
    <row r="547" spans="1:2" x14ac:dyDescent="0.25">
      <c r="A547" t="s">
        <v>3136</v>
      </c>
      <c r="B547" t="s">
        <v>1656</v>
      </c>
    </row>
    <row r="548" spans="1:2" x14ac:dyDescent="0.25">
      <c r="A548" t="s">
        <v>6278</v>
      </c>
      <c r="B548" t="s">
        <v>1656</v>
      </c>
    </row>
    <row r="549" spans="1:2" x14ac:dyDescent="0.25">
      <c r="A549" t="s">
        <v>6277</v>
      </c>
      <c r="B549" t="s">
        <v>7376</v>
      </c>
    </row>
    <row r="550" spans="1:2" x14ac:dyDescent="0.25">
      <c r="A550" t="s">
        <v>6780</v>
      </c>
      <c r="B550" t="s">
        <v>6277</v>
      </c>
    </row>
    <row r="551" spans="1:2" x14ac:dyDescent="0.25">
      <c r="A551" t="s">
        <v>8529</v>
      </c>
      <c r="B551" t="s">
        <v>6780</v>
      </c>
    </row>
    <row r="552" spans="1:2" x14ac:dyDescent="0.25">
      <c r="A552" t="s">
        <v>6781</v>
      </c>
      <c r="B552" t="s">
        <v>6780</v>
      </c>
    </row>
    <row r="553" spans="1:2" x14ac:dyDescent="0.25">
      <c r="A553" t="s">
        <v>5839</v>
      </c>
      <c r="B553" t="s">
        <v>6277</v>
      </c>
    </row>
    <row r="554" spans="1:2" x14ac:dyDescent="0.25">
      <c r="A554" t="s">
        <v>8925</v>
      </c>
      <c r="B554" t="s">
        <v>5839</v>
      </c>
    </row>
    <row r="555" spans="1:2" x14ac:dyDescent="0.25">
      <c r="A555" t="s">
        <v>5018</v>
      </c>
      <c r="B555" t="s">
        <v>5839</v>
      </c>
    </row>
    <row r="556" spans="1:2" x14ac:dyDescent="0.25">
      <c r="A556" t="s">
        <v>6779</v>
      </c>
      <c r="B556" t="s">
        <v>5839</v>
      </c>
    </row>
    <row r="557" spans="1:2" x14ac:dyDescent="0.25">
      <c r="A557" t="s">
        <v>5838</v>
      </c>
      <c r="B557" t="s">
        <v>6277</v>
      </c>
    </row>
    <row r="558" spans="1:2" x14ac:dyDescent="0.25">
      <c r="A558" t="s">
        <v>8528</v>
      </c>
      <c r="B558" t="s">
        <v>5838</v>
      </c>
    </row>
    <row r="559" spans="1:2" x14ac:dyDescent="0.25">
      <c r="A559" t="s">
        <v>4577</v>
      </c>
      <c r="B559" t="s">
        <v>5838</v>
      </c>
    </row>
    <row r="560" spans="1:2" x14ac:dyDescent="0.25">
      <c r="A560" t="s">
        <v>2676</v>
      </c>
      <c r="B560" t="s">
        <v>7376</v>
      </c>
    </row>
    <row r="561" spans="1:2" x14ac:dyDescent="0.25">
      <c r="A561" t="s">
        <v>8003</v>
      </c>
      <c r="B561" t="s">
        <v>2676</v>
      </c>
    </row>
    <row r="562" spans="1:2" x14ac:dyDescent="0.25">
      <c r="A562" t="s">
        <v>8004</v>
      </c>
      <c r="B562" t="s">
        <v>8003</v>
      </c>
    </row>
    <row r="563" spans="1:2" x14ac:dyDescent="0.25">
      <c r="A563" t="s">
        <v>5458</v>
      </c>
      <c r="B563" t="s">
        <v>8003</v>
      </c>
    </row>
    <row r="564" spans="1:2" x14ac:dyDescent="0.25">
      <c r="A564" t="s">
        <v>8005</v>
      </c>
      <c r="B564" t="s">
        <v>8003</v>
      </c>
    </row>
    <row r="565" spans="1:2" x14ac:dyDescent="0.25">
      <c r="A565" t="s">
        <v>6783</v>
      </c>
      <c r="B565" t="s">
        <v>2676</v>
      </c>
    </row>
    <row r="566" spans="1:2" x14ac:dyDescent="0.25">
      <c r="A566" t="s">
        <v>7393</v>
      </c>
      <c r="B566" t="s">
        <v>6783</v>
      </c>
    </row>
    <row r="567" spans="1:2" x14ac:dyDescent="0.25">
      <c r="A567" t="s">
        <v>10723</v>
      </c>
      <c r="B567" t="s">
        <v>6783</v>
      </c>
    </row>
    <row r="568" spans="1:2" x14ac:dyDescent="0.25">
      <c r="A568" t="s">
        <v>5457</v>
      </c>
      <c r="B568" t="s">
        <v>6783</v>
      </c>
    </row>
    <row r="569" spans="1:2" x14ac:dyDescent="0.25">
      <c r="A569" t="s">
        <v>8002</v>
      </c>
      <c r="B569" t="s">
        <v>6783</v>
      </c>
    </row>
    <row r="570" spans="1:2" x14ac:dyDescent="0.25">
      <c r="A570" t="s">
        <v>10724</v>
      </c>
      <c r="B570" t="s">
        <v>6783</v>
      </c>
    </row>
    <row r="571" spans="1:2" x14ac:dyDescent="0.25">
      <c r="A571" t="s">
        <v>6782</v>
      </c>
      <c r="B571" t="s">
        <v>2676</v>
      </c>
    </row>
    <row r="572" spans="1:2" x14ac:dyDescent="0.25">
      <c r="A572" t="s">
        <v>9316</v>
      </c>
      <c r="B572" t="s">
        <v>6782</v>
      </c>
    </row>
    <row r="573" spans="1:2" x14ac:dyDescent="0.25">
      <c r="A573" t="s">
        <v>10722</v>
      </c>
      <c r="B573" t="s">
        <v>6782</v>
      </c>
    </row>
    <row r="574" spans="1:2" x14ac:dyDescent="0.25">
      <c r="A574" t="s">
        <v>5456</v>
      </c>
      <c r="B574" t="s">
        <v>6782</v>
      </c>
    </row>
    <row r="575" spans="1:2" x14ac:dyDescent="0.25">
      <c r="A575" t="s">
        <v>8498</v>
      </c>
      <c r="B575" t="s">
        <v>9297</v>
      </c>
    </row>
    <row r="576" spans="1:2" x14ac:dyDescent="0.25">
      <c r="A576" t="s">
        <v>4999</v>
      </c>
      <c r="B576" t="s">
        <v>9297</v>
      </c>
    </row>
    <row r="577" spans="1:2" x14ac:dyDescent="0.25">
      <c r="A577" t="s">
        <v>5827</v>
      </c>
      <c r="B577" t="s">
        <v>9297</v>
      </c>
    </row>
    <row r="578" spans="1:2" x14ac:dyDescent="0.25">
      <c r="A578" t="s">
        <v>8930</v>
      </c>
      <c r="B578" t="s">
        <v>9297</v>
      </c>
    </row>
    <row r="579" spans="1:2" x14ac:dyDescent="0.25">
      <c r="A579" t="s">
        <v>9319</v>
      </c>
      <c r="B579" t="s">
        <v>11983</v>
      </c>
    </row>
    <row r="580" spans="1:2" x14ac:dyDescent="0.25">
      <c r="A580" t="s">
        <v>7394</v>
      </c>
      <c r="B580" t="s">
        <v>9319</v>
      </c>
    </row>
    <row r="581" spans="1:2" x14ac:dyDescent="0.25">
      <c r="A581" t="s">
        <v>10726</v>
      </c>
      <c r="B581" t="s">
        <v>7394</v>
      </c>
    </row>
    <row r="582" spans="1:2" x14ac:dyDescent="0.25">
      <c r="A582" t="s">
        <v>1659</v>
      </c>
      <c r="B582" t="s">
        <v>10726</v>
      </c>
    </row>
    <row r="583" spans="1:2" x14ac:dyDescent="0.25">
      <c r="A583" t="s">
        <v>1658</v>
      </c>
      <c r="B583" t="s">
        <v>10726</v>
      </c>
    </row>
    <row r="584" spans="1:2" x14ac:dyDescent="0.25">
      <c r="A584" t="s">
        <v>249</v>
      </c>
      <c r="B584" t="s">
        <v>1658</v>
      </c>
    </row>
    <row r="585" spans="1:2" x14ac:dyDescent="0.25">
      <c r="A585" t="s">
        <v>4581</v>
      </c>
      <c r="B585" t="s">
        <v>1658</v>
      </c>
    </row>
    <row r="586" spans="1:2" x14ac:dyDescent="0.25">
      <c r="A586" t="s">
        <v>2271</v>
      </c>
      <c r="B586" t="s">
        <v>1658</v>
      </c>
    </row>
    <row r="587" spans="1:2" x14ac:dyDescent="0.25">
      <c r="A587" t="s">
        <v>2679</v>
      </c>
      <c r="B587" t="s">
        <v>1658</v>
      </c>
    </row>
    <row r="588" spans="1:2" x14ac:dyDescent="0.25">
      <c r="A588" t="s">
        <v>9320</v>
      </c>
      <c r="B588" t="s">
        <v>1658</v>
      </c>
    </row>
    <row r="589" spans="1:2" x14ac:dyDescent="0.25">
      <c r="A589" t="s">
        <v>3139</v>
      </c>
      <c r="B589" t="s">
        <v>1658</v>
      </c>
    </row>
    <row r="590" spans="1:2" x14ac:dyDescent="0.25">
      <c r="A590" t="s">
        <v>6282</v>
      </c>
      <c r="B590" t="s">
        <v>1658</v>
      </c>
    </row>
    <row r="591" spans="1:2" x14ac:dyDescent="0.25">
      <c r="A591" t="s">
        <v>6281</v>
      </c>
      <c r="B591" t="s">
        <v>7394</v>
      </c>
    </row>
    <row r="592" spans="1:2" x14ac:dyDescent="0.25">
      <c r="A592" t="s">
        <v>6283</v>
      </c>
      <c r="B592" t="s">
        <v>6281</v>
      </c>
    </row>
    <row r="593" spans="1:2" x14ac:dyDescent="0.25">
      <c r="A593" t="s">
        <v>8531</v>
      </c>
      <c r="B593" t="s">
        <v>6283</v>
      </c>
    </row>
    <row r="594" spans="1:2" x14ac:dyDescent="0.25">
      <c r="A594" t="s">
        <v>6787</v>
      </c>
      <c r="B594" t="s">
        <v>6283</v>
      </c>
    </row>
    <row r="595" spans="1:2" x14ac:dyDescent="0.25">
      <c r="A595" t="s">
        <v>5462</v>
      </c>
      <c r="B595" t="s">
        <v>6281</v>
      </c>
    </row>
    <row r="596" spans="1:2" x14ac:dyDescent="0.25">
      <c r="A596" t="s">
        <v>8929</v>
      </c>
      <c r="B596" t="s">
        <v>5462</v>
      </c>
    </row>
    <row r="597" spans="1:2" x14ac:dyDescent="0.25">
      <c r="A597" t="s">
        <v>5020</v>
      </c>
      <c r="B597" t="s">
        <v>5462</v>
      </c>
    </row>
    <row r="598" spans="1:2" x14ac:dyDescent="0.25">
      <c r="A598" t="s">
        <v>6786</v>
      </c>
      <c r="B598" t="s">
        <v>5462</v>
      </c>
    </row>
    <row r="599" spans="1:2" x14ac:dyDescent="0.25">
      <c r="A599" t="s">
        <v>5461</v>
      </c>
      <c r="B599" t="s">
        <v>6281</v>
      </c>
    </row>
    <row r="600" spans="1:2" x14ac:dyDescent="0.25">
      <c r="A600" t="s">
        <v>8530</v>
      </c>
      <c r="B600" t="s">
        <v>5461</v>
      </c>
    </row>
    <row r="601" spans="1:2" x14ac:dyDescent="0.25">
      <c r="A601" t="s">
        <v>4582</v>
      </c>
      <c r="B601" t="s">
        <v>5461</v>
      </c>
    </row>
    <row r="602" spans="1:2" x14ac:dyDescent="0.25">
      <c r="A602" t="s">
        <v>2678</v>
      </c>
      <c r="B602" t="s">
        <v>7394</v>
      </c>
    </row>
    <row r="603" spans="1:2" x14ac:dyDescent="0.25">
      <c r="A603" t="s">
        <v>7396</v>
      </c>
      <c r="B603" t="s">
        <v>2678</v>
      </c>
    </row>
    <row r="604" spans="1:2" x14ac:dyDescent="0.25">
      <c r="A604" t="s">
        <v>8010</v>
      </c>
      <c r="B604" t="s">
        <v>7396</v>
      </c>
    </row>
    <row r="605" spans="1:2" x14ac:dyDescent="0.25">
      <c r="A605" t="s">
        <v>5465</v>
      </c>
      <c r="B605" t="s">
        <v>7396</v>
      </c>
    </row>
    <row r="606" spans="1:2" x14ac:dyDescent="0.25">
      <c r="A606" t="s">
        <v>8011</v>
      </c>
      <c r="B606" t="s">
        <v>7396</v>
      </c>
    </row>
    <row r="607" spans="1:2" x14ac:dyDescent="0.25">
      <c r="A607" t="s">
        <v>6285</v>
      </c>
      <c r="B607" t="s">
        <v>2678</v>
      </c>
    </row>
    <row r="608" spans="1:2" x14ac:dyDescent="0.25">
      <c r="A608" t="s">
        <v>7395</v>
      </c>
      <c r="B608" t="s">
        <v>6285</v>
      </c>
    </row>
    <row r="609" spans="1:2" x14ac:dyDescent="0.25">
      <c r="A609" t="s">
        <v>10728</v>
      </c>
      <c r="B609" t="s">
        <v>6285</v>
      </c>
    </row>
    <row r="610" spans="1:2" x14ac:dyDescent="0.25">
      <c r="A610" t="s">
        <v>5464</v>
      </c>
      <c r="B610" t="s">
        <v>6285</v>
      </c>
    </row>
    <row r="611" spans="1:2" x14ac:dyDescent="0.25">
      <c r="A611" t="s">
        <v>8008</v>
      </c>
      <c r="B611" t="s">
        <v>6285</v>
      </c>
    </row>
    <row r="612" spans="1:2" x14ac:dyDescent="0.25">
      <c r="A612" t="s">
        <v>10729</v>
      </c>
      <c r="B612" t="s">
        <v>6285</v>
      </c>
    </row>
    <row r="613" spans="1:2" x14ac:dyDescent="0.25">
      <c r="A613" t="s">
        <v>6284</v>
      </c>
      <c r="B613" t="s">
        <v>2678</v>
      </c>
    </row>
    <row r="614" spans="1:2" x14ac:dyDescent="0.25">
      <c r="A614" t="s">
        <v>9321</v>
      </c>
      <c r="B614" t="s">
        <v>6284</v>
      </c>
    </row>
    <row r="615" spans="1:2" x14ac:dyDescent="0.25">
      <c r="A615" t="s">
        <v>10727</v>
      </c>
      <c r="B615" t="s">
        <v>6284</v>
      </c>
    </row>
    <row r="616" spans="1:2" x14ac:dyDescent="0.25">
      <c r="A616" t="s">
        <v>5463</v>
      </c>
      <c r="B616" t="s">
        <v>6284</v>
      </c>
    </row>
    <row r="617" spans="1:2" x14ac:dyDescent="0.25">
      <c r="A617" t="s">
        <v>5460</v>
      </c>
      <c r="B617" t="s">
        <v>9319</v>
      </c>
    </row>
    <row r="618" spans="1:2" x14ac:dyDescent="0.25">
      <c r="A618" t="s">
        <v>7374</v>
      </c>
      <c r="B618" t="s">
        <v>11983</v>
      </c>
    </row>
    <row r="619" spans="1:2" x14ac:dyDescent="0.25">
      <c r="A619" t="s">
        <v>12837</v>
      </c>
      <c r="B619" t="s">
        <v>10200</v>
      </c>
    </row>
    <row r="620" spans="1:2" x14ac:dyDescent="0.25">
      <c r="A620" t="s">
        <v>3135</v>
      </c>
      <c r="B620" t="s">
        <v>12837</v>
      </c>
    </row>
    <row r="621" spans="1:2" x14ac:dyDescent="0.25">
      <c r="A621" t="s">
        <v>11387</v>
      </c>
      <c r="B621" t="s">
        <v>12837</v>
      </c>
    </row>
    <row r="622" spans="1:2" x14ac:dyDescent="0.25">
      <c r="A622" t="s">
        <v>11388</v>
      </c>
      <c r="B622" t="s">
        <v>12837</v>
      </c>
    </row>
    <row r="623" spans="1:2" x14ac:dyDescent="0.25">
      <c r="A623" t="s">
        <v>11389</v>
      </c>
      <c r="B623" t="s">
        <v>12837</v>
      </c>
    </row>
    <row r="624" spans="1:2" x14ac:dyDescent="0.25">
      <c r="A624" t="s">
        <v>11390</v>
      </c>
      <c r="B624" t="s">
        <v>12837</v>
      </c>
    </row>
    <row r="625" spans="1:2" x14ac:dyDescent="0.25">
      <c r="A625" t="s">
        <v>11391</v>
      </c>
      <c r="B625" t="s">
        <v>12837</v>
      </c>
    </row>
    <row r="626" spans="1:2" x14ac:dyDescent="0.25">
      <c r="A626" t="s">
        <v>11997</v>
      </c>
      <c r="B626" t="s">
        <v>10200</v>
      </c>
    </row>
    <row r="627" spans="1:2" x14ac:dyDescent="0.25">
      <c r="A627" t="s">
        <v>11994</v>
      </c>
      <c r="B627" t="s">
        <v>10200</v>
      </c>
    </row>
    <row r="628" spans="1:2" x14ac:dyDescent="0.25">
      <c r="A628" t="s">
        <v>5436</v>
      </c>
      <c r="B628" t="s">
        <v>11994</v>
      </c>
    </row>
    <row r="629" spans="1:2" x14ac:dyDescent="0.25">
      <c r="A629" t="s">
        <v>4994</v>
      </c>
      <c r="B629" t="s">
        <v>5436</v>
      </c>
    </row>
    <row r="630" spans="1:2" x14ac:dyDescent="0.25">
      <c r="A630" t="s">
        <v>6270</v>
      </c>
      <c r="B630" t="s">
        <v>4994</v>
      </c>
    </row>
    <row r="631" spans="1:2" x14ac:dyDescent="0.25">
      <c r="A631" t="s">
        <v>12940</v>
      </c>
      <c r="B631" t="s">
        <v>11994</v>
      </c>
    </row>
    <row r="632" spans="1:2" x14ac:dyDescent="0.25">
      <c r="A632" t="s">
        <v>7377</v>
      </c>
      <c r="B632" t="s">
        <v>12940</v>
      </c>
    </row>
    <row r="633" spans="1:2" x14ac:dyDescent="0.25">
      <c r="A633" t="s">
        <v>11976</v>
      </c>
      <c r="B633" t="s">
        <v>7377</v>
      </c>
    </row>
    <row r="634" spans="1:2" x14ac:dyDescent="0.25">
      <c r="A634" t="s">
        <v>9298</v>
      </c>
      <c r="B634" t="s">
        <v>7377</v>
      </c>
    </row>
    <row r="635" spans="1:2" x14ac:dyDescent="0.25">
      <c r="A635" t="s">
        <v>5001</v>
      </c>
      <c r="B635" t="s">
        <v>7377</v>
      </c>
    </row>
    <row r="636" spans="1:2" x14ac:dyDescent="0.25">
      <c r="A636" t="s">
        <v>5828</v>
      </c>
      <c r="B636" t="s">
        <v>5001</v>
      </c>
    </row>
    <row r="637" spans="1:2" x14ac:dyDescent="0.25">
      <c r="A637" t="s">
        <v>2667</v>
      </c>
      <c r="B637" t="s">
        <v>5828</v>
      </c>
    </row>
    <row r="638" spans="1:2" x14ac:dyDescent="0.25">
      <c r="A638" t="s">
        <v>5002</v>
      </c>
      <c r="B638" t="s">
        <v>5828</v>
      </c>
    </row>
    <row r="639" spans="1:2" x14ac:dyDescent="0.25">
      <c r="A639" t="s">
        <v>3564</v>
      </c>
      <c r="B639" t="s">
        <v>5828</v>
      </c>
    </row>
    <row r="640" spans="1:2" x14ac:dyDescent="0.25">
      <c r="A640" t="s">
        <v>6771</v>
      </c>
      <c r="B640" t="s">
        <v>5001</v>
      </c>
    </row>
    <row r="641" spans="1:2" x14ac:dyDescent="0.25">
      <c r="A641" t="s">
        <v>10238</v>
      </c>
      <c r="B641" t="s">
        <v>6771</v>
      </c>
    </row>
    <row r="642" spans="1:2" x14ac:dyDescent="0.25">
      <c r="A642" t="s">
        <v>5019</v>
      </c>
      <c r="B642" t="s">
        <v>6771</v>
      </c>
    </row>
    <row r="643" spans="1:2" x14ac:dyDescent="0.25">
      <c r="A643" t="s">
        <v>4063</v>
      </c>
      <c r="B643" t="s">
        <v>6771</v>
      </c>
    </row>
    <row r="644" spans="1:2" x14ac:dyDescent="0.25">
      <c r="A644" t="s">
        <v>9317</v>
      </c>
      <c r="B644" t="s">
        <v>6771</v>
      </c>
    </row>
    <row r="645" spans="1:2" x14ac:dyDescent="0.25">
      <c r="A645" t="s">
        <v>8926</v>
      </c>
      <c r="B645" t="s">
        <v>6771</v>
      </c>
    </row>
    <row r="646" spans="1:2" x14ac:dyDescent="0.25">
      <c r="A646" t="s">
        <v>9299</v>
      </c>
      <c r="B646" t="s">
        <v>5001</v>
      </c>
    </row>
    <row r="647" spans="1:2" x14ac:dyDescent="0.25">
      <c r="A647" t="s">
        <v>6274</v>
      </c>
      <c r="B647" t="s">
        <v>5001</v>
      </c>
    </row>
    <row r="648" spans="1:2" x14ac:dyDescent="0.25">
      <c r="A648" t="s">
        <v>8527</v>
      </c>
      <c r="B648" t="s">
        <v>5001</v>
      </c>
    </row>
    <row r="649" spans="1:2" x14ac:dyDescent="0.25">
      <c r="A649" t="s">
        <v>10237</v>
      </c>
      <c r="B649" t="s">
        <v>5001</v>
      </c>
    </row>
    <row r="650" spans="1:2" x14ac:dyDescent="0.25">
      <c r="A650" t="s">
        <v>4074</v>
      </c>
      <c r="B650" t="s">
        <v>5001</v>
      </c>
    </row>
    <row r="651" spans="1:2" x14ac:dyDescent="0.25">
      <c r="A651" t="s">
        <v>11619</v>
      </c>
      <c r="B651" t="s">
        <v>5001</v>
      </c>
    </row>
    <row r="652" spans="1:2" x14ac:dyDescent="0.25">
      <c r="A652" t="s">
        <v>11397</v>
      </c>
      <c r="B652" t="s">
        <v>5001</v>
      </c>
    </row>
    <row r="653" spans="1:2" x14ac:dyDescent="0.25">
      <c r="A653" t="s">
        <v>242</v>
      </c>
      <c r="B653" t="s">
        <v>11397</v>
      </c>
    </row>
    <row r="654" spans="1:2" x14ac:dyDescent="0.25">
      <c r="A654" t="s">
        <v>5845</v>
      </c>
      <c r="B654" t="s">
        <v>11397</v>
      </c>
    </row>
    <row r="655" spans="1:2" x14ac:dyDescent="0.25">
      <c r="A655" t="s">
        <v>6276</v>
      </c>
      <c r="B655" t="s">
        <v>11397</v>
      </c>
    </row>
    <row r="656" spans="1:2" x14ac:dyDescent="0.25">
      <c r="A656" t="s">
        <v>5444</v>
      </c>
      <c r="B656" t="s">
        <v>5001</v>
      </c>
    </row>
    <row r="657" spans="1:2" x14ac:dyDescent="0.25">
      <c r="A657" t="s">
        <v>8499</v>
      </c>
      <c r="B657" t="s">
        <v>7377</v>
      </c>
    </row>
    <row r="658" spans="1:2" x14ac:dyDescent="0.25">
      <c r="A658" t="s">
        <v>54</v>
      </c>
      <c r="B658" t="s">
        <v>7377</v>
      </c>
    </row>
    <row r="659" spans="1:2" x14ac:dyDescent="0.25">
      <c r="A659" t="s">
        <v>11993</v>
      </c>
      <c r="B659" t="s">
        <v>7377</v>
      </c>
    </row>
    <row r="660" spans="1:2" x14ac:dyDescent="0.25">
      <c r="A660" t="s">
        <v>6264</v>
      </c>
      <c r="B660" t="s">
        <v>11993</v>
      </c>
    </row>
    <row r="661" spans="1:2" x14ac:dyDescent="0.25">
      <c r="A661" t="s">
        <v>7989</v>
      </c>
      <c r="B661" t="s">
        <v>7377</v>
      </c>
    </row>
    <row r="662" spans="1:2" x14ac:dyDescent="0.25">
      <c r="A662" t="s">
        <v>7990</v>
      </c>
      <c r="B662" t="s">
        <v>7989</v>
      </c>
    </row>
    <row r="663" spans="1:2" x14ac:dyDescent="0.25">
      <c r="A663" t="s">
        <v>9314</v>
      </c>
      <c r="B663" t="s">
        <v>7989</v>
      </c>
    </row>
    <row r="664" spans="1:2" x14ac:dyDescent="0.25">
      <c r="A664" t="s">
        <v>5818</v>
      </c>
      <c r="B664" t="s">
        <v>12940</v>
      </c>
    </row>
    <row r="665" spans="1:2" x14ac:dyDescent="0.25">
      <c r="A665" t="s">
        <v>6258</v>
      </c>
      <c r="B665" t="s">
        <v>5818</v>
      </c>
    </row>
    <row r="666" spans="1:2" x14ac:dyDescent="0.25">
      <c r="A666" t="s">
        <v>5021</v>
      </c>
      <c r="B666" t="s">
        <v>6258</v>
      </c>
    </row>
    <row r="667" spans="1:2" x14ac:dyDescent="0.25">
      <c r="A667" t="s">
        <v>5844</v>
      </c>
      <c r="B667" t="s">
        <v>5021</v>
      </c>
    </row>
    <row r="668" spans="1:2" x14ac:dyDescent="0.25">
      <c r="A668" t="s">
        <v>8012</v>
      </c>
      <c r="B668" t="s">
        <v>5844</v>
      </c>
    </row>
    <row r="669" spans="1:2" x14ac:dyDescent="0.25">
      <c r="A669" t="s">
        <v>6286</v>
      </c>
      <c r="B669" t="s">
        <v>5844</v>
      </c>
    </row>
    <row r="670" spans="1:2" x14ac:dyDescent="0.25">
      <c r="A670" t="s">
        <v>7397</v>
      </c>
      <c r="B670" t="s">
        <v>5021</v>
      </c>
    </row>
    <row r="671" spans="1:2" x14ac:dyDescent="0.25">
      <c r="A671" t="s">
        <v>10240</v>
      </c>
      <c r="B671" t="s">
        <v>7397</v>
      </c>
    </row>
    <row r="672" spans="1:2" x14ac:dyDescent="0.25">
      <c r="A672" t="s">
        <v>5022</v>
      </c>
      <c r="B672" t="s">
        <v>7397</v>
      </c>
    </row>
    <row r="673" spans="1:2" x14ac:dyDescent="0.25">
      <c r="A673" t="s">
        <v>6287</v>
      </c>
      <c r="B673" t="s">
        <v>7397</v>
      </c>
    </row>
    <row r="674" spans="1:2" x14ac:dyDescent="0.25">
      <c r="A674" t="s">
        <v>9323</v>
      </c>
      <c r="B674" t="s">
        <v>6287</v>
      </c>
    </row>
    <row r="675" spans="1:2" x14ac:dyDescent="0.25">
      <c r="A675" t="s">
        <v>8931</v>
      </c>
      <c r="B675" t="s">
        <v>6287</v>
      </c>
    </row>
    <row r="676" spans="1:2" x14ac:dyDescent="0.25">
      <c r="A676" t="s">
        <v>10730</v>
      </c>
      <c r="B676" t="s">
        <v>5021</v>
      </c>
    </row>
    <row r="677" spans="1:2" x14ac:dyDescent="0.25">
      <c r="A677" t="s">
        <v>5841</v>
      </c>
      <c r="B677" t="s">
        <v>5021</v>
      </c>
    </row>
    <row r="678" spans="1:2" x14ac:dyDescent="0.25">
      <c r="A678" t="s">
        <v>8007</v>
      </c>
      <c r="B678" t="s">
        <v>5021</v>
      </c>
    </row>
    <row r="679" spans="1:2" x14ac:dyDescent="0.25">
      <c r="A679" t="s">
        <v>9722</v>
      </c>
      <c r="B679" t="s">
        <v>5021</v>
      </c>
    </row>
    <row r="680" spans="1:2" x14ac:dyDescent="0.25">
      <c r="A680" t="s">
        <v>11398</v>
      </c>
      <c r="B680" t="s">
        <v>5021</v>
      </c>
    </row>
    <row r="681" spans="1:2" x14ac:dyDescent="0.25">
      <c r="A681" t="s">
        <v>8928</v>
      </c>
      <c r="B681" t="s">
        <v>11398</v>
      </c>
    </row>
    <row r="682" spans="1:2" x14ac:dyDescent="0.25">
      <c r="A682" t="s">
        <v>4579</v>
      </c>
      <c r="B682" t="s">
        <v>11398</v>
      </c>
    </row>
    <row r="683" spans="1:2" x14ac:dyDescent="0.25">
      <c r="A683" t="s">
        <v>10725</v>
      </c>
      <c r="B683" t="s">
        <v>11398</v>
      </c>
    </row>
    <row r="684" spans="1:2" x14ac:dyDescent="0.25">
      <c r="A684" t="s">
        <v>4075</v>
      </c>
      <c r="B684" t="s">
        <v>5021</v>
      </c>
    </row>
    <row r="685" spans="1:2" x14ac:dyDescent="0.25">
      <c r="A685" t="s">
        <v>11621</v>
      </c>
      <c r="B685" t="s">
        <v>5021</v>
      </c>
    </row>
    <row r="686" spans="1:2" x14ac:dyDescent="0.25">
      <c r="A686" t="s">
        <v>8534</v>
      </c>
      <c r="B686" t="s">
        <v>5818</v>
      </c>
    </row>
    <row r="687" spans="1:2" x14ac:dyDescent="0.25">
      <c r="A687" t="s">
        <v>6772</v>
      </c>
      <c r="B687" t="s">
        <v>11994</v>
      </c>
    </row>
    <row r="688" spans="1:2" x14ac:dyDescent="0.25">
      <c r="A688" t="s">
        <v>6764</v>
      </c>
      <c r="B688" t="s">
        <v>6761</v>
      </c>
    </row>
    <row r="689" spans="1:2" x14ac:dyDescent="0.25">
      <c r="A689" t="s">
        <v>11054</v>
      </c>
      <c r="B689" t="s">
        <v>6761</v>
      </c>
    </row>
    <row r="690" spans="1:2" x14ac:dyDescent="0.25">
      <c r="A690" t="s">
        <v>11974</v>
      </c>
      <c r="B690" t="s">
        <v>11054</v>
      </c>
    </row>
    <row r="691" spans="1:2" x14ac:dyDescent="0.25">
      <c r="A691" t="s">
        <v>51</v>
      </c>
      <c r="B691" t="s">
        <v>11054</v>
      </c>
    </row>
    <row r="692" spans="1:2" x14ac:dyDescent="0.25">
      <c r="A692" t="s">
        <v>52</v>
      </c>
      <c r="B692" t="s">
        <v>51</v>
      </c>
    </row>
    <row r="693" spans="1:2" x14ac:dyDescent="0.25">
      <c r="A693" t="s">
        <v>2666</v>
      </c>
      <c r="B693" t="s">
        <v>51</v>
      </c>
    </row>
    <row r="694" spans="1:2" x14ac:dyDescent="0.25">
      <c r="A694" t="s">
        <v>6262</v>
      </c>
      <c r="B694" t="s">
        <v>11054</v>
      </c>
    </row>
    <row r="695" spans="1:2" x14ac:dyDescent="0.25">
      <c r="A695" t="s">
        <v>53</v>
      </c>
      <c r="B695" t="s">
        <v>6262</v>
      </c>
    </row>
    <row r="696" spans="1:2" x14ac:dyDescent="0.25">
      <c r="A696" t="s">
        <v>241</v>
      </c>
      <c r="B696" t="s">
        <v>6262</v>
      </c>
    </row>
    <row r="697" spans="1:2" x14ac:dyDescent="0.25">
      <c r="A697" t="s">
        <v>5824</v>
      </c>
      <c r="B697" t="s">
        <v>6262</v>
      </c>
    </row>
    <row r="698" spans="1:2" x14ac:dyDescent="0.25">
      <c r="A698" t="s">
        <v>12334</v>
      </c>
      <c r="B698" t="s">
        <v>6761</v>
      </c>
    </row>
    <row r="699" spans="1:2" x14ac:dyDescent="0.25">
      <c r="A699" t="s">
        <v>5815</v>
      </c>
      <c r="B699" t="s">
        <v>12334</v>
      </c>
    </row>
    <row r="700" spans="1:2" x14ac:dyDescent="0.25">
      <c r="A700" t="s">
        <v>8910</v>
      </c>
      <c r="B700" t="s">
        <v>12334</v>
      </c>
    </row>
    <row r="701" spans="1:2" x14ac:dyDescent="0.25">
      <c r="A701" t="s">
        <v>7986</v>
      </c>
      <c r="B701" t="s">
        <v>12334</v>
      </c>
    </row>
    <row r="702" spans="1:2" x14ac:dyDescent="0.25">
      <c r="A702" t="s">
        <v>12941</v>
      </c>
      <c r="B702" t="s">
        <v>12334</v>
      </c>
    </row>
    <row r="703" spans="1:2" x14ac:dyDescent="0.25">
      <c r="A703" t="s">
        <v>6768</v>
      </c>
      <c r="B703" t="s">
        <v>12941</v>
      </c>
    </row>
    <row r="704" spans="1:2" x14ac:dyDescent="0.25">
      <c r="A704" t="s">
        <v>6257</v>
      </c>
      <c r="B704" t="s">
        <v>6768</v>
      </c>
    </row>
    <row r="705" spans="1:2" x14ac:dyDescent="0.25">
      <c r="A705" t="s">
        <v>9318</v>
      </c>
      <c r="B705" t="s">
        <v>6257</v>
      </c>
    </row>
    <row r="706" spans="1:2" x14ac:dyDescent="0.25">
      <c r="A706" t="s">
        <v>4998</v>
      </c>
      <c r="B706" t="s">
        <v>12941</v>
      </c>
    </row>
    <row r="707" spans="1:2" x14ac:dyDescent="0.25">
      <c r="A707" t="s">
        <v>11975</v>
      </c>
      <c r="B707" t="s">
        <v>4998</v>
      </c>
    </row>
    <row r="708" spans="1:2" x14ac:dyDescent="0.25">
      <c r="A708" t="s">
        <v>9295</v>
      </c>
      <c r="B708" t="s">
        <v>4998</v>
      </c>
    </row>
    <row r="709" spans="1:2" x14ac:dyDescent="0.25">
      <c r="A709" t="s">
        <v>7988</v>
      </c>
      <c r="B709" t="s">
        <v>9295</v>
      </c>
    </row>
    <row r="710" spans="1:2" x14ac:dyDescent="0.25">
      <c r="A710" t="s">
        <v>11061</v>
      </c>
      <c r="B710" t="s">
        <v>4998</v>
      </c>
    </row>
    <row r="711" spans="1:2" x14ac:dyDescent="0.25">
      <c r="A711" t="s">
        <v>9296</v>
      </c>
      <c r="B711" t="s">
        <v>11061</v>
      </c>
    </row>
    <row r="712" spans="1:2" x14ac:dyDescent="0.25">
      <c r="A712" t="s">
        <v>5825</v>
      </c>
      <c r="B712" t="s">
        <v>9296</v>
      </c>
    </row>
    <row r="713" spans="1:2" x14ac:dyDescent="0.25">
      <c r="A713" t="s">
        <v>8533</v>
      </c>
      <c r="B713" t="s">
        <v>12334</v>
      </c>
    </row>
    <row r="714" spans="1:2" x14ac:dyDescent="0.25">
      <c r="A714" t="s">
        <v>3574</v>
      </c>
      <c r="B714" t="s">
        <v>12334</v>
      </c>
    </row>
    <row r="715" spans="1:2" x14ac:dyDescent="0.25">
      <c r="A715" t="s">
        <v>5466</v>
      </c>
      <c r="B715" t="s">
        <v>12334</v>
      </c>
    </row>
    <row r="716" spans="1:2" x14ac:dyDescent="0.25">
      <c r="A716" t="s">
        <v>5435</v>
      </c>
      <c r="B716" t="s">
        <v>12334</v>
      </c>
    </row>
    <row r="717" spans="1:2" x14ac:dyDescent="0.25">
      <c r="A717" t="s">
        <v>5016</v>
      </c>
      <c r="B717" t="s">
        <v>5435</v>
      </c>
    </row>
    <row r="718" spans="1:2" x14ac:dyDescent="0.25">
      <c r="A718" t="s">
        <v>8915</v>
      </c>
      <c r="B718" t="s">
        <v>5435</v>
      </c>
    </row>
    <row r="719" spans="1:2" x14ac:dyDescent="0.25">
      <c r="A719" t="s">
        <v>5446</v>
      </c>
      <c r="B719" t="s">
        <v>8915</v>
      </c>
    </row>
    <row r="720" spans="1:2" x14ac:dyDescent="0.25">
      <c r="A720" t="s">
        <v>7375</v>
      </c>
      <c r="B720" t="s">
        <v>8915</v>
      </c>
    </row>
    <row r="721" spans="1:2" x14ac:dyDescent="0.25">
      <c r="A721" t="s">
        <v>9288</v>
      </c>
      <c r="B721" t="s">
        <v>12334</v>
      </c>
    </row>
    <row r="722" spans="1:2" x14ac:dyDescent="0.25">
      <c r="A722" t="s">
        <v>6263</v>
      </c>
      <c r="B722" t="s">
        <v>12334</v>
      </c>
    </row>
    <row r="723" spans="1:2" x14ac:dyDescent="0.25">
      <c r="A723" t="s">
        <v>11835</v>
      </c>
      <c r="B723" t="s">
        <v>12334</v>
      </c>
    </row>
    <row r="724" spans="1:2" x14ac:dyDescent="0.25">
      <c r="A724" t="s">
        <v>5433</v>
      </c>
      <c r="B724" t="s">
        <v>12334</v>
      </c>
    </row>
    <row r="725" spans="1:2" x14ac:dyDescent="0.25">
      <c r="A725" t="s">
        <v>4993</v>
      </c>
      <c r="B725" t="s">
        <v>12334</v>
      </c>
    </row>
    <row r="726" spans="1:2" x14ac:dyDescent="0.25">
      <c r="A726" t="s">
        <v>8909</v>
      </c>
      <c r="B726" t="s">
        <v>12334</v>
      </c>
    </row>
    <row r="727" spans="1:2" x14ac:dyDescent="0.25">
      <c r="A727" t="s">
        <v>8494</v>
      </c>
      <c r="B727" t="s">
        <v>12334</v>
      </c>
    </row>
    <row r="728" spans="1:2" x14ac:dyDescent="0.25">
      <c r="A728" t="s">
        <v>11383</v>
      </c>
      <c r="B728" t="s">
        <v>12334</v>
      </c>
    </row>
    <row r="729" spans="1:2" x14ac:dyDescent="0.25">
      <c r="A729" t="s">
        <v>10706</v>
      </c>
      <c r="B729" t="s">
        <v>11383</v>
      </c>
    </row>
    <row r="730" spans="1:2" x14ac:dyDescent="0.25">
      <c r="A730" t="s">
        <v>4995</v>
      </c>
      <c r="B730" t="s">
        <v>11383</v>
      </c>
    </row>
    <row r="731" spans="1:2" x14ac:dyDescent="0.25">
      <c r="A731" t="s">
        <v>5437</v>
      </c>
      <c r="B731" t="s">
        <v>4995</v>
      </c>
    </row>
    <row r="732" spans="1:2" x14ac:dyDescent="0.25">
      <c r="A732" t="s">
        <v>5438</v>
      </c>
      <c r="B732" t="s">
        <v>4995</v>
      </c>
    </row>
    <row r="733" spans="1:2" x14ac:dyDescent="0.25">
      <c r="A733" t="s">
        <v>7987</v>
      </c>
      <c r="B733" t="s">
        <v>4995</v>
      </c>
    </row>
    <row r="734" spans="1:2" x14ac:dyDescent="0.25">
      <c r="A734" t="s">
        <v>7368</v>
      </c>
      <c r="B734" t="s">
        <v>4995</v>
      </c>
    </row>
    <row r="735" spans="1:2" x14ac:dyDescent="0.25">
      <c r="A735" t="s">
        <v>8927</v>
      </c>
      <c r="B735" t="s">
        <v>12334</v>
      </c>
    </row>
    <row r="736" spans="1:2" x14ac:dyDescent="0.25">
      <c r="A736" t="s">
        <v>8532</v>
      </c>
      <c r="B736" t="s">
        <v>12334</v>
      </c>
    </row>
    <row r="737" spans="1:2" x14ac:dyDescent="0.25">
      <c r="A737" t="s">
        <v>8009</v>
      </c>
      <c r="B737" t="s">
        <v>12334</v>
      </c>
    </row>
    <row r="738" spans="1:2" x14ac:dyDescent="0.25">
      <c r="A738" t="s">
        <v>6785</v>
      </c>
      <c r="B738" t="s">
        <v>12334</v>
      </c>
    </row>
    <row r="739" spans="1:2" x14ac:dyDescent="0.25">
      <c r="A739" t="s">
        <v>5842</v>
      </c>
      <c r="B739" t="s">
        <v>12334</v>
      </c>
    </row>
    <row r="740" spans="1:2" x14ac:dyDescent="0.25">
      <c r="A740" t="s">
        <v>5432</v>
      </c>
      <c r="B740" t="s">
        <v>12334</v>
      </c>
    </row>
    <row r="741" spans="1:2" x14ac:dyDescent="0.25">
      <c r="A741" t="s">
        <v>8006</v>
      </c>
      <c r="B741" t="s">
        <v>12334</v>
      </c>
    </row>
    <row r="742" spans="1:2" x14ac:dyDescent="0.25">
      <c r="A742" t="s">
        <v>11612</v>
      </c>
      <c r="B742" t="s">
        <v>12334</v>
      </c>
    </row>
    <row r="743" spans="1:2" x14ac:dyDescent="0.25">
      <c r="A743" t="s">
        <v>11056</v>
      </c>
      <c r="B743" t="s">
        <v>11612</v>
      </c>
    </row>
    <row r="744" spans="1:2" x14ac:dyDescent="0.25">
      <c r="A744" t="s">
        <v>11057</v>
      </c>
      <c r="B744" t="s">
        <v>11612</v>
      </c>
    </row>
    <row r="745" spans="1:2" x14ac:dyDescent="0.25">
      <c r="A745" t="s">
        <v>11058</v>
      </c>
      <c r="B745" t="s">
        <v>11612</v>
      </c>
    </row>
    <row r="746" spans="1:2" x14ac:dyDescent="0.25">
      <c r="A746" t="s">
        <v>6260</v>
      </c>
      <c r="B746" t="s">
        <v>11058</v>
      </c>
    </row>
    <row r="747" spans="1:2" x14ac:dyDescent="0.25">
      <c r="A747" t="s">
        <v>10707</v>
      </c>
      <c r="B747" t="s">
        <v>11058</v>
      </c>
    </row>
    <row r="748" spans="1:2" x14ac:dyDescent="0.25">
      <c r="A748" t="s">
        <v>10708</v>
      </c>
      <c r="B748" t="s">
        <v>11058</v>
      </c>
    </row>
    <row r="749" spans="1:2" x14ac:dyDescent="0.25">
      <c r="A749" t="s">
        <v>11059</v>
      </c>
      <c r="B749" t="s">
        <v>11612</v>
      </c>
    </row>
    <row r="750" spans="1:2" x14ac:dyDescent="0.25">
      <c r="A750" t="s">
        <v>10709</v>
      </c>
      <c r="B750" t="s">
        <v>11059</v>
      </c>
    </row>
    <row r="751" spans="1:2" x14ac:dyDescent="0.25">
      <c r="A751" t="s">
        <v>10710</v>
      </c>
      <c r="B751" t="s">
        <v>11059</v>
      </c>
    </row>
    <row r="752" spans="1:2" x14ac:dyDescent="0.25">
      <c r="A752" t="s">
        <v>10711</v>
      </c>
      <c r="B752" t="s">
        <v>11059</v>
      </c>
    </row>
    <row r="753" spans="1:2" x14ac:dyDescent="0.25">
      <c r="A753" t="s">
        <v>11060</v>
      </c>
      <c r="B753" t="s">
        <v>11612</v>
      </c>
    </row>
    <row r="754" spans="1:2" x14ac:dyDescent="0.25">
      <c r="A754" t="s">
        <v>10712</v>
      </c>
      <c r="B754" t="s">
        <v>11060</v>
      </c>
    </row>
    <row r="755" spans="1:2" x14ac:dyDescent="0.25">
      <c r="A755" t="s">
        <v>10713</v>
      </c>
      <c r="B755" t="s">
        <v>11060</v>
      </c>
    </row>
    <row r="756" spans="1:2" x14ac:dyDescent="0.25">
      <c r="A756" t="s">
        <v>7391</v>
      </c>
      <c r="B756" t="s">
        <v>12334</v>
      </c>
    </row>
    <row r="757" spans="1:2" x14ac:dyDescent="0.25">
      <c r="A757" t="s">
        <v>4575</v>
      </c>
      <c r="B757" t="s">
        <v>12334</v>
      </c>
    </row>
    <row r="758" spans="1:2" x14ac:dyDescent="0.25">
      <c r="A758" t="s">
        <v>7999</v>
      </c>
      <c r="B758" t="s">
        <v>12334</v>
      </c>
    </row>
    <row r="759" spans="1:2" x14ac:dyDescent="0.25">
      <c r="A759" t="s">
        <v>66</v>
      </c>
      <c r="B759" t="s">
        <v>7999</v>
      </c>
    </row>
    <row r="760" spans="1:2" x14ac:dyDescent="0.25">
      <c r="A760" t="s">
        <v>67</v>
      </c>
      <c r="B760" t="s">
        <v>7999</v>
      </c>
    </row>
    <row r="761" spans="1:2" x14ac:dyDescent="0.25">
      <c r="A761" t="s">
        <v>247</v>
      </c>
      <c r="B761" t="s">
        <v>7999</v>
      </c>
    </row>
    <row r="762" spans="1:2" x14ac:dyDescent="0.25">
      <c r="A762" t="s">
        <v>1655</v>
      </c>
      <c r="B762" t="s">
        <v>247</v>
      </c>
    </row>
    <row r="763" spans="1:2" x14ac:dyDescent="0.25">
      <c r="A763" t="s">
        <v>2675</v>
      </c>
      <c r="B763" t="s">
        <v>247</v>
      </c>
    </row>
    <row r="764" spans="1:2" x14ac:dyDescent="0.25">
      <c r="A764" t="s">
        <v>6272</v>
      </c>
      <c r="B764" t="s">
        <v>247</v>
      </c>
    </row>
    <row r="765" spans="1:2" x14ac:dyDescent="0.25">
      <c r="A765" t="s">
        <v>65</v>
      </c>
      <c r="B765" t="s">
        <v>247</v>
      </c>
    </row>
    <row r="766" spans="1:2" x14ac:dyDescent="0.25">
      <c r="A766" t="s">
        <v>10720</v>
      </c>
      <c r="B766" t="s">
        <v>65</v>
      </c>
    </row>
    <row r="767" spans="1:2" x14ac:dyDescent="0.25">
      <c r="A767" t="s">
        <v>9720</v>
      </c>
      <c r="B767" t="s">
        <v>65</v>
      </c>
    </row>
    <row r="768" spans="1:2" x14ac:dyDescent="0.25">
      <c r="A768" t="s">
        <v>8000</v>
      </c>
      <c r="B768" t="s">
        <v>65</v>
      </c>
    </row>
    <row r="769" spans="1:2" x14ac:dyDescent="0.25">
      <c r="A769" t="s">
        <v>8001</v>
      </c>
      <c r="B769" t="s">
        <v>65</v>
      </c>
    </row>
    <row r="770" spans="1:2" x14ac:dyDescent="0.25">
      <c r="A770" t="s">
        <v>6273</v>
      </c>
      <c r="B770" t="s">
        <v>65</v>
      </c>
    </row>
    <row r="771" spans="1:2" x14ac:dyDescent="0.25">
      <c r="A771" t="s">
        <v>9721</v>
      </c>
      <c r="B771" t="s">
        <v>65</v>
      </c>
    </row>
    <row r="772" spans="1:2" x14ac:dyDescent="0.25">
      <c r="A772" t="s">
        <v>2674</v>
      </c>
      <c r="B772" t="s">
        <v>65</v>
      </c>
    </row>
    <row r="773" spans="1:2" x14ac:dyDescent="0.25">
      <c r="A773" t="s">
        <v>64</v>
      </c>
      <c r="B773" t="s">
        <v>12334</v>
      </c>
    </row>
    <row r="774" spans="1:2" x14ac:dyDescent="0.25">
      <c r="A774" t="s">
        <v>2673</v>
      </c>
      <c r="B774" t="s">
        <v>12334</v>
      </c>
    </row>
    <row r="775" spans="1:2" x14ac:dyDescent="0.25">
      <c r="A775" t="s">
        <v>11999</v>
      </c>
      <c r="B775" t="s">
        <v>12334</v>
      </c>
    </row>
    <row r="776" spans="1:2" x14ac:dyDescent="0.25">
      <c r="A776" t="s">
        <v>5015</v>
      </c>
      <c r="B776" t="s">
        <v>12334</v>
      </c>
    </row>
    <row r="777" spans="1:2" x14ac:dyDescent="0.25">
      <c r="A777" t="s">
        <v>6784</v>
      </c>
      <c r="B777" t="s">
        <v>12334</v>
      </c>
    </row>
    <row r="778" spans="1:2" x14ac:dyDescent="0.25">
      <c r="A778" t="s">
        <v>6280</v>
      </c>
      <c r="B778" t="s">
        <v>12334</v>
      </c>
    </row>
    <row r="779" spans="1:2" x14ac:dyDescent="0.25">
      <c r="A779" t="s">
        <v>4578</v>
      </c>
      <c r="B779" t="s">
        <v>12334</v>
      </c>
    </row>
    <row r="780" spans="1:2" x14ac:dyDescent="0.25">
      <c r="A780" t="s">
        <v>7378</v>
      </c>
      <c r="B780" t="s">
        <v>8886</v>
      </c>
    </row>
    <row r="781" spans="1:2" x14ac:dyDescent="0.25">
      <c r="A781" t="s">
        <v>1373</v>
      </c>
      <c r="B781" t="s">
        <v>7378</v>
      </c>
    </row>
    <row r="782" spans="1:2" x14ac:dyDescent="0.25">
      <c r="A782" t="s">
        <v>10716</v>
      </c>
      <c r="B782" t="s">
        <v>8886</v>
      </c>
    </row>
    <row r="783" spans="1:2" x14ac:dyDescent="0.25">
      <c r="A783" t="s">
        <v>10225</v>
      </c>
      <c r="B783" t="s">
        <v>10716</v>
      </c>
    </row>
    <row r="784" spans="1:2" x14ac:dyDescent="0.25">
      <c r="A784" t="s">
        <v>496</v>
      </c>
      <c r="B784" t="s">
        <v>10225</v>
      </c>
    </row>
    <row r="785" spans="1:2" x14ac:dyDescent="0.25">
      <c r="A785" t="s">
        <v>2661</v>
      </c>
      <c r="B785" t="s">
        <v>10225</v>
      </c>
    </row>
    <row r="786" spans="1:2" x14ac:dyDescent="0.25">
      <c r="A786" t="s">
        <v>6266</v>
      </c>
      <c r="B786" t="s">
        <v>10225</v>
      </c>
    </row>
    <row r="787" spans="1:2" x14ac:dyDescent="0.25">
      <c r="A787" t="s">
        <v>5003</v>
      </c>
      <c r="B787" t="s">
        <v>10225</v>
      </c>
    </row>
    <row r="788" spans="1:2" x14ac:dyDescent="0.25">
      <c r="A788" t="s">
        <v>8521</v>
      </c>
      <c r="B788" t="s">
        <v>10716</v>
      </c>
    </row>
    <row r="789" spans="1:2" x14ac:dyDescent="0.25">
      <c r="A789" t="s">
        <v>5004</v>
      </c>
      <c r="B789" t="s">
        <v>8521</v>
      </c>
    </row>
    <row r="790" spans="1:2" x14ac:dyDescent="0.25">
      <c r="A790" t="s">
        <v>8919</v>
      </c>
      <c r="B790" t="s">
        <v>8521</v>
      </c>
    </row>
    <row r="791" spans="1:2" x14ac:dyDescent="0.25">
      <c r="A791" t="s">
        <v>3130</v>
      </c>
      <c r="B791" t="s">
        <v>8521</v>
      </c>
    </row>
    <row r="792" spans="1:2" x14ac:dyDescent="0.25">
      <c r="A792" t="s">
        <v>11798</v>
      </c>
      <c r="B792" t="s">
        <v>3130</v>
      </c>
    </row>
    <row r="793" spans="1:2" x14ac:dyDescent="0.25">
      <c r="A793" t="s">
        <v>13602</v>
      </c>
      <c r="B793" t="s">
        <v>8886</v>
      </c>
    </row>
    <row r="794" spans="1:2" x14ac:dyDescent="0.25">
      <c r="A794" t="s">
        <v>13603</v>
      </c>
      <c r="B794" t="s">
        <v>13602</v>
      </c>
    </row>
    <row r="795" spans="1:2" x14ac:dyDescent="0.25">
      <c r="A795" t="s">
        <v>13604</v>
      </c>
      <c r="B795" t="s">
        <v>13603</v>
      </c>
    </row>
    <row r="796" spans="1:2" x14ac:dyDescent="0.25">
      <c r="A796" t="s">
        <v>15173</v>
      </c>
      <c r="B796" t="s">
        <v>13603</v>
      </c>
    </row>
    <row r="797" spans="1:2" x14ac:dyDescent="0.25">
      <c r="A797" t="s">
        <v>15174</v>
      </c>
      <c r="B797" t="s">
        <v>13603</v>
      </c>
    </row>
    <row r="798" spans="1:2" x14ac:dyDescent="0.25">
      <c r="A798" t="s">
        <v>15175</v>
      </c>
      <c r="B798" t="s">
        <v>13603</v>
      </c>
    </row>
    <row r="799" spans="1:2" x14ac:dyDescent="0.25">
      <c r="A799" t="s">
        <v>4583</v>
      </c>
      <c r="B799" t="s">
        <v>15175</v>
      </c>
    </row>
    <row r="800" spans="1:2" x14ac:dyDescent="0.25">
      <c r="A800" t="s">
        <v>14274</v>
      </c>
      <c r="B800" t="s">
        <v>4583</v>
      </c>
    </row>
    <row r="801" spans="1:2" x14ac:dyDescent="0.25">
      <c r="A801" t="s">
        <v>14275</v>
      </c>
      <c r="B801" t="s">
        <v>4583</v>
      </c>
    </row>
    <row r="802" spans="1:2" x14ac:dyDescent="0.25">
      <c r="A802" t="s">
        <v>14276</v>
      </c>
      <c r="B802" t="s">
        <v>4583</v>
      </c>
    </row>
    <row r="803" spans="1:2" x14ac:dyDescent="0.25">
      <c r="A803" t="s">
        <v>13605</v>
      </c>
      <c r="B803" t="s">
        <v>13602</v>
      </c>
    </row>
    <row r="804" spans="1:2" x14ac:dyDescent="0.25">
      <c r="A804" t="s">
        <v>13606</v>
      </c>
      <c r="B804" t="s">
        <v>13605</v>
      </c>
    </row>
    <row r="805" spans="1:2" x14ac:dyDescent="0.25">
      <c r="A805" t="s">
        <v>13607</v>
      </c>
      <c r="B805" t="s">
        <v>13605</v>
      </c>
    </row>
    <row r="806" spans="1:2" x14ac:dyDescent="0.25">
      <c r="A806" t="s">
        <v>13940</v>
      </c>
      <c r="B806" t="s">
        <v>8886</v>
      </c>
    </row>
    <row r="807" spans="1:2" x14ac:dyDescent="0.25">
      <c r="A807" t="s">
        <v>13098</v>
      </c>
      <c r="B807" t="s">
        <v>13940</v>
      </c>
    </row>
    <row r="808" spans="1:2" x14ac:dyDescent="0.25">
      <c r="A808" t="s">
        <v>13099</v>
      </c>
      <c r="B808" t="s">
        <v>13098</v>
      </c>
    </row>
    <row r="809" spans="1:2" x14ac:dyDescent="0.25">
      <c r="A809" t="s">
        <v>13100</v>
      </c>
      <c r="B809" t="s">
        <v>13099</v>
      </c>
    </row>
    <row r="810" spans="1:2" x14ac:dyDescent="0.25">
      <c r="A810" t="s">
        <v>13101</v>
      </c>
      <c r="B810" t="s">
        <v>13100</v>
      </c>
    </row>
    <row r="811" spans="1:2" x14ac:dyDescent="0.25">
      <c r="A811" t="s">
        <v>13102</v>
      </c>
      <c r="B811" t="s">
        <v>13099</v>
      </c>
    </row>
    <row r="812" spans="1:2" x14ac:dyDescent="0.25">
      <c r="A812" t="s">
        <v>13104</v>
      </c>
      <c r="B812" t="s">
        <v>13099</v>
      </c>
    </row>
    <row r="813" spans="1:2" x14ac:dyDescent="0.25">
      <c r="A813" t="s">
        <v>13169</v>
      </c>
      <c r="B813" t="s">
        <v>13099</v>
      </c>
    </row>
    <row r="814" spans="1:2" x14ac:dyDescent="0.25">
      <c r="A814" t="s">
        <v>13313</v>
      </c>
      <c r="B814" t="s">
        <v>13169</v>
      </c>
    </row>
    <row r="815" spans="1:2" x14ac:dyDescent="0.25">
      <c r="A815" t="s">
        <v>13170</v>
      </c>
      <c r="B815" t="s">
        <v>13099</v>
      </c>
    </row>
    <row r="816" spans="1:2" x14ac:dyDescent="0.25">
      <c r="A816" t="s">
        <v>13314</v>
      </c>
      <c r="B816" t="s">
        <v>13170</v>
      </c>
    </row>
    <row r="817" spans="1:2" x14ac:dyDescent="0.25">
      <c r="A817" t="s">
        <v>13105</v>
      </c>
      <c r="B817" t="s">
        <v>13098</v>
      </c>
    </row>
    <row r="818" spans="1:2" x14ac:dyDescent="0.25">
      <c r="A818" t="s">
        <v>14209</v>
      </c>
      <c r="B818" t="s">
        <v>13098</v>
      </c>
    </row>
    <row r="819" spans="1:2" x14ac:dyDescent="0.25">
      <c r="A819" t="s">
        <v>14219</v>
      </c>
      <c r="B819" t="s">
        <v>14209</v>
      </c>
    </row>
    <row r="820" spans="1:2" x14ac:dyDescent="0.25">
      <c r="A820" t="s">
        <v>14226</v>
      </c>
      <c r="B820" t="s">
        <v>14219</v>
      </c>
    </row>
    <row r="821" spans="1:2" x14ac:dyDescent="0.25">
      <c r="A821" t="s">
        <v>14183</v>
      </c>
      <c r="B821" t="s">
        <v>14209</v>
      </c>
    </row>
    <row r="822" spans="1:2" x14ac:dyDescent="0.25">
      <c r="A822" t="s">
        <v>14188</v>
      </c>
      <c r="B822" t="s">
        <v>14183</v>
      </c>
    </row>
    <row r="823" spans="1:2" x14ac:dyDescent="0.25">
      <c r="A823" t="s">
        <v>14210</v>
      </c>
      <c r="B823" t="s">
        <v>14209</v>
      </c>
    </row>
    <row r="824" spans="1:2" x14ac:dyDescent="0.25">
      <c r="A824" t="s">
        <v>14176</v>
      </c>
      <c r="B824" t="s">
        <v>13098</v>
      </c>
    </row>
    <row r="825" spans="1:2" x14ac:dyDescent="0.25">
      <c r="A825" t="s">
        <v>14171</v>
      </c>
      <c r="B825" t="s">
        <v>14176</v>
      </c>
    </row>
    <row r="826" spans="1:2" x14ac:dyDescent="0.25">
      <c r="A826" t="s">
        <v>14174</v>
      </c>
      <c r="B826" t="s">
        <v>14171</v>
      </c>
    </row>
    <row r="827" spans="1:2" x14ac:dyDescent="0.25">
      <c r="A827" t="s">
        <v>14117</v>
      </c>
      <c r="B827" t="s">
        <v>14176</v>
      </c>
    </row>
    <row r="828" spans="1:2" x14ac:dyDescent="0.25">
      <c r="A828" t="s">
        <v>14126</v>
      </c>
      <c r="B828" t="s">
        <v>14117</v>
      </c>
    </row>
    <row r="829" spans="1:2" x14ac:dyDescent="0.25">
      <c r="A829" t="s">
        <v>14150</v>
      </c>
      <c r="B829" t="s">
        <v>14176</v>
      </c>
    </row>
    <row r="830" spans="1:2" x14ac:dyDescent="0.25">
      <c r="A830" t="s">
        <v>14152</v>
      </c>
      <c r="B830" t="s">
        <v>14150</v>
      </c>
    </row>
    <row r="831" spans="1:2" x14ac:dyDescent="0.25">
      <c r="A831" t="s">
        <v>14177</v>
      </c>
      <c r="B831" t="s">
        <v>14176</v>
      </c>
    </row>
    <row r="832" spans="1:2" x14ac:dyDescent="0.25">
      <c r="A832" t="s">
        <v>14257</v>
      </c>
      <c r="B832" t="s">
        <v>14176</v>
      </c>
    </row>
    <row r="833" spans="1:2" x14ac:dyDescent="0.25">
      <c r="A833" t="s">
        <v>14181</v>
      </c>
      <c r="B833" t="s">
        <v>14257</v>
      </c>
    </row>
    <row r="834" spans="1:2" x14ac:dyDescent="0.25">
      <c r="A834" t="s">
        <v>14194</v>
      </c>
      <c r="B834" t="s">
        <v>13098</v>
      </c>
    </row>
    <row r="835" spans="1:2" x14ac:dyDescent="0.25">
      <c r="A835" t="s">
        <v>14212</v>
      </c>
      <c r="B835" t="s">
        <v>14194</v>
      </c>
    </row>
    <row r="836" spans="1:2" x14ac:dyDescent="0.25">
      <c r="A836" t="s">
        <v>14214</v>
      </c>
      <c r="B836" t="s">
        <v>14212</v>
      </c>
    </row>
    <row r="837" spans="1:2" x14ac:dyDescent="0.25">
      <c r="A837" t="s">
        <v>14145</v>
      </c>
      <c r="B837" t="s">
        <v>14194</v>
      </c>
    </row>
    <row r="838" spans="1:2" x14ac:dyDescent="0.25">
      <c r="A838" t="s">
        <v>14147</v>
      </c>
      <c r="B838" t="s">
        <v>14145</v>
      </c>
    </row>
    <row r="839" spans="1:2" x14ac:dyDescent="0.25">
      <c r="A839" t="s">
        <v>14158</v>
      </c>
      <c r="B839" t="s">
        <v>14194</v>
      </c>
    </row>
    <row r="840" spans="1:2" x14ac:dyDescent="0.25">
      <c r="A840" t="s">
        <v>14160</v>
      </c>
      <c r="B840" t="s">
        <v>14158</v>
      </c>
    </row>
    <row r="841" spans="1:2" x14ac:dyDescent="0.25">
      <c r="A841" t="s">
        <v>14137</v>
      </c>
      <c r="B841" t="s">
        <v>14194</v>
      </c>
    </row>
    <row r="842" spans="1:2" x14ac:dyDescent="0.25">
      <c r="A842" t="s">
        <v>14141</v>
      </c>
      <c r="B842" t="s">
        <v>14137</v>
      </c>
    </row>
    <row r="843" spans="1:2" x14ac:dyDescent="0.25">
      <c r="A843" t="s">
        <v>14118</v>
      </c>
      <c r="B843" t="s">
        <v>14194</v>
      </c>
    </row>
    <row r="844" spans="1:2" x14ac:dyDescent="0.25">
      <c r="A844" t="s">
        <v>14127</v>
      </c>
      <c r="B844" t="s">
        <v>14118</v>
      </c>
    </row>
    <row r="845" spans="1:2" x14ac:dyDescent="0.25">
      <c r="A845" t="s">
        <v>14138</v>
      </c>
      <c r="B845" t="s">
        <v>14194</v>
      </c>
    </row>
    <row r="846" spans="1:2" x14ac:dyDescent="0.25">
      <c r="A846" t="s">
        <v>14142</v>
      </c>
      <c r="B846" t="s">
        <v>14138</v>
      </c>
    </row>
    <row r="847" spans="1:2" x14ac:dyDescent="0.25">
      <c r="A847" t="s">
        <v>14139</v>
      </c>
      <c r="B847" t="s">
        <v>14194</v>
      </c>
    </row>
    <row r="848" spans="1:2" x14ac:dyDescent="0.25">
      <c r="A848" t="s">
        <v>14143</v>
      </c>
      <c r="B848" t="s">
        <v>14139</v>
      </c>
    </row>
    <row r="849" spans="1:2" x14ac:dyDescent="0.25">
      <c r="A849" t="s">
        <v>14197</v>
      </c>
      <c r="B849" t="s">
        <v>14194</v>
      </c>
    </row>
    <row r="850" spans="1:2" x14ac:dyDescent="0.25">
      <c r="A850" t="s">
        <v>13103</v>
      </c>
      <c r="B850" t="s">
        <v>14194</v>
      </c>
    </row>
    <row r="851" spans="1:2" x14ac:dyDescent="0.25">
      <c r="A851" t="s">
        <v>14184</v>
      </c>
      <c r="B851" t="s">
        <v>13098</v>
      </c>
    </row>
    <row r="852" spans="1:2" x14ac:dyDescent="0.25">
      <c r="A852" t="s">
        <v>14189</v>
      </c>
      <c r="B852" t="s">
        <v>14184</v>
      </c>
    </row>
    <row r="853" spans="1:2" x14ac:dyDescent="0.25">
      <c r="A853" t="s">
        <v>14220</v>
      </c>
      <c r="B853" t="s">
        <v>13098</v>
      </c>
    </row>
    <row r="854" spans="1:2" x14ac:dyDescent="0.25">
      <c r="A854" t="s">
        <v>14253</v>
      </c>
      <c r="B854" t="s">
        <v>14220</v>
      </c>
    </row>
    <row r="855" spans="1:2" x14ac:dyDescent="0.25">
      <c r="A855" t="s">
        <v>14254</v>
      </c>
      <c r="B855" t="s">
        <v>14253</v>
      </c>
    </row>
    <row r="856" spans="1:2" x14ac:dyDescent="0.25">
      <c r="A856" t="s">
        <v>14227</v>
      </c>
      <c r="B856" t="s">
        <v>14220</v>
      </c>
    </row>
    <row r="857" spans="1:2" x14ac:dyDescent="0.25">
      <c r="A857" t="s">
        <v>14201</v>
      </c>
      <c r="B857" t="s">
        <v>13098</v>
      </c>
    </row>
    <row r="858" spans="1:2" x14ac:dyDescent="0.25">
      <c r="A858" t="s">
        <v>14140</v>
      </c>
      <c r="B858" t="s">
        <v>14201</v>
      </c>
    </row>
    <row r="859" spans="1:2" x14ac:dyDescent="0.25">
      <c r="A859" t="s">
        <v>14144</v>
      </c>
      <c r="B859" t="s">
        <v>14140</v>
      </c>
    </row>
    <row r="860" spans="1:2" x14ac:dyDescent="0.25">
      <c r="A860" t="s">
        <v>14166</v>
      </c>
      <c r="B860" t="s">
        <v>14201</v>
      </c>
    </row>
    <row r="861" spans="1:2" x14ac:dyDescent="0.25">
      <c r="A861" t="s">
        <v>14168</v>
      </c>
      <c r="B861" t="s">
        <v>14166</v>
      </c>
    </row>
    <row r="862" spans="1:2" x14ac:dyDescent="0.25">
      <c r="A862" t="s">
        <v>14119</v>
      </c>
      <c r="B862" t="s">
        <v>14201</v>
      </c>
    </row>
    <row r="863" spans="1:2" x14ac:dyDescent="0.25">
      <c r="A863" t="s">
        <v>14128</v>
      </c>
      <c r="B863" t="s">
        <v>14119</v>
      </c>
    </row>
    <row r="864" spans="1:2" x14ac:dyDescent="0.25">
      <c r="A864" t="s">
        <v>14120</v>
      </c>
      <c r="B864" t="s">
        <v>14201</v>
      </c>
    </row>
    <row r="865" spans="1:2" x14ac:dyDescent="0.25">
      <c r="A865" t="s">
        <v>14129</v>
      </c>
      <c r="B865" t="s">
        <v>14120</v>
      </c>
    </row>
    <row r="866" spans="1:2" x14ac:dyDescent="0.25">
      <c r="A866" t="s">
        <v>14167</v>
      </c>
      <c r="B866" t="s">
        <v>14201</v>
      </c>
    </row>
    <row r="867" spans="1:2" x14ac:dyDescent="0.25">
      <c r="A867" t="s">
        <v>14169</v>
      </c>
      <c r="B867" t="s">
        <v>14167</v>
      </c>
    </row>
    <row r="868" spans="1:2" x14ac:dyDescent="0.25">
      <c r="A868" t="s">
        <v>14204</v>
      </c>
      <c r="B868" t="s">
        <v>14201</v>
      </c>
    </row>
    <row r="869" spans="1:2" x14ac:dyDescent="0.25">
      <c r="A869" t="s">
        <v>16446</v>
      </c>
      <c r="B869" t="s">
        <v>14201</v>
      </c>
    </row>
    <row r="870" spans="1:2" x14ac:dyDescent="0.25">
      <c r="A870" t="s">
        <v>16508</v>
      </c>
      <c r="B870" t="s">
        <v>16446</v>
      </c>
    </row>
    <row r="871" spans="1:2" x14ac:dyDescent="0.25">
      <c r="A871" t="s">
        <v>14202</v>
      </c>
      <c r="B871" t="s">
        <v>13098</v>
      </c>
    </row>
    <row r="872" spans="1:2" x14ac:dyDescent="0.25">
      <c r="A872" t="s">
        <v>14205</v>
      </c>
      <c r="B872" t="s">
        <v>14202</v>
      </c>
    </row>
    <row r="873" spans="1:2" x14ac:dyDescent="0.25">
      <c r="A873" t="s">
        <v>14161</v>
      </c>
      <c r="B873" t="s">
        <v>13098</v>
      </c>
    </row>
    <row r="874" spans="1:2" x14ac:dyDescent="0.25">
      <c r="A874" t="s">
        <v>14151</v>
      </c>
      <c r="B874" t="s">
        <v>14161</v>
      </c>
    </row>
    <row r="875" spans="1:2" x14ac:dyDescent="0.25">
      <c r="A875" t="s">
        <v>14153</v>
      </c>
      <c r="B875" t="s">
        <v>14151</v>
      </c>
    </row>
    <row r="876" spans="1:2" x14ac:dyDescent="0.25">
      <c r="A876" t="s">
        <v>14163</v>
      </c>
      <c r="B876" t="s">
        <v>14161</v>
      </c>
    </row>
    <row r="877" spans="1:2" x14ac:dyDescent="0.25">
      <c r="A877" t="s">
        <v>15176</v>
      </c>
      <c r="B877" t="s">
        <v>13098</v>
      </c>
    </row>
    <row r="878" spans="1:2" x14ac:dyDescent="0.25">
      <c r="A878" t="s">
        <v>13162</v>
      </c>
      <c r="B878" t="s">
        <v>13098</v>
      </c>
    </row>
    <row r="879" spans="1:2" x14ac:dyDescent="0.25">
      <c r="A879" t="s">
        <v>13301</v>
      </c>
      <c r="B879" t="s">
        <v>13162</v>
      </c>
    </row>
    <row r="880" spans="1:2" x14ac:dyDescent="0.25">
      <c r="A880" t="s">
        <v>6758</v>
      </c>
      <c r="B880" t="s">
        <v>13940</v>
      </c>
    </row>
    <row r="881" spans="1:2" x14ac:dyDescent="0.25">
      <c r="A881" t="s">
        <v>5811</v>
      </c>
      <c r="B881" t="s">
        <v>6758</v>
      </c>
    </row>
    <row r="882" spans="1:2" x14ac:dyDescent="0.25">
      <c r="A882" t="s">
        <v>13089</v>
      </c>
      <c r="B882" t="s">
        <v>5811</v>
      </c>
    </row>
    <row r="883" spans="1:2" x14ac:dyDescent="0.25">
      <c r="A883" t="s">
        <v>14837</v>
      </c>
      <c r="B883" t="s">
        <v>5811</v>
      </c>
    </row>
    <row r="884" spans="1:2" x14ac:dyDescent="0.25">
      <c r="A884" t="s">
        <v>7983</v>
      </c>
      <c r="B884" t="s">
        <v>6758</v>
      </c>
    </row>
    <row r="885" spans="1:2" x14ac:dyDescent="0.25">
      <c r="A885" t="s">
        <v>6774</v>
      </c>
      <c r="B885" t="s">
        <v>7983</v>
      </c>
    </row>
    <row r="886" spans="1:2" x14ac:dyDescent="0.25">
      <c r="A886" t="s">
        <v>11491</v>
      </c>
      <c r="B886" t="s">
        <v>6774</v>
      </c>
    </row>
    <row r="887" spans="1:2" x14ac:dyDescent="0.25">
      <c r="A887" t="s">
        <v>5812</v>
      </c>
      <c r="B887" t="s">
        <v>6758</v>
      </c>
    </row>
    <row r="888" spans="1:2" x14ac:dyDescent="0.25">
      <c r="A888" t="s">
        <v>4988</v>
      </c>
      <c r="B888" t="s">
        <v>5812</v>
      </c>
    </row>
    <row r="889" spans="1:2" x14ac:dyDescent="0.25">
      <c r="A889" t="s">
        <v>5984</v>
      </c>
      <c r="B889" t="s">
        <v>4988</v>
      </c>
    </row>
    <row r="890" spans="1:2" x14ac:dyDescent="0.25">
      <c r="A890" t="s">
        <v>8491</v>
      </c>
      <c r="B890" t="s">
        <v>5812</v>
      </c>
    </row>
    <row r="891" spans="1:2" x14ac:dyDescent="0.25">
      <c r="A891" t="s">
        <v>8675</v>
      </c>
      <c r="B891" t="s">
        <v>8491</v>
      </c>
    </row>
    <row r="892" spans="1:2" x14ac:dyDescent="0.25">
      <c r="A892" t="s">
        <v>11608</v>
      </c>
      <c r="B892" t="s">
        <v>5812</v>
      </c>
    </row>
    <row r="893" spans="1:2" x14ac:dyDescent="0.25">
      <c r="A893" t="s">
        <v>6252</v>
      </c>
      <c r="B893" t="s">
        <v>5812</v>
      </c>
    </row>
    <row r="894" spans="1:2" x14ac:dyDescent="0.25">
      <c r="A894" t="s">
        <v>2662</v>
      </c>
      <c r="B894" t="s">
        <v>5812</v>
      </c>
    </row>
    <row r="895" spans="1:2" x14ac:dyDescent="0.25">
      <c r="A895" t="s">
        <v>2726</v>
      </c>
      <c r="B895" t="s">
        <v>2662</v>
      </c>
    </row>
    <row r="896" spans="1:2" x14ac:dyDescent="0.25">
      <c r="A896" t="s">
        <v>11609</v>
      </c>
      <c r="B896" t="s">
        <v>5812</v>
      </c>
    </row>
    <row r="897" spans="1:2" x14ac:dyDescent="0.25">
      <c r="A897" t="s">
        <v>11744</v>
      </c>
      <c r="B897" t="s">
        <v>11609</v>
      </c>
    </row>
    <row r="898" spans="1:2" x14ac:dyDescent="0.25">
      <c r="A898" t="s">
        <v>11610</v>
      </c>
      <c r="B898" t="s">
        <v>5812</v>
      </c>
    </row>
    <row r="899" spans="1:2" x14ac:dyDescent="0.25">
      <c r="A899" t="s">
        <v>11745</v>
      </c>
      <c r="B899" t="s">
        <v>11610</v>
      </c>
    </row>
    <row r="900" spans="1:2" x14ac:dyDescent="0.25">
      <c r="A900" t="s">
        <v>4571</v>
      </c>
      <c r="B900" t="s">
        <v>5812</v>
      </c>
    </row>
    <row r="901" spans="1:2" x14ac:dyDescent="0.25">
      <c r="A901" t="s">
        <v>2670</v>
      </c>
      <c r="B901" t="s">
        <v>5812</v>
      </c>
    </row>
    <row r="902" spans="1:2" x14ac:dyDescent="0.25">
      <c r="A902" t="s">
        <v>2727</v>
      </c>
      <c r="B902" t="s">
        <v>2670</v>
      </c>
    </row>
    <row r="903" spans="1:2" x14ac:dyDescent="0.25">
      <c r="A903" t="s">
        <v>5007</v>
      </c>
      <c r="B903" t="s">
        <v>5812</v>
      </c>
    </row>
    <row r="904" spans="1:2" x14ac:dyDescent="0.25">
      <c r="A904" t="s">
        <v>5138</v>
      </c>
      <c r="B904" t="s">
        <v>5007</v>
      </c>
    </row>
    <row r="905" spans="1:2" x14ac:dyDescent="0.25">
      <c r="A905" t="s">
        <v>5139</v>
      </c>
      <c r="B905" t="s">
        <v>5007</v>
      </c>
    </row>
    <row r="906" spans="1:2" x14ac:dyDescent="0.25">
      <c r="A906" t="s">
        <v>8535</v>
      </c>
      <c r="B906" t="s">
        <v>5812</v>
      </c>
    </row>
    <row r="907" spans="1:2" x14ac:dyDescent="0.25">
      <c r="A907" t="s">
        <v>8676</v>
      </c>
      <c r="B907" t="s">
        <v>8535</v>
      </c>
    </row>
    <row r="908" spans="1:2" x14ac:dyDescent="0.25">
      <c r="A908" t="s">
        <v>9717</v>
      </c>
      <c r="B908" t="s">
        <v>5812</v>
      </c>
    </row>
    <row r="909" spans="1:2" x14ac:dyDescent="0.25">
      <c r="A909" t="s">
        <v>9869</v>
      </c>
      <c r="B909" t="s">
        <v>9717</v>
      </c>
    </row>
    <row r="910" spans="1:2" x14ac:dyDescent="0.25">
      <c r="A910" t="s">
        <v>13090</v>
      </c>
      <c r="B910" t="s">
        <v>5812</v>
      </c>
    </row>
    <row r="911" spans="1:2" x14ac:dyDescent="0.25">
      <c r="A911" t="s">
        <v>13091</v>
      </c>
      <c r="B911" t="s">
        <v>13090</v>
      </c>
    </row>
    <row r="912" spans="1:2" x14ac:dyDescent="0.25">
      <c r="A912" t="s">
        <v>13092</v>
      </c>
      <c r="B912" t="s">
        <v>5812</v>
      </c>
    </row>
    <row r="913" spans="1:2" x14ac:dyDescent="0.25">
      <c r="A913" t="s">
        <v>13093</v>
      </c>
      <c r="B913" t="s">
        <v>13092</v>
      </c>
    </row>
    <row r="914" spans="1:2" x14ac:dyDescent="0.25">
      <c r="A914" t="s">
        <v>14170</v>
      </c>
      <c r="B914" t="s">
        <v>5812</v>
      </c>
    </row>
    <row r="915" spans="1:2" x14ac:dyDescent="0.25">
      <c r="A915" t="s">
        <v>14173</v>
      </c>
      <c r="B915" t="s">
        <v>14170</v>
      </c>
    </row>
    <row r="916" spans="1:2" x14ac:dyDescent="0.25">
      <c r="A916" t="s">
        <v>4572</v>
      </c>
      <c r="B916" t="s">
        <v>6758</v>
      </c>
    </row>
    <row r="917" spans="1:2" x14ac:dyDescent="0.25">
      <c r="A917" t="s">
        <v>3562</v>
      </c>
      <c r="B917" t="s">
        <v>4572</v>
      </c>
    </row>
    <row r="918" spans="1:2" x14ac:dyDescent="0.25">
      <c r="A918" t="s">
        <v>13094</v>
      </c>
      <c r="B918" t="s">
        <v>3562</v>
      </c>
    </row>
    <row r="919" spans="1:2" x14ac:dyDescent="0.25">
      <c r="A919" t="s">
        <v>4965</v>
      </c>
      <c r="B919" t="s">
        <v>3562</v>
      </c>
    </row>
    <row r="920" spans="1:2" x14ac:dyDescent="0.25">
      <c r="A920" t="s">
        <v>50</v>
      </c>
      <c r="B920" t="s">
        <v>4572</v>
      </c>
    </row>
    <row r="921" spans="1:2" x14ac:dyDescent="0.25">
      <c r="A921" t="s">
        <v>95</v>
      </c>
      <c r="B921" t="s">
        <v>50</v>
      </c>
    </row>
    <row r="922" spans="1:2" x14ac:dyDescent="0.25">
      <c r="A922" t="s">
        <v>5813</v>
      </c>
      <c r="B922" t="s">
        <v>4572</v>
      </c>
    </row>
    <row r="923" spans="1:2" x14ac:dyDescent="0.25">
      <c r="A923" t="s">
        <v>5985</v>
      </c>
      <c r="B923" t="s">
        <v>5813</v>
      </c>
    </row>
    <row r="924" spans="1:2" x14ac:dyDescent="0.25">
      <c r="A924" t="s">
        <v>7360</v>
      </c>
      <c r="B924" t="s">
        <v>4572</v>
      </c>
    </row>
    <row r="925" spans="1:2" x14ac:dyDescent="0.25">
      <c r="A925" t="s">
        <v>7627</v>
      </c>
      <c r="B925" t="s">
        <v>7360</v>
      </c>
    </row>
    <row r="926" spans="1:2" x14ac:dyDescent="0.25">
      <c r="A926" t="s">
        <v>2663</v>
      </c>
      <c r="B926" t="s">
        <v>4572</v>
      </c>
    </row>
    <row r="927" spans="1:2" x14ac:dyDescent="0.25">
      <c r="A927" t="s">
        <v>2728</v>
      </c>
      <c r="B927" t="s">
        <v>2663</v>
      </c>
    </row>
    <row r="928" spans="1:2" x14ac:dyDescent="0.25">
      <c r="A928" t="s">
        <v>7984</v>
      </c>
      <c r="B928" t="s">
        <v>4572</v>
      </c>
    </row>
    <row r="929" spans="1:2" x14ac:dyDescent="0.25">
      <c r="A929" t="s">
        <v>8241</v>
      </c>
      <c r="B929" t="s">
        <v>7984</v>
      </c>
    </row>
    <row r="930" spans="1:2" x14ac:dyDescent="0.25">
      <c r="A930" t="s">
        <v>7985</v>
      </c>
      <c r="B930" t="s">
        <v>4572</v>
      </c>
    </row>
    <row r="931" spans="1:2" x14ac:dyDescent="0.25">
      <c r="A931" t="s">
        <v>6759</v>
      </c>
      <c r="B931" t="s">
        <v>7985</v>
      </c>
    </row>
    <row r="932" spans="1:2" x14ac:dyDescent="0.25">
      <c r="A932" t="s">
        <v>8242</v>
      </c>
      <c r="B932" t="s">
        <v>6759</v>
      </c>
    </row>
    <row r="933" spans="1:2" x14ac:dyDescent="0.25">
      <c r="A933" t="s">
        <v>11380</v>
      </c>
      <c r="B933" t="s">
        <v>7985</v>
      </c>
    </row>
    <row r="934" spans="1:2" x14ac:dyDescent="0.25">
      <c r="A934" t="s">
        <v>11493</v>
      </c>
      <c r="B934" t="s">
        <v>11380</v>
      </c>
    </row>
    <row r="935" spans="1:2" x14ac:dyDescent="0.25">
      <c r="A935" t="s">
        <v>8908</v>
      </c>
      <c r="B935" t="s">
        <v>7985</v>
      </c>
    </row>
    <row r="936" spans="1:2" x14ac:dyDescent="0.25">
      <c r="A936" t="s">
        <v>9061</v>
      </c>
      <c r="B936" t="s">
        <v>8908</v>
      </c>
    </row>
    <row r="937" spans="1:2" x14ac:dyDescent="0.25">
      <c r="A937" t="s">
        <v>9283</v>
      </c>
      <c r="B937" t="s">
        <v>7985</v>
      </c>
    </row>
    <row r="938" spans="1:2" x14ac:dyDescent="0.25">
      <c r="A938" t="s">
        <v>9510</v>
      </c>
      <c r="B938" t="s">
        <v>9283</v>
      </c>
    </row>
    <row r="939" spans="1:2" x14ac:dyDescent="0.25">
      <c r="A939" t="s">
        <v>6253</v>
      </c>
      <c r="B939" t="s">
        <v>7985</v>
      </c>
    </row>
    <row r="940" spans="1:2" x14ac:dyDescent="0.25">
      <c r="A940" t="s">
        <v>6459</v>
      </c>
      <c r="B940" t="s">
        <v>6253</v>
      </c>
    </row>
    <row r="941" spans="1:2" x14ac:dyDescent="0.25">
      <c r="A941" t="s">
        <v>5430</v>
      </c>
      <c r="B941" t="s">
        <v>7985</v>
      </c>
    </row>
    <row r="942" spans="1:2" x14ac:dyDescent="0.25">
      <c r="A942" t="s">
        <v>5573</v>
      </c>
      <c r="B942" t="s">
        <v>5430</v>
      </c>
    </row>
    <row r="943" spans="1:2" x14ac:dyDescent="0.25">
      <c r="A943" t="s">
        <v>9705</v>
      </c>
      <c r="B943" t="s">
        <v>7985</v>
      </c>
    </row>
    <row r="944" spans="1:2" x14ac:dyDescent="0.25">
      <c r="A944" t="s">
        <v>9870</v>
      </c>
      <c r="B944" t="s">
        <v>9705</v>
      </c>
    </row>
    <row r="945" spans="1:2" x14ac:dyDescent="0.25">
      <c r="A945" t="s">
        <v>11381</v>
      </c>
      <c r="B945" t="s">
        <v>7985</v>
      </c>
    </row>
    <row r="946" spans="1:2" x14ac:dyDescent="0.25">
      <c r="A946" t="s">
        <v>11494</v>
      </c>
      <c r="B946" t="s">
        <v>11381</v>
      </c>
    </row>
    <row r="947" spans="1:2" x14ac:dyDescent="0.25">
      <c r="A947" t="s">
        <v>3121</v>
      </c>
      <c r="B947" t="s">
        <v>7985</v>
      </c>
    </row>
    <row r="948" spans="1:2" x14ac:dyDescent="0.25">
      <c r="A948" t="s">
        <v>3205</v>
      </c>
      <c r="B948" t="s">
        <v>3121</v>
      </c>
    </row>
    <row r="949" spans="1:2" x14ac:dyDescent="0.25">
      <c r="A949" t="s">
        <v>11063</v>
      </c>
      <c r="B949" t="s">
        <v>7985</v>
      </c>
    </row>
    <row r="950" spans="1:2" x14ac:dyDescent="0.25">
      <c r="A950" t="s">
        <v>11219</v>
      </c>
      <c r="B950" t="s">
        <v>11063</v>
      </c>
    </row>
    <row r="951" spans="1:2" x14ac:dyDescent="0.25">
      <c r="A951" t="s">
        <v>6760</v>
      </c>
      <c r="B951" t="s">
        <v>4572</v>
      </c>
    </row>
    <row r="952" spans="1:2" x14ac:dyDescent="0.25">
      <c r="A952" t="s">
        <v>6925</v>
      </c>
      <c r="B952" t="s">
        <v>6760</v>
      </c>
    </row>
    <row r="953" spans="1:2" x14ac:dyDescent="0.25">
      <c r="A953" t="s">
        <v>7995</v>
      </c>
      <c r="B953" t="s">
        <v>4572</v>
      </c>
    </row>
    <row r="954" spans="1:2" x14ac:dyDescent="0.25">
      <c r="A954" t="s">
        <v>8243</v>
      </c>
      <c r="B954" t="s">
        <v>7995</v>
      </c>
    </row>
    <row r="955" spans="1:2" x14ac:dyDescent="0.25">
      <c r="A955" t="s">
        <v>13467</v>
      </c>
      <c r="B955" t="s">
        <v>4572</v>
      </c>
    </row>
    <row r="956" spans="1:2" x14ac:dyDescent="0.25">
      <c r="A956" t="s">
        <v>13492</v>
      </c>
      <c r="B956" t="s">
        <v>13467</v>
      </c>
    </row>
    <row r="957" spans="1:2" x14ac:dyDescent="0.25">
      <c r="A957" t="s">
        <v>14814</v>
      </c>
      <c r="B957" t="s">
        <v>4572</v>
      </c>
    </row>
    <row r="958" spans="1:2" x14ac:dyDescent="0.25">
      <c r="A958" t="s">
        <v>14838</v>
      </c>
      <c r="B958" t="s">
        <v>14814</v>
      </c>
    </row>
    <row r="959" spans="1:2" x14ac:dyDescent="0.25">
      <c r="A959" t="s">
        <v>11052</v>
      </c>
      <c r="B959" t="s">
        <v>6758</v>
      </c>
    </row>
    <row r="960" spans="1:2" x14ac:dyDescent="0.25">
      <c r="A960" t="s">
        <v>12331</v>
      </c>
      <c r="B960" t="s">
        <v>11052</v>
      </c>
    </row>
    <row r="961" spans="1:2" x14ac:dyDescent="0.25">
      <c r="A961" t="s">
        <v>12467</v>
      </c>
      <c r="B961" t="s">
        <v>12331</v>
      </c>
    </row>
    <row r="962" spans="1:2" x14ac:dyDescent="0.25">
      <c r="A962" t="s">
        <v>2664</v>
      </c>
      <c r="B962" t="s">
        <v>6758</v>
      </c>
    </row>
    <row r="963" spans="1:2" x14ac:dyDescent="0.25">
      <c r="A963" t="s">
        <v>1652</v>
      </c>
      <c r="B963" t="s">
        <v>2664</v>
      </c>
    </row>
    <row r="964" spans="1:2" x14ac:dyDescent="0.25">
      <c r="A964" t="s">
        <v>2730</v>
      </c>
      <c r="B964" t="s">
        <v>1652</v>
      </c>
    </row>
    <row r="965" spans="1:2" x14ac:dyDescent="0.25">
      <c r="A965" t="s">
        <v>9706</v>
      </c>
      <c r="B965" t="s">
        <v>2664</v>
      </c>
    </row>
    <row r="966" spans="1:2" x14ac:dyDescent="0.25">
      <c r="A966" t="s">
        <v>9873</v>
      </c>
      <c r="B966" t="s">
        <v>9706</v>
      </c>
    </row>
    <row r="967" spans="1:2" x14ac:dyDescent="0.25">
      <c r="A967" t="s">
        <v>9285</v>
      </c>
      <c r="B967" t="s">
        <v>2664</v>
      </c>
    </row>
    <row r="968" spans="1:2" x14ac:dyDescent="0.25">
      <c r="A968" t="s">
        <v>9513</v>
      </c>
      <c r="B968" t="s">
        <v>9285</v>
      </c>
    </row>
    <row r="969" spans="1:2" x14ac:dyDescent="0.25">
      <c r="A969" t="s">
        <v>9286</v>
      </c>
      <c r="B969" t="s">
        <v>2664</v>
      </c>
    </row>
    <row r="970" spans="1:2" x14ac:dyDescent="0.25">
      <c r="A970" t="s">
        <v>9514</v>
      </c>
      <c r="B970" t="s">
        <v>9286</v>
      </c>
    </row>
    <row r="971" spans="1:2" x14ac:dyDescent="0.25">
      <c r="A971" t="s">
        <v>8493</v>
      </c>
      <c r="B971" t="s">
        <v>2664</v>
      </c>
    </row>
    <row r="972" spans="1:2" x14ac:dyDescent="0.25">
      <c r="A972" t="s">
        <v>8680</v>
      </c>
      <c r="B972" t="s">
        <v>8493</v>
      </c>
    </row>
    <row r="973" spans="1:2" x14ac:dyDescent="0.25">
      <c r="A973" t="s">
        <v>11830</v>
      </c>
      <c r="B973" t="s">
        <v>2664</v>
      </c>
    </row>
    <row r="974" spans="1:2" x14ac:dyDescent="0.25">
      <c r="A974" t="s">
        <v>13168</v>
      </c>
      <c r="B974" t="s">
        <v>2664</v>
      </c>
    </row>
    <row r="975" spans="1:2" x14ac:dyDescent="0.25">
      <c r="A975" t="s">
        <v>13307</v>
      </c>
      <c r="B975" t="s">
        <v>13168</v>
      </c>
    </row>
    <row r="976" spans="1:2" x14ac:dyDescent="0.25">
      <c r="A976" t="s">
        <v>4712</v>
      </c>
      <c r="B976" t="s">
        <v>13168</v>
      </c>
    </row>
    <row r="977" spans="1:2" x14ac:dyDescent="0.25">
      <c r="A977" t="s">
        <v>11743</v>
      </c>
      <c r="B977" t="s">
        <v>13168</v>
      </c>
    </row>
    <row r="978" spans="1:2" x14ac:dyDescent="0.25">
      <c r="A978" t="s">
        <v>13465</v>
      </c>
      <c r="B978" t="s">
        <v>2664</v>
      </c>
    </row>
    <row r="979" spans="1:2" x14ac:dyDescent="0.25">
      <c r="A979" t="s">
        <v>13493</v>
      </c>
      <c r="B979" t="s">
        <v>13465</v>
      </c>
    </row>
    <row r="980" spans="1:2" x14ac:dyDescent="0.25">
      <c r="A980" t="s">
        <v>11901</v>
      </c>
      <c r="B980" t="s">
        <v>13465</v>
      </c>
    </row>
    <row r="981" spans="1:2" x14ac:dyDescent="0.25">
      <c r="A981" t="s">
        <v>13466</v>
      </c>
      <c r="B981" t="s">
        <v>2664</v>
      </c>
    </row>
    <row r="982" spans="1:2" x14ac:dyDescent="0.25">
      <c r="A982" t="s">
        <v>13494</v>
      </c>
      <c r="B982" t="s">
        <v>13466</v>
      </c>
    </row>
    <row r="983" spans="1:2" x14ac:dyDescent="0.25">
      <c r="A983" t="s">
        <v>13815</v>
      </c>
      <c r="B983" t="s">
        <v>2664</v>
      </c>
    </row>
    <row r="984" spans="1:2" x14ac:dyDescent="0.25">
      <c r="A984" t="s">
        <v>13816</v>
      </c>
      <c r="B984" t="s">
        <v>13815</v>
      </c>
    </row>
    <row r="985" spans="1:2" x14ac:dyDescent="0.25">
      <c r="A985" t="s">
        <v>14200</v>
      </c>
      <c r="B985" t="s">
        <v>2664</v>
      </c>
    </row>
    <row r="986" spans="1:2" x14ac:dyDescent="0.25">
      <c r="A986" t="s">
        <v>14203</v>
      </c>
      <c r="B986" t="s">
        <v>14200</v>
      </c>
    </row>
    <row r="987" spans="1:2" x14ac:dyDescent="0.25">
      <c r="A987" t="s">
        <v>10705</v>
      </c>
      <c r="B987" t="s">
        <v>6758</v>
      </c>
    </row>
    <row r="988" spans="1:2" x14ac:dyDescent="0.25">
      <c r="A988" t="s">
        <v>10198</v>
      </c>
      <c r="B988" t="s">
        <v>10705</v>
      </c>
    </row>
    <row r="989" spans="1:2" x14ac:dyDescent="0.25">
      <c r="A989" t="s">
        <v>5814</v>
      </c>
      <c r="B989" t="s">
        <v>10198</v>
      </c>
    </row>
    <row r="990" spans="1:2" x14ac:dyDescent="0.25">
      <c r="A990" t="s">
        <v>5988</v>
      </c>
      <c r="B990" t="s">
        <v>5814</v>
      </c>
    </row>
    <row r="991" spans="1:2" x14ac:dyDescent="0.25">
      <c r="A991" t="s">
        <v>7361</v>
      </c>
      <c r="B991" t="s">
        <v>10198</v>
      </c>
    </row>
    <row r="992" spans="1:2" x14ac:dyDescent="0.25">
      <c r="A992" t="s">
        <v>7628</v>
      </c>
      <c r="B992" t="s">
        <v>7361</v>
      </c>
    </row>
    <row r="993" spans="1:2" x14ac:dyDescent="0.25">
      <c r="A993" t="s">
        <v>10199</v>
      </c>
      <c r="B993" t="s">
        <v>10198</v>
      </c>
    </row>
    <row r="994" spans="1:2" x14ac:dyDescent="0.25">
      <c r="A994" t="s">
        <v>13095</v>
      </c>
      <c r="B994" t="s">
        <v>10199</v>
      </c>
    </row>
    <row r="995" spans="1:2" x14ac:dyDescent="0.25">
      <c r="A995" t="s">
        <v>5431</v>
      </c>
      <c r="B995" t="s">
        <v>10198</v>
      </c>
    </row>
    <row r="996" spans="1:2" x14ac:dyDescent="0.25">
      <c r="A996" t="s">
        <v>5576</v>
      </c>
      <c r="B996" t="s">
        <v>5431</v>
      </c>
    </row>
    <row r="997" spans="1:2" x14ac:dyDescent="0.25">
      <c r="A997" t="s">
        <v>9307</v>
      </c>
      <c r="B997" t="s">
        <v>10198</v>
      </c>
    </row>
    <row r="998" spans="1:2" x14ac:dyDescent="0.25">
      <c r="A998" t="s">
        <v>10500</v>
      </c>
      <c r="B998" t="s">
        <v>9307</v>
      </c>
    </row>
    <row r="999" spans="1:2" x14ac:dyDescent="0.25">
      <c r="A999" t="s">
        <v>9710</v>
      </c>
      <c r="B999" t="s">
        <v>10705</v>
      </c>
    </row>
    <row r="1000" spans="1:2" x14ac:dyDescent="0.25">
      <c r="A1000" t="s">
        <v>13096</v>
      </c>
      <c r="B1000" t="s">
        <v>9710</v>
      </c>
    </row>
    <row r="1001" spans="1:2" x14ac:dyDescent="0.25">
      <c r="A1001" t="s">
        <v>10226</v>
      </c>
      <c r="B1001" t="s">
        <v>6758</v>
      </c>
    </row>
    <row r="1002" spans="1:2" x14ac:dyDescent="0.25">
      <c r="A1002" t="s">
        <v>11614</v>
      </c>
      <c r="B1002" t="s">
        <v>10226</v>
      </c>
    </row>
    <row r="1003" spans="1:2" x14ac:dyDescent="0.25">
      <c r="A1003" t="s">
        <v>9712</v>
      </c>
      <c r="B1003" t="s">
        <v>11614</v>
      </c>
    </row>
    <row r="1004" spans="1:2" x14ac:dyDescent="0.25">
      <c r="A1004" t="s">
        <v>3909</v>
      </c>
      <c r="B1004" t="s">
        <v>9712</v>
      </c>
    </row>
    <row r="1005" spans="1:2" x14ac:dyDescent="0.25">
      <c r="A1005" t="s">
        <v>3910</v>
      </c>
      <c r="B1005" t="s">
        <v>9712</v>
      </c>
    </row>
    <row r="1006" spans="1:2" x14ac:dyDescent="0.25">
      <c r="A1006" t="s">
        <v>3911</v>
      </c>
      <c r="B1006" t="s">
        <v>9712</v>
      </c>
    </row>
    <row r="1007" spans="1:2" x14ac:dyDescent="0.25">
      <c r="A1007" t="s">
        <v>3912</v>
      </c>
      <c r="B1007" t="s">
        <v>9712</v>
      </c>
    </row>
    <row r="1008" spans="1:2" x14ac:dyDescent="0.25">
      <c r="A1008" t="s">
        <v>3913</v>
      </c>
      <c r="B1008" t="s">
        <v>9712</v>
      </c>
    </row>
    <row r="1009" spans="1:2" x14ac:dyDescent="0.25">
      <c r="A1009" t="s">
        <v>3914</v>
      </c>
      <c r="B1009" t="s">
        <v>9712</v>
      </c>
    </row>
    <row r="1010" spans="1:2" x14ac:dyDescent="0.25">
      <c r="A1010" t="s">
        <v>3915</v>
      </c>
      <c r="B1010" t="s">
        <v>9712</v>
      </c>
    </row>
    <row r="1011" spans="1:2" x14ac:dyDescent="0.25">
      <c r="A1011" t="s">
        <v>3916</v>
      </c>
      <c r="B1011" t="s">
        <v>9712</v>
      </c>
    </row>
    <row r="1012" spans="1:2" x14ac:dyDescent="0.25">
      <c r="A1012" t="s">
        <v>3917</v>
      </c>
      <c r="B1012" t="s">
        <v>9712</v>
      </c>
    </row>
    <row r="1013" spans="1:2" x14ac:dyDescent="0.25">
      <c r="A1013" t="s">
        <v>3918</v>
      </c>
      <c r="B1013" t="s">
        <v>9712</v>
      </c>
    </row>
    <row r="1014" spans="1:2" x14ac:dyDescent="0.25">
      <c r="A1014" t="s">
        <v>3919</v>
      </c>
      <c r="B1014" t="s">
        <v>9712</v>
      </c>
    </row>
    <row r="1015" spans="1:2" x14ac:dyDescent="0.25">
      <c r="A1015" t="s">
        <v>3920</v>
      </c>
      <c r="B1015" t="s">
        <v>9712</v>
      </c>
    </row>
    <row r="1016" spans="1:2" x14ac:dyDescent="0.25">
      <c r="A1016" t="s">
        <v>3921</v>
      </c>
      <c r="B1016" t="s">
        <v>9712</v>
      </c>
    </row>
    <row r="1017" spans="1:2" x14ac:dyDescent="0.25">
      <c r="A1017" t="s">
        <v>3922</v>
      </c>
      <c r="B1017" t="s">
        <v>9712</v>
      </c>
    </row>
    <row r="1018" spans="1:2" x14ac:dyDescent="0.25">
      <c r="A1018" t="s">
        <v>3923</v>
      </c>
      <c r="B1018" t="s">
        <v>9712</v>
      </c>
    </row>
    <row r="1019" spans="1:2" x14ac:dyDescent="0.25">
      <c r="A1019" t="s">
        <v>3924</v>
      </c>
      <c r="B1019" t="s">
        <v>9712</v>
      </c>
    </row>
    <row r="1020" spans="1:2" x14ac:dyDescent="0.25">
      <c r="A1020" t="s">
        <v>3925</v>
      </c>
      <c r="B1020" t="s">
        <v>9712</v>
      </c>
    </row>
    <row r="1021" spans="1:2" x14ac:dyDescent="0.25">
      <c r="A1021" t="s">
        <v>3926</v>
      </c>
      <c r="B1021" t="s">
        <v>9712</v>
      </c>
    </row>
    <row r="1022" spans="1:2" x14ac:dyDescent="0.25">
      <c r="A1022" t="s">
        <v>3927</v>
      </c>
      <c r="B1022" t="s">
        <v>9712</v>
      </c>
    </row>
    <row r="1023" spans="1:2" x14ac:dyDescent="0.25">
      <c r="A1023" t="s">
        <v>3928</v>
      </c>
      <c r="B1023" t="s">
        <v>9712</v>
      </c>
    </row>
    <row r="1024" spans="1:2" x14ac:dyDescent="0.25">
      <c r="A1024" t="s">
        <v>3929</v>
      </c>
      <c r="B1024" t="s">
        <v>9712</v>
      </c>
    </row>
    <row r="1025" spans="1:2" x14ac:dyDescent="0.25">
      <c r="A1025" t="s">
        <v>3930</v>
      </c>
      <c r="B1025" t="s">
        <v>9712</v>
      </c>
    </row>
    <row r="1026" spans="1:2" x14ac:dyDescent="0.25">
      <c r="A1026" t="s">
        <v>3931</v>
      </c>
      <c r="B1026" t="s">
        <v>9712</v>
      </c>
    </row>
    <row r="1027" spans="1:2" x14ac:dyDescent="0.25">
      <c r="A1027" t="s">
        <v>3971</v>
      </c>
      <c r="B1027" t="s">
        <v>9712</v>
      </c>
    </row>
    <row r="1028" spans="1:2" x14ac:dyDescent="0.25">
      <c r="A1028" t="s">
        <v>10227</v>
      </c>
      <c r="B1028" t="s">
        <v>11614</v>
      </c>
    </row>
    <row r="1029" spans="1:2" x14ac:dyDescent="0.25">
      <c r="A1029" t="s">
        <v>4375</v>
      </c>
      <c r="B1029" t="s">
        <v>10227</v>
      </c>
    </row>
    <row r="1030" spans="1:2" x14ac:dyDescent="0.25">
      <c r="A1030" t="s">
        <v>4376</v>
      </c>
      <c r="B1030" t="s">
        <v>10227</v>
      </c>
    </row>
    <row r="1031" spans="1:2" x14ac:dyDescent="0.25">
      <c r="A1031" t="s">
        <v>4377</v>
      </c>
      <c r="B1031" t="s">
        <v>10227</v>
      </c>
    </row>
    <row r="1032" spans="1:2" x14ac:dyDescent="0.25">
      <c r="A1032" t="s">
        <v>4379</v>
      </c>
      <c r="B1032" t="s">
        <v>10227</v>
      </c>
    </row>
    <row r="1033" spans="1:2" x14ac:dyDescent="0.25">
      <c r="A1033" t="s">
        <v>4381</v>
      </c>
      <c r="B1033" t="s">
        <v>10227</v>
      </c>
    </row>
    <row r="1034" spans="1:2" x14ac:dyDescent="0.25">
      <c r="A1034" t="s">
        <v>4382</v>
      </c>
      <c r="B1034" t="s">
        <v>10227</v>
      </c>
    </row>
    <row r="1035" spans="1:2" x14ac:dyDescent="0.25">
      <c r="A1035" t="s">
        <v>4384</v>
      </c>
      <c r="B1035" t="s">
        <v>10227</v>
      </c>
    </row>
    <row r="1036" spans="1:2" x14ac:dyDescent="0.25">
      <c r="A1036" t="s">
        <v>4385</v>
      </c>
      <c r="B1036" t="s">
        <v>10227</v>
      </c>
    </row>
    <row r="1037" spans="1:2" x14ac:dyDescent="0.25">
      <c r="A1037" t="s">
        <v>4387</v>
      </c>
      <c r="B1037" t="s">
        <v>10227</v>
      </c>
    </row>
    <row r="1038" spans="1:2" x14ac:dyDescent="0.25">
      <c r="A1038" t="s">
        <v>4389</v>
      </c>
      <c r="B1038" t="s">
        <v>10227</v>
      </c>
    </row>
    <row r="1039" spans="1:2" x14ac:dyDescent="0.25">
      <c r="A1039" t="s">
        <v>4390</v>
      </c>
      <c r="B1039" t="s">
        <v>10227</v>
      </c>
    </row>
    <row r="1040" spans="1:2" x14ac:dyDescent="0.25">
      <c r="A1040" t="s">
        <v>4392</v>
      </c>
      <c r="B1040" t="s">
        <v>10227</v>
      </c>
    </row>
    <row r="1041" spans="1:2" x14ac:dyDescent="0.25">
      <c r="A1041" t="s">
        <v>4394</v>
      </c>
      <c r="B1041" t="s">
        <v>10227</v>
      </c>
    </row>
    <row r="1042" spans="1:2" x14ac:dyDescent="0.25">
      <c r="A1042" t="s">
        <v>4396</v>
      </c>
      <c r="B1042" t="s">
        <v>10227</v>
      </c>
    </row>
    <row r="1043" spans="1:2" x14ac:dyDescent="0.25">
      <c r="A1043" t="s">
        <v>4397</v>
      </c>
      <c r="B1043" t="s">
        <v>10227</v>
      </c>
    </row>
    <row r="1044" spans="1:2" x14ac:dyDescent="0.25">
      <c r="A1044" t="s">
        <v>4398</v>
      </c>
      <c r="B1044" t="s">
        <v>10227</v>
      </c>
    </row>
    <row r="1045" spans="1:2" x14ac:dyDescent="0.25">
      <c r="A1045" t="s">
        <v>4400</v>
      </c>
      <c r="B1045" t="s">
        <v>10227</v>
      </c>
    </row>
    <row r="1046" spans="1:2" x14ac:dyDescent="0.25">
      <c r="A1046" t="s">
        <v>4401</v>
      </c>
      <c r="B1046" t="s">
        <v>10227</v>
      </c>
    </row>
    <row r="1047" spans="1:2" x14ac:dyDescent="0.25">
      <c r="A1047" t="s">
        <v>4403</v>
      </c>
      <c r="B1047" t="s">
        <v>10227</v>
      </c>
    </row>
    <row r="1048" spans="1:2" x14ac:dyDescent="0.25">
      <c r="A1048" t="s">
        <v>4405</v>
      </c>
      <c r="B1048" t="s">
        <v>10227</v>
      </c>
    </row>
    <row r="1049" spans="1:2" x14ac:dyDescent="0.25">
      <c r="A1049" t="s">
        <v>4407</v>
      </c>
      <c r="B1049" t="s">
        <v>10227</v>
      </c>
    </row>
    <row r="1050" spans="1:2" x14ac:dyDescent="0.25">
      <c r="A1050" t="s">
        <v>4409</v>
      </c>
      <c r="B1050" t="s">
        <v>10227</v>
      </c>
    </row>
    <row r="1051" spans="1:2" x14ac:dyDescent="0.25">
      <c r="A1051" t="s">
        <v>4411</v>
      </c>
      <c r="B1051" t="s">
        <v>10227</v>
      </c>
    </row>
    <row r="1052" spans="1:2" x14ac:dyDescent="0.25">
      <c r="A1052" t="s">
        <v>4412</v>
      </c>
      <c r="B1052" t="s">
        <v>10227</v>
      </c>
    </row>
    <row r="1053" spans="1:2" x14ac:dyDescent="0.25">
      <c r="A1053" t="s">
        <v>4414</v>
      </c>
      <c r="B1053" t="s">
        <v>10227</v>
      </c>
    </row>
    <row r="1054" spans="1:2" x14ac:dyDescent="0.25">
      <c r="A1054" t="s">
        <v>4416</v>
      </c>
      <c r="B1054" t="s">
        <v>10227</v>
      </c>
    </row>
    <row r="1055" spans="1:2" x14ac:dyDescent="0.25">
      <c r="A1055" t="s">
        <v>4418</v>
      </c>
      <c r="B1055" t="s">
        <v>10227</v>
      </c>
    </row>
    <row r="1056" spans="1:2" x14ac:dyDescent="0.25">
      <c r="A1056" t="s">
        <v>4419</v>
      </c>
      <c r="B1056" t="s">
        <v>10227</v>
      </c>
    </row>
    <row r="1057" spans="1:2" x14ac:dyDescent="0.25">
      <c r="A1057" t="s">
        <v>4420</v>
      </c>
      <c r="B1057" t="s">
        <v>10227</v>
      </c>
    </row>
    <row r="1058" spans="1:2" x14ac:dyDescent="0.25">
      <c r="A1058" t="s">
        <v>4421</v>
      </c>
      <c r="B1058" t="s">
        <v>10227</v>
      </c>
    </row>
    <row r="1059" spans="1:2" x14ac:dyDescent="0.25">
      <c r="A1059" t="s">
        <v>4423</v>
      </c>
      <c r="B1059" t="s">
        <v>10227</v>
      </c>
    </row>
    <row r="1060" spans="1:2" x14ac:dyDescent="0.25">
      <c r="A1060" t="s">
        <v>4424</v>
      </c>
      <c r="B1060" t="s">
        <v>10227</v>
      </c>
    </row>
    <row r="1061" spans="1:2" x14ac:dyDescent="0.25">
      <c r="A1061" t="s">
        <v>4426</v>
      </c>
      <c r="B1061" t="s">
        <v>10227</v>
      </c>
    </row>
    <row r="1062" spans="1:2" x14ac:dyDescent="0.25">
      <c r="A1062" t="s">
        <v>4428</v>
      </c>
      <c r="B1062" t="s">
        <v>10227</v>
      </c>
    </row>
    <row r="1063" spans="1:2" x14ac:dyDescent="0.25">
      <c r="A1063" t="s">
        <v>4430</v>
      </c>
      <c r="B1063" t="s">
        <v>10227</v>
      </c>
    </row>
    <row r="1064" spans="1:2" x14ac:dyDescent="0.25">
      <c r="A1064" t="s">
        <v>4432</v>
      </c>
      <c r="B1064" t="s">
        <v>10227</v>
      </c>
    </row>
    <row r="1065" spans="1:2" x14ac:dyDescent="0.25">
      <c r="A1065" t="s">
        <v>4476</v>
      </c>
      <c r="B1065" t="s">
        <v>10227</v>
      </c>
    </row>
    <row r="1066" spans="1:2" x14ac:dyDescent="0.25">
      <c r="A1066" t="s">
        <v>9309</v>
      </c>
      <c r="B1066" t="s">
        <v>11614</v>
      </c>
    </row>
    <row r="1067" spans="1:2" x14ac:dyDescent="0.25">
      <c r="A1067" t="s">
        <v>3402</v>
      </c>
      <c r="B1067" t="s">
        <v>9309</v>
      </c>
    </row>
    <row r="1068" spans="1:2" x14ac:dyDescent="0.25">
      <c r="A1068" t="s">
        <v>3403</v>
      </c>
      <c r="B1068" t="s">
        <v>9309</v>
      </c>
    </row>
    <row r="1069" spans="1:2" x14ac:dyDescent="0.25">
      <c r="A1069" t="s">
        <v>3404</v>
      </c>
      <c r="B1069" t="s">
        <v>9309</v>
      </c>
    </row>
    <row r="1070" spans="1:2" x14ac:dyDescent="0.25">
      <c r="A1070" t="s">
        <v>3405</v>
      </c>
      <c r="B1070" t="s">
        <v>9309</v>
      </c>
    </row>
    <row r="1071" spans="1:2" x14ac:dyDescent="0.25">
      <c r="A1071" t="s">
        <v>3406</v>
      </c>
      <c r="B1071" t="s">
        <v>9309</v>
      </c>
    </row>
    <row r="1072" spans="1:2" x14ac:dyDescent="0.25">
      <c r="A1072" t="s">
        <v>3407</v>
      </c>
      <c r="B1072" t="s">
        <v>9309</v>
      </c>
    </row>
    <row r="1073" spans="1:2" x14ac:dyDescent="0.25">
      <c r="A1073" t="s">
        <v>3408</v>
      </c>
      <c r="B1073" t="s">
        <v>9309</v>
      </c>
    </row>
    <row r="1074" spans="1:2" x14ac:dyDescent="0.25">
      <c r="A1074" t="s">
        <v>3409</v>
      </c>
      <c r="B1074" t="s">
        <v>9309</v>
      </c>
    </row>
    <row r="1075" spans="1:2" x14ac:dyDescent="0.25">
      <c r="A1075" t="s">
        <v>3410</v>
      </c>
      <c r="B1075" t="s">
        <v>9309</v>
      </c>
    </row>
    <row r="1076" spans="1:2" x14ac:dyDescent="0.25">
      <c r="A1076" t="s">
        <v>3411</v>
      </c>
      <c r="B1076" t="s">
        <v>9309</v>
      </c>
    </row>
    <row r="1077" spans="1:2" x14ac:dyDescent="0.25">
      <c r="A1077" t="s">
        <v>3412</v>
      </c>
      <c r="B1077" t="s">
        <v>9309</v>
      </c>
    </row>
    <row r="1078" spans="1:2" x14ac:dyDescent="0.25">
      <c r="A1078" t="s">
        <v>3413</v>
      </c>
      <c r="B1078" t="s">
        <v>9309</v>
      </c>
    </row>
    <row r="1079" spans="1:2" x14ac:dyDescent="0.25">
      <c r="A1079" t="s">
        <v>3414</v>
      </c>
      <c r="B1079" t="s">
        <v>9309</v>
      </c>
    </row>
    <row r="1080" spans="1:2" x14ac:dyDescent="0.25">
      <c r="A1080" t="s">
        <v>3415</v>
      </c>
      <c r="B1080" t="s">
        <v>9309</v>
      </c>
    </row>
    <row r="1081" spans="1:2" x14ac:dyDescent="0.25">
      <c r="A1081" t="s">
        <v>3416</v>
      </c>
      <c r="B1081" t="s">
        <v>9309</v>
      </c>
    </row>
    <row r="1082" spans="1:2" x14ac:dyDescent="0.25">
      <c r="A1082" t="s">
        <v>3417</v>
      </c>
      <c r="B1082" t="s">
        <v>9309</v>
      </c>
    </row>
    <row r="1083" spans="1:2" x14ac:dyDescent="0.25">
      <c r="A1083" t="s">
        <v>3418</v>
      </c>
      <c r="B1083" t="s">
        <v>9309</v>
      </c>
    </row>
    <row r="1084" spans="1:2" x14ac:dyDescent="0.25">
      <c r="A1084" t="s">
        <v>3419</v>
      </c>
      <c r="B1084" t="s">
        <v>9309</v>
      </c>
    </row>
    <row r="1085" spans="1:2" x14ac:dyDescent="0.25">
      <c r="A1085" t="s">
        <v>3420</v>
      </c>
      <c r="B1085" t="s">
        <v>9309</v>
      </c>
    </row>
    <row r="1086" spans="1:2" x14ac:dyDescent="0.25">
      <c r="A1086" t="s">
        <v>3421</v>
      </c>
      <c r="B1086" t="s">
        <v>9309</v>
      </c>
    </row>
    <row r="1087" spans="1:2" x14ac:dyDescent="0.25">
      <c r="A1087" t="s">
        <v>3422</v>
      </c>
      <c r="B1087" t="s">
        <v>9309</v>
      </c>
    </row>
    <row r="1088" spans="1:2" x14ac:dyDescent="0.25">
      <c r="A1088" t="s">
        <v>3423</v>
      </c>
      <c r="B1088" t="s">
        <v>9309</v>
      </c>
    </row>
    <row r="1089" spans="1:2" x14ac:dyDescent="0.25">
      <c r="A1089" t="s">
        <v>3424</v>
      </c>
      <c r="B1089" t="s">
        <v>9309</v>
      </c>
    </row>
    <row r="1090" spans="1:2" x14ac:dyDescent="0.25">
      <c r="A1090" t="s">
        <v>3425</v>
      </c>
      <c r="B1090" t="s">
        <v>9309</v>
      </c>
    </row>
    <row r="1091" spans="1:2" x14ac:dyDescent="0.25">
      <c r="A1091" t="s">
        <v>3426</v>
      </c>
      <c r="B1091" t="s">
        <v>9309</v>
      </c>
    </row>
    <row r="1092" spans="1:2" x14ac:dyDescent="0.25">
      <c r="A1092" t="s">
        <v>3427</v>
      </c>
      <c r="B1092" t="s">
        <v>9309</v>
      </c>
    </row>
    <row r="1093" spans="1:2" x14ac:dyDescent="0.25">
      <c r="A1093" t="s">
        <v>3428</v>
      </c>
      <c r="B1093" t="s">
        <v>9309</v>
      </c>
    </row>
    <row r="1094" spans="1:2" x14ac:dyDescent="0.25">
      <c r="A1094" t="s">
        <v>3429</v>
      </c>
      <c r="B1094" t="s">
        <v>9309</v>
      </c>
    </row>
    <row r="1095" spans="1:2" x14ac:dyDescent="0.25">
      <c r="A1095" t="s">
        <v>3430</v>
      </c>
      <c r="B1095" t="s">
        <v>9309</v>
      </c>
    </row>
    <row r="1096" spans="1:2" x14ac:dyDescent="0.25">
      <c r="A1096" t="s">
        <v>3431</v>
      </c>
      <c r="B1096" t="s">
        <v>9309</v>
      </c>
    </row>
    <row r="1097" spans="1:2" x14ac:dyDescent="0.25">
      <c r="A1097" t="s">
        <v>3432</v>
      </c>
      <c r="B1097" t="s">
        <v>9309</v>
      </c>
    </row>
    <row r="1098" spans="1:2" x14ac:dyDescent="0.25">
      <c r="A1098" t="s">
        <v>3433</v>
      </c>
      <c r="B1098" t="s">
        <v>9309</v>
      </c>
    </row>
    <row r="1099" spans="1:2" x14ac:dyDescent="0.25">
      <c r="A1099" t="s">
        <v>3434</v>
      </c>
      <c r="B1099" t="s">
        <v>9309</v>
      </c>
    </row>
    <row r="1100" spans="1:2" x14ac:dyDescent="0.25">
      <c r="A1100" t="s">
        <v>3435</v>
      </c>
      <c r="B1100" t="s">
        <v>9309</v>
      </c>
    </row>
    <row r="1101" spans="1:2" x14ac:dyDescent="0.25">
      <c r="A1101" t="s">
        <v>3440</v>
      </c>
      <c r="B1101" t="s">
        <v>9309</v>
      </c>
    </row>
    <row r="1102" spans="1:2" x14ac:dyDescent="0.25">
      <c r="A1102" t="s">
        <v>3480</v>
      </c>
      <c r="B1102" t="s">
        <v>9309</v>
      </c>
    </row>
    <row r="1103" spans="1:2" x14ac:dyDescent="0.25">
      <c r="A1103" t="s">
        <v>10228</v>
      </c>
      <c r="B1103" t="s">
        <v>11614</v>
      </c>
    </row>
    <row r="1104" spans="1:2" x14ac:dyDescent="0.25">
      <c r="A1104" t="s">
        <v>4378</v>
      </c>
      <c r="B1104" t="s">
        <v>10228</v>
      </c>
    </row>
    <row r="1105" spans="1:2" x14ac:dyDescent="0.25">
      <c r="A1105" t="s">
        <v>4380</v>
      </c>
      <c r="B1105" t="s">
        <v>10228</v>
      </c>
    </row>
    <row r="1106" spans="1:2" x14ac:dyDescent="0.25">
      <c r="A1106" t="s">
        <v>4383</v>
      </c>
      <c r="B1106" t="s">
        <v>10228</v>
      </c>
    </row>
    <row r="1107" spans="1:2" x14ac:dyDescent="0.25">
      <c r="A1107" t="s">
        <v>4386</v>
      </c>
      <c r="B1107" t="s">
        <v>10228</v>
      </c>
    </row>
    <row r="1108" spans="1:2" x14ac:dyDescent="0.25">
      <c r="A1108" t="s">
        <v>4388</v>
      </c>
      <c r="B1108" t="s">
        <v>10228</v>
      </c>
    </row>
    <row r="1109" spans="1:2" x14ac:dyDescent="0.25">
      <c r="A1109" t="s">
        <v>4391</v>
      </c>
      <c r="B1109" t="s">
        <v>10228</v>
      </c>
    </row>
    <row r="1110" spans="1:2" x14ac:dyDescent="0.25">
      <c r="A1110" t="s">
        <v>4393</v>
      </c>
      <c r="B1110" t="s">
        <v>10228</v>
      </c>
    </row>
    <row r="1111" spans="1:2" x14ac:dyDescent="0.25">
      <c r="A1111" t="s">
        <v>4395</v>
      </c>
      <c r="B1111" t="s">
        <v>10228</v>
      </c>
    </row>
    <row r="1112" spans="1:2" x14ac:dyDescent="0.25">
      <c r="A1112" t="s">
        <v>4399</v>
      </c>
      <c r="B1112" t="s">
        <v>10228</v>
      </c>
    </row>
    <row r="1113" spans="1:2" x14ac:dyDescent="0.25">
      <c r="A1113" t="s">
        <v>4402</v>
      </c>
      <c r="B1113" t="s">
        <v>10228</v>
      </c>
    </row>
    <row r="1114" spans="1:2" x14ac:dyDescent="0.25">
      <c r="A1114" t="s">
        <v>4404</v>
      </c>
      <c r="B1114" t="s">
        <v>10228</v>
      </c>
    </row>
    <row r="1115" spans="1:2" x14ac:dyDescent="0.25">
      <c r="A1115" t="s">
        <v>4406</v>
      </c>
      <c r="B1115" t="s">
        <v>10228</v>
      </c>
    </row>
    <row r="1116" spans="1:2" x14ac:dyDescent="0.25">
      <c r="A1116" t="s">
        <v>4408</v>
      </c>
      <c r="B1116" t="s">
        <v>10228</v>
      </c>
    </row>
    <row r="1117" spans="1:2" x14ac:dyDescent="0.25">
      <c r="A1117" t="s">
        <v>4410</v>
      </c>
      <c r="B1117" t="s">
        <v>10228</v>
      </c>
    </row>
    <row r="1118" spans="1:2" x14ac:dyDescent="0.25">
      <c r="A1118" t="s">
        <v>4413</v>
      </c>
      <c r="B1118" t="s">
        <v>10228</v>
      </c>
    </row>
    <row r="1119" spans="1:2" x14ac:dyDescent="0.25">
      <c r="A1119" t="s">
        <v>4415</v>
      </c>
      <c r="B1119" t="s">
        <v>10228</v>
      </c>
    </row>
    <row r="1120" spans="1:2" x14ac:dyDescent="0.25">
      <c r="A1120" t="s">
        <v>4417</v>
      </c>
      <c r="B1120" t="s">
        <v>10228</v>
      </c>
    </row>
    <row r="1121" spans="1:2" x14ac:dyDescent="0.25">
      <c r="A1121" t="s">
        <v>4422</v>
      </c>
      <c r="B1121" t="s">
        <v>10228</v>
      </c>
    </row>
    <row r="1122" spans="1:2" x14ac:dyDescent="0.25">
      <c r="A1122" t="s">
        <v>4425</v>
      </c>
      <c r="B1122" t="s">
        <v>10228</v>
      </c>
    </row>
    <row r="1123" spans="1:2" x14ac:dyDescent="0.25">
      <c r="A1123" t="s">
        <v>4427</v>
      </c>
      <c r="B1123" t="s">
        <v>10228</v>
      </c>
    </row>
    <row r="1124" spans="1:2" x14ac:dyDescent="0.25">
      <c r="A1124" t="s">
        <v>4429</v>
      </c>
      <c r="B1124" t="s">
        <v>10228</v>
      </c>
    </row>
    <row r="1125" spans="1:2" x14ac:dyDescent="0.25">
      <c r="A1125" t="s">
        <v>4431</v>
      </c>
      <c r="B1125" t="s">
        <v>10228</v>
      </c>
    </row>
    <row r="1126" spans="1:2" x14ac:dyDescent="0.25">
      <c r="A1126" t="s">
        <v>4433</v>
      </c>
      <c r="B1126" t="s">
        <v>10228</v>
      </c>
    </row>
    <row r="1127" spans="1:2" x14ac:dyDescent="0.25">
      <c r="A1127" t="s">
        <v>4477</v>
      </c>
      <c r="B1127" t="s">
        <v>10228</v>
      </c>
    </row>
    <row r="1128" spans="1:2" x14ac:dyDescent="0.25">
      <c r="A1128" t="s">
        <v>4478</v>
      </c>
      <c r="B1128" t="s">
        <v>10228</v>
      </c>
    </row>
    <row r="1129" spans="1:2" x14ac:dyDescent="0.25">
      <c r="A1129" t="s">
        <v>11615</v>
      </c>
      <c r="B1129" t="s">
        <v>10226</v>
      </c>
    </row>
    <row r="1130" spans="1:2" x14ac:dyDescent="0.25">
      <c r="A1130" t="s">
        <v>9713</v>
      </c>
      <c r="B1130" t="s">
        <v>11615</v>
      </c>
    </row>
    <row r="1131" spans="1:2" x14ac:dyDescent="0.25">
      <c r="A1131" t="s">
        <v>10229</v>
      </c>
      <c r="B1131" t="s">
        <v>11615</v>
      </c>
    </row>
    <row r="1132" spans="1:2" x14ac:dyDescent="0.25">
      <c r="A1132" t="s">
        <v>9310</v>
      </c>
      <c r="B1132" t="s">
        <v>11615</v>
      </c>
    </row>
    <row r="1133" spans="1:2" x14ac:dyDescent="0.25">
      <c r="A1133" t="s">
        <v>10230</v>
      </c>
      <c r="B1133" t="s">
        <v>11615</v>
      </c>
    </row>
    <row r="1134" spans="1:2" x14ac:dyDescent="0.25">
      <c r="A1134" t="s">
        <v>11616</v>
      </c>
      <c r="B1134" t="s">
        <v>10226</v>
      </c>
    </row>
    <row r="1135" spans="1:2" x14ac:dyDescent="0.25">
      <c r="A1135" t="s">
        <v>9714</v>
      </c>
      <c r="B1135" t="s">
        <v>11616</v>
      </c>
    </row>
    <row r="1136" spans="1:2" x14ac:dyDescent="0.25">
      <c r="A1136" t="s">
        <v>10231</v>
      </c>
      <c r="B1136" t="s">
        <v>11616</v>
      </c>
    </row>
    <row r="1137" spans="1:2" x14ac:dyDescent="0.25">
      <c r="A1137" t="s">
        <v>9311</v>
      </c>
      <c r="B1137" t="s">
        <v>11616</v>
      </c>
    </row>
    <row r="1138" spans="1:2" x14ac:dyDescent="0.25">
      <c r="A1138" t="s">
        <v>10718</v>
      </c>
      <c r="B1138" t="s">
        <v>11616</v>
      </c>
    </row>
    <row r="1139" spans="1:2" x14ac:dyDescent="0.25">
      <c r="A1139" t="s">
        <v>11617</v>
      </c>
      <c r="B1139" t="s">
        <v>10226</v>
      </c>
    </row>
    <row r="1140" spans="1:2" x14ac:dyDescent="0.25">
      <c r="A1140" t="s">
        <v>9715</v>
      </c>
      <c r="B1140" t="s">
        <v>11617</v>
      </c>
    </row>
    <row r="1141" spans="1:2" x14ac:dyDescent="0.25">
      <c r="A1141" t="s">
        <v>10232</v>
      </c>
      <c r="B1141" t="s">
        <v>11617</v>
      </c>
    </row>
    <row r="1142" spans="1:2" x14ac:dyDescent="0.25">
      <c r="A1142" t="s">
        <v>9312</v>
      </c>
      <c r="B1142" t="s">
        <v>11617</v>
      </c>
    </row>
    <row r="1143" spans="1:2" x14ac:dyDescent="0.25">
      <c r="A1143" t="s">
        <v>10233</v>
      </c>
      <c r="B1143" t="s">
        <v>11617</v>
      </c>
    </row>
    <row r="1144" spans="1:2" x14ac:dyDescent="0.25">
      <c r="A1144" t="s">
        <v>8522</v>
      </c>
      <c r="B1144" t="s">
        <v>6758</v>
      </c>
    </row>
    <row r="1145" spans="1:2" x14ac:dyDescent="0.25">
      <c r="A1145" t="s">
        <v>6542</v>
      </c>
      <c r="B1145" t="s">
        <v>8522</v>
      </c>
    </row>
    <row r="1146" spans="1:2" x14ac:dyDescent="0.25">
      <c r="A1146" t="s">
        <v>9182</v>
      </c>
      <c r="B1146" t="s">
        <v>8522</v>
      </c>
    </row>
    <row r="1147" spans="1:2" x14ac:dyDescent="0.25">
      <c r="A1147" t="s">
        <v>7845</v>
      </c>
      <c r="B1147" t="s">
        <v>8522</v>
      </c>
    </row>
    <row r="1148" spans="1:2" x14ac:dyDescent="0.25">
      <c r="A1148" t="s">
        <v>5722</v>
      </c>
      <c r="B1148" t="s">
        <v>8522</v>
      </c>
    </row>
    <row r="1149" spans="1:2" x14ac:dyDescent="0.25">
      <c r="A1149" t="s">
        <v>6153</v>
      </c>
      <c r="B1149" t="s">
        <v>8522</v>
      </c>
    </row>
    <row r="1150" spans="1:2" x14ac:dyDescent="0.25">
      <c r="A1150" t="s">
        <v>60</v>
      </c>
      <c r="B1150" t="s">
        <v>6758</v>
      </c>
    </row>
    <row r="1151" spans="1:2" x14ac:dyDescent="0.25">
      <c r="A1151" t="s">
        <v>13097</v>
      </c>
      <c r="B1151" t="s">
        <v>60</v>
      </c>
    </row>
    <row r="1152" spans="1:2" x14ac:dyDescent="0.25">
      <c r="A1152" t="s">
        <v>15177</v>
      </c>
      <c r="B1152" t="s">
        <v>6758</v>
      </c>
    </row>
    <row r="1153" spans="1:2" x14ac:dyDescent="0.25">
      <c r="A1153" t="s">
        <v>15178</v>
      </c>
      <c r="B1153" t="s">
        <v>15177</v>
      </c>
    </row>
    <row r="1154" spans="1:2" x14ac:dyDescent="0.25">
      <c r="A1154" t="s">
        <v>15179</v>
      </c>
      <c r="B1154" t="s">
        <v>15178</v>
      </c>
    </row>
    <row r="1155" spans="1:2" x14ac:dyDescent="0.25">
      <c r="A1155" t="s">
        <v>15180</v>
      </c>
      <c r="B1155" t="s">
        <v>15178</v>
      </c>
    </row>
    <row r="1156" spans="1:2" x14ac:dyDescent="0.25">
      <c r="A1156" t="s">
        <v>15181</v>
      </c>
      <c r="B1156" t="s">
        <v>15177</v>
      </c>
    </row>
    <row r="1157" spans="1:2" x14ac:dyDescent="0.25">
      <c r="A1157" t="s">
        <v>15182</v>
      </c>
      <c r="B1157" t="s">
        <v>15181</v>
      </c>
    </row>
    <row r="1158" spans="1:2" x14ac:dyDescent="0.25">
      <c r="A1158" t="s">
        <v>15183</v>
      </c>
      <c r="B1158" t="s">
        <v>15181</v>
      </c>
    </row>
    <row r="1159" spans="1:2" x14ac:dyDescent="0.25">
      <c r="A1159" t="s">
        <v>15184</v>
      </c>
      <c r="B1159" t="s">
        <v>15177</v>
      </c>
    </row>
    <row r="1160" spans="1:2" x14ac:dyDescent="0.25">
      <c r="A1160" t="s">
        <v>15185</v>
      </c>
      <c r="B1160" t="s">
        <v>15184</v>
      </c>
    </row>
    <row r="1161" spans="1:2" x14ac:dyDescent="0.25">
      <c r="A1161" t="s">
        <v>15186</v>
      </c>
      <c r="B1161" t="s">
        <v>15184</v>
      </c>
    </row>
    <row r="1162" spans="1:2" x14ac:dyDescent="0.25">
      <c r="A1162" t="s">
        <v>15187</v>
      </c>
      <c r="B1162" t="s">
        <v>15177</v>
      </c>
    </row>
    <row r="1163" spans="1:2" x14ac:dyDescent="0.25">
      <c r="A1163" t="s">
        <v>15188</v>
      </c>
      <c r="B1163" t="s">
        <v>15187</v>
      </c>
    </row>
    <row r="1164" spans="1:2" x14ac:dyDescent="0.25">
      <c r="A1164" t="s">
        <v>15189</v>
      </c>
      <c r="B1164" t="s">
        <v>15187</v>
      </c>
    </row>
    <row r="1165" spans="1:2" x14ac:dyDescent="0.25">
      <c r="A1165" t="s">
        <v>15190</v>
      </c>
      <c r="B1165" t="s">
        <v>15177</v>
      </c>
    </row>
    <row r="1166" spans="1:2" x14ac:dyDescent="0.25">
      <c r="A1166" t="s">
        <v>15191</v>
      </c>
      <c r="B1166" t="s">
        <v>15190</v>
      </c>
    </row>
    <row r="1167" spans="1:2" x14ac:dyDescent="0.25">
      <c r="A1167" t="s">
        <v>15192</v>
      </c>
      <c r="B1167" t="s">
        <v>15190</v>
      </c>
    </row>
    <row r="1168" spans="1:2" x14ac:dyDescent="0.25">
      <c r="A1168" t="s">
        <v>15193</v>
      </c>
      <c r="B1168" t="s">
        <v>15177</v>
      </c>
    </row>
    <row r="1169" spans="1:2" x14ac:dyDescent="0.25">
      <c r="A1169" t="s">
        <v>15194</v>
      </c>
      <c r="B1169" t="s">
        <v>15193</v>
      </c>
    </row>
    <row r="1170" spans="1:2" x14ac:dyDescent="0.25">
      <c r="A1170" t="s">
        <v>15195</v>
      </c>
      <c r="B1170" t="s">
        <v>15193</v>
      </c>
    </row>
    <row r="1171" spans="1:2" x14ac:dyDescent="0.25">
      <c r="A1171" t="s">
        <v>15196</v>
      </c>
      <c r="B1171" t="s">
        <v>15177</v>
      </c>
    </row>
    <row r="1172" spans="1:2" x14ac:dyDescent="0.25">
      <c r="A1172" t="s">
        <v>15197</v>
      </c>
      <c r="B1172" t="s">
        <v>15196</v>
      </c>
    </row>
    <row r="1173" spans="1:2" x14ac:dyDescent="0.25">
      <c r="A1173" t="s">
        <v>15198</v>
      </c>
      <c r="B1173" t="s">
        <v>15196</v>
      </c>
    </row>
    <row r="1174" spans="1:2" x14ac:dyDescent="0.25">
      <c r="A1174" t="s">
        <v>15199</v>
      </c>
      <c r="B1174" t="s">
        <v>15177</v>
      </c>
    </row>
    <row r="1175" spans="1:2" x14ac:dyDescent="0.25">
      <c r="A1175" t="s">
        <v>15200</v>
      </c>
      <c r="B1175" t="s">
        <v>15199</v>
      </c>
    </row>
    <row r="1176" spans="1:2" x14ac:dyDescent="0.25">
      <c r="A1176" t="s">
        <v>15201</v>
      </c>
      <c r="B1176" t="s">
        <v>15199</v>
      </c>
    </row>
    <row r="1177" spans="1:2" x14ac:dyDescent="0.25">
      <c r="A1177" t="s">
        <v>15202</v>
      </c>
      <c r="B1177" t="s">
        <v>6758</v>
      </c>
    </row>
    <row r="1178" spans="1:2" x14ac:dyDescent="0.25">
      <c r="A1178" t="s">
        <v>15203</v>
      </c>
      <c r="B1178" t="s">
        <v>15202</v>
      </c>
    </row>
    <row r="1179" spans="1:2" x14ac:dyDescent="0.25">
      <c r="A1179" t="s">
        <v>15204</v>
      </c>
      <c r="B1179" t="s">
        <v>15203</v>
      </c>
    </row>
    <row r="1180" spans="1:2" x14ac:dyDescent="0.25">
      <c r="A1180" t="s">
        <v>15205</v>
      </c>
      <c r="B1180" t="s">
        <v>15203</v>
      </c>
    </row>
    <row r="1181" spans="1:2" x14ac:dyDescent="0.25">
      <c r="A1181" t="s">
        <v>15206</v>
      </c>
      <c r="B1181" t="s">
        <v>15202</v>
      </c>
    </row>
    <row r="1182" spans="1:2" x14ac:dyDescent="0.25">
      <c r="A1182" t="s">
        <v>15207</v>
      </c>
      <c r="B1182" t="s">
        <v>15206</v>
      </c>
    </row>
    <row r="1183" spans="1:2" x14ac:dyDescent="0.25">
      <c r="A1183" t="s">
        <v>15208</v>
      </c>
      <c r="B1183" t="s">
        <v>15206</v>
      </c>
    </row>
    <row r="1184" spans="1:2" x14ac:dyDescent="0.25">
      <c r="A1184" t="s">
        <v>15209</v>
      </c>
      <c r="B1184" t="s">
        <v>15202</v>
      </c>
    </row>
    <row r="1185" spans="1:2" x14ac:dyDescent="0.25">
      <c r="A1185" t="s">
        <v>15210</v>
      </c>
      <c r="B1185" t="s">
        <v>15209</v>
      </c>
    </row>
    <row r="1186" spans="1:2" x14ac:dyDescent="0.25">
      <c r="A1186" t="s">
        <v>15211</v>
      </c>
      <c r="B1186" t="s">
        <v>15209</v>
      </c>
    </row>
    <row r="1187" spans="1:2" x14ac:dyDescent="0.25">
      <c r="A1187" t="s">
        <v>15212</v>
      </c>
      <c r="B1187" t="s">
        <v>15202</v>
      </c>
    </row>
    <row r="1188" spans="1:2" x14ac:dyDescent="0.25">
      <c r="A1188" t="s">
        <v>15213</v>
      </c>
      <c r="B1188" t="s">
        <v>15212</v>
      </c>
    </row>
    <row r="1189" spans="1:2" x14ac:dyDescent="0.25">
      <c r="A1189" t="s">
        <v>15214</v>
      </c>
      <c r="B1189" t="s">
        <v>15212</v>
      </c>
    </row>
    <row r="1190" spans="1:2" x14ac:dyDescent="0.25">
      <c r="A1190" t="s">
        <v>15215</v>
      </c>
      <c r="B1190" t="s">
        <v>15202</v>
      </c>
    </row>
    <row r="1191" spans="1:2" x14ac:dyDescent="0.25">
      <c r="A1191" t="s">
        <v>15216</v>
      </c>
      <c r="B1191" t="s">
        <v>15215</v>
      </c>
    </row>
    <row r="1192" spans="1:2" x14ac:dyDescent="0.25">
      <c r="A1192" t="s">
        <v>15217</v>
      </c>
      <c r="B1192" t="s">
        <v>15215</v>
      </c>
    </row>
    <row r="1193" spans="1:2" x14ac:dyDescent="0.25">
      <c r="A1193" t="s">
        <v>15218</v>
      </c>
      <c r="B1193" t="s">
        <v>15202</v>
      </c>
    </row>
    <row r="1194" spans="1:2" x14ac:dyDescent="0.25">
      <c r="A1194" t="s">
        <v>15219</v>
      </c>
      <c r="B1194" t="s">
        <v>15218</v>
      </c>
    </row>
    <row r="1195" spans="1:2" x14ac:dyDescent="0.25">
      <c r="A1195" t="s">
        <v>15220</v>
      </c>
      <c r="B1195" t="s">
        <v>15218</v>
      </c>
    </row>
    <row r="1196" spans="1:2" x14ac:dyDescent="0.25">
      <c r="A1196" t="s">
        <v>15221</v>
      </c>
      <c r="B1196" t="s">
        <v>15202</v>
      </c>
    </row>
    <row r="1197" spans="1:2" x14ac:dyDescent="0.25">
      <c r="A1197" t="s">
        <v>15222</v>
      </c>
      <c r="B1197" t="s">
        <v>15221</v>
      </c>
    </row>
    <row r="1198" spans="1:2" x14ac:dyDescent="0.25">
      <c r="A1198" t="s">
        <v>15223</v>
      </c>
      <c r="B1198" t="s">
        <v>15221</v>
      </c>
    </row>
    <row r="1199" spans="1:2" x14ac:dyDescent="0.25">
      <c r="A1199" t="s">
        <v>15224</v>
      </c>
      <c r="B1199" t="s">
        <v>6758</v>
      </c>
    </row>
    <row r="1200" spans="1:2" x14ac:dyDescent="0.25">
      <c r="A1200" t="s">
        <v>15225</v>
      </c>
      <c r="B1200" t="s">
        <v>15224</v>
      </c>
    </row>
    <row r="1201" spans="1:2" x14ac:dyDescent="0.25">
      <c r="A1201" t="s">
        <v>15226</v>
      </c>
      <c r="B1201" t="s">
        <v>15225</v>
      </c>
    </row>
    <row r="1202" spans="1:2" x14ac:dyDescent="0.25">
      <c r="A1202" t="s">
        <v>15227</v>
      </c>
      <c r="B1202" t="s">
        <v>15225</v>
      </c>
    </row>
    <row r="1203" spans="1:2" x14ac:dyDescent="0.25">
      <c r="A1203" t="s">
        <v>15228</v>
      </c>
      <c r="B1203" t="s">
        <v>15224</v>
      </c>
    </row>
    <row r="1204" spans="1:2" x14ac:dyDescent="0.25">
      <c r="A1204" t="s">
        <v>15229</v>
      </c>
      <c r="B1204" t="s">
        <v>15228</v>
      </c>
    </row>
    <row r="1205" spans="1:2" x14ac:dyDescent="0.25">
      <c r="A1205" t="s">
        <v>15230</v>
      </c>
      <c r="B1205" t="s">
        <v>15228</v>
      </c>
    </row>
    <row r="1206" spans="1:2" x14ac:dyDescent="0.25">
      <c r="A1206" t="s">
        <v>15231</v>
      </c>
      <c r="B1206" t="s">
        <v>15224</v>
      </c>
    </row>
    <row r="1207" spans="1:2" x14ac:dyDescent="0.25">
      <c r="A1207" t="s">
        <v>15232</v>
      </c>
      <c r="B1207" t="s">
        <v>15231</v>
      </c>
    </row>
    <row r="1208" spans="1:2" x14ac:dyDescent="0.25">
      <c r="A1208" t="s">
        <v>15233</v>
      </c>
      <c r="B1208" t="s">
        <v>15231</v>
      </c>
    </row>
    <row r="1209" spans="1:2" x14ac:dyDescent="0.25">
      <c r="A1209" t="s">
        <v>15234</v>
      </c>
      <c r="B1209" t="s">
        <v>15224</v>
      </c>
    </row>
    <row r="1210" spans="1:2" x14ac:dyDescent="0.25">
      <c r="A1210" t="s">
        <v>15235</v>
      </c>
      <c r="B1210" t="s">
        <v>15234</v>
      </c>
    </row>
    <row r="1211" spans="1:2" x14ac:dyDescent="0.25">
      <c r="A1211" t="s">
        <v>15236</v>
      </c>
      <c r="B1211" t="s">
        <v>15234</v>
      </c>
    </row>
    <row r="1212" spans="1:2" x14ac:dyDescent="0.25">
      <c r="A1212" t="s">
        <v>15237</v>
      </c>
      <c r="B1212" t="s">
        <v>15224</v>
      </c>
    </row>
    <row r="1213" spans="1:2" x14ac:dyDescent="0.25">
      <c r="A1213" t="s">
        <v>15238</v>
      </c>
      <c r="B1213" t="s">
        <v>15237</v>
      </c>
    </row>
    <row r="1214" spans="1:2" x14ac:dyDescent="0.25">
      <c r="A1214" t="s">
        <v>15239</v>
      </c>
      <c r="B1214" t="s">
        <v>15237</v>
      </c>
    </row>
    <row r="1215" spans="1:2" x14ac:dyDescent="0.25">
      <c r="A1215" t="s">
        <v>15240</v>
      </c>
      <c r="B1215" t="s">
        <v>15224</v>
      </c>
    </row>
    <row r="1216" spans="1:2" x14ac:dyDescent="0.25">
      <c r="A1216" t="s">
        <v>15241</v>
      </c>
      <c r="B1216" t="s">
        <v>15240</v>
      </c>
    </row>
    <row r="1217" spans="1:2" x14ac:dyDescent="0.25">
      <c r="A1217" t="s">
        <v>15242</v>
      </c>
      <c r="B1217" t="s">
        <v>15240</v>
      </c>
    </row>
    <row r="1218" spans="1:2" x14ac:dyDescent="0.25">
      <c r="A1218" t="s">
        <v>15243</v>
      </c>
      <c r="B1218" t="s">
        <v>15224</v>
      </c>
    </row>
    <row r="1219" spans="1:2" x14ac:dyDescent="0.25">
      <c r="A1219" t="s">
        <v>15244</v>
      </c>
      <c r="B1219" t="s">
        <v>15243</v>
      </c>
    </row>
    <row r="1220" spans="1:2" x14ac:dyDescent="0.25">
      <c r="A1220" t="s">
        <v>15245</v>
      </c>
      <c r="B1220" t="s">
        <v>15243</v>
      </c>
    </row>
    <row r="1221" spans="1:2" x14ac:dyDescent="0.25">
      <c r="A1221" t="s">
        <v>15246</v>
      </c>
      <c r="B1221" t="s">
        <v>15224</v>
      </c>
    </row>
    <row r="1222" spans="1:2" x14ac:dyDescent="0.25">
      <c r="A1222" t="s">
        <v>15247</v>
      </c>
      <c r="B1222" t="s">
        <v>15246</v>
      </c>
    </row>
    <row r="1223" spans="1:2" x14ac:dyDescent="0.25">
      <c r="A1223" t="s">
        <v>15248</v>
      </c>
      <c r="B1223" t="s">
        <v>15246</v>
      </c>
    </row>
    <row r="1224" spans="1:2" x14ac:dyDescent="0.25">
      <c r="A1224" t="s">
        <v>15249</v>
      </c>
      <c r="B1224" t="s">
        <v>15224</v>
      </c>
    </row>
    <row r="1225" spans="1:2" x14ac:dyDescent="0.25">
      <c r="A1225" t="s">
        <v>15250</v>
      </c>
      <c r="B1225" t="s">
        <v>15249</v>
      </c>
    </row>
    <row r="1226" spans="1:2" x14ac:dyDescent="0.25">
      <c r="A1226" t="s">
        <v>15251</v>
      </c>
      <c r="B1226" t="s">
        <v>15249</v>
      </c>
    </row>
    <row r="1227" spans="1:2" x14ac:dyDescent="0.25">
      <c r="A1227" t="s">
        <v>15252</v>
      </c>
      <c r="B1227" t="s">
        <v>6758</v>
      </c>
    </row>
    <row r="1228" spans="1:2" x14ac:dyDescent="0.25">
      <c r="A1228" t="s">
        <v>15253</v>
      </c>
      <c r="B1228" t="s">
        <v>15252</v>
      </c>
    </row>
    <row r="1229" spans="1:2" x14ac:dyDescent="0.25">
      <c r="A1229" t="s">
        <v>15254</v>
      </c>
      <c r="B1229" t="s">
        <v>15253</v>
      </c>
    </row>
    <row r="1230" spans="1:2" x14ac:dyDescent="0.25">
      <c r="A1230" t="s">
        <v>15255</v>
      </c>
      <c r="B1230" t="s">
        <v>15253</v>
      </c>
    </row>
    <row r="1231" spans="1:2" x14ac:dyDescent="0.25">
      <c r="A1231" t="s">
        <v>15256</v>
      </c>
      <c r="B1231" t="s">
        <v>15252</v>
      </c>
    </row>
    <row r="1232" spans="1:2" x14ac:dyDescent="0.25">
      <c r="A1232" t="s">
        <v>15257</v>
      </c>
      <c r="B1232" t="s">
        <v>15256</v>
      </c>
    </row>
    <row r="1233" spans="1:2" x14ac:dyDescent="0.25">
      <c r="A1233" t="s">
        <v>15258</v>
      </c>
      <c r="B1233" t="s">
        <v>15256</v>
      </c>
    </row>
    <row r="1234" spans="1:2" x14ac:dyDescent="0.25">
      <c r="A1234" t="s">
        <v>15259</v>
      </c>
      <c r="B1234" t="s">
        <v>15252</v>
      </c>
    </row>
    <row r="1235" spans="1:2" x14ac:dyDescent="0.25">
      <c r="A1235" t="s">
        <v>15260</v>
      </c>
      <c r="B1235" t="s">
        <v>15259</v>
      </c>
    </row>
    <row r="1236" spans="1:2" x14ac:dyDescent="0.25">
      <c r="A1236" t="s">
        <v>15261</v>
      </c>
      <c r="B1236" t="s">
        <v>15259</v>
      </c>
    </row>
    <row r="1237" spans="1:2" x14ac:dyDescent="0.25">
      <c r="A1237" t="s">
        <v>15262</v>
      </c>
      <c r="B1237" t="s">
        <v>15252</v>
      </c>
    </row>
    <row r="1238" spans="1:2" x14ac:dyDescent="0.25">
      <c r="A1238" t="s">
        <v>15263</v>
      </c>
      <c r="B1238" t="s">
        <v>15262</v>
      </c>
    </row>
    <row r="1239" spans="1:2" x14ac:dyDescent="0.25">
      <c r="A1239" t="s">
        <v>15264</v>
      </c>
      <c r="B1239" t="s">
        <v>15262</v>
      </c>
    </row>
    <row r="1240" spans="1:2" x14ac:dyDescent="0.25">
      <c r="A1240" t="s">
        <v>15265</v>
      </c>
      <c r="B1240" t="s">
        <v>15252</v>
      </c>
    </row>
    <row r="1241" spans="1:2" x14ac:dyDescent="0.25">
      <c r="A1241" t="s">
        <v>15266</v>
      </c>
      <c r="B1241" t="s">
        <v>15265</v>
      </c>
    </row>
    <row r="1242" spans="1:2" x14ac:dyDescent="0.25">
      <c r="A1242" t="s">
        <v>15267</v>
      </c>
      <c r="B1242" t="s">
        <v>15265</v>
      </c>
    </row>
    <row r="1243" spans="1:2" x14ac:dyDescent="0.25">
      <c r="A1243" t="s">
        <v>15268</v>
      </c>
      <c r="B1243" t="s">
        <v>15252</v>
      </c>
    </row>
    <row r="1244" spans="1:2" x14ac:dyDescent="0.25">
      <c r="A1244" t="s">
        <v>15269</v>
      </c>
      <c r="B1244" t="s">
        <v>15268</v>
      </c>
    </row>
    <row r="1245" spans="1:2" x14ac:dyDescent="0.25">
      <c r="A1245" t="s">
        <v>15270</v>
      </c>
      <c r="B1245" t="s">
        <v>15268</v>
      </c>
    </row>
    <row r="1246" spans="1:2" x14ac:dyDescent="0.25">
      <c r="A1246" t="s">
        <v>15271</v>
      </c>
      <c r="B1246" t="s">
        <v>15252</v>
      </c>
    </row>
    <row r="1247" spans="1:2" x14ac:dyDescent="0.25">
      <c r="A1247" t="s">
        <v>15272</v>
      </c>
      <c r="B1247" t="s">
        <v>15271</v>
      </c>
    </row>
    <row r="1248" spans="1:2" x14ac:dyDescent="0.25">
      <c r="A1248" t="s">
        <v>15273</v>
      </c>
      <c r="B1248" t="s">
        <v>15271</v>
      </c>
    </row>
    <row r="1249" spans="1:2" x14ac:dyDescent="0.25">
      <c r="A1249" t="s">
        <v>15274</v>
      </c>
      <c r="B1249" t="s">
        <v>15252</v>
      </c>
    </row>
    <row r="1250" spans="1:2" x14ac:dyDescent="0.25">
      <c r="A1250" t="s">
        <v>15275</v>
      </c>
      <c r="B1250" t="s">
        <v>15274</v>
      </c>
    </row>
    <row r="1251" spans="1:2" x14ac:dyDescent="0.25">
      <c r="A1251" t="s">
        <v>15276</v>
      </c>
      <c r="B1251" t="s">
        <v>15274</v>
      </c>
    </row>
    <row r="1252" spans="1:2" x14ac:dyDescent="0.25">
      <c r="A1252" t="s">
        <v>15277</v>
      </c>
      <c r="B1252" t="s">
        <v>15252</v>
      </c>
    </row>
    <row r="1253" spans="1:2" x14ac:dyDescent="0.25">
      <c r="A1253" t="s">
        <v>15278</v>
      </c>
      <c r="B1253" t="s">
        <v>15277</v>
      </c>
    </row>
    <row r="1254" spans="1:2" x14ac:dyDescent="0.25">
      <c r="A1254" t="s">
        <v>15279</v>
      </c>
      <c r="B1254" t="s">
        <v>15277</v>
      </c>
    </row>
    <row r="1255" spans="1:2" x14ac:dyDescent="0.25">
      <c r="A1255" t="s">
        <v>15280</v>
      </c>
      <c r="B1255" t="s">
        <v>6758</v>
      </c>
    </row>
    <row r="1256" spans="1:2" x14ac:dyDescent="0.25">
      <c r="A1256" t="s">
        <v>15281</v>
      </c>
      <c r="B1256" t="s">
        <v>15280</v>
      </c>
    </row>
    <row r="1257" spans="1:2" x14ac:dyDescent="0.25">
      <c r="A1257" t="s">
        <v>15282</v>
      </c>
      <c r="B1257" t="s">
        <v>15281</v>
      </c>
    </row>
    <row r="1258" spans="1:2" x14ac:dyDescent="0.25">
      <c r="A1258" t="s">
        <v>15283</v>
      </c>
      <c r="B1258" t="s">
        <v>15281</v>
      </c>
    </row>
    <row r="1259" spans="1:2" x14ac:dyDescent="0.25">
      <c r="A1259" t="s">
        <v>15284</v>
      </c>
      <c r="B1259" t="s">
        <v>15280</v>
      </c>
    </row>
    <row r="1260" spans="1:2" x14ac:dyDescent="0.25">
      <c r="A1260" t="s">
        <v>15285</v>
      </c>
      <c r="B1260" t="s">
        <v>15284</v>
      </c>
    </row>
    <row r="1261" spans="1:2" x14ac:dyDescent="0.25">
      <c r="A1261" t="s">
        <v>15286</v>
      </c>
      <c r="B1261" t="s">
        <v>15284</v>
      </c>
    </row>
    <row r="1262" spans="1:2" x14ac:dyDescent="0.25">
      <c r="A1262" t="s">
        <v>15287</v>
      </c>
      <c r="B1262" t="s">
        <v>15280</v>
      </c>
    </row>
    <row r="1263" spans="1:2" x14ac:dyDescent="0.25">
      <c r="A1263" t="s">
        <v>15288</v>
      </c>
      <c r="B1263" t="s">
        <v>15287</v>
      </c>
    </row>
    <row r="1264" spans="1:2" x14ac:dyDescent="0.25">
      <c r="A1264" t="s">
        <v>15289</v>
      </c>
      <c r="B1264" t="s">
        <v>15287</v>
      </c>
    </row>
    <row r="1265" spans="1:2" x14ac:dyDescent="0.25">
      <c r="A1265" t="s">
        <v>15290</v>
      </c>
      <c r="B1265" t="s">
        <v>15280</v>
      </c>
    </row>
    <row r="1266" spans="1:2" x14ac:dyDescent="0.25">
      <c r="A1266" t="s">
        <v>15291</v>
      </c>
      <c r="B1266" t="s">
        <v>15290</v>
      </c>
    </row>
    <row r="1267" spans="1:2" x14ac:dyDescent="0.25">
      <c r="A1267" t="s">
        <v>15292</v>
      </c>
      <c r="B1267" t="s">
        <v>15290</v>
      </c>
    </row>
    <row r="1268" spans="1:2" x14ac:dyDescent="0.25">
      <c r="A1268" t="s">
        <v>15293</v>
      </c>
      <c r="B1268" t="s">
        <v>15280</v>
      </c>
    </row>
    <row r="1269" spans="1:2" x14ac:dyDescent="0.25">
      <c r="A1269" t="s">
        <v>15294</v>
      </c>
      <c r="B1269" t="s">
        <v>15293</v>
      </c>
    </row>
    <row r="1270" spans="1:2" x14ac:dyDescent="0.25">
      <c r="A1270" t="s">
        <v>15295</v>
      </c>
      <c r="B1270" t="s">
        <v>15293</v>
      </c>
    </row>
    <row r="1271" spans="1:2" x14ac:dyDescent="0.25">
      <c r="A1271" t="s">
        <v>15296</v>
      </c>
      <c r="B1271" t="s">
        <v>15280</v>
      </c>
    </row>
    <row r="1272" spans="1:2" x14ac:dyDescent="0.25">
      <c r="A1272" t="s">
        <v>15297</v>
      </c>
      <c r="B1272" t="s">
        <v>15296</v>
      </c>
    </row>
    <row r="1273" spans="1:2" x14ac:dyDescent="0.25">
      <c r="A1273" t="s">
        <v>15298</v>
      </c>
      <c r="B1273" t="s">
        <v>15296</v>
      </c>
    </row>
    <row r="1274" spans="1:2" x14ac:dyDescent="0.25">
      <c r="A1274" t="s">
        <v>15299</v>
      </c>
      <c r="B1274" t="s">
        <v>6758</v>
      </c>
    </row>
    <row r="1275" spans="1:2" x14ac:dyDescent="0.25">
      <c r="A1275" t="s">
        <v>15300</v>
      </c>
      <c r="B1275" t="s">
        <v>15299</v>
      </c>
    </row>
    <row r="1276" spans="1:2" x14ac:dyDescent="0.25">
      <c r="A1276" t="s">
        <v>15301</v>
      </c>
      <c r="B1276" t="s">
        <v>15300</v>
      </c>
    </row>
    <row r="1277" spans="1:2" x14ac:dyDescent="0.25">
      <c r="A1277" t="s">
        <v>15302</v>
      </c>
      <c r="B1277" t="s">
        <v>15300</v>
      </c>
    </row>
    <row r="1278" spans="1:2" x14ac:dyDescent="0.25">
      <c r="A1278" t="s">
        <v>15303</v>
      </c>
      <c r="B1278" t="s">
        <v>15299</v>
      </c>
    </row>
    <row r="1279" spans="1:2" x14ac:dyDescent="0.25">
      <c r="A1279" t="s">
        <v>15304</v>
      </c>
      <c r="B1279" t="s">
        <v>15303</v>
      </c>
    </row>
    <row r="1280" spans="1:2" x14ac:dyDescent="0.25">
      <c r="A1280" t="s">
        <v>15305</v>
      </c>
      <c r="B1280" t="s">
        <v>15303</v>
      </c>
    </row>
    <row r="1281" spans="1:2" x14ac:dyDescent="0.25">
      <c r="A1281" t="s">
        <v>15306</v>
      </c>
      <c r="B1281" t="s">
        <v>15299</v>
      </c>
    </row>
    <row r="1282" spans="1:2" x14ac:dyDescent="0.25">
      <c r="A1282" t="s">
        <v>15307</v>
      </c>
      <c r="B1282" t="s">
        <v>15306</v>
      </c>
    </row>
    <row r="1283" spans="1:2" x14ac:dyDescent="0.25">
      <c r="A1283" t="s">
        <v>15308</v>
      </c>
      <c r="B1283" t="s">
        <v>15306</v>
      </c>
    </row>
    <row r="1284" spans="1:2" x14ac:dyDescent="0.25">
      <c r="A1284" t="s">
        <v>15309</v>
      </c>
      <c r="B1284" t="s">
        <v>15299</v>
      </c>
    </row>
    <row r="1285" spans="1:2" x14ac:dyDescent="0.25">
      <c r="A1285" t="s">
        <v>15310</v>
      </c>
      <c r="B1285" t="s">
        <v>15309</v>
      </c>
    </row>
    <row r="1286" spans="1:2" x14ac:dyDescent="0.25">
      <c r="A1286" t="s">
        <v>15311</v>
      </c>
      <c r="B1286" t="s">
        <v>15309</v>
      </c>
    </row>
    <row r="1287" spans="1:2" x14ac:dyDescent="0.25">
      <c r="A1287" t="s">
        <v>15312</v>
      </c>
      <c r="B1287" t="s">
        <v>15299</v>
      </c>
    </row>
    <row r="1288" spans="1:2" x14ac:dyDescent="0.25">
      <c r="A1288" t="s">
        <v>15313</v>
      </c>
      <c r="B1288" t="s">
        <v>15312</v>
      </c>
    </row>
    <row r="1289" spans="1:2" x14ac:dyDescent="0.25">
      <c r="A1289" t="s">
        <v>15314</v>
      </c>
      <c r="B1289" t="s">
        <v>15312</v>
      </c>
    </row>
    <row r="1290" spans="1:2" x14ac:dyDescent="0.25">
      <c r="A1290" t="s">
        <v>15315</v>
      </c>
      <c r="B1290" t="s">
        <v>15299</v>
      </c>
    </row>
    <row r="1291" spans="1:2" x14ac:dyDescent="0.25">
      <c r="A1291" t="s">
        <v>15316</v>
      </c>
      <c r="B1291" t="s">
        <v>15315</v>
      </c>
    </row>
    <row r="1292" spans="1:2" x14ac:dyDescent="0.25">
      <c r="A1292" t="s">
        <v>15317</v>
      </c>
      <c r="B1292" t="s">
        <v>15315</v>
      </c>
    </row>
    <row r="1293" spans="1:2" x14ac:dyDescent="0.25">
      <c r="A1293" t="s">
        <v>15318</v>
      </c>
      <c r="B1293" t="s">
        <v>6758</v>
      </c>
    </row>
    <row r="1294" spans="1:2" x14ac:dyDescent="0.25">
      <c r="A1294" t="s">
        <v>15319</v>
      </c>
      <c r="B1294" t="s">
        <v>15318</v>
      </c>
    </row>
    <row r="1295" spans="1:2" x14ac:dyDescent="0.25">
      <c r="A1295" t="s">
        <v>15320</v>
      </c>
      <c r="B1295" t="s">
        <v>15319</v>
      </c>
    </row>
    <row r="1296" spans="1:2" x14ac:dyDescent="0.25">
      <c r="A1296" t="s">
        <v>15321</v>
      </c>
      <c r="B1296" t="s">
        <v>15319</v>
      </c>
    </row>
    <row r="1297" spans="1:2" x14ac:dyDescent="0.25">
      <c r="A1297" t="s">
        <v>15322</v>
      </c>
      <c r="B1297" t="s">
        <v>15318</v>
      </c>
    </row>
    <row r="1298" spans="1:2" x14ac:dyDescent="0.25">
      <c r="A1298" t="s">
        <v>15323</v>
      </c>
      <c r="B1298" t="s">
        <v>15322</v>
      </c>
    </row>
    <row r="1299" spans="1:2" x14ac:dyDescent="0.25">
      <c r="A1299" t="s">
        <v>15324</v>
      </c>
      <c r="B1299" t="s">
        <v>15322</v>
      </c>
    </row>
    <row r="1300" spans="1:2" x14ac:dyDescent="0.25">
      <c r="A1300" t="s">
        <v>15325</v>
      </c>
      <c r="B1300" t="s">
        <v>15318</v>
      </c>
    </row>
    <row r="1301" spans="1:2" x14ac:dyDescent="0.25">
      <c r="A1301" t="s">
        <v>15326</v>
      </c>
      <c r="B1301" t="s">
        <v>15325</v>
      </c>
    </row>
    <row r="1302" spans="1:2" x14ac:dyDescent="0.25">
      <c r="A1302" t="s">
        <v>15327</v>
      </c>
      <c r="B1302" t="s">
        <v>15325</v>
      </c>
    </row>
    <row r="1303" spans="1:2" x14ac:dyDescent="0.25">
      <c r="A1303" t="s">
        <v>15328</v>
      </c>
      <c r="B1303" t="s">
        <v>15318</v>
      </c>
    </row>
    <row r="1304" spans="1:2" x14ac:dyDescent="0.25">
      <c r="A1304" t="s">
        <v>15329</v>
      </c>
      <c r="B1304" t="s">
        <v>15328</v>
      </c>
    </row>
    <row r="1305" spans="1:2" x14ac:dyDescent="0.25">
      <c r="A1305" t="s">
        <v>15330</v>
      </c>
      <c r="B1305" t="s">
        <v>15328</v>
      </c>
    </row>
    <row r="1306" spans="1:2" x14ac:dyDescent="0.25">
      <c r="A1306" t="s">
        <v>15331</v>
      </c>
      <c r="B1306" t="s">
        <v>15318</v>
      </c>
    </row>
    <row r="1307" spans="1:2" x14ac:dyDescent="0.25">
      <c r="A1307" t="s">
        <v>15332</v>
      </c>
      <c r="B1307" t="s">
        <v>15331</v>
      </c>
    </row>
    <row r="1308" spans="1:2" x14ac:dyDescent="0.25">
      <c r="A1308" t="s">
        <v>15333</v>
      </c>
      <c r="B1308" t="s">
        <v>15331</v>
      </c>
    </row>
    <row r="1309" spans="1:2" x14ac:dyDescent="0.25">
      <c r="A1309" t="s">
        <v>7389</v>
      </c>
      <c r="B1309" t="s">
        <v>6758</v>
      </c>
    </row>
    <row r="1310" spans="1:2" x14ac:dyDescent="0.25">
      <c r="A1310" t="s">
        <v>16509</v>
      </c>
      <c r="B1310" t="s">
        <v>7389</v>
      </c>
    </row>
    <row r="1311" spans="1:2" x14ac:dyDescent="0.25">
      <c r="A1311" t="s">
        <v>8679</v>
      </c>
      <c r="B1311" t="s">
        <v>7389</v>
      </c>
    </row>
    <row r="1312" spans="1:2" x14ac:dyDescent="0.25">
      <c r="A1312" t="s">
        <v>16447</v>
      </c>
      <c r="B1312" t="s">
        <v>7389</v>
      </c>
    </row>
    <row r="1313" spans="1:2" x14ac:dyDescent="0.25">
      <c r="A1313" t="s">
        <v>16510</v>
      </c>
      <c r="B1313" t="s">
        <v>16447</v>
      </c>
    </row>
    <row r="1314" spans="1:2" x14ac:dyDescent="0.25">
      <c r="A1314" t="s">
        <v>13850</v>
      </c>
      <c r="B1314" t="s">
        <v>13940</v>
      </c>
    </row>
    <row r="1315" spans="1:2" x14ac:dyDescent="0.25">
      <c r="A1315" t="s">
        <v>3125</v>
      </c>
      <c r="B1315" t="s">
        <v>13850</v>
      </c>
    </row>
    <row r="1316" spans="1:2" x14ac:dyDescent="0.25">
      <c r="A1316" t="s">
        <v>5009</v>
      </c>
      <c r="B1316" t="s">
        <v>3125</v>
      </c>
    </row>
    <row r="1317" spans="1:2" x14ac:dyDescent="0.25">
      <c r="A1317" t="s">
        <v>5141</v>
      </c>
      <c r="B1317" t="s">
        <v>5009</v>
      </c>
    </row>
    <row r="1318" spans="1:2" x14ac:dyDescent="0.25">
      <c r="A1318" t="s">
        <v>4072</v>
      </c>
      <c r="B1318" t="s">
        <v>3125</v>
      </c>
    </row>
    <row r="1319" spans="1:2" x14ac:dyDescent="0.25">
      <c r="A1319" t="s">
        <v>4223</v>
      </c>
      <c r="B1319" t="s">
        <v>4072</v>
      </c>
    </row>
    <row r="1320" spans="1:2" x14ac:dyDescent="0.25">
      <c r="A1320" t="s">
        <v>500</v>
      </c>
      <c r="B1320" t="s">
        <v>3125</v>
      </c>
    </row>
    <row r="1321" spans="1:2" x14ac:dyDescent="0.25">
      <c r="A1321" t="s">
        <v>541</v>
      </c>
      <c r="B1321" t="s">
        <v>500</v>
      </c>
    </row>
    <row r="1322" spans="1:2" x14ac:dyDescent="0.25">
      <c r="A1322" t="s">
        <v>14134</v>
      </c>
      <c r="B1322" t="s">
        <v>500</v>
      </c>
    </row>
    <row r="1323" spans="1:2" x14ac:dyDescent="0.25">
      <c r="A1323" t="s">
        <v>8524</v>
      </c>
      <c r="B1323" t="s">
        <v>3125</v>
      </c>
    </row>
    <row r="1324" spans="1:2" x14ac:dyDescent="0.25">
      <c r="A1324" t="s">
        <v>8681</v>
      </c>
      <c r="B1324" t="s">
        <v>8524</v>
      </c>
    </row>
    <row r="1325" spans="1:2" x14ac:dyDescent="0.25">
      <c r="A1325" t="s">
        <v>14206</v>
      </c>
      <c r="B1325" t="s">
        <v>8524</v>
      </c>
    </row>
    <row r="1326" spans="1:2" x14ac:dyDescent="0.25">
      <c r="A1326" t="s">
        <v>3206</v>
      </c>
      <c r="B1326" t="s">
        <v>3125</v>
      </c>
    </row>
    <row r="1327" spans="1:2" x14ac:dyDescent="0.25">
      <c r="A1327" t="s">
        <v>14185</v>
      </c>
      <c r="B1327" t="s">
        <v>3125</v>
      </c>
    </row>
    <row r="1328" spans="1:2" x14ac:dyDescent="0.25">
      <c r="A1328" t="s">
        <v>14191</v>
      </c>
      <c r="B1328" t="s">
        <v>14185</v>
      </c>
    </row>
    <row r="1329" spans="1:2" x14ac:dyDescent="0.25">
      <c r="A1329" t="s">
        <v>14149</v>
      </c>
      <c r="B1329" t="s">
        <v>3125</v>
      </c>
    </row>
    <row r="1330" spans="1:2" x14ac:dyDescent="0.25">
      <c r="A1330" t="s">
        <v>14734</v>
      </c>
      <c r="B1330" t="s">
        <v>3125</v>
      </c>
    </row>
    <row r="1331" spans="1:2" x14ac:dyDescent="0.25">
      <c r="A1331" t="s">
        <v>14735</v>
      </c>
      <c r="B1331" t="s">
        <v>14734</v>
      </c>
    </row>
    <row r="1332" spans="1:2" x14ac:dyDescent="0.25">
      <c r="A1332" t="s">
        <v>15334</v>
      </c>
      <c r="B1332" t="s">
        <v>3125</v>
      </c>
    </row>
    <row r="1333" spans="1:2" x14ac:dyDescent="0.25">
      <c r="A1333" t="s">
        <v>4070</v>
      </c>
      <c r="B1333" t="s">
        <v>13850</v>
      </c>
    </row>
    <row r="1334" spans="1:2" x14ac:dyDescent="0.25">
      <c r="A1334" t="s">
        <v>3124</v>
      </c>
      <c r="B1334" t="s">
        <v>4070</v>
      </c>
    </row>
    <row r="1335" spans="1:2" x14ac:dyDescent="0.25">
      <c r="A1335" t="s">
        <v>4222</v>
      </c>
      <c r="B1335" t="s">
        <v>3124</v>
      </c>
    </row>
    <row r="1336" spans="1:2" x14ac:dyDescent="0.25">
      <c r="A1336" t="s">
        <v>5451</v>
      </c>
      <c r="B1336" t="s">
        <v>4070</v>
      </c>
    </row>
    <row r="1337" spans="1:2" x14ac:dyDescent="0.25">
      <c r="A1337" t="s">
        <v>5575</v>
      </c>
      <c r="B1337" t="s">
        <v>5451</v>
      </c>
    </row>
    <row r="1338" spans="1:2" x14ac:dyDescent="0.25">
      <c r="A1338" t="s">
        <v>14178</v>
      </c>
      <c r="B1338" t="s">
        <v>5451</v>
      </c>
    </row>
    <row r="1339" spans="1:2" x14ac:dyDescent="0.25">
      <c r="A1339" t="s">
        <v>6775</v>
      </c>
      <c r="B1339" t="s">
        <v>4070</v>
      </c>
    </row>
    <row r="1340" spans="1:2" x14ac:dyDescent="0.25">
      <c r="A1340" t="s">
        <v>6927</v>
      </c>
      <c r="B1340" t="s">
        <v>6775</v>
      </c>
    </row>
    <row r="1341" spans="1:2" x14ac:dyDescent="0.25">
      <c r="A1341" t="s">
        <v>14733</v>
      </c>
      <c r="B1341" t="s">
        <v>6775</v>
      </c>
    </row>
    <row r="1342" spans="1:2" x14ac:dyDescent="0.25">
      <c r="A1342" t="s">
        <v>5836</v>
      </c>
      <c r="B1342" t="s">
        <v>4070</v>
      </c>
    </row>
    <row r="1343" spans="1:2" x14ac:dyDescent="0.25">
      <c r="A1343" t="s">
        <v>5987</v>
      </c>
      <c r="B1343" t="s">
        <v>5836</v>
      </c>
    </row>
    <row r="1344" spans="1:2" x14ac:dyDescent="0.25">
      <c r="A1344" t="s">
        <v>14131</v>
      </c>
      <c r="B1344" t="s">
        <v>5836</v>
      </c>
    </row>
    <row r="1345" spans="1:2" x14ac:dyDescent="0.25">
      <c r="A1345" t="s">
        <v>14121</v>
      </c>
      <c r="B1345" t="s">
        <v>4070</v>
      </c>
    </row>
    <row r="1346" spans="1:2" x14ac:dyDescent="0.25">
      <c r="A1346" t="s">
        <v>14130</v>
      </c>
      <c r="B1346" t="s">
        <v>14121</v>
      </c>
    </row>
    <row r="1347" spans="1:2" x14ac:dyDescent="0.25">
      <c r="A1347" t="s">
        <v>14162</v>
      </c>
      <c r="B1347" t="s">
        <v>4070</v>
      </c>
    </row>
    <row r="1348" spans="1:2" x14ac:dyDescent="0.25">
      <c r="A1348" t="s">
        <v>14164</v>
      </c>
      <c r="B1348" t="s">
        <v>14162</v>
      </c>
    </row>
    <row r="1349" spans="1:2" x14ac:dyDescent="0.25">
      <c r="A1349" t="s">
        <v>14146</v>
      </c>
      <c r="B1349" t="s">
        <v>13850</v>
      </c>
    </row>
    <row r="1350" spans="1:2" x14ac:dyDescent="0.25">
      <c r="A1350" t="s">
        <v>14148</v>
      </c>
      <c r="B1350" t="s">
        <v>14146</v>
      </c>
    </row>
    <row r="1351" spans="1:2" x14ac:dyDescent="0.25">
      <c r="A1351" t="s">
        <v>14269</v>
      </c>
      <c r="B1351" t="s">
        <v>14146</v>
      </c>
    </row>
    <row r="1352" spans="1:2" x14ac:dyDescent="0.25">
      <c r="A1352" t="s">
        <v>14190</v>
      </c>
      <c r="B1352" t="s">
        <v>14269</v>
      </c>
    </row>
    <row r="1353" spans="1:2" x14ac:dyDescent="0.25">
      <c r="A1353" t="s">
        <v>14270</v>
      </c>
      <c r="B1353" t="s">
        <v>14146</v>
      </c>
    </row>
    <row r="1354" spans="1:2" x14ac:dyDescent="0.25">
      <c r="A1354" t="s">
        <v>14175</v>
      </c>
      <c r="B1354" t="s">
        <v>14270</v>
      </c>
    </row>
    <row r="1355" spans="1:2" x14ac:dyDescent="0.25">
      <c r="A1355" t="s">
        <v>14271</v>
      </c>
      <c r="B1355" t="s">
        <v>14146</v>
      </c>
    </row>
    <row r="1356" spans="1:2" x14ac:dyDescent="0.25">
      <c r="A1356" t="s">
        <v>14155</v>
      </c>
      <c r="B1356" t="s">
        <v>14271</v>
      </c>
    </row>
    <row r="1357" spans="1:2" x14ac:dyDescent="0.25">
      <c r="A1357" t="s">
        <v>14122</v>
      </c>
      <c r="B1357" t="s">
        <v>13850</v>
      </c>
    </row>
    <row r="1358" spans="1:2" x14ac:dyDescent="0.25">
      <c r="A1358" t="s">
        <v>14123</v>
      </c>
      <c r="B1358" t="s">
        <v>14122</v>
      </c>
    </row>
    <row r="1359" spans="1:2" x14ac:dyDescent="0.25">
      <c r="A1359" t="s">
        <v>14133</v>
      </c>
      <c r="B1359" t="s">
        <v>14123</v>
      </c>
    </row>
    <row r="1360" spans="1:2" x14ac:dyDescent="0.25">
      <c r="A1360" t="s">
        <v>14132</v>
      </c>
      <c r="B1360" t="s">
        <v>14122</v>
      </c>
    </row>
    <row r="1361" spans="1:2" x14ac:dyDescent="0.25">
      <c r="A1361" t="s">
        <v>14736</v>
      </c>
      <c r="B1361" t="s">
        <v>14122</v>
      </c>
    </row>
    <row r="1362" spans="1:2" x14ac:dyDescent="0.25">
      <c r="A1362" t="s">
        <v>14737</v>
      </c>
      <c r="B1362" t="s">
        <v>14736</v>
      </c>
    </row>
    <row r="1363" spans="1:2" x14ac:dyDescent="0.25">
      <c r="A1363" t="s">
        <v>14738</v>
      </c>
      <c r="B1363" t="s">
        <v>14122</v>
      </c>
    </row>
    <row r="1364" spans="1:2" x14ac:dyDescent="0.25">
      <c r="A1364" t="s">
        <v>14739</v>
      </c>
      <c r="B1364" t="s">
        <v>14738</v>
      </c>
    </row>
    <row r="1365" spans="1:2" x14ac:dyDescent="0.25">
      <c r="A1365" t="s">
        <v>14740</v>
      </c>
      <c r="B1365" t="s">
        <v>14122</v>
      </c>
    </row>
    <row r="1366" spans="1:2" x14ac:dyDescent="0.25">
      <c r="A1366" t="s">
        <v>14741</v>
      </c>
      <c r="B1366" t="s">
        <v>14740</v>
      </c>
    </row>
    <row r="1367" spans="1:2" x14ac:dyDescent="0.25">
      <c r="A1367" t="s">
        <v>14124</v>
      </c>
      <c r="B1367" t="s">
        <v>13850</v>
      </c>
    </row>
    <row r="1368" spans="1:2" x14ac:dyDescent="0.25">
      <c r="A1368" t="s">
        <v>14135</v>
      </c>
      <c r="B1368" t="s">
        <v>14124</v>
      </c>
    </row>
    <row r="1369" spans="1:2" x14ac:dyDescent="0.25">
      <c r="A1369" t="s">
        <v>15335</v>
      </c>
      <c r="B1369" t="s">
        <v>13850</v>
      </c>
    </row>
    <row r="1370" spans="1:2" x14ac:dyDescent="0.25">
      <c r="A1370" t="s">
        <v>15336</v>
      </c>
      <c r="B1370" t="s">
        <v>15335</v>
      </c>
    </row>
    <row r="1371" spans="1:2" x14ac:dyDescent="0.25">
      <c r="A1371" t="s">
        <v>15337</v>
      </c>
      <c r="B1371" t="s">
        <v>15336</v>
      </c>
    </row>
    <row r="1372" spans="1:2" x14ac:dyDescent="0.25">
      <c r="A1372" t="s">
        <v>15338</v>
      </c>
      <c r="B1372" t="s">
        <v>15335</v>
      </c>
    </row>
    <row r="1373" spans="1:2" x14ac:dyDescent="0.25">
      <c r="A1373" t="s">
        <v>15339</v>
      </c>
      <c r="B1373" t="s">
        <v>15338</v>
      </c>
    </row>
    <row r="1374" spans="1:2" x14ac:dyDescent="0.25">
      <c r="A1374" t="s">
        <v>15340</v>
      </c>
      <c r="B1374" t="s">
        <v>15335</v>
      </c>
    </row>
    <row r="1375" spans="1:2" x14ac:dyDescent="0.25">
      <c r="A1375" t="s">
        <v>15341</v>
      </c>
      <c r="B1375" t="s">
        <v>15340</v>
      </c>
    </row>
    <row r="1376" spans="1:2" x14ac:dyDescent="0.25">
      <c r="A1376" t="s">
        <v>15342</v>
      </c>
      <c r="B1376" t="s">
        <v>15335</v>
      </c>
    </row>
    <row r="1377" spans="1:2" x14ac:dyDescent="0.25">
      <c r="A1377" t="s">
        <v>15343</v>
      </c>
      <c r="B1377" t="s">
        <v>15335</v>
      </c>
    </row>
    <row r="1378" spans="1:2" x14ac:dyDescent="0.25">
      <c r="A1378" t="s">
        <v>15344</v>
      </c>
      <c r="B1378" t="s">
        <v>13850</v>
      </c>
    </row>
    <row r="1379" spans="1:2" x14ac:dyDescent="0.25">
      <c r="A1379" t="s">
        <v>15345</v>
      </c>
      <c r="B1379" t="s">
        <v>15344</v>
      </c>
    </row>
    <row r="1380" spans="1:2" x14ac:dyDescent="0.25">
      <c r="A1380" t="s">
        <v>15346</v>
      </c>
      <c r="B1380" t="s">
        <v>15345</v>
      </c>
    </row>
    <row r="1381" spans="1:2" x14ac:dyDescent="0.25">
      <c r="A1381" t="s">
        <v>15347</v>
      </c>
      <c r="B1381" t="s">
        <v>13850</v>
      </c>
    </row>
    <row r="1382" spans="1:2" x14ac:dyDescent="0.25">
      <c r="A1382" t="s">
        <v>15348</v>
      </c>
      <c r="B1382" t="s">
        <v>15347</v>
      </c>
    </row>
    <row r="1383" spans="1:2" x14ac:dyDescent="0.25">
      <c r="A1383" t="s">
        <v>15349</v>
      </c>
      <c r="B1383" t="s">
        <v>15348</v>
      </c>
    </row>
    <row r="1384" spans="1:2" x14ac:dyDescent="0.25">
      <c r="A1384" t="s">
        <v>15350</v>
      </c>
      <c r="B1384" t="s">
        <v>13850</v>
      </c>
    </row>
    <row r="1385" spans="1:2" x14ac:dyDescent="0.25">
      <c r="A1385" t="s">
        <v>14154</v>
      </c>
      <c r="B1385" t="s">
        <v>15350</v>
      </c>
    </row>
    <row r="1386" spans="1:2" x14ac:dyDescent="0.25">
      <c r="A1386" t="s">
        <v>13908</v>
      </c>
      <c r="B1386" t="s">
        <v>13940</v>
      </c>
    </row>
    <row r="1387" spans="1:2" x14ac:dyDescent="0.25">
      <c r="A1387" t="s">
        <v>14258</v>
      </c>
      <c r="B1387" t="s">
        <v>13908</v>
      </c>
    </row>
    <row r="1388" spans="1:2" x14ac:dyDescent="0.25">
      <c r="A1388" t="s">
        <v>14259</v>
      </c>
      <c r="B1388" t="s">
        <v>14258</v>
      </c>
    </row>
    <row r="1389" spans="1:2" x14ac:dyDescent="0.25">
      <c r="A1389" t="s">
        <v>14260</v>
      </c>
      <c r="B1389" t="s">
        <v>13908</v>
      </c>
    </row>
    <row r="1390" spans="1:2" x14ac:dyDescent="0.25">
      <c r="A1390" t="s">
        <v>14261</v>
      </c>
      <c r="B1390" t="s">
        <v>14260</v>
      </c>
    </row>
    <row r="1391" spans="1:2" x14ac:dyDescent="0.25">
      <c r="A1391" t="s">
        <v>14262</v>
      </c>
      <c r="B1391" t="s">
        <v>13908</v>
      </c>
    </row>
    <row r="1392" spans="1:2" x14ac:dyDescent="0.25">
      <c r="A1392" t="s">
        <v>14263</v>
      </c>
      <c r="B1392" t="s">
        <v>14262</v>
      </c>
    </row>
    <row r="1393" spans="1:2" x14ac:dyDescent="0.25">
      <c r="A1393" t="s">
        <v>14264</v>
      </c>
      <c r="B1393" t="s">
        <v>13908</v>
      </c>
    </row>
    <row r="1394" spans="1:2" x14ac:dyDescent="0.25">
      <c r="A1394" t="s">
        <v>14265</v>
      </c>
      <c r="B1394" t="s">
        <v>14264</v>
      </c>
    </row>
    <row r="1395" spans="1:2" x14ac:dyDescent="0.25">
      <c r="A1395" t="s">
        <v>14266</v>
      </c>
      <c r="B1395" t="s">
        <v>13908</v>
      </c>
    </row>
    <row r="1396" spans="1:2" x14ac:dyDescent="0.25">
      <c r="A1396" t="s">
        <v>14267</v>
      </c>
      <c r="B1396" t="s">
        <v>14266</v>
      </c>
    </row>
    <row r="1397" spans="1:2" x14ac:dyDescent="0.25">
      <c r="A1397" t="s">
        <v>15351</v>
      </c>
      <c r="B1397" t="s">
        <v>13908</v>
      </c>
    </row>
    <row r="1398" spans="1:2" x14ac:dyDescent="0.25">
      <c r="A1398" t="s">
        <v>15352</v>
      </c>
      <c r="B1398" t="s">
        <v>15351</v>
      </c>
    </row>
    <row r="1399" spans="1:2" x14ac:dyDescent="0.25">
      <c r="A1399" t="s">
        <v>15353</v>
      </c>
      <c r="B1399" t="s">
        <v>13908</v>
      </c>
    </row>
    <row r="1400" spans="1:2" x14ac:dyDescent="0.25">
      <c r="A1400" t="s">
        <v>14268</v>
      </c>
      <c r="B1400" t="s">
        <v>15353</v>
      </c>
    </row>
    <row r="1401" spans="1:2" x14ac:dyDescent="0.25">
      <c r="A1401" t="s">
        <v>15354</v>
      </c>
      <c r="B1401" t="s">
        <v>13908</v>
      </c>
    </row>
    <row r="1402" spans="1:2" x14ac:dyDescent="0.25">
      <c r="A1402" t="s">
        <v>3560</v>
      </c>
      <c r="B1402" t="s">
        <v>13940</v>
      </c>
    </row>
    <row r="1403" spans="1:2" x14ac:dyDescent="0.25">
      <c r="A1403" t="s">
        <v>4054</v>
      </c>
      <c r="B1403" t="s">
        <v>3560</v>
      </c>
    </row>
    <row r="1404" spans="1:2" x14ac:dyDescent="0.25">
      <c r="A1404" t="s">
        <v>9300</v>
      </c>
      <c r="B1404" t="s">
        <v>4054</v>
      </c>
    </row>
    <row r="1405" spans="1:2" x14ac:dyDescent="0.25">
      <c r="A1405" t="s">
        <v>10195</v>
      </c>
      <c r="B1405" t="s">
        <v>9300</v>
      </c>
    </row>
    <row r="1406" spans="1:2" x14ac:dyDescent="0.25">
      <c r="A1406" t="s">
        <v>10714</v>
      </c>
      <c r="B1406" t="s">
        <v>9300</v>
      </c>
    </row>
    <row r="1407" spans="1:2" x14ac:dyDescent="0.25">
      <c r="A1407" t="s">
        <v>7385</v>
      </c>
      <c r="B1407" t="s">
        <v>9300</v>
      </c>
    </row>
    <row r="1408" spans="1:2" x14ac:dyDescent="0.25">
      <c r="A1408" t="s">
        <v>7386</v>
      </c>
      <c r="B1408" t="s">
        <v>9300</v>
      </c>
    </row>
    <row r="1409" spans="1:2" x14ac:dyDescent="0.25">
      <c r="A1409" t="s">
        <v>11385</v>
      </c>
      <c r="B1409" t="s">
        <v>9300</v>
      </c>
    </row>
    <row r="1410" spans="1:2" x14ac:dyDescent="0.25">
      <c r="A1410" t="s">
        <v>7387</v>
      </c>
      <c r="B1410" t="s">
        <v>9300</v>
      </c>
    </row>
    <row r="1411" spans="1:2" x14ac:dyDescent="0.25">
      <c r="A1411" t="s">
        <v>10715</v>
      </c>
      <c r="B1411" t="s">
        <v>9300</v>
      </c>
    </row>
    <row r="1412" spans="1:2" x14ac:dyDescent="0.25">
      <c r="A1412" t="s">
        <v>13226</v>
      </c>
      <c r="B1412" t="s">
        <v>9300</v>
      </c>
    </row>
    <row r="1413" spans="1:2" x14ac:dyDescent="0.25">
      <c r="A1413" t="s">
        <v>13227</v>
      </c>
      <c r="B1413" t="s">
        <v>9300</v>
      </c>
    </row>
    <row r="1414" spans="1:2" x14ac:dyDescent="0.25">
      <c r="A1414" t="s">
        <v>13228</v>
      </c>
      <c r="B1414" t="s">
        <v>9300</v>
      </c>
    </row>
    <row r="1415" spans="1:2" x14ac:dyDescent="0.25">
      <c r="A1415" t="s">
        <v>5449</v>
      </c>
      <c r="B1415" t="s">
        <v>9300</v>
      </c>
    </row>
    <row r="1416" spans="1:2" x14ac:dyDescent="0.25">
      <c r="A1416" t="s">
        <v>7380</v>
      </c>
      <c r="B1416" t="s">
        <v>4054</v>
      </c>
    </row>
    <row r="1417" spans="1:2" x14ac:dyDescent="0.25">
      <c r="A1417" t="s">
        <v>4055</v>
      </c>
      <c r="B1417" t="s">
        <v>7380</v>
      </c>
    </row>
    <row r="1418" spans="1:2" x14ac:dyDescent="0.25">
      <c r="A1418" t="s">
        <v>4056</v>
      </c>
      <c r="B1418" t="s">
        <v>7380</v>
      </c>
    </row>
    <row r="1419" spans="1:2" x14ac:dyDescent="0.25">
      <c r="A1419" t="s">
        <v>7973</v>
      </c>
      <c r="B1419" t="s">
        <v>7380</v>
      </c>
    </row>
    <row r="1420" spans="1:2" x14ac:dyDescent="0.25">
      <c r="A1420" t="s">
        <v>2269</v>
      </c>
      <c r="B1420" t="s">
        <v>7380</v>
      </c>
    </row>
    <row r="1421" spans="1:2" x14ac:dyDescent="0.25">
      <c r="A1421" t="s">
        <v>9998</v>
      </c>
      <c r="B1421" t="s">
        <v>2269</v>
      </c>
    </row>
    <row r="1422" spans="1:2" x14ac:dyDescent="0.25">
      <c r="A1422" t="s">
        <v>10000</v>
      </c>
      <c r="B1422" t="s">
        <v>2269</v>
      </c>
    </row>
    <row r="1423" spans="1:2" x14ac:dyDescent="0.25">
      <c r="A1423" t="s">
        <v>10002</v>
      </c>
      <c r="B1423" t="s">
        <v>2269</v>
      </c>
    </row>
    <row r="1424" spans="1:2" x14ac:dyDescent="0.25">
      <c r="A1424" t="s">
        <v>10003</v>
      </c>
      <c r="B1424" t="s">
        <v>2269</v>
      </c>
    </row>
    <row r="1425" spans="1:2" x14ac:dyDescent="0.25">
      <c r="A1425" t="s">
        <v>10005</v>
      </c>
      <c r="B1425" t="s">
        <v>2269</v>
      </c>
    </row>
    <row r="1426" spans="1:2" x14ac:dyDescent="0.25">
      <c r="A1426" t="s">
        <v>10007</v>
      </c>
      <c r="B1426" t="s">
        <v>2269</v>
      </c>
    </row>
    <row r="1427" spans="1:2" x14ac:dyDescent="0.25">
      <c r="A1427" t="s">
        <v>10009</v>
      </c>
      <c r="B1427" t="s">
        <v>2269</v>
      </c>
    </row>
    <row r="1428" spans="1:2" x14ac:dyDescent="0.25">
      <c r="A1428" t="s">
        <v>10012</v>
      </c>
      <c r="B1428" t="s">
        <v>2269</v>
      </c>
    </row>
    <row r="1429" spans="1:2" x14ac:dyDescent="0.25">
      <c r="A1429" t="s">
        <v>10014</v>
      </c>
      <c r="B1429" t="s">
        <v>2269</v>
      </c>
    </row>
    <row r="1430" spans="1:2" x14ac:dyDescent="0.25">
      <c r="A1430" t="s">
        <v>10016</v>
      </c>
      <c r="B1430" t="s">
        <v>2269</v>
      </c>
    </row>
    <row r="1431" spans="1:2" x14ac:dyDescent="0.25">
      <c r="A1431" t="s">
        <v>10018</v>
      </c>
      <c r="B1431" t="s">
        <v>2269</v>
      </c>
    </row>
    <row r="1432" spans="1:2" x14ac:dyDescent="0.25">
      <c r="A1432" t="s">
        <v>10020</v>
      </c>
      <c r="B1432" t="s">
        <v>2269</v>
      </c>
    </row>
    <row r="1433" spans="1:2" x14ac:dyDescent="0.25">
      <c r="A1433" t="s">
        <v>10022</v>
      </c>
      <c r="B1433" t="s">
        <v>2269</v>
      </c>
    </row>
    <row r="1434" spans="1:2" x14ac:dyDescent="0.25">
      <c r="A1434" t="s">
        <v>10024</v>
      </c>
      <c r="B1434" t="s">
        <v>2269</v>
      </c>
    </row>
    <row r="1435" spans="1:2" x14ac:dyDescent="0.25">
      <c r="A1435" t="s">
        <v>10025</v>
      </c>
      <c r="B1435" t="s">
        <v>2269</v>
      </c>
    </row>
    <row r="1436" spans="1:2" x14ac:dyDescent="0.25">
      <c r="A1436" t="s">
        <v>10027</v>
      </c>
      <c r="B1436" t="s">
        <v>2269</v>
      </c>
    </row>
    <row r="1437" spans="1:2" x14ac:dyDescent="0.25">
      <c r="A1437" t="s">
        <v>10029</v>
      </c>
      <c r="B1437" t="s">
        <v>2269</v>
      </c>
    </row>
    <row r="1438" spans="1:2" x14ac:dyDescent="0.25">
      <c r="A1438" t="s">
        <v>10031</v>
      </c>
      <c r="B1438" t="s">
        <v>2269</v>
      </c>
    </row>
    <row r="1439" spans="1:2" x14ac:dyDescent="0.25">
      <c r="A1439" t="s">
        <v>10033</v>
      </c>
      <c r="B1439" t="s">
        <v>2269</v>
      </c>
    </row>
    <row r="1440" spans="1:2" x14ac:dyDescent="0.25">
      <c r="A1440" t="s">
        <v>10035</v>
      </c>
      <c r="B1440" t="s">
        <v>2269</v>
      </c>
    </row>
    <row r="1441" spans="1:2" x14ac:dyDescent="0.25">
      <c r="A1441" t="s">
        <v>10037</v>
      </c>
      <c r="B1441" t="s">
        <v>2269</v>
      </c>
    </row>
    <row r="1442" spans="1:2" x14ac:dyDescent="0.25">
      <c r="A1442" t="s">
        <v>10039</v>
      </c>
      <c r="B1442" t="s">
        <v>2269</v>
      </c>
    </row>
    <row r="1443" spans="1:2" x14ac:dyDescent="0.25">
      <c r="A1443" t="s">
        <v>10042</v>
      </c>
      <c r="B1443" t="s">
        <v>2269</v>
      </c>
    </row>
    <row r="1444" spans="1:2" x14ac:dyDescent="0.25">
      <c r="A1444" t="s">
        <v>10044</v>
      </c>
      <c r="B1444" t="s">
        <v>2269</v>
      </c>
    </row>
    <row r="1445" spans="1:2" x14ac:dyDescent="0.25">
      <c r="A1445" t="s">
        <v>10046</v>
      </c>
      <c r="B1445" t="s">
        <v>2269</v>
      </c>
    </row>
    <row r="1446" spans="1:2" x14ac:dyDescent="0.25">
      <c r="A1446" t="s">
        <v>10048</v>
      </c>
      <c r="B1446" t="s">
        <v>2269</v>
      </c>
    </row>
    <row r="1447" spans="1:2" x14ac:dyDescent="0.25">
      <c r="A1447" t="s">
        <v>10050</v>
      </c>
      <c r="B1447" t="s">
        <v>2269</v>
      </c>
    </row>
    <row r="1448" spans="1:2" x14ac:dyDescent="0.25">
      <c r="A1448" t="s">
        <v>10052</v>
      </c>
      <c r="B1448" t="s">
        <v>2269</v>
      </c>
    </row>
    <row r="1449" spans="1:2" x14ac:dyDescent="0.25">
      <c r="A1449" t="s">
        <v>10054</v>
      </c>
      <c r="B1449" t="s">
        <v>2269</v>
      </c>
    </row>
    <row r="1450" spans="1:2" x14ac:dyDescent="0.25">
      <c r="A1450" t="s">
        <v>10056</v>
      </c>
      <c r="B1450" t="s">
        <v>2269</v>
      </c>
    </row>
    <row r="1451" spans="1:2" x14ac:dyDescent="0.25">
      <c r="A1451" t="s">
        <v>10058</v>
      </c>
      <c r="B1451" t="s">
        <v>2269</v>
      </c>
    </row>
    <row r="1452" spans="1:2" x14ac:dyDescent="0.25">
      <c r="A1452" t="s">
        <v>10060</v>
      </c>
      <c r="B1452" t="s">
        <v>2269</v>
      </c>
    </row>
    <row r="1453" spans="1:2" x14ac:dyDescent="0.25">
      <c r="A1453" t="s">
        <v>10061</v>
      </c>
      <c r="B1453" t="s">
        <v>2269</v>
      </c>
    </row>
    <row r="1454" spans="1:2" x14ac:dyDescent="0.25">
      <c r="A1454" t="s">
        <v>12504</v>
      </c>
      <c r="B1454" t="s">
        <v>2269</v>
      </c>
    </row>
    <row r="1455" spans="1:2" x14ac:dyDescent="0.25">
      <c r="A1455" t="s">
        <v>8837</v>
      </c>
      <c r="B1455" t="s">
        <v>2269</v>
      </c>
    </row>
    <row r="1456" spans="1:2" x14ac:dyDescent="0.25">
      <c r="A1456" t="s">
        <v>8490</v>
      </c>
      <c r="B1456" t="s">
        <v>3560</v>
      </c>
    </row>
    <row r="1457" spans="1:2" x14ac:dyDescent="0.25">
      <c r="A1457" t="s">
        <v>9301</v>
      </c>
      <c r="B1457" t="s">
        <v>8490</v>
      </c>
    </row>
    <row r="1458" spans="1:2" x14ac:dyDescent="0.25">
      <c r="A1458" t="s">
        <v>397</v>
      </c>
      <c r="B1458" t="s">
        <v>9301</v>
      </c>
    </row>
    <row r="1459" spans="1:2" x14ac:dyDescent="0.25">
      <c r="A1459" t="s">
        <v>398</v>
      </c>
      <c r="B1459" t="s">
        <v>9301</v>
      </c>
    </row>
    <row r="1460" spans="1:2" x14ac:dyDescent="0.25">
      <c r="A1460" t="s">
        <v>240</v>
      </c>
      <c r="B1460" t="s">
        <v>9301</v>
      </c>
    </row>
    <row r="1461" spans="1:2" x14ac:dyDescent="0.25">
      <c r="A1461" t="s">
        <v>3568</v>
      </c>
      <c r="B1461" t="s">
        <v>9301</v>
      </c>
    </row>
    <row r="1462" spans="1:2" x14ac:dyDescent="0.25">
      <c r="A1462" t="s">
        <v>61</v>
      </c>
      <c r="B1462" t="s">
        <v>9301</v>
      </c>
    </row>
    <row r="1463" spans="1:2" x14ac:dyDescent="0.25">
      <c r="A1463" t="s">
        <v>5830</v>
      </c>
      <c r="B1463" t="s">
        <v>9301</v>
      </c>
    </row>
    <row r="1464" spans="1:2" x14ac:dyDescent="0.25">
      <c r="A1464" t="s">
        <v>3123</v>
      </c>
      <c r="B1464" t="s">
        <v>9301</v>
      </c>
    </row>
    <row r="1465" spans="1:2" x14ac:dyDescent="0.25">
      <c r="A1465" t="s">
        <v>402</v>
      </c>
      <c r="B1465" t="s">
        <v>9301</v>
      </c>
    </row>
    <row r="1466" spans="1:2" x14ac:dyDescent="0.25">
      <c r="A1466" t="s">
        <v>8920</v>
      </c>
      <c r="B1466" t="s">
        <v>9301</v>
      </c>
    </row>
    <row r="1467" spans="1:2" x14ac:dyDescent="0.25">
      <c r="A1467" t="s">
        <v>13229</v>
      </c>
      <c r="B1467" t="s">
        <v>9301</v>
      </c>
    </row>
    <row r="1468" spans="1:2" x14ac:dyDescent="0.25">
      <c r="A1468" t="s">
        <v>13230</v>
      </c>
      <c r="B1468" t="s">
        <v>9301</v>
      </c>
    </row>
    <row r="1469" spans="1:2" x14ac:dyDescent="0.25">
      <c r="A1469" t="s">
        <v>13231</v>
      </c>
      <c r="B1469" t="s">
        <v>9301</v>
      </c>
    </row>
    <row r="1470" spans="1:2" x14ac:dyDescent="0.25">
      <c r="A1470" t="s">
        <v>13232</v>
      </c>
      <c r="B1470" t="s">
        <v>9301</v>
      </c>
    </row>
    <row r="1471" spans="1:2" x14ac:dyDescent="0.25">
      <c r="A1471" t="s">
        <v>13233</v>
      </c>
      <c r="B1471" t="s">
        <v>9301</v>
      </c>
    </row>
    <row r="1472" spans="1:2" x14ac:dyDescent="0.25">
      <c r="A1472" t="s">
        <v>13234</v>
      </c>
      <c r="B1472" t="s">
        <v>9301</v>
      </c>
    </row>
    <row r="1473" spans="1:2" x14ac:dyDescent="0.25">
      <c r="A1473" t="s">
        <v>7381</v>
      </c>
      <c r="B1473" t="s">
        <v>8490</v>
      </c>
    </row>
    <row r="1474" spans="1:2" x14ac:dyDescent="0.25">
      <c r="A1474" t="s">
        <v>7359</v>
      </c>
      <c r="B1474" t="s">
        <v>7381</v>
      </c>
    </row>
    <row r="1475" spans="1:2" x14ac:dyDescent="0.25">
      <c r="A1475" t="s">
        <v>7980</v>
      </c>
      <c r="B1475" t="s">
        <v>7381</v>
      </c>
    </row>
    <row r="1476" spans="1:2" x14ac:dyDescent="0.25">
      <c r="A1476" t="s">
        <v>2668</v>
      </c>
      <c r="B1476" t="s">
        <v>7980</v>
      </c>
    </row>
    <row r="1477" spans="1:2" x14ac:dyDescent="0.25">
      <c r="A1477" t="s">
        <v>5831</v>
      </c>
      <c r="B1477" t="s">
        <v>7980</v>
      </c>
    </row>
    <row r="1478" spans="1:2" x14ac:dyDescent="0.25">
      <c r="A1478" t="s">
        <v>4067</v>
      </c>
      <c r="B1478" t="s">
        <v>7980</v>
      </c>
    </row>
    <row r="1479" spans="1:2" x14ac:dyDescent="0.25">
      <c r="A1479" t="s">
        <v>63</v>
      </c>
      <c r="B1479" t="s">
        <v>7381</v>
      </c>
    </row>
    <row r="1480" spans="1:2" x14ac:dyDescent="0.25">
      <c r="A1480" t="s">
        <v>2266</v>
      </c>
      <c r="B1480" t="s">
        <v>7381</v>
      </c>
    </row>
    <row r="1481" spans="1:2" x14ac:dyDescent="0.25">
      <c r="A1481" t="s">
        <v>9999</v>
      </c>
      <c r="B1481" t="s">
        <v>2266</v>
      </c>
    </row>
    <row r="1482" spans="1:2" x14ac:dyDescent="0.25">
      <c r="A1482" t="s">
        <v>10001</v>
      </c>
      <c r="B1482" t="s">
        <v>2266</v>
      </c>
    </row>
    <row r="1483" spans="1:2" x14ac:dyDescent="0.25">
      <c r="A1483" t="s">
        <v>10004</v>
      </c>
      <c r="B1483" t="s">
        <v>2266</v>
      </c>
    </row>
    <row r="1484" spans="1:2" x14ac:dyDescent="0.25">
      <c r="A1484" t="s">
        <v>10006</v>
      </c>
      <c r="B1484" t="s">
        <v>2266</v>
      </c>
    </row>
    <row r="1485" spans="1:2" x14ac:dyDescent="0.25">
      <c r="A1485" t="s">
        <v>10008</v>
      </c>
      <c r="B1485" t="s">
        <v>2266</v>
      </c>
    </row>
    <row r="1486" spans="1:2" x14ac:dyDescent="0.25">
      <c r="A1486" t="s">
        <v>10010</v>
      </c>
      <c r="B1486" t="s">
        <v>2266</v>
      </c>
    </row>
    <row r="1487" spans="1:2" x14ac:dyDescent="0.25">
      <c r="A1487" t="s">
        <v>10011</v>
      </c>
      <c r="B1487" t="s">
        <v>2266</v>
      </c>
    </row>
    <row r="1488" spans="1:2" x14ac:dyDescent="0.25">
      <c r="A1488" t="s">
        <v>10013</v>
      </c>
      <c r="B1488" t="s">
        <v>2266</v>
      </c>
    </row>
    <row r="1489" spans="1:2" x14ac:dyDescent="0.25">
      <c r="A1489" t="s">
        <v>10015</v>
      </c>
      <c r="B1489" t="s">
        <v>2266</v>
      </c>
    </row>
    <row r="1490" spans="1:2" x14ac:dyDescent="0.25">
      <c r="A1490" t="s">
        <v>10017</v>
      </c>
      <c r="B1490" t="s">
        <v>2266</v>
      </c>
    </row>
    <row r="1491" spans="1:2" x14ac:dyDescent="0.25">
      <c r="A1491" t="s">
        <v>10019</v>
      </c>
      <c r="B1491" t="s">
        <v>2266</v>
      </c>
    </row>
    <row r="1492" spans="1:2" x14ac:dyDescent="0.25">
      <c r="A1492" t="s">
        <v>10021</v>
      </c>
      <c r="B1492" t="s">
        <v>2266</v>
      </c>
    </row>
    <row r="1493" spans="1:2" x14ac:dyDescent="0.25">
      <c r="A1493" t="s">
        <v>10023</v>
      </c>
      <c r="B1493" t="s">
        <v>2266</v>
      </c>
    </row>
    <row r="1494" spans="1:2" x14ac:dyDescent="0.25">
      <c r="A1494" t="s">
        <v>10026</v>
      </c>
      <c r="B1494" t="s">
        <v>2266</v>
      </c>
    </row>
    <row r="1495" spans="1:2" x14ac:dyDescent="0.25">
      <c r="A1495" t="s">
        <v>10028</v>
      </c>
      <c r="B1495" t="s">
        <v>2266</v>
      </c>
    </row>
    <row r="1496" spans="1:2" x14ac:dyDescent="0.25">
      <c r="A1496" t="s">
        <v>10030</v>
      </c>
      <c r="B1496" t="s">
        <v>2266</v>
      </c>
    </row>
    <row r="1497" spans="1:2" x14ac:dyDescent="0.25">
      <c r="A1497" t="s">
        <v>10032</v>
      </c>
      <c r="B1497" t="s">
        <v>2266</v>
      </c>
    </row>
    <row r="1498" spans="1:2" x14ac:dyDescent="0.25">
      <c r="A1498" t="s">
        <v>10034</v>
      </c>
      <c r="B1498" t="s">
        <v>2266</v>
      </c>
    </row>
    <row r="1499" spans="1:2" x14ac:dyDescent="0.25">
      <c r="A1499" t="s">
        <v>10036</v>
      </c>
      <c r="B1499" t="s">
        <v>2266</v>
      </c>
    </row>
    <row r="1500" spans="1:2" x14ac:dyDescent="0.25">
      <c r="A1500" t="s">
        <v>10038</v>
      </c>
      <c r="B1500" t="s">
        <v>2266</v>
      </c>
    </row>
    <row r="1501" spans="1:2" x14ac:dyDescent="0.25">
      <c r="A1501" t="s">
        <v>10040</v>
      </c>
      <c r="B1501" t="s">
        <v>2266</v>
      </c>
    </row>
    <row r="1502" spans="1:2" x14ac:dyDescent="0.25">
      <c r="A1502" t="s">
        <v>10041</v>
      </c>
      <c r="B1502" t="s">
        <v>2266</v>
      </c>
    </row>
    <row r="1503" spans="1:2" x14ac:dyDescent="0.25">
      <c r="A1503" t="s">
        <v>10043</v>
      </c>
      <c r="B1503" t="s">
        <v>2266</v>
      </c>
    </row>
    <row r="1504" spans="1:2" x14ac:dyDescent="0.25">
      <c r="A1504" t="s">
        <v>10045</v>
      </c>
      <c r="B1504" t="s">
        <v>2266</v>
      </c>
    </row>
    <row r="1505" spans="1:2" x14ac:dyDescent="0.25">
      <c r="A1505" t="s">
        <v>10047</v>
      </c>
      <c r="B1505" t="s">
        <v>2266</v>
      </c>
    </row>
    <row r="1506" spans="1:2" x14ac:dyDescent="0.25">
      <c r="A1506" t="s">
        <v>10049</v>
      </c>
      <c r="B1506" t="s">
        <v>2266</v>
      </c>
    </row>
    <row r="1507" spans="1:2" x14ac:dyDescent="0.25">
      <c r="A1507" t="s">
        <v>10051</v>
      </c>
      <c r="B1507" t="s">
        <v>2266</v>
      </c>
    </row>
    <row r="1508" spans="1:2" x14ac:dyDescent="0.25">
      <c r="A1508" t="s">
        <v>10053</v>
      </c>
      <c r="B1508" t="s">
        <v>2266</v>
      </c>
    </row>
    <row r="1509" spans="1:2" x14ac:dyDescent="0.25">
      <c r="A1509" t="s">
        <v>10055</v>
      </c>
      <c r="B1509" t="s">
        <v>2266</v>
      </c>
    </row>
    <row r="1510" spans="1:2" x14ac:dyDescent="0.25">
      <c r="A1510" t="s">
        <v>10057</v>
      </c>
      <c r="B1510" t="s">
        <v>2266</v>
      </c>
    </row>
    <row r="1511" spans="1:2" x14ac:dyDescent="0.25">
      <c r="A1511" t="s">
        <v>10059</v>
      </c>
      <c r="B1511" t="s">
        <v>2266</v>
      </c>
    </row>
    <row r="1512" spans="1:2" x14ac:dyDescent="0.25">
      <c r="A1512" t="s">
        <v>10653</v>
      </c>
      <c r="B1512" t="s">
        <v>2266</v>
      </c>
    </row>
    <row r="1513" spans="1:2" x14ac:dyDescent="0.25">
      <c r="A1513" t="s">
        <v>13468</v>
      </c>
      <c r="B1513" t="s">
        <v>7381</v>
      </c>
    </row>
    <row r="1514" spans="1:2" x14ac:dyDescent="0.25">
      <c r="A1514" t="s">
        <v>3561</v>
      </c>
      <c r="B1514" t="s">
        <v>3560</v>
      </c>
    </row>
    <row r="1515" spans="1:2" x14ac:dyDescent="0.25">
      <c r="A1515" t="s">
        <v>9302</v>
      </c>
      <c r="B1515" t="s">
        <v>3561</v>
      </c>
    </row>
    <row r="1516" spans="1:2" x14ac:dyDescent="0.25">
      <c r="A1516" t="s">
        <v>2660</v>
      </c>
      <c r="B1516" t="s">
        <v>9302</v>
      </c>
    </row>
    <row r="1517" spans="1:2" x14ac:dyDescent="0.25">
      <c r="A1517" t="s">
        <v>3120</v>
      </c>
      <c r="B1517" t="s">
        <v>9302</v>
      </c>
    </row>
    <row r="1518" spans="1:2" x14ac:dyDescent="0.25">
      <c r="A1518" t="s">
        <v>62</v>
      </c>
      <c r="B1518" t="s">
        <v>9302</v>
      </c>
    </row>
    <row r="1519" spans="1:2" x14ac:dyDescent="0.25">
      <c r="A1519" t="s">
        <v>4574</v>
      </c>
      <c r="B1519" t="s">
        <v>9302</v>
      </c>
    </row>
    <row r="1520" spans="1:2" x14ac:dyDescent="0.25">
      <c r="A1520" t="s">
        <v>8921</v>
      </c>
      <c r="B1520" t="s">
        <v>9302</v>
      </c>
    </row>
    <row r="1521" spans="1:2" x14ac:dyDescent="0.25">
      <c r="A1521" t="s">
        <v>2672</v>
      </c>
      <c r="B1521" t="s">
        <v>9302</v>
      </c>
    </row>
    <row r="1522" spans="1:2" x14ac:dyDescent="0.25">
      <c r="A1522" t="s">
        <v>13235</v>
      </c>
      <c r="B1522" t="s">
        <v>9302</v>
      </c>
    </row>
    <row r="1523" spans="1:2" x14ac:dyDescent="0.25">
      <c r="A1523" t="s">
        <v>13236</v>
      </c>
      <c r="B1523" t="s">
        <v>9302</v>
      </c>
    </row>
    <row r="1524" spans="1:2" x14ac:dyDescent="0.25">
      <c r="A1524" t="s">
        <v>13237</v>
      </c>
      <c r="B1524" t="s">
        <v>9302</v>
      </c>
    </row>
    <row r="1525" spans="1:2" x14ac:dyDescent="0.25">
      <c r="A1525" t="s">
        <v>13238</v>
      </c>
      <c r="B1525" t="s">
        <v>9302</v>
      </c>
    </row>
    <row r="1526" spans="1:2" x14ac:dyDescent="0.25">
      <c r="A1526" t="s">
        <v>7382</v>
      </c>
      <c r="B1526" t="s">
        <v>3561</v>
      </c>
    </row>
    <row r="1527" spans="1:2" x14ac:dyDescent="0.25">
      <c r="A1527" t="s">
        <v>4569</v>
      </c>
      <c r="B1527" t="s">
        <v>7382</v>
      </c>
    </row>
    <row r="1528" spans="1:2" x14ac:dyDescent="0.25">
      <c r="A1528" t="s">
        <v>49</v>
      </c>
      <c r="B1528" t="s">
        <v>7382</v>
      </c>
    </row>
    <row r="1529" spans="1:2" x14ac:dyDescent="0.25">
      <c r="A1529" t="s">
        <v>7981</v>
      </c>
      <c r="B1529" t="s">
        <v>7382</v>
      </c>
    </row>
    <row r="1530" spans="1:2" x14ac:dyDescent="0.25">
      <c r="A1530" t="s">
        <v>2267</v>
      </c>
      <c r="B1530" t="s">
        <v>7382</v>
      </c>
    </row>
    <row r="1531" spans="1:2" x14ac:dyDescent="0.25">
      <c r="A1531" t="s">
        <v>9983</v>
      </c>
      <c r="B1531" t="s">
        <v>2267</v>
      </c>
    </row>
    <row r="1532" spans="1:2" x14ac:dyDescent="0.25">
      <c r="A1532" t="s">
        <v>9984</v>
      </c>
      <c r="B1532" t="s">
        <v>2267</v>
      </c>
    </row>
    <row r="1533" spans="1:2" x14ac:dyDescent="0.25">
      <c r="A1533" t="s">
        <v>9985</v>
      </c>
      <c r="B1533" t="s">
        <v>2267</v>
      </c>
    </row>
    <row r="1534" spans="1:2" x14ac:dyDescent="0.25">
      <c r="A1534" t="s">
        <v>9986</v>
      </c>
      <c r="B1534" t="s">
        <v>2267</v>
      </c>
    </row>
    <row r="1535" spans="1:2" x14ac:dyDescent="0.25">
      <c r="A1535" t="s">
        <v>9987</v>
      </c>
      <c r="B1535" t="s">
        <v>2267</v>
      </c>
    </row>
    <row r="1536" spans="1:2" x14ac:dyDescent="0.25">
      <c r="A1536" t="s">
        <v>9988</v>
      </c>
      <c r="B1536" t="s">
        <v>2267</v>
      </c>
    </row>
    <row r="1537" spans="1:2" x14ac:dyDescent="0.25">
      <c r="A1537" t="s">
        <v>9989</v>
      </c>
      <c r="B1537" t="s">
        <v>2267</v>
      </c>
    </row>
    <row r="1538" spans="1:2" x14ac:dyDescent="0.25">
      <c r="A1538" t="s">
        <v>9990</v>
      </c>
      <c r="B1538" t="s">
        <v>2267</v>
      </c>
    </row>
    <row r="1539" spans="1:2" x14ac:dyDescent="0.25">
      <c r="A1539" t="s">
        <v>10571</v>
      </c>
      <c r="B1539" t="s">
        <v>2267</v>
      </c>
    </row>
    <row r="1540" spans="1:2" x14ac:dyDescent="0.25">
      <c r="A1540" t="s">
        <v>9991</v>
      </c>
      <c r="B1540" t="s">
        <v>2267</v>
      </c>
    </row>
    <row r="1541" spans="1:2" x14ac:dyDescent="0.25">
      <c r="A1541" t="s">
        <v>9992</v>
      </c>
      <c r="B1541" t="s">
        <v>2267</v>
      </c>
    </row>
    <row r="1542" spans="1:2" x14ac:dyDescent="0.25">
      <c r="A1542" t="s">
        <v>9993</v>
      </c>
      <c r="B1542" t="s">
        <v>2267</v>
      </c>
    </row>
    <row r="1543" spans="1:2" x14ac:dyDescent="0.25">
      <c r="A1543" t="s">
        <v>9994</v>
      </c>
      <c r="B1543" t="s">
        <v>2267</v>
      </c>
    </row>
    <row r="1544" spans="1:2" x14ac:dyDescent="0.25">
      <c r="A1544" t="s">
        <v>9995</v>
      </c>
      <c r="B1544" t="s">
        <v>2267</v>
      </c>
    </row>
    <row r="1545" spans="1:2" x14ac:dyDescent="0.25">
      <c r="A1545" t="s">
        <v>10572</v>
      </c>
      <c r="B1545" t="s">
        <v>2267</v>
      </c>
    </row>
    <row r="1546" spans="1:2" x14ac:dyDescent="0.25">
      <c r="A1546" t="s">
        <v>10573</v>
      </c>
      <c r="B1546" t="s">
        <v>2267</v>
      </c>
    </row>
    <row r="1547" spans="1:2" x14ac:dyDescent="0.25">
      <c r="A1547" t="s">
        <v>9996</v>
      </c>
      <c r="B1547" t="s">
        <v>2267</v>
      </c>
    </row>
    <row r="1548" spans="1:2" x14ac:dyDescent="0.25">
      <c r="A1548" t="s">
        <v>9997</v>
      </c>
      <c r="B1548" t="s">
        <v>2267</v>
      </c>
    </row>
    <row r="1549" spans="1:2" x14ac:dyDescent="0.25">
      <c r="A1549" t="s">
        <v>9223</v>
      </c>
      <c r="B1549" t="s">
        <v>2267</v>
      </c>
    </row>
    <row r="1550" spans="1:2" x14ac:dyDescent="0.25">
      <c r="A1550" t="s">
        <v>9224</v>
      </c>
      <c r="B1550" t="s">
        <v>2267</v>
      </c>
    </row>
    <row r="1551" spans="1:2" x14ac:dyDescent="0.25">
      <c r="A1551" t="s">
        <v>13469</v>
      </c>
      <c r="B1551" t="s">
        <v>7382</v>
      </c>
    </row>
    <row r="1552" spans="1:2" x14ac:dyDescent="0.25">
      <c r="A1552" t="s">
        <v>2263</v>
      </c>
      <c r="B1552" t="s">
        <v>3560</v>
      </c>
    </row>
    <row r="1553" spans="1:2" x14ac:dyDescent="0.25">
      <c r="A1553" t="s">
        <v>9303</v>
      </c>
      <c r="B1553" t="s">
        <v>2263</v>
      </c>
    </row>
    <row r="1554" spans="1:2" x14ac:dyDescent="0.25">
      <c r="A1554" t="s">
        <v>2264</v>
      </c>
      <c r="B1554" t="s">
        <v>9303</v>
      </c>
    </row>
    <row r="1555" spans="1:2" x14ac:dyDescent="0.25">
      <c r="A1555" t="s">
        <v>399</v>
      </c>
      <c r="B1555" t="s">
        <v>9303</v>
      </c>
    </row>
    <row r="1556" spans="1:2" x14ac:dyDescent="0.25">
      <c r="A1556" t="s">
        <v>3567</v>
      </c>
      <c r="B1556" t="s">
        <v>9303</v>
      </c>
    </row>
    <row r="1557" spans="1:2" x14ac:dyDescent="0.25">
      <c r="A1557" t="s">
        <v>57</v>
      </c>
      <c r="B1557" t="s">
        <v>9303</v>
      </c>
    </row>
    <row r="1558" spans="1:2" x14ac:dyDescent="0.25">
      <c r="A1558" t="s">
        <v>2265</v>
      </c>
      <c r="B1558" t="s">
        <v>9303</v>
      </c>
    </row>
    <row r="1559" spans="1:2" x14ac:dyDescent="0.25">
      <c r="A1559" t="s">
        <v>245</v>
      </c>
      <c r="B1559" t="s">
        <v>9303</v>
      </c>
    </row>
    <row r="1560" spans="1:2" x14ac:dyDescent="0.25">
      <c r="A1560" t="s">
        <v>8922</v>
      </c>
      <c r="B1560" t="s">
        <v>9303</v>
      </c>
    </row>
    <row r="1561" spans="1:2" x14ac:dyDescent="0.25">
      <c r="A1561" t="s">
        <v>13239</v>
      </c>
      <c r="B1561" t="s">
        <v>9303</v>
      </c>
    </row>
    <row r="1562" spans="1:2" x14ac:dyDescent="0.25">
      <c r="A1562" t="s">
        <v>13240</v>
      </c>
      <c r="B1562" t="s">
        <v>9303</v>
      </c>
    </row>
    <row r="1563" spans="1:2" x14ac:dyDescent="0.25">
      <c r="A1563" t="s">
        <v>13241</v>
      </c>
      <c r="B1563" t="s">
        <v>9303</v>
      </c>
    </row>
    <row r="1564" spans="1:2" x14ac:dyDescent="0.25">
      <c r="A1564" t="s">
        <v>13242</v>
      </c>
      <c r="B1564" t="s">
        <v>9303</v>
      </c>
    </row>
    <row r="1565" spans="1:2" x14ac:dyDescent="0.25">
      <c r="A1565" t="s">
        <v>13243</v>
      </c>
      <c r="B1565" t="s">
        <v>9303</v>
      </c>
    </row>
    <row r="1566" spans="1:2" x14ac:dyDescent="0.25">
      <c r="A1566" t="s">
        <v>7383</v>
      </c>
      <c r="B1566" t="s">
        <v>2263</v>
      </c>
    </row>
    <row r="1567" spans="1:2" x14ac:dyDescent="0.25">
      <c r="A1567" t="s">
        <v>495</v>
      </c>
      <c r="B1567" t="s">
        <v>7383</v>
      </c>
    </row>
    <row r="1568" spans="1:2" x14ac:dyDescent="0.25">
      <c r="A1568" t="s">
        <v>7982</v>
      </c>
      <c r="B1568" t="s">
        <v>7383</v>
      </c>
    </row>
    <row r="1569" spans="1:2" x14ac:dyDescent="0.25">
      <c r="A1569" t="s">
        <v>5832</v>
      </c>
      <c r="B1569" t="s">
        <v>7982</v>
      </c>
    </row>
    <row r="1570" spans="1:2" x14ac:dyDescent="0.25">
      <c r="A1570" t="s">
        <v>4069</v>
      </c>
      <c r="B1570" t="s">
        <v>7982</v>
      </c>
    </row>
    <row r="1571" spans="1:2" x14ac:dyDescent="0.25">
      <c r="A1571" t="s">
        <v>2268</v>
      </c>
      <c r="B1571" t="s">
        <v>7383</v>
      </c>
    </row>
    <row r="1572" spans="1:2" x14ac:dyDescent="0.25">
      <c r="A1572" t="s">
        <v>10063</v>
      </c>
      <c r="B1572" t="s">
        <v>2268</v>
      </c>
    </row>
    <row r="1573" spans="1:2" x14ac:dyDescent="0.25">
      <c r="A1573" t="s">
        <v>10065</v>
      </c>
      <c r="B1573" t="s">
        <v>2268</v>
      </c>
    </row>
    <row r="1574" spans="1:2" x14ac:dyDescent="0.25">
      <c r="A1574" t="s">
        <v>10067</v>
      </c>
      <c r="B1574" t="s">
        <v>2268</v>
      </c>
    </row>
    <row r="1575" spans="1:2" x14ac:dyDescent="0.25">
      <c r="A1575" t="s">
        <v>10068</v>
      </c>
      <c r="B1575" t="s">
        <v>2268</v>
      </c>
    </row>
    <row r="1576" spans="1:2" x14ac:dyDescent="0.25">
      <c r="A1576" t="s">
        <v>10070</v>
      </c>
      <c r="B1576" t="s">
        <v>2268</v>
      </c>
    </row>
    <row r="1577" spans="1:2" x14ac:dyDescent="0.25">
      <c r="A1577" t="s">
        <v>10072</v>
      </c>
      <c r="B1577" t="s">
        <v>2268</v>
      </c>
    </row>
    <row r="1578" spans="1:2" x14ac:dyDescent="0.25">
      <c r="A1578" t="s">
        <v>10073</v>
      </c>
      <c r="B1578" t="s">
        <v>2268</v>
      </c>
    </row>
    <row r="1579" spans="1:2" x14ac:dyDescent="0.25">
      <c r="A1579" t="s">
        <v>10075</v>
      </c>
      <c r="B1579" t="s">
        <v>2268</v>
      </c>
    </row>
    <row r="1580" spans="1:2" x14ac:dyDescent="0.25">
      <c r="A1580" t="s">
        <v>10076</v>
      </c>
      <c r="B1580" t="s">
        <v>2268</v>
      </c>
    </row>
    <row r="1581" spans="1:2" x14ac:dyDescent="0.25">
      <c r="A1581" t="s">
        <v>10077</v>
      </c>
      <c r="B1581" t="s">
        <v>2268</v>
      </c>
    </row>
    <row r="1582" spans="1:2" x14ac:dyDescent="0.25">
      <c r="A1582" t="s">
        <v>10078</v>
      </c>
      <c r="B1582" t="s">
        <v>2268</v>
      </c>
    </row>
    <row r="1583" spans="1:2" x14ac:dyDescent="0.25">
      <c r="A1583" t="s">
        <v>10080</v>
      </c>
      <c r="B1583" t="s">
        <v>2268</v>
      </c>
    </row>
    <row r="1584" spans="1:2" x14ac:dyDescent="0.25">
      <c r="A1584" t="s">
        <v>10081</v>
      </c>
      <c r="B1584" t="s">
        <v>2268</v>
      </c>
    </row>
    <row r="1585" spans="1:2" x14ac:dyDescent="0.25">
      <c r="A1585" t="s">
        <v>10083</v>
      </c>
      <c r="B1585" t="s">
        <v>2268</v>
      </c>
    </row>
    <row r="1586" spans="1:2" x14ac:dyDescent="0.25">
      <c r="A1586" t="s">
        <v>10084</v>
      </c>
      <c r="B1586" t="s">
        <v>2268</v>
      </c>
    </row>
    <row r="1587" spans="1:2" x14ac:dyDescent="0.25">
      <c r="A1587" t="s">
        <v>10085</v>
      </c>
      <c r="B1587" t="s">
        <v>2268</v>
      </c>
    </row>
    <row r="1588" spans="1:2" x14ac:dyDescent="0.25">
      <c r="A1588" t="s">
        <v>10086</v>
      </c>
      <c r="B1588" t="s">
        <v>2268</v>
      </c>
    </row>
    <row r="1589" spans="1:2" x14ac:dyDescent="0.25">
      <c r="A1589" t="s">
        <v>10088</v>
      </c>
      <c r="B1589" t="s">
        <v>2268</v>
      </c>
    </row>
    <row r="1590" spans="1:2" x14ac:dyDescent="0.25">
      <c r="A1590" t="s">
        <v>10090</v>
      </c>
      <c r="B1590" t="s">
        <v>2268</v>
      </c>
    </row>
    <row r="1591" spans="1:2" x14ac:dyDescent="0.25">
      <c r="A1591" t="s">
        <v>10092</v>
      </c>
      <c r="B1591" t="s">
        <v>2268</v>
      </c>
    </row>
    <row r="1592" spans="1:2" x14ac:dyDescent="0.25">
      <c r="A1592" t="s">
        <v>10093</v>
      </c>
      <c r="B1592" t="s">
        <v>2268</v>
      </c>
    </row>
    <row r="1593" spans="1:2" x14ac:dyDescent="0.25">
      <c r="A1593" t="s">
        <v>10094</v>
      </c>
      <c r="B1593" t="s">
        <v>2268</v>
      </c>
    </row>
    <row r="1594" spans="1:2" x14ac:dyDescent="0.25">
      <c r="A1594" t="s">
        <v>10096</v>
      </c>
      <c r="B1594" t="s">
        <v>2268</v>
      </c>
    </row>
    <row r="1595" spans="1:2" x14ac:dyDescent="0.25">
      <c r="A1595" t="s">
        <v>10097</v>
      </c>
      <c r="B1595" t="s">
        <v>2268</v>
      </c>
    </row>
    <row r="1596" spans="1:2" x14ac:dyDescent="0.25">
      <c r="A1596" t="s">
        <v>10098</v>
      </c>
      <c r="B1596" t="s">
        <v>2268</v>
      </c>
    </row>
    <row r="1597" spans="1:2" x14ac:dyDescent="0.25">
      <c r="A1597" t="s">
        <v>10099</v>
      </c>
      <c r="B1597" t="s">
        <v>2268</v>
      </c>
    </row>
    <row r="1598" spans="1:2" x14ac:dyDescent="0.25">
      <c r="A1598" t="s">
        <v>10100</v>
      </c>
      <c r="B1598" t="s">
        <v>2268</v>
      </c>
    </row>
    <row r="1599" spans="1:2" x14ac:dyDescent="0.25">
      <c r="A1599" t="s">
        <v>10102</v>
      </c>
      <c r="B1599" t="s">
        <v>2268</v>
      </c>
    </row>
    <row r="1600" spans="1:2" x14ac:dyDescent="0.25">
      <c r="A1600" t="s">
        <v>10104</v>
      </c>
      <c r="B1600" t="s">
        <v>2268</v>
      </c>
    </row>
    <row r="1601" spans="1:2" x14ac:dyDescent="0.25">
      <c r="A1601" t="s">
        <v>10105</v>
      </c>
      <c r="B1601" t="s">
        <v>2268</v>
      </c>
    </row>
    <row r="1602" spans="1:2" x14ac:dyDescent="0.25">
      <c r="A1602" t="s">
        <v>10108</v>
      </c>
      <c r="B1602" t="s">
        <v>2268</v>
      </c>
    </row>
    <row r="1603" spans="1:2" x14ac:dyDescent="0.25">
      <c r="A1603" t="s">
        <v>9225</v>
      </c>
      <c r="B1603" t="s">
        <v>2268</v>
      </c>
    </row>
    <row r="1604" spans="1:2" x14ac:dyDescent="0.25">
      <c r="A1604" t="s">
        <v>13470</v>
      </c>
      <c r="B1604" t="s">
        <v>7383</v>
      </c>
    </row>
    <row r="1605" spans="1:2" x14ac:dyDescent="0.25">
      <c r="A1605" t="s">
        <v>13841</v>
      </c>
      <c r="B1605" t="s">
        <v>7383</v>
      </c>
    </row>
    <row r="1606" spans="1:2" x14ac:dyDescent="0.25">
      <c r="A1606" t="s">
        <v>3565</v>
      </c>
      <c r="B1606" t="s">
        <v>3560</v>
      </c>
    </row>
    <row r="1607" spans="1:2" x14ac:dyDescent="0.25">
      <c r="A1607" t="s">
        <v>9304</v>
      </c>
      <c r="B1607" t="s">
        <v>3565</v>
      </c>
    </row>
    <row r="1608" spans="1:2" x14ac:dyDescent="0.25">
      <c r="A1608" t="s">
        <v>10222</v>
      </c>
      <c r="B1608" t="s">
        <v>9304</v>
      </c>
    </row>
    <row r="1609" spans="1:2" x14ac:dyDescent="0.25">
      <c r="A1609" t="s">
        <v>3122</v>
      </c>
      <c r="B1609" t="s">
        <v>9304</v>
      </c>
    </row>
    <row r="1610" spans="1:2" x14ac:dyDescent="0.25">
      <c r="A1610" t="s">
        <v>3566</v>
      </c>
      <c r="B1610" t="s">
        <v>9304</v>
      </c>
    </row>
    <row r="1611" spans="1:2" x14ac:dyDescent="0.25">
      <c r="A1611" t="s">
        <v>7384</v>
      </c>
      <c r="B1611" t="s">
        <v>3565</v>
      </c>
    </row>
    <row r="1612" spans="1:2" x14ac:dyDescent="0.25">
      <c r="A1612" t="s">
        <v>4066</v>
      </c>
      <c r="B1612" t="s">
        <v>7384</v>
      </c>
    </row>
    <row r="1613" spans="1:2" x14ac:dyDescent="0.25">
      <c r="A1613" t="s">
        <v>7991</v>
      </c>
      <c r="B1613" t="s">
        <v>7384</v>
      </c>
    </row>
    <row r="1614" spans="1:2" x14ac:dyDescent="0.25">
      <c r="A1614" t="s">
        <v>3569</v>
      </c>
      <c r="B1614" t="s">
        <v>7991</v>
      </c>
    </row>
    <row r="1615" spans="1:2" x14ac:dyDescent="0.25">
      <c r="A1615" t="s">
        <v>403</v>
      </c>
      <c r="B1615" t="s">
        <v>7991</v>
      </c>
    </row>
    <row r="1616" spans="1:2" x14ac:dyDescent="0.25">
      <c r="A1616" t="s">
        <v>13146</v>
      </c>
      <c r="B1616" t="s">
        <v>3560</v>
      </c>
    </row>
    <row r="1617" spans="1:2" x14ac:dyDescent="0.25">
      <c r="A1617" t="s">
        <v>13147</v>
      </c>
      <c r="B1617" t="s">
        <v>13146</v>
      </c>
    </row>
    <row r="1618" spans="1:2" x14ac:dyDescent="0.25">
      <c r="A1618" t="s">
        <v>13244</v>
      </c>
      <c r="B1618" t="s">
        <v>13147</v>
      </c>
    </row>
    <row r="1619" spans="1:2" x14ac:dyDescent="0.25">
      <c r="A1619" t="s">
        <v>13245</v>
      </c>
      <c r="B1619" t="s">
        <v>13146</v>
      </c>
    </row>
    <row r="1620" spans="1:2" x14ac:dyDescent="0.25">
      <c r="A1620" t="s">
        <v>13471</v>
      </c>
      <c r="B1620" t="s">
        <v>13245</v>
      </c>
    </row>
    <row r="1621" spans="1:2" x14ac:dyDescent="0.25">
      <c r="A1621" t="s">
        <v>13472</v>
      </c>
      <c r="B1621" t="s">
        <v>13245</v>
      </c>
    </row>
    <row r="1622" spans="1:2" x14ac:dyDescent="0.25">
      <c r="A1622" t="s">
        <v>13148</v>
      </c>
      <c r="B1622" t="s">
        <v>3560</v>
      </c>
    </row>
    <row r="1623" spans="1:2" x14ac:dyDescent="0.25">
      <c r="A1623" t="s">
        <v>13149</v>
      </c>
      <c r="B1623" t="s">
        <v>13148</v>
      </c>
    </row>
    <row r="1624" spans="1:2" x14ac:dyDescent="0.25">
      <c r="A1624" t="s">
        <v>13246</v>
      </c>
      <c r="B1624" t="s">
        <v>13149</v>
      </c>
    </row>
    <row r="1625" spans="1:2" x14ac:dyDescent="0.25">
      <c r="A1625" t="s">
        <v>13247</v>
      </c>
      <c r="B1625" t="s">
        <v>13149</v>
      </c>
    </row>
    <row r="1626" spans="1:2" x14ac:dyDescent="0.25">
      <c r="A1626" t="s">
        <v>13248</v>
      </c>
      <c r="B1626" t="s">
        <v>13149</v>
      </c>
    </row>
    <row r="1627" spans="1:2" x14ac:dyDescent="0.25">
      <c r="A1627" t="s">
        <v>13249</v>
      </c>
      <c r="B1627" t="s">
        <v>13149</v>
      </c>
    </row>
    <row r="1628" spans="1:2" x14ac:dyDescent="0.25">
      <c r="A1628" t="s">
        <v>13250</v>
      </c>
      <c r="B1628" t="s">
        <v>13149</v>
      </c>
    </row>
    <row r="1629" spans="1:2" x14ac:dyDescent="0.25">
      <c r="A1629" t="s">
        <v>13251</v>
      </c>
      <c r="B1629" t="s">
        <v>13149</v>
      </c>
    </row>
    <row r="1630" spans="1:2" x14ac:dyDescent="0.25">
      <c r="A1630" t="s">
        <v>13252</v>
      </c>
      <c r="B1630" t="s">
        <v>13149</v>
      </c>
    </row>
    <row r="1631" spans="1:2" x14ac:dyDescent="0.25">
      <c r="A1631" t="s">
        <v>13253</v>
      </c>
      <c r="B1631" t="s">
        <v>13149</v>
      </c>
    </row>
    <row r="1632" spans="1:2" x14ac:dyDescent="0.25">
      <c r="A1632" t="s">
        <v>13254</v>
      </c>
      <c r="B1632" t="s">
        <v>13149</v>
      </c>
    </row>
    <row r="1633" spans="1:2" x14ac:dyDescent="0.25">
      <c r="A1633" t="s">
        <v>13256</v>
      </c>
      <c r="B1633" t="s">
        <v>13149</v>
      </c>
    </row>
    <row r="1634" spans="1:2" x14ac:dyDescent="0.25">
      <c r="A1634" t="s">
        <v>13892</v>
      </c>
      <c r="B1634" t="s">
        <v>13149</v>
      </c>
    </row>
    <row r="1635" spans="1:2" x14ac:dyDescent="0.25">
      <c r="A1635" t="s">
        <v>15355</v>
      </c>
      <c r="B1635" t="s">
        <v>13149</v>
      </c>
    </row>
    <row r="1636" spans="1:2" x14ac:dyDescent="0.25">
      <c r="A1636" t="s">
        <v>13255</v>
      </c>
      <c r="B1636" t="s">
        <v>13148</v>
      </c>
    </row>
    <row r="1637" spans="1:2" x14ac:dyDescent="0.25">
      <c r="A1637" t="s">
        <v>13473</v>
      </c>
      <c r="B1637" t="s">
        <v>13255</v>
      </c>
    </row>
    <row r="1638" spans="1:2" x14ac:dyDescent="0.25">
      <c r="A1638" t="s">
        <v>13474</v>
      </c>
      <c r="B1638" t="s">
        <v>13255</v>
      </c>
    </row>
    <row r="1639" spans="1:2" x14ac:dyDescent="0.25">
      <c r="A1639" t="s">
        <v>13150</v>
      </c>
      <c r="B1639" t="s">
        <v>3560</v>
      </c>
    </row>
    <row r="1640" spans="1:2" x14ac:dyDescent="0.25">
      <c r="A1640" t="s">
        <v>13151</v>
      </c>
      <c r="B1640" t="s">
        <v>13150</v>
      </c>
    </row>
    <row r="1641" spans="1:2" x14ac:dyDescent="0.25">
      <c r="A1641" t="s">
        <v>13257</v>
      </c>
      <c r="B1641" t="s">
        <v>13151</v>
      </c>
    </row>
    <row r="1642" spans="1:2" x14ac:dyDescent="0.25">
      <c r="A1642" t="s">
        <v>13258</v>
      </c>
      <c r="B1642" t="s">
        <v>13151</v>
      </c>
    </row>
    <row r="1643" spans="1:2" x14ac:dyDescent="0.25">
      <c r="A1643" t="s">
        <v>13259</v>
      </c>
      <c r="B1643" t="s">
        <v>13151</v>
      </c>
    </row>
    <row r="1644" spans="1:2" x14ac:dyDescent="0.25">
      <c r="A1644" t="s">
        <v>13260</v>
      </c>
      <c r="B1644" t="s">
        <v>13151</v>
      </c>
    </row>
    <row r="1645" spans="1:2" x14ac:dyDescent="0.25">
      <c r="A1645" t="s">
        <v>13261</v>
      </c>
      <c r="B1645" t="s">
        <v>13151</v>
      </c>
    </row>
    <row r="1646" spans="1:2" x14ac:dyDescent="0.25">
      <c r="A1646" t="s">
        <v>13262</v>
      </c>
      <c r="B1646" t="s">
        <v>13151</v>
      </c>
    </row>
    <row r="1647" spans="1:2" x14ac:dyDescent="0.25">
      <c r="A1647" t="s">
        <v>13263</v>
      </c>
      <c r="B1647" t="s">
        <v>13151</v>
      </c>
    </row>
    <row r="1648" spans="1:2" x14ac:dyDescent="0.25">
      <c r="A1648" t="s">
        <v>13264</v>
      </c>
      <c r="B1648" t="s">
        <v>13151</v>
      </c>
    </row>
    <row r="1649" spans="1:2" x14ac:dyDescent="0.25">
      <c r="A1649" t="s">
        <v>13265</v>
      </c>
      <c r="B1649" t="s">
        <v>13151</v>
      </c>
    </row>
    <row r="1650" spans="1:2" x14ac:dyDescent="0.25">
      <c r="A1650" t="s">
        <v>13593</v>
      </c>
      <c r="B1650" t="s">
        <v>13151</v>
      </c>
    </row>
    <row r="1651" spans="1:2" x14ac:dyDescent="0.25">
      <c r="A1651" t="s">
        <v>13813</v>
      </c>
      <c r="B1651" t="s">
        <v>13151</v>
      </c>
    </row>
    <row r="1652" spans="1:2" x14ac:dyDescent="0.25">
      <c r="A1652" t="s">
        <v>13266</v>
      </c>
      <c r="B1652" t="s">
        <v>13150</v>
      </c>
    </row>
    <row r="1653" spans="1:2" x14ac:dyDescent="0.25">
      <c r="A1653" t="s">
        <v>13475</v>
      </c>
      <c r="B1653" t="s">
        <v>13266</v>
      </c>
    </row>
    <row r="1654" spans="1:2" x14ac:dyDescent="0.25">
      <c r="A1654" t="s">
        <v>13476</v>
      </c>
      <c r="B1654" t="s">
        <v>13266</v>
      </c>
    </row>
    <row r="1655" spans="1:2" x14ac:dyDescent="0.25">
      <c r="A1655" t="s">
        <v>13152</v>
      </c>
      <c r="B1655" t="s">
        <v>3560</v>
      </c>
    </row>
    <row r="1656" spans="1:2" x14ac:dyDescent="0.25">
      <c r="A1656" t="s">
        <v>13153</v>
      </c>
      <c r="B1656" t="s">
        <v>13152</v>
      </c>
    </row>
    <row r="1657" spans="1:2" x14ac:dyDescent="0.25">
      <c r="A1657" t="s">
        <v>13267</v>
      </c>
      <c r="B1657" t="s">
        <v>13153</v>
      </c>
    </row>
    <row r="1658" spans="1:2" x14ac:dyDescent="0.25">
      <c r="A1658" t="s">
        <v>13268</v>
      </c>
      <c r="B1658" t="s">
        <v>13153</v>
      </c>
    </row>
    <row r="1659" spans="1:2" x14ac:dyDescent="0.25">
      <c r="A1659" t="s">
        <v>13269</v>
      </c>
      <c r="B1659" t="s">
        <v>13153</v>
      </c>
    </row>
    <row r="1660" spans="1:2" x14ac:dyDescent="0.25">
      <c r="A1660" t="s">
        <v>13594</v>
      </c>
      <c r="B1660" t="s">
        <v>13153</v>
      </c>
    </row>
    <row r="1661" spans="1:2" x14ac:dyDescent="0.25">
      <c r="A1661" t="s">
        <v>13656</v>
      </c>
      <c r="B1661" t="s">
        <v>13153</v>
      </c>
    </row>
    <row r="1662" spans="1:2" x14ac:dyDescent="0.25">
      <c r="A1662" t="s">
        <v>13657</v>
      </c>
      <c r="B1662" t="s">
        <v>13656</v>
      </c>
    </row>
    <row r="1663" spans="1:2" x14ac:dyDescent="0.25">
      <c r="A1663" t="s">
        <v>13658</v>
      </c>
      <c r="B1663" t="s">
        <v>13656</v>
      </c>
    </row>
    <row r="1664" spans="1:2" x14ac:dyDescent="0.25">
      <c r="A1664" t="s">
        <v>13659</v>
      </c>
      <c r="B1664" t="s">
        <v>13656</v>
      </c>
    </row>
    <row r="1665" spans="1:2" x14ac:dyDescent="0.25">
      <c r="A1665" t="s">
        <v>13660</v>
      </c>
      <c r="B1665" t="s">
        <v>13656</v>
      </c>
    </row>
    <row r="1666" spans="1:2" x14ac:dyDescent="0.25">
      <c r="A1666" t="s">
        <v>13661</v>
      </c>
      <c r="B1666" t="s">
        <v>13656</v>
      </c>
    </row>
    <row r="1667" spans="1:2" x14ac:dyDescent="0.25">
      <c r="A1667" t="s">
        <v>13662</v>
      </c>
      <c r="B1667" t="s">
        <v>13656</v>
      </c>
    </row>
    <row r="1668" spans="1:2" x14ac:dyDescent="0.25">
      <c r="A1668" t="s">
        <v>13663</v>
      </c>
      <c r="B1668" t="s">
        <v>13656</v>
      </c>
    </row>
    <row r="1669" spans="1:2" x14ac:dyDescent="0.25">
      <c r="A1669" t="s">
        <v>13664</v>
      </c>
      <c r="B1669" t="s">
        <v>13656</v>
      </c>
    </row>
    <row r="1670" spans="1:2" x14ac:dyDescent="0.25">
      <c r="A1670" t="s">
        <v>13665</v>
      </c>
      <c r="B1670" t="s">
        <v>13656</v>
      </c>
    </row>
    <row r="1671" spans="1:2" x14ac:dyDescent="0.25">
      <c r="A1671" t="s">
        <v>13666</v>
      </c>
      <c r="B1671" t="s">
        <v>13656</v>
      </c>
    </row>
    <row r="1672" spans="1:2" x14ac:dyDescent="0.25">
      <c r="A1672" t="s">
        <v>13667</v>
      </c>
      <c r="B1672" t="s">
        <v>13656</v>
      </c>
    </row>
    <row r="1673" spans="1:2" x14ac:dyDescent="0.25">
      <c r="A1673" t="s">
        <v>13668</v>
      </c>
      <c r="B1673" t="s">
        <v>13153</v>
      </c>
    </row>
    <row r="1674" spans="1:2" x14ac:dyDescent="0.25">
      <c r="A1674" t="s">
        <v>13669</v>
      </c>
      <c r="B1674" t="s">
        <v>13668</v>
      </c>
    </row>
    <row r="1675" spans="1:2" x14ac:dyDescent="0.25">
      <c r="A1675" t="s">
        <v>13670</v>
      </c>
      <c r="B1675" t="s">
        <v>13668</v>
      </c>
    </row>
    <row r="1676" spans="1:2" x14ac:dyDescent="0.25">
      <c r="A1676" t="s">
        <v>13671</v>
      </c>
      <c r="B1676" t="s">
        <v>13153</v>
      </c>
    </row>
    <row r="1677" spans="1:2" x14ac:dyDescent="0.25">
      <c r="A1677" t="s">
        <v>13672</v>
      </c>
      <c r="B1677" t="s">
        <v>13671</v>
      </c>
    </row>
    <row r="1678" spans="1:2" x14ac:dyDescent="0.25">
      <c r="A1678" t="s">
        <v>13673</v>
      </c>
      <c r="B1678" t="s">
        <v>13671</v>
      </c>
    </row>
    <row r="1679" spans="1:2" x14ac:dyDescent="0.25">
      <c r="A1679" t="s">
        <v>13674</v>
      </c>
      <c r="B1679" t="s">
        <v>13671</v>
      </c>
    </row>
    <row r="1680" spans="1:2" x14ac:dyDescent="0.25">
      <c r="A1680" t="s">
        <v>13675</v>
      </c>
      <c r="B1680" t="s">
        <v>13153</v>
      </c>
    </row>
    <row r="1681" spans="1:2" x14ac:dyDescent="0.25">
      <c r="A1681" t="s">
        <v>13676</v>
      </c>
      <c r="B1681" t="s">
        <v>13675</v>
      </c>
    </row>
    <row r="1682" spans="1:2" x14ac:dyDescent="0.25">
      <c r="A1682" t="s">
        <v>13677</v>
      </c>
      <c r="B1682" t="s">
        <v>13675</v>
      </c>
    </row>
    <row r="1683" spans="1:2" x14ac:dyDescent="0.25">
      <c r="A1683" t="s">
        <v>13678</v>
      </c>
      <c r="B1683" t="s">
        <v>13675</v>
      </c>
    </row>
    <row r="1684" spans="1:2" x14ac:dyDescent="0.25">
      <c r="A1684" t="s">
        <v>13679</v>
      </c>
      <c r="B1684" t="s">
        <v>13675</v>
      </c>
    </row>
    <row r="1685" spans="1:2" x14ac:dyDescent="0.25">
      <c r="A1685" t="s">
        <v>13680</v>
      </c>
      <c r="B1685" t="s">
        <v>13675</v>
      </c>
    </row>
    <row r="1686" spans="1:2" x14ac:dyDescent="0.25">
      <c r="A1686" t="s">
        <v>13681</v>
      </c>
      <c r="B1686" t="s">
        <v>13675</v>
      </c>
    </row>
    <row r="1687" spans="1:2" x14ac:dyDescent="0.25">
      <c r="A1687" t="s">
        <v>13682</v>
      </c>
      <c r="B1687" t="s">
        <v>13675</v>
      </c>
    </row>
    <row r="1688" spans="1:2" x14ac:dyDescent="0.25">
      <c r="A1688" t="s">
        <v>13683</v>
      </c>
      <c r="B1688" t="s">
        <v>13153</v>
      </c>
    </row>
    <row r="1689" spans="1:2" x14ac:dyDescent="0.25">
      <c r="A1689" t="s">
        <v>13684</v>
      </c>
      <c r="B1689" t="s">
        <v>13683</v>
      </c>
    </row>
    <row r="1690" spans="1:2" x14ac:dyDescent="0.25">
      <c r="A1690" t="s">
        <v>13685</v>
      </c>
      <c r="B1690" t="s">
        <v>13683</v>
      </c>
    </row>
    <row r="1691" spans="1:2" x14ac:dyDescent="0.25">
      <c r="A1691" t="s">
        <v>13686</v>
      </c>
      <c r="B1691" t="s">
        <v>13683</v>
      </c>
    </row>
    <row r="1692" spans="1:2" x14ac:dyDescent="0.25">
      <c r="A1692" t="s">
        <v>13687</v>
      </c>
      <c r="B1692" t="s">
        <v>13683</v>
      </c>
    </row>
    <row r="1693" spans="1:2" x14ac:dyDescent="0.25">
      <c r="A1693" t="s">
        <v>13688</v>
      </c>
      <c r="B1693" t="s">
        <v>13683</v>
      </c>
    </row>
    <row r="1694" spans="1:2" x14ac:dyDescent="0.25">
      <c r="A1694" t="s">
        <v>13689</v>
      </c>
      <c r="B1694" t="s">
        <v>13683</v>
      </c>
    </row>
    <row r="1695" spans="1:2" x14ac:dyDescent="0.25">
      <c r="A1695" t="s">
        <v>13690</v>
      </c>
      <c r="B1695" t="s">
        <v>13683</v>
      </c>
    </row>
    <row r="1696" spans="1:2" x14ac:dyDescent="0.25">
      <c r="A1696" t="s">
        <v>13879</v>
      </c>
      <c r="B1696" t="s">
        <v>13153</v>
      </c>
    </row>
    <row r="1697" spans="1:2" x14ac:dyDescent="0.25">
      <c r="A1697" t="s">
        <v>14732</v>
      </c>
      <c r="B1697" t="s">
        <v>13153</v>
      </c>
    </row>
    <row r="1698" spans="1:2" x14ac:dyDescent="0.25">
      <c r="A1698" t="s">
        <v>13270</v>
      </c>
      <c r="B1698" t="s">
        <v>13152</v>
      </c>
    </row>
    <row r="1699" spans="1:2" x14ac:dyDescent="0.25">
      <c r="A1699" t="s">
        <v>13477</v>
      </c>
      <c r="B1699" t="s">
        <v>13270</v>
      </c>
    </row>
    <row r="1700" spans="1:2" x14ac:dyDescent="0.25">
      <c r="A1700" t="s">
        <v>13478</v>
      </c>
      <c r="B1700" t="s">
        <v>13270</v>
      </c>
    </row>
    <row r="1701" spans="1:2" x14ac:dyDescent="0.25">
      <c r="A1701" t="s">
        <v>13154</v>
      </c>
      <c r="B1701" t="s">
        <v>3560</v>
      </c>
    </row>
    <row r="1702" spans="1:2" x14ac:dyDescent="0.25">
      <c r="A1702" t="s">
        <v>13155</v>
      </c>
      <c r="B1702" t="s">
        <v>13154</v>
      </c>
    </row>
    <row r="1703" spans="1:2" x14ac:dyDescent="0.25">
      <c r="A1703" t="s">
        <v>13489</v>
      </c>
      <c r="B1703" t="s">
        <v>13155</v>
      </c>
    </row>
    <row r="1704" spans="1:2" x14ac:dyDescent="0.25">
      <c r="A1704" t="s">
        <v>13271</v>
      </c>
      <c r="B1704" t="s">
        <v>13155</v>
      </c>
    </row>
    <row r="1705" spans="1:2" x14ac:dyDescent="0.25">
      <c r="A1705" t="s">
        <v>13272</v>
      </c>
      <c r="B1705" t="s">
        <v>13155</v>
      </c>
    </row>
    <row r="1706" spans="1:2" x14ac:dyDescent="0.25">
      <c r="A1706" t="s">
        <v>13595</v>
      </c>
      <c r="B1706" t="s">
        <v>13155</v>
      </c>
    </row>
    <row r="1707" spans="1:2" x14ac:dyDescent="0.25">
      <c r="A1707" t="s">
        <v>13649</v>
      </c>
      <c r="B1707" t="s">
        <v>13155</v>
      </c>
    </row>
    <row r="1708" spans="1:2" x14ac:dyDescent="0.25">
      <c r="A1708" t="s">
        <v>13691</v>
      </c>
      <c r="B1708" t="s">
        <v>13155</v>
      </c>
    </row>
    <row r="1709" spans="1:2" x14ac:dyDescent="0.25">
      <c r="A1709" t="s">
        <v>13692</v>
      </c>
      <c r="B1709" t="s">
        <v>13691</v>
      </c>
    </row>
    <row r="1710" spans="1:2" x14ac:dyDescent="0.25">
      <c r="A1710" t="s">
        <v>13693</v>
      </c>
      <c r="B1710" t="s">
        <v>13691</v>
      </c>
    </row>
    <row r="1711" spans="1:2" x14ac:dyDescent="0.25">
      <c r="A1711" t="s">
        <v>13694</v>
      </c>
      <c r="B1711" t="s">
        <v>13691</v>
      </c>
    </row>
    <row r="1712" spans="1:2" x14ac:dyDescent="0.25">
      <c r="A1712" t="s">
        <v>13695</v>
      </c>
      <c r="B1712" t="s">
        <v>13691</v>
      </c>
    </row>
    <row r="1713" spans="1:2" x14ac:dyDescent="0.25">
      <c r="A1713" t="s">
        <v>13696</v>
      </c>
      <c r="B1713" t="s">
        <v>13691</v>
      </c>
    </row>
    <row r="1714" spans="1:2" x14ac:dyDescent="0.25">
      <c r="A1714" t="s">
        <v>13697</v>
      </c>
      <c r="B1714" t="s">
        <v>13691</v>
      </c>
    </row>
    <row r="1715" spans="1:2" x14ac:dyDescent="0.25">
      <c r="A1715" t="s">
        <v>13698</v>
      </c>
      <c r="B1715" t="s">
        <v>13691</v>
      </c>
    </row>
    <row r="1716" spans="1:2" x14ac:dyDescent="0.25">
      <c r="A1716" t="s">
        <v>13699</v>
      </c>
      <c r="B1716" t="s">
        <v>13691</v>
      </c>
    </row>
    <row r="1717" spans="1:2" x14ac:dyDescent="0.25">
      <c r="A1717" t="s">
        <v>13700</v>
      </c>
      <c r="B1717" t="s">
        <v>13691</v>
      </c>
    </row>
    <row r="1718" spans="1:2" x14ac:dyDescent="0.25">
      <c r="A1718" t="s">
        <v>13701</v>
      </c>
      <c r="B1718" t="s">
        <v>13691</v>
      </c>
    </row>
    <row r="1719" spans="1:2" x14ac:dyDescent="0.25">
      <c r="A1719" t="s">
        <v>13702</v>
      </c>
      <c r="B1719" t="s">
        <v>13691</v>
      </c>
    </row>
    <row r="1720" spans="1:2" x14ac:dyDescent="0.25">
      <c r="A1720" t="s">
        <v>13703</v>
      </c>
      <c r="B1720" t="s">
        <v>13155</v>
      </c>
    </row>
    <row r="1721" spans="1:2" x14ac:dyDescent="0.25">
      <c r="A1721" t="s">
        <v>13704</v>
      </c>
      <c r="B1721" t="s">
        <v>13703</v>
      </c>
    </row>
    <row r="1722" spans="1:2" x14ac:dyDescent="0.25">
      <c r="A1722" t="s">
        <v>13705</v>
      </c>
      <c r="B1722" t="s">
        <v>13703</v>
      </c>
    </row>
    <row r="1723" spans="1:2" x14ac:dyDescent="0.25">
      <c r="A1723" t="s">
        <v>13706</v>
      </c>
      <c r="B1723" t="s">
        <v>13155</v>
      </c>
    </row>
    <row r="1724" spans="1:2" x14ac:dyDescent="0.25">
      <c r="A1724" t="s">
        <v>13707</v>
      </c>
      <c r="B1724" t="s">
        <v>13706</v>
      </c>
    </row>
    <row r="1725" spans="1:2" x14ac:dyDescent="0.25">
      <c r="A1725" t="s">
        <v>13708</v>
      </c>
      <c r="B1725" t="s">
        <v>13706</v>
      </c>
    </row>
    <row r="1726" spans="1:2" x14ac:dyDescent="0.25">
      <c r="A1726" t="s">
        <v>13709</v>
      </c>
      <c r="B1726" t="s">
        <v>13706</v>
      </c>
    </row>
    <row r="1727" spans="1:2" x14ac:dyDescent="0.25">
      <c r="A1727" t="s">
        <v>13710</v>
      </c>
      <c r="B1727" t="s">
        <v>13155</v>
      </c>
    </row>
    <row r="1728" spans="1:2" x14ac:dyDescent="0.25">
      <c r="A1728" t="s">
        <v>13711</v>
      </c>
      <c r="B1728" t="s">
        <v>13710</v>
      </c>
    </row>
    <row r="1729" spans="1:2" x14ac:dyDescent="0.25">
      <c r="A1729" t="s">
        <v>13712</v>
      </c>
      <c r="B1729" t="s">
        <v>13710</v>
      </c>
    </row>
    <row r="1730" spans="1:2" x14ac:dyDescent="0.25">
      <c r="A1730" t="s">
        <v>13713</v>
      </c>
      <c r="B1730" t="s">
        <v>13710</v>
      </c>
    </row>
    <row r="1731" spans="1:2" x14ac:dyDescent="0.25">
      <c r="A1731" t="s">
        <v>13714</v>
      </c>
      <c r="B1731" t="s">
        <v>13710</v>
      </c>
    </row>
    <row r="1732" spans="1:2" x14ac:dyDescent="0.25">
      <c r="A1732" t="s">
        <v>13715</v>
      </c>
      <c r="B1732" t="s">
        <v>13710</v>
      </c>
    </row>
    <row r="1733" spans="1:2" x14ac:dyDescent="0.25">
      <c r="A1733" t="s">
        <v>13716</v>
      </c>
      <c r="B1733" t="s">
        <v>13710</v>
      </c>
    </row>
    <row r="1734" spans="1:2" x14ac:dyDescent="0.25">
      <c r="A1734" t="s">
        <v>13717</v>
      </c>
      <c r="B1734" t="s">
        <v>13710</v>
      </c>
    </row>
    <row r="1735" spans="1:2" x14ac:dyDescent="0.25">
      <c r="A1735" t="s">
        <v>13718</v>
      </c>
      <c r="B1735" t="s">
        <v>13155</v>
      </c>
    </row>
    <row r="1736" spans="1:2" x14ac:dyDescent="0.25">
      <c r="A1736" t="s">
        <v>13719</v>
      </c>
      <c r="B1736" t="s">
        <v>13718</v>
      </c>
    </row>
    <row r="1737" spans="1:2" x14ac:dyDescent="0.25">
      <c r="A1737" t="s">
        <v>13720</v>
      </c>
      <c r="B1737" t="s">
        <v>13718</v>
      </c>
    </row>
    <row r="1738" spans="1:2" x14ac:dyDescent="0.25">
      <c r="A1738" t="s">
        <v>13721</v>
      </c>
      <c r="B1738" t="s">
        <v>13718</v>
      </c>
    </row>
    <row r="1739" spans="1:2" x14ac:dyDescent="0.25">
      <c r="A1739" t="s">
        <v>13722</v>
      </c>
      <c r="B1739" t="s">
        <v>13718</v>
      </c>
    </row>
    <row r="1740" spans="1:2" x14ac:dyDescent="0.25">
      <c r="A1740" t="s">
        <v>13723</v>
      </c>
      <c r="B1740" t="s">
        <v>13718</v>
      </c>
    </row>
    <row r="1741" spans="1:2" x14ac:dyDescent="0.25">
      <c r="A1741" t="s">
        <v>13724</v>
      </c>
      <c r="B1741" t="s">
        <v>13718</v>
      </c>
    </row>
    <row r="1742" spans="1:2" x14ac:dyDescent="0.25">
      <c r="A1742" t="s">
        <v>13725</v>
      </c>
      <c r="B1742" t="s">
        <v>13718</v>
      </c>
    </row>
    <row r="1743" spans="1:2" x14ac:dyDescent="0.25">
      <c r="A1743" t="s">
        <v>13273</v>
      </c>
      <c r="B1743" t="s">
        <v>13154</v>
      </c>
    </row>
    <row r="1744" spans="1:2" x14ac:dyDescent="0.25">
      <c r="A1744" t="s">
        <v>13479</v>
      </c>
      <c r="B1744" t="s">
        <v>13273</v>
      </c>
    </row>
    <row r="1745" spans="1:2" x14ac:dyDescent="0.25">
      <c r="A1745" t="s">
        <v>13480</v>
      </c>
      <c r="B1745" t="s">
        <v>13273</v>
      </c>
    </row>
    <row r="1746" spans="1:2" x14ac:dyDescent="0.25">
      <c r="A1746" t="s">
        <v>13156</v>
      </c>
      <c r="B1746" t="s">
        <v>3560</v>
      </c>
    </row>
    <row r="1747" spans="1:2" x14ac:dyDescent="0.25">
      <c r="A1747" t="s">
        <v>13157</v>
      </c>
      <c r="B1747" t="s">
        <v>13156</v>
      </c>
    </row>
    <row r="1748" spans="1:2" x14ac:dyDescent="0.25">
      <c r="A1748" t="s">
        <v>13274</v>
      </c>
      <c r="B1748" t="s">
        <v>13157</v>
      </c>
    </row>
    <row r="1749" spans="1:2" x14ac:dyDescent="0.25">
      <c r="A1749" t="s">
        <v>13275</v>
      </c>
      <c r="B1749" t="s">
        <v>13157</v>
      </c>
    </row>
    <row r="1750" spans="1:2" x14ac:dyDescent="0.25">
      <c r="A1750" t="s">
        <v>13276</v>
      </c>
      <c r="B1750" t="s">
        <v>13157</v>
      </c>
    </row>
    <row r="1751" spans="1:2" x14ac:dyDescent="0.25">
      <c r="A1751" t="s">
        <v>13277</v>
      </c>
      <c r="B1751" t="s">
        <v>13157</v>
      </c>
    </row>
    <row r="1752" spans="1:2" x14ac:dyDescent="0.25">
      <c r="A1752" t="s">
        <v>13278</v>
      </c>
      <c r="B1752" t="s">
        <v>13157</v>
      </c>
    </row>
    <row r="1753" spans="1:2" x14ac:dyDescent="0.25">
      <c r="A1753" t="s">
        <v>13279</v>
      </c>
      <c r="B1753" t="s">
        <v>13157</v>
      </c>
    </row>
    <row r="1754" spans="1:2" x14ac:dyDescent="0.25">
      <c r="A1754" t="s">
        <v>13280</v>
      </c>
      <c r="B1754" t="s">
        <v>13157</v>
      </c>
    </row>
    <row r="1755" spans="1:2" x14ac:dyDescent="0.25">
      <c r="A1755" t="s">
        <v>13281</v>
      </c>
      <c r="B1755" t="s">
        <v>13157</v>
      </c>
    </row>
    <row r="1756" spans="1:2" x14ac:dyDescent="0.25">
      <c r="A1756" t="s">
        <v>13282</v>
      </c>
      <c r="B1756" t="s">
        <v>13157</v>
      </c>
    </row>
    <row r="1757" spans="1:2" x14ac:dyDescent="0.25">
      <c r="A1757" t="s">
        <v>13283</v>
      </c>
      <c r="B1757" t="s">
        <v>13157</v>
      </c>
    </row>
    <row r="1758" spans="1:2" x14ac:dyDescent="0.25">
      <c r="A1758" t="s">
        <v>13814</v>
      </c>
      <c r="B1758" t="s">
        <v>13157</v>
      </c>
    </row>
    <row r="1759" spans="1:2" x14ac:dyDescent="0.25">
      <c r="A1759" t="s">
        <v>13284</v>
      </c>
      <c r="B1759" t="s">
        <v>13156</v>
      </c>
    </row>
    <row r="1760" spans="1:2" x14ac:dyDescent="0.25">
      <c r="A1760" t="s">
        <v>13481</v>
      </c>
      <c r="B1760" t="s">
        <v>13284</v>
      </c>
    </row>
    <row r="1761" spans="1:2" x14ac:dyDescent="0.25">
      <c r="A1761" t="s">
        <v>13482</v>
      </c>
      <c r="B1761" t="s">
        <v>13284</v>
      </c>
    </row>
    <row r="1762" spans="1:2" x14ac:dyDescent="0.25">
      <c r="A1762" t="s">
        <v>13158</v>
      </c>
      <c r="B1762" t="s">
        <v>3560</v>
      </c>
    </row>
    <row r="1763" spans="1:2" x14ac:dyDescent="0.25">
      <c r="A1763" t="s">
        <v>13159</v>
      </c>
      <c r="B1763" t="s">
        <v>13158</v>
      </c>
    </row>
    <row r="1764" spans="1:2" x14ac:dyDescent="0.25">
      <c r="A1764" t="s">
        <v>13285</v>
      </c>
      <c r="B1764" t="s">
        <v>13159</v>
      </c>
    </row>
    <row r="1765" spans="1:2" x14ac:dyDescent="0.25">
      <c r="A1765" t="s">
        <v>13286</v>
      </c>
      <c r="B1765" t="s">
        <v>13159</v>
      </c>
    </row>
    <row r="1766" spans="1:2" x14ac:dyDescent="0.25">
      <c r="A1766" t="s">
        <v>13287</v>
      </c>
      <c r="B1766" t="s">
        <v>13159</v>
      </c>
    </row>
    <row r="1767" spans="1:2" x14ac:dyDescent="0.25">
      <c r="A1767" t="s">
        <v>13288</v>
      </c>
      <c r="B1767" t="s">
        <v>13159</v>
      </c>
    </row>
    <row r="1768" spans="1:2" x14ac:dyDescent="0.25">
      <c r="A1768" t="s">
        <v>13289</v>
      </c>
      <c r="B1768" t="s">
        <v>13159</v>
      </c>
    </row>
    <row r="1769" spans="1:2" x14ac:dyDescent="0.25">
      <c r="A1769" t="s">
        <v>13290</v>
      </c>
      <c r="B1769" t="s">
        <v>13159</v>
      </c>
    </row>
    <row r="1770" spans="1:2" x14ac:dyDescent="0.25">
      <c r="A1770" t="s">
        <v>13291</v>
      </c>
      <c r="B1770" t="s">
        <v>13159</v>
      </c>
    </row>
    <row r="1771" spans="1:2" x14ac:dyDescent="0.25">
      <c r="A1771" t="s">
        <v>13292</v>
      </c>
      <c r="B1771" t="s">
        <v>13159</v>
      </c>
    </row>
    <row r="1772" spans="1:2" x14ac:dyDescent="0.25">
      <c r="A1772" t="s">
        <v>13293</v>
      </c>
      <c r="B1772" t="s">
        <v>13159</v>
      </c>
    </row>
    <row r="1773" spans="1:2" x14ac:dyDescent="0.25">
      <c r="A1773" t="s">
        <v>13294</v>
      </c>
      <c r="B1773" t="s">
        <v>13158</v>
      </c>
    </row>
    <row r="1774" spans="1:2" x14ac:dyDescent="0.25">
      <c r="A1774" t="s">
        <v>13483</v>
      </c>
      <c r="B1774" t="s">
        <v>13294</v>
      </c>
    </row>
    <row r="1775" spans="1:2" x14ac:dyDescent="0.25">
      <c r="A1775" t="s">
        <v>13484</v>
      </c>
      <c r="B1775" t="s">
        <v>13294</v>
      </c>
    </row>
    <row r="1776" spans="1:2" x14ac:dyDescent="0.25">
      <c r="A1776" t="s">
        <v>13160</v>
      </c>
      <c r="B1776" t="s">
        <v>3560</v>
      </c>
    </row>
    <row r="1777" spans="1:2" x14ac:dyDescent="0.25">
      <c r="A1777" t="s">
        <v>13161</v>
      </c>
      <c r="B1777" t="s">
        <v>13160</v>
      </c>
    </row>
    <row r="1778" spans="1:2" x14ac:dyDescent="0.25">
      <c r="A1778" t="s">
        <v>13295</v>
      </c>
      <c r="B1778" t="s">
        <v>13161</v>
      </c>
    </row>
    <row r="1779" spans="1:2" x14ac:dyDescent="0.25">
      <c r="A1779" t="s">
        <v>13296</v>
      </c>
      <c r="B1779" t="s">
        <v>13161</v>
      </c>
    </row>
    <row r="1780" spans="1:2" x14ac:dyDescent="0.25">
      <c r="A1780" t="s">
        <v>13297</v>
      </c>
      <c r="B1780" t="s">
        <v>13161</v>
      </c>
    </row>
    <row r="1781" spans="1:2" x14ac:dyDescent="0.25">
      <c r="A1781" t="s">
        <v>13298</v>
      </c>
      <c r="B1781" t="s">
        <v>13161</v>
      </c>
    </row>
    <row r="1782" spans="1:2" x14ac:dyDescent="0.25">
      <c r="A1782" t="s">
        <v>13299</v>
      </c>
      <c r="B1782" t="s">
        <v>13161</v>
      </c>
    </row>
    <row r="1783" spans="1:2" x14ac:dyDescent="0.25">
      <c r="A1783" t="s">
        <v>13650</v>
      </c>
      <c r="B1783" t="s">
        <v>13161</v>
      </c>
    </row>
    <row r="1784" spans="1:2" x14ac:dyDescent="0.25">
      <c r="A1784" t="s">
        <v>13300</v>
      </c>
      <c r="B1784" t="s">
        <v>13160</v>
      </c>
    </row>
    <row r="1785" spans="1:2" x14ac:dyDescent="0.25">
      <c r="A1785" t="s">
        <v>13485</v>
      </c>
      <c r="B1785" t="s">
        <v>13300</v>
      </c>
    </row>
    <row r="1786" spans="1:2" x14ac:dyDescent="0.25">
      <c r="A1786" t="s">
        <v>13486</v>
      </c>
      <c r="B1786" t="s">
        <v>13300</v>
      </c>
    </row>
    <row r="1787" spans="1:2" x14ac:dyDescent="0.25">
      <c r="A1787" t="s">
        <v>13897</v>
      </c>
      <c r="B1787" t="s">
        <v>3560</v>
      </c>
    </row>
    <row r="1788" spans="1:2" x14ac:dyDescent="0.25">
      <c r="A1788" t="s">
        <v>13929</v>
      </c>
      <c r="B1788" t="s">
        <v>13897</v>
      </c>
    </row>
    <row r="1789" spans="1:2" x14ac:dyDescent="0.25">
      <c r="A1789" t="s">
        <v>13899</v>
      </c>
      <c r="B1789" t="s">
        <v>13929</v>
      </c>
    </row>
    <row r="1790" spans="1:2" x14ac:dyDescent="0.25">
      <c r="A1790" t="s">
        <v>13898</v>
      </c>
      <c r="B1790" t="s">
        <v>13897</v>
      </c>
    </row>
    <row r="1791" spans="1:2" x14ac:dyDescent="0.25">
      <c r="A1791" t="s">
        <v>13868</v>
      </c>
      <c r="B1791" t="s">
        <v>13898</v>
      </c>
    </row>
    <row r="1792" spans="1:2" x14ac:dyDescent="0.25">
      <c r="A1792" t="s">
        <v>13906</v>
      </c>
      <c r="B1792" t="s">
        <v>13898</v>
      </c>
    </row>
    <row r="1793" spans="1:2" x14ac:dyDescent="0.25">
      <c r="A1793" t="s">
        <v>15356</v>
      </c>
      <c r="B1793" t="s">
        <v>3560</v>
      </c>
    </row>
    <row r="1794" spans="1:2" x14ac:dyDescent="0.25">
      <c r="A1794" t="s">
        <v>15357</v>
      </c>
      <c r="B1794" t="s">
        <v>15356</v>
      </c>
    </row>
    <row r="1795" spans="1:2" x14ac:dyDescent="0.25">
      <c r="A1795" t="s">
        <v>15358</v>
      </c>
      <c r="B1795" t="s">
        <v>15357</v>
      </c>
    </row>
    <row r="1796" spans="1:2" x14ac:dyDescent="0.25">
      <c r="A1796" t="s">
        <v>15359</v>
      </c>
      <c r="B1796" t="s">
        <v>15357</v>
      </c>
    </row>
    <row r="1797" spans="1:2" x14ac:dyDescent="0.25">
      <c r="A1797" t="s">
        <v>15360</v>
      </c>
      <c r="B1797" t="s">
        <v>15357</v>
      </c>
    </row>
    <row r="1798" spans="1:2" x14ac:dyDescent="0.25">
      <c r="A1798" t="s">
        <v>15361</v>
      </c>
      <c r="B1798" t="s">
        <v>15357</v>
      </c>
    </row>
    <row r="1799" spans="1:2" x14ac:dyDescent="0.25">
      <c r="A1799" t="s">
        <v>15362</v>
      </c>
      <c r="B1799" t="s">
        <v>15357</v>
      </c>
    </row>
    <row r="1800" spans="1:2" x14ac:dyDescent="0.25">
      <c r="A1800" t="s">
        <v>15363</v>
      </c>
      <c r="B1800" t="s">
        <v>15357</v>
      </c>
    </row>
    <row r="1801" spans="1:2" x14ac:dyDescent="0.25">
      <c r="A1801" t="s">
        <v>15364</v>
      </c>
      <c r="B1801" t="s">
        <v>15357</v>
      </c>
    </row>
    <row r="1802" spans="1:2" x14ac:dyDescent="0.25">
      <c r="A1802" t="s">
        <v>15365</v>
      </c>
      <c r="B1802" t="s">
        <v>15357</v>
      </c>
    </row>
    <row r="1803" spans="1:2" x14ac:dyDescent="0.25">
      <c r="A1803" t="s">
        <v>15366</v>
      </c>
      <c r="B1803" t="s">
        <v>15357</v>
      </c>
    </row>
    <row r="1804" spans="1:2" x14ac:dyDescent="0.25">
      <c r="A1804" t="s">
        <v>15367</v>
      </c>
      <c r="B1804" t="s">
        <v>15357</v>
      </c>
    </row>
    <row r="1805" spans="1:2" x14ac:dyDescent="0.25">
      <c r="A1805" t="s">
        <v>15368</v>
      </c>
      <c r="B1805" t="s">
        <v>15357</v>
      </c>
    </row>
    <row r="1806" spans="1:2" x14ac:dyDescent="0.25">
      <c r="A1806" t="s">
        <v>15369</v>
      </c>
      <c r="B1806" t="s">
        <v>15357</v>
      </c>
    </row>
    <row r="1807" spans="1:2" x14ac:dyDescent="0.25">
      <c r="A1807" t="s">
        <v>15370</v>
      </c>
      <c r="B1807" t="s">
        <v>15357</v>
      </c>
    </row>
    <row r="1808" spans="1:2" x14ac:dyDescent="0.25">
      <c r="A1808" t="s">
        <v>15371</v>
      </c>
      <c r="B1808" t="s">
        <v>15356</v>
      </c>
    </row>
    <row r="1809" spans="1:2" x14ac:dyDescent="0.25">
      <c r="A1809" t="s">
        <v>15372</v>
      </c>
      <c r="B1809" t="s">
        <v>3560</v>
      </c>
    </row>
    <row r="1810" spans="1:2" x14ac:dyDescent="0.25">
      <c r="A1810" t="s">
        <v>15373</v>
      </c>
      <c r="B1810" t="s">
        <v>15372</v>
      </c>
    </row>
    <row r="1811" spans="1:2" x14ac:dyDescent="0.25">
      <c r="A1811" t="s">
        <v>15374</v>
      </c>
      <c r="B1811" t="s">
        <v>15373</v>
      </c>
    </row>
    <row r="1812" spans="1:2" x14ac:dyDescent="0.25">
      <c r="A1812" t="s">
        <v>15375</v>
      </c>
      <c r="B1812" t="s">
        <v>15373</v>
      </c>
    </row>
    <row r="1813" spans="1:2" x14ac:dyDescent="0.25">
      <c r="A1813" t="s">
        <v>15376</v>
      </c>
      <c r="B1813" t="s">
        <v>15373</v>
      </c>
    </row>
    <row r="1814" spans="1:2" x14ac:dyDescent="0.25">
      <c r="A1814" t="s">
        <v>15377</v>
      </c>
      <c r="B1814" t="s">
        <v>15373</v>
      </c>
    </row>
    <row r="1815" spans="1:2" x14ac:dyDescent="0.25">
      <c r="A1815" t="s">
        <v>15378</v>
      </c>
      <c r="B1815" t="s">
        <v>15373</v>
      </c>
    </row>
    <row r="1816" spans="1:2" x14ac:dyDescent="0.25">
      <c r="A1816" t="s">
        <v>15379</v>
      </c>
      <c r="B1816" t="s">
        <v>15373</v>
      </c>
    </row>
    <row r="1817" spans="1:2" x14ac:dyDescent="0.25">
      <c r="A1817" t="s">
        <v>15380</v>
      </c>
      <c r="B1817" t="s">
        <v>15372</v>
      </c>
    </row>
    <row r="1818" spans="1:2" x14ac:dyDescent="0.25">
      <c r="A1818" t="s">
        <v>15381</v>
      </c>
      <c r="B1818" t="s">
        <v>3560</v>
      </c>
    </row>
    <row r="1819" spans="1:2" x14ac:dyDescent="0.25">
      <c r="A1819" t="s">
        <v>15382</v>
      </c>
      <c r="B1819" t="s">
        <v>15381</v>
      </c>
    </row>
    <row r="1820" spans="1:2" x14ac:dyDescent="0.25">
      <c r="A1820" t="s">
        <v>15383</v>
      </c>
      <c r="B1820" t="s">
        <v>15382</v>
      </c>
    </row>
    <row r="1821" spans="1:2" x14ac:dyDescent="0.25">
      <c r="A1821" t="s">
        <v>15384</v>
      </c>
      <c r="B1821" t="s">
        <v>15382</v>
      </c>
    </row>
    <row r="1822" spans="1:2" x14ac:dyDescent="0.25">
      <c r="A1822" t="s">
        <v>15385</v>
      </c>
      <c r="B1822" t="s">
        <v>15382</v>
      </c>
    </row>
    <row r="1823" spans="1:2" x14ac:dyDescent="0.25">
      <c r="A1823" t="s">
        <v>15386</v>
      </c>
      <c r="B1823" t="s">
        <v>15382</v>
      </c>
    </row>
    <row r="1824" spans="1:2" x14ac:dyDescent="0.25">
      <c r="A1824" t="s">
        <v>15387</v>
      </c>
      <c r="B1824" t="s">
        <v>15382</v>
      </c>
    </row>
    <row r="1825" spans="1:2" x14ac:dyDescent="0.25">
      <c r="A1825" t="s">
        <v>15388</v>
      </c>
      <c r="B1825" t="s">
        <v>15382</v>
      </c>
    </row>
    <row r="1826" spans="1:2" x14ac:dyDescent="0.25">
      <c r="A1826" t="s">
        <v>15389</v>
      </c>
      <c r="B1826" t="s">
        <v>15382</v>
      </c>
    </row>
    <row r="1827" spans="1:2" x14ac:dyDescent="0.25">
      <c r="A1827" t="s">
        <v>15390</v>
      </c>
      <c r="B1827" t="s">
        <v>15381</v>
      </c>
    </row>
    <row r="1828" spans="1:2" x14ac:dyDescent="0.25">
      <c r="A1828" t="s">
        <v>15391</v>
      </c>
      <c r="B1828" t="s">
        <v>3560</v>
      </c>
    </row>
    <row r="1829" spans="1:2" x14ac:dyDescent="0.25">
      <c r="A1829" t="s">
        <v>15392</v>
      </c>
      <c r="B1829" t="s">
        <v>15391</v>
      </c>
    </row>
    <row r="1830" spans="1:2" x14ac:dyDescent="0.25">
      <c r="A1830" t="s">
        <v>15393</v>
      </c>
      <c r="B1830" t="s">
        <v>15392</v>
      </c>
    </row>
    <row r="1831" spans="1:2" x14ac:dyDescent="0.25">
      <c r="A1831" t="s">
        <v>15394</v>
      </c>
      <c r="B1831" t="s">
        <v>15392</v>
      </c>
    </row>
    <row r="1832" spans="1:2" x14ac:dyDescent="0.25">
      <c r="A1832" t="s">
        <v>15395</v>
      </c>
      <c r="B1832" t="s">
        <v>15392</v>
      </c>
    </row>
    <row r="1833" spans="1:2" x14ac:dyDescent="0.25">
      <c r="A1833" t="s">
        <v>15396</v>
      </c>
      <c r="B1833" t="s">
        <v>15392</v>
      </c>
    </row>
    <row r="1834" spans="1:2" x14ac:dyDescent="0.25">
      <c r="A1834" t="s">
        <v>15397</v>
      </c>
      <c r="B1834" t="s">
        <v>15392</v>
      </c>
    </row>
    <row r="1835" spans="1:2" x14ac:dyDescent="0.25">
      <c r="A1835" t="s">
        <v>15398</v>
      </c>
      <c r="B1835" t="s">
        <v>15392</v>
      </c>
    </row>
    <row r="1836" spans="1:2" x14ac:dyDescent="0.25">
      <c r="A1836" t="s">
        <v>15399</v>
      </c>
      <c r="B1836" t="s">
        <v>15392</v>
      </c>
    </row>
    <row r="1837" spans="1:2" x14ac:dyDescent="0.25">
      <c r="A1837" t="s">
        <v>15400</v>
      </c>
      <c r="B1837" t="s">
        <v>15392</v>
      </c>
    </row>
    <row r="1838" spans="1:2" x14ac:dyDescent="0.25">
      <c r="A1838" t="s">
        <v>15401</v>
      </c>
      <c r="B1838" t="s">
        <v>15392</v>
      </c>
    </row>
    <row r="1839" spans="1:2" x14ac:dyDescent="0.25">
      <c r="A1839" t="s">
        <v>15402</v>
      </c>
      <c r="B1839" t="s">
        <v>15392</v>
      </c>
    </row>
    <row r="1840" spans="1:2" x14ac:dyDescent="0.25">
      <c r="A1840" t="s">
        <v>15403</v>
      </c>
      <c r="B1840" t="s">
        <v>15392</v>
      </c>
    </row>
    <row r="1841" spans="1:2" x14ac:dyDescent="0.25">
      <c r="A1841" t="s">
        <v>15404</v>
      </c>
      <c r="B1841" t="s">
        <v>15392</v>
      </c>
    </row>
    <row r="1842" spans="1:2" x14ac:dyDescent="0.25">
      <c r="A1842" t="s">
        <v>15405</v>
      </c>
      <c r="B1842" t="s">
        <v>15391</v>
      </c>
    </row>
    <row r="1843" spans="1:2" x14ac:dyDescent="0.25">
      <c r="A1843" t="s">
        <v>15406</v>
      </c>
      <c r="B1843" t="s">
        <v>3560</v>
      </c>
    </row>
    <row r="1844" spans="1:2" x14ac:dyDescent="0.25">
      <c r="A1844" t="s">
        <v>15407</v>
      </c>
      <c r="B1844" t="s">
        <v>15406</v>
      </c>
    </row>
    <row r="1845" spans="1:2" x14ac:dyDescent="0.25">
      <c r="A1845" t="s">
        <v>15408</v>
      </c>
      <c r="B1845" t="s">
        <v>15407</v>
      </c>
    </row>
    <row r="1846" spans="1:2" x14ac:dyDescent="0.25">
      <c r="A1846" t="s">
        <v>15409</v>
      </c>
      <c r="B1846" t="s">
        <v>15407</v>
      </c>
    </row>
    <row r="1847" spans="1:2" x14ac:dyDescent="0.25">
      <c r="A1847" t="s">
        <v>15410</v>
      </c>
      <c r="B1847" t="s">
        <v>15407</v>
      </c>
    </row>
    <row r="1848" spans="1:2" x14ac:dyDescent="0.25">
      <c r="A1848" t="s">
        <v>15411</v>
      </c>
      <c r="B1848" t="s">
        <v>15407</v>
      </c>
    </row>
    <row r="1849" spans="1:2" x14ac:dyDescent="0.25">
      <c r="A1849" t="s">
        <v>15412</v>
      </c>
      <c r="B1849" t="s">
        <v>15407</v>
      </c>
    </row>
    <row r="1850" spans="1:2" x14ac:dyDescent="0.25">
      <c r="A1850" t="s">
        <v>15413</v>
      </c>
      <c r="B1850" t="s">
        <v>15407</v>
      </c>
    </row>
    <row r="1851" spans="1:2" x14ac:dyDescent="0.25">
      <c r="A1851" t="s">
        <v>15414</v>
      </c>
      <c r="B1851" t="s">
        <v>15407</v>
      </c>
    </row>
    <row r="1852" spans="1:2" x14ac:dyDescent="0.25">
      <c r="A1852" t="s">
        <v>15415</v>
      </c>
      <c r="B1852" t="s">
        <v>15407</v>
      </c>
    </row>
    <row r="1853" spans="1:2" x14ac:dyDescent="0.25">
      <c r="A1853" t="s">
        <v>15416</v>
      </c>
      <c r="B1853" t="s">
        <v>15407</v>
      </c>
    </row>
    <row r="1854" spans="1:2" x14ac:dyDescent="0.25">
      <c r="A1854" t="s">
        <v>15417</v>
      </c>
      <c r="B1854" t="s">
        <v>15407</v>
      </c>
    </row>
    <row r="1855" spans="1:2" x14ac:dyDescent="0.25">
      <c r="A1855" t="s">
        <v>15418</v>
      </c>
      <c r="B1855" t="s">
        <v>15407</v>
      </c>
    </row>
    <row r="1856" spans="1:2" x14ac:dyDescent="0.25">
      <c r="A1856" t="s">
        <v>15419</v>
      </c>
      <c r="B1856" t="s">
        <v>15406</v>
      </c>
    </row>
    <row r="1857" spans="1:2" x14ac:dyDescent="0.25">
      <c r="A1857" t="s">
        <v>15420</v>
      </c>
      <c r="B1857" t="s">
        <v>3560</v>
      </c>
    </row>
    <row r="1858" spans="1:2" x14ac:dyDescent="0.25">
      <c r="A1858" t="s">
        <v>15421</v>
      </c>
      <c r="B1858" t="s">
        <v>15420</v>
      </c>
    </row>
    <row r="1859" spans="1:2" x14ac:dyDescent="0.25">
      <c r="A1859" t="s">
        <v>15422</v>
      </c>
      <c r="B1859" t="s">
        <v>15421</v>
      </c>
    </row>
    <row r="1860" spans="1:2" x14ac:dyDescent="0.25">
      <c r="A1860" t="s">
        <v>15423</v>
      </c>
      <c r="B1860" t="s">
        <v>15421</v>
      </c>
    </row>
    <row r="1861" spans="1:2" x14ac:dyDescent="0.25">
      <c r="A1861" t="s">
        <v>15424</v>
      </c>
      <c r="B1861" t="s">
        <v>15421</v>
      </c>
    </row>
    <row r="1862" spans="1:2" x14ac:dyDescent="0.25">
      <c r="A1862" t="s">
        <v>15425</v>
      </c>
      <c r="B1862" t="s">
        <v>15421</v>
      </c>
    </row>
    <row r="1863" spans="1:2" x14ac:dyDescent="0.25">
      <c r="A1863" t="s">
        <v>15426</v>
      </c>
      <c r="B1863" t="s">
        <v>15421</v>
      </c>
    </row>
    <row r="1864" spans="1:2" x14ac:dyDescent="0.25">
      <c r="A1864" t="s">
        <v>15427</v>
      </c>
      <c r="B1864" t="s">
        <v>15421</v>
      </c>
    </row>
    <row r="1865" spans="1:2" x14ac:dyDescent="0.25">
      <c r="A1865" t="s">
        <v>15428</v>
      </c>
      <c r="B1865" t="s">
        <v>15420</v>
      </c>
    </row>
    <row r="1866" spans="1:2" x14ac:dyDescent="0.25">
      <c r="A1866" t="s">
        <v>15429</v>
      </c>
      <c r="B1866" t="s">
        <v>3560</v>
      </c>
    </row>
    <row r="1867" spans="1:2" x14ac:dyDescent="0.25">
      <c r="A1867" t="s">
        <v>15430</v>
      </c>
      <c r="B1867" t="s">
        <v>15429</v>
      </c>
    </row>
    <row r="1868" spans="1:2" x14ac:dyDescent="0.25">
      <c r="A1868" t="s">
        <v>15431</v>
      </c>
      <c r="B1868" t="s">
        <v>15430</v>
      </c>
    </row>
    <row r="1869" spans="1:2" x14ac:dyDescent="0.25">
      <c r="A1869" t="s">
        <v>15432</v>
      </c>
      <c r="B1869" t="s">
        <v>15430</v>
      </c>
    </row>
    <row r="1870" spans="1:2" x14ac:dyDescent="0.25">
      <c r="A1870" t="s">
        <v>15433</v>
      </c>
      <c r="B1870" t="s">
        <v>15430</v>
      </c>
    </row>
    <row r="1871" spans="1:2" x14ac:dyDescent="0.25">
      <c r="A1871" t="s">
        <v>15434</v>
      </c>
      <c r="B1871" t="s">
        <v>15430</v>
      </c>
    </row>
    <row r="1872" spans="1:2" x14ac:dyDescent="0.25">
      <c r="A1872" t="s">
        <v>15435</v>
      </c>
      <c r="B1872" t="s">
        <v>15430</v>
      </c>
    </row>
    <row r="1873" spans="1:2" x14ac:dyDescent="0.25">
      <c r="A1873" t="s">
        <v>15436</v>
      </c>
      <c r="B1873" t="s">
        <v>15430</v>
      </c>
    </row>
    <row r="1874" spans="1:2" x14ac:dyDescent="0.25">
      <c r="A1874" t="s">
        <v>15437</v>
      </c>
      <c r="B1874" t="s">
        <v>15430</v>
      </c>
    </row>
    <row r="1875" spans="1:2" x14ac:dyDescent="0.25">
      <c r="A1875" t="s">
        <v>15438</v>
      </c>
      <c r="B1875" t="s">
        <v>15430</v>
      </c>
    </row>
    <row r="1876" spans="1:2" x14ac:dyDescent="0.25">
      <c r="A1876" t="s">
        <v>15439</v>
      </c>
      <c r="B1876" t="s">
        <v>15430</v>
      </c>
    </row>
    <row r="1877" spans="1:2" x14ac:dyDescent="0.25">
      <c r="A1877" t="s">
        <v>15440</v>
      </c>
      <c r="B1877" t="s">
        <v>15429</v>
      </c>
    </row>
    <row r="1878" spans="1:2" x14ac:dyDescent="0.25">
      <c r="A1878" t="s">
        <v>15441</v>
      </c>
      <c r="B1878" t="s">
        <v>3560</v>
      </c>
    </row>
    <row r="1879" spans="1:2" x14ac:dyDescent="0.25">
      <c r="A1879" t="s">
        <v>15442</v>
      </c>
      <c r="B1879" t="s">
        <v>15441</v>
      </c>
    </row>
    <row r="1880" spans="1:2" x14ac:dyDescent="0.25">
      <c r="A1880" t="s">
        <v>15443</v>
      </c>
      <c r="B1880" t="s">
        <v>15442</v>
      </c>
    </row>
    <row r="1881" spans="1:2" x14ac:dyDescent="0.25">
      <c r="A1881" t="s">
        <v>15444</v>
      </c>
      <c r="B1881" t="s">
        <v>15442</v>
      </c>
    </row>
    <row r="1882" spans="1:2" x14ac:dyDescent="0.25">
      <c r="A1882" t="s">
        <v>15445</v>
      </c>
      <c r="B1882" t="s">
        <v>15442</v>
      </c>
    </row>
    <row r="1883" spans="1:2" x14ac:dyDescent="0.25">
      <c r="A1883" t="s">
        <v>15446</v>
      </c>
      <c r="B1883" t="s">
        <v>15442</v>
      </c>
    </row>
    <row r="1884" spans="1:2" x14ac:dyDescent="0.25">
      <c r="A1884" t="s">
        <v>15447</v>
      </c>
      <c r="B1884" t="s">
        <v>15442</v>
      </c>
    </row>
    <row r="1885" spans="1:2" x14ac:dyDescent="0.25">
      <c r="A1885" t="s">
        <v>15448</v>
      </c>
      <c r="B1885" t="s">
        <v>15442</v>
      </c>
    </row>
    <row r="1886" spans="1:2" x14ac:dyDescent="0.25">
      <c r="A1886" t="s">
        <v>15449</v>
      </c>
      <c r="B1886" t="s">
        <v>15442</v>
      </c>
    </row>
    <row r="1887" spans="1:2" x14ac:dyDescent="0.25">
      <c r="A1887" t="s">
        <v>15450</v>
      </c>
      <c r="B1887" t="s">
        <v>15442</v>
      </c>
    </row>
    <row r="1888" spans="1:2" x14ac:dyDescent="0.25">
      <c r="A1888" t="s">
        <v>15451</v>
      </c>
      <c r="B1888" t="s">
        <v>15442</v>
      </c>
    </row>
    <row r="1889" spans="1:2" x14ac:dyDescent="0.25">
      <c r="A1889" t="s">
        <v>15452</v>
      </c>
      <c r="B1889" t="s">
        <v>15441</v>
      </c>
    </row>
    <row r="1890" spans="1:2" x14ac:dyDescent="0.25">
      <c r="A1890" t="s">
        <v>12740</v>
      </c>
      <c r="B1890" t="s">
        <v>13940</v>
      </c>
    </row>
    <row r="1891" spans="1:2" x14ac:dyDescent="0.25">
      <c r="A1891" t="s">
        <v>12526</v>
      </c>
      <c r="B1891" t="s">
        <v>12740</v>
      </c>
    </row>
    <row r="1892" spans="1:2" x14ac:dyDescent="0.25">
      <c r="A1892" t="s">
        <v>12822</v>
      </c>
      <c r="B1892" t="s">
        <v>12526</v>
      </c>
    </row>
    <row r="1893" spans="1:2" x14ac:dyDescent="0.25">
      <c r="A1893" t="s">
        <v>3563</v>
      </c>
      <c r="B1893" t="s">
        <v>12740</v>
      </c>
    </row>
    <row r="1894" spans="1:2" x14ac:dyDescent="0.25">
      <c r="A1894" t="s">
        <v>3717</v>
      </c>
      <c r="B1894" t="s">
        <v>3563</v>
      </c>
    </row>
    <row r="1895" spans="1:2" x14ac:dyDescent="0.25">
      <c r="A1895" t="s">
        <v>9284</v>
      </c>
      <c r="B1895" t="s">
        <v>12740</v>
      </c>
    </row>
    <row r="1896" spans="1:2" x14ac:dyDescent="0.25">
      <c r="A1896" t="s">
        <v>404</v>
      </c>
      <c r="B1896" t="s">
        <v>9284</v>
      </c>
    </row>
    <row r="1897" spans="1:2" x14ac:dyDescent="0.25">
      <c r="A1897" t="s">
        <v>433</v>
      </c>
      <c r="B1897" t="s">
        <v>404</v>
      </c>
    </row>
    <row r="1898" spans="1:2" x14ac:dyDescent="0.25">
      <c r="A1898" t="s">
        <v>5008</v>
      </c>
      <c r="B1898" t="s">
        <v>9284</v>
      </c>
    </row>
    <row r="1899" spans="1:2" x14ac:dyDescent="0.25">
      <c r="A1899" t="s">
        <v>5140</v>
      </c>
      <c r="B1899" t="s">
        <v>5008</v>
      </c>
    </row>
    <row r="1900" spans="1:2" x14ac:dyDescent="0.25">
      <c r="A1900" t="s">
        <v>9716</v>
      </c>
      <c r="B1900" t="s">
        <v>9284</v>
      </c>
    </row>
    <row r="1901" spans="1:2" x14ac:dyDescent="0.25">
      <c r="A1901" t="s">
        <v>9872</v>
      </c>
      <c r="B1901" t="s">
        <v>9716</v>
      </c>
    </row>
    <row r="1902" spans="1:2" x14ac:dyDescent="0.25">
      <c r="A1902" t="s">
        <v>9511</v>
      </c>
      <c r="B1902" t="s">
        <v>9284</v>
      </c>
    </row>
    <row r="1903" spans="1:2" x14ac:dyDescent="0.25">
      <c r="A1903" t="s">
        <v>11067</v>
      </c>
      <c r="B1903" t="s">
        <v>12740</v>
      </c>
    </row>
    <row r="1904" spans="1:2" x14ac:dyDescent="0.25">
      <c r="A1904" t="s">
        <v>11222</v>
      </c>
      <c r="B1904" t="s">
        <v>11067</v>
      </c>
    </row>
    <row r="1905" spans="1:2" x14ac:dyDescent="0.25">
      <c r="A1905" t="s">
        <v>9308</v>
      </c>
      <c r="B1905" t="s">
        <v>12740</v>
      </c>
    </row>
    <row r="1906" spans="1:2" x14ac:dyDescent="0.25">
      <c r="A1906" t="s">
        <v>11979</v>
      </c>
      <c r="B1906" t="s">
        <v>12740</v>
      </c>
    </row>
    <row r="1907" spans="1:2" x14ac:dyDescent="0.25">
      <c r="A1907" t="s">
        <v>13163</v>
      </c>
      <c r="B1907" t="s">
        <v>12740</v>
      </c>
    </row>
    <row r="1908" spans="1:2" x14ac:dyDescent="0.25">
      <c r="A1908" t="s">
        <v>13302</v>
      </c>
      <c r="B1908" t="s">
        <v>13163</v>
      </c>
    </row>
    <row r="1909" spans="1:2" x14ac:dyDescent="0.25">
      <c r="A1909" t="s">
        <v>13164</v>
      </c>
      <c r="B1909" t="s">
        <v>12740</v>
      </c>
    </row>
    <row r="1910" spans="1:2" x14ac:dyDescent="0.25">
      <c r="A1910" t="s">
        <v>13303</v>
      </c>
      <c r="B1910" t="s">
        <v>13164</v>
      </c>
    </row>
    <row r="1911" spans="1:2" x14ac:dyDescent="0.25">
      <c r="A1911" t="s">
        <v>13165</v>
      </c>
      <c r="B1911" t="s">
        <v>12740</v>
      </c>
    </row>
    <row r="1912" spans="1:2" x14ac:dyDescent="0.25">
      <c r="A1912" t="s">
        <v>13304</v>
      </c>
      <c r="B1912" t="s">
        <v>13165</v>
      </c>
    </row>
    <row r="1913" spans="1:2" x14ac:dyDescent="0.25">
      <c r="A1913" t="s">
        <v>13166</v>
      </c>
      <c r="B1913" t="s">
        <v>12740</v>
      </c>
    </row>
    <row r="1914" spans="1:2" x14ac:dyDescent="0.25">
      <c r="A1914" t="s">
        <v>13305</v>
      </c>
      <c r="B1914" t="s">
        <v>13166</v>
      </c>
    </row>
    <row r="1915" spans="1:2" x14ac:dyDescent="0.25">
      <c r="A1915" t="s">
        <v>13167</v>
      </c>
      <c r="B1915" t="s">
        <v>12740</v>
      </c>
    </row>
    <row r="1916" spans="1:2" x14ac:dyDescent="0.25">
      <c r="A1916" t="s">
        <v>13306</v>
      </c>
      <c r="B1916" t="s">
        <v>13167</v>
      </c>
    </row>
    <row r="1917" spans="1:2" x14ac:dyDescent="0.25">
      <c r="A1917" t="s">
        <v>13596</v>
      </c>
      <c r="B1917" t="s">
        <v>12740</v>
      </c>
    </row>
    <row r="1918" spans="1:2" x14ac:dyDescent="0.25">
      <c r="A1918" t="s">
        <v>13597</v>
      </c>
      <c r="B1918" t="s">
        <v>13596</v>
      </c>
    </row>
    <row r="1919" spans="1:2" x14ac:dyDescent="0.25">
      <c r="A1919" t="s">
        <v>9512</v>
      </c>
      <c r="B1919" t="s">
        <v>13596</v>
      </c>
    </row>
    <row r="1920" spans="1:2" x14ac:dyDescent="0.25">
      <c r="A1920" t="s">
        <v>12260</v>
      </c>
      <c r="B1920" t="s">
        <v>13596</v>
      </c>
    </row>
    <row r="1921" spans="1:2" x14ac:dyDescent="0.25">
      <c r="A1921" t="s">
        <v>13598</v>
      </c>
      <c r="B1921" t="s">
        <v>12740</v>
      </c>
    </row>
    <row r="1922" spans="1:2" x14ac:dyDescent="0.25">
      <c r="A1922" t="s">
        <v>13599</v>
      </c>
      <c r="B1922" t="s">
        <v>13598</v>
      </c>
    </row>
    <row r="1923" spans="1:2" x14ac:dyDescent="0.25">
      <c r="A1923" t="s">
        <v>13600</v>
      </c>
      <c r="B1923" t="s">
        <v>12740</v>
      </c>
    </row>
    <row r="1924" spans="1:2" x14ac:dyDescent="0.25">
      <c r="A1924" t="s">
        <v>13601</v>
      </c>
      <c r="B1924" t="s">
        <v>13600</v>
      </c>
    </row>
    <row r="1925" spans="1:2" x14ac:dyDescent="0.25">
      <c r="A1925" t="s">
        <v>15453</v>
      </c>
      <c r="B1925" t="s">
        <v>12740</v>
      </c>
    </row>
    <row r="1926" spans="1:2" x14ac:dyDescent="0.25">
      <c r="A1926" t="s">
        <v>15454</v>
      </c>
      <c r="B1926" t="s">
        <v>13940</v>
      </c>
    </row>
    <row r="1927" spans="1:2" x14ac:dyDescent="0.25">
      <c r="A1927" t="s">
        <v>15455</v>
      </c>
      <c r="B1927" t="s">
        <v>13940</v>
      </c>
    </row>
    <row r="1928" spans="1:2" x14ac:dyDescent="0.25">
      <c r="A1928" t="s">
        <v>8492</v>
      </c>
      <c r="B1928" t="s">
        <v>13940</v>
      </c>
    </row>
    <row r="1929" spans="1:2" x14ac:dyDescent="0.25">
      <c r="A1929" t="s">
        <v>11053</v>
      </c>
      <c r="B1929" t="s">
        <v>8492</v>
      </c>
    </row>
    <row r="1930" spans="1:2" x14ac:dyDescent="0.25">
      <c r="A1930" t="s">
        <v>11223</v>
      </c>
      <c r="B1930" t="s">
        <v>11053</v>
      </c>
    </row>
    <row r="1931" spans="1:2" x14ac:dyDescent="0.25">
      <c r="A1931" t="s">
        <v>10704</v>
      </c>
      <c r="B1931" t="s">
        <v>8492</v>
      </c>
    </row>
    <row r="1932" spans="1:2" x14ac:dyDescent="0.25">
      <c r="A1932" t="s">
        <v>10920</v>
      </c>
      <c r="B1932" t="s">
        <v>10704</v>
      </c>
    </row>
    <row r="1933" spans="1:2" x14ac:dyDescent="0.25">
      <c r="A1933" t="s">
        <v>11827</v>
      </c>
      <c r="B1933" t="s">
        <v>8492</v>
      </c>
    </row>
    <row r="1934" spans="1:2" x14ac:dyDescent="0.25">
      <c r="A1934" t="s">
        <v>11900</v>
      </c>
      <c r="B1934" t="s">
        <v>11827</v>
      </c>
    </row>
    <row r="1935" spans="1:2" x14ac:dyDescent="0.25">
      <c r="A1935" t="s">
        <v>14195</v>
      </c>
      <c r="B1935" t="s">
        <v>8492</v>
      </c>
    </row>
    <row r="1936" spans="1:2" x14ac:dyDescent="0.25">
      <c r="A1936" t="s">
        <v>14196</v>
      </c>
      <c r="B1936" t="s">
        <v>14195</v>
      </c>
    </row>
    <row r="1937" spans="1:2" x14ac:dyDescent="0.25">
      <c r="A1937" t="s">
        <v>16448</v>
      </c>
      <c r="B1937" t="s">
        <v>13940</v>
      </c>
    </row>
    <row r="1938" spans="1:2" x14ac:dyDescent="0.25">
      <c r="A1938" t="s">
        <v>16449</v>
      </c>
      <c r="B1938" t="s">
        <v>16448</v>
      </c>
    </row>
    <row r="1939" spans="1:2" x14ac:dyDescent="0.25">
      <c r="A1939" t="s">
        <v>16511</v>
      </c>
      <c r="B1939" t="s">
        <v>16449</v>
      </c>
    </row>
    <row r="1940" spans="1:2" x14ac:dyDescent="0.25">
      <c r="A1940" t="s">
        <v>16450</v>
      </c>
      <c r="B1940" t="s">
        <v>16448</v>
      </c>
    </row>
    <row r="1941" spans="1:2" x14ac:dyDescent="0.25">
      <c r="A1941" t="s">
        <v>16512</v>
      </c>
      <c r="B1941" t="s">
        <v>16450</v>
      </c>
    </row>
    <row r="1942" spans="1:2" x14ac:dyDescent="0.25">
      <c r="A1942" t="s">
        <v>16451</v>
      </c>
      <c r="B1942" t="s">
        <v>16448</v>
      </c>
    </row>
    <row r="1943" spans="1:2" x14ac:dyDescent="0.25">
      <c r="A1943" t="s">
        <v>16513</v>
      </c>
      <c r="B1943" t="s">
        <v>16451</v>
      </c>
    </row>
    <row r="1944" spans="1:2" x14ac:dyDescent="0.25">
      <c r="A1944" t="s">
        <v>16452</v>
      </c>
      <c r="B1944" t="s">
        <v>16448</v>
      </c>
    </row>
    <row r="1945" spans="1:2" x14ac:dyDescent="0.25">
      <c r="A1945" t="s">
        <v>16514</v>
      </c>
      <c r="B1945" t="s">
        <v>16452</v>
      </c>
    </row>
    <row r="1946" spans="1:2" x14ac:dyDescent="0.25">
      <c r="A1946" t="s">
        <v>14180</v>
      </c>
      <c r="B1946" t="s">
        <v>8886</v>
      </c>
    </row>
    <row r="1947" spans="1:2" x14ac:dyDescent="0.25">
      <c r="A1947" t="s">
        <v>14236</v>
      </c>
      <c r="B1947" t="s">
        <v>14180</v>
      </c>
    </row>
    <row r="1948" spans="1:2" x14ac:dyDescent="0.25">
      <c r="A1948" t="s">
        <v>14159</v>
      </c>
      <c r="B1948" t="s">
        <v>14236</v>
      </c>
    </row>
    <row r="1949" spans="1:2" x14ac:dyDescent="0.25">
      <c r="A1949" t="s">
        <v>14215</v>
      </c>
      <c r="B1949" t="s">
        <v>14180</v>
      </c>
    </row>
    <row r="1950" spans="1:2" x14ac:dyDescent="0.25">
      <c r="A1950" t="s">
        <v>14186</v>
      </c>
      <c r="B1950" t="s">
        <v>14215</v>
      </c>
    </row>
    <row r="1951" spans="1:2" x14ac:dyDescent="0.25">
      <c r="A1951" t="s">
        <v>14221</v>
      </c>
      <c r="B1951" t="s">
        <v>14215</v>
      </c>
    </row>
    <row r="1952" spans="1:2" x14ac:dyDescent="0.25">
      <c r="A1952" t="s">
        <v>14172</v>
      </c>
      <c r="B1952" t="s">
        <v>8886</v>
      </c>
    </row>
    <row r="1953" spans="1:2" x14ac:dyDescent="0.25">
      <c r="A1953" t="s">
        <v>14237</v>
      </c>
      <c r="B1953" t="s">
        <v>14172</v>
      </c>
    </row>
    <row r="1954" spans="1:2" x14ac:dyDescent="0.25">
      <c r="A1954" t="s">
        <v>14222</v>
      </c>
      <c r="B1954" t="s">
        <v>14237</v>
      </c>
    </row>
    <row r="1955" spans="1:2" x14ac:dyDescent="0.25">
      <c r="A1955" t="s">
        <v>14223</v>
      </c>
      <c r="B1955" t="s">
        <v>14237</v>
      </c>
    </row>
    <row r="1956" spans="1:2" x14ac:dyDescent="0.25">
      <c r="A1956" t="s">
        <v>14217</v>
      </c>
      <c r="B1956" t="s">
        <v>14237</v>
      </c>
    </row>
    <row r="1957" spans="1:2" x14ac:dyDescent="0.25">
      <c r="A1957" t="s">
        <v>14224</v>
      </c>
      <c r="B1957" t="s">
        <v>14237</v>
      </c>
    </row>
    <row r="1958" spans="1:2" x14ac:dyDescent="0.25">
      <c r="A1958" t="s">
        <v>14213</v>
      </c>
      <c r="B1958" t="s">
        <v>14237</v>
      </c>
    </row>
    <row r="1959" spans="1:2" x14ac:dyDescent="0.25">
      <c r="A1959" t="s">
        <v>14216</v>
      </c>
      <c r="B1959" t="s">
        <v>14172</v>
      </c>
    </row>
    <row r="1960" spans="1:2" x14ac:dyDescent="0.25">
      <c r="A1960" t="s">
        <v>14187</v>
      </c>
      <c r="B1960" t="s">
        <v>14216</v>
      </c>
    </row>
    <row r="1961" spans="1:2" x14ac:dyDescent="0.25">
      <c r="A1961" t="s">
        <v>14225</v>
      </c>
      <c r="B1961" t="s">
        <v>14216</v>
      </c>
    </row>
    <row r="1962" spans="1:2" x14ac:dyDescent="0.25">
      <c r="A1962" t="s">
        <v>15456</v>
      </c>
      <c r="B1962" t="s">
        <v>8886</v>
      </c>
    </row>
    <row r="1963" spans="1:2" x14ac:dyDescent="0.25">
      <c r="A1963" t="s">
        <v>15457</v>
      </c>
      <c r="B1963" t="s">
        <v>15456</v>
      </c>
    </row>
    <row r="1964" spans="1:2" x14ac:dyDescent="0.25">
      <c r="A1964" t="s">
        <v>15458</v>
      </c>
      <c r="B1964" t="s">
        <v>15457</v>
      </c>
    </row>
    <row r="1965" spans="1:2" x14ac:dyDescent="0.25">
      <c r="A1965" t="s">
        <v>15459</v>
      </c>
      <c r="B1965" t="s">
        <v>15456</v>
      </c>
    </row>
    <row r="1966" spans="1:2" x14ac:dyDescent="0.25">
      <c r="A1966" t="s">
        <v>15460</v>
      </c>
      <c r="B1966" t="s">
        <v>15459</v>
      </c>
    </row>
    <row r="1967" spans="1:2" x14ac:dyDescent="0.25">
      <c r="A1967" t="s">
        <v>15461</v>
      </c>
      <c r="B1967" t="s">
        <v>15459</v>
      </c>
    </row>
    <row r="1968" spans="1:2" x14ac:dyDescent="0.25">
      <c r="A1968" t="s">
        <v>15462</v>
      </c>
      <c r="B1968" t="s">
        <v>8886</v>
      </c>
    </row>
    <row r="1969" spans="1:2" x14ac:dyDescent="0.25">
      <c r="A1969" t="s">
        <v>15463</v>
      </c>
      <c r="B1969" t="s">
        <v>15462</v>
      </c>
    </row>
    <row r="1970" spans="1:2" x14ac:dyDescent="0.25">
      <c r="A1970" t="s">
        <v>15464</v>
      </c>
      <c r="B1970" t="s">
        <v>15463</v>
      </c>
    </row>
    <row r="1971" spans="1:2" x14ac:dyDescent="0.25">
      <c r="A1971" t="s">
        <v>14240</v>
      </c>
      <c r="B1971" t="s">
        <v>15463</v>
      </c>
    </row>
    <row r="1972" spans="1:2" x14ac:dyDescent="0.25">
      <c r="A1972" t="s">
        <v>1653</v>
      </c>
      <c r="B1972" t="s">
        <v>14240</v>
      </c>
    </row>
    <row r="1973" spans="1:2" x14ac:dyDescent="0.25">
      <c r="A1973" t="s">
        <v>8497</v>
      </c>
      <c r="B1973" t="s">
        <v>14240</v>
      </c>
    </row>
    <row r="1974" spans="1:2" x14ac:dyDescent="0.25">
      <c r="A1974" t="s">
        <v>15465</v>
      </c>
      <c r="B1974" t="s">
        <v>15462</v>
      </c>
    </row>
    <row r="1975" spans="1:2" x14ac:dyDescent="0.25">
      <c r="A1975" t="s">
        <v>15466</v>
      </c>
      <c r="B1975" t="s">
        <v>15465</v>
      </c>
    </row>
    <row r="1976" spans="1:2" x14ac:dyDescent="0.25">
      <c r="A1976" t="s">
        <v>15467</v>
      </c>
      <c r="B1976" t="s">
        <v>15465</v>
      </c>
    </row>
    <row r="1977" spans="1:2" x14ac:dyDescent="0.25">
      <c r="A1977" t="s">
        <v>15468</v>
      </c>
      <c r="B1977" t="s">
        <v>8886</v>
      </c>
    </row>
    <row r="1978" spans="1:2" x14ac:dyDescent="0.25">
      <c r="A1978" t="s">
        <v>15469</v>
      </c>
      <c r="B1978" t="s">
        <v>15468</v>
      </c>
    </row>
    <row r="1979" spans="1:2" x14ac:dyDescent="0.25">
      <c r="A1979" t="s">
        <v>15470</v>
      </c>
      <c r="B1979" t="s">
        <v>15469</v>
      </c>
    </row>
    <row r="1980" spans="1:2" x14ac:dyDescent="0.25">
      <c r="A1980" t="s">
        <v>15471</v>
      </c>
      <c r="B1980" t="s">
        <v>15468</v>
      </c>
    </row>
    <row r="1981" spans="1:2" x14ac:dyDescent="0.25">
      <c r="A1981" t="s">
        <v>15472</v>
      </c>
      <c r="B1981" t="s">
        <v>15471</v>
      </c>
    </row>
    <row r="1982" spans="1:2" x14ac:dyDescent="0.25">
      <c r="A1982" t="s">
        <v>15473</v>
      </c>
      <c r="B1982" t="s">
        <v>15471</v>
      </c>
    </row>
    <row r="1983" spans="1:2" x14ac:dyDescent="0.25">
      <c r="A1983" t="s">
        <v>15474</v>
      </c>
      <c r="B1983" t="s">
        <v>8886</v>
      </c>
    </row>
    <row r="1984" spans="1:2" x14ac:dyDescent="0.25">
      <c r="A1984" t="s">
        <v>15475</v>
      </c>
      <c r="B1984" t="s">
        <v>15474</v>
      </c>
    </row>
    <row r="1985" spans="1:2" x14ac:dyDescent="0.25">
      <c r="A1985" t="s">
        <v>15476</v>
      </c>
      <c r="B1985" t="s">
        <v>15475</v>
      </c>
    </row>
    <row r="1986" spans="1:2" x14ac:dyDescent="0.25">
      <c r="A1986" t="s">
        <v>15477</v>
      </c>
      <c r="B1986" t="s">
        <v>15474</v>
      </c>
    </row>
    <row r="1987" spans="1:2" x14ac:dyDescent="0.25">
      <c r="A1987" t="s">
        <v>15478</v>
      </c>
      <c r="B1987" t="s">
        <v>15477</v>
      </c>
    </row>
    <row r="1988" spans="1:2" x14ac:dyDescent="0.25">
      <c r="A1988" t="s">
        <v>15479</v>
      </c>
      <c r="B1988" t="s">
        <v>15477</v>
      </c>
    </row>
    <row r="1989" spans="1:2" x14ac:dyDescent="0.25">
      <c r="A1989" t="s">
        <v>11978</v>
      </c>
      <c r="B1989" t="s">
        <v>11607</v>
      </c>
    </row>
    <row r="1990" spans="1:2" x14ac:dyDescent="0.25">
      <c r="A1990" t="s">
        <v>6251</v>
      </c>
      <c r="B1990" t="s">
        <v>11978</v>
      </c>
    </row>
    <row r="1991" spans="1:2" x14ac:dyDescent="0.25">
      <c r="A1991" t="s">
        <v>127</v>
      </c>
      <c r="B1991" t="s">
        <v>6251</v>
      </c>
    </row>
    <row r="1992" spans="1:2" x14ac:dyDescent="0.25">
      <c r="A1992" t="s">
        <v>10202</v>
      </c>
      <c r="B1992" t="s">
        <v>11978</v>
      </c>
    </row>
    <row r="1993" spans="1:2" x14ac:dyDescent="0.25">
      <c r="A1993" t="s">
        <v>7379</v>
      </c>
      <c r="B1993" t="s">
        <v>11978</v>
      </c>
    </row>
    <row r="1994" spans="1:2" x14ac:dyDescent="0.25">
      <c r="A1994" t="s">
        <v>1654</v>
      </c>
      <c r="B1994" t="s">
        <v>11978</v>
      </c>
    </row>
    <row r="1995" spans="1:2" x14ac:dyDescent="0.25">
      <c r="A1995" t="s">
        <v>10203</v>
      </c>
      <c r="B1995" t="s">
        <v>11978</v>
      </c>
    </row>
    <row r="1996" spans="1:2" x14ac:dyDescent="0.25">
      <c r="A1996" t="s">
        <v>6773</v>
      </c>
      <c r="B1996" t="s">
        <v>11978</v>
      </c>
    </row>
    <row r="1997" spans="1:2" x14ac:dyDescent="0.25">
      <c r="A1997" t="s">
        <v>6265</v>
      </c>
      <c r="B1997" t="s">
        <v>11978</v>
      </c>
    </row>
    <row r="1998" spans="1:2" x14ac:dyDescent="0.25">
      <c r="A1998" t="s">
        <v>6268</v>
      </c>
      <c r="B1998" t="s">
        <v>6265</v>
      </c>
    </row>
    <row r="1999" spans="1:2" x14ac:dyDescent="0.25">
      <c r="A1999" t="s">
        <v>11831</v>
      </c>
      <c r="B1999" t="s">
        <v>6265</v>
      </c>
    </row>
    <row r="2000" spans="1:2" x14ac:dyDescent="0.25">
      <c r="A2000" t="s">
        <v>5833</v>
      </c>
      <c r="B2000" t="s">
        <v>6265</v>
      </c>
    </row>
    <row r="2001" spans="1:2" x14ac:dyDescent="0.25">
      <c r="A2001" t="s">
        <v>11065</v>
      </c>
      <c r="B2001" t="s">
        <v>6265</v>
      </c>
    </row>
    <row r="2002" spans="1:2" x14ac:dyDescent="0.25">
      <c r="A2002" t="s">
        <v>9711</v>
      </c>
      <c r="B2002" t="s">
        <v>11065</v>
      </c>
    </row>
    <row r="2003" spans="1:2" x14ac:dyDescent="0.25">
      <c r="A2003" t="s">
        <v>5006</v>
      </c>
      <c r="B2003" t="s">
        <v>11065</v>
      </c>
    </row>
    <row r="2004" spans="1:2" x14ac:dyDescent="0.25">
      <c r="A2004" t="s">
        <v>11068</v>
      </c>
      <c r="B2004" t="s">
        <v>11065</v>
      </c>
    </row>
    <row r="2005" spans="1:2" x14ac:dyDescent="0.25">
      <c r="A2005" t="s">
        <v>5448</v>
      </c>
      <c r="B2005" t="s">
        <v>11978</v>
      </c>
    </row>
    <row r="2006" spans="1:2" x14ac:dyDescent="0.25">
      <c r="A2006" t="s">
        <v>12938</v>
      </c>
      <c r="B2006" t="s">
        <v>5448</v>
      </c>
    </row>
    <row r="2007" spans="1:2" x14ac:dyDescent="0.25">
      <c r="A2007" t="s">
        <v>12890</v>
      </c>
      <c r="B2007" t="s">
        <v>11978</v>
      </c>
    </row>
    <row r="2008" spans="1:2" x14ac:dyDescent="0.25">
      <c r="A2008" t="s">
        <v>7388</v>
      </c>
      <c r="B2008" t="s">
        <v>12890</v>
      </c>
    </row>
    <row r="2009" spans="1:2" x14ac:dyDescent="0.25">
      <c r="A2009" t="s">
        <v>9306</v>
      </c>
      <c r="B2009" t="s">
        <v>12890</v>
      </c>
    </row>
    <row r="2010" spans="1:2" x14ac:dyDescent="0.25">
      <c r="A2010" t="s">
        <v>12332</v>
      </c>
      <c r="B2010" t="s">
        <v>12890</v>
      </c>
    </row>
    <row r="2011" spans="1:2" x14ac:dyDescent="0.25">
      <c r="A2011" t="s">
        <v>11828</v>
      </c>
      <c r="B2011" t="s">
        <v>11978</v>
      </c>
    </row>
    <row r="2012" spans="1:2" x14ac:dyDescent="0.25">
      <c r="A2012" t="s">
        <v>2671</v>
      </c>
      <c r="B2012" t="s">
        <v>11978</v>
      </c>
    </row>
    <row r="2013" spans="1:2" x14ac:dyDescent="0.25">
      <c r="A2013" t="s">
        <v>11064</v>
      </c>
      <c r="B2013" t="s">
        <v>11978</v>
      </c>
    </row>
    <row r="2014" spans="1:2" x14ac:dyDescent="0.25">
      <c r="A2014" t="s">
        <v>15480</v>
      </c>
      <c r="B2014" t="s">
        <v>11978</v>
      </c>
    </row>
    <row r="2015" spans="1:2" x14ac:dyDescent="0.25">
      <c r="A2015" t="s">
        <v>15481</v>
      </c>
      <c r="B2015" t="s">
        <v>15480</v>
      </c>
    </row>
    <row r="2016" spans="1:2" x14ac:dyDescent="0.25">
      <c r="A2016" t="s">
        <v>15482</v>
      </c>
      <c r="B2016" t="s">
        <v>15481</v>
      </c>
    </row>
    <row r="2017" spans="1:2" x14ac:dyDescent="0.25">
      <c r="A2017" t="s">
        <v>15483</v>
      </c>
      <c r="B2017" t="s">
        <v>15480</v>
      </c>
    </row>
    <row r="2018" spans="1:2" x14ac:dyDescent="0.25">
      <c r="A2018" t="s">
        <v>15484</v>
      </c>
      <c r="B2018" t="s">
        <v>15483</v>
      </c>
    </row>
    <row r="2019" spans="1:2" x14ac:dyDescent="0.25">
      <c r="A2019" t="s">
        <v>15485</v>
      </c>
      <c r="B2019" t="s">
        <v>15483</v>
      </c>
    </row>
    <row r="2020" spans="1:2" x14ac:dyDescent="0.25">
      <c r="A2020" t="s">
        <v>15486</v>
      </c>
      <c r="B2020" t="s">
        <v>11978</v>
      </c>
    </row>
    <row r="2021" spans="1:2" x14ac:dyDescent="0.25">
      <c r="A2021" t="s">
        <v>15487</v>
      </c>
      <c r="B2021" t="s">
        <v>11978</v>
      </c>
    </row>
    <row r="2022" spans="1:2" x14ac:dyDescent="0.25">
      <c r="A2022" t="s">
        <v>15488</v>
      </c>
      <c r="B2022" t="s">
        <v>11978</v>
      </c>
    </row>
    <row r="2023" spans="1:2" x14ac:dyDescent="0.25">
      <c r="A2023" t="s">
        <v>15489</v>
      </c>
      <c r="B2023" t="s">
        <v>11978</v>
      </c>
    </row>
    <row r="2024" spans="1:2" x14ac:dyDescent="0.25">
      <c r="A2024" t="s">
        <v>15490</v>
      </c>
      <c r="B2024" t="s">
        <v>11978</v>
      </c>
    </row>
    <row r="2025" spans="1:2" x14ac:dyDescent="0.25">
      <c r="A2025" t="s">
        <v>15491</v>
      </c>
      <c r="B2025" t="s">
        <v>11978</v>
      </c>
    </row>
    <row r="2026" spans="1:2" x14ac:dyDescent="0.25">
      <c r="A2026" t="s">
        <v>15492</v>
      </c>
      <c r="B2026" t="s">
        <v>11978</v>
      </c>
    </row>
    <row r="2027" spans="1:2" x14ac:dyDescent="0.25">
      <c r="A2027" t="s">
        <v>11384</v>
      </c>
      <c r="B2027" t="s">
        <v>11607</v>
      </c>
    </row>
    <row r="2028" spans="1:2" x14ac:dyDescent="0.25">
      <c r="A2028" t="s">
        <v>3140</v>
      </c>
      <c r="B2028" t="s">
        <v>12529</v>
      </c>
    </row>
    <row r="2029" spans="1:2" x14ac:dyDescent="0.25">
      <c r="A2029" t="s">
        <v>10731</v>
      </c>
      <c r="B2029" t="s">
        <v>12529</v>
      </c>
    </row>
    <row r="2030" spans="1:2" x14ac:dyDescent="0.25">
      <c r="A2030" t="s">
        <v>5846</v>
      </c>
      <c r="B2030" t="s">
        <v>10731</v>
      </c>
    </row>
    <row r="2031" spans="1:2" x14ac:dyDescent="0.25">
      <c r="A2031" t="s">
        <v>8552</v>
      </c>
      <c r="B2031" t="s">
        <v>5846</v>
      </c>
    </row>
    <row r="2032" spans="1:2" x14ac:dyDescent="0.25">
      <c r="A2032" t="s">
        <v>12690</v>
      </c>
      <c r="B2032" t="s">
        <v>5846</v>
      </c>
    </row>
    <row r="2033" spans="1:2" x14ac:dyDescent="0.25">
      <c r="A2033" t="s">
        <v>11484</v>
      </c>
      <c r="B2033" t="s">
        <v>5846</v>
      </c>
    </row>
    <row r="2034" spans="1:2" x14ac:dyDescent="0.25">
      <c r="A2034" t="s">
        <v>4710</v>
      </c>
      <c r="B2034" t="s">
        <v>5846</v>
      </c>
    </row>
    <row r="2035" spans="1:2" x14ac:dyDescent="0.25">
      <c r="A2035" t="s">
        <v>8536</v>
      </c>
      <c r="B2035" t="s">
        <v>10731</v>
      </c>
    </row>
    <row r="2036" spans="1:2" x14ac:dyDescent="0.25">
      <c r="A2036" t="s">
        <v>9345</v>
      </c>
      <c r="B2036" t="s">
        <v>8536</v>
      </c>
    </row>
    <row r="2037" spans="1:2" x14ac:dyDescent="0.25">
      <c r="A2037" t="s">
        <v>2690</v>
      </c>
      <c r="B2037" t="s">
        <v>8536</v>
      </c>
    </row>
    <row r="2038" spans="1:2" x14ac:dyDescent="0.25">
      <c r="A2038" t="s">
        <v>12691</v>
      </c>
      <c r="B2038" t="s">
        <v>8536</v>
      </c>
    </row>
    <row r="2039" spans="1:2" x14ac:dyDescent="0.25">
      <c r="A2039" t="s">
        <v>8932</v>
      </c>
      <c r="B2039" t="s">
        <v>12691</v>
      </c>
    </row>
    <row r="2040" spans="1:2" x14ac:dyDescent="0.25">
      <c r="A2040" t="s">
        <v>324</v>
      </c>
      <c r="B2040" t="s">
        <v>8932</v>
      </c>
    </row>
    <row r="2041" spans="1:2" x14ac:dyDescent="0.25">
      <c r="A2041" t="s">
        <v>6918</v>
      </c>
      <c r="B2041" t="s">
        <v>8536</v>
      </c>
    </row>
    <row r="2042" spans="1:2" x14ac:dyDescent="0.25">
      <c r="A2042" t="s">
        <v>12253</v>
      </c>
      <c r="B2042" t="s">
        <v>6918</v>
      </c>
    </row>
    <row r="2043" spans="1:2" x14ac:dyDescent="0.25">
      <c r="A2043" t="s">
        <v>12254</v>
      </c>
      <c r="B2043" t="s">
        <v>6918</v>
      </c>
    </row>
    <row r="2044" spans="1:2" x14ac:dyDescent="0.25">
      <c r="A2044" t="s">
        <v>4711</v>
      </c>
      <c r="B2044" t="s">
        <v>8536</v>
      </c>
    </row>
    <row r="2045" spans="1:2" x14ac:dyDescent="0.25">
      <c r="A2045" t="s">
        <v>11737</v>
      </c>
      <c r="B2045" t="s">
        <v>8536</v>
      </c>
    </row>
    <row r="2046" spans="1:2" x14ac:dyDescent="0.25">
      <c r="A2046" t="s">
        <v>8933</v>
      </c>
      <c r="B2046" t="s">
        <v>10731</v>
      </c>
    </row>
    <row r="2047" spans="1:2" x14ac:dyDescent="0.25">
      <c r="A2047" t="s">
        <v>10256</v>
      </c>
      <c r="B2047" t="s">
        <v>10731</v>
      </c>
    </row>
    <row r="2048" spans="1:2" x14ac:dyDescent="0.25">
      <c r="A2048" t="s">
        <v>405</v>
      </c>
      <c r="B2048" t="s">
        <v>10256</v>
      </c>
    </row>
    <row r="2049" spans="1:2" x14ac:dyDescent="0.25">
      <c r="A2049" t="s">
        <v>11415</v>
      </c>
      <c r="B2049" t="s">
        <v>10256</v>
      </c>
    </row>
    <row r="2050" spans="1:2" x14ac:dyDescent="0.25">
      <c r="A2050" t="s">
        <v>6794</v>
      </c>
      <c r="B2050" t="s">
        <v>10256</v>
      </c>
    </row>
    <row r="2051" spans="1:2" x14ac:dyDescent="0.25">
      <c r="A2051" t="s">
        <v>5480</v>
      </c>
      <c r="B2051" t="s">
        <v>10256</v>
      </c>
    </row>
    <row r="2052" spans="1:2" x14ac:dyDescent="0.25">
      <c r="A2052" t="s">
        <v>12583</v>
      </c>
      <c r="B2052" t="s">
        <v>10256</v>
      </c>
    </row>
    <row r="2053" spans="1:2" x14ac:dyDescent="0.25">
      <c r="A2053" t="s">
        <v>9337</v>
      </c>
      <c r="B2053" t="s">
        <v>10256</v>
      </c>
    </row>
    <row r="2054" spans="1:2" x14ac:dyDescent="0.25">
      <c r="A2054" t="s">
        <v>8944</v>
      </c>
      <c r="B2054" t="s">
        <v>10256</v>
      </c>
    </row>
    <row r="2055" spans="1:2" x14ac:dyDescent="0.25">
      <c r="A2055" t="s">
        <v>5481</v>
      </c>
      <c r="B2055" t="s">
        <v>10256</v>
      </c>
    </row>
    <row r="2056" spans="1:2" x14ac:dyDescent="0.25">
      <c r="A2056" t="s">
        <v>9736</v>
      </c>
      <c r="B2056" t="s">
        <v>10256</v>
      </c>
    </row>
    <row r="2057" spans="1:2" x14ac:dyDescent="0.25">
      <c r="A2057" t="s">
        <v>11416</v>
      </c>
      <c r="B2057" t="s">
        <v>10731</v>
      </c>
    </row>
    <row r="2058" spans="1:2" x14ac:dyDescent="0.25">
      <c r="A2058" t="s">
        <v>4099</v>
      </c>
      <c r="B2058" t="s">
        <v>11416</v>
      </c>
    </row>
    <row r="2059" spans="1:2" x14ac:dyDescent="0.25">
      <c r="A2059" t="s">
        <v>15493</v>
      </c>
      <c r="B2059" t="s">
        <v>4099</v>
      </c>
    </row>
    <row r="2060" spans="1:2" x14ac:dyDescent="0.25">
      <c r="A2060" t="s">
        <v>15494</v>
      </c>
      <c r="B2060" t="s">
        <v>4099</v>
      </c>
    </row>
    <row r="2061" spans="1:2" x14ac:dyDescent="0.25">
      <c r="A2061" t="s">
        <v>8044</v>
      </c>
      <c r="B2061" t="s">
        <v>11416</v>
      </c>
    </row>
    <row r="2062" spans="1:2" x14ac:dyDescent="0.25">
      <c r="A2062" t="s">
        <v>8045</v>
      </c>
      <c r="B2062" t="s">
        <v>11416</v>
      </c>
    </row>
    <row r="2063" spans="1:2" x14ac:dyDescent="0.25">
      <c r="A2063" t="s">
        <v>8046</v>
      </c>
      <c r="B2063" t="s">
        <v>11416</v>
      </c>
    </row>
    <row r="2064" spans="1:2" x14ac:dyDescent="0.25">
      <c r="A2064" t="s">
        <v>501</v>
      </c>
      <c r="B2064" t="s">
        <v>10731</v>
      </c>
    </row>
    <row r="2065" spans="1:2" x14ac:dyDescent="0.25">
      <c r="A2065" t="s">
        <v>7399</v>
      </c>
      <c r="B2065" t="s">
        <v>10731</v>
      </c>
    </row>
    <row r="2066" spans="1:2" x14ac:dyDescent="0.25">
      <c r="A2066" t="s">
        <v>5482</v>
      </c>
      <c r="B2066" t="s">
        <v>10731</v>
      </c>
    </row>
    <row r="2067" spans="1:2" x14ac:dyDescent="0.25">
      <c r="A2067" t="s">
        <v>8013</v>
      </c>
      <c r="B2067" t="s">
        <v>12529</v>
      </c>
    </row>
    <row r="2068" spans="1:2" x14ac:dyDescent="0.25">
      <c r="A2068" t="s">
        <v>1736</v>
      </c>
      <c r="B2068" t="s">
        <v>8013</v>
      </c>
    </row>
    <row r="2069" spans="1:2" x14ac:dyDescent="0.25">
      <c r="A2069" t="s">
        <v>5135</v>
      </c>
      <c r="B2069" t="s">
        <v>8013</v>
      </c>
    </row>
    <row r="2070" spans="1:2" x14ac:dyDescent="0.25">
      <c r="A2070" t="s">
        <v>14883</v>
      </c>
      <c r="B2070" t="s">
        <v>8013</v>
      </c>
    </row>
    <row r="2071" spans="1:2" x14ac:dyDescent="0.25">
      <c r="A2071" t="s">
        <v>10249</v>
      </c>
      <c r="B2071" t="s">
        <v>14883</v>
      </c>
    </row>
    <row r="2072" spans="1:2" x14ac:dyDescent="0.25">
      <c r="A2072" t="s">
        <v>5034</v>
      </c>
      <c r="B2072" t="s">
        <v>10249</v>
      </c>
    </row>
    <row r="2073" spans="1:2" x14ac:dyDescent="0.25">
      <c r="A2073" t="s">
        <v>14272</v>
      </c>
      <c r="B2073" t="s">
        <v>10249</v>
      </c>
    </row>
    <row r="2074" spans="1:2" x14ac:dyDescent="0.25">
      <c r="A2074" t="s">
        <v>14273</v>
      </c>
      <c r="B2074" t="s">
        <v>14272</v>
      </c>
    </row>
    <row r="2075" spans="1:2" x14ac:dyDescent="0.25">
      <c r="A2075" t="s">
        <v>16484</v>
      </c>
      <c r="B2075" t="s">
        <v>10249</v>
      </c>
    </row>
    <row r="2076" spans="1:2" x14ac:dyDescent="0.25">
      <c r="A2076" t="s">
        <v>16485</v>
      </c>
      <c r="B2076" t="s">
        <v>10249</v>
      </c>
    </row>
    <row r="2077" spans="1:2" x14ac:dyDescent="0.25">
      <c r="A2077" t="s">
        <v>16486</v>
      </c>
      <c r="B2077" t="s">
        <v>10249</v>
      </c>
    </row>
    <row r="2078" spans="1:2" x14ac:dyDescent="0.25">
      <c r="A2078" t="s">
        <v>16487</v>
      </c>
      <c r="B2078" t="s">
        <v>10249</v>
      </c>
    </row>
    <row r="2079" spans="1:2" x14ac:dyDescent="0.25">
      <c r="A2079" t="s">
        <v>16488</v>
      </c>
      <c r="B2079" t="s">
        <v>10249</v>
      </c>
    </row>
    <row r="2080" spans="1:2" x14ac:dyDescent="0.25">
      <c r="A2080" t="s">
        <v>16489</v>
      </c>
      <c r="B2080" t="s">
        <v>10249</v>
      </c>
    </row>
    <row r="2081" spans="1:2" x14ac:dyDescent="0.25">
      <c r="A2081" t="s">
        <v>4220</v>
      </c>
      <c r="B2081" t="s">
        <v>14883</v>
      </c>
    </row>
    <row r="2082" spans="1:2" x14ac:dyDescent="0.25">
      <c r="A2082" t="s">
        <v>10498</v>
      </c>
      <c r="B2082" t="s">
        <v>4220</v>
      </c>
    </row>
    <row r="2083" spans="1:2" x14ac:dyDescent="0.25">
      <c r="A2083" t="s">
        <v>9861</v>
      </c>
      <c r="B2083" t="s">
        <v>10498</v>
      </c>
    </row>
    <row r="2084" spans="1:2" x14ac:dyDescent="0.25">
      <c r="A2084" t="s">
        <v>12257</v>
      </c>
      <c r="B2084" t="s">
        <v>10498</v>
      </c>
    </row>
    <row r="2085" spans="1:2" x14ac:dyDescent="0.25">
      <c r="A2085" t="s">
        <v>8669</v>
      </c>
      <c r="B2085" t="s">
        <v>10498</v>
      </c>
    </row>
    <row r="2086" spans="1:2" x14ac:dyDescent="0.25">
      <c r="A2086" t="s">
        <v>11214</v>
      </c>
      <c r="B2086" t="s">
        <v>10498</v>
      </c>
    </row>
    <row r="2087" spans="1:2" x14ac:dyDescent="0.25">
      <c r="A2087" t="s">
        <v>8670</v>
      </c>
      <c r="B2087" t="s">
        <v>4220</v>
      </c>
    </row>
    <row r="2088" spans="1:2" x14ac:dyDescent="0.25">
      <c r="A2088" t="s">
        <v>5134</v>
      </c>
      <c r="B2088" t="s">
        <v>8670</v>
      </c>
    </row>
    <row r="2089" spans="1:2" x14ac:dyDescent="0.25">
      <c r="A2089" t="s">
        <v>9049</v>
      </c>
      <c r="B2089" t="s">
        <v>8670</v>
      </c>
    </row>
    <row r="2090" spans="1:2" x14ac:dyDescent="0.25">
      <c r="A2090" t="s">
        <v>5571</v>
      </c>
      <c r="B2090" t="s">
        <v>14883</v>
      </c>
    </row>
    <row r="2091" spans="1:2" x14ac:dyDescent="0.25">
      <c r="A2091" t="s">
        <v>11488</v>
      </c>
      <c r="B2091" t="s">
        <v>14883</v>
      </c>
    </row>
    <row r="2092" spans="1:2" x14ac:dyDescent="0.25">
      <c r="A2092" t="s">
        <v>10915</v>
      </c>
      <c r="B2092" t="s">
        <v>11488</v>
      </c>
    </row>
    <row r="2093" spans="1:2" x14ac:dyDescent="0.25">
      <c r="A2093" t="s">
        <v>11492</v>
      </c>
      <c r="B2093" t="s">
        <v>10915</v>
      </c>
    </row>
    <row r="2094" spans="1:2" x14ac:dyDescent="0.25">
      <c r="A2094" t="s">
        <v>9503</v>
      </c>
      <c r="B2094" t="s">
        <v>11488</v>
      </c>
    </row>
    <row r="2095" spans="1:2" x14ac:dyDescent="0.25">
      <c r="A2095" t="s">
        <v>9508</v>
      </c>
      <c r="B2095" t="s">
        <v>9503</v>
      </c>
    </row>
    <row r="2096" spans="1:2" x14ac:dyDescent="0.25">
      <c r="A2096" t="s">
        <v>12458</v>
      </c>
      <c r="B2096" t="s">
        <v>11488</v>
      </c>
    </row>
    <row r="2097" spans="1:2" x14ac:dyDescent="0.25">
      <c r="A2097" t="s">
        <v>12525</v>
      </c>
      <c r="B2097" t="s">
        <v>12458</v>
      </c>
    </row>
    <row r="2098" spans="1:2" x14ac:dyDescent="0.25">
      <c r="A2098" t="s">
        <v>8235</v>
      </c>
      <c r="B2098" t="s">
        <v>11488</v>
      </c>
    </row>
    <row r="2099" spans="1:2" x14ac:dyDescent="0.25">
      <c r="A2099" t="s">
        <v>13106</v>
      </c>
      <c r="B2099" t="s">
        <v>8235</v>
      </c>
    </row>
    <row r="2100" spans="1:2" x14ac:dyDescent="0.25">
      <c r="A2100" t="s">
        <v>2317</v>
      </c>
      <c r="B2100" t="s">
        <v>11488</v>
      </c>
    </row>
    <row r="2101" spans="1:2" x14ac:dyDescent="0.25">
      <c r="A2101" t="s">
        <v>2319</v>
      </c>
      <c r="B2101" t="s">
        <v>2317</v>
      </c>
    </row>
    <row r="2102" spans="1:2" x14ac:dyDescent="0.25">
      <c r="A2102" t="s">
        <v>92</v>
      </c>
      <c r="B2102" t="s">
        <v>11488</v>
      </c>
    </row>
    <row r="2103" spans="1:2" x14ac:dyDescent="0.25">
      <c r="A2103" t="s">
        <v>300</v>
      </c>
      <c r="B2103" t="s">
        <v>92</v>
      </c>
    </row>
    <row r="2104" spans="1:2" x14ac:dyDescent="0.25">
      <c r="A2104" t="s">
        <v>9504</v>
      </c>
      <c r="B2104" t="s">
        <v>11488</v>
      </c>
    </row>
    <row r="2105" spans="1:2" x14ac:dyDescent="0.25">
      <c r="A2105" t="s">
        <v>9509</v>
      </c>
      <c r="B2105" t="s">
        <v>9504</v>
      </c>
    </row>
    <row r="2106" spans="1:2" x14ac:dyDescent="0.25">
      <c r="A2106" t="s">
        <v>299</v>
      </c>
      <c r="B2106" t="s">
        <v>11488</v>
      </c>
    </row>
    <row r="2107" spans="1:2" x14ac:dyDescent="0.25">
      <c r="A2107" t="s">
        <v>392</v>
      </c>
      <c r="B2107" t="s">
        <v>299</v>
      </c>
    </row>
    <row r="2108" spans="1:2" x14ac:dyDescent="0.25">
      <c r="A2108" t="s">
        <v>6441</v>
      </c>
      <c r="B2108" t="s">
        <v>11488</v>
      </c>
    </row>
    <row r="2109" spans="1:2" x14ac:dyDescent="0.25">
      <c r="A2109" t="s">
        <v>13107</v>
      </c>
      <c r="B2109" t="s">
        <v>6441</v>
      </c>
    </row>
    <row r="2110" spans="1:2" x14ac:dyDescent="0.25">
      <c r="A2110" t="s">
        <v>7615</v>
      </c>
      <c r="B2110" t="s">
        <v>11488</v>
      </c>
    </row>
    <row r="2111" spans="1:2" x14ac:dyDescent="0.25">
      <c r="A2111" t="s">
        <v>13108</v>
      </c>
      <c r="B2111" t="s">
        <v>7615</v>
      </c>
    </row>
    <row r="2112" spans="1:2" x14ac:dyDescent="0.25">
      <c r="A2112" t="s">
        <v>93</v>
      </c>
      <c r="B2112" t="s">
        <v>11488</v>
      </c>
    </row>
    <row r="2113" spans="1:2" x14ac:dyDescent="0.25">
      <c r="A2113" t="s">
        <v>13109</v>
      </c>
      <c r="B2113" t="s">
        <v>93</v>
      </c>
    </row>
    <row r="2114" spans="1:2" x14ac:dyDescent="0.25">
      <c r="A2114" t="s">
        <v>2318</v>
      </c>
      <c r="B2114" t="s">
        <v>11488</v>
      </c>
    </row>
    <row r="2115" spans="1:2" x14ac:dyDescent="0.25">
      <c r="A2115" t="s">
        <v>2656</v>
      </c>
      <c r="B2115" t="s">
        <v>2318</v>
      </c>
    </row>
    <row r="2116" spans="1:2" x14ac:dyDescent="0.25">
      <c r="A2116" t="s">
        <v>12613</v>
      </c>
      <c r="B2116" t="s">
        <v>11488</v>
      </c>
    </row>
    <row r="2117" spans="1:2" x14ac:dyDescent="0.25">
      <c r="A2117" t="s">
        <v>13110</v>
      </c>
      <c r="B2117" t="s">
        <v>12613</v>
      </c>
    </row>
    <row r="2118" spans="1:2" x14ac:dyDescent="0.25">
      <c r="A2118" t="s">
        <v>13173</v>
      </c>
      <c r="B2118" t="s">
        <v>11488</v>
      </c>
    </row>
    <row r="2119" spans="1:2" x14ac:dyDescent="0.25">
      <c r="A2119" t="s">
        <v>13317</v>
      </c>
      <c r="B2119" t="s">
        <v>13173</v>
      </c>
    </row>
    <row r="2120" spans="1:2" x14ac:dyDescent="0.25">
      <c r="A2120" t="s">
        <v>13608</v>
      </c>
      <c r="B2120" t="s">
        <v>11488</v>
      </c>
    </row>
    <row r="2121" spans="1:2" x14ac:dyDescent="0.25">
      <c r="A2121" t="s">
        <v>13609</v>
      </c>
      <c r="B2121" t="s">
        <v>13608</v>
      </c>
    </row>
    <row r="2122" spans="1:2" x14ac:dyDescent="0.25">
      <c r="A2122" t="s">
        <v>13610</v>
      </c>
      <c r="B2122" t="s">
        <v>11488</v>
      </c>
    </row>
    <row r="2123" spans="1:2" x14ac:dyDescent="0.25">
      <c r="A2123" t="s">
        <v>13611</v>
      </c>
      <c r="B2123" t="s">
        <v>13610</v>
      </c>
    </row>
    <row r="2124" spans="1:2" x14ac:dyDescent="0.25">
      <c r="A2124" t="s">
        <v>15495</v>
      </c>
      <c r="B2124" t="s">
        <v>11488</v>
      </c>
    </row>
    <row r="2125" spans="1:2" x14ac:dyDescent="0.25">
      <c r="A2125" t="s">
        <v>15496</v>
      </c>
      <c r="B2125" t="s">
        <v>15495</v>
      </c>
    </row>
    <row r="2126" spans="1:2" x14ac:dyDescent="0.25">
      <c r="A2126" t="s">
        <v>15497</v>
      </c>
      <c r="B2126" t="s">
        <v>11488</v>
      </c>
    </row>
    <row r="2127" spans="1:2" x14ac:dyDescent="0.25">
      <c r="A2127" t="s">
        <v>15498</v>
      </c>
      <c r="B2127" t="s">
        <v>15497</v>
      </c>
    </row>
    <row r="2128" spans="1:2" x14ac:dyDescent="0.25">
      <c r="A2128" t="s">
        <v>12002</v>
      </c>
      <c r="B2128" t="s">
        <v>12529</v>
      </c>
    </row>
    <row r="2129" spans="1:2" x14ac:dyDescent="0.25">
      <c r="A2129" t="s">
        <v>11399</v>
      </c>
      <c r="B2129" t="s">
        <v>12529</v>
      </c>
    </row>
    <row r="2130" spans="1:2" x14ac:dyDescent="0.25">
      <c r="A2130" t="s">
        <v>8014</v>
      </c>
      <c r="B2130" t="s">
        <v>12529</v>
      </c>
    </row>
    <row r="2131" spans="1:2" x14ac:dyDescent="0.25">
      <c r="A2131" t="s">
        <v>9724</v>
      </c>
      <c r="B2131" t="s">
        <v>8014</v>
      </c>
    </row>
    <row r="2132" spans="1:2" x14ac:dyDescent="0.25">
      <c r="A2132" t="s">
        <v>5023</v>
      </c>
      <c r="B2132" t="s">
        <v>8014</v>
      </c>
    </row>
    <row r="2133" spans="1:2" x14ac:dyDescent="0.25">
      <c r="A2133" t="s">
        <v>11074</v>
      </c>
      <c r="B2133" t="s">
        <v>12529</v>
      </c>
    </row>
    <row r="2134" spans="1:2" x14ac:dyDescent="0.25">
      <c r="A2134" t="s">
        <v>5024</v>
      </c>
      <c r="B2134" t="s">
        <v>11074</v>
      </c>
    </row>
    <row r="2135" spans="1:2" x14ac:dyDescent="0.25">
      <c r="A2135" t="s">
        <v>12874</v>
      </c>
      <c r="B2135" t="s">
        <v>11074</v>
      </c>
    </row>
    <row r="2136" spans="1:2" x14ac:dyDescent="0.25">
      <c r="A2136" t="s">
        <v>10466</v>
      </c>
      <c r="B2136" t="s">
        <v>12874</v>
      </c>
    </row>
    <row r="2137" spans="1:2" x14ac:dyDescent="0.25">
      <c r="A2137" t="s">
        <v>12815</v>
      </c>
      <c r="B2137" t="s">
        <v>10466</v>
      </c>
    </row>
    <row r="2138" spans="1:2" x14ac:dyDescent="0.25">
      <c r="A2138" t="s">
        <v>11689</v>
      </c>
      <c r="B2138" t="s">
        <v>12815</v>
      </c>
    </row>
    <row r="2139" spans="1:2" x14ac:dyDescent="0.25">
      <c r="A2139" t="s">
        <v>12600</v>
      </c>
      <c r="B2139" t="s">
        <v>11689</v>
      </c>
    </row>
    <row r="2140" spans="1:2" x14ac:dyDescent="0.25">
      <c r="A2140" t="s">
        <v>10467</v>
      </c>
      <c r="B2140" t="s">
        <v>11689</v>
      </c>
    </row>
    <row r="2141" spans="1:2" x14ac:dyDescent="0.25">
      <c r="A2141" t="s">
        <v>12200</v>
      </c>
      <c r="B2141" t="s">
        <v>12815</v>
      </c>
    </row>
    <row r="2142" spans="1:2" x14ac:dyDescent="0.25">
      <c r="A2142" t="s">
        <v>9842</v>
      </c>
      <c r="B2142" t="s">
        <v>12200</v>
      </c>
    </row>
    <row r="2143" spans="1:2" x14ac:dyDescent="0.25">
      <c r="A2143" t="s">
        <v>9843</v>
      </c>
      <c r="B2143" t="s">
        <v>12200</v>
      </c>
    </row>
    <row r="2144" spans="1:2" x14ac:dyDescent="0.25">
      <c r="A2144" t="s">
        <v>4213</v>
      </c>
      <c r="B2144" t="s">
        <v>12200</v>
      </c>
    </row>
    <row r="2145" spans="1:2" x14ac:dyDescent="0.25">
      <c r="A2145" t="s">
        <v>2304</v>
      </c>
      <c r="B2145" t="s">
        <v>12200</v>
      </c>
    </row>
    <row r="2146" spans="1:2" x14ac:dyDescent="0.25">
      <c r="A2146" t="s">
        <v>10468</v>
      </c>
      <c r="B2146" t="s">
        <v>12200</v>
      </c>
    </row>
    <row r="2147" spans="1:2" x14ac:dyDescent="0.25">
      <c r="A2147" t="s">
        <v>5959</v>
      </c>
      <c r="B2147" t="s">
        <v>12200</v>
      </c>
    </row>
    <row r="2148" spans="1:2" x14ac:dyDescent="0.25">
      <c r="A2148" t="s">
        <v>5114</v>
      </c>
      <c r="B2148" t="s">
        <v>12200</v>
      </c>
    </row>
    <row r="2149" spans="1:2" x14ac:dyDescent="0.25">
      <c r="A2149" t="s">
        <v>2305</v>
      </c>
      <c r="B2149" t="s">
        <v>12200</v>
      </c>
    </row>
    <row r="2150" spans="1:2" x14ac:dyDescent="0.25">
      <c r="A2150" t="s">
        <v>5554</v>
      </c>
      <c r="B2150" t="s">
        <v>12200</v>
      </c>
    </row>
    <row r="2151" spans="1:2" x14ac:dyDescent="0.25">
      <c r="A2151" t="s">
        <v>9484</v>
      </c>
      <c r="B2151" t="s">
        <v>12200</v>
      </c>
    </row>
    <row r="2152" spans="1:2" x14ac:dyDescent="0.25">
      <c r="A2152" t="s">
        <v>6906</v>
      </c>
      <c r="B2152" t="s">
        <v>12200</v>
      </c>
    </row>
    <row r="2153" spans="1:2" x14ac:dyDescent="0.25">
      <c r="A2153" t="s">
        <v>9036</v>
      </c>
      <c r="B2153" t="s">
        <v>12200</v>
      </c>
    </row>
    <row r="2154" spans="1:2" x14ac:dyDescent="0.25">
      <c r="A2154" t="s">
        <v>2716</v>
      </c>
      <c r="B2154" t="s">
        <v>12200</v>
      </c>
    </row>
    <row r="2155" spans="1:2" x14ac:dyDescent="0.25">
      <c r="A2155" t="s">
        <v>7596</v>
      </c>
      <c r="B2155" t="s">
        <v>12200</v>
      </c>
    </row>
    <row r="2156" spans="1:2" x14ac:dyDescent="0.25">
      <c r="A2156" t="s">
        <v>1728</v>
      </c>
      <c r="B2156" t="s">
        <v>12200</v>
      </c>
    </row>
    <row r="2157" spans="1:2" x14ac:dyDescent="0.25">
      <c r="A2157" t="s">
        <v>293</v>
      </c>
      <c r="B2157" t="s">
        <v>12200</v>
      </c>
    </row>
    <row r="2158" spans="1:2" x14ac:dyDescent="0.25">
      <c r="A2158" t="s">
        <v>3194</v>
      </c>
      <c r="B2158" t="s">
        <v>12200</v>
      </c>
    </row>
    <row r="2159" spans="1:2" x14ac:dyDescent="0.25">
      <c r="A2159" t="s">
        <v>9485</v>
      </c>
      <c r="B2159" t="s">
        <v>12200</v>
      </c>
    </row>
    <row r="2160" spans="1:2" x14ac:dyDescent="0.25">
      <c r="A2160" t="s">
        <v>12601</v>
      </c>
      <c r="B2160" t="s">
        <v>12200</v>
      </c>
    </row>
    <row r="2161" spans="1:2" x14ac:dyDescent="0.25">
      <c r="A2161" t="s">
        <v>13318</v>
      </c>
      <c r="B2161" t="s">
        <v>12200</v>
      </c>
    </row>
    <row r="2162" spans="1:2" x14ac:dyDescent="0.25">
      <c r="A2162" t="s">
        <v>11886</v>
      </c>
      <c r="B2162" t="s">
        <v>10466</v>
      </c>
    </row>
    <row r="2163" spans="1:2" x14ac:dyDescent="0.25">
      <c r="A2163" t="s">
        <v>11690</v>
      </c>
      <c r="B2163" t="s">
        <v>11886</v>
      </c>
    </row>
    <row r="2164" spans="1:2" x14ac:dyDescent="0.25">
      <c r="A2164" t="s">
        <v>12602</v>
      </c>
      <c r="B2164" t="s">
        <v>11690</v>
      </c>
    </row>
    <row r="2165" spans="1:2" x14ac:dyDescent="0.25">
      <c r="A2165" t="s">
        <v>10469</v>
      </c>
      <c r="B2165" t="s">
        <v>11690</v>
      </c>
    </row>
    <row r="2166" spans="1:2" x14ac:dyDescent="0.25">
      <c r="A2166" t="s">
        <v>12201</v>
      </c>
      <c r="B2166" t="s">
        <v>11886</v>
      </c>
    </row>
    <row r="2167" spans="1:2" x14ac:dyDescent="0.25">
      <c r="A2167" t="s">
        <v>10470</v>
      </c>
      <c r="B2167" t="s">
        <v>12201</v>
      </c>
    </row>
    <row r="2168" spans="1:2" x14ac:dyDescent="0.25">
      <c r="A2168" t="s">
        <v>9486</v>
      </c>
      <c r="B2168" t="s">
        <v>12201</v>
      </c>
    </row>
    <row r="2169" spans="1:2" x14ac:dyDescent="0.25">
      <c r="A2169" t="s">
        <v>89</v>
      </c>
      <c r="B2169" t="s">
        <v>12201</v>
      </c>
    </row>
    <row r="2170" spans="1:2" x14ac:dyDescent="0.25">
      <c r="A2170" t="s">
        <v>9487</v>
      </c>
      <c r="B2170" t="s">
        <v>12201</v>
      </c>
    </row>
    <row r="2171" spans="1:2" x14ac:dyDescent="0.25">
      <c r="A2171" t="s">
        <v>7597</v>
      </c>
      <c r="B2171" t="s">
        <v>12201</v>
      </c>
    </row>
    <row r="2172" spans="1:2" x14ac:dyDescent="0.25">
      <c r="A2172" t="s">
        <v>1729</v>
      </c>
      <c r="B2172" t="s">
        <v>12201</v>
      </c>
    </row>
    <row r="2173" spans="1:2" x14ac:dyDescent="0.25">
      <c r="A2173" t="s">
        <v>5555</v>
      </c>
      <c r="B2173" t="s">
        <v>12201</v>
      </c>
    </row>
    <row r="2174" spans="1:2" x14ac:dyDescent="0.25">
      <c r="A2174" t="s">
        <v>3195</v>
      </c>
      <c r="B2174" t="s">
        <v>12201</v>
      </c>
    </row>
    <row r="2175" spans="1:2" x14ac:dyDescent="0.25">
      <c r="A2175" t="s">
        <v>294</v>
      </c>
      <c r="B2175" t="s">
        <v>12201</v>
      </c>
    </row>
    <row r="2176" spans="1:2" x14ac:dyDescent="0.25">
      <c r="A2176" t="s">
        <v>2306</v>
      </c>
      <c r="B2176" t="s">
        <v>12201</v>
      </c>
    </row>
    <row r="2177" spans="1:2" x14ac:dyDescent="0.25">
      <c r="A2177" t="s">
        <v>9844</v>
      </c>
      <c r="B2177" t="s">
        <v>12201</v>
      </c>
    </row>
    <row r="2178" spans="1:2" x14ac:dyDescent="0.25">
      <c r="A2178" t="s">
        <v>5115</v>
      </c>
      <c r="B2178" t="s">
        <v>12201</v>
      </c>
    </row>
    <row r="2179" spans="1:2" x14ac:dyDescent="0.25">
      <c r="A2179" t="s">
        <v>534</v>
      </c>
      <c r="B2179" t="s">
        <v>12201</v>
      </c>
    </row>
    <row r="2180" spans="1:2" x14ac:dyDescent="0.25">
      <c r="A2180" t="s">
        <v>9845</v>
      </c>
      <c r="B2180" t="s">
        <v>12201</v>
      </c>
    </row>
    <row r="2181" spans="1:2" x14ac:dyDescent="0.25">
      <c r="A2181" t="s">
        <v>11200</v>
      </c>
      <c r="B2181" t="s">
        <v>12201</v>
      </c>
    </row>
    <row r="2182" spans="1:2" x14ac:dyDescent="0.25">
      <c r="A2182" t="s">
        <v>12603</v>
      </c>
      <c r="B2182" t="s">
        <v>12201</v>
      </c>
    </row>
    <row r="2183" spans="1:2" x14ac:dyDescent="0.25">
      <c r="A2183" t="s">
        <v>13319</v>
      </c>
      <c r="B2183" t="s">
        <v>12201</v>
      </c>
    </row>
    <row r="2184" spans="1:2" x14ac:dyDescent="0.25">
      <c r="A2184" t="s">
        <v>13320</v>
      </c>
      <c r="B2184" t="s">
        <v>12201</v>
      </c>
    </row>
    <row r="2185" spans="1:2" x14ac:dyDescent="0.25">
      <c r="A2185" t="s">
        <v>13321</v>
      </c>
      <c r="B2185" t="s">
        <v>12201</v>
      </c>
    </row>
    <row r="2186" spans="1:2" x14ac:dyDescent="0.25">
      <c r="A2186" t="s">
        <v>10890</v>
      </c>
      <c r="B2186" t="s">
        <v>11886</v>
      </c>
    </row>
    <row r="2187" spans="1:2" x14ac:dyDescent="0.25">
      <c r="A2187" t="s">
        <v>11691</v>
      </c>
      <c r="B2187" t="s">
        <v>10466</v>
      </c>
    </row>
    <row r="2188" spans="1:2" x14ac:dyDescent="0.25">
      <c r="A2188" t="s">
        <v>11692</v>
      </c>
      <c r="B2188" t="s">
        <v>11691</v>
      </c>
    </row>
    <row r="2189" spans="1:2" x14ac:dyDescent="0.25">
      <c r="A2189" t="s">
        <v>12604</v>
      </c>
      <c r="B2189" t="s">
        <v>11692</v>
      </c>
    </row>
    <row r="2190" spans="1:2" x14ac:dyDescent="0.25">
      <c r="A2190" t="s">
        <v>10471</v>
      </c>
      <c r="B2190" t="s">
        <v>11692</v>
      </c>
    </row>
    <row r="2191" spans="1:2" x14ac:dyDescent="0.25">
      <c r="A2191" t="s">
        <v>12202</v>
      </c>
      <c r="B2191" t="s">
        <v>11691</v>
      </c>
    </row>
    <row r="2192" spans="1:2" x14ac:dyDescent="0.25">
      <c r="A2192" t="s">
        <v>10472</v>
      </c>
      <c r="B2192" t="s">
        <v>12202</v>
      </c>
    </row>
    <row r="2193" spans="1:2" x14ac:dyDescent="0.25">
      <c r="A2193" t="s">
        <v>5960</v>
      </c>
      <c r="B2193" t="s">
        <v>12202</v>
      </c>
    </row>
    <row r="2194" spans="1:2" x14ac:dyDescent="0.25">
      <c r="A2194" t="s">
        <v>9488</v>
      </c>
      <c r="B2194" t="s">
        <v>12202</v>
      </c>
    </row>
    <row r="2195" spans="1:2" x14ac:dyDescent="0.25">
      <c r="A2195" t="s">
        <v>7598</v>
      </c>
      <c r="B2195" t="s">
        <v>12202</v>
      </c>
    </row>
    <row r="2196" spans="1:2" x14ac:dyDescent="0.25">
      <c r="A2196" t="s">
        <v>2307</v>
      </c>
      <c r="B2196" t="s">
        <v>12202</v>
      </c>
    </row>
    <row r="2197" spans="1:2" x14ac:dyDescent="0.25">
      <c r="A2197" t="s">
        <v>4214</v>
      </c>
      <c r="B2197" t="s">
        <v>12202</v>
      </c>
    </row>
    <row r="2198" spans="1:2" x14ac:dyDescent="0.25">
      <c r="A2198" t="s">
        <v>5556</v>
      </c>
      <c r="B2198" t="s">
        <v>12202</v>
      </c>
    </row>
    <row r="2199" spans="1:2" x14ac:dyDescent="0.25">
      <c r="A2199" t="s">
        <v>1730</v>
      </c>
      <c r="B2199" t="s">
        <v>12202</v>
      </c>
    </row>
    <row r="2200" spans="1:2" x14ac:dyDescent="0.25">
      <c r="A2200" t="s">
        <v>3196</v>
      </c>
      <c r="B2200" t="s">
        <v>12202</v>
      </c>
    </row>
    <row r="2201" spans="1:2" x14ac:dyDescent="0.25">
      <c r="A2201" t="s">
        <v>295</v>
      </c>
      <c r="B2201" t="s">
        <v>12202</v>
      </c>
    </row>
    <row r="2202" spans="1:2" x14ac:dyDescent="0.25">
      <c r="A2202" t="s">
        <v>2308</v>
      </c>
      <c r="B2202" t="s">
        <v>12202</v>
      </c>
    </row>
    <row r="2203" spans="1:2" x14ac:dyDescent="0.25">
      <c r="A2203" t="s">
        <v>9846</v>
      </c>
      <c r="B2203" t="s">
        <v>12202</v>
      </c>
    </row>
    <row r="2204" spans="1:2" x14ac:dyDescent="0.25">
      <c r="A2204" t="s">
        <v>5116</v>
      </c>
      <c r="B2204" t="s">
        <v>12202</v>
      </c>
    </row>
    <row r="2205" spans="1:2" x14ac:dyDescent="0.25">
      <c r="A2205" t="s">
        <v>9847</v>
      </c>
      <c r="B2205" t="s">
        <v>12202</v>
      </c>
    </row>
    <row r="2206" spans="1:2" x14ac:dyDescent="0.25">
      <c r="A2206" t="s">
        <v>11201</v>
      </c>
      <c r="B2206" t="s">
        <v>12202</v>
      </c>
    </row>
    <row r="2207" spans="1:2" x14ac:dyDescent="0.25">
      <c r="A2207" t="s">
        <v>12605</v>
      </c>
      <c r="B2207" t="s">
        <v>12202</v>
      </c>
    </row>
    <row r="2208" spans="1:2" x14ac:dyDescent="0.25">
      <c r="A2208" t="s">
        <v>13322</v>
      </c>
      <c r="B2208" t="s">
        <v>12202</v>
      </c>
    </row>
    <row r="2209" spans="1:2" x14ac:dyDescent="0.25">
      <c r="A2209" t="s">
        <v>10473</v>
      </c>
      <c r="B2209" t="s">
        <v>10466</v>
      </c>
    </row>
    <row r="2210" spans="1:2" x14ac:dyDescent="0.25">
      <c r="A2210" t="s">
        <v>11693</v>
      </c>
      <c r="B2210" t="s">
        <v>10473</v>
      </c>
    </row>
    <row r="2211" spans="1:2" x14ac:dyDescent="0.25">
      <c r="A2211" t="s">
        <v>12606</v>
      </c>
      <c r="B2211" t="s">
        <v>11693</v>
      </c>
    </row>
    <row r="2212" spans="1:2" x14ac:dyDescent="0.25">
      <c r="A2212" t="s">
        <v>10474</v>
      </c>
      <c r="B2212" t="s">
        <v>11693</v>
      </c>
    </row>
    <row r="2213" spans="1:2" x14ac:dyDescent="0.25">
      <c r="A2213" t="s">
        <v>12203</v>
      </c>
      <c r="B2213" t="s">
        <v>10473</v>
      </c>
    </row>
    <row r="2214" spans="1:2" x14ac:dyDescent="0.25">
      <c r="A2214" t="s">
        <v>10475</v>
      </c>
      <c r="B2214" t="s">
        <v>12203</v>
      </c>
    </row>
    <row r="2215" spans="1:2" x14ac:dyDescent="0.25">
      <c r="A2215" t="s">
        <v>5961</v>
      </c>
      <c r="B2215" t="s">
        <v>12203</v>
      </c>
    </row>
    <row r="2216" spans="1:2" x14ac:dyDescent="0.25">
      <c r="A2216" t="s">
        <v>9489</v>
      </c>
      <c r="B2216" t="s">
        <v>12203</v>
      </c>
    </row>
    <row r="2217" spans="1:2" x14ac:dyDescent="0.25">
      <c r="A2217" t="s">
        <v>7599</v>
      </c>
      <c r="B2217" t="s">
        <v>12203</v>
      </c>
    </row>
    <row r="2218" spans="1:2" x14ac:dyDescent="0.25">
      <c r="A2218" t="s">
        <v>2309</v>
      </c>
      <c r="B2218" t="s">
        <v>12203</v>
      </c>
    </row>
    <row r="2219" spans="1:2" x14ac:dyDescent="0.25">
      <c r="A2219" t="s">
        <v>4215</v>
      </c>
      <c r="B2219" t="s">
        <v>12203</v>
      </c>
    </row>
    <row r="2220" spans="1:2" x14ac:dyDescent="0.25">
      <c r="A2220" t="s">
        <v>5557</v>
      </c>
      <c r="B2220" t="s">
        <v>12203</v>
      </c>
    </row>
    <row r="2221" spans="1:2" x14ac:dyDescent="0.25">
      <c r="A2221" t="s">
        <v>1731</v>
      </c>
      <c r="B2221" t="s">
        <v>12203</v>
      </c>
    </row>
    <row r="2222" spans="1:2" x14ac:dyDescent="0.25">
      <c r="A2222" t="s">
        <v>3197</v>
      </c>
      <c r="B2222" t="s">
        <v>12203</v>
      </c>
    </row>
    <row r="2223" spans="1:2" x14ac:dyDescent="0.25">
      <c r="A2223" t="s">
        <v>296</v>
      </c>
      <c r="B2223" t="s">
        <v>12203</v>
      </c>
    </row>
    <row r="2224" spans="1:2" x14ac:dyDescent="0.25">
      <c r="A2224" t="s">
        <v>2310</v>
      </c>
      <c r="B2224" t="s">
        <v>12203</v>
      </c>
    </row>
    <row r="2225" spans="1:2" x14ac:dyDescent="0.25">
      <c r="A2225" t="s">
        <v>9848</v>
      </c>
      <c r="B2225" t="s">
        <v>12203</v>
      </c>
    </row>
    <row r="2226" spans="1:2" x14ac:dyDescent="0.25">
      <c r="A2226" t="s">
        <v>5117</v>
      </c>
      <c r="B2226" t="s">
        <v>12203</v>
      </c>
    </row>
    <row r="2227" spans="1:2" x14ac:dyDescent="0.25">
      <c r="A2227" t="s">
        <v>9849</v>
      </c>
      <c r="B2227" t="s">
        <v>12203</v>
      </c>
    </row>
    <row r="2228" spans="1:2" x14ac:dyDescent="0.25">
      <c r="A2228" t="s">
        <v>11202</v>
      </c>
      <c r="B2228" t="s">
        <v>12203</v>
      </c>
    </row>
    <row r="2229" spans="1:2" x14ac:dyDescent="0.25">
      <c r="A2229" t="s">
        <v>12607</v>
      </c>
      <c r="B2229" t="s">
        <v>12203</v>
      </c>
    </row>
    <row r="2230" spans="1:2" x14ac:dyDescent="0.25">
      <c r="A2230" t="s">
        <v>13323</v>
      </c>
      <c r="B2230" t="s">
        <v>12203</v>
      </c>
    </row>
    <row r="2231" spans="1:2" x14ac:dyDescent="0.25">
      <c r="A2231" t="s">
        <v>15499</v>
      </c>
      <c r="B2231" t="s">
        <v>10466</v>
      </c>
    </row>
    <row r="2232" spans="1:2" x14ac:dyDescent="0.25">
      <c r="A2232" t="s">
        <v>15500</v>
      </c>
      <c r="B2232" t="s">
        <v>15499</v>
      </c>
    </row>
    <row r="2233" spans="1:2" x14ac:dyDescent="0.25">
      <c r="A2233" t="s">
        <v>15501</v>
      </c>
      <c r="B2233" t="s">
        <v>15500</v>
      </c>
    </row>
    <row r="2234" spans="1:2" x14ac:dyDescent="0.25">
      <c r="A2234" t="s">
        <v>15502</v>
      </c>
      <c r="B2234" t="s">
        <v>15500</v>
      </c>
    </row>
    <row r="2235" spans="1:2" x14ac:dyDescent="0.25">
      <c r="A2235" t="s">
        <v>15503</v>
      </c>
      <c r="B2235" t="s">
        <v>15500</v>
      </c>
    </row>
    <row r="2236" spans="1:2" x14ac:dyDescent="0.25">
      <c r="A2236" t="s">
        <v>15504</v>
      </c>
      <c r="B2236" t="s">
        <v>15499</v>
      </c>
    </row>
    <row r="2237" spans="1:2" x14ac:dyDescent="0.25">
      <c r="A2237" t="s">
        <v>15505</v>
      </c>
      <c r="B2237" t="s">
        <v>15504</v>
      </c>
    </row>
    <row r="2238" spans="1:2" x14ac:dyDescent="0.25">
      <c r="A2238" t="s">
        <v>15506</v>
      </c>
      <c r="B2238" t="s">
        <v>15504</v>
      </c>
    </row>
    <row r="2239" spans="1:2" x14ac:dyDescent="0.25">
      <c r="A2239" t="s">
        <v>15507</v>
      </c>
      <c r="B2239" t="s">
        <v>15504</v>
      </c>
    </row>
    <row r="2240" spans="1:2" x14ac:dyDescent="0.25">
      <c r="A2240" t="s">
        <v>15508</v>
      </c>
      <c r="B2240" t="s">
        <v>15504</v>
      </c>
    </row>
    <row r="2241" spans="1:2" x14ac:dyDescent="0.25">
      <c r="A2241" t="s">
        <v>15509</v>
      </c>
      <c r="B2241" t="s">
        <v>15504</v>
      </c>
    </row>
    <row r="2242" spans="1:2" x14ac:dyDescent="0.25">
      <c r="A2242" t="s">
        <v>15510</v>
      </c>
      <c r="B2242" t="s">
        <v>15504</v>
      </c>
    </row>
    <row r="2243" spans="1:2" x14ac:dyDescent="0.25">
      <c r="A2243" t="s">
        <v>15511</v>
      </c>
      <c r="B2243" t="s">
        <v>15504</v>
      </c>
    </row>
    <row r="2244" spans="1:2" x14ac:dyDescent="0.25">
      <c r="A2244" t="s">
        <v>15512</v>
      </c>
      <c r="B2244" t="s">
        <v>15504</v>
      </c>
    </row>
    <row r="2245" spans="1:2" x14ac:dyDescent="0.25">
      <c r="A2245" t="s">
        <v>15513</v>
      </c>
      <c r="B2245" t="s">
        <v>15504</v>
      </c>
    </row>
    <row r="2246" spans="1:2" x14ac:dyDescent="0.25">
      <c r="A2246" t="s">
        <v>15514</v>
      </c>
      <c r="B2246" t="s">
        <v>15504</v>
      </c>
    </row>
    <row r="2247" spans="1:2" x14ac:dyDescent="0.25">
      <c r="A2247" t="s">
        <v>15515</v>
      </c>
      <c r="B2247" t="s">
        <v>15504</v>
      </c>
    </row>
    <row r="2248" spans="1:2" x14ac:dyDescent="0.25">
      <c r="A2248" t="s">
        <v>15516</v>
      </c>
      <c r="B2248" t="s">
        <v>15504</v>
      </c>
    </row>
    <row r="2249" spans="1:2" x14ac:dyDescent="0.25">
      <c r="A2249" t="s">
        <v>15517</v>
      </c>
      <c r="B2249" t="s">
        <v>15504</v>
      </c>
    </row>
    <row r="2250" spans="1:2" x14ac:dyDescent="0.25">
      <c r="A2250" t="s">
        <v>15518</v>
      </c>
      <c r="B2250" t="s">
        <v>15504</v>
      </c>
    </row>
    <row r="2251" spans="1:2" x14ac:dyDescent="0.25">
      <c r="A2251" t="s">
        <v>15519</v>
      </c>
      <c r="B2251" t="s">
        <v>15504</v>
      </c>
    </row>
    <row r="2252" spans="1:2" x14ac:dyDescent="0.25">
      <c r="A2252" t="s">
        <v>15520</v>
      </c>
      <c r="B2252" t="s">
        <v>15504</v>
      </c>
    </row>
    <row r="2253" spans="1:2" x14ac:dyDescent="0.25">
      <c r="A2253" t="s">
        <v>15521</v>
      </c>
      <c r="B2253" t="s">
        <v>15504</v>
      </c>
    </row>
    <row r="2254" spans="1:2" x14ac:dyDescent="0.25">
      <c r="A2254" t="s">
        <v>15522</v>
      </c>
      <c r="B2254" t="s">
        <v>15504</v>
      </c>
    </row>
    <row r="2255" spans="1:2" x14ac:dyDescent="0.25">
      <c r="A2255" t="s">
        <v>15523</v>
      </c>
      <c r="B2255" t="s">
        <v>15504</v>
      </c>
    </row>
    <row r="2256" spans="1:2" x14ac:dyDescent="0.25">
      <c r="A2256" t="s">
        <v>15539</v>
      </c>
      <c r="B2256" t="s">
        <v>15504</v>
      </c>
    </row>
    <row r="2257" spans="1:2" x14ac:dyDescent="0.25">
      <c r="A2257" t="s">
        <v>16501</v>
      </c>
      <c r="B2257" t="s">
        <v>15504</v>
      </c>
    </row>
    <row r="2258" spans="1:2" x14ac:dyDescent="0.25">
      <c r="A2258" t="s">
        <v>7600</v>
      </c>
      <c r="B2258" t="s">
        <v>12874</v>
      </c>
    </row>
    <row r="2259" spans="1:2" x14ac:dyDescent="0.25">
      <c r="A2259" t="s">
        <v>12816</v>
      </c>
      <c r="B2259" t="s">
        <v>7600</v>
      </c>
    </row>
    <row r="2260" spans="1:2" x14ac:dyDescent="0.25">
      <c r="A2260" t="s">
        <v>11694</v>
      </c>
      <c r="B2260" t="s">
        <v>12816</v>
      </c>
    </row>
    <row r="2261" spans="1:2" x14ac:dyDescent="0.25">
      <c r="A2261" t="s">
        <v>11887</v>
      </c>
      <c r="B2261" t="s">
        <v>11694</v>
      </c>
    </row>
    <row r="2262" spans="1:2" x14ac:dyDescent="0.25">
      <c r="A2262" t="s">
        <v>12204</v>
      </c>
      <c r="B2262" t="s">
        <v>12816</v>
      </c>
    </row>
    <row r="2263" spans="1:2" x14ac:dyDescent="0.25">
      <c r="A2263" t="s">
        <v>8646</v>
      </c>
      <c r="B2263" t="s">
        <v>12204</v>
      </c>
    </row>
    <row r="2264" spans="1:2" x14ac:dyDescent="0.25">
      <c r="A2264" t="s">
        <v>5118</v>
      </c>
      <c r="B2264" t="s">
        <v>12204</v>
      </c>
    </row>
    <row r="2265" spans="1:2" x14ac:dyDescent="0.25">
      <c r="A2265" t="s">
        <v>10891</v>
      </c>
      <c r="B2265" t="s">
        <v>12204</v>
      </c>
    </row>
    <row r="2266" spans="1:2" x14ac:dyDescent="0.25">
      <c r="A2266" t="s">
        <v>10892</v>
      </c>
      <c r="B2266" t="s">
        <v>12204</v>
      </c>
    </row>
    <row r="2267" spans="1:2" x14ac:dyDescent="0.25">
      <c r="A2267" t="s">
        <v>11468</v>
      </c>
      <c r="B2267" t="s">
        <v>12204</v>
      </c>
    </row>
    <row r="2268" spans="1:2" x14ac:dyDescent="0.25">
      <c r="A2268" t="s">
        <v>11469</v>
      </c>
      <c r="B2268" t="s">
        <v>12204</v>
      </c>
    </row>
    <row r="2269" spans="1:2" x14ac:dyDescent="0.25">
      <c r="A2269" t="s">
        <v>5962</v>
      </c>
      <c r="B2269" t="s">
        <v>12204</v>
      </c>
    </row>
    <row r="2270" spans="1:2" x14ac:dyDescent="0.25">
      <c r="A2270" t="s">
        <v>10893</v>
      </c>
      <c r="B2270" t="s">
        <v>12204</v>
      </c>
    </row>
    <row r="2271" spans="1:2" x14ac:dyDescent="0.25">
      <c r="A2271" t="s">
        <v>8647</v>
      </c>
      <c r="B2271" t="s">
        <v>12204</v>
      </c>
    </row>
    <row r="2272" spans="1:2" x14ac:dyDescent="0.25">
      <c r="A2272" t="s">
        <v>11695</v>
      </c>
      <c r="B2272" t="s">
        <v>12204</v>
      </c>
    </row>
    <row r="2273" spans="1:2" x14ac:dyDescent="0.25">
      <c r="A2273" t="s">
        <v>9037</v>
      </c>
      <c r="B2273" t="s">
        <v>12204</v>
      </c>
    </row>
    <row r="2274" spans="1:2" x14ac:dyDescent="0.25">
      <c r="A2274" t="s">
        <v>11696</v>
      </c>
      <c r="B2274" t="s">
        <v>12204</v>
      </c>
    </row>
    <row r="2275" spans="1:2" x14ac:dyDescent="0.25">
      <c r="A2275" t="s">
        <v>10476</v>
      </c>
      <c r="B2275" t="s">
        <v>12204</v>
      </c>
    </row>
    <row r="2276" spans="1:2" x14ac:dyDescent="0.25">
      <c r="A2276" t="s">
        <v>12205</v>
      </c>
      <c r="B2276" t="s">
        <v>12204</v>
      </c>
    </row>
    <row r="2277" spans="1:2" x14ac:dyDescent="0.25">
      <c r="A2277" t="s">
        <v>12206</v>
      </c>
      <c r="B2277" t="s">
        <v>12204</v>
      </c>
    </row>
    <row r="2278" spans="1:2" x14ac:dyDescent="0.25">
      <c r="A2278" t="s">
        <v>12696</v>
      </c>
      <c r="B2278" t="s">
        <v>12204</v>
      </c>
    </row>
    <row r="2279" spans="1:2" x14ac:dyDescent="0.25">
      <c r="A2279" t="s">
        <v>11888</v>
      </c>
      <c r="B2279" t="s">
        <v>7600</v>
      </c>
    </row>
    <row r="2280" spans="1:2" x14ac:dyDescent="0.25">
      <c r="A2280" t="s">
        <v>11697</v>
      </c>
      <c r="B2280" t="s">
        <v>11888</v>
      </c>
    </row>
    <row r="2281" spans="1:2" x14ac:dyDescent="0.25">
      <c r="A2281" t="s">
        <v>10477</v>
      </c>
      <c r="B2281" t="s">
        <v>11697</v>
      </c>
    </row>
    <row r="2282" spans="1:2" x14ac:dyDescent="0.25">
      <c r="A2282" t="s">
        <v>12207</v>
      </c>
      <c r="B2282" t="s">
        <v>11888</v>
      </c>
    </row>
    <row r="2283" spans="1:2" x14ac:dyDescent="0.25">
      <c r="A2283" t="s">
        <v>8648</v>
      </c>
      <c r="B2283" t="s">
        <v>12207</v>
      </c>
    </row>
    <row r="2284" spans="1:2" x14ac:dyDescent="0.25">
      <c r="A2284" t="s">
        <v>5119</v>
      </c>
      <c r="B2284" t="s">
        <v>12207</v>
      </c>
    </row>
    <row r="2285" spans="1:2" x14ac:dyDescent="0.25">
      <c r="A2285" t="s">
        <v>10894</v>
      </c>
      <c r="B2285" t="s">
        <v>12207</v>
      </c>
    </row>
    <row r="2286" spans="1:2" x14ac:dyDescent="0.25">
      <c r="A2286" t="s">
        <v>10895</v>
      </c>
      <c r="B2286" t="s">
        <v>12207</v>
      </c>
    </row>
    <row r="2287" spans="1:2" x14ac:dyDescent="0.25">
      <c r="A2287" t="s">
        <v>11470</v>
      </c>
      <c r="B2287" t="s">
        <v>12207</v>
      </c>
    </row>
    <row r="2288" spans="1:2" x14ac:dyDescent="0.25">
      <c r="A2288" t="s">
        <v>11471</v>
      </c>
      <c r="B2288" t="s">
        <v>12207</v>
      </c>
    </row>
    <row r="2289" spans="1:2" x14ac:dyDescent="0.25">
      <c r="A2289" t="s">
        <v>5963</v>
      </c>
      <c r="B2289" t="s">
        <v>12207</v>
      </c>
    </row>
    <row r="2290" spans="1:2" x14ac:dyDescent="0.25">
      <c r="A2290" t="s">
        <v>10896</v>
      </c>
      <c r="B2290" t="s">
        <v>12207</v>
      </c>
    </row>
    <row r="2291" spans="1:2" x14ac:dyDescent="0.25">
      <c r="A2291" t="s">
        <v>8649</v>
      </c>
      <c r="B2291" t="s">
        <v>12207</v>
      </c>
    </row>
    <row r="2292" spans="1:2" x14ac:dyDescent="0.25">
      <c r="A2292" t="s">
        <v>11698</v>
      </c>
      <c r="B2292" t="s">
        <v>12207</v>
      </c>
    </row>
    <row r="2293" spans="1:2" x14ac:dyDescent="0.25">
      <c r="A2293" t="s">
        <v>9038</v>
      </c>
      <c r="B2293" t="s">
        <v>12207</v>
      </c>
    </row>
    <row r="2294" spans="1:2" x14ac:dyDescent="0.25">
      <c r="A2294" t="s">
        <v>11699</v>
      </c>
      <c r="B2294" t="s">
        <v>12207</v>
      </c>
    </row>
    <row r="2295" spans="1:2" x14ac:dyDescent="0.25">
      <c r="A2295" t="s">
        <v>10478</v>
      </c>
      <c r="B2295" t="s">
        <v>12207</v>
      </c>
    </row>
    <row r="2296" spans="1:2" x14ac:dyDescent="0.25">
      <c r="A2296" t="s">
        <v>12208</v>
      </c>
      <c r="B2296" t="s">
        <v>12207</v>
      </c>
    </row>
    <row r="2297" spans="1:2" x14ac:dyDescent="0.25">
      <c r="A2297" t="s">
        <v>12209</v>
      </c>
      <c r="B2297" t="s">
        <v>12207</v>
      </c>
    </row>
    <row r="2298" spans="1:2" x14ac:dyDescent="0.25">
      <c r="A2298" t="s">
        <v>12697</v>
      </c>
      <c r="B2298" t="s">
        <v>12207</v>
      </c>
    </row>
    <row r="2299" spans="1:2" x14ac:dyDescent="0.25">
      <c r="A2299" t="s">
        <v>6907</v>
      </c>
      <c r="B2299" t="s">
        <v>11888</v>
      </c>
    </row>
    <row r="2300" spans="1:2" x14ac:dyDescent="0.25">
      <c r="A2300" t="s">
        <v>11700</v>
      </c>
      <c r="B2300" t="s">
        <v>7600</v>
      </c>
    </row>
    <row r="2301" spans="1:2" x14ac:dyDescent="0.25">
      <c r="A2301" t="s">
        <v>11701</v>
      </c>
      <c r="B2301" t="s">
        <v>11700</v>
      </c>
    </row>
    <row r="2302" spans="1:2" x14ac:dyDescent="0.25">
      <c r="A2302" t="s">
        <v>9850</v>
      </c>
      <c r="B2302" t="s">
        <v>11701</v>
      </c>
    </row>
    <row r="2303" spans="1:2" x14ac:dyDescent="0.25">
      <c r="A2303" t="s">
        <v>12210</v>
      </c>
      <c r="B2303" t="s">
        <v>11700</v>
      </c>
    </row>
    <row r="2304" spans="1:2" x14ac:dyDescent="0.25">
      <c r="A2304" t="s">
        <v>8650</v>
      </c>
      <c r="B2304" t="s">
        <v>12210</v>
      </c>
    </row>
    <row r="2305" spans="1:2" x14ac:dyDescent="0.25">
      <c r="A2305" t="s">
        <v>5120</v>
      </c>
      <c r="B2305" t="s">
        <v>12210</v>
      </c>
    </row>
    <row r="2306" spans="1:2" x14ac:dyDescent="0.25">
      <c r="A2306" t="s">
        <v>10897</v>
      </c>
      <c r="B2306" t="s">
        <v>12210</v>
      </c>
    </row>
    <row r="2307" spans="1:2" x14ac:dyDescent="0.25">
      <c r="A2307" t="s">
        <v>10898</v>
      </c>
      <c r="B2307" t="s">
        <v>12210</v>
      </c>
    </row>
    <row r="2308" spans="1:2" x14ac:dyDescent="0.25">
      <c r="A2308" t="s">
        <v>11472</v>
      </c>
      <c r="B2308" t="s">
        <v>12210</v>
      </c>
    </row>
    <row r="2309" spans="1:2" x14ac:dyDescent="0.25">
      <c r="A2309" t="s">
        <v>11473</v>
      </c>
      <c r="B2309" t="s">
        <v>12210</v>
      </c>
    </row>
    <row r="2310" spans="1:2" x14ac:dyDescent="0.25">
      <c r="A2310" t="s">
        <v>5964</v>
      </c>
      <c r="B2310" t="s">
        <v>12210</v>
      </c>
    </row>
    <row r="2311" spans="1:2" x14ac:dyDescent="0.25">
      <c r="A2311" t="s">
        <v>10899</v>
      </c>
      <c r="B2311" t="s">
        <v>12210</v>
      </c>
    </row>
    <row r="2312" spans="1:2" x14ac:dyDescent="0.25">
      <c r="A2312" t="s">
        <v>8651</v>
      </c>
      <c r="B2312" t="s">
        <v>12210</v>
      </c>
    </row>
    <row r="2313" spans="1:2" x14ac:dyDescent="0.25">
      <c r="A2313" t="s">
        <v>11702</v>
      </c>
      <c r="B2313" t="s">
        <v>12210</v>
      </c>
    </row>
    <row r="2314" spans="1:2" x14ac:dyDescent="0.25">
      <c r="A2314" t="s">
        <v>9039</v>
      </c>
      <c r="B2314" t="s">
        <v>12210</v>
      </c>
    </row>
    <row r="2315" spans="1:2" x14ac:dyDescent="0.25">
      <c r="A2315" t="s">
        <v>11703</v>
      </c>
      <c r="B2315" t="s">
        <v>12210</v>
      </c>
    </row>
    <row r="2316" spans="1:2" x14ac:dyDescent="0.25">
      <c r="A2316" t="s">
        <v>10479</v>
      </c>
      <c r="B2316" t="s">
        <v>12210</v>
      </c>
    </row>
    <row r="2317" spans="1:2" x14ac:dyDescent="0.25">
      <c r="A2317" t="s">
        <v>12211</v>
      </c>
      <c r="B2317" t="s">
        <v>12210</v>
      </c>
    </row>
    <row r="2318" spans="1:2" x14ac:dyDescent="0.25">
      <c r="A2318" t="s">
        <v>12212</v>
      </c>
      <c r="B2318" t="s">
        <v>12210</v>
      </c>
    </row>
    <row r="2319" spans="1:2" x14ac:dyDescent="0.25">
      <c r="A2319" t="s">
        <v>12698</v>
      </c>
      <c r="B2319" t="s">
        <v>12210</v>
      </c>
    </row>
    <row r="2320" spans="1:2" x14ac:dyDescent="0.25">
      <c r="A2320" t="s">
        <v>10480</v>
      </c>
      <c r="B2320" t="s">
        <v>7600</v>
      </c>
    </row>
    <row r="2321" spans="1:2" x14ac:dyDescent="0.25">
      <c r="A2321" t="s">
        <v>11704</v>
      </c>
      <c r="B2321" t="s">
        <v>10480</v>
      </c>
    </row>
    <row r="2322" spans="1:2" x14ac:dyDescent="0.25">
      <c r="A2322" t="s">
        <v>8217</v>
      </c>
      <c r="B2322" t="s">
        <v>11704</v>
      </c>
    </row>
    <row r="2323" spans="1:2" x14ac:dyDescent="0.25">
      <c r="A2323" t="s">
        <v>12213</v>
      </c>
      <c r="B2323" t="s">
        <v>10480</v>
      </c>
    </row>
    <row r="2324" spans="1:2" x14ac:dyDescent="0.25">
      <c r="A2324" t="s">
        <v>8652</v>
      </c>
      <c r="B2324" t="s">
        <v>12213</v>
      </c>
    </row>
    <row r="2325" spans="1:2" x14ac:dyDescent="0.25">
      <c r="A2325" t="s">
        <v>5121</v>
      </c>
      <c r="B2325" t="s">
        <v>12213</v>
      </c>
    </row>
    <row r="2326" spans="1:2" x14ac:dyDescent="0.25">
      <c r="A2326" t="s">
        <v>10900</v>
      </c>
      <c r="B2326" t="s">
        <v>12213</v>
      </c>
    </row>
    <row r="2327" spans="1:2" x14ac:dyDescent="0.25">
      <c r="A2327" t="s">
        <v>10901</v>
      </c>
      <c r="B2327" t="s">
        <v>12213</v>
      </c>
    </row>
    <row r="2328" spans="1:2" x14ac:dyDescent="0.25">
      <c r="A2328" t="s">
        <v>11474</v>
      </c>
      <c r="B2328" t="s">
        <v>12213</v>
      </c>
    </row>
    <row r="2329" spans="1:2" x14ac:dyDescent="0.25">
      <c r="A2329" t="s">
        <v>11475</v>
      </c>
      <c r="B2329" t="s">
        <v>12213</v>
      </c>
    </row>
    <row r="2330" spans="1:2" x14ac:dyDescent="0.25">
      <c r="A2330" t="s">
        <v>5965</v>
      </c>
      <c r="B2330" t="s">
        <v>12213</v>
      </c>
    </row>
    <row r="2331" spans="1:2" x14ac:dyDescent="0.25">
      <c r="A2331" t="s">
        <v>10902</v>
      </c>
      <c r="B2331" t="s">
        <v>12213</v>
      </c>
    </row>
    <row r="2332" spans="1:2" x14ac:dyDescent="0.25">
      <c r="A2332" t="s">
        <v>8653</v>
      </c>
      <c r="B2332" t="s">
        <v>12213</v>
      </c>
    </row>
    <row r="2333" spans="1:2" x14ac:dyDescent="0.25">
      <c r="A2333" t="s">
        <v>11705</v>
      </c>
      <c r="B2333" t="s">
        <v>12213</v>
      </c>
    </row>
    <row r="2334" spans="1:2" x14ac:dyDescent="0.25">
      <c r="A2334" t="s">
        <v>9040</v>
      </c>
      <c r="B2334" t="s">
        <v>12213</v>
      </c>
    </row>
    <row r="2335" spans="1:2" x14ac:dyDescent="0.25">
      <c r="A2335" t="s">
        <v>11706</v>
      </c>
      <c r="B2335" t="s">
        <v>12213</v>
      </c>
    </row>
    <row r="2336" spans="1:2" x14ac:dyDescent="0.25">
      <c r="A2336" t="s">
        <v>10481</v>
      </c>
      <c r="B2336" t="s">
        <v>12213</v>
      </c>
    </row>
    <row r="2337" spans="1:2" x14ac:dyDescent="0.25">
      <c r="A2337" t="s">
        <v>12214</v>
      </c>
      <c r="B2337" t="s">
        <v>12213</v>
      </c>
    </row>
    <row r="2338" spans="1:2" x14ac:dyDescent="0.25">
      <c r="A2338" t="s">
        <v>12215</v>
      </c>
      <c r="B2338" t="s">
        <v>12213</v>
      </c>
    </row>
    <row r="2339" spans="1:2" x14ac:dyDescent="0.25">
      <c r="A2339" t="s">
        <v>12699</v>
      </c>
      <c r="B2339" t="s">
        <v>12213</v>
      </c>
    </row>
    <row r="2340" spans="1:2" x14ac:dyDescent="0.25">
      <c r="A2340" t="s">
        <v>9490</v>
      </c>
      <c r="B2340" t="s">
        <v>7600</v>
      </c>
    </row>
    <row r="2341" spans="1:2" x14ac:dyDescent="0.25">
      <c r="A2341" t="s">
        <v>11707</v>
      </c>
      <c r="B2341" t="s">
        <v>9490</v>
      </c>
    </row>
    <row r="2342" spans="1:2" x14ac:dyDescent="0.25">
      <c r="A2342" t="s">
        <v>6908</v>
      </c>
      <c r="B2342" t="s">
        <v>11707</v>
      </c>
    </row>
    <row r="2343" spans="1:2" x14ac:dyDescent="0.25">
      <c r="A2343" t="s">
        <v>12216</v>
      </c>
      <c r="B2343" t="s">
        <v>9490</v>
      </c>
    </row>
    <row r="2344" spans="1:2" x14ac:dyDescent="0.25">
      <c r="A2344" t="s">
        <v>8654</v>
      </c>
      <c r="B2344" t="s">
        <v>12216</v>
      </c>
    </row>
    <row r="2345" spans="1:2" x14ac:dyDescent="0.25">
      <c r="A2345" t="s">
        <v>5122</v>
      </c>
      <c r="B2345" t="s">
        <v>12216</v>
      </c>
    </row>
    <row r="2346" spans="1:2" x14ac:dyDescent="0.25">
      <c r="A2346" t="s">
        <v>10903</v>
      </c>
      <c r="B2346" t="s">
        <v>12216</v>
      </c>
    </row>
    <row r="2347" spans="1:2" x14ac:dyDescent="0.25">
      <c r="A2347" t="s">
        <v>10904</v>
      </c>
      <c r="B2347" t="s">
        <v>12216</v>
      </c>
    </row>
    <row r="2348" spans="1:2" x14ac:dyDescent="0.25">
      <c r="A2348" t="s">
        <v>11476</v>
      </c>
      <c r="B2348" t="s">
        <v>12216</v>
      </c>
    </row>
    <row r="2349" spans="1:2" x14ac:dyDescent="0.25">
      <c r="A2349" t="s">
        <v>11477</v>
      </c>
      <c r="B2349" t="s">
        <v>12216</v>
      </c>
    </row>
    <row r="2350" spans="1:2" x14ac:dyDescent="0.25">
      <c r="A2350" t="s">
        <v>5966</v>
      </c>
      <c r="B2350" t="s">
        <v>12216</v>
      </c>
    </row>
    <row r="2351" spans="1:2" x14ac:dyDescent="0.25">
      <c r="A2351" t="s">
        <v>10905</v>
      </c>
      <c r="B2351" t="s">
        <v>12216</v>
      </c>
    </row>
    <row r="2352" spans="1:2" x14ac:dyDescent="0.25">
      <c r="A2352" t="s">
        <v>8655</v>
      </c>
      <c r="B2352" t="s">
        <v>12216</v>
      </c>
    </row>
    <row r="2353" spans="1:2" x14ac:dyDescent="0.25">
      <c r="A2353" t="s">
        <v>11708</v>
      </c>
      <c r="B2353" t="s">
        <v>12216</v>
      </c>
    </row>
    <row r="2354" spans="1:2" x14ac:dyDescent="0.25">
      <c r="A2354" t="s">
        <v>9041</v>
      </c>
      <c r="B2354" t="s">
        <v>12216</v>
      </c>
    </row>
    <row r="2355" spans="1:2" x14ac:dyDescent="0.25">
      <c r="A2355" t="s">
        <v>11709</v>
      </c>
      <c r="B2355" t="s">
        <v>12216</v>
      </c>
    </row>
    <row r="2356" spans="1:2" x14ac:dyDescent="0.25">
      <c r="A2356" t="s">
        <v>10482</v>
      </c>
      <c r="B2356" t="s">
        <v>12216</v>
      </c>
    </row>
    <row r="2357" spans="1:2" x14ac:dyDescent="0.25">
      <c r="A2357" t="s">
        <v>12217</v>
      </c>
      <c r="B2357" t="s">
        <v>12216</v>
      </c>
    </row>
    <row r="2358" spans="1:2" x14ac:dyDescent="0.25">
      <c r="A2358" t="s">
        <v>12218</v>
      </c>
      <c r="B2358" t="s">
        <v>12216</v>
      </c>
    </row>
    <row r="2359" spans="1:2" x14ac:dyDescent="0.25">
      <c r="A2359" t="s">
        <v>12700</v>
      </c>
      <c r="B2359" t="s">
        <v>12216</v>
      </c>
    </row>
    <row r="2360" spans="1:2" x14ac:dyDescent="0.25">
      <c r="A2360" t="s">
        <v>15524</v>
      </c>
      <c r="B2360" t="s">
        <v>7600</v>
      </c>
    </row>
    <row r="2361" spans="1:2" x14ac:dyDescent="0.25">
      <c r="A2361" t="s">
        <v>15525</v>
      </c>
      <c r="B2361" t="s">
        <v>15524</v>
      </c>
    </row>
    <row r="2362" spans="1:2" x14ac:dyDescent="0.25">
      <c r="A2362" t="s">
        <v>15526</v>
      </c>
      <c r="B2362" t="s">
        <v>15525</v>
      </c>
    </row>
    <row r="2363" spans="1:2" x14ac:dyDescent="0.25">
      <c r="A2363" t="s">
        <v>15527</v>
      </c>
      <c r="B2363" t="s">
        <v>15524</v>
      </c>
    </row>
    <row r="2364" spans="1:2" x14ac:dyDescent="0.25">
      <c r="A2364" t="s">
        <v>15528</v>
      </c>
      <c r="B2364" t="s">
        <v>15527</v>
      </c>
    </row>
    <row r="2365" spans="1:2" x14ac:dyDescent="0.25">
      <c r="A2365" t="s">
        <v>15529</v>
      </c>
      <c r="B2365" t="s">
        <v>15527</v>
      </c>
    </row>
    <row r="2366" spans="1:2" x14ac:dyDescent="0.25">
      <c r="A2366" t="s">
        <v>15530</v>
      </c>
      <c r="B2366" t="s">
        <v>15527</v>
      </c>
    </row>
    <row r="2367" spans="1:2" x14ac:dyDescent="0.25">
      <c r="A2367" t="s">
        <v>15531</v>
      </c>
      <c r="B2367" t="s">
        <v>15527</v>
      </c>
    </row>
    <row r="2368" spans="1:2" x14ac:dyDescent="0.25">
      <c r="A2368" t="s">
        <v>15532</v>
      </c>
      <c r="B2368" t="s">
        <v>15527</v>
      </c>
    </row>
    <row r="2369" spans="1:2" x14ac:dyDescent="0.25">
      <c r="A2369" t="s">
        <v>15533</v>
      </c>
      <c r="B2369" t="s">
        <v>15527</v>
      </c>
    </row>
    <row r="2370" spans="1:2" x14ac:dyDescent="0.25">
      <c r="A2370" t="s">
        <v>15534</v>
      </c>
      <c r="B2370" t="s">
        <v>15527</v>
      </c>
    </row>
    <row r="2371" spans="1:2" x14ac:dyDescent="0.25">
      <c r="A2371" t="s">
        <v>15535</v>
      </c>
      <c r="B2371" t="s">
        <v>15527</v>
      </c>
    </row>
    <row r="2372" spans="1:2" x14ac:dyDescent="0.25">
      <c r="A2372" t="s">
        <v>15536</v>
      </c>
      <c r="B2372" t="s">
        <v>15527</v>
      </c>
    </row>
    <row r="2373" spans="1:2" x14ac:dyDescent="0.25">
      <c r="A2373" t="s">
        <v>15537</v>
      </c>
      <c r="B2373" t="s">
        <v>15527</v>
      </c>
    </row>
    <row r="2374" spans="1:2" x14ac:dyDescent="0.25">
      <c r="A2374" t="s">
        <v>15538</v>
      </c>
      <c r="B2374" t="s">
        <v>15527</v>
      </c>
    </row>
    <row r="2375" spans="1:2" x14ac:dyDescent="0.25">
      <c r="A2375" t="s">
        <v>15540</v>
      </c>
      <c r="B2375" t="s">
        <v>15527</v>
      </c>
    </row>
    <row r="2376" spans="1:2" x14ac:dyDescent="0.25">
      <c r="A2376" t="s">
        <v>15541</v>
      </c>
      <c r="B2376" t="s">
        <v>15527</v>
      </c>
    </row>
    <row r="2377" spans="1:2" x14ac:dyDescent="0.25">
      <c r="A2377" t="s">
        <v>15542</v>
      </c>
      <c r="B2377" t="s">
        <v>15527</v>
      </c>
    </row>
    <row r="2378" spans="1:2" x14ac:dyDescent="0.25">
      <c r="A2378" t="s">
        <v>15543</v>
      </c>
      <c r="B2378" t="s">
        <v>15527</v>
      </c>
    </row>
    <row r="2379" spans="1:2" x14ac:dyDescent="0.25">
      <c r="A2379" t="s">
        <v>12219</v>
      </c>
      <c r="B2379" t="s">
        <v>12874</v>
      </c>
    </row>
    <row r="2380" spans="1:2" x14ac:dyDescent="0.25">
      <c r="A2380" t="s">
        <v>12701</v>
      </c>
      <c r="B2380" t="s">
        <v>12219</v>
      </c>
    </row>
    <row r="2381" spans="1:2" x14ac:dyDescent="0.25">
      <c r="A2381" t="s">
        <v>11710</v>
      </c>
      <c r="B2381" t="s">
        <v>12701</v>
      </c>
    </row>
    <row r="2382" spans="1:2" x14ac:dyDescent="0.25">
      <c r="A2382" t="s">
        <v>90</v>
      </c>
      <c r="B2382" t="s">
        <v>11710</v>
      </c>
    </row>
    <row r="2383" spans="1:2" x14ac:dyDescent="0.25">
      <c r="A2383" t="s">
        <v>2717</v>
      </c>
      <c r="B2383" t="s">
        <v>11710</v>
      </c>
    </row>
    <row r="2384" spans="1:2" x14ac:dyDescent="0.25">
      <c r="A2384" t="s">
        <v>2311</v>
      </c>
      <c r="B2384" t="s">
        <v>11710</v>
      </c>
    </row>
    <row r="2385" spans="1:2" x14ac:dyDescent="0.25">
      <c r="A2385" t="s">
        <v>2718</v>
      </c>
      <c r="B2385" t="s">
        <v>11710</v>
      </c>
    </row>
    <row r="2386" spans="1:2" x14ac:dyDescent="0.25">
      <c r="A2386" t="s">
        <v>1732</v>
      </c>
      <c r="B2386" t="s">
        <v>11710</v>
      </c>
    </row>
    <row r="2387" spans="1:2" x14ac:dyDescent="0.25">
      <c r="A2387" t="s">
        <v>12220</v>
      </c>
      <c r="B2387" t="s">
        <v>12701</v>
      </c>
    </row>
    <row r="2388" spans="1:2" x14ac:dyDescent="0.25">
      <c r="A2388" t="s">
        <v>6427</v>
      </c>
      <c r="B2388" t="s">
        <v>12220</v>
      </c>
    </row>
    <row r="2389" spans="1:2" x14ac:dyDescent="0.25">
      <c r="A2389" t="s">
        <v>91</v>
      </c>
      <c r="B2389" t="s">
        <v>12220</v>
      </c>
    </row>
    <row r="2390" spans="1:2" x14ac:dyDescent="0.25">
      <c r="A2390" t="s">
        <v>5558</v>
      </c>
      <c r="B2390" t="s">
        <v>12220</v>
      </c>
    </row>
    <row r="2391" spans="1:2" x14ac:dyDescent="0.25">
      <c r="A2391" t="s">
        <v>2312</v>
      </c>
      <c r="B2391" t="s">
        <v>12220</v>
      </c>
    </row>
    <row r="2392" spans="1:2" x14ac:dyDescent="0.25">
      <c r="A2392" t="s">
        <v>2719</v>
      </c>
      <c r="B2392" t="s">
        <v>12220</v>
      </c>
    </row>
    <row r="2393" spans="1:2" x14ac:dyDescent="0.25">
      <c r="A2393" t="s">
        <v>1733</v>
      </c>
      <c r="B2393" t="s">
        <v>12220</v>
      </c>
    </row>
    <row r="2394" spans="1:2" x14ac:dyDescent="0.25">
      <c r="A2394" t="s">
        <v>7601</v>
      </c>
      <c r="B2394" t="s">
        <v>12219</v>
      </c>
    </row>
    <row r="2395" spans="1:2" x14ac:dyDescent="0.25">
      <c r="A2395" t="s">
        <v>11711</v>
      </c>
      <c r="B2395" t="s">
        <v>7601</v>
      </c>
    </row>
    <row r="2396" spans="1:2" x14ac:dyDescent="0.25">
      <c r="A2396" t="s">
        <v>2313</v>
      </c>
      <c r="B2396" t="s">
        <v>11711</v>
      </c>
    </row>
    <row r="2397" spans="1:2" x14ac:dyDescent="0.25">
      <c r="A2397" t="s">
        <v>2314</v>
      </c>
      <c r="B2397" t="s">
        <v>11711</v>
      </c>
    </row>
    <row r="2398" spans="1:2" x14ac:dyDescent="0.25">
      <c r="A2398" t="s">
        <v>3198</v>
      </c>
      <c r="B2398" t="s">
        <v>11711</v>
      </c>
    </row>
    <row r="2399" spans="1:2" x14ac:dyDescent="0.25">
      <c r="A2399" t="s">
        <v>3705</v>
      </c>
      <c r="B2399" t="s">
        <v>11711</v>
      </c>
    </row>
    <row r="2400" spans="1:2" x14ac:dyDescent="0.25">
      <c r="A2400" t="s">
        <v>297</v>
      </c>
      <c r="B2400" t="s">
        <v>11711</v>
      </c>
    </row>
    <row r="2401" spans="1:2" x14ac:dyDescent="0.25">
      <c r="A2401" t="s">
        <v>12221</v>
      </c>
      <c r="B2401" t="s">
        <v>7601</v>
      </c>
    </row>
    <row r="2402" spans="1:2" x14ac:dyDescent="0.25">
      <c r="A2402" t="s">
        <v>2315</v>
      </c>
      <c r="B2402" t="s">
        <v>12221</v>
      </c>
    </row>
    <row r="2403" spans="1:2" x14ac:dyDescent="0.25">
      <c r="A2403" t="s">
        <v>2316</v>
      </c>
      <c r="B2403" t="s">
        <v>12221</v>
      </c>
    </row>
    <row r="2404" spans="1:2" x14ac:dyDescent="0.25">
      <c r="A2404" t="s">
        <v>3199</v>
      </c>
      <c r="B2404" t="s">
        <v>12221</v>
      </c>
    </row>
    <row r="2405" spans="1:2" x14ac:dyDescent="0.25">
      <c r="A2405" t="s">
        <v>3706</v>
      </c>
      <c r="B2405" t="s">
        <v>12221</v>
      </c>
    </row>
    <row r="2406" spans="1:2" x14ac:dyDescent="0.25">
      <c r="A2406" t="s">
        <v>298</v>
      </c>
      <c r="B2406" t="s">
        <v>12221</v>
      </c>
    </row>
    <row r="2407" spans="1:2" x14ac:dyDescent="0.25">
      <c r="A2407" t="s">
        <v>13324</v>
      </c>
      <c r="B2407" t="s">
        <v>12221</v>
      </c>
    </row>
    <row r="2408" spans="1:2" x14ac:dyDescent="0.25">
      <c r="A2408" t="s">
        <v>8218</v>
      </c>
      <c r="B2408" t="s">
        <v>12219</v>
      </c>
    </row>
    <row r="2409" spans="1:2" x14ac:dyDescent="0.25">
      <c r="A2409" t="s">
        <v>11712</v>
      </c>
      <c r="B2409" t="s">
        <v>8218</v>
      </c>
    </row>
    <row r="2410" spans="1:2" x14ac:dyDescent="0.25">
      <c r="A2410" t="s">
        <v>8219</v>
      </c>
      <c r="B2410" t="s">
        <v>11712</v>
      </c>
    </row>
    <row r="2411" spans="1:2" x14ac:dyDescent="0.25">
      <c r="A2411" t="s">
        <v>12222</v>
      </c>
      <c r="B2411" t="s">
        <v>8218</v>
      </c>
    </row>
    <row r="2412" spans="1:2" x14ac:dyDescent="0.25">
      <c r="A2412" t="s">
        <v>8220</v>
      </c>
      <c r="B2412" t="s">
        <v>12222</v>
      </c>
    </row>
    <row r="2413" spans="1:2" x14ac:dyDescent="0.25">
      <c r="A2413" t="s">
        <v>8221</v>
      </c>
      <c r="B2413" t="s">
        <v>12219</v>
      </c>
    </row>
    <row r="2414" spans="1:2" x14ac:dyDescent="0.25">
      <c r="A2414" t="s">
        <v>11713</v>
      </c>
      <c r="B2414" t="s">
        <v>8221</v>
      </c>
    </row>
    <row r="2415" spans="1:2" x14ac:dyDescent="0.25">
      <c r="A2415" t="s">
        <v>8222</v>
      </c>
      <c r="B2415" t="s">
        <v>11713</v>
      </c>
    </row>
    <row r="2416" spans="1:2" x14ac:dyDescent="0.25">
      <c r="A2416" t="s">
        <v>12223</v>
      </c>
      <c r="B2416" t="s">
        <v>8221</v>
      </c>
    </row>
    <row r="2417" spans="1:2" x14ac:dyDescent="0.25">
      <c r="A2417" t="s">
        <v>4216</v>
      </c>
      <c r="B2417" t="s">
        <v>12223</v>
      </c>
    </row>
    <row r="2418" spans="1:2" x14ac:dyDescent="0.25">
      <c r="A2418" t="s">
        <v>5123</v>
      </c>
      <c r="B2418" t="s">
        <v>12223</v>
      </c>
    </row>
    <row r="2419" spans="1:2" x14ac:dyDescent="0.25">
      <c r="A2419" t="s">
        <v>5124</v>
      </c>
      <c r="B2419" t="s">
        <v>12223</v>
      </c>
    </row>
    <row r="2420" spans="1:2" x14ac:dyDescent="0.25">
      <c r="A2420" t="s">
        <v>9042</v>
      </c>
      <c r="B2420" t="s">
        <v>12219</v>
      </c>
    </row>
    <row r="2421" spans="1:2" x14ac:dyDescent="0.25">
      <c r="A2421" t="s">
        <v>11714</v>
      </c>
      <c r="B2421" t="s">
        <v>9042</v>
      </c>
    </row>
    <row r="2422" spans="1:2" x14ac:dyDescent="0.25">
      <c r="A2422" t="s">
        <v>9043</v>
      </c>
      <c r="B2422" t="s">
        <v>11714</v>
      </c>
    </row>
    <row r="2423" spans="1:2" x14ac:dyDescent="0.25">
      <c r="A2423" t="s">
        <v>12224</v>
      </c>
      <c r="B2423" t="s">
        <v>9042</v>
      </c>
    </row>
    <row r="2424" spans="1:2" x14ac:dyDescent="0.25">
      <c r="A2424" t="s">
        <v>9044</v>
      </c>
      <c r="B2424" t="s">
        <v>12224</v>
      </c>
    </row>
    <row r="2425" spans="1:2" x14ac:dyDescent="0.25">
      <c r="A2425" t="s">
        <v>9851</v>
      </c>
      <c r="B2425" t="s">
        <v>12219</v>
      </c>
    </row>
    <row r="2426" spans="1:2" x14ac:dyDescent="0.25">
      <c r="A2426" t="s">
        <v>11715</v>
      </c>
      <c r="B2426" t="s">
        <v>9851</v>
      </c>
    </row>
    <row r="2427" spans="1:2" x14ac:dyDescent="0.25">
      <c r="A2427" t="s">
        <v>9852</v>
      </c>
      <c r="B2427" t="s">
        <v>11715</v>
      </c>
    </row>
    <row r="2428" spans="1:2" x14ac:dyDescent="0.25">
      <c r="A2428" t="s">
        <v>12225</v>
      </c>
      <c r="B2428" t="s">
        <v>9851</v>
      </c>
    </row>
    <row r="2429" spans="1:2" x14ac:dyDescent="0.25">
      <c r="A2429" t="s">
        <v>9853</v>
      </c>
      <c r="B2429" t="s">
        <v>12225</v>
      </c>
    </row>
    <row r="2430" spans="1:2" x14ac:dyDescent="0.25">
      <c r="A2430" t="s">
        <v>7602</v>
      </c>
      <c r="B2430" t="s">
        <v>12219</v>
      </c>
    </row>
    <row r="2431" spans="1:2" x14ac:dyDescent="0.25">
      <c r="A2431" t="s">
        <v>11716</v>
      </c>
      <c r="B2431" t="s">
        <v>7602</v>
      </c>
    </row>
    <row r="2432" spans="1:2" x14ac:dyDescent="0.25">
      <c r="A2432" t="s">
        <v>5559</v>
      </c>
      <c r="B2432" t="s">
        <v>11716</v>
      </c>
    </row>
    <row r="2433" spans="1:2" x14ac:dyDescent="0.25">
      <c r="A2433" t="s">
        <v>12226</v>
      </c>
      <c r="B2433" t="s">
        <v>7602</v>
      </c>
    </row>
    <row r="2434" spans="1:2" x14ac:dyDescent="0.25">
      <c r="A2434" t="s">
        <v>5560</v>
      </c>
      <c r="B2434" t="s">
        <v>12226</v>
      </c>
    </row>
    <row r="2435" spans="1:2" x14ac:dyDescent="0.25">
      <c r="A2435" t="s">
        <v>11478</v>
      </c>
      <c r="B2435" t="s">
        <v>12219</v>
      </c>
    </row>
    <row r="2436" spans="1:2" x14ac:dyDescent="0.25">
      <c r="A2436" t="s">
        <v>11717</v>
      </c>
      <c r="B2436" t="s">
        <v>11478</v>
      </c>
    </row>
    <row r="2437" spans="1:2" x14ac:dyDescent="0.25">
      <c r="A2437" t="s">
        <v>12227</v>
      </c>
      <c r="B2437" t="s">
        <v>11717</v>
      </c>
    </row>
    <row r="2438" spans="1:2" x14ac:dyDescent="0.25">
      <c r="A2438" t="s">
        <v>11718</v>
      </c>
      <c r="B2438" t="s">
        <v>11717</v>
      </c>
    </row>
    <row r="2439" spans="1:2" x14ac:dyDescent="0.25">
      <c r="A2439" t="s">
        <v>11719</v>
      </c>
      <c r="B2439" t="s">
        <v>11717</v>
      </c>
    </row>
    <row r="2440" spans="1:2" x14ac:dyDescent="0.25">
      <c r="A2440" t="s">
        <v>12608</v>
      </c>
      <c r="B2440" t="s">
        <v>12219</v>
      </c>
    </row>
    <row r="2441" spans="1:2" x14ac:dyDescent="0.25">
      <c r="A2441" t="s">
        <v>12228</v>
      </c>
      <c r="B2441" t="s">
        <v>12608</v>
      </c>
    </row>
    <row r="2442" spans="1:2" x14ac:dyDescent="0.25">
      <c r="A2442" t="s">
        <v>13119</v>
      </c>
      <c r="B2442" t="s">
        <v>12228</v>
      </c>
    </row>
    <row r="2443" spans="1:2" x14ac:dyDescent="0.25">
      <c r="A2443" t="s">
        <v>12817</v>
      </c>
      <c r="B2443" t="s">
        <v>12219</v>
      </c>
    </row>
    <row r="2444" spans="1:2" x14ac:dyDescent="0.25">
      <c r="A2444" t="s">
        <v>12229</v>
      </c>
      <c r="B2444" t="s">
        <v>12817</v>
      </c>
    </row>
    <row r="2445" spans="1:2" x14ac:dyDescent="0.25">
      <c r="A2445" t="s">
        <v>13120</v>
      </c>
      <c r="B2445" t="s">
        <v>12229</v>
      </c>
    </row>
    <row r="2446" spans="1:2" x14ac:dyDescent="0.25">
      <c r="A2446" t="s">
        <v>8240</v>
      </c>
      <c r="B2446" t="s">
        <v>12219</v>
      </c>
    </row>
    <row r="2447" spans="1:2" x14ac:dyDescent="0.25">
      <c r="A2447" t="s">
        <v>11742</v>
      </c>
      <c r="B2447" t="s">
        <v>8240</v>
      </c>
    </row>
    <row r="2448" spans="1:2" x14ac:dyDescent="0.25">
      <c r="A2448" t="s">
        <v>13121</v>
      </c>
      <c r="B2448" t="s">
        <v>11742</v>
      </c>
    </row>
    <row r="2449" spans="1:2" x14ac:dyDescent="0.25">
      <c r="A2449" t="s">
        <v>12259</v>
      </c>
      <c r="B2449" t="s">
        <v>8240</v>
      </c>
    </row>
    <row r="2450" spans="1:2" x14ac:dyDescent="0.25">
      <c r="A2450" t="s">
        <v>13122</v>
      </c>
      <c r="B2450" t="s">
        <v>12259</v>
      </c>
    </row>
    <row r="2451" spans="1:2" x14ac:dyDescent="0.25">
      <c r="A2451" t="s">
        <v>13123</v>
      </c>
      <c r="B2451" t="s">
        <v>12219</v>
      </c>
    </row>
    <row r="2452" spans="1:2" x14ac:dyDescent="0.25">
      <c r="A2452" t="s">
        <v>13124</v>
      </c>
      <c r="B2452" t="s">
        <v>13123</v>
      </c>
    </row>
    <row r="2453" spans="1:2" x14ac:dyDescent="0.25">
      <c r="A2453" t="s">
        <v>13125</v>
      </c>
      <c r="B2453" t="s">
        <v>13124</v>
      </c>
    </row>
    <row r="2454" spans="1:2" x14ac:dyDescent="0.25">
      <c r="A2454" t="s">
        <v>13126</v>
      </c>
      <c r="B2454" t="s">
        <v>13123</v>
      </c>
    </row>
    <row r="2455" spans="1:2" x14ac:dyDescent="0.25">
      <c r="A2455" t="s">
        <v>13127</v>
      </c>
      <c r="B2455" t="s">
        <v>13126</v>
      </c>
    </row>
    <row r="2456" spans="1:2" x14ac:dyDescent="0.25">
      <c r="A2456" t="s">
        <v>13128</v>
      </c>
      <c r="B2456" t="s">
        <v>12219</v>
      </c>
    </row>
    <row r="2457" spans="1:2" x14ac:dyDescent="0.25">
      <c r="A2457" t="s">
        <v>13129</v>
      </c>
      <c r="B2457" t="s">
        <v>13128</v>
      </c>
    </row>
    <row r="2458" spans="1:2" x14ac:dyDescent="0.25">
      <c r="A2458" t="s">
        <v>13130</v>
      </c>
      <c r="B2458" t="s">
        <v>13129</v>
      </c>
    </row>
    <row r="2459" spans="1:2" x14ac:dyDescent="0.25">
      <c r="A2459" t="s">
        <v>13131</v>
      </c>
      <c r="B2459" t="s">
        <v>13128</v>
      </c>
    </row>
    <row r="2460" spans="1:2" x14ac:dyDescent="0.25">
      <c r="A2460" t="s">
        <v>13132</v>
      </c>
      <c r="B2460" t="s">
        <v>13131</v>
      </c>
    </row>
    <row r="2461" spans="1:2" x14ac:dyDescent="0.25">
      <c r="A2461" t="s">
        <v>13174</v>
      </c>
      <c r="B2461" t="s">
        <v>12219</v>
      </c>
    </row>
    <row r="2462" spans="1:2" x14ac:dyDescent="0.25">
      <c r="A2462" t="s">
        <v>13175</v>
      </c>
      <c r="B2462" t="s">
        <v>13174</v>
      </c>
    </row>
    <row r="2463" spans="1:2" x14ac:dyDescent="0.25">
      <c r="A2463" t="s">
        <v>13325</v>
      </c>
      <c r="B2463" t="s">
        <v>13175</v>
      </c>
    </row>
    <row r="2464" spans="1:2" x14ac:dyDescent="0.25">
      <c r="A2464" t="s">
        <v>13326</v>
      </c>
      <c r="B2464" t="s">
        <v>13175</v>
      </c>
    </row>
    <row r="2465" spans="1:2" x14ac:dyDescent="0.25">
      <c r="A2465" t="s">
        <v>13327</v>
      </c>
      <c r="B2465" t="s">
        <v>13175</v>
      </c>
    </row>
    <row r="2466" spans="1:2" x14ac:dyDescent="0.25">
      <c r="A2466" t="s">
        <v>16480</v>
      </c>
      <c r="B2466" t="s">
        <v>12219</v>
      </c>
    </row>
    <row r="2467" spans="1:2" x14ac:dyDescent="0.25">
      <c r="A2467" t="s">
        <v>16482</v>
      </c>
      <c r="B2467" t="s">
        <v>16480</v>
      </c>
    </row>
    <row r="2468" spans="1:2" x14ac:dyDescent="0.25">
      <c r="A2468" t="s">
        <v>16498</v>
      </c>
      <c r="B2468" t="s">
        <v>16482</v>
      </c>
    </row>
    <row r="2469" spans="1:2" x14ac:dyDescent="0.25">
      <c r="A2469" t="s">
        <v>16499</v>
      </c>
      <c r="B2469" t="s">
        <v>16482</v>
      </c>
    </row>
    <row r="2470" spans="1:2" x14ac:dyDescent="0.25">
      <c r="A2470" t="s">
        <v>16496</v>
      </c>
      <c r="B2470" t="s">
        <v>16480</v>
      </c>
    </row>
    <row r="2471" spans="1:2" x14ac:dyDescent="0.25">
      <c r="A2471" t="s">
        <v>16502</v>
      </c>
      <c r="B2471" t="s">
        <v>16496</v>
      </c>
    </row>
    <row r="2472" spans="1:2" x14ac:dyDescent="0.25">
      <c r="A2472" t="s">
        <v>16481</v>
      </c>
      <c r="B2472" t="s">
        <v>12219</v>
      </c>
    </row>
    <row r="2473" spans="1:2" x14ac:dyDescent="0.25">
      <c r="A2473" t="s">
        <v>16483</v>
      </c>
      <c r="B2473" t="s">
        <v>16481</v>
      </c>
    </row>
    <row r="2474" spans="1:2" x14ac:dyDescent="0.25">
      <c r="A2474" t="s">
        <v>16500</v>
      </c>
      <c r="B2474" t="s">
        <v>16483</v>
      </c>
    </row>
    <row r="2475" spans="1:2" x14ac:dyDescent="0.25">
      <c r="A2475" t="s">
        <v>16497</v>
      </c>
      <c r="B2475" t="s">
        <v>16481</v>
      </c>
    </row>
    <row r="2476" spans="1:2" x14ac:dyDescent="0.25">
      <c r="A2476" t="s">
        <v>16503</v>
      </c>
      <c r="B2476" t="s">
        <v>16497</v>
      </c>
    </row>
    <row r="2477" spans="1:2" x14ac:dyDescent="0.25">
      <c r="A2477" t="s">
        <v>9491</v>
      </c>
      <c r="B2477" t="s">
        <v>12874</v>
      </c>
    </row>
    <row r="2478" spans="1:2" x14ac:dyDescent="0.25">
      <c r="A2478" t="s">
        <v>11622</v>
      </c>
      <c r="B2478" t="s">
        <v>11074</v>
      </c>
    </row>
    <row r="2479" spans="1:2" x14ac:dyDescent="0.25">
      <c r="A2479" t="s">
        <v>12653</v>
      </c>
      <c r="B2479" t="s">
        <v>11074</v>
      </c>
    </row>
    <row r="2480" spans="1:2" x14ac:dyDescent="0.25">
      <c r="A2480" t="s">
        <v>10483</v>
      </c>
      <c r="B2480" t="s">
        <v>12653</v>
      </c>
    </row>
    <row r="2481" spans="1:2" x14ac:dyDescent="0.25">
      <c r="A2481" t="s">
        <v>12818</v>
      </c>
      <c r="B2481" t="s">
        <v>10483</v>
      </c>
    </row>
    <row r="2482" spans="1:2" x14ac:dyDescent="0.25">
      <c r="A2482" t="s">
        <v>11720</v>
      </c>
      <c r="B2482" t="s">
        <v>12818</v>
      </c>
    </row>
    <row r="2483" spans="1:2" x14ac:dyDescent="0.25">
      <c r="A2483" t="s">
        <v>11203</v>
      </c>
      <c r="B2483" t="s">
        <v>11720</v>
      </c>
    </row>
    <row r="2484" spans="1:2" x14ac:dyDescent="0.25">
      <c r="A2484" t="s">
        <v>10484</v>
      </c>
      <c r="B2484" t="s">
        <v>11720</v>
      </c>
    </row>
    <row r="2485" spans="1:2" x14ac:dyDescent="0.25">
      <c r="A2485" t="s">
        <v>12230</v>
      </c>
      <c r="B2485" t="s">
        <v>12818</v>
      </c>
    </row>
    <row r="2486" spans="1:2" x14ac:dyDescent="0.25">
      <c r="A2486" t="s">
        <v>2720</v>
      </c>
      <c r="B2486" t="s">
        <v>12230</v>
      </c>
    </row>
    <row r="2487" spans="1:2" x14ac:dyDescent="0.25">
      <c r="A2487" t="s">
        <v>11889</v>
      </c>
      <c r="B2487" t="s">
        <v>10483</v>
      </c>
    </row>
    <row r="2488" spans="1:2" x14ac:dyDescent="0.25">
      <c r="A2488" t="s">
        <v>11721</v>
      </c>
      <c r="B2488" t="s">
        <v>11889</v>
      </c>
    </row>
    <row r="2489" spans="1:2" x14ac:dyDescent="0.25">
      <c r="A2489" t="s">
        <v>11204</v>
      </c>
      <c r="B2489" t="s">
        <v>11721</v>
      </c>
    </row>
    <row r="2490" spans="1:2" x14ac:dyDescent="0.25">
      <c r="A2490" t="s">
        <v>10485</v>
      </c>
      <c r="B2490" t="s">
        <v>11721</v>
      </c>
    </row>
    <row r="2491" spans="1:2" x14ac:dyDescent="0.25">
      <c r="A2491" t="s">
        <v>12231</v>
      </c>
      <c r="B2491" t="s">
        <v>11889</v>
      </c>
    </row>
    <row r="2492" spans="1:2" x14ac:dyDescent="0.25">
      <c r="A2492" t="s">
        <v>2721</v>
      </c>
      <c r="B2492" t="s">
        <v>12231</v>
      </c>
    </row>
    <row r="2493" spans="1:2" x14ac:dyDescent="0.25">
      <c r="A2493" t="s">
        <v>10906</v>
      </c>
      <c r="B2493" t="s">
        <v>11889</v>
      </c>
    </row>
    <row r="2494" spans="1:2" x14ac:dyDescent="0.25">
      <c r="A2494" t="s">
        <v>11205</v>
      </c>
      <c r="B2494" t="s">
        <v>10483</v>
      </c>
    </row>
    <row r="2495" spans="1:2" x14ac:dyDescent="0.25">
      <c r="A2495" t="s">
        <v>11722</v>
      </c>
      <c r="B2495" t="s">
        <v>11205</v>
      </c>
    </row>
    <row r="2496" spans="1:2" x14ac:dyDescent="0.25">
      <c r="A2496" t="s">
        <v>11206</v>
      </c>
      <c r="B2496" t="s">
        <v>11722</v>
      </c>
    </row>
    <row r="2497" spans="1:2" x14ac:dyDescent="0.25">
      <c r="A2497" t="s">
        <v>10486</v>
      </c>
      <c r="B2497" t="s">
        <v>11722</v>
      </c>
    </row>
    <row r="2498" spans="1:2" x14ac:dyDescent="0.25">
      <c r="A2498" t="s">
        <v>12232</v>
      </c>
      <c r="B2498" t="s">
        <v>11205</v>
      </c>
    </row>
    <row r="2499" spans="1:2" x14ac:dyDescent="0.25">
      <c r="A2499" t="s">
        <v>2722</v>
      </c>
      <c r="B2499" t="s">
        <v>12232</v>
      </c>
    </row>
    <row r="2500" spans="1:2" x14ac:dyDescent="0.25">
      <c r="A2500" t="s">
        <v>15544</v>
      </c>
      <c r="B2500" t="s">
        <v>10483</v>
      </c>
    </row>
    <row r="2501" spans="1:2" x14ac:dyDescent="0.25">
      <c r="A2501" t="s">
        <v>15545</v>
      </c>
      <c r="B2501" t="s">
        <v>15544</v>
      </c>
    </row>
    <row r="2502" spans="1:2" x14ac:dyDescent="0.25">
      <c r="A2502" t="s">
        <v>15546</v>
      </c>
      <c r="B2502" t="s">
        <v>15545</v>
      </c>
    </row>
    <row r="2503" spans="1:2" x14ac:dyDescent="0.25">
      <c r="A2503" t="s">
        <v>15547</v>
      </c>
      <c r="B2503" t="s">
        <v>15545</v>
      </c>
    </row>
    <row r="2504" spans="1:2" x14ac:dyDescent="0.25">
      <c r="A2504" t="s">
        <v>15548</v>
      </c>
      <c r="B2504" t="s">
        <v>15544</v>
      </c>
    </row>
    <row r="2505" spans="1:2" x14ac:dyDescent="0.25">
      <c r="A2505" t="s">
        <v>7603</v>
      </c>
      <c r="B2505" t="s">
        <v>12653</v>
      </c>
    </row>
    <row r="2506" spans="1:2" x14ac:dyDescent="0.25">
      <c r="A2506" t="s">
        <v>12819</v>
      </c>
      <c r="B2506" t="s">
        <v>7603</v>
      </c>
    </row>
    <row r="2507" spans="1:2" x14ac:dyDescent="0.25">
      <c r="A2507" t="s">
        <v>11723</v>
      </c>
      <c r="B2507" t="s">
        <v>12819</v>
      </c>
    </row>
    <row r="2508" spans="1:2" x14ac:dyDescent="0.25">
      <c r="A2508" t="s">
        <v>8656</v>
      </c>
      <c r="B2508" t="s">
        <v>11723</v>
      </c>
    </row>
    <row r="2509" spans="1:2" x14ac:dyDescent="0.25">
      <c r="A2509" t="s">
        <v>12233</v>
      </c>
      <c r="B2509" t="s">
        <v>12819</v>
      </c>
    </row>
    <row r="2510" spans="1:2" x14ac:dyDescent="0.25">
      <c r="A2510" t="s">
        <v>9492</v>
      </c>
      <c r="B2510" t="s">
        <v>12233</v>
      </c>
    </row>
    <row r="2511" spans="1:2" x14ac:dyDescent="0.25">
      <c r="A2511" t="s">
        <v>11890</v>
      </c>
      <c r="B2511" t="s">
        <v>7603</v>
      </c>
    </row>
    <row r="2512" spans="1:2" x14ac:dyDescent="0.25">
      <c r="A2512" t="s">
        <v>11724</v>
      </c>
      <c r="B2512" t="s">
        <v>11890</v>
      </c>
    </row>
    <row r="2513" spans="1:2" x14ac:dyDescent="0.25">
      <c r="A2513" t="s">
        <v>8657</v>
      </c>
      <c r="B2513" t="s">
        <v>11724</v>
      </c>
    </row>
    <row r="2514" spans="1:2" x14ac:dyDescent="0.25">
      <c r="A2514" t="s">
        <v>12234</v>
      </c>
      <c r="B2514" t="s">
        <v>11890</v>
      </c>
    </row>
    <row r="2515" spans="1:2" x14ac:dyDescent="0.25">
      <c r="A2515" t="s">
        <v>9493</v>
      </c>
      <c r="B2515" t="s">
        <v>12234</v>
      </c>
    </row>
    <row r="2516" spans="1:2" x14ac:dyDescent="0.25">
      <c r="A2516" t="s">
        <v>11207</v>
      </c>
      <c r="B2516" t="s">
        <v>7603</v>
      </c>
    </row>
    <row r="2517" spans="1:2" x14ac:dyDescent="0.25">
      <c r="A2517" t="s">
        <v>11725</v>
      </c>
      <c r="B2517" t="s">
        <v>11207</v>
      </c>
    </row>
    <row r="2518" spans="1:2" x14ac:dyDescent="0.25">
      <c r="A2518" t="s">
        <v>8658</v>
      </c>
      <c r="B2518" t="s">
        <v>11725</v>
      </c>
    </row>
    <row r="2519" spans="1:2" x14ac:dyDescent="0.25">
      <c r="A2519" t="s">
        <v>12235</v>
      </c>
      <c r="B2519" t="s">
        <v>11207</v>
      </c>
    </row>
    <row r="2520" spans="1:2" x14ac:dyDescent="0.25">
      <c r="A2520" t="s">
        <v>9494</v>
      </c>
      <c r="B2520" t="s">
        <v>12235</v>
      </c>
    </row>
    <row r="2521" spans="1:2" x14ac:dyDescent="0.25">
      <c r="A2521" t="s">
        <v>3200</v>
      </c>
      <c r="B2521" t="s">
        <v>7603</v>
      </c>
    </row>
    <row r="2522" spans="1:2" x14ac:dyDescent="0.25">
      <c r="A2522" t="s">
        <v>11726</v>
      </c>
      <c r="B2522" t="s">
        <v>3200</v>
      </c>
    </row>
    <row r="2523" spans="1:2" x14ac:dyDescent="0.25">
      <c r="A2523" t="s">
        <v>8224</v>
      </c>
      <c r="B2523" t="s">
        <v>11726</v>
      </c>
    </row>
    <row r="2524" spans="1:2" x14ac:dyDescent="0.25">
      <c r="A2524" t="s">
        <v>12236</v>
      </c>
      <c r="B2524" t="s">
        <v>3200</v>
      </c>
    </row>
    <row r="2525" spans="1:2" x14ac:dyDescent="0.25">
      <c r="A2525" t="s">
        <v>8223</v>
      </c>
      <c r="B2525" t="s">
        <v>12236</v>
      </c>
    </row>
    <row r="2526" spans="1:2" x14ac:dyDescent="0.25">
      <c r="A2526" t="s">
        <v>8659</v>
      </c>
      <c r="B2526" t="s">
        <v>7603</v>
      </c>
    </row>
    <row r="2527" spans="1:2" x14ac:dyDescent="0.25">
      <c r="A2527" t="s">
        <v>11727</v>
      </c>
      <c r="B2527" t="s">
        <v>8659</v>
      </c>
    </row>
    <row r="2528" spans="1:2" x14ac:dyDescent="0.25">
      <c r="A2528" t="s">
        <v>5562</v>
      </c>
      <c r="B2528" t="s">
        <v>11727</v>
      </c>
    </row>
    <row r="2529" spans="1:2" x14ac:dyDescent="0.25">
      <c r="A2529" t="s">
        <v>12237</v>
      </c>
      <c r="B2529" t="s">
        <v>8659</v>
      </c>
    </row>
    <row r="2530" spans="1:2" x14ac:dyDescent="0.25">
      <c r="A2530" t="s">
        <v>5561</v>
      </c>
      <c r="B2530" t="s">
        <v>12237</v>
      </c>
    </row>
    <row r="2531" spans="1:2" x14ac:dyDescent="0.25">
      <c r="A2531" t="s">
        <v>10487</v>
      </c>
      <c r="B2531" t="s">
        <v>7603</v>
      </c>
    </row>
    <row r="2532" spans="1:2" x14ac:dyDescent="0.25">
      <c r="A2532" t="s">
        <v>12238</v>
      </c>
      <c r="B2532" t="s">
        <v>10487</v>
      </c>
    </row>
    <row r="2533" spans="1:2" x14ac:dyDescent="0.25">
      <c r="A2533" t="s">
        <v>7604</v>
      </c>
      <c r="B2533" t="s">
        <v>12238</v>
      </c>
    </row>
    <row r="2534" spans="1:2" x14ac:dyDescent="0.25">
      <c r="A2534" t="s">
        <v>15549</v>
      </c>
      <c r="B2534" t="s">
        <v>7603</v>
      </c>
    </row>
    <row r="2535" spans="1:2" x14ac:dyDescent="0.25">
      <c r="A2535" t="s">
        <v>15550</v>
      </c>
      <c r="B2535" t="s">
        <v>15549</v>
      </c>
    </row>
    <row r="2536" spans="1:2" x14ac:dyDescent="0.25">
      <c r="A2536" t="s">
        <v>15551</v>
      </c>
      <c r="B2536" t="s">
        <v>15550</v>
      </c>
    </row>
    <row r="2537" spans="1:2" x14ac:dyDescent="0.25">
      <c r="A2537" t="s">
        <v>15552</v>
      </c>
      <c r="B2537" t="s">
        <v>15550</v>
      </c>
    </row>
    <row r="2538" spans="1:2" x14ac:dyDescent="0.25">
      <c r="A2538" t="s">
        <v>15553</v>
      </c>
      <c r="B2538" t="s">
        <v>15549</v>
      </c>
    </row>
    <row r="2539" spans="1:2" x14ac:dyDescent="0.25">
      <c r="A2539" t="s">
        <v>12239</v>
      </c>
      <c r="B2539" t="s">
        <v>12653</v>
      </c>
    </row>
    <row r="2540" spans="1:2" x14ac:dyDescent="0.25">
      <c r="A2540" t="s">
        <v>7605</v>
      </c>
      <c r="B2540" t="s">
        <v>12239</v>
      </c>
    </row>
    <row r="2541" spans="1:2" x14ac:dyDescent="0.25">
      <c r="A2541" t="s">
        <v>11728</v>
      </c>
      <c r="B2541" t="s">
        <v>7605</v>
      </c>
    </row>
    <row r="2542" spans="1:2" x14ac:dyDescent="0.25">
      <c r="A2542" t="s">
        <v>8660</v>
      </c>
      <c r="B2542" t="s">
        <v>11728</v>
      </c>
    </row>
    <row r="2543" spans="1:2" x14ac:dyDescent="0.25">
      <c r="A2543" t="s">
        <v>8661</v>
      </c>
      <c r="B2543" t="s">
        <v>11728</v>
      </c>
    </row>
    <row r="2544" spans="1:2" x14ac:dyDescent="0.25">
      <c r="A2544" t="s">
        <v>12240</v>
      </c>
      <c r="B2544" t="s">
        <v>7605</v>
      </c>
    </row>
    <row r="2545" spans="1:2" x14ac:dyDescent="0.25">
      <c r="A2545" t="s">
        <v>7606</v>
      </c>
      <c r="B2545" t="s">
        <v>12240</v>
      </c>
    </row>
    <row r="2546" spans="1:2" x14ac:dyDescent="0.25">
      <c r="A2546" t="s">
        <v>8225</v>
      </c>
      <c r="B2546" t="s">
        <v>12240</v>
      </c>
    </row>
    <row r="2547" spans="1:2" x14ac:dyDescent="0.25">
      <c r="A2547" t="s">
        <v>11479</v>
      </c>
      <c r="B2547" t="s">
        <v>12240</v>
      </c>
    </row>
    <row r="2548" spans="1:2" x14ac:dyDescent="0.25">
      <c r="A2548" t="s">
        <v>11480</v>
      </c>
      <c r="B2548" t="s">
        <v>12240</v>
      </c>
    </row>
    <row r="2549" spans="1:2" x14ac:dyDescent="0.25">
      <c r="A2549" t="s">
        <v>6428</v>
      </c>
      <c r="B2549" t="s">
        <v>12239</v>
      </c>
    </row>
    <row r="2550" spans="1:2" x14ac:dyDescent="0.25">
      <c r="A2550" t="s">
        <v>11729</v>
      </c>
      <c r="B2550" t="s">
        <v>6428</v>
      </c>
    </row>
    <row r="2551" spans="1:2" x14ac:dyDescent="0.25">
      <c r="A2551" t="s">
        <v>6909</v>
      </c>
      <c r="B2551" t="s">
        <v>11729</v>
      </c>
    </row>
    <row r="2552" spans="1:2" x14ac:dyDescent="0.25">
      <c r="A2552" t="s">
        <v>8662</v>
      </c>
      <c r="B2552" t="s">
        <v>11729</v>
      </c>
    </row>
    <row r="2553" spans="1:2" x14ac:dyDescent="0.25">
      <c r="A2553" t="s">
        <v>9854</v>
      </c>
      <c r="B2553" t="s">
        <v>12239</v>
      </c>
    </row>
    <row r="2554" spans="1:2" x14ac:dyDescent="0.25">
      <c r="A2554" t="s">
        <v>11730</v>
      </c>
      <c r="B2554" t="s">
        <v>9854</v>
      </c>
    </row>
    <row r="2555" spans="1:2" x14ac:dyDescent="0.25">
      <c r="A2555" t="s">
        <v>5125</v>
      </c>
      <c r="B2555" t="s">
        <v>11730</v>
      </c>
    </row>
    <row r="2556" spans="1:2" x14ac:dyDescent="0.25">
      <c r="A2556" t="s">
        <v>12241</v>
      </c>
      <c r="B2556" t="s">
        <v>9854</v>
      </c>
    </row>
    <row r="2557" spans="1:2" x14ac:dyDescent="0.25">
      <c r="A2557" t="s">
        <v>5563</v>
      </c>
      <c r="B2557" t="s">
        <v>12241</v>
      </c>
    </row>
    <row r="2558" spans="1:2" x14ac:dyDescent="0.25">
      <c r="A2558" t="s">
        <v>5967</v>
      </c>
      <c r="B2558" t="s">
        <v>12239</v>
      </c>
    </row>
    <row r="2559" spans="1:2" x14ac:dyDescent="0.25">
      <c r="A2559" t="s">
        <v>12242</v>
      </c>
      <c r="B2559" t="s">
        <v>5967</v>
      </c>
    </row>
    <row r="2560" spans="1:2" x14ac:dyDescent="0.25">
      <c r="A2560" t="s">
        <v>4217</v>
      </c>
      <c r="B2560" t="s">
        <v>12242</v>
      </c>
    </row>
    <row r="2561" spans="1:2" x14ac:dyDescent="0.25">
      <c r="A2561" t="s">
        <v>5564</v>
      </c>
      <c r="B2561" t="s">
        <v>12239</v>
      </c>
    </row>
    <row r="2562" spans="1:2" x14ac:dyDescent="0.25">
      <c r="A2562" t="s">
        <v>12243</v>
      </c>
      <c r="B2562" t="s">
        <v>5564</v>
      </c>
    </row>
    <row r="2563" spans="1:2" x14ac:dyDescent="0.25">
      <c r="A2563" t="s">
        <v>4706</v>
      </c>
      <c r="B2563" t="s">
        <v>12243</v>
      </c>
    </row>
    <row r="2564" spans="1:2" x14ac:dyDescent="0.25">
      <c r="A2564" t="s">
        <v>535</v>
      </c>
      <c r="B2564" t="s">
        <v>12243</v>
      </c>
    </row>
    <row r="2565" spans="1:2" x14ac:dyDescent="0.25">
      <c r="A2565" t="s">
        <v>9495</v>
      </c>
      <c r="B2565" t="s">
        <v>12653</v>
      </c>
    </row>
    <row r="2566" spans="1:2" x14ac:dyDescent="0.25">
      <c r="A2566" t="s">
        <v>4076</v>
      </c>
      <c r="B2566" t="s">
        <v>12529</v>
      </c>
    </row>
    <row r="2567" spans="1:2" x14ac:dyDescent="0.25">
      <c r="A2567" t="s">
        <v>8539</v>
      </c>
      <c r="B2567" t="s">
        <v>4076</v>
      </c>
    </row>
    <row r="2568" spans="1:2" x14ac:dyDescent="0.25">
      <c r="A2568" t="s">
        <v>3582</v>
      </c>
      <c r="B2568" t="s">
        <v>4076</v>
      </c>
    </row>
    <row r="2569" spans="1:2" x14ac:dyDescent="0.25">
      <c r="A2569" t="s">
        <v>10250</v>
      </c>
      <c r="B2569" t="s">
        <v>3582</v>
      </c>
    </row>
    <row r="2570" spans="1:2" x14ac:dyDescent="0.25">
      <c r="A2570" t="s">
        <v>10251</v>
      </c>
      <c r="B2570" t="s">
        <v>3582</v>
      </c>
    </row>
    <row r="2571" spans="1:2" x14ac:dyDescent="0.25">
      <c r="A2571" t="s">
        <v>6290</v>
      </c>
      <c r="B2571" t="s">
        <v>3582</v>
      </c>
    </row>
    <row r="2572" spans="1:2" x14ac:dyDescent="0.25">
      <c r="A2572" t="s">
        <v>8540</v>
      </c>
      <c r="B2572" t="s">
        <v>4076</v>
      </c>
    </row>
    <row r="2573" spans="1:2" x14ac:dyDescent="0.25">
      <c r="A2573" t="s">
        <v>4096</v>
      </c>
      <c r="B2573" t="s">
        <v>4076</v>
      </c>
    </row>
    <row r="2574" spans="1:2" x14ac:dyDescent="0.25">
      <c r="A2574" t="s">
        <v>12849</v>
      </c>
      <c r="B2574" t="s">
        <v>4096</v>
      </c>
    </row>
    <row r="2575" spans="1:2" x14ac:dyDescent="0.25">
      <c r="A2575" t="s">
        <v>16453</v>
      </c>
      <c r="B2575" t="s">
        <v>12849</v>
      </c>
    </row>
    <row r="2576" spans="1:2" x14ac:dyDescent="0.25">
      <c r="A2576" t="s">
        <v>16454</v>
      </c>
      <c r="B2576" t="s">
        <v>12849</v>
      </c>
    </row>
    <row r="2577" spans="1:2" x14ac:dyDescent="0.25">
      <c r="A2577" t="s">
        <v>5473</v>
      </c>
      <c r="B2577" t="s">
        <v>4096</v>
      </c>
    </row>
    <row r="2578" spans="1:2" x14ac:dyDescent="0.25">
      <c r="A2578" t="s">
        <v>15554</v>
      </c>
      <c r="B2578" t="s">
        <v>5473</v>
      </c>
    </row>
    <row r="2579" spans="1:2" x14ac:dyDescent="0.25">
      <c r="A2579" t="s">
        <v>15555</v>
      </c>
      <c r="B2579" t="s">
        <v>5473</v>
      </c>
    </row>
    <row r="2580" spans="1:2" x14ac:dyDescent="0.25">
      <c r="A2580" t="s">
        <v>15556</v>
      </c>
      <c r="B2580" t="s">
        <v>5473</v>
      </c>
    </row>
    <row r="2581" spans="1:2" x14ac:dyDescent="0.25">
      <c r="A2581" t="s">
        <v>15557</v>
      </c>
      <c r="B2581" t="s">
        <v>5473</v>
      </c>
    </row>
    <row r="2582" spans="1:2" x14ac:dyDescent="0.25">
      <c r="A2582" t="s">
        <v>15558</v>
      </c>
      <c r="B2582" t="s">
        <v>5473</v>
      </c>
    </row>
    <row r="2583" spans="1:2" x14ac:dyDescent="0.25">
      <c r="A2583" t="s">
        <v>15559</v>
      </c>
      <c r="B2583" t="s">
        <v>5473</v>
      </c>
    </row>
    <row r="2584" spans="1:2" x14ac:dyDescent="0.25">
      <c r="A2584" t="s">
        <v>15560</v>
      </c>
      <c r="B2584" t="s">
        <v>5473</v>
      </c>
    </row>
    <row r="2585" spans="1:2" x14ac:dyDescent="0.25">
      <c r="A2585" t="s">
        <v>15561</v>
      </c>
      <c r="B2585" t="s">
        <v>5473</v>
      </c>
    </row>
    <row r="2586" spans="1:2" x14ac:dyDescent="0.25">
      <c r="A2586" t="s">
        <v>15562</v>
      </c>
      <c r="B2586" t="s">
        <v>5473</v>
      </c>
    </row>
    <row r="2587" spans="1:2" x14ac:dyDescent="0.25">
      <c r="A2587" t="s">
        <v>15563</v>
      </c>
      <c r="B2587" t="s">
        <v>5473</v>
      </c>
    </row>
    <row r="2588" spans="1:2" x14ac:dyDescent="0.25">
      <c r="A2588" t="s">
        <v>15564</v>
      </c>
      <c r="B2588" t="s">
        <v>5473</v>
      </c>
    </row>
    <row r="2589" spans="1:2" x14ac:dyDescent="0.25">
      <c r="A2589" t="s">
        <v>15565</v>
      </c>
      <c r="B2589" t="s">
        <v>5473</v>
      </c>
    </row>
    <row r="2590" spans="1:2" x14ac:dyDescent="0.25">
      <c r="A2590" t="s">
        <v>15566</v>
      </c>
      <c r="B2590" t="s">
        <v>5473</v>
      </c>
    </row>
    <row r="2591" spans="1:2" x14ac:dyDescent="0.25">
      <c r="A2591" t="s">
        <v>15567</v>
      </c>
      <c r="B2591" t="s">
        <v>5473</v>
      </c>
    </row>
    <row r="2592" spans="1:2" x14ac:dyDescent="0.25">
      <c r="A2592" t="s">
        <v>15568</v>
      </c>
      <c r="B2592" t="s">
        <v>5473</v>
      </c>
    </row>
    <row r="2593" spans="1:2" x14ac:dyDescent="0.25">
      <c r="A2593" t="s">
        <v>15569</v>
      </c>
      <c r="B2593" t="s">
        <v>5473</v>
      </c>
    </row>
    <row r="2594" spans="1:2" x14ac:dyDescent="0.25">
      <c r="A2594" t="s">
        <v>15570</v>
      </c>
      <c r="B2594" t="s">
        <v>5473</v>
      </c>
    </row>
    <row r="2595" spans="1:2" x14ac:dyDescent="0.25">
      <c r="A2595" t="s">
        <v>15571</v>
      </c>
      <c r="B2595" t="s">
        <v>5473</v>
      </c>
    </row>
    <row r="2596" spans="1:2" x14ac:dyDescent="0.25">
      <c r="A2596" t="s">
        <v>15572</v>
      </c>
      <c r="B2596" t="s">
        <v>5473</v>
      </c>
    </row>
    <row r="2597" spans="1:2" x14ac:dyDescent="0.25">
      <c r="A2597" t="s">
        <v>15573</v>
      </c>
      <c r="B2597" t="s">
        <v>5473</v>
      </c>
    </row>
    <row r="2598" spans="1:2" x14ac:dyDescent="0.25">
      <c r="A2598" t="s">
        <v>15574</v>
      </c>
      <c r="B2598" t="s">
        <v>5473</v>
      </c>
    </row>
    <row r="2599" spans="1:2" x14ac:dyDescent="0.25">
      <c r="A2599" t="s">
        <v>15575</v>
      </c>
      <c r="B2599" t="s">
        <v>5473</v>
      </c>
    </row>
    <row r="2600" spans="1:2" x14ac:dyDescent="0.25">
      <c r="A2600" t="s">
        <v>15576</v>
      </c>
      <c r="B2600" t="s">
        <v>5473</v>
      </c>
    </row>
    <row r="2601" spans="1:2" x14ac:dyDescent="0.25">
      <c r="A2601" t="s">
        <v>15577</v>
      </c>
      <c r="B2601" t="s">
        <v>5473</v>
      </c>
    </row>
    <row r="2602" spans="1:2" x14ac:dyDescent="0.25">
      <c r="A2602" t="s">
        <v>15578</v>
      </c>
      <c r="B2602" t="s">
        <v>5473</v>
      </c>
    </row>
    <row r="2603" spans="1:2" x14ac:dyDescent="0.25">
      <c r="A2603" t="s">
        <v>15579</v>
      </c>
      <c r="B2603" t="s">
        <v>5473</v>
      </c>
    </row>
    <row r="2604" spans="1:2" x14ac:dyDescent="0.25">
      <c r="A2604" t="s">
        <v>15580</v>
      </c>
      <c r="B2604" t="s">
        <v>5473</v>
      </c>
    </row>
    <row r="2605" spans="1:2" x14ac:dyDescent="0.25">
      <c r="A2605" t="s">
        <v>15581</v>
      </c>
      <c r="B2605" t="s">
        <v>5473</v>
      </c>
    </row>
    <row r="2606" spans="1:2" x14ac:dyDescent="0.25">
      <c r="A2606" t="s">
        <v>15582</v>
      </c>
      <c r="B2606" t="s">
        <v>5473</v>
      </c>
    </row>
    <row r="2607" spans="1:2" x14ac:dyDescent="0.25">
      <c r="A2607" t="s">
        <v>15583</v>
      </c>
      <c r="B2607" t="s">
        <v>5473</v>
      </c>
    </row>
    <row r="2608" spans="1:2" x14ac:dyDescent="0.25">
      <c r="A2608" t="s">
        <v>15584</v>
      </c>
      <c r="B2608" t="s">
        <v>5473</v>
      </c>
    </row>
    <row r="2609" spans="1:2" x14ac:dyDescent="0.25">
      <c r="A2609" t="s">
        <v>15585</v>
      </c>
      <c r="B2609" t="s">
        <v>5473</v>
      </c>
    </row>
    <row r="2610" spans="1:2" x14ac:dyDescent="0.25">
      <c r="A2610" t="s">
        <v>15586</v>
      </c>
      <c r="B2610" t="s">
        <v>5473</v>
      </c>
    </row>
    <row r="2611" spans="1:2" x14ac:dyDescent="0.25">
      <c r="A2611" t="s">
        <v>15587</v>
      </c>
      <c r="B2611" t="s">
        <v>5473</v>
      </c>
    </row>
    <row r="2612" spans="1:2" x14ac:dyDescent="0.25">
      <c r="A2612" t="s">
        <v>15588</v>
      </c>
      <c r="B2612" t="s">
        <v>5473</v>
      </c>
    </row>
    <row r="2613" spans="1:2" x14ac:dyDescent="0.25">
      <c r="A2613" t="s">
        <v>15589</v>
      </c>
      <c r="B2613" t="s">
        <v>5473</v>
      </c>
    </row>
    <row r="2614" spans="1:2" x14ac:dyDescent="0.25">
      <c r="A2614" t="s">
        <v>15590</v>
      </c>
      <c r="B2614" t="s">
        <v>5473</v>
      </c>
    </row>
    <row r="2615" spans="1:2" x14ac:dyDescent="0.25">
      <c r="A2615" t="s">
        <v>15591</v>
      </c>
      <c r="B2615" t="s">
        <v>5473</v>
      </c>
    </row>
    <row r="2616" spans="1:2" x14ac:dyDescent="0.25">
      <c r="A2616" t="s">
        <v>15592</v>
      </c>
      <c r="B2616" t="s">
        <v>5473</v>
      </c>
    </row>
    <row r="2617" spans="1:2" x14ac:dyDescent="0.25">
      <c r="A2617" t="s">
        <v>15593</v>
      </c>
      <c r="B2617" t="s">
        <v>5473</v>
      </c>
    </row>
    <row r="2618" spans="1:2" x14ac:dyDescent="0.25">
      <c r="A2618" t="s">
        <v>15594</v>
      </c>
      <c r="B2618" t="s">
        <v>5473</v>
      </c>
    </row>
    <row r="2619" spans="1:2" x14ac:dyDescent="0.25">
      <c r="A2619" t="s">
        <v>15595</v>
      </c>
      <c r="B2619" t="s">
        <v>5473</v>
      </c>
    </row>
    <row r="2620" spans="1:2" x14ac:dyDescent="0.25">
      <c r="A2620" t="s">
        <v>15596</v>
      </c>
      <c r="B2620" t="s">
        <v>5473</v>
      </c>
    </row>
    <row r="2621" spans="1:2" x14ac:dyDescent="0.25">
      <c r="A2621" t="s">
        <v>15597</v>
      </c>
      <c r="B2621" t="s">
        <v>5473</v>
      </c>
    </row>
    <row r="2622" spans="1:2" x14ac:dyDescent="0.25">
      <c r="A2622" t="s">
        <v>15598</v>
      </c>
      <c r="B2622" t="s">
        <v>5473</v>
      </c>
    </row>
    <row r="2623" spans="1:2" x14ac:dyDescent="0.25">
      <c r="A2623" t="s">
        <v>15599</v>
      </c>
      <c r="B2623" t="s">
        <v>5473</v>
      </c>
    </row>
    <row r="2624" spans="1:2" x14ac:dyDescent="0.25">
      <c r="A2624" t="s">
        <v>15600</v>
      </c>
      <c r="B2624" t="s">
        <v>5473</v>
      </c>
    </row>
    <row r="2625" spans="1:2" x14ac:dyDescent="0.25">
      <c r="A2625" t="s">
        <v>15601</v>
      </c>
      <c r="B2625" t="s">
        <v>5473</v>
      </c>
    </row>
    <row r="2626" spans="1:2" x14ac:dyDescent="0.25">
      <c r="A2626" t="s">
        <v>15602</v>
      </c>
      <c r="B2626" t="s">
        <v>5473</v>
      </c>
    </row>
    <row r="2627" spans="1:2" x14ac:dyDescent="0.25">
      <c r="A2627" t="s">
        <v>15603</v>
      </c>
      <c r="B2627" t="s">
        <v>5473</v>
      </c>
    </row>
    <row r="2628" spans="1:2" x14ac:dyDescent="0.25">
      <c r="A2628" t="s">
        <v>15604</v>
      </c>
      <c r="B2628" t="s">
        <v>5473</v>
      </c>
    </row>
    <row r="2629" spans="1:2" x14ac:dyDescent="0.25">
      <c r="A2629" t="s">
        <v>15605</v>
      </c>
      <c r="B2629" t="s">
        <v>5473</v>
      </c>
    </row>
    <row r="2630" spans="1:2" x14ac:dyDescent="0.25">
      <c r="A2630" t="s">
        <v>15606</v>
      </c>
      <c r="B2630" t="s">
        <v>5473</v>
      </c>
    </row>
    <row r="2631" spans="1:2" x14ac:dyDescent="0.25">
      <c r="A2631" t="s">
        <v>15607</v>
      </c>
      <c r="B2631" t="s">
        <v>5473</v>
      </c>
    </row>
    <row r="2632" spans="1:2" x14ac:dyDescent="0.25">
      <c r="A2632" t="s">
        <v>15608</v>
      </c>
      <c r="B2632" t="s">
        <v>5473</v>
      </c>
    </row>
    <row r="2633" spans="1:2" x14ac:dyDescent="0.25">
      <c r="A2633" t="s">
        <v>15609</v>
      </c>
      <c r="B2633" t="s">
        <v>5473</v>
      </c>
    </row>
    <row r="2634" spans="1:2" x14ac:dyDescent="0.25">
      <c r="A2634" t="s">
        <v>15610</v>
      </c>
      <c r="B2634" t="s">
        <v>5473</v>
      </c>
    </row>
    <row r="2635" spans="1:2" x14ac:dyDescent="0.25">
      <c r="A2635" t="s">
        <v>15611</v>
      </c>
      <c r="B2635" t="s">
        <v>5473</v>
      </c>
    </row>
    <row r="2636" spans="1:2" x14ac:dyDescent="0.25">
      <c r="A2636" t="s">
        <v>15612</v>
      </c>
      <c r="B2636" t="s">
        <v>5473</v>
      </c>
    </row>
    <row r="2637" spans="1:2" x14ac:dyDescent="0.25">
      <c r="A2637" t="s">
        <v>15613</v>
      </c>
      <c r="B2637" t="s">
        <v>5473</v>
      </c>
    </row>
    <row r="2638" spans="1:2" x14ac:dyDescent="0.25">
      <c r="A2638" t="s">
        <v>15614</v>
      </c>
      <c r="B2638" t="s">
        <v>5473</v>
      </c>
    </row>
    <row r="2639" spans="1:2" x14ac:dyDescent="0.25">
      <c r="A2639" t="s">
        <v>7405</v>
      </c>
      <c r="B2639" t="s">
        <v>4096</v>
      </c>
    </row>
    <row r="2640" spans="1:2" x14ac:dyDescent="0.25">
      <c r="A2640" t="s">
        <v>15615</v>
      </c>
      <c r="B2640" t="s">
        <v>7405</v>
      </c>
    </row>
    <row r="2641" spans="1:2" x14ac:dyDescent="0.25">
      <c r="A2641" t="s">
        <v>15616</v>
      </c>
      <c r="B2641" t="s">
        <v>7405</v>
      </c>
    </row>
    <row r="2642" spans="1:2" x14ac:dyDescent="0.25">
      <c r="A2642" t="s">
        <v>15617</v>
      </c>
      <c r="B2642" t="s">
        <v>7405</v>
      </c>
    </row>
    <row r="2643" spans="1:2" x14ac:dyDescent="0.25">
      <c r="A2643" t="s">
        <v>15618</v>
      </c>
      <c r="B2643" t="s">
        <v>7405</v>
      </c>
    </row>
    <row r="2644" spans="1:2" x14ac:dyDescent="0.25">
      <c r="A2644" t="s">
        <v>15619</v>
      </c>
      <c r="B2644" t="s">
        <v>7405</v>
      </c>
    </row>
    <row r="2645" spans="1:2" x14ac:dyDescent="0.25">
      <c r="A2645" t="s">
        <v>15620</v>
      </c>
      <c r="B2645" t="s">
        <v>7405</v>
      </c>
    </row>
    <row r="2646" spans="1:2" x14ac:dyDescent="0.25">
      <c r="A2646" t="s">
        <v>15621</v>
      </c>
      <c r="B2646" t="s">
        <v>7405</v>
      </c>
    </row>
    <row r="2647" spans="1:2" x14ac:dyDescent="0.25">
      <c r="A2647" t="s">
        <v>15622</v>
      </c>
      <c r="B2647" t="s">
        <v>7405</v>
      </c>
    </row>
    <row r="2648" spans="1:2" x14ac:dyDescent="0.25">
      <c r="A2648" t="s">
        <v>15623</v>
      </c>
      <c r="B2648" t="s">
        <v>7405</v>
      </c>
    </row>
    <row r="2649" spans="1:2" x14ac:dyDescent="0.25">
      <c r="A2649" t="s">
        <v>15624</v>
      </c>
      <c r="B2649" t="s">
        <v>7405</v>
      </c>
    </row>
    <row r="2650" spans="1:2" x14ac:dyDescent="0.25">
      <c r="A2650" t="s">
        <v>15625</v>
      </c>
      <c r="B2650" t="s">
        <v>7405</v>
      </c>
    </row>
    <row r="2651" spans="1:2" x14ac:dyDescent="0.25">
      <c r="A2651" t="s">
        <v>15626</v>
      </c>
      <c r="B2651" t="s">
        <v>7405</v>
      </c>
    </row>
    <row r="2652" spans="1:2" x14ac:dyDescent="0.25">
      <c r="A2652" t="s">
        <v>15627</v>
      </c>
      <c r="B2652" t="s">
        <v>7405</v>
      </c>
    </row>
    <row r="2653" spans="1:2" x14ac:dyDescent="0.25">
      <c r="A2653" t="s">
        <v>15628</v>
      </c>
      <c r="B2653" t="s">
        <v>7405</v>
      </c>
    </row>
    <row r="2654" spans="1:2" x14ac:dyDescent="0.25">
      <c r="A2654" t="s">
        <v>15629</v>
      </c>
      <c r="B2654" t="s">
        <v>7405</v>
      </c>
    </row>
    <row r="2655" spans="1:2" x14ac:dyDescent="0.25">
      <c r="A2655" t="s">
        <v>15630</v>
      </c>
      <c r="B2655" t="s">
        <v>7405</v>
      </c>
    </row>
    <row r="2656" spans="1:2" x14ac:dyDescent="0.25">
      <c r="A2656" t="s">
        <v>15631</v>
      </c>
      <c r="B2656" t="s">
        <v>7405</v>
      </c>
    </row>
    <row r="2657" spans="1:2" x14ac:dyDescent="0.25">
      <c r="A2657" t="s">
        <v>15632</v>
      </c>
      <c r="B2657" t="s">
        <v>7405</v>
      </c>
    </row>
    <row r="2658" spans="1:2" x14ac:dyDescent="0.25">
      <c r="A2658" t="s">
        <v>15633</v>
      </c>
      <c r="B2658" t="s">
        <v>7405</v>
      </c>
    </row>
    <row r="2659" spans="1:2" x14ac:dyDescent="0.25">
      <c r="A2659" t="s">
        <v>15634</v>
      </c>
      <c r="B2659" t="s">
        <v>7405</v>
      </c>
    </row>
    <row r="2660" spans="1:2" x14ac:dyDescent="0.25">
      <c r="A2660" t="s">
        <v>15635</v>
      </c>
      <c r="B2660" t="s">
        <v>7405</v>
      </c>
    </row>
    <row r="2661" spans="1:2" x14ac:dyDescent="0.25">
      <c r="A2661" t="s">
        <v>15636</v>
      </c>
      <c r="B2661" t="s">
        <v>7405</v>
      </c>
    </row>
    <row r="2662" spans="1:2" x14ac:dyDescent="0.25">
      <c r="A2662" t="s">
        <v>15637</v>
      </c>
      <c r="B2662" t="s">
        <v>7405</v>
      </c>
    </row>
    <row r="2663" spans="1:2" x14ac:dyDescent="0.25">
      <c r="A2663" t="s">
        <v>15638</v>
      </c>
      <c r="B2663" t="s">
        <v>7405</v>
      </c>
    </row>
    <row r="2664" spans="1:2" x14ac:dyDescent="0.25">
      <c r="A2664" t="s">
        <v>15639</v>
      </c>
      <c r="B2664" t="s">
        <v>7405</v>
      </c>
    </row>
    <row r="2665" spans="1:2" x14ac:dyDescent="0.25">
      <c r="A2665" t="s">
        <v>15640</v>
      </c>
      <c r="B2665" t="s">
        <v>7405</v>
      </c>
    </row>
    <row r="2666" spans="1:2" x14ac:dyDescent="0.25">
      <c r="A2666" t="s">
        <v>15641</v>
      </c>
      <c r="B2666" t="s">
        <v>7405</v>
      </c>
    </row>
    <row r="2667" spans="1:2" x14ac:dyDescent="0.25">
      <c r="A2667" t="s">
        <v>15642</v>
      </c>
      <c r="B2667" t="s">
        <v>7405</v>
      </c>
    </row>
    <row r="2668" spans="1:2" x14ac:dyDescent="0.25">
      <c r="A2668" t="s">
        <v>15643</v>
      </c>
      <c r="B2668" t="s">
        <v>7405</v>
      </c>
    </row>
    <row r="2669" spans="1:2" x14ac:dyDescent="0.25">
      <c r="A2669" t="s">
        <v>15644</v>
      </c>
      <c r="B2669" t="s">
        <v>7405</v>
      </c>
    </row>
    <row r="2670" spans="1:2" x14ac:dyDescent="0.25">
      <c r="A2670" t="s">
        <v>15645</v>
      </c>
      <c r="B2670" t="s">
        <v>7405</v>
      </c>
    </row>
    <row r="2671" spans="1:2" x14ac:dyDescent="0.25">
      <c r="A2671" t="s">
        <v>15646</v>
      </c>
      <c r="B2671" t="s">
        <v>7405</v>
      </c>
    </row>
    <row r="2672" spans="1:2" x14ac:dyDescent="0.25">
      <c r="A2672" t="s">
        <v>15647</v>
      </c>
      <c r="B2672" t="s">
        <v>7405</v>
      </c>
    </row>
    <row r="2673" spans="1:2" x14ac:dyDescent="0.25">
      <c r="A2673" t="s">
        <v>15648</v>
      </c>
      <c r="B2673" t="s">
        <v>7405</v>
      </c>
    </row>
    <row r="2674" spans="1:2" x14ac:dyDescent="0.25">
      <c r="A2674" t="s">
        <v>15649</v>
      </c>
      <c r="B2674" t="s">
        <v>7405</v>
      </c>
    </row>
    <row r="2675" spans="1:2" x14ac:dyDescent="0.25">
      <c r="A2675" t="s">
        <v>15650</v>
      </c>
      <c r="B2675" t="s">
        <v>7405</v>
      </c>
    </row>
    <row r="2676" spans="1:2" x14ac:dyDescent="0.25">
      <c r="A2676" t="s">
        <v>15651</v>
      </c>
      <c r="B2676" t="s">
        <v>7405</v>
      </c>
    </row>
    <row r="2677" spans="1:2" x14ac:dyDescent="0.25">
      <c r="A2677" t="s">
        <v>15652</v>
      </c>
      <c r="B2677" t="s">
        <v>7405</v>
      </c>
    </row>
    <row r="2678" spans="1:2" x14ac:dyDescent="0.25">
      <c r="A2678" t="s">
        <v>15653</v>
      </c>
      <c r="B2678" t="s">
        <v>7405</v>
      </c>
    </row>
    <row r="2679" spans="1:2" x14ac:dyDescent="0.25">
      <c r="A2679" t="s">
        <v>15654</v>
      </c>
      <c r="B2679" t="s">
        <v>7405</v>
      </c>
    </row>
    <row r="2680" spans="1:2" x14ac:dyDescent="0.25">
      <c r="A2680" t="s">
        <v>15655</v>
      </c>
      <c r="B2680" t="s">
        <v>7405</v>
      </c>
    </row>
    <row r="2681" spans="1:2" x14ac:dyDescent="0.25">
      <c r="A2681" t="s">
        <v>15656</v>
      </c>
      <c r="B2681" t="s">
        <v>7405</v>
      </c>
    </row>
    <row r="2682" spans="1:2" x14ac:dyDescent="0.25">
      <c r="A2682" t="s">
        <v>15657</v>
      </c>
      <c r="B2682" t="s">
        <v>7405</v>
      </c>
    </row>
    <row r="2683" spans="1:2" x14ac:dyDescent="0.25">
      <c r="A2683" t="s">
        <v>15658</v>
      </c>
      <c r="B2683" t="s">
        <v>7405</v>
      </c>
    </row>
    <row r="2684" spans="1:2" x14ac:dyDescent="0.25">
      <c r="A2684" t="s">
        <v>15659</v>
      </c>
      <c r="B2684" t="s">
        <v>7405</v>
      </c>
    </row>
    <row r="2685" spans="1:2" x14ac:dyDescent="0.25">
      <c r="A2685" t="s">
        <v>15660</v>
      </c>
      <c r="B2685" t="s">
        <v>7405</v>
      </c>
    </row>
    <row r="2686" spans="1:2" x14ac:dyDescent="0.25">
      <c r="A2686" t="s">
        <v>15661</v>
      </c>
      <c r="B2686" t="s">
        <v>7405</v>
      </c>
    </row>
    <row r="2687" spans="1:2" x14ac:dyDescent="0.25">
      <c r="A2687" t="s">
        <v>15662</v>
      </c>
      <c r="B2687" t="s">
        <v>7405</v>
      </c>
    </row>
    <row r="2688" spans="1:2" x14ac:dyDescent="0.25">
      <c r="A2688" t="s">
        <v>406</v>
      </c>
      <c r="B2688" t="s">
        <v>4096</v>
      </c>
    </row>
    <row r="2689" spans="1:2" x14ac:dyDescent="0.25">
      <c r="A2689" t="s">
        <v>16455</v>
      </c>
      <c r="B2689" t="s">
        <v>406</v>
      </c>
    </row>
    <row r="2690" spans="1:2" x14ac:dyDescent="0.25">
      <c r="A2690" t="s">
        <v>16456</v>
      </c>
      <c r="B2690" t="s">
        <v>406</v>
      </c>
    </row>
    <row r="2691" spans="1:2" x14ac:dyDescent="0.25">
      <c r="A2691" t="s">
        <v>5136</v>
      </c>
      <c r="B2691" t="s">
        <v>4096</v>
      </c>
    </row>
    <row r="2692" spans="1:2" x14ac:dyDescent="0.25">
      <c r="A2692" t="s">
        <v>8237</v>
      </c>
      <c r="B2692" t="s">
        <v>4096</v>
      </c>
    </row>
    <row r="2693" spans="1:2" x14ac:dyDescent="0.25">
      <c r="A2693" t="s">
        <v>16461</v>
      </c>
      <c r="B2693" t="s">
        <v>8237</v>
      </c>
    </row>
    <row r="2694" spans="1:2" x14ac:dyDescent="0.25">
      <c r="A2694" t="s">
        <v>16462</v>
      </c>
      <c r="B2694" t="s">
        <v>8237</v>
      </c>
    </row>
    <row r="2695" spans="1:2" x14ac:dyDescent="0.25">
      <c r="A2695" t="s">
        <v>3583</v>
      </c>
      <c r="B2695" t="s">
        <v>4096</v>
      </c>
    </row>
    <row r="2696" spans="1:2" x14ac:dyDescent="0.25">
      <c r="A2696" t="s">
        <v>15663</v>
      </c>
      <c r="B2696" t="s">
        <v>3583</v>
      </c>
    </row>
    <row r="2697" spans="1:2" x14ac:dyDescent="0.25">
      <c r="A2697" t="s">
        <v>15664</v>
      </c>
      <c r="B2697" t="s">
        <v>3583</v>
      </c>
    </row>
    <row r="2698" spans="1:2" x14ac:dyDescent="0.25">
      <c r="A2698" t="s">
        <v>15665</v>
      </c>
      <c r="B2698" t="s">
        <v>3583</v>
      </c>
    </row>
    <row r="2699" spans="1:2" x14ac:dyDescent="0.25">
      <c r="A2699" t="s">
        <v>15666</v>
      </c>
      <c r="B2699" t="s">
        <v>3583</v>
      </c>
    </row>
    <row r="2700" spans="1:2" x14ac:dyDescent="0.25">
      <c r="A2700" t="s">
        <v>15667</v>
      </c>
      <c r="B2700" t="s">
        <v>3583</v>
      </c>
    </row>
    <row r="2701" spans="1:2" x14ac:dyDescent="0.25">
      <c r="A2701" t="s">
        <v>15668</v>
      </c>
      <c r="B2701" t="s">
        <v>3583</v>
      </c>
    </row>
    <row r="2702" spans="1:2" x14ac:dyDescent="0.25">
      <c r="A2702" t="s">
        <v>15669</v>
      </c>
      <c r="B2702" t="s">
        <v>3583</v>
      </c>
    </row>
    <row r="2703" spans="1:2" x14ac:dyDescent="0.25">
      <c r="A2703" t="s">
        <v>15670</v>
      </c>
      <c r="B2703" t="s">
        <v>3583</v>
      </c>
    </row>
    <row r="2704" spans="1:2" x14ac:dyDescent="0.25">
      <c r="A2704" t="s">
        <v>15671</v>
      </c>
      <c r="B2704" t="s">
        <v>3583</v>
      </c>
    </row>
    <row r="2705" spans="1:2" x14ac:dyDescent="0.25">
      <c r="A2705" t="s">
        <v>15672</v>
      </c>
      <c r="B2705" t="s">
        <v>3583</v>
      </c>
    </row>
    <row r="2706" spans="1:2" x14ac:dyDescent="0.25">
      <c r="A2706" t="s">
        <v>15673</v>
      </c>
      <c r="B2706" t="s">
        <v>3583</v>
      </c>
    </row>
    <row r="2707" spans="1:2" x14ac:dyDescent="0.25">
      <c r="A2707" t="s">
        <v>15674</v>
      </c>
      <c r="B2707" t="s">
        <v>3583</v>
      </c>
    </row>
    <row r="2708" spans="1:2" x14ac:dyDescent="0.25">
      <c r="A2708" t="s">
        <v>15675</v>
      </c>
      <c r="B2708" t="s">
        <v>3583</v>
      </c>
    </row>
    <row r="2709" spans="1:2" x14ac:dyDescent="0.25">
      <c r="A2709" t="s">
        <v>15676</v>
      </c>
      <c r="B2709" t="s">
        <v>3583</v>
      </c>
    </row>
    <row r="2710" spans="1:2" x14ac:dyDescent="0.25">
      <c r="A2710" t="s">
        <v>15677</v>
      </c>
      <c r="B2710" t="s">
        <v>3583</v>
      </c>
    </row>
    <row r="2711" spans="1:2" x14ac:dyDescent="0.25">
      <c r="A2711" t="s">
        <v>15678</v>
      </c>
      <c r="B2711" t="s">
        <v>3583</v>
      </c>
    </row>
    <row r="2712" spans="1:2" x14ac:dyDescent="0.25">
      <c r="A2712" t="s">
        <v>15679</v>
      </c>
      <c r="B2712" t="s">
        <v>3583</v>
      </c>
    </row>
    <row r="2713" spans="1:2" x14ac:dyDescent="0.25">
      <c r="A2713" t="s">
        <v>15680</v>
      </c>
      <c r="B2713" t="s">
        <v>3583</v>
      </c>
    </row>
    <row r="2714" spans="1:2" x14ac:dyDescent="0.25">
      <c r="A2714" t="s">
        <v>15681</v>
      </c>
      <c r="B2714" t="s">
        <v>3583</v>
      </c>
    </row>
    <row r="2715" spans="1:2" x14ac:dyDescent="0.25">
      <c r="A2715" t="s">
        <v>15682</v>
      </c>
      <c r="B2715" t="s">
        <v>3583</v>
      </c>
    </row>
    <row r="2716" spans="1:2" x14ac:dyDescent="0.25">
      <c r="A2716" t="s">
        <v>15683</v>
      </c>
      <c r="B2716" t="s">
        <v>3583</v>
      </c>
    </row>
    <row r="2717" spans="1:2" x14ac:dyDescent="0.25">
      <c r="A2717" t="s">
        <v>15684</v>
      </c>
      <c r="B2717" t="s">
        <v>3583</v>
      </c>
    </row>
    <row r="2718" spans="1:2" x14ac:dyDescent="0.25">
      <c r="A2718" t="s">
        <v>15685</v>
      </c>
      <c r="B2718" t="s">
        <v>3583</v>
      </c>
    </row>
    <row r="2719" spans="1:2" x14ac:dyDescent="0.25">
      <c r="A2719" t="s">
        <v>15686</v>
      </c>
      <c r="B2719" t="s">
        <v>3583</v>
      </c>
    </row>
    <row r="2720" spans="1:2" x14ac:dyDescent="0.25">
      <c r="A2720" t="s">
        <v>15687</v>
      </c>
      <c r="B2720" t="s">
        <v>3583</v>
      </c>
    </row>
    <row r="2721" spans="1:2" x14ac:dyDescent="0.25">
      <c r="A2721" t="s">
        <v>15688</v>
      </c>
      <c r="B2721" t="s">
        <v>3583</v>
      </c>
    </row>
    <row r="2722" spans="1:2" x14ac:dyDescent="0.25">
      <c r="A2722" t="s">
        <v>15689</v>
      </c>
      <c r="B2722" t="s">
        <v>3583</v>
      </c>
    </row>
    <row r="2723" spans="1:2" x14ac:dyDescent="0.25">
      <c r="A2723" t="s">
        <v>15690</v>
      </c>
      <c r="B2723" t="s">
        <v>3583</v>
      </c>
    </row>
    <row r="2724" spans="1:2" x14ac:dyDescent="0.25">
      <c r="A2724" t="s">
        <v>15691</v>
      </c>
      <c r="B2724" t="s">
        <v>3583</v>
      </c>
    </row>
    <row r="2725" spans="1:2" x14ac:dyDescent="0.25">
      <c r="A2725" t="s">
        <v>15692</v>
      </c>
      <c r="B2725" t="s">
        <v>3583</v>
      </c>
    </row>
    <row r="2726" spans="1:2" x14ac:dyDescent="0.25">
      <c r="A2726" t="s">
        <v>15693</v>
      </c>
      <c r="B2726" t="s">
        <v>3583</v>
      </c>
    </row>
    <row r="2727" spans="1:2" x14ac:dyDescent="0.25">
      <c r="A2727" t="s">
        <v>15694</v>
      </c>
      <c r="B2727" t="s">
        <v>3583</v>
      </c>
    </row>
    <row r="2728" spans="1:2" x14ac:dyDescent="0.25">
      <c r="A2728" t="s">
        <v>15695</v>
      </c>
      <c r="B2728" t="s">
        <v>3583</v>
      </c>
    </row>
    <row r="2729" spans="1:2" x14ac:dyDescent="0.25">
      <c r="A2729" t="s">
        <v>15696</v>
      </c>
      <c r="B2729" t="s">
        <v>3583</v>
      </c>
    </row>
    <row r="2730" spans="1:2" x14ac:dyDescent="0.25">
      <c r="A2730" t="s">
        <v>15697</v>
      </c>
      <c r="B2730" t="s">
        <v>3583</v>
      </c>
    </row>
    <row r="2731" spans="1:2" x14ac:dyDescent="0.25">
      <c r="A2731" t="s">
        <v>15698</v>
      </c>
      <c r="B2731" t="s">
        <v>3583</v>
      </c>
    </row>
    <row r="2732" spans="1:2" x14ac:dyDescent="0.25">
      <c r="A2732" t="s">
        <v>15699</v>
      </c>
      <c r="B2732" t="s">
        <v>3583</v>
      </c>
    </row>
    <row r="2733" spans="1:2" x14ac:dyDescent="0.25">
      <c r="A2733" t="s">
        <v>15700</v>
      </c>
      <c r="B2733" t="s">
        <v>3583</v>
      </c>
    </row>
    <row r="2734" spans="1:2" x14ac:dyDescent="0.25">
      <c r="A2734" t="s">
        <v>15701</v>
      </c>
      <c r="B2734" t="s">
        <v>3583</v>
      </c>
    </row>
    <row r="2735" spans="1:2" x14ac:dyDescent="0.25">
      <c r="A2735" t="s">
        <v>15702</v>
      </c>
      <c r="B2735" t="s">
        <v>3583</v>
      </c>
    </row>
    <row r="2736" spans="1:2" x14ac:dyDescent="0.25">
      <c r="A2736" t="s">
        <v>15703</v>
      </c>
      <c r="B2736" t="s">
        <v>3583</v>
      </c>
    </row>
    <row r="2737" spans="1:2" x14ac:dyDescent="0.25">
      <c r="A2737" t="s">
        <v>15704</v>
      </c>
      <c r="B2737" t="s">
        <v>3583</v>
      </c>
    </row>
    <row r="2738" spans="1:2" x14ac:dyDescent="0.25">
      <c r="A2738" t="s">
        <v>15705</v>
      </c>
      <c r="B2738" t="s">
        <v>3583</v>
      </c>
    </row>
    <row r="2739" spans="1:2" x14ac:dyDescent="0.25">
      <c r="A2739" t="s">
        <v>12850</v>
      </c>
      <c r="B2739" t="s">
        <v>4076</v>
      </c>
    </row>
    <row r="2740" spans="1:2" x14ac:dyDescent="0.25">
      <c r="A2740" t="s">
        <v>11409</v>
      </c>
      <c r="B2740" t="s">
        <v>12850</v>
      </c>
    </row>
    <row r="2741" spans="1:2" x14ac:dyDescent="0.25">
      <c r="A2741" t="s">
        <v>407</v>
      </c>
      <c r="B2741" t="s">
        <v>11409</v>
      </c>
    </row>
    <row r="2742" spans="1:2" x14ac:dyDescent="0.25">
      <c r="A2742" t="s">
        <v>2681</v>
      </c>
      <c r="B2742" t="s">
        <v>11409</v>
      </c>
    </row>
    <row r="2743" spans="1:2" x14ac:dyDescent="0.25">
      <c r="A2743" t="s">
        <v>5475</v>
      </c>
      <c r="B2743" t="s">
        <v>11409</v>
      </c>
    </row>
    <row r="2744" spans="1:2" x14ac:dyDescent="0.25">
      <c r="A2744" t="s">
        <v>6292</v>
      </c>
      <c r="B2744" t="s">
        <v>12850</v>
      </c>
    </row>
    <row r="2745" spans="1:2" x14ac:dyDescent="0.25">
      <c r="A2745" t="s">
        <v>10758</v>
      </c>
      <c r="B2745" t="s">
        <v>6292</v>
      </c>
    </row>
    <row r="2746" spans="1:2" x14ac:dyDescent="0.25">
      <c r="A2746" t="s">
        <v>16457</v>
      </c>
      <c r="B2746" t="s">
        <v>10758</v>
      </c>
    </row>
    <row r="2747" spans="1:2" x14ac:dyDescent="0.25">
      <c r="A2747" t="s">
        <v>16458</v>
      </c>
      <c r="B2747" t="s">
        <v>10758</v>
      </c>
    </row>
    <row r="2748" spans="1:2" x14ac:dyDescent="0.25">
      <c r="A2748" t="s">
        <v>8037</v>
      </c>
      <c r="B2748" t="s">
        <v>6292</v>
      </c>
    </row>
    <row r="2749" spans="1:2" x14ac:dyDescent="0.25">
      <c r="A2749" t="s">
        <v>8939</v>
      </c>
      <c r="B2749" t="s">
        <v>6292</v>
      </c>
    </row>
    <row r="2750" spans="1:2" x14ac:dyDescent="0.25">
      <c r="A2750" t="s">
        <v>12579</v>
      </c>
      <c r="B2750" t="s">
        <v>6292</v>
      </c>
    </row>
    <row r="2751" spans="1:2" x14ac:dyDescent="0.25">
      <c r="A2751" t="s">
        <v>8038</v>
      </c>
      <c r="B2751" t="s">
        <v>6292</v>
      </c>
    </row>
    <row r="2752" spans="1:2" x14ac:dyDescent="0.25">
      <c r="A2752" t="s">
        <v>8673</v>
      </c>
      <c r="B2752" t="s">
        <v>6292</v>
      </c>
    </row>
    <row r="2753" spans="1:2" x14ac:dyDescent="0.25">
      <c r="A2753" t="s">
        <v>15706</v>
      </c>
      <c r="B2753" t="s">
        <v>8673</v>
      </c>
    </row>
    <row r="2754" spans="1:2" x14ac:dyDescent="0.25">
      <c r="A2754" t="s">
        <v>15707</v>
      </c>
      <c r="B2754" t="s">
        <v>8673</v>
      </c>
    </row>
    <row r="2755" spans="1:2" x14ac:dyDescent="0.25">
      <c r="A2755" t="s">
        <v>15708</v>
      </c>
      <c r="B2755" t="s">
        <v>8673</v>
      </c>
    </row>
    <row r="2756" spans="1:2" x14ac:dyDescent="0.25">
      <c r="A2756" t="s">
        <v>8238</v>
      </c>
      <c r="B2756" t="s">
        <v>6292</v>
      </c>
    </row>
    <row r="2757" spans="1:2" x14ac:dyDescent="0.25">
      <c r="A2757" t="s">
        <v>9867</v>
      </c>
      <c r="B2757" t="s">
        <v>6292</v>
      </c>
    </row>
    <row r="2758" spans="1:2" x14ac:dyDescent="0.25">
      <c r="A2758" t="s">
        <v>15709</v>
      </c>
      <c r="B2758" t="s">
        <v>9867</v>
      </c>
    </row>
    <row r="2759" spans="1:2" x14ac:dyDescent="0.25">
      <c r="A2759" t="s">
        <v>15710</v>
      </c>
      <c r="B2759" t="s">
        <v>9867</v>
      </c>
    </row>
    <row r="2760" spans="1:2" x14ac:dyDescent="0.25">
      <c r="A2760" t="s">
        <v>15711</v>
      </c>
      <c r="B2760" t="s">
        <v>9867</v>
      </c>
    </row>
    <row r="2761" spans="1:2" x14ac:dyDescent="0.25">
      <c r="A2761" t="s">
        <v>15712</v>
      </c>
      <c r="B2761" t="s">
        <v>9867</v>
      </c>
    </row>
    <row r="2762" spans="1:2" x14ac:dyDescent="0.25">
      <c r="A2762" t="s">
        <v>15713</v>
      </c>
      <c r="B2762" t="s">
        <v>9867</v>
      </c>
    </row>
    <row r="2763" spans="1:2" x14ac:dyDescent="0.25">
      <c r="A2763" t="s">
        <v>5974</v>
      </c>
      <c r="B2763" t="s">
        <v>6292</v>
      </c>
    </row>
    <row r="2764" spans="1:2" x14ac:dyDescent="0.25">
      <c r="A2764" t="s">
        <v>16459</v>
      </c>
      <c r="B2764" t="s">
        <v>5974</v>
      </c>
    </row>
    <row r="2765" spans="1:2" x14ac:dyDescent="0.25">
      <c r="A2765" t="s">
        <v>16460</v>
      </c>
      <c r="B2765" t="s">
        <v>5974</v>
      </c>
    </row>
    <row r="2766" spans="1:2" x14ac:dyDescent="0.25">
      <c r="A2766" t="s">
        <v>505</v>
      </c>
      <c r="B2766" t="s">
        <v>12850</v>
      </c>
    </row>
    <row r="2767" spans="1:2" x14ac:dyDescent="0.25">
      <c r="A2767" t="s">
        <v>12037</v>
      </c>
      <c r="B2767" t="s">
        <v>505</v>
      </c>
    </row>
    <row r="2768" spans="1:2" x14ac:dyDescent="0.25">
      <c r="A2768" t="s">
        <v>15714</v>
      </c>
      <c r="B2768" t="s">
        <v>12037</v>
      </c>
    </row>
    <row r="2769" spans="1:2" x14ac:dyDescent="0.25">
      <c r="A2769" t="s">
        <v>15715</v>
      </c>
      <c r="B2769" t="s">
        <v>12037</v>
      </c>
    </row>
    <row r="2770" spans="1:2" x14ac:dyDescent="0.25">
      <c r="A2770" t="s">
        <v>15716</v>
      </c>
      <c r="B2770" t="s">
        <v>12037</v>
      </c>
    </row>
    <row r="2771" spans="1:2" x14ac:dyDescent="0.25">
      <c r="A2771" t="s">
        <v>15717</v>
      </c>
      <c r="B2771" t="s">
        <v>12037</v>
      </c>
    </row>
    <row r="2772" spans="1:2" x14ac:dyDescent="0.25">
      <c r="A2772" t="s">
        <v>15718</v>
      </c>
      <c r="B2772" t="s">
        <v>12037</v>
      </c>
    </row>
    <row r="2773" spans="1:2" x14ac:dyDescent="0.25">
      <c r="A2773" t="s">
        <v>15719</v>
      </c>
      <c r="B2773" t="s">
        <v>12037</v>
      </c>
    </row>
    <row r="2774" spans="1:2" x14ac:dyDescent="0.25">
      <c r="A2774" t="s">
        <v>15720</v>
      </c>
      <c r="B2774" t="s">
        <v>12037</v>
      </c>
    </row>
    <row r="2775" spans="1:2" x14ac:dyDescent="0.25">
      <c r="A2775" t="s">
        <v>15721</v>
      </c>
      <c r="B2775" t="s">
        <v>12037</v>
      </c>
    </row>
    <row r="2776" spans="1:2" x14ac:dyDescent="0.25">
      <c r="A2776" t="s">
        <v>15722</v>
      </c>
      <c r="B2776" t="s">
        <v>12037</v>
      </c>
    </row>
    <row r="2777" spans="1:2" x14ac:dyDescent="0.25">
      <c r="A2777" t="s">
        <v>15723</v>
      </c>
      <c r="B2777" t="s">
        <v>12037</v>
      </c>
    </row>
    <row r="2778" spans="1:2" x14ac:dyDescent="0.25">
      <c r="A2778" t="s">
        <v>15724</v>
      </c>
      <c r="B2778" t="s">
        <v>12037</v>
      </c>
    </row>
    <row r="2779" spans="1:2" x14ac:dyDescent="0.25">
      <c r="A2779" t="s">
        <v>15725</v>
      </c>
      <c r="B2779" t="s">
        <v>12037</v>
      </c>
    </row>
    <row r="2780" spans="1:2" x14ac:dyDescent="0.25">
      <c r="A2780" t="s">
        <v>15726</v>
      </c>
      <c r="B2780" t="s">
        <v>12037</v>
      </c>
    </row>
    <row r="2781" spans="1:2" x14ac:dyDescent="0.25">
      <c r="A2781" t="s">
        <v>15727</v>
      </c>
      <c r="B2781" t="s">
        <v>12037</v>
      </c>
    </row>
    <row r="2782" spans="1:2" x14ac:dyDescent="0.25">
      <c r="A2782" t="s">
        <v>15728</v>
      </c>
      <c r="B2782" t="s">
        <v>12037</v>
      </c>
    </row>
    <row r="2783" spans="1:2" x14ac:dyDescent="0.25">
      <c r="A2783" t="s">
        <v>15729</v>
      </c>
      <c r="B2783" t="s">
        <v>12037</v>
      </c>
    </row>
    <row r="2784" spans="1:2" x14ac:dyDescent="0.25">
      <c r="A2784" t="s">
        <v>15730</v>
      </c>
      <c r="B2784" t="s">
        <v>12037</v>
      </c>
    </row>
    <row r="2785" spans="1:2" x14ac:dyDescent="0.25">
      <c r="A2785" t="s">
        <v>15731</v>
      </c>
      <c r="B2785" t="s">
        <v>12037</v>
      </c>
    </row>
    <row r="2786" spans="1:2" x14ac:dyDescent="0.25">
      <c r="A2786" t="s">
        <v>15732</v>
      </c>
      <c r="B2786" t="s">
        <v>12037</v>
      </c>
    </row>
    <row r="2787" spans="1:2" x14ac:dyDescent="0.25">
      <c r="A2787" t="s">
        <v>15733</v>
      </c>
      <c r="B2787" t="s">
        <v>12037</v>
      </c>
    </row>
    <row r="2788" spans="1:2" x14ac:dyDescent="0.25">
      <c r="A2788" t="s">
        <v>15734</v>
      </c>
      <c r="B2788" t="s">
        <v>12037</v>
      </c>
    </row>
    <row r="2789" spans="1:2" x14ac:dyDescent="0.25">
      <c r="A2789" t="s">
        <v>15735</v>
      </c>
      <c r="B2789" t="s">
        <v>12037</v>
      </c>
    </row>
    <row r="2790" spans="1:2" x14ac:dyDescent="0.25">
      <c r="A2790" t="s">
        <v>15736</v>
      </c>
      <c r="B2790" t="s">
        <v>12037</v>
      </c>
    </row>
    <row r="2791" spans="1:2" x14ac:dyDescent="0.25">
      <c r="A2791" t="s">
        <v>15737</v>
      </c>
      <c r="B2791" t="s">
        <v>12037</v>
      </c>
    </row>
    <row r="2792" spans="1:2" x14ac:dyDescent="0.25">
      <c r="A2792" t="s">
        <v>15738</v>
      </c>
      <c r="B2792" t="s">
        <v>12037</v>
      </c>
    </row>
    <row r="2793" spans="1:2" x14ac:dyDescent="0.25">
      <c r="A2793" t="s">
        <v>15739</v>
      </c>
      <c r="B2793" t="s">
        <v>12037</v>
      </c>
    </row>
    <row r="2794" spans="1:2" x14ac:dyDescent="0.25">
      <c r="A2794" t="s">
        <v>15740</v>
      </c>
      <c r="B2794" t="s">
        <v>12037</v>
      </c>
    </row>
    <row r="2795" spans="1:2" x14ac:dyDescent="0.25">
      <c r="A2795" t="s">
        <v>15741</v>
      </c>
      <c r="B2795" t="s">
        <v>12037</v>
      </c>
    </row>
    <row r="2796" spans="1:2" x14ac:dyDescent="0.25">
      <c r="A2796" t="s">
        <v>15742</v>
      </c>
      <c r="B2796" t="s">
        <v>12037</v>
      </c>
    </row>
    <row r="2797" spans="1:2" x14ac:dyDescent="0.25">
      <c r="A2797" t="s">
        <v>15743</v>
      </c>
      <c r="B2797" t="s">
        <v>12037</v>
      </c>
    </row>
    <row r="2798" spans="1:2" x14ac:dyDescent="0.25">
      <c r="A2798" t="s">
        <v>15744</v>
      </c>
      <c r="B2798" t="s">
        <v>12037</v>
      </c>
    </row>
    <row r="2799" spans="1:2" x14ac:dyDescent="0.25">
      <c r="A2799" t="s">
        <v>15745</v>
      </c>
      <c r="B2799" t="s">
        <v>12037</v>
      </c>
    </row>
    <row r="2800" spans="1:2" x14ac:dyDescent="0.25">
      <c r="A2800" t="s">
        <v>12038</v>
      </c>
      <c r="B2800" t="s">
        <v>505</v>
      </c>
    </row>
    <row r="2801" spans="1:2" x14ac:dyDescent="0.25">
      <c r="A2801" t="s">
        <v>15746</v>
      </c>
      <c r="B2801" t="s">
        <v>12038</v>
      </c>
    </row>
    <row r="2802" spans="1:2" x14ac:dyDescent="0.25">
      <c r="A2802" t="s">
        <v>15747</v>
      </c>
      <c r="B2802" t="s">
        <v>12038</v>
      </c>
    </row>
    <row r="2803" spans="1:2" x14ac:dyDescent="0.25">
      <c r="A2803" t="s">
        <v>15748</v>
      </c>
      <c r="B2803" t="s">
        <v>12038</v>
      </c>
    </row>
    <row r="2804" spans="1:2" x14ac:dyDescent="0.25">
      <c r="A2804" t="s">
        <v>15749</v>
      </c>
      <c r="B2804" t="s">
        <v>12038</v>
      </c>
    </row>
    <row r="2805" spans="1:2" x14ac:dyDescent="0.25">
      <c r="A2805" t="s">
        <v>15750</v>
      </c>
      <c r="B2805" t="s">
        <v>12038</v>
      </c>
    </row>
    <row r="2806" spans="1:2" x14ac:dyDescent="0.25">
      <c r="A2806" t="s">
        <v>15751</v>
      </c>
      <c r="B2806" t="s">
        <v>12038</v>
      </c>
    </row>
    <row r="2807" spans="1:2" x14ac:dyDescent="0.25">
      <c r="A2807" t="s">
        <v>15752</v>
      </c>
      <c r="B2807" t="s">
        <v>12038</v>
      </c>
    </row>
    <row r="2808" spans="1:2" x14ac:dyDescent="0.25">
      <c r="A2808" t="s">
        <v>15753</v>
      </c>
      <c r="B2808" t="s">
        <v>12038</v>
      </c>
    </row>
    <row r="2809" spans="1:2" x14ac:dyDescent="0.25">
      <c r="A2809" t="s">
        <v>15754</v>
      </c>
      <c r="B2809" t="s">
        <v>12038</v>
      </c>
    </row>
    <row r="2810" spans="1:2" x14ac:dyDescent="0.25">
      <c r="A2810" t="s">
        <v>15755</v>
      </c>
      <c r="B2810" t="s">
        <v>12038</v>
      </c>
    </row>
    <row r="2811" spans="1:2" x14ac:dyDescent="0.25">
      <c r="A2811" t="s">
        <v>15756</v>
      </c>
      <c r="B2811" t="s">
        <v>12038</v>
      </c>
    </row>
    <row r="2812" spans="1:2" x14ac:dyDescent="0.25">
      <c r="A2812" t="s">
        <v>15757</v>
      </c>
      <c r="B2812" t="s">
        <v>12038</v>
      </c>
    </row>
    <row r="2813" spans="1:2" x14ac:dyDescent="0.25">
      <c r="A2813" t="s">
        <v>15758</v>
      </c>
      <c r="B2813" t="s">
        <v>12038</v>
      </c>
    </row>
    <row r="2814" spans="1:2" x14ac:dyDescent="0.25">
      <c r="A2814" t="s">
        <v>15759</v>
      </c>
      <c r="B2814" t="s">
        <v>12038</v>
      </c>
    </row>
    <row r="2815" spans="1:2" x14ac:dyDescent="0.25">
      <c r="A2815" t="s">
        <v>15760</v>
      </c>
      <c r="B2815" t="s">
        <v>12038</v>
      </c>
    </row>
    <row r="2816" spans="1:2" x14ac:dyDescent="0.25">
      <c r="A2816" t="s">
        <v>15761</v>
      </c>
      <c r="B2816" t="s">
        <v>12038</v>
      </c>
    </row>
    <row r="2817" spans="1:2" x14ac:dyDescent="0.25">
      <c r="A2817" t="s">
        <v>15762</v>
      </c>
      <c r="B2817" t="s">
        <v>12038</v>
      </c>
    </row>
    <row r="2818" spans="1:2" x14ac:dyDescent="0.25">
      <c r="A2818" t="s">
        <v>15763</v>
      </c>
      <c r="B2818" t="s">
        <v>12038</v>
      </c>
    </row>
    <row r="2819" spans="1:2" x14ac:dyDescent="0.25">
      <c r="A2819" t="s">
        <v>15764</v>
      </c>
      <c r="B2819" t="s">
        <v>12038</v>
      </c>
    </row>
    <row r="2820" spans="1:2" x14ac:dyDescent="0.25">
      <c r="A2820" t="s">
        <v>15765</v>
      </c>
      <c r="B2820" t="s">
        <v>12038</v>
      </c>
    </row>
    <row r="2821" spans="1:2" x14ac:dyDescent="0.25">
      <c r="A2821" t="s">
        <v>5137</v>
      </c>
      <c r="B2821" t="s">
        <v>505</v>
      </c>
    </row>
    <row r="2822" spans="1:2" x14ac:dyDescent="0.25">
      <c r="A2822" t="s">
        <v>5572</v>
      </c>
      <c r="B2822" t="s">
        <v>505</v>
      </c>
    </row>
    <row r="2823" spans="1:2" x14ac:dyDescent="0.25">
      <c r="A2823" t="s">
        <v>15766</v>
      </c>
      <c r="B2823" t="s">
        <v>5572</v>
      </c>
    </row>
    <row r="2824" spans="1:2" x14ac:dyDescent="0.25">
      <c r="A2824" t="s">
        <v>15767</v>
      </c>
      <c r="B2824" t="s">
        <v>5572</v>
      </c>
    </row>
    <row r="2825" spans="1:2" x14ac:dyDescent="0.25">
      <c r="A2825" t="s">
        <v>15768</v>
      </c>
      <c r="B2825" t="s">
        <v>5572</v>
      </c>
    </row>
    <row r="2826" spans="1:2" x14ac:dyDescent="0.25">
      <c r="A2826" t="s">
        <v>15769</v>
      </c>
      <c r="B2826" t="s">
        <v>5572</v>
      </c>
    </row>
    <row r="2827" spans="1:2" x14ac:dyDescent="0.25">
      <c r="A2827" t="s">
        <v>15770</v>
      </c>
      <c r="B2827" t="s">
        <v>5572</v>
      </c>
    </row>
    <row r="2828" spans="1:2" x14ac:dyDescent="0.25">
      <c r="A2828" t="s">
        <v>15771</v>
      </c>
      <c r="B2828" t="s">
        <v>5572</v>
      </c>
    </row>
    <row r="2829" spans="1:2" x14ac:dyDescent="0.25">
      <c r="A2829" t="s">
        <v>15772</v>
      </c>
      <c r="B2829" t="s">
        <v>5572</v>
      </c>
    </row>
    <row r="2830" spans="1:2" x14ac:dyDescent="0.25">
      <c r="A2830" t="s">
        <v>15773</v>
      </c>
      <c r="B2830" t="s">
        <v>505</v>
      </c>
    </row>
    <row r="2831" spans="1:2" x14ac:dyDescent="0.25">
      <c r="A2831" t="s">
        <v>15774</v>
      </c>
      <c r="B2831" t="s">
        <v>505</v>
      </c>
    </row>
    <row r="2832" spans="1:2" x14ac:dyDescent="0.25">
      <c r="A2832" t="s">
        <v>15775</v>
      </c>
      <c r="B2832" t="s">
        <v>505</v>
      </c>
    </row>
    <row r="2833" spans="1:2" x14ac:dyDescent="0.25">
      <c r="A2833" t="s">
        <v>15776</v>
      </c>
      <c r="B2833" t="s">
        <v>505</v>
      </c>
    </row>
    <row r="2834" spans="1:2" x14ac:dyDescent="0.25">
      <c r="A2834" t="s">
        <v>6922</v>
      </c>
      <c r="B2834" t="s">
        <v>12850</v>
      </c>
    </row>
    <row r="2835" spans="1:2" x14ac:dyDescent="0.25">
      <c r="A2835" t="s">
        <v>11490</v>
      </c>
      <c r="B2835" t="s">
        <v>12850</v>
      </c>
    </row>
    <row r="2836" spans="1:2" x14ac:dyDescent="0.25">
      <c r="A2836" t="s">
        <v>3153</v>
      </c>
      <c r="B2836" t="s">
        <v>4076</v>
      </c>
    </row>
    <row r="2837" spans="1:2" x14ac:dyDescent="0.25">
      <c r="A2837" t="s">
        <v>5470</v>
      </c>
      <c r="B2837" t="s">
        <v>4076</v>
      </c>
    </row>
    <row r="2838" spans="1:2" x14ac:dyDescent="0.25">
      <c r="A2838" t="s">
        <v>3577</v>
      </c>
      <c r="B2838" t="s">
        <v>5470</v>
      </c>
    </row>
    <row r="2839" spans="1:2" x14ac:dyDescent="0.25">
      <c r="A2839" t="s">
        <v>10739</v>
      </c>
      <c r="B2839" t="s">
        <v>3577</v>
      </c>
    </row>
    <row r="2840" spans="1:2" x14ac:dyDescent="0.25">
      <c r="A2840" t="s">
        <v>4585</v>
      </c>
      <c r="B2840" t="s">
        <v>3577</v>
      </c>
    </row>
    <row r="2841" spans="1:2" x14ac:dyDescent="0.25">
      <c r="A2841" t="s">
        <v>8016</v>
      </c>
      <c r="B2841" t="s">
        <v>3577</v>
      </c>
    </row>
    <row r="2842" spans="1:2" x14ac:dyDescent="0.25">
      <c r="A2842" t="s">
        <v>4077</v>
      </c>
      <c r="B2842" t="s">
        <v>3577</v>
      </c>
    </row>
    <row r="2843" spans="1:2" x14ac:dyDescent="0.25">
      <c r="A2843" t="s">
        <v>1661</v>
      </c>
      <c r="B2843" t="s">
        <v>3577</v>
      </c>
    </row>
    <row r="2844" spans="1:2" x14ac:dyDescent="0.25">
      <c r="A2844" t="s">
        <v>252</v>
      </c>
      <c r="B2844" t="s">
        <v>3577</v>
      </c>
    </row>
    <row r="2845" spans="1:2" x14ac:dyDescent="0.25">
      <c r="A2845" t="s">
        <v>1662</v>
      </c>
      <c r="B2845" t="s">
        <v>3577</v>
      </c>
    </row>
    <row r="2846" spans="1:2" x14ac:dyDescent="0.25">
      <c r="A2846" t="s">
        <v>12018</v>
      </c>
      <c r="B2846" t="s">
        <v>3577</v>
      </c>
    </row>
    <row r="2847" spans="1:2" x14ac:dyDescent="0.25">
      <c r="A2847" t="s">
        <v>4559</v>
      </c>
      <c r="B2847" t="s">
        <v>3577</v>
      </c>
    </row>
    <row r="2848" spans="1:2" x14ac:dyDescent="0.25">
      <c r="A2848" t="s">
        <v>71</v>
      </c>
      <c r="B2848" t="s">
        <v>3577</v>
      </c>
    </row>
    <row r="2849" spans="1:2" x14ac:dyDescent="0.25">
      <c r="A2849" t="s">
        <v>15777</v>
      </c>
      <c r="B2849" t="s">
        <v>3577</v>
      </c>
    </row>
    <row r="2850" spans="1:2" x14ac:dyDescent="0.25">
      <c r="A2850" t="s">
        <v>15778</v>
      </c>
      <c r="B2850" t="s">
        <v>15777</v>
      </c>
    </row>
    <row r="2851" spans="1:2" x14ac:dyDescent="0.25">
      <c r="A2851" t="s">
        <v>15779</v>
      </c>
      <c r="B2851" t="s">
        <v>15778</v>
      </c>
    </row>
    <row r="2852" spans="1:2" x14ac:dyDescent="0.25">
      <c r="A2852" t="s">
        <v>15780</v>
      </c>
      <c r="B2852" t="s">
        <v>15779</v>
      </c>
    </row>
    <row r="2853" spans="1:2" x14ac:dyDescent="0.25">
      <c r="A2853" t="s">
        <v>15781</v>
      </c>
      <c r="B2853" t="s">
        <v>15780</v>
      </c>
    </row>
    <row r="2854" spans="1:2" x14ac:dyDescent="0.25">
      <c r="A2854" t="s">
        <v>15782</v>
      </c>
      <c r="B2854" t="s">
        <v>15780</v>
      </c>
    </row>
    <row r="2855" spans="1:2" x14ac:dyDescent="0.25">
      <c r="A2855" t="s">
        <v>15783</v>
      </c>
      <c r="B2855" t="s">
        <v>15780</v>
      </c>
    </row>
    <row r="2856" spans="1:2" x14ac:dyDescent="0.25">
      <c r="A2856" t="s">
        <v>15784</v>
      </c>
      <c r="B2856" t="s">
        <v>15780</v>
      </c>
    </row>
    <row r="2857" spans="1:2" x14ac:dyDescent="0.25">
      <c r="A2857" t="s">
        <v>15785</v>
      </c>
      <c r="B2857" t="s">
        <v>15779</v>
      </c>
    </row>
    <row r="2858" spans="1:2" x14ac:dyDescent="0.25">
      <c r="A2858" t="s">
        <v>15786</v>
      </c>
      <c r="B2858" t="s">
        <v>15777</v>
      </c>
    </row>
    <row r="2859" spans="1:2" x14ac:dyDescent="0.25">
      <c r="A2859" t="s">
        <v>15787</v>
      </c>
      <c r="B2859" t="s">
        <v>15786</v>
      </c>
    </row>
    <row r="2860" spans="1:2" x14ac:dyDescent="0.25">
      <c r="A2860" t="s">
        <v>15788</v>
      </c>
      <c r="B2860" t="s">
        <v>15786</v>
      </c>
    </row>
    <row r="2861" spans="1:2" x14ac:dyDescent="0.25">
      <c r="A2861" t="s">
        <v>15789</v>
      </c>
      <c r="B2861" t="s">
        <v>15786</v>
      </c>
    </row>
    <row r="2862" spans="1:2" x14ac:dyDescent="0.25">
      <c r="A2862" t="s">
        <v>15790</v>
      </c>
      <c r="B2862" t="s">
        <v>15777</v>
      </c>
    </row>
    <row r="2863" spans="1:2" x14ac:dyDescent="0.25">
      <c r="A2863" t="s">
        <v>15791</v>
      </c>
      <c r="B2863" t="s">
        <v>15790</v>
      </c>
    </row>
    <row r="2864" spans="1:2" x14ac:dyDescent="0.25">
      <c r="A2864" t="s">
        <v>15792</v>
      </c>
      <c r="B2864" t="s">
        <v>15777</v>
      </c>
    </row>
    <row r="2865" spans="1:2" x14ac:dyDescent="0.25">
      <c r="A2865" t="s">
        <v>15793</v>
      </c>
      <c r="B2865" t="s">
        <v>15792</v>
      </c>
    </row>
    <row r="2866" spans="1:2" x14ac:dyDescent="0.25">
      <c r="A2866" t="s">
        <v>15794</v>
      </c>
      <c r="B2866" t="s">
        <v>15792</v>
      </c>
    </row>
    <row r="2867" spans="1:2" x14ac:dyDescent="0.25">
      <c r="A2867" t="s">
        <v>15795</v>
      </c>
      <c r="B2867" t="s">
        <v>15777</v>
      </c>
    </row>
    <row r="2868" spans="1:2" x14ac:dyDescent="0.25">
      <c r="A2868" t="s">
        <v>15796</v>
      </c>
      <c r="B2868" t="s">
        <v>3577</v>
      </c>
    </row>
    <row r="2869" spans="1:2" x14ac:dyDescent="0.25">
      <c r="A2869" t="s">
        <v>3578</v>
      </c>
      <c r="B2869" t="s">
        <v>5470</v>
      </c>
    </row>
    <row r="2870" spans="1:2" x14ac:dyDescent="0.25">
      <c r="A2870" t="s">
        <v>390</v>
      </c>
      <c r="B2870" t="s">
        <v>3578</v>
      </c>
    </row>
    <row r="2871" spans="1:2" x14ac:dyDescent="0.25">
      <c r="A2871" t="s">
        <v>11034</v>
      </c>
      <c r="B2871" t="s">
        <v>3578</v>
      </c>
    </row>
    <row r="2872" spans="1:2" x14ac:dyDescent="0.25">
      <c r="A2872" t="s">
        <v>14815</v>
      </c>
      <c r="B2872" t="s">
        <v>3578</v>
      </c>
    </row>
    <row r="2873" spans="1:2" x14ac:dyDescent="0.25">
      <c r="A2873" t="s">
        <v>14816</v>
      </c>
      <c r="B2873" t="s">
        <v>14815</v>
      </c>
    </row>
    <row r="2874" spans="1:2" x14ac:dyDescent="0.25">
      <c r="A2874" t="s">
        <v>14817</v>
      </c>
      <c r="B2874" t="s">
        <v>14816</v>
      </c>
    </row>
    <row r="2875" spans="1:2" x14ac:dyDescent="0.25">
      <c r="A2875" t="s">
        <v>14839</v>
      </c>
      <c r="B2875" t="s">
        <v>14817</v>
      </c>
    </row>
    <row r="2876" spans="1:2" x14ac:dyDescent="0.25">
      <c r="A2876" t="s">
        <v>14840</v>
      </c>
      <c r="B2876" t="s">
        <v>14817</v>
      </c>
    </row>
    <row r="2877" spans="1:2" x14ac:dyDescent="0.25">
      <c r="A2877" t="s">
        <v>14841</v>
      </c>
      <c r="B2877" t="s">
        <v>14817</v>
      </c>
    </row>
    <row r="2878" spans="1:2" x14ac:dyDescent="0.25">
      <c r="A2878" t="s">
        <v>14842</v>
      </c>
      <c r="B2878" t="s">
        <v>14817</v>
      </c>
    </row>
    <row r="2879" spans="1:2" x14ac:dyDescent="0.25">
      <c r="A2879" t="s">
        <v>14843</v>
      </c>
      <c r="B2879" t="s">
        <v>14817</v>
      </c>
    </row>
    <row r="2880" spans="1:2" x14ac:dyDescent="0.25">
      <c r="A2880" t="s">
        <v>14818</v>
      </c>
      <c r="B2880" t="s">
        <v>14816</v>
      </c>
    </row>
    <row r="2881" spans="1:2" x14ac:dyDescent="0.25">
      <c r="A2881" t="s">
        <v>14844</v>
      </c>
      <c r="B2881" t="s">
        <v>14818</v>
      </c>
    </row>
    <row r="2882" spans="1:2" x14ac:dyDescent="0.25">
      <c r="A2882" t="s">
        <v>14845</v>
      </c>
      <c r="B2882" t="s">
        <v>14818</v>
      </c>
    </row>
    <row r="2883" spans="1:2" x14ac:dyDescent="0.25">
      <c r="A2883" t="s">
        <v>14846</v>
      </c>
      <c r="B2883" t="s">
        <v>14818</v>
      </c>
    </row>
    <row r="2884" spans="1:2" x14ac:dyDescent="0.25">
      <c r="A2884" t="s">
        <v>14847</v>
      </c>
      <c r="B2884" t="s">
        <v>14818</v>
      </c>
    </row>
    <row r="2885" spans="1:2" x14ac:dyDescent="0.25">
      <c r="A2885" t="s">
        <v>14848</v>
      </c>
      <c r="B2885" t="s">
        <v>14818</v>
      </c>
    </row>
    <row r="2886" spans="1:2" x14ac:dyDescent="0.25">
      <c r="A2886" t="s">
        <v>14819</v>
      </c>
      <c r="B2886" t="s">
        <v>14815</v>
      </c>
    </row>
    <row r="2887" spans="1:2" x14ac:dyDescent="0.25">
      <c r="A2887" t="s">
        <v>14849</v>
      </c>
      <c r="B2887" t="s">
        <v>14819</v>
      </c>
    </row>
    <row r="2888" spans="1:2" x14ac:dyDescent="0.25">
      <c r="A2888" t="s">
        <v>14850</v>
      </c>
      <c r="B2888" t="s">
        <v>14819</v>
      </c>
    </row>
    <row r="2889" spans="1:2" x14ac:dyDescent="0.25">
      <c r="A2889" t="s">
        <v>14851</v>
      </c>
      <c r="B2889" t="s">
        <v>14819</v>
      </c>
    </row>
    <row r="2890" spans="1:2" x14ac:dyDescent="0.25">
      <c r="A2890" t="s">
        <v>14820</v>
      </c>
      <c r="B2890" t="s">
        <v>14815</v>
      </c>
    </row>
    <row r="2891" spans="1:2" x14ac:dyDescent="0.25">
      <c r="A2891" t="s">
        <v>14852</v>
      </c>
      <c r="B2891" t="s">
        <v>14820</v>
      </c>
    </row>
    <row r="2892" spans="1:2" x14ac:dyDescent="0.25">
      <c r="A2892" t="s">
        <v>14853</v>
      </c>
      <c r="B2892" t="s">
        <v>14820</v>
      </c>
    </row>
    <row r="2893" spans="1:2" x14ac:dyDescent="0.25">
      <c r="A2893" t="s">
        <v>14854</v>
      </c>
      <c r="B2893" t="s">
        <v>14820</v>
      </c>
    </row>
    <row r="2894" spans="1:2" x14ac:dyDescent="0.25">
      <c r="A2894" t="s">
        <v>14855</v>
      </c>
      <c r="B2894" t="s">
        <v>14820</v>
      </c>
    </row>
    <row r="2895" spans="1:2" x14ac:dyDescent="0.25">
      <c r="A2895" t="s">
        <v>14856</v>
      </c>
      <c r="B2895" t="s">
        <v>14815</v>
      </c>
    </row>
    <row r="2896" spans="1:2" x14ac:dyDescent="0.25">
      <c r="A2896" t="s">
        <v>14857</v>
      </c>
      <c r="B2896" t="s">
        <v>14815</v>
      </c>
    </row>
    <row r="2897" spans="1:2" x14ac:dyDescent="0.25">
      <c r="A2897" t="s">
        <v>14858</v>
      </c>
      <c r="B2897" t="s">
        <v>3578</v>
      </c>
    </row>
    <row r="2898" spans="1:2" x14ac:dyDescent="0.25">
      <c r="A2898" t="s">
        <v>10740</v>
      </c>
      <c r="B2898" t="s">
        <v>14858</v>
      </c>
    </row>
    <row r="2899" spans="1:2" x14ac:dyDescent="0.25">
      <c r="A2899" t="s">
        <v>11739</v>
      </c>
      <c r="B2899" t="s">
        <v>10740</v>
      </c>
    </row>
    <row r="2900" spans="1:2" x14ac:dyDescent="0.25">
      <c r="A2900" t="s">
        <v>11213</v>
      </c>
      <c r="B2900" t="s">
        <v>10740</v>
      </c>
    </row>
    <row r="2901" spans="1:2" x14ac:dyDescent="0.25">
      <c r="A2901" t="s">
        <v>6920</v>
      </c>
      <c r="B2901" t="s">
        <v>10740</v>
      </c>
    </row>
    <row r="2902" spans="1:2" x14ac:dyDescent="0.25">
      <c r="A2902" t="s">
        <v>8233</v>
      </c>
      <c r="B2902" t="s">
        <v>10740</v>
      </c>
    </row>
    <row r="2903" spans="1:2" x14ac:dyDescent="0.25">
      <c r="A2903" t="s">
        <v>11485</v>
      </c>
      <c r="B2903" t="s">
        <v>10740</v>
      </c>
    </row>
    <row r="2904" spans="1:2" x14ac:dyDescent="0.25">
      <c r="A2904" t="s">
        <v>4586</v>
      </c>
      <c r="B2904" t="s">
        <v>14858</v>
      </c>
    </row>
    <row r="2905" spans="1:2" x14ac:dyDescent="0.25">
      <c r="A2905" t="s">
        <v>9502</v>
      </c>
      <c r="B2905" t="s">
        <v>4586</v>
      </c>
    </row>
    <row r="2906" spans="1:2" x14ac:dyDescent="0.25">
      <c r="A2906" t="s">
        <v>8017</v>
      </c>
      <c r="B2906" t="s">
        <v>14858</v>
      </c>
    </row>
    <row r="2907" spans="1:2" x14ac:dyDescent="0.25">
      <c r="A2907" t="s">
        <v>4078</v>
      </c>
      <c r="B2907" t="s">
        <v>14858</v>
      </c>
    </row>
    <row r="2908" spans="1:2" x14ac:dyDescent="0.25">
      <c r="A2908" t="s">
        <v>1663</v>
      </c>
      <c r="B2908" t="s">
        <v>14858</v>
      </c>
    </row>
    <row r="2909" spans="1:2" x14ac:dyDescent="0.25">
      <c r="A2909" t="s">
        <v>253</v>
      </c>
      <c r="B2909" t="s">
        <v>14858</v>
      </c>
    </row>
    <row r="2910" spans="1:2" x14ac:dyDescent="0.25">
      <c r="A2910" t="s">
        <v>1664</v>
      </c>
      <c r="B2910" t="s">
        <v>14858</v>
      </c>
    </row>
    <row r="2911" spans="1:2" x14ac:dyDescent="0.25">
      <c r="A2911" t="s">
        <v>12019</v>
      </c>
      <c r="B2911" t="s">
        <v>14858</v>
      </c>
    </row>
    <row r="2912" spans="1:2" x14ac:dyDescent="0.25">
      <c r="A2912" t="s">
        <v>11486</v>
      </c>
      <c r="B2912" t="s">
        <v>12019</v>
      </c>
    </row>
    <row r="2913" spans="1:2" x14ac:dyDescent="0.25">
      <c r="A2913" t="s">
        <v>12255</v>
      </c>
      <c r="B2913" t="s">
        <v>12019</v>
      </c>
    </row>
    <row r="2914" spans="1:2" x14ac:dyDescent="0.25">
      <c r="A2914" t="s">
        <v>10914</v>
      </c>
      <c r="B2914" t="s">
        <v>12019</v>
      </c>
    </row>
    <row r="2915" spans="1:2" x14ac:dyDescent="0.25">
      <c r="A2915" t="s">
        <v>12612</v>
      </c>
      <c r="B2915" t="s">
        <v>12019</v>
      </c>
    </row>
    <row r="2916" spans="1:2" x14ac:dyDescent="0.25">
      <c r="A2916" t="s">
        <v>12457</v>
      </c>
      <c r="B2916" t="s">
        <v>12019</v>
      </c>
    </row>
    <row r="2917" spans="1:2" x14ac:dyDescent="0.25">
      <c r="A2917" t="s">
        <v>8938</v>
      </c>
      <c r="B2917" t="s">
        <v>14858</v>
      </c>
    </row>
    <row r="2918" spans="1:2" x14ac:dyDescent="0.25">
      <c r="A2918" t="s">
        <v>12710</v>
      </c>
      <c r="B2918" t="s">
        <v>8938</v>
      </c>
    </row>
    <row r="2919" spans="1:2" x14ac:dyDescent="0.25">
      <c r="A2919" t="s">
        <v>12711</v>
      </c>
      <c r="B2919" t="s">
        <v>8938</v>
      </c>
    </row>
    <row r="2920" spans="1:2" x14ac:dyDescent="0.25">
      <c r="A2920" t="s">
        <v>12712</v>
      </c>
      <c r="B2920" t="s">
        <v>8938</v>
      </c>
    </row>
    <row r="2921" spans="1:2" x14ac:dyDescent="0.25">
      <c r="A2921" t="s">
        <v>8234</v>
      </c>
      <c r="B2921" t="s">
        <v>8938</v>
      </c>
    </row>
    <row r="2922" spans="1:2" x14ac:dyDescent="0.25">
      <c r="A2922" t="s">
        <v>11634</v>
      </c>
      <c r="B2922" t="s">
        <v>5470</v>
      </c>
    </row>
    <row r="2923" spans="1:2" x14ac:dyDescent="0.25">
      <c r="A2923" t="s">
        <v>10741</v>
      </c>
      <c r="B2923" t="s">
        <v>11634</v>
      </c>
    </row>
    <row r="2924" spans="1:2" x14ac:dyDescent="0.25">
      <c r="A2924" t="s">
        <v>11738</v>
      </c>
      <c r="B2924" t="s">
        <v>10741</v>
      </c>
    </row>
    <row r="2925" spans="1:2" x14ac:dyDescent="0.25">
      <c r="A2925" t="s">
        <v>11894</v>
      </c>
      <c r="B2925" t="s">
        <v>10741</v>
      </c>
    </row>
    <row r="2926" spans="1:2" x14ac:dyDescent="0.25">
      <c r="A2926" t="s">
        <v>12251</v>
      </c>
      <c r="B2926" t="s">
        <v>10741</v>
      </c>
    </row>
    <row r="2927" spans="1:2" x14ac:dyDescent="0.25">
      <c r="A2927" t="s">
        <v>11211</v>
      </c>
      <c r="B2927" t="s">
        <v>10741</v>
      </c>
    </row>
    <row r="2928" spans="1:2" x14ac:dyDescent="0.25">
      <c r="A2928" t="s">
        <v>12705</v>
      </c>
      <c r="B2928" t="s">
        <v>10741</v>
      </c>
    </row>
    <row r="2929" spans="1:2" x14ac:dyDescent="0.25">
      <c r="A2929" t="s">
        <v>11212</v>
      </c>
      <c r="B2929" t="s">
        <v>10741</v>
      </c>
    </row>
    <row r="2930" spans="1:2" x14ac:dyDescent="0.25">
      <c r="A2930" t="s">
        <v>4587</v>
      </c>
      <c r="B2930" t="s">
        <v>11634</v>
      </c>
    </row>
    <row r="2931" spans="1:2" x14ac:dyDescent="0.25">
      <c r="A2931" t="s">
        <v>6919</v>
      </c>
      <c r="B2931" t="s">
        <v>4587</v>
      </c>
    </row>
    <row r="2932" spans="1:2" x14ac:dyDescent="0.25">
      <c r="A2932" t="s">
        <v>12610</v>
      </c>
      <c r="B2932" t="s">
        <v>4587</v>
      </c>
    </row>
    <row r="2933" spans="1:2" x14ac:dyDescent="0.25">
      <c r="A2933" t="s">
        <v>8018</v>
      </c>
      <c r="B2933" t="s">
        <v>11634</v>
      </c>
    </row>
    <row r="2934" spans="1:2" x14ac:dyDescent="0.25">
      <c r="A2934" t="s">
        <v>4079</v>
      </c>
      <c r="B2934" t="s">
        <v>11634</v>
      </c>
    </row>
    <row r="2935" spans="1:2" x14ac:dyDescent="0.25">
      <c r="A2935" t="s">
        <v>12252</v>
      </c>
      <c r="B2935" t="s">
        <v>4079</v>
      </c>
    </row>
    <row r="2936" spans="1:2" x14ac:dyDescent="0.25">
      <c r="A2936" t="s">
        <v>1665</v>
      </c>
      <c r="B2936" t="s">
        <v>11634</v>
      </c>
    </row>
    <row r="2937" spans="1:2" x14ac:dyDescent="0.25">
      <c r="A2937" t="s">
        <v>12709</v>
      </c>
      <c r="B2937" t="s">
        <v>1665</v>
      </c>
    </row>
    <row r="2938" spans="1:2" x14ac:dyDescent="0.25">
      <c r="A2938" t="s">
        <v>12611</v>
      </c>
      <c r="B2938" t="s">
        <v>1665</v>
      </c>
    </row>
    <row r="2939" spans="1:2" x14ac:dyDescent="0.25">
      <c r="A2939" t="s">
        <v>254</v>
      </c>
      <c r="B2939" t="s">
        <v>11634</v>
      </c>
    </row>
    <row r="2940" spans="1:2" x14ac:dyDescent="0.25">
      <c r="A2940" t="s">
        <v>1666</v>
      </c>
      <c r="B2940" t="s">
        <v>11634</v>
      </c>
    </row>
    <row r="2941" spans="1:2" x14ac:dyDescent="0.25">
      <c r="A2941" t="s">
        <v>12020</v>
      </c>
      <c r="B2941" t="s">
        <v>11634</v>
      </c>
    </row>
    <row r="2942" spans="1:2" x14ac:dyDescent="0.25">
      <c r="A2942" t="s">
        <v>14116</v>
      </c>
      <c r="B2942" t="s">
        <v>12020</v>
      </c>
    </row>
    <row r="2943" spans="1:2" x14ac:dyDescent="0.25">
      <c r="A2943" t="s">
        <v>9859</v>
      </c>
      <c r="B2943" t="s">
        <v>12020</v>
      </c>
    </row>
    <row r="2944" spans="1:2" x14ac:dyDescent="0.25">
      <c r="A2944" t="s">
        <v>9048</v>
      </c>
      <c r="B2944" t="s">
        <v>12020</v>
      </c>
    </row>
    <row r="2945" spans="1:2" x14ac:dyDescent="0.25">
      <c r="A2945" t="s">
        <v>11895</v>
      </c>
      <c r="B2945" t="s">
        <v>12020</v>
      </c>
    </row>
    <row r="2946" spans="1:2" x14ac:dyDescent="0.25">
      <c r="A2946" t="s">
        <v>9860</v>
      </c>
      <c r="B2946" t="s">
        <v>12020</v>
      </c>
    </row>
    <row r="2947" spans="1:2" x14ac:dyDescent="0.25">
      <c r="A2947" t="s">
        <v>6243</v>
      </c>
      <c r="B2947" t="s">
        <v>11634</v>
      </c>
    </row>
    <row r="2948" spans="1:2" x14ac:dyDescent="0.25">
      <c r="A2948" t="s">
        <v>7406</v>
      </c>
      <c r="B2948" t="s">
        <v>11634</v>
      </c>
    </row>
    <row r="2949" spans="1:2" x14ac:dyDescent="0.25">
      <c r="A2949" t="s">
        <v>12706</v>
      </c>
      <c r="B2949" t="s">
        <v>7406</v>
      </c>
    </row>
    <row r="2950" spans="1:2" x14ac:dyDescent="0.25">
      <c r="A2950" t="s">
        <v>12707</v>
      </c>
      <c r="B2950" t="s">
        <v>7406</v>
      </c>
    </row>
    <row r="2951" spans="1:2" x14ac:dyDescent="0.25">
      <c r="A2951" t="s">
        <v>12708</v>
      </c>
      <c r="B2951" t="s">
        <v>7406</v>
      </c>
    </row>
    <row r="2952" spans="1:2" x14ac:dyDescent="0.25">
      <c r="A2952" t="s">
        <v>7351</v>
      </c>
      <c r="B2952" t="s">
        <v>11634</v>
      </c>
    </row>
    <row r="2953" spans="1:2" x14ac:dyDescent="0.25">
      <c r="A2953" t="s">
        <v>15797</v>
      </c>
      <c r="B2953" t="s">
        <v>11634</v>
      </c>
    </row>
    <row r="2954" spans="1:2" x14ac:dyDescent="0.25">
      <c r="A2954" t="s">
        <v>15798</v>
      </c>
      <c r="B2954" t="s">
        <v>15797</v>
      </c>
    </row>
    <row r="2955" spans="1:2" x14ac:dyDescent="0.25">
      <c r="A2955" t="s">
        <v>15799</v>
      </c>
      <c r="B2955" t="s">
        <v>15798</v>
      </c>
    </row>
    <row r="2956" spans="1:2" x14ac:dyDescent="0.25">
      <c r="A2956" t="s">
        <v>15800</v>
      </c>
      <c r="B2956" t="s">
        <v>15799</v>
      </c>
    </row>
    <row r="2957" spans="1:2" x14ac:dyDescent="0.25">
      <c r="A2957" t="s">
        <v>15801</v>
      </c>
      <c r="B2957" t="s">
        <v>15800</v>
      </c>
    </row>
    <row r="2958" spans="1:2" x14ac:dyDescent="0.25">
      <c r="A2958" t="s">
        <v>15802</v>
      </c>
      <c r="B2958" t="s">
        <v>15800</v>
      </c>
    </row>
    <row r="2959" spans="1:2" x14ac:dyDescent="0.25">
      <c r="A2959" t="s">
        <v>15803</v>
      </c>
      <c r="B2959" t="s">
        <v>15800</v>
      </c>
    </row>
    <row r="2960" spans="1:2" x14ac:dyDescent="0.25">
      <c r="A2960" t="s">
        <v>15804</v>
      </c>
      <c r="B2960" t="s">
        <v>15800</v>
      </c>
    </row>
    <row r="2961" spans="1:2" x14ac:dyDescent="0.25">
      <c r="A2961" t="s">
        <v>15805</v>
      </c>
      <c r="B2961" t="s">
        <v>15799</v>
      </c>
    </row>
    <row r="2962" spans="1:2" x14ac:dyDescent="0.25">
      <c r="A2962" t="s">
        <v>15806</v>
      </c>
      <c r="B2962" t="s">
        <v>15805</v>
      </c>
    </row>
    <row r="2963" spans="1:2" x14ac:dyDescent="0.25">
      <c r="A2963" t="s">
        <v>15807</v>
      </c>
      <c r="B2963" t="s">
        <v>15805</v>
      </c>
    </row>
    <row r="2964" spans="1:2" x14ac:dyDescent="0.25">
      <c r="A2964" t="s">
        <v>15808</v>
      </c>
      <c r="B2964" t="s">
        <v>15805</v>
      </c>
    </row>
    <row r="2965" spans="1:2" x14ac:dyDescent="0.25">
      <c r="A2965" t="s">
        <v>15809</v>
      </c>
      <c r="B2965" t="s">
        <v>15805</v>
      </c>
    </row>
    <row r="2966" spans="1:2" x14ac:dyDescent="0.25">
      <c r="A2966" t="s">
        <v>15810</v>
      </c>
      <c r="B2966" t="s">
        <v>15798</v>
      </c>
    </row>
    <row r="2967" spans="1:2" x14ac:dyDescent="0.25">
      <c r="A2967" t="s">
        <v>15811</v>
      </c>
      <c r="B2967" t="s">
        <v>15810</v>
      </c>
    </row>
    <row r="2968" spans="1:2" x14ac:dyDescent="0.25">
      <c r="A2968" t="s">
        <v>15812</v>
      </c>
      <c r="B2968" t="s">
        <v>15811</v>
      </c>
    </row>
    <row r="2969" spans="1:2" x14ac:dyDescent="0.25">
      <c r="A2969" t="s">
        <v>15813</v>
      </c>
      <c r="B2969" t="s">
        <v>15811</v>
      </c>
    </row>
    <row r="2970" spans="1:2" x14ac:dyDescent="0.25">
      <c r="A2970" t="s">
        <v>15814</v>
      </c>
      <c r="B2970" t="s">
        <v>15811</v>
      </c>
    </row>
    <row r="2971" spans="1:2" x14ac:dyDescent="0.25">
      <c r="A2971" t="s">
        <v>15815</v>
      </c>
      <c r="B2971" t="s">
        <v>15811</v>
      </c>
    </row>
    <row r="2972" spans="1:2" x14ac:dyDescent="0.25">
      <c r="A2972" t="s">
        <v>15816</v>
      </c>
      <c r="B2972" t="s">
        <v>15797</v>
      </c>
    </row>
    <row r="2973" spans="1:2" x14ac:dyDescent="0.25">
      <c r="A2973" t="s">
        <v>15817</v>
      </c>
      <c r="B2973" t="s">
        <v>15816</v>
      </c>
    </row>
    <row r="2974" spans="1:2" x14ac:dyDescent="0.25">
      <c r="A2974" t="s">
        <v>15818</v>
      </c>
      <c r="B2974" t="s">
        <v>15816</v>
      </c>
    </row>
    <row r="2975" spans="1:2" x14ac:dyDescent="0.25">
      <c r="A2975" t="s">
        <v>15819</v>
      </c>
      <c r="B2975" t="s">
        <v>15816</v>
      </c>
    </row>
    <row r="2976" spans="1:2" x14ac:dyDescent="0.25">
      <c r="A2976" t="s">
        <v>15820</v>
      </c>
      <c r="B2976" t="s">
        <v>15797</v>
      </c>
    </row>
    <row r="2977" spans="1:2" x14ac:dyDescent="0.25">
      <c r="A2977" t="s">
        <v>15821</v>
      </c>
      <c r="B2977" t="s">
        <v>15820</v>
      </c>
    </row>
    <row r="2978" spans="1:2" x14ac:dyDescent="0.25">
      <c r="A2978" t="s">
        <v>15822</v>
      </c>
      <c r="B2978" t="s">
        <v>15820</v>
      </c>
    </row>
    <row r="2979" spans="1:2" x14ac:dyDescent="0.25">
      <c r="A2979" t="s">
        <v>15823</v>
      </c>
      <c r="B2979" t="s">
        <v>15820</v>
      </c>
    </row>
    <row r="2980" spans="1:2" x14ac:dyDescent="0.25">
      <c r="A2980" t="s">
        <v>15824</v>
      </c>
      <c r="B2980" t="s">
        <v>15797</v>
      </c>
    </row>
    <row r="2981" spans="1:2" x14ac:dyDescent="0.25">
      <c r="A2981" t="s">
        <v>15825</v>
      </c>
      <c r="B2981" t="s">
        <v>15824</v>
      </c>
    </row>
    <row r="2982" spans="1:2" x14ac:dyDescent="0.25">
      <c r="A2982" t="s">
        <v>15826</v>
      </c>
      <c r="B2982" t="s">
        <v>15824</v>
      </c>
    </row>
    <row r="2983" spans="1:2" x14ac:dyDescent="0.25">
      <c r="A2983" t="s">
        <v>15827</v>
      </c>
      <c r="B2983" t="s">
        <v>15797</v>
      </c>
    </row>
    <row r="2984" spans="1:2" x14ac:dyDescent="0.25">
      <c r="A2984" t="s">
        <v>15828</v>
      </c>
      <c r="B2984" t="s">
        <v>11634</v>
      </c>
    </row>
    <row r="2985" spans="1:2" x14ac:dyDescent="0.25">
      <c r="A2985" t="s">
        <v>255</v>
      </c>
      <c r="B2985" t="s">
        <v>5470</v>
      </c>
    </row>
    <row r="2986" spans="1:2" x14ac:dyDescent="0.25">
      <c r="A2986" t="s">
        <v>13342</v>
      </c>
      <c r="B2986" t="s">
        <v>255</v>
      </c>
    </row>
    <row r="2987" spans="1:2" x14ac:dyDescent="0.25">
      <c r="A2987" t="s">
        <v>10742</v>
      </c>
      <c r="B2987" t="s">
        <v>255</v>
      </c>
    </row>
    <row r="2988" spans="1:2" x14ac:dyDescent="0.25">
      <c r="A2988" t="s">
        <v>4588</v>
      </c>
      <c r="B2988" t="s">
        <v>255</v>
      </c>
    </row>
    <row r="2989" spans="1:2" x14ac:dyDescent="0.25">
      <c r="A2989" t="s">
        <v>8019</v>
      </c>
      <c r="B2989" t="s">
        <v>255</v>
      </c>
    </row>
    <row r="2990" spans="1:2" x14ac:dyDescent="0.25">
      <c r="A2990" t="s">
        <v>4080</v>
      </c>
      <c r="B2990" t="s">
        <v>255</v>
      </c>
    </row>
    <row r="2991" spans="1:2" x14ac:dyDescent="0.25">
      <c r="A2991" t="s">
        <v>1667</v>
      </c>
      <c r="B2991" t="s">
        <v>255</v>
      </c>
    </row>
    <row r="2992" spans="1:2" x14ac:dyDescent="0.25">
      <c r="A2992" t="s">
        <v>256</v>
      </c>
      <c r="B2992" t="s">
        <v>255</v>
      </c>
    </row>
    <row r="2993" spans="1:2" x14ac:dyDescent="0.25">
      <c r="A2993" t="s">
        <v>1668</v>
      </c>
      <c r="B2993" t="s">
        <v>255</v>
      </c>
    </row>
    <row r="2994" spans="1:2" x14ac:dyDescent="0.25">
      <c r="A2994" t="s">
        <v>12021</v>
      </c>
      <c r="B2994" t="s">
        <v>255</v>
      </c>
    </row>
    <row r="2995" spans="1:2" x14ac:dyDescent="0.25">
      <c r="A2995" t="s">
        <v>7353</v>
      </c>
      <c r="B2995" t="s">
        <v>255</v>
      </c>
    </row>
    <row r="2996" spans="1:2" x14ac:dyDescent="0.25">
      <c r="A2996" t="s">
        <v>8541</v>
      </c>
      <c r="B2996" t="s">
        <v>255</v>
      </c>
    </row>
    <row r="2997" spans="1:2" x14ac:dyDescent="0.25">
      <c r="A2997" t="s">
        <v>7352</v>
      </c>
      <c r="B2997" t="s">
        <v>255</v>
      </c>
    </row>
    <row r="2998" spans="1:2" x14ac:dyDescent="0.25">
      <c r="A2998" t="s">
        <v>15829</v>
      </c>
      <c r="B2998" t="s">
        <v>255</v>
      </c>
    </row>
    <row r="2999" spans="1:2" x14ac:dyDescent="0.25">
      <c r="A2999" t="s">
        <v>15830</v>
      </c>
      <c r="B2999" t="s">
        <v>15829</v>
      </c>
    </row>
    <row r="3000" spans="1:2" x14ac:dyDescent="0.25">
      <c r="A3000" t="s">
        <v>15831</v>
      </c>
      <c r="B3000" t="s">
        <v>15830</v>
      </c>
    </row>
    <row r="3001" spans="1:2" x14ac:dyDescent="0.25">
      <c r="A3001" t="s">
        <v>15832</v>
      </c>
      <c r="B3001" t="s">
        <v>15831</v>
      </c>
    </row>
    <row r="3002" spans="1:2" x14ac:dyDescent="0.25">
      <c r="A3002" t="s">
        <v>15833</v>
      </c>
      <c r="B3002" t="s">
        <v>15832</v>
      </c>
    </row>
    <row r="3003" spans="1:2" x14ac:dyDescent="0.25">
      <c r="A3003" t="s">
        <v>15834</v>
      </c>
      <c r="B3003" t="s">
        <v>15832</v>
      </c>
    </row>
    <row r="3004" spans="1:2" x14ac:dyDescent="0.25">
      <c r="A3004" t="s">
        <v>15835</v>
      </c>
      <c r="B3004" t="s">
        <v>15832</v>
      </c>
    </row>
    <row r="3005" spans="1:2" x14ac:dyDescent="0.25">
      <c r="A3005" t="s">
        <v>15836</v>
      </c>
      <c r="B3005" t="s">
        <v>15832</v>
      </c>
    </row>
    <row r="3006" spans="1:2" x14ac:dyDescent="0.25">
      <c r="A3006" t="s">
        <v>15837</v>
      </c>
      <c r="B3006" t="s">
        <v>15829</v>
      </c>
    </row>
    <row r="3007" spans="1:2" x14ac:dyDescent="0.25">
      <c r="A3007" t="s">
        <v>15838</v>
      </c>
      <c r="B3007" t="s">
        <v>15837</v>
      </c>
    </row>
    <row r="3008" spans="1:2" x14ac:dyDescent="0.25">
      <c r="A3008" t="s">
        <v>15839</v>
      </c>
      <c r="B3008" t="s">
        <v>15837</v>
      </c>
    </row>
    <row r="3009" spans="1:2" x14ac:dyDescent="0.25">
      <c r="A3009" t="s">
        <v>15840</v>
      </c>
      <c r="B3009" t="s">
        <v>15837</v>
      </c>
    </row>
    <row r="3010" spans="1:2" x14ac:dyDescent="0.25">
      <c r="A3010" t="s">
        <v>15841</v>
      </c>
      <c r="B3010" t="s">
        <v>15829</v>
      </c>
    </row>
    <row r="3011" spans="1:2" x14ac:dyDescent="0.25">
      <c r="A3011" t="s">
        <v>15842</v>
      </c>
      <c r="B3011" t="s">
        <v>15841</v>
      </c>
    </row>
    <row r="3012" spans="1:2" x14ac:dyDescent="0.25">
      <c r="A3012" t="s">
        <v>15843</v>
      </c>
      <c r="B3012" t="s">
        <v>15841</v>
      </c>
    </row>
    <row r="3013" spans="1:2" x14ac:dyDescent="0.25">
      <c r="A3013" t="s">
        <v>15844</v>
      </c>
      <c r="B3013" t="s">
        <v>15829</v>
      </c>
    </row>
    <row r="3014" spans="1:2" x14ac:dyDescent="0.25">
      <c r="A3014" t="s">
        <v>15845</v>
      </c>
      <c r="B3014" t="s">
        <v>15844</v>
      </c>
    </row>
    <row r="3015" spans="1:2" x14ac:dyDescent="0.25">
      <c r="A3015" t="s">
        <v>15846</v>
      </c>
      <c r="B3015" t="s">
        <v>15844</v>
      </c>
    </row>
    <row r="3016" spans="1:2" x14ac:dyDescent="0.25">
      <c r="A3016" t="s">
        <v>15847</v>
      </c>
      <c r="B3016" t="s">
        <v>15829</v>
      </c>
    </row>
    <row r="3017" spans="1:2" x14ac:dyDescent="0.25">
      <c r="A3017" t="s">
        <v>15848</v>
      </c>
      <c r="B3017" t="s">
        <v>255</v>
      </c>
    </row>
    <row r="3018" spans="1:2" x14ac:dyDescent="0.25">
      <c r="A3018" t="s">
        <v>7403</v>
      </c>
      <c r="B3018" t="s">
        <v>5470</v>
      </c>
    </row>
    <row r="3019" spans="1:2" x14ac:dyDescent="0.25">
      <c r="A3019" t="s">
        <v>10743</v>
      </c>
      <c r="B3019" t="s">
        <v>7403</v>
      </c>
    </row>
    <row r="3020" spans="1:2" x14ac:dyDescent="0.25">
      <c r="A3020" t="s">
        <v>4589</v>
      </c>
      <c r="B3020" t="s">
        <v>7403</v>
      </c>
    </row>
    <row r="3021" spans="1:2" x14ac:dyDescent="0.25">
      <c r="A3021" t="s">
        <v>8020</v>
      </c>
      <c r="B3021" t="s">
        <v>7403</v>
      </c>
    </row>
    <row r="3022" spans="1:2" x14ac:dyDescent="0.25">
      <c r="A3022" t="s">
        <v>4081</v>
      </c>
      <c r="B3022" t="s">
        <v>7403</v>
      </c>
    </row>
    <row r="3023" spans="1:2" x14ac:dyDescent="0.25">
      <c r="A3023" t="s">
        <v>1669</v>
      </c>
      <c r="B3023" t="s">
        <v>7403</v>
      </c>
    </row>
    <row r="3024" spans="1:2" x14ac:dyDescent="0.25">
      <c r="A3024" t="s">
        <v>108</v>
      </c>
      <c r="B3024" t="s">
        <v>1669</v>
      </c>
    </row>
    <row r="3025" spans="1:2" x14ac:dyDescent="0.25">
      <c r="A3025" t="s">
        <v>257</v>
      </c>
      <c r="B3025" t="s">
        <v>7403</v>
      </c>
    </row>
    <row r="3026" spans="1:2" x14ac:dyDescent="0.25">
      <c r="A3026" t="s">
        <v>1670</v>
      </c>
      <c r="B3026" t="s">
        <v>7403</v>
      </c>
    </row>
    <row r="3027" spans="1:2" x14ac:dyDescent="0.25">
      <c r="A3027" t="s">
        <v>12022</v>
      </c>
      <c r="B3027" t="s">
        <v>7403</v>
      </c>
    </row>
    <row r="3028" spans="1:2" x14ac:dyDescent="0.25">
      <c r="A3028" t="s">
        <v>6291</v>
      </c>
      <c r="B3028" t="s">
        <v>7403</v>
      </c>
    </row>
    <row r="3029" spans="1:2" x14ac:dyDescent="0.25">
      <c r="A3029" t="s">
        <v>5852</v>
      </c>
      <c r="B3029" t="s">
        <v>5470</v>
      </c>
    </row>
    <row r="3030" spans="1:2" x14ac:dyDescent="0.25">
      <c r="A3030" t="s">
        <v>10755</v>
      </c>
      <c r="B3030" t="s">
        <v>5852</v>
      </c>
    </row>
    <row r="3031" spans="1:2" x14ac:dyDescent="0.25">
      <c r="A3031" t="s">
        <v>4601</v>
      </c>
      <c r="B3031" t="s">
        <v>5852</v>
      </c>
    </row>
    <row r="3032" spans="1:2" x14ac:dyDescent="0.25">
      <c r="A3032" t="s">
        <v>8032</v>
      </c>
      <c r="B3032" t="s">
        <v>5852</v>
      </c>
    </row>
    <row r="3033" spans="1:2" x14ac:dyDescent="0.25">
      <c r="A3033" t="s">
        <v>4093</v>
      </c>
      <c r="B3033" t="s">
        <v>5852</v>
      </c>
    </row>
    <row r="3034" spans="1:2" x14ac:dyDescent="0.25">
      <c r="A3034" t="s">
        <v>1693</v>
      </c>
      <c r="B3034" t="s">
        <v>5852</v>
      </c>
    </row>
    <row r="3035" spans="1:2" x14ac:dyDescent="0.25">
      <c r="A3035" t="s">
        <v>269</v>
      </c>
      <c r="B3035" t="s">
        <v>5852</v>
      </c>
    </row>
    <row r="3036" spans="1:2" x14ac:dyDescent="0.25">
      <c r="A3036" t="s">
        <v>1694</v>
      </c>
      <c r="B3036" t="s">
        <v>5852</v>
      </c>
    </row>
    <row r="3037" spans="1:2" x14ac:dyDescent="0.25">
      <c r="A3037" t="s">
        <v>12034</v>
      </c>
      <c r="B3037" t="s">
        <v>5852</v>
      </c>
    </row>
    <row r="3038" spans="1:2" x14ac:dyDescent="0.25">
      <c r="A3038" t="s">
        <v>6749</v>
      </c>
      <c r="B3038" t="s">
        <v>5852</v>
      </c>
    </row>
    <row r="3039" spans="1:2" x14ac:dyDescent="0.25">
      <c r="A3039" t="s">
        <v>8036</v>
      </c>
      <c r="B3039" t="s">
        <v>5852</v>
      </c>
    </row>
    <row r="3040" spans="1:2" x14ac:dyDescent="0.25">
      <c r="A3040" t="s">
        <v>11082</v>
      </c>
      <c r="B3040" t="s">
        <v>5470</v>
      </c>
    </row>
    <row r="3041" spans="1:2" x14ac:dyDescent="0.25">
      <c r="A3041" t="s">
        <v>9053</v>
      </c>
      <c r="B3041" t="s">
        <v>11082</v>
      </c>
    </row>
    <row r="3042" spans="1:2" x14ac:dyDescent="0.25">
      <c r="A3042" t="s">
        <v>9054</v>
      </c>
      <c r="B3042" t="s">
        <v>11082</v>
      </c>
    </row>
    <row r="3043" spans="1:2" x14ac:dyDescent="0.25">
      <c r="A3043" t="s">
        <v>12459</v>
      </c>
      <c r="B3043" t="s">
        <v>11082</v>
      </c>
    </row>
    <row r="3044" spans="1:2" x14ac:dyDescent="0.25">
      <c r="A3044" t="s">
        <v>12713</v>
      </c>
      <c r="B3044" t="s">
        <v>11082</v>
      </c>
    </row>
    <row r="3045" spans="1:2" x14ac:dyDescent="0.25">
      <c r="A3045" t="s">
        <v>12460</v>
      </c>
      <c r="B3045" t="s">
        <v>12713</v>
      </c>
    </row>
    <row r="3046" spans="1:2" x14ac:dyDescent="0.25">
      <c r="A3046" t="s">
        <v>11896</v>
      </c>
      <c r="B3046" t="s">
        <v>12713</v>
      </c>
    </row>
    <row r="3047" spans="1:2" x14ac:dyDescent="0.25">
      <c r="A3047" t="s">
        <v>11897</v>
      </c>
      <c r="B3047" t="s">
        <v>12713</v>
      </c>
    </row>
    <row r="3048" spans="1:2" x14ac:dyDescent="0.25">
      <c r="A3048" t="s">
        <v>12461</v>
      </c>
      <c r="B3048" t="s">
        <v>12713</v>
      </c>
    </row>
    <row r="3049" spans="1:2" x14ac:dyDescent="0.25">
      <c r="A3049" t="s">
        <v>9864</v>
      </c>
      <c r="B3049" t="s">
        <v>12713</v>
      </c>
    </row>
    <row r="3050" spans="1:2" x14ac:dyDescent="0.25">
      <c r="A3050" t="s">
        <v>13343</v>
      </c>
      <c r="B3050" t="s">
        <v>11082</v>
      </c>
    </row>
    <row r="3051" spans="1:2" x14ac:dyDescent="0.25">
      <c r="A3051" t="s">
        <v>5851</v>
      </c>
      <c r="B3051" t="s">
        <v>4076</v>
      </c>
    </row>
    <row r="3052" spans="1:2" x14ac:dyDescent="0.25">
      <c r="A3052" t="s">
        <v>2680</v>
      </c>
      <c r="B3052" t="s">
        <v>5851</v>
      </c>
    </row>
    <row r="3053" spans="1:2" x14ac:dyDescent="0.25">
      <c r="A3053" t="s">
        <v>10744</v>
      </c>
      <c r="B3053" t="s">
        <v>2680</v>
      </c>
    </row>
    <row r="3054" spans="1:2" x14ac:dyDescent="0.25">
      <c r="A3054" t="s">
        <v>4590</v>
      </c>
      <c r="B3054" t="s">
        <v>2680</v>
      </c>
    </row>
    <row r="3055" spans="1:2" x14ac:dyDescent="0.25">
      <c r="A3055" t="s">
        <v>8021</v>
      </c>
      <c r="B3055" t="s">
        <v>2680</v>
      </c>
    </row>
    <row r="3056" spans="1:2" x14ac:dyDescent="0.25">
      <c r="A3056" t="s">
        <v>4082</v>
      </c>
      <c r="B3056" t="s">
        <v>2680</v>
      </c>
    </row>
    <row r="3057" spans="1:2" x14ac:dyDescent="0.25">
      <c r="A3057" t="s">
        <v>1671</v>
      </c>
      <c r="B3057" t="s">
        <v>2680</v>
      </c>
    </row>
    <row r="3058" spans="1:2" x14ac:dyDescent="0.25">
      <c r="A3058" t="s">
        <v>258</v>
      </c>
      <c r="B3058" t="s">
        <v>2680</v>
      </c>
    </row>
    <row r="3059" spans="1:2" x14ac:dyDescent="0.25">
      <c r="A3059" t="s">
        <v>1672</v>
      </c>
      <c r="B3059" t="s">
        <v>2680</v>
      </c>
    </row>
    <row r="3060" spans="1:2" x14ac:dyDescent="0.25">
      <c r="A3060" t="s">
        <v>12023</v>
      </c>
      <c r="B3060" t="s">
        <v>2680</v>
      </c>
    </row>
    <row r="3061" spans="1:2" x14ac:dyDescent="0.25">
      <c r="A3061" t="s">
        <v>3552</v>
      </c>
      <c r="B3061" t="s">
        <v>2680</v>
      </c>
    </row>
    <row r="3062" spans="1:2" x14ac:dyDescent="0.25">
      <c r="A3062" t="s">
        <v>5474</v>
      </c>
      <c r="B3062" t="s">
        <v>2680</v>
      </c>
    </row>
    <row r="3063" spans="1:2" x14ac:dyDescent="0.25">
      <c r="A3063" t="s">
        <v>15849</v>
      </c>
      <c r="B3063" t="s">
        <v>2680</v>
      </c>
    </row>
    <row r="3064" spans="1:2" x14ac:dyDescent="0.25">
      <c r="A3064" t="s">
        <v>15850</v>
      </c>
      <c r="B3064" t="s">
        <v>15849</v>
      </c>
    </row>
    <row r="3065" spans="1:2" x14ac:dyDescent="0.25">
      <c r="A3065" t="s">
        <v>15851</v>
      </c>
      <c r="B3065" t="s">
        <v>15850</v>
      </c>
    </row>
    <row r="3066" spans="1:2" x14ac:dyDescent="0.25">
      <c r="A3066" t="s">
        <v>15852</v>
      </c>
      <c r="B3066" t="s">
        <v>15851</v>
      </c>
    </row>
    <row r="3067" spans="1:2" x14ac:dyDescent="0.25">
      <c r="A3067" t="s">
        <v>15853</v>
      </c>
      <c r="B3067" t="s">
        <v>15852</v>
      </c>
    </row>
    <row r="3068" spans="1:2" x14ac:dyDescent="0.25">
      <c r="A3068" t="s">
        <v>15854</v>
      </c>
      <c r="B3068" t="s">
        <v>15852</v>
      </c>
    </row>
    <row r="3069" spans="1:2" x14ac:dyDescent="0.25">
      <c r="A3069" t="s">
        <v>15855</v>
      </c>
      <c r="B3069" t="s">
        <v>15852</v>
      </c>
    </row>
    <row r="3070" spans="1:2" x14ac:dyDescent="0.25">
      <c r="A3070" t="s">
        <v>15856</v>
      </c>
      <c r="B3070" t="s">
        <v>15852</v>
      </c>
    </row>
    <row r="3071" spans="1:2" x14ac:dyDescent="0.25">
      <c r="A3071" t="s">
        <v>15857</v>
      </c>
      <c r="B3071" t="s">
        <v>15850</v>
      </c>
    </row>
    <row r="3072" spans="1:2" x14ac:dyDescent="0.25">
      <c r="A3072" t="s">
        <v>15858</v>
      </c>
      <c r="B3072" t="s">
        <v>15857</v>
      </c>
    </row>
    <row r="3073" spans="1:2" x14ac:dyDescent="0.25">
      <c r="A3073" t="s">
        <v>15859</v>
      </c>
      <c r="B3073" t="s">
        <v>15858</v>
      </c>
    </row>
    <row r="3074" spans="1:2" x14ac:dyDescent="0.25">
      <c r="A3074" t="s">
        <v>15860</v>
      </c>
      <c r="B3074" t="s">
        <v>15858</v>
      </c>
    </row>
    <row r="3075" spans="1:2" x14ac:dyDescent="0.25">
      <c r="A3075" t="s">
        <v>15861</v>
      </c>
      <c r="B3075" t="s">
        <v>15858</v>
      </c>
    </row>
    <row r="3076" spans="1:2" x14ac:dyDescent="0.25">
      <c r="A3076" t="s">
        <v>15862</v>
      </c>
      <c r="B3076" t="s">
        <v>15858</v>
      </c>
    </row>
    <row r="3077" spans="1:2" x14ac:dyDescent="0.25">
      <c r="A3077" t="s">
        <v>15863</v>
      </c>
      <c r="B3077" t="s">
        <v>15849</v>
      </c>
    </row>
    <row r="3078" spans="1:2" x14ac:dyDescent="0.25">
      <c r="A3078" t="s">
        <v>15864</v>
      </c>
      <c r="B3078" t="s">
        <v>15863</v>
      </c>
    </row>
    <row r="3079" spans="1:2" x14ac:dyDescent="0.25">
      <c r="A3079" t="s">
        <v>15865</v>
      </c>
      <c r="B3079" t="s">
        <v>15863</v>
      </c>
    </row>
    <row r="3080" spans="1:2" x14ac:dyDescent="0.25">
      <c r="A3080" t="s">
        <v>15866</v>
      </c>
      <c r="B3080" t="s">
        <v>15863</v>
      </c>
    </row>
    <row r="3081" spans="1:2" x14ac:dyDescent="0.25">
      <c r="A3081" t="s">
        <v>15867</v>
      </c>
      <c r="B3081" t="s">
        <v>15849</v>
      </c>
    </row>
    <row r="3082" spans="1:2" x14ac:dyDescent="0.25">
      <c r="A3082" t="s">
        <v>15868</v>
      </c>
      <c r="B3082" t="s">
        <v>15867</v>
      </c>
    </row>
    <row r="3083" spans="1:2" x14ac:dyDescent="0.25">
      <c r="A3083" t="s">
        <v>15869</v>
      </c>
      <c r="B3083" t="s">
        <v>15867</v>
      </c>
    </row>
    <row r="3084" spans="1:2" x14ac:dyDescent="0.25">
      <c r="A3084" t="s">
        <v>15870</v>
      </c>
      <c r="B3084" t="s">
        <v>15849</v>
      </c>
    </row>
    <row r="3085" spans="1:2" x14ac:dyDescent="0.25">
      <c r="A3085" t="s">
        <v>15871</v>
      </c>
      <c r="B3085" t="s">
        <v>15870</v>
      </c>
    </row>
    <row r="3086" spans="1:2" x14ac:dyDescent="0.25">
      <c r="A3086" t="s">
        <v>15872</v>
      </c>
      <c r="B3086" t="s">
        <v>15870</v>
      </c>
    </row>
    <row r="3087" spans="1:2" x14ac:dyDescent="0.25">
      <c r="A3087" t="s">
        <v>15873</v>
      </c>
      <c r="B3087" t="s">
        <v>15849</v>
      </c>
    </row>
    <row r="3088" spans="1:2" x14ac:dyDescent="0.25">
      <c r="A3088" t="s">
        <v>15874</v>
      </c>
      <c r="B3088" t="s">
        <v>2680</v>
      </c>
    </row>
    <row r="3089" spans="1:2" x14ac:dyDescent="0.25">
      <c r="A3089" t="s">
        <v>503</v>
      </c>
      <c r="B3089" t="s">
        <v>5851</v>
      </c>
    </row>
    <row r="3090" spans="1:2" x14ac:dyDescent="0.25">
      <c r="A3090" t="s">
        <v>10745</v>
      </c>
      <c r="B3090" t="s">
        <v>503</v>
      </c>
    </row>
    <row r="3091" spans="1:2" x14ac:dyDescent="0.25">
      <c r="A3091" t="s">
        <v>4591</v>
      </c>
      <c r="B3091" t="s">
        <v>503</v>
      </c>
    </row>
    <row r="3092" spans="1:2" x14ac:dyDescent="0.25">
      <c r="A3092" t="s">
        <v>8022</v>
      </c>
      <c r="B3092" t="s">
        <v>503</v>
      </c>
    </row>
    <row r="3093" spans="1:2" x14ac:dyDescent="0.25">
      <c r="A3093" t="s">
        <v>4083</v>
      </c>
      <c r="B3093" t="s">
        <v>503</v>
      </c>
    </row>
    <row r="3094" spans="1:2" x14ac:dyDescent="0.25">
      <c r="A3094" t="s">
        <v>1673</v>
      </c>
      <c r="B3094" t="s">
        <v>503</v>
      </c>
    </row>
    <row r="3095" spans="1:2" x14ac:dyDescent="0.25">
      <c r="A3095" t="s">
        <v>259</v>
      </c>
      <c r="B3095" t="s">
        <v>503</v>
      </c>
    </row>
    <row r="3096" spans="1:2" x14ac:dyDescent="0.25">
      <c r="A3096" t="s">
        <v>1674</v>
      </c>
      <c r="B3096" t="s">
        <v>503</v>
      </c>
    </row>
    <row r="3097" spans="1:2" x14ac:dyDescent="0.25">
      <c r="A3097" t="s">
        <v>12024</v>
      </c>
      <c r="B3097" t="s">
        <v>503</v>
      </c>
    </row>
    <row r="3098" spans="1:2" x14ac:dyDescent="0.25">
      <c r="A3098" t="s">
        <v>15875</v>
      </c>
      <c r="B3098" t="s">
        <v>503</v>
      </c>
    </row>
    <row r="3099" spans="1:2" x14ac:dyDescent="0.25">
      <c r="A3099" t="s">
        <v>15876</v>
      </c>
      <c r="B3099" t="s">
        <v>15875</v>
      </c>
    </row>
    <row r="3100" spans="1:2" x14ac:dyDescent="0.25">
      <c r="A3100" t="s">
        <v>15877</v>
      </c>
      <c r="B3100" t="s">
        <v>15876</v>
      </c>
    </row>
    <row r="3101" spans="1:2" x14ac:dyDescent="0.25">
      <c r="A3101" t="s">
        <v>15878</v>
      </c>
      <c r="B3101" t="s">
        <v>15877</v>
      </c>
    </row>
    <row r="3102" spans="1:2" x14ac:dyDescent="0.25">
      <c r="A3102" t="s">
        <v>15879</v>
      </c>
      <c r="B3102" t="s">
        <v>15878</v>
      </c>
    </row>
    <row r="3103" spans="1:2" x14ac:dyDescent="0.25">
      <c r="A3103" t="s">
        <v>15880</v>
      </c>
      <c r="B3103" t="s">
        <v>15878</v>
      </c>
    </row>
    <row r="3104" spans="1:2" x14ac:dyDescent="0.25">
      <c r="A3104" t="s">
        <v>15881</v>
      </c>
      <c r="B3104" t="s">
        <v>15878</v>
      </c>
    </row>
    <row r="3105" spans="1:2" x14ac:dyDescent="0.25">
      <c r="A3105" t="s">
        <v>15882</v>
      </c>
      <c r="B3105" t="s">
        <v>15878</v>
      </c>
    </row>
    <row r="3106" spans="1:2" x14ac:dyDescent="0.25">
      <c r="A3106" t="s">
        <v>15883</v>
      </c>
      <c r="B3106" t="s">
        <v>15877</v>
      </c>
    </row>
    <row r="3107" spans="1:2" x14ac:dyDescent="0.25">
      <c r="A3107" t="s">
        <v>15884</v>
      </c>
      <c r="B3107" t="s">
        <v>15883</v>
      </c>
    </row>
    <row r="3108" spans="1:2" x14ac:dyDescent="0.25">
      <c r="A3108" t="s">
        <v>15885</v>
      </c>
      <c r="B3108" t="s">
        <v>15883</v>
      </c>
    </row>
    <row r="3109" spans="1:2" x14ac:dyDescent="0.25">
      <c r="A3109" t="s">
        <v>15886</v>
      </c>
      <c r="B3109" t="s">
        <v>15883</v>
      </c>
    </row>
    <row r="3110" spans="1:2" x14ac:dyDescent="0.25">
      <c r="A3110" t="s">
        <v>15887</v>
      </c>
      <c r="B3110" t="s">
        <v>15883</v>
      </c>
    </row>
    <row r="3111" spans="1:2" x14ac:dyDescent="0.25">
      <c r="A3111" t="s">
        <v>15888</v>
      </c>
      <c r="B3111" t="s">
        <v>15877</v>
      </c>
    </row>
    <row r="3112" spans="1:2" x14ac:dyDescent="0.25">
      <c r="A3112" t="s">
        <v>15889</v>
      </c>
      <c r="B3112" t="s">
        <v>15888</v>
      </c>
    </row>
    <row r="3113" spans="1:2" x14ac:dyDescent="0.25">
      <c r="A3113" t="s">
        <v>15890</v>
      </c>
      <c r="B3113" t="s">
        <v>15888</v>
      </c>
    </row>
    <row r="3114" spans="1:2" x14ac:dyDescent="0.25">
      <c r="A3114" t="s">
        <v>15891</v>
      </c>
      <c r="B3114" t="s">
        <v>15888</v>
      </c>
    </row>
    <row r="3115" spans="1:2" x14ac:dyDescent="0.25">
      <c r="A3115" t="s">
        <v>15892</v>
      </c>
      <c r="B3115" t="s">
        <v>15888</v>
      </c>
    </row>
    <row r="3116" spans="1:2" x14ac:dyDescent="0.25">
      <c r="A3116" t="s">
        <v>15893</v>
      </c>
      <c r="B3116" t="s">
        <v>15875</v>
      </c>
    </row>
    <row r="3117" spans="1:2" x14ac:dyDescent="0.25">
      <c r="A3117" t="s">
        <v>15894</v>
      </c>
      <c r="B3117" t="s">
        <v>15893</v>
      </c>
    </row>
    <row r="3118" spans="1:2" x14ac:dyDescent="0.25">
      <c r="A3118" t="s">
        <v>15895</v>
      </c>
      <c r="B3118" t="s">
        <v>15893</v>
      </c>
    </row>
    <row r="3119" spans="1:2" x14ac:dyDescent="0.25">
      <c r="A3119" t="s">
        <v>15896</v>
      </c>
      <c r="B3119" t="s">
        <v>15893</v>
      </c>
    </row>
    <row r="3120" spans="1:2" x14ac:dyDescent="0.25">
      <c r="A3120" t="s">
        <v>15897</v>
      </c>
      <c r="B3120" t="s">
        <v>15875</v>
      </c>
    </row>
    <row r="3121" spans="1:2" x14ac:dyDescent="0.25">
      <c r="A3121" t="s">
        <v>15898</v>
      </c>
      <c r="B3121" t="s">
        <v>15897</v>
      </c>
    </row>
    <row r="3122" spans="1:2" x14ac:dyDescent="0.25">
      <c r="A3122" t="s">
        <v>15899</v>
      </c>
      <c r="B3122" t="s">
        <v>15897</v>
      </c>
    </row>
    <row r="3123" spans="1:2" x14ac:dyDescent="0.25">
      <c r="A3123" t="s">
        <v>15900</v>
      </c>
      <c r="B3123" t="s">
        <v>15875</v>
      </c>
    </row>
    <row r="3124" spans="1:2" x14ac:dyDescent="0.25">
      <c r="A3124" t="s">
        <v>15901</v>
      </c>
      <c r="B3124" t="s">
        <v>15900</v>
      </c>
    </row>
    <row r="3125" spans="1:2" x14ac:dyDescent="0.25">
      <c r="A3125" t="s">
        <v>15902</v>
      </c>
      <c r="B3125" t="s">
        <v>15900</v>
      </c>
    </row>
    <row r="3126" spans="1:2" x14ac:dyDescent="0.25">
      <c r="A3126" t="s">
        <v>15903</v>
      </c>
      <c r="B3126" t="s">
        <v>15875</v>
      </c>
    </row>
    <row r="3127" spans="1:2" x14ac:dyDescent="0.25">
      <c r="A3127" t="s">
        <v>15904</v>
      </c>
      <c r="B3127" t="s">
        <v>503</v>
      </c>
    </row>
    <row r="3128" spans="1:2" x14ac:dyDescent="0.25">
      <c r="A3128" t="s">
        <v>9729</v>
      </c>
      <c r="B3128" t="s">
        <v>5851</v>
      </c>
    </row>
    <row r="3129" spans="1:2" x14ac:dyDescent="0.25">
      <c r="A3129" t="s">
        <v>10746</v>
      </c>
      <c r="B3129" t="s">
        <v>9729</v>
      </c>
    </row>
    <row r="3130" spans="1:2" x14ac:dyDescent="0.25">
      <c r="A3130" t="s">
        <v>4592</v>
      </c>
      <c r="B3130" t="s">
        <v>9729</v>
      </c>
    </row>
    <row r="3131" spans="1:2" x14ac:dyDescent="0.25">
      <c r="A3131" t="s">
        <v>8023</v>
      </c>
      <c r="B3131" t="s">
        <v>9729</v>
      </c>
    </row>
    <row r="3132" spans="1:2" x14ac:dyDescent="0.25">
      <c r="A3132" t="s">
        <v>4084</v>
      </c>
      <c r="B3132" t="s">
        <v>9729</v>
      </c>
    </row>
    <row r="3133" spans="1:2" x14ac:dyDescent="0.25">
      <c r="A3133" t="s">
        <v>1675</v>
      </c>
      <c r="B3133" t="s">
        <v>9729</v>
      </c>
    </row>
    <row r="3134" spans="1:2" x14ac:dyDescent="0.25">
      <c r="A3134" t="s">
        <v>260</v>
      </c>
      <c r="B3134" t="s">
        <v>9729</v>
      </c>
    </row>
    <row r="3135" spans="1:2" x14ac:dyDescent="0.25">
      <c r="A3135" t="s">
        <v>1676</v>
      </c>
      <c r="B3135" t="s">
        <v>9729</v>
      </c>
    </row>
    <row r="3136" spans="1:2" x14ac:dyDescent="0.25">
      <c r="A3136" t="s">
        <v>12025</v>
      </c>
      <c r="B3136" t="s">
        <v>9729</v>
      </c>
    </row>
    <row r="3137" spans="1:2" x14ac:dyDescent="0.25">
      <c r="A3137" t="s">
        <v>391</v>
      </c>
      <c r="B3137" t="s">
        <v>9729</v>
      </c>
    </row>
    <row r="3138" spans="1:2" x14ac:dyDescent="0.25">
      <c r="A3138" t="s">
        <v>5027</v>
      </c>
      <c r="B3138" t="s">
        <v>9729</v>
      </c>
    </row>
    <row r="3139" spans="1:2" x14ac:dyDescent="0.25">
      <c r="A3139" t="s">
        <v>3579</v>
      </c>
      <c r="B3139" t="s">
        <v>5851</v>
      </c>
    </row>
    <row r="3140" spans="1:2" x14ac:dyDescent="0.25">
      <c r="A3140" t="s">
        <v>10747</v>
      </c>
      <c r="B3140" t="s">
        <v>3579</v>
      </c>
    </row>
    <row r="3141" spans="1:2" x14ac:dyDescent="0.25">
      <c r="A3141" t="s">
        <v>4593</v>
      </c>
      <c r="B3141" t="s">
        <v>3579</v>
      </c>
    </row>
    <row r="3142" spans="1:2" x14ac:dyDescent="0.25">
      <c r="A3142" t="s">
        <v>8024</v>
      </c>
      <c r="B3142" t="s">
        <v>3579</v>
      </c>
    </row>
    <row r="3143" spans="1:2" x14ac:dyDescent="0.25">
      <c r="A3143" t="s">
        <v>4085</v>
      </c>
      <c r="B3143" t="s">
        <v>3579</v>
      </c>
    </row>
    <row r="3144" spans="1:2" x14ac:dyDescent="0.25">
      <c r="A3144" t="s">
        <v>1677</v>
      </c>
      <c r="B3144" t="s">
        <v>3579</v>
      </c>
    </row>
    <row r="3145" spans="1:2" x14ac:dyDescent="0.25">
      <c r="A3145" t="s">
        <v>261</v>
      </c>
      <c r="B3145" t="s">
        <v>3579</v>
      </c>
    </row>
    <row r="3146" spans="1:2" x14ac:dyDescent="0.25">
      <c r="A3146" t="s">
        <v>1678</v>
      </c>
      <c r="B3146" t="s">
        <v>3579</v>
      </c>
    </row>
    <row r="3147" spans="1:2" x14ac:dyDescent="0.25">
      <c r="A3147" t="s">
        <v>12026</v>
      </c>
      <c r="B3147" t="s">
        <v>3579</v>
      </c>
    </row>
    <row r="3148" spans="1:2" x14ac:dyDescent="0.25">
      <c r="A3148" t="s">
        <v>6244</v>
      </c>
      <c r="B3148" t="s">
        <v>3579</v>
      </c>
    </row>
    <row r="3149" spans="1:2" x14ac:dyDescent="0.25">
      <c r="A3149" t="s">
        <v>7407</v>
      </c>
      <c r="B3149" t="s">
        <v>3579</v>
      </c>
    </row>
    <row r="3150" spans="1:2" x14ac:dyDescent="0.25">
      <c r="A3150" t="s">
        <v>6791</v>
      </c>
      <c r="B3150" t="s">
        <v>5851</v>
      </c>
    </row>
    <row r="3151" spans="1:2" x14ac:dyDescent="0.25">
      <c r="A3151" t="s">
        <v>10748</v>
      </c>
      <c r="B3151" t="s">
        <v>6791</v>
      </c>
    </row>
    <row r="3152" spans="1:2" x14ac:dyDescent="0.25">
      <c r="A3152" t="s">
        <v>4594</v>
      </c>
      <c r="B3152" t="s">
        <v>6791</v>
      </c>
    </row>
    <row r="3153" spans="1:2" x14ac:dyDescent="0.25">
      <c r="A3153" t="s">
        <v>8025</v>
      </c>
      <c r="B3153" t="s">
        <v>6791</v>
      </c>
    </row>
    <row r="3154" spans="1:2" x14ac:dyDescent="0.25">
      <c r="A3154" t="s">
        <v>4086</v>
      </c>
      <c r="B3154" t="s">
        <v>6791</v>
      </c>
    </row>
    <row r="3155" spans="1:2" x14ac:dyDescent="0.25">
      <c r="A3155" t="s">
        <v>1679</v>
      </c>
      <c r="B3155" t="s">
        <v>6791</v>
      </c>
    </row>
    <row r="3156" spans="1:2" x14ac:dyDescent="0.25">
      <c r="A3156" t="s">
        <v>262</v>
      </c>
      <c r="B3156" t="s">
        <v>6791</v>
      </c>
    </row>
    <row r="3157" spans="1:2" x14ac:dyDescent="0.25">
      <c r="A3157" t="s">
        <v>1680</v>
      </c>
      <c r="B3157" t="s">
        <v>6791</v>
      </c>
    </row>
    <row r="3158" spans="1:2" x14ac:dyDescent="0.25">
      <c r="A3158" t="s">
        <v>12027</v>
      </c>
      <c r="B3158" t="s">
        <v>6791</v>
      </c>
    </row>
    <row r="3159" spans="1:2" x14ac:dyDescent="0.25">
      <c r="A3159" t="s">
        <v>234</v>
      </c>
      <c r="B3159" t="s">
        <v>6791</v>
      </c>
    </row>
    <row r="3160" spans="1:2" x14ac:dyDescent="0.25">
      <c r="A3160" t="s">
        <v>2273</v>
      </c>
      <c r="B3160" t="s">
        <v>6791</v>
      </c>
    </row>
    <row r="3161" spans="1:2" x14ac:dyDescent="0.25">
      <c r="A3161" t="s">
        <v>14884</v>
      </c>
      <c r="B3161" t="s">
        <v>6791</v>
      </c>
    </row>
    <row r="3162" spans="1:2" x14ac:dyDescent="0.25">
      <c r="A3162" t="s">
        <v>14885</v>
      </c>
      <c r="B3162" t="s">
        <v>14884</v>
      </c>
    </row>
    <row r="3163" spans="1:2" x14ac:dyDescent="0.25">
      <c r="A3163" t="s">
        <v>14886</v>
      </c>
      <c r="B3163" t="s">
        <v>14885</v>
      </c>
    </row>
    <row r="3164" spans="1:2" x14ac:dyDescent="0.25">
      <c r="A3164" t="s">
        <v>14887</v>
      </c>
      <c r="B3164" t="s">
        <v>14886</v>
      </c>
    </row>
    <row r="3165" spans="1:2" x14ac:dyDescent="0.25">
      <c r="A3165" t="s">
        <v>14888</v>
      </c>
      <c r="B3165" t="s">
        <v>14887</v>
      </c>
    </row>
    <row r="3166" spans="1:2" x14ac:dyDescent="0.25">
      <c r="A3166" t="s">
        <v>14889</v>
      </c>
      <c r="B3166" t="s">
        <v>14887</v>
      </c>
    </row>
    <row r="3167" spans="1:2" x14ac:dyDescent="0.25">
      <c r="A3167" t="s">
        <v>14890</v>
      </c>
      <c r="B3167" t="s">
        <v>14887</v>
      </c>
    </row>
    <row r="3168" spans="1:2" x14ac:dyDescent="0.25">
      <c r="A3168" t="s">
        <v>14891</v>
      </c>
      <c r="B3168" t="s">
        <v>14887</v>
      </c>
    </row>
    <row r="3169" spans="1:2" x14ac:dyDescent="0.25">
      <c r="A3169" t="s">
        <v>14892</v>
      </c>
      <c r="B3169" t="s">
        <v>14885</v>
      </c>
    </row>
    <row r="3170" spans="1:2" x14ac:dyDescent="0.25">
      <c r="A3170" t="s">
        <v>14893</v>
      </c>
      <c r="B3170" t="s">
        <v>14892</v>
      </c>
    </row>
    <row r="3171" spans="1:2" x14ac:dyDescent="0.25">
      <c r="A3171" t="s">
        <v>14894</v>
      </c>
      <c r="B3171" t="s">
        <v>14893</v>
      </c>
    </row>
    <row r="3172" spans="1:2" x14ac:dyDescent="0.25">
      <c r="A3172" t="s">
        <v>14895</v>
      </c>
      <c r="B3172" t="s">
        <v>14893</v>
      </c>
    </row>
    <row r="3173" spans="1:2" x14ac:dyDescent="0.25">
      <c r="A3173" t="s">
        <v>14896</v>
      </c>
      <c r="B3173" t="s">
        <v>14893</v>
      </c>
    </row>
    <row r="3174" spans="1:2" x14ac:dyDescent="0.25">
      <c r="A3174" t="s">
        <v>14897</v>
      </c>
      <c r="B3174" t="s">
        <v>14893</v>
      </c>
    </row>
    <row r="3175" spans="1:2" x14ac:dyDescent="0.25">
      <c r="A3175" t="s">
        <v>14898</v>
      </c>
      <c r="B3175" t="s">
        <v>14884</v>
      </c>
    </row>
    <row r="3176" spans="1:2" x14ac:dyDescent="0.25">
      <c r="A3176" t="s">
        <v>14899</v>
      </c>
      <c r="B3176" t="s">
        <v>14898</v>
      </c>
    </row>
    <row r="3177" spans="1:2" x14ac:dyDescent="0.25">
      <c r="A3177" t="s">
        <v>14900</v>
      </c>
      <c r="B3177" t="s">
        <v>14898</v>
      </c>
    </row>
    <row r="3178" spans="1:2" x14ac:dyDescent="0.25">
      <c r="A3178" t="s">
        <v>14901</v>
      </c>
      <c r="B3178" t="s">
        <v>14898</v>
      </c>
    </row>
    <row r="3179" spans="1:2" x14ac:dyDescent="0.25">
      <c r="A3179" t="s">
        <v>14902</v>
      </c>
      <c r="B3179" t="s">
        <v>14884</v>
      </c>
    </row>
    <row r="3180" spans="1:2" x14ac:dyDescent="0.25">
      <c r="A3180" t="s">
        <v>14903</v>
      </c>
      <c r="B3180" t="s">
        <v>14902</v>
      </c>
    </row>
    <row r="3181" spans="1:2" x14ac:dyDescent="0.25">
      <c r="A3181" t="s">
        <v>14904</v>
      </c>
      <c r="B3181" t="s">
        <v>14902</v>
      </c>
    </row>
    <row r="3182" spans="1:2" x14ac:dyDescent="0.25">
      <c r="A3182" t="s">
        <v>14905</v>
      </c>
      <c r="B3182" t="s">
        <v>14902</v>
      </c>
    </row>
    <row r="3183" spans="1:2" x14ac:dyDescent="0.25">
      <c r="A3183" t="s">
        <v>14906</v>
      </c>
      <c r="B3183" t="s">
        <v>14902</v>
      </c>
    </row>
    <row r="3184" spans="1:2" x14ac:dyDescent="0.25">
      <c r="A3184" t="s">
        <v>14907</v>
      </c>
      <c r="B3184" t="s">
        <v>14884</v>
      </c>
    </row>
    <row r="3185" spans="1:2" x14ac:dyDescent="0.25">
      <c r="A3185" t="s">
        <v>14908</v>
      </c>
      <c r="B3185" t="s">
        <v>14884</v>
      </c>
    </row>
    <row r="3186" spans="1:2" x14ac:dyDescent="0.25">
      <c r="A3186" t="s">
        <v>3143</v>
      </c>
      <c r="B3186" t="s">
        <v>5851</v>
      </c>
    </row>
    <row r="3187" spans="1:2" x14ac:dyDescent="0.25">
      <c r="A3187" t="s">
        <v>10749</v>
      </c>
      <c r="B3187" t="s">
        <v>3143</v>
      </c>
    </row>
    <row r="3188" spans="1:2" x14ac:dyDescent="0.25">
      <c r="A3188" t="s">
        <v>15905</v>
      </c>
      <c r="B3188" t="s">
        <v>10749</v>
      </c>
    </row>
    <row r="3189" spans="1:2" x14ac:dyDescent="0.25">
      <c r="A3189" t="s">
        <v>15906</v>
      </c>
      <c r="B3189" t="s">
        <v>10749</v>
      </c>
    </row>
    <row r="3190" spans="1:2" x14ac:dyDescent="0.25">
      <c r="A3190" t="s">
        <v>15907</v>
      </c>
      <c r="B3190" t="s">
        <v>10749</v>
      </c>
    </row>
    <row r="3191" spans="1:2" x14ac:dyDescent="0.25">
      <c r="A3191" t="s">
        <v>15908</v>
      </c>
      <c r="B3191" t="s">
        <v>10749</v>
      </c>
    </row>
    <row r="3192" spans="1:2" x14ac:dyDescent="0.25">
      <c r="A3192" t="s">
        <v>15909</v>
      </c>
      <c r="B3192" t="s">
        <v>10749</v>
      </c>
    </row>
    <row r="3193" spans="1:2" x14ac:dyDescent="0.25">
      <c r="A3193" t="s">
        <v>15910</v>
      </c>
      <c r="B3193" t="s">
        <v>10749</v>
      </c>
    </row>
    <row r="3194" spans="1:2" x14ac:dyDescent="0.25">
      <c r="A3194" t="s">
        <v>15911</v>
      </c>
      <c r="B3194" t="s">
        <v>10749</v>
      </c>
    </row>
    <row r="3195" spans="1:2" x14ac:dyDescent="0.25">
      <c r="A3195" t="s">
        <v>4595</v>
      </c>
      <c r="B3195" t="s">
        <v>3143</v>
      </c>
    </row>
    <row r="3196" spans="1:2" x14ac:dyDescent="0.25">
      <c r="A3196" t="s">
        <v>8026</v>
      </c>
      <c r="B3196" t="s">
        <v>3143</v>
      </c>
    </row>
    <row r="3197" spans="1:2" x14ac:dyDescent="0.25">
      <c r="A3197" t="s">
        <v>4087</v>
      </c>
      <c r="B3197" t="s">
        <v>3143</v>
      </c>
    </row>
    <row r="3198" spans="1:2" x14ac:dyDescent="0.25">
      <c r="A3198" t="s">
        <v>1681</v>
      </c>
      <c r="B3198" t="s">
        <v>3143</v>
      </c>
    </row>
    <row r="3199" spans="1:2" x14ac:dyDescent="0.25">
      <c r="A3199" t="s">
        <v>263</v>
      </c>
      <c r="B3199" t="s">
        <v>3143</v>
      </c>
    </row>
    <row r="3200" spans="1:2" x14ac:dyDescent="0.25">
      <c r="A3200" t="s">
        <v>1682</v>
      </c>
      <c r="B3200" t="s">
        <v>3143</v>
      </c>
    </row>
    <row r="3201" spans="1:2" x14ac:dyDescent="0.25">
      <c r="A3201" t="s">
        <v>12028</v>
      </c>
      <c r="B3201" t="s">
        <v>3143</v>
      </c>
    </row>
    <row r="3202" spans="1:2" x14ac:dyDescent="0.25">
      <c r="A3202" t="s">
        <v>15912</v>
      </c>
      <c r="B3202" t="s">
        <v>12028</v>
      </c>
    </row>
    <row r="3203" spans="1:2" x14ac:dyDescent="0.25">
      <c r="A3203" t="s">
        <v>15913</v>
      </c>
      <c r="B3203" t="s">
        <v>12028</v>
      </c>
    </row>
    <row r="3204" spans="1:2" x14ac:dyDescent="0.25">
      <c r="A3204" t="s">
        <v>491</v>
      </c>
      <c r="B3204" t="s">
        <v>3143</v>
      </c>
    </row>
    <row r="3205" spans="1:2" x14ac:dyDescent="0.25">
      <c r="A3205" t="s">
        <v>8542</v>
      </c>
      <c r="B3205" t="s">
        <v>3143</v>
      </c>
    </row>
    <row r="3206" spans="1:2" x14ac:dyDescent="0.25">
      <c r="A3206" t="s">
        <v>5471</v>
      </c>
      <c r="B3206" t="s">
        <v>5851</v>
      </c>
    </row>
    <row r="3207" spans="1:2" x14ac:dyDescent="0.25">
      <c r="A3207" t="s">
        <v>11089</v>
      </c>
      <c r="B3207" t="s">
        <v>5471</v>
      </c>
    </row>
    <row r="3208" spans="1:2" x14ac:dyDescent="0.25">
      <c r="A3208" t="s">
        <v>10750</v>
      </c>
      <c r="B3208" t="s">
        <v>11089</v>
      </c>
    </row>
    <row r="3209" spans="1:2" x14ac:dyDescent="0.25">
      <c r="A3209" t="s">
        <v>4596</v>
      </c>
      <c r="B3209" t="s">
        <v>11089</v>
      </c>
    </row>
    <row r="3210" spans="1:2" x14ac:dyDescent="0.25">
      <c r="A3210" t="s">
        <v>8027</v>
      </c>
      <c r="B3210" t="s">
        <v>11089</v>
      </c>
    </row>
    <row r="3211" spans="1:2" x14ac:dyDescent="0.25">
      <c r="A3211" t="s">
        <v>4088</v>
      </c>
      <c r="B3211" t="s">
        <v>11089</v>
      </c>
    </row>
    <row r="3212" spans="1:2" x14ac:dyDescent="0.25">
      <c r="A3212" t="s">
        <v>1683</v>
      </c>
      <c r="B3212" t="s">
        <v>11089</v>
      </c>
    </row>
    <row r="3213" spans="1:2" x14ac:dyDescent="0.25">
      <c r="A3213" t="s">
        <v>264</v>
      </c>
      <c r="B3213" t="s">
        <v>11089</v>
      </c>
    </row>
    <row r="3214" spans="1:2" x14ac:dyDescent="0.25">
      <c r="A3214" t="s">
        <v>1684</v>
      </c>
      <c r="B3214" t="s">
        <v>11089</v>
      </c>
    </row>
    <row r="3215" spans="1:2" x14ac:dyDescent="0.25">
      <c r="A3215" t="s">
        <v>12029</v>
      </c>
      <c r="B3215" t="s">
        <v>11089</v>
      </c>
    </row>
    <row r="3216" spans="1:2" x14ac:dyDescent="0.25">
      <c r="A3216" t="s">
        <v>10262</v>
      </c>
      <c r="B3216" t="s">
        <v>5471</v>
      </c>
    </row>
    <row r="3217" spans="1:2" x14ac:dyDescent="0.25">
      <c r="A3217" t="s">
        <v>10770</v>
      </c>
      <c r="B3217" t="s">
        <v>10262</v>
      </c>
    </row>
    <row r="3218" spans="1:2" x14ac:dyDescent="0.25">
      <c r="A3218" t="s">
        <v>4614</v>
      </c>
      <c r="B3218" t="s">
        <v>10262</v>
      </c>
    </row>
    <row r="3219" spans="1:2" x14ac:dyDescent="0.25">
      <c r="A3219" t="s">
        <v>8051</v>
      </c>
      <c r="B3219" t="s">
        <v>10262</v>
      </c>
    </row>
    <row r="3220" spans="1:2" x14ac:dyDescent="0.25">
      <c r="A3220" t="s">
        <v>4100</v>
      </c>
      <c r="B3220" t="s">
        <v>10262</v>
      </c>
    </row>
    <row r="3221" spans="1:2" x14ac:dyDescent="0.25">
      <c r="A3221" t="s">
        <v>1700</v>
      </c>
      <c r="B3221" t="s">
        <v>10262</v>
      </c>
    </row>
    <row r="3222" spans="1:2" x14ac:dyDescent="0.25">
      <c r="A3222" t="s">
        <v>277</v>
      </c>
      <c r="B3222" t="s">
        <v>10262</v>
      </c>
    </row>
    <row r="3223" spans="1:2" x14ac:dyDescent="0.25">
      <c r="A3223" t="s">
        <v>1701</v>
      </c>
      <c r="B3223" t="s">
        <v>10262</v>
      </c>
    </row>
    <row r="3224" spans="1:2" x14ac:dyDescent="0.25">
      <c r="A3224" t="s">
        <v>12048</v>
      </c>
      <c r="B3224" t="s">
        <v>10262</v>
      </c>
    </row>
    <row r="3225" spans="1:2" x14ac:dyDescent="0.25">
      <c r="A3225" t="s">
        <v>11644</v>
      </c>
      <c r="B3225" t="s">
        <v>5471</v>
      </c>
    </row>
    <row r="3226" spans="1:2" x14ac:dyDescent="0.25">
      <c r="A3226" t="s">
        <v>10771</v>
      </c>
      <c r="B3226" t="s">
        <v>11644</v>
      </c>
    </row>
    <row r="3227" spans="1:2" x14ac:dyDescent="0.25">
      <c r="A3227" t="s">
        <v>4615</v>
      </c>
      <c r="B3227" t="s">
        <v>11644</v>
      </c>
    </row>
    <row r="3228" spans="1:2" x14ac:dyDescent="0.25">
      <c r="A3228" t="s">
        <v>8052</v>
      </c>
      <c r="B3228" t="s">
        <v>11644</v>
      </c>
    </row>
    <row r="3229" spans="1:2" x14ac:dyDescent="0.25">
      <c r="A3229" t="s">
        <v>4101</v>
      </c>
      <c r="B3229" t="s">
        <v>11644</v>
      </c>
    </row>
    <row r="3230" spans="1:2" x14ac:dyDescent="0.25">
      <c r="A3230" t="s">
        <v>1702</v>
      </c>
      <c r="B3230" t="s">
        <v>11644</v>
      </c>
    </row>
    <row r="3231" spans="1:2" x14ac:dyDescent="0.25">
      <c r="A3231" t="s">
        <v>278</v>
      </c>
      <c r="B3231" t="s">
        <v>11644</v>
      </c>
    </row>
    <row r="3232" spans="1:2" x14ac:dyDescent="0.25">
      <c r="A3232" t="s">
        <v>1703</v>
      </c>
      <c r="B3232" t="s">
        <v>11644</v>
      </c>
    </row>
    <row r="3233" spans="1:2" x14ac:dyDescent="0.25">
      <c r="A3233" t="s">
        <v>12049</v>
      </c>
      <c r="B3233" t="s">
        <v>11644</v>
      </c>
    </row>
    <row r="3234" spans="1:2" x14ac:dyDescent="0.25">
      <c r="A3234" t="s">
        <v>10263</v>
      </c>
      <c r="B3234" t="s">
        <v>5471</v>
      </c>
    </row>
    <row r="3235" spans="1:2" x14ac:dyDescent="0.25">
      <c r="A3235" t="s">
        <v>10772</v>
      </c>
      <c r="B3235" t="s">
        <v>10263</v>
      </c>
    </row>
    <row r="3236" spans="1:2" x14ac:dyDescent="0.25">
      <c r="A3236" t="s">
        <v>4616</v>
      </c>
      <c r="B3236" t="s">
        <v>10263</v>
      </c>
    </row>
    <row r="3237" spans="1:2" x14ac:dyDescent="0.25">
      <c r="A3237" t="s">
        <v>8053</v>
      </c>
      <c r="B3237" t="s">
        <v>10263</v>
      </c>
    </row>
    <row r="3238" spans="1:2" x14ac:dyDescent="0.25">
      <c r="A3238" t="s">
        <v>4102</v>
      </c>
      <c r="B3238" t="s">
        <v>10263</v>
      </c>
    </row>
    <row r="3239" spans="1:2" x14ac:dyDescent="0.25">
      <c r="A3239" t="s">
        <v>1704</v>
      </c>
      <c r="B3239" t="s">
        <v>10263</v>
      </c>
    </row>
    <row r="3240" spans="1:2" x14ac:dyDescent="0.25">
      <c r="A3240" t="s">
        <v>279</v>
      </c>
      <c r="B3240" t="s">
        <v>10263</v>
      </c>
    </row>
    <row r="3241" spans="1:2" x14ac:dyDescent="0.25">
      <c r="A3241" t="s">
        <v>1705</v>
      </c>
      <c r="B3241" t="s">
        <v>10263</v>
      </c>
    </row>
    <row r="3242" spans="1:2" x14ac:dyDescent="0.25">
      <c r="A3242" t="s">
        <v>12050</v>
      </c>
      <c r="B3242" t="s">
        <v>10263</v>
      </c>
    </row>
    <row r="3243" spans="1:2" x14ac:dyDescent="0.25">
      <c r="A3243" t="s">
        <v>11422</v>
      </c>
      <c r="B3243" t="s">
        <v>5471</v>
      </c>
    </row>
    <row r="3244" spans="1:2" x14ac:dyDescent="0.25">
      <c r="A3244" t="s">
        <v>10773</v>
      </c>
      <c r="B3244" t="s">
        <v>11422</v>
      </c>
    </row>
    <row r="3245" spans="1:2" x14ac:dyDescent="0.25">
      <c r="A3245" t="s">
        <v>4617</v>
      </c>
      <c r="B3245" t="s">
        <v>11422</v>
      </c>
    </row>
    <row r="3246" spans="1:2" x14ac:dyDescent="0.25">
      <c r="A3246" t="s">
        <v>8054</v>
      </c>
      <c r="B3246" t="s">
        <v>11422</v>
      </c>
    </row>
    <row r="3247" spans="1:2" x14ac:dyDescent="0.25">
      <c r="A3247" t="s">
        <v>4103</v>
      </c>
      <c r="B3247" t="s">
        <v>11422</v>
      </c>
    </row>
    <row r="3248" spans="1:2" x14ac:dyDescent="0.25">
      <c r="A3248" t="s">
        <v>1706</v>
      </c>
      <c r="B3248" t="s">
        <v>11422</v>
      </c>
    </row>
    <row r="3249" spans="1:2" x14ac:dyDescent="0.25">
      <c r="A3249" t="s">
        <v>280</v>
      </c>
      <c r="B3249" t="s">
        <v>11422</v>
      </c>
    </row>
    <row r="3250" spans="1:2" x14ac:dyDescent="0.25">
      <c r="A3250" t="s">
        <v>1707</v>
      </c>
      <c r="B3250" t="s">
        <v>11422</v>
      </c>
    </row>
    <row r="3251" spans="1:2" x14ac:dyDescent="0.25">
      <c r="A3251" t="s">
        <v>12051</v>
      </c>
      <c r="B3251" t="s">
        <v>11422</v>
      </c>
    </row>
    <row r="3252" spans="1:2" x14ac:dyDescent="0.25">
      <c r="A3252" t="s">
        <v>7420</v>
      </c>
      <c r="B3252" t="s">
        <v>5471</v>
      </c>
    </row>
    <row r="3253" spans="1:2" x14ac:dyDescent="0.25">
      <c r="A3253" t="s">
        <v>10774</v>
      </c>
      <c r="B3253" t="s">
        <v>7420</v>
      </c>
    </row>
    <row r="3254" spans="1:2" x14ac:dyDescent="0.25">
      <c r="A3254" t="s">
        <v>4618</v>
      </c>
      <c r="B3254" t="s">
        <v>7420</v>
      </c>
    </row>
    <row r="3255" spans="1:2" x14ac:dyDescent="0.25">
      <c r="A3255" t="s">
        <v>8055</v>
      </c>
      <c r="B3255" t="s">
        <v>7420</v>
      </c>
    </row>
    <row r="3256" spans="1:2" x14ac:dyDescent="0.25">
      <c r="A3256" t="s">
        <v>4104</v>
      </c>
      <c r="B3256" t="s">
        <v>7420</v>
      </c>
    </row>
    <row r="3257" spans="1:2" x14ac:dyDescent="0.25">
      <c r="A3257" t="s">
        <v>1708</v>
      </c>
      <c r="B3257" t="s">
        <v>7420</v>
      </c>
    </row>
    <row r="3258" spans="1:2" x14ac:dyDescent="0.25">
      <c r="A3258" t="s">
        <v>281</v>
      </c>
      <c r="B3258" t="s">
        <v>7420</v>
      </c>
    </row>
    <row r="3259" spans="1:2" x14ac:dyDescent="0.25">
      <c r="A3259" t="s">
        <v>2275</v>
      </c>
      <c r="B3259" t="s">
        <v>7420</v>
      </c>
    </row>
    <row r="3260" spans="1:2" x14ac:dyDescent="0.25">
      <c r="A3260" t="s">
        <v>12052</v>
      </c>
      <c r="B3260" t="s">
        <v>7420</v>
      </c>
    </row>
    <row r="3261" spans="1:2" x14ac:dyDescent="0.25">
      <c r="A3261" t="s">
        <v>4105</v>
      </c>
      <c r="B3261" t="s">
        <v>5471</v>
      </c>
    </row>
    <row r="3262" spans="1:2" x14ac:dyDescent="0.25">
      <c r="A3262" t="s">
        <v>5420</v>
      </c>
      <c r="B3262" t="s">
        <v>5471</v>
      </c>
    </row>
    <row r="3263" spans="1:2" x14ac:dyDescent="0.25">
      <c r="A3263" t="s">
        <v>72</v>
      </c>
      <c r="B3263" t="s">
        <v>5471</v>
      </c>
    </row>
    <row r="3264" spans="1:2" x14ac:dyDescent="0.25">
      <c r="A3264" t="s">
        <v>13344</v>
      </c>
      <c r="B3264" t="s">
        <v>5471</v>
      </c>
    </row>
    <row r="3265" spans="1:2" x14ac:dyDescent="0.25">
      <c r="A3265" t="s">
        <v>15914</v>
      </c>
      <c r="B3265" t="s">
        <v>5471</v>
      </c>
    </row>
    <row r="3266" spans="1:2" x14ac:dyDescent="0.25">
      <c r="A3266" t="s">
        <v>15915</v>
      </c>
      <c r="B3266" t="s">
        <v>15914</v>
      </c>
    </row>
    <row r="3267" spans="1:2" x14ac:dyDescent="0.25">
      <c r="A3267" t="s">
        <v>15916</v>
      </c>
      <c r="B3267" t="s">
        <v>15915</v>
      </c>
    </row>
    <row r="3268" spans="1:2" x14ac:dyDescent="0.25">
      <c r="A3268" t="s">
        <v>15917</v>
      </c>
      <c r="B3268" t="s">
        <v>15916</v>
      </c>
    </row>
    <row r="3269" spans="1:2" x14ac:dyDescent="0.25">
      <c r="A3269" t="s">
        <v>15918</v>
      </c>
      <c r="B3269" t="s">
        <v>15917</v>
      </c>
    </row>
    <row r="3270" spans="1:2" x14ac:dyDescent="0.25">
      <c r="A3270" t="s">
        <v>15919</v>
      </c>
      <c r="B3270" t="s">
        <v>15917</v>
      </c>
    </row>
    <row r="3271" spans="1:2" x14ac:dyDescent="0.25">
      <c r="A3271" t="s">
        <v>15920</v>
      </c>
      <c r="B3271" t="s">
        <v>15917</v>
      </c>
    </row>
    <row r="3272" spans="1:2" x14ac:dyDescent="0.25">
      <c r="A3272" t="s">
        <v>15921</v>
      </c>
      <c r="B3272" t="s">
        <v>15917</v>
      </c>
    </row>
    <row r="3273" spans="1:2" x14ac:dyDescent="0.25">
      <c r="A3273" t="s">
        <v>15922</v>
      </c>
      <c r="B3273" t="s">
        <v>15917</v>
      </c>
    </row>
    <row r="3274" spans="1:2" x14ac:dyDescent="0.25">
      <c r="A3274" t="s">
        <v>15923</v>
      </c>
      <c r="B3274" t="s">
        <v>15917</v>
      </c>
    </row>
    <row r="3275" spans="1:2" x14ac:dyDescent="0.25">
      <c r="A3275" t="s">
        <v>15924</v>
      </c>
      <c r="B3275" t="s">
        <v>15917</v>
      </c>
    </row>
    <row r="3276" spans="1:2" x14ac:dyDescent="0.25">
      <c r="A3276" t="s">
        <v>15925</v>
      </c>
      <c r="B3276" t="s">
        <v>15915</v>
      </c>
    </row>
    <row r="3277" spans="1:2" x14ac:dyDescent="0.25">
      <c r="A3277" t="s">
        <v>15926</v>
      </c>
      <c r="B3277" t="s">
        <v>15925</v>
      </c>
    </row>
    <row r="3278" spans="1:2" x14ac:dyDescent="0.25">
      <c r="A3278" t="s">
        <v>15927</v>
      </c>
      <c r="B3278" t="s">
        <v>15926</v>
      </c>
    </row>
    <row r="3279" spans="1:2" x14ac:dyDescent="0.25">
      <c r="A3279" t="s">
        <v>15928</v>
      </c>
      <c r="B3279" t="s">
        <v>15926</v>
      </c>
    </row>
    <row r="3280" spans="1:2" x14ac:dyDescent="0.25">
      <c r="A3280" t="s">
        <v>15929</v>
      </c>
      <c r="B3280" t="s">
        <v>15926</v>
      </c>
    </row>
    <row r="3281" spans="1:2" x14ac:dyDescent="0.25">
      <c r="A3281" t="s">
        <v>15930</v>
      </c>
      <c r="B3281" t="s">
        <v>15926</v>
      </c>
    </row>
    <row r="3282" spans="1:2" x14ac:dyDescent="0.25">
      <c r="A3282" t="s">
        <v>15931</v>
      </c>
      <c r="B3282" t="s">
        <v>15926</v>
      </c>
    </row>
    <row r="3283" spans="1:2" x14ac:dyDescent="0.25">
      <c r="A3283" t="s">
        <v>15932</v>
      </c>
      <c r="B3283" t="s">
        <v>15926</v>
      </c>
    </row>
    <row r="3284" spans="1:2" x14ac:dyDescent="0.25">
      <c r="A3284" t="s">
        <v>15933</v>
      </c>
      <c r="B3284" t="s">
        <v>15926</v>
      </c>
    </row>
    <row r="3285" spans="1:2" x14ac:dyDescent="0.25">
      <c r="A3285" t="s">
        <v>15934</v>
      </c>
      <c r="B3285" t="s">
        <v>15925</v>
      </c>
    </row>
    <row r="3286" spans="1:2" x14ac:dyDescent="0.25">
      <c r="A3286" t="s">
        <v>15935</v>
      </c>
      <c r="B3286" t="s">
        <v>15934</v>
      </c>
    </row>
    <row r="3287" spans="1:2" x14ac:dyDescent="0.25">
      <c r="A3287" t="s">
        <v>15936</v>
      </c>
      <c r="B3287" t="s">
        <v>15934</v>
      </c>
    </row>
    <row r="3288" spans="1:2" x14ac:dyDescent="0.25">
      <c r="A3288" t="s">
        <v>15937</v>
      </c>
      <c r="B3288" t="s">
        <v>15934</v>
      </c>
    </row>
    <row r="3289" spans="1:2" x14ac:dyDescent="0.25">
      <c r="A3289" t="s">
        <v>15938</v>
      </c>
      <c r="B3289" t="s">
        <v>15934</v>
      </c>
    </row>
    <row r="3290" spans="1:2" x14ac:dyDescent="0.25">
      <c r="A3290" t="s">
        <v>15939</v>
      </c>
      <c r="B3290" t="s">
        <v>15934</v>
      </c>
    </row>
    <row r="3291" spans="1:2" x14ac:dyDescent="0.25">
      <c r="A3291" t="s">
        <v>15940</v>
      </c>
      <c r="B3291" t="s">
        <v>15934</v>
      </c>
    </row>
    <row r="3292" spans="1:2" x14ac:dyDescent="0.25">
      <c r="A3292" t="s">
        <v>15941</v>
      </c>
      <c r="B3292" t="s">
        <v>15934</v>
      </c>
    </row>
    <row r="3293" spans="1:2" x14ac:dyDescent="0.25">
      <c r="A3293" t="s">
        <v>15942</v>
      </c>
      <c r="B3293" t="s">
        <v>15925</v>
      </c>
    </row>
    <row r="3294" spans="1:2" x14ac:dyDescent="0.25">
      <c r="A3294" t="s">
        <v>15943</v>
      </c>
      <c r="B3294" t="s">
        <v>15942</v>
      </c>
    </row>
    <row r="3295" spans="1:2" x14ac:dyDescent="0.25">
      <c r="A3295" t="s">
        <v>15944</v>
      </c>
      <c r="B3295" t="s">
        <v>15942</v>
      </c>
    </row>
    <row r="3296" spans="1:2" x14ac:dyDescent="0.25">
      <c r="A3296" t="s">
        <v>15945</v>
      </c>
      <c r="B3296" t="s">
        <v>15942</v>
      </c>
    </row>
    <row r="3297" spans="1:2" x14ac:dyDescent="0.25">
      <c r="A3297" t="s">
        <v>15946</v>
      </c>
      <c r="B3297" t="s">
        <v>15942</v>
      </c>
    </row>
    <row r="3298" spans="1:2" x14ac:dyDescent="0.25">
      <c r="A3298" t="s">
        <v>15947</v>
      </c>
      <c r="B3298" t="s">
        <v>15942</v>
      </c>
    </row>
    <row r="3299" spans="1:2" x14ac:dyDescent="0.25">
      <c r="A3299" t="s">
        <v>15948</v>
      </c>
      <c r="B3299" t="s">
        <v>15942</v>
      </c>
    </row>
    <row r="3300" spans="1:2" x14ac:dyDescent="0.25">
      <c r="A3300" t="s">
        <v>15949</v>
      </c>
      <c r="B3300" t="s">
        <v>15942</v>
      </c>
    </row>
    <row r="3301" spans="1:2" x14ac:dyDescent="0.25">
      <c r="A3301" t="s">
        <v>15950</v>
      </c>
      <c r="B3301" t="s">
        <v>15914</v>
      </c>
    </row>
    <row r="3302" spans="1:2" x14ac:dyDescent="0.25">
      <c r="A3302" t="s">
        <v>15951</v>
      </c>
      <c r="B3302" t="s">
        <v>15950</v>
      </c>
    </row>
    <row r="3303" spans="1:2" x14ac:dyDescent="0.25">
      <c r="A3303" t="s">
        <v>15952</v>
      </c>
      <c r="B3303" t="s">
        <v>15950</v>
      </c>
    </row>
    <row r="3304" spans="1:2" x14ac:dyDescent="0.25">
      <c r="A3304" t="s">
        <v>15953</v>
      </c>
      <c r="B3304" t="s">
        <v>15950</v>
      </c>
    </row>
    <row r="3305" spans="1:2" x14ac:dyDescent="0.25">
      <c r="A3305" t="s">
        <v>15954</v>
      </c>
      <c r="B3305" t="s">
        <v>15914</v>
      </c>
    </row>
    <row r="3306" spans="1:2" x14ac:dyDescent="0.25">
      <c r="A3306" t="s">
        <v>15955</v>
      </c>
      <c r="B3306" t="s">
        <v>15954</v>
      </c>
    </row>
    <row r="3307" spans="1:2" x14ac:dyDescent="0.25">
      <c r="A3307" t="s">
        <v>15956</v>
      </c>
      <c r="B3307" t="s">
        <v>15954</v>
      </c>
    </row>
    <row r="3308" spans="1:2" x14ac:dyDescent="0.25">
      <c r="A3308" t="s">
        <v>15957</v>
      </c>
      <c r="B3308" t="s">
        <v>15954</v>
      </c>
    </row>
    <row r="3309" spans="1:2" x14ac:dyDescent="0.25">
      <c r="A3309" t="s">
        <v>15958</v>
      </c>
      <c r="B3309" t="s">
        <v>15914</v>
      </c>
    </row>
    <row r="3310" spans="1:2" x14ac:dyDescent="0.25">
      <c r="A3310" t="s">
        <v>15959</v>
      </c>
      <c r="B3310" t="s">
        <v>5471</v>
      </c>
    </row>
    <row r="3311" spans="1:2" x14ac:dyDescent="0.25">
      <c r="A3311" t="s">
        <v>8937</v>
      </c>
      <c r="B3311" t="s">
        <v>5851</v>
      </c>
    </row>
    <row r="3312" spans="1:2" x14ac:dyDescent="0.25">
      <c r="A3312" t="s">
        <v>10751</v>
      </c>
      <c r="B3312" t="s">
        <v>8937</v>
      </c>
    </row>
    <row r="3313" spans="1:2" x14ac:dyDescent="0.25">
      <c r="A3313" t="s">
        <v>4597</v>
      </c>
      <c r="B3313" t="s">
        <v>8937</v>
      </c>
    </row>
    <row r="3314" spans="1:2" x14ac:dyDescent="0.25">
      <c r="A3314" t="s">
        <v>8028</v>
      </c>
      <c r="B3314" t="s">
        <v>8937</v>
      </c>
    </row>
    <row r="3315" spans="1:2" x14ac:dyDescent="0.25">
      <c r="A3315" t="s">
        <v>4089</v>
      </c>
      <c r="B3315" t="s">
        <v>8937</v>
      </c>
    </row>
    <row r="3316" spans="1:2" x14ac:dyDescent="0.25">
      <c r="A3316" t="s">
        <v>1685</v>
      </c>
      <c r="B3316" t="s">
        <v>8937</v>
      </c>
    </row>
    <row r="3317" spans="1:2" x14ac:dyDescent="0.25">
      <c r="A3317" t="s">
        <v>265</v>
      </c>
      <c r="B3317" t="s">
        <v>8937</v>
      </c>
    </row>
    <row r="3318" spans="1:2" x14ac:dyDescent="0.25">
      <c r="A3318" t="s">
        <v>1686</v>
      </c>
      <c r="B3318" t="s">
        <v>8937</v>
      </c>
    </row>
    <row r="3319" spans="1:2" x14ac:dyDescent="0.25">
      <c r="A3319" t="s">
        <v>12030</v>
      </c>
      <c r="B3319" t="s">
        <v>8937</v>
      </c>
    </row>
    <row r="3320" spans="1:2" x14ac:dyDescent="0.25">
      <c r="A3320" t="s">
        <v>4963</v>
      </c>
      <c r="B3320" t="s">
        <v>8937</v>
      </c>
    </row>
    <row r="3321" spans="1:2" x14ac:dyDescent="0.25">
      <c r="A3321" t="s">
        <v>8543</v>
      </c>
      <c r="B3321" t="s">
        <v>8937</v>
      </c>
    </row>
    <row r="3322" spans="1:2" x14ac:dyDescent="0.25">
      <c r="A3322" t="s">
        <v>15960</v>
      </c>
      <c r="B3322" t="s">
        <v>8937</v>
      </c>
    </row>
    <row r="3323" spans="1:2" x14ac:dyDescent="0.25">
      <c r="A3323" t="s">
        <v>15961</v>
      </c>
      <c r="B3323" t="s">
        <v>15960</v>
      </c>
    </row>
    <row r="3324" spans="1:2" x14ac:dyDescent="0.25">
      <c r="A3324" t="s">
        <v>15962</v>
      </c>
      <c r="B3324" t="s">
        <v>15961</v>
      </c>
    </row>
    <row r="3325" spans="1:2" x14ac:dyDescent="0.25">
      <c r="A3325" t="s">
        <v>15963</v>
      </c>
      <c r="B3325" t="s">
        <v>15962</v>
      </c>
    </row>
    <row r="3326" spans="1:2" x14ac:dyDescent="0.25">
      <c r="A3326" t="s">
        <v>15964</v>
      </c>
      <c r="B3326" t="s">
        <v>15963</v>
      </c>
    </row>
    <row r="3327" spans="1:2" x14ac:dyDescent="0.25">
      <c r="A3327" t="s">
        <v>15965</v>
      </c>
      <c r="B3327" t="s">
        <v>15963</v>
      </c>
    </row>
    <row r="3328" spans="1:2" x14ac:dyDescent="0.25">
      <c r="A3328" t="s">
        <v>15966</v>
      </c>
      <c r="B3328" t="s">
        <v>15963</v>
      </c>
    </row>
    <row r="3329" spans="1:2" x14ac:dyDescent="0.25">
      <c r="A3329" t="s">
        <v>15967</v>
      </c>
      <c r="B3329" t="s">
        <v>15963</v>
      </c>
    </row>
    <row r="3330" spans="1:2" x14ac:dyDescent="0.25">
      <c r="A3330" t="s">
        <v>15968</v>
      </c>
      <c r="B3330" t="s">
        <v>15961</v>
      </c>
    </row>
    <row r="3331" spans="1:2" x14ac:dyDescent="0.25">
      <c r="A3331" t="s">
        <v>15969</v>
      </c>
      <c r="B3331" t="s">
        <v>15968</v>
      </c>
    </row>
    <row r="3332" spans="1:2" x14ac:dyDescent="0.25">
      <c r="A3332" t="s">
        <v>15970</v>
      </c>
      <c r="B3332" t="s">
        <v>15969</v>
      </c>
    </row>
    <row r="3333" spans="1:2" x14ac:dyDescent="0.25">
      <c r="A3333" t="s">
        <v>15971</v>
      </c>
      <c r="B3333" t="s">
        <v>15969</v>
      </c>
    </row>
    <row r="3334" spans="1:2" x14ac:dyDescent="0.25">
      <c r="A3334" t="s">
        <v>15972</v>
      </c>
      <c r="B3334" t="s">
        <v>15969</v>
      </c>
    </row>
    <row r="3335" spans="1:2" x14ac:dyDescent="0.25">
      <c r="A3335" t="s">
        <v>15973</v>
      </c>
      <c r="B3335" t="s">
        <v>15969</v>
      </c>
    </row>
    <row r="3336" spans="1:2" x14ac:dyDescent="0.25">
      <c r="A3336" t="s">
        <v>15974</v>
      </c>
      <c r="B3336" t="s">
        <v>15968</v>
      </c>
    </row>
    <row r="3337" spans="1:2" x14ac:dyDescent="0.25">
      <c r="A3337" t="s">
        <v>15975</v>
      </c>
      <c r="B3337" t="s">
        <v>15974</v>
      </c>
    </row>
    <row r="3338" spans="1:2" x14ac:dyDescent="0.25">
      <c r="A3338" t="s">
        <v>15976</v>
      </c>
      <c r="B3338" t="s">
        <v>15974</v>
      </c>
    </row>
    <row r="3339" spans="1:2" x14ac:dyDescent="0.25">
      <c r="A3339" t="s">
        <v>15977</v>
      </c>
      <c r="B3339" t="s">
        <v>15974</v>
      </c>
    </row>
    <row r="3340" spans="1:2" x14ac:dyDescent="0.25">
      <c r="A3340" t="s">
        <v>15978</v>
      </c>
      <c r="B3340" t="s">
        <v>15974</v>
      </c>
    </row>
    <row r="3341" spans="1:2" x14ac:dyDescent="0.25">
      <c r="A3341" t="s">
        <v>15979</v>
      </c>
      <c r="B3341" t="s">
        <v>15960</v>
      </c>
    </row>
    <row r="3342" spans="1:2" x14ac:dyDescent="0.25">
      <c r="A3342" t="s">
        <v>15980</v>
      </c>
      <c r="B3342" t="s">
        <v>15979</v>
      </c>
    </row>
    <row r="3343" spans="1:2" x14ac:dyDescent="0.25">
      <c r="A3343" t="s">
        <v>15981</v>
      </c>
      <c r="B3343" t="s">
        <v>15979</v>
      </c>
    </row>
    <row r="3344" spans="1:2" x14ac:dyDescent="0.25">
      <c r="A3344" t="s">
        <v>15982</v>
      </c>
      <c r="B3344" t="s">
        <v>15979</v>
      </c>
    </row>
    <row r="3345" spans="1:2" x14ac:dyDescent="0.25">
      <c r="A3345" t="s">
        <v>15983</v>
      </c>
      <c r="B3345" t="s">
        <v>15960</v>
      </c>
    </row>
    <row r="3346" spans="1:2" x14ac:dyDescent="0.25">
      <c r="A3346" t="s">
        <v>15984</v>
      </c>
      <c r="B3346" t="s">
        <v>15983</v>
      </c>
    </row>
    <row r="3347" spans="1:2" x14ac:dyDescent="0.25">
      <c r="A3347" t="s">
        <v>15985</v>
      </c>
      <c r="B3347" t="s">
        <v>15983</v>
      </c>
    </row>
    <row r="3348" spans="1:2" x14ac:dyDescent="0.25">
      <c r="A3348" t="s">
        <v>15986</v>
      </c>
      <c r="B3348" t="s">
        <v>15983</v>
      </c>
    </row>
    <row r="3349" spans="1:2" x14ac:dyDescent="0.25">
      <c r="A3349" t="s">
        <v>15987</v>
      </c>
      <c r="B3349" t="s">
        <v>15983</v>
      </c>
    </row>
    <row r="3350" spans="1:2" x14ac:dyDescent="0.25">
      <c r="A3350" t="s">
        <v>15988</v>
      </c>
      <c r="B3350" t="s">
        <v>15960</v>
      </c>
    </row>
    <row r="3351" spans="1:2" x14ac:dyDescent="0.25">
      <c r="A3351" t="s">
        <v>15989</v>
      </c>
      <c r="B3351" t="s">
        <v>15988</v>
      </c>
    </row>
    <row r="3352" spans="1:2" x14ac:dyDescent="0.25">
      <c r="A3352" t="s">
        <v>15990</v>
      </c>
      <c r="B3352" t="s">
        <v>15988</v>
      </c>
    </row>
    <row r="3353" spans="1:2" x14ac:dyDescent="0.25">
      <c r="A3353" t="s">
        <v>15991</v>
      </c>
      <c r="B3353" t="s">
        <v>15988</v>
      </c>
    </row>
    <row r="3354" spans="1:2" x14ac:dyDescent="0.25">
      <c r="A3354" t="s">
        <v>15992</v>
      </c>
      <c r="B3354" t="s">
        <v>15960</v>
      </c>
    </row>
    <row r="3355" spans="1:2" x14ac:dyDescent="0.25">
      <c r="A3355" t="s">
        <v>15993</v>
      </c>
      <c r="B3355" t="s">
        <v>8937</v>
      </c>
    </row>
    <row r="3356" spans="1:2" x14ac:dyDescent="0.25">
      <c r="A3356" t="s">
        <v>3580</v>
      </c>
      <c r="B3356" t="s">
        <v>5851</v>
      </c>
    </row>
    <row r="3357" spans="1:2" x14ac:dyDescent="0.25">
      <c r="A3357" t="s">
        <v>15994</v>
      </c>
      <c r="B3357" t="s">
        <v>3580</v>
      </c>
    </row>
    <row r="3358" spans="1:2" x14ac:dyDescent="0.25">
      <c r="A3358" t="s">
        <v>15995</v>
      </c>
      <c r="B3358" t="s">
        <v>15994</v>
      </c>
    </row>
    <row r="3359" spans="1:2" x14ac:dyDescent="0.25">
      <c r="A3359" t="s">
        <v>15996</v>
      </c>
      <c r="B3359" t="s">
        <v>15995</v>
      </c>
    </row>
    <row r="3360" spans="1:2" x14ac:dyDescent="0.25">
      <c r="A3360" t="s">
        <v>15997</v>
      </c>
      <c r="B3360" t="s">
        <v>15996</v>
      </c>
    </row>
    <row r="3361" spans="1:2" x14ac:dyDescent="0.25">
      <c r="A3361" t="s">
        <v>15998</v>
      </c>
      <c r="B3361" t="s">
        <v>15997</v>
      </c>
    </row>
    <row r="3362" spans="1:2" x14ac:dyDescent="0.25">
      <c r="A3362" t="s">
        <v>15999</v>
      </c>
      <c r="B3362" t="s">
        <v>15997</v>
      </c>
    </row>
    <row r="3363" spans="1:2" x14ac:dyDescent="0.25">
      <c r="A3363" t="s">
        <v>16000</v>
      </c>
      <c r="B3363" t="s">
        <v>15997</v>
      </c>
    </row>
    <row r="3364" spans="1:2" x14ac:dyDescent="0.25">
      <c r="A3364" t="s">
        <v>16001</v>
      </c>
      <c r="B3364" t="s">
        <v>15997</v>
      </c>
    </row>
    <row r="3365" spans="1:2" x14ac:dyDescent="0.25">
      <c r="A3365" t="s">
        <v>16002</v>
      </c>
      <c r="B3365" t="s">
        <v>15994</v>
      </c>
    </row>
    <row r="3366" spans="1:2" x14ac:dyDescent="0.25">
      <c r="A3366" t="s">
        <v>16003</v>
      </c>
      <c r="B3366" t="s">
        <v>16002</v>
      </c>
    </row>
    <row r="3367" spans="1:2" x14ac:dyDescent="0.25">
      <c r="A3367" t="s">
        <v>16004</v>
      </c>
      <c r="B3367" t="s">
        <v>16002</v>
      </c>
    </row>
    <row r="3368" spans="1:2" x14ac:dyDescent="0.25">
      <c r="A3368" t="s">
        <v>16005</v>
      </c>
      <c r="B3368" t="s">
        <v>16002</v>
      </c>
    </row>
    <row r="3369" spans="1:2" x14ac:dyDescent="0.25">
      <c r="A3369" t="s">
        <v>16006</v>
      </c>
      <c r="B3369" t="s">
        <v>15994</v>
      </c>
    </row>
    <row r="3370" spans="1:2" x14ac:dyDescent="0.25">
      <c r="A3370" t="s">
        <v>16007</v>
      </c>
      <c r="B3370" t="s">
        <v>16006</v>
      </c>
    </row>
    <row r="3371" spans="1:2" x14ac:dyDescent="0.25">
      <c r="A3371" t="s">
        <v>16008</v>
      </c>
      <c r="B3371" t="s">
        <v>15994</v>
      </c>
    </row>
    <row r="3372" spans="1:2" x14ac:dyDescent="0.25">
      <c r="A3372" t="s">
        <v>16009</v>
      </c>
      <c r="B3372" t="s">
        <v>15994</v>
      </c>
    </row>
    <row r="3373" spans="1:2" x14ac:dyDescent="0.25">
      <c r="A3373" t="s">
        <v>16010</v>
      </c>
      <c r="B3373" t="s">
        <v>16009</v>
      </c>
    </row>
    <row r="3374" spans="1:2" x14ac:dyDescent="0.25">
      <c r="A3374" t="s">
        <v>16011</v>
      </c>
      <c r="B3374" t="s">
        <v>16009</v>
      </c>
    </row>
    <row r="3375" spans="1:2" x14ac:dyDescent="0.25">
      <c r="A3375" t="s">
        <v>16012</v>
      </c>
      <c r="B3375" t="s">
        <v>16009</v>
      </c>
    </row>
    <row r="3376" spans="1:2" x14ac:dyDescent="0.25">
      <c r="A3376" t="s">
        <v>16013</v>
      </c>
      <c r="B3376" t="s">
        <v>3580</v>
      </c>
    </row>
    <row r="3377" spans="1:2" x14ac:dyDescent="0.25">
      <c r="A3377" t="s">
        <v>10752</v>
      </c>
      <c r="B3377" t="s">
        <v>16013</v>
      </c>
    </row>
    <row r="3378" spans="1:2" x14ac:dyDescent="0.25">
      <c r="A3378" t="s">
        <v>4598</v>
      </c>
      <c r="B3378" t="s">
        <v>16013</v>
      </c>
    </row>
    <row r="3379" spans="1:2" x14ac:dyDescent="0.25">
      <c r="A3379" t="s">
        <v>8029</v>
      </c>
      <c r="B3379" t="s">
        <v>16013</v>
      </c>
    </row>
    <row r="3380" spans="1:2" x14ac:dyDescent="0.25">
      <c r="A3380" t="s">
        <v>4090</v>
      </c>
      <c r="B3380" t="s">
        <v>16013</v>
      </c>
    </row>
    <row r="3381" spans="1:2" x14ac:dyDescent="0.25">
      <c r="A3381" t="s">
        <v>1687</v>
      </c>
      <c r="B3381" t="s">
        <v>16013</v>
      </c>
    </row>
    <row r="3382" spans="1:2" x14ac:dyDescent="0.25">
      <c r="A3382" t="s">
        <v>266</v>
      </c>
      <c r="B3382" t="s">
        <v>16013</v>
      </c>
    </row>
    <row r="3383" spans="1:2" x14ac:dyDescent="0.25">
      <c r="A3383" t="s">
        <v>1688</v>
      </c>
      <c r="B3383" t="s">
        <v>16013</v>
      </c>
    </row>
    <row r="3384" spans="1:2" x14ac:dyDescent="0.25">
      <c r="A3384" t="s">
        <v>12031</v>
      </c>
      <c r="B3384" t="s">
        <v>16013</v>
      </c>
    </row>
    <row r="3385" spans="1:2" x14ac:dyDescent="0.25">
      <c r="A3385" t="s">
        <v>8035</v>
      </c>
      <c r="B3385" t="s">
        <v>16013</v>
      </c>
    </row>
    <row r="3386" spans="1:2" x14ac:dyDescent="0.25">
      <c r="A3386" t="s">
        <v>4053</v>
      </c>
      <c r="B3386" t="s">
        <v>16013</v>
      </c>
    </row>
    <row r="3387" spans="1:2" x14ac:dyDescent="0.25">
      <c r="A3387" t="s">
        <v>3144</v>
      </c>
      <c r="B3387" t="s">
        <v>5851</v>
      </c>
    </row>
    <row r="3388" spans="1:2" x14ac:dyDescent="0.25">
      <c r="A3388" t="s">
        <v>16014</v>
      </c>
      <c r="B3388" t="s">
        <v>3144</v>
      </c>
    </row>
    <row r="3389" spans="1:2" x14ac:dyDescent="0.25">
      <c r="A3389" t="s">
        <v>16015</v>
      </c>
      <c r="B3389" t="s">
        <v>16014</v>
      </c>
    </row>
    <row r="3390" spans="1:2" x14ac:dyDescent="0.25">
      <c r="A3390" t="s">
        <v>16016</v>
      </c>
      <c r="B3390" t="s">
        <v>16015</v>
      </c>
    </row>
    <row r="3391" spans="1:2" x14ac:dyDescent="0.25">
      <c r="A3391" t="s">
        <v>16017</v>
      </c>
      <c r="B3391" t="s">
        <v>16016</v>
      </c>
    </row>
    <row r="3392" spans="1:2" x14ac:dyDescent="0.25">
      <c r="A3392" t="s">
        <v>16018</v>
      </c>
      <c r="B3392" t="s">
        <v>16017</v>
      </c>
    </row>
    <row r="3393" spans="1:2" x14ac:dyDescent="0.25">
      <c r="A3393" t="s">
        <v>16019</v>
      </c>
      <c r="B3393" t="s">
        <v>16017</v>
      </c>
    </row>
    <row r="3394" spans="1:2" x14ac:dyDescent="0.25">
      <c r="A3394" t="s">
        <v>16020</v>
      </c>
      <c r="B3394" t="s">
        <v>16017</v>
      </c>
    </row>
    <row r="3395" spans="1:2" x14ac:dyDescent="0.25">
      <c r="A3395" t="s">
        <v>16021</v>
      </c>
      <c r="B3395" t="s">
        <v>16017</v>
      </c>
    </row>
    <row r="3396" spans="1:2" x14ac:dyDescent="0.25">
      <c r="A3396" t="s">
        <v>16022</v>
      </c>
      <c r="B3396" t="s">
        <v>16014</v>
      </c>
    </row>
    <row r="3397" spans="1:2" x14ac:dyDescent="0.25">
      <c r="A3397" t="s">
        <v>16023</v>
      </c>
      <c r="B3397" t="s">
        <v>16022</v>
      </c>
    </row>
    <row r="3398" spans="1:2" x14ac:dyDescent="0.25">
      <c r="A3398" t="s">
        <v>16024</v>
      </c>
      <c r="B3398" t="s">
        <v>16022</v>
      </c>
    </row>
    <row r="3399" spans="1:2" x14ac:dyDescent="0.25">
      <c r="A3399" t="s">
        <v>16025</v>
      </c>
      <c r="B3399" t="s">
        <v>16022</v>
      </c>
    </row>
    <row r="3400" spans="1:2" x14ac:dyDescent="0.25">
      <c r="A3400" t="s">
        <v>16026</v>
      </c>
      <c r="B3400" t="s">
        <v>16014</v>
      </c>
    </row>
    <row r="3401" spans="1:2" x14ac:dyDescent="0.25">
      <c r="A3401" t="s">
        <v>16027</v>
      </c>
      <c r="B3401" t="s">
        <v>16026</v>
      </c>
    </row>
    <row r="3402" spans="1:2" x14ac:dyDescent="0.25">
      <c r="A3402" t="s">
        <v>16028</v>
      </c>
      <c r="B3402" t="s">
        <v>16014</v>
      </c>
    </row>
    <row r="3403" spans="1:2" x14ac:dyDescent="0.25">
      <c r="A3403" t="s">
        <v>16029</v>
      </c>
      <c r="B3403" t="s">
        <v>16014</v>
      </c>
    </row>
    <row r="3404" spans="1:2" x14ac:dyDescent="0.25">
      <c r="A3404" t="s">
        <v>16030</v>
      </c>
      <c r="B3404" t="s">
        <v>16029</v>
      </c>
    </row>
    <row r="3405" spans="1:2" x14ac:dyDescent="0.25">
      <c r="A3405" t="s">
        <v>16031</v>
      </c>
      <c r="B3405" t="s">
        <v>16029</v>
      </c>
    </row>
    <row r="3406" spans="1:2" x14ac:dyDescent="0.25">
      <c r="A3406" t="s">
        <v>16032</v>
      </c>
      <c r="B3406" t="s">
        <v>16029</v>
      </c>
    </row>
    <row r="3407" spans="1:2" x14ac:dyDescent="0.25">
      <c r="A3407" t="s">
        <v>16033</v>
      </c>
      <c r="B3407" t="s">
        <v>3144</v>
      </c>
    </row>
    <row r="3408" spans="1:2" x14ac:dyDescent="0.25">
      <c r="A3408" t="s">
        <v>10753</v>
      </c>
      <c r="B3408" t="s">
        <v>16033</v>
      </c>
    </row>
    <row r="3409" spans="1:2" x14ac:dyDescent="0.25">
      <c r="A3409" t="s">
        <v>4599</v>
      </c>
      <c r="B3409" t="s">
        <v>16033</v>
      </c>
    </row>
    <row r="3410" spans="1:2" x14ac:dyDescent="0.25">
      <c r="A3410" t="s">
        <v>8030</v>
      </c>
      <c r="B3410" t="s">
        <v>16033</v>
      </c>
    </row>
    <row r="3411" spans="1:2" x14ac:dyDescent="0.25">
      <c r="A3411" t="s">
        <v>4091</v>
      </c>
      <c r="B3411" t="s">
        <v>16033</v>
      </c>
    </row>
    <row r="3412" spans="1:2" x14ac:dyDescent="0.25">
      <c r="A3412" t="s">
        <v>1689</v>
      </c>
      <c r="B3412" t="s">
        <v>16033</v>
      </c>
    </row>
    <row r="3413" spans="1:2" x14ac:dyDescent="0.25">
      <c r="A3413" t="s">
        <v>267</v>
      </c>
      <c r="B3413" t="s">
        <v>16033</v>
      </c>
    </row>
    <row r="3414" spans="1:2" x14ac:dyDescent="0.25">
      <c r="A3414" t="s">
        <v>1690</v>
      </c>
      <c r="B3414" t="s">
        <v>16033</v>
      </c>
    </row>
    <row r="3415" spans="1:2" x14ac:dyDescent="0.25">
      <c r="A3415" t="s">
        <v>12032</v>
      </c>
      <c r="B3415" t="s">
        <v>16033</v>
      </c>
    </row>
    <row r="3416" spans="1:2" x14ac:dyDescent="0.25">
      <c r="A3416" t="s">
        <v>7408</v>
      </c>
      <c r="B3416" t="s">
        <v>16033</v>
      </c>
    </row>
    <row r="3417" spans="1:2" x14ac:dyDescent="0.25">
      <c r="A3417" t="s">
        <v>233</v>
      </c>
      <c r="B3417" t="s">
        <v>16033</v>
      </c>
    </row>
    <row r="3418" spans="1:2" x14ac:dyDescent="0.25">
      <c r="A3418" t="s">
        <v>3581</v>
      </c>
      <c r="B3418" t="s">
        <v>5851</v>
      </c>
    </row>
    <row r="3419" spans="1:2" x14ac:dyDescent="0.25">
      <c r="A3419" t="s">
        <v>10754</v>
      </c>
      <c r="B3419" t="s">
        <v>3581</v>
      </c>
    </row>
    <row r="3420" spans="1:2" x14ac:dyDescent="0.25">
      <c r="A3420" t="s">
        <v>4600</v>
      </c>
      <c r="B3420" t="s">
        <v>3581</v>
      </c>
    </row>
    <row r="3421" spans="1:2" x14ac:dyDescent="0.25">
      <c r="A3421" t="s">
        <v>8031</v>
      </c>
      <c r="B3421" t="s">
        <v>3581</v>
      </c>
    </row>
    <row r="3422" spans="1:2" x14ac:dyDescent="0.25">
      <c r="A3422" t="s">
        <v>4092</v>
      </c>
      <c r="B3422" t="s">
        <v>3581</v>
      </c>
    </row>
    <row r="3423" spans="1:2" x14ac:dyDescent="0.25">
      <c r="A3423" t="s">
        <v>1691</v>
      </c>
      <c r="B3423" t="s">
        <v>3581</v>
      </c>
    </row>
    <row r="3424" spans="1:2" x14ac:dyDescent="0.25">
      <c r="A3424" t="s">
        <v>268</v>
      </c>
      <c r="B3424" t="s">
        <v>3581</v>
      </c>
    </row>
    <row r="3425" spans="1:2" x14ac:dyDescent="0.25">
      <c r="A3425" t="s">
        <v>1692</v>
      </c>
      <c r="B3425" t="s">
        <v>3581</v>
      </c>
    </row>
    <row r="3426" spans="1:2" x14ac:dyDescent="0.25">
      <c r="A3426" t="s">
        <v>12033</v>
      </c>
      <c r="B3426" t="s">
        <v>3581</v>
      </c>
    </row>
    <row r="3427" spans="1:2" x14ac:dyDescent="0.25">
      <c r="A3427" t="s">
        <v>4563</v>
      </c>
      <c r="B3427" t="s">
        <v>3581</v>
      </c>
    </row>
    <row r="3428" spans="1:2" x14ac:dyDescent="0.25">
      <c r="A3428" t="s">
        <v>5854</v>
      </c>
      <c r="B3428" t="s">
        <v>3581</v>
      </c>
    </row>
    <row r="3429" spans="1:2" x14ac:dyDescent="0.25">
      <c r="A3429" t="s">
        <v>16463</v>
      </c>
      <c r="B3429" t="s">
        <v>3581</v>
      </c>
    </row>
    <row r="3430" spans="1:2" x14ac:dyDescent="0.25">
      <c r="A3430" t="s">
        <v>16464</v>
      </c>
      <c r="B3430" t="s">
        <v>16463</v>
      </c>
    </row>
    <row r="3431" spans="1:2" x14ac:dyDescent="0.25">
      <c r="A3431" t="s">
        <v>16468</v>
      </c>
      <c r="B3431" t="s">
        <v>16464</v>
      </c>
    </row>
    <row r="3432" spans="1:2" x14ac:dyDescent="0.25">
      <c r="A3432" t="s">
        <v>16474</v>
      </c>
      <c r="B3432" t="s">
        <v>16468</v>
      </c>
    </row>
    <row r="3433" spans="1:2" x14ac:dyDescent="0.25">
      <c r="A3433" t="s">
        <v>16475</v>
      </c>
      <c r="B3433" t="s">
        <v>16474</v>
      </c>
    </row>
    <row r="3434" spans="1:2" x14ac:dyDescent="0.25">
      <c r="A3434" t="s">
        <v>16476</v>
      </c>
      <c r="B3434" t="s">
        <v>16474</v>
      </c>
    </row>
    <row r="3435" spans="1:2" x14ac:dyDescent="0.25">
      <c r="A3435" t="s">
        <v>16477</v>
      </c>
      <c r="B3435" t="s">
        <v>16474</v>
      </c>
    </row>
    <row r="3436" spans="1:2" x14ac:dyDescent="0.25">
      <c r="A3436" t="s">
        <v>16478</v>
      </c>
      <c r="B3436" t="s">
        <v>16474</v>
      </c>
    </row>
    <row r="3437" spans="1:2" x14ac:dyDescent="0.25">
      <c r="A3437" t="s">
        <v>16465</v>
      </c>
      <c r="B3437" t="s">
        <v>16463</v>
      </c>
    </row>
    <row r="3438" spans="1:2" x14ac:dyDescent="0.25">
      <c r="A3438" t="s">
        <v>16469</v>
      </c>
      <c r="B3438" t="s">
        <v>16465</v>
      </c>
    </row>
    <row r="3439" spans="1:2" x14ac:dyDescent="0.25">
      <c r="A3439" t="s">
        <v>16470</v>
      </c>
      <c r="B3439" t="s">
        <v>16465</v>
      </c>
    </row>
    <row r="3440" spans="1:2" x14ac:dyDescent="0.25">
      <c r="A3440" t="s">
        <v>16471</v>
      </c>
      <c r="B3440" t="s">
        <v>16465</v>
      </c>
    </row>
    <row r="3441" spans="1:2" x14ac:dyDescent="0.25">
      <c r="A3441" t="s">
        <v>16466</v>
      </c>
      <c r="B3441" t="s">
        <v>16463</v>
      </c>
    </row>
    <row r="3442" spans="1:2" x14ac:dyDescent="0.25">
      <c r="A3442" t="s">
        <v>16473</v>
      </c>
      <c r="B3442" t="s">
        <v>16466</v>
      </c>
    </row>
    <row r="3443" spans="1:2" x14ac:dyDescent="0.25">
      <c r="A3443" t="s">
        <v>16467</v>
      </c>
      <c r="B3443" t="s">
        <v>16463</v>
      </c>
    </row>
    <row r="3444" spans="1:2" x14ac:dyDescent="0.25">
      <c r="A3444" t="s">
        <v>16472</v>
      </c>
      <c r="B3444" t="s">
        <v>16467</v>
      </c>
    </row>
    <row r="3445" spans="1:2" x14ac:dyDescent="0.25">
      <c r="A3445" t="s">
        <v>16479</v>
      </c>
      <c r="B3445" t="s">
        <v>3581</v>
      </c>
    </row>
    <row r="3446" spans="1:2" x14ac:dyDescent="0.25">
      <c r="A3446" t="s">
        <v>11408</v>
      </c>
      <c r="B3446" t="s">
        <v>5851</v>
      </c>
    </row>
    <row r="3447" spans="1:2" x14ac:dyDescent="0.25">
      <c r="A3447" t="s">
        <v>9055</v>
      </c>
      <c r="B3447" t="s">
        <v>11408</v>
      </c>
    </row>
    <row r="3448" spans="1:2" x14ac:dyDescent="0.25">
      <c r="A3448" t="s">
        <v>10917</v>
      </c>
      <c r="B3448" t="s">
        <v>9055</v>
      </c>
    </row>
    <row r="3449" spans="1:2" x14ac:dyDescent="0.25">
      <c r="A3449" t="s">
        <v>11741</v>
      </c>
      <c r="B3449" t="s">
        <v>9055</v>
      </c>
    </row>
    <row r="3450" spans="1:2" x14ac:dyDescent="0.25">
      <c r="A3450" t="s">
        <v>9865</v>
      </c>
      <c r="B3450" t="s">
        <v>9055</v>
      </c>
    </row>
    <row r="3451" spans="1:2" x14ac:dyDescent="0.25">
      <c r="A3451" t="s">
        <v>11898</v>
      </c>
      <c r="B3451" t="s">
        <v>9055</v>
      </c>
    </row>
    <row r="3452" spans="1:2" x14ac:dyDescent="0.25">
      <c r="A3452" t="s">
        <v>12462</v>
      </c>
      <c r="B3452" t="s">
        <v>9055</v>
      </c>
    </row>
    <row r="3453" spans="1:2" x14ac:dyDescent="0.25">
      <c r="A3453" t="s">
        <v>11740</v>
      </c>
      <c r="B3453" t="s">
        <v>11408</v>
      </c>
    </row>
    <row r="3454" spans="1:2" x14ac:dyDescent="0.25">
      <c r="A3454" t="s">
        <v>9056</v>
      </c>
      <c r="B3454" t="s">
        <v>11408</v>
      </c>
    </row>
    <row r="3455" spans="1:2" x14ac:dyDescent="0.25">
      <c r="A3455" t="s">
        <v>12463</v>
      </c>
      <c r="B3455" t="s">
        <v>11408</v>
      </c>
    </row>
    <row r="3456" spans="1:2" x14ac:dyDescent="0.25">
      <c r="A3456" t="s">
        <v>12714</v>
      </c>
      <c r="B3456" t="s">
        <v>11408</v>
      </c>
    </row>
    <row r="3457" spans="1:2" x14ac:dyDescent="0.25">
      <c r="A3457" t="s">
        <v>11489</v>
      </c>
      <c r="B3457" t="s">
        <v>12714</v>
      </c>
    </row>
    <row r="3458" spans="1:2" x14ac:dyDescent="0.25">
      <c r="A3458" t="s">
        <v>10499</v>
      </c>
      <c r="B3458" t="s">
        <v>12714</v>
      </c>
    </row>
    <row r="3459" spans="1:2" x14ac:dyDescent="0.25">
      <c r="A3459" t="s">
        <v>5853</v>
      </c>
      <c r="B3459" t="s">
        <v>4076</v>
      </c>
    </row>
    <row r="3460" spans="1:2" x14ac:dyDescent="0.25">
      <c r="A3460" t="s">
        <v>13345</v>
      </c>
      <c r="B3460" t="s">
        <v>5853</v>
      </c>
    </row>
    <row r="3461" spans="1:2" x14ac:dyDescent="0.25">
      <c r="A3461" t="s">
        <v>1695</v>
      </c>
      <c r="B3461" t="s">
        <v>5853</v>
      </c>
    </row>
    <row r="3462" spans="1:2" x14ac:dyDescent="0.25">
      <c r="A3462" t="s">
        <v>10756</v>
      </c>
      <c r="B3462" t="s">
        <v>1695</v>
      </c>
    </row>
    <row r="3463" spans="1:2" x14ac:dyDescent="0.25">
      <c r="A3463" t="s">
        <v>4602</v>
      </c>
      <c r="B3463" t="s">
        <v>1695</v>
      </c>
    </row>
    <row r="3464" spans="1:2" x14ac:dyDescent="0.25">
      <c r="A3464" t="s">
        <v>8033</v>
      </c>
      <c r="B3464" t="s">
        <v>1695</v>
      </c>
    </row>
    <row r="3465" spans="1:2" x14ac:dyDescent="0.25">
      <c r="A3465" t="s">
        <v>4094</v>
      </c>
      <c r="B3465" t="s">
        <v>1695</v>
      </c>
    </row>
    <row r="3466" spans="1:2" x14ac:dyDescent="0.25">
      <c r="A3466" t="s">
        <v>1696</v>
      </c>
      <c r="B3466" t="s">
        <v>1695</v>
      </c>
    </row>
    <row r="3467" spans="1:2" x14ac:dyDescent="0.25">
      <c r="A3467" t="s">
        <v>504</v>
      </c>
      <c r="B3467" t="s">
        <v>1695</v>
      </c>
    </row>
    <row r="3468" spans="1:2" x14ac:dyDescent="0.25">
      <c r="A3468" t="s">
        <v>1697</v>
      </c>
      <c r="B3468" t="s">
        <v>1695</v>
      </c>
    </row>
    <row r="3469" spans="1:2" x14ac:dyDescent="0.25">
      <c r="A3469" t="s">
        <v>12035</v>
      </c>
      <c r="B3469" t="s">
        <v>1695</v>
      </c>
    </row>
    <row r="3470" spans="1:2" x14ac:dyDescent="0.25">
      <c r="A3470" t="s">
        <v>6792</v>
      </c>
      <c r="B3470" t="s">
        <v>1695</v>
      </c>
    </row>
    <row r="3471" spans="1:2" x14ac:dyDescent="0.25">
      <c r="A3471" t="s">
        <v>9730</v>
      </c>
      <c r="B3471" t="s">
        <v>5853</v>
      </c>
    </row>
    <row r="3472" spans="1:2" x14ac:dyDescent="0.25">
      <c r="A3472" t="s">
        <v>10757</v>
      </c>
      <c r="B3472" t="s">
        <v>9730</v>
      </c>
    </row>
    <row r="3473" spans="1:2" x14ac:dyDescent="0.25">
      <c r="A3473" t="s">
        <v>4603</v>
      </c>
      <c r="B3473" t="s">
        <v>9730</v>
      </c>
    </row>
    <row r="3474" spans="1:2" x14ac:dyDescent="0.25">
      <c r="A3474" t="s">
        <v>8034</v>
      </c>
      <c r="B3474" t="s">
        <v>9730</v>
      </c>
    </row>
    <row r="3475" spans="1:2" x14ac:dyDescent="0.25">
      <c r="A3475" t="s">
        <v>4095</v>
      </c>
      <c r="B3475" t="s">
        <v>9730</v>
      </c>
    </row>
    <row r="3476" spans="1:2" x14ac:dyDescent="0.25">
      <c r="A3476" t="s">
        <v>1698</v>
      </c>
      <c r="B3476" t="s">
        <v>9730</v>
      </c>
    </row>
    <row r="3477" spans="1:2" x14ac:dyDescent="0.25">
      <c r="A3477" t="s">
        <v>270</v>
      </c>
      <c r="B3477" t="s">
        <v>9730</v>
      </c>
    </row>
    <row r="3478" spans="1:2" x14ac:dyDescent="0.25">
      <c r="A3478" t="s">
        <v>1699</v>
      </c>
      <c r="B3478" t="s">
        <v>9730</v>
      </c>
    </row>
    <row r="3479" spans="1:2" x14ac:dyDescent="0.25">
      <c r="A3479" t="s">
        <v>12036</v>
      </c>
      <c r="B3479" t="s">
        <v>9730</v>
      </c>
    </row>
    <row r="3480" spans="1:2" x14ac:dyDescent="0.25">
      <c r="A3480" t="s">
        <v>5028</v>
      </c>
      <c r="B3480" t="s">
        <v>9730</v>
      </c>
    </row>
    <row r="3481" spans="1:2" x14ac:dyDescent="0.25">
      <c r="A3481" t="s">
        <v>5857</v>
      </c>
      <c r="B3481" t="s">
        <v>5853</v>
      </c>
    </row>
    <row r="3482" spans="1:2" x14ac:dyDescent="0.25">
      <c r="A3482" t="s">
        <v>6297</v>
      </c>
      <c r="B3482" t="s">
        <v>5857</v>
      </c>
    </row>
    <row r="3483" spans="1:2" x14ac:dyDescent="0.25">
      <c r="A3483" t="s">
        <v>4612</v>
      </c>
      <c r="B3483" t="s">
        <v>5857</v>
      </c>
    </row>
    <row r="3484" spans="1:2" x14ac:dyDescent="0.25">
      <c r="A3484" t="s">
        <v>8942</v>
      </c>
      <c r="B3484" t="s">
        <v>5857</v>
      </c>
    </row>
    <row r="3485" spans="1:2" x14ac:dyDescent="0.25">
      <c r="A3485" t="s">
        <v>8545</v>
      </c>
      <c r="B3485" t="s">
        <v>5857</v>
      </c>
    </row>
    <row r="3486" spans="1:2" x14ac:dyDescent="0.25">
      <c r="A3486" t="s">
        <v>5858</v>
      </c>
      <c r="B3486" t="s">
        <v>5857</v>
      </c>
    </row>
    <row r="3487" spans="1:2" x14ac:dyDescent="0.25">
      <c r="A3487" t="s">
        <v>3149</v>
      </c>
      <c r="B3487" t="s">
        <v>5857</v>
      </c>
    </row>
    <row r="3488" spans="1:2" x14ac:dyDescent="0.25">
      <c r="A3488" t="s">
        <v>6445</v>
      </c>
      <c r="B3488" t="s">
        <v>5853</v>
      </c>
    </row>
    <row r="3489" spans="1:2" x14ac:dyDescent="0.25">
      <c r="A3489" t="s">
        <v>11215</v>
      </c>
      <c r="B3489" t="s">
        <v>5853</v>
      </c>
    </row>
    <row r="3490" spans="1:2" x14ac:dyDescent="0.25">
      <c r="A3490" t="s">
        <v>12368</v>
      </c>
      <c r="B3490" t="s">
        <v>5853</v>
      </c>
    </row>
    <row r="3491" spans="1:2" x14ac:dyDescent="0.25">
      <c r="A3491" t="s">
        <v>13726</v>
      </c>
      <c r="B3491" t="s">
        <v>5853</v>
      </c>
    </row>
    <row r="3492" spans="1:2" x14ac:dyDescent="0.25">
      <c r="A3492" t="s">
        <v>73</v>
      </c>
      <c r="B3492" t="s">
        <v>5853</v>
      </c>
    </row>
    <row r="3493" spans="1:2" x14ac:dyDescent="0.25">
      <c r="A3493" t="s">
        <v>12578</v>
      </c>
      <c r="B3493" t="s">
        <v>4076</v>
      </c>
    </row>
    <row r="3494" spans="1:2" x14ac:dyDescent="0.25">
      <c r="A3494" t="s">
        <v>6446</v>
      </c>
      <c r="B3494" t="s">
        <v>12578</v>
      </c>
    </row>
    <row r="3495" spans="1:2" x14ac:dyDescent="0.25">
      <c r="A3495" t="s">
        <v>6447</v>
      </c>
      <c r="B3495" t="s">
        <v>12578</v>
      </c>
    </row>
    <row r="3496" spans="1:2" x14ac:dyDescent="0.25">
      <c r="A3496" t="s">
        <v>12614</v>
      </c>
      <c r="B3496" t="s">
        <v>6447</v>
      </c>
    </row>
    <row r="3497" spans="1:2" x14ac:dyDescent="0.25">
      <c r="A3497" t="s">
        <v>12892</v>
      </c>
      <c r="B3497" t="s">
        <v>6447</v>
      </c>
    </row>
    <row r="3498" spans="1:2" x14ac:dyDescent="0.25">
      <c r="A3498" t="s">
        <v>13346</v>
      </c>
      <c r="B3498" t="s">
        <v>6447</v>
      </c>
    </row>
    <row r="3499" spans="1:2" x14ac:dyDescent="0.25">
      <c r="A3499" t="s">
        <v>11216</v>
      </c>
      <c r="B3499" t="s">
        <v>12578</v>
      </c>
    </row>
    <row r="3500" spans="1:2" x14ac:dyDescent="0.25">
      <c r="A3500" t="s">
        <v>7404</v>
      </c>
      <c r="B3500" t="s">
        <v>4076</v>
      </c>
    </row>
    <row r="3501" spans="1:2" x14ac:dyDescent="0.25">
      <c r="A3501" t="s">
        <v>9057</v>
      </c>
      <c r="B3501" t="s">
        <v>7404</v>
      </c>
    </row>
    <row r="3502" spans="1:2" x14ac:dyDescent="0.25">
      <c r="A3502" t="s">
        <v>9058</v>
      </c>
      <c r="B3502" t="s">
        <v>7404</v>
      </c>
    </row>
    <row r="3503" spans="1:2" x14ac:dyDescent="0.25">
      <c r="A3503" t="s">
        <v>12464</v>
      </c>
      <c r="B3503" t="s">
        <v>7404</v>
      </c>
    </row>
    <row r="3504" spans="1:2" x14ac:dyDescent="0.25">
      <c r="A3504" t="s">
        <v>5472</v>
      </c>
      <c r="B3504" t="s">
        <v>4076</v>
      </c>
    </row>
    <row r="3505" spans="1:2" x14ac:dyDescent="0.25">
      <c r="A3505" t="s">
        <v>8671</v>
      </c>
      <c r="B3505" t="s">
        <v>5472</v>
      </c>
    </row>
    <row r="3506" spans="1:2" x14ac:dyDescent="0.25">
      <c r="A3506" t="s">
        <v>8672</v>
      </c>
      <c r="B3506" t="s">
        <v>5472</v>
      </c>
    </row>
    <row r="3507" spans="1:2" x14ac:dyDescent="0.25">
      <c r="A3507" t="s">
        <v>12258</v>
      </c>
      <c r="B3507" t="s">
        <v>5472</v>
      </c>
    </row>
    <row r="3508" spans="1:2" x14ac:dyDescent="0.25">
      <c r="A3508" t="s">
        <v>9731</v>
      </c>
      <c r="B3508" t="s">
        <v>4076</v>
      </c>
    </row>
    <row r="3509" spans="1:2" x14ac:dyDescent="0.25">
      <c r="A3509" t="s">
        <v>8548</v>
      </c>
      <c r="B3509" t="s">
        <v>4076</v>
      </c>
    </row>
    <row r="3510" spans="1:2" x14ac:dyDescent="0.25">
      <c r="A3510" t="s">
        <v>9059</v>
      </c>
      <c r="B3510" t="s">
        <v>8548</v>
      </c>
    </row>
    <row r="3511" spans="1:2" x14ac:dyDescent="0.25">
      <c r="A3511" t="s">
        <v>9060</v>
      </c>
      <c r="B3511" t="s">
        <v>8548</v>
      </c>
    </row>
    <row r="3512" spans="1:2" x14ac:dyDescent="0.25">
      <c r="A3512" t="s">
        <v>9866</v>
      </c>
      <c r="B3512" t="s">
        <v>9060</v>
      </c>
    </row>
    <row r="3513" spans="1:2" x14ac:dyDescent="0.25">
      <c r="A3513" t="s">
        <v>10918</v>
      </c>
      <c r="B3513" t="s">
        <v>9060</v>
      </c>
    </row>
    <row r="3514" spans="1:2" x14ac:dyDescent="0.25">
      <c r="A3514" t="s">
        <v>9507</v>
      </c>
      <c r="B3514" t="s">
        <v>9060</v>
      </c>
    </row>
    <row r="3515" spans="1:2" x14ac:dyDescent="0.25">
      <c r="A3515" t="s">
        <v>12465</v>
      </c>
      <c r="B3515" t="s">
        <v>8548</v>
      </c>
    </row>
    <row r="3516" spans="1:2" x14ac:dyDescent="0.25">
      <c r="A3516" t="s">
        <v>11217</v>
      </c>
      <c r="B3516" t="s">
        <v>12465</v>
      </c>
    </row>
    <row r="3517" spans="1:2" x14ac:dyDescent="0.25">
      <c r="A3517" t="s">
        <v>11218</v>
      </c>
      <c r="B3517" t="s">
        <v>12465</v>
      </c>
    </row>
    <row r="3518" spans="1:2" x14ac:dyDescent="0.25">
      <c r="A3518" t="s">
        <v>16034</v>
      </c>
      <c r="B3518" t="s">
        <v>4076</v>
      </c>
    </row>
    <row r="3519" spans="1:2" x14ac:dyDescent="0.25">
      <c r="A3519" t="s">
        <v>3584</v>
      </c>
      <c r="B3519" t="s">
        <v>12529</v>
      </c>
    </row>
    <row r="3520" spans="1:2" x14ac:dyDescent="0.25">
      <c r="A3520" t="s">
        <v>11083</v>
      </c>
      <c r="B3520" t="s">
        <v>3584</v>
      </c>
    </row>
    <row r="3521" spans="1:2" x14ac:dyDescent="0.25">
      <c r="A3521" t="s">
        <v>11857</v>
      </c>
      <c r="B3521" t="s">
        <v>11083</v>
      </c>
    </row>
    <row r="3522" spans="1:2" x14ac:dyDescent="0.25">
      <c r="A3522" t="s">
        <v>9328</v>
      </c>
      <c r="B3522" t="s">
        <v>11083</v>
      </c>
    </row>
    <row r="3523" spans="1:2" x14ac:dyDescent="0.25">
      <c r="A3523" t="s">
        <v>7409</v>
      </c>
      <c r="B3523" t="s">
        <v>11083</v>
      </c>
    </row>
    <row r="3524" spans="1:2" x14ac:dyDescent="0.25">
      <c r="A3524" t="s">
        <v>11635</v>
      </c>
      <c r="B3524" t="s">
        <v>11083</v>
      </c>
    </row>
    <row r="3525" spans="1:2" x14ac:dyDescent="0.25">
      <c r="A3525" t="s">
        <v>12580</v>
      </c>
      <c r="B3525" t="s">
        <v>11083</v>
      </c>
    </row>
    <row r="3526" spans="1:2" x14ac:dyDescent="0.25">
      <c r="A3526" t="s">
        <v>8940</v>
      </c>
      <c r="B3526" t="s">
        <v>11083</v>
      </c>
    </row>
    <row r="3527" spans="1:2" x14ac:dyDescent="0.25">
      <c r="A3527" t="s">
        <v>9732</v>
      </c>
      <c r="B3527" t="s">
        <v>11083</v>
      </c>
    </row>
    <row r="3528" spans="1:2" x14ac:dyDescent="0.25">
      <c r="A3528" t="s">
        <v>12039</v>
      </c>
      <c r="B3528" t="s">
        <v>11083</v>
      </c>
    </row>
    <row r="3529" spans="1:2" x14ac:dyDescent="0.25">
      <c r="A3529" t="s">
        <v>11410</v>
      </c>
      <c r="B3529" t="s">
        <v>11083</v>
      </c>
    </row>
    <row r="3530" spans="1:2" x14ac:dyDescent="0.25">
      <c r="A3530" t="s">
        <v>11636</v>
      </c>
      <c r="B3530" t="s">
        <v>11083</v>
      </c>
    </row>
    <row r="3531" spans="1:2" x14ac:dyDescent="0.25">
      <c r="A3531" t="s">
        <v>9329</v>
      </c>
      <c r="B3531" t="s">
        <v>11083</v>
      </c>
    </row>
    <row r="3532" spans="1:2" x14ac:dyDescent="0.25">
      <c r="A3532" t="s">
        <v>10252</v>
      </c>
      <c r="B3532" t="s">
        <v>11083</v>
      </c>
    </row>
    <row r="3533" spans="1:2" x14ac:dyDescent="0.25">
      <c r="A3533" t="s">
        <v>3145</v>
      </c>
      <c r="B3533" t="s">
        <v>11083</v>
      </c>
    </row>
    <row r="3534" spans="1:2" x14ac:dyDescent="0.25">
      <c r="A3534" t="s">
        <v>2682</v>
      </c>
      <c r="B3534" t="s">
        <v>11083</v>
      </c>
    </row>
    <row r="3535" spans="1:2" x14ac:dyDescent="0.25">
      <c r="A3535" t="s">
        <v>5476</v>
      </c>
      <c r="B3535" t="s">
        <v>11083</v>
      </c>
    </row>
    <row r="3536" spans="1:2" x14ac:dyDescent="0.25">
      <c r="A3536" t="s">
        <v>10253</v>
      </c>
      <c r="B3536" t="s">
        <v>11083</v>
      </c>
    </row>
    <row r="3537" spans="1:2" x14ac:dyDescent="0.25">
      <c r="A3537" t="s">
        <v>408</v>
      </c>
      <c r="B3537" t="s">
        <v>11083</v>
      </c>
    </row>
    <row r="3538" spans="1:2" x14ac:dyDescent="0.25">
      <c r="A3538" t="s">
        <v>2683</v>
      </c>
      <c r="B3538" t="s">
        <v>11083</v>
      </c>
    </row>
    <row r="3539" spans="1:2" x14ac:dyDescent="0.25">
      <c r="A3539" t="s">
        <v>2684</v>
      </c>
      <c r="B3539" t="s">
        <v>11083</v>
      </c>
    </row>
    <row r="3540" spans="1:2" x14ac:dyDescent="0.25">
      <c r="A3540" t="s">
        <v>11411</v>
      </c>
      <c r="B3540" t="s">
        <v>11083</v>
      </c>
    </row>
    <row r="3541" spans="1:2" x14ac:dyDescent="0.25">
      <c r="A3541" t="s">
        <v>10759</v>
      </c>
      <c r="B3541" t="s">
        <v>11083</v>
      </c>
    </row>
    <row r="3542" spans="1:2" x14ac:dyDescent="0.25">
      <c r="A3542" t="s">
        <v>5477</v>
      </c>
      <c r="B3542" t="s">
        <v>11083</v>
      </c>
    </row>
    <row r="3543" spans="1:2" x14ac:dyDescent="0.25">
      <c r="A3543" t="s">
        <v>2685</v>
      </c>
      <c r="B3543" t="s">
        <v>11083</v>
      </c>
    </row>
    <row r="3544" spans="1:2" x14ac:dyDescent="0.25">
      <c r="A3544" t="s">
        <v>11412</v>
      </c>
      <c r="B3544" t="s">
        <v>11083</v>
      </c>
    </row>
    <row r="3545" spans="1:2" x14ac:dyDescent="0.25">
      <c r="A3545" t="s">
        <v>3585</v>
      </c>
      <c r="B3545" t="s">
        <v>11083</v>
      </c>
    </row>
    <row r="3546" spans="1:2" x14ac:dyDescent="0.25">
      <c r="A3546" t="s">
        <v>9330</v>
      </c>
      <c r="B3546" t="s">
        <v>11083</v>
      </c>
    </row>
    <row r="3547" spans="1:2" x14ac:dyDescent="0.25">
      <c r="A3547" t="s">
        <v>12326</v>
      </c>
      <c r="B3547" t="s">
        <v>11083</v>
      </c>
    </row>
    <row r="3548" spans="1:2" x14ac:dyDescent="0.25">
      <c r="A3548" t="s">
        <v>8883</v>
      </c>
      <c r="B3548" t="s">
        <v>12326</v>
      </c>
    </row>
    <row r="3549" spans="1:2" x14ac:dyDescent="0.25">
      <c r="A3549" t="s">
        <v>12737</v>
      </c>
      <c r="B3549" t="s">
        <v>8883</v>
      </c>
    </row>
    <row r="3550" spans="1:2" x14ac:dyDescent="0.25">
      <c r="A3550" t="s">
        <v>4564</v>
      </c>
      <c r="B3550" t="s">
        <v>12737</v>
      </c>
    </row>
    <row r="3551" spans="1:2" x14ac:dyDescent="0.25">
      <c r="A3551" t="s">
        <v>12327</v>
      </c>
      <c r="B3551" t="s">
        <v>4564</v>
      </c>
    </row>
    <row r="3552" spans="1:2" x14ac:dyDescent="0.25">
      <c r="A3552" t="s">
        <v>10193</v>
      </c>
      <c r="B3552" t="s">
        <v>4564</v>
      </c>
    </row>
    <row r="3553" spans="1:2" x14ac:dyDescent="0.25">
      <c r="A3553" t="s">
        <v>11823</v>
      </c>
      <c r="B3553" t="s">
        <v>12737</v>
      </c>
    </row>
    <row r="3554" spans="1:2" x14ac:dyDescent="0.25">
      <c r="A3554" t="s">
        <v>493</v>
      </c>
      <c r="B3554" t="s">
        <v>12737</v>
      </c>
    </row>
    <row r="3555" spans="1:2" x14ac:dyDescent="0.25">
      <c r="A3555" t="s">
        <v>6750</v>
      </c>
      <c r="B3555" t="s">
        <v>493</v>
      </c>
    </row>
    <row r="3556" spans="1:2" x14ac:dyDescent="0.25">
      <c r="A3556" t="s">
        <v>8884</v>
      </c>
      <c r="B3556" t="s">
        <v>493</v>
      </c>
    </row>
    <row r="3557" spans="1:2" x14ac:dyDescent="0.25">
      <c r="A3557" t="s">
        <v>6245</v>
      </c>
      <c r="B3557" t="s">
        <v>493</v>
      </c>
    </row>
    <row r="3558" spans="1:2" x14ac:dyDescent="0.25">
      <c r="A3558" t="s">
        <v>11378</v>
      </c>
      <c r="B3558" t="s">
        <v>493</v>
      </c>
    </row>
    <row r="3559" spans="1:2" x14ac:dyDescent="0.25">
      <c r="A3559" t="s">
        <v>6246</v>
      </c>
      <c r="B3559" t="s">
        <v>493</v>
      </c>
    </row>
    <row r="3560" spans="1:2" x14ac:dyDescent="0.25">
      <c r="A3560" t="s">
        <v>5422</v>
      </c>
      <c r="B3560" t="s">
        <v>493</v>
      </c>
    </row>
    <row r="3561" spans="1:2" x14ac:dyDescent="0.25">
      <c r="A3561" t="s">
        <v>11604</v>
      </c>
      <c r="B3561" t="s">
        <v>493</v>
      </c>
    </row>
    <row r="3562" spans="1:2" x14ac:dyDescent="0.25">
      <c r="A3562" t="s">
        <v>13972</v>
      </c>
      <c r="B3562" t="s">
        <v>493</v>
      </c>
    </row>
    <row r="3563" spans="1:2" x14ac:dyDescent="0.25">
      <c r="A3563" t="s">
        <v>13973</v>
      </c>
      <c r="B3563" t="s">
        <v>493</v>
      </c>
    </row>
    <row r="3564" spans="1:2" x14ac:dyDescent="0.25">
      <c r="A3564" t="s">
        <v>13952</v>
      </c>
      <c r="B3564" t="s">
        <v>493</v>
      </c>
    </row>
    <row r="3565" spans="1:2" x14ac:dyDescent="0.25">
      <c r="A3565" t="s">
        <v>16035</v>
      </c>
      <c r="B3565" t="s">
        <v>493</v>
      </c>
    </row>
    <row r="3566" spans="1:2" x14ac:dyDescent="0.25">
      <c r="A3566" t="s">
        <v>7355</v>
      </c>
      <c r="B3566" t="s">
        <v>12737</v>
      </c>
    </row>
    <row r="3567" spans="1:2" x14ac:dyDescent="0.25">
      <c r="A3567" t="s">
        <v>11605</v>
      </c>
      <c r="B3567" t="s">
        <v>12737</v>
      </c>
    </row>
    <row r="3568" spans="1:2" x14ac:dyDescent="0.25">
      <c r="A3568" t="s">
        <v>12916</v>
      </c>
      <c r="B3568" t="s">
        <v>11605</v>
      </c>
    </row>
    <row r="3569" spans="1:2" x14ac:dyDescent="0.25">
      <c r="A3569" t="s">
        <v>12328</v>
      </c>
      <c r="B3569" t="s">
        <v>11605</v>
      </c>
    </row>
    <row r="3570" spans="1:2" x14ac:dyDescent="0.25">
      <c r="A3570" t="s">
        <v>11606</v>
      </c>
      <c r="B3570" t="s">
        <v>11605</v>
      </c>
    </row>
    <row r="3571" spans="1:2" x14ac:dyDescent="0.25">
      <c r="A3571" t="s">
        <v>8484</v>
      </c>
      <c r="B3571" t="s">
        <v>11605</v>
      </c>
    </row>
    <row r="3572" spans="1:2" x14ac:dyDescent="0.25">
      <c r="A3572" t="s">
        <v>8482</v>
      </c>
      <c r="B3572" t="s">
        <v>8883</v>
      </c>
    </row>
    <row r="3573" spans="1:2" x14ac:dyDescent="0.25">
      <c r="A3573" t="s">
        <v>9704</v>
      </c>
      <c r="B3573" t="s">
        <v>8482</v>
      </c>
    </row>
    <row r="3574" spans="1:2" x14ac:dyDescent="0.25">
      <c r="A3574" t="s">
        <v>3118</v>
      </c>
      <c r="B3574" t="s">
        <v>8482</v>
      </c>
    </row>
    <row r="3575" spans="1:2" x14ac:dyDescent="0.25">
      <c r="A3575" t="s">
        <v>12833</v>
      </c>
      <c r="B3575" t="s">
        <v>12326</v>
      </c>
    </row>
    <row r="3576" spans="1:2" x14ac:dyDescent="0.25">
      <c r="A3576" t="s">
        <v>12520</v>
      </c>
      <c r="B3576" t="s">
        <v>12833</v>
      </c>
    </row>
    <row r="3577" spans="1:2" x14ac:dyDescent="0.25">
      <c r="A3577" t="s">
        <v>12834</v>
      </c>
      <c r="B3577" t="s">
        <v>12520</v>
      </c>
    </row>
    <row r="3578" spans="1:2" x14ac:dyDescent="0.25">
      <c r="A3578" t="s">
        <v>12648</v>
      </c>
      <c r="B3578" t="s">
        <v>12520</v>
      </c>
    </row>
    <row r="3579" spans="1:2" x14ac:dyDescent="0.25">
      <c r="A3579" t="s">
        <v>12649</v>
      </c>
      <c r="B3579" t="s">
        <v>12520</v>
      </c>
    </row>
    <row r="3580" spans="1:2" x14ac:dyDescent="0.25">
      <c r="A3580" t="s">
        <v>12835</v>
      </c>
      <c r="B3580" t="s">
        <v>12520</v>
      </c>
    </row>
    <row r="3581" spans="1:2" x14ac:dyDescent="0.25">
      <c r="A3581" t="s">
        <v>12522</v>
      </c>
      <c r="B3581" t="s">
        <v>12520</v>
      </c>
    </row>
    <row r="3582" spans="1:2" x14ac:dyDescent="0.25">
      <c r="A3582" t="s">
        <v>12329</v>
      </c>
      <c r="B3582" t="s">
        <v>12520</v>
      </c>
    </row>
    <row r="3583" spans="1:2" x14ac:dyDescent="0.25">
      <c r="A3583" t="s">
        <v>12650</v>
      </c>
      <c r="B3583" t="s">
        <v>12520</v>
      </c>
    </row>
    <row r="3584" spans="1:2" x14ac:dyDescent="0.25">
      <c r="A3584" t="s">
        <v>13347</v>
      </c>
      <c r="B3584" t="s">
        <v>12650</v>
      </c>
    </row>
    <row r="3585" spans="1:2" x14ac:dyDescent="0.25">
      <c r="A3585" t="s">
        <v>12872</v>
      </c>
      <c r="B3585" t="s">
        <v>12650</v>
      </c>
    </row>
    <row r="3586" spans="1:2" x14ac:dyDescent="0.25">
      <c r="A3586" t="s">
        <v>8485</v>
      </c>
      <c r="B3586" t="s">
        <v>12520</v>
      </c>
    </row>
    <row r="3587" spans="1:2" x14ac:dyDescent="0.25">
      <c r="A3587" t="s">
        <v>7354</v>
      </c>
      <c r="B3587" t="s">
        <v>12833</v>
      </c>
    </row>
    <row r="3588" spans="1:2" x14ac:dyDescent="0.25">
      <c r="A3588" t="s">
        <v>12523</v>
      </c>
      <c r="B3588" t="s">
        <v>7354</v>
      </c>
    </row>
    <row r="3589" spans="1:2" x14ac:dyDescent="0.25">
      <c r="A3589" t="s">
        <v>12738</v>
      </c>
      <c r="B3589" t="s">
        <v>7354</v>
      </c>
    </row>
    <row r="3590" spans="1:2" x14ac:dyDescent="0.25">
      <c r="A3590" t="s">
        <v>12739</v>
      </c>
      <c r="B3590" t="s">
        <v>7354</v>
      </c>
    </row>
    <row r="3591" spans="1:2" x14ac:dyDescent="0.25">
      <c r="A3591" t="s">
        <v>11969</v>
      </c>
      <c r="B3591" t="s">
        <v>7354</v>
      </c>
    </row>
    <row r="3592" spans="1:2" x14ac:dyDescent="0.25">
      <c r="A3592" t="s">
        <v>12330</v>
      </c>
      <c r="B3592" t="s">
        <v>7354</v>
      </c>
    </row>
    <row r="3593" spans="1:2" x14ac:dyDescent="0.25">
      <c r="A3593" t="s">
        <v>12651</v>
      </c>
      <c r="B3593" t="s">
        <v>7354</v>
      </c>
    </row>
    <row r="3594" spans="1:2" x14ac:dyDescent="0.25">
      <c r="A3594" t="s">
        <v>11970</v>
      </c>
      <c r="B3594" t="s">
        <v>12651</v>
      </c>
    </row>
    <row r="3595" spans="1:2" x14ac:dyDescent="0.25">
      <c r="A3595" t="s">
        <v>11824</v>
      </c>
      <c r="B3595" t="s">
        <v>12651</v>
      </c>
    </row>
    <row r="3596" spans="1:2" x14ac:dyDescent="0.25">
      <c r="A3596" t="s">
        <v>10194</v>
      </c>
      <c r="B3596" t="s">
        <v>12651</v>
      </c>
    </row>
    <row r="3597" spans="1:2" x14ac:dyDescent="0.25">
      <c r="A3597" t="s">
        <v>8486</v>
      </c>
      <c r="B3597" t="s">
        <v>7354</v>
      </c>
    </row>
    <row r="3598" spans="1:2" x14ac:dyDescent="0.25">
      <c r="A3598" t="s">
        <v>10192</v>
      </c>
      <c r="B3598" t="s">
        <v>7354</v>
      </c>
    </row>
    <row r="3599" spans="1:2" x14ac:dyDescent="0.25">
      <c r="A3599" t="s">
        <v>8483</v>
      </c>
      <c r="B3599" t="s">
        <v>7354</v>
      </c>
    </row>
    <row r="3600" spans="1:2" x14ac:dyDescent="0.25">
      <c r="A3600" t="s">
        <v>11822</v>
      </c>
      <c r="B3600" t="s">
        <v>12833</v>
      </c>
    </row>
    <row r="3601" spans="1:2" x14ac:dyDescent="0.25">
      <c r="A3601" t="s">
        <v>8487</v>
      </c>
      <c r="B3601" t="s">
        <v>11822</v>
      </c>
    </row>
    <row r="3602" spans="1:2" x14ac:dyDescent="0.25">
      <c r="A3602" t="s">
        <v>8885</v>
      </c>
      <c r="B3602" t="s">
        <v>11822</v>
      </c>
    </row>
    <row r="3603" spans="1:2" x14ac:dyDescent="0.25">
      <c r="A3603" t="s">
        <v>12915</v>
      </c>
      <c r="B3603" t="s">
        <v>12326</v>
      </c>
    </row>
    <row r="3604" spans="1:2" x14ac:dyDescent="0.25">
      <c r="A3604" t="s">
        <v>11376</v>
      </c>
      <c r="B3604" t="s">
        <v>12915</v>
      </c>
    </row>
    <row r="3605" spans="1:2" x14ac:dyDescent="0.25">
      <c r="A3605" t="s">
        <v>12900</v>
      </c>
      <c r="B3605" t="s">
        <v>12326</v>
      </c>
    </row>
    <row r="3606" spans="1:2" x14ac:dyDescent="0.25">
      <c r="A3606" t="s">
        <v>12873</v>
      </c>
      <c r="B3606" t="s">
        <v>12900</v>
      </c>
    </row>
    <row r="3607" spans="1:2" x14ac:dyDescent="0.25">
      <c r="A3607" t="s">
        <v>11971</v>
      </c>
      <c r="B3607" t="s">
        <v>12900</v>
      </c>
    </row>
    <row r="3608" spans="1:2" x14ac:dyDescent="0.25">
      <c r="A3608" t="s">
        <v>11972</v>
      </c>
      <c r="B3608" t="s">
        <v>12900</v>
      </c>
    </row>
    <row r="3609" spans="1:2" x14ac:dyDescent="0.25">
      <c r="A3609" t="s">
        <v>11050</v>
      </c>
      <c r="B3609" t="s">
        <v>12900</v>
      </c>
    </row>
    <row r="3610" spans="1:2" x14ac:dyDescent="0.25">
      <c r="A3610" t="s">
        <v>9281</v>
      </c>
      <c r="B3610" t="s">
        <v>12900</v>
      </c>
    </row>
    <row r="3611" spans="1:2" x14ac:dyDescent="0.25">
      <c r="A3611" t="s">
        <v>12524</v>
      </c>
      <c r="B3611" t="s">
        <v>12900</v>
      </c>
    </row>
    <row r="3612" spans="1:2" x14ac:dyDescent="0.25">
      <c r="A3612" t="s">
        <v>6751</v>
      </c>
      <c r="B3612" t="s">
        <v>12900</v>
      </c>
    </row>
    <row r="3613" spans="1:2" x14ac:dyDescent="0.25">
      <c r="A3613" t="s">
        <v>11379</v>
      </c>
      <c r="B3613" t="s">
        <v>12900</v>
      </c>
    </row>
    <row r="3614" spans="1:2" x14ac:dyDescent="0.25">
      <c r="A3614" t="s">
        <v>11973</v>
      </c>
      <c r="B3614" t="s">
        <v>12900</v>
      </c>
    </row>
    <row r="3615" spans="1:2" x14ac:dyDescent="0.25">
      <c r="A3615" t="s">
        <v>10702</v>
      </c>
      <c r="B3615" t="s">
        <v>11973</v>
      </c>
    </row>
    <row r="3616" spans="1:2" x14ac:dyDescent="0.25">
      <c r="A3616" t="s">
        <v>12652</v>
      </c>
      <c r="B3616" t="s">
        <v>11973</v>
      </c>
    </row>
    <row r="3617" spans="1:2" x14ac:dyDescent="0.25">
      <c r="A3617" t="s">
        <v>11377</v>
      </c>
      <c r="B3617" t="s">
        <v>12652</v>
      </c>
    </row>
    <row r="3618" spans="1:2" x14ac:dyDescent="0.25">
      <c r="A3618" t="s">
        <v>12889</v>
      </c>
      <c r="B3618" t="s">
        <v>11973</v>
      </c>
    </row>
    <row r="3619" spans="1:2" x14ac:dyDescent="0.25">
      <c r="A3619" t="s">
        <v>9703</v>
      </c>
      <c r="B3619" t="s">
        <v>12326</v>
      </c>
    </row>
    <row r="3620" spans="1:2" x14ac:dyDescent="0.25">
      <c r="A3620" t="s">
        <v>10701</v>
      </c>
      <c r="B3620" t="s">
        <v>12326</v>
      </c>
    </row>
    <row r="3621" spans="1:2" x14ac:dyDescent="0.25">
      <c r="A3621" t="s">
        <v>14862</v>
      </c>
      <c r="B3621" t="s">
        <v>12326</v>
      </c>
    </row>
    <row r="3622" spans="1:2" x14ac:dyDescent="0.25">
      <c r="A3622" t="s">
        <v>14909</v>
      </c>
      <c r="B3622" t="s">
        <v>14862</v>
      </c>
    </row>
    <row r="3623" spans="1:2" x14ac:dyDescent="0.25">
      <c r="A3623" t="s">
        <v>14910</v>
      </c>
      <c r="B3623" t="s">
        <v>14862</v>
      </c>
    </row>
    <row r="3624" spans="1:2" x14ac:dyDescent="0.25">
      <c r="A3624" t="s">
        <v>14911</v>
      </c>
      <c r="B3624" t="s">
        <v>14862</v>
      </c>
    </row>
    <row r="3625" spans="1:2" x14ac:dyDescent="0.25">
      <c r="A3625" t="s">
        <v>14912</v>
      </c>
      <c r="B3625" t="s">
        <v>11083</v>
      </c>
    </row>
    <row r="3626" spans="1:2" x14ac:dyDescent="0.25">
      <c r="A3626" t="s">
        <v>14913</v>
      </c>
      <c r="B3626" t="s">
        <v>14912</v>
      </c>
    </row>
    <row r="3627" spans="1:2" x14ac:dyDescent="0.25">
      <c r="A3627" t="s">
        <v>14914</v>
      </c>
      <c r="B3627" t="s">
        <v>14913</v>
      </c>
    </row>
    <row r="3628" spans="1:2" x14ac:dyDescent="0.25">
      <c r="A3628" t="s">
        <v>14915</v>
      </c>
      <c r="B3628" t="s">
        <v>14913</v>
      </c>
    </row>
    <row r="3629" spans="1:2" x14ac:dyDescent="0.25">
      <c r="A3629" t="s">
        <v>14916</v>
      </c>
      <c r="B3629" t="s">
        <v>14913</v>
      </c>
    </row>
    <row r="3630" spans="1:2" x14ac:dyDescent="0.25">
      <c r="A3630" t="s">
        <v>14917</v>
      </c>
      <c r="B3630" t="s">
        <v>14913</v>
      </c>
    </row>
    <row r="3631" spans="1:2" x14ac:dyDescent="0.25">
      <c r="A3631" t="s">
        <v>14918</v>
      </c>
      <c r="B3631" t="s">
        <v>14913</v>
      </c>
    </row>
    <row r="3632" spans="1:2" x14ac:dyDescent="0.25">
      <c r="A3632" t="s">
        <v>14919</v>
      </c>
      <c r="B3632" t="s">
        <v>14912</v>
      </c>
    </row>
    <row r="3633" spans="1:2" x14ac:dyDescent="0.25">
      <c r="A3633" t="s">
        <v>14920</v>
      </c>
      <c r="B3633" t="s">
        <v>14919</v>
      </c>
    </row>
    <row r="3634" spans="1:2" x14ac:dyDescent="0.25">
      <c r="A3634" t="s">
        <v>14921</v>
      </c>
      <c r="B3634" t="s">
        <v>14919</v>
      </c>
    </row>
    <row r="3635" spans="1:2" x14ac:dyDescent="0.25">
      <c r="A3635" t="s">
        <v>14922</v>
      </c>
      <c r="B3635" t="s">
        <v>14919</v>
      </c>
    </row>
    <row r="3636" spans="1:2" x14ac:dyDescent="0.25">
      <c r="A3636" t="s">
        <v>16036</v>
      </c>
      <c r="B3636" t="s">
        <v>14919</v>
      </c>
    </row>
    <row r="3637" spans="1:2" x14ac:dyDescent="0.25">
      <c r="A3637" t="s">
        <v>14923</v>
      </c>
      <c r="B3637" t="s">
        <v>14912</v>
      </c>
    </row>
    <row r="3638" spans="1:2" x14ac:dyDescent="0.25">
      <c r="A3638" t="s">
        <v>14924</v>
      </c>
      <c r="B3638" t="s">
        <v>14923</v>
      </c>
    </row>
    <row r="3639" spans="1:2" x14ac:dyDescent="0.25">
      <c r="A3639" t="s">
        <v>16037</v>
      </c>
      <c r="B3639" t="s">
        <v>14923</v>
      </c>
    </row>
    <row r="3640" spans="1:2" x14ac:dyDescent="0.25">
      <c r="A3640" t="s">
        <v>14925</v>
      </c>
      <c r="B3640" t="s">
        <v>14912</v>
      </c>
    </row>
    <row r="3641" spans="1:2" x14ac:dyDescent="0.25">
      <c r="A3641" t="s">
        <v>14926</v>
      </c>
      <c r="B3641" t="s">
        <v>14925</v>
      </c>
    </row>
    <row r="3642" spans="1:2" x14ac:dyDescent="0.25">
      <c r="A3642" t="s">
        <v>16038</v>
      </c>
      <c r="B3642" t="s">
        <v>14925</v>
      </c>
    </row>
    <row r="3643" spans="1:2" x14ac:dyDescent="0.25">
      <c r="A3643" t="s">
        <v>16039</v>
      </c>
      <c r="B3643" t="s">
        <v>14925</v>
      </c>
    </row>
    <row r="3644" spans="1:2" x14ac:dyDescent="0.25">
      <c r="A3644" t="s">
        <v>14927</v>
      </c>
      <c r="B3644" t="s">
        <v>14912</v>
      </c>
    </row>
    <row r="3645" spans="1:2" x14ac:dyDescent="0.25">
      <c r="A3645" t="s">
        <v>14928</v>
      </c>
      <c r="B3645" t="s">
        <v>14927</v>
      </c>
    </row>
    <row r="3646" spans="1:2" x14ac:dyDescent="0.25">
      <c r="A3646" t="s">
        <v>14929</v>
      </c>
      <c r="B3646" t="s">
        <v>14912</v>
      </c>
    </row>
    <row r="3647" spans="1:2" x14ac:dyDescent="0.25">
      <c r="A3647" t="s">
        <v>14930</v>
      </c>
      <c r="B3647" t="s">
        <v>14929</v>
      </c>
    </row>
    <row r="3648" spans="1:2" x14ac:dyDescent="0.25">
      <c r="A3648" t="s">
        <v>16040</v>
      </c>
      <c r="B3648" t="s">
        <v>14912</v>
      </c>
    </row>
    <row r="3649" spans="1:2" x14ac:dyDescent="0.25">
      <c r="A3649" t="s">
        <v>16041</v>
      </c>
      <c r="B3649" t="s">
        <v>16040</v>
      </c>
    </row>
    <row r="3650" spans="1:2" x14ac:dyDescent="0.25">
      <c r="A3650" t="s">
        <v>16042</v>
      </c>
      <c r="B3650" t="s">
        <v>14912</v>
      </c>
    </row>
    <row r="3651" spans="1:2" x14ac:dyDescent="0.25">
      <c r="A3651" t="s">
        <v>16043</v>
      </c>
      <c r="B3651" t="s">
        <v>14912</v>
      </c>
    </row>
    <row r="3652" spans="1:2" x14ac:dyDescent="0.25">
      <c r="A3652" t="s">
        <v>16044</v>
      </c>
      <c r="B3652" t="s">
        <v>14912</v>
      </c>
    </row>
    <row r="3653" spans="1:2" x14ac:dyDescent="0.25">
      <c r="A3653" t="s">
        <v>16045</v>
      </c>
      <c r="B3653" t="s">
        <v>14912</v>
      </c>
    </row>
    <row r="3654" spans="1:2" x14ac:dyDescent="0.25">
      <c r="A3654" t="s">
        <v>12689</v>
      </c>
      <c r="B3654" t="s">
        <v>3584</v>
      </c>
    </row>
    <row r="3655" spans="1:2" x14ac:dyDescent="0.25">
      <c r="A3655" t="s">
        <v>8943</v>
      </c>
      <c r="B3655" t="s">
        <v>12689</v>
      </c>
    </row>
    <row r="3656" spans="1:2" x14ac:dyDescent="0.25">
      <c r="A3656" t="s">
        <v>11423</v>
      </c>
      <c r="B3656" t="s">
        <v>12689</v>
      </c>
    </row>
    <row r="3657" spans="1:2" x14ac:dyDescent="0.25">
      <c r="A3657" t="s">
        <v>10775</v>
      </c>
      <c r="B3657" t="s">
        <v>12689</v>
      </c>
    </row>
    <row r="3658" spans="1:2" x14ac:dyDescent="0.25">
      <c r="A3658" t="s">
        <v>6795</v>
      </c>
      <c r="B3658" t="s">
        <v>12689</v>
      </c>
    </row>
    <row r="3659" spans="1:2" x14ac:dyDescent="0.25">
      <c r="A3659" t="s">
        <v>16046</v>
      </c>
      <c r="B3659" t="s">
        <v>12689</v>
      </c>
    </row>
    <row r="3660" spans="1:2" x14ac:dyDescent="0.25">
      <c r="A3660" t="s">
        <v>3589</v>
      </c>
      <c r="B3660" t="s">
        <v>3584</v>
      </c>
    </row>
    <row r="3661" spans="1:2" x14ac:dyDescent="0.25">
      <c r="A3661" t="s">
        <v>12581</v>
      </c>
      <c r="B3661" t="s">
        <v>3589</v>
      </c>
    </row>
    <row r="3662" spans="1:2" x14ac:dyDescent="0.25">
      <c r="A3662" t="s">
        <v>11084</v>
      </c>
      <c r="B3662" t="s">
        <v>12581</v>
      </c>
    </row>
    <row r="3663" spans="1:2" x14ac:dyDescent="0.25">
      <c r="A3663" t="s">
        <v>74</v>
      </c>
      <c r="B3663" t="s">
        <v>3589</v>
      </c>
    </row>
    <row r="3664" spans="1:2" x14ac:dyDescent="0.25">
      <c r="A3664" t="s">
        <v>12369</v>
      </c>
      <c r="B3664" t="s">
        <v>74</v>
      </c>
    </row>
    <row r="3665" spans="1:2" x14ac:dyDescent="0.25">
      <c r="A3665" t="s">
        <v>5478</v>
      </c>
      <c r="B3665" t="s">
        <v>74</v>
      </c>
    </row>
    <row r="3666" spans="1:2" x14ac:dyDescent="0.25">
      <c r="A3666" t="s">
        <v>9331</v>
      </c>
      <c r="B3666" t="s">
        <v>5478</v>
      </c>
    </row>
    <row r="3667" spans="1:2" x14ac:dyDescent="0.25">
      <c r="A3667" t="s">
        <v>80</v>
      </c>
      <c r="B3667" t="s">
        <v>5478</v>
      </c>
    </row>
    <row r="3668" spans="1:2" x14ac:dyDescent="0.25">
      <c r="A3668" t="s">
        <v>409</v>
      </c>
      <c r="B3668" t="s">
        <v>74</v>
      </c>
    </row>
    <row r="3669" spans="1:2" x14ac:dyDescent="0.25">
      <c r="A3669" t="s">
        <v>9332</v>
      </c>
      <c r="B3669" t="s">
        <v>409</v>
      </c>
    </row>
    <row r="3670" spans="1:2" x14ac:dyDescent="0.25">
      <c r="A3670" t="s">
        <v>8039</v>
      </c>
      <c r="B3670" t="s">
        <v>409</v>
      </c>
    </row>
    <row r="3671" spans="1:2" x14ac:dyDescent="0.25">
      <c r="A3671" t="s">
        <v>11424</v>
      </c>
      <c r="B3671" t="s">
        <v>8039</v>
      </c>
    </row>
    <row r="3672" spans="1:2" x14ac:dyDescent="0.25">
      <c r="A3672" t="s">
        <v>8040</v>
      </c>
      <c r="B3672" t="s">
        <v>409</v>
      </c>
    </row>
    <row r="3673" spans="1:2" x14ac:dyDescent="0.25">
      <c r="A3673" t="s">
        <v>14859</v>
      </c>
      <c r="B3673" t="s">
        <v>8040</v>
      </c>
    </row>
    <row r="3674" spans="1:2" x14ac:dyDescent="0.25">
      <c r="A3674" t="s">
        <v>7410</v>
      </c>
      <c r="B3674" t="s">
        <v>409</v>
      </c>
    </row>
    <row r="3675" spans="1:2" x14ac:dyDescent="0.25">
      <c r="A3675" t="s">
        <v>6793</v>
      </c>
      <c r="B3675" t="s">
        <v>409</v>
      </c>
    </row>
    <row r="3676" spans="1:2" x14ac:dyDescent="0.25">
      <c r="A3676" t="s">
        <v>5037</v>
      </c>
      <c r="B3676" t="s">
        <v>6793</v>
      </c>
    </row>
    <row r="3677" spans="1:2" x14ac:dyDescent="0.25">
      <c r="A3677" t="s">
        <v>2689</v>
      </c>
      <c r="B3677" t="s">
        <v>6793</v>
      </c>
    </row>
    <row r="3678" spans="1:2" x14ac:dyDescent="0.25">
      <c r="A3678" t="s">
        <v>81</v>
      </c>
      <c r="B3678" t="s">
        <v>6793</v>
      </c>
    </row>
    <row r="3679" spans="1:2" x14ac:dyDescent="0.25">
      <c r="A3679" t="s">
        <v>82</v>
      </c>
      <c r="B3679" t="s">
        <v>6793</v>
      </c>
    </row>
    <row r="3680" spans="1:2" x14ac:dyDescent="0.25">
      <c r="A3680" t="s">
        <v>9052</v>
      </c>
      <c r="B3680" t="s">
        <v>6793</v>
      </c>
    </row>
    <row r="3681" spans="1:2" x14ac:dyDescent="0.25">
      <c r="A3681" t="s">
        <v>412</v>
      </c>
      <c r="B3681" t="s">
        <v>409</v>
      </c>
    </row>
    <row r="3682" spans="1:2" x14ac:dyDescent="0.25">
      <c r="A3682" t="s">
        <v>506</v>
      </c>
      <c r="B3682" t="s">
        <v>409</v>
      </c>
    </row>
    <row r="3683" spans="1:2" x14ac:dyDescent="0.25">
      <c r="A3683" t="s">
        <v>7422</v>
      </c>
      <c r="B3683" t="s">
        <v>409</v>
      </c>
    </row>
    <row r="3684" spans="1:2" x14ac:dyDescent="0.25">
      <c r="A3684" t="s">
        <v>7423</v>
      </c>
      <c r="B3684" t="s">
        <v>409</v>
      </c>
    </row>
    <row r="3685" spans="1:2" x14ac:dyDescent="0.25">
      <c r="A3685" t="s">
        <v>2274</v>
      </c>
      <c r="B3685" t="s">
        <v>74</v>
      </c>
    </row>
    <row r="3686" spans="1:2" x14ac:dyDescent="0.25">
      <c r="A3686" t="s">
        <v>11487</v>
      </c>
      <c r="B3686" t="s">
        <v>2274</v>
      </c>
    </row>
    <row r="3687" spans="1:2" x14ac:dyDescent="0.25">
      <c r="A3687" t="s">
        <v>75</v>
      </c>
      <c r="B3687" t="s">
        <v>74</v>
      </c>
    </row>
    <row r="3688" spans="1:2" x14ac:dyDescent="0.25">
      <c r="A3688" t="s">
        <v>9333</v>
      </c>
      <c r="B3688" t="s">
        <v>75</v>
      </c>
    </row>
    <row r="3689" spans="1:2" x14ac:dyDescent="0.25">
      <c r="A3689" t="s">
        <v>7421</v>
      </c>
      <c r="B3689" t="s">
        <v>75</v>
      </c>
    </row>
    <row r="3690" spans="1:2" x14ac:dyDescent="0.25">
      <c r="A3690" t="s">
        <v>11637</v>
      </c>
      <c r="B3690" t="s">
        <v>74</v>
      </c>
    </row>
    <row r="3691" spans="1:2" x14ac:dyDescent="0.25">
      <c r="A3691" t="s">
        <v>271</v>
      </c>
      <c r="B3691" t="s">
        <v>74</v>
      </c>
    </row>
    <row r="3692" spans="1:2" x14ac:dyDescent="0.25">
      <c r="A3692" t="s">
        <v>10760</v>
      </c>
      <c r="B3692" t="s">
        <v>74</v>
      </c>
    </row>
    <row r="3693" spans="1:2" x14ac:dyDescent="0.25">
      <c r="A3693" t="s">
        <v>4604</v>
      </c>
      <c r="B3693" t="s">
        <v>10760</v>
      </c>
    </row>
    <row r="3694" spans="1:2" x14ac:dyDescent="0.25">
      <c r="A3694" t="s">
        <v>11413</v>
      </c>
      <c r="B3694" t="s">
        <v>74</v>
      </c>
    </row>
    <row r="3695" spans="1:2" x14ac:dyDescent="0.25">
      <c r="A3695" t="s">
        <v>77</v>
      </c>
      <c r="B3695" t="s">
        <v>74</v>
      </c>
    </row>
    <row r="3696" spans="1:2" x14ac:dyDescent="0.25">
      <c r="A3696" t="s">
        <v>11859</v>
      </c>
      <c r="B3696" t="s">
        <v>77</v>
      </c>
    </row>
    <row r="3697" spans="1:2" x14ac:dyDescent="0.25">
      <c r="A3697" t="s">
        <v>8941</v>
      </c>
      <c r="B3697" t="s">
        <v>74</v>
      </c>
    </row>
    <row r="3698" spans="1:2" x14ac:dyDescent="0.25">
      <c r="A3698" t="s">
        <v>11639</v>
      </c>
      <c r="B3698" t="s">
        <v>8941</v>
      </c>
    </row>
    <row r="3699" spans="1:2" x14ac:dyDescent="0.25">
      <c r="A3699" t="s">
        <v>12371</v>
      </c>
      <c r="B3699" t="s">
        <v>8941</v>
      </c>
    </row>
    <row r="3700" spans="1:2" x14ac:dyDescent="0.25">
      <c r="A3700" t="s">
        <v>12775</v>
      </c>
      <c r="B3700" t="s">
        <v>12371</v>
      </c>
    </row>
    <row r="3701" spans="1:2" x14ac:dyDescent="0.25">
      <c r="A3701" t="s">
        <v>11430</v>
      </c>
      <c r="B3701" t="s">
        <v>12775</v>
      </c>
    </row>
    <row r="3702" spans="1:2" x14ac:dyDescent="0.25">
      <c r="A3702" t="s">
        <v>11640</v>
      </c>
      <c r="B3702" t="s">
        <v>12371</v>
      </c>
    </row>
    <row r="3703" spans="1:2" x14ac:dyDescent="0.25">
      <c r="A3703" t="s">
        <v>12042</v>
      </c>
      <c r="B3703" t="s">
        <v>12371</v>
      </c>
    </row>
    <row r="3704" spans="1:2" x14ac:dyDescent="0.25">
      <c r="A3704" t="s">
        <v>10764</v>
      </c>
      <c r="B3704" t="s">
        <v>12371</v>
      </c>
    </row>
    <row r="3705" spans="1:2" x14ac:dyDescent="0.25">
      <c r="A3705" t="s">
        <v>12778</v>
      </c>
      <c r="B3705" t="s">
        <v>12371</v>
      </c>
    </row>
    <row r="3706" spans="1:2" x14ac:dyDescent="0.25">
      <c r="A3706" t="s">
        <v>12773</v>
      </c>
      <c r="B3706" t="s">
        <v>12778</v>
      </c>
    </row>
    <row r="3707" spans="1:2" x14ac:dyDescent="0.25">
      <c r="A3707" t="s">
        <v>8948</v>
      </c>
      <c r="B3707" t="s">
        <v>12773</v>
      </c>
    </row>
    <row r="3708" spans="1:2" x14ac:dyDescent="0.25">
      <c r="A3708" t="s">
        <v>14860</v>
      </c>
      <c r="B3708" t="s">
        <v>12773</v>
      </c>
    </row>
    <row r="3709" spans="1:2" x14ac:dyDescent="0.25">
      <c r="A3709" t="s">
        <v>12774</v>
      </c>
      <c r="B3709" t="s">
        <v>12778</v>
      </c>
    </row>
    <row r="3710" spans="1:2" x14ac:dyDescent="0.25">
      <c r="A3710" t="s">
        <v>11646</v>
      </c>
      <c r="B3710" t="s">
        <v>12774</v>
      </c>
    </row>
    <row r="3711" spans="1:2" x14ac:dyDescent="0.25">
      <c r="A3711" t="s">
        <v>11431</v>
      </c>
      <c r="B3711" t="s">
        <v>12774</v>
      </c>
    </row>
    <row r="3712" spans="1:2" x14ac:dyDescent="0.25">
      <c r="A3712" t="s">
        <v>5856</v>
      </c>
      <c r="B3712" t="s">
        <v>8941</v>
      </c>
    </row>
    <row r="3713" spans="1:2" x14ac:dyDescent="0.25">
      <c r="A3713" t="s">
        <v>10257</v>
      </c>
      <c r="B3713" t="s">
        <v>8941</v>
      </c>
    </row>
    <row r="3714" spans="1:2" x14ac:dyDescent="0.25">
      <c r="A3714" t="s">
        <v>11090</v>
      </c>
      <c r="B3714" t="s">
        <v>10257</v>
      </c>
    </row>
    <row r="3715" spans="1:2" x14ac:dyDescent="0.25">
      <c r="A3715" t="s">
        <v>9338</v>
      </c>
      <c r="B3715" t="s">
        <v>8941</v>
      </c>
    </row>
    <row r="3716" spans="1:2" x14ac:dyDescent="0.25">
      <c r="A3716" t="s">
        <v>9339</v>
      </c>
      <c r="B3716" t="s">
        <v>8941</v>
      </c>
    </row>
    <row r="3717" spans="1:2" x14ac:dyDescent="0.25">
      <c r="A3717" t="s">
        <v>9335</v>
      </c>
      <c r="B3717" t="s">
        <v>3589</v>
      </c>
    </row>
    <row r="3718" spans="1:2" x14ac:dyDescent="0.25">
      <c r="A3718" t="s">
        <v>8544</v>
      </c>
      <c r="B3718" t="s">
        <v>9335</v>
      </c>
    </row>
    <row r="3719" spans="1:2" x14ac:dyDescent="0.25">
      <c r="A3719" t="s">
        <v>10254</v>
      </c>
      <c r="B3719" t="s">
        <v>8544</v>
      </c>
    </row>
    <row r="3720" spans="1:2" x14ac:dyDescent="0.25">
      <c r="A3720" t="s">
        <v>7411</v>
      </c>
      <c r="B3720" t="s">
        <v>8544</v>
      </c>
    </row>
    <row r="3721" spans="1:2" x14ac:dyDescent="0.25">
      <c r="A3721" t="s">
        <v>12875</v>
      </c>
      <c r="B3721" t="s">
        <v>7411</v>
      </c>
    </row>
    <row r="3722" spans="1:2" x14ac:dyDescent="0.25">
      <c r="A3722" t="s">
        <v>12770</v>
      </c>
      <c r="B3722" t="s">
        <v>7411</v>
      </c>
    </row>
    <row r="3723" spans="1:2" x14ac:dyDescent="0.25">
      <c r="A3723" t="s">
        <v>12771</v>
      </c>
      <c r="B3723" t="s">
        <v>7411</v>
      </c>
    </row>
    <row r="3724" spans="1:2" x14ac:dyDescent="0.25">
      <c r="A3724" t="s">
        <v>11638</v>
      </c>
      <c r="B3724" t="s">
        <v>12771</v>
      </c>
    </row>
    <row r="3725" spans="1:2" x14ac:dyDescent="0.25">
      <c r="A3725" t="s">
        <v>12686</v>
      </c>
      <c r="B3725" t="s">
        <v>7411</v>
      </c>
    </row>
    <row r="3726" spans="1:2" x14ac:dyDescent="0.25">
      <c r="A3726" t="s">
        <v>4606</v>
      </c>
      <c r="B3726" t="s">
        <v>7411</v>
      </c>
    </row>
    <row r="3727" spans="1:2" x14ac:dyDescent="0.25">
      <c r="A3727" t="s">
        <v>410</v>
      </c>
      <c r="B3727" t="s">
        <v>8544</v>
      </c>
    </row>
    <row r="3728" spans="1:2" x14ac:dyDescent="0.25">
      <c r="A3728" t="s">
        <v>7412</v>
      </c>
      <c r="B3728" t="s">
        <v>8544</v>
      </c>
    </row>
    <row r="3729" spans="1:2" x14ac:dyDescent="0.25">
      <c r="A3729" t="s">
        <v>4608</v>
      </c>
      <c r="B3729" t="s">
        <v>7412</v>
      </c>
    </row>
    <row r="3730" spans="1:2" x14ac:dyDescent="0.25">
      <c r="A3730" t="s">
        <v>411</v>
      </c>
      <c r="B3730" t="s">
        <v>8544</v>
      </c>
    </row>
    <row r="3731" spans="1:2" x14ac:dyDescent="0.25">
      <c r="A3731" t="s">
        <v>3150</v>
      </c>
      <c r="B3731" t="s">
        <v>8544</v>
      </c>
    </row>
    <row r="3732" spans="1:2" x14ac:dyDescent="0.25">
      <c r="A3732" t="s">
        <v>11425</v>
      </c>
      <c r="B3732" t="s">
        <v>3150</v>
      </c>
    </row>
    <row r="3733" spans="1:2" x14ac:dyDescent="0.25">
      <c r="A3733" t="s">
        <v>11426</v>
      </c>
      <c r="B3733" t="s">
        <v>3150</v>
      </c>
    </row>
    <row r="3734" spans="1:2" x14ac:dyDescent="0.25">
      <c r="A3734" t="s">
        <v>12043</v>
      </c>
      <c r="B3734" t="s">
        <v>8544</v>
      </c>
    </row>
    <row r="3735" spans="1:2" x14ac:dyDescent="0.25">
      <c r="A3735" t="s">
        <v>276</v>
      </c>
      <c r="B3735" t="s">
        <v>8544</v>
      </c>
    </row>
    <row r="3736" spans="1:2" x14ac:dyDescent="0.25">
      <c r="A3736" t="s">
        <v>5029</v>
      </c>
      <c r="B3736" t="s">
        <v>276</v>
      </c>
    </row>
    <row r="3737" spans="1:2" x14ac:dyDescent="0.25">
      <c r="A3737" t="s">
        <v>11427</v>
      </c>
      <c r="B3737" t="s">
        <v>5029</v>
      </c>
    </row>
    <row r="3738" spans="1:2" x14ac:dyDescent="0.25">
      <c r="A3738" t="s">
        <v>10761</v>
      </c>
      <c r="B3738" t="s">
        <v>276</v>
      </c>
    </row>
    <row r="3739" spans="1:2" x14ac:dyDescent="0.25">
      <c r="A3739" t="s">
        <v>9733</v>
      </c>
      <c r="B3739" t="s">
        <v>276</v>
      </c>
    </row>
    <row r="3740" spans="1:2" x14ac:dyDescent="0.25">
      <c r="A3740" t="s">
        <v>6300</v>
      </c>
      <c r="B3740" t="s">
        <v>276</v>
      </c>
    </row>
    <row r="3741" spans="1:2" x14ac:dyDescent="0.25">
      <c r="A3741" t="s">
        <v>11428</v>
      </c>
      <c r="B3741" t="s">
        <v>6300</v>
      </c>
    </row>
    <row r="3742" spans="1:2" x14ac:dyDescent="0.25">
      <c r="A3742" t="s">
        <v>6294</v>
      </c>
      <c r="B3742" t="s">
        <v>9335</v>
      </c>
    </row>
    <row r="3743" spans="1:2" x14ac:dyDescent="0.25">
      <c r="A3743" t="s">
        <v>7413</v>
      </c>
      <c r="B3743" t="s">
        <v>9335</v>
      </c>
    </row>
    <row r="3744" spans="1:2" x14ac:dyDescent="0.25">
      <c r="A3744" t="s">
        <v>3146</v>
      </c>
      <c r="B3744" t="s">
        <v>3589</v>
      </c>
    </row>
    <row r="3745" spans="1:2" x14ac:dyDescent="0.25">
      <c r="A3745" t="s">
        <v>11641</v>
      </c>
      <c r="B3745" t="s">
        <v>3146</v>
      </c>
    </row>
    <row r="3746" spans="1:2" x14ac:dyDescent="0.25">
      <c r="A3746" t="s">
        <v>11642</v>
      </c>
      <c r="B3746" t="s">
        <v>3146</v>
      </c>
    </row>
    <row r="3747" spans="1:2" x14ac:dyDescent="0.25">
      <c r="A3747" t="s">
        <v>4611</v>
      </c>
      <c r="B3747" t="s">
        <v>11642</v>
      </c>
    </row>
    <row r="3748" spans="1:2" x14ac:dyDescent="0.25">
      <c r="A3748" t="s">
        <v>3147</v>
      </c>
      <c r="B3748" t="s">
        <v>11642</v>
      </c>
    </row>
    <row r="3749" spans="1:2" x14ac:dyDescent="0.25">
      <c r="A3749" t="s">
        <v>6298</v>
      </c>
      <c r="B3749" t="s">
        <v>3146</v>
      </c>
    </row>
    <row r="3750" spans="1:2" x14ac:dyDescent="0.25">
      <c r="A3750" t="s">
        <v>14277</v>
      </c>
      <c r="B3750" t="s">
        <v>3146</v>
      </c>
    </row>
    <row r="3751" spans="1:2" x14ac:dyDescent="0.25">
      <c r="A3751" t="s">
        <v>9735</v>
      </c>
      <c r="B3751" t="s">
        <v>3589</v>
      </c>
    </row>
    <row r="3752" spans="1:2" x14ac:dyDescent="0.25">
      <c r="A3752" t="s">
        <v>273</v>
      </c>
      <c r="B3752" t="s">
        <v>3589</v>
      </c>
    </row>
    <row r="3753" spans="1:2" x14ac:dyDescent="0.25">
      <c r="A3753" t="s">
        <v>6296</v>
      </c>
      <c r="B3753" t="s">
        <v>273</v>
      </c>
    </row>
    <row r="3754" spans="1:2" x14ac:dyDescent="0.25">
      <c r="A3754" t="s">
        <v>5032</v>
      </c>
      <c r="B3754" t="s">
        <v>273</v>
      </c>
    </row>
    <row r="3755" spans="1:2" x14ac:dyDescent="0.25">
      <c r="A3755" t="s">
        <v>11086</v>
      </c>
      <c r="B3755" t="s">
        <v>273</v>
      </c>
    </row>
    <row r="3756" spans="1:2" x14ac:dyDescent="0.25">
      <c r="A3756" t="s">
        <v>274</v>
      </c>
      <c r="B3756" t="s">
        <v>11086</v>
      </c>
    </row>
    <row r="3757" spans="1:2" x14ac:dyDescent="0.25">
      <c r="A3757" t="s">
        <v>76</v>
      </c>
      <c r="B3757" t="s">
        <v>11086</v>
      </c>
    </row>
    <row r="3758" spans="1:2" x14ac:dyDescent="0.25">
      <c r="A3758" t="s">
        <v>8546</v>
      </c>
      <c r="B3758" t="s">
        <v>11086</v>
      </c>
    </row>
    <row r="3759" spans="1:2" x14ac:dyDescent="0.25">
      <c r="A3759" t="s">
        <v>8947</v>
      </c>
      <c r="B3759" t="s">
        <v>11086</v>
      </c>
    </row>
    <row r="3760" spans="1:2" x14ac:dyDescent="0.25">
      <c r="A3760" t="s">
        <v>8547</v>
      </c>
      <c r="B3760" t="s">
        <v>273</v>
      </c>
    </row>
    <row r="3761" spans="1:2" x14ac:dyDescent="0.25">
      <c r="A3761" t="s">
        <v>10767</v>
      </c>
      <c r="B3761" t="s">
        <v>273</v>
      </c>
    </row>
    <row r="3762" spans="1:2" x14ac:dyDescent="0.25">
      <c r="A3762" t="s">
        <v>9738</v>
      </c>
      <c r="B3762" t="s">
        <v>273</v>
      </c>
    </row>
    <row r="3763" spans="1:2" x14ac:dyDescent="0.25">
      <c r="A3763" t="s">
        <v>12776</v>
      </c>
      <c r="B3763" t="s">
        <v>273</v>
      </c>
    </row>
    <row r="3764" spans="1:2" x14ac:dyDescent="0.25">
      <c r="A3764" t="s">
        <v>12777</v>
      </c>
      <c r="B3764" t="s">
        <v>273</v>
      </c>
    </row>
    <row r="3765" spans="1:2" x14ac:dyDescent="0.25">
      <c r="A3765" t="s">
        <v>3587</v>
      </c>
      <c r="B3765" t="s">
        <v>273</v>
      </c>
    </row>
    <row r="3766" spans="1:2" x14ac:dyDescent="0.25">
      <c r="A3766" t="s">
        <v>16047</v>
      </c>
      <c r="B3766" t="s">
        <v>273</v>
      </c>
    </row>
    <row r="3767" spans="1:2" x14ac:dyDescent="0.25">
      <c r="A3767" t="s">
        <v>275</v>
      </c>
      <c r="B3767" t="s">
        <v>3589</v>
      </c>
    </row>
    <row r="3768" spans="1:2" x14ac:dyDescent="0.25">
      <c r="A3768" t="s">
        <v>2687</v>
      </c>
      <c r="B3768" t="s">
        <v>3589</v>
      </c>
    </row>
    <row r="3769" spans="1:2" x14ac:dyDescent="0.25">
      <c r="A3769" t="s">
        <v>10765</v>
      </c>
      <c r="B3769" t="s">
        <v>2687</v>
      </c>
    </row>
    <row r="3770" spans="1:2" x14ac:dyDescent="0.25">
      <c r="A3770" t="s">
        <v>4609</v>
      </c>
      <c r="B3770" t="s">
        <v>10765</v>
      </c>
    </row>
    <row r="3771" spans="1:2" x14ac:dyDescent="0.25">
      <c r="A3771" t="s">
        <v>5030</v>
      </c>
      <c r="B3771" t="s">
        <v>10765</v>
      </c>
    </row>
    <row r="3772" spans="1:2" x14ac:dyDescent="0.25">
      <c r="A3772" t="s">
        <v>5031</v>
      </c>
      <c r="B3772" t="s">
        <v>10765</v>
      </c>
    </row>
    <row r="3773" spans="1:2" x14ac:dyDescent="0.25">
      <c r="A3773" t="s">
        <v>10768</v>
      </c>
      <c r="B3773" t="s">
        <v>10765</v>
      </c>
    </row>
    <row r="3774" spans="1:2" x14ac:dyDescent="0.25">
      <c r="A3774" t="s">
        <v>78</v>
      </c>
      <c r="B3774" t="s">
        <v>2687</v>
      </c>
    </row>
    <row r="3775" spans="1:2" x14ac:dyDescent="0.25">
      <c r="A3775" t="s">
        <v>10916</v>
      </c>
      <c r="B3775" t="s">
        <v>2687</v>
      </c>
    </row>
    <row r="3776" spans="1:2" x14ac:dyDescent="0.25">
      <c r="A3776" t="s">
        <v>3586</v>
      </c>
      <c r="B3776" t="s">
        <v>2687</v>
      </c>
    </row>
    <row r="3777" spans="1:2" x14ac:dyDescent="0.25">
      <c r="A3777" t="s">
        <v>11858</v>
      </c>
      <c r="B3777" t="s">
        <v>2687</v>
      </c>
    </row>
    <row r="3778" spans="1:2" x14ac:dyDescent="0.25">
      <c r="A3778" t="s">
        <v>9734</v>
      </c>
      <c r="B3778" t="s">
        <v>11858</v>
      </c>
    </row>
    <row r="3779" spans="1:2" x14ac:dyDescent="0.25">
      <c r="A3779" t="s">
        <v>10766</v>
      </c>
      <c r="B3779" t="s">
        <v>2687</v>
      </c>
    </row>
    <row r="3780" spans="1:2" x14ac:dyDescent="0.25">
      <c r="A3780" t="s">
        <v>2688</v>
      </c>
      <c r="B3780" t="s">
        <v>3589</v>
      </c>
    </row>
    <row r="3781" spans="1:2" x14ac:dyDescent="0.25">
      <c r="A3781" t="s">
        <v>12908</v>
      </c>
      <c r="B3781" t="s">
        <v>2688</v>
      </c>
    </row>
    <row r="3782" spans="1:2" x14ac:dyDescent="0.25">
      <c r="A3782" t="s">
        <v>9336</v>
      </c>
      <c r="B3782" t="s">
        <v>2688</v>
      </c>
    </row>
    <row r="3783" spans="1:2" x14ac:dyDescent="0.25">
      <c r="A3783" t="s">
        <v>3148</v>
      </c>
      <c r="B3783" t="s">
        <v>2688</v>
      </c>
    </row>
    <row r="3784" spans="1:2" x14ac:dyDescent="0.25">
      <c r="A3784" t="s">
        <v>11414</v>
      </c>
      <c r="B3784" t="s">
        <v>3148</v>
      </c>
    </row>
    <row r="3785" spans="1:2" x14ac:dyDescent="0.25">
      <c r="A3785" t="s">
        <v>7415</v>
      </c>
      <c r="B3785" t="s">
        <v>11414</v>
      </c>
    </row>
    <row r="3786" spans="1:2" x14ac:dyDescent="0.25">
      <c r="A3786" t="s">
        <v>272</v>
      </c>
      <c r="B3786" t="s">
        <v>3148</v>
      </c>
    </row>
    <row r="3787" spans="1:2" x14ac:dyDescent="0.25">
      <c r="A3787" t="s">
        <v>6295</v>
      </c>
      <c r="B3787" t="s">
        <v>2688</v>
      </c>
    </row>
    <row r="3788" spans="1:2" x14ac:dyDescent="0.25">
      <c r="A3788" t="s">
        <v>11418</v>
      </c>
      <c r="B3788" t="s">
        <v>2688</v>
      </c>
    </row>
    <row r="3789" spans="1:2" x14ac:dyDescent="0.25">
      <c r="A3789" t="s">
        <v>8043</v>
      </c>
      <c r="B3789" t="s">
        <v>2688</v>
      </c>
    </row>
    <row r="3790" spans="1:2" x14ac:dyDescent="0.25">
      <c r="A3790" t="s">
        <v>12853</v>
      </c>
      <c r="B3790" t="s">
        <v>2688</v>
      </c>
    </row>
    <row r="3791" spans="1:2" x14ac:dyDescent="0.25">
      <c r="A3791" t="s">
        <v>12373</v>
      </c>
      <c r="B3791" t="s">
        <v>2688</v>
      </c>
    </row>
    <row r="3792" spans="1:2" x14ac:dyDescent="0.25">
      <c r="A3792" t="s">
        <v>11091</v>
      </c>
      <c r="B3792" t="s">
        <v>12373</v>
      </c>
    </row>
    <row r="3793" spans="1:2" x14ac:dyDescent="0.25">
      <c r="A3793" t="s">
        <v>11092</v>
      </c>
      <c r="B3793" t="s">
        <v>12373</v>
      </c>
    </row>
    <row r="3794" spans="1:2" x14ac:dyDescent="0.25">
      <c r="A3794" t="s">
        <v>7417</v>
      </c>
      <c r="B3794" t="s">
        <v>2688</v>
      </c>
    </row>
    <row r="3795" spans="1:2" x14ac:dyDescent="0.25">
      <c r="A3795" t="s">
        <v>11421</v>
      </c>
      <c r="B3795" t="s">
        <v>7417</v>
      </c>
    </row>
    <row r="3796" spans="1:2" x14ac:dyDescent="0.25">
      <c r="A3796" t="s">
        <v>12780</v>
      </c>
      <c r="B3796" t="s">
        <v>7417</v>
      </c>
    </row>
    <row r="3797" spans="1:2" x14ac:dyDescent="0.25">
      <c r="A3797" t="s">
        <v>11432</v>
      </c>
      <c r="B3797" t="s">
        <v>2688</v>
      </c>
    </row>
    <row r="3798" spans="1:2" x14ac:dyDescent="0.25">
      <c r="A3798" t="s">
        <v>8949</v>
      </c>
      <c r="B3798" t="s">
        <v>2688</v>
      </c>
    </row>
    <row r="3799" spans="1:2" x14ac:dyDescent="0.25">
      <c r="A3799" t="s">
        <v>11088</v>
      </c>
      <c r="B3799" t="s">
        <v>3589</v>
      </c>
    </row>
    <row r="3800" spans="1:2" x14ac:dyDescent="0.25">
      <c r="A3800" t="s">
        <v>13614</v>
      </c>
      <c r="B3800" t="s">
        <v>11088</v>
      </c>
    </row>
    <row r="3801" spans="1:2" x14ac:dyDescent="0.25">
      <c r="A3801" t="s">
        <v>12040</v>
      </c>
      <c r="B3801" t="s">
        <v>11088</v>
      </c>
    </row>
    <row r="3802" spans="1:2" x14ac:dyDescent="0.25">
      <c r="A3802" t="s">
        <v>10255</v>
      </c>
      <c r="B3802" t="s">
        <v>11088</v>
      </c>
    </row>
    <row r="3803" spans="1:2" x14ac:dyDescent="0.25">
      <c r="A3803" t="s">
        <v>4605</v>
      </c>
      <c r="B3803" t="s">
        <v>11088</v>
      </c>
    </row>
    <row r="3804" spans="1:2" x14ac:dyDescent="0.25">
      <c r="A3804" t="s">
        <v>5855</v>
      </c>
      <c r="B3804" t="s">
        <v>11088</v>
      </c>
    </row>
    <row r="3805" spans="1:2" x14ac:dyDescent="0.25">
      <c r="A3805" t="s">
        <v>9334</v>
      </c>
      <c r="B3805" t="s">
        <v>11088</v>
      </c>
    </row>
    <row r="3806" spans="1:2" x14ac:dyDescent="0.25">
      <c r="A3806" t="s">
        <v>2686</v>
      </c>
      <c r="B3806" t="s">
        <v>11088</v>
      </c>
    </row>
    <row r="3807" spans="1:2" x14ac:dyDescent="0.25">
      <c r="A3807" t="s">
        <v>5479</v>
      </c>
      <c r="B3807" t="s">
        <v>11088</v>
      </c>
    </row>
    <row r="3808" spans="1:2" x14ac:dyDescent="0.25">
      <c r="A3808" t="s">
        <v>12582</v>
      </c>
      <c r="B3808" t="s">
        <v>11088</v>
      </c>
    </row>
    <row r="3809" spans="1:2" x14ac:dyDescent="0.25">
      <c r="A3809" t="s">
        <v>79</v>
      </c>
      <c r="B3809" t="s">
        <v>3589</v>
      </c>
    </row>
    <row r="3810" spans="1:2" x14ac:dyDescent="0.25">
      <c r="A3810" t="s">
        <v>12687</v>
      </c>
      <c r="B3810" t="s">
        <v>79</v>
      </c>
    </row>
    <row r="3811" spans="1:2" x14ac:dyDescent="0.25">
      <c r="A3811" t="s">
        <v>11085</v>
      </c>
      <c r="B3811" t="s">
        <v>79</v>
      </c>
    </row>
    <row r="3812" spans="1:2" x14ac:dyDescent="0.25">
      <c r="A3812" t="s">
        <v>12904</v>
      </c>
      <c r="B3812" t="s">
        <v>79</v>
      </c>
    </row>
    <row r="3813" spans="1:2" x14ac:dyDescent="0.25">
      <c r="A3813" t="s">
        <v>5035</v>
      </c>
      <c r="B3813" t="s">
        <v>12904</v>
      </c>
    </row>
    <row r="3814" spans="1:2" x14ac:dyDescent="0.25">
      <c r="A3814" t="s">
        <v>9343</v>
      </c>
      <c r="B3814" t="s">
        <v>12904</v>
      </c>
    </row>
    <row r="3815" spans="1:2" x14ac:dyDescent="0.25">
      <c r="A3815" t="s">
        <v>4619</v>
      </c>
      <c r="B3815" t="s">
        <v>12904</v>
      </c>
    </row>
    <row r="3816" spans="1:2" x14ac:dyDescent="0.25">
      <c r="A3816" t="s">
        <v>5036</v>
      </c>
      <c r="B3816" t="s">
        <v>12904</v>
      </c>
    </row>
    <row r="3817" spans="1:2" x14ac:dyDescent="0.25">
      <c r="A3817" t="s">
        <v>5862</v>
      </c>
      <c r="B3817" t="s">
        <v>12904</v>
      </c>
    </row>
    <row r="3818" spans="1:2" x14ac:dyDescent="0.25">
      <c r="A3818" t="s">
        <v>9344</v>
      </c>
      <c r="B3818" t="s">
        <v>12904</v>
      </c>
    </row>
    <row r="3819" spans="1:2" x14ac:dyDescent="0.25">
      <c r="A3819" t="s">
        <v>12250</v>
      </c>
      <c r="B3819" t="s">
        <v>12904</v>
      </c>
    </row>
    <row r="3820" spans="1:2" x14ac:dyDescent="0.25">
      <c r="A3820" t="s">
        <v>3203</v>
      </c>
      <c r="B3820" t="s">
        <v>12904</v>
      </c>
    </row>
    <row r="3821" spans="1:2" x14ac:dyDescent="0.25">
      <c r="A3821" t="s">
        <v>5973</v>
      </c>
      <c r="B3821" t="s">
        <v>79</v>
      </c>
    </row>
    <row r="3822" spans="1:2" x14ac:dyDescent="0.25">
      <c r="A3822" t="s">
        <v>12256</v>
      </c>
      <c r="B3822" t="s">
        <v>79</v>
      </c>
    </row>
    <row r="3823" spans="1:2" x14ac:dyDescent="0.25">
      <c r="A3823" t="s">
        <v>540</v>
      </c>
      <c r="B3823" t="s">
        <v>79</v>
      </c>
    </row>
    <row r="3824" spans="1:2" x14ac:dyDescent="0.25">
      <c r="A3824" t="s">
        <v>6293</v>
      </c>
      <c r="B3824" t="s">
        <v>3589</v>
      </c>
    </row>
    <row r="3825" spans="1:2" x14ac:dyDescent="0.25">
      <c r="A3825" t="s">
        <v>14246</v>
      </c>
      <c r="B3825" t="s">
        <v>6293</v>
      </c>
    </row>
    <row r="3826" spans="1:2" x14ac:dyDescent="0.25">
      <c r="A3826" t="s">
        <v>14241</v>
      </c>
      <c r="B3826" t="s">
        <v>6293</v>
      </c>
    </row>
    <row r="3827" spans="1:2" x14ac:dyDescent="0.25">
      <c r="A3827" t="s">
        <v>4610</v>
      </c>
      <c r="B3827" t="s">
        <v>3589</v>
      </c>
    </row>
    <row r="3828" spans="1:2" x14ac:dyDescent="0.25">
      <c r="A3828" t="s">
        <v>7416</v>
      </c>
      <c r="B3828" t="s">
        <v>4610</v>
      </c>
    </row>
    <row r="3829" spans="1:2" x14ac:dyDescent="0.25">
      <c r="A3829" t="s">
        <v>11087</v>
      </c>
      <c r="B3829" t="s">
        <v>3589</v>
      </c>
    </row>
    <row r="3830" spans="1:2" x14ac:dyDescent="0.25">
      <c r="A3830" t="s">
        <v>12772</v>
      </c>
      <c r="B3830" t="s">
        <v>11087</v>
      </c>
    </row>
    <row r="3831" spans="1:2" x14ac:dyDescent="0.25">
      <c r="A3831" t="s">
        <v>12370</v>
      </c>
      <c r="B3831" t="s">
        <v>12772</v>
      </c>
    </row>
    <row r="3832" spans="1:2" x14ac:dyDescent="0.25">
      <c r="A3832" t="s">
        <v>7414</v>
      </c>
      <c r="B3832" t="s">
        <v>12772</v>
      </c>
    </row>
    <row r="3833" spans="1:2" x14ac:dyDescent="0.25">
      <c r="A3833" t="s">
        <v>12891</v>
      </c>
      <c r="B3833" t="s">
        <v>12772</v>
      </c>
    </row>
    <row r="3834" spans="1:2" x14ac:dyDescent="0.25">
      <c r="A3834" t="s">
        <v>10763</v>
      </c>
      <c r="B3834" t="s">
        <v>12772</v>
      </c>
    </row>
    <row r="3835" spans="1:2" x14ac:dyDescent="0.25">
      <c r="A3835" t="s">
        <v>12046</v>
      </c>
      <c r="B3835" t="s">
        <v>11087</v>
      </c>
    </row>
    <row r="3836" spans="1:2" x14ac:dyDescent="0.25">
      <c r="A3836" t="s">
        <v>13176</v>
      </c>
      <c r="B3836" t="s">
        <v>3589</v>
      </c>
    </row>
    <row r="3837" spans="1:2" x14ac:dyDescent="0.25">
      <c r="A3837" t="s">
        <v>10762</v>
      </c>
      <c r="B3837" t="s">
        <v>13176</v>
      </c>
    </row>
    <row r="3838" spans="1:2" x14ac:dyDescent="0.25">
      <c r="A3838" t="s">
        <v>11429</v>
      </c>
      <c r="B3838" t="s">
        <v>10762</v>
      </c>
    </row>
    <row r="3839" spans="1:2" x14ac:dyDescent="0.25">
      <c r="A3839" t="s">
        <v>14242</v>
      </c>
      <c r="B3839" t="s">
        <v>10762</v>
      </c>
    </row>
    <row r="3840" spans="1:2" x14ac:dyDescent="0.25">
      <c r="A3840" t="s">
        <v>14243</v>
      </c>
      <c r="B3840" t="s">
        <v>10762</v>
      </c>
    </row>
    <row r="3841" spans="1:2" x14ac:dyDescent="0.25">
      <c r="A3841" t="s">
        <v>4607</v>
      </c>
      <c r="B3841" t="s">
        <v>13176</v>
      </c>
    </row>
    <row r="3842" spans="1:2" x14ac:dyDescent="0.25">
      <c r="A3842" t="s">
        <v>12041</v>
      </c>
      <c r="B3842" t="s">
        <v>13176</v>
      </c>
    </row>
    <row r="3843" spans="1:2" x14ac:dyDescent="0.25">
      <c r="A3843" t="s">
        <v>16048</v>
      </c>
      <c r="B3843" t="s">
        <v>3589</v>
      </c>
    </row>
    <row r="3844" spans="1:2" x14ac:dyDescent="0.25">
      <c r="A3844" t="s">
        <v>16049</v>
      </c>
      <c r="B3844" t="s">
        <v>3589</v>
      </c>
    </row>
    <row r="3845" spans="1:2" x14ac:dyDescent="0.25">
      <c r="A3845" t="s">
        <v>11417</v>
      </c>
      <c r="B3845" t="s">
        <v>12529</v>
      </c>
    </row>
    <row r="3846" spans="1:2" x14ac:dyDescent="0.25">
      <c r="A3846" t="s">
        <v>3115</v>
      </c>
      <c r="B3846" t="s">
        <v>11417</v>
      </c>
    </row>
    <row r="3847" spans="1:2" x14ac:dyDescent="0.25">
      <c r="A3847" t="s">
        <v>8041</v>
      </c>
      <c r="B3847" t="s">
        <v>12529</v>
      </c>
    </row>
    <row r="3848" spans="1:2" x14ac:dyDescent="0.25">
      <c r="A3848" t="s">
        <v>9723</v>
      </c>
      <c r="B3848" t="s">
        <v>8041</v>
      </c>
    </row>
    <row r="3849" spans="1:2" x14ac:dyDescent="0.25">
      <c r="A3849" t="s">
        <v>11210</v>
      </c>
      <c r="B3849" t="s">
        <v>8041</v>
      </c>
    </row>
    <row r="3850" spans="1:2" x14ac:dyDescent="0.25">
      <c r="A3850" t="s">
        <v>4219</v>
      </c>
      <c r="B3850" t="s">
        <v>8041</v>
      </c>
    </row>
    <row r="3851" spans="1:2" x14ac:dyDescent="0.25">
      <c r="A3851" t="s">
        <v>6432</v>
      </c>
      <c r="B3851" t="s">
        <v>8041</v>
      </c>
    </row>
    <row r="3852" spans="1:2" x14ac:dyDescent="0.25">
      <c r="A3852" t="s">
        <v>3708</v>
      </c>
      <c r="B3852" t="s">
        <v>8041</v>
      </c>
    </row>
    <row r="3853" spans="1:2" x14ac:dyDescent="0.25">
      <c r="A3853" t="s">
        <v>6433</v>
      </c>
      <c r="B3853" t="s">
        <v>8041</v>
      </c>
    </row>
    <row r="3854" spans="1:2" x14ac:dyDescent="0.25">
      <c r="A3854" t="s">
        <v>5568</v>
      </c>
      <c r="B3854" t="s">
        <v>8041</v>
      </c>
    </row>
    <row r="3855" spans="1:2" x14ac:dyDescent="0.25">
      <c r="A3855" t="s">
        <v>3710</v>
      </c>
      <c r="B3855" t="s">
        <v>8041</v>
      </c>
    </row>
    <row r="3856" spans="1:2" x14ac:dyDescent="0.25">
      <c r="A3856" t="s">
        <v>13133</v>
      </c>
      <c r="B3856" t="s">
        <v>8041</v>
      </c>
    </row>
    <row r="3857" spans="1:2" x14ac:dyDescent="0.25">
      <c r="A3857" t="s">
        <v>13328</v>
      </c>
      <c r="B3857" t="s">
        <v>8041</v>
      </c>
    </row>
    <row r="3858" spans="1:2" x14ac:dyDescent="0.25">
      <c r="A3858" t="s">
        <v>6429</v>
      </c>
      <c r="B3858" t="s">
        <v>8041</v>
      </c>
    </row>
    <row r="3859" spans="1:2" x14ac:dyDescent="0.25">
      <c r="A3859" t="s">
        <v>3709</v>
      </c>
      <c r="B3859" t="s">
        <v>8041</v>
      </c>
    </row>
    <row r="3860" spans="1:2" x14ac:dyDescent="0.25">
      <c r="A3860" t="s">
        <v>10907</v>
      </c>
      <c r="B3860" t="s">
        <v>8041</v>
      </c>
    </row>
    <row r="3861" spans="1:2" x14ac:dyDescent="0.25">
      <c r="A3861" t="s">
        <v>13134</v>
      </c>
      <c r="B3861" t="s">
        <v>8041</v>
      </c>
    </row>
    <row r="3862" spans="1:2" x14ac:dyDescent="0.25">
      <c r="A3862" t="s">
        <v>3707</v>
      </c>
      <c r="B3862" t="s">
        <v>8041</v>
      </c>
    </row>
    <row r="3863" spans="1:2" x14ac:dyDescent="0.25">
      <c r="A3863" t="s">
        <v>14934</v>
      </c>
      <c r="B3863" t="s">
        <v>8041</v>
      </c>
    </row>
    <row r="3864" spans="1:2" x14ac:dyDescent="0.25">
      <c r="A3864" t="s">
        <v>14936</v>
      </c>
      <c r="B3864" t="s">
        <v>8041</v>
      </c>
    </row>
    <row r="3865" spans="1:2" x14ac:dyDescent="0.25">
      <c r="A3865" t="s">
        <v>14941</v>
      </c>
      <c r="B3865" t="s">
        <v>8041</v>
      </c>
    </row>
    <row r="3866" spans="1:2" x14ac:dyDescent="0.25">
      <c r="A3866" t="s">
        <v>14935</v>
      </c>
      <c r="B3866" t="s">
        <v>8041</v>
      </c>
    </row>
    <row r="3867" spans="1:2" x14ac:dyDescent="0.25">
      <c r="A3867" t="s">
        <v>14937</v>
      </c>
      <c r="B3867" t="s">
        <v>8041</v>
      </c>
    </row>
    <row r="3868" spans="1:2" x14ac:dyDescent="0.25">
      <c r="A3868" t="s">
        <v>14942</v>
      </c>
      <c r="B3868" t="s">
        <v>8041</v>
      </c>
    </row>
    <row r="3869" spans="1:2" x14ac:dyDescent="0.25">
      <c r="A3869" t="s">
        <v>14563</v>
      </c>
      <c r="B3869" t="s">
        <v>8041</v>
      </c>
    </row>
    <row r="3870" spans="1:2" x14ac:dyDescent="0.25">
      <c r="A3870" t="s">
        <v>14564</v>
      </c>
      <c r="B3870" t="s">
        <v>8041</v>
      </c>
    </row>
    <row r="3871" spans="1:2" x14ac:dyDescent="0.25">
      <c r="A3871" t="s">
        <v>14565</v>
      </c>
      <c r="B3871" t="s">
        <v>14564</v>
      </c>
    </row>
    <row r="3872" spans="1:2" x14ac:dyDescent="0.25">
      <c r="A3872" t="s">
        <v>14566</v>
      </c>
      <c r="B3872" t="s">
        <v>14564</v>
      </c>
    </row>
    <row r="3873" spans="1:2" x14ac:dyDescent="0.25">
      <c r="A3873" t="s">
        <v>14567</v>
      </c>
      <c r="B3873" t="s">
        <v>8041</v>
      </c>
    </row>
    <row r="3874" spans="1:2" x14ac:dyDescent="0.25">
      <c r="A3874" t="s">
        <v>14568</v>
      </c>
      <c r="B3874" t="s">
        <v>14567</v>
      </c>
    </row>
    <row r="3875" spans="1:2" x14ac:dyDescent="0.25">
      <c r="A3875" t="s">
        <v>14569</v>
      </c>
      <c r="B3875" t="s">
        <v>14567</v>
      </c>
    </row>
    <row r="3876" spans="1:2" x14ac:dyDescent="0.25">
      <c r="A3876" t="s">
        <v>14933</v>
      </c>
      <c r="B3876" t="s">
        <v>8041</v>
      </c>
    </row>
    <row r="3877" spans="1:2" x14ac:dyDescent="0.25">
      <c r="A3877" t="s">
        <v>14938</v>
      </c>
      <c r="B3877" t="s">
        <v>8041</v>
      </c>
    </row>
    <row r="3878" spans="1:2" x14ac:dyDescent="0.25">
      <c r="A3878" t="s">
        <v>14939</v>
      </c>
      <c r="B3878" t="s">
        <v>8041</v>
      </c>
    </row>
    <row r="3879" spans="1:2" x14ac:dyDescent="0.25">
      <c r="A3879" t="s">
        <v>14940</v>
      </c>
      <c r="B3879" t="s">
        <v>8041</v>
      </c>
    </row>
    <row r="3880" spans="1:2" x14ac:dyDescent="0.25">
      <c r="A3880" t="s">
        <v>5467</v>
      </c>
      <c r="B3880" t="s">
        <v>12529</v>
      </c>
    </row>
    <row r="3881" spans="1:2" x14ac:dyDescent="0.25">
      <c r="A3881" t="s">
        <v>12521</v>
      </c>
      <c r="B3881" t="s">
        <v>5467</v>
      </c>
    </row>
    <row r="3882" spans="1:2" x14ac:dyDescent="0.25">
      <c r="A3882" t="s">
        <v>12372</v>
      </c>
      <c r="B3882" t="s">
        <v>5467</v>
      </c>
    </row>
    <row r="3883" spans="1:2" x14ac:dyDescent="0.25">
      <c r="A3883" t="s">
        <v>14931</v>
      </c>
      <c r="B3883" t="s">
        <v>12529</v>
      </c>
    </row>
    <row r="3884" spans="1:2" x14ac:dyDescent="0.25">
      <c r="A3884" t="s">
        <v>3152</v>
      </c>
      <c r="B3884" t="s">
        <v>14931</v>
      </c>
    </row>
    <row r="3885" spans="1:2" x14ac:dyDescent="0.25">
      <c r="A3885" t="s">
        <v>5861</v>
      </c>
      <c r="B3885" t="s">
        <v>14931</v>
      </c>
    </row>
    <row r="3886" spans="1:2" x14ac:dyDescent="0.25">
      <c r="A3886" t="s">
        <v>13348</v>
      </c>
      <c r="B3886" t="s">
        <v>14931</v>
      </c>
    </row>
    <row r="3887" spans="1:2" x14ac:dyDescent="0.25">
      <c r="A3887" t="s">
        <v>9863</v>
      </c>
      <c r="B3887" t="s">
        <v>13348</v>
      </c>
    </row>
    <row r="3888" spans="1:2" x14ac:dyDescent="0.25">
      <c r="A3888" t="s">
        <v>14247</v>
      </c>
      <c r="B3888" t="s">
        <v>13348</v>
      </c>
    </row>
    <row r="3889" spans="1:2" x14ac:dyDescent="0.25">
      <c r="A3889" t="s">
        <v>14932</v>
      </c>
      <c r="B3889" t="s">
        <v>12529</v>
      </c>
    </row>
    <row r="3890" spans="1:2" x14ac:dyDescent="0.25">
      <c r="A3890" t="s">
        <v>12003</v>
      </c>
      <c r="B3890" t="s">
        <v>14932</v>
      </c>
    </row>
    <row r="3891" spans="1:2" x14ac:dyDescent="0.25">
      <c r="A3891" t="s">
        <v>12654</v>
      </c>
      <c r="B3891" t="s">
        <v>12003</v>
      </c>
    </row>
    <row r="3892" spans="1:2" x14ac:dyDescent="0.25">
      <c r="A3892" t="s">
        <v>10303</v>
      </c>
      <c r="B3892" t="s">
        <v>12654</v>
      </c>
    </row>
    <row r="3893" spans="1:2" x14ac:dyDescent="0.25">
      <c r="A3893" t="s">
        <v>11103</v>
      </c>
      <c r="B3893" t="s">
        <v>10303</v>
      </c>
    </row>
    <row r="3894" spans="1:2" x14ac:dyDescent="0.25">
      <c r="A3894" t="s">
        <v>9762</v>
      </c>
      <c r="B3894" t="s">
        <v>11103</v>
      </c>
    </row>
    <row r="3895" spans="1:2" x14ac:dyDescent="0.25">
      <c r="A3895" t="s">
        <v>6821</v>
      </c>
      <c r="B3895" t="s">
        <v>9762</v>
      </c>
    </row>
    <row r="3896" spans="1:2" x14ac:dyDescent="0.25">
      <c r="A3896" t="s">
        <v>8971</v>
      </c>
      <c r="B3896" t="s">
        <v>9762</v>
      </c>
    </row>
    <row r="3897" spans="1:2" x14ac:dyDescent="0.25">
      <c r="A3897" t="s">
        <v>9763</v>
      </c>
      <c r="B3897" t="s">
        <v>11103</v>
      </c>
    </row>
    <row r="3898" spans="1:2" x14ac:dyDescent="0.25">
      <c r="A3898" t="s">
        <v>5502</v>
      </c>
      <c r="B3898" t="s">
        <v>9763</v>
      </c>
    </row>
    <row r="3899" spans="1:2" x14ac:dyDescent="0.25">
      <c r="A3899" t="s">
        <v>5059</v>
      </c>
      <c r="B3899" t="s">
        <v>9763</v>
      </c>
    </row>
    <row r="3900" spans="1:2" x14ac:dyDescent="0.25">
      <c r="A3900" t="s">
        <v>6439</v>
      </c>
      <c r="B3900" t="s">
        <v>9763</v>
      </c>
    </row>
    <row r="3901" spans="1:2" x14ac:dyDescent="0.25">
      <c r="A3901" t="s">
        <v>12383</v>
      </c>
      <c r="B3901" t="s">
        <v>10303</v>
      </c>
    </row>
    <row r="3902" spans="1:2" x14ac:dyDescent="0.25">
      <c r="A3902" t="s">
        <v>9764</v>
      </c>
      <c r="B3902" t="s">
        <v>12383</v>
      </c>
    </row>
    <row r="3903" spans="1:2" x14ac:dyDescent="0.25">
      <c r="A3903" t="s">
        <v>9390</v>
      </c>
      <c r="B3903" t="s">
        <v>9764</v>
      </c>
    </row>
    <row r="3904" spans="1:2" x14ac:dyDescent="0.25">
      <c r="A3904" t="s">
        <v>8972</v>
      </c>
      <c r="B3904" t="s">
        <v>9764</v>
      </c>
    </row>
    <row r="3905" spans="1:2" x14ac:dyDescent="0.25">
      <c r="A3905" t="s">
        <v>9765</v>
      </c>
      <c r="B3905" t="s">
        <v>12383</v>
      </c>
    </row>
    <row r="3906" spans="1:2" x14ac:dyDescent="0.25">
      <c r="A3906" t="s">
        <v>6325</v>
      </c>
      <c r="B3906" t="s">
        <v>9765</v>
      </c>
    </row>
    <row r="3907" spans="1:2" x14ac:dyDescent="0.25">
      <c r="A3907" t="s">
        <v>4636</v>
      </c>
      <c r="B3907" t="s">
        <v>9765</v>
      </c>
    </row>
    <row r="3908" spans="1:2" x14ac:dyDescent="0.25">
      <c r="A3908" t="s">
        <v>3712</v>
      </c>
      <c r="B3908" t="s">
        <v>9765</v>
      </c>
    </row>
    <row r="3909" spans="1:2" x14ac:dyDescent="0.25">
      <c r="A3909" t="s">
        <v>12075</v>
      </c>
      <c r="B3909" t="s">
        <v>10303</v>
      </c>
    </row>
    <row r="3910" spans="1:2" x14ac:dyDescent="0.25">
      <c r="A3910" t="s">
        <v>9766</v>
      </c>
      <c r="B3910" t="s">
        <v>12075</v>
      </c>
    </row>
    <row r="3911" spans="1:2" x14ac:dyDescent="0.25">
      <c r="A3911" t="s">
        <v>6326</v>
      </c>
      <c r="B3911" t="s">
        <v>9766</v>
      </c>
    </row>
    <row r="3912" spans="1:2" x14ac:dyDescent="0.25">
      <c r="A3912" t="s">
        <v>9391</v>
      </c>
      <c r="B3912" t="s">
        <v>9766</v>
      </c>
    </row>
    <row r="3913" spans="1:2" x14ac:dyDescent="0.25">
      <c r="A3913" t="s">
        <v>8973</v>
      </c>
      <c r="B3913" t="s">
        <v>9766</v>
      </c>
    </row>
    <row r="3914" spans="1:2" x14ac:dyDescent="0.25">
      <c r="A3914" t="s">
        <v>9767</v>
      </c>
      <c r="B3914" t="s">
        <v>12075</v>
      </c>
    </row>
    <row r="3915" spans="1:2" x14ac:dyDescent="0.25">
      <c r="A3915" t="s">
        <v>4637</v>
      </c>
      <c r="B3915" t="s">
        <v>9767</v>
      </c>
    </row>
    <row r="3916" spans="1:2" x14ac:dyDescent="0.25">
      <c r="A3916" t="s">
        <v>7455</v>
      </c>
      <c r="B3916" t="s">
        <v>9767</v>
      </c>
    </row>
    <row r="3917" spans="1:2" x14ac:dyDescent="0.25">
      <c r="A3917" t="s">
        <v>8076</v>
      </c>
      <c r="B3917" t="s">
        <v>10303</v>
      </c>
    </row>
    <row r="3918" spans="1:2" x14ac:dyDescent="0.25">
      <c r="A3918" t="s">
        <v>9768</v>
      </c>
      <c r="B3918" t="s">
        <v>8076</v>
      </c>
    </row>
    <row r="3919" spans="1:2" x14ac:dyDescent="0.25">
      <c r="A3919" t="s">
        <v>9769</v>
      </c>
      <c r="B3919" t="s">
        <v>8076</v>
      </c>
    </row>
    <row r="3920" spans="1:2" x14ac:dyDescent="0.25">
      <c r="A3920" t="s">
        <v>14328</v>
      </c>
      <c r="B3920" t="s">
        <v>10303</v>
      </c>
    </row>
    <row r="3921" spans="1:2" x14ac:dyDescent="0.25">
      <c r="A3921" t="s">
        <v>14329</v>
      </c>
      <c r="B3921" t="s">
        <v>14328</v>
      </c>
    </row>
    <row r="3922" spans="1:2" x14ac:dyDescent="0.25">
      <c r="A3922" t="s">
        <v>14330</v>
      </c>
      <c r="B3922" t="s">
        <v>14328</v>
      </c>
    </row>
    <row r="3923" spans="1:2" x14ac:dyDescent="0.25">
      <c r="A3923" t="s">
        <v>14331</v>
      </c>
      <c r="B3923" t="s">
        <v>14328</v>
      </c>
    </row>
    <row r="3924" spans="1:2" x14ac:dyDescent="0.25">
      <c r="A3924" t="s">
        <v>14332</v>
      </c>
      <c r="B3924" t="s">
        <v>14331</v>
      </c>
    </row>
    <row r="3925" spans="1:2" x14ac:dyDescent="0.25">
      <c r="A3925" t="s">
        <v>14333</v>
      </c>
      <c r="B3925" t="s">
        <v>14331</v>
      </c>
    </row>
    <row r="3926" spans="1:2" x14ac:dyDescent="0.25">
      <c r="A3926" t="s">
        <v>7456</v>
      </c>
      <c r="B3926" t="s">
        <v>12654</v>
      </c>
    </row>
    <row r="3927" spans="1:2" x14ac:dyDescent="0.25">
      <c r="A3927" t="s">
        <v>8974</v>
      </c>
      <c r="B3927" t="s">
        <v>7456</v>
      </c>
    </row>
    <row r="3928" spans="1:2" x14ac:dyDescent="0.25">
      <c r="A3928" t="s">
        <v>9770</v>
      </c>
      <c r="B3928" t="s">
        <v>8974</v>
      </c>
    </row>
    <row r="3929" spans="1:2" x14ac:dyDescent="0.25">
      <c r="A3929" t="s">
        <v>6327</v>
      </c>
      <c r="B3929" t="s">
        <v>9770</v>
      </c>
    </row>
    <row r="3930" spans="1:2" x14ac:dyDescent="0.25">
      <c r="A3930" t="s">
        <v>9771</v>
      </c>
      <c r="B3930" t="s">
        <v>8974</v>
      </c>
    </row>
    <row r="3931" spans="1:2" x14ac:dyDescent="0.25">
      <c r="A3931" t="s">
        <v>5060</v>
      </c>
      <c r="B3931" t="s">
        <v>9771</v>
      </c>
    </row>
    <row r="3932" spans="1:2" x14ac:dyDescent="0.25">
      <c r="A3932" t="s">
        <v>5503</v>
      </c>
      <c r="B3932" t="s">
        <v>9771</v>
      </c>
    </row>
    <row r="3933" spans="1:2" x14ac:dyDescent="0.25">
      <c r="A3933" t="s">
        <v>4638</v>
      </c>
      <c r="B3933" t="s">
        <v>9771</v>
      </c>
    </row>
    <row r="3934" spans="1:2" x14ac:dyDescent="0.25">
      <c r="A3934" t="s">
        <v>5061</v>
      </c>
      <c r="B3934" t="s">
        <v>9771</v>
      </c>
    </row>
    <row r="3935" spans="1:2" x14ac:dyDescent="0.25">
      <c r="A3935" t="s">
        <v>6440</v>
      </c>
      <c r="B3935" t="s">
        <v>9771</v>
      </c>
    </row>
    <row r="3936" spans="1:2" x14ac:dyDescent="0.25">
      <c r="A3936" t="s">
        <v>3711</v>
      </c>
      <c r="B3936" t="s">
        <v>9771</v>
      </c>
    </row>
    <row r="3937" spans="1:2" x14ac:dyDescent="0.25">
      <c r="A3937" t="s">
        <v>3715</v>
      </c>
      <c r="B3937" t="s">
        <v>9771</v>
      </c>
    </row>
    <row r="3938" spans="1:2" x14ac:dyDescent="0.25">
      <c r="A3938" t="s">
        <v>11104</v>
      </c>
      <c r="B3938" t="s">
        <v>7456</v>
      </c>
    </row>
    <row r="3939" spans="1:2" x14ac:dyDescent="0.25">
      <c r="A3939" t="s">
        <v>9772</v>
      </c>
      <c r="B3939" t="s">
        <v>11104</v>
      </c>
    </row>
    <row r="3940" spans="1:2" x14ac:dyDescent="0.25">
      <c r="A3940" t="s">
        <v>8975</v>
      </c>
      <c r="B3940" t="s">
        <v>9772</v>
      </c>
    </row>
    <row r="3941" spans="1:2" x14ac:dyDescent="0.25">
      <c r="A3941" t="s">
        <v>9773</v>
      </c>
      <c r="B3941" t="s">
        <v>11104</v>
      </c>
    </row>
    <row r="3942" spans="1:2" x14ac:dyDescent="0.25">
      <c r="A3942" t="s">
        <v>4639</v>
      </c>
      <c r="B3942" t="s">
        <v>9773</v>
      </c>
    </row>
    <row r="3943" spans="1:2" x14ac:dyDescent="0.25">
      <c r="A3943" t="s">
        <v>6328</v>
      </c>
      <c r="B3943" t="s">
        <v>9773</v>
      </c>
    </row>
    <row r="3944" spans="1:2" x14ac:dyDescent="0.25">
      <c r="A3944" t="s">
        <v>4137</v>
      </c>
      <c r="B3944" t="s">
        <v>9773</v>
      </c>
    </row>
    <row r="3945" spans="1:2" x14ac:dyDescent="0.25">
      <c r="A3945" t="s">
        <v>5874</v>
      </c>
      <c r="B3945" t="s">
        <v>9773</v>
      </c>
    </row>
    <row r="3946" spans="1:2" x14ac:dyDescent="0.25">
      <c r="A3946" t="s">
        <v>3204</v>
      </c>
      <c r="B3946" t="s">
        <v>9773</v>
      </c>
    </row>
    <row r="3947" spans="1:2" x14ac:dyDescent="0.25">
      <c r="A3947" t="s">
        <v>10797</v>
      </c>
      <c r="B3947" t="s">
        <v>7456</v>
      </c>
    </row>
    <row r="3948" spans="1:2" x14ac:dyDescent="0.25">
      <c r="A3948" t="s">
        <v>9774</v>
      </c>
      <c r="B3948" t="s">
        <v>10797</v>
      </c>
    </row>
    <row r="3949" spans="1:2" x14ac:dyDescent="0.25">
      <c r="A3949" t="s">
        <v>8576</v>
      </c>
      <c r="B3949" t="s">
        <v>9774</v>
      </c>
    </row>
    <row r="3950" spans="1:2" x14ac:dyDescent="0.25">
      <c r="A3950" t="s">
        <v>9775</v>
      </c>
      <c r="B3950" t="s">
        <v>10797</v>
      </c>
    </row>
    <row r="3951" spans="1:2" x14ac:dyDescent="0.25">
      <c r="A3951" t="s">
        <v>8077</v>
      </c>
      <c r="B3951" t="s">
        <v>9775</v>
      </c>
    </row>
    <row r="3952" spans="1:2" x14ac:dyDescent="0.25">
      <c r="A3952" t="s">
        <v>4640</v>
      </c>
      <c r="B3952" t="s">
        <v>9775</v>
      </c>
    </row>
    <row r="3953" spans="1:2" x14ac:dyDescent="0.25">
      <c r="A3953" t="s">
        <v>2704</v>
      </c>
      <c r="B3953" t="s">
        <v>9775</v>
      </c>
    </row>
    <row r="3954" spans="1:2" x14ac:dyDescent="0.25">
      <c r="A3954" t="s">
        <v>7457</v>
      </c>
      <c r="B3954" t="s">
        <v>9775</v>
      </c>
    </row>
    <row r="3955" spans="1:2" x14ac:dyDescent="0.25">
      <c r="A3955" t="s">
        <v>4138</v>
      </c>
      <c r="B3955" t="s">
        <v>9775</v>
      </c>
    </row>
    <row r="3956" spans="1:2" x14ac:dyDescent="0.25">
      <c r="A3956" t="s">
        <v>2286</v>
      </c>
      <c r="B3956" t="s">
        <v>9775</v>
      </c>
    </row>
    <row r="3957" spans="1:2" x14ac:dyDescent="0.25">
      <c r="A3957" t="s">
        <v>9392</v>
      </c>
      <c r="B3957" t="s">
        <v>7456</v>
      </c>
    </row>
    <row r="3958" spans="1:2" x14ac:dyDescent="0.25">
      <c r="A3958" t="s">
        <v>9776</v>
      </c>
      <c r="B3958" t="s">
        <v>9392</v>
      </c>
    </row>
    <row r="3959" spans="1:2" x14ac:dyDescent="0.25">
      <c r="A3959" t="s">
        <v>8577</v>
      </c>
      <c r="B3959" t="s">
        <v>9776</v>
      </c>
    </row>
    <row r="3960" spans="1:2" x14ac:dyDescent="0.25">
      <c r="A3960" t="s">
        <v>3604</v>
      </c>
      <c r="B3960" t="s">
        <v>9776</v>
      </c>
    </row>
    <row r="3961" spans="1:2" x14ac:dyDescent="0.25">
      <c r="A3961" t="s">
        <v>9777</v>
      </c>
      <c r="B3961" t="s">
        <v>9392</v>
      </c>
    </row>
    <row r="3962" spans="1:2" x14ac:dyDescent="0.25">
      <c r="A3962" t="s">
        <v>14578</v>
      </c>
      <c r="B3962" t="s">
        <v>7456</v>
      </c>
    </row>
    <row r="3963" spans="1:2" x14ac:dyDescent="0.25">
      <c r="A3963" t="s">
        <v>14579</v>
      </c>
      <c r="B3963" t="s">
        <v>14578</v>
      </c>
    </row>
    <row r="3964" spans="1:2" x14ac:dyDescent="0.25">
      <c r="A3964" t="s">
        <v>14580</v>
      </c>
      <c r="B3964" t="s">
        <v>14578</v>
      </c>
    </row>
    <row r="3965" spans="1:2" x14ac:dyDescent="0.25">
      <c r="A3965" t="s">
        <v>14581</v>
      </c>
      <c r="B3965" t="s">
        <v>14580</v>
      </c>
    </row>
    <row r="3966" spans="1:2" x14ac:dyDescent="0.25">
      <c r="A3966" t="s">
        <v>14582</v>
      </c>
      <c r="B3966" t="s">
        <v>14580</v>
      </c>
    </row>
    <row r="3967" spans="1:2" x14ac:dyDescent="0.25">
      <c r="A3967" t="s">
        <v>14583</v>
      </c>
      <c r="B3967" t="s">
        <v>14578</v>
      </c>
    </row>
    <row r="3968" spans="1:2" x14ac:dyDescent="0.25">
      <c r="A3968" t="s">
        <v>14584</v>
      </c>
      <c r="B3968" t="s">
        <v>14583</v>
      </c>
    </row>
    <row r="3969" spans="1:2" x14ac:dyDescent="0.25">
      <c r="A3969" t="s">
        <v>14585</v>
      </c>
      <c r="B3969" t="s">
        <v>14583</v>
      </c>
    </row>
    <row r="3970" spans="1:2" x14ac:dyDescent="0.25">
      <c r="A3970" t="s">
        <v>12076</v>
      </c>
      <c r="B3970" t="s">
        <v>12654</v>
      </c>
    </row>
    <row r="3971" spans="1:2" x14ac:dyDescent="0.25">
      <c r="A3971" t="s">
        <v>12586</v>
      </c>
      <c r="B3971" t="s">
        <v>12076</v>
      </c>
    </row>
    <row r="3972" spans="1:2" x14ac:dyDescent="0.25">
      <c r="A3972" t="s">
        <v>9778</v>
      </c>
      <c r="B3972" t="s">
        <v>12586</v>
      </c>
    </row>
    <row r="3973" spans="1:2" x14ac:dyDescent="0.25">
      <c r="A3973" t="s">
        <v>8078</v>
      </c>
      <c r="B3973" t="s">
        <v>9778</v>
      </c>
    </row>
    <row r="3974" spans="1:2" x14ac:dyDescent="0.25">
      <c r="A3974" t="s">
        <v>5062</v>
      </c>
      <c r="B3974" t="s">
        <v>9778</v>
      </c>
    </row>
    <row r="3975" spans="1:2" x14ac:dyDescent="0.25">
      <c r="A3975" t="s">
        <v>12692</v>
      </c>
      <c r="B3975" t="s">
        <v>12076</v>
      </c>
    </row>
    <row r="3976" spans="1:2" x14ac:dyDescent="0.25">
      <c r="A3976" t="s">
        <v>9779</v>
      </c>
      <c r="B3976" t="s">
        <v>12692</v>
      </c>
    </row>
    <row r="3977" spans="1:2" x14ac:dyDescent="0.25">
      <c r="A3977" t="s">
        <v>12787</v>
      </c>
      <c r="B3977" t="s">
        <v>12076</v>
      </c>
    </row>
    <row r="3978" spans="1:2" x14ac:dyDescent="0.25">
      <c r="A3978" t="s">
        <v>9780</v>
      </c>
      <c r="B3978" t="s">
        <v>12787</v>
      </c>
    </row>
    <row r="3979" spans="1:2" x14ac:dyDescent="0.25">
      <c r="A3979" t="s">
        <v>9781</v>
      </c>
      <c r="B3979" t="s">
        <v>9780</v>
      </c>
    </row>
    <row r="3980" spans="1:2" x14ac:dyDescent="0.25">
      <c r="A3980" t="s">
        <v>9782</v>
      </c>
      <c r="B3980" t="s">
        <v>12787</v>
      </c>
    </row>
    <row r="3981" spans="1:2" x14ac:dyDescent="0.25">
      <c r="A3981" t="s">
        <v>12788</v>
      </c>
      <c r="B3981" t="s">
        <v>12076</v>
      </c>
    </row>
    <row r="3982" spans="1:2" x14ac:dyDescent="0.25">
      <c r="A3982" t="s">
        <v>9783</v>
      </c>
      <c r="B3982" t="s">
        <v>12788</v>
      </c>
    </row>
    <row r="3983" spans="1:2" x14ac:dyDescent="0.25">
      <c r="A3983" t="s">
        <v>4641</v>
      </c>
      <c r="B3983" t="s">
        <v>9783</v>
      </c>
    </row>
    <row r="3984" spans="1:2" x14ac:dyDescent="0.25">
      <c r="A3984" t="s">
        <v>9784</v>
      </c>
      <c r="B3984" t="s">
        <v>12788</v>
      </c>
    </row>
    <row r="3985" spans="1:2" x14ac:dyDescent="0.25">
      <c r="A3985" t="s">
        <v>12789</v>
      </c>
      <c r="B3985" t="s">
        <v>12076</v>
      </c>
    </row>
    <row r="3986" spans="1:2" x14ac:dyDescent="0.25">
      <c r="A3986" t="s">
        <v>9785</v>
      </c>
      <c r="B3986" t="s">
        <v>12789</v>
      </c>
    </row>
    <row r="3987" spans="1:2" x14ac:dyDescent="0.25">
      <c r="A3987" t="s">
        <v>11863</v>
      </c>
      <c r="B3987" t="s">
        <v>9785</v>
      </c>
    </row>
    <row r="3988" spans="1:2" x14ac:dyDescent="0.25">
      <c r="A3988" t="s">
        <v>9786</v>
      </c>
      <c r="B3988" t="s">
        <v>12789</v>
      </c>
    </row>
    <row r="3989" spans="1:2" x14ac:dyDescent="0.25">
      <c r="A3989" t="s">
        <v>520</v>
      </c>
      <c r="B3989" t="s">
        <v>12076</v>
      </c>
    </row>
    <row r="3990" spans="1:2" x14ac:dyDescent="0.25">
      <c r="A3990" t="s">
        <v>9787</v>
      </c>
      <c r="B3990" t="s">
        <v>520</v>
      </c>
    </row>
    <row r="3991" spans="1:2" x14ac:dyDescent="0.25">
      <c r="A3991" t="s">
        <v>11105</v>
      </c>
      <c r="B3991" t="s">
        <v>9787</v>
      </c>
    </row>
    <row r="3992" spans="1:2" x14ac:dyDescent="0.25">
      <c r="A3992" t="s">
        <v>9788</v>
      </c>
      <c r="B3992" t="s">
        <v>520</v>
      </c>
    </row>
    <row r="3993" spans="1:2" x14ac:dyDescent="0.25">
      <c r="A3993" t="s">
        <v>8578</v>
      </c>
      <c r="B3993" t="s">
        <v>12076</v>
      </c>
    </row>
    <row r="3994" spans="1:2" x14ac:dyDescent="0.25">
      <c r="A3994" t="s">
        <v>9789</v>
      </c>
      <c r="B3994" t="s">
        <v>8578</v>
      </c>
    </row>
    <row r="3995" spans="1:2" x14ac:dyDescent="0.25">
      <c r="A3995" t="s">
        <v>5875</v>
      </c>
      <c r="B3995" t="s">
        <v>9789</v>
      </c>
    </row>
    <row r="3996" spans="1:2" x14ac:dyDescent="0.25">
      <c r="A3996" t="s">
        <v>11650</v>
      </c>
      <c r="B3996" t="s">
        <v>12076</v>
      </c>
    </row>
    <row r="3997" spans="1:2" x14ac:dyDescent="0.25">
      <c r="A3997" t="s">
        <v>9790</v>
      </c>
      <c r="B3997" t="s">
        <v>11650</v>
      </c>
    </row>
    <row r="3998" spans="1:2" x14ac:dyDescent="0.25">
      <c r="A3998" t="s">
        <v>5504</v>
      </c>
      <c r="B3998" t="s">
        <v>9790</v>
      </c>
    </row>
    <row r="3999" spans="1:2" x14ac:dyDescent="0.25">
      <c r="A3999" t="s">
        <v>9791</v>
      </c>
      <c r="B3999" t="s">
        <v>11650</v>
      </c>
    </row>
    <row r="4000" spans="1:2" x14ac:dyDescent="0.25">
      <c r="A4000" t="s">
        <v>9050</v>
      </c>
      <c r="B4000" t="s">
        <v>12654</v>
      </c>
    </row>
    <row r="4001" spans="1:2" x14ac:dyDescent="0.25">
      <c r="A4001" t="s">
        <v>11075</v>
      </c>
      <c r="B4001" t="s">
        <v>12003</v>
      </c>
    </row>
    <row r="4002" spans="1:2" x14ac:dyDescent="0.25">
      <c r="A4002" t="s">
        <v>11838</v>
      </c>
      <c r="B4002" t="s">
        <v>12003</v>
      </c>
    </row>
    <row r="4003" spans="1:2" x14ac:dyDescent="0.25">
      <c r="A4003" t="s">
        <v>12655</v>
      </c>
      <c r="B4003" t="s">
        <v>12003</v>
      </c>
    </row>
    <row r="4004" spans="1:2" x14ac:dyDescent="0.25">
      <c r="A4004" t="s">
        <v>11839</v>
      </c>
      <c r="B4004" t="s">
        <v>12003</v>
      </c>
    </row>
    <row r="4005" spans="1:2" x14ac:dyDescent="0.25">
      <c r="A4005" t="s">
        <v>11076</v>
      </c>
      <c r="B4005" t="s">
        <v>12003</v>
      </c>
    </row>
    <row r="4006" spans="1:2" x14ac:dyDescent="0.25">
      <c r="A4006" t="s">
        <v>9725</v>
      </c>
      <c r="B4006" t="s">
        <v>12003</v>
      </c>
    </row>
    <row r="4007" spans="1:2" x14ac:dyDescent="0.25">
      <c r="A4007" t="s">
        <v>5025</v>
      </c>
      <c r="B4007" t="s">
        <v>12003</v>
      </c>
    </row>
    <row r="4008" spans="1:2" x14ac:dyDescent="0.25">
      <c r="A4008" t="s">
        <v>5468</v>
      </c>
      <c r="B4008" t="s">
        <v>12003</v>
      </c>
    </row>
    <row r="4009" spans="1:2" x14ac:dyDescent="0.25">
      <c r="A4009" t="s">
        <v>12530</v>
      </c>
      <c r="B4009" t="s">
        <v>12003</v>
      </c>
    </row>
    <row r="4010" spans="1:2" x14ac:dyDescent="0.25">
      <c r="A4010" t="s">
        <v>9324</v>
      </c>
      <c r="B4010" t="s">
        <v>12003</v>
      </c>
    </row>
    <row r="4011" spans="1:2" x14ac:dyDescent="0.25">
      <c r="A4011" t="s">
        <v>12531</v>
      </c>
      <c r="B4011" t="s">
        <v>12003</v>
      </c>
    </row>
    <row r="4012" spans="1:2" x14ac:dyDescent="0.25">
      <c r="A4012" t="s">
        <v>12339</v>
      </c>
      <c r="B4012" t="s">
        <v>14932</v>
      </c>
    </row>
    <row r="4013" spans="1:2" x14ac:dyDescent="0.25">
      <c r="A4013" t="s">
        <v>12743</v>
      </c>
      <c r="B4013" t="s">
        <v>12339</v>
      </c>
    </row>
    <row r="4014" spans="1:2" x14ac:dyDescent="0.25">
      <c r="A4014" t="s">
        <v>10315</v>
      </c>
      <c r="B4014" t="s">
        <v>12743</v>
      </c>
    </row>
    <row r="4015" spans="1:2" x14ac:dyDescent="0.25">
      <c r="A4015" t="s">
        <v>11114</v>
      </c>
      <c r="B4015" t="s">
        <v>10315</v>
      </c>
    </row>
    <row r="4016" spans="1:2" x14ac:dyDescent="0.25">
      <c r="A4016" t="s">
        <v>7470</v>
      </c>
      <c r="B4016" t="s">
        <v>11114</v>
      </c>
    </row>
    <row r="4017" spans="1:2" x14ac:dyDescent="0.25">
      <c r="A4017" t="s">
        <v>7471</v>
      </c>
      <c r="B4017" t="s">
        <v>7470</v>
      </c>
    </row>
    <row r="4018" spans="1:2" x14ac:dyDescent="0.25">
      <c r="A4018" t="s">
        <v>6829</v>
      </c>
      <c r="B4018" t="s">
        <v>7470</v>
      </c>
    </row>
    <row r="4019" spans="1:2" x14ac:dyDescent="0.25">
      <c r="A4019" t="s">
        <v>6830</v>
      </c>
      <c r="B4019" t="s">
        <v>7470</v>
      </c>
    </row>
    <row r="4020" spans="1:2" x14ac:dyDescent="0.25">
      <c r="A4020" t="s">
        <v>523</v>
      </c>
      <c r="B4020" t="s">
        <v>11114</v>
      </c>
    </row>
    <row r="4021" spans="1:2" x14ac:dyDescent="0.25">
      <c r="A4021" t="s">
        <v>12391</v>
      </c>
      <c r="B4021" t="s">
        <v>10315</v>
      </c>
    </row>
    <row r="4022" spans="1:2" x14ac:dyDescent="0.25">
      <c r="A4022" t="s">
        <v>7472</v>
      </c>
      <c r="B4022" t="s">
        <v>12391</v>
      </c>
    </row>
    <row r="4023" spans="1:2" x14ac:dyDescent="0.25">
      <c r="A4023" t="s">
        <v>9403</v>
      </c>
      <c r="B4023" t="s">
        <v>7472</v>
      </c>
    </row>
    <row r="4024" spans="1:2" x14ac:dyDescent="0.25">
      <c r="A4024" t="s">
        <v>10808</v>
      </c>
      <c r="B4024" t="s">
        <v>10315</v>
      </c>
    </row>
    <row r="4025" spans="1:2" x14ac:dyDescent="0.25">
      <c r="A4025" t="s">
        <v>6336</v>
      </c>
      <c r="B4025" t="s">
        <v>10808</v>
      </c>
    </row>
    <row r="4026" spans="1:2" x14ac:dyDescent="0.25">
      <c r="A4026" t="s">
        <v>8984</v>
      </c>
      <c r="B4026" t="s">
        <v>10315</v>
      </c>
    </row>
    <row r="4027" spans="1:2" x14ac:dyDescent="0.25">
      <c r="A4027" t="s">
        <v>6831</v>
      </c>
      <c r="B4027" t="s">
        <v>8984</v>
      </c>
    </row>
    <row r="4028" spans="1:2" x14ac:dyDescent="0.25">
      <c r="A4028" t="s">
        <v>12088</v>
      </c>
      <c r="B4028" t="s">
        <v>10315</v>
      </c>
    </row>
    <row r="4029" spans="1:2" x14ac:dyDescent="0.25">
      <c r="A4029" t="s">
        <v>6833</v>
      </c>
      <c r="B4029" t="s">
        <v>12088</v>
      </c>
    </row>
    <row r="4030" spans="1:2" x14ac:dyDescent="0.25">
      <c r="A4030" t="s">
        <v>8086</v>
      </c>
      <c r="B4030" t="s">
        <v>6833</v>
      </c>
    </row>
    <row r="4031" spans="1:2" x14ac:dyDescent="0.25">
      <c r="A4031" t="s">
        <v>6834</v>
      </c>
      <c r="B4031" t="s">
        <v>6833</v>
      </c>
    </row>
    <row r="4032" spans="1:2" x14ac:dyDescent="0.25">
      <c r="A4032" t="s">
        <v>14316</v>
      </c>
      <c r="B4032" t="s">
        <v>10315</v>
      </c>
    </row>
    <row r="4033" spans="1:2" x14ac:dyDescent="0.25">
      <c r="A4033" t="s">
        <v>14317</v>
      </c>
      <c r="B4033" t="s">
        <v>14316</v>
      </c>
    </row>
    <row r="4034" spans="1:2" x14ac:dyDescent="0.25">
      <c r="A4034" t="s">
        <v>14318</v>
      </c>
      <c r="B4034" t="s">
        <v>14316</v>
      </c>
    </row>
    <row r="4035" spans="1:2" x14ac:dyDescent="0.25">
      <c r="A4035" t="s">
        <v>14319</v>
      </c>
      <c r="B4035" t="s">
        <v>14316</v>
      </c>
    </row>
    <row r="4036" spans="1:2" x14ac:dyDescent="0.25">
      <c r="A4036" t="s">
        <v>14320</v>
      </c>
      <c r="B4036" t="s">
        <v>14319</v>
      </c>
    </row>
    <row r="4037" spans="1:2" x14ac:dyDescent="0.25">
      <c r="A4037" t="s">
        <v>14321</v>
      </c>
      <c r="B4037" t="s">
        <v>14319</v>
      </c>
    </row>
    <row r="4038" spans="1:2" x14ac:dyDescent="0.25">
      <c r="A4038" t="s">
        <v>7473</v>
      </c>
      <c r="B4038" t="s">
        <v>12743</v>
      </c>
    </row>
    <row r="4039" spans="1:2" x14ac:dyDescent="0.25">
      <c r="A4039" t="s">
        <v>8987</v>
      </c>
      <c r="B4039" t="s">
        <v>7473</v>
      </c>
    </row>
    <row r="4040" spans="1:2" x14ac:dyDescent="0.25">
      <c r="A4040" t="s">
        <v>8587</v>
      </c>
      <c r="B4040" t="s">
        <v>8987</v>
      </c>
    </row>
    <row r="4041" spans="1:2" x14ac:dyDescent="0.25">
      <c r="A4041" t="s">
        <v>524</v>
      </c>
      <c r="B4041" t="s">
        <v>8987</v>
      </c>
    </row>
    <row r="4042" spans="1:2" x14ac:dyDescent="0.25">
      <c r="A4042" t="s">
        <v>11116</v>
      </c>
      <c r="B4042" t="s">
        <v>7473</v>
      </c>
    </row>
    <row r="4043" spans="1:2" x14ac:dyDescent="0.25">
      <c r="A4043" t="s">
        <v>8588</v>
      </c>
      <c r="B4043" t="s">
        <v>11116</v>
      </c>
    </row>
    <row r="4044" spans="1:2" x14ac:dyDescent="0.25">
      <c r="A4044" t="s">
        <v>525</v>
      </c>
      <c r="B4044" t="s">
        <v>11116</v>
      </c>
    </row>
    <row r="4045" spans="1:2" x14ac:dyDescent="0.25">
      <c r="A4045" t="s">
        <v>8589</v>
      </c>
      <c r="B4045" t="s">
        <v>7473</v>
      </c>
    </row>
    <row r="4046" spans="1:2" x14ac:dyDescent="0.25">
      <c r="A4046" t="s">
        <v>7474</v>
      </c>
      <c r="B4046" t="s">
        <v>8589</v>
      </c>
    </row>
    <row r="4047" spans="1:2" x14ac:dyDescent="0.25">
      <c r="A4047" t="s">
        <v>282</v>
      </c>
      <c r="B4047" t="s">
        <v>8589</v>
      </c>
    </row>
    <row r="4048" spans="1:2" x14ac:dyDescent="0.25">
      <c r="A4048" t="s">
        <v>6337</v>
      </c>
      <c r="B4048" t="s">
        <v>7473</v>
      </c>
    </row>
    <row r="4049" spans="1:2" x14ac:dyDescent="0.25">
      <c r="A4049" t="s">
        <v>8087</v>
      </c>
      <c r="B4049" t="s">
        <v>6337</v>
      </c>
    </row>
    <row r="4050" spans="1:2" x14ac:dyDescent="0.25">
      <c r="A4050" t="s">
        <v>422</v>
      </c>
      <c r="B4050" t="s">
        <v>6337</v>
      </c>
    </row>
    <row r="4051" spans="1:2" x14ac:dyDescent="0.25">
      <c r="A4051" t="s">
        <v>10810</v>
      </c>
      <c r="B4051" t="s">
        <v>7473</v>
      </c>
    </row>
    <row r="4052" spans="1:2" x14ac:dyDescent="0.25">
      <c r="A4052" t="s">
        <v>423</v>
      </c>
      <c r="B4052" t="s">
        <v>10810</v>
      </c>
    </row>
    <row r="4053" spans="1:2" x14ac:dyDescent="0.25">
      <c r="A4053" t="s">
        <v>9404</v>
      </c>
      <c r="B4053" t="s">
        <v>7473</v>
      </c>
    </row>
    <row r="4054" spans="1:2" x14ac:dyDescent="0.25">
      <c r="A4054" t="s">
        <v>2706</v>
      </c>
      <c r="B4054" t="s">
        <v>9404</v>
      </c>
    </row>
    <row r="4055" spans="1:2" x14ac:dyDescent="0.25">
      <c r="A4055" t="s">
        <v>2288</v>
      </c>
      <c r="B4055" t="s">
        <v>9404</v>
      </c>
    </row>
    <row r="4056" spans="1:2" x14ac:dyDescent="0.25">
      <c r="A4056" t="s">
        <v>14570</v>
      </c>
      <c r="B4056" t="s">
        <v>7473</v>
      </c>
    </row>
    <row r="4057" spans="1:2" x14ac:dyDescent="0.25">
      <c r="A4057" t="s">
        <v>14571</v>
      </c>
      <c r="B4057" t="s">
        <v>14570</v>
      </c>
    </row>
    <row r="4058" spans="1:2" x14ac:dyDescent="0.25">
      <c r="A4058" t="s">
        <v>12089</v>
      </c>
      <c r="B4058" t="s">
        <v>12743</v>
      </c>
    </row>
    <row r="4059" spans="1:2" x14ac:dyDescent="0.25">
      <c r="A4059" t="s">
        <v>8089</v>
      </c>
      <c r="B4059" t="s">
        <v>12089</v>
      </c>
    </row>
    <row r="4060" spans="1:2" x14ac:dyDescent="0.25">
      <c r="A4060" t="s">
        <v>8090</v>
      </c>
      <c r="B4060" t="s">
        <v>8089</v>
      </c>
    </row>
    <row r="4061" spans="1:2" x14ac:dyDescent="0.25">
      <c r="A4061" t="s">
        <v>9799</v>
      </c>
      <c r="B4061" t="s">
        <v>8089</v>
      </c>
    </row>
    <row r="4062" spans="1:2" x14ac:dyDescent="0.25">
      <c r="A4062" t="s">
        <v>11868</v>
      </c>
      <c r="B4062" t="s">
        <v>8089</v>
      </c>
    </row>
    <row r="4063" spans="1:2" x14ac:dyDescent="0.25">
      <c r="A4063" t="s">
        <v>6338</v>
      </c>
      <c r="B4063" t="s">
        <v>12089</v>
      </c>
    </row>
    <row r="4064" spans="1:2" x14ac:dyDescent="0.25">
      <c r="A4064" t="s">
        <v>11117</v>
      </c>
      <c r="B4064" t="s">
        <v>6338</v>
      </c>
    </row>
    <row r="4065" spans="1:2" x14ac:dyDescent="0.25">
      <c r="A4065" t="s">
        <v>5510</v>
      </c>
      <c r="B4065" t="s">
        <v>6338</v>
      </c>
    </row>
    <row r="4066" spans="1:2" x14ac:dyDescent="0.25">
      <c r="A4066" t="s">
        <v>6835</v>
      </c>
      <c r="B4066" t="s">
        <v>12089</v>
      </c>
    </row>
    <row r="4067" spans="1:2" x14ac:dyDescent="0.25">
      <c r="A4067" t="s">
        <v>12090</v>
      </c>
      <c r="B4067" t="s">
        <v>6835</v>
      </c>
    </row>
    <row r="4068" spans="1:2" x14ac:dyDescent="0.25">
      <c r="A4068" t="s">
        <v>7475</v>
      </c>
      <c r="B4068" t="s">
        <v>6835</v>
      </c>
    </row>
    <row r="4069" spans="1:2" x14ac:dyDescent="0.25">
      <c r="A4069" t="s">
        <v>5511</v>
      </c>
      <c r="B4069" t="s">
        <v>12089</v>
      </c>
    </row>
    <row r="4070" spans="1:2" x14ac:dyDescent="0.25">
      <c r="A4070" t="s">
        <v>10811</v>
      </c>
      <c r="B4070" t="s">
        <v>12089</v>
      </c>
    </row>
    <row r="4071" spans="1:2" x14ac:dyDescent="0.25">
      <c r="A4071" t="s">
        <v>5067</v>
      </c>
      <c r="B4071" t="s">
        <v>12089</v>
      </c>
    </row>
    <row r="4072" spans="1:2" x14ac:dyDescent="0.25">
      <c r="A4072" t="s">
        <v>11444</v>
      </c>
      <c r="B4072" t="s">
        <v>12089</v>
      </c>
    </row>
    <row r="4073" spans="1:2" x14ac:dyDescent="0.25">
      <c r="A4073" t="s">
        <v>11118</v>
      </c>
      <c r="B4073" t="s">
        <v>12089</v>
      </c>
    </row>
    <row r="4074" spans="1:2" x14ac:dyDescent="0.25">
      <c r="A4074" t="s">
        <v>11655</v>
      </c>
      <c r="B4074" t="s">
        <v>12089</v>
      </c>
    </row>
    <row r="4075" spans="1:2" x14ac:dyDescent="0.25">
      <c r="A4075" t="s">
        <v>12588</v>
      </c>
      <c r="B4075" t="s">
        <v>12089</v>
      </c>
    </row>
    <row r="4076" spans="1:2" x14ac:dyDescent="0.25">
      <c r="A4076" t="s">
        <v>12589</v>
      </c>
      <c r="B4076" t="s">
        <v>12089</v>
      </c>
    </row>
    <row r="4077" spans="1:2" x14ac:dyDescent="0.25">
      <c r="A4077" t="s">
        <v>11869</v>
      </c>
      <c r="B4077" t="s">
        <v>12089</v>
      </c>
    </row>
    <row r="4078" spans="1:2" x14ac:dyDescent="0.25">
      <c r="A4078" t="s">
        <v>11445</v>
      </c>
      <c r="B4078" t="s">
        <v>12089</v>
      </c>
    </row>
    <row r="4079" spans="1:2" x14ac:dyDescent="0.25">
      <c r="A4079" t="s">
        <v>12744</v>
      </c>
      <c r="B4079" t="s">
        <v>12339</v>
      </c>
    </row>
    <row r="4080" spans="1:2" x14ac:dyDescent="0.25">
      <c r="A4080" t="s">
        <v>11837</v>
      </c>
      <c r="B4080" t="s">
        <v>12339</v>
      </c>
    </row>
    <row r="4081" spans="1:2" x14ac:dyDescent="0.25">
      <c r="A4081" t="s">
        <v>12340</v>
      </c>
      <c r="B4081" t="s">
        <v>12339</v>
      </c>
    </row>
    <row r="4082" spans="1:2" x14ac:dyDescent="0.25">
      <c r="A4082" t="s">
        <v>12341</v>
      </c>
      <c r="B4082" t="s">
        <v>14932</v>
      </c>
    </row>
    <row r="4083" spans="1:2" x14ac:dyDescent="0.25">
      <c r="A4083" t="s">
        <v>12745</v>
      </c>
      <c r="B4083" t="s">
        <v>12341</v>
      </c>
    </row>
    <row r="4084" spans="1:2" x14ac:dyDescent="0.25">
      <c r="A4084" t="s">
        <v>12047</v>
      </c>
      <c r="B4084" t="s">
        <v>12745</v>
      </c>
    </row>
    <row r="4085" spans="1:2" x14ac:dyDescent="0.25">
      <c r="A4085" t="s">
        <v>8050</v>
      </c>
      <c r="B4085" t="s">
        <v>12047</v>
      </c>
    </row>
    <row r="4086" spans="1:2" x14ac:dyDescent="0.25">
      <c r="A4086" t="s">
        <v>10489</v>
      </c>
      <c r="B4086" t="s">
        <v>8050</v>
      </c>
    </row>
    <row r="4087" spans="1:2" x14ac:dyDescent="0.25">
      <c r="A4087" t="s">
        <v>6302</v>
      </c>
      <c r="B4087" t="s">
        <v>12047</v>
      </c>
    </row>
    <row r="4088" spans="1:2" x14ac:dyDescent="0.25">
      <c r="A4088" t="s">
        <v>7607</v>
      </c>
      <c r="B4088" t="s">
        <v>6302</v>
      </c>
    </row>
    <row r="4089" spans="1:2" x14ac:dyDescent="0.25">
      <c r="A4089" t="s">
        <v>8663</v>
      </c>
      <c r="B4089" t="s">
        <v>6302</v>
      </c>
    </row>
    <row r="4090" spans="1:2" x14ac:dyDescent="0.25">
      <c r="A4090" t="s">
        <v>5569</v>
      </c>
      <c r="B4090" t="s">
        <v>6302</v>
      </c>
    </row>
    <row r="4091" spans="1:2" x14ac:dyDescent="0.25">
      <c r="A4091" t="s">
        <v>8551</v>
      </c>
      <c r="B4091" t="s">
        <v>12047</v>
      </c>
    </row>
    <row r="4092" spans="1:2" x14ac:dyDescent="0.25">
      <c r="A4092" t="s">
        <v>5133</v>
      </c>
      <c r="B4092" t="s">
        <v>8551</v>
      </c>
    </row>
    <row r="4093" spans="1:2" x14ac:dyDescent="0.25">
      <c r="A4093" t="s">
        <v>5970</v>
      </c>
      <c r="B4093" t="s">
        <v>8551</v>
      </c>
    </row>
    <row r="4094" spans="1:2" x14ac:dyDescent="0.25">
      <c r="A4094" t="s">
        <v>10261</v>
      </c>
      <c r="B4094" t="s">
        <v>12047</v>
      </c>
    </row>
    <row r="4095" spans="1:2" x14ac:dyDescent="0.25">
      <c r="A4095" t="s">
        <v>5971</v>
      </c>
      <c r="B4095" t="s">
        <v>10261</v>
      </c>
    </row>
    <row r="4096" spans="1:2" x14ac:dyDescent="0.25">
      <c r="A4096" t="s">
        <v>11481</v>
      </c>
      <c r="B4096" t="s">
        <v>12047</v>
      </c>
    </row>
    <row r="4097" spans="1:2" x14ac:dyDescent="0.25">
      <c r="A4097" t="s">
        <v>5972</v>
      </c>
      <c r="B4097" t="s">
        <v>11481</v>
      </c>
    </row>
    <row r="4098" spans="1:2" x14ac:dyDescent="0.25">
      <c r="A4098" t="s">
        <v>7608</v>
      </c>
      <c r="B4098" t="s">
        <v>12047</v>
      </c>
    </row>
    <row r="4099" spans="1:2" x14ac:dyDescent="0.25">
      <c r="A4099" t="s">
        <v>7609</v>
      </c>
      <c r="B4099" t="s">
        <v>7608</v>
      </c>
    </row>
    <row r="4100" spans="1:2" x14ac:dyDescent="0.25">
      <c r="A4100" t="s">
        <v>7419</v>
      </c>
      <c r="B4100" t="s">
        <v>12745</v>
      </c>
    </row>
    <row r="4101" spans="1:2" x14ac:dyDescent="0.25">
      <c r="A4101" t="s">
        <v>9496</v>
      </c>
      <c r="B4101" t="s">
        <v>7419</v>
      </c>
    </row>
    <row r="4102" spans="1:2" x14ac:dyDescent="0.25">
      <c r="A4102" t="s">
        <v>6430</v>
      </c>
      <c r="B4102" t="s">
        <v>9496</v>
      </c>
    </row>
    <row r="4103" spans="1:2" x14ac:dyDescent="0.25">
      <c r="A4103" t="s">
        <v>2723</v>
      </c>
      <c r="B4103" t="s">
        <v>9496</v>
      </c>
    </row>
    <row r="4104" spans="1:2" x14ac:dyDescent="0.25">
      <c r="A4104" t="s">
        <v>6431</v>
      </c>
      <c r="B4104" t="s">
        <v>7419</v>
      </c>
    </row>
    <row r="4105" spans="1:2" x14ac:dyDescent="0.25">
      <c r="A4105" t="s">
        <v>8550</v>
      </c>
      <c r="B4105" t="s">
        <v>6431</v>
      </c>
    </row>
    <row r="4106" spans="1:2" x14ac:dyDescent="0.25">
      <c r="A4106" t="s">
        <v>8048</v>
      </c>
      <c r="B4106" t="s">
        <v>6431</v>
      </c>
    </row>
    <row r="4107" spans="1:2" x14ac:dyDescent="0.25">
      <c r="A4107" t="s">
        <v>5033</v>
      </c>
      <c r="B4107" t="s">
        <v>6431</v>
      </c>
    </row>
    <row r="4108" spans="1:2" x14ac:dyDescent="0.25">
      <c r="A4108" t="s">
        <v>4708</v>
      </c>
      <c r="B4108" t="s">
        <v>6431</v>
      </c>
    </row>
    <row r="4109" spans="1:2" x14ac:dyDescent="0.25">
      <c r="A4109" t="s">
        <v>5566</v>
      </c>
      <c r="B4109" t="s">
        <v>6431</v>
      </c>
    </row>
    <row r="4110" spans="1:2" x14ac:dyDescent="0.25">
      <c r="A4110" t="s">
        <v>5129</v>
      </c>
      <c r="B4110" t="s">
        <v>6431</v>
      </c>
    </row>
    <row r="4111" spans="1:2" x14ac:dyDescent="0.25">
      <c r="A4111" t="s">
        <v>5130</v>
      </c>
      <c r="B4111" t="s">
        <v>6431</v>
      </c>
    </row>
    <row r="4112" spans="1:2" x14ac:dyDescent="0.25">
      <c r="A4112" t="s">
        <v>2724</v>
      </c>
      <c r="B4112" t="s">
        <v>6431</v>
      </c>
    </row>
    <row r="4113" spans="1:2" x14ac:dyDescent="0.25">
      <c r="A4113" t="s">
        <v>6911</v>
      </c>
      <c r="B4113" t="s">
        <v>6431</v>
      </c>
    </row>
    <row r="4114" spans="1:2" x14ac:dyDescent="0.25">
      <c r="A4114" t="s">
        <v>5969</v>
      </c>
      <c r="B4114" t="s">
        <v>6431</v>
      </c>
    </row>
    <row r="4115" spans="1:2" x14ac:dyDescent="0.25">
      <c r="A4115" t="s">
        <v>5131</v>
      </c>
      <c r="B4115" t="s">
        <v>6431</v>
      </c>
    </row>
    <row r="4116" spans="1:2" x14ac:dyDescent="0.25">
      <c r="A4116" t="s">
        <v>4709</v>
      </c>
      <c r="B4116" t="s">
        <v>6431</v>
      </c>
    </row>
    <row r="4117" spans="1:2" x14ac:dyDescent="0.25">
      <c r="A4117" t="s">
        <v>5567</v>
      </c>
      <c r="B4117" t="s">
        <v>6431</v>
      </c>
    </row>
    <row r="4118" spans="1:2" x14ac:dyDescent="0.25">
      <c r="A4118" t="s">
        <v>5132</v>
      </c>
      <c r="B4118" t="s">
        <v>6431</v>
      </c>
    </row>
    <row r="4119" spans="1:2" x14ac:dyDescent="0.25">
      <c r="A4119" t="s">
        <v>2725</v>
      </c>
      <c r="B4119" t="s">
        <v>6431</v>
      </c>
    </row>
    <row r="4120" spans="1:2" x14ac:dyDescent="0.25">
      <c r="A4120" t="s">
        <v>6912</v>
      </c>
      <c r="B4120" t="s">
        <v>6431</v>
      </c>
    </row>
    <row r="4121" spans="1:2" x14ac:dyDescent="0.25">
      <c r="A4121" t="s">
        <v>14562</v>
      </c>
      <c r="B4121" t="s">
        <v>6431</v>
      </c>
    </row>
    <row r="4122" spans="1:2" x14ac:dyDescent="0.25">
      <c r="A4122" t="s">
        <v>10488</v>
      </c>
      <c r="B4122" t="s">
        <v>12745</v>
      </c>
    </row>
    <row r="4123" spans="1:2" x14ac:dyDescent="0.25">
      <c r="A4123" t="s">
        <v>8549</v>
      </c>
      <c r="B4123" t="s">
        <v>10488</v>
      </c>
    </row>
    <row r="4124" spans="1:2" x14ac:dyDescent="0.25">
      <c r="A4124" t="s">
        <v>9342</v>
      </c>
      <c r="B4124" t="s">
        <v>8549</v>
      </c>
    </row>
    <row r="4125" spans="1:2" x14ac:dyDescent="0.25">
      <c r="A4125" t="s">
        <v>10260</v>
      </c>
      <c r="B4125" t="s">
        <v>8549</v>
      </c>
    </row>
    <row r="4126" spans="1:2" x14ac:dyDescent="0.25">
      <c r="A4126" t="s">
        <v>4707</v>
      </c>
      <c r="B4126" t="s">
        <v>8549</v>
      </c>
    </row>
    <row r="4127" spans="1:2" x14ac:dyDescent="0.25">
      <c r="A4127" t="s">
        <v>8047</v>
      </c>
      <c r="B4127" t="s">
        <v>10488</v>
      </c>
    </row>
    <row r="4128" spans="1:2" x14ac:dyDescent="0.25">
      <c r="A4128" t="s">
        <v>8945</v>
      </c>
      <c r="B4128" t="s">
        <v>8047</v>
      </c>
    </row>
    <row r="4129" spans="1:2" x14ac:dyDescent="0.25">
      <c r="A4129" t="s">
        <v>9740</v>
      </c>
      <c r="B4129" t="s">
        <v>8047</v>
      </c>
    </row>
    <row r="4130" spans="1:2" x14ac:dyDescent="0.25">
      <c r="A4130" t="s">
        <v>5565</v>
      </c>
      <c r="B4130" t="s">
        <v>8047</v>
      </c>
    </row>
    <row r="4131" spans="1:2" x14ac:dyDescent="0.25">
      <c r="A4131" t="s">
        <v>5126</v>
      </c>
      <c r="B4131" t="s">
        <v>8047</v>
      </c>
    </row>
    <row r="4132" spans="1:2" x14ac:dyDescent="0.25">
      <c r="A4132" t="s">
        <v>5127</v>
      </c>
      <c r="B4132" t="s">
        <v>8047</v>
      </c>
    </row>
    <row r="4133" spans="1:2" x14ac:dyDescent="0.25">
      <c r="A4133" t="s">
        <v>5483</v>
      </c>
      <c r="B4133" t="s">
        <v>10488</v>
      </c>
    </row>
    <row r="4134" spans="1:2" x14ac:dyDescent="0.25">
      <c r="A4134" t="s">
        <v>6301</v>
      </c>
      <c r="B4134" t="s">
        <v>5483</v>
      </c>
    </row>
    <row r="4135" spans="1:2" x14ac:dyDescent="0.25">
      <c r="A4135" t="s">
        <v>7418</v>
      </c>
      <c r="B4135" t="s">
        <v>5483</v>
      </c>
    </row>
    <row r="4136" spans="1:2" x14ac:dyDescent="0.25">
      <c r="A4136" t="s">
        <v>536</v>
      </c>
      <c r="B4136" t="s">
        <v>5483</v>
      </c>
    </row>
    <row r="4137" spans="1:2" x14ac:dyDescent="0.25">
      <c r="A4137" t="s">
        <v>8049</v>
      </c>
      <c r="B4137" t="s">
        <v>10488</v>
      </c>
    </row>
    <row r="4138" spans="1:2" x14ac:dyDescent="0.25">
      <c r="A4138" t="s">
        <v>8946</v>
      </c>
      <c r="B4138" t="s">
        <v>8049</v>
      </c>
    </row>
    <row r="4139" spans="1:2" x14ac:dyDescent="0.25">
      <c r="A4139" t="s">
        <v>9741</v>
      </c>
      <c r="B4139" t="s">
        <v>8049</v>
      </c>
    </row>
    <row r="4140" spans="1:2" x14ac:dyDescent="0.25">
      <c r="A4140" t="s">
        <v>6910</v>
      </c>
      <c r="B4140" t="s">
        <v>8049</v>
      </c>
    </row>
    <row r="4141" spans="1:2" x14ac:dyDescent="0.25">
      <c r="A4141" t="s">
        <v>5968</v>
      </c>
      <c r="B4141" t="s">
        <v>8049</v>
      </c>
    </row>
    <row r="4142" spans="1:2" x14ac:dyDescent="0.25">
      <c r="A4142" t="s">
        <v>5128</v>
      </c>
      <c r="B4142" t="s">
        <v>8049</v>
      </c>
    </row>
    <row r="4143" spans="1:2" x14ac:dyDescent="0.25">
      <c r="A4143" t="s">
        <v>14304</v>
      </c>
      <c r="B4143" t="s">
        <v>10488</v>
      </c>
    </row>
    <row r="4144" spans="1:2" x14ac:dyDescent="0.25">
      <c r="A4144" t="s">
        <v>14305</v>
      </c>
      <c r="B4144" t="s">
        <v>14304</v>
      </c>
    </row>
    <row r="4145" spans="1:2" x14ac:dyDescent="0.25">
      <c r="A4145" t="s">
        <v>14306</v>
      </c>
      <c r="B4145" t="s">
        <v>14304</v>
      </c>
    </row>
    <row r="4146" spans="1:2" x14ac:dyDescent="0.25">
      <c r="A4146" t="s">
        <v>14307</v>
      </c>
      <c r="B4146" t="s">
        <v>14304</v>
      </c>
    </row>
    <row r="4147" spans="1:2" x14ac:dyDescent="0.25">
      <c r="A4147" t="s">
        <v>14308</v>
      </c>
      <c r="B4147" t="s">
        <v>14307</v>
      </c>
    </row>
    <row r="4148" spans="1:2" x14ac:dyDescent="0.25">
      <c r="A4148" t="s">
        <v>14309</v>
      </c>
      <c r="B4148" t="s">
        <v>14307</v>
      </c>
    </row>
    <row r="4149" spans="1:2" x14ac:dyDescent="0.25">
      <c r="A4149" t="s">
        <v>12533</v>
      </c>
      <c r="B4149" t="s">
        <v>12341</v>
      </c>
    </row>
    <row r="4150" spans="1:2" x14ac:dyDescent="0.25">
      <c r="A4150" t="s">
        <v>9726</v>
      </c>
      <c r="B4150" t="s">
        <v>14932</v>
      </c>
    </row>
    <row r="4151" spans="1:2" x14ac:dyDescent="0.25">
      <c r="A4151" t="s">
        <v>10732</v>
      </c>
      <c r="B4151" t="s">
        <v>9726</v>
      </c>
    </row>
    <row r="4152" spans="1:2" x14ac:dyDescent="0.25">
      <c r="A4152" t="s">
        <v>10323</v>
      </c>
      <c r="B4152" t="s">
        <v>10732</v>
      </c>
    </row>
    <row r="4153" spans="1:2" x14ac:dyDescent="0.25">
      <c r="A4153" t="s">
        <v>11121</v>
      </c>
      <c r="B4153" t="s">
        <v>10323</v>
      </c>
    </row>
    <row r="4154" spans="1:2" x14ac:dyDescent="0.25">
      <c r="A4154" t="s">
        <v>13329</v>
      </c>
      <c r="B4154" t="s">
        <v>11121</v>
      </c>
    </row>
    <row r="4155" spans="1:2" x14ac:dyDescent="0.25">
      <c r="A4155" t="s">
        <v>13330</v>
      </c>
      <c r="B4155" t="s">
        <v>11121</v>
      </c>
    </row>
    <row r="4156" spans="1:2" x14ac:dyDescent="0.25">
      <c r="A4156" t="s">
        <v>11450</v>
      </c>
      <c r="B4156" t="s">
        <v>11121</v>
      </c>
    </row>
    <row r="4157" spans="1:2" x14ac:dyDescent="0.25">
      <c r="A4157" t="s">
        <v>11122</v>
      </c>
      <c r="B4157" t="s">
        <v>11121</v>
      </c>
    </row>
    <row r="4158" spans="1:2" x14ac:dyDescent="0.25">
      <c r="A4158" t="s">
        <v>11123</v>
      </c>
      <c r="B4158" t="s">
        <v>11121</v>
      </c>
    </row>
    <row r="4159" spans="1:2" x14ac:dyDescent="0.25">
      <c r="A4159" t="s">
        <v>11124</v>
      </c>
      <c r="B4159" t="s">
        <v>11121</v>
      </c>
    </row>
    <row r="4160" spans="1:2" x14ac:dyDescent="0.25">
      <c r="A4160" t="s">
        <v>10814</v>
      </c>
      <c r="B4160" t="s">
        <v>11121</v>
      </c>
    </row>
    <row r="4161" spans="1:2" x14ac:dyDescent="0.25">
      <c r="A4161" t="s">
        <v>10815</v>
      </c>
      <c r="B4161" t="s">
        <v>11121</v>
      </c>
    </row>
    <row r="4162" spans="1:2" x14ac:dyDescent="0.25">
      <c r="A4162" t="s">
        <v>11451</v>
      </c>
      <c r="B4162" t="s">
        <v>11121</v>
      </c>
    </row>
    <row r="4163" spans="1:2" x14ac:dyDescent="0.25">
      <c r="A4163" t="s">
        <v>11125</v>
      </c>
      <c r="B4163" t="s">
        <v>11121</v>
      </c>
    </row>
    <row r="4164" spans="1:2" x14ac:dyDescent="0.25">
      <c r="A4164" t="s">
        <v>11126</v>
      </c>
      <c r="B4164" t="s">
        <v>11121</v>
      </c>
    </row>
    <row r="4165" spans="1:2" x14ac:dyDescent="0.25">
      <c r="A4165" t="s">
        <v>4148</v>
      </c>
      <c r="B4165" t="s">
        <v>11121</v>
      </c>
    </row>
    <row r="4166" spans="1:2" x14ac:dyDescent="0.25">
      <c r="A4166" t="s">
        <v>6347</v>
      </c>
      <c r="B4166" t="s">
        <v>11121</v>
      </c>
    </row>
    <row r="4167" spans="1:2" x14ac:dyDescent="0.25">
      <c r="A4167" t="s">
        <v>9505</v>
      </c>
      <c r="B4167" t="s">
        <v>11121</v>
      </c>
    </row>
    <row r="4168" spans="1:2" x14ac:dyDescent="0.25">
      <c r="A4168" t="s">
        <v>13331</v>
      </c>
      <c r="B4168" t="s">
        <v>11121</v>
      </c>
    </row>
    <row r="4169" spans="1:2" x14ac:dyDescent="0.25">
      <c r="A4169" t="s">
        <v>12395</v>
      </c>
      <c r="B4169" t="s">
        <v>10323</v>
      </c>
    </row>
    <row r="4170" spans="1:2" x14ac:dyDescent="0.25">
      <c r="A4170" t="s">
        <v>13332</v>
      </c>
      <c r="B4170" t="s">
        <v>12395</v>
      </c>
    </row>
    <row r="4171" spans="1:2" x14ac:dyDescent="0.25">
      <c r="A4171" t="s">
        <v>13333</v>
      </c>
      <c r="B4171" t="s">
        <v>12395</v>
      </c>
    </row>
    <row r="4172" spans="1:2" x14ac:dyDescent="0.25">
      <c r="A4172" t="s">
        <v>10816</v>
      </c>
      <c r="B4172" t="s">
        <v>12395</v>
      </c>
    </row>
    <row r="4173" spans="1:2" x14ac:dyDescent="0.25">
      <c r="A4173" t="s">
        <v>11874</v>
      </c>
      <c r="B4173" t="s">
        <v>12395</v>
      </c>
    </row>
    <row r="4174" spans="1:2" x14ac:dyDescent="0.25">
      <c r="A4174" t="s">
        <v>10324</v>
      </c>
      <c r="B4174" t="s">
        <v>12395</v>
      </c>
    </row>
    <row r="4175" spans="1:2" x14ac:dyDescent="0.25">
      <c r="A4175" t="s">
        <v>11659</v>
      </c>
      <c r="B4175" t="s">
        <v>12395</v>
      </c>
    </row>
    <row r="4176" spans="1:2" x14ac:dyDescent="0.25">
      <c r="A4176" t="s">
        <v>10817</v>
      </c>
      <c r="B4176" t="s">
        <v>12395</v>
      </c>
    </row>
    <row r="4177" spans="1:2" x14ac:dyDescent="0.25">
      <c r="A4177" t="s">
        <v>11875</v>
      </c>
      <c r="B4177" t="s">
        <v>12395</v>
      </c>
    </row>
    <row r="4178" spans="1:2" x14ac:dyDescent="0.25">
      <c r="A4178" t="s">
        <v>4149</v>
      </c>
      <c r="B4178" t="s">
        <v>12395</v>
      </c>
    </row>
    <row r="4179" spans="1:2" x14ac:dyDescent="0.25">
      <c r="A4179" t="s">
        <v>9051</v>
      </c>
      <c r="B4179" t="s">
        <v>12395</v>
      </c>
    </row>
    <row r="4180" spans="1:2" x14ac:dyDescent="0.25">
      <c r="A4180" t="s">
        <v>13334</v>
      </c>
      <c r="B4180" t="s">
        <v>12395</v>
      </c>
    </row>
    <row r="4181" spans="1:2" x14ac:dyDescent="0.25">
      <c r="A4181" t="s">
        <v>10818</v>
      </c>
      <c r="B4181" t="s">
        <v>10323</v>
      </c>
    </row>
    <row r="4182" spans="1:2" x14ac:dyDescent="0.25">
      <c r="A4182" t="s">
        <v>10819</v>
      </c>
      <c r="B4182" t="s">
        <v>10818</v>
      </c>
    </row>
    <row r="4183" spans="1:2" x14ac:dyDescent="0.25">
      <c r="A4183" t="s">
        <v>10325</v>
      </c>
      <c r="B4183" t="s">
        <v>10818</v>
      </c>
    </row>
    <row r="4184" spans="1:2" x14ac:dyDescent="0.25">
      <c r="A4184" t="s">
        <v>10820</v>
      </c>
      <c r="B4184" t="s">
        <v>10818</v>
      </c>
    </row>
    <row r="4185" spans="1:2" x14ac:dyDescent="0.25">
      <c r="A4185" t="s">
        <v>527</v>
      </c>
      <c r="B4185" t="s">
        <v>10818</v>
      </c>
    </row>
    <row r="4186" spans="1:2" x14ac:dyDescent="0.25">
      <c r="A4186" t="s">
        <v>12396</v>
      </c>
      <c r="B4186" t="s">
        <v>10323</v>
      </c>
    </row>
    <row r="4187" spans="1:2" x14ac:dyDescent="0.25">
      <c r="A4187" t="s">
        <v>12397</v>
      </c>
      <c r="B4187" t="s">
        <v>12396</v>
      </c>
    </row>
    <row r="4188" spans="1:2" x14ac:dyDescent="0.25">
      <c r="A4188" t="s">
        <v>12101</v>
      </c>
      <c r="B4188" t="s">
        <v>12396</v>
      </c>
    </row>
    <row r="4189" spans="1:2" x14ac:dyDescent="0.25">
      <c r="A4189" t="s">
        <v>12398</v>
      </c>
      <c r="B4189" t="s">
        <v>12396</v>
      </c>
    </row>
    <row r="4190" spans="1:2" x14ac:dyDescent="0.25">
      <c r="A4190" t="s">
        <v>4150</v>
      </c>
      <c r="B4190" t="s">
        <v>12396</v>
      </c>
    </row>
    <row r="4191" spans="1:2" x14ac:dyDescent="0.25">
      <c r="A4191" t="s">
        <v>14292</v>
      </c>
      <c r="B4191" t="s">
        <v>10323</v>
      </c>
    </row>
    <row r="4192" spans="1:2" x14ac:dyDescent="0.25">
      <c r="A4192" t="s">
        <v>14293</v>
      </c>
      <c r="B4192" t="s">
        <v>14292</v>
      </c>
    </row>
    <row r="4193" spans="1:2" x14ac:dyDescent="0.25">
      <c r="A4193" t="s">
        <v>14294</v>
      </c>
      <c r="B4193" t="s">
        <v>14292</v>
      </c>
    </row>
    <row r="4194" spans="1:2" x14ac:dyDescent="0.25">
      <c r="A4194" t="s">
        <v>14295</v>
      </c>
      <c r="B4194" t="s">
        <v>14292</v>
      </c>
    </row>
    <row r="4195" spans="1:2" x14ac:dyDescent="0.25">
      <c r="A4195" t="s">
        <v>14296</v>
      </c>
      <c r="B4195" t="s">
        <v>14295</v>
      </c>
    </row>
    <row r="4196" spans="1:2" x14ac:dyDescent="0.25">
      <c r="A4196" t="s">
        <v>14297</v>
      </c>
      <c r="B4196" t="s">
        <v>14295</v>
      </c>
    </row>
    <row r="4197" spans="1:2" x14ac:dyDescent="0.25">
      <c r="A4197" t="s">
        <v>7487</v>
      </c>
      <c r="B4197" t="s">
        <v>10732</v>
      </c>
    </row>
    <row r="4198" spans="1:2" x14ac:dyDescent="0.25">
      <c r="A4198" t="s">
        <v>11660</v>
      </c>
      <c r="B4198" t="s">
        <v>7487</v>
      </c>
    </row>
    <row r="4199" spans="1:2" x14ac:dyDescent="0.25">
      <c r="A4199" t="s">
        <v>13335</v>
      </c>
      <c r="B4199" t="s">
        <v>11660</v>
      </c>
    </row>
    <row r="4200" spans="1:2" x14ac:dyDescent="0.25">
      <c r="A4200" t="s">
        <v>10326</v>
      </c>
      <c r="B4200" t="s">
        <v>11660</v>
      </c>
    </row>
    <row r="4201" spans="1:2" x14ac:dyDescent="0.25">
      <c r="A4201" t="s">
        <v>10327</v>
      </c>
      <c r="B4201" t="s">
        <v>11660</v>
      </c>
    </row>
    <row r="4202" spans="1:2" x14ac:dyDescent="0.25">
      <c r="A4202" t="s">
        <v>12102</v>
      </c>
      <c r="B4202" t="s">
        <v>11660</v>
      </c>
    </row>
    <row r="4203" spans="1:2" x14ac:dyDescent="0.25">
      <c r="A4203" t="s">
        <v>10328</v>
      </c>
      <c r="B4203" t="s">
        <v>11660</v>
      </c>
    </row>
    <row r="4204" spans="1:2" x14ac:dyDescent="0.25">
      <c r="A4204" t="s">
        <v>9506</v>
      </c>
      <c r="B4204" t="s">
        <v>11660</v>
      </c>
    </row>
    <row r="4205" spans="1:2" x14ac:dyDescent="0.25">
      <c r="A4205" t="s">
        <v>13336</v>
      </c>
      <c r="B4205" t="s">
        <v>11660</v>
      </c>
    </row>
    <row r="4206" spans="1:2" x14ac:dyDescent="0.25">
      <c r="A4206" t="s">
        <v>9416</v>
      </c>
      <c r="B4206" t="s">
        <v>7487</v>
      </c>
    </row>
    <row r="4207" spans="1:2" x14ac:dyDescent="0.25">
      <c r="A4207" t="s">
        <v>5521</v>
      </c>
      <c r="B4207" t="s">
        <v>9416</v>
      </c>
    </row>
    <row r="4208" spans="1:2" x14ac:dyDescent="0.25">
      <c r="A4208" t="s">
        <v>5074</v>
      </c>
      <c r="B4208" t="s">
        <v>9416</v>
      </c>
    </row>
    <row r="4209" spans="1:2" x14ac:dyDescent="0.25">
      <c r="A4209" t="s">
        <v>5075</v>
      </c>
      <c r="B4209" t="s">
        <v>9416</v>
      </c>
    </row>
    <row r="4210" spans="1:2" x14ac:dyDescent="0.25">
      <c r="A4210" t="s">
        <v>4652</v>
      </c>
      <c r="B4210" t="s">
        <v>9416</v>
      </c>
    </row>
    <row r="4211" spans="1:2" x14ac:dyDescent="0.25">
      <c r="A4211" t="s">
        <v>6348</v>
      </c>
      <c r="B4211" t="s">
        <v>9416</v>
      </c>
    </row>
    <row r="4212" spans="1:2" x14ac:dyDescent="0.25">
      <c r="A4212" t="s">
        <v>4653</v>
      </c>
      <c r="B4212" t="s">
        <v>9416</v>
      </c>
    </row>
    <row r="4213" spans="1:2" x14ac:dyDescent="0.25">
      <c r="A4213" t="s">
        <v>7488</v>
      </c>
      <c r="B4213" t="s">
        <v>9416</v>
      </c>
    </row>
    <row r="4214" spans="1:2" x14ac:dyDescent="0.25">
      <c r="A4214" t="s">
        <v>4221</v>
      </c>
      <c r="B4214" t="s">
        <v>9416</v>
      </c>
    </row>
    <row r="4215" spans="1:2" x14ac:dyDescent="0.25">
      <c r="A4215" t="s">
        <v>3713</v>
      </c>
      <c r="B4215" t="s">
        <v>9416</v>
      </c>
    </row>
    <row r="4216" spans="1:2" x14ac:dyDescent="0.25">
      <c r="A4216" t="s">
        <v>14554</v>
      </c>
      <c r="B4216" t="s">
        <v>7487</v>
      </c>
    </row>
    <row r="4217" spans="1:2" x14ac:dyDescent="0.25">
      <c r="A4217" t="s">
        <v>14555</v>
      </c>
      <c r="B4217" t="s">
        <v>14554</v>
      </c>
    </row>
    <row r="4218" spans="1:2" x14ac:dyDescent="0.25">
      <c r="A4218" t="s">
        <v>14556</v>
      </c>
      <c r="B4218" t="s">
        <v>14554</v>
      </c>
    </row>
    <row r="4219" spans="1:2" x14ac:dyDescent="0.25">
      <c r="A4219" t="s">
        <v>14557</v>
      </c>
      <c r="B4219" t="s">
        <v>14556</v>
      </c>
    </row>
    <row r="4220" spans="1:2" x14ac:dyDescent="0.25">
      <c r="A4220" t="s">
        <v>14558</v>
      </c>
      <c r="B4220" t="s">
        <v>14556</v>
      </c>
    </row>
    <row r="4221" spans="1:2" x14ac:dyDescent="0.25">
      <c r="A4221" t="s">
        <v>14559</v>
      </c>
      <c r="B4221" t="s">
        <v>14554</v>
      </c>
    </row>
    <row r="4222" spans="1:2" x14ac:dyDescent="0.25">
      <c r="A4222" t="s">
        <v>14560</v>
      </c>
      <c r="B4222" t="s">
        <v>14559</v>
      </c>
    </row>
    <row r="4223" spans="1:2" x14ac:dyDescent="0.25">
      <c r="A4223" t="s">
        <v>14561</v>
      </c>
      <c r="B4223" t="s">
        <v>14559</v>
      </c>
    </row>
    <row r="4224" spans="1:2" x14ac:dyDescent="0.25">
      <c r="A4224" t="s">
        <v>12103</v>
      </c>
      <c r="B4224" t="s">
        <v>10732</v>
      </c>
    </row>
    <row r="4225" spans="1:2" x14ac:dyDescent="0.25">
      <c r="A4225" t="s">
        <v>9417</v>
      </c>
      <c r="B4225" t="s">
        <v>12103</v>
      </c>
    </row>
    <row r="4226" spans="1:2" x14ac:dyDescent="0.25">
      <c r="A4226" t="s">
        <v>12591</v>
      </c>
      <c r="B4226" t="s">
        <v>12103</v>
      </c>
    </row>
    <row r="4227" spans="1:2" x14ac:dyDescent="0.25">
      <c r="A4227" t="s">
        <v>12399</v>
      </c>
      <c r="B4227" t="s">
        <v>12103</v>
      </c>
    </row>
    <row r="4228" spans="1:2" x14ac:dyDescent="0.25">
      <c r="A4228" t="s">
        <v>2289</v>
      </c>
      <c r="B4228" t="s">
        <v>12103</v>
      </c>
    </row>
    <row r="4229" spans="1:2" x14ac:dyDescent="0.25">
      <c r="A4229" t="s">
        <v>12858</v>
      </c>
      <c r="B4229" t="s">
        <v>12103</v>
      </c>
    </row>
    <row r="4230" spans="1:2" x14ac:dyDescent="0.25">
      <c r="A4230" t="s">
        <v>12793</v>
      </c>
      <c r="B4230" t="s">
        <v>12103</v>
      </c>
    </row>
    <row r="4231" spans="1:2" x14ac:dyDescent="0.25">
      <c r="A4231" t="s">
        <v>12703</v>
      </c>
      <c r="B4231" t="s">
        <v>12103</v>
      </c>
    </row>
    <row r="4232" spans="1:2" x14ac:dyDescent="0.25">
      <c r="A4232" t="s">
        <v>12004</v>
      </c>
      <c r="B4232" t="s">
        <v>9726</v>
      </c>
    </row>
    <row r="4233" spans="1:2" x14ac:dyDescent="0.25">
      <c r="A4233" t="s">
        <v>12342</v>
      </c>
      <c r="B4233" t="s">
        <v>9726</v>
      </c>
    </row>
    <row r="4234" spans="1:2" x14ac:dyDescent="0.25">
      <c r="A4234" t="s">
        <v>11623</v>
      </c>
      <c r="B4234" t="s">
        <v>9726</v>
      </c>
    </row>
    <row r="4235" spans="1:2" x14ac:dyDescent="0.25">
      <c r="A4235" t="s">
        <v>12656</v>
      </c>
      <c r="B4235" t="s">
        <v>9726</v>
      </c>
    </row>
    <row r="4236" spans="1:2" x14ac:dyDescent="0.25">
      <c r="A4236" t="s">
        <v>12534</v>
      </c>
      <c r="B4236" t="s">
        <v>9726</v>
      </c>
    </row>
    <row r="4237" spans="1:2" x14ac:dyDescent="0.25">
      <c r="A4237" t="s">
        <v>10309</v>
      </c>
      <c r="B4237" t="s">
        <v>12534</v>
      </c>
    </row>
    <row r="4238" spans="1:2" x14ac:dyDescent="0.25">
      <c r="A4238" t="s">
        <v>11108</v>
      </c>
      <c r="B4238" t="s">
        <v>10309</v>
      </c>
    </row>
    <row r="4239" spans="1:2" x14ac:dyDescent="0.25">
      <c r="A4239" t="s">
        <v>13337</v>
      </c>
      <c r="B4239" t="s">
        <v>11108</v>
      </c>
    </row>
    <row r="4240" spans="1:2" x14ac:dyDescent="0.25">
      <c r="A4240" t="s">
        <v>11441</v>
      </c>
      <c r="B4240" t="s">
        <v>11108</v>
      </c>
    </row>
    <row r="4241" spans="1:2" x14ac:dyDescent="0.25">
      <c r="A4241" t="s">
        <v>11109</v>
      </c>
      <c r="B4241" t="s">
        <v>11108</v>
      </c>
    </row>
    <row r="4242" spans="1:2" x14ac:dyDescent="0.25">
      <c r="A4242" t="s">
        <v>11110</v>
      </c>
      <c r="B4242" t="s">
        <v>11108</v>
      </c>
    </row>
    <row r="4243" spans="1:2" x14ac:dyDescent="0.25">
      <c r="A4243" t="s">
        <v>11111</v>
      </c>
      <c r="B4243" t="s">
        <v>11108</v>
      </c>
    </row>
    <row r="4244" spans="1:2" x14ac:dyDescent="0.25">
      <c r="A4244" t="s">
        <v>10799</v>
      </c>
      <c r="B4244" t="s">
        <v>11108</v>
      </c>
    </row>
    <row r="4245" spans="1:2" x14ac:dyDescent="0.25">
      <c r="A4245" t="s">
        <v>10800</v>
      </c>
      <c r="B4245" t="s">
        <v>11108</v>
      </c>
    </row>
    <row r="4246" spans="1:2" x14ac:dyDescent="0.25">
      <c r="A4246" t="s">
        <v>11442</v>
      </c>
      <c r="B4246" t="s">
        <v>11108</v>
      </c>
    </row>
    <row r="4247" spans="1:2" x14ac:dyDescent="0.25">
      <c r="A4247" t="s">
        <v>11112</v>
      </c>
      <c r="B4247" t="s">
        <v>11108</v>
      </c>
    </row>
    <row r="4248" spans="1:2" x14ac:dyDescent="0.25">
      <c r="A4248" t="s">
        <v>11113</v>
      </c>
      <c r="B4248" t="s">
        <v>11108</v>
      </c>
    </row>
    <row r="4249" spans="1:2" x14ac:dyDescent="0.25">
      <c r="A4249" t="s">
        <v>4142</v>
      </c>
      <c r="B4249" t="s">
        <v>11108</v>
      </c>
    </row>
    <row r="4250" spans="1:2" x14ac:dyDescent="0.25">
      <c r="A4250" t="s">
        <v>6332</v>
      </c>
      <c r="B4250" t="s">
        <v>11108</v>
      </c>
    </row>
    <row r="4251" spans="1:2" x14ac:dyDescent="0.25">
      <c r="A4251" t="s">
        <v>13338</v>
      </c>
      <c r="B4251" t="s">
        <v>11108</v>
      </c>
    </row>
    <row r="4252" spans="1:2" x14ac:dyDescent="0.25">
      <c r="A4252" t="s">
        <v>12386</v>
      </c>
      <c r="B4252" t="s">
        <v>10309</v>
      </c>
    </row>
    <row r="4253" spans="1:2" x14ac:dyDescent="0.25">
      <c r="A4253" t="s">
        <v>13339</v>
      </c>
      <c r="B4253" t="s">
        <v>12386</v>
      </c>
    </row>
    <row r="4254" spans="1:2" x14ac:dyDescent="0.25">
      <c r="A4254" t="s">
        <v>13340</v>
      </c>
      <c r="B4254" t="s">
        <v>12386</v>
      </c>
    </row>
    <row r="4255" spans="1:2" x14ac:dyDescent="0.25">
      <c r="A4255" t="s">
        <v>10801</v>
      </c>
      <c r="B4255" t="s">
        <v>12386</v>
      </c>
    </row>
    <row r="4256" spans="1:2" x14ac:dyDescent="0.25">
      <c r="A4256" t="s">
        <v>11864</v>
      </c>
      <c r="B4256" t="s">
        <v>12386</v>
      </c>
    </row>
    <row r="4257" spans="1:2" x14ac:dyDescent="0.25">
      <c r="A4257" t="s">
        <v>10310</v>
      </c>
      <c r="B4257" t="s">
        <v>12386</v>
      </c>
    </row>
    <row r="4258" spans="1:2" x14ac:dyDescent="0.25">
      <c r="A4258" t="s">
        <v>11651</v>
      </c>
      <c r="B4258" t="s">
        <v>12386</v>
      </c>
    </row>
    <row r="4259" spans="1:2" x14ac:dyDescent="0.25">
      <c r="A4259" t="s">
        <v>10802</v>
      </c>
      <c r="B4259" t="s">
        <v>12386</v>
      </c>
    </row>
    <row r="4260" spans="1:2" x14ac:dyDescent="0.25">
      <c r="A4260" t="s">
        <v>11865</v>
      </c>
      <c r="B4260" t="s">
        <v>12386</v>
      </c>
    </row>
    <row r="4261" spans="1:2" x14ac:dyDescent="0.25">
      <c r="A4261" t="s">
        <v>4143</v>
      </c>
      <c r="B4261" t="s">
        <v>12386</v>
      </c>
    </row>
    <row r="4262" spans="1:2" x14ac:dyDescent="0.25">
      <c r="A4262" t="s">
        <v>10803</v>
      </c>
      <c r="B4262" t="s">
        <v>10309</v>
      </c>
    </row>
    <row r="4263" spans="1:2" x14ac:dyDescent="0.25">
      <c r="A4263" t="s">
        <v>10804</v>
      </c>
      <c r="B4263" t="s">
        <v>10803</v>
      </c>
    </row>
    <row r="4264" spans="1:2" x14ac:dyDescent="0.25">
      <c r="A4264" t="s">
        <v>10311</v>
      </c>
      <c r="B4264" t="s">
        <v>10803</v>
      </c>
    </row>
    <row r="4265" spans="1:2" x14ac:dyDescent="0.25">
      <c r="A4265" t="s">
        <v>10805</v>
      </c>
      <c r="B4265" t="s">
        <v>10803</v>
      </c>
    </row>
    <row r="4266" spans="1:2" x14ac:dyDescent="0.25">
      <c r="A4266" t="s">
        <v>522</v>
      </c>
      <c r="B4266" t="s">
        <v>10803</v>
      </c>
    </row>
    <row r="4267" spans="1:2" x14ac:dyDescent="0.25">
      <c r="A4267" t="s">
        <v>12387</v>
      </c>
      <c r="B4267" t="s">
        <v>10309</v>
      </c>
    </row>
    <row r="4268" spans="1:2" x14ac:dyDescent="0.25">
      <c r="A4268" t="s">
        <v>12388</v>
      </c>
      <c r="B4268" t="s">
        <v>12387</v>
      </c>
    </row>
    <row r="4269" spans="1:2" x14ac:dyDescent="0.25">
      <c r="A4269" t="s">
        <v>12082</v>
      </c>
      <c r="B4269" t="s">
        <v>12387</v>
      </c>
    </row>
    <row r="4270" spans="1:2" x14ac:dyDescent="0.25">
      <c r="A4270" t="s">
        <v>12389</v>
      </c>
      <c r="B4270" t="s">
        <v>12387</v>
      </c>
    </row>
    <row r="4271" spans="1:2" x14ac:dyDescent="0.25">
      <c r="A4271" t="s">
        <v>4144</v>
      </c>
      <c r="B4271" t="s">
        <v>12387</v>
      </c>
    </row>
    <row r="4272" spans="1:2" x14ac:dyDescent="0.25">
      <c r="A4272" t="s">
        <v>7467</v>
      </c>
      <c r="B4272" t="s">
        <v>12534</v>
      </c>
    </row>
    <row r="4273" spans="1:2" x14ac:dyDescent="0.25">
      <c r="A4273" t="s">
        <v>11652</v>
      </c>
      <c r="B4273" t="s">
        <v>7467</v>
      </c>
    </row>
    <row r="4274" spans="1:2" x14ac:dyDescent="0.25">
      <c r="A4274" t="s">
        <v>13341</v>
      </c>
      <c r="B4274" t="s">
        <v>11652</v>
      </c>
    </row>
    <row r="4275" spans="1:2" x14ac:dyDescent="0.25">
      <c r="A4275" t="s">
        <v>10312</v>
      </c>
      <c r="B4275" t="s">
        <v>11652</v>
      </c>
    </row>
    <row r="4276" spans="1:2" x14ac:dyDescent="0.25">
      <c r="A4276" t="s">
        <v>10313</v>
      </c>
      <c r="B4276" t="s">
        <v>11652</v>
      </c>
    </row>
    <row r="4277" spans="1:2" x14ac:dyDescent="0.25">
      <c r="A4277" t="s">
        <v>12083</v>
      </c>
      <c r="B4277" t="s">
        <v>11652</v>
      </c>
    </row>
    <row r="4278" spans="1:2" x14ac:dyDescent="0.25">
      <c r="A4278" t="s">
        <v>10314</v>
      </c>
      <c r="B4278" t="s">
        <v>11652</v>
      </c>
    </row>
    <row r="4279" spans="1:2" x14ac:dyDescent="0.25">
      <c r="A4279" t="s">
        <v>9400</v>
      </c>
      <c r="B4279" t="s">
        <v>7467</v>
      </c>
    </row>
    <row r="4280" spans="1:2" x14ac:dyDescent="0.25">
      <c r="A4280" t="s">
        <v>5509</v>
      </c>
      <c r="B4280" t="s">
        <v>9400</v>
      </c>
    </row>
    <row r="4281" spans="1:2" x14ac:dyDescent="0.25">
      <c r="A4281" t="s">
        <v>5065</v>
      </c>
      <c r="B4281" t="s">
        <v>9400</v>
      </c>
    </row>
    <row r="4282" spans="1:2" x14ac:dyDescent="0.25">
      <c r="A4282" t="s">
        <v>5066</v>
      </c>
      <c r="B4282" t="s">
        <v>9400</v>
      </c>
    </row>
    <row r="4283" spans="1:2" x14ac:dyDescent="0.25">
      <c r="A4283" t="s">
        <v>4646</v>
      </c>
      <c r="B4283" t="s">
        <v>9400</v>
      </c>
    </row>
    <row r="4284" spans="1:2" x14ac:dyDescent="0.25">
      <c r="A4284" t="s">
        <v>6333</v>
      </c>
      <c r="B4284" t="s">
        <v>9400</v>
      </c>
    </row>
    <row r="4285" spans="1:2" x14ac:dyDescent="0.25">
      <c r="A4285" t="s">
        <v>4647</v>
      </c>
      <c r="B4285" t="s">
        <v>9400</v>
      </c>
    </row>
    <row r="4286" spans="1:2" x14ac:dyDescent="0.25">
      <c r="A4286" t="s">
        <v>7468</v>
      </c>
      <c r="B4286" t="s">
        <v>9400</v>
      </c>
    </row>
    <row r="4287" spans="1:2" x14ac:dyDescent="0.25">
      <c r="A4287" t="s">
        <v>12084</v>
      </c>
      <c r="B4287" t="s">
        <v>12534</v>
      </c>
    </row>
    <row r="4288" spans="1:2" x14ac:dyDescent="0.25">
      <c r="A4288" t="s">
        <v>12587</v>
      </c>
      <c r="B4288" t="s">
        <v>12084</v>
      </c>
    </row>
    <row r="4289" spans="1:2" x14ac:dyDescent="0.25">
      <c r="A4289" t="s">
        <v>12390</v>
      </c>
      <c r="B4289" t="s">
        <v>12084</v>
      </c>
    </row>
    <row r="4290" spans="1:2" x14ac:dyDescent="0.25">
      <c r="A4290" t="s">
        <v>2287</v>
      </c>
      <c r="B4290" t="s">
        <v>12084</v>
      </c>
    </row>
    <row r="4291" spans="1:2" x14ac:dyDescent="0.25">
      <c r="A4291" t="s">
        <v>12792</v>
      </c>
      <c r="B4291" t="s">
        <v>12084</v>
      </c>
    </row>
    <row r="4292" spans="1:2" x14ac:dyDescent="0.25">
      <c r="A4292" t="s">
        <v>12704</v>
      </c>
      <c r="B4292" t="s">
        <v>12084</v>
      </c>
    </row>
    <row r="4293" spans="1:2" x14ac:dyDescent="0.25">
      <c r="A4293" t="s">
        <v>9739</v>
      </c>
      <c r="B4293" t="s">
        <v>9726</v>
      </c>
    </row>
    <row r="4294" spans="1:2" x14ac:dyDescent="0.25">
      <c r="A4294" t="s">
        <v>12907</v>
      </c>
      <c r="B4294" t="s">
        <v>14932</v>
      </c>
    </row>
    <row r="4295" spans="1:2" x14ac:dyDescent="0.25">
      <c r="A4295" t="s">
        <v>12013</v>
      </c>
      <c r="B4295" t="s">
        <v>12907</v>
      </c>
    </row>
    <row r="4296" spans="1:2" x14ac:dyDescent="0.25">
      <c r="A4296" t="s">
        <v>10269</v>
      </c>
      <c r="B4296" t="s">
        <v>12013</v>
      </c>
    </row>
    <row r="4297" spans="1:2" x14ac:dyDescent="0.25">
      <c r="A4297" t="s">
        <v>11095</v>
      </c>
      <c r="B4297" t="s">
        <v>10269</v>
      </c>
    </row>
    <row r="4298" spans="1:2" x14ac:dyDescent="0.25">
      <c r="A4298" t="s">
        <v>5484</v>
      </c>
      <c r="B4298" t="s">
        <v>10269</v>
      </c>
    </row>
    <row r="4299" spans="1:2" x14ac:dyDescent="0.25">
      <c r="A4299" t="s">
        <v>7427</v>
      </c>
      <c r="B4299" t="s">
        <v>12013</v>
      </c>
    </row>
    <row r="4300" spans="1:2" x14ac:dyDescent="0.25">
      <c r="A4300" t="s">
        <v>3154</v>
      </c>
      <c r="B4300" t="s">
        <v>7427</v>
      </c>
    </row>
    <row r="4301" spans="1:2" x14ac:dyDescent="0.25">
      <c r="A4301" t="s">
        <v>8555</v>
      </c>
      <c r="B4301" t="s">
        <v>7427</v>
      </c>
    </row>
    <row r="4302" spans="1:2" x14ac:dyDescent="0.25">
      <c r="A4302" t="s">
        <v>11433</v>
      </c>
      <c r="B4302" t="s">
        <v>7427</v>
      </c>
    </row>
    <row r="4303" spans="1:2" x14ac:dyDescent="0.25">
      <c r="A4303" t="s">
        <v>12057</v>
      </c>
      <c r="B4303" t="s">
        <v>12013</v>
      </c>
    </row>
    <row r="4304" spans="1:2" x14ac:dyDescent="0.25">
      <c r="A4304" t="s">
        <v>9350</v>
      </c>
      <c r="B4304" t="s">
        <v>12057</v>
      </c>
    </row>
    <row r="4305" spans="1:2" x14ac:dyDescent="0.25">
      <c r="A4305" t="s">
        <v>8950</v>
      </c>
      <c r="B4305" t="s">
        <v>12057</v>
      </c>
    </row>
    <row r="4306" spans="1:2" x14ac:dyDescent="0.25">
      <c r="A4306" t="s">
        <v>10270</v>
      </c>
      <c r="B4306" t="s">
        <v>12057</v>
      </c>
    </row>
    <row r="4307" spans="1:2" x14ac:dyDescent="0.25">
      <c r="A4307" t="s">
        <v>12782</v>
      </c>
      <c r="B4307" t="s">
        <v>12057</v>
      </c>
    </row>
    <row r="4308" spans="1:2" x14ac:dyDescent="0.25">
      <c r="A4308" t="s">
        <v>6303</v>
      </c>
      <c r="B4308" t="s">
        <v>12057</v>
      </c>
    </row>
    <row r="4309" spans="1:2" x14ac:dyDescent="0.25">
      <c r="A4309" t="s">
        <v>11629</v>
      </c>
      <c r="B4309" t="s">
        <v>12907</v>
      </c>
    </row>
    <row r="4310" spans="1:2" x14ac:dyDescent="0.25">
      <c r="A4310" t="s">
        <v>12532</v>
      </c>
      <c r="B4310" t="s">
        <v>14932</v>
      </c>
    </row>
    <row r="4311" spans="1:2" x14ac:dyDescent="0.25">
      <c r="A4311" t="s">
        <v>10306</v>
      </c>
      <c r="B4311" t="s">
        <v>12532</v>
      </c>
    </row>
    <row r="4312" spans="1:2" x14ac:dyDescent="0.25">
      <c r="A4312" t="s">
        <v>11106</v>
      </c>
      <c r="B4312" t="s">
        <v>10306</v>
      </c>
    </row>
    <row r="4313" spans="1:2" x14ac:dyDescent="0.25">
      <c r="A4313" t="s">
        <v>8977</v>
      </c>
      <c r="B4313" t="s">
        <v>11106</v>
      </c>
    </row>
    <row r="4314" spans="1:2" x14ac:dyDescent="0.25">
      <c r="A4314" t="s">
        <v>9796</v>
      </c>
      <c r="B4314" t="s">
        <v>11106</v>
      </c>
    </row>
    <row r="4315" spans="1:2" x14ac:dyDescent="0.25">
      <c r="A4315" t="s">
        <v>6825</v>
      </c>
      <c r="B4315" t="s">
        <v>11106</v>
      </c>
    </row>
    <row r="4316" spans="1:2" x14ac:dyDescent="0.25">
      <c r="A4316" t="s">
        <v>7617</v>
      </c>
      <c r="B4316" t="s">
        <v>6825</v>
      </c>
    </row>
    <row r="4317" spans="1:2" x14ac:dyDescent="0.25">
      <c r="A4317" t="s">
        <v>7618</v>
      </c>
      <c r="B4317" t="s">
        <v>6825</v>
      </c>
    </row>
    <row r="4318" spans="1:2" x14ac:dyDescent="0.25">
      <c r="A4318" t="s">
        <v>7619</v>
      </c>
      <c r="B4318" t="s">
        <v>6825</v>
      </c>
    </row>
    <row r="4319" spans="1:2" x14ac:dyDescent="0.25">
      <c r="A4319" t="s">
        <v>7620</v>
      </c>
      <c r="B4319" t="s">
        <v>6825</v>
      </c>
    </row>
    <row r="4320" spans="1:2" x14ac:dyDescent="0.25">
      <c r="A4320" t="s">
        <v>7464</v>
      </c>
      <c r="B4320" t="s">
        <v>11106</v>
      </c>
    </row>
    <row r="4321" spans="1:2" x14ac:dyDescent="0.25">
      <c r="A4321" t="s">
        <v>12385</v>
      </c>
      <c r="B4321" t="s">
        <v>10306</v>
      </c>
    </row>
    <row r="4322" spans="1:2" x14ac:dyDescent="0.25">
      <c r="A4322" t="s">
        <v>9398</v>
      </c>
      <c r="B4322" t="s">
        <v>12385</v>
      </c>
    </row>
    <row r="4323" spans="1:2" x14ac:dyDescent="0.25">
      <c r="A4323" t="s">
        <v>10307</v>
      </c>
      <c r="B4323" t="s">
        <v>12385</v>
      </c>
    </row>
    <row r="4324" spans="1:2" x14ac:dyDescent="0.25">
      <c r="A4324" t="s">
        <v>7465</v>
      </c>
      <c r="B4324" t="s">
        <v>12385</v>
      </c>
    </row>
    <row r="4325" spans="1:2" x14ac:dyDescent="0.25">
      <c r="A4325" t="s">
        <v>7621</v>
      </c>
      <c r="B4325" t="s">
        <v>7465</v>
      </c>
    </row>
    <row r="4326" spans="1:2" x14ac:dyDescent="0.25">
      <c r="A4326" t="s">
        <v>7622</v>
      </c>
      <c r="B4326" t="s">
        <v>7465</v>
      </c>
    </row>
    <row r="4327" spans="1:2" x14ac:dyDescent="0.25">
      <c r="A4327" t="s">
        <v>7623</v>
      </c>
      <c r="B4327" t="s">
        <v>7465</v>
      </c>
    </row>
    <row r="4328" spans="1:2" x14ac:dyDescent="0.25">
      <c r="A4328" t="s">
        <v>12080</v>
      </c>
      <c r="B4328" t="s">
        <v>10306</v>
      </c>
    </row>
    <row r="4329" spans="1:2" x14ac:dyDescent="0.25">
      <c r="A4329" t="s">
        <v>8978</v>
      </c>
      <c r="B4329" t="s">
        <v>12080</v>
      </c>
    </row>
    <row r="4330" spans="1:2" x14ac:dyDescent="0.25">
      <c r="A4330" t="s">
        <v>9797</v>
      </c>
      <c r="B4330" t="s">
        <v>12080</v>
      </c>
    </row>
    <row r="4331" spans="1:2" x14ac:dyDescent="0.25">
      <c r="A4331" t="s">
        <v>6826</v>
      </c>
      <c r="B4331" t="s">
        <v>12080</v>
      </c>
    </row>
    <row r="4332" spans="1:2" x14ac:dyDescent="0.25">
      <c r="A4332" t="s">
        <v>8239</v>
      </c>
      <c r="B4332" t="s">
        <v>6826</v>
      </c>
    </row>
    <row r="4333" spans="1:2" x14ac:dyDescent="0.25">
      <c r="A4333" t="s">
        <v>7624</v>
      </c>
      <c r="B4333" t="s">
        <v>6826</v>
      </c>
    </row>
    <row r="4334" spans="1:2" x14ac:dyDescent="0.25">
      <c r="A4334" t="s">
        <v>7625</v>
      </c>
      <c r="B4334" t="s">
        <v>6826</v>
      </c>
    </row>
    <row r="4335" spans="1:2" x14ac:dyDescent="0.25">
      <c r="A4335" t="s">
        <v>14280</v>
      </c>
      <c r="B4335" t="s">
        <v>10306</v>
      </c>
    </row>
    <row r="4336" spans="1:2" x14ac:dyDescent="0.25">
      <c r="A4336" t="s">
        <v>14281</v>
      </c>
      <c r="B4336" t="s">
        <v>14280</v>
      </c>
    </row>
    <row r="4337" spans="1:2" x14ac:dyDescent="0.25">
      <c r="A4337" t="s">
        <v>14282</v>
      </c>
      <c r="B4337" t="s">
        <v>14280</v>
      </c>
    </row>
    <row r="4338" spans="1:2" x14ac:dyDescent="0.25">
      <c r="A4338" t="s">
        <v>14283</v>
      </c>
      <c r="B4338" t="s">
        <v>14280</v>
      </c>
    </row>
    <row r="4339" spans="1:2" x14ac:dyDescent="0.25">
      <c r="A4339" t="s">
        <v>14284</v>
      </c>
      <c r="B4339" t="s">
        <v>14283</v>
      </c>
    </row>
    <row r="4340" spans="1:2" x14ac:dyDescent="0.25">
      <c r="A4340" t="s">
        <v>14285</v>
      </c>
      <c r="B4340" t="s">
        <v>14283</v>
      </c>
    </row>
    <row r="4341" spans="1:2" x14ac:dyDescent="0.25">
      <c r="A4341" t="s">
        <v>7466</v>
      </c>
      <c r="B4341" t="s">
        <v>12532</v>
      </c>
    </row>
    <row r="4342" spans="1:2" x14ac:dyDescent="0.25">
      <c r="A4342" t="s">
        <v>8979</v>
      </c>
      <c r="B4342" t="s">
        <v>7466</v>
      </c>
    </row>
    <row r="4343" spans="1:2" x14ac:dyDescent="0.25">
      <c r="A4343" t="s">
        <v>8980</v>
      </c>
      <c r="B4343" t="s">
        <v>7466</v>
      </c>
    </row>
    <row r="4344" spans="1:2" x14ac:dyDescent="0.25">
      <c r="A4344" t="s">
        <v>4140</v>
      </c>
      <c r="B4344" t="s">
        <v>8980</v>
      </c>
    </row>
    <row r="4345" spans="1:2" x14ac:dyDescent="0.25">
      <c r="A4345" t="s">
        <v>420</v>
      </c>
      <c r="B4345" t="s">
        <v>8980</v>
      </c>
    </row>
    <row r="4346" spans="1:2" x14ac:dyDescent="0.25">
      <c r="A4346" t="s">
        <v>5975</v>
      </c>
      <c r="B4346" t="s">
        <v>420</v>
      </c>
    </row>
    <row r="4347" spans="1:2" x14ac:dyDescent="0.25">
      <c r="A4347" t="s">
        <v>5976</v>
      </c>
      <c r="B4347" t="s">
        <v>420</v>
      </c>
    </row>
    <row r="4348" spans="1:2" x14ac:dyDescent="0.25">
      <c r="A4348" t="s">
        <v>5977</v>
      </c>
      <c r="B4348" t="s">
        <v>420</v>
      </c>
    </row>
    <row r="4349" spans="1:2" x14ac:dyDescent="0.25">
      <c r="A4349" t="s">
        <v>5978</v>
      </c>
      <c r="B4349" t="s">
        <v>420</v>
      </c>
    </row>
    <row r="4350" spans="1:2" x14ac:dyDescent="0.25">
      <c r="A4350" t="s">
        <v>3165</v>
      </c>
      <c r="B4350" t="s">
        <v>8980</v>
      </c>
    </row>
    <row r="4351" spans="1:2" x14ac:dyDescent="0.25">
      <c r="A4351" t="s">
        <v>6448</v>
      </c>
      <c r="B4351" t="s">
        <v>3165</v>
      </c>
    </row>
    <row r="4352" spans="1:2" x14ac:dyDescent="0.25">
      <c r="A4352" t="s">
        <v>6449</v>
      </c>
      <c r="B4352" t="s">
        <v>3165</v>
      </c>
    </row>
    <row r="4353" spans="1:2" x14ac:dyDescent="0.25">
      <c r="A4353" t="s">
        <v>6450</v>
      </c>
      <c r="B4353" t="s">
        <v>3165</v>
      </c>
    </row>
    <row r="4354" spans="1:2" x14ac:dyDescent="0.25">
      <c r="A4354" t="s">
        <v>6451</v>
      </c>
      <c r="B4354" t="s">
        <v>3165</v>
      </c>
    </row>
    <row r="4355" spans="1:2" x14ac:dyDescent="0.25">
      <c r="A4355" t="s">
        <v>11107</v>
      </c>
      <c r="B4355" t="s">
        <v>7466</v>
      </c>
    </row>
    <row r="4356" spans="1:2" x14ac:dyDescent="0.25">
      <c r="A4356" t="s">
        <v>4645</v>
      </c>
      <c r="B4356" t="s">
        <v>11107</v>
      </c>
    </row>
    <row r="4357" spans="1:2" x14ac:dyDescent="0.25">
      <c r="A4357" t="s">
        <v>521</v>
      </c>
      <c r="B4357" t="s">
        <v>11107</v>
      </c>
    </row>
    <row r="4358" spans="1:2" x14ac:dyDescent="0.25">
      <c r="A4358" t="s">
        <v>5979</v>
      </c>
      <c r="B4358" t="s">
        <v>521</v>
      </c>
    </row>
    <row r="4359" spans="1:2" x14ac:dyDescent="0.25">
      <c r="A4359" t="s">
        <v>5980</v>
      </c>
      <c r="B4359" t="s">
        <v>521</v>
      </c>
    </row>
    <row r="4360" spans="1:2" x14ac:dyDescent="0.25">
      <c r="A4360" t="s">
        <v>5981</v>
      </c>
      <c r="B4360" t="s">
        <v>521</v>
      </c>
    </row>
    <row r="4361" spans="1:2" x14ac:dyDescent="0.25">
      <c r="A4361" t="s">
        <v>5507</v>
      </c>
      <c r="B4361" t="s">
        <v>11107</v>
      </c>
    </row>
    <row r="4362" spans="1:2" x14ac:dyDescent="0.25">
      <c r="A4362" t="s">
        <v>6452</v>
      </c>
      <c r="B4362" t="s">
        <v>5507</v>
      </c>
    </row>
    <row r="4363" spans="1:2" x14ac:dyDescent="0.25">
      <c r="A4363" t="s">
        <v>6453</v>
      </c>
      <c r="B4363" t="s">
        <v>5507</v>
      </c>
    </row>
    <row r="4364" spans="1:2" x14ac:dyDescent="0.25">
      <c r="A4364" t="s">
        <v>6454</v>
      </c>
      <c r="B4364" t="s">
        <v>5507</v>
      </c>
    </row>
    <row r="4365" spans="1:2" x14ac:dyDescent="0.25">
      <c r="A4365" t="s">
        <v>10798</v>
      </c>
      <c r="B4365" t="s">
        <v>7466</v>
      </c>
    </row>
    <row r="4366" spans="1:2" x14ac:dyDescent="0.25">
      <c r="A4366" t="s">
        <v>4141</v>
      </c>
      <c r="B4366" t="s">
        <v>10798</v>
      </c>
    </row>
    <row r="4367" spans="1:2" x14ac:dyDescent="0.25">
      <c r="A4367" t="s">
        <v>421</v>
      </c>
      <c r="B4367" t="s">
        <v>10798</v>
      </c>
    </row>
    <row r="4368" spans="1:2" x14ac:dyDescent="0.25">
      <c r="A4368" t="s">
        <v>6455</v>
      </c>
      <c r="B4368" t="s">
        <v>421</v>
      </c>
    </row>
    <row r="4369" spans="1:2" x14ac:dyDescent="0.25">
      <c r="A4369" t="s">
        <v>5982</v>
      </c>
      <c r="B4369" t="s">
        <v>421</v>
      </c>
    </row>
    <row r="4370" spans="1:2" x14ac:dyDescent="0.25">
      <c r="A4370" t="s">
        <v>5983</v>
      </c>
      <c r="B4370" t="s">
        <v>421</v>
      </c>
    </row>
    <row r="4371" spans="1:2" x14ac:dyDescent="0.25">
      <c r="A4371" t="s">
        <v>5064</v>
      </c>
      <c r="B4371" t="s">
        <v>10798</v>
      </c>
    </row>
    <row r="4372" spans="1:2" x14ac:dyDescent="0.25">
      <c r="A4372" t="s">
        <v>6923</v>
      </c>
      <c r="B4372" t="s">
        <v>5064</v>
      </c>
    </row>
    <row r="4373" spans="1:2" x14ac:dyDescent="0.25">
      <c r="A4373" t="s">
        <v>6456</v>
      </c>
      <c r="B4373" t="s">
        <v>5064</v>
      </c>
    </row>
    <row r="4374" spans="1:2" x14ac:dyDescent="0.25">
      <c r="A4374" t="s">
        <v>6457</v>
      </c>
      <c r="B4374" t="s">
        <v>5064</v>
      </c>
    </row>
    <row r="4375" spans="1:2" x14ac:dyDescent="0.25">
      <c r="A4375" t="s">
        <v>14546</v>
      </c>
      <c r="B4375" t="s">
        <v>7466</v>
      </c>
    </row>
    <row r="4376" spans="1:2" x14ac:dyDescent="0.25">
      <c r="A4376" t="s">
        <v>14547</v>
      </c>
      <c r="B4376" t="s">
        <v>14546</v>
      </c>
    </row>
    <row r="4377" spans="1:2" x14ac:dyDescent="0.25">
      <c r="A4377" t="s">
        <v>14548</v>
      </c>
      <c r="B4377" t="s">
        <v>14546</v>
      </c>
    </row>
    <row r="4378" spans="1:2" x14ac:dyDescent="0.25">
      <c r="A4378" t="s">
        <v>14549</v>
      </c>
      <c r="B4378" t="s">
        <v>14548</v>
      </c>
    </row>
    <row r="4379" spans="1:2" x14ac:dyDescent="0.25">
      <c r="A4379" t="s">
        <v>14550</v>
      </c>
      <c r="B4379" t="s">
        <v>14548</v>
      </c>
    </row>
    <row r="4380" spans="1:2" x14ac:dyDescent="0.25">
      <c r="A4380" t="s">
        <v>14551</v>
      </c>
      <c r="B4380" t="s">
        <v>14546</v>
      </c>
    </row>
    <row r="4381" spans="1:2" x14ac:dyDescent="0.25">
      <c r="A4381" t="s">
        <v>14552</v>
      </c>
      <c r="B4381" t="s">
        <v>14551</v>
      </c>
    </row>
    <row r="4382" spans="1:2" x14ac:dyDescent="0.25">
      <c r="A4382" t="s">
        <v>14553</v>
      </c>
      <c r="B4382" t="s">
        <v>14551</v>
      </c>
    </row>
    <row r="4383" spans="1:2" x14ac:dyDescent="0.25">
      <c r="A4383" t="s">
        <v>12081</v>
      </c>
      <c r="B4383" t="s">
        <v>12532</v>
      </c>
    </row>
    <row r="4384" spans="1:2" x14ac:dyDescent="0.25">
      <c r="A4384" t="s">
        <v>8083</v>
      </c>
      <c r="B4384" t="s">
        <v>12081</v>
      </c>
    </row>
    <row r="4385" spans="1:2" x14ac:dyDescent="0.25">
      <c r="A4385" t="s">
        <v>10308</v>
      </c>
      <c r="B4385" t="s">
        <v>8083</v>
      </c>
    </row>
    <row r="4386" spans="1:2" x14ac:dyDescent="0.25">
      <c r="A4386" t="s">
        <v>12693</v>
      </c>
      <c r="B4386" t="s">
        <v>8083</v>
      </c>
    </row>
    <row r="4387" spans="1:2" x14ac:dyDescent="0.25">
      <c r="A4387" t="s">
        <v>8084</v>
      </c>
      <c r="B4387" t="s">
        <v>8083</v>
      </c>
    </row>
    <row r="4388" spans="1:2" x14ac:dyDescent="0.25">
      <c r="A4388" t="s">
        <v>10909</v>
      </c>
      <c r="B4388" t="s">
        <v>8083</v>
      </c>
    </row>
    <row r="4389" spans="1:2" x14ac:dyDescent="0.25">
      <c r="A4389" t="s">
        <v>12790</v>
      </c>
      <c r="B4389" t="s">
        <v>12081</v>
      </c>
    </row>
    <row r="4390" spans="1:2" x14ac:dyDescent="0.25">
      <c r="A4390" t="s">
        <v>8582</v>
      </c>
      <c r="B4390" t="s">
        <v>12790</v>
      </c>
    </row>
    <row r="4391" spans="1:2" x14ac:dyDescent="0.25">
      <c r="A4391" t="s">
        <v>8981</v>
      </c>
      <c r="B4391" t="s">
        <v>12790</v>
      </c>
    </row>
    <row r="4392" spans="1:2" x14ac:dyDescent="0.25">
      <c r="A4392" t="s">
        <v>12791</v>
      </c>
      <c r="B4392" t="s">
        <v>12081</v>
      </c>
    </row>
    <row r="4393" spans="1:2" x14ac:dyDescent="0.25">
      <c r="A4393" t="s">
        <v>8583</v>
      </c>
      <c r="B4393" t="s">
        <v>12791</v>
      </c>
    </row>
    <row r="4394" spans="1:2" x14ac:dyDescent="0.25">
      <c r="A4394" t="s">
        <v>8982</v>
      </c>
      <c r="B4394" t="s">
        <v>12791</v>
      </c>
    </row>
    <row r="4395" spans="1:2" x14ac:dyDescent="0.25">
      <c r="A4395" t="s">
        <v>12857</v>
      </c>
      <c r="B4395" t="s">
        <v>12081</v>
      </c>
    </row>
    <row r="4396" spans="1:2" x14ac:dyDescent="0.25">
      <c r="A4396" t="s">
        <v>8983</v>
      </c>
      <c r="B4396" t="s">
        <v>12857</v>
      </c>
    </row>
    <row r="4397" spans="1:2" x14ac:dyDescent="0.25">
      <c r="A4397" t="s">
        <v>9399</v>
      </c>
      <c r="B4397" t="s">
        <v>12857</v>
      </c>
    </row>
    <row r="4398" spans="1:2" x14ac:dyDescent="0.25">
      <c r="A4398" t="s">
        <v>5508</v>
      </c>
      <c r="B4398" t="s">
        <v>12081</v>
      </c>
    </row>
    <row r="4399" spans="1:2" x14ac:dyDescent="0.25">
      <c r="A4399" t="s">
        <v>9857</v>
      </c>
      <c r="B4399" t="s">
        <v>12532</v>
      </c>
    </row>
    <row r="4400" spans="1:2" x14ac:dyDescent="0.25">
      <c r="A4400" t="s">
        <v>12535</v>
      </c>
      <c r="B4400" t="s">
        <v>14932</v>
      </c>
    </row>
    <row r="4401" spans="1:2" x14ac:dyDescent="0.25">
      <c r="A4401" t="s">
        <v>12537</v>
      </c>
      <c r="B4401" t="s">
        <v>12535</v>
      </c>
    </row>
    <row r="4402" spans="1:2" x14ac:dyDescent="0.25">
      <c r="A4402" t="s">
        <v>10463</v>
      </c>
      <c r="B4402" t="s">
        <v>12537</v>
      </c>
    </row>
    <row r="4403" spans="1:2" x14ac:dyDescent="0.25">
      <c r="A4403" t="s">
        <v>12196</v>
      </c>
      <c r="B4403" t="s">
        <v>10463</v>
      </c>
    </row>
    <row r="4404" spans="1:2" x14ac:dyDescent="0.25">
      <c r="A4404" t="s">
        <v>4212</v>
      </c>
      <c r="B4404" t="s">
        <v>12196</v>
      </c>
    </row>
    <row r="4405" spans="1:2" x14ac:dyDescent="0.25">
      <c r="A4405" t="s">
        <v>6903</v>
      </c>
      <c r="B4405" t="s">
        <v>12196</v>
      </c>
    </row>
    <row r="4406" spans="1:2" x14ac:dyDescent="0.25">
      <c r="A4406" t="s">
        <v>12451</v>
      </c>
      <c r="B4406" t="s">
        <v>10463</v>
      </c>
    </row>
    <row r="4407" spans="1:2" x14ac:dyDescent="0.25">
      <c r="A4407" t="s">
        <v>4705</v>
      </c>
      <c r="B4407" t="s">
        <v>12451</v>
      </c>
    </row>
    <row r="4408" spans="1:2" x14ac:dyDescent="0.25">
      <c r="A4408" t="s">
        <v>7591</v>
      </c>
      <c r="B4408" t="s">
        <v>12451</v>
      </c>
    </row>
    <row r="4409" spans="1:2" x14ac:dyDescent="0.25">
      <c r="A4409" t="s">
        <v>11885</v>
      </c>
      <c r="B4409" t="s">
        <v>10463</v>
      </c>
    </row>
    <row r="4410" spans="1:2" x14ac:dyDescent="0.25">
      <c r="A4410" t="s">
        <v>3703</v>
      </c>
      <c r="B4410" t="s">
        <v>11885</v>
      </c>
    </row>
    <row r="4411" spans="1:2" x14ac:dyDescent="0.25">
      <c r="A4411" t="s">
        <v>6426</v>
      </c>
      <c r="B4411" t="s">
        <v>11885</v>
      </c>
    </row>
    <row r="4412" spans="1:2" x14ac:dyDescent="0.25">
      <c r="A4412" t="s">
        <v>14340</v>
      </c>
      <c r="B4412" t="s">
        <v>10463</v>
      </c>
    </row>
    <row r="4413" spans="1:2" x14ac:dyDescent="0.25">
      <c r="A4413" t="s">
        <v>14341</v>
      </c>
      <c r="B4413" t="s">
        <v>14340</v>
      </c>
    </row>
    <row r="4414" spans="1:2" x14ac:dyDescent="0.25">
      <c r="A4414" t="s">
        <v>14342</v>
      </c>
      <c r="B4414" t="s">
        <v>14340</v>
      </c>
    </row>
    <row r="4415" spans="1:2" x14ac:dyDescent="0.25">
      <c r="A4415" t="s">
        <v>14343</v>
      </c>
      <c r="B4415" t="s">
        <v>14340</v>
      </c>
    </row>
    <row r="4416" spans="1:2" x14ac:dyDescent="0.25">
      <c r="A4416" t="s">
        <v>14344</v>
      </c>
      <c r="B4416" t="s">
        <v>14343</v>
      </c>
    </row>
    <row r="4417" spans="1:2" x14ac:dyDescent="0.25">
      <c r="A4417" t="s">
        <v>14345</v>
      </c>
      <c r="B4417" t="s">
        <v>14343</v>
      </c>
    </row>
    <row r="4418" spans="1:2" x14ac:dyDescent="0.25">
      <c r="A4418" t="s">
        <v>7592</v>
      </c>
      <c r="B4418" t="s">
        <v>12537</v>
      </c>
    </row>
    <row r="4419" spans="1:2" x14ac:dyDescent="0.25">
      <c r="A4419" t="s">
        <v>11688</v>
      </c>
      <c r="B4419" t="s">
        <v>7592</v>
      </c>
    </row>
    <row r="4420" spans="1:2" x14ac:dyDescent="0.25">
      <c r="A4420" t="s">
        <v>6904</v>
      </c>
      <c r="B4420" t="s">
        <v>7592</v>
      </c>
    </row>
    <row r="4421" spans="1:2" x14ac:dyDescent="0.25">
      <c r="A4421" t="s">
        <v>7593</v>
      </c>
      <c r="B4421" t="s">
        <v>7592</v>
      </c>
    </row>
    <row r="4422" spans="1:2" x14ac:dyDescent="0.25">
      <c r="A4422" t="s">
        <v>6905</v>
      </c>
      <c r="B4422" t="s">
        <v>7592</v>
      </c>
    </row>
    <row r="4423" spans="1:2" x14ac:dyDescent="0.25">
      <c r="A4423" t="s">
        <v>14586</v>
      </c>
      <c r="B4423" t="s">
        <v>7592</v>
      </c>
    </row>
    <row r="4424" spans="1:2" x14ac:dyDescent="0.25">
      <c r="A4424" t="s">
        <v>14587</v>
      </c>
      <c r="B4424" t="s">
        <v>14586</v>
      </c>
    </row>
    <row r="4425" spans="1:2" x14ac:dyDescent="0.25">
      <c r="A4425" t="s">
        <v>14588</v>
      </c>
      <c r="B4425" t="s">
        <v>14586</v>
      </c>
    </row>
    <row r="4426" spans="1:2" x14ac:dyDescent="0.25">
      <c r="A4426" t="s">
        <v>14589</v>
      </c>
      <c r="B4426" t="s">
        <v>14588</v>
      </c>
    </row>
    <row r="4427" spans="1:2" x14ac:dyDescent="0.25">
      <c r="A4427" t="s">
        <v>14590</v>
      </c>
      <c r="B4427" t="s">
        <v>14588</v>
      </c>
    </row>
    <row r="4428" spans="1:2" x14ac:dyDescent="0.25">
      <c r="A4428" t="s">
        <v>14591</v>
      </c>
      <c r="B4428" t="s">
        <v>14586</v>
      </c>
    </row>
    <row r="4429" spans="1:2" x14ac:dyDescent="0.25">
      <c r="A4429" t="s">
        <v>14592</v>
      </c>
      <c r="B4429" t="s">
        <v>14591</v>
      </c>
    </row>
    <row r="4430" spans="1:2" x14ac:dyDescent="0.25">
      <c r="A4430" t="s">
        <v>14593</v>
      </c>
      <c r="B4430" t="s">
        <v>14591</v>
      </c>
    </row>
    <row r="4431" spans="1:2" x14ac:dyDescent="0.25">
      <c r="A4431" t="s">
        <v>12197</v>
      </c>
      <c r="B4431" t="s">
        <v>12537</v>
      </c>
    </row>
    <row r="4432" spans="1:2" x14ac:dyDescent="0.25">
      <c r="A4432" t="s">
        <v>3704</v>
      </c>
      <c r="B4432" t="s">
        <v>12197</v>
      </c>
    </row>
    <row r="4433" spans="1:2" x14ac:dyDescent="0.25">
      <c r="A4433" t="s">
        <v>5958</v>
      </c>
      <c r="B4433" t="s">
        <v>12197</v>
      </c>
    </row>
    <row r="4434" spans="1:2" x14ac:dyDescent="0.25">
      <c r="A4434" t="s">
        <v>12659</v>
      </c>
      <c r="B4434" t="s">
        <v>12535</v>
      </c>
    </row>
    <row r="4435" spans="1:2" x14ac:dyDescent="0.25">
      <c r="A4435" t="s">
        <v>10458</v>
      </c>
      <c r="B4435" t="s">
        <v>12659</v>
      </c>
    </row>
    <row r="4436" spans="1:2" x14ac:dyDescent="0.25">
      <c r="A4436" t="s">
        <v>14376</v>
      </c>
      <c r="B4436" t="s">
        <v>10458</v>
      </c>
    </row>
    <row r="4437" spans="1:2" x14ac:dyDescent="0.25">
      <c r="A4437" t="s">
        <v>14377</v>
      </c>
      <c r="B4437" t="s">
        <v>14376</v>
      </c>
    </row>
    <row r="4438" spans="1:2" x14ac:dyDescent="0.25">
      <c r="A4438" t="s">
        <v>14378</v>
      </c>
      <c r="B4438" t="s">
        <v>14376</v>
      </c>
    </row>
    <row r="4439" spans="1:2" x14ac:dyDescent="0.25">
      <c r="A4439" t="s">
        <v>14379</v>
      </c>
      <c r="B4439" t="s">
        <v>14376</v>
      </c>
    </row>
    <row r="4440" spans="1:2" x14ac:dyDescent="0.25">
      <c r="A4440" t="s">
        <v>14380</v>
      </c>
      <c r="B4440" t="s">
        <v>14379</v>
      </c>
    </row>
    <row r="4441" spans="1:2" x14ac:dyDescent="0.25">
      <c r="A4441" t="s">
        <v>14381</v>
      </c>
      <c r="B4441" t="s">
        <v>14379</v>
      </c>
    </row>
    <row r="4442" spans="1:2" x14ac:dyDescent="0.25">
      <c r="A4442" t="s">
        <v>7586</v>
      </c>
      <c r="B4442" t="s">
        <v>12659</v>
      </c>
    </row>
    <row r="4443" spans="1:2" x14ac:dyDescent="0.25">
      <c r="A4443" t="s">
        <v>14610</v>
      </c>
      <c r="B4443" t="s">
        <v>7586</v>
      </c>
    </row>
    <row r="4444" spans="1:2" x14ac:dyDescent="0.25">
      <c r="A4444" t="s">
        <v>14611</v>
      </c>
      <c r="B4444" t="s">
        <v>14610</v>
      </c>
    </row>
    <row r="4445" spans="1:2" x14ac:dyDescent="0.25">
      <c r="A4445" t="s">
        <v>14612</v>
      </c>
      <c r="B4445" t="s">
        <v>14610</v>
      </c>
    </row>
    <row r="4446" spans="1:2" x14ac:dyDescent="0.25">
      <c r="A4446" t="s">
        <v>14613</v>
      </c>
      <c r="B4446" t="s">
        <v>14612</v>
      </c>
    </row>
    <row r="4447" spans="1:2" x14ac:dyDescent="0.25">
      <c r="A4447" t="s">
        <v>14614</v>
      </c>
      <c r="B4447" t="s">
        <v>14612</v>
      </c>
    </row>
    <row r="4448" spans="1:2" x14ac:dyDescent="0.25">
      <c r="A4448" t="s">
        <v>14615</v>
      </c>
      <c r="B4448" t="s">
        <v>14610</v>
      </c>
    </row>
    <row r="4449" spans="1:2" x14ac:dyDescent="0.25">
      <c r="A4449" t="s">
        <v>14616</v>
      </c>
      <c r="B4449" t="s">
        <v>14615</v>
      </c>
    </row>
    <row r="4450" spans="1:2" x14ac:dyDescent="0.25">
      <c r="A4450" t="s">
        <v>14617</v>
      </c>
      <c r="B4450" t="s">
        <v>14615</v>
      </c>
    </row>
    <row r="4451" spans="1:2" x14ac:dyDescent="0.25">
      <c r="A4451" t="s">
        <v>12191</v>
      </c>
      <c r="B4451" t="s">
        <v>12659</v>
      </c>
    </row>
    <row r="4452" spans="1:2" x14ac:dyDescent="0.25">
      <c r="A4452" t="s">
        <v>12662</v>
      </c>
      <c r="B4452" t="s">
        <v>12535</v>
      </c>
    </row>
    <row r="4453" spans="1:2" x14ac:dyDescent="0.25">
      <c r="A4453" t="s">
        <v>10459</v>
      </c>
      <c r="B4453" t="s">
        <v>12662</v>
      </c>
    </row>
    <row r="4454" spans="1:2" x14ac:dyDescent="0.25">
      <c r="A4454" t="s">
        <v>11197</v>
      </c>
      <c r="B4454" t="s">
        <v>10459</v>
      </c>
    </row>
    <row r="4455" spans="1:2" x14ac:dyDescent="0.25">
      <c r="A4455" t="s">
        <v>9031</v>
      </c>
      <c r="B4455" t="s">
        <v>11197</v>
      </c>
    </row>
    <row r="4456" spans="1:2" x14ac:dyDescent="0.25">
      <c r="A4456" t="s">
        <v>11883</v>
      </c>
      <c r="B4456" t="s">
        <v>11197</v>
      </c>
    </row>
    <row r="4457" spans="1:2" x14ac:dyDescent="0.25">
      <c r="A4457" t="s">
        <v>9032</v>
      </c>
      <c r="B4457" t="s">
        <v>11197</v>
      </c>
    </row>
    <row r="4458" spans="1:2" x14ac:dyDescent="0.25">
      <c r="A4458" t="s">
        <v>4704</v>
      </c>
      <c r="B4458" t="s">
        <v>11197</v>
      </c>
    </row>
    <row r="4459" spans="1:2" x14ac:dyDescent="0.25">
      <c r="A4459" t="s">
        <v>12450</v>
      </c>
      <c r="B4459" t="s">
        <v>10459</v>
      </c>
    </row>
    <row r="4460" spans="1:2" x14ac:dyDescent="0.25">
      <c r="A4460" t="s">
        <v>9478</v>
      </c>
      <c r="B4460" t="s">
        <v>12450</v>
      </c>
    </row>
    <row r="4461" spans="1:2" x14ac:dyDescent="0.25">
      <c r="A4461" t="s">
        <v>12192</v>
      </c>
      <c r="B4461" t="s">
        <v>12450</v>
      </c>
    </row>
    <row r="4462" spans="1:2" x14ac:dyDescent="0.25">
      <c r="A4462" t="s">
        <v>9479</v>
      </c>
      <c r="B4462" t="s">
        <v>12450</v>
      </c>
    </row>
    <row r="4463" spans="1:2" x14ac:dyDescent="0.25">
      <c r="A4463" t="s">
        <v>11198</v>
      </c>
      <c r="B4463" t="s">
        <v>10459</v>
      </c>
    </row>
    <row r="4464" spans="1:2" x14ac:dyDescent="0.25">
      <c r="A4464" t="s">
        <v>9034</v>
      </c>
      <c r="B4464" t="s">
        <v>11198</v>
      </c>
    </row>
    <row r="4465" spans="1:2" x14ac:dyDescent="0.25">
      <c r="A4465" t="s">
        <v>9480</v>
      </c>
      <c r="B4465" t="s">
        <v>11198</v>
      </c>
    </row>
    <row r="4466" spans="1:2" x14ac:dyDescent="0.25">
      <c r="A4466" t="s">
        <v>11736</v>
      </c>
      <c r="B4466" t="s">
        <v>11198</v>
      </c>
    </row>
    <row r="4467" spans="1:2" x14ac:dyDescent="0.25">
      <c r="A4467" t="s">
        <v>14943</v>
      </c>
      <c r="B4467" t="s">
        <v>10459</v>
      </c>
    </row>
    <row r="4468" spans="1:2" x14ac:dyDescent="0.25">
      <c r="A4468" t="s">
        <v>9033</v>
      </c>
      <c r="B4468" t="s">
        <v>14943</v>
      </c>
    </row>
    <row r="4469" spans="1:2" x14ac:dyDescent="0.25">
      <c r="A4469" t="s">
        <v>16050</v>
      </c>
      <c r="B4469" t="s">
        <v>14943</v>
      </c>
    </row>
    <row r="4470" spans="1:2" x14ac:dyDescent="0.25">
      <c r="A4470" t="s">
        <v>16051</v>
      </c>
      <c r="B4470" t="s">
        <v>14943</v>
      </c>
    </row>
    <row r="4471" spans="1:2" x14ac:dyDescent="0.25">
      <c r="A4471" t="s">
        <v>14388</v>
      </c>
      <c r="B4471" t="s">
        <v>10459</v>
      </c>
    </row>
    <row r="4472" spans="1:2" x14ac:dyDescent="0.25">
      <c r="A4472" t="s">
        <v>14389</v>
      </c>
      <c r="B4472" t="s">
        <v>14388</v>
      </c>
    </row>
    <row r="4473" spans="1:2" x14ac:dyDescent="0.25">
      <c r="A4473" t="s">
        <v>14390</v>
      </c>
      <c r="B4473" t="s">
        <v>14388</v>
      </c>
    </row>
    <row r="4474" spans="1:2" x14ac:dyDescent="0.25">
      <c r="A4474" t="s">
        <v>14391</v>
      </c>
      <c r="B4474" t="s">
        <v>14388</v>
      </c>
    </row>
    <row r="4475" spans="1:2" x14ac:dyDescent="0.25">
      <c r="A4475" t="s">
        <v>14392</v>
      </c>
      <c r="B4475" t="s">
        <v>14391</v>
      </c>
    </row>
    <row r="4476" spans="1:2" x14ac:dyDescent="0.25">
      <c r="A4476" t="s">
        <v>14393</v>
      </c>
      <c r="B4476" t="s">
        <v>14391</v>
      </c>
    </row>
    <row r="4477" spans="1:2" x14ac:dyDescent="0.25">
      <c r="A4477" t="s">
        <v>7587</v>
      </c>
      <c r="B4477" t="s">
        <v>12662</v>
      </c>
    </row>
    <row r="4478" spans="1:2" x14ac:dyDescent="0.25">
      <c r="A4478" t="s">
        <v>10888</v>
      </c>
      <c r="B4478" t="s">
        <v>7587</v>
      </c>
    </row>
    <row r="4479" spans="1:2" x14ac:dyDescent="0.25">
      <c r="A4479" t="s">
        <v>11687</v>
      </c>
      <c r="B4479" t="s">
        <v>10888</v>
      </c>
    </row>
    <row r="4480" spans="1:2" x14ac:dyDescent="0.25">
      <c r="A4480" t="s">
        <v>9481</v>
      </c>
      <c r="B4480" t="s">
        <v>7587</v>
      </c>
    </row>
    <row r="4481" spans="1:2" x14ac:dyDescent="0.25">
      <c r="A4481" t="s">
        <v>6900</v>
      </c>
      <c r="B4481" t="s">
        <v>9481</v>
      </c>
    </row>
    <row r="4482" spans="1:2" x14ac:dyDescent="0.25">
      <c r="A4482" t="s">
        <v>6901</v>
      </c>
      <c r="B4482" t="s">
        <v>9481</v>
      </c>
    </row>
    <row r="4483" spans="1:2" x14ac:dyDescent="0.25">
      <c r="A4483" t="s">
        <v>6902</v>
      </c>
      <c r="B4483" t="s">
        <v>9481</v>
      </c>
    </row>
    <row r="4484" spans="1:2" x14ac:dyDescent="0.25">
      <c r="A4484" t="s">
        <v>7588</v>
      </c>
      <c r="B4484" t="s">
        <v>9481</v>
      </c>
    </row>
    <row r="4485" spans="1:2" x14ac:dyDescent="0.25">
      <c r="A4485" t="s">
        <v>9482</v>
      </c>
      <c r="B4485" t="s">
        <v>7587</v>
      </c>
    </row>
    <row r="4486" spans="1:2" x14ac:dyDescent="0.25">
      <c r="A4486" t="s">
        <v>11467</v>
      </c>
      <c r="B4486" t="s">
        <v>9482</v>
      </c>
    </row>
    <row r="4487" spans="1:2" x14ac:dyDescent="0.25">
      <c r="A4487" t="s">
        <v>11884</v>
      </c>
      <c r="B4487" t="s">
        <v>9482</v>
      </c>
    </row>
    <row r="4488" spans="1:2" x14ac:dyDescent="0.25">
      <c r="A4488" t="s">
        <v>10889</v>
      </c>
      <c r="B4488" t="s">
        <v>9482</v>
      </c>
    </row>
    <row r="4489" spans="1:2" x14ac:dyDescent="0.25">
      <c r="A4489" t="s">
        <v>14618</v>
      </c>
      <c r="B4489" t="s">
        <v>7587</v>
      </c>
    </row>
    <row r="4490" spans="1:2" x14ac:dyDescent="0.25">
      <c r="A4490" t="s">
        <v>14619</v>
      </c>
      <c r="B4490" t="s">
        <v>14618</v>
      </c>
    </row>
    <row r="4491" spans="1:2" x14ac:dyDescent="0.25">
      <c r="A4491" t="s">
        <v>14620</v>
      </c>
      <c r="B4491" t="s">
        <v>14618</v>
      </c>
    </row>
    <row r="4492" spans="1:2" x14ac:dyDescent="0.25">
      <c r="A4492" t="s">
        <v>14621</v>
      </c>
      <c r="B4492" t="s">
        <v>14620</v>
      </c>
    </row>
    <row r="4493" spans="1:2" x14ac:dyDescent="0.25">
      <c r="A4493" t="s">
        <v>14622</v>
      </c>
      <c r="B4493" t="s">
        <v>14620</v>
      </c>
    </row>
    <row r="4494" spans="1:2" x14ac:dyDescent="0.25">
      <c r="A4494" t="s">
        <v>14623</v>
      </c>
      <c r="B4494" t="s">
        <v>14618</v>
      </c>
    </row>
    <row r="4495" spans="1:2" x14ac:dyDescent="0.25">
      <c r="A4495" t="s">
        <v>14624</v>
      </c>
      <c r="B4495" t="s">
        <v>14623</v>
      </c>
    </row>
    <row r="4496" spans="1:2" x14ac:dyDescent="0.25">
      <c r="A4496" t="s">
        <v>14625</v>
      </c>
      <c r="B4496" t="s">
        <v>14623</v>
      </c>
    </row>
    <row r="4497" spans="1:2" x14ac:dyDescent="0.25">
      <c r="A4497" t="s">
        <v>12193</v>
      </c>
      <c r="B4497" t="s">
        <v>12662</v>
      </c>
    </row>
    <row r="4498" spans="1:2" x14ac:dyDescent="0.25">
      <c r="A4498" t="s">
        <v>9483</v>
      </c>
      <c r="B4498" t="s">
        <v>12193</v>
      </c>
    </row>
    <row r="4499" spans="1:2" x14ac:dyDescent="0.25">
      <c r="A4499" t="s">
        <v>10460</v>
      </c>
      <c r="B4499" t="s">
        <v>12193</v>
      </c>
    </row>
    <row r="4500" spans="1:2" x14ac:dyDescent="0.25">
      <c r="A4500" t="s">
        <v>9035</v>
      </c>
      <c r="B4500" t="s">
        <v>12193</v>
      </c>
    </row>
    <row r="4501" spans="1:2" x14ac:dyDescent="0.25">
      <c r="A4501" t="s">
        <v>9841</v>
      </c>
      <c r="B4501" t="s">
        <v>12193</v>
      </c>
    </row>
    <row r="4502" spans="1:2" x14ac:dyDescent="0.25">
      <c r="A4502" t="s">
        <v>5113</v>
      </c>
      <c r="B4502" t="s">
        <v>12193</v>
      </c>
    </row>
    <row r="4503" spans="1:2" x14ac:dyDescent="0.25">
      <c r="A4503" t="s">
        <v>11199</v>
      </c>
      <c r="B4503" t="s">
        <v>12193</v>
      </c>
    </row>
    <row r="4504" spans="1:2" x14ac:dyDescent="0.25">
      <c r="A4504" t="s">
        <v>8645</v>
      </c>
      <c r="B4504" t="s">
        <v>12193</v>
      </c>
    </row>
    <row r="4505" spans="1:2" x14ac:dyDescent="0.25">
      <c r="A4505" t="s">
        <v>8216</v>
      </c>
      <c r="B4505" t="s">
        <v>12193</v>
      </c>
    </row>
    <row r="4506" spans="1:2" x14ac:dyDescent="0.25">
      <c r="A4506" t="s">
        <v>12344</v>
      </c>
      <c r="B4506" t="s">
        <v>12535</v>
      </c>
    </row>
    <row r="4507" spans="1:2" x14ac:dyDescent="0.25">
      <c r="A4507" t="s">
        <v>11446</v>
      </c>
      <c r="B4507" t="s">
        <v>12344</v>
      </c>
    </row>
    <row r="4508" spans="1:2" x14ac:dyDescent="0.25">
      <c r="A4508" t="s">
        <v>8590</v>
      </c>
      <c r="B4508" t="s">
        <v>11446</v>
      </c>
    </row>
    <row r="4509" spans="1:2" x14ac:dyDescent="0.25">
      <c r="A4509" t="s">
        <v>9405</v>
      </c>
      <c r="B4509" t="s">
        <v>8590</v>
      </c>
    </row>
    <row r="4510" spans="1:2" x14ac:dyDescent="0.25">
      <c r="A4510" t="s">
        <v>12091</v>
      </c>
      <c r="B4510" t="s">
        <v>8590</v>
      </c>
    </row>
    <row r="4511" spans="1:2" x14ac:dyDescent="0.25">
      <c r="A4511" t="s">
        <v>6339</v>
      </c>
      <c r="B4511" t="s">
        <v>8590</v>
      </c>
    </row>
    <row r="4512" spans="1:2" x14ac:dyDescent="0.25">
      <c r="A4512" t="s">
        <v>7476</v>
      </c>
      <c r="B4512" t="s">
        <v>8590</v>
      </c>
    </row>
    <row r="4513" spans="1:2" x14ac:dyDescent="0.25">
      <c r="A4513" t="s">
        <v>5879</v>
      </c>
      <c r="B4513" t="s">
        <v>11446</v>
      </c>
    </row>
    <row r="4514" spans="1:2" x14ac:dyDescent="0.25">
      <c r="A4514" t="s">
        <v>6836</v>
      </c>
      <c r="B4514" t="s">
        <v>5879</v>
      </c>
    </row>
    <row r="4515" spans="1:2" x14ac:dyDescent="0.25">
      <c r="A4515" t="s">
        <v>10812</v>
      </c>
      <c r="B4515" t="s">
        <v>5879</v>
      </c>
    </row>
    <row r="4516" spans="1:2" x14ac:dyDescent="0.25">
      <c r="A4516" t="s">
        <v>5512</v>
      </c>
      <c r="B4516" t="s">
        <v>5879</v>
      </c>
    </row>
    <row r="4517" spans="1:2" x14ac:dyDescent="0.25">
      <c r="A4517" t="s">
        <v>5068</v>
      </c>
      <c r="B4517" t="s">
        <v>5879</v>
      </c>
    </row>
    <row r="4518" spans="1:2" x14ac:dyDescent="0.25">
      <c r="A4518" t="s">
        <v>5069</v>
      </c>
      <c r="B4518" t="s">
        <v>5879</v>
      </c>
    </row>
    <row r="4519" spans="1:2" x14ac:dyDescent="0.25">
      <c r="A4519" t="s">
        <v>6340</v>
      </c>
      <c r="B4519" t="s">
        <v>5879</v>
      </c>
    </row>
    <row r="4520" spans="1:2" x14ac:dyDescent="0.25">
      <c r="A4520" t="s">
        <v>5513</v>
      </c>
      <c r="B4520" t="s">
        <v>11446</v>
      </c>
    </row>
    <row r="4521" spans="1:2" x14ac:dyDescent="0.25">
      <c r="A4521" t="s">
        <v>6341</v>
      </c>
      <c r="B4521" t="s">
        <v>5513</v>
      </c>
    </row>
    <row r="4522" spans="1:2" x14ac:dyDescent="0.25">
      <c r="A4522" t="s">
        <v>10317</v>
      </c>
      <c r="B4522" t="s">
        <v>5513</v>
      </c>
    </row>
    <row r="4523" spans="1:2" x14ac:dyDescent="0.25">
      <c r="A4523" t="s">
        <v>4648</v>
      </c>
      <c r="B4523" t="s">
        <v>5513</v>
      </c>
    </row>
    <row r="4524" spans="1:2" x14ac:dyDescent="0.25">
      <c r="A4524" t="s">
        <v>8091</v>
      </c>
      <c r="B4524" t="s">
        <v>11446</v>
      </c>
    </row>
    <row r="4525" spans="1:2" x14ac:dyDescent="0.25">
      <c r="A4525" t="s">
        <v>8988</v>
      </c>
      <c r="B4525" t="s">
        <v>8091</v>
      </c>
    </row>
    <row r="4526" spans="1:2" x14ac:dyDescent="0.25">
      <c r="A4526" t="s">
        <v>11870</v>
      </c>
      <c r="B4526" t="s">
        <v>8091</v>
      </c>
    </row>
    <row r="4527" spans="1:2" x14ac:dyDescent="0.25">
      <c r="A4527" t="s">
        <v>6837</v>
      </c>
      <c r="B4527" t="s">
        <v>8091</v>
      </c>
    </row>
    <row r="4528" spans="1:2" x14ac:dyDescent="0.25">
      <c r="A4528" t="s">
        <v>5070</v>
      </c>
      <c r="B4528" t="s">
        <v>8091</v>
      </c>
    </row>
    <row r="4529" spans="1:2" x14ac:dyDescent="0.25">
      <c r="A4529" t="s">
        <v>5880</v>
      </c>
      <c r="B4529" t="s">
        <v>8091</v>
      </c>
    </row>
    <row r="4530" spans="1:2" x14ac:dyDescent="0.25">
      <c r="A4530" t="s">
        <v>5071</v>
      </c>
      <c r="B4530" t="s">
        <v>8091</v>
      </c>
    </row>
    <row r="4531" spans="1:2" x14ac:dyDescent="0.25">
      <c r="A4531" t="s">
        <v>14364</v>
      </c>
      <c r="B4531" t="s">
        <v>11446</v>
      </c>
    </row>
    <row r="4532" spans="1:2" x14ac:dyDescent="0.25">
      <c r="A4532" t="s">
        <v>14365</v>
      </c>
      <c r="B4532" t="s">
        <v>14364</v>
      </c>
    </row>
    <row r="4533" spans="1:2" x14ac:dyDescent="0.25">
      <c r="A4533" t="s">
        <v>14366</v>
      </c>
      <c r="B4533" t="s">
        <v>14364</v>
      </c>
    </row>
    <row r="4534" spans="1:2" x14ac:dyDescent="0.25">
      <c r="A4534" t="s">
        <v>14367</v>
      </c>
      <c r="B4534" t="s">
        <v>14364</v>
      </c>
    </row>
    <row r="4535" spans="1:2" x14ac:dyDescent="0.25">
      <c r="A4535" t="s">
        <v>14368</v>
      </c>
      <c r="B4535" t="s">
        <v>14367</v>
      </c>
    </row>
    <row r="4536" spans="1:2" x14ac:dyDescent="0.25">
      <c r="A4536" t="s">
        <v>14369</v>
      </c>
      <c r="B4536" t="s">
        <v>14367</v>
      </c>
    </row>
    <row r="4537" spans="1:2" x14ac:dyDescent="0.25">
      <c r="A4537" t="s">
        <v>7477</v>
      </c>
      <c r="B4537" t="s">
        <v>12344</v>
      </c>
    </row>
    <row r="4538" spans="1:2" x14ac:dyDescent="0.25">
      <c r="A4538" t="s">
        <v>9406</v>
      </c>
      <c r="B4538" t="s">
        <v>7477</v>
      </c>
    </row>
    <row r="4539" spans="1:2" x14ac:dyDescent="0.25">
      <c r="A4539" t="s">
        <v>5514</v>
      </c>
      <c r="B4539" t="s">
        <v>9406</v>
      </c>
    </row>
    <row r="4540" spans="1:2" x14ac:dyDescent="0.25">
      <c r="A4540" t="s">
        <v>3609</v>
      </c>
      <c r="B4540" t="s">
        <v>7477</v>
      </c>
    </row>
    <row r="4541" spans="1:2" x14ac:dyDescent="0.25">
      <c r="A4541" t="s">
        <v>11656</v>
      </c>
      <c r="B4541" t="s">
        <v>3609</v>
      </c>
    </row>
    <row r="4542" spans="1:2" x14ac:dyDescent="0.25">
      <c r="A4542" t="s">
        <v>9407</v>
      </c>
      <c r="B4542" t="s">
        <v>3609</v>
      </c>
    </row>
    <row r="4543" spans="1:2" x14ac:dyDescent="0.25">
      <c r="A4543" t="s">
        <v>9408</v>
      </c>
      <c r="B4543" t="s">
        <v>3609</v>
      </c>
    </row>
    <row r="4544" spans="1:2" x14ac:dyDescent="0.25">
      <c r="A4544" t="s">
        <v>14602</v>
      </c>
      <c r="B4544" t="s">
        <v>7477</v>
      </c>
    </row>
    <row r="4545" spans="1:2" x14ac:dyDescent="0.25">
      <c r="A4545" t="s">
        <v>14603</v>
      </c>
      <c r="B4545" t="s">
        <v>14602</v>
      </c>
    </row>
    <row r="4546" spans="1:2" x14ac:dyDescent="0.25">
      <c r="A4546" t="s">
        <v>14604</v>
      </c>
      <c r="B4546" t="s">
        <v>14602</v>
      </c>
    </row>
    <row r="4547" spans="1:2" x14ac:dyDescent="0.25">
      <c r="A4547" t="s">
        <v>14605</v>
      </c>
      <c r="B4547" t="s">
        <v>14604</v>
      </c>
    </row>
    <row r="4548" spans="1:2" x14ac:dyDescent="0.25">
      <c r="A4548" t="s">
        <v>14606</v>
      </c>
      <c r="B4548" t="s">
        <v>14604</v>
      </c>
    </row>
    <row r="4549" spans="1:2" x14ac:dyDescent="0.25">
      <c r="A4549" t="s">
        <v>14607</v>
      </c>
      <c r="B4549" t="s">
        <v>14602</v>
      </c>
    </row>
    <row r="4550" spans="1:2" x14ac:dyDescent="0.25">
      <c r="A4550" t="s">
        <v>14608</v>
      </c>
      <c r="B4550" t="s">
        <v>14607</v>
      </c>
    </row>
    <row r="4551" spans="1:2" x14ac:dyDescent="0.25">
      <c r="A4551" t="s">
        <v>14609</v>
      </c>
      <c r="B4551" t="s">
        <v>14607</v>
      </c>
    </row>
    <row r="4552" spans="1:2" x14ac:dyDescent="0.25">
      <c r="A4552" t="s">
        <v>12092</v>
      </c>
      <c r="B4552" t="s">
        <v>12344</v>
      </c>
    </row>
    <row r="4553" spans="1:2" x14ac:dyDescent="0.25">
      <c r="A4553" t="s">
        <v>8092</v>
      </c>
      <c r="B4553" t="s">
        <v>12092</v>
      </c>
    </row>
    <row r="4554" spans="1:2" x14ac:dyDescent="0.25">
      <c r="A4554" t="s">
        <v>8093</v>
      </c>
      <c r="B4554" t="s">
        <v>8092</v>
      </c>
    </row>
    <row r="4555" spans="1:2" x14ac:dyDescent="0.25">
      <c r="A4555" t="s">
        <v>424</v>
      </c>
      <c r="B4555" t="s">
        <v>12092</v>
      </c>
    </row>
    <row r="4556" spans="1:2" x14ac:dyDescent="0.25">
      <c r="A4556" t="s">
        <v>1721</v>
      </c>
      <c r="B4556" t="s">
        <v>424</v>
      </c>
    </row>
    <row r="4557" spans="1:2" x14ac:dyDescent="0.25">
      <c r="A4557" t="s">
        <v>2707</v>
      </c>
      <c r="B4557" t="s">
        <v>424</v>
      </c>
    </row>
    <row r="4558" spans="1:2" x14ac:dyDescent="0.25">
      <c r="A4558" t="s">
        <v>5515</v>
      </c>
      <c r="B4558" t="s">
        <v>12092</v>
      </c>
    </row>
    <row r="4559" spans="1:2" x14ac:dyDescent="0.25">
      <c r="A4559" t="s">
        <v>5516</v>
      </c>
      <c r="B4559" t="s">
        <v>5515</v>
      </c>
    </row>
    <row r="4560" spans="1:2" x14ac:dyDescent="0.25">
      <c r="A4560" t="s">
        <v>5881</v>
      </c>
      <c r="B4560" t="s">
        <v>5515</v>
      </c>
    </row>
    <row r="4561" spans="1:2" x14ac:dyDescent="0.25">
      <c r="A4561" t="s">
        <v>10318</v>
      </c>
      <c r="B4561" t="s">
        <v>12092</v>
      </c>
    </row>
    <row r="4562" spans="1:2" x14ac:dyDescent="0.25">
      <c r="A4562" t="s">
        <v>5517</v>
      </c>
      <c r="B4562" t="s">
        <v>10318</v>
      </c>
    </row>
    <row r="4563" spans="1:2" x14ac:dyDescent="0.25">
      <c r="A4563" t="s">
        <v>7478</v>
      </c>
      <c r="B4563" t="s">
        <v>12092</v>
      </c>
    </row>
    <row r="4564" spans="1:2" x14ac:dyDescent="0.25">
      <c r="A4564" t="s">
        <v>7479</v>
      </c>
      <c r="B4564" t="s">
        <v>7478</v>
      </c>
    </row>
    <row r="4565" spans="1:2" x14ac:dyDescent="0.25">
      <c r="A4565" t="s">
        <v>12694</v>
      </c>
      <c r="B4565" t="s">
        <v>12092</v>
      </c>
    </row>
    <row r="4566" spans="1:2" x14ac:dyDescent="0.25">
      <c r="A4566" t="s">
        <v>12695</v>
      </c>
      <c r="B4566" t="s">
        <v>12694</v>
      </c>
    </row>
    <row r="4567" spans="1:2" x14ac:dyDescent="0.25">
      <c r="A4567" t="s">
        <v>6789</v>
      </c>
      <c r="B4567" t="s">
        <v>12535</v>
      </c>
    </row>
    <row r="4568" spans="1:2" x14ac:dyDescent="0.25">
      <c r="A4568" t="s">
        <v>12851</v>
      </c>
      <c r="B4568" t="s">
        <v>12535</v>
      </c>
    </row>
    <row r="4569" spans="1:2" x14ac:dyDescent="0.25">
      <c r="A4569" t="s">
        <v>11625</v>
      </c>
      <c r="B4569" t="s">
        <v>12851</v>
      </c>
    </row>
    <row r="4570" spans="1:2" x14ac:dyDescent="0.25">
      <c r="A4570" t="s">
        <v>10320</v>
      </c>
      <c r="B4570" t="s">
        <v>11625</v>
      </c>
    </row>
    <row r="4571" spans="1:2" x14ac:dyDescent="0.25">
      <c r="A4571" t="s">
        <v>12394</v>
      </c>
      <c r="B4571" t="s">
        <v>10320</v>
      </c>
    </row>
    <row r="4572" spans="1:2" x14ac:dyDescent="0.25">
      <c r="A4572" t="s">
        <v>4649</v>
      </c>
      <c r="B4572" t="s">
        <v>12394</v>
      </c>
    </row>
    <row r="4573" spans="1:2" x14ac:dyDescent="0.25">
      <c r="A4573" t="s">
        <v>8593</v>
      </c>
      <c r="B4573" t="s">
        <v>12394</v>
      </c>
    </row>
    <row r="4574" spans="1:2" x14ac:dyDescent="0.25">
      <c r="A4574" t="s">
        <v>8594</v>
      </c>
      <c r="B4574" t="s">
        <v>12394</v>
      </c>
    </row>
    <row r="4575" spans="1:2" x14ac:dyDescent="0.25">
      <c r="A4575" t="s">
        <v>6344</v>
      </c>
      <c r="B4575" t="s">
        <v>12394</v>
      </c>
    </row>
    <row r="4576" spans="1:2" x14ac:dyDescent="0.25">
      <c r="A4576" t="s">
        <v>12098</v>
      </c>
      <c r="B4576" t="s">
        <v>10320</v>
      </c>
    </row>
    <row r="4577" spans="1:2" x14ac:dyDescent="0.25">
      <c r="A4577" t="s">
        <v>4147</v>
      </c>
      <c r="B4577" t="s">
        <v>12098</v>
      </c>
    </row>
    <row r="4578" spans="1:2" x14ac:dyDescent="0.25">
      <c r="A4578" t="s">
        <v>8095</v>
      </c>
      <c r="B4578" t="s">
        <v>12098</v>
      </c>
    </row>
    <row r="4579" spans="1:2" x14ac:dyDescent="0.25">
      <c r="A4579" t="s">
        <v>7481</v>
      </c>
      <c r="B4579" t="s">
        <v>12098</v>
      </c>
    </row>
    <row r="4580" spans="1:2" x14ac:dyDescent="0.25">
      <c r="A4580" t="s">
        <v>6840</v>
      </c>
      <c r="B4580" t="s">
        <v>12098</v>
      </c>
    </row>
    <row r="4581" spans="1:2" x14ac:dyDescent="0.25">
      <c r="A4581" t="s">
        <v>6841</v>
      </c>
      <c r="B4581" t="s">
        <v>12098</v>
      </c>
    </row>
    <row r="4582" spans="1:2" x14ac:dyDescent="0.25">
      <c r="A4582" t="s">
        <v>9411</v>
      </c>
      <c r="B4582" t="s">
        <v>10320</v>
      </c>
    </row>
    <row r="4583" spans="1:2" x14ac:dyDescent="0.25">
      <c r="A4583" t="s">
        <v>3610</v>
      </c>
      <c r="B4583" t="s">
        <v>9411</v>
      </c>
    </row>
    <row r="4584" spans="1:2" x14ac:dyDescent="0.25">
      <c r="A4584" t="s">
        <v>7482</v>
      </c>
      <c r="B4584" t="s">
        <v>9411</v>
      </c>
    </row>
    <row r="4585" spans="1:2" x14ac:dyDescent="0.25">
      <c r="A4585" t="s">
        <v>8595</v>
      </c>
      <c r="B4585" t="s">
        <v>9411</v>
      </c>
    </row>
    <row r="4586" spans="1:2" x14ac:dyDescent="0.25">
      <c r="A4586" t="s">
        <v>8989</v>
      </c>
      <c r="B4586" t="s">
        <v>9411</v>
      </c>
    </row>
    <row r="4587" spans="1:2" x14ac:dyDescent="0.25">
      <c r="A4587" t="s">
        <v>10321</v>
      </c>
      <c r="B4587" t="s">
        <v>10320</v>
      </c>
    </row>
    <row r="4588" spans="1:2" x14ac:dyDescent="0.25">
      <c r="A4588" t="s">
        <v>526</v>
      </c>
      <c r="B4588" t="s">
        <v>10321</v>
      </c>
    </row>
    <row r="4589" spans="1:2" x14ac:dyDescent="0.25">
      <c r="A4589" t="s">
        <v>5072</v>
      </c>
      <c r="B4589" t="s">
        <v>10321</v>
      </c>
    </row>
    <row r="4590" spans="1:2" x14ac:dyDescent="0.25">
      <c r="A4590" t="s">
        <v>14412</v>
      </c>
      <c r="B4590" t="s">
        <v>10320</v>
      </c>
    </row>
    <row r="4591" spans="1:2" x14ac:dyDescent="0.25">
      <c r="A4591" t="s">
        <v>14413</v>
      </c>
      <c r="B4591" t="s">
        <v>14412</v>
      </c>
    </row>
    <row r="4592" spans="1:2" x14ac:dyDescent="0.25">
      <c r="A4592" t="s">
        <v>14414</v>
      </c>
      <c r="B4592" t="s">
        <v>14412</v>
      </c>
    </row>
    <row r="4593" spans="1:2" x14ac:dyDescent="0.25">
      <c r="A4593" t="s">
        <v>14415</v>
      </c>
      <c r="B4593" t="s">
        <v>14412</v>
      </c>
    </row>
    <row r="4594" spans="1:2" x14ac:dyDescent="0.25">
      <c r="A4594" t="s">
        <v>14416</v>
      </c>
      <c r="B4594" t="s">
        <v>14415</v>
      </c>
    </row>
    <row r="4595" spans="1:2" x14ac:dyDescent="0.25">
      <c r="A4595" t="s">
        <v>14417</v>
      </c>
      <c r="B4595" t="s">
        <v>14415</v>
      </c>
    </row>
    <row r="4596" spans="1:2" x14ac:dyDescent="0.25">
      <c r="A4596" t="s">
        <v>7483</v>
      </c>
      <c r="B4596" t="s">
        <v>11625</v>
      </c>
    </row>
    <row r="4597" spans="1:2" x14ac:dyDescent="0.25">
      <c r="A4597" t="s">
        <v>9800</v>
      </c>
      <c r="B4597" t="s">
        <v>7483</v>
      </c>
    </row>
    <row r="4598" spans="1:2" x14ac:dyDescent="0.25">
      <c r="A4598" t="s">
        <v>8096</v>
      </c>
      <c r="B4598" t="s">
        <v>9800</v>
      </c>
    </row>
    <row r="4599" spans="1:2" x14ac:dyDescent="0.25">
      <c r="A4599" t="s">
        <v>4650</v>
      </c>
      <c r="B4599" t="s">
        <v>9800</v>
      </c>
    </row>
    <row r="4600" spans="1:2" x14ac:dyDescent="0.25">
      <c r="A4600" t="s">
        <v>2709</v>
      </c>
      <c r="B4600" t="s">
        <v>9800</v>
      </c>
    </row>
    <row r="4601" spans="1:2" x14ac:dyDescent="0.25">
      <c r="A4601" t="s">
        <v>7484</v>
      </c>
      <c r="B4601" t="s">
        <v>9800</v>
      </c>
    </row>
    <row r="4602" spans="1:2" x14ac:dyDescent="0.25">
      <c r="A4602" t="s">
        <v>5519</v>
      </c>
      <c r="B4602" t="s">
        <v>9800</v>
      </c>
    </row>
    <row r="4603" spans="1:2" x14ac:dyDescent="0.25">
      <c r="A4603" t="s">
        <v>9412</v>
      </c>
      <c r="B4603" t="s">
        <v>7483</v>
      </c>
    </row>
    <row r="4604" spans="1:2" x14ac:dyDescent="0.25">
      <c r="A4604" t="s">
        <v>7485</v>
      </c>
      <c r="B4604" t="s">
        <v>9412</v>
      </c>
    </row>
    <row r="4605" spans="1:2" x14ac:dyDescent="0.25">
      <c r="A4605" t="s">
        <v>3611</v>
      </c>
      <c r="B4605" t="s">
        <v>9412</v>
      </c>
    </row>
    <row r="4606" spans="1:2" x14ac:dyDescent="0.25">
      <c r="A4606" t="s">
        <v>3167</v>
      </c>
      <c r="B4606" t="s">
        <v>9412</v>
      </c>
    </row>
    <row r="4607" spans="1:2" x14ac:dyDescent="0.25">
      <c r="A4607" t="s">
        <v>3168</v>
      </c>
      <c r="B4607" t="s">
        <v>9412</v>
      </c>
    </row>
    <row r="4608" spans="1:2" x14ac:dyDescent="0.25">
      <c r="A4608" t="s">
        <v>6345</v>
      </c>
      <c r="B4608" t="s">
        <v>9412</v>
      </c>
    </row>
    <row r="4609" spans="1:2" x14ac:dyDescent="0.25">
      <c r="A4609" t="s">
        <v>5883</v>
      </c>
      <c r="B4609" t="s">
        <v>9412</v>
      </c>
    </row>
    <row r="4610" spans="1:2" x14ac:dyDescent="0.25">
      <c r="A4610" t="s">
        <v>5884</v>
      </c>
      <c r="B4610" t="s">
        <v>9412</v>
      </c>
    </row>
    <row r="4611" spans="1:2" x14ac:dyDescent="0.25">
      <c r="A4611" t="s">
        <v>5520</v>
      </c>
      <c r="B4611" t="s">
        <v>7483</v>
      </c>
    </row>
    <row r="4612" spans="1:2" x14ac:dyDescent="0.25">
      <c r="A4612" t="s">
        <v>6842</v>
      </c>
      <c r="B4612" t="s">
        <v>5520</v>
      </c>
    </row>
    <row r="4613" spans="1:2" x14ac:dyDescent="0.25">
      <c r="A4613" t="s">
        <v>4651</v>
      </c>
      <c r="B4613" t="s">
        <v>5520</v>
      </c>
    </row>
    <row r="4614" spans="1:2" x14ac:dyDescent="0.25">
      <c r="A4614" t="s">
        <v>5073</v>
      </c>
      <c r="B4614" t="s">
        <v>5520</v>
      </c>
    </row>
    <row r="4615" spans="1:2" x14ac:dyDescent="0.25">
      <c r="A4615" t="s">
        <v>7486</v>
      </c>
      <c r="B4615" t="s">
        <v>5520</v>
      </c>
    </row>
    <row r="4616" spans="1:2" x14ac:dyDescent="0.25">
      <c r="A4616" t="s">
        <v>8097</v>
      </c>
      <c r="B4616" t="s">
        <v>5520</v>
      </c>
    </row>
    <row r="4617" spans="1:2" x14ac:dyDescent="0.25">
      <c r="A4617" t="s">
        <v>9413</v>
      </c>
      <c r="B4617" t="s">
        <v>7483</v>
      </c>
    </row>
    <row r="4618" spans="1:2" x14ac:dyDescent="0.25">
      <c r="A4618" t="s">
        <v>5885</v>
      </c>
      <c r="B4618" t="s">
        <v>9413</v>
      </c>
    </row>
    <row r="4619" spans="1:2" x14ac:dyDescent="0.25">
      <c r="A4619" t="s">
        <v>14634</v>
      </c>
      <c r="B4619" t="s">
        <v>7483</v>
      </c>
    </row>
    <row r="4620" spans="1:2" x14ac:dyDescent="0.25">
      <c r="A4620" t="s">
        <v>14635</v>
      </c>
      <c r="B4620" t="s">
        <v>14634</v>
      </c>
    </row>
    <row r="4621" spans="1:2" x14ac:dyDescent="0.25">
      <c r="A4621" t="s">
        <v>14636</v>
      </c>
      <c r="B4621" t="s">
        <v>14634</v>
      </c>
    </row>
    <row r="4622" spans="1:2" x14ac:dyDescent="0.25">
      <c r="A4622" t="s">
        <v>14637</v>
      </c>
      <c r="B4622" t="s">
        <v>14636</v>
      </c>
    </row>
    <row r="4623" spans="1:2" x14ac:dyDescent="0.25">
      <c r="A4623" t="s">
        <v>14638</v>
      </c>
      <c r="B4623" t="s">
        <v>14636</v>
      </c>
    </row>
    <row r="4624" spans="1:2" x14ac:dyDescent="0.25">
      <c r="A4624" t="s">
        <v>14639</v>
      </c>
      <c r="B4624" t="s">
        <v>14634</v>
      </c>
    </row>
    <row r="4625" spans="1:2" x14ac:dyDescent="0.25">
      <c r="A4625" t="s">
        <v>14640</v>
      </c>
      <c r="B4625" t="s">
        <v>14639</v>
      </c>
    </row>
    <row r="4626" spans="1:2" x14ac:dyDescent="0.25">
      <c r="A4626" t="s">
        <v>14641</v>
      </c>
      <c r="B4626" t="s">
        <v>14639</v>
      </c>
    </row>
    <row r="4627" spans="1:2" x14ac:dyDescent="0.25">
      <c r="A4627" t="s">
        <v>12099</v>
      </c>
      <c r="B4627" t="s">
        <v>11625</v>
      </c>
    </row>
    <row r="4628" spans="1:2" x14ac:dyDescent="0.25">
      <c r="A4628" t="s">
        <v>8098</v>
      </c>
      <c r="B4628" t="s">
        <v>12099</v>
      </c>
    </row>
    <row r="4629" spans="1:2" x14ac:dyDescent="0.25">
      <c r="A4629" t="s">
        <v>9414</v>
      </c>
      <c r="B4629" t="s">
        <v>8098</v>
      </c>
    </row>
    <row r="4630" spans="1:2" x14ac:dyDescent="0.25">
      <c r="A4630" t="s">
        <v>9801</v>
      </c>
      <c r="B4630" t="s">
        <v>8098</v>
      </c>
    </row>
    <row r="4631" spans="1:2" x14ac:dyDescent="0.25">
      <c r="A4631" t="s">
        <v>12100</v>
      </c>
      <c r="B4631" t="s">
        <v>12099</v>
      </c>
    </row>
    <row r="4632" spans="1:2" x14ac:dyDescent="0.25">
      <c r="A4632" t="s">
        <v>10322</v>
      </c>
      <c r="B4632" t="s">
        <v>12100</v>
      </c>
    </row>
    <row r="4633" spans="1:2" x14ac:dyDescent="0.25">
      <c r="A4633" t="s">
        <v>9802</v>
      </c>
      <c r="B4633" t="s">
        <v>12100</v>
      </c>
    </row>
    <row r="4634" spans="1:2" x14ac:dyDescent="0.25">
      <c r="A4634" t="s">
        <v>6346</v>
      </c>
      <c r="B4634" t="s">
        <v>12099</v>
      </c>
    </row>
    <row r="4635" spans="1:2" x14ac:dyDescent="0.25">
      <c r="A4635" t="s">
        <v>9415</v>
      </c>
      <c r="B4635" t="s">
        <v>6346</v>
      </c>
    </row>
    <row r="4636" spans="1:2" x14ac:dyDescent="0.25">
      <c r="A4636" t="s">
        <v>9803</v>
      </c>
      <c r="B4636" t="s">
        <v>6346</v>
      </c>
    </row>
    <row r="4637" spans="1:2" x14ac:dyDescent="0.25">
      <c r="A4637" t="s">
        <v>9346</v>
      </c>
      <c r="B4637" t="s">
        <v>12851</v>
      </c>
    </row>
    <row r="4638" spans="1:2" x14ac:dyDescent="0.25">
      <c r="A4638" t="s">
        <v>12538</v>
      </c>
      <c r="B4638" t="s">
        <v>9346</v>
      </c>
    </row>
    <row r="4639" spans="1:2" x14ac:dyDescent="0.25">
      <c r="A4639" t="s">
        <v>10304</v>
      </c>
      <c r="B4639" t="s">
        <v>12538</v>
      </c>
    </row>
    <row r="4640" spans="1:2" x14ac:dyDescent="0.25">
      <c r="A4640" t="s">
        <v>12384</v>
      </c>
      <c r="B4640" t="s">
        <v>10304</v>
      </c>
    </row>
    <row r="4641" spans="1:2" x14ac:dyDescent="0.25">
      <c r="A4641" t="s">
        <v>4642</v>
      </c>
      <c r="B4641" t="s">
        <v>12384</v>
      </c>
    </row>
    <row r="4642" spans="1:2" x14ac:dyDescent="0.25">
      <c r="A4642" t="s">
        <v>8579</v>
      </c>
      <c r="B4642" t="s">
        <v>12384</v>
      </c>
    </row>
    <row r="4643" spans="1:2" x14ac:dyDescent="0.25">
      <c r="A4643" t="s">
        <v>8580</v>
      </c>
      <c r="B4643" t="s">
        <v>12384</v>
      </c>
    </row>
    <row r="4644" spans="1:2" x14ac:dyDescent="0.25">
      <c r="A4644" t="s">
        <v>6329</v>
      </c>
      <c r="B4644" t="s">
        <v>12384</v>
      </c>
    </row>
    <row r="4645" spans="1:2" x14ac:dyDescent="0.25">
      <c r="A4645" t="s">
        <v>12077</v>
      </c>
      <c r="B4645" t="s">
        <v>10304</v>
      </c>
    </row>
    <row r="4646" spans="1:2" x14ac:dyDescent="0.25">
      <c r="A4646" t="s">
        <v>4139</v>
      </c>
      <c r="B4646" t="s">
        <v>12077</v>
      </c>
    </row>
    <row r="4647" spans="1:2" x14ac:dyDescent="0.25">
      <c r="A4647" t="s">
        <v>8079</v>
      </c>
      <c r="B4647" t="s">
        <v>12077</v>
      </c>
    </row>
    <row r="4648" spans="1:2" x14ac:dyDescent="0.25">
      <c r="A4648" t="s">
        <v>7458</v>
      </c>
      <c r="B4648" t="s">
        <v>12077</v>
      </c>
    </row>
    <row r="4649" spans="1:2" x14ac:dyDescent="0.25">
      <c r="A4649" t="s">
        <v>6822</v>
      </c>
      <c r="B4649" t="s">
        <v>12077</v>
      </c>
    </row>
    <row r="4650" spans="1:2" x14ac:dyDescent="0.25">
      <c r="A4650" t="s">
        <v>6823</v>
      </c>
      <c r="B4650" t="s">
        <v>12077</v>
      </c>
    </row>
    <row r="4651" spans="1:2" x14ac:dyDescent="0.25">
      <c r="A4651" t="s">
        <v>9393</v>
      </c>
      <c r="B4651" t="s">
        <v>10304</v>
      </c>
    </row>
    <row r="4652" spans="1:2" x14ac:dyDescent="0.25">
      <c r="A4652" t="s">
        <v>3605</v>
      </c>
      <c r="B4652" t="s">
        <v>9393</v>
      </c>
    </row>
    <row r="4653" spans="1:2" x14ac:dyDescent="0.25">
      <c r="A4653" t="s">
        <v>7459</v>
      </c>
      <c r="B4653" t="s">
        <v>9393</v>
      </c>
    </row>
    <row r="4654" spans="1:2" x14ac:dyDescent="0.25">
      <c r="A4654" t="s">
        <v>8581</v>
      </c>
      <c r="B4654" t="s">
        <v>9393</v>
      </c>
    </row>
    <row r="4655" spans="1:2" x14ac:dyDescent="0.25">
      <c r="A4655" t="s">
        <v>8976</v>
      </c>
      <c r="B4655" t="s">
        <v>9393</v>
      </c>
    </row>
    <row r="4656" spans="1:2" x14ac:dyDescent="0.25">
      <c r="A4656" t="s">
        <v>14400</v>
      </c>
      <c r="B4656" t="s">
        <v>10304</v>
      </c>
    </row>
    <row r="4657" spans="1:2" x14ac:dyDescent="0.25">
      <c r="A4657" t="s">
        <v>14401</v>
      </c>
      <c r="B4657" t="s">
        <v>14400</v>
      </c>
    </row>
    <row r="4658" spans="1:2" x14ac:dyDescent="0.25">
      <c r="A4658" t="s">
        <v>14402</v>
      </c>
      <c r="B4658" t="s">
        <v>14400</v>
      </c>
    </row>
    <row r="4659" spans="1:2" x14ac:dyDescent="0.25">
      <c r="A4659" t="s">
        <v>14403</v>
      </c>
      <c r="B4659" t="s">
        <v>14400</v>
      </c>
    </row>
    <row r="4660" spans="1:2" x14ac:dyDescent="0.25">
      <c r="A4660" t="s">
        <v>14404</v>
      </c>
      <c r="B4660" t="s">
        <v>14403</v>
      </c>
    </row>
    <row r="4661" spans="1:2" x14ac:dyDescent="0.25">
      <c r="A4661" t="s">
        <v>14405</v>
      </c>
      <c r="B4661" t="s">
        <v>14403</v>
      </c>
    </row>
    <row r="4662" spans="1:2" x14ac:dyDescent="0.25">
      <c r="A4662" t="s">
        <v>7460</v>
      </c>
      <c r="B4662" t="s">
        <v>12538</v>
      </c>
    </row>
    <row r="4663" spans="1:2" x14ac:dyDescent="0.25">
      <c r="A4663" t="s">
        <v>9792</v>
      </c>
      <c r="B4663" t="s">
        <v>7460</v>
      </c>
    </row>
    <row r="4664" spans="1:2" x14ac:dyDescent="0.25">
      <c r="A4664" t="s">
        <v>8080</v>
      </c>
      <c r="B4664" t="s">
        <v>9792</v>
      </c>
    </row>
    <row r="4665" spans="1:2" x14ac:dyDescent="0.25">
      <c r="A4665" t="s">
        <v>4643</v>
      </c>
      <c r="B4665" t="s">
        <v>9792</v>
      </c>
    </row>
    <row r="4666" spans="1:2" x14ac:dyDescent="0.25">
      <c r="A4666" t="s">
        <v>2705</v>
      </c>
      <c r="B4666" t="s">
        <v>9792</v>
      </c>
    </row>
    <row r="4667" spans="1:2" x14ac:dyDescent="0.25">
      <c r="A4667" t="s">
        <v>7461</v>
      </c>
      <c r="B4667" t="s">
        <v>9792</v>
      </c>
    </row>
    <row r="4668" spans="1:2" x14ac:dyDescent="0.25">
      <c r="A4668" t="s">
        <v>5505</v>
      </c>
      <c r="B4668" t="s">
        <v>9792</v>
      </c>
    </row>
    <row r="4669" spans="1:2" x14ac:dyDescent="0.25">
      <c r="A4669" t="s">
        <v>9394</v>
      </c>
      <c r="B4669" t="s">
        <v>7460</v>
      </c>
    </row>
    <row r="4670" spans="1:2" x14ac:dyDescent="0.25">
      <c r="A4670" t="s">
        <v>7462</v>
      </c>
      <c r="B4670" t="s">
        <v>9394</v>
      </c>
    </row>
    <row r="4671" spans="1:2" x14ac:dyDescent="0.25">
      <c r="A4671" t="s">
        <v>3606</v>
      </c>
      <c r="B4671" t="s">
        <v>9394</v>
      </c>
    </row>
    <row r="4672" spans="1:2" x14ac:dyDescent="0.25">
      <c r="A4672" t="s">
        <v>3163</v>
      </c>
      <c r="B4672" t="s">
        <v>9394</v>
      </c>
    </row>
    <row r="4673" spans="1:2" x14ac:dyDescent="0.25">
      <c r="A4673" t="s">
        <v>3164</v>
      </c>
      <c r="B4673" t="s">
        <v>9394</v>
      </c>
    </row>
    <row r="4674" spans="1:2" x14ac:dyDescent="0.25">
      <c r="A4674" t="s">
        <v>6330</v>
      </c>
      <c r="B4674" t="s">
        <v>9394</v>
      </c>
    </row>
    <row r="4675" spans="1:2" x14ac:dyDescent="0.25">
      <c r="A4675" t="s">
        <v>5876</v>
      </c>
      <c r="B4675" t="s">
        <v>9394</v>
      </c>
    </row>
    <row r="4676" spans="1:2" x14ac:dyDescent="0.25">
      <c r="A4676" t="s">
        <v>5877</v>
      </c>
      <c r="B4676" t="s">
        <v>9394</v>
      </c>
    </row>
    <row r="4677" spans="1:2" x14ac:dyDescent="0.25">
      <c r="A4677" t="s">
        <v>5506</v>
      </c>
      <c r="B4677" t="s">
        <v>7460</v>
      </c>
    </row>
    <row r="4678" spans="1:2" x14ac:dyDescent="0.25">
      <c r="A4678" t="s">
        <v>6824</v>
      </c>
      <c r="B4678" t="s">
        <v>5506</v>
      </c>
    </row>
    <row r="4679" spans="1:2" x14ac:dyDescent="0.25">
      <c r="A4679" t="s">
        <v>4644</v>
      </c>
      <c r="B4679" t="s">
        <v>5506</v>
      </c>
    </row>
    <row r="4680" spans="1:2" x14ac:dyDescent="0.25">
      <c r="A4680" t="s">
        <v>5063</v>
      </c>
      <c r="B4680" t="s">
        <v>5506</v>
      </c>
    </row>
    <row r="4681" spans="1:2" x14ac:dyDescent="0.25">
      <c r="A4681" t="s">
        <v>7463</v>
      </c>
      <c r="B4681" t="s">
        <v>5506</v>
      </c>
    </row>
    <row r="4682" spans="1:2" x14ac:dyDescent="0.25">
      <c r="A4682" t="s">
        <v>8081</v>
      </c>
      <c r="B4682" t="s">
        <v>5506</v>
      </c>
    </row>
    <row r="4683" spans="1:2" x14ac:dyDescent="0.25">
      <c r="A4683" t="s">
        <v>9395</v>
      </c>
      <c r="B4683" t="s">
        <v>7460</v>
      </c>
    </row>
    <row r="4684" spans="1:2" x14ac:dyDescent="0.25">
      <c r="A4684" t="s">
        <v>5878</v>
      </c>
      <c r="B4684" t="s">
        <v>9395</v>
      </c>
    </row>
    <row r="4685" spans="1:2" x14ac:dyDescent="0.25">
      <c r="A4685" t="s">
        <v>14626</v>
      </c>
      <c r="B4685" t="s">
        <v>7460</v>
      </c>
    </row>
    <row r="4686" spans="1:2" x14ac:dyDescent="0.25">
      <c r="A4686" t="s">
        <v>14627</v>
      </c>
      <c r="B4686" t="s">
        <v>14626</v>
      </c>
    </row>
    <row r="4687" spans="1:2" x14ac:dyDescent="0.25">
      <c r="A4687" t="s">
        <v>14628</v>
      </c>
      <c r="B4687" t="s">
        <v>14626</v>
      </c>
    </row>
    <row r="4688" spans="1:2" x14ac:dyDescent="0.25">
      <c r="A4688" t="s">
        <v>14629</v>
      </c>
      <c r="B4688" t="s">
        <v>14628</v>
      </c>
    </row>
    <row r="4689" spans="1:2" x14ac:dyDescent="0.25">
      <c r="A4689" t="s">
        <v>14630</v>
      </c>
      <c r="B4689" t="s">
        <v>14628</v>
      </c>
    </row>
    <row r="4690" spans="1:2" x14ac:dyDescent="0.25">
      <c r="A4690" t="s">
        <v>14631</v>
      </c>
      <c r="B4690" t="s">
        <v>14626</v>
      </c>
    </row>
    <row r="4691" spans="1:2" x14ac:dyDescent="0.25">
      <c r="A4691" t="s">
        <v>14632</v>
      </c>
      <c r="B4691" t="s">
        <v>14631</v>
      </c>
    </row>
    <row r="4692" spans="1:2" x14ac:dyDescent="0.25">
      <c r="A4692" t="s">
        <v>14633</v>
      </c>
      <c r="B4692" t="s">
        <v>14631</v>
      </c>
    </row>
    <row r="4693" spans="1:2" x14ac:dyDescent="0.25">
      <c r="A4693" t="s">
        <v>12078</v>
      </c>
      <c r="B4693" t="s">
        <v>12538</v>
      </c>
    </row>
    <row r="4694" spans="1:2" x14ac:dyDescent="0.25">
      <c r="A4694" t="s">
        <v>8082</v>
      </c>
      <c r="B4694" t="s">
        <v>12078</v>
      </c>
    </row>
    <row r="4695" spans="1:2" x14ac:dyDescent="0.25">
      <c r="A4695" t="s">
        <v>9396</v>
      </c>
      <c r="B4695" t="s">
        <v>8082</v>
      </c>
    </row>
    <row r="4696" spans="1:2" x14ac:dyDescent="0.25">
      <c r="A4696" t="s">
        <v>9793</v>
      </c>
      <c r="B4696" t="s">
        <v>8082</v>
      </c>
    </row>
    <row r="4697" spans="1:2" x14ac:dyDescent="0.25">
      <c r="A4697" t="s">
        <v>12079</v>
      </c>
      <c r="B4697" t="s">
        <v>12078</v>
      </c>
    </row>
    <row r="4698" spans="1:2" x14ac:dyDescent="0.25">
      <c r="A4698" t="s">
        <v>10305</v>
      </c>
      <c r="B4698" t="s">
        <v>12079</v>
      </c>
    </row>
    <row r="4699" spans="1:2" x14ac:dyDescent="0.25">
      <c r="A4699" t="s">
        <v>9794</v>
      </c>
      <c r="B4699" t="s">
        <v>12079</v>
      </c>
    </row>
    <row r="4700" spans="1:2" x14ac:dyDescent="0.25">
      <c r="A4700" t="s">
        <v>6331</v>
      </c>
      <c r="B4700" t="s">
        <v>12078</v>
      </c>
    </row>
    <row r="4701" spans="1:2" x14ac:dyDescent="0.25">
      <c r="A4701" t="s">
        <v>9397</v>
      </c>
      <c r="B4701" t="s">
        <v>6331</v>
      </c>
    </row>
    <row r="4702" spans="1:2" x14ac:dyDescent="0.25">
      <c r="A4702" t="s">
        <v>9795</v>
      </c>
      <c r="B4702" t="s">
        <v>6331</v>
      </c>
    </row>
    <row r="4703" spans="1:2" x14ac:dyDescent="0.25">
      <c r="A4703" t="s">
        <v>11840</v>
      </c>
      <c r="B4703" t="s">
        <v>9346</v>
      </c>
    </row>
    <row r="4704" spans="1:2" x14ac:dyDescent="0.25">
      <c r="A4704" t="s">
        <v>12909</v>
      </c>
      <c r="B4704" t="s">
        <v>12535</v>
      </c>
    </row>
    <row r="4705" spans="1:2" x14ac:dyDescent="0.25">
      <c r="A4705" t="s">
        <v>12343</v>
      </c>
      <c r="B4705" t="s">
        <v>12909</v>
      </c>
    </row>
    <row r="4706" spans="1:2" x14ac:dyDescent="0.25">
      <c r="A4706" t="s">
        <v>10457</v>
      </c>
      <c r="B4706" t="s">
        <v>12343</v>
      </c>
    </row>
    <row r="4707" spans="1:2" x14ac:dyDescent="0.25">
      <c r="A4707" t="s">
        <v>14532</v>
      </c>
      <c r="B4707" t="s">
        <v>10457</v>
      </c>
    </row>
    <row r="4708" spans="1:2" x14ac:dyDescent="0.25">
      <c r="A4708" t="s">
        <v>14533</v>
      </c>
      <c r="B4708" t="s">
        <v>14532</v>
      </c>
    </row>
    <row r="4709" spans="1:2" x14ac:dyDescent="0.25">
      <c r="A4709" t="s">
        <v>14534</v>
      </c>
      <c r="B4709" t="s">
        <v>14532</v>
      </c>
    </row>
    <row r="4710" spans="1:2" x14ac:dyDescent="0.25">
      <c r="A4710" t="s">
        <v>14535</v>
      </c>
      <c r="B4710" t="s">
        <v>14532</v>
      </c>
    </row>
    <row r="4711" spans="1:2" x14ac:dyDescent="0.25">
      <c r="A4711" t="s">
        <v>14536</v>
      </c>
      <c r="B4711" t="s">
        <v>14535</v>
      </c>
    </row>
    <row r="4712" spans="1:2" x14ac:dyDescent="0.25">
      <c r="A4712" t="s">
        <v>14537</v>
      </c>
      <c r="B4712" t="s">
        <v>14535</v>
      </c>
    </row>
    <row r="4713" spans="1:2" x14ac:dyDescent="0.25">
      <c r="A4713" t="s">
        <v>7585</v>
      </c>
      <c r="B4713" t="s">
        <v>12343</v>
      </c>
    </row>
    <row r="4714" spans="1:2" x14ac:dyDescent="0.25">
      <c r="A4714" t="s">
        <v>14714</v>
      </c>
      <c r="B4714" t="s">
        <v>7585</v>
      </c>
    </row>
    <row r="4715" spans="1:2" x14ac:dyDescent="0.25">
      <c r="A4715" t="s">
        <v>14715</v>
      </c>
      <c r="B4715" t="s">
        <v>14714</v>
      </c>
    </row>
    <row r="4716" spans="1:2" x14ac:dyDescent="0.25">
      <c r="A4716" t="s">
        <v>14716</v>
      </c>
      <c r="B4716" t="s">
        <v>14714</v>
      </c>
    </row>
    <row r="4717" spans="1:2" x14ac:dyDescent="0.25">
      <c r="A4717" t="s">
        <v>14717</v>
      </c>
      <c r="B4717" t="s">
        <v>14716</v>
      </c>
    </row>
    <row r="4718" spans="1:2" x14ac:dyDescent="0.25">
      <c r="A4718" t="s">
        <v>14718</v>
      </c>
      <c r="B4718" t="s">
        <v>14716</v>
      </c>
    </row>
    <row r="4719" spans="1:2" x14ac:dyDescent="0.25">
      <c r="A4719" t="s">
        <v>14719</v>
      </c>
      <c r="B4719" t="s">
        <v>14714</v>
      </c>
    </row>
    <row r="4720" spans="1:2" x14ac:dyDescent="0.25">
      <c r="A4720" t="s">
        <v>14720</v>
      </c>
      <c r="B4720" t="s">
        <v>14719</v>
      </c>
    </row>
    <row r="4721" spans="1:2" x14ac:dyDescent="0.25">
      <c r="A4721" t="s">
        <v>14721</v>
      </c>
      <c r="B4721" t="s">
        <v>14719</v>
      </c>
    </row>
    <row r="4722" spans="1:2" x14ac:dyDescent="0.25">
      <c r="A4722" t="s">
        <v>12190</v>
      </c>
      <c r="B4722" t="s">
        <v>12343</v>
      </c>
    </row>
    <row r="4723" spans="1:2" x14ac:dyDescent="0.25">
      <c r="A4723" t="s">
        <v>12542</v>
      </c>
      <c r="B4723" t="s">
        <v>12909</v>
      </c>
    </row>
    <row r="4724" spans="1:2" x14ac:dyDescent="0.25">
      <c r="A4724" t="s">
        <v>10464</v>
      </c>
      <c r="B4724" t="s">
        <v>12542</v>
      </c>
    </row>
    <row r="4725" spans="1:2" x14ac:dyDescent="0.25">
      <c r="A4725" t="s">
        <v>7594</v>
      </c>
      <c r="B4725" t="s">
        <v>12542</v>
      </c>
    </row>
    <row r="4726" spans="1:2" x14ac:dyDescent="0.25">
      <c r="A4726" t="s">
        <v>12198</v>
      </c>
      <c r="B4726" t="s">
        <v>12542</v>
      </c>
    </row>
    <row r="4727" spans="1:2" x14ac:dyDescent="0.25">
      <c r="A4727" t="s">
        <v>12345</v>
      </c>
      <c r="B4727" t="s">
        <v>12909</v>
      </c>
    </row>
    <row r="4728" spans="1:2" x14ac:dyDescent="0.25">
      <c r="A4728" t="s">
        <v>10335</v>
      </c>
      <c r="B4728" t="s">
        <v>12345</v>
      </c>
    </row>
    <row r="4729" spans="1:2" x14ac:dyDescent="0.25">
      <c r="A4729" t="s">
        <v>14520</v>
      </c>
      <c r="B4729" t="s">
        <v>10335</v>
      </c>
    </row>
    <row r="4730" spans="1:2" x14ac:dyDescent="0.25">
      <c r="A4730" t="s">
        <v>14521</v>
      </c>
      <c r="B4730" t="s">
        <v>14520</v>
      </c>
    </row>
    <row r="4731" spans="1:2" x14ac:dyDescent="0.25">
      <c r="A4731" t="s">
        <v>14522</v>
      </c>
      <c r="B4731" t="s">
        <v>14520</v>
      </c>
    </row>
    <row r="4732" spans="1:2" x14ac:dyDescent="0.25">
      <c r="A4732" t="s">
        <v>14523</v>
      </c>
      <c r="B4732" t="s">
        <v>14520</v>
      </c>
    </row>
    <row r="4733" spans="1:2" x14ac:dyDescent="0.25">
      <c r="A4733" t="s">
        <v>14524</v>
      </c>
      <c r="B4733" t="s">
        <v>14523</v>
      </c>
    </row>
    <row r="4734" spans="1:2" x14ac:dyDescent="0.25">
      <c r="A4734" t="s">
        <v>14525</v>
      </c>
      <c r="B4734" t="s">
        <v>14523</v>
      </c>
    </row>
    <row r="4735" spans="1:2" x14ac:dyDescent="0.25">
      <c r="A4735" t="s">
        <v>7495</v>
      </c>
      <c r="B4735" t="s">
        <v>12345</v>
      </c>
    </row>
    <row r="4736" spans="1:2" x14ac:dyDescent="0.25">
      <c r="A4736" t="s">
        <v>14706</v>
      </c>
      <c r="B4736" t="s">
        <v>7495</v>
      </c>
    </row>
    <row r="4737" spans="1:2" x14ac:dyDescent="0.25">
      <c r="A4737" t="s">
        <v>14707</v>
      </c>
      <c r="B4737" t="s">
        <v>14706</v>
      </c>
    </row>
    <row r="4738" spans="1:2" x14ac:dyDescent="0.25">
      <c r="A4738" t="s">
        <v>14708</v>
      </c>
      <c r="B4738" t="s">
        <v>14706</v>
      </c>
    </row>
    <row r="4739" spans="1:2" x14ac:dyDescent="0.25">
      <c r="A4739" t="s">
        <v>14709</v>
      </c>
      <c r="B4739" t="s">
        <v>14708</v>
      </c>
    </row>
    <row r="4740" spans="1:2" x14ac:dyDescent="0.25">
      <c r="A4740" t="s">
        <v>14710</v>
      </c>
      <c r="B4740" t="s">
        <v>14708</v>
      </c>
    </row>
    <row r="4741" spans="1:2" x14ac:dyDescent="0.25">
      <c r="A4741" t="s">
        <v>14711</v>
      </c>
      <c r="B4741" t="s">
        <v>14706</v>
      </c>
    </row>
    <row r="4742" spans="1:2" x14ac:dyDescent="0.25">
      <c r="A4742" t="s">
        <v>14712</v>
      </c>
      <c r="B4742" t="s">
        <v>14711</v>
      </c>
    </row>
    <row r="4743" spans="1:2" x14ac:dyDescent="0.25">
      <c r="A4743" t="s">
        <v>14713</v>
      </c>
      <c r="B4743" t="s">
        <v>14711</v>
      </c>
    </row>
    <row r="4744" spans="1:2" x14ac:dyDescent="0.25">
      <c r="A4744" t="s">
        <v>12110</v>
      </c>
      <c r="B4744" t="s">
        <v>12345</v>
      </c>
    </row>
    <row r="4745" spans="1:2" x14ac:dyDescent="0.25">
      <c r="A4745" t="s">
        <v>11647</v>
      </c>
      <c r="B4745" t="s">
        <v>12909</v>
      </c>
    </row>
    <row r="4746" spans="1:2" x14ac:dyDescent="0.25">
      <c r="A4746" t="s">
        <v>12536</v>
      </c>
      <c r="B4746" t="s">
        <v>11647</v>
      </c>
    </row>
    <row r="4747" spans="1:2" x14ac:dyDescent="0.25">
      <c r="A4747" t="s">
        <v>10329</v>
      </c>
      <c r="B4747" t="s">
        <v>12536</v>
      </c>
    </row>
    <row r="4748" spans="1:2" x14ac:dyDescent="0.25">
      <c r="A4748" t="s">
        <v>7489</v>
      </c>
      <c r="B4748" t="s">
        <v>12536</v>
      </c>
    </row>
    <row r="4749" spans="1:2" x14ac:dyDescent="0.25">
      <c r="A4749" t="s">
        <v>12104</v>
      </c>
      <c r="B4749" t="s">
        <v>12536</v>
      </c>
    </row>
    <row r="4750" spans="1:2" x14ac:dyDescent="0.25">
      <c r="A4750" t="s">
        <v>6788</v>
      </c>
      <c r="B4750" t="s">
        <v>11647</v>
      </c>
    </row>
    <row r="4751" spans="1:2" x14ac:dyDescent="0.25">
      <c r="A4751" t="s">
        <v>10330</v>
      </c>
      <c r="B4751" t="s">
        <v>6788</v>
      </c>
    </row>
    <row r="4752" spans="1:2" x14ac:dyDescent="0.25">
      <c r="A4752" t="s">
        <v>7490</v>
      </c>
      <c r="B4752" t="s">
        <v>6788</v>
      </c>
    </row>
    <row r="4753" spans="1:2" x14ac:dyDescent="0.25">
      <c r="A4753" t="s">
        <v>12105</v>
      </c>
      <c r="B4753" t="s">
        <v>6788</v>
      </c>
    </row>
    <row r="4754" spans="1:2" x14ac:dyDescent="0.25">
      <c r="A4754" t="s">
        <v>12006</v>
      </c>
      <c r="B4754" t="s">
        <v>11647</v>
      </c>
    </row>
    <row r="4755" spans="1:2" x14ac:dyDescent="0.25">
      <c r="A4755" t="s">
        <v>10333</v>
      </c>
      <c r="B4755" t="s">
        <v>12006</v>
      </c>
    </row>
    <row r="4756" spans="1:2" x14ac:dyDescent="0.25">
      <c r="A4756" t="s">
        <v>7493</v>
      </c>
      <c r="B4756" t="s">
        <v>12006</v>
      </c>
    </row>
    <row r="4757" spans="1:2" x14ac:dyDescent="0.25">
      <c r="A4757" t="s">
        <v>12108</v>
      </c>
      <c r="B4757" t="s">
        <v>12006</v>
      </c>
    </row>
    <row r="4758" spans="1:2" x14ac:dyDescent="0.25">
      <c r="A4758" t="s">
        <v>12665</v>
      </c>
      <c r="B4758" t="s">
        <v>11647</v>
      </c>
    </row>
    <row r="4759" spans="1:2" x14ac:dyDescent="0.25">
      <c r="A4759" t="s">
        <v>10332</v>
      </c>
      <c r="B4759" t="s">
        <v>12665</v>
      </c>
    </row>
    <row r="4760" spans="1:2" x14ac:dyDescent="0.25">
      <c r="A4760" t="s">
        <v>7492</v>
      </c>
      <c r="B4760" t="s">
        <v>12665</v>
      </c>
    </row>
    <row r="4761" spans="1:2" x14ac:dyDescent="0.25">
      <c r="A4761" t="s">
        <v>12107</v>
      </c>
      <c r="B4761" t="s">
        <v>12665</v>
      </c>
    </row>
    <row r="4762" spans="1:2" x14ac:dyDescent="0.25">
      <c r="A4762" t="s">
        <v>10776</v>
      </c>
      <c r="B4762" t="s">
        <v>12909</v>
      </c>
    </row>
    <row r="4763" spans="1:2" x14ac:dyDescent="0.25">
      <c r="A4763" t="s">
        <v>11841</v>
      </c>
      <c r="B4763" t="s">
        <v>10776</v>
      </c>
    </row>
    <row r="4764" spans="1:2" x14ac:dyDescent="0.25">
      <c r="A4764" t="s">
        <v>12663</v>
      </c>
      <c r="B4764" t="s">
        <v>10776</v>
      </c>
    </row>
    <row r="4765" spans="1:2" x14ac:dyDescent="0.25">
      <c r="A4765" t="s">
        <v>10462</v>
      </c>
      <c r="B4765" t="s">
        <v>12663</v>
      </c>
    </row>
    <row r="4766" spans="1:2" x14ac:dyDescent="0.25">
      <c r="A4766" t="s">
        <v>7590</v>
      </c>
      <c r="B4766" t="s">
        <v>12663</v>
      </c>
    </row>
    <row r="4767" spans="1:2" x14ac:dyDescent="0.25">
      <c r="A4767" t="s">
        <v>12195</v>
      </c>
      <c r="B4767" t="s">
        <v>12663</v>
      </c>
    </row>
    <row r="4768" spans="1:2" x14ac:dyDescent="0.25">
      <c r="A4768" t="s">
        <v>5859</v>
      </c>
      <c r="B4768" t="s">
        <v>12535</v>
      </c>
    </row>
    <row r="4769" spans="1:2" x14ac:dyDescent="0.25">
      <c r="A4769" t="s">
        <v>11624</v>
      </c>
      <c r="B4769" t="s">
        <v>5859</v>
      </c>
    </row>
    <row r="4770" spans="1:2" x14ac:dyDescent="0.25">
      <c r="A4770" t="s">
        <v>11447</v>
      </c>
      <c r="B4770" t="s">
        <v>11624</v>
      </c>
    </row>
    <row r="4771" spans="1:2" x14ac:dyDescent="0.25">
      <c r="A4771" t="s">
        <v>11119</v>
      </c>
      <c r="B4771" t="s">
        <v>11447</v>
      </c>
    </row>
    <row r="4772" spans="1:2" x14ac:dyDescent="0.25">
      <c r="A4772" t="s">
        <v>12093</v>
      </c>
      <c r="B4772" t="s">
        <v>11119</v>
      </c>
    </row>
    <row r="4773" spans="1:2" x14ac:dyDescent="0.25">
      <c r="A4773" t="s">
        <v>11871</v>
      </c>
      <c r="B4773" t="s">
        <v>11119</v>
      </c>
    </row>
    <row r="4774" spans="1:2" x14ac:dyDescent="0.25">
      <c r="A4774" t="s">
        <v>11448</v>
      </c>
      <c r="B4774" t="s">
        <v>11119</v>
      </c>
    </row>
    <row r="4775" spans="1:2" x14ac:dyDescent="0.25">
      <c r="A4775" t="s">
        <v>5882</v>
      </c>
      <c r="B4775" t="s">
        <v>11119</v>
      </c>
    </row>
    <row r="4776" spans="1:2" x14ac:dyDescent="0.25">
      <c r="A4776" t="s">
        <v>8591</v>
      </c>
      <c r="B4776" t="s">
        <v>11119</v>
      </c>
    </row>
    <row r="4777" spans="1:2" x14ac:dyDescent="0.25">
      <c r="A4777" t="s">
        <v>12392</v>
      </c>
      <c r="B4777" t="s">
        <v>11447</v>
      </c>
    </row>
    <row r="4778" spans="1:2" x14ac:dyDescent="0.25">
      <c r="A4778" t="s">
        <v>12393</v>
      </c>
      <c r="B4778" t="s">
        <v>12392</v>
      </c>
    </row>
    <row r="4779" spans="1:2" x14ac:dyDescent="0.25">
      <c r="A4779" t="s">
        <v>12094</v>
      </c>
      <c r="B4779" t="s">
        <v>12392</v>
      </c>
    </row>
    <row r="4780" spans="1:2" x14ac:dyDescent="0.25">
      <c r="A4780" t="s">
        <v>11657</v>
      </c>
      <c r="B4780" t="s">
        <v>12392</v>
      </c>
    </row>
    <row r="4781" spans="1:2" x14ac:dyDescent="0.25">
      <c r="A4781" t="s">
        <v>6342</v>
      </c>
      <c r="B4781" t="s">
        <v>12392</v>
      </c>
    </row>
    <row r="4782" spans="1:2" x14ac:dyDescent="0.25">
      <c r="A4782" t="s">
        <v>11872</v>
      </c>
      <c r="B4782" t="s">
        <v>11447</v>
      </c>
    </row>
    <row r="4783" spans="1:2" x14ac:dyDescent="0.25">
      <c r="A4783" t="s">
        <v>11873</v>
      </c>
      <c r="B4783" t="s">
        <v>11872</v>
      </c>
    </row>
    <row r="4784" spans="1:2" x14ac:dyDescent="0.25">
      <c r="A4784" t="s">
        <v>11658</v>
      </c>
      <c r="B4784" t="s">
        <v>11872</v>
      </c>
    </row>
    <row r="4785" spans="1:2" x14ac:dyDescent="0.25">
      <c r="A4785" t="s">
        <v>11120</v>
      </c>
      <c r="B4785" t="s">
        <v>11872</v>
      </c>
    </row>
    <row r="4786" spans="1:2" x14ac:dyDescent="0.25">
      <c r="A4786" t="s">
        <v>5518</v>
      </c>
      <c r="B4786" t="s">
        <v>11872</v>
      </c>
    </row>
    <row r="4787" spans="1:2" x14ac:dyDescent="0.25">
      <c r="A4787" t="s">
        <v>12590</v>
      </c>
      <c r="B4787" t="s">
        <v>11447</v>
      </c>
    </row>
    <row r="4788" spans="1:2" x14ac:dyDescent="0.25">
      <c r="A4788" t="s">
        <v>14352</v>
      </c>
      <c r="B4788" t="s">
        <v>11447</v>
      </c>
    </row>
    <row r="4789" spans="1:2" x14ac:dyDescent="0.25">
      <c r="A4789" t="s">
        <v>14353</v>
      </c>
      <c r="B4789" t="s">
        <v>14352</v>
      </c>
    </row>
    <row r="4790" spans="1:2" x14ac:dyDescent="0.25">
      <c r="A4790" t="s">
        <v>14354</v>
      </c>
      <c r="B4790" t="s">
        <v>14352</v>
      </c>
    </row>
    <row r="4791" spans="1:2" x14ac:dyDescent="0.25">
      <c r="A4791" t="s">
        <v>14355</v>
      </c>
      <c r="B4791" t="s">
        <v>14352</v>
      </c>
    </row>
    <row r="4792" spans="1:2" x14ac:dyDescent="0.25">
      <c r="A4792" t="s">
        <v>14356</v>
      </c>
      <c r="B4792" t="s">
        <v>14355</v>
      </c>
    </row>
    <row r="4793" spans="1:2" x14ac:dyDescent="0.25">
      <c r="A4793" t="s">
        <v>14357</v>
      </c>
      <c r="B4793" t="s">
        <v>14355</v>
      </c>
    </row>
    <row r="4794" spans="1:2" x14ac:dyDescent="0.25">
      <c r="A4794" t="s">
        <v>6838</v>
      </c>
      <c r="B4794" t="s">
        <v>11624</v>
      </c>
    </row>
    <row r="4795" spans="1:2" x14ac:dyDescent="0.25">
      <c r="A4795" t="s">
        <v>12095</v>
      </c>
      <c r="B4795" t="s">
        <v>6838</v>
      </c>
    </row>
    <row r="4796" spans="1:2" x14ac:dyDescent="0.25">
      <c r="A4796" t="s">
        <v>10813</v>
      </c>
      <c r="B4796" t="s">
        <v>12095</v>
      </c>
    </row>
    <row r="4797" spans="1:2" x14ac:dyDescent="0.25">
      <c r="A4797" t="s">
        <v>9409</v>
      </c>
      <c r="B4797" t="s">
        <v>6838</v>
      </c>
    </row>
    <row r="4798" spans="1:2" x14ac:dyDescent="0.25">
      <c r="A4798" t="s">
        <v>6839</v>
      </c>
      <c r="B4798" t="s">
        <v>9409</v>
      </c>
    </row>
    <row r="4799" spans="1:2" x14ac:dyDescent="0.25">
      <c r="A4799" t="s">
        <v>7480</v>
      </c>
      <c r="B4799" t="s">
        <v>9409</v>
      </c>
    </row>
    <row r="4800" spans="1:2" x14ac:dyDescent="0.25">
      <c r="A4800" t="s">
        <v>6343</v>
      </c>
      <c r="B4800" t="s">
        <v>9409</v>
      </c>
    </row>
    <row r="4801" spans="1:2" x14ac:dyDescent="0.25">
      <c r="A4801" t="s">
        <v>14594</v>
      </c>
      <c r="B4801" t="s">
        <v>6838</v>
      </c>
    </row>
    <row r="4802" spans="1:2" x14ac:dyDescent="0.25">
      <c r="A4802" t="s">
        <v>14595</v>
      </c>
      <c r="B4802" t="s">
        <v>14594</v>
      </c>
    </row>
    <row r="4803" spans="1:2" x14ac:dyDescent="0.25">
      <c r="A4803" t="s">
        <v>14596</v>
      </c>
      <c r="B4803" t="s">
        <v>14594</v>
      </c>
    </row>
    <row r="4804" spans="1:2" x14ac:dyDescent="0.25">
      <c r="A4804" t="s">
        <v>14597</v>
      </c>
      <c r="B4804" t="s">
        <v>14596</v>
      </c>
    </row>
    <row r="4805" spans="1:2" x14ac:dyDescent="0.25">
      <c r="A4805" t="s">
        <v>14598</v>
      </c>
      <c r="B4805" t="s">
        <v>14596</v>
      </c>
    </row>
    <row r="4806" spans="1:2" x14ac:dyDescent="0.25">
      <c r="A4806" t="s">
        <v>14599</v>
      </c>
      <c r="B4806" t="s">
        <v>14594</v>
      </c>
    </row>
    <row r="4807" spans="1:2" x14ac:dyDescent="0.25">
      <c r="A4807" t="s">
        <v>14600</v>
      </c>
      <c r="B4807" t="s">
        <v>14599</v>
      </c>
    </row>
    <row r="4808" spans="1:2" x14ac:dyDescent="0.25">
      <c r="A4808" t="s">
        <v>14601</v>
      </c>
      <c r="B4808" t="s">
        <v>14599</v>
      </c>
    </row>
    <row r="4809" spans="1:2" x14ac:dyDescent="0.25">
      <c r="A4809" t="s">
        <v>12096</v>
      </c>
      <c r="B4809" t="s">
        <v>11624</v>
      </c>
    </row>
    <row r="4810" spans="1:2" x14ac:dyDescent="0.25">
      <c r="A4810" t="s">
        <v>8094</v>
      </c>
      <c r="B4810" t="s">
        <v>12096</v>
      </c>
    </row>
    <row r="4811" spans="1:2" x14ac:dyDescent="0.25">
      <c r="A4811" t="s">
        <v>12097</v>
      </c>
      <c r="B4811" t="s">
        <v>12096</v>
      </c>
    </row>
    <row r="4812" spans="1:2" x14ac:dyDescent="0.25">
      <c r="A4812" t="s">
        <v>11449</v>
      </c>
      <c r="B4812" t="s">
        <v>12096</v>
      </c>
    </row>
    <row r="4813" spans="1:2" x14ac:dyDescent="0.25">
      <c r="A4813" t="s">
        <v>9410</v>
      </c>
      <c r="B4813" t="s">
        <v>12096</v>
      </c>
    </row>
    <row r="4814" spans="1:2" x14ac:dyDescent="0.25">
      <c r="A4814" t="s">
        <v>10319</v>
      </c>
      <c r="B4814" t="s">
        <v>12096</v>
      </c>
    </row>
    <row r="4815" spans="1:2" x14ac:dyDescent="0.25">
      <c r="A4815" t="s">
        <v>2708</v>
      </c>
      <c r="B4815" t="s">
        <v>12096</v>
      </c>
    </row>
    <row r="4816" spans="1:2" x14ac:dyDescent="0.25">
      <c r="A4816" t="s">
        <v>8592</v>
      </c>
      <c r="B4816" t="s">
        <v>12096</v>
      </c>
    </row>
    <row r="4817" spans="1:2" x14ac:dyDescent="0.25">
      <c r="A4817" t="s">
        <v>11077</v>
      </c>
      <c r="B4817" t="s">
        <v>5859</v>
      </c>
    </row>
    <row r="4818" spans="1:2" x14ac:dyDescent="0.25">
      <c r="A4818" t="s">
        <v>11419</v>
      </c>
      <c r="B4818" t="s">
        <v>12535</v>
      </c>
    </row>
    <row r="4819" spans="1:2" x14ac:dyDescent="0.25">
      <c r="A4819" t="s">
        <v>12657</v>
      </c>
      <c r="B4819" t="s">
        <v>11419</v>
      </c>
    </row>
    <row r="4820" spans="1:2" x14ac:dyDescent="0.25">
      <c r="A4820" t="s">
        <v>12111</v>
      </c>
      <c r="B4820" t="s">
        <v>12657</v>
      </c>
    </row>
    <row r="4821" spans="1:2" x14ac:dyDescent="0.25">
      <c r="A4821" t="s">
        <v>6349</v>
      </c>
      <c r="B4821" t="s">
        <v>12111</v>
      </c>
    </row>
    <row r="4822" spans="1:2" x14ac:dyDescent="0.25">
      <c r="A4822" t="s">
        <v>12658</v>
      </c>
      <c r="B4822" t="s">
        <v>11419</v>
      </c>
    </row>
    <row r="4823" spans="1:2" x14ac:dyDescent="0.25">
      <c r="A4823" t="s">
        <v>10345</v>
      </c>
      <c r="B4823" t="s">
        <v>12658</v>
      </c>
    </row>
    <row r="4824" spans="1:2" x14ac:dyDescent="0.25">
      <c r="A4824" t="s">
        <v>11130</v>
      </c>
      <c r="B4824" t="s">
        <v>10345</v>
      </c>
    </row>
    <row r="4825" spans="1:2" x14ac:dyDescent="0.25">
      <c r="A4825" t="s">
        <v>6849</v>
      </c>
      <c r="B4825" t="s">
        <v>11130</v>
      </c>
    </row>
    <row r="4826" spans="1:2" x14ac:dyDescent="0.25">
      <c r="A4826" t="s">
        <v>8111</v>
      </c>
      <c r="B4826" t="s">
        <v>11130</v>
      </c>
    </row>
    <row r="4827" spans="1:2" x14ac:dyDescent="0.25">
      <c r="A4827" t="s">
        <v>4163</v>
      </c>
      <c r="B4827" t="s">
        <v>11130</v>
      </c>
    </row>
    <row r="4828" spans="1:2" x14ac:dyDescent="0.25">
      <c r="A4828" t="s">
        <v>12404</v>
      </c>
      <c r="B4828" t="s">
        <v>10345</v>
      </c>
    </row>
    <row r="4829" spans="1:2" x14ac:dyDescent="0.25">
      <c r="A4829" t="s">
        <v>9421</v>
      </c>
      <c r="B4829" t="s">
        <v>12404</v>
      </c>
    </row>
    <row r="4830" spans="1:2" x14ac:dyDescent="0.25">
      <c r="A4830" t="s">
        <v>10346</v>
      </c>
      <c r="B4830" t="s">
        <v>12404</v>
      </c>
    </row>
    <row r="4831" spans="1:2" x14ac:dyDescent="0.25">
      <c r="A4831" t="s">
        <v>4164</v>
      </c>
      <c r="B4831" t="s">
        <v>12404</v>
      </c>
    </row>
    <row r="4832" spans="1:2" x14ac:dyDescent="0.25">
      <c r="A4832" t="s">
        <v>8112</v>
      </c>
      <c r="B4832" t="s">
        <v>10345</v>
      </c>
    </row>
    <row r="4833" spans="1:2" x14ac:dyDescent="0.25">
      <c r="A4833" t="s">
        <v>3621</v>
      </c>
      <c r="B4833" t="s">
        <v>8112</v>
      </c>
    </row>
    <row r="4834" spans="1:2" x14ac:dyDescent="0.25">
      <c r="A4834" t="s">
        <v>4657</v>
      </c>
      <c r="B4834" t="s">
        <v>8112</v>
      </c>
    </row>
    <row r="4835" spans="1:2" x14ac:dyDescent="0.25">
      <c r="A4835" t="s">
        <v>4165</v>
      </c>
      <c r="B4835" t="s">
        <v>8112</v>
      </c>
    </row>
    <row r="4836" spans="1:2" x14ac:dyDescent="0.25">
      <c r="A4836" t="s">
        <v>14508</v>
      </c>
      <c r="B4836" t="s">
        <v>10345</v>
      </c>
    </row>
    <row r="4837" spans="1:2" x14ac:dyDescent="0.25">
      <c r="A4837" t="s">
        <v>14509</v>
      </c>
      <c r="B4837" t="s">
        <v>14508</v>
      </c>
    </row>
    <row r="4838" spans="1:2" x14ac:dyDescent="0.25">
      <c r="A4838" t="s">
        <v>14510</v>
      </c>
      <c r="B4838" t="s">
        <v>14508</v>
      </c>
    </row>
    <row r="4839" spans="1:2" x14ac:dyDescent="0.25">
      <c r="A4839" t="s">
        <v>14511</v>
      </c>
      <c r="B4839" t="s">
        <v>14508</v>
      </c>
    </row>
    <row r="4840" spans="1:2" x14ac:dyDescent="0.25">
      <c r="A4840" t="s">
        <v>14512</v>
      </c>
      <c r="B4840" t="s">
        <v>14511</v>
      </c>
    </row>
    <row r="4841" spans="1:2" x14ac:dyDescent="0.25">
      <c r="A4841" t="s">
        <v>14513</v>
      </c>
      <c r="B4841" t="s">
        <v>14511</v>
      </c>
    </row>
    <row r="4842" spans="1:2" x14ac:dyDescent="0.25">
      <c r="A4842" t="s">
        <v>7502</v>
      </c>
      <c r="B4842" t="s">
        <v>12658</v>
      </c>
    </row>
    <row r="4843" spans="1:2" x14ac:dyDescent="0.25">
      <c r="A4843" t="s">
        <v>10821</v>
      </c>
      <c r="B4843" t="s">
        <v>7502</v>
      </c>
    </row>
    <row r="4844" spans="1:2" x14ac:dyDescent="0.25">
      <c r="A4844" t="s">
        <v>7503</v>
      </c>
      <c r="B4844" t="s">
        <v>7502</v>
      </c>
    </row>
    <row r="4845" spans="1:2" x14ac:dyDescent="0.25">
      <c r="A4845" t="s">
        <v>3622</v>
      </c>
      <c r="B4845" t="s">
        <v>7503</v>
      </c>
    </row>
    <row r="4846" spans="1:2" x14ac:dyDescent="0.25">
      <c r="A4846" t="s">
        <v>5892</v>
      </c>
      <c r="B4846" t="s">
        <v>7503</v>
      </c>
    </row>
    <row r="4847" spans="1:2" x14ac:dyDescent="0.25">
      <c r="A4847" t="s">
        <v>9808</v>
      </c>
      <c r="B4847" t="s">
        <v>7502</v>
      </c>
    </row>
    <row r="4848" spans="1:2" x14ac:dyDescent="0.25">
      <c r="A4848" t="s">
        <v>5893</v>
      </c>
      <c r="B4848" t="s">
        <v>9808</v>
      </c>
    </row>
    <row r="4849" spans="1:2" x14ac:dyDescent="0.25">
      <c r="A4849" t="s">
        <v>8607</v>
      </c>
      <c r="B4849" t="s">
        <v>9808</v>
      </c>
    </row>
    <row r="4850" spans="1:2" x14ac:dyDescent="0.25">
      <c r="A4850" t="s">
        <v>4166</v>
      </c>
      <c r="B4850" t="s">
        <v>7502</v>
      </c>
    </row>
    <row r="4851" spans="1:2" x14ac:dyDescent="0.25">
      <c r="A4851" t="s">
        <v>286</v>
      </c>
      <c r="B4851" t="s">
        <v>4166</v>
      </c>
    </row>
    <row r="4852" spans="1:2" x14ac:dyDescent="0.25">
      <c r="A4852" t="s">
        <v>14698</v>
      </c>
      <c r="B4852" t="s">
        <v>7502</v>
      </c>
    </row>
    <row r="4853" spans="1:2" x14ac:dyDescent="0.25">
      <c r="A4853" t="s">
        <v>14699</v>
      </c>
      <c r="B4853" t="s">
        <v>14698</v>
      </c>
    </row>
    <row r="4854" spans="1:2" x14ac:dyDescent="0.25">
      <c r="A4854" t="s">
        <v>14700</v>
      </c>
      <c r="B4854" t="s">
        <v>14698</v>
      </c>
    </row>
    <row r="4855" spans="1:2" x14ac:dyDescent="0.25">
      <c r="A4855" t="s">
        <v>14701</v>
      </c>
      <c r="B4855" t="s">
        <v>14700</v>
      </c>
    </row>
    <row r="4856" spans="1:2" x14ac:dyDescent="0.25">
      <c r="A4856" t="s">
        <v>14702</v>
      </c>
      <c r="B4856" t="s">
        <v>14700</v>
      </c>
    </row>
    <row r="4857" spans="1:2" x14ac:dyDescent="0.25">
      <c r="A4857" t="s">
        <v>14703</v>
      </c>
      <c r="B4857" t="s">
        <v>14698</v>
      </c>
    </row>
    <row r="4858" spans="1:2" x14ac:dyDescent="0.25">
      <c r="A4858" t="s">
        <v>14704</v>
      </c>
      <c r="B4858" t="s">
        <v>14703</v>
      </c>
    </row>
    <row r="4859" spans="1:2" x14ac:dyDescent="0.25">
      <c r="A4859" t="s">
        <v>14705</v>
      </c>
      <c r="B4859" t="s">
        <v>14703</v>
      </c>
    </row>
    <row r="4860" spans="1:2" x14ac:dyDescent="0.25">
      <c r="A4860" t="s">
        <v>12115</v>
      </c>
      <c r="B4860" t="s">
        <v>12658</v>
      </c>
    </row>
    <row r="4861" spans="1:2" x14ac:dyDescent="0.25">
      <c r="A4861" t="s">
        <v>8113</v>
      </c>
      <c r="B4861" t="s">
        <v>12115</v>
      </c>
    </row>
    <row r="4862" spans="1:2" x14ac:dyDescent="0.25">
      <c r="A4862" t="s">
        <v>6356</v>
      </c>
      <c r="B4862" t="s">
        <v>12115</v>
      </c>
    </row>
    <row r="4863" spans="1:2" x14ac:dyDescent="0.25">
      <c r="A4863" t="s">
        <v>5525</v>
      </c>
      <c r="B4863" t="s">
        <v>12115</v>
      </c>
    </row>
    <row r="4864" spans="1:2" x14ac:dyDescent="0.25">
      <c r="A4864" t="s">
        <v>8114</v>
      </c>
      <c r="B4864" t="s">
        <v>12115</v>
      </c>
    </row>
    <row r="4865" spans="1:2" x14ac:dyDescent="0.25">
      <c r="A4865" t="s">
        <v>10347</v>
      </c>
      <c r="B4865" t="s">
        <v>12115</v>
      </c>
    </row>
    <row r="4866" spans="1:2" x14ac:dyDescent="0.25">
      <c r="A4866" t="s">
        <v>3623</v>
      </c>
      <c r="B4866" t="s">
        <v>12115</v>
      </c>
    </row>
    <row r="4867" spans="1:2" x14ac:dyDescent="0.25">
      <c r="A4867" t="s">
        <v>8608</v>
      </c>
      <c r="B4867" t="s">
        <v>12115</v>
      </c>
    </row>
    <row r="4868" spans="1:2" x14ac:dyDescent="0.25">
      <c r="A4868" t="s">
        <v>6850</v>
      </c>
      <c r="B4868" t="s">
        <v>12115</v>
      </c>
    </row>
    <row r="4869" spans="1:2" x14ac:dyDescent="0.25">
      <c r="A4869" t="s">
        <v>8609</v>
      </c>
      <c r="B4869" t="s">
        <v>12115</v>
      </c>
    </row>
    <row r="4870" spans="1:2" x14ac:dyDescent="0.25">
      <c r="A4870" t="s">
        <v>10650</v>
      </c>
      <c r="B4870" t="s">
        <v>12658</v>
      </c>
    </row>
    <row r="4871" spans="1:2" x14ac:dyDescent="0.25">
      <c r="A4871" t="s">
        <v>12852</v>
      </c>
      <c r="B4871" t="s">
        <v>12535</v>
      </c>
    </row>
    <row r="4872" spans="1:2" x14ac:dyDescent="0.25">
      <c r="A4872" t="s">
        <v>10733</v>
      </c>
      <c r="B4872" t="s">
        <v>12852</v>
      </c>
    </row>
    <row r="4873" spans="1:2" x14ac:dyDescent="0.25">
      <c r="A4873" t="s">
        <v>10331</v>
      </c>
      <c r="B4873" t="s">
        <v>10733</v>
      </c>
    </row>
    <row r="4874" spans="1:2" x14ac:dyDescent="0.25">
      <c r="A4874" t="s">
        <v>14484</v>
      </c>
      <c r="B4874" t="s">
        <v>10331</v>
      </c>
    </row>
    <row r="4875" spans="1:2" x14ac:dyDescent="0.25">
      <c r="A4875" t="s">
        <v>14485</v>
      </c>
      <c r="B4875" t="s">
        <v>14484</v>
      </c>
    </row>
    <row r="4876" spans="1:2" x14ac:dyDescent="0.25">
      <c r="A4876" t="s">
        <v>14486</v>
      </c>
      <c r="B4876" t="s">
        <v>14484</v>
      </c>
    </row>
    <row r="4877" spans="1:2" x14ac:dyDescent="0.25">
      <c r="A4877" t="s">
        <v>14487</v>
      </c>
      <c r="B4877" t="s">
        <v>14484</v>
      </c>
    </row>
    <row r="4878" spans="1:2" x14ac:dyDescent="0.25">
      <c r="A4878" t="s">
        <v>14488</v>
      </c>
      <c r="B4878" t="s">
        <v>14487</v>
      </c>
    </row>
    <row r="4879" spans="1:2" x14ac:dyDescent="0.25">
      <c r="A4879" t="s">
        <v>14489</v>
      </c>
      <c r="B4879" t="s">
        <v>14487</v>
      </c>
    </row>
    <row r="4880" spans="1:2" x14ac:dyDescent="0.25">
      <c r="A4880" t="s">
        <v>7491</v>
      </c>
      <c r="B4880" t="s">
        <v>10733</v>
      </c>
    </row>
    <row r="4881" spans="1:2" x14ac:dyDescent="0.25">
      <c r="A4881" t="s">
        <v>14682</v>
      </c>
      <c r="B4881" t="s">
        <v>7491</v>
      </c>
    </row>
    <row r="4882" spans="1:2" x14ac:dyDescent="0.25">
      <c r="A4882" t="s">
        <v>14683</v>
      </c>
      <c r="B4882" t="s">
        <v>14682</v>
      </c>
    </row>
    <row r="4883" spans="1:2" x14ac:dyDescent="0.25">
      <c r="A4883" t="s">
        <v>14684</v>
      </c>
      <c r="B4883" t="s">
        <v>14682</v>
      </c>
    </row>
    <row r="4884" spans="1:2" x14ac:dyDescent="0.25">
      <c r="A4884" t="s">
        <v>14685</v>
      </c>
      <c r="B4884" t="s">
        <v>14684</v>
      </c>
    </row>
    <row r="4885" spans="1:2" x14ac:dyDescent="0.25">
      <c r="A4885" t="s">
        <v>14686</v>
      </c>
      <c r="B4885" t="s">
        <v>14684</v>
      </c>
    </row>
    <row r="4886" spans="1:2" x14ac:dyDescent="0.25">
      <c r="A4886" t="s">
        <v>14687</v>
      </c>
      <c r="B4886" t="s">
        <v>14682</v>
      </c>
    </row>
    <row r="4887" spans="1:2" x14ac:dyDescent="0.25">
      <c r="A4887" t="s">
        <v>14688</v>
      </c>
      <c r="B4887" t="s">
        <v>14687</v>
      </c>
    </row>
    <row r="4888" spans="1:2" x14ac:dyDescent="0.25">
      <c r="A4888" t="s">
        <v>14689</v>
      </c>
      <c r="B4888" t="s">
        <v>14687</v>
      </c>
    </row>
    <row r="4889" spans="1:2" x14ac:dyDescent="0.25">
      <c r="A4889" t="s">
        <v>12106</v>
      </c>
      <c r="B4889" t="s">
        <v>10733</v>
      </c>
    </row>
    <row r="4890" spans="1:2" x14ac:dyDescent="0.25">
      <c r="A4890" t="s">
        <v>12543</v>
      </c>
      <c r="B4890" t="s">
        <v>12852</v>
      </c>
    </row>
    <row r="4891" spans="1:2" x14ac:dyDescent="0.25">
      <c r="A4891" t="s">
        <v>10465</v>
      </c>
      <c r="B4891" t="s">
        <v>12543</v>
      </c>
    </row>
    <row r="4892" spans="1:2" x14ac:dyDescent="0.25">
      <c r="A4892" t="s">
        <v>14496</v>
      </c>
      <c r="B4892" t="s">
        <v>10465</v>
      </c>
    </row>
    <row r="4893" spans="1:2" x14ac:dyDescent="0.25">
      <c r="A4893" t="s">
        <v>14497</v>
      </c>
      <c r="B4893" t="s">
        <v>14496</v>
      </c>
    </row>
    <row r="4894" spans="1:2" x14ac:dyDescent="0.25">
      <c r="A4894" t="s">
        <v>14498</v>
      </c>
      <c r="B4894" t="s">
        <v>14496</v>
      </c>
    </row>
    <row r="4895" spans="1:2" x14ac:dyDescent="0.25">
      <c r="A4895" t="s">
        <v>14499</v>
      </c>
      <c r="B4895" t="s">
        <v>14496</v>
      </c>
    </row>
    <row r="4896" spans="1:2" x14ac:dyDescent="0.25">
      <c r="A4896" t="s">
        <v>14500</v>
      </c>
      <c r="B4896" t="s">
        <v>14499</v>
      </c>
    </row>
    <row r="4897" spans="1:2" x14ac:dyDescent="0.25">
      <c r="A4897" t="s">
        <v>14501</v>
      </c>
      <c r="B4897" t="s">
        <v>14499</v>
      </c>
    </row>
    <row r="4898" spans="1:2" x14ac:dyDescent="0.25">
      <c r="A4898" t="s">
        <v>7595</v>
      </c>
      <c r="B4898" t="s">
        <v>12543</v>
      </c>
    </row>
    <row r="4899" spans="1:2" x14ac:dyDescent="0.25">
      <c r="A4899" t="s">
        <v>14690</v>
      </c>
      <c r="B4899" t="s">
        <v>7595</v>
      </c>
    </row>
    <row r="4900" spans="1:2" x14ac:dyDescent="0.25">
      <c r="A4900" t="s">
        <v>14691</v>
      </c>
      <c r="B4900" t="s">
        <v>14690</v>
      </c>
    </row>
    <row r="4901" spans="1:2" x14ac:dyDescent="0.25">
      <c r="A4901" t="s">
        <v>14692</v>
      </c>
      <c r="B4901" t="s">
        <v>14690</v>
      </c>
    </row>
    <row r="4902" spans="1:2" x14ac:dyDescent="0.25">
      <c r="A4902" t="s">
        <v>14693</v>
      </c>
      <c r="B4902" t="s">
        <v>14692</v>
      </c>
    </row>
    <row r="4903" spans="1:2" x14ac:dyDescent="0.25">
      <c r="A4903" t="s">
        <v>14694</v>
      </c>
      <c r="B4903" t="s">
        <v>14692</v>
      </c>
    </row>
    <row r="4904" spans="1:2" x14ac:dyDescent="0.25">
      <c r="A4904" t="s">
        <v>14695</v>
      </c>
      <c r="B4904" t="s">
        <v>14690</v>
      </c>
    </row>
    <row r="4905" spans="1:2" x14ac:dyDescent="0.25">
      <c r="A4905" t="s">
        <v>14696</v>
      </c>
      <c r="B4905" t="s">
        <v>14695</v>
      </c>
    </row>
    <row r="4906" spans="1:2" x14ac:dyDescent="0.25">
      <c r="A4906" t="s">
        <v>14697</v>
      </c>
      <c r="B4906" t="s">
        <v>14695</v>
      </c>
    </row>
    <row r="4907" spans="1:2" x14ac:dyDescent="0.25">
      <c r="A4907" t="s">
        <v>12199</v>
      </c>
      <c r="B4907" t="s">
        <v>12543</v>
      </c>
    </row>
    <row r="4908" spans="1:2" x14ac:dyDescent="0.25">
      <c r="A4908" t="s">
        <v>12545</v>
      </c>
      <c r="B4908" t="s">
        <v>12852</v>
      </c>
    </row>
    <row r="4909" spans="1:2" x14ac:dyDescent="0.25">
      <c r="A4909" t="s">
        <v>10461</v>
      </c>
      <c r="B4909" t="s">
        <v>12545</v>
      </c>
    </row>
    <row r="4910" spans="1:2" x14ac:dyDescent="0.25">
      <c r="A4910" t="s">
        <v>14424</v>
      </c>
      <c r="B4910" t="s">
        <v>10461</v>
      </c>
    </row>
    <row r="4911" spans="1:2" x14ac:dyDescent="0.25">
      <c r="A4911" t="s">
        <v>14425</v>
      </c>
      <c r="B4911" t="s">
        <v>14424</v>
      </c>
    </row>
    <row r="4912" spans="1:2" x14ac:dyDescent="0.25">
      <c r="A4912" t="s">
        <v>14426</v>
      </c>
      <c r="B4912" t="s">
        <v>14424</v>
      </c>
    </row>
    <row r="4913" spans="1:2" x14ac:dyDescent="0.25">
      <c r="A4913" t="s">
        <v>14427</v>
      </c>
      <c r="B4913" t="s">
        <v>14424</v>
      </c>
    </row>
    <row r="4914" spans="1:2" x14ac:dyDescent="0.25">
      <c r="A4914" t="s">
        <v>14428</v>
      </c>
      <c r="B4914" t="s">
        <v>14427</v>
      </c>
    </row>
    <row r="4915" spans="1:2" x14ac:dyDescent="0.25">
      <c r="A4915" t="s">
        <v>14429</v>
      </c>
      <c r="B4915" t="s">
        <v>14427</v>
      </c>
    </row>
    <row r="4916" spans="1:2" x14ac:dyDescent="0.25">
      <c r="A4916" t="s">
        <v>7589</v>
      </c>
      <c r="B4916" t="s">
        <v>12545</v>
      </c>
    </row>
    <row r="4917" spans="1:2" x14ac:dyDescent="0.25">
      <c r="A4917" t="s">
        <v>14642</v>
      </c>
      <c r="B4917" t="s">
        <v>7589</v>
      </c>
    </row>
    <row r="4918" spans="1:2" x14ac:dyDescent="0.25">
      <c r="A4918" t="s">
        <v>14643</v>
      </c>
      <c r="B4918" t="s">
        <v>14642</v>
      </c>
    </row>
    <row r="4919" spans="1:2" x14ac:dyDescent="0.25">
      <c r="A4919" t="s">
        <v>14644</v>
      </c>
      <c r="B4919" t="s">
        <v>14642</v>
      </c>
    </row>
    <row r="4920" spans="1:2" x14ac:dyDescent="0.25">
      <c r="A4920" t="s">
        <v>14645</v>
      </c>
      <c r="B4920" t="s">
        <v>14644</v>
      </c>
    </row>
    <row r="4921" spans="1:2" x14ac:dyDescent="0.25">
      <c r="A4921" t="s">
        <v>14646</v>
      </c>
      <c r="B4921" t="s">
        <v>14644</v>
      </c>
    </row>
    <row r="4922" spans="1:2" x14ac:dyDescent="0.25">
      <c r="A4922" t="s">
        <v>14647</v>
      </c>
      <c r="B4922" t="s">
        <v>14642</v>
      </c>
    </row>
    <row r="4923" spans="1:2" x14ac:dyDescent="0.25">
      <c r="A4923" t="s">
        <v>14648</v>
      </c>
      <c r="B4923" t="s">
        <v>14647</v>
      </c>
    </row>
    <row r="4924" spans="1:2" x14ac:dyDescent="0.25">
      <c r="A4924" t="s">
        <v>14649</v>
      </c>
      <c r="B4924" t="s">
        <v>14647</v>
      </c>
    </row>
    <row r="4925" spans="1:2" x14ac:dyDescent="0.25">
      <c r="A4925" t="s">
        <v>12194</v>
      </c>
      <c r="B4925" t="s">
        <v>12545</v>
      </c>
    </row>
    <row r="4926" spans="1:2" x14ac:dyDescent="0.25">
      <c r="A4926" t="s">
        <v>9243</v>
      </c>
      <c r="B4926" t="s">
        <v>12545</v>
      </c>
    </row>
    <row r="4927" spans="1:2" x14ac:dyDescent="0.25">
      <c r="A4927" t="s">
        <v>12346</v>
      </c>
      <c r="B4927" t="s">
        <v>12852</v>
      </c>
    </row>
    <row r="4928" spans="1:2" x14ac:dyDescent="0.25">
      <c r="A4928" t="s">
        <v>10334</v>
      </c>
      <c r="B4928" t="s">
        <v>12346</v>
      </c>
    </row>
    <row r="4929" spans="1:2" x14ac:dyDescent="0.25">
      <c r="A4929" t="s">
        <v>7494</v>
      </c>
      <c r="B4929" t="s">
        <v>12346</v>
      </c>
    </row>
    <row r="4930" spans="1:2" x14ac:dyDescent="0.25">
      <c r="A4930" t="s">
        <v>12109</v>
      </c>
      <c r="B4930" t="s">
        <v>12346</v>
      </c>
    </row>
    <row r="4931" spans="1:2" x14ac:dyDescent="0.25">
      <c r="A4931" t="s">
        <v>12779</v>
      </c>
      <c r="B4931" t="s">
        <v>12535</v>
      </c>
    </row>
    <row r="4932" spans="1:2" x14ac:dyDescent="0.25">
      <c r="A4932" t="s">
        <v>12539</v>
      </c>
      <c r="B4932" t="s">
        <v>12779</v>
      </c>
    </row>
    <row r="4933" spans="1:2" x14ac:dyDescent="0.25">
      <c r="A4933" t="s">
        <v>10336</v>
      </c>
      <c r="B4933" t="s">
        <v>12539</v>
      </c>
    </row>
    <row r="4934" spans="1:2" x14ac:dyDescent="0.25">
      <c r="A4934" t="s">
        <v>14436</v>
      </c>
      <c r="B4934" t="s">
        <v>10336</v>
      </c>
    </row>
    <row r="4935" spans="1:2" x14ac:dyDescent="0.25">
      <c r="A4935" t="s">
        <v>14437</v>
      </c>
      <c r="B4935" t="s">
        <v>14436</v>
      </c>
    </row>
    <row r="4936" spans="1:2" x14ac:dyDescent="0.25">
      <c r="A4936" t="s">
        <v>14438</v>
      </c>
      <c r="B4936" t="s">
        <v>14436</v>
      </c>
    </row>
    <row r="4937" spans="1:2" x14ac:dyDescent="0.25">
      <c r="A4937" t="s">
        <v>7496</v>
      </c>
      <c r="B4937" t="s">
        <v>12539</v>
      </c>
    </row>
    <row r="4938" spans="1:2" x14ac:dyDescent="0.25">
      <c r="A4938" t="s">
        <v>12112</v>
      </c>
      <c r="B4938" t="s">
        <v>12539</v>
      </c>
    </row>
    <row r="4939" spans="1:2" x14ac:dyDescent="0.25">
      <c r="A4939" t="s">
        <v>8101</v>
      </c>
      <c r="B4939" t="s">
        <v>12112</v>
      </c>
    </row>
    <row r="4940" spans="1:2" x14ac:dyDescent="0.25">
      <c r="A4940" t="s">
        <v>12541</v>
      </c>
      <c r="B4940" t="s">
        <v>12779</v>
      </c>
    </row>
    <row r="4941" spans="1:2" x14ac:dyDescent="0.25">
      <c r="A4941" t="s">
        <v>10342</v>
      </c>
      <c r="B4941" t="s">
        <v>12541</v>
      </c>
    </row>
    <row r="4942" spans="1:2" x14ac:dyDescent="0.25">
      <c r="A4942" t="s">
        <v>12402</v>
      </c>
      <c r="B4942" t="s">
        <v>10342</v>
      </c>
    </row>
    <row r="4943" spans="1:2" x14ac:dyDescent="0.25">
      <c r="A4943" t="s">
        <v>10343</v>
      </c>
      <c r="B4943" t="s">
        <v>12402</v>
      </c>
    </row>
    <row r="4944" spans="1:2" x14ac:dyDescent="0.25">
      <c r="A4944" t="s">
        <v>8108</v>
      </c>
      <c r="B4944" t="s">
        <v>10342</v>
      </c>
    </row>
    <row r="4945" spans="1:2" x14ac:dyDescent="0.25">
      <c r="A4945" t="s">
        <v>4656</v>
      </c>
      <c r="B4945" t="s">
        <v>8108</v>
      </c>
    </row>
    <row r="4946" spans="1:2" x14ac:dyDescent="0.25">
      <c r="A4946" t="s">
        <v>14460</v>
      </c>
      <c r="B4946" t="s">
        <v>10342</v>
      </c>
    </row>
    <row r="4947" spans="1:2" x14ac:dyDescent="0.25">
      <c r="A4947" t="s">
        <v>14461</v>
      </c>
      <c r="B4947" t="s">
        <v>14460</v>
      </c>
    </row>
    <row r="4948" spans="1:2" x14ac:dyDescent="0.25">
      <c r="A4948" t="s">
        <v>14462</v>
      </c>
      <c r="B4948" t="s">
        <v>14460</v>
      </c>
    </row>
    <row r="4949" spans="1:2" x14ac:dyDescent="0.25">
      <c r="A4949" t="s">
        <v>7500</v>
      </c>
      <c r="B4949" t="s">
        <v>12541</v>
      </c>
    </row>
    <row r="4950" spans="1:2" x14ac:dyDescent="0.25">
      <c r="A4950" t="s">
        <v>7501</v>
      </c>
      <c r="B4950" t="s">
        <v>7500</v>
      </c>
    </row>
    <row r="4951" spans="1:2" x14ac:dyDescent="0.25">
      <c r="A4951" t="s">
        <v>3619</v>
      </c>
      <c r="B4951" t="s">
        <v>7501</v>
      </c>
    </row>
    <row r="4952" spans="1:2" x14ac:dyDescent="0.25">
      <c r="A4952" t="s">
        <v>9807</v>
      </c>
      <c r="B4952" t="s">
        <v>7500</v>
      </c>
    </row>
    <row r="4953" spans="1:2" x14ac:dyDescent="0.25">
      <c r="A4953" t="s">
        <v>8992</v>
      </c>
      <c r="B4953" t="s">
        <v>9807</v>
      </c>
    </row>
    <row r="4954" spans="1:2" x14ac:dyDescent="0.25">
      <c r="A4954" t="s">
        <v>4162</v>
      </c>
      <c r="B4954" t="s">
        <v>7500</v>
      </c>
    </row>
    <row r="4955" spans="1:2" x14ac:dyDescent="0.25">
      <c r="A4955" t="s">
        <v>3171</v>
      </c>
      <c r="B4955" t="s">
        <v>4162</v>
      </c>
    </row>
    <row r="4956" spans="1:2" x14ac:dyDescent="0.25">
      <c r="A4956" t="s">
        <v>12114</v>
      </c>
      <c r="B4956" t="s">
        <v>12541</v>
      </c>
    </row>
    <row r="4957" spans="1:2" x14ac:dyDescent="0.25">
      <c r="A4957" t="s">
        <v>8606</v>
      </c>
      <c r="B4957" t="s">
        <v>12114</v>
      </c>
    </row>
    <row r="4958" spans="1:2" x14ac:dyDescent="0.25">
      <c r="A4958" t="s">
        <v>12544</v>
      </c>
      <c r="B4958" t="s">
        <v>12779</v>
      </c>
    </row>
    <row r="4959" spans="1:2" x14ac:dyDescent="0.25">
      <c r="A4959" t="s">
        <v>12661</v>
      </c>
      <c r="B4959" t="s">
        <v>12779</v>
      </c>
    </row>
    <row r="4960" spans="1:2" x14ac:dyDescent="0.25">
      <c r="A4960" t="s">
        <v>10354</v>
      </c>
      <c r="B4960" t="s">
        <v>12661</v>
      </c>
    </row>
    <row r="4961" spans="1:2" x14ac:dyDescent="0.25">
      <c r="A4961" t="s">
        <v>14472</v>
      </c>
      <c r="B4961" t="s">
        <v>10354</v>
      </c>
    </row>
    <row r="4962" spans="1:2" x14ac:dyDescent="0.25">
      <c r="A4962" t="s">
        <v>14473</v>
      </c>
      <c r="B4962" t="s">
        <v>14472</v>
      </c>
    </row>
    <row r="4963" spans="1:2" x14ac:dyDescent="0.25">
      <c r="A4963" t="s">
        <v>14474</v>
      </c>
      <c r="B4963" t="s">
        <v>14472</v>
      </c>
    </row>
    <row r="4964" spans="1:2" x14ac:dyDescent="0.25">
      <c r="A4964" t="s">
        <v>7508</v>
      </c>
      <c r="B4964" t="s">
        <v>12661</v>
      </c>
    </row>
    <row r="4965" spans="1:2" x14ac:dyDescent="0.25">
      <c r="A4965" t="s">
        <v>4178</v>
      </c>
      <c r="B4965" t="s">
        <v>7508</v>
      </c>
    </row>
    <row r="4966" spans="1:2" x14ac:dyDescent="0.25">
      <c r="A4966" t="s">
        <v>3174</v>
      </c>
      <c r="B4966" t="s">
        <v>4178</v>
      </c>
    </row>
    <row r="4967" spans="1:2" x14ac:dyDescent="0.25">
      <c r="A4967" t="s">
        <v>12118</v>
      </c>
      <c r="B4967" t="s">
        <v>12661</v>
      </c>
    </row>
    <row r="4968" spans="1:2" x14ac:dyDescent="0.25">
      <c r="A4968" t="s">
        <v>8618</v>
      </c>
      <c r="B4968" t="s">
        <v>12118</v>
      </c>
    </row>
    <row r="4969" spans="1:2" x14ac:dyDescent="0.25">
      <c r="A4969" t="s">
        <v>12664</v>
      </c>
      <c r="B4969" t="s">
        <v>12779</v>
      </c>
    </row>
    <row r="4970" spans="1:2" x14ac:dyDescent="0.25">
      <c r="A4970" t="s">
        <v>10357</v>
      </c>
      <c r="B4970" t="s">
        <v>12664</v>
      </c>
    </row>
    <row r="4971" spans="1:2" x14ac:dyDescent="0.25">
      <c r="A4971" t="s">
        <v>12408</v>
      </c>
      <c r="B4971" t="s">
        <v>10357</v>
      </c>
    </row>
    <row r="4972" spans="1:2" x14ac:dyDescent="0.25">
      <c r="A4972" t="s">
        <v>9425</v>
      </c>
      <c r="B4972" t="s">
        <v>12408</v>
      </c>
    </row>
    <row r="4973" spans="1:2" x14ac:dyDescent="0.25">
      <c r="A4973" t="s">
        <v>8128</v>
      </c>
      <c r="B4973" t="s">
        <v>10357</v>
      </c>
    </row>
    <row r="4974" spans="1:2" x14ac:dyDescent="0.25">
      <c r="A4974" t="s">
        <v>3633</v>
      </c>
      <c r="B4974" t="s">
        <v>8128</v>
      </c>
    </row>
    <row r="4975" spans="1:2" x14ac:dyDescent="0.25">
      <c r="A4975" t="s">
        <v>14448</v>
      </c>
      <c r="B4975" t="s">
        <v>10357</v>
      </c>
    </row>
    <row r="4976" spans="1:2" x14ac:dyDescent="0.25">
      <c r="A4976" t="s">
        <v>14449</v>
      </c>
      <c r="B4976" t="s">
        <v>14448</v>
      </c>
    </row>
    <row r="4977" spans="1:2" x14ac:dyDescent="0.25">
      <c r="A4977" t="s">
        <v>14450</v>
      </c>
      <c r="B4977" t="s">
        <v>14448</v>
      </c>
    </row>
    <row r="4978" spans="1:2" x14ac:dyDescent="0.25">
      <c r="A4978" t="s">
        <v>7510</v>
      </c>
      <c r="B4978" t="s">
        <v>12664</v>
      </c>
    </row>
    <row r="4979" spans="1:2" x14ac:dyDescent="0.25">
      <c r="A4979" t="s">
        <v>7511</v>
      </c>
      <c r="B4979" t="s">
        <v>7510</v>
      </c>
    </row>
    <row r="4980" spans="1:2" x14ac:dyDescent="0.25">
      <c r="A4980" t="s">
        <v>6363</v>
      </c>
      <c r="B4980" t="s">
        <v>7511</v>
      </c>
    </row>
    <row r="4981" spans="1:2" x14ac:dyDescent="0.25">
      <c r="A4981" t="s">
        <v>9812</v>
      </c>
      <c r="B4981" t="s">
        <v>7510</v>
      </c>
    </row>
    <row r="4982" spans="1:2" x14ac:dyDescent="0.25">
      <c r="A4982" t="s">
        <v>8996</v>
      </c>
      <c r="B4982" t="s">
        <v>9812</v>
      </c>
    </row>
    <row r="4983" spans="1:2" x14ac:dyDescent="0.25">
      <c r="A4983" t="s">
        <v>4182</v>
      </c>
      <c r="B4983" t="s">
        <v>7510</v>
      </c>
    </row>
    <row r="4984" spans="1:2" x14ac:dyDescent="0.25">
      <c r="A4984" t="s">
        <v>3175</v>
      </c>
      <c r="B4984" t="s">
        <v>4182</v>
      </c>
    </row>
    <row r="4985" spans="1:2" x14ac:dyDescent="0.25">
      <c r="A4985" t="s">
        <v>12119</v>
      </c>
      <c r="B4985" t="s">
        <v>12664</v>
      </c>
    </row>
    <row r="4986" spans="1:2" x14ac:dyDescent="0.25">
      <c r="A4986" t="s">
        <v>8129</v>
      </c>
      <c r="B4986" t="s">
        <v>12119</v>
      </c>
    </row>
    <row r="4987" spans="1:2" x14ac:dyDescent="0.25">
      <c r="A4987" t="s">
        <v>5529</v>
      </c>
      <c r="B4987" t="s">
        <v>12119</v>
      </c>
    </row>
    <row r="4988" spans="1:2" x14ac:dyDescent="0.25">
      <c r="A4988" t="s">
        <v>12854</v>
      </c>
      <c r="B4988" t="s">
        <v>12779</v>
      </c>
    </row>
    <row r="4989" spans="1:2" x14ac:dyDescent="0.25">
      <c r="A4989" t="s">
        <v>12540</v>
      </c>
      <c r="B4989" t="s">
        <v>12854</v>
      </c>
    </row>
    <row r="4990" spans="1:2" x14ac:dyDescent="0.25">
      <c r="A4990" t="s">
        <v>12005</v>
      </c>
      <c r="B4990" t="s">
        <v>12854</v>
      </c>
    </row>
    <row r="4991" spans="1:2" x14ac:dyDescent="0.25">
      <c r="A4991" t="s">
        <v>10351</v>
      </c>
      <c r="B4991" t="s">
        <v>12005</v>
      </c>
    </row>
    <row r="4992" spans="1:2" x14ac:dyDescent="0.25">
      <c r="A4992" t="s">
        <v>12406</v>
      </c>
      <c r="B4992" t="s">
        <v>10351</v>
      </c>
    </row>
    <row r="4993" spans="1:2" x14ac:dyDescent="0.25">
      <c r="A4993" t="s">
        <v>9423</v>
      </c>
      <c r="B4993" t="s">
        <v>12406</v>
      </c>
    </row>
    <row r="4994" spans="1:2" x14ac:dyDescent="0.25">
      <c r="A4994" t="s">
        <v>7506</v>
      </c>
      <c r="B4994" t="s">
        <v>12005</v>
      </c>
    </row>
    <row r="4995" spans="1:2" x14ac:dyDescent="0.25">
      <c r="A4995" t="s">
        <v>12117</v>
      </c>
      <c r="B4995" t="s">
        <v>12005</v>
      </c>
    </row>
    <row r="4996" spans="1:2" x14ac:dyDescent="0.25">
      <c r="A4996" t="s">
        <v>8121</v>
      </c>
      <c r="B4996" t="s">
        <v>12117</v>
      </c>
    </row>
    <row r="4997" spans="1:2" x14ac:dyDescent="0.25">
      <c r="A4997" t="s">
        <v>8615</v>
      </c>
      <c r="B4997" t="s">
        <v>12117</v>
      </c>
    </row>
    <row r="4998" spans="1:2" x14ac:dyDescent="0.25">
      <c r="A4998" t="s">
        <v>12660</v>
      </c>
      <c r="B4998" t="s">
        <v>12854</v>
      </c>
    </row>
    <row r="4999" spans="1:2" x14ac:dyDescent="0.25">
      <c r="A4999" t="s">
        <v>10348</v>
      </c>
      <c r="B4999" t="s">
        <v>12660</v>
      </c>
    </row>
    <row r="5000" spans="1:2" x14ac:dyDescent="0.25">
      <c r="A5000" t="s">
        <v>12405</v>
      </c>
      <c r="B5000" t="s">
        <v>10348</v>
      </c>
    </row>
    <row r="5001" spans="1:2" x14ac:dyDescent="0.25">
      <c r="A5001" t="s">
        <v>9422</v>
      </c>
      <c r="B5001" t="s">
        <v>12405</v>
      </c>
    </row>
    <row r="5002" spans="1:2" x14ac:dyDescent="0.25">
      <c r="A5002" t="s">
        <v>8116</v>
      </c>
      <c r="B5002" t="s">
        <v>10348</v>
      </c>
    </row>
    <row r="5003" spans="1:2" x14ac:dyDescent="0.25">
      <c r="A5003" t="s">
        <v>3624</v>
      </c>
      <c r="B5003" t="s">
        <v>8116</v>
      </c>
    </row>
    <row r="5004" spans="1:2" x14ac:dyDescent="0.25">
      <c r="A5004" t="s">
        <v>7504</v>
      </c>
      <c r="B5004" t="s">
        <v>12660</v>
      </c>
    </row>
    <row r="5005" spans="1:2" x14ac:dyDescent="0.25">
      <c r="A5005" t="s">
        <v>12116</v>
      </c>
      <c r="B5005" t="s">
        <v>12660</v>
      </c>
    </row>
    <row r="5006" spans="1:2" x14ac:dyDescent="0.25">
      <c r="A5006" t="s">
        <v>8117</v>
      </c>
      <c r="B5006" t="s">
        <v>12116</v>
      </c>
    </row>
    <row r="5007" spans="1:2" x14ac:dyDescent="0.25">
      <c r="A5007" t="s">
        <v>8612</v>
      </c>
      <c r="B5007" t="s">
        <v>12116</v>
      </c>
    </row>
    <row r="5008" spans="1:2" x14ac:dyDescent="0.25">
      <c r="A5008" t="s">
        <v>12762</v>
      </c>
      <c r="B5008" t="s">
        <v>14932</v>
      </c>
    </row>
    <row r="5009" spans="1:2" x14ac:dyDescent="0.25">
      <c r="A5009" t="s">
        <v>10360</v>
      </c>
      <c r="B5009" t="s">
        <v>12762</v>
      </c>
    </row>
    <row r="5010" spans="1:2" x14ac:dyDescent="0.25">
      <c r="A5010" t="s">
        <v>8622</v>
      </c>
      <c r="B5010" t="s">
        <v>10360</v>
      </c>
    </row>
    <row r="5011" spans="1:2" x14ac:dyDescent="0.25">
      <c r="A5011" t="s">
        <v>9426</v>
      </c>
      <c r="B5011" t="s">
        <v>8622</v>
      </c>
    </row>
    <row r="5012" spans="1:2" x14ac:dyDescent="0.25">
      <c r="A5012" t="s">
        <v>10361</v>
      </c>
      <c r="B5012" t="s">
        <v>8622</v>
      </c>
    </row>
    <row r="5013" spans="1:2" x14ac:dyDescent="0.25">
      <c r="A5013" t="s">
        <v>3636</v>
      </c>
      <c r="B5013" t="s">
        <v>8622</v>
      </c>
    </row>
    <row r="5014" spans="1:2" x14ac:dyDescent="0.25">
      <c r="A5014" t="s">
        <v>5076</v>
      </c>
      <c r="B5014" t="s">
        <v>8622</v>
      </c>
    </row>
    <row r="5015" spans="1:2" x14ac:dyDescent="0.25">
      <c r="A5015" t="s">
        <v>8997</v>
      </c>
      <c r="B5015" t="s">
        <v>10360</v>
      </c>
    </row>
    <row r="5016" spans="1:2" x14ac:dyDescent="0.25">
      <c r="A5016" t="s">
        <v>9813</v>
      </c>
      <c r="B5016" t="s">
        <v>8997</v>
      </c>
    </row>
    <row r="5017" spans="1:2" x14ac:dyDescent="0.25">
      <c r="A5017" t="s">
        <v>10822</v>
      </c>
      <c r="B5017" t="s">
        <v>8997</v>
      </c>
    </row>
    <row r="5018" spans="1:2" x14ac:dyDescent="0.25">
      <c r="A5018" t="s">
        <v>4183</v>
      </c>
      <c r="B5018" t="s">
        <v>8997</v>
      </c>
    </row>
    <row r="5019" spans="1:2" x14ac:dyDescent="0.25">
      <c r="A5019" t="s">
        <v>5530</v>
      </c>
      <c r="B5019" t="s">
        <v>8997</v>
      </c>
    </row>
    <row r="5020" spans="1:2" x14ac:dyDescent="0.25">
      <c r="A5020" t="s">
        <v>8131</v>
      </c>
      <c r="B5020" t="s">
        <v>10360</v>
      </c>
    </row>
    <row r="5021" spans="1:2" x14ac:dyDescent="0.25">
      <c r="A5021" t="s">
        <v>8998</v>
      </c>
      <c r="B5021" t="s">
        <v>8131</v>
      </c>
    </row>
    <row r="5022" spans="1:2" x14ac:dyDescent="0.25">
      <c r="A5022" t="s">
        <v>9814</v>
      </c>
      <c r="B5022" t="s">
        <v>8131</v>
      </c>
    </row>
    <row r="5023" spans="1:2" x14ac:dyDescent="0.25">
      <c r="A5023" t="s">
        <v>3176</v>
      </c>
      <c r="B5023" t="s">
        <v>8131</v>
      </c>
    </row>
    <row r="5024" spans="1:2" x14ac:dyDescent="0.25">
      <c r="A5024" t="s">
        <v>4662</v>
      </c>
      <c r="B5024" t="s">
        <v>8131</v>
      </c>
    </row>
    <row r="5025" spans="1:2" x14ac:dyDescent="0.25">
      <c r="A5025" t="s">
        <v>16052</v>
      </c>
      <c r="B5025" t="s">
        <v>10360</v>
      </c>
    </row>
    <row r="5026" spans="1:2" x14ac:dyDescent="0.25">
      <c r="A5026" t="s">
        <v>7512</v>
      </c>
      <c r="B5026" t="s">
        <v>12762</v>
      </c>
    </row>
    <row r="5027" spans="1:2" x14ac:dyDescent="0.25">
      <c r="A5027" t="s">
        <v>9427</v>
      </c>
      <c r="B5027" t="s">
        <v>7512</v>
      </c>
    </row>
    <row r="5028" spans="1:2" x14ac:dyDescent="0.25">
      <c r="A5028" t="s">
        <v>8132</v>
      </c>
      <c r="B5028" t="s">
        <v>9427</v>
      </c>
    </row>
    <row r="5029" spans="1:2" x14ac:dyDescent="0.25">
      <c r="A5029" t="s">
        <v>12796</v>
      </c>
      <c r="B5029" t="s">
        <v>9427</v>
      </c>
    </row>
    <row r="5030" spans="1:2" x14ac:dyDescent="0.25">
      <c r="A5030" t="s">
        <v>12797</v>
      </c>
      <c r="B5030" t="s">
        <v>9427</v>
      </c>
    </row>
    <row r="5031" spans="1:2" x14ac:dyDescent="0.25">
      <c r="A5031" t="s">
        <v>6365</v>
      </c>
      <c r="B5031" t="s">
        <v>7512</v>
      </c>
    </row>
    <row r="5032" spans="1:2" x14ac:dyDescent="0.25">
      <c r="A5032" t="s">
        <v>10362</v>
      </c>
      <c r="B5032" t="s">
        <v>6365</v>
      </c>
    </row>
    <row r="5033" spans="1:2" x14ac:dyDescent="0.25">
      <c r="A5033" t="s">
        <v>7513</v>
      </c>
      <c r="B5033" t="s">
        <v>6365</v>
      </c>
    </row>
    <row r="5034" spans="1:2" x14ac:dyDescent="0.25">
      <c r="A5034" t="s">
        <v>5902</v>
      </c>
      <c r="B5034" t="s">
        <v>6365</v>
      </c>
    </row>
    <row r="5035" spans="1:2" x14ac:dyDescent="0.25">
      <c r="A5035" t="s">
        <v>3177</v>
      </c>
      <c r="B5035" t="s">
        <v>6365</v>
      </c>
    </row>
    <row r="5036" spans="1:2" x14ac:dyDescent="0.25">
      <c r="A5036" t="s">
        <v>8623</v>
      </c>
      <c r="B5036" t="s">
        <v>6365</v>
      </c>
    </row>
    <row r="5037" spans="1:2" x14ac:dyDescent="0.25">
      <c r="A5037" t="s">
        <v>5531</v>
      </c>
      <c r="B5037" t="s">
        <v>6365</v>
      </c>
    </row>
    <row r="5038" spans="1:2" x14ac:dyDescent="0.25">
      <c r="A5038" t="s">
        <v>11662</v>
      </c>
      <c r="B5038" t="s">
        <v>7512</v>
      </c>
    </row>
    <row r="5039" spans="1:2" x14ac:dyDescent="0.25">
      <c r="A5039" t="s">
        <v>12120</v>
      </c>
      <c r="B5039" t="s">
        <v>11662</v>
      </c>
    </row>
    <row r="5040" spans="1:2" x14ac:dyDescent="0.25">
      <c r="A5040" t="s">
        <v>8999</v>
      </c>
      <c r="B5040" t="s">
        <v>11662</v>
      </c>
    </row>
    <row r="5041" spans="1:2" x14ac:dyDescent="0.25">
      <c r="A5041" t="s">
        <v>11135</v>
      </c>
      <c r="B5041" t="s">
        <v>11662</v>
      </c>
    </row>
    <row r="5042" spans="1:2" x14ac:dyDescent="0.25">
      <c r="A5042" t="s">
        <v>11878</v>
      </c>
      <c r="B5042" t="s">
        <v>11662</v>
      </c>
    </row>
    <row r="5043" spans="1:2" x14ac:dyDescent="0.25">
      <c r="A5043" t="s">
        <v>12121</v>
      </c>
      <c r="B5043" t="s">
        <v>12762</v>
      </c>
    </row>
    <row r="5044" spans="1:2" x14ac:dyDescent="0.25">
      <c r="A5044" t="s">
        <v>8133</v>
      </c>
      <c r="B5044" t="s">
        <v>12121</v>
      </c>
    </row>
    <row r="5045" spans="1:2" x14ac:dyDescent="0.25">
      <c r="A5045" t="s">
        <v>6366</v>
      </c>
      <c r="B5045" t="s">
        <v>12121</v>
      </c>
    </row>
    <row r="5046" spans="1:2" x14ac:dyDescent="0.25">
      <c r="A5046" t="s">
        <v>12798</v>
      </c>
      <c r="B5046" t="s">
        <v>12121</v>
      </c>
    </row>
    <row r="5047" spans="1:2" x14ac:dyDescent="0.25">
      <c r="A5047" t="s">
        <v>11663</v>
      </c>
      <c r="B5047" t="s">
        <v>12121</v>
      </c>
    </row>
    <row r="5048" spans="1:2" x14ac:dyDescent="0.25">
      <c r="A5048" t="s">
        <v>11628</v>
      </c>
      <c r="B5048" t="s">
        <v>14932</v>
      </c>
    </row>
    <row r="5049" spans="1:2" x14ac:dyDescent="0.25">
      <c r="A5049" t="s">
        <v>10275</v>
      </c>
      <c r="B5049" t="s">
        <v>11628</v>
      </c>
    </row>
    <row r="5050" spans="1:2" x14ac:dyDescent="0.25">
      <c r="A5050" t="s">
        <v>12064</v>
      </c>
      <c r="B5050" t="s">
        <v>10275</v>
      </c>
    </row>
    <row r="5051" spans="1:2" x14ac:dyDescent="0.25">
      <c r="A5051" t="s">
        <v>8952</v>
      </c>
      <c r="B5051" t="s">
        <v>12064</v>
      </c>
    </row>
    <row r="5052" spans="1:2" x14ac:dyDescent="0.25">
      <c r="A5052" t="s">
        <v>9745</v>
      </c>
      <c r="B5052" t="s">
        <v>12064</v>
      </c>
    </row>
    <row r="5053" spans="1:2" x14ac:dyDescent="0.25">
      <c r="A5053" t="s">
        <v>6800</v>
      </c>
      <c r="B5053" t="s">
        <v>12064</v>
      </c>
    </row>
    <row r="5054" spans="1:2" x14ac:dyDescent="0.25">
      <c r="A5054" t="s">
        <v>11098</v>
      </c>
      <c r="B5054" t="s">
        <v>10275</v>
      </c>
    </row>
    <row r="5055" spans="1:2" x14ac:dyDescent="0.25">
      <c r="A5055" t="s">
        <v>6801</v>
      </c>
      <c r="B5055" t="s">
        <v>11098</v>
      </c>
    </row>
    <row r="5056" spans="1:2" x14ac:dyDescent="0.25">
      <c r="A5056" t="s">
        <v>8057</v>
      </c>
      <c r="B5056" t="s">
        <v>11098</v>
      </c>
    </row>
    <row r="5057" spans="1:2" x14ac:dyDescent="0.25">
      <c r="A5057" t="s">
        <v>5042</v>
      </c>
      <c r="B5057" t="s">
        <v>11098</v>
      </c>
    </row>
    <row r="5058" spans="1:2" x14ac:dyDescent="0.25">
      <c r="A5058" t="s">
        <v>8058</v>
      </c>
      <c r="B5058" t="s">
        <v>10275</v>
      </c>
    </row>
    <row r="5059" spans="1:2" x14ac:dyDescent="0.25">
      <c r="A5059" t="s">
        <v>6308</v>
      </c>
      <c r="B5059" t="s">
        <v>8058</v>
      </c>
    </row>
    <row r="5060" spans="1:2" x14ac:dyDescent="0.25">
      <c r="A5060" t="s">
        <v>7433</v>
      </c>
      <c r="B5060" t="s">
        <v>8058</v>
      </c>
    </row>
    <row r="5061" spans="1:2" x14ac:dyDescent="0.25">
      <c r="A5061" t="s">
        <v>4624</v>
      </c>
      <c r="B5061" t="s">
        <v>8058</v>
      </c>
    </row>
    <row r="5062" spans="1:2" x14ac:dyDescent="0.25">
      <c r="A5062" t="s">
        <v>9354</v>
      </c>
      <c r="B5062" t="s">
        <v>8058</v>
      </c>
    </row>
    <row r="5063" spans="1:2" x14ac:dyDescent="0.25">
      <c r="A5063" t="s">
        <v>10276</v>
      </c>
      <c r="B5063" t="s">
        <v>8058</v>
      </c>
    </row>
    <row r="5064" spans="1:2" x14ac:dyDescent="0.25">
      <c r="A5064" t="s">
        <v>7434</v>
      </c>
      <c r="B5064" t="s">
        <v>8058</v>
      </c>
    </row>
    <row r="5065" spans="1:2" x14ac:dyDescent="0.25">
      <c r="A5065" t="s">
        <v>7435</v>
      </c>
      <c r="B5065" t="s">
        <v>11628</v>
      </c>
    </row>
    <row r="5066" spans="1:2" x14ac:dyDescent="0.25">
      <c r="A5066" t="s">
        <v>8059</v>
      </c>
      <c r="B5066" t="s">
        <v>7435</v>
      </c>
    </row>
    <row r="5067" spans="1:2" x14ac:dyDescent="0.25">
      <c r="A5067" t="s">
        <v>9355</v>
      </c>
      <c r="B5067" t="s">
        <v>7435</v>
      </c>
    </row>
    <row r="5068" spans="1:2" x14ac:dyDescent="0.25">
      <c r="A5068" t="s">
        <v>8953</v>
      </c>
      <c r="B5068" t="s">
        <v>7435</v>
      </c>
    </row>
    <row r="5069" spans="1:2" x14ac:dyDescent="0.25">
      <c r="A5069" t="s">
        <v>6309</v>
      </c>
      <c r="B5069" t="s">
        <v>7435</v>
      </c>
    </row>
    <row r="5070" spans="1:2" x14ac:dyDescent="0.25">
      <c r="A5070" t="s">
        <v>12065</v>
      </c>
      <c r="B5070" t="s">
        <v>11628</v>
      </c>
    </row>
    <row r="5071" spans="1:2" x14ac:dyDescent="0.25">
      <c r="A5071" t="s">
        <v>9356</v>
      </c>
      <c r="B5071" t="s">
        <v>12065</v>
      </c>
    </row>
    <row r="5072" spans="1:2" x14ac:dyDescent="0.25">
      <c r="A5072" t="s">
        <v>10277</v>
      </c>
      <c r="B5072" t="s">
        <v>12065</v>
      </c>
    </row>
    <row r="5073" spans="1:2" x14ac:dyDescent="0.25">
      <c r="A5073" t="s">
        <v>6310</v>
      </c>
      <c r="B5073" t="s">
        <v>12065</v>
      </c>
    </row>
    <row r="5074" spans="1:2" x14ac:dyDescent="0.25">
      <c r="A5074" t="s">
        <v>8060</v>
      </c>
      <c r="B5074" t="s">
        <v>12065</v>
      </c>
    </row>
    <row r="5075" spans="1:2" x14ac:dyDescent="0.25">
      <c r="A5075" t="s">
        <v>6802</v>
      </c>
      <c r="B5075" t="s">
        <v>12065</v>
      </c>
    </row>
    <row r="5076" spans="1:2" x14ac:dyDescent="0.25">
      <c r="A5076" t="s">
        <v>11643</v>
      </c>
      <c r="B5076" t="s">
        <v>14932</v>
      </c>
    </row>
    <row r="5077" spans="1:2" x14ac:dyDescent="0.25">
      <c r="A5077" t="s">
        <v>9737</v>
      </c>
      <c r="B5077" t="s">
        <v>14932</v>
      </c>
    </row>
    <row r="5078" spans="1:2" x14ac:dyDescent="0.25">
      <c r="A5078" t="s">
        <v>14946</v>
      </c>
      <c r="B5078" t="s">
        <v>12529</v>
      </c>
    </row>
    <row r="5079" spans="1:2" x14ac:dyDescent="0.25">
      <c r="A5079" t="s">
        <v>12903</v>
      </c>
      <c r="B5079" t="s">
        <v>14946</v>
      </c>
    </row>
    <row r="5080" spans="1:2" x14ac:dyDescent="0.25">
      <c r="A5080" t="s">
        <v>8015</v>
      </c>
      <c r="B5080" t="s">
        <v>12903</v>
      </c>
    </row>
    <row r="5081" spans="1:2" x14ac:dyDescent="0.25">
      <c r="A5081" t="s">
        <v>10454</v>
      </c>
      <c r="B5081" t="s">
        <v>8015</v>
      </c>
    </row>
    <row r="5082" spans="1:2" x14ac:dyDescent="0.25">
      <c r="A5082" t="s">
        <v>11194</v>
      </c>
      <c r="B5082" t="s">
        <v>10454</v>
      </c>
    </row>
    <row r="5083" spans="1:2" x14ac:dyDescent="0.25">
      <c r="A5083" t="s">
        <v>6898</v>
      </c>
      <c r="B5083" t="s">
        <v>11194</v>
      </c>
    </row>
    <row r="5084" spans="1:2" x14ac:dyDescent="0.25">
      <c r="A5084" t="s">
        <v>4702</v>
      </c>
      <c r="B5084" t="s">
        <v>11194</v>
      </c>
    </row>
    <row r="5085" spans="1:2" x14ac:dyDescent="0.25">
      <c r="A5085" t="s">
        <v>12184</v>
      </c>
      <c r="B5085" t="s">
        <v>10454</v>
      </c>
    </row>
    <row r="5086" spans="1:2" x14ac:dyDescent="0.25">
      <c r="A5086" t="s">
        <v>9028</v>
      </c>
      <c r="B5086" t="s">
        <v>12184</v>
      </c>
    </row>
    <row r="5087" spans="1:2" x14ac:dyDescent="0.25">
      <c r="A5087" t="s">
        <v>10880</v>
      </c>
      <c r="B5087" t="s">
        <v>10454</v>
      </c>
    </row>
    <row r="5088" spans="1:2" x14ac:dyDescent="0.25">
      <c r="A5088" t="s">
        <v>6421</v>
      </c>
      <c r="B5088" t="s">
        <v>10880</v>
      </c>
    </row>
    <row r="5089" spans="1:2" x14ac:dyDescent="0.25">
      <c r="A5089" t="s">
        <v>10881</v>
      </c>
      <c r="B5089" t="s">
        <v>10454</v>
      </c>
    </row>
    <row r="5090" spans="1:2" x14ac:dyDescent="0.25">
      <c r="A5090" t="s">
        <v>6422</v>
      </c>
      <c r="B5090" t="s">
        <v>10881</v>
      </c>
    </row>
    <row r="5091" spans="1:2" x14ac:dyDescent="0.25">
      <c r="A5091" t="s">
        <v>16053</v>
      </c>
      <c r="B5091" t="s">
        <v>10454</v>
      </c>
    </row>
    <row r="5092" spans="1:2" x14ac:dyDescent="0.25">
      <c r="A5092" t="s">
        <v>16054</v>
      </c>
      <c r="B5092" t="s">
        <v>16053</v>
      </c>
    </row>
    <row r="5093" spans="1:2" x14ac:dyDescent="0.25">
      <c r="A5093" t="s">
        <v>16055</v>
      </c>
      <c r="B5093" t="s">
        <v>16053</v>
      </c>
    </row>
    <row r="5094" spans="1:2" x14ac:dyDescent="0.25">
      <c r="A5094" t="s">
        <v>16056</v>
      </c>
      <c r="B5094" t="s">
        <v>16053</v>
      </c>
    </row>
    <row r="5095" spans="1:2" x14ac:dyDescent="0.25">
      <c r="A5095" t="s">
        <v>7582</v>
      </c>
      <c r="B5095" t="s">
        <v>8015</v>
      </c>
    </row>
    <row r="5096" spans="1:2" x14ac:dyDescent="0.25">
      <c r="A5096" t="s">
        <v>16057</v>
      </c>
      <c r="B5096" t="s">
        <v>7582</v>
      </c>
    </row>
    <row r="5097" spans="1:2" x14ac:dyDescent="0.25">
      <c r="A5097" t="s">
        <v>16058</v>
      </c>
      <c r="B5097" t="s">
        <v>16057</v>
      </c>
    </row>
    <row r="5098" spans="1:2" x14ac:dyDescent="0.25">
      <c r="A5098" t="s">
        <v>16059</v>
      </c>
      <c r="B5098" t="s">
        <v>16057</v>
      </c>
    </row>
    <row r="5099" spans="1:2" x14ac:dyDescent="0.25">
      <c r="A5099" t="s">
        <v>12185</v>
      </c>
      <c r="B5099" t="s">
        <v>8015</v>
      </c>
    </row>
    <row r="5100" spans="1:2" x14ac:dyDescent="0.25">
      <c r="A5100" t="s">
        <v>12547</v>
      </c>
      <c r="B5100" t="s">
        <v>12903</v>
      </c>
    </row>
    <row r="5101" spans="1:2" x14ac:dyDescent="0.25">
      <c r="A5101" t="s">
        <v>10388</v>
      </c>
      <c r="B5101" t="s">
        <v>12547</v>
      </c>
    </row>
    <row r="5102" spans="1:2" x14ac:dyDescent="0.25">
      <c r="A5102" t="s">
        <v>11150</v>
      </c>
      <c r="B5102" t="s">
        <v>10388</v>
      </c>
    </row>
    <row r="5103" spans="1:2" x14ac:dyDescent="0.25">
      <c r="A5103" t="s">
        <v>6882</v>
      </c>
      <c r="B5103" t="s">
        <v>11150</v>
      </c>
    </row>
    <row r="5104" spans="1:2" x14ac:dyDescent="0.25">
      <c r="A5104" t="s">
        <v>4685</v>
      </c>
      <c r="B5104" t="s">
        <v>11150</v>
      </c>
    </row>
    <row r="5105" spans="1:2" x14ac:dyDescent="0.25">
      <c r="A5105" t="s">
        <v>12144</v>
      </c>
      <c r="B5105" t="s">
        <v>10388</v>
      </c>
    </row>
    <row r="5106" spans="1:2" x14ac:dyDescent="0.25">
      <c r="A5106" t="s">
        <v>9012</v>
      </c>
      <c r="B5106" t="s">
        <v>12144</v>
      </c>
    </row>
    <row r="5107" spans="1:2" x14ac:dyDescent="0.25">
      <c r="A5107" t="s">
        <v>10834</v>
      </c>
      <c r="B5107" t="s">
        <v>10388</v>
      </c>
    </row>
    <row r="5108" spans="1:2" x14ac:dyDescent="0.25">
      <c r="A5108" t="s">
        <v>6391</v>
      </c>
      <c r="B5108" t="s">
        <v>10834</v>
      </c>
    </row>
    <row r="5109" spans="1:2" x14ac:dyDescent="0.25">
      <c r="A5109" t="s">
        <v>10835</v>
      </c>
      <c r="B5109" t="s">
        <v>10388</v>
      </c>
    </row>
    <row r="5110" spans="1:2" x14ac:dyDescent="0.25">
      <c r="A5110" t="s">
        <v>6392</v>
      </c>
      <c r="B5110" t="s">
        <v>10835</v>
      </c>
    </row>
    <row r="5111" spans="1:2" x14ac:dyDescent="0.25">
      <c r="A5111" t="s">
        <v>7543</v>
      </c>
      <c r="B5111" t="s">
        <v>12547</v>
      </c>
    </row>
    <row r="5112" spans="1:2" x14ac:dyDescent="0.25">
      <c r="A5112" t="s">
        <v>12145</v>
      </c>
      <c r="B5112" t="s">
        <v>12547</v>
      </c>
    </row>
    <row r="5113" spans="1:2" x14ac:dyDescent="0.25">
      <c r="A5113" t="s">
        <v>12670</v>
      </c>
      <c r="B5113" t="s">
        <v>12903</v>
      </c>
    </row>
    <row r="5114" spans="1:2" x14ac:dyDescent="0.25">
      <c r="A5114" t="s">
        <v>10412</v>
      </c>
      <c r="B5114" t="s">
        <v>12670</v>
      </c>
    </row>
    <row r="5115" spans="1:2" x14ac:dyDescent="0.25">
      <c r="A5115" t="s">
        <v>11170</v>
      </c>
      <c r="B5115" t="s">
        <v>10412</v>
      </c>
    </row>
    <row r="5116" spans="1:2" x14ac:dyDescent="0.25">
      <c r="A5116" t="s">
        <v>6883</v>
      </c>
      <c r="B5116" t="s">
        <v>11170</v>
      </c>
    </row>
    <row r="5117" spans="1:2" x14ac:dyDescent="0.25">
      <c r="A5117" t="s">
        <v>4688</v>
      </c>
      <c r="B5117" t="s">
        <v>11170</v>
      </c>
    </row>
    <row r="5118" spans="1:2" x14ac:dyDescent="0.25">
      <c r="A5118" t="s">
        <v>12157</v>
      </c>
      <c r="B5118" t="s">
        <v>10412</v>
      </c>
    </row>
    <row r="5119" spans="1:2" x14ac:dyDescent="0.25">
      <c r="A5119" t="s">
        <v>9014</v>
      </c>
      <c r="B5119" t="s">
        <v>12157</v>
      </c>
    </row>
    <row r="5120" spans="1:2" x14ac:dyDescent="0.25">
      <c r="A5120" t="s">
        <v>10847</v>
      </c>
      <c r="B5120" t="s">
        <v>10412</v>
      </c>
    </row>
    <row r="5121" spans="1:2" x14ac:dyDescent="0.25">
      <c r="A5121" t="s">
        <v>6396</v>
      </c>
      <c r="B5121" t="s">
        <v>10847</v>
      </c>
    </row>
    <row r="5122" spans="1:2" x14ac:dyDescent="0.25">
      <c r="A5122" t="s">
        <v>10848</v>
      </c>
      <c r="B5122" t="s">
        <v>10412</v>
      </c>
    </row>
    <row r="5123" spans="1:2" x14ac:dyDescent="0.25">
      <c r="A5123" t="s">
        <v>6397</v>
      </c>
      <c r="B5123" t="s">
        <v>10848</v>
      </c>
    </row>
    <row r="5124" spans="1:2" x14ac:dyDescent="0.25">
      <c r="A5124" t="s">
        <v>7555</v>
      </c>
      <c r="B5124" t="s">
        <v>12670</v>
      </c>
    </row>
    <row r="5125" spans="1:2" x14ac:dyDescent="0.25">
      <c r="A5125" t="s">
        <v>12158</v>
      </c>
      <c r="B5125" t="s">
        <v>12670</v>
      </c>
    </row>
    <row r="5126" spans="1:2" x14ac:dyDescent="0.25">
      <c r="A5126" t="s">
        <v>12841</v>
      </c>
      <c r="B5126" t="s">
        <v>12903</v>
      </c>
    </row>
    <row r="5127" spans="1:2" x14ac:dyDescent="0.25">
      <c r="A5127" t="s">
        <v>10426</v>
      </c>
      <c r="B5127" t="s">
        <v>12841</v>
      </c>
    </row>
    <row r="5128" spans="1:2" x14ac:dyDescent="0.25">
      <c r="A5128" t="s">
        <v>11178</v>
      </c>
      <c r="B5128" t="s">
        <v>10426</v>
      </c>
    </row>
    <row r="5129" spans="1:2" x14ac:dyDescent="0.25">
      <c r="A5129" t="s">
        <v>6888</v>
      </c>
      <c r="B5129" t="s">
        <v>11178</v>
      </c>
    </row>
    <row r="5130" spans="1:2" x14ac:dyDescent="0.25">
      <c r="A5130" t="s">
        <v>4691</v>
      </c>
      <c r="B5130" t="s">
        <v>11178</v>
      </c>
    </row>
    <row r="5131" spans="1:2" x14ac:dyDescent="0.25">
      <c r="A5131" t="s">
        <v>12167</v>
      </c>
      <c r="B5131" t="s">
        <v>10426</v>
      </c>
    </row>
    <row r="5132" spans="1:2" x14ac:dyDescent="0.25">
      <c r="A5132" t="s">
        <v>9017</v>
      </c>
      <c r="B5132" t="s">
        <v>12167</v>
      </c>
    </row>
    <row r="5133" spans="1:2" x14ac:dyDescent="0.25">
      <c r="A5133" t="s">
        <v>10855</v>
      </c>
      <c r="B5133" t="s">
        <v>10426</v>
      </c>
    </row>
    <row r="5134" spans="1:2" x14ac:dyDescent="0.25">
      <c r="A5134" t="s">
        <v>6403</v>
      </c>
      <c r="B5134" t="s">
        <v>10855</v>
      </c>
    </row>
    <row r="5135" spans="1:2" x14ac:dyDescent="0.25">
      <c r="A5135" t="s">
        <v>10856</v>
      </c>
      <c r="B5135" t="s">
        <v>10426</v>
      </c>
    </row>
    <row r="5136" spans="1:2" x14ac:dyDescent="0.25">
      <c r="A5136" t="s">
        <v>6404</v>
      </c>
      <c r="B5136" t="s">
        <v>10856</v>
      </c>
    </row>
    <row r="5137" spans="1:2" x14ac:dyDescent="0.25">
      <c r="A5137" t="s">
        <v>7564</v>
      </c>
      <c r="B5137" t="s">
        <v>12841</v>
      </c>
    </row>
    <row r="5138" spans="1:2" x14ac:dyDescent="0.25">
      <c r="A5138" t="s">
        <v>12168</v>
      </c>
      <c r="B5138" t="s">
        <v>12841</v>
      </c>
    </row>
    <row r="5139" spans="1:2" x14ac:dyDescent="0.25">
      <c r="A5139" t="s">
        <v>12754</v>
      </c>
      <c r="B5139" t="s">
        <v>12903</v>
      </c>
    </row>
    <row r="5140" spans="1:2" x14ac:dyDescent="0.25">
      <c r="A5140" t="s">
        <v>10432</v>
      </c>
      <c r="B5140" t="s">
        <v>12754</v>
      </c>
    </row>
    <row r="5141" spans="1:2" x14ac:dyDescent="0.25">
      <c r="A5141" t="s">
        <v>11183</v>
      </c>
      <c r="B5141" t="s">
        <v>10432</v>
      </c>
    </row>
    <row r="5142" spans="1:2" x14ac:dyDescent="0.25">
      <c r="A5142" t="s">
        <v>6889</v>
      </c>
      <c r="B5142" t="s">
        <v>11183</v>
      </c>
    </row>
    <row r="5143" spans="1:2" x14ac:dyDescent="0.25">
      <c r="A5143" t="s">
        <v>4692</v>
      </c>
      <c r="B5143" t="s">
        <v>11183</v>
      </c>
    </row>
    <row r="5144" spans="1:2" x14ac:dyDescent="0.25">
      <c r="A5144" t="s">
        <v>12171</v>
      </c>
      <c r="B5144" t="s">
        <v>10432</v>
      </c>
    </row>
    <row r="5145" spans="1:2" x14ac:dyDescent="0.25">
      <c r="A5145" t="s">
        <v>9018</v>
      </c>
      <c r="B5145" t="s">
        <v>12171</v>
      </c>
    </row>
    <row r="5146" spans="1:2" x14ac:dyDescent="0.25">
      <c r="A5146" t="s">
        <v>10859</v>
      </c>
      <c r="B5146" t="s">
        <v>10432</v>
      </c>
    </row>
    <row r="5147" spans="1:2" x14ac:dyDescent="0.25">
      <c r="A5147" t="s">
        <v>6405</v>
      </c>
      <c r="B5147" t="s">
        <v>10859</v>
      </c>
    </row>
    <row r="5148" spans="1:2" x14ac:dyDescent="0.25">
      <c r="A5148" t="s">
        <v>10860</v>
      </c>
      <c r="B5148" t="s">
        <v>10432</v>
      </c>
    </row>
    <row r="5149" spans="1:2" x14ac:dyDescent="0.25">
      <c r="A5149" t="s">
        <v>6406</v>
      </c>
      <c r="B5149" t="s">
        <v>10860</v>
      </c>
    </row>
    <row r="5150" spans="1:2" x14ac:dyDescent="0.25">
      <c r="A5150" t="s">
        <v>7566</v>
      </c>
      <c r="B5150" t="s">
        <v>12754</v>
      </c>
    </row>
    <row r="5151" spans="1:2" x14ac:dyDescent="0.25">
      <c r="A5151" t="s">
        <v>12172</v>
      </c>
      <c r="B5151" t="s">
        <v>12754</v>
      </c>
    </row>
    <row r="5152" spans="1:2" x14ac:dyDescent="0.25">
      <c r="A5152" t="s">
        <v>12757</v>
      </c>
      <c r="B5152" t="s">
        <v>12903</v>
      </c>
    </row>
    <row r="5153" spans="1:2" x14ac:dyDescent="0.25">
      <c r="A5153" t="s">
        <v>10456</v>
      </c>
      <c r="B5153" t="s">
        <v>12757</v>
      </c>
    </row>
    <row r="5154" spans="1:2" x14ac:dyDescent="0.25">
      <c r="A5154" t="s">
        <v>11196</v>
      </c>
      <c r="B5154" t="s">
        <v>10456</v>
      </c>
    </row>
    <row r="5155" spans="1:2" x14ac:dyDescent="0.25">
      <c r="A5155" t="s">
        <v>6899</v>
      </c>
      <c r="B5155" t="s">
        <v>11196</v>
      </c>
    </row>
    <row r="5156" spans="1:2" x14ac:dyDescent="0.25">
      <c r="A5156" t="s">
        <v>4703</v>
      </c>
      <c r="B5156" t="s">
        <v>11196</v>
      </c>
    </row>
    <row r="5157" spans="1:2" x14ac:dyDescent="0.25">
      <c r="A5157" t="s">
        <v>12188</v>
      </c>
      <c r="B5157" t="s">
        <v>10456</v>
      </c>
    </row>
    <row r="5158" spans="1:2" x14ac:dyDescent="0.25">
      <c r="A5158" t="s">
        <v>9030</v>
      </c>
      <c r="B5158" t="s">
        <v>12188</v>
      </c>
    </row>
    <row r="5159" spans="1:2" x14ac:dyDescent="0.25">
      <c r="A5159" t="s">
        <v>10886</v>
      </c>
      <c r="B5159" t="s">
        <v>10456</v>
      </c>
    </row>
    <row r="5160" spans="1:2" x14ac:dyDescent="0.25">
      <c r="A5160" t="s">
        <v>6424</v>
      </c>
      <c r="B5160" t="s">
        <v>10886</v>
      </c>
    </row>
    <row r="5161" spans="1:2" x14ac:dyDescent="0.25">
      <c r="A5161" t="s">
        <v>10887</v>
      </c>
      <c r="B5161" t="s">
        <v>10456</v>
      </c>
    </row>
    <row r="5162" spans="1:2" x14ac:dyDescent="0.25">
      <c r="A5162" t="s">
        <v>6425</v>
      </c>
      <c r="B5162" t="s">
        <v>10887</v>
      </c>
    </row>
    <row r="5163" spans="1:2" x14ac:dyDescent="0.25">
      <c r="A5163" t="s">
        <v>7584</v>
      </c>
      <c r="B5163" t="s">
        <v>12757</v>
      </c>
    </row>
    <row r="5164" spans="1:2" x14ac:dyDescent="0.25">
      <c r="A5164" t="s">
        <v>12189</v>
      </c>
      <c r="B5164" t="s">
        <v>12757</v>
      </c>
    </row>
    <row r="5165" spans="1:2" x14ac:dyDescent="0.25">
      <c r="A5165" t="s">
        <v>10391</v>
      </c>
      <c r="B5165" t="s">
        <v>12903</v>
      </c>
    </row>
    <row r="5166" spans="1:2" x14ac:dyDescent="0.25">
      <c r="A5166" t="s">
        <v>11674</v>
      </c>
      <c r="B5166" t="s">
        <v>10391</v>
      </c>
    </row>
    <row r="5167" spans="1:2" x14ac:dyDescent="0.25">
      <c r="A5167" t="s">
        <v>8172</v>
      </c>
      <c r="B5167" t="s">
        <v>11674</v>
      </c>
    </row>
    <row r="5168" spans="1:2" x14ac:dyDescent="0.25">
      <c r="A5168" t="s">
        <v>9013</v>
      </c>
      <c r="B5168" t="s">
        <v>11674</v>
      </c>
    </row>
    <row r="5169" spans="1:2" x14ac:dyDescent="0.25">
      <c r="A5169" t="s">
        <v>4686</v>
      </c>
      <c r="B5169" t="s">
        <v>11674</v>
      </c>
    </row>
    <row r="5170" spans="1:2" x14ac:dyDescent="0.25">
      <c r="A5170" t="s">
        <v>11151</v>
      </c>
      <c r="B5170" t="s">
        <v>10391</v>
      </c>
    </row>
    <row r="5171" spans="1:2" x14ac:dyDescent="0.25">
      <c r="A5171" t="s">
        <v>8173</v>
      </c>
      <c r="B5171" t="s">
        <v>11151</v>
      </c>
    </row>
    <row r="5172" spans="1:2" x14ac:dyDescent="0.25">
      <c r="A5172" t="s">
        <v>2712</v>
      </c>
      <c r="B5172" t="s">
        <v>11151</v>
      </c>
    </row>
    <row r="5173" spans="1:2" x14ac:dyDescent="0.25">
      <c r="A5173" t="s">
        <v>12147</v>
      </c>
      <c r="B5173" t="s">
        <v>10391</v>
      </c>
    </row>
    <row r="5174" spans="1:2" x14ac:dyDescent="0.25">
      <c r="A5174" t="s">
        <v>9825</v>
      </c>
      <c r="B5174" t="s">
        <v>12147</v>
      </c>
    </row>
    <row r="5175" spans="1:2" x14ac:dyDescent="0.25">
      <c r="A5175" t="s">
        <v>4687</v>
      </c>
      <c r="B5175" t="s">
        <v>12147</v>
      </c>
    </row>
    <row r="5176" spans="1:2" x14ac:dyDescent="0.25">
      <c r="A5176" t="s">
        <v>10836</v>
      </c>
      <c r="B5176" t="s">
        <v>10391</v>
      </c>
    </row>
    <row r="5177" spans="1:2" x14ac:dyDescent="0.25">
      <c r="A5177" t="s">
        <v>7546</v>
      </c>
      <c r="B5177" t="s">
        <v>10836</v>
      </c>
    </row>
    <row r="5178" spans="1:2" x14ac:dyDescent="0.25">
      <c r="A5178" t="s">
        <v>2296</v>
      </c>
      <c r="B5178" t="s">
        <v>10836</v>
      </c>
    </row>
    <row r="5179" spans="1:2" x14ac:dyDescent="0.25">
      <c r="A5179" t="s">
        <v>10837</v>
      </c>
      <c r="B5179" t="s">
        <v>10391</v>
      </c>
    </row>
    <row r="5180" spans="1:2" x14ac:dyDescent="0.25">
      <c r="A5180" t="s">
        <v>7547</v>
      </c>
      <c r="B5180" t="s">
        <v>10837</v>
      </c>
    </row>
    <row r="5181" spans="1:2" x14ac:dyDescent="0.25">
      <c r="A5181" t="s">
        <v>2297</v>
      </c>
      <c r="B5181" t="s">
        <v>10837</v>
      </c>
    </row>
    <row r="5182" spans="1:2" x14ac:dyDescent="0.25">
      <c r="A5182" t="s">
        <v>16060</v>
      </c>
      <c r="B5182" t="s">
        <v>10391</v>
      </c>
    </row>
    <row r="5183" spans="1:2" x14ac:dyDescent="0.25">
      <c r="A5183" t="s">
        <v>16061</v>
      </c>
      <c r="B5183" t="s">
        <v>16060</v>
      </c>
    </row>
    <row r="5184" spans="1:2" x14ac:dyDescent="0.25">
      <c r="A5184" t="s">
        <v>16062</v>
      </c>
      <c r="B5184" t="s">
        <v>16060</v>
      </c>
    </row>
    <row r="5185" spans="1:2" x14ac:dyDescent="0.25">
      <c r="A5185" t="s">
        <v>16063</v>
      </c>
      <c r="B5185" t="s">
        <v>16060</v>
      </c>
    </row>
    <row r="5186" spans="1:2" x14ac:dyDescent="0.25">
      <c r="A5186" t="s">
        <v>7548</v>
      </c>
      <c r="B5186" t="s">
        <v>12903</v>
      </c>
    </row>
    <row r="5187" spans="1:2" x14ac:dyDescent="0.25">
      <c r="A5187" t="s">
        <v>11463</v>
      </c>
      <c r="B5187" t="s">
        <v>7548</v>
      </c>
    </row>
    <row r="5188" spans="1:2" x14ac:dyDescent="0.25">
      <c r="A5188" t="s">
        <v>10838</v>
      </c>
      <c r="B5188" t="s">
        <v>11463</v>
      </c>
    </row>
    <row r="5189" spans="1:2" x14ac:dyDescent="0.25">
      <c r="A5189" t="s">
        <v>9826</v>
      </c>
      <c r="B5189" t="s">
        <v>7548</v>
      </c>
    </row>
    <row r="5190" spans="1:2" x14ac:dyDescent="0.25">
      <c r="A5190" t="s">
        <v>4196</v>
      </c>
      <c r="B5190" t="s">
        <v>9826</v>
      </c>
    </row>
    <row r="5191" spans="1:2" x14ac:dyDescent="0.25">
      <c r="A5191" t="s">
        <v>10392</v>
      </c>
      <c r="B5191" t="s">
        <v>9826</v>
      </c>
    </row>
    <row r="5192" spans="1:2" x14ac:dyDescent="0.25">
      <c r="A5192" t="s">
        <v>16064</v>
      </c>
      <c r="B5192" t="s">
        <v>7548</v>
      </c>
    </row>
    <row r="5193" spans="1:2" x14ac:dyDescent="0.25">
      <c r="A5193" t="s">
        <v>16065</v>
      </c>
      <c r="B5193" t="s">
        <v>16064</v>
      </c>
    </row>
    <row r="5194" spans="1:2" x14ac:dyDescent="0.25">
      <c r="A5194" t="s">
        <v>16066</v>
      </c>
      <c r="B5194" t="s">
        <v>16064</v>
      </c>
    </row>
    <row r="5195" spans="1:2" x14ac:dyDescent="0.25">
      <c r="A5195" t="s">
        <v>12148</v>
      </c>
      <c r="B5195" t="s">
        <v>12903</v>
      </c>
    </row>
    <row r="5196" spans="1:2" x14ac:dyDescent="0.25">
      <c r="A5196" t="s">
        <v>9459</v>
      </c>
      <c r="B5196" t="s">
        <v>12148</v>
      </c>
    </row>
    <row r="5197" spans="1:2" x14ac:dyDescent="0.25">
      <c r="A5197" t="s">
        <v>3650</v>
      </c>
      <c r="B5197" t="s">
        <v>12148</v>
      </c>
    </row>
    <row r="5198" spans="1:2" x14ac:dyDescent="0.25">
      <c r="A5198" t="s">
        <v>10393</v>
      </c>
      <c r="B5198" t="s">
        <v>12148</v>
      </c>
    </row>
    <row r="5199" spans="1:2" x14ac:dyDescent="0.25">
      <c r="A5199" t="s">
        <v>12420</v>
      </c>
      <c r="B5199" t="s">
        <v>12148</v>
      </c>
    </row>
    <row r="5200" spans="1:2" x14ac:dyDescent="0.25">
      <c r="A5200" t="s">
        <v>12597</v>
      </c>
      <c r="B5200" t="s">
        <v>12148</v>
      </c>
    </row>
    <row r="5201" spans="1:2" x14ac:dyDescent="0.25">
      <c r="A5201" t="s">
        <v>5026</v>
      </c>
      <c r="B5201" t="s">
        <v>14946</v>
      </c>
    </row>
    <row r="5202" spans="1:2" x14ac:dyDescent="0.25">
      <c r="A5202" t="s">
        <v>10241</v>
      </c>
      <c r="B5202" t="s">
        <v>5026</v>
      </c>
    </row>
    <row r="5203" spans="1:2" x14ac:dyDescent="0.25">
      <c r="A5203" t="s">
        <v>6288</v>
      </c>
      <c r="B5203" t="s">
        <v>5026</v>
      </c>
    </row>
    <row r="5204" spans="1:2" x14ac:dyDescent="0.25">
      <c r="A5204" t="s">
        <v>11080</v>
      </c>
      <c r="B5204" t="s">
        <v>6288</v>
      </c>
    </row>
    <row r="5205" spans="1:2" x14ac:dyDescent="0.25">
      <c r="A5205" t="s">
        <v>12012</v>
      </c>
      <c r="B5205" t="s">
        <v>6288</v>
      </c>
    </row>
    <row r="5206" spans="1:2" x14ac:dyDescent="0.25">
      <c r="A5206" t="s">
        <v>10363</v>
      </c>
      <c r="B5206" t="s">
        <v>12012</v>
      </c>
    </row>
    <row r="5207" spans="1:2" x14ac:dyDescent="0.25">
      <c r="A5207" t="s">
        <v>12409</v>
      </c>
      <c r="B5207" t="s">
        <v>10363</v>
      </c>
    </row>
    <row r="5208" spans="1:2" x14ac:dyDescent="0.25">
      <c r="A5208" t="s">
        <v>9428</v>
      </c>
      <c r="B5208" t="s">
        <v>12409</v>
      </c>
    </row>
    <row r="5209" spans="1:2" x14ac:dyDescent="0.25">
      <c r="A5209" t="s">
        <v>3637</v>
      </c>
      <c r="B5209" t="s">
        <v>12409</v>
      </c>
    </row>
    <row r="5210" spans="1:2" x14ac:dyDescent="0.25">
      <c r="A5210" t="s">
        <v>5532</v>
      </c>
      <c r="B5210" t="s">
        <v>12409</v>
      </c>
    </row>
    <row r="5211" spans="1:2" x14ac:dyDescent="0.25">
      <c r="A5211" t="s">
        <v>5077</v>
      </c>
      <c r="B5211" t="s">
        <v>12409</v>
      </c>
    </row>
    <row r="5212" spans="1:2" x14ac:dyDescent="0.25">
      <c r="A5212" t="s">
        <v>5078</v>
      </c>
      <c r="B5212" t="s">
        <v>12409</v>
      </c>
    </row>
    <row r="5213" spans="1:2" x14ac:dyDescent="0.25">
      <c r="A5213" t="s">
        <v>10364</v>
      </c>
      <c r="B5213" t="s">
        <v>10363</v>
      </c>
    </row>
    <row r="5214" spans="1:2" x14ac:dyDescent="0.25">
      <c r="A5214" t="s">
        <v>9429</v>
      </c>
      <c r="B5214" t="s">
        <v>10364</v>
      </c>
    </row>
    <row r="5215" spans="1:2" x14ac:dyDescent="0.25">
      <c r="A5215" t="s">
        <v>3638</v>
      </c>
      <c r="B5215" t="s">
        <v>10364</v>
      </c>
    </row>
    <row r="5216" spans="1:2" x14ac:dyDescent="0.25">
      <c r="A5216" t="s">
        <v>9000</v>
      </c>
      <c r="B5216" t="s">
        <v>10364</v>
      </c>
    </row>
    <row r="5217" spans="1:2" x14ac:dyDescent="0.25">
      <c r="A5217" t="s">
        <v>3178</v>
      </c>
      <c r="B5217" t="s">
        <v>10364</v>
      </c>
    </row>
    <row r="5218" spans="1:2" x14ac:dyDescent="0.25">
      <c r="A5218" t="s">
        <v>6367</v>
      </c>
      <c r="B5218" t="s">
        <v>10364</v>
      </c>
    </row>
    <row r="5219" spans="1:2" x14ac:dyDescent="0.25">
      <c r="A5219" t="s">
        <v>4663</v>
      </c>
      <c r="B5219" t="s">
        <v>10364</v>
      </c>
    </row>
    <row r="5220" spans="1:2" x14ac:dyDescent="0.25">
      <c r="A5220" t="s">
        <v>5903</v>
      </c>
      <c r="B5220" t="s">
        <v>10364</v>
      </c>
    </row>
    <row r="5221" spans="1:2" x14ac:dyDescent="0.25">
      <c r="A5221" t="s">
        <v>10823</v>
      </c>
      <c r="B5221" t="s">
        <v>10363</v>
      </c>
    </row>
    <row r="5222" spans="1:2" x14ac:dyDescent="0.25">
      <c r="A5222" t="s">
        <v>6368</v>
      </c>
      <c r="B5222" t="s">
        <v>10823</v>
      </c>
    </row>
    <row r="5223" spans="1:2" x14ac:dyDescent="0.25">
      <c r="A5223" t="s">
        <v>4184</v>
      </c>
      <c r="B5223" t="s">
        <v>10823</v>
      </c>
    </row>
    <row r="5224" spans="1:2" x14ac:dyDescent="0.25">
      <c r="A5224" t="s">
        <v>425</v>
      </c>
      <c r="B5224" t="s">
        <v>10823</v>
      </c>
    </row>
    <row r="5225" spans="1:2" x14ac:dyDescent="0.25">
      <c r="A5225" t="s">
        <v>4664</v>
      </c>
      <c r="B5225" t="s">
        <v>10823</v>
      </c>
    </row>
    <row r="5226" spans="1:2" x14ac:dyDescent="0.25">
      <c r="A5226" t="s">
        <v>16067</v>
      </c>
      <c r="B5226" t="s">
        <v>10363</v>
      </c>
    </row>
    <row r="5227" spans="1:2" x14ac:dyDescent="0.25">
      <c r="A5227" t="s">
        <v>16068</v>
      </c>
      <c r="B5227" t="s">
        <v>16067</v>
      </c>
    </row>
    <row r="5228" spans="1:2" x14ac:dyDescent="0.25">
      <c r="A5228" t="s">
        <v>16069</v>
      </c>
      <c r="B5228" t="s">
        <v>16067</v>
      </c>
    </row>
    <row r="5229" spans="1:2" x14ac:dyDescent="0.25">
      <c r="A5229" t="s">
        <v>16070</v>
      </c>
      <c r="B5229" t="s">
        <v>16067</v>
      </c>
    </row>
    <row r="5230" spans="1:2" x14ac:dyDescent="0.25">
      <c r="A5230" t="s">
        <v>16071</v>
      </c>
      <c r="B5230" t="s">
        <v>16067</v>
      </c>
    </row>
    <row r="5231" spans="1:2" x14ac:dyDescent="0.25">
      <c r="A5231" t="s">
        <v>16072</v>
      </c>
      <c r="B5231" t="s">
        <v>16067</v>
      </c>
    </row>
    <row r="5232" spans="1:2" x14ac:dyDescent="0.25">
      <c r="A5232" t="s">
        <v>7514</v>
      </c>
      <c r="B5232" t="s">
        <v>12012</v>
      </c>
    </row>
    <row r="5233" spans="1:2" x14ac:dyDescent="0.25">
      <c r="A5233" t="s">
        <v>9430</v>
      </c>
      <c r="B5233" t="s">
        <v>7514</v>
      </c>
    </row>
    <row r="5234" spans="1:2" x14ac:dyDescent="0.25">
      <c r="A5234" t="s">
        <v>1722</v>
      </c>
      <c r="B5234" t="s">
        <v>9430</v>
      </c>
    </row>
    <row r="5235" spans="1:2" x14ac:dyDescent="0.25">
      <c r="A5235" t="s">
        <v>5533</v>
      </c>
      <c r="B5235" t="s">
        <v>9430</v>
      </c>
    </row>
    <row r="5236" spans="1:2" x14ac:dyDescent="0.25">
      <c r="A5236" t="s">
        <v>12592</v>
      </c>
      <c r="B5236" t="s">
        <v>9430</v>
      </c>
    </row>
    <row r="5237" spans="1:2" x14ac:dyDescent="0.25">
      <c r="A5237" t="s">
        <v>8134</v>
      </c>
      <c r="B5237" t="s">
        <v>7514</v>
      </c>
    </row>
    <row r="5238" spans="1:2" x14ac:dyDescent="0.25">
      <c r="A5238" t="s">
        <v>3639</v>
      </c>
      <c r="B5238" t="s">
        <v>8134</v>
      </c>
    </row>
    <row r="5239" spans="1:2" x14ac:dyDescent="0.25">
      <c r="A5239" t="s">
        <v>4185</v>
      </c>
      <c r="B5239" t="s">
        <v>3639</v>
      </c>
    </row>
    <row r="5240" spans="1:2" x14ac:dyDescent="0.25">
      <c r="A5240" t="s">
        <v>3640</v>
      </c>
      <c r="B5240" t="s">
        <v>3639</v>
      </c>
    </row>
    <row r="5241" spans="1:2" x14ac:dyDescent="0.25">
      <c r="A5241" t="s">
        <v>3641</v>
      </c>
      <c r="B5241" t="s">
        <v>3639</v>
      </c>
    </row>
    <row r="5242" spans="1:2" x14ac:dyDescent="0.25">
      <c r="A5242" t="s">
        <v>5904</v>
      </c>
      <c r="B5242" t="s">
        <v>8134</v>
      </c>
    </row>
    <row r="5243" spans="1:2" x14ac:dyDescent="0.25">
      <c r="A5243" t="s">
        <v>5079</v>
      </c>
      <c r="B5243" t="s">
        <v>5904</v>
      </c>
    </row>
    <row r="5244" spans="1:2" x14ac:dyDescent="0.25">
      <c r="A5244" t="s">
        <v>3179</v>
      </c>
      <c r="B5244" t="s">
        <v>5904</v>
      </c>
    </row>
    <row r="5245" spans="1:2" x14ac:dyDescent="0.25">
      <c r="A5245" t="s">
        <v>3180</v>
      </c>
      <c r="B5245" t="s">
        <v>8134</v>
      </c>
    </row>
    <row r="5246" spans="1:2" x14ac:dyDescent="0.25">
      <c r="A5246" t="s">
        <v>3181</v>
      </c>
      <c r="B5246" t="s">
        <v>3180</v>
      </c>
    </row>
    <row r="5247" spans="1:2" x14ac:dyDescent="0.25">
      <c r="A5247" t="s">
        <v>5534</v>
      </c>
      <c r="B5247" t="s">
        <v>8134</v>
      </c>
    </row>
    <row r="5248" spans="1:2" x14ac:dyDescent="0.25">
      <c r="A5248" t="s">
        <v>4665</v>
      </c>
      <c r="B5248" t="s">
        <v>5534</v>
      </c>
    </row>
    <row r="5249" spans="1:2" x14ac:dyDescent="0.25">
      <c r="A5249" t="s">
        <v>16073</v>
      </c>
      <c r="B5249" t="s">
        <v>8134</v>
      </c>
    </row>
    <row r="5250" spans="1:2" x14ac:dyDescent="0.25">
      <c r="A5250" t="s">
        <v>16074</v>
      </c>
      <c r="B5250" t="s">
        <v>16073</v>
      </c>
    </row>
    <row r="5251" spans="1:2" x14ac:dyDescent="0.25">
      <c r="A5251" t="s">
        <v>16075</v>
      </c>
      <c r="B5251" t="s">
        <v>16073</v>
      </c>
    </row>
    <row r="5252" spans="1:2" x14ac:dyDescent="0.25">
      <c r="A5252" t="s">
        <v>16076</v>
      </c>
      <c r="B5252" t="s">
        <v>16073</v>
      </c>
    </row>
    <row r="5253" spans="1:2" x14ac:dyDescent="0.25">
      <c r="A5253" t="s">
        <v>9431</v>
      </c>
      <c r="B5253" t="s">
        <v>7514</v>
      </c>
    </row>
    <row r="5254" spans="1:2" x14ac:dyDescent="0.25">
      <c r="A5254" t="s">
        <v>12122</v>
      </c>
      <c r="B5254" t="s">
        <v>12012</v>
      </c>
    </row>
    <row r="5255" spans="1:2" x14ac:dyDescent="0.25">
      <c r="A5255" t="s">
        <v>12799</v>
      </c>
      <c r="B5255" t="s">
        <v>12122</v>
      </c>
    </row>
    <row r="5256" spans="1:2" x14ac:dyDescent="0.25">
      <c r="A5256" t="s">
        <v>4186</v>
      </c>
      <c r="B5256" t="s">
        <v>12799</v>
      </c>
    </row>
    <row r="5257" spans="1:2" x14ac:dyDescent="0.25">
      <c r="A5257" t="s">
        <v>5905</v>
      </c>
      <c r="B5257" t="s">
        <v>12799</v>
      </c>
    </row>
    <row r="5258" spans="1:2" x14ac:dyDescent="0.25">
      <c r="A5258" t="s">
        <v>6369</v>
      </c>
      <c r="B5258" t="s">
        <v>5905</v>
      </c>
    </row>
    <row r="5259" spans="1:2" x14ac:dyDescent="0.25">
      <c r="A5259" t="s">
        <v>5906</v>
      </c>
      <c r="B5259" t="s">
        <v>5905</v>
      </c>
    </row>
    <row r="5260" spans="1:2" x14ac:dyDescent="0.25">
      <c r="A5260" t="s">
        <v>5907</v>
      </c>
      <c r="B5260" t="s">
        <v>5905</v>
      </c>
    </row>
    <row r="5261" spans="1:2" x14ac:dyDescent="0.25">
      <c r="A5261" t="s">
        <v>8624</v>
      </c>
      <c r="B5261" t="s">
        <v>12799</v>
      </c>
    </row>
    <row r="5262" spans="1:2" x14ac:dyDescent="0.25">
      <c r="A5262" t="s">
        <v>7515</v>
      </c>
      <c r="B5262" t="s">
        <v>8624</v>
      </c>
    </row>
    <row r="5263" spans="1:2" x14ac:dyDescent="0.25">
      <c r="A5263" t="s">
        <v>5535</v>
      </c>
      <c r="B5263" t="s">
        <v>8624</v>
      </c>
    </row>
    <row r="5264" spans="1:2" x14ac:dyDescent="0.25">
      <c r="A5264" t="s">
        <v>5536</v>
      </c>
      <c r="B5264" t="s">
        <v>12799</v>
      </c>
    </row>
    <row r="5265" spans="1:2" x14ac:dyDescent="0.25">
      <c r="A5265" t="s">
        <v>5537</v>
      </c>
      <c r="B5265" t="s">
        <v>5536</v>
      </c>
    </row>
    <row r="5266" spans="1:2" x14ac:dyDescent="0.25">
      <c r="A5266" t="s">
        <v>8135</v>
      </c>
      <c r="B5266" t="s">
        <v>12799</v>
      </c>
    </row>
    <row r="5267" spans="1:2" x14ac:dyDescent="0.25">
      <c r="A5267" t="s">
        <v>6859</v>
      </c>
      <c r="B5267" t="s">
        <v>8135</v>
      </c>
    </row>
    <row r="5268" spans="1:2" x14ac:dyDescent="0.25">
      <c r="A5268" t="s">
        <v>16077</v>
      </c>
      <c r="B5268" t="s">
        <v>12799</v>
      </c>
    </row>
    <row r="5269" spans="1:2" x14ac:dyDescent="0.25">
      <c r="A5269" t="s">
        <v>16078</v>
      </c>
      <c r="B5269" t="s">
        <v>16077</v>
      </c>
    </row>
    <row r="5270" spans="1:2" x14ac:dyDescent="0.25">
      <c r="A5270" t="s">
        <v>16079</v>
      </c>
      <c r="B5270" t="s">
        <v>16077</v>
      </c>
    </row>
    <row r="5271" spans="1:2" x14ac:dyDescent="0.25">
      <c r="A5271" t="s">
        <v>16080</v>
      </c>
      <c r="B5271" t="s">
        <v>16077</v>
      </c>
    </row>
    <row r="5272" spans="1:2" x14ac:dyDescent="0.25">
      <c r="A5272" t="s">
        <v>12800</v>
      </c>
      <c r="B5272" t="s">
        <v>12122</v>
      </c>
    </row>
    <row r="5273" spans="1:2" x14ac:dyDescent="0.25">
      <c r="A5273" t="s">
        <v>5908</v>
      </c>
      <c r="B5273" t="s">
        <v>12800</v>
      </c>
    </row>
    <row r="5274" spans="1:2" x14ac:dyDescent="0.25">
      <c r="A5274" t="s">
        <v>11453</v>
      </c>
      <c r="B5274" t="s">
        <v>12122</v>
      </c>
    </row>
    <row r="5275" spans="1:2" x14ac:dyDescent="0.25">
      <c r="A5275" t="s">
        <v>9432</v>
      </c>
      <c r="B5275" t="s">
        <v>12122</v>
      </c>
    </row>
    <row r="5276" spans="1:2" x14ac:dyDescent="0.25">
      <c r="A5276" t="s">
        <v>6860</v>
      </c>
      <c r="B5276" t="s">
        <v>12122</v>
      </c>
    </row>
    <row r="5277" spans="1:2" x14ac:dyDescent="0.25">
      <c r="A5277" t="s">
        <v>8625</v>
      </c>
      <c r="B5277" t="s">
        <v>12122</v>
      </c>
    </row>
    <row r="5278" spans="1:2" x14ac:dyDescent="0.25">
      <c r="A5278" t="s">
        <v>6370</v>
      </c>
      <c r="B5278" t="s">
        <v>12122</v>
      </c>
    </row>
    <row r="5279" spans="1:2" x14ac:dyDescent="0.25">
      <c r="A5279" t="s">
        <v>12361</v>
      </c>
      <c r="B5279" t="s">
        <v>6288</v>
      </c>
    </row>
    <row r="5280" spans="1:2" x14ac:dyDescent="0.25">
      <c r="A5280" t="s">
        <v>10380</v>
      </c>
      <c r="B5280" t="s">
        <v>12361</v>
      </c>
    </row>
    <row r="5281" spans="1:2" x14ac:dyDescent="0.25">
      <c r="A5281" t="s">
        <v>7531</v>
      </c>
      <c r="B5281" t="s">
        <v>10380</v>
      </c>
    </row>
    <row r="5282" spans="1:2" x14ac:dyDescent="0.25">
      <c r="A5282" t="s">
        <v>7532</v>
      </c>
      <c r="B5282" t="s">
        <v>12361</v>
      </c>
    </row>
    <row r="5283" spans="1:2" x14ac:dyDescent="0.25">
      <c r="A5283" t="s">
        <v>12137</v>
      </c>
      <c r="B5283" t="s">
        <v>12361</v>
      </c>
    </row>
    <row r="5284" spans="1:2" x14ac:dyDescent="0.25">
      <c r="A5284" t="s">
        <v>11459</v>
      </c>
      <c r="B5284" t="s">
        <v>12137</v>
      </c>
    </row>
    <row r="5285" spans="1:2" x14ac:dyDescent="0.25">
      <c r="A5285" t="s">
        <v>12571</v>
      </c>
      <c r="B5285" t="s">
        <v>6288</v>
      </c>
    </row>
    <row r="5286" spans="1:2" x14ac:dyDescent="0.25">
      <c r="A5286" t="s">
        <v>10383</v>
      </c>
      <c r="B5286" t="s">
        <v>12571</v>
      </c>
    </row>
    <row r="5287" spans="1:2" x14ac:dyDescent="0.25">
      <c r="A5287" t="s">
        <v>7535</v>
      </c>
      <c r="B5287" t="s">
        <v>10383</v>
      </c>
    </row>
    <row r="5288" spans="1:2" x14ac:dyDescent="0.25">
      <c r="A5288" t="s">
        <v>7536</v>
      </c>
      <c r="B5288" t="s">
        <v>12571</v>
      </c>
    </row>
    <row r="5289" spans="1:2" x14ac:dyDescent="0.25">
      <c r="A5289" t="s">
        <v>12141</v>
      </c>
      <c r="B5289" t="s">
        <v>12571</v>
      </c>
    </row>
    <row r="5290" spans="1:2" x14ac:dyDescent="0.25">
      <c r="A5290" t="s">
        <v>11462</v>
      </c>
      <c r="B5290" t="s">
        <v>12141</v>
      </c>
    </row>
    <row r="5291" spans="1:2" x14ac:dyDescent="0.25">
      <c r="A5291" t="s">
        <v>12572</v>
      </c>
      <c r="B5291" t="s">
        <v>6288</v>
      </c>
    </row>
    <row r="5292" spans="1:2" x14ac:dyDescent="0.25">
      <c r="A5292" t="s">
        <v>10365</v>
      </c>
      <c r="B5292" t="s">
        <v>12572</v>
      </c>
    </row>
    <row r="5293" spans="1:2" x14ac:dyDescent="0.25">
      <c r="A5293" t="s">
        <v>11136</v>
      </c>
      <c r="B5293" t="s">
        <v>10365</v>
      </c>
    </row>
    <row r="5294" spans="1:2" x14ac:dyDescent="0.25">
      <c r="A5294" t="s">
        <v>7516</v>
      </c>
      <c r="B5294" t="s">
        <v>12572</v>
      </c>
    </row>
    <row r="5295" spans="1:2" x14ac:dyDescent="0.25">
      <c r="A5295" t="s">
        <v>12123</v>
      </c>
      <c r="B5295" t="s">
        <v>12572</v>
      </c>
    </row>
    <row r="5296" spans="1:2" x14ac:dyDescent="0.25">
      <c r="A5296" t="s">
        <v>11454</v>
      </c>
      <c r="B5296" t="s">
        <v>12123</v>
      </c>
    </row>
    <row r="5297" spans="1:2" x14ac:dyDescent="0.25">
      <c r="A5297" t="s">
        <v>5909</v>
      </c>
      <c r="B5297" t="s">
        <v>12123</v>
      </c>
    </row>
    <row r="5298" spans="1:2" x14ac:dyDescent="0.25">
      <c r="A5298" t="s">
        <v>12758</v>
      </c>
      <c r="B5298" t="s">
        <v>6288</v>
      </c>
    </row>
    <row r="5299" spans="1:2" x14ac:dyDescent="0.25">
      <c r="A5299" t="s">
        <v>10370</v>
      </c>
      <c r="B5299" t="s">
        <v>12758</v>
      </c>
    </row>
    <row r="5300" spans="1:2" x14ac:dyDescent="0.25">
      <c r="A5300" t="s">
        <v>8145</v>
      </c>
      <c r="B5300" t="s">
        <v>10370</v>
      </c>
    </row>
    <row r="5301" spans="1:2" x14ac:dyDescent="0.25">
      <c r="A5301" t="s">
        <v>9816</v>
      </c>
      <c r="B5301" t="s">
        <v>8145</v>
      </c>
    </row>
    <row r="5302" spans="1:2" x14ac:dyDescent="0.25">
      <c r="A5302" t="s">
        <v>9002</v>
      </c>
      <c r="B5302" t="s">
        <v>8145</v>
      </c>
    </row>
    <row r="5303" spans="1:2" x14ac:dyDescent="0.25">
      <c r="A5303" t="s">
        <v>427</v>
      </c>
      <c r="B5303" t="s">
        <v>8145</v>
      </c>
    </row>
    <row r="5304" spans="1:2" x14ac:dyDescent="0.25">
      <c r="A5304" t="s">
        <v>83</v>
      </c>
      <c r="B5304" t="s">
        <v>8145</v>
      </c>
    </row>
    <row r="5305" spans="1:2" x14ac:dyDescent="0.25">
      <c r="A5305" t="s">
        <v>9439</v>
      </c>
      <c r="B5305" t="s">
        <v>10370</v>
      </c>
    </row>
    <row r="5306" spans="1:2" x14ac:dyDescent="0.25">
      <c r="A5306" t="s">
        <v>6866</v>
      </c>
      <c r="B5306" t="s">
        <v>9439</v>
      </c>
    </row>
    <row r="5307" spans="1:2" x14ac:dyDescent="0.25">
      <c r="A5307" t="s">
        <v>9440</v>
      </c>
      <c r="B5307" t="s">
        <v>9439</v>
      </c>
    </row>
    <row r="5308" spans="1:2" x14ac:dyDescent="0.25">
      <c r="A5308" t="s">
        <v>6867</v>
      </c>
      <c r="B5308" t="s">
        <v>9439</v>
      </c>
    </row>
    <row r="5309" spans="1:2" x14ac:dyDescent="0.25">
      <c r="A5309" t="s">
        <v>8146</v>
      </c>
      <c r="B5309" t="s">
        <v>9439</v>
      </c>
    </row>
    <row r="5310" spans="1:2" x14ac:dyDescent="0.25">
      <c r="A5310" t="s">
        <v>3182</v>
      </c>
      <c r="B5310" t="s">
        <v>9439</v>
      </c>
    </row>
    <row r="5311" spans="1:2" x14ac:dyDescent="0.25">
      <c r="A5311" t="s">
        <v>84</v>
      </c>
      <c r="B5311" t="s">
        <v>9439</v>
      </c>
    </row>
    <row r="5312" spans="1:2" x14ac:dyDescent="0.25">
      <c r="A5312" t="s">
        <v>85</v>
      </c>
      <c r="B5312" t="s">
        <v>9439</v>
      </c>
    </row>
    <row r="5313" spans="1:2" x14ac:dyDescent="0.25">
      <c r="A5313" t="s">
        <v>8626</v>
      </c>
      <c r="B5313" t="s">
        <v>10370</v>
      </c>
    </row>
    <row r="5314" spans="1:2" x14ac:dyDescent="0.25">
      <c r="A5314" t="s">
        <v>5913</v>
      </c>
      <c r="B5314" t="s">
        <v>8626</v>
      </c>
    </row>
    <row r="5315" spans="1:2" x14ac:dyDescent="0.25">
      <c r="A5315" t="s">
        <v>5090</v>
      </c>
      <c r="B5315" t="s">
        <v>8626</v>
      </c>
    </row>
    <row r="5316" spans="1:2" x14ac:dyDescent="0.25">
      <c r="A5316" t="s">
        <v>291</v>
      </c>
      <c r="B5316" t="s">
        <v>8626</v>
      </c>
    </row>
    <row r="5317" spans="1:2" x14ac:dyDescent="0.25">
      <c r="A5317" t="s">
        <v>86</v>
      </c>
      <c r="B5317" t="s">
        <v>8626</v>
      </c>
    </row>
    <row r="5318" spans="1:2" x14ac:dyDescent="0.25">
      <c r="A5318" t="s">
        <v>7522</v>
      </c>
      <c r="B5318" t="s">
        <v>12758</v>
      </c>
    </row>
    <row r="5319" spans="1:2" x14ac:dyDescent="0.25">
      <c r="A5319" t="s">
        <v>5541</v>
      </c>
      <c r="B5319" t="s">
        <v>7522</v>
      </c>
    </row>
    <row r="5320" spans="1:2" x14ac:dyDescent="0.25">
      <c r="A5320" t="s">
        <v>12802</v>
      </c>
      <c r="B5320" t="s">
        <v>5541</v>
      </c>
    </row>
    <row r="5321" spans="1:2" x14ac:dyDescent="0.25">
      <c r="A5321" t="s">
        <v>9817</v>
      </c>
      <c r="B5321" t="s">
        <v>5541</v>
      </c>
    </row>
    <row r="5322" spans="1:2" x14ac:dyDescent="0.25">
      <c r="A5322" t="s">
        <v>6374</v>
      </c>
      <c r="B5322" t="s">
        <v>5541</v>
      </c>
    </row>
    <row r="5323" spans="1:2" x14ac:dyDescent="0.25">
      <c r="A5323" t="s">
        <v>8627</v>
      </c>
      <c r="B5323" t="s">
        <v>5541</v>
      </c>
    </row>
    <row r="5324" spans="1:2" x14ac:dyDescent="0.25">
      <c r="A5324" t="s">
        <v>9003</v>
      </c>
      <c r="B5324" t="s">
        <v>5541</v>
      </c>
    </row>
    <row r="5325" spans="1:2" x14ac:dyDescent="0.25">
      <c r="A5325" t="s">
        <v>11140</v>
      </c>
      <c r="B5325" t="s">
        <v>5541</v>
      </c>
    </row>
    <row r="5326" spans="1:2" x14ac:dyDescent="0.25">
      <c r="A5326" t="s">
        <v>9004</v>
      </c>
      <c r="B5326" t="s">
        <v>5541</v>
      </c>
    </row>
    <row r="5327" spans="1:2" x14ac:dyDescent="0.25">
      <c r="A5327" t="s">
        <v>8147</v>
      </c>
      <c r="B5327" t="s">
        <v>7522</v>
      </c>
    </row>
    <row r="5328" spans="1:2" x14ac:dyDescent="0.25">
      <c r="A5328" t="s">
        <v>4672</v>
      </c>
      <c r="B5328" t="s">
        <v>8147</v>
      </c>
    </row>
    <row r="5329" spans="1:2" x14ac:dyDescent="0.25">
      <c r="A5329" t="s">
        <v>528</v>
      </c>
      <c r="B5329" t="s">
        <v>8147</v>
      </c>
    </row>
    <row r="5330" spans="1:2" x14ac:dyDescent="0.25">
      <c r="A5330" t="s">
        <v>3183</v>
      </c>
      <c r="B5330" t="s">
        <v>8147</v>
      </c>
    </row>
    <row r="5331" spans="1:2" x14ac:dyDescent="0.25">
      <c r="A5331" t="s">
        <v>5914</v>
      </c>
      <c r="B5331" t="s">
        <v>8147</v>
      </c>
    </row>
    <row r="5332" spans="1:2" x14ac:dyDescent="0.25">
      <c r="A5332" t="s">
        <v>3642</v>
      </c>
      <c r="B5332" t="s">
        <v>8147</v>
      </c>
    </row>
    <row r="5333" spans="1:2" x14ac:dyDescent="0.25">
      <c r="A5333" t="s">
        <v>12128</v>
      </c>
      <c r="B5333" t="s">
        <v>12758</v>
      </c>
    </row>
    <row r="5334" spans="1:2" x14ac:dyDescent="0.25">
      <c r="A5334" t="s">
        <v>9441</v>
      </c>
      <c r="B5334" t="s">
        <v>12128</v>
      </c>
    </row>
    <row r="5335" spans="1:2" x14ac:dyDescent="0.25">
      <c r="A5335" t="s">
        <v>8148</v>
      </c>
      <c r="B5335" t="s">
        <v>9441</v>
      </c>
    </row>
    <row r="5336" spans="1:2" x14ac:dyDescent="0.25">
      <c r="A5336" t="s">
        <v>9005</v>
      </c>
      <c r="B5336" t="s">
        <v>9441</v>
      </c>
    </row>
    <row r="5337" spans="1:2" x14ac:dyDescent="0.25">
      <c r="A5337" t="s">
        <v>529</v>
      </c>
      <c r="B5337" t="s">
        <v>12128</v>
      </c>
    </row>
    <row r="5338" spans="1:2" x14ac:dyDescent="0.25">
      <c r="A5338" t="s">
        <v>9818</v>
      </c>
      <c r="B5338" t="s">
        <v>529</v>
      </c>
    </row>
    <row r="5339" spans="1:2" x14ac:dyDescent="0.25">
      <c r="A5339" t="s">
        <v>12803</v>
      </c>
      <c r="B5339" t="s">
        <v>12128</v>
      </c>
    </row>
    <row r="5340" spans="1:2" x14ac:dyDescent="0.25">
      <c r="A5340" t="s">
        <v>10371</v>
      </c>
      <c r="B5340" t="s">
        <v>12803</v>
      </c>
    </row>
    <row r="5341" spans="1:2" x14ac:dyDescent="0.25">
      <c r="A5341" t="s">
        <v>9819</v>
      </c>
      <c r="B5341" t="s">
        <v>12128</v>
      </c>
    </row>
    <row r="5342" spans="1:2" x14ac:dyDescent="0.25">
      <c r="A5342" t="s">
        <v>4673</v>
      </c>
      <c r="B5342" t="s">
        <v>9819</v>
      </c>
    </row>
    <row r="5343" spans="1:2" x14ac:dyDescent="0.25">
      <c r="A5343" t="s">
        <v>6868</v>
      </c>
      <c r="B5343" t="s">
        <v>9819</v>
      </c>
    </row>
    <row r="5344" spans="1:2" x14ac:dyDescent="0.25">
      <c r="A5344" t="s">
        <v>12411</v>
      </c>
      <c r="B5344" t="s">
        <v>12128</v>
      </c>
    </row>
    <row r="5345" spans="1:2" x14ac:dyDescent="0.25">
      <c r="A5345" t="s">
        <v>6375</v>
      </c>
      <c r="B5345" t="s">
        <v>12411</v>
      </c>
    </row>
    <row r="5346" spans="1:2" x14ac:dyDescent="0.25">
      <c r="A5346" t="s">
        <v>6289</v>
      </c>
      <c r="B5346" t="s">
        <v>5026</v>
      </c>
    </row>
    <row r="5347" spans="1:2" x14ac:dyDescent="0.25">
      <c r="A5347" t="s">
        <v>9011</v>
      </c>
      <c r="B5347" t="s">
        <v>6289</v>
      </c>
    </row>
    <row r="5348" spans="1:2" x14ac:dyDescent="0.25">
      <c r="A5348" t="s">
        <v>8168</v>
      </c>
      <c r="B5348" t="s">
        <v>9011</v>
      </c>
    </row>
    <row r="5349" spans="1:2" x14ac:dyDescent="0.25">
      <c r="A5349" t="s">
        <v>3649</v>
      </c>
      <c r="B5349" t="s">
        <v>8168</v>
      </c>
    </row>
    <row r="5350" spans="1:2" x14ac:dyDescent="0.25">
      <c r="A5350" t="s">
        <v>5921</v>
      </c>
      <c r="B5350" t="s">
        <v>8168</v>
      </c>
    </row>
    <row r="5351" spans="1:2" x14ac:dyDescent="0.25">
      <c r="A5351" t="s">
        <v>3189</v>
      </c>
      <c r="B5351" t="s">
        <v>8168</v>
      </c>
    </row>
    <row r="5352" spans="1:2" x14ac:dyDescent="0.25">
      <c r="A5352" t="s">
        <v>5547</v>
      </c>
      <c r="B5352" t="s">
        <v>8168</v>
      </c>
    </row>
    <row r="5353" spans="1:2" x14ac:dyDescent="0.25">
      <c r="A5353" t="s">
        <v>5922</v>
      </c>
      <c r="B5353" t="s">
        <v>6289</v>
      </c>
    </row>
    <row r="5354" spans="1:2" x14ac:dyDescent="0.25">
      <c r="A5354" t="s">
        <v>6388</v>
      </c>
      <c r="B5354" t="s">
        <v>5922</v>
      </c>
    </row>
    <row r="5355" spans="1:2" x14ac:dyDescent="0.25">
      <c r="A5355" t="s">
        <v>2295</v>
      </c>
      <c r="B5355" t="s">
        <v>6388</v>
      </c>
    </row>
    <row r="5356" spans="1:2" x14ac:dyDescent="0.25">
      <c r="A5356" t="s">
        <v>4679</v>
      </c>
      <c r="B5356" t="s">
        <v>6388</v>
      </c>
    </row>
    <row r="5357" spans="1:2" x14ac:dyDescent="0.25">
      <c r="A5357" t="s">
        <v>1726</v>
      </c>
      <c r="B5357" t="s">
        <v>6388</v>
      </c>
    </row>
    <row r="5358" spans="1:2" x14ac:dyDescent="0.25">
      <c r="A5358" t="s">
        <v>4192</v>
      </c>
      <c r="B5358" t="s">
        <v>6388</v>
      </c>
    </row>
    <row r="5359" spans="1:2" x14ac:dyDescent="0.25">
      <c r="A5359" t="s">
        <v>11461</v>
      </c>
      <c r="B5359" t="s">
        <v>6289</v>
      </c>
    </row>
    <row r="5360" spans="1:2" x14ac:dyDescent="0.25">
      <c r="A5360" t="s">
        <v>4193</v>
      </c>
      <c r="B5360" t="s">
        <v>11461</v>
      </c>
    </row>
    <row r="5361" spans="1:2" x14ac:dyDescent="0.25">
      <c r="A5361" t="s">
        <v>87</v>
      </c>
      <c r="B5361" t="s">
        <v>11461</v>
      </c>
    </row>
    <row r="5362" spans="1:2" x14ac:dyDescent="0.25">
      <c r="A5362" t="s">
        <v>4680</v>
      </c>
      <c r="B5362" t="s">
        <v>11461</v>
      </c>
    </row>
    <row r="5363" spans="1:2" x14ac:dyDescent="0.25">
      <c r="A5363" t="s">
        <v>5098</v>
      </c>
      <c r="B5363" t="s">
        <v>11461</v>
      </c>
    </row>
    <row r="5364" spans="1:2" x14ac:dyDescent="0.25">
      <c r="A5364" t="s">
        <v>4681</v>
      </c>
      <c r="B5364" t="s">
        <v>11461</v>
      </c>
    </row>
    <row r="5365" spans="1:2" x14ac:dyDescent="0.25">
      <c r="A5365" t="s">
        <v>6877</v>
      </c>
      <c r="B5365" t="s">
        <v>11461</v>
      </c>
    </row>
    <row r="5366" spans="1:2" x14ac:dyDescent="0.25">
      <c r="A5366" t="s">
        <v>5099</v>
      </c>
      <c r="B5366" t="s">
        <v>11461</v>
      </c>
    </row>
    <row r="5367" spans="1:2" x14ac:dyDescent="0.25">
      <c r="A5367" t="s">
        <v>3714</v>
      </c>
      <c r="B5367" t="s">
        <v>6289</v>
      </c>
    </row>
    <row r="5368" spans="1:2" x14ac:dyDescent="0.25">
      <c r="A5368" t="s">
        <v>94</v>
      </c>
      <c r="B5368" t="s">
        <v>3714</v>
      </c>
    </row>
    <row r="5369" spans="1:2" x14ac:dyDescent="0.25">
      <c r="A5369" t="s">
        <v>12466</v>
      </c>
      <c r="B5369" t="s">
        <v>3714</v>
      </c>
    </row>
    <row r="5370" spans="1:2" x14ac:dyDescent="0.25">
      <c r="A5370" t="s">
        <v>14742</v>
      </c>
      <c r="B5370" t="s">
        <v>5026</v>
      </c>
    </row>
    <row r="5371" spans="1:2" x14ac:dyDescent="0.25">
      <c r="A5371" t="s">
        <v>12844</v>
      </c>
      <c r="B5371" t="s">
        <v>14742</v>
      </c>
    </row>
    <row r="5372" spans="1:2" x14ac:dyDescent="0.25">
      <c r="A5372" t="s">
        <v>10381</v>
      </c>
      <c r="B5372" t="s">
        <v>12844</v>
      </c>
    </row>
    <row r="5373" spans="1:2" x14ac:dyDescent="0.25">
      <c r="A5373" t="s">
        <v>12596</v>
      </c>
      <c r="B5373" t="s">
        <v>10381</v>
      </c>
    </row>
    <row r="5374" spans="1:2" x14ac:dyDescent="0.25">
      <c r="A5374" t="s">
        <v>8163</v>
      </c>
      <c r="B5374" t="s">
        <v>12596</v>
      </c>
    </row>
    <row r="5375" spans="1:2" x14ac:dyDescent="0.25">
      <c r="A5375" t="s">
        <v>11670</v>
      </c>
      <c r="B5375" t="s">
        <v>12596</v>
      </c>
    </row>
    <row r="5376" spans="1:2" x14ac:dyDescent="0.25">
      <c r="A5376" t="s">
        <v>12138</v>
      </c>
      <c r="B5376" t="s">
        <v>11670</v>
      </c>
    </row>
    <row r="5377" spans="1:2" x14ac:dyDescent="0.25">
      <c r="A5377" t="s">
        <v>12139</v>
      </c>
      <c r="B5377" t="s">
        <v>11670</v>
      </c>
    </row>
    <row r="5378" spans="1:2" x14ac:dyDescent="0.25">
      <c r="A5378" t="s">
        <v>6385</v>
      </c>
      <c r="B5378" t="s">
        <v>12596</v>
      </c>
    </row>
    <row r="5379" spans="1:2" x14ac:dyDescent="0.25">
      <c r="A5379" t="s">
        <v>11882</v>
      </c>
      <c r="B5379" t="s">
        <v>12596</v>
      </c>
    </row>
    <row r="5380" spans="1:2" x14ac:dyDescent="0.25">
      <c r="A5380" t="s">
        <v>7533</v>
      </c>
      <c r="B5380" t="s">
        <v>10381</v>
      </c>
    </row>
    <row r="5381" spans="1:2" x14ac:dyDescent="0.25">
      <c r="A5381" t="s">
        <v>8164</v>
      </c>
      <c r="B5381" t="s">
        <v>7533</v>
      </c>
    </row>
    <row r="5382" spans="1:2" x14ac:dyDescent="0.25">
      <c r="A5382" t="s">
        <v>11147</v>
      </c>
      <c r="B5382" t="s">
        <v>7533</v>
      </c>
    </row>
    <row r="5383" spans="1:2" x14ac:dyDescent="0.25">
      <c r="A5383" t="s">
        <v>5097</v>
      </c>
      <c r="B5383" t="s">
        <v>7533</v>
      </c>
    </row>
    <row r="5384" spans="1:2" x14ac:dyDescent="0.25">
      <c r="A5384" t="s">
        <v>9452</v>
      </c>
      <c r="B5384" t="s">
        <v>7533</v>
      </c>
    </row>
    <row r="5385" spans="1:2" x14ac:dyDescent="0.25">
      <c r="A5385" t="s">
        <v>6386</v>
      </c>
      <c r="B5385" t="s">
        <v>7533</v>
      </c>
    </row>
    <row r="5386" spans="1:2" x14ac:dyDescent="0.25">
      <c r="A5386" t="s">
        <v>2294</v>
      </c>
      <c r="B5386" t="s">
        <v>10381</v>
      </c>
    </row>
    <row r="5387" spans="1:2" x14ac:dyDescent="0.25">
      <c r="A5387" t="s">
        <v>8165</v>
      </c>
      <c r="B5387" t="s">
        <v>2294</v>
      </c>
    </row>
    <row r="5388" spans="1:2" x14ac:dyDescent="0.25">
      <c r="A5388" t="s">
        <v>11148</v>
      </c>
      <c r="B5388" t="s">
        <v>2294</v>
      </c>
    </row>
    <row r="5389" spans="1:2" x14ac:dyDescent="0.25">
      <c r="A5389" t="s">
        <v>6387</v>
      </c>
      <c r="B5389" t="s">
        <v>2294</v>
      </c>
    </row>
    <row r="5390" spans="1:2" x14ac:dyDescent="0.25">
      <c r="A5390" t="s">
        <v>6876</v>
      </c>
      <c r="B5390" t="s">
        <v>2294</v>
      </c>
    </row>
    <row r="5391" spans="1:2" x14ac:dyDescent="0.25">
      <c r="A5391" t="s">
        <v>11460</v>
      </c>
      <c r="B5391" t="s">
        <v>2294</v>
      </c>
    </row>
    <row r="5392" spans="1:2" x14ac:dyDescent="0.25">
      <c r="A5392" t="s">
        <v>11671</v>
      </c>
      <c r="B5392" t="s">
        <v>2294</v>
      </c>
    </row>
    <row r="5393" spans="1:2" x14ac:dyDescent="0.25">
      <c r="A5393" t="s">
        <v>7534</v>
      </c>
      <c r="B5393" t="s">
        <v>12844</v>
      </c>
    </row>
    <row r="5394" spans="1:2" x14ac:dyDescent="0.25">
      <c r="A5394" t="s">
        <v>11672</v>
      </c>
      <c r="B5394" t="s">
        <v>7534</v>
      </c>
    </row>
    <row r="5395" spans="1:2" x14ac:dyDescent="0.25">
      <c r="A5395" t="s">
        <v>10382</v>
      </c>
      <c r="B5395" t="s">
        <v>11672</v>
      </c>
    </row>
    <row r="5396" spans="1:2" x14ac:dyDescent="0.25">
      <c r="A5396" t="s">
        <v>12806</v>
      </c>
      <c r="B5396" t="s">
        <v>11672</v>
      </c>
    </row>
    <row r="5397" spans="1:2" x14ac:dyDescent="0.25">
      <c r="A5397" t="s">
        <v>8166</v>
      </c>
      <c r="B5397" t="s">
        <v>7534</v>
      </c>
    </row>
    <row r="5398" spans="1:2" x14ac:dyDescent="0.25">
      <c r="A5398" t="s">
        <v>2711</v>
      </c>
      <c r="B5398" t="s">
        <v>8166</v>
      </c>
    </row>
    <row r="5399" spans="1:2" x14ac:dyDescent="0.25">
      <c r="A5399" t="s">
        <v>4678</v>
      </c>
      <c r="B5399" t="s">
        <v>8166</v>
      </c>
    </row>
    <row r="5400" spans="1:2" x14ac:dyDescent="0.25">
      <c r="A5400" t="s">
        <v>4191</v>
      </c>
      <c r="B5400" t="s">
        <v>8166</v>
      </c>
    </row>
    <row r="5401" spans="1:2" x14ac:dyDescent="0.25">
      <c r="A5401" t="s">
        <v>12140</v>
      </c>
      <c r="B5401" t="s">
        <v>12844</v>
      </c>
    </row>
    <row r="5402" spans="1:2" x14ac:dyDescent="0.25">
      <c r="A5402" t="s">
        <v>9453</v>
      </c>
      <c r="B5402" t="s">
        <v>12140</v>
      </c>
    </row>
    <row r="5403" spans="1:2" x14ac:dyDescent="0.25">
      <c r="A5403" t="s">
        <v>12807</v>
      </c>
      <c r="B5403" t="s">
        <v>12140</v>
      </c>
    </row>
    <row r="5404" spans="1:2" x14ac:dyDescent="0.25">
      <c r="A5404" t="s">
        <v>12859</v>
      </c>
      <c r="B5404" t="s">
        <v>12140</v>
      </c>
    </row>
    <row r="5405" spans="1:2" x14ac:dyDescent="0.25">
      <c r="A5405" t="s">
        <v>8167</v>
      </c>
      <c r="B5405" t="s">
        <v>12140</v>
      </c>
    </row>
    <row r="5406" spans="1:2" x14ac:dyDescent="0.25">
      <c r="A5406" t="s">
        <v>9824</v>
      </c>
      <c r="B5406" t="s">
        <v>12140</v>
      </c>
    </row>
    <row r="5407" spans="1:2" x14ac:dyDescent="0.25">
      <c r="A5407" t="s">
        <v>2230</v>
      </c>
      <c r="B5407" t="s">
        <v>12844</v>
      </c>
    </row>
    <row r="5408" spans="1:2" x14ac:dyDescent="0.25">
      <c r="A5408" t="s">
        <v>12355</v>
      </c>
      <c r="B5408" t="s">
        <v>14742</v>
      </c>
    </row>
    <row r="5409" spans="1:2" x14ac:dyDescent="0.25">
      <c r="A5409" t="s">
        <v>10493</v>
      </c>
      <c r="B5409" t="s">
        <v>12355</v>
      </c>
    </row>
    <row r="5410" spans="1:2" x14ac:dyDescent="0.25">
      <c r="A5410" t="s">
        <v>6434</v>
      </c>
      <c r="B5410" t="s">
        <v>10493</v>
      </c>
    </row>
    <row r="5411" spans="1:2" x14ac:dyDescent="0.25">
      <c r="A5411" t="s">
        <v>11892</v>
      </c>
      <c r="B5411" t="s">
        <v>10493</v>
      </c>
    </row>
    <row r="5412" spans="1:2" x14ac:dyDescent="0.25">
      <c r="A5412" t="s">
        <v>6913</v>
      </c>
      <c r="B5412" t="s">
        <v>11892</v>
      </c>
    </row>
    <row r="5413" spans="1:2" x14ac:dyDescent="0.25">
      <c r="A5413" t="s">
        <v>7612</v>
      </c>
      <c r="B5413" t="s">
        <v>11892</v>
      </c>
    </row>
    <row r="5414" spans="1:2" x14ac:dyDescent="0.25">
      <c r="A5414" t="s">
        <v>6914</v>
      </c>
      <c r="B5414" t="s">
        <v>11892</v>
      </c>
    </row>
    <row r="5415" spans="1:2" x14ac:dyDescent="0.25">
      <c r="A5415" t="s">
        <v>10910</v>
      </c>
      <c r="B5415" t="s">
        <v>11892</v>
      </c>
    </row>
    <row r="5416" spans="1:2" x14ac:dyDescent="0.25">
      <c r="A5416" t="s">
        <v>11734</v>
      </c>
      <c r="B5416" t="s">
        <v>10493</v>
      </c>
    </row>
    <row r="5417" spans="1:2" x14ac:dyDescent="0.25">
      <c r="A5417" t="s">
        <v>10494</v>
      </c>
      <c r="B5417" t="s">
        <v>11734</v>
      </c>
    </row>
    <row r="5418" spans="1:2" x14ac:dyDescent="0.25">
      <c r="A5418" t="s">
        <v>6435</v>
      </c>
      <c r="B5418" t="s">
        <v>11734</v>
      </c>
    </row>
    <row r="5419" spans="1:2" x14ac:dyDescent="0.25">
      <c r="A5419" t="s">
        <v>6436</v>
      </c>
      <c r="B5419" t="s">
        <v>11734</v>
      </c>
    </row>
    <row r="5420" spans="1:2" x14ac:dyDescent="0.25">
      <c r="A5420" t="s">
        <v>10495</v>
      </c>
      <c r="B5420" t="s">
        <v>10493</v>
      </c>
    </row>
    <row r="5421" spans="1:2" x14ac:dyDescent="0.25">
      <c r="A5421" t="s">
        <v>8667</v>
      </c>
      <c r="B5421" t="s">
        <v>10495</v>
      </c>
    </row>
    <row r="5422" spans="1:2" x14ac:dyDescent="0.25">
      <c r="A5422" t="s">
        <v>6437</v>
      </c>
      <c r="B5422" t="s">
        <v>10495</v>
      </c>
    </row>
    <row r="5423" spans="1:2" x14ac:dyDescent="0.25">
      <c r="A5423" t="s">
        <v>9497</v>
      </c>
      <c r="B5423" t="s">
        <v>10495</v>
      </c>
    </row>
    <row r="5424" spans="1:2" x14ac:dyDescent="0.25">
      <c r="A5424" t="s">
        <v>12248</v>
      </c>
      <c r="B5424" t="s">
        <v>10495</v>
      </c>
    </row>
    <row r="5425" spans="1:2" x14ac:dyDescent="0.25">
      <c r="A5425" t="s">
        <v>8227</v>
      </c>
      <c r="B5425" t="s">
        <v>10495</v>
      </c>
    </row>
    <row r="5426" spans="1:2" x14ac:dyDescent="0.25">
      <c r="A5426" t="s">
        <v>9045</v>
      </c>
      <c r="B5426" t="s">
        <v>10495</v>
      </c>
    </row>
    <row r="5427" spans="1:2" x14ac:dyDescent="0.25">
      <c r="A5427" t="s">
        <v>11893</v>
      </c>
      <c r="B5427" t="s">
        <v>10495</v>
      </c>
    </row>
    <row r="5428" spans="1:2" x14ac:dyDescent="0.25">
      <c r="A5428" t="s">
        <v>12455</v>
      </c>
      <c r="B5428" t="s">
        <v>10493</v>
      </c>
    </row>
    <row r="5429" spans="1:2" x14ac:dyDescent="0.25">
      <c r="A5429" t="s">
        <v>10911</v>
      </c>
      <c r="B5429" t="s">
        <v>12455</v>
      </c>
    </row>
    <row r="5430" spans="1:2" x14ac:dyDescent="0.25">
      <c r="A5430" t="s">
        <v>6915</v>
      </c>
      <c r="B5430" t="s">
        <v>12455</v>
      </c>
    </row>
    <row r="5431" spans="1:2" x14ac:dyDescent="0.25">
      <c r="A5431" t="s">
        <v>10912</v>
      </c>
      <c r="B5431" t="s">
        <v>12455</v>
      </c>
    </row>
    <row r="5432" spans="1:2" x14ac:dyDescent="0.25">
      <c r="A5432" t="s">
        <v>6916</v>
      </c>
      <c r="B5432" t="s">
        <v>12455</v>
      </c>
    </row>
    <row r="5433" spans="1:2" x14ac:dyDescent="0.25">
      <c r="A5433" t="s">
        <v>8228</v>
      </c>
      <c r="B5433" t="s">
        <v>12455</v>
      </c>
    </row>
    <row r="5434" spans="1:2" x14ac:dyDescent="0.25">
      <c r="A5434" t="s">
        <v>8229</v>
      </c>
      <c r="B5434" t="s">
        <v>12455</v>
      </c>
    </row>
    <row r="5435" spans="1:2" x14ac:dyDescent="0.25">
      <c r="A5435" t="s">
        <v>9858</v>
      </c>
      <c r="B5435" t="s">
        <v>12455</v>
      </c>
    </row>
    <row r="5436" spans="1:2" x14ac:dyDescent="0.25">
      <c r="A5436" t="s">
        <v>8230</v>
      </c>
      <c r="B5436" t="s">
        <v>12455</v>
      </c>
    </row>
    <row r="5437" spans="1:2" x14ac:dyDescent="0.25">
      <c r="A5437" t="s">
        <v>10496</v>
      </c>
      <c r="B5437" t="s">
        <v>10493</v>
      </c>
    </row>
    <row r="5438" spans="1:2" x14ac:dyDescent="0.25">
      <c r="A5438" t="s">
        <v>7613</v>
      </c>
      <c r="B5438" t="s">
        <v>12355</v>
      </c>
    </row>
    <row r="5439" spans="1:2" x14ac:dyDescent="0.25">
      <c r="A5439" t="s">
        <v>9498</v>
      </c>
      <c r="B5439" t="s">
        <v>7613</v>
      </c>
    </row>
    <row r="5440" spans="1:2" x14ac:dyDescent="0.25">
      <c r="A5440" t="s">
        <v>9046</v>
      </c>
      <c r="B5440" t="s">
        <v>9498</v>
      </c>
    </row>
    <row r="5441" spans="1:2" x14ac:dyDescent="0.25">
      <c r="A5441" t="s">
        <v>8231</v>
      </c>
      <c r="B5441" t="s">
        <v>9498</v>
      </c>
    </row>
    <row r="5442" spans="1:2" x14ac:dyDescent="0.25">
      <c r="A5442" t="s">
        <v>7614</v>
      </c>
      <c r="B5442" t="s">
        <v>9498</v>
      </c>
    </row>
    <row r="5443" spans="1:2" x14ac:dyDescent="0.25">
      <c r="A5443" t="s">
        <v>4218</v>
      </c>
      <c r="B5443" t="s">
        <v>9498</v>
      </c>
    </row>
    <row r="5444" spans="1:2" x14ac:dyDescent="0.25">
      <c r="A5444" t="s">
        <v>6917</v>
      </c>
      <c r="B5444" t="s">
        <v>9498</v>
      </c>
    </row>
    <row r="5445" spans="1:2" x14ac:dyDescent="0.25">
      <c r="A5445" t="s">
        <v>9499</v>
      </c>
      <c r="B5445" t="s">
        <v>9498</v>
      </c>
    </row>
    <row r="5446" spans="1:2" x14ac:dyDescent="0.25">
      <c r="A5446" t="s">
        <v>8232</v>
      </c>
      <c r="B5446" t="s">
        <v>7613</v>
      </c>
    </row>
    <row r="5447" spans="1:2" x14ac:dyDescent="0.25">
      <c r="A5447" t="s">
        <v>431</v>
      </c>
      <c r="B5447" t="s">
        <v>8232</v>
      </c>
    </row>
    <row r="5448" spans="1:2" x14ac:dyDescent="0.25">
      <c r="A5448" t="s">
        <v>9500</v>
      </c>
      <c r="B5448" t="s">
        <v>431</v>
      </c>
    </row>
    <row r="5449" spans="1:2" x14ac:dyDescent="0.25">
      <c r="A5449" t="s">
        <v>9047</v>
      </c>
      <c r="B5449" t="s">
        <v>431</v>
      </c>
    </row>
    <row r="5450" spans="1:2" x14ac:dyDescent="0.25">
      <c r="A5450" t="s">
        <v>537</v>
      </c>
      <c r="B5450" t="s">
        <v>8232</v>
      </c>
    </row>
    <row r="5451" spans="1:2" x14ac:dyDescent="0.25">
      <c r="A5451" t="s">
        <v>538</v>
      </c>
      <c r="B5451" t="s">
        <v>8232</v>
      </c>
    </row>
    <row r="5452" spans="1:2" x14ac:dyDescent="0.25">
      <c r="A5452" t="s">
        <v>10497</v>
      </c>
      <c r="B5452" t="s">
        <v>538</v>
      </c>
    </row>
    <row r="5453" spans="1:2" x14ac:dyDescent="0.25">
      <c r="A5453" t="s">
        <v>8668</v>
      </c>
      <c r="B5453" t="s">
        <v>538</v>
      </c>
    </row>
    <row r="5454" spans="1:2" x14ac:dyDescent="0.25">
      <c r="A5454" t="s">
        <v>432</v>
      </c>
      <c r="B5454" t="s">
        <v>8232</v>
      </c>
    </row>
    <row r="5455" spans="1:2" x14ac:dyDescent="0.25">
      <c r="A5455" t="s">
        <v>1734</v>
      </c>
      <c r="B5455" t="s">
        <v>8232</v>
      </c>
    </row>
    <row r="5456" spans="1:2" x14ac:dyDescent="0.25">
      <c r="A5456" t="s">
        <v>10913</v>
      </c>
      <c r="B5456" t="s">
        <v>8232</v>
      </c>
    </row>
    <row r="5457" spans="1:2" x14ac:dyDescent="0.25">
      <c r="A5457" t="s">
        <v>12249</v>
      </c>
      <c r="B5457" t="s">
        <v>12355</v>
      </c>
    </row>
    <row r="5458" spans="1:2" x14ac:dyDescent="0.25">
      <c r="A5458" t="s">
        <v>9501</v>
      </c>
      <c r="B5458" t="s">
        <v>12249</v>
      </c>
    </row>
    <row r="5459" spans="1:2" x14ac:dyDescent="0.25">
      <c r="A5459" t="s">
        <v>12821</v>
      </c>
      <c r="B5459" t="s">
        <v>12249</v>
      </c>
    </row>
    <row r="5460" spans="1:2" x14ac:dyDescent="0.25">
      <c r="A5460" t="s">
        <v>12609</v>
      </c>
      <c r="B5460" t="s">
        <v>12249</v>
      </c>
    </row>
    <row r="5461" spans="1:2" x14ac:dyDescent="0.25">
      <c r="A5461" t="s">
        <v>11735</v>
      </c>
      <c r="B5461" t="s">
        <v>12249</v>
      </c>
    </row>
    <row r="5462" spans="1:2" x14ac:dyDescent="0.25">
      <c r="A5462" t="s">
        <v>12456</v>
      </c>
      <c r="B5462" t="s">
        <v>12249</v>
      </c>
    </row>
    <row r="5463" spans="1:2" x14ac:dyDescent="0.25">
      <c r="A5463" t="s">
        <v>6438</v>
      </c>
      <c r="B5463" t="s">
        <v>12249</v>
      </c>
    </row>
    <row r="5464" spans="1:2" x14ac:dyDescent="0.25">
      <c r="A5464" t="s">
        <v>5570</v>
      </c>
      <c r="B5464" t="s">
        <v>12249</v>
      </c>
    </row>
    <row r="5465" spans="1:2" x14ac:dyDescent="0.25">
      <c r="A5465" t="s">
        <v>12565</v>
      </c>
      <c r="B5465" t="s">
        <v>14742</v>
      </c>
    </row>
    <row r="5466" spans="1:2" x14ac:dyDescent="0.25">
      <c r="A5466" t="s">
        <v>10372</v>
      </c>
      <c r="B5466" t="s">
        <v>12565</v>
      </c>
    </row>
    <row r="5467" spans="1:2" x14ac:dyDescent="0.25">
      <c r="A5467" t="s">
        <v>8149</v>
      </c>
      <c r="B5467" t="s">
        <v>10372</v>
      </c>
    </row>
    <row r="5468" spans="1:2" x14ac:dyDescent="0.25">
      <c r="A5468" t="s">
        <v>5542</v>
      </c>
      <c r="B5468" t="s">
        <v>8149</v>
      </c>
    </row>
    <row r="5469" spans="1:2" x14ac:dyDescent="0.25">
      <c r="A5469" t="s">
        <v>3184</v>
      </c>
      <c r="B5469" t="s">
        <v>5542</v>
      </c>
    </row>
    <row r="5470" spans="1:2" x14ac:dyDescent="0.25">
      <c r="A5470" t="s">
        <v>5915</v>
      </c>
      <c r="B5470" t="s">
        <v>5542</v>
      </c>
    </row>
    <row r="5471" spans="1:2" x14ac:dyDescent="0.25">
      <c r="A5471" t="s">
        <v>5916</v>
      </c>
      <c r="B5471" t="s">
        <v>8149</v>
      </c>
    </row>
    <row r="5472" spans="1:2" x14ac:dyDescent="0.25">
      <c r="A5472" t="s">
        <v>3643</v>
      </c>
      <c r="B5472" t="s">
        <v>8149</v>
      </c>
    </row>
    <row r="5473" spans="1:2" x14ac:dyDescent="0.25">
      <c r="A5473" t="s">
        <v>8628</v>
      </c>
      <c r="B5473" t="s">
        <v>3643</v>
      </c>
    </row>
    <row r="5474" spans="1:2" x14ac:dyDescent="0.25">
      <c r="A5474" t="s">
        <v>6376</v>
      </c>
      <c r="B5474" t="s">
        <v>3643</v>
      </c>
    </row>
    <row r="5475" spans="1:2" x14ac:dyDescent="0.25">
      <c r="A5475" t="s">
        <v>8150</v>
      </c>
      <c r="B5475" t="s">
        <v>3643</v>
      </c>
    </row>
    <row r="5476" spans="1:2" x14ac:dyDescent="0.25">
      <c r="A5476" t="s">
        <v>7523</v>
      </c>
      <c r="B5476" t="s">
        <v>3643</v>
      </c>
    </row>
    <row r="5477" spans="1:2" x14ac:dyDescent="0.25">
      <c r="A5477" t="s">
        <v>6377</v>
      </c>
      <c r="B5477" t="s">
        <v>3643</v>
      </c>
    </row>
    <row r="5478" spans="1:2" x14ac:dyDescent="0.25">
      <c r="A5478" t="s">
        <v>1724</v>
      </c>
      <c r="B5478" t="s">
        <v>8149</v>
      </c>
    </row>
    <row r="5479" spans="1:2" x14ac:dyDescent="0.25">
      <c r="A5479" t="s">
        <v>6378</v>
      </c>
      <c r="B5479" t="s">
        <v>1724</v>
      </c>
    </row>
    <row r="5480" spans="1:2" x14ac:dyDescent="0.25">
      <c r="A5480" t="s">
        <v>11141</v>
      </c>
      <c r="B5480" t="s">
        <v>10372</v>
      </c>
    </row>
    <row r="5481" spans="1:2" x14ac:dyDescent="0.25">
      <c r="A5481" t="s">
        <v>9820</v>
      </c>
      <c r="B5481" t="s">
        <v>11141</v>
      </c>
    </row>
    <row r="5482" spans="1:2" x14ac:dyDescent="0.25">
      <c r="A5482" t="s">
        <v>8629</v>
      </c>
      <c r="B5482" t="s">
        <v>9820</v>
      </c>
    </row>
    <row r="5483" spans="1:2" x14ac:dyDescent="0.25">
      <c r="A5483" t="s">
        <v>6869</v>
      </c>
      <c r="B5483" t="s">
        <v>9820</v>
      </c>
    </row>
    <row r="5484" spans="1:2" x14ac:dyDescent="0.25">
      <c r="A5484" t="s">
        <v>8151</v>
      </c>
      <c r="B5484" t="s">
        <v>9820</v>
      </c>
    </row>
    <row r="5485" spans="1:2" x14ac:dyDescent="0.25">
      <c r="A5485" t="s">
        <v>9442</v>
      </c>
      <c r="B5485" t="s">
        <v>11141</v>
      </c>
    </row>
    <row r="5486" spans="1:2" x14ac:dyDescent="0.25">
      <c r="A5486" t="s">
        <v>8152</v>
      </c>
      <c r="B5486" t="s">
        <v>11141</v>
      </c>
    </row>
    <row r="5487" spans="1:2" x14ac:dyDescent="0.25">
      <c r="A5487" t="s">
        <v>6870</v>
      </c>
      <c r="B5487" t="s">
        <v>8152</v>
      </c>
    </row>
    <row r="5488" spans="1:2" x14ac:dyDescent="0.25">
      <c r="A5488" t="s">
        <v>6871</v>
      </c>
      <c r="B5488" t="s">
        <v>8152</v>
      </c>
    </row>
    <row r="5489" spans="1:2" x14ac:dyDescent="0.25">
      <c r="A5489" t="s">
        <v>8153</v>
      </c>
      <c r="B5489" t="s">
        <v>8152</v>
      </c>
    </row>
    <row r="5490" spans="1:2" x14ac:dyDescent="0.25">
      <c r="A5490" t="s">
        <v>6872</v>
      </c>
      <c r="B5490" t="s">
        <v>8152</v>
      </c>
    </row>
    <row r="5491" spans="1:2" x14ac:dyDescent="0.25">
      <c r="A5491" t="s">
        <v>5091</v>
      </c>
      <c r="B5491" t="s">
        <v>11141</v>
      </c>
    </row>
    <row r="5492" spans="1:2" x14ac:dyDescent="0.25">
      <c r="A5492" t="s">
        <v>7524</v>
      </c>
      <c r="B5492" t="s">
        <v>12565</v>
      </c>
    </row>
    <row r="5493" spans="1:2" x14ac:dyDescent="0.25">
      <c r="A5493" t="s">
        <v>9443</v>
      </c>
      <c r="B5493" t="s">
        <v>7524</v>
      </c>
    </row>
    <row r="5494" spans="1:2" x14ac:dyDescent="0.25">
      <c r="A5494" t="s">
        <v>11881</v>
      </c>
      <c r="B5494" t="s">
        <v>9443</v>
      </c>
    </row>
    <row r="5495" spans="1:2" x14ac:dyDescent="0.25">
      <c r="A5495" t="s">
        <v>12129</v>
      </c>
      <c r="B5495" t="s">
        <v>9443</v>
      </c>
    </row>
    <row r="5496" spans="1:2" x14ac:dyDescent="0.25">
      <c r="A5496" t="s">
        <v>8154</v>
      </c>
      <c r="B5496" t="s">
        <v>7524</v>
      </c>
    </row>
    <row r="5497" spans="1:2" x14ac:dyDescent="0.25">
      <c r="A5497" t="s">
        <v>428</v>
      </c>
      <c r="B5497" t="s">
        <v>8154</v>
      </c>
    </row>
    <row r="5498" spans="1:2" x14ac:dyDescent="0.25">
      <c r="A5498" t="s">
        <v>530</v>
      </c>
      <c r="B5498" t="s">
        <v>8154</v>
      </c>
    </row>
    <row r="5499" spans="1:2" x14ac:dyDescent="0.25">
      <c r="A5499" t="s">
        <v>531</v>
      </c>
      <c r="B5499" t="s">
        <v>8154</v>
      </c>
    </row>
    <row r="5500" spans="1:2" x14ac:dyDescent="0.25">
      <c r="A5500" t="s">
        <v>10373</v>
      </c>
      <c r="B5500" t="s">
        <v>531</v>
      </c>
    </row>
    <row r="5501" spans="1:2" x14ac:dyDescent="0.25">
      <c r="A5501" t="s">
        <v>8630</v>
      </c>
      <c r="B5501" t="s">
        <v>531</v>
      </c>
    </row>
    <row r="5502" spans="1:2" x14ac:dyDescent="0.25">
      <c r="A5502" t="s">
        <v>429</v>
      </c>
      <c r="B5502" t="s">
        <v>8154</v>
      </c>
    </row>
    <row r="5503" spans="1:2" x14ac:dyDescent="0.25">
      <c r="A5503" t="s">
        <v>1725</v>
      </c>
      <c r="B5503" t="s">
        <v>8154</v>
      </c>
    </row>
    <row r="5504" spans="1:2" x14ac:dyDescent="0.25">
      <c r="A5504" t="s">
        <v>10828</v>
      </c>
      <c r="B5504" t="s">
        <v>8154</v>
      </c>
    </row>
    <row r="5505" spans="1:2" x14ac:dyDescent="0.25">
      <c r="A5505" t="s">
        <v>12130</v>
      </c>
      <c r="B5505" t="s">
        <v>12565</v>
      </c>
    </row>
    <row r="5506" spans="1:2" x14ac:dyDescent="0.25">
      <c r="A5506" t="s">
        <v>9444</v>
      </c>
      <c r="B5506" t="s">
        <v>12130</v>
      </c>
    </row>
    <row r="5507" spans="1:2" x14ac:dyDescent="0.25">
      <c r="A5507" t="s">
        <v>12804</v>
      </c>
      <c r="B5507" t="s">
        <v>12130</v>
      </c>
    </row>
    <row r="5508" spans="1:2" x14ac:dyDescent="0.25">
      <c r="A5508" t="s">
        <v>12593</v>
      </c>
      <c r="B5508" t="s">
        <v>12130</v>
      </c>
    </row>
    <row r="5509" spans="1:2" x14ac:dyDescent="0.25">
      <c r="A5509" t="s">
        <v>12412</v>
      </c>
      <c r="B5509" t="s">
        <v>12130</v>
      </c>
    </row>
    <row r="5510" spans="1:2" x14ac:dyDescent="0.25">
      <c r="A5510" t="s">
        <v>16081</v>
      </c>
      <c r="B5510" t="s">
        <v>5026</v>
      </c>
    </row>
    <row r="5511" spans="1:2" x14ac:dyDescent="0.25">
      <c r="A5511" t="s">
        <v>8538</v>
      </c>
      <c r="B5511" t="s">
        <v>16081</v>
      </c>
    </row>
    <row r="5512" spans="1:2" x14ac:dyDescent="0.25">
      <c r="A5512" t="s">
        <v>9727</v>
      </c>
      <c r="B5512" t="s">
        <v>8538</v>
      </c>
    </row>
    <row r="5513" spans="1:2" x14ac:dyDescent="0.25">
      <c r="A5513" t="s">
        <v>12356</v>
      </c>
      <c r="B5513" t="s">
        <v>8538</v>
      </c>
    </row>
    <row r="5514" spans="1:2" x14ac:dyDescent="0.25">
      <c r="A5514" t="s">
        <v>12759</v>
      </c>
      <c r="B5514" t="s">
        <v>8538</v>
      </c>
    </row>
    <row r="5515" spans="1:2" x14ac:dyDescent="0.25">
      <c r="A5515" t="s">
        <v>12357</v>
      </c>
      <c r="B5515" t="s">
        <v>8538</v>
      </c>
    </row>
    <row r="5516" spans="1:2" x14ac:dyDescent="0.25">
      <c r="A5516" t="s">
        <v>9326</v>
      </c>
      <c r="B5516" t="s">
        <v>8538</v>
      </c>
    </row>
    <row r="5517" spans="1:2" x14ac:dyDescent="0.25">
      <c r="A5517" t="s">
        <v>12566</v>
      </c>
      <c r="B5517" t="s">
        <v>8538</v>
      </c>
    </row>
    <row r="5518" spans="1:2" x14ac:dyDescent="0.25">
      <c r="A5518" t="s">
        <v>12567</v>
      </c>
      <c r="B5518" t="s">
        <v>8538</v>
      </c>
    </row>
    <row r="5519" spans="1:2" x14ac:dyDescent="0.25">
      <c r="A5519" t="s">
        <v>12679</v>
      </c>
      <c r="B5519" t="s">
        <v>8538</v>
      </c>
    </row>
    <row r="5520" spans="1:2" x14ac:dyDescent="0.25">
      <c r="A5520" t="s">
        <v>11852</v>
      </c>
      <c r="B5520" t="s">
        <v>8538</v>
      </c>
    </row>
    <row r="5521" spans="1:2" x14ac:dyDescent="0.25">
      <c r="A5521" t="s">
        <v>12845</v>
      </c>
      <c r="B5521" t="s">
        <v>8538</v>
      </c>
    </row>
    <row r="5522" spans="1:2" x14ac:dyDescent="0.25">
      <c r="A5522" t="s">
        <v>12568</v>
      </c>
      <c r="B5522" t="s">
        <v>8538</v>
      </c>
    </row>
    <row r="5523" spans="1:2" x14ac:dyDescent="0.25">
      <c r="A5523" t="s">
        <v>12358</v>
      </c>
      <c r="B5523" t="s">
        <v>8538</v>
      </c>
    </row>
    <row r="5524" spans="1:2" x14ac:dyDescent="0.25">
      <c r="A5524" t="s">
        <v>10735</v>
      </c>
      <c r="B5524" t="s">
        <v>8538</v>
      </c>
    </row>
    <row r="5525" spans="1:2" x14ac:dyDescent="0.25">
      <c r="A5525" t="s">
        <v>12569</v>
      </c>
      <c r="B5525" t="s">
        <v>8538</v>
      </c>
    </row>
    <row r="5526" spans="1:2" x14ac:dyDescent="0.25">
      <c r="A5526" t="s">
        <v>70</v>
      </c>
      <c r="B5526" t="s">
        <v>8538</v>
      </c>
    </row>
    <row r="5527" spans="1:2" x14ac:dyDescent="0.25">
      <c r="A5527" t="s">
        <v>12009</v>
      </c>
      <c r="B5527" t="s">
        <v>8538</v>
      </c>
    </row>
    <row r="5528" spans="1:2" x14ac:dyDescent="0.25">
      <c r="A5528" t="s">
        <v>10374</v>
      </c>
      <c r="B5528" t="s">
        <v>12009</v>
      </c>
    </row>
    <row r="5529" spans="1:2" x14ac:dyDescent="0.25">
      <c r="A5529" t="s">
        <v>12413</v>
      </c>
      <c r="B5529" t="s">
        <v>10374</v>
      </c>
    </row>
    <row r="5530" spans="1:2" x14ac:dyDescent="0.25">
      <c r="A5530" t="s">
        <v>11665</v>
      </c>
      <c r="B5530" t="s">
        <v>12413</v>
      </c>
    </row>
    <row r="5531" spans="1:2" x14ac:dyDescent="0.25">
      <c r="A5531" t="s">
        <v>11456</v>
      </c>
      <c r="B5531" t="s">
        <v>12413</v>
      </c>
    </row>
    <row r="5532" spans="1:2" x14ac:dyDescent="0.25">
      <c r="A5532" t="s">
        <v>11142</v>
      </c>
      <c r="B5532" t="s">
        <v>12413</v>
      </c>
    </row>
    <row r="5533" spans="1:2" x14ac:dyDescent="0.25">
      <c r="A5533" t="s">
        <v>5917</v>
      </c>
      <c r="B5533" t="s">
        <v>12413</v>
      </c>
    </row>
    <row r="5534" spans="1:2" x14ac:dyDescent="0.25">
      <c r="A5534" t="s">
        <v>11143</v>
      </c>
      <c r="B5534" t="s">
        <v>10374</v>
      </c>
    </row>
    <row r="5535" spans="1:2" x14ac:dyDescent="0.25">
      <c r="A5535" t="s">
        <v>10375</v>
      </c>
      <c r="B5535" t="s">
        <v>11143</v>
      </c>
    </row>
    <row r="5536" spans="1:2" x14ac:dyDescent="0.25">
      <c r="A5536" t="s">
        <v>9445</v>
      </c>
      <c r="B5536" t="s">
        <v>11143</v>
      </c>
    </row>
    <row r="5537" spans="1:2" x14ac:dyDescent="0.25">
      <c r="A5537" t="s">
        <v>9006</v>
      </c>
      <c r="B5537" t="s">
        <v>11143</v>
      </c>
    </row>
    <row r="5538" spans="1:2" x14ac:dyDescent="0.25">
      <c r="A5538" t="s">
        <v>3644</v>
      </c>
      <c r="B5538" t="s">
        <v>11143</v>
      </c>
    </row>
    <row r="5539" spans="1:2" x14ac:dyDescent="0.25">
      <c r="A5539" t="s">
        <v>6379</v>
      </c>
      <c r="B5539" t="s">
        <v>11143</v>
      </c>
    </row>
    <row r="5540" spans="1:2" x14ac:dyDescent="0.25">
      <c r="A5540" t="s">
        <v>7525</v>
      </c>
      <c r="B5540" t="s">
        <v>12009</v>
      </c>
    </row>
    <row r="5541" spans="1:2" x14ac:dyDescent="0.25">
      <c r="A5541" t="s">
        <v>11666</v>
      </c>
      <c r="B5541" t="s">
        <v>7525</v>
      </c>
    </row>
    <row r="5542" spans="1:2" x14ac:dyDescent="0.25">
      <c r="A5542" t="s">
        <v>9007</v>
      </c>
      <c r="B5542" t="s">
        <v>11666</v>
      </c>
    </row>
    <row r="5543" spans="1:2" x14ac:dyDescent="0.25">
      <c r="A5543" t="s">
        <v>12805</v>
      </c>
      <c r="B5543" t="s">
        <v>11666</v>
      </c>
    </row>
    <row r="5544" spans="1:2" x14ac:dyDescent="0.25">
      <c r="A5544" t="s">
        <v>12131</v>
      </c>
      <c r="B5544" t="s">
        <v>12009</v>
      </c>
    </row>
    <row r="5545" spans="1:2" x14ac:dyDescent="0.25">
      <c r="A5545" t="s">
        <v>9446</v>
      </c>
      <c r="B5545" t="s">
        <v>12131</v>
      </c>
    </row>
    <row r="5546" spans="1:2" x14ac:dyDescent="0.25">
      <c r="A5546" t="s">
        <v>11667</v>
      </c>
      <c r="B5546" t="s">
        <v>12131</v>
      </c>
    </row>
    <row r="5547" spans="1:2" x14ac:dyDescent="0.25">
      <c r="A5547" t="s">
        <v>7526</v>
      </c>
      <c r="B5547" t="s">
        <v>12131</v>
      </c>
    </row>
    <row r="5548" spans="1:2" x14ac:dyDescent="0.25">
      <c r="A5548" t="s">
        <v>12680</v>
      </c>
      <c r="B5548" t="s">
        <v>8538</v>
      </c>
    </row>
    <row r="5549" spans="1:2" x14ac:dyDescent="0.25">
      <c r="A5549" t="s">
        <v>12359</v>
      </c>
      <c r="B5549" t="s">
        <v>8538</v>
      </c>
    </row>
    <row r="5550" spans="1:2" x14ac:dyDescent="0.25">
      <c r="A5550" t="s">
        <v>12760</v>
      </c>
      <c r="B5550" t="s">
        <v>8538</v>
      </c>
    </row>
    <row r="5551" spans="1:2" x14ac:dyDescent="0.25">
      <c r="A5551" t="s">
        <v>12570</v>
      </c>
      <c r="B5551" t="s">
        <v>8538</v>
      </c>
    </row>
    <row r="5552" spans="1:2" x14ac:dyDescent="0.25">
      <c r="A5552" t="s">
        <v>7401</v>
      </c>
      <c r="B5552" t="s">
        <v>8538</v>
      </c>
    </row>
    <row r="5553" spans="1:2" x14ac:dyDescent="0.25">
      <c r="A5553" t="s">
        <v>10736</v>
      </c>
      <c r="B5553" t="s">
        <v>8538</v>
      </c>
    </row>
    <row r="5554" spans="1:2" x14ac:dyDescent="0.25">
      <c r="A5554" t="s">
        <v>12010</v>
      </c>
      <c r="B5554" t="s">
        <v>8538</v>
      </c>
    </row>
    <row r="5555" spans="1:2" x14ac:dyDescent="0.25">
      <c r="A5555" t="s">
        <v>11853</v>
      </c>
      <c r="B5555" t="s">
        <v>8538</v>
      </c>
    </row>
    <row r="5556" spans="1:2" x14ac:dyDescent="0.25">
      <c r="A5556" t="s">
        <v>12011</v>
      </c>
      <c r="B5556" t="s">
        <v>8538</v>
      </c>
    </row>
    <row r="5557" spans="1:2" x14ac:dyDescent="0.25">
      <c r="A5557" t="s">
        <v>12681</v>
      </c>
      <c r="B5557" t="s">
        <v>8538</v>
      </c>
    </row>
    <row r="5558" spans="1:2" x14ac:dyDescent="0.25">
      <c r="A5558" t="s">
        <v>10378</v>
      </c>
      <c r="B5558" t="s">
        <v>12681</v>
      </c>
    </row>
    <row r="5559" spans="1:2" x14ac:dyDescent="0.25">
      <c r="A5559" t="s">
        <v>12415</v>
      </c>
      <c r="B5559" t="s">
        <v>10378</v>
      </c>
    </row>
    <row r="5560" spans="1:2" x14ac:dyDescent="0.25">
      <c r="A5560" t="s">
        <v>12135</v>
      </c>
      <c r="B5560" t="s">
        <v>12415</v>
      </c>
    </row>
    <row r="5561" spans="1:2" x14ac:dyDescent="0.25">
      <c r="A5561" t="s">
        <v>11458</v>
      </c>
      <c r="B5561" t="s">
        <v>12415</v>
      </c>
    </row>
    <row r="5562" spans="1:2" x14ac:dyDescent="0.25">
      <c r="A5562" t="s">
        <v>11145</v>
      </c>
      <c r="B5562" t="s">
        <v>12415</v>
      </c>
    </row>
    <row r="5563" spans="1:2" x14ac:dyDescent="0.25">
      <c r="A5563" t="s">
        <v>5920</v>
      </c>
      <c r="B5563" t="s">
        <v>12415</v>
      </c>
    </row>
    <row r="5564" spans="1:2" x14ac:dyDescent="0.25">
      <c r="A5564" t="s">
        <v>11146</v>
      </c>
      <c r="B5564" t="s">
        <v>10378</v>
      </c>
    </row>
    <row r="5565" spans="1:2" x14ac:dyDescent="0.25">
      <c r="A5565" t="s">
        <v>10379</v>
      </c>
      <c r="B5565" t="s">
        <v>11146</v>
      </c>
    </row>
    <row r="5566" spans="1:2" x14ac:dyDescent="0.25">
      <c r="A5566" t="s">
        <v>9450</v>
      </c>
      <c r="B5566" t="s">
        <v>11146</v>
      </c>
    </row>
    <row r="5567" spans="1:2" x14ac:dyDescent="0.25">
      <c r="A5567" t="s">
        <v>9009</v>
      </c>
      <c r="B5567" t="s">
        <v>11146</v>
      </c>
    </row>
    <row r="5568" spans="1:2" x14ac:dyDescent="0.25">
      <c r="A5568" t="s">
        <v>3648</v>
      </c>
      <c r="B5568" t="s">
        <v>11146</v>
      </c>
    </row>
    <row r="5569" spans="1:2" x14ac:dyDescent="0.25">
      <c r="A5569" t="s">
        <v>6384</v>
      </c>
      <c r="B5569" t="s">
        <v>11146</v>
      </c>
    </row>
    <row r="5570" spans="1:2" x14ac:dyDescent="0.25">
      <c r="A5570" t="s">
        <v>7530</v>
      </c>
      <c r="B5570" t="s">
        <v>12681</v>
      </c>
    </row>
    <row r="5571" spans="1:2" x14ac:dyDescent="0.25">
      <c r="A5571" t="s">
        <v>9010</v>
      </c>
      <c r="B5571" t="s">
        <v>7530</v>
      </c>
    </row>
    <row r="5572" spans="1:2" x14ac:dyDescent="0.25">
      <c r="A5572" t="s">
        <v>12136</v>
      </c>
      <c r="B5572" t="s">
        <v>12681</v>
      </c>
    </row>
    <row r="5573" spans="1:2" x14ac:dyDescent="0.25">
      <c r="A5573" t="s">
        <v>9451</v>
      </c>
      <c r="B5573" t="s">
        <v>12136</v>
      </c>
    </row>
    <row r="5574" spans="1:2" x14ac:dyDescent="0.25">
      <c r="A5574" t="s">
        <v>12416</v>
      </c>
      <c r="B5574" t="s">
        <v>12136</v>
      </c>
    </row>
    <row r="5575" spans="1:2" x14ac:dyDescent="0.25">
      <c r="A5575" t="s">
        <v>11669</v>
      </c>
      <c r="B5575" t="s">
        <v>12136</v>
      </c>
    </row>
    <row r="5576" spans="1:2" x14ac:dyDescent="0.25">
      <c r="A5576" t="s">
        <v>12360</v>
      </c>
      <c r="B5576" t="s">
        <v>8538</v>
      </c>
    </row>
    <row r="5577" spans="1:2" x14ac:dyDescent="0.25">
      <c r="A5577" t="s">
        <v>11627</v>
      </c>
      <c r="B5577" t="s">
        <v>8538</v>
      </c>
    </row>
    <row r="5578" spans="1:2" x14ac:dyDescent="0.25">
      <c r="A5578" t="s">
        <v>5469</v>
      </c>
      <c r="B5578" t="s">
        <v>8538</v>
      </c>
    </row>
    <row r="5579" spans="1:2" x14ac:dyDescent="0.25">
      <c r="A5579" t="s">
        <v>5848</v>
      </c>
      <c r="B5579" t="s">
        <v>8538</v>
      </c>
    </row>
    <row r="5580" spans="1:2" x14ac:dyDescent="0.25">
      <c r="A5580" t="s">
        <v>10242</v>
      </c>
      <c r="B5580" t="s">
        <v>8538</v>
      </c>
    </row>
    <row r="5581" spans="1:2" x14ac:dyDescent="0.25">
      <c r="A5581" t="s">
        <v>2272</v>
      </c>
      <c r="B5581" t="s">
        <v>8538</v>
      </c>
    </row>
    <row r="5582" spans="1:2" x14ac:dyDescent="0.25">
      <c r="A5582" t="s">
        <v>5849</v>
      </c>
      <c r="B5582" t="s">
        <v>8538</v>
      </c>
    </row>
    <row r="5583" spans="1:2" x14ac:dyDescent="0.25">
      <c r="A5583" t="s">
        <v>7402</v>
      </c>
      <c r="B5583" t="s">
        <v>8538</v>
      </c>
    </row>
    <row r="5584" spans="1:2" x14ac:dyDescent="0.25">
      <c r="A5584" t="s">
        <v>12008</v>
      </c>
      <c r="B5584" t="s">
        <v>16081</v>
      </c>
    </row>
    <row r="5585" spans="1:2" x14ac:dyDescent="0.25">
      <c r="A5585" t="s">
        <v>12902</v>
      </c>
      <c r="B5585" t="s">
        <v>14946</v>
      </c>
    </row>
    <row r="5586" spans="1:2" x14ac:dyDescent="0.25">
      <c r="A5586" t="s">
        <v>12748</v>
      </c>
      <c r="B5586" t="s">
        <v>12902</v>
      </c>
    </row>
    <row r="5587" spans="1:2" x14ac:dyDescent="0.25">
      <c r="A5587" t="s">
        <v>10389</v>
      </c>
      <c r="B5587" t="s">
        <v>12748</v>
      </c>
    </row>
    <row r="5588" spans="1:2" x14ac:dyDescent="0.25">
      <c r="A5588" t="s">
        <v>8171</v>
      </c>
      <c r="B5588" t="s">
        <v>10389</v>
      </c>
    </row>
    <row r="5589" spans="1:2" x14ac:dyDescent="0.25">
      <c r="A5589" t="s">
        <v>4195</v>
      </c>
      <c r="B5589" t="s">
        <v>8171</v>
      </c>
    </row>
    <row r="5590" spans="1:2" x14ac:dyDescent="0.25">
      <c r="A5590" t="s">
        <v>5102</v>
      </c>
      <c r="B5590" t="s">
        <v>8171</v>
      </c>
    </row>
    <row r="5591" spans="1:2" x14ac:dyDescent="0.25">
      <c r="A5591" t="s">
        <v>12419</v>
      </c>
      <c r="B5591" t="s">
        <v>10389</v>
      </c>
    </row>
    <row r="5592" spans="1:2" x14ac:dyDescent="0.25">
      <c r="A5592" t="s">
        <v>9456</v>
      </c>
      <c r="B5592" t="s">
        <v>12419</v>
      </c>
    </row>
    <row r="5593" spans="1:2" x14ac:dyDescent="0.25">
      <c r="A5593" t="s">
        <v>10390</v>
      </c>
      <c r="B5593" t="s">
        <v>12419</v>
      </c>
    </row>
    <row r="5594" spans="1:2" x14ac:dyDescent="0.25">
      <c r="A5594" t="s">
        <v>9457</v>
      </c>
      <c r="B5594" t="s">
        <v>10389</v>
      </c>
    </row>
    <row r="5595" spans="1:2" x14ac:dyDescent="0.25">
      <c r="A5595" t="s">
        <v>5103</v>
      </c>
      <c r="B5595" t="s">
        <v>9457</v>
      </c>
    </row>
    <row r="5596" spans="1:2" x14ac:dyDescent="0.25">
      <c r="A5596" t="s">
        <v>5925</v>
      </c>
      <c r="B5596" t="s">
        <v>9457</v>
      </c>
    </row>
    <row r="5597" spans="1:2" x14ac:dyDescent="0.25">
      <c r="A5597" t="s">
        <v>11673</v>
      </c>
      <c r="B5597" t="s">
        <v>10389</v>
      </c>
    </row>
    <row r="5598" spans="1:2" x14ac:dyDescent="0.25">
      <c r="A5598" t="s">
        <v>5926</v>
      </c>
      <c r="B5598" t="s">
        <v>11673</v>
      </c>
    </row>
    <row r="5599" spans="1:2" x14ac:dyDescent="0.25">
      <c r="A5599" t="s">
        <v>8632</v>
      </c>
      <c r="B5599" t="s">
        <v>11673</v>
      </c>
    </row>
    <row r="5600" spans="1:2" x14ac:dyDescent="0.25">
      <c r="A5600" t="s">
        <v>16082</v>
      </c>
      <c r="B5600" t="s">
        <v>10389</v>
      </c>
    </row>
    <row r="5601" spans="1:2" x14ac:dyDescent="0.25">
      <c r="A5601" t="s">
        <v>16083</v>
      </c>
      <c r="B5601" t="s">
        <v>16082</v>
      </c>
    </row>
    <row r="5602" spans="1:2" x14ac:dyDescent="0.25">
      <c r="A5602" t="s">
        <v>16084</v>
      </c>
      <c r="B5602" t="s">
        <v>16082</v>
      </c>
    </row>
    <row r="5603" spans="1:2" x14ac:dyDescent="0.25">
      <c r="A5603" t="s">
        <v>16085</v>
      </c>
      <c r="B5603" t="s">
        <v>16082</v>
      </c>
    </row>
    <row r="5604" spans="1:2" x14ac:dyDescent="0.25">
      <c r="A5604" t="s">
        <v>7544</v>
      </c>
      <c r="B5604" t="s">
        <v>12748</v>
      </c>
    </row>
    <row r="5605" spans="1:2" x14ac:dyDescent="0.25">
      <c r="A5605" t="s">
        <v>7545</v>
      </c>
      <c r="B5605" t="s">
        <v>7544</v>
      </c>
    </row>
    <row r="5606" spans="1:2" x14ac:dyDescent="0.25">
      <c r="A5606" t="s">
        <v>3190</v>
      </c>
      <c r="B5606" t="s">
        <v>7544</v>
      </c>
    </row>
    <row r="5607" spans="1:2" x14ac:dyDescent="0.25">
      <c r="A5607" t="s">
        <v>16086</v>
      </c>
      <c r="B5607" t="s">
        <v>7544</v>
      </c>
    </row>
    <row r="5608" spans="1:2" x14ac:dyDescent="0.25">
      <c r="A5608" t="s">
        <v>16087</v>
      </c>
      <c r="B5608" t="s">
        <v>16086</v>
      </c>
    </row>
    <row r="5609" spans="1:2" x14ac:dyDescent="0.25">
      <c r="A5609" t="s">
        <v>16088</v>
      </c>
      <c r="B5609" t="s">
        <v>16086</v>
      </c>
    </row>
    <row r="5610" spans="1:2" x14ac:dyDescent="0.25">
      <c r="A5610" t="s">
        <v>12146</v>
      </c>
      <c r="B5610" t="s">
        <v>12748</v>
      </c>
    </row>
    <row r="5611" spans="1:2" x14ac:dyDescent="0.25">
      <c r="A5611" t="s">
        <v>9458</v>
      </c>
      <c r="B5611" t="s">
        <v>12146</v>
      </c>
    </row>
    <row r="5612" spans="1:2" x14ac:dyDescent="0.25">
      <c r="A5612" t="s">
        <v>5548</v>
      </c>
      <c r="B5612" t="s">
        <v>12146</v>
      </c>
    </row>
    <row r="5613" spans="1:2" x14ac:dyDescent="0.25">
      <c r="A5613" t="s">
        <v>6393</v>
      </c>
      <c r="B5613" t="s">
        <v>12146</v>
      </c>
    </row>
    <row r="5614" spans="1:2" x14ac:dyDescent="0.25">
      <c r="A5614" t="s">
        <v>11849</v>
      </c>
      <c r="B5614" t="s">
        <v>12902</v>
      </c>
    </row>
    <row r="5615" spans="1:2" x14ac:dyDescent="0.25">
      <c r="A5615" t="s">
        <v>12674</v>
      </c>
      <c r="B5615" t="s">
        <v>12902</v>
      </c>
    </row>
    <row r="5616" spans="1:2" x14ac:dyDescent="0.25">
      <c r="A5616" t="s">
        <v>10453</v>
      </c>
      <c r="B5616" t="s">
        <v>12674</v>
      </c>
    </row>
    <row r="5617" spans="1:2" x14ac:dyDescent="0.25">
      <c r="A5617" t="s">
        <v>11191</v>
      </c>
      <c r="B5617" t="s">
        <v>10453</v>
      </c>
    </row>
    <row r="5618" spans="1:2" x14ac:dyDescent="0.25">
      <c r="A5618" t="s">
        <v>6896</v>
      </c>
      <c r="B5618" t="s">
        <v>11191</v>
      </c>
    </row>
    <row r="5619" spans="1:2" x14ac:dyDescent="0.25">
      <c r="A5619" t="s">
        <v>8214</v>
      </c>
      <c r="B5619" t="s">
        <v>11191</v>
      </c>
    </row>
    <row r="5620" spans="1:2" x14ac:dyDescent="0.25">
      <c r="A5620" t="s">
        <v>5551</v>
      </c>
      <c r="B5620" t="s">
        <v>11191</v>
      </c>
    </row>
    <row r="5621" spans="1:2" x14ac:dyDescent="0.25">
      <c r="A5621" t="s">
        <v>5110</v>
      </c>
      <c r="B5621" t="s">
        <v>11191</v>
      </c>
    </row>
    <row r="5622" spans="1:2" x14ac:dyDescent="0.25">
      <c r="A5622" t="s">
        <v>10874</v>
      </c>
      <c r="B5622" t="s">
        <v>10453</v>
      </c>
    </row>
    <row r="5623" spans="1:2" x14ac:dyDescent="0.25">
      <c r="A5623" t="s">
        <v>6415</v>
      </c>
      <c r="B5623" t="s">
        <v>10874</v>
      </c>
    </row>
    <row r="5624" spans="1:2" x14ac:dyDescent="0.25">
      <c r="A5624" t="s">
        <v>7578</v>
      </c>
      <c r="B5624" t="s">
        <v>10874</v>
      </c>
    </row>
    <row r="5625" spans="1:2" x14ac:dyDescent="0.25">
      <c r="A5625" t="s">
        <v>4699</v>
      </c>
      <c r="B5625" t="s">
        <v>10874</v>
      </c>
    </row>
    <row r="5626" spans="1:2" x14ac:dyDescent="0.25">
      <c r="A5626" t="s">
        <v>11465</v>
      </c>
      <c r="B5626" t="s">
        <v>10453</v>
      </c>
    </row>
    <row r="5627" spans="1:2" x14ac:dyDescent="0.25">
      <c r="A5627" t="s">
        <v>7579</v>
      </c>
      <c r="B5627" t="s">
        <v>11465</v>
      </c>
    </row>
    <row r="5628" spans="1:2" x14ac:dyDescent="0.25">
      <c r="A5628" t="s">
        <v>8639</v>
      </c>
      <c r="B5628" t="s">
        <v>11465</v>
      </c>
    </row>
    <row r="5629" spans="1:2" x14ac:dyDescent="0.25">
      <c r="A5629" t="s">
        <v>5111</v>
      </c>
      <c r="B5629" t="s">
        <v>11465</v>
      </c>
    </row>
    <row r="5630" spans="1:2" x14ac:dyDescent="0.25">
      <c r="A5630" t="s">
        <v>12182</v>
      </c>
      <c r="B5630" t="s">
        <v>10453</v>
      </c>
    </row>
    <row r="5631" spans="1:2" x14ac:dyDescent="0.25">
      <c r="A5631" t="s">
        <v>9025</v>
      </c>
      <c r="B5631" t="s">
        <v>12182</v>
      </c>
    </row>
    <row r="5632" spans="1:2" x14ac:dyDescent="0.25">
      <c r="A5632" t="s">
        <v>6416</v>
      </c>
      <c r="B5632" t="s">
        <v>12182</v>
      </c>
    </row>
    <row r="5633" spans="1:2" x14ac:dyDescent="0.25">
      <c r="A5633" t="s">
        <v>5955</v>
      </c>
      <c r="B5633" t="s">
        <v>12182</v>
      </c>
    </row>
    <row r="5634" spans="1:2" x14ac:dyDescent="0.25">
      <c r="A5634" t="s">
        <v>8640</v>
      </c>
      <c r="B5634" t="s">
        <v>10453</v>
      </c>
    </row>
    <row r="5635" spans="1:2" x14ac:dyDescent="0.25">
      <c r="A5635" t="s">
        <v>5552</v>
      </c>
      <c r="B5635" t="s">
        <v>8640</v>
      </c>
    </row>
    <row r="5636" spans="1:2" x14ac:dyDescent="0.25">
      <c r="A5636" t="s">
        <v>6417</v>
      </c>
      <c r="B5636" t="s">
        <v>8640</v>
      </c>
    </row>
    <row r="5637" spans="1:2" x14ac:dyDescent="0.25">
      <c r="A5637" t="s">
        <v>10875</v>
      </c>
      <c r="B5637" t="s">
        <v>10453</v>
      </c>
    </row>
    <row r="5638" spans="1:2" x14ac:dyDescent="0.25">
      <c r="A5638" t="s">
        <v>6418</v>
      </c>
      <c r="B5638" t="s">
        <v>10875</v>
      </c>
    </row>
    <row r="5639" spans="1:2" x14ac:dyDescent="0.25">
      <c r="A5639" t="s">
        <v>7580</v>
      </c>
      <c r="B5639" t="s">
        <v>10875</v>
      </c>
    </row>
    <row r="5640" spans="1:2" x14ac:dyDescent="0.25">
      <c r="A5640" t="s">
        <v>6419</v>
      </c>
      <c r="B5640" t="s">
        <v>10875</v>
      </c>
    </row>
    <row r="5641" spans="1:2" x14ac:dyDescent="0.25">
      <c r="A5641" t="s">
        <v>4700</v>
      </c>
      <c r="B5641" t="s">
        <v>10875</v>
      </c>
    </row>
    <row r="5642" spans="1:2" x14ac:dyDescent="0.25">
      <c r="A5642" t="s">
        <v>11684</v>
      </c>
      <c r="B5642" t="s">
        <v>10453</v>
      </c>
    </row>
    <row r="5643" spans="1:2" x14ac:dyDescent="0.25">
      <c r="A5643" t="s">
        <v>3701</v>
      </c>
      <c r="B5643" t="s">
        <v>11684</v>
      </c>
    </row>
    <row r="5644" spans="1:2" x14ac:dyDescent="0.25">
      <c r="A5644" t="s">
        <v>16089</v>
      </c>
      <c r="B5644" t="s">
        <v>10453</v>
      </c>
    </row>
    <row r="5645" spans="1:2" x14ac:dyDescent="0.25">
      <c r="A5645" t="s">
        <v>16090</v>
      </c>
      <c r="B5645" t="s">
        <v>16089</v>
      </c>
    </row>
    <row r="5646" spans="1:2" x14ac:dyDescent="0.25">
      <c r="A5646" t="s">
        <v>16091</v>
      </c>
      <c r="B5646" t="s">
        <v>16089</v>
      </c>
    </row>
    <row r="5647" spans="1:2" x14ac:dyDescent="0.25">
      <c r="A5647" t="s">
        <v>16092</v>
      </c>
      <c r="B5647" t="s">
        <v>16089</v>
      </c>
    </row>
    <row r="5648" spans="1:2" x14ac:dyDescent="0.25">
      <c r="A5648" t="s">
        <v>7581</v>
      </c>
      <c r="B5648" t="s">
        <v>12674</v>
      </c>
    </row>
    <row r="5649" spans="1:2" x14ac:dyDescent="0.25">
      <c r="A5649" t="s">
        <v>9475</v>
      </c>
      <c r="B5649" t="s">
        <v>7581</v>
      </c>
    </row>
    <row r="5650" spans="1:2" x14ac:dyDescent="0.25">
      <c r="A5650" t="s">
        <v>9026</v>
      </c>
      <c r="B5650" t="s">
        <v>9475</v>
      </c>
    </row>
    <row r="5651" spans="1:2" x14ac:dyDescent="0.25">
      <c r="A5651" t="s">
        <v>8641</v>
      </c>
      <c r="B5651" t="s">
        <v>7581</v>
      </c>
    </row>
    <row r="5652" spans="1:2" x14ac:dyDescent="0.25">
      <c r="A5652" t="s">
        <v>10876</v>
      </c>
      <c r="B5652" t="s">
        <v>8641</v>
      </c>
    </row>
    <row r="5653" spans="1:2" x14ac:dyDescent="0.25">
      <c r="A5653" t="s">
        <v>1727</v>
      </c>
      <c r="B5653" t="s">
        <v>8641</v>
      </c>
    </row>
    <row r="5654" spans="1:2" x14ac:dyDescent="0.25">
      <c r="A5654" t="s">
        <v>9027</v>
      </c>
      <c r="B5654" t="s">
        <v>7581</v>
      </c>
    </row>
    <row r="5655" spans="1:2" x14ac:dyDescent="0.25">
      <c r="A5655" t="s">
        <v>10877</v>
      </c>
      <c r="B5655" t="s">
        <v>9027</v>
      </c>
    </row>
    <row r="5656" spans="1:2" x14ac:dyDescent="0.25">
      <c r="A5656" t="s">
        <v>292</v>
      </c>
      <c r="B5656" t="s">
        <v>9027</v>
      </c>
    </row>
    <row r="5657" spans="1:2" x14ac:dyDescent="0.25">
      <c r="A5657" t="s">
        <v>88</v>
      </c>
      <c r="B5657" t="s">
        <v>9027</v>
      </c>
    </row>
    <row r="5658" spans="1:2" x14ac:dyDescent="0.25">
      <c r="A5658" t="s">
        <v>11192</v>
      </c>
      <c r="B5658" t="s">
        <v>7581</v>
      </c>
    </row>
    <row r="5659" spans="1:2" x14ac:dyDescent="0.25">
      <c r="A5659" t="s">
        <v>10878</v>
      </c>
      <c r="B5659" t="s">
        <v>11192</v>
      </c>
    </row>
    <row r="5660" spans="1:2" x14ac:dyDescent="0.25">
      <c r="A5660" t="s">
        <v>532</v>
      </c>
      <c r="B5660" t="s">
        <v>11192</v>
      </c>
    </row>
    <row r="5661" spans="1:2" x14ac:dyDescent="0.25">
      <c r="A5661" t="s">
        <v>533</v>
      </c>
      <c r="B5661" t="s">
        <v>11192</v>
      </c>
    </row>
    <row r="5662" spans="1:2" x14ac:dyDescent="0.25">
      <c r="A5662" t="s">
        <v>10879</v>
      </c>
      <c r="B5662" t="s">
        <v>7581</v>
      </c>
    </row>
    <row r="5663" spans="1:2" x14ac:dyDescent="0.25">
      <c r="A5663" t="s">
        <v>4701</v>
      </c>
      <c r="B5663" t="s">
        <v>10879</v>
      </c>
    </row>
    <row r="5664" spans="1:2" x14ac:dyDescent="0.25">
      <c r="A5664" t="s">
        <v>5112</v>
      </c>
      <c r="B5664" t="s">
        <v>10879</v>
      </c>
    </row>
    <row r="5665" spans="1:2" x14ac:dyDescent="0.25">
      <c r="A5665" t="s">
        <v>16093</v>
      </c>
      <c r="B5665" t="s">
        <v>7581</v>
      </c>
    </row>
    <row r="5666" spans="1:2" x14ac:dyDescent="0.25">
      <c r="A5666" t="s">
        <v>16094</v>
      </c>
      <c r="B5666" t="s">
        <v>16093</v>
      </c>
    </row>
    <row r="5667" spans="1:2" x14ac:dyDescent="0.25">
      <c r="A5667" t="s">
        <v>16095</v>
      </c>
      <c r="B5667" t="s">
        <v>16093</v>
      </c>
    </row>
    <row r="5668" spans="1:2" x14ac:dyDescent="0.25">
      <c r="A5668" t="s">
        <v>12183</v>
      </c>
      <c r="B5668" t="s">
        <v>12674</v>
      </c>
    </row>
    <row r="5669" spans="1:2" x14ac:dyDescent="0.25">
      <c r="A5669" t="s">
        <v>8215</v>
      </c>
      <c r="B5669" t="s">
        <v>12183</v>
      </c>
    </row>
    <row r="5670" spans="1:2" x14ac:dyDescent="0.25">
      <c r="A5670" t="s">
        <v>11193</v>
      </c>
      <c r="B5670" t="s">
        <v>12183</v>
      </c>
    </row>
    <row r="5671" spans="1:2" x14ac:dyDescent="0.25">
      <c r="A5671" t="s">
        <v>6420</v>
      </c>
      <c r="B5671" t="s">
        <v>12183</v>
      </c>
    </row>
    <row r="5672" spans="1:2" x14ac:dyDescent="0.25">
      <c r="A5672" t="s">
        <v>5553</v>
      </c>
      <c r="B5672" t="s">
        <v>12183</v>
      </c>
    </row>
    <row r="5673" spans="1:2" x14ac:dyDescent="0.25">
      <c r="A5673" t="s">
        <v>6897</v>
      </c>
      <c r="B5673" t="s">
        <v>12183</v>
      </c>
    </row>
    <row r="5674" spans="1:2" x14ac:dyDescent="0.25">
      <c r="A5674" t="s">
        <v>11405</v>
      </c>
      <c r="B5674" t="s">
        <v>12902</v>
      </c>
    </row>
    <row r="5675" spans="1:2" x14ac:dyDescent="0.25">
      <c r="A5675" t="s">
        <v>10445</v>
      </c>
      <c r="B5675" t="s">
        <v>11405</v>
      </c>
    </row>
    <row r="5676" spans="1:2" x14ac:dyDescent="0.25">
      <c r="A5676" t="s">
        <v>12444</v>
      </c>
      <c r="B5676" t="s">
        <v>10445</v>
      </c>
    </row>
    <row r="5677" spans="1:2" x14ac:dyDescent="0.25">
      <c r="A5677" t="s">
        <v>9470</v>
      </c>
      <c r="B5677" t="s">
        <v>12444</v>
      </c>
    </row>
    <row r="5678" spans="1:2" x14ac:dyDescent="0.25">
      <c r="A5678" t="s">
        <v>10446</v>
      </c>
      <c r="B5678" t="s">
        <v>12444</v>
      </c>
    </row>
    <row r="5679" spans="1:2" x14ac:dyDescent="0.25">
      <c r="A5679" t="s">
        <v>10870</v>
      </c>
      <c r="B5679" t="s">
        <v>10445</v>
      </c>
    </row>
    <row r="5680" spans="1:2" x14ac:dyDescent="0.25">
      <c r="A5680" t="s">
        <v>6411</v>
      </c>
      <c r="B5680" t="s">
        <v>10870</v>
      </c>
    </row>
    <row r="5681" spans="1:2" x14ac:dyDescent="0.25">
      <c r="A5681" t="s">
        <v>11186</v>
      </c>
      <c r="B5681" t="s">
        <v>10445</v>
      </c>
    </row>
    <row r="5682" spans="1:2" x14ac:dyDescent="0.25">
      <c r="A5682" t="s">
        <v>6892</v>
      </c>
      <c r="B5682" t="s">
        <v>11186</v>
      </c>
    </row>
    <row r="5683" spans="1:2" x14ac:dyDescent="0.25">
      <c r="A5683" t="s">
        <v>12445</v>
      </c>
      <c r="B5683" t="s">
        <v>10445</v>
      </c>
    </row>
    <row r="5684" spans="1:2" x14ac:dyDescent="0.25">
      <c r="A5684" t="s">
        <v>9471</v>
      </c>
      <c r="B5684" t="s">
        <v>12445</v>
      </c>
    </row>
    <row r="5685" spans="1:2" x14ac:dyDescent="0.25">
      <c r="A5685" t="s">
        <v>11683</v>
      </c>
      <c r="B5685" t="s">
        <v>10445</v>
      </c>
    </row>
    <row r="5686" spans="1:2" x14ac:dyDescent="0.25">
      <c r="A5686" t="s">
        <v>9023</v>
      </c>
      <c r="B5686" t="s">
        <v>11683</v>
      </c>
    </row>
    <row r="5687" spans="1:2" x14ac:dyDescent="0.25">
      <c r="A5687" t="s">
        <v>5950</v>
      </c>
      <c r="B5687" t="s">
        <v>11683</v>
      </c>
    </row>
    <row r="5688" spans="1:2" x14ac:dyDescent="0.25">
      <c r="A5688" t="s">
        <v>16096</v>
      </c>
      <c r="B5688" t="s">
        <v>10445</v>
      </c>
    </row>
    <row r="5689" spans="1:2" x14ac:dyDescent="0.25">
      <c r="A5689" t="s">
        <v>16097</v>
      </c>
      <c r="B5689" t="s">
        <v>16096</v>
      </c>
    </row>
    <row r="5690" spans="1:2" x14ac:dyDescent="0.25">
      <c r="A5690" t="s">
        <v>16098</v>
      </c>
      <c r="B5690" t="s">
        <v>16096</v>
      </c>
    </row>
    <row r="5691" spans="1:2" x14ac:dyDescent="0.25">
      <c r="A5691" t="s">
        <v>16099</v>
      </c>
      <c r="B5691" t="s">
        <v>16096</v>
      </c>
    </row>
    <row r="5692" spans="1:2" x14ac:dyDescent="0.25">
      <c r="A5692" t="s">
        <v>7573</v>
      </c>
      <c r="B5692" t="s">
        <v>11405</v>
      </c>
    </row>
    <row r="5693" spans="1:2" x14ac:dyDescent="0.25">
      <c r="A5693" t="s">
        <v>7574</v>
      </c>
      <c r="B5693" t="s">
        <v>7573</v>
      </c>
    </row>
    <row r="5694" spans="1:2" x14ac:dyDescent="0.25">
      <c r="A5694" t="s">
        <v>8638</v>
      </c>
      <c r="B5694" t="s">
        <v>7573</v>
      </c>
    </row>
    <row r="5695" spans="1:2" x14ac:dyDescent="0.25">
      <c r="A5695" t="s">
        <v>2302</v>
      </c>
      <c r="B5695" t="s">
        <v>7573</v>
      </c>
    </row>
    <row r="5696" spans="1:2" x14ac:dyDescent="0.25">
      <c r="A5696" t="s">
        <v>16100</v>
      </c>
      <c r="B5696" t="s">
        <v>7573</v>
      </c>
    </row>
    <row r="5697" spans="1:2" x14ac:dyDescent="0.25">
      <c r="A5697" t="s">
        <v>16101</v>
      </c>
      <c r="B5697" t="s">
        <v>16100</v>
      </c>
    </row>
    <row r="5698" spans="1:2" x14ac:dyDescent="0.25">
      <c r="A5698" t="s">
        <v>16102</v>
      </c>
      <c r="B5698" t="s">
        <v>16100</v>
      </c>
    </row>
    <row r="5699" spans="1:2" x14ac:dyDescent="0.25">
      <c r="A5699" t="s">
        <v>12178</v>
      </c>
      <c r="B5699" t="s">
        <v>11405</v>
      </c>
    </row>
    <row r="5700" spans="1:2" x14ac:dyDescent="0.25">
      <c r="A5700" t="s">
        <v>9472</v>
      </c>
      <c r="B5700" t="s">
        <v>12178</v>
      </c>
    </row>
    <row r="5701" spans="1:2" x14ac:dyDescent="0.25">
      <c r="A5701" t="s">
        <v>5550</v>
      </c>
      <c r="B5701" t="s">
        <v>12178</v>
      </c>
    </row>
    <row r="5702" spans="1:2" x14ac:dyDescent="0.25">
      <c r="A5702" t="s">
        <v>6412</v>
      </c>
      <c r="B5702" t="s">
        <v>12178</v>
      </c>
    </row>
    <row r="5703" spans="1:2" x14ac:dyDescent="0.25">
      <c r="A5703" t="s">
        <v>12688</v>
      </c>
      <c r="B5703" t="s">
        <v>12902</v>
      </c>
    </row>
    <row r="5704" spans="1:2" x14ac:dyDescent="0.25">
      <c r="A5704" t="s">
        <v>12838</v>
      </c>
      <c r="B5704" t="s">
        <v>12688</v>
      </c>
    </row>
    <row r="5705" spans="1:2" x14ac:dyDescent="0.25">
      <c r="A5705" t="s">
        <v>10399</v>
      </c>
      <c r="B5705" t="s">
        <v>12838</v>
      </c>
    </row>
    <row r="5706" spans="1:2" x14ac:dyDescent="0.25">
      <c r="A5706" t="s">
        <v>12424</v>
      </c>
      <c r="B5706" t="s">
        <v>10399</v>
      </c>
    </row>
    <row r="5707" spans="1:2" x14ac:dyDescent="0.25">
      <c r="A5707" t="s">
        <v>5931</v>
      </c>
      <c r="B5707" t="s">
        <v>12424</v>
      </c>
    </row>
    <row r="5708" spans="1:2" x14ac:dyDescent="0.25">
      <c r="A5708" t="s">
        <v>3659</v>
      </c>
      <c r="B5708" t="s">
        <v>12424</v>
      </c>
    </row>
    <row r="5709" spans="1:2" x14ac:dyDescent="0.25">
      <c r="A5709" t="s">
        <v>8178</v>
      </c>
      <c r="B5709" t="s">
        <v>12424</v>
      </c>
    </row>
    <row r="5710" spans="1:2" x14ac:dyDescent="0.25">
      <c r="A5710" t="s">
        <v>12425</v>
      </c>
      <c r="B5710" t="s">
        <v>10399</v>
      </c>
    </row>
    <row r="5711" spans="1:2" x14ac:dyDescent="0.25">
      <c r="A5711" t="s">
        <v>5932</v>
      </c>
      <c r="B5711" t="s">
        <v>12425</v>
      </c>
    </row>
    <row r="5712" spans="1:2" x14ac:dyDescent="0.25">
      <c r="A5712" t="s">
        <v>3660</v>
      </c>
      <c r="B5712" t="s">
        <v>12425</v>
      </c>
    </row>
    <row r="5713" spans="1:2" x14ac:dyDescent="0.25">
      <c r="A5713" t="s">
        <v>8179</v>
      </c>
      <c r="B5713" t="s">
        <v>12425</v>
      </c>
    </row>
    <row r="5714" spans="1:2" x14ac:dyDescent="0.25">
      <c r="A5714" t="s">
        <v>12151</v>
      </c>
      <c r="B5714" t="s">
        <v>10399</v>
      </c>
    </row>
    <row r="5715" spans="1:2" x14ac:dyDescent="0.25">
      <c r="A5715" t="s">
        <v>5933</v>
      </c>
      <c r="B5715" t="s">
        <v>12151</v>
      </c>
    </row>
    <row r="5716" spans="1:2" x14ac:dyDescent="0.25">
      <c r="A5716" t="s">
        <v>3661</v>
      </c>
      <c r="B5716" t="s">
        <v>12151</v>
      </c>
    </row>
    <row r="5717" spans="1:2" x14ac:dyDescent="0.25">
      <c r="A5717" t="s">
        <v>12426</v>
      </c>
      <c r="B5717" t="s">
        <v>10399</v>
      </c>
    </row>
    <row r="5718" spans="1:2" x14ac:dyDescent="0.25">
      <c r="A5718" t="s">
        <v>5934</v>
      </c>
      <c r="B5718" t="s">
        <v>12426</v>
      </c>
    </row>
    <row r="5719" spans="1:2" x14ac:dyDescent="0.25">
      <c r="A5719" t="s">
        <v>3662</v>
      </c>
      <c r="B5719" t="s">
        <v>12426</v>
      </c>
    </row>
    <row r="5720" spans="1:2" x14ac:dyDescent="0.25">
      <c r="A5720" t="s">
        <v>16103</v>
      </c>
      <c r="B5720" t="s">
        <v>10399</v>
      </c>
    </row>
    <row r="5721" spans="1:2" x14ac:dyDescent="0.25">
      <c r="A5721" t="s">
        <v>16104</v>
      </c>
      <c r="B5721" t="s">
        <v>16103</v>
      </c>
    </row>
    <row r="5722" spans="1:2" x14ac:dyDescent="0.25">
      <c r="A5722" t="s">
        <v>16105</v>
      </c>
      <c r="B5722" t="s">
        <v>16103</v>
      </c>
    </row>
    <row r="5723" spans="1:2" x14ac:dyDescent="0.25">
      <c r="A5723" t="s">
        <v>16106</v>
      </c>
      <c r="B5723" t="s">
        <v>16103</v>
      </c>
    </row>
    <row r="5724" spans="1:2" x14ac:dyDescent="0.25">
      <c r="A5724" t="s">
        <v>7550</v>
      </c>
      <c r="B5724" t="s">
        <v>12838</v>
      </c>
    </row>
    <row r="5725" spans="1:2" x14ac:dyDescent="0.25">
      <c r="A5725" t="s">
        <v>9828</v>
      </c>
      <c r="B5725" t="s">
        <v>7550</v>
      </c>
    </row>
    <row r="5726" spans="1:2" x14ac:dyDescent="0.25">
      <c r="A5726" t="s">
        <v>10841</v>
      </c>
      <c r="B5726" t="s">
        <v>9828</v>
      </c>
    </row>
    <row r="5727" spans="1:2" x14ac:dyDescent="0.25">
      <c r="A5727" t="s">
        <v>11160</v>
      </c>
      <c r="B5727" t="s">
        <v>7550</v>
      </c>
    </row>
    <row r="5728" spans="1:2" x14ac:dyDescent="0.25">
      <c r="A5728" t="s">
        <v>3663</v>
      </c>
      <c r="B5728" t="s">
        <v>11160</v>
      </c>
    </row>
    <row r="5729" spans="1:2" x14ac:dyDescent="0.25">
      <c r="A5729" t="s">
        <v>10400</v>
      </c>
      <c r="B5729" t="s">
        <v>11160</v>
      </c>
    </row>
    <row r="5730" spans="1:2" x14ac:dyDescent="0.25">
      <c r="A5730" t="s">
        <v>8180</v>
      </c>
      <c r="B5730" t="s">
        <v>11160</v>
      </c>
    </row>
    <row r="5731" spans="1:2" x14ac:dyDescent="0.25">
      <c r="A5731" t="s">
        <v>11161</v>
      </c>
      <c r="B5731" t="s">
        <v>7550</v>
      </c>
    </row>
    <row r="5732" spans="1:2" x14ac:dyDescent="0.25">
      <c r="A5732" t="s">
        <v>3664</v>
      </c>
      <c r="B5732" t="s">
        <v>11161</v>
      </c>
    </row>
    <row r="5733" spans="1:2" x14ac:dyDescent="0.25">
      <c r="A5733" t="s">
        <v>10401</v>
      </c>
      <c r="B5733" t="s">
        <v>11161</v>
      </c>
    </row>
    <row r="5734" spans="1:2" x14ac:dyDescent="0.25">
      <c r="A5734" t="s">
        <v>8181</v>
      </c>
      <c r="B5734" t="s">
        <v>11161</v>
      </c>
    </row>
    <row r="5735" spans="1:2" x14ac:dyDescent="0.25">
      <c r="A5735" t="s">
        <v>10842</v>
      </c>
      <c r="B5735" t="s">
        <v>7550</v>
      </c>
    </row>
    <row r="5736" spans="1:2" x14ac:dyDescent="0.25">
      <c r="A5736" t="s">
        <v>3665</v>
      </c>
      <c r="B5736" t="s">
        <v>10842</v>
      </c>
    </row>
    <row r="5737" spans="1:2" x14ac:dyDescent="0.25">
      <c r="A5737" t="s">
        <v>10402</v>
      </c>
      <c r="B5737" t="s">
        <v>10842</v>
      </c>
    </row>
    <row r="5738" spans="1:2" x14ac:dyDescent="0.25">
      <c r="A5738" t="s">
        <v>8182</v>
      </c>
      <c r="B5738" t="s">
        <v>10842</v>
      </c>
    </row>
    <row r="5739" spans="1:2" x14ac:dyDescent="0.25">
      <c r="A5739" t="s">
        <v>11162</v>
      </c>
      <c r="B5739" t="s">
        <v>7550</v>
      </c>
    </row>
    <row r="5740" spans="1:2" x14ac:dyDescent="0.25">
      <c r="A5740" t="s">
        <v>3666</v>
      </c>
      <c r="B5740" t="s">
        <v>11162</v>
      </c>
    </row>
    <row r="5741" spans="1:2" x14ac:dyDescent="0.25">
      <c r="A5741" t="s">
        <v>10403</v>
      </c>
      <c r="B5741" t="s">
        <v>11162</v>
      </c>
    </row>
    <row r="5742" spans="1:2" x14ac:dyDescent="0.25">
      <c r="A5742" t="s">
        <v>8183</v>
      </c>
      <c r="B5742" t="s">
        <v>11162</v>
      </c>
    </row>
    <row r="5743" spans="1:2" x14ac:dyDescent="0.25">
      <c r="A5743" t="s">
        <v>16107</v>
      </c>
      <c r="B5743" t="s">
        <v>7550</v>
      </c>
    </row>
    <row r="5744" spans="1:2" x14ac:dyDescent="0.25">
      <c r="A5744" t="s">
        <v>16108</v>
      </c>
      <c r="B5744" t="s">
        <v>16107</v>
      </c>
    </row>
    <row r="5745" spans="1:2" x14ac:dyDescent="0.25">
      <c r="A5745" t="s">
        <v>16109</v>
      </c>
      <c r="B5745" t="s">
        <v>16107</v>
      </c>
    </row>
    <row r="5746" spans="1:2" x14ac:dyDescent="0.25">
      <c r="A5746" t="s">
        <v>12152</v>
      </c>
      <c r="B5746" t="s">
        <v>12838</v>
      </c>
    </row>
    <row r="5747" spans="1:2" x14ac:dyDescent="0.25">
      <c r="A5747" t="s">
        <v>12809</v>
      </c>
      <c r="B5747" t="s">
        <v>12152</v>
      </c>
    </row>
    <row r="5748" spans="1:2" x14ac:dyDescent="0.25">
      <c r="A5748" t="s">
        <v>11163</v>
      </c>
      <c r="B5748" t="s">
        <v>12152</v>
      </c>
    </row>
    <row r="5749" spans="1:2" x14ac:dyDescent="0.25">
      <c r="A5749" t="s">
        <v>12839</v>
      </c>
      <c r="B5749" t="s">
        <v>12688</v>
      </c>
    </row>
    <row r="5750" spans="1:2" x14ac:dyDescent="0.25">
      <c r="A5750" t="s">
        <v>10394</v>
      </c>
      <c r="B5750" t="s">
        <v>12839</v>
      </c>
    </row>
    <row r="5751" spans="1:2" x14ac:dyDescent="0.25">
      <c r="A5751" t="s">
        <v>12421</v>
      </c>
      <c r="B5751" t="s">
        <v>10394</v>
      </c>
    </row>
    <row r="5752" spans="1:2" x14ac:dyDescent="0.25">
      <c r="A5752" t="s">
        <v>11152</v>
      </c>
      <c r="B5752" t="s">
        <v>12421</v>
      </c>
    </row>
    <row r="5753" spans="1:2" x14ac:dyDescent="0.25">
      <c r="A5753" t="s">
        <v>3651</v>
      </c>
      <c r="B5753" t="s">
        <v>12421</v>
      </c>
    </row>
    <row r="5754" spans="1:2" x14ac:dyDescent="0.25">
      <c r="A5754" t="s">
        <v>5927</v>
      </c>
      <c r="B5754" t="s">
        <v>12421</v>
      </c>
    </row>
    <row r="5755" spans="1:2" x14ac:dyDescent="0.25">
      <c r="A5755" t="s">
        <v>12422</v>
      </c>
      <c r="B5755" t="s">
        <v>10394</v>
      </c>
    </row>
    <row r="5756" spans="1:2" x14ac:dyDescent="0.25">
      <c r="A5756" t="s">
        <v>11153</v>
      </c>
      <c r="B5756" t="s">
        <v>12422</v>
      </c>
    </row>
    <row r="5757" spans="1:2" x14ac:dyDescent="0.25">
      <c r="A5757" t="s">
        <v>3652</v>
      </c>
      <c r="B5757" t="s">
        <v>12422</v>
      </c>
    </row>
    <row r="5758" spans="1:2" x14ac:dyDescent="0.25">
      <c r="A5758" t="s">
        <v>5928</v>
      </c>
      <c r="B5758" t="s">
        <v>12422</v>
      </c>
    </row>
    <row r="5759" spans="1:2" x14ac:dyDescent="0.25">
      <c r="A5759" t="s">
        <v>12149</v>
      </c>
      <c r="B5759" t="s">
        <v>10394</v>
      </c>
    </row>
    <row r="5760" spans="1:2" x14ac:dyDescent="0.25">
      <c r="A5760" t="s">
        <v>11154</v>
      </c>
      <c r="B5760" t="s">
        <v>12149</v>
      </c>
    </row>
    <row r="5761" spans="1:2" x14ac:dyDescent="0.25">
      <c r="A5761" t="s">
        <v>3653</v>
      </c>
      <c r="B5761" t="s">
        <v>12149</v>
      </c>
    </row>
    <row r="5762" spans="1:2" x14ac:dyDescent="0.25">
      <c r="A5762" t="s">
        <v>5929</v>
      </c>
      <c r="B5762" t="s">
        <v>12149</v>
      </c>
    </row>
    <row r="5763" spans="1:2" x14ac:dyDescent="0.25">
      <c r="A5763" t="s">
        <v>12423</v>
      </c>
      <c r="B5763" t="s">
        <v>10394</v>
      </c>
    </row>
    <row r="5764" spans="1:2" x14ac:dyDescent="0.25">
      <c r="A5764" t="s">
        <v>11155</v>
      </c>
      <c r="B5764" t="s">
        <v>12423</v>
      </c>
    </row>
    <row r="5765" spans="1:2" x14ac:dyDescent="0.25">
      <c r="A5765" t="s">
        <v>3654</v>
      </c>
      <c r="B5765" t="s">
        <v>12423</v>
      </c>
    </row>
    <row r="5766" spans="1:2" x14ac:dyDescent="0.25">
      <c r="A5766" t="s">
        <v>5930</v>
      </c>
      <c r="B5766" t="s">
        <v>12423</v>
      </c>
    </row>
    <row r="5767" spans="1:2" x14ac:dyDescent="0.25">
      <c r="A5767" t="s">
        <v>16110</v>
      </c>
      <c r="B5767" t="s">
        <v>10394</v>
      </c>
    </row>
    <row r="5768" spans="1:2" x14ac:dyDescent="0.25">
      <c r="A5768" t="s">
        <v>16111</v>
      </c>
      <c r="B5768" t="s">
        <v>16110</v>
      </c>
    </row>
    <row r="5769" spans="1:2" x14ac:dyDescent="0.25">
      <c r="A5769" t="s">
        <v>16112</v>
      </c>
      <c r="B5769" t="s">
        <v>16110</v>
      </c>
    </row>
    <row r="5770" spans="1:2" x14ac:dyDescent="0.25">
      <c r="A5770" t="s">
        <v>16113</v>
      </c>
      <c r="B5770" t="s">
        <v>16110</v>
      </c>
    </row>
    <row r="5771" spans="1:2" x14ac:dyDescent="0.25">
      <c r="A5771" t="s">
        <v>7549</v>
      </c>
      <c r="B5771" t="s">
        <v>12839</v>
      </c>
    </row>
    <row r="5772" spans="1:2" x14ac:dyDescent="0.25">
      <c r="A5772" t="s">
        <v>9827</v>
      </c>
      <c r="B5772" t="s">
        <v>7549</v>
      </c>
    </row>
    <row r="5773" spans="1:2" x14ac:dyDescent="0.25">
      <c r="A5773" t="s">
        <v>10839</v>
      </c>
      <c r="B5773" t="s">
        <v>9827</v>
      </c>
    </row>
    <row r="5774" spans="1:2" x14ac:dyDescent="0.25">
      <c r="A5774" t="s">
        <v>11156</v>
      </c>
      <c r="B5774" t="s">
        <v>7549</v>
      </c>
    </row>
    <row r="5775" spans="1:2" x14ac:dyDescent="0.25">
      <c r="A5775" t="s">
        <v>3655</v>
      </c>
      <c r="B5775" t="s">
        <v>11156</v>
      </c>
    </row>
    <row r="5776" spans="1:2" x14ac:dyDescent="0.25">
      <c r="A5776" t="s">
        <v>10395</v>
      </c>
      <c r="B5776" t="s">
        <v>11156</v>
      </c>
    </row>
    <row r="5777" spans="1:2" x14ac:dyDescent="0.25">
      <c r="A5777" t="s">
        <v>8174</v>
      </c>
      <c r="B5777" t="s">
        <v>11156</v>
      </c>
    </row>
    <row r="5778" spans="1:2" x14ac:dyDescent="0.25">
      <c r="A5778" t="s">
        <v>11157</v>
      </c>
      <c r="B5778" t="s">
        <v>7549</v>
      </c>
    </row>
    <row r="5779" spans="1:2" x14ac:dyDescent="0.25">
      <c r="A5779" t="s">
        <v>3656</v>
      </c>
      <c r="B5779" t="s">
        <v>11157</v>
      </c>
    </row>
    <row r="5780" spans="1:2" x14ac:dyDescent="0.25">
      <c r="A5780" t="s">
        <v>10396</v>
      </c>
      <c r="B5780" t="s">
        <v>11157</v>
      </c>
    </row>
    <row r="5781" spans="1:2" x14ac:dyDescent="0.25">
      <c r="A5781" t="s">
        <v>8175</v>
      </c>
      <c r="B5781" t="s">
        <v>11157</v>
      </c>
    </row>
    <row r="5782" spans="1:2" x14ac:dyDescent="0.25">
      <c r="A5782" t="s">
        <v>10840</v>
      </c>
      <c r="B5782" t="s">
        <v>7549</v>
      </c>
    </row>
    <row r="5783" spans="1:2" x14ac:dyDescent="0.25">
      <c r="A5783" t="s">
        <v>3657</v>
      </c>
      <c r="B5783" t="s">
        <v>10840</v>
      </c>
    </row>
    <row r="5784" spans="1:2" x14ac:dyDescent="0.25">
      <c r="A5784" t="s">
        <v>10397</v>
      </c>
      <c r="B5784" t="s">
        <v>10840</v>
      </c>
    </row>
    <row r="5785" spans="1:2" x14ac:dyDescent="0.25">
      <c r="A5785" t="s">
        <v>8176</v>
      </c>
      <c r="B5785" t="s">
        <v>10840</v>
      </c>
    </row>
    <row r="5786" spans="1:2" x14ac:dyDescent="0.25">
      <c r="A5786" t="s">
        <v>11158</v>
      </c>
      <c r="B5786" t="s">
        <v>7549</v>
      </c>
    </row>
    <row r="5787" spans="1:2" x14ac:dyDescent="0.25">
      <c r="A5787" t="s">
        <v>3658</v>
      </c>
      <c r="B5787" t="s">
        <v>11158</v>
      </c>
    </row>
    <row r="5788" spans="1:2" x14ac:dyDescent="0.25">
      <c r="A5788" t="s">
        <v>10398</v>
      </c>
      <c r="B5788" t="s">
        <v>11158</v>
      </c>
    </row>
    <row r="5789" spans="1:2" x14ac:dyDescent="0.25">
      <c r="A5789" t="s">
        <v>8177</v>
      </c>
      <c r="B5789" t="s">
        <v>11158</v>
      </c>
    </row>
    <row r="5790" spans="1:2" x14ac:dyDescent="0.25">
      <c r="A5790" t="s">
        <v>16114</v>
      </c>
      <c r="B5790" t="s">
        <v>7549</v>
      </c>
    </row>
    <row r="5791" spans="1:2" x14ac:dyDescent="0.25">
      <c r="A5791" t="s">
        <v>16115</v>
      </c>
      <c r="B5791" t="s">
        <v>16114</v>
      </c>
    </row>
    <row r="5792" spans="1:2" x14ac:dyDescent="0.25">
      <c r="A5792" t="s">
        <v>16116</v>
      </c>
      <c r="B5792" t="s">
        <v>16114</v>
      </c>
    </row>
    <row r="5793" spans="1:2" x14ac:dyDescent="0.25">
      <c r="A5793" t="s">
        <v>12150</v>
      </c>
      <c r="B5793" t="s">
        <v>12839</v>
      </c>
    </row>
    <row r="5794" spans="1:2" x14ac:dyDescent="0.25">
      <c r="A5794" t="s">
        <v>12808</v>
      </c>
      <c r="B5794" t="s">
        <v>12150</v>
      </c>
    </row>
    <row r="5795" spans="1:2" x14ac:dyDescent="0.25">
      <c r="A5795" t="s">
        <v>11159</v>
      </c>
      <c r="B5795" t="s">
        <v>12150</v>
      </c>
    </row>
    <row r="5796" spans="1:2" x14ac:dyDescent="0.25">
      <c r="A5796" t="s">
        <v>12669</v>
      </c>
      <c r="B5796" t="s">
        <v>12688</v>
      </c>
    </row>
    <row r="5797" spans="1:2" x14ac:dyDescent="0.25">
      <c r="A5797" t="s">
        <v>10405</v>
      </c>
      <c r="B5797" t="s">
        <v>12669</v>
      </c>
    </row>
    <row r="5798" spans="1:2" x14ac:dyDescent="0.25">
      <c r="A5798" t="s">
        <v>12428</v>
      </c>
      <c r="B5798" t="s">
        <v>10405</v>
      </c>
    </row>
    <row r="5799" spans="1:2" x14ac:dyDescent="0.25">
      <c r="A5799" t="s">
        <v>5935</v>
      </c>
      <c r="B5799" t="s">
        <v>12428</v>
      </c>
    </row>
    <row r="5800" spans="1:2" x14ac:dyDescent="0.25">
      <c r="A5800" t="s">
        <v>3667</v>
      </c>
      <c r="B5800" t="s">
        <v>12428</v>
      </c>
    </row>
    <row r="5801" spans="1:2" x14ac:dyDescent="0.25">
      <c r="A5801" t="s">
        <v>8185</v>
      </c>
      <c r="B5801" t="s">
        <v>12428</v>
      </c>
    </row>
    <row r="5802" spans="1:2" x14ac:dyDescent="0.25">
      <c r="A5802" t="s">
        <v>12429</v>
      </c>
      <c r="B5802" t="s">
        <v>10405</v>
      </c>
    </row>
    <row r="5803" spans="1:2" x14ac:dyDescent="0.25">
      <c r="A5803" t="s">
        <v>5936</v>
      </c>
      <c r="B5803" t="s">
        <v>12429</v>
      </c>
    </row>
    <row r="5804" spans="1:2" x14ac:dyDescent="0.25">
      <c r="A5804" t="s">
        <v>3668</v>
      </c>
      <c r="B5804" t="s">
        <v>12429</v>
      </c>
    </row>
    <row r="5805" spans="1:2" x14ac:dyDescent="0.25">
      <c r="A5805" t="s">
        <v>12154</v>
      </c>
      <c r="B5805" t="s">
        <v>10405</v>
      </c>
    </row>
    <row r="5806" spans="1:2" x14ac:dyDescent="0.25">
      <c r="A5806" t="s">
        <v>5937</v>
      </c>
      <c r="B5806" t="s">
        <v>12154</v>
      </c>
    </row>
    <row r="5807" spans="1:2" x14ac:dyDescent="0.25">
      <c r="A5807" t="s">
        <v>3669</v>
      </c>
      <c r="B5807" t="s">
        <v>12154</v>
      </c>
    </row>
    <row r="5808" spans="1:2" x14ac:dyDescent="0.25">
      <c r="A5808" t="s">
        <v>12430</v>
      </c>
      <c r="B5808" t="s">
        <v>10405</v>
      </c>
    </row>
    <row r="5809" spans="1:2" x14ac:dyDescent="0.25">
      <c r="A5809" t="s">
        <v>5938</v>
      </c>
      <c r="B5809" t="s">
        <v>12430</v>
      </c>
    </row>
    <row r="5810" spans="1:2" x14ac:dyDescent="0.25">
      <c r="A5810" t="s">
        <v>3670</v>
      </c>
      <c r="B5810" t="s">
        <v>12430</v>
      </c>
    </row>
    <row r="5811" spans="1:2" x14ac:dyDescent="0.25">
      <c r="A5811" t="s">
        <v>16117</v>
      </c>
      <c r="B5811" t="s">
        <v>10405</v>
      </c>
    </row>
    <row r="5812" spans="1:2" x14ac:dyDescent="0.25">
      <c r="A5812" t="s">
        <v>16118</v>
      </c>
      <c r="B5812" t="s">
        <v>16117</v>
      </c>
    </row>
    <row r="5813" spans="1:2" x14ac:dyDescent="0.25">
      <c r="A5813" t="s">
        <v>16119</v>
      </c>
      <c r="B5813" t="s">
        <v>16117</v>
      </c>
    </row>
    <row r="5814" spans="1:2" x14ac:dyDescent="0.25">
      <c r="A5814" t="s">
        <v>16120</v>
      </c>
      <c r="B5814" t="s">
        <v>16117</v>
      </c>
    </row>
    <row r="5815" spans="1:2" x14ac:dyDescent="0.25">
      <c r="A5815" t="s">
        <v>7553</v>
      </c>
      <c r="B5815" t="s">
        <v>12669</v>
      </c>
    </row>
    <row r="5816" spans="1:2" x14ac:dyDescent="0.25">
      <c r="A5816" t="s">
        <v>9829</v>
      </c>
      <c r="B5816" t="s">
        <v>7553</v>
      </c>
    </row>
    <row r="5817" spans="1:2" x14ac:dyDescent="0.25">
      <c r="A5817" t="s">
        <v>10844</v>
      </c>
      <c r="B5817" t="s">
        <v>9829</v>
      </c>
    </row>
    <row r="5818" spans="1:2" x14ac:dyDescent="0.25">
      <c r="A5818" t="s">
        <v>11166</v>
      </c>
      <c r="B5818" t="s">
        <v>7553</v>
      </c>
    </row>
    <row r="5819" spans="1:2" x14ac:dyDescent="0.25">
      <c r="A5819" t="s">
        <v>3671</v>
      </c>
      <c r="B5819" t="s">
        <v>11166</v>
      </c>
    </row>
    <row r="5820" spans="1:2" x14ac:dyDescent="0.25">
      <c r="A5820" t="s">
        <v>10406</v>
      </c>
      <c r="B5820" t="s">
        <v>11166</v>
      </c>
    </row>
    <row r="5821" spans="1:2" x14ac:dyDescent="0.25">
      <c r="A5821" t="s">
        <v>8186</v>
      </c>
      <c r="B5821" t="s">
        <v>11166</v>
      </c>
    </row>
    <row r="5822" spans="1:2" x14ac:dyDescent="0.25">
      <c r="A5822" t="s">
        <v>11167</v>
      </c>
      <c r="B5822" t="s">
        <v>7553</v>
      </c>
    </row>
    <row r="5823" spans="1:2" x14ac:dyDescent="0.25">
      <c r="A5823" t="s">
        <v>3672</v>
      </c>
      <c r="B5823" t="s">
        <v>11167</v>
      </c>
    </row>
    <row r="5824" spans="1:2" x14ac:dyDescent="0.25">
      <c r="A5824" t="s">
        <v>10407</v>
      </c>
      <c r="B5824" t="s">
        <v>11167</v>
      </c>
    </row>
    <row r="5825" spans="1:2" x14ac:dyDescent="0.25">
      <c r="A5825" t="s">
        <v>8187</v>
      </c>
      <c r="B5825" t="s">
        <v>11167</v>
      </c>
    </row>
    <row r="5826" spans="1:2" x14ac:dyDescent="0.25">
      <c r="A5826" t="s">
        <v>10845</v>
      </c>
      <c r="B5826" t="s">
        <v>7553</v>
      </c>
    </row>
    <row r="5827" spans="1:2" x14ac:dyDescent="0.25">
      <c r="A5827" t="s">
        <v>3673</v>
      </c>
      <c r="B5827" t="s">
        <v>10845</v>
      </c>
    </row>
    <row r="5828" spans="1:2" x14ac:dyDescent="0.25">
      <c r="A5828" t="s">
        <v>10408</v>
      </c>
      <c r="B5828" t="s">
        <v>10845</v>
      </c>
    </row>
    <row r="5829" spans="1:2" x14ac:dyDescent="0.25">
      <c r="A5829" t="s">
        <v>8188</v>
      </c>
      <c r="B5829" t="s">
        <v>10845</v>
      </c>
    </row>
    <row r="5830" spans="1:2" x14ac:dyDescent="0.25">
      <c r="A5830" t="s">
        <v>11168</v>
      </c>
      <c r="B5830" t="s">
        <v>7553</v>
      </c>
    </row>
    <row r="5831" spans="1:2" x14ac:dyDescent="0.25">
      <c r="A5831" t="s">
        <v>3674</v>
      </c>
      <c r="B5831" t="s">
        <v>11168</v>
      </c>
    </row>
    <row r="5832" spans="1:2" x14ac:dyDescent="0.25">
      <c r="A5832" t="s">
        <v>10409</v>
      </c>
      <c r="B5832" t="s">
        <v>11168</v>
      </c>
    </row>
    <row r="5833" spans="1:2" x14ac:dyDescent="0.25">
      <c r="A5833" t="s">
        <v>8189</v>
      </c>
      <c r="B5833" t="s">
        <v>11168</v>
      </c>
    </row>
    <row r="5834" spans="1:2" x14ac:dyDescent="0.25">
      <c r="A5834" t="s">
        <v>16121</v>
      </c>
      <c r="B5834" t="s">
        <v>7553</v>
      </c>
    </row>
    <row r="5835" spans="1:2" x14ac:dyDescent="0.25">
      <c r="A5835" t="s">
        <v>16122</v>
      </c>
      <c r="B5835" t="s">
        <v>16121</v>
      </c>
    </row>
    <row r="5836" spans="1:2" x14ac:dyDescent="0.25">
      <c r="A5836" t="s">
        <v>16123</v>
      </c>
      <c r="B5836" t="s">
        <v>16121</v>
      </c>
    </row>
    <row r="5837" spans="1:2" x14ac:dyDescent="0.25">
      <c r="A5837" t="s">
        <v>12155</v>
      </c>
      <c r="B5837" t="s">
        <v>12669</v>
      </c>
    </row>
    <row r="5838" spans="1:2" x14ac:dyDescent="0.25">
      <c r="A5838" t="s">
        <v>12810</v>
      </c>
      <c r="B5838" t="s">
        <v>12155</v>
      </c>
    </row>
    <row r="5839" spans="1:2" x14ac:dyDescent="0.25">
      <c r="A5839" t="s">
        <v>11169</v>
      </c>
      <c r="B5839" t="s">
        <v>12155</v>
      </c>
    </row>
    <row r="5840" spans="1:2" x14ac:dyDescent="0.25">
      <c r="A5840" t="s">
        <v>12554</v>
      </c>
      <c r="B5840" t="s">
        <v>12688</v>
      </c>
    </row>
    <row r="5841" spans="1:2" x14ac:dyDescent="0.25">
      <c r="A5841" t="s">
        <v>10413</v>
      </c>
      <c r="B5841" t="s">
        <v>12554</v>
      </c>
    </row>
    <row r="5842" spans="1:2" x14ac:dyDescent="0.25">
      <c r="A5842" t="s">
        <v>12432</v>
      </c>
      <c r="B5842" t="s">
        <v>10413</v>
      </c>
    </row>
    <row r="5843" spans="1:2" x14ac:dyDescent="0.25">
      <c r="A5843" t="s">
        <v>5940</v>
      </c>
      <c r="B5843" t="s">
        <v>12432</v>
      </c>
    </row>
    <row r="5844" spans="1:2" x14ac:dyDescent="0.25">
      <c r="A5844" t="s">
        <v>3675</v>
      </c>
      <c r="B5844" t="s">
        <v>12432</v>
      </c>
    </row>
    <row r="5845" spans="1:2" x14ac:dyDescent="0.25">
      <c r="A5845" t="s">
        <v>12433</v>
      </c>
      <c r="B5845" t="s">
        <v>10413</v>
      </c>
    </row>
    <row r="5846" spans="1:2" x14ac:dyDescent="0.25">
      <c r="A5846" t="s">
        <v>5941</v>
      </c>
      <c r="B5846" t="s">
        <v>12433</v>
      </c>
    </row>
    <row r="5847" spans="1:2" x14ac:dyDescent="0.25">
      <c r="A5847" t="s">
        <v>3676</v>
      </c>
      <c r="B5847" t="s">
        <v>12433</v>
      </c>
    </row>
    <row r="5848" spans="1:2" x14ac:dyDescent="0.25">
      <c r="A5848" t="s">
        <v>12159</v>
      </c>
      <c r="B5848" t="s">
        <v>10413</v>
      </c>
    </row>
    <row r="5849" spans="1:2" x14ac:dyDescent="0.25">
      <c r="A5849" t="s">
        <v>5942</v>
      </c>
      <c r="B5849" t="s">
        <v>12159</v>
      </c>
    </row>
    <row r="5850" spans="1:2" x14ac:dyDescent="0.25">
      <c r="A5850" t="s">
        <v>3677</v>
      </c>
      <c r="B5850" t="s">
        <v>12159</v>
      </c>
    </row>
    <row r="5851" spans="1:2" x14ac:dyDescent="0.25">
      <c r="A5851" t="s">
        <v>12434</v>
      </c>
      <c r="B5851" t="s">
        <v>10413</v>
      </c>
    </row>
    <row r="5852" spans="1:2" x14ac:dyDescent="0.25">
      <c r="A5852" t="s">
        <v>5943</v>
      </c>
      <c r="B5852" t="s">
        <v>12434</v>
      </c>
    </row>
    <row r="5853" spans="1:2" x14ac:dyDescent="0.25">
      <c r="A5853" t="s">
        <v>3678</v>
      </c>
      <c r="B5853" t="s">
        <v>12434</v>
      </c>
    </row>
    <row r="5854" spans="1:2" x14ac:dyDescent="0.25">
      <c r="A5854" t="s">
        <v>16124</v>
      </c>
      <c r="B5854" t="s">
        <v>10413</v>
      </c>
    </row>
    <row r="5855" spans="1:2" x14ac:dyDescent="0.25">
      <c r="A5855" t="s">
        <v>16125</v>
      </c>
      <c r="B5855" t="s">
        <v>16124</v>
      </c>
    </row>
    <row r="5856" spans="1:2" x14ac:dyDescent="0.25">
      <c r="A5856" t="s">
        <v>16126</v>
      </c>
      <c r="B5856" t="s">
        <v>16124</v>
      </c>
    </row>
    <row r="5857" spans="1:2" x14ac:dyDescent="0.25">
      <c r="A5857" t="s">
        <v>16127</v>
      </c>
      <c r="B5857" t="s">
        <v>16124</v>
      </c>
    </row>
    <row r="5858" spans="1:2" x14ac:dyDescent="0.25">
      <c r="A5858" t="s">
        <v>7556</v>
      </c>
      <c r="B5858" t="s">
        <v>12554</v>
      </c>
    </row>
    <row r="5859" spans="1:2" x14ac:dyDescent="0.25">
      <c r="A5859" t="s">
        <v>9830</v>
      </c>
      <c r="B5859" t="s">
        <v>7556</v>
      </c>
    </row>
    <row r="5860" spans="1:2" x14ac:dyDescent="0.25">
      <c r="A5860" t="s">
        <v>10849</v>
      </c>
      <c r="B5860" t="s">
        <v>9830</v>
      </c>
    </row>
    <row r="5861" spans="1:2" x14ac:dyDescent="0.25">
      <c r="A5861" t="s">
        <v>11171</v>
      </c>
      <c r="B5861" t="s">
        <v>7556</v>
      </c>
    </row>
    <row r="5862" spans="1:2" x14ac:dyDescent="0.25">
      <c r="A5862" t="s">
        <v>3679</v>
      </c>
      <c r="B5862" t="s">
        <v>11171</v>
      </c>
    </row>
    <row r="5863" spans="1:2" x14ac:dyDescent="0.25">
      <c r="A5863" t="s">
        <v>10414</v>
      </c>
      <c r="B5863" t="s">
        <v>11171</v>
      </c>
    </row>
    <row r="5864" spans="1:2" x14ac:dyDescent="0.25">
      <c r="A5864" t="s">
        <v>8191</v>
      </c>
      <c r="B5864" t="s">
        <v>11171</v>
      </c>
    </row>
    <row r="5865" spans="1:2" x14ac:dyDescent="0.25">
      <c r="A5865" t="s">
        <v>11172</v>
      </c>
      <c r="B5865" t="s">
        <v>7556</v>
      </c>
    </row>
    <row r="5866" spans="1:2" x14ac:dyDescent="0.25">
      <c r="A5866" t="s">
        <v>3680</v>
      </c>
      <c r="B5866" t="s">
        <v>11172</v>
      </c>
    </row>
    <row r="5867" spans="1:2" x14ac:dyDescent="0.25">
      <c r="A5867" t="s">
        <v>10415</v>
      </c>
      <c r="B5867" t="s">
        <v>11172</v>
      </c>
    </row>
    <row r="5868" spans="1:2" x14ac:dyDescent="0.25">
      <c r="A5868" t="s">
        <v>8192</v>
      </c>
      <c r="B5868" t="s">
        <v>11172</v>
      </c>
    </row>
    <row r="5869" spans="1:2" x14ac:dyDescent="0.25">
      <c r="A5869" t="s">
        <v>10850</v>
      </c>
      <c r="B5869" t="s">
        <v>7556</v>
      </c>
    </row>
    <row r="5870" spans="1:2" x14ac:dyDescent="0.25">
      <c r="A5870" t="s">
        <v>3681</v>
      </c>
      <c r="B5870" t="s">
        <v>10850</v>
      </c>
    </row>
    <row r="5871" spans="1:2" x14ac:dyDescent="0.25">
      <c r="A5871" t="s">
        <v>10416</v>
      </c>
      <c r="B5871" t="s">
        <v>10850</v>
      </c>
    </row>
    <row r="5872" spans="1:2" x14ac:dyDescent="0.25">
      <c r="A5872" t="s">
        <v>8193</v>
      </c>
      <c r="B5872" t="s">
        <v>10850</v>
      </c>
    </row>
    <row r="5873" spans="1:2" x14ac:dyDescent="0.25">
      <c r="A5873" t="s">
        <v>11173</v>
      </c>
      <c r="B5873" t="s">
        <v>7556</v>
      </c>
    </row>
    <row r="5874" spans="1:2" x14ac:dyDescent="0.25">
      <c r="A5874" t="s">
        <v>3682</v>
      </c>
      <c r="B5874" t="s">
        <v>11173</v>
      </c>
    </row>
    <row r="5875" spans="1:2" x14ac:dyDescent="0.25">
      <c r="A5875" t="s">
        <v>10417</v>
      </c>
      <c r="B5875" t="s">
        <v>11173</v>
      </c>
    </row>
    <row r="5876" spans="1:2" x14ac:dyDescent="0.25">
      <c r="A5876" t="s">
        <v>8194</v>
      </c>
      <c r="B5876" t="s">
        <v>11173</v>
      </c>
    </row>
    <row r="5877" spans="1:2" x14ac:dyDescent="0.25">
      <c r="A5877" t="s">
        <v>16128</v>
      </c>
      <c r="B5877" t="s">
        <v>7556</v>
      </c>
    </row>
    <row r="5878" spans="1:2" x14ac:dyDescent="0.25">
      <c r="A5878" t="s">
        <v>16129</v>
      </c>
      <c r="B5878" t="s">
        <v>16128</v>
      </c>
    </row>
    <row r="5879" spans="1:2" x14ac:dyDescent="0.25">
      <c r="A5879" t="s">
        <v>16130</v>
      </c>
      <c r="B5879" t="s">
        <v>16128</v>
      </c>
    </row>
    <row r="5880" spans="1:2" x14ac:dyDescent="0.25">
      <c r="A5880" t="s">
        <v>12160</v>
      </c>
      <c r="B5880" t="s">
        <v>12554</v>
      </c>
    </row>
    <row r="5881" spans="1:2" x14ac:dyDescent="0.25">
      <c r="A5881" t="s">
        <v>12811</v>
      </c>
      <c r="B5881" t="s">
        <v>12160</v>
      </c>
    </row>
    <row r="5882" spans="1:2" x14ac:dyDescent="0.25">
      <c r="A5882" t="s">
        <v>11174</v>
      </c>
      <c r="B5882" t="s">
        <v>12160</v>
      </c>
    </row>
    <row r="5883" spans="1:2" x14ac:dyDescent="0.25">
      <c r="A5883" t="s">
        <v>8537</v>
      </c>
      <c r="B5883" t="s">
        <v>12688</v>
      </c>
    </row>
    <row r="5884" spans="1:2" x14ac:dyDescent="0.25">
      <c r="A5884" t="s">
        <v>10427</v>
      </c>
      <c r="B5884" t="s">
        <v>8537</v>
      </c>
    </row>
    <row r="5885" spans="1:2" x14ac:dyDescent="0.25">
      <c r="A5885" t="s">
        <v>12439</v>
      </c>
      <c r="B5885" t="s">
        <v>10427</v>
      </c>
    </row>
    <row r="5886" spans="1:2" x14ac:dyDescent="0.25">
      <c r="A5886" t="s">
        <v>5946</v>
      </c>
      <c r="B5886" t="s">
        <v>12439</v>
      </c>
    </row>
    <row r="5887" spans="1:2" x14ac:dyDescent="0.25">
      <c r="A5887" t="s">
        <v>3684</v>
      </c>
      <c r="B5887" t="s">
        <v>12439</v>
      </c>
    </row>
    <row r="5888" spans="1:2" x14ac:dyDescent="0.25">
      <c r="A5888" t="s">
        <v>12440</v>
      </c>
      <c r="B5888" t="s">
        <v>10427</v>
      </c>
    </row>
    <row r="5889" spans="1:2" x14ac:dyDescent="0.25">
      <c r="A5889" t="s">
        <v>5947</v>
      </c>
      <c r="B5889" t="s">
        <v>12440</v>
      </c>
    </row>
    <row r="5890" spans="1:2" x14ac:dyDescent="0.25">
      <c r="A5890" t="s">
        <v>3685</v>
      </c>
      <c r="B5890" t="s">
        <v>12440</v>
      </c>
    </row>
    <row r="5891" spans="1:2" x14ac:dyDescent="0.25">
      <c r="A5891" t="s">
        <v>12169</v>
      </c>
      <c r="B5891" t="s">
        <v>10427</v>
      </c>
    </row>
    <row r="5892" spans="1:2" x14ac:dyDescent="0.25">
      <c r="A5892" t="s">
        <v>5948</v>
      </c>
      <c r="B5892" t="s">
        <v>12169</v>
      </c>
    </row>
    <row r="5893" spans="1:2" x14ac:dyDescent="0.25">
      <c r="A5893" t="s">
        <v>3686</v>
      </c>
      <c r="B5893" t="s">
        <v>12169</v>
      </c>
    </row>
    <row r="5894" spans="1:2" x14ac:dyDescent="0.25">
      <c r="A5894" t="s">
        <v>12441</v>
      </c>
      <c r="B5894" t="s">
        <v>10427</v>
      </c>
    </row>
    <row r="5895" spans="1:2" x14ac:dyDescent="0.25">
      <c r="A5895" t="s">
        <v>5949</v>
      </c>
      <c r="B5895" t="s">
        <v>12441</v>
      </c>
    </row>
    <row r="5896" spans="1:2" x14ac:dyDescent="0.25">
      <c r="A5896" t="s">
        <v>3687</v>
      </c>
      <c r="B5896" t="s">
        <v>12441</v>
      </c>
    </row>
    <row r="5897" spans="1:2" x14ac:dyDescent="0.25">
      <c r="A5897" t="s">
        <v>16131</v>
      </c>
      <c r="B5897" t="s">
        <v>10427</v>
      </c>
    </row>
    <row r="5898" spans="1:2" x14ac:dyDescent="0.25">
      <c r="A5898" t="s">
        <v>16132</v>
      </c>
      <c r="B5898" t="s">
        <v>16131</v>
      </c>
    </row>
    <row r="5899" spans="1:2" x14ac:dyDescent="0.25">
      <c r="A5899" t="s">
        <v>16133</v>
      </c>
      <c r="B5899" t="s">
        <v>16131</v>
      </c>
    </row>
    <row r="5900" spans="1:2" x14ac:dyDescent="0.25">
      <c r="A5900" t="s">
        <v>16134</v>
      </c>
      <c r="B5900" t="s">
        <v>16131</v>
      </c>
    </row>
    <row r="5901" spans="1:2" x14ac:dyDescent="0.25">
      <c r="A5901" t="s">
        <v>7565</v>
      </c>
      <c r="B5901" t="s">
        <v>8537</v>
      </c>
    </row>
    <row r="5902" spans="1:2" x14ac:dyDescent="0.25">
      <c r="A5902" t="s">
        <v>9835</v>
      </c>
      <c r="B5902" t="s">
        <v>7565</v>
      </c>
    </row>
    <row r="5903" spans="1:2" x14ac:dyDescent="0.25">
      <c r="A5903" t="s">
        <v>10857</v>
      </c>
      <c r="B5903" t="s">
        <v>9835</v>
      </c>
    </row>
    <row r="5904" spans="1:2" x14ac:dyDescent="0.25">
      <c r="A5904" t="s">
        <v>11179</v>
      </c>
      <c r="B5904" t="s">
        <v>7565</v>
      </c>
    </row>
    <row r="5905" spans="1:2" x14ac:dyDescent="0.25">
      <c r="A5905" t="s">
        <v>3688</v>
      </c>
      <c r="B5905" t="s">
        <v>11179</v>
      </c>
    </row>
    <row r="5906" spans="1:2" x14ac:dyDescent="0.25">
      <c r="A5906" t="s">
        <v>10428</v>
      </c>
      <c r="B5906" t="s">
        <v>11179</v>
      </c>
    </row>
    <row r="5907" spans="1:2" x14ac:dyDescent="0.25">
      <c r="A5907" t="s">
        <v>8199</v>
      </c>
      <c r="B5907" t="s">
        <v>11179</v>
      </c>
    </row>
    <row r="5908" spans="1:2" x14ac:dyDescent="0.25">
      <c r="A5908" t="s">
        <v>11180</v>
      </c>
      <c r="B5908" t="s">
        <v>7565</v>
      </c>
    </row>
    <row r="5909" spans="1:2" x14ac:dyDescent="0.25">
      <c r="A5909" t="s">
        <v>3689</v>
      </c>
      <c r="B5909" t="s">
        <v>11180</v>
      </c>
    </row>
    <row r="5910" spans="1:2" x14ac:dyDescent="0.25">
      <c r="A5910" t="s">
        <v>10429</v>
      </c>
      <c r="B5910" t="s">
        <v>11180</v>
      </c>
    </row>
    <row r="5911" spans="1:2" x14ac:dyDescent="0.25">
      <c r="A5911" t="s">
        <v>8200</v>
      </c>
      <c r="B5911" t="s">
        <v>11180</v>
      </c>
    </row>
    <row r="5912" spans="1:2" x14ac:dyDescent="0.25">
      <c r="A5912" t="s">
        <v>10858</v>
      </c>
      <c r="B5912" t="s">
        <v>7565</v>
      </c>
    </row>
    <row r="5913" spans="1:2" x14ac:dyDescent="0.25">
      <c r="A5913" t="s">
        <v>3690</v>
      </c>
      <c r="B5913" t="s">
        <v>10858</v>
      </c>
    </row>
    <row r="5914" spans="1:2" x14ac:dyDescent="0.25">
      <c r="A5914" t="s">
        <v>10430</v>
      </c>
      <c r="B5914" t="s">
        <v>10858</v>
      </c>
    </row>
    <row r="5915" spans="1:2" x14ac:dyDescent="0.25">
      <c r="A5915" t="s">
        <v>8201</v>
      </c>
      <c r="B5915" t="s">
        <v>10858</v>
      </c>
    </row>
    <row r="5916" spans="1:2" x14ac:dyDescent="0.25">
      <c r="A5916" t="s">
        <v>11181</v>
      </c>
      <c r="B5916" t="s">
        <v>7565</v>
      </c>
    </row>
    <row r="5917" spans="1:2" x14ac:dyDescent="0.25">
      <c r="A5917" t="s">
        <v>3691</v>
      </c>
      <c r="B5917" t="s">
        <v>11181</v>
      </c>
    </row>
    <row r="5918" spans="1:2" x14ac:dyDescent="0.25">
      <c r="A5918" t="s">
        <v>10431</v>
      </c>
      <c r="B5918" t="s">
        <v>11181</v>
      </c>
    </row>
    <row r="5919" spans="1:2" x14ac:dyDescent="0.25">
      <c r="A5919" t="s">
        <v>8202</v>
      </c>
      <c r="B5919" t="s">
        <v>11181</v>
      </c>
    </row>
    <row r="5920" spans="1:2" x14ac:dyDescent="0.25">
      <c r="A5920" t="s">
        <v>16135</v>
      </c>
      <c r="B5920" t="s">
        <v>7565</v>
      </c>
    </row>
    <row r="5921" spans="1:2" x14ac:dyDescent="0.25">
      <c r="A5921" t="s">
        <v>16136</v>
      </c>
      <c r="B5921" t="s">
        <v>16135</v>
      </c>
    </row>
    <row r="5922" spans="1:2" x14ac:dyDescent="0.25">
      <c r="A5922" t="s">
        <v>16137</v>
      </c>
      <c r="B5922" t="s">
        <v>16135</v>
      </c>
    </row>
    <row r="5923" spans="1:2" x14ac:dyDescent="0.25">
      <c r="A5923" t="s">
        <v>12170</v>
      </c>
      <c r="B5923" t="s">
        <v>8537</v>
      </c>
    </row>
    <row r="5924" spans="1:2" x14ac:dyDescent="0.25">
      <c r="A5924" t="s">
        <v>12813</v>
      </c>
      <c r="B5924" t="s">
        <v>12170</v>
      </c>
    </row>
    <row r="5925" spans="1:2" x14ac:dyDescent="0.25">
      <c r="A5925" t="s">
        <v>11182</v>
      </c>
      <c r="B5925" t="s">
        <v>12170</v>
      </c>
    </row>
    <row r="5926" spans="1:2" x14ac:dyDescent="0.25">
      <c r="A5926" t="s">
        <v>12756</v>
      </c>
      <c r="B5926" t="s">
        <v>12688</v>
      </c>
    </row>
    <row r="5927" spans="1:2" x14ac:dyDescent="0.25">
      <c r="A5927" t="s">
        <v>10447</v>
      </c>
      <c r="B5927" t="s">
        <v>12756</v>
      </c>
    </row>
    <row r="5928" spans="1:2" x14ac:dyDescent="0.25">
      <c r="A5928" t="s">
        <v>12446</v>
      </c>
      <c r="B5928" t="s">
        <v>10447</v>
      </c>
    </row>
    <row r="5929" spans="1:2" x14ac:dyDescent="0.25">
      <c r="A5929" t="s">
        <v>5951</v>
      </c>
      <c r="B5929" t="s">
        <v>12446</v>
      </c>
    </row>
    <row r="5930" spans="1:2" x14ac:dyDescent="0.25">
      <c r="A5930" t="s">
        <v>3693</v>
      </c>
      <c r="B5930" t="s">
        <v>12446</v>
      </c>
    </row>
    <row r="5931" spans="1:2" x14ac:dyDescent="0.25">
      <c r="A5931" t="s">
        <v>8206</v>
      </c>
      <c r="B5931" t="s">
        <v>12446</v>
      </c>
    </row>
    <row r="5932" spans="1:2" x14ac:dyDescent="0.25">
      <c r="A5932" t="s">
        <v>12447</v>
      </c>
      <c r="B5932" t="s">
        <v>10447</v>
      </c>
    </row>
    <row r="5933" spans="1:2" x14ac:dyDescent="0.25">
      <c r="A5933" t="s">
        <v>5952</v>
      </c>
      <c r="B5933" t="s">
        <v>12447</v>
      </c>
    </row>
    <row r="5934" spans="1:2" x14ac:dyDescent="0.25">
      <c r="A5934" t="s">
        <v>3694</v>
      </c>
      <c r="B5934" t="s">
        <v>12447</v>
      </c>
    </row>
    <row r="5935" spans="1:2" x14ac:dyDescent="0.25">
      <c r="A5935" t="s">
        <v>12179</v>
      </c>
      <c r="B5935" t="s">
        <v>10447</v>
      </c>
    </row>
    <row r="5936" spans="1:2" x14ac:dyDescent="0.25">
      <c r="A5936" t="s">
        <v>5953</v>
      </c>
      <c r="B5936" t="s">
        <v>12179</v>
      </c>
    </row>
    <row r="5937" spans="1:2" x14ac:dyDescent="0.25">
      <c r="A5937" t="s">
        <v>3695</v>
      </c>
      <c r="B5937" t="s">
        <v>12179</v>
      </c>
    </row>
    <row r="5938" spans="1:2" x14ac:dyDescent="0.25">
      <c r="A5938" t="s">
        <v>8207</v>
      </c>
      <c r="B5938" t="s">
        <v>12179</v>
      </c>
    </row>
    <row r="5939" spans="1:2" x14ac:dyDescent="0.25">
      <c r="A5939" t="s">
        <v>12448</v>
      </c>
      <c r="B5939" t="s">
        <v>10447</v>
      </c>
    </row>
    <row r="5940" spans="1:2" x14ac:dyDescent="0.25">
      <c r="A5940" t="s">
        <v>5954</v>
      </c>
      <c r="B5940" t="s">
        <v>12448</v>
      </c>
    </row>
    <row r="5941" spans="1:2" x14ac:dyDescent="0.25">
      <c r="A5941" t="s">
        <v>3696</v>
      </c>
      <c r="B5941" t="s">
        <v>12448</v>
      </c>
    </row>
    <row r="5942" spans="1:2" x14ac:dyDescent="0.25">
      <c r="A5942" t="s">
        <v>16138</v>
      </c>
      <c r="B5942" t="s">
        <v>10447</v>
      </c>
    </row>
    <row r="5943" spans="1:2" x14ac:dyDescent="0.25">
      <c r="A5943" t="s">
        <v>16139</v>
      </c>
      <c r="B5943" t="s">
        <v>16138</v>
      </c>
    </row>
    <row r="5944" spans="1:2" x14ac:dyDescent="0.25">
      <c r="A5944" t="s">
        <v>16140</v>
      </c>
      <c r="B5944" t="s">
        <v>16138</v>
      </c>
    </row>
    <row r="5945" spans="1:2" x14ac:dyDescent="0.25">
      <c r="A5945" t="s">
        <v>16141</v>
      </c>
      <c r="B5945" t="s">
        <v>16138</v>
      </c>
    </row>
    <row r="5946" spans="1:2" x14ac:dyDescent="0.25">
      <c r="A5946" t="s">
        <v>7575</v>
      </c>
      <c r="B5946" t="s">
        <v>12756</v>
      </c>
    </row>
    <row r="5947" spans="1:2" x14ac:dyDescent="0.25">
      <c r="A5947" t="s">
        <v>9838</v>
      </c>
      <c r="B5947" t="s">
        <v>7575</v>
      </c>
    </row>
    <row r="5948" spans="1:2" x14ac:dyDescent="0.25">
      <c r="A5948" t="s">
        <v>10871</v>
      </c>
      <c r="B5948" t="s">
        <v>9838</v>
      </c>
    </row>
    <row r="5949" spans="1:2" x14ac:dyDescent="0.25">
      <c r="A5949" t="s">
        <v>11187</v>
      </c>
      <c r="B5949" t="s">
        <v>7575</v>
      </c>
    </row>
    <row r="5950" spans="1:2" x14ac:dyDescent="0.25">
      <c r="A5950" t="s">
        <v>3697</v>
      </c>
      <c r="B5950" t="s">
        <v>11187</v>
      </c>
    </row>
    <row r="5951" spans="1:2" x14ac:dyDescent="0.25">
      <c r="A5951" t="s">
        <v>10448</v>
      </c>
      <c r="B5951" t="s">
        <v>11187</v>
      </c>
    </row>
    <row r="5952" spans="1:2" x14ac:dyDescent="0.25">
      <c r="A5952" t="s">
        <v>8208</v>
      </c>
      <c r="B5952" t="s">
        <v>11187</v>
      </c>
    </row>
    <row r="5953" spans="1:2" x14ac:dyDescent="0.25">
      <c r="A5953" t="s">
        <v>11188</v>
      </c>
      <c r="B5953" t="s">
        <v>7575</v>
      </c>
    </row>
    <row r="5954" spans="1:2" x14ac:dyDescent="0.25">
      <c r="A5954" t="s">
        <v>3698</v>
      </c>
      <c r="B5954" t="s">
        <v>11188</v>
      </c>
    </row>
    <row r="5955" spans="1:2" x14ac:dyDescent="0.25">
      <c r="A5955" t="s">
        <v>10449</v>
      </c>
      <c r="B5955" t="s">
        <v>11188</v>
      </c>
    </row>
    <row r="5956" spans="1:2" x14ac:dyDescent="0.25">
      <c r="A5956" t="s">
        <v>8209</v>
      </c>
      <c r="B5956" t="s">
        <v>11188</v>
      </c>
    </row>
    <row r="5957" spans="1:2" x14ac:dyDescent="0.25">
      <c r="A5957" t="s">
        <v>10872</v>
      </c>
      <c r="B5957" t="s">
        <v>7575</v>
      </c>
    </row>
    <row r="5958" spans="1:2" x14ac:dyDescent="0.25">
      <c r="A5958" t="s">
        <v>3699</v>
      </c>
      <c r="B5958" t="s">
        <v>10872</v>
      </c>
    </row>
    <row r="5959" spans="1:2" x14ac:dyDescent="0.25">
      <c r="A5959" t="s">
        <v>10450</v>
      </c>
      <c r="B5959" t="s">
        <v>10872</v>
      </c>
    </row>
    <row r="5960" spans="1:2" x14ac:dyDescent="0.25">
      <c r="A5960" t="s">
        <v>8210</v>
      </c>
      <c r="B5960" t="s">
        <v>10872</v>
      </c>
    </row>
    <row r="5961" spans="1:2" x14ac:dyDescent="0.25">
      <c r="A5961" t="s">
        <v>11189</v>
      </c>
      <c r="B5961" t="s">
        <v>7575</v>
      </c>
    </row>
    <row r="5962" spans="1:2" x14ac:dyDescent="0.25">
      <c r="A5962" t="s">
        <v>3700</v>
      </c>
      <c r="B5962" t="s">
        <v>11189</v>
      </c>
    </row>
    <row r="5963" spans="1:2" x14ac:dyDescent="0.25">
      <c r="A5963" t="s">
        <v>10451</v>
      </c>
      <c r="B5963" t="s">
        <v>11189</v>
      </c>
    </row>
    <row r="5964" spans="1:2" x14ac:dyDescent="0.25">
      <c r="A5964" t="s">
        <v>8211</v>
      </c>
      <c r="B5964" t="s">
        <v>11189</v>
      </c>
    </row>
    <row r="5965" spans="1:2" x14ac:dyDescent="0.25">
      <c r="A5965" t="s">
        <v>16142</v>
      </c>
      <c r="B5965" t="s">
        <v>7575</v>
      </c>
    </row>
    <row r="5966" spans="1:2" x14ac:dyDescent="0.25">
      <c r="A5966" t="s">
        <v>16143</v>
      </c>
      <c r="B5966" t="s">
        <v>16142</v>
      </c>
    </row>
    <row r="5967" spans="1:2" x14ac:dyDescent="0.25">
      <c r="A5967" t="s">
        <v>16144</v>
      </c>
      <c r="B5967" t="s">
        <v>16142</v>
      </c>
    </row>
    <row r="5968" spans="1:2" x14ac:dyDescent="0.25">
      <c r="A5968" t="s">
        <v>12180</v>
      </c>
      <c r="B5968" t="s">
        <v>12756</v>
      </c>
    </row>
    <row r="5969" spans="1:2" x14ac:dyDescent="0.25">
      <c r="A5969" t="s">
        <v>12814</v>
      </c>
      <c r="B5969" t="s">
        <v>12180</v>
      </c>
    </row>
    <row r="5970" spans="1:2" x14ac:dyDescent="0.25">
      <c r="A5970" t="s">
        <v>11190</v>
      </c>
      <c r="B5970" t="s">
        <v>12180</v>
      </c>
    </row>
    <row r="5971" spans="1:2" x14ac:dyDescent="0.25">
      <c r="A5971" t="s">
        <v>9804</v>
      </c>
      <c r="B5971" t="s">
        <v>12688</v>
      </c>
    </row>
    <row r="5972" spans="1:2" x14ac:dyDescent="0.25">
      <c r="A5972" t="s">
        <v>10421</v>
      </c>
      <c r="B5972" t="s">
        <v>12688</v>
      </c>
    </row>
    <row r="5973" spans="1:2" x14ac:dyDescent="0.25">
      <c r="A5973" t="s">
        <v>10422</v>
      </c>
      <c r="B5973" t="s">
        <v>10421</v>
      </c>
    </row>
    <row r="5974" spans="1:2" x14ac:dyDescent="0.25">
      <c r="A5974" t="s">
        <v>6887</v>
      </c>
      <c r="B5974" t="s">
        <v>10422</v>
      </c>
    </row>
    <row r="5975" spans="1:2" x14ac:dyDescent="0.25">
      <c r="A5975" t="s">
        <v>12163</v>
      </c>
      <c r="B5975" t="s">
        <v>10421</v>
      </c>
    </row>
    <row r="5976" spans="1:2" x14ac:dyDescent="0.25">
      <c r="A5976" t="s">
        <v>9832</v>
      </c>
      <c r="B5976" t="s">
        <v>12163</v>
      </c>
    </row>
    <row r="5977" spans="1:2" x14ac:dyDescent="0.25">
      <c r="A5977" t="s">
        <v>12437</v>
      </c>
      <c r="B5977" t="s">
        <v>10421</v>
      </c>
    </row>
    <row r="5978" spans="1:2" x14ac:dyDescent="0.25">
      <c r="A5978" t="s">
        <v>10423</v>
      </c>
      <c r="B5978" t="s">
        <v>12437</v>
      </c>
    </row>
    <row r="5979" spans="1:2" x14ac:dyDescent="0.25">
      <c r="A5979" t="s">
        <v>16145</v>
      </c>
      <c r="B5979" t="s">
        <v>10421</v>
      </c>
    </row>
    <row r="5980" spans="1:2" x14ac:dyDescent="0.25">
      <c r="A5980" t="s">
        <v>16146</v>
      </c>
      <c r="B5980" t="s">
        <v>16145</v>
      </c>
    </row>
    <row r="5981" spans="1:2" x14ac:dyDescent="0.25">
      <c r="A5981" t="s">
        <v>16147</v>
      </c>
      <c r="B5981" t="s">
        <v>16145</v>
      </c>
    </row>
    <row r="5982" spans="1:2" x14ac:dyDescent="0.25">
      <c r="A5982" t="s">
        <v>16148</v>
      </c>
      <c r="B5982" t="s">
        <v>16145</v>
      </c>
    </row>
    <row r="5983" spans="1:2" x14ac:dyDescent="0.25">
      <c r="A5983" t="s">
        <v>7562</v>
      </c>
      <c r="B5983" t="s">
        <v>12688</v>
      </c>
    </row>
    <row r="5984" spans="1:2" x14ac:dyDescent="0.25">
      <c r="A5984" t="s">
        <v>9833</v>
      </c>
      <c r="B5984" t="s">
        <v>7562</v>
      </c>
    </row>
    <row r="5985" spans="1:2" x14ac:dyDescent="0.25">
      <c r="A5985" t="s">
        <v>10853</v>
      </c>
      <c r="B5985" t="s">
        <v>9833</v>
      </c>
    </row>
    <row r="5986" spans="1:2" x14ac:dyDescent="0.25">
      <c r="A5986" t="s">
        <v>16149</v>
      </c>
      <c r="B5986" t="s">
        <v>7562</v>
      </c>
    </row>
    <row r="5987" spans="1:2" x14ac:dyDescent="0.25">
      <c r="A5987" t="s">
        <v>16150</v>
      </c>
      <c r="B5987" t="s">
        <v>16149</v>
      </c>
    </row>
    <row r="5988" spans="1:2" x14ac:dyDescent="0.25">
      <c r="A5988" t="s">
        <v>16151</v>
      </c>
      <c r="B5988" t="s">
        <v>16149</v>
      </c>
    </row>
    <row r="5989" spans="1:2" x14ac:dyDescent="0.25">
      <c r="A5989" t="s">
        <v>12164</v>
      </c>
      <c r="B5989" t="s">
        <v>12688</v>
      </c>
    </row>
    <row r="5990" spans="1:2" x14ac:dyDescent="0.25">
      <c r="A5990" t="s">
        <v>6401</v>
      </c>
      <c r="B5990" t="s">
        <v>12164</v>
      </c>
    </row>
    <row r="5991" spans="1:2" x14ac:dyDescent="0.25">
      <c r="A5991" t="s">
        <v>9464</v>
      </c>
      <c r="B5991" t="s">
        <v>12164</v>
      </c>
    </row>
    <row r="5992" spans="1:2" x14ac:dyDescent="0.25">
      <c r="A5992" t="s">
        <v>12165</v>
      </c>
      <c r="B5992" t="s">
        <v>12164</v>
      </c>
    </row>
    <row r="5993" spans="1:2" x14ac:dyDescent="0.25">
      <c r="A5993" t="s">
        <v>12812</v>
      </c>
      <c r="B5993" t="s">
        <v>12164</v>
      </c>
    </row>
    <row r="5994" spans="1:2" x14ac:dyDescent="0.25">
      <c r="A5994" t="s">
        <v>5549</v>
      </c>
      <c r="B5994" t="s">
        <v>12164</v>
      </c>
    </row>
    <row r="5995" spans="1:2" x14ac:dyDescent="0.25">
      <c r="A5995" t="s">
        <v>12752</v>
      </c>
      <c r="B5995" t="s">
        <v>12688</v>
      </c>
    </row>
    <row r="5996" spans="1:2" x14ac:dyDescent="0.25">
      <c r="A5996" t="s">
        <v>10418</v>
      </c>
      <c r="B5996" t="s">
        <v>12752</v>
      </c>
    </row>
    <row r="5997" spans="1:2" x14ac:dyDescent="0.25">
      <c r="A5997" t="s">
        <v>11677</v>
      </c>
      <c r="B5997" t="s">
        <v>10418</v>
      </c>
    </row>
    <row r="5998" spans="1:2" x14ac:dyDescent="0.25">
      <c r="A5998" t="s">
        <v>11175</v>
      </c>
      <c r="B5998" t="s">
        <v>11677</v>
      </c>
    </row>
    <row r="5999" spans="1:2" x14ac:dyDescent="0.25">
      <c r="A5999" t="s">
        <v>11678</v>
      </c>
      <c r="B5999" t="s">
        <v>11677</v>
      </c>
    </row>
    <row r="6000" spans="1:2" x14ac:dyDescent="0.25">
      <c r="A6000" t="s">
        <v>5944</v>
      </c>
      <c r="B6000" t="s">
        <v>11677</v>
      </c>
    </row>
    <row r="6001" spans="1:2" x14ac:dyDescent="0.25">
      <c r="A6001" t="s">
        <v>12435</v>
      </c>
      <c r="B6001" t="s">
        <v>10418</v>
      </c>
    </row>
    <row r="6002" spans="1:2" x14ac:dyDescent="0.25">
      <c r="A6002" t="s">
        <v>6398</v>
      </c>
      <c r="B6002" t="s">
        <v>12435</v>
      </c>
    </row>
    <row r="6003" spans="1:2" x14ac:dyDescent="0.25">
      <c r="A6003" t="s">
        <v>11679</v>
      </c>
      <c r="B6003" t="s">
        <v>10418</v>
      </c>
    </row>
    <row r="6004" spans="1:2" x14ac:dyDescent="0.25">
      <c r="A6004" t="s">
        <v>11176</v>
      </c>
      <c r="B6004" t="s">
        <v>11679</v>
      </c>
    </row>
    <row r="6005" spans="1:2" x14ac:dyDescent="0.25">
      <c r="A6005" t="s">
        <v>11680</v>
      </c>
      <c r="B6005" t="s">
        <v>11679</v>
      </c>
    </row>
    <row r="6006" spans="1:2" x14ac:dyDescent="0.25">
      <c r="A6006" t="s">
        <v>16152</v>
      </c>
      <c r="B6006" t="s">
        <v>10418</v>
      </c>
    </row>
    <row r="6007" spans="1:2" x14ac:dyDescent="0.25">
      <c r="A6007" t="s">
        <v>16153</v>
      </c>
      <c r="B6007" t="s">
        <v>16152</v>
      </c>
    </row>
    <row r="6008" spans="1:2" x14ac:dyDescent="0.25">
      <c r="A6008" t="s">
        <v>16154</v>
      </c>
      <c r="B6008" t="s">
        <v>16152</v>
      </c>
    </row>
    <row r="6009" spans="1:2" x14ac:dyDescent="0.25">
      <c r="A6009" t="s">
        <v>16155</v>
      </c>
      <c r="B6009" t="s">
        <v>16152</v>
      </c>
    </row>
    <row r="6010" spans="1:2" x14ac:dyDescent="0.25">
      <c r="A6010" t="s">
        <v>7557</v>
      </c>
      <c r="B6010" t="s">
        <v>12752</v>
      </c>
    </row>
    <row r="6011" spans="1:2" x14ac:dyDescent="0.25">
      <c r="A6011" t="s">
        <v>9831</v>
      </c>
      <c r="B6011" t="s">
        <v>7557</v>
      </c>
    </row>
    <row r="6012" spans="1:2" x14ac:dyDescent="0.25">
      <c r="A6012" t="s">
        <v>4200</v>
      </c>
      <c r="B6012" t="s">
        <v>9831</v>
      </c>
    </row>
    <row r="6013" spans="1:2" x14ac:dyDescent="0.25">
      <c r="A6013" t="s">
        <v>16156</v>
      </c>
      <c r="B6013" t="s">
        <v>7557</v>
      </c>
    </row>
    <row r="6014" spans="1:2" x14ac:dyDescent="0.25">
      <c r="A6014" t="s">
        <v>16157</v>
      </c>
      <c r="B6014" t="s">
        <v>16156</v>
      </c>
    </row>
    <row r="6015" spans="1:2" x14ac:dyDescent="0.25">
      <c r="A6015" t="s">
        <v>16158</v>
      </c>
      <c r="B6015" t="s">
        <v>16156</v>
      </c>
    </row>
    <row r="6016" spans="1:2" x14ac:dyDescent="0.25">
      <c r="A6016" t="s">
        <v>12161</v>
      </c>
      <c r="B6016" t="s">
        <v>12752</v>
      </c>
    </row>
    <row r="6017" spans="1:2" x14ac:dyDescent="0.25">
      <c r="A6017" t="s">
        <v>12045</v>
      </c>
      <c r="B6017" t="s">
        <v>12902</v>
      </c>
    </row>
    <row r="6018" spans="1:2" x14ac:dyDescent="0.25">
      <c r="A6018" t="s">
        <v>12550</v>
      </c>
      <c r="B6018" t="s">
        <v>12045</v>
      </c>
    </row>
    <row r="6019" spans="1:2" x14ac:dyDescent="0.25">
      <c r="A6019" t="s">
        <v>10384</v>
      </c>
      <c r="B6019" t="s">
        <v>12550</v>
      </c>
    </row>
    <row r="6020" spans="1:2" x14ac:dyDescent="0.25">
      <c r="A6020" t="s">
        <v>7537</v>
      </c>
      <c r="B6020" t="s">
        <v>10384</v>
      </c>
    </row>
    <row r="6021" spans="1:2" x14ac:dyDescent="0.25">
      <c r="A6021" t="s">
        <v>6878</v>
      </c>
      <c r="B6021" t="s">
        <v>7537</v>
      </c>
    </row>
    <row r="6022" spans="1:2" x14ac:dyDescent="0.25">
      <c r="A6022" t="s">
        <v>6389</v>
      </c>
      <c r="B6022" t="s">
        <v>7537</v>
      </c>
    </row>
    <row r="6023" spans="1:2" x14ac:dyDescent="0.25">
      <c r="A6023" t="s">
        <v>5100</v>
      </c>
      <c r="B6023" t="s">
        <v>7537</v>
      </c>
    </row>
    <row r="6024" spans="1:2" x14ac:dyDescent="0.25">
      <c r="A6024" t="s">
        <v>4682</v>
      </c>
      <c r="B6024" t="s">
        <v>7537</v>
      </c>
    </row>
    <row r="6025" spans="1:2" x14ac:dyDescent="0.25">
      <c r="A6025" t="s">
        <v>4194</v>
      </c>
      <c r="B6025" t="s">
        <v>7537</v>
      </c>
    </row>
    <row r="6026" spans="1:2" x14ac:dyDescent="0.25">
      <c r="A6026" t="s">
        <v>10833</v>
      </c>
      <c r="B6026" t="s">
        <v>10384</v>
      </c>
    </row>
    <row r="6027" spans="1:2" x14ac:dyDescent="0.25">
      <c r="A6027" t="s">
        <v>6390</v>
      </c>
      <c r="B6027" t="s">
        <v>10833</v>
      </c>
    </row>
    <row r="6028" spans="1:2" x14ac:dyDescent="0.25">
      <c r="A6028" t="s">
        <v>4683</v>
      </c>
      <c r="B6028" t="s">
        <v>10833</v>
      </c>
    </row>
    <row r="6029" spans="1:2" x14ac:dyDescent="0.25">
      <c r="A6029" t="s">
        <v>7538</v>
      </c>
      <c r="B6029" t="s">
        <v>10833</v>
      </c>
    </row>
    <row r="6030" spans="1:2" x14ac:dyDescent="0.25">
      <c r="A6030" t="s">
        <v>12417</v>
      </c>
      <c r="B6030" t="s">
        <v>10384</v>
      </c>
    </row>
    <row r="6031" spans="1:2" x14ac:dyDescent="0.25">
      <c r="A6031" t="s">
        <v>9454</v>
      </c>
      <c r="B6031" t="s">
        <v>12417</v>
      </c>
    </row>
    <row r="6032" spans="1:2" x14ac:dyDescent="0.25">
      <c r="A6032" t="s">
        <v>7539</v>
      </c>
      <c r="B6032" t="s">
        <v>12417</v>
      </c>
    </row>
    <row r="6033" spans="1:2" x14ac:dyDescent="0.25">
      <c r="A6033" t="s">
        <v>10385</v>
      </c>
      <c r="B6033" t="s">
        <v>12417</v>
      </c>
    </row>
    <row r="6034" spans="1:2" x14ac:dyDescent="0.25">
      <c r="A6034" t="s">
        <v>11733</v>
      </c>
      <c r="B6034" t="s">
        <v>10384</v>
      </c>
    </row>
    <row r="6035" spans="1:2" x14ac:dyDescent="0.25">
      <c r="A6035" t="s">
        <v>16159</v>
      </c>
      <c r="B6035" t="s">
        <v>10384</v>
      </c>
    </row>
    <row r="6036" spans="1:2" x14ac:dyDescent="0.25">
      <c r="A6036" t="s">
        <v>16160</v>
      </c>
      <c r="B6036" t="s">
        <v>16159</v>
      </c>
    </row>
    <row r="6037" spans="1:2" x14ac:dyDescent="0.25">
      <c r="A6037" t="s">
        <v>16161</v>
      </c>
      <c r="B6037" t="s">
        <v>16159</v>
      </c>
    </row>
    <row r="6038" spans="1:2" x14ac:dyDescent="0.25">
      <c r="A6038" t="s">
        <v>16162</v>
      </c>
      <c r="B6038" t="s">
        <v>16159</v>
      </c>
    </row>
    <row r="6039" spans="1:2" x14ac:dyDescent="0.25">
      <c r="A6039" t="s">
        <v>7540</v>
      </c>
      <c r="B6039" t="s">
        <v>12550</v>
      </c>
    </row>
    <row r="6040" spans="1:2" x14ac:dyDescent="0.25">
      <c r="A6040" t="s">
        <v>8169</v>
      </c>
      <c r="B6040" t="s">
        <v>7540</v>
      </c>
    </row>
    <row r="6041" spans="1:2" x14ac:dyDescent="0.25">
      <c r="A6041" t="s">
        <v>7541</v>
      </c>
      <c r="B6041" t="s">
        <v>8169</v>
      </c>
    </row>
    <row r="6042" spans="1:2" x14ac:dyDescent="0.25">
      <c r="A6042" t="s">
        <v>6879</v>
      </c>
      <c r="B6042" t="s">
        <v>8169</v>
      </c>
    </row>
    <row r="6043" spans="1:2" x14ac:dyDescent="0.25">
      <c r="A6043" t="s">
        <v>5101</v>
      </c>
      <c r="B6043" t="s">
        <v>8169</v>
      </c>
    </row>
    <row r="6044" spans="1:2" x14ac:dyDescent="0.25">
      <c r="A6044" t="s">
        <v>8170</v>
      </c>
      <c r="B6044" t="s">
        <v>8169</v>
      </c>
    </row>
    <row r="6045" spans="1:2" x14ac:dyDescent="0.25">
      <c r="A6045" t="s">
        <v>16163</v>
      </c>
      <c r="B6045" t="s">
        <v>7540</v>
      </c>
    </row>
    <row r="6046" spans="1:2" x14ac:dyDescent="0.25">
      <c r="A6046" t="s">
        <v>16164</v>
      </c>
      <c r="B6046" t="s">
        <v>16163</v>
      </c>
    </row>
    <row r="6047" spans="1:2" x14ac:dyDescent="0.25">
      <c r="A6047" t="s">
        <v>16165</v>
      </c>
      <c r="B6047" t="s">
        <v>16163</v>
      </c>
    </row>
    <row r="6048" spans="1:2" x14ac:dyDescent="0.25">
      <c r="A6048" t="s">
        <v>12142</v>
      </c>
      <c r="B6048" t="s">
        <v>12550</v>
      </c>
    </row>
    <row r="6049" spans="1:2" x14ac:dyDescent="0.25">
      <c r="A6049" t="s">
        <v>6880</v>
      </c>
      <c r="B6049" t="s">
        <v>12142</v>
      </c>
    </row>
    <row r="6050" spans="1:2" x14ac:dyDescent="0.25">
      <c r="A6050" t="s">
        <v>4684</v>
      </c>
      <c r="B6050" t="s">
        <v>12142</v>
      </c>
    </row>
    <row r="6051" spans="1:2" x14ac:dyDescent="0.25">
      <c r="A6051" t="s">
        <v>12557</v>
      </c>
      <c r="B6051" t="s">
        <v>12045</v>
      </c>
    </row>
    <row r="6052" spans="1:2" x14ac:dyDescent="0.25">
      <c r="A6052" t="s">
        <v>10419</v>
      </c>
      <c r="B6052" t="s">
        <v>12557</v>
      </c>
    </row>
    <row r="6053" spans="1:2" x14ac:dyDescent="0.25">
      <c r="A6053" t="s">
        <v>10420</v>
      </c>
      <c r="B6053" t="s">
        <v>10419</v>
      </c>
    </row>
    <row r="6054" spans="1:2" x14ac:dyDescent="0.25">
      <c r="A6054" t="s">
        <v>6884</v>
      </c>
      <c r="B6054" t="s">
        <v>10420</v>
      </c>
    </row>
    <row r="6055" spans="1:2" x14ac:dyDescent="0.25">
      <c r="A6055" t="s">
        <v>6399</v>
      </c>
      <c r="B6055" t="s">
        <v>10420</v>
      </c>
    </row>
    <row r="6056" spans="1:2" x14ac:dyDescent="0.25">
      <c r="A6056" t="s">
        <v>5105</v>
      </c>
      <c r="B6056" t="s">
        <v>10420</v>
      </c>
    </row>
    <row r="6057" spans="1:2" x14ac:dyDescent="0.25">
      <c r="A6057" t="s">
        <v>4689</v>
      </c>
      <c r="B6057" t="s">
        <v>10420</v>
      </c>
    </row>
    <row r="6058" spans="1:2" x14ac:dyDescent="0.25">
      <c r="A6058" t="s">
        <v>5945</v>
      </c>
      <c r="B6058" t="s">
        <v>10420</v>
      </c>
    </row>
    <row r="6059" spans="1:2" x14ac:dyDescent="0.25">
      <c r="A6059" t="s">
        <v>10851</v>
      </c>
      <c r="B6059" t="s">
        <v>10419</v>
      </c>
    </row>
    <row r="6060" spans="1:2" x14ac:dyDescent="0.25">
      <c r="A6060" t="s">
        <v>6400</v>
      </c>
      <c r="B6060" t="s">
        <v>10851</v>
      </c>
    </row>
    <row r="6061" spans="1:2" x14ac:dyDescent="0.25">
      <c r="A6061" t="s">
        <v>4690</v>
      </c>
      <c r="B6061" t="s">
        <v>10851</v>
      </c>
    </row>
    <row r="6062" spans="1:2" x14ac:dyDescent="0.25">
      <c r="A6062" t="s">
        <v>7558</v>
      </c>
      <c r="B6062" t="s">
        <v>10851</v>
      </c>
    </row>
    <row r="6063" spans="1:2" x14ac:dyDescent="0.25">
      <c r="A6063" t="s">
        <v>12436</v>
      </c>
      <c r="B6063" t="s">
        <v>10419</v>
      </c>
    </row>
    <row r="6064" spans="1:2" x14ac:dyDescent="0.25">
      <c r="A6064" t="s">
        <v>9462</v>
      </c>
      <c r="B6064" t="s">
        <v>12436</v>
      </c>
    </row>
    <row r="6065" spans="1:2" x14ac:dyDescent="0.25">
      <c r="A6065" t="s">
        <v>7559</v>
      </c>
      <c r="B6065" t="s">
        <v>12436</v>
      </c>
    </row>
    <row r="6066" spans="1:2" x14ac:dyDescent="0.25">
      <c r="A6066" t="s">
        <v>16166</v>
      </c>
      <c r="B6066" t="s">
        <v>10419</v>
      </c>
    </row>
    <row r="6067" spans="1:2" x14ac:dyDescent="0.25">
      <c r="A6067" t="s">
        <v>16167</v>
      </c>
      <c r="B6067" t="s">
        <v>16166</v>
      </c>
    </row>
    <row r="6068" spans="1:2" x14ac:dyDescent="0.25">
      <c r="A6068" t="s">
        <v>16168</v>
      </c>
      <c r="B6068" t="s">
        <v>16166</v>
      </c>
    </row>
    <row r="6069" spans="1:2" x14ac:dyDescent="0.25">
      <c r="A6069" t="s">
        <v>16169</v>
      </c>
      <c r="B6069" t="s">
        <v>16166</v>
      </c>
    </row>
    <row r="6070" spans="1:2" x14ac:dyDescent="0.25">
      <c r="A6070" t="s">
        <v>7560</v>
      </c>
      <c r="B6070" t="s">
        <v>12557</v>
      </c>
    </row>
    <row r="6071" spans="1:2" x14ac:dyDescent="0.25">
      <c r="A6071" t="s">
        <v>10852</v>
      </c>
      <c r="B6071" t="s">
        <v>7560</v>
      </c>
    </row>
    <row r="6072" spans="1:2" x14ac:dyDescent="0.25">
      <c r="A6072" t="s">
        <v>9015</v>
      </c>
      <c r="B6072" t="s">
        <v>10852</v>
      </c>
    </row>
    <row r="6073" spans="1:2" x14ac:dyDescent="0.25">
      <c r="A6073" t="s">
        <v>8195</v>
      </c>
      <c r="B6073" t="s">
        <v>7560</v>
      </c>
    </row>
    <row r="6074" spans="1:2" x14ac:dyDescent="0.25">
      <c r="A6074" t="s">
        <v>7561</v>
      </c>
      <c r="B6074" t="s">
        <v>8195</v>
      </c>
    </row>
    <row r="6075" spans="1:2" x14ac:dyDescent="0.25">
      <c r="A6075" t="s">
        <v>6885</v>
      </c>
      <c r="B6075" t="s">
        <v>8195</v>
      </c>
    </row>
    <row r="6076" spans="1:2" x14ac:dyDescent="0.25">
      <c r="A6076" t="s">
        <v>5106</v>
      </c>
      <c r="B6076" t="s">
        <v>8195</v>
      </c>
    </row>
    <row r="6077" spans="1:2" x14ac:dyDescent="0.25">
      <c r="A6077" t="s">
        <v>8196</v>
      </c>
      <c r="B6077" t="s">
        <v>8195</v>
      </c>
    </row>
    <row r="6078" spans="1:2" x14ac:dyDescent="0.25">
      <c r="A6078" t="s">
        <v>16170</v>
      </c>
      <c r="B6078" t="s">
        <v>7560</v>
      </c>
    </row>
    <row r="6079" spans="1:2" x14ac:dyDescent="0.25">
      <c r="A6079" t="s">
        <v>16171</v>
      </c>
      <c r="B6079" t="s">
        <v>16170</v>
      </c>
    </row>
    <row r="6080" spans="1:2" x14ac:dyDescent="0.25">
      <c r="A6080" t="s">
        <v>16172</v>
      </c>
      <c r="B6080" t="s">
        <v>16170</v>
      </c>
    </row>
    <row r="6081" spans="1:2" x14ac:dyDescent="0.25">
      <c r="A6081" t="s">
        <v>12162</v>
      </c>
      <c r="B6081" t="s">
        <v>12557</v>
      </c>
    </row>
    <row r="6082" spans="1:2" x14ac:dyDescent="0.25">
      <c r="A6082" t="s">
        <v>6886</v>
      </c>
      <c r="B6082" t="s">
        <v>12162</v>
      </c>
    </row>
    <row r="6083" spans="1:2" x14ac:dyDescent="0.25">
      <c r="A6083" t="s">
        <v>8197</v>
      </c>
      <c r="B6083" t="s">
        <v>12162</v>
      </c>
    </row>
    <row r="6084" spans="1:2" x14ac:dyDescent="0.25">
      <c r="A6084" t="s">
        <v>9463</v>
      </c>
      <c r="B6084" t="s">
        <v>12162</v>
      </c>
    </row>
    <row r="6085" spans="1:2" x14ac:dyDescent="0.25">
      <c r="A6085" t="s">
        <v>12563</v>
      </c>
      <c r="B6085" t="s">
        <v>12045</v>
      </c>
    </row>
    <row r="6086" spans="1:2" x14ac:dyDescent="0.25">
      <c r="A6086" t="s">
        <v>10452</v>
      </c>
      <c r="B6086" t="s">
        <v>12563</v>
      </c>
    </row>
    <row r="6087" spans="1:2" x14ac:dyDescent="0.25">
      <c r="A6087" t="s">
        <v>11464</v>
      </c>
      <c r="B6087" t="s">
        <v>10452</v>
      </c>
    </row>
    <row r="6088" spans="1:2" x14ac:dyDescent="0.25">
      <c r="A6088" t="s">
        <v>6893</v>
      </c>
      <c r="B6088" t="s">
        <v>11464</v>
      </c>
    </row>
    <row r="6089" spans="1:2" x14ac:dyDescent="0.25">
      <c r="A6089" t="s">
        <v>6413</v>
      </c>
      <c r="B6089" t="s">
        <v>11464</v>
      </c>
    </row>
    <row r="6090" spans="1:2" x14ac:dyDescent="0.25">
      <c r="A6090" t="s">
        <v>6414</v>
      </c>
      <c r="B6090" t="s">
        <v>11464</v>
      </c>
    </row>
    <row r="6091" spans="1:2" x14ac:dyDescent="0.25">
      <c r="A6091" t="s">
        <v>5108</v>
      </c>
      <c r="B6091" t="s">
        <v>11464</v>
      </c>
    </row>
    <row r="6092" spans="1:2" x14ac:dyDescent="0.25">
      <c r="A6092" t="s">
        <v>4697</v>
      </c>
      <c r="B6092" t="s">
        <v>11464</v>
      </c>
    </row>
    <row r="6093" spans="1:2" x14ac:dyDescent="0.25">
      <c r="A6093" t="s">
        <v>4698</v>
      </c>
      <c r="B6093" t="s">
        <v>11464</v>
      </c>
    </row>
    <row r="6094" spans="1:2" x14ac:dyDescent="0.25">
      <c r="A6094" t="s">
        <v>9024</v>
      </c>
      <c r="B6094" t="s">
        <v>11464</v>
      </c>
    </row>
    <row r="6095" spans="1:2" x14ac:dyDescent="0.25">
      <c r="A6095" t="s">
        <v>12449</v>
      </c>
      <c r="B6095" t="s">
        <v>10452</v>
      </c>
    </row>
    <row r="6096" spans="1:2" x14ac:dyDescent="0.25">
      <c r="A6096" t="s">
        <v>9473</v>
      </c>
      <c r="B6096" t="s">
        <v>12449</v>
      </c>
    </row>
    <row r="6097" spans="1:2" x14ac:dyDescent="0.25">
      <c r="A6097" t="s">
        <v>9474</v>
      </c>
      <c r="B6097" t="s">
        <v>12449</v>
      </c>
    </row>
    <row r="6098" spans="1:2" x14ac:dyDescent="0.25">
      <c r="A6098" t="s">
        <v>10873</v>
      </c>
      <c r="B6098" t="s">
        <v>12449</v>
      </c>
    </row>
    <row r="6099" spans="1:2" x14ac:dyDescent="0.25">
      <c r="A6099" t="s">
        <v>11731</v>
      </c>
      <c r="B6099" t="s">
        <v>10452</v>
      </c>
    </row>
    <row r="6100" spans="1:2" x14ac:dyDescent="0.25">
      <c r="A6100" t="s">
        <v>16173</v>
      </c>
      <c r="B6100" t="s">
        <v>10452</v>
      </c>
    </row>
    <row r="6101" spans="1:2" x14ac:dyDescent="0.25">
      <c r="A6101" t="s">
        <v>16174</v>
      </c>
      <c r="B6101" t="s">
        <v>16173</v>
      </c>
    </row>
    <row r="6102" spans="1:2" x14ac:dyDescent="0.25">
      <c r="A6102" t="s">
        <v>16175</v>
      </c>
      <c r="B6102" t="s">
        <v>16173</v>
      </c>
    </row>
    <row r="6103" spans="1:2" x14ac:dyDescent="0.25">
      <c r="A6103" t="s">
        <v>16176</v>
      </c>
      <c r="B6103" t="s">
        <v>16173</v>
      </c>
    </row>
    <row r="6104" spans="1:2" x14ac:dyDescent="0.25">
      <c r="A6104" t="s">
        <v>7576</v>
      </c>
      <c r="B6104" t="s">
        <v>12563</v>
      </c>
    </row>
    <row r="6105" spans="1:2" x14ac:dyDescent="0.25">
      <c r="A6105" t="s">
        <v>8212</v>
      </c>
      <c r="B6105" t="s">
        <v>7576</v>
      </c>
    </row>
    <row r="6106" spans="1:2" x14ac:dyDescent="0.25">
      <c r="A6106" t="s">
        <v>7577</v>
      </c>
      <c r="B6106" t="s">
        <v>8212</v>
      </c>
    </row>
    <row r="6107" spans="1:2" x14ac:dyDescent="0.25">
      <c r="A6107" t="s">
        <v>6894</v>
      </c>
      <c r="B6107" t="s">
        <v>8212</v>
      </c>
    </row>
    <row r="6108" spans="1:2" x14ac:dyDescent="0.25">
      <c r="A6108" t="s">
        <v>5109</v>
      </c>
      <c r="B6108" t="s">
        <v>8212</v>
      </c>
    </row>
    <row r="6109" spans="1:2" x14ac:dyDescent="0.25">
      <c r="A6109" t="s">
        <v>8213</v>
      </c>
      <c r="B6109" t="s">
        <v>8212</v>
      </c>
    </row>
    <row r="6110" spans="1:2" x14ac:dyDescent="0.25">
      <c r="A6110" t="s">
        <v>16177</v>
      </c>
      <c r="B6110" t="s">
        <v>7576</v>
      </c>
    </row>
    <row r="6111" spans="1:2" x14ac:dyDescent="0.25">
      <c r="A6111" t="s">
        <v>16178</v>
      </c>
      <c r="B6111" t="s">
        <v>16177</v>
      </c>
    </row>
    <row r="6112" spans="1:2" x14ac:dyDescent="0.25">
      <c r="A6112" t="s">
        <v>16179</v>
      </c>
      <c r="B6112" t="s">
        <v>16177</v>
      </c>
    </row>
    <row r="6113" spans="1:2" x14ac:dyDescent="0.25">
      <c r="A6113" t="s">
        <v>12181</v>
      </c>
      <c r="B6113" t="s">
        <v>12563</v>
      </c>
    </row>
    <row r="6114" spans="1:2" x14ac:dyDescent="0.25">
      <c r="A6114" t="s">
        <v>6895</v>
      </c>
      <c r="B6114" t="s">
        <v>12181</v>
      </c>
    </row>
    <row r="6115" spans="1:2" x14ac:dyDescent="0.25">
      <c r="A6115" t="s">
        <v>11732</v>
      </c>
      <c r="B6115" t="s">
        <v>12181</v>
      </c>
    </row>
    <row r="6116" spans="1:2" x14ac:dyDescent="0.25">
      <c r="A6116" t="s">
        <v>8596</v>
      </c>
      <c r="B6116" t="s">
        <v>12045</v>
      </c>
    </row>
    <row r="6117" spans="1:2" x14ac:dyDescent="0.25">
      <c r="A6117" t="s">
        <v>8674</v>
      </c>
      <c r="B6117" t="s">
        <v>8596</v>
      </c>
    </row>
    <row r="6118" spans="1:2" x14ac:dyDescent="0.25">
      <c r="A6118" t="s">
        <v>6924</v>
      </c>
      <c r="B6118" t="s">
        <v>8596</v>
      </c>
    </row>
    <row r="6119" spans="1:2" x14ac:dyDescent="0.25">
      <c r="A6119" t="s">
        <v>7626</v>
      </c>
      <c r="B6119" t="s">
        <v>8596</v>
      </c>
    </row>
    <row r="6120" spans="1:2" x14ac:dyDescent="0.25">
      <c r="A6120" t="s">
        <v>9868</v>
      </c>
      <c r="B6120" t="s">
        <v>8596</v>
      </c>
    </row>
    <row r="6121" spans="1:2" x14ac:dyDescent="0.25">
      <c r="A6121" t="s">
        <v>6458</v>
      </c>
      <c r="B6121" t="s">
        <v>8596</v>
      </c>
    </row>
    <row r="6122" spans="1:2" x14ac:dyDescent="0.25">
      <c r="A6122" t="s">
        <v>10490</v>
      </c>
      <c r="B6122" t="s">
        <v>12045</v>
      </c>
    </row>
    <row r="6123" spans="1:2" x14ac:dyDescent="0.25">
      <c r="A6123" t="s">
        <v>12244</v>
      </c>
      <c r="B6123" t="s">
        <v>10490</v>
      </c>
    </row>
    <row r="6124" spans="1:2" x14ac:dyDescent="0.25">
      <c r="A6124" t="s">
        <v>12876</v>
      </c>
      <c r="B6124" t="s">
        <v>10490</v>
      </c>
    </row>
    <row r="6125" spans="1:2" x14ac:dyDescent="0.25">
      <c r="A6125" t="s">
        <v>12877</v>
      </c>
      <c r="B6125" t="s">
        <v>10490</v>
      </c>
    </row>
    <row r="6126" spans="1:2" x14ac:dyDescent="0.25">
      <c r="A6126" t="s">
        <v>12452</v>
      </c>
      <c r="B6126" t="s">
        <v>10490</v>
      </c>
    </row>
    <row r="6127" spans="1:2" x14ac:dyDescent="0.25">
      <c r="A6127" t="s">
        <v>16180</v>
      </c>
      <c r="B6127" t="s">
        <v>10490</v>
      </c>
    </row>
    <row r="6128" spans="1:2" x14ac:dyDescent="0.25">
      <c r="A6128" t="s">
        <v>16181</v>
      </c>
      <c r="B6128" t="s">
        <v>16180</v>
      </c>
    </row>
    <row r="6129" spans="1:2" x14ac:dyDescent="0.25">
      <c r="A6129" t="s">
        <v>16182</v>
      </c>
      <c r="B6129" t="s">
        <v>16180</v>
      </c>
    </row>
    <row r="6130" spans="1:2" x14ac:dyDescent="0.25">
      <c r="A6130" t="s">
        <v>16183</v>
      </c>
      <c r="B6130" t="s">
        <v>16180</v>
      </c>
    </row>
    <row r="6131" spans="1:2" x14ac:dyDescent="0.25">
      <c r="A6131" t="s">
        <v>7610</v>
      </c>
      <c r="B6131" t="s">
        <v>12045</v>
      </c>
    </row>
    <row r="6132" spans="1:2" x14ac:dyDescent="0.25">
      <c r="A6132" t="s">
        <v>11208</v>
      </c>
      <c r="B6132" t="s">
        <v>7610</v>
      </c>
    </row>
    <row r="6133" spans="1:2" x14ac:dyDescent="0.25">
      <c r="A6133" t="s">
        <v>16184</v>
      </c>
      <c r="B6133" t="s">
        <v>7610</v>
      </c>
    </row>
    <row r="6134" spans="1:2" x14ac:dyDescent="0.25">
      <c r="A6134" t="s">
        <v>16185</v>
      </c>
      <c r="B6134" t="s">
        <v>16184</v>
      </c>
    </row>
    <row r="6135" spans="1:2" x14ac:dyDescent="0.25">
      <c r="A6135" t="s">
        <v>16186</v>
      </c>
      <c r="B6135" t="s">
        <v>16184</v>
      </c>
    </row>
    <row r="6136" spans="1:2" x14ac:dyDescent="0.25">
      <c r="A6136" t="s">
        <v>12245</v>
      </c>
      <c r="B6136" t="s">
        <v>12045</v>
      </c>
    </row>
    <row r="6137" spans="1:2" x14ac:dyDescent="0.25">
      <c r="A6137" t="s">
        <v>11482</v>
      </c>
      <c r="B6137" t="s">
        <v>12245</v>
      </c>
    </row>
    <row r="6138" spans="1:2" x14ac:dyDescent="0.25">
      <c r="A6138" t="s">
        <v>12453</v>
      </c>
      <c r="B6138" t="s">
        <v>12245</v>
      </c>
    </row>
    <row r="6139" spans="1:2" x14ac:dyDescent="0.25">
      <c r="A6139" t="s">
        <v>12820</v>
      </c>
      <c r="B6139" t="s">
        <v>12245</v>
      </c>
    </row>
    <row r="6140" spans="1:2" x14ac:dyDescent="0.25">
      <c r="A6140" t="s">
        <v>10908</v>
      </c>
      <c r="B6140" t="s">
        <v>12245</v>
      </c>
    </row>
    <row r="6141" spans="1:2" x14ac:dyDescent="0.25">
      <c r="A6141" t="s">
        <v>8226</v>
      </c>
      <c r="B6141" t="s">
        <v>12245</v>
      </c>
    </row>
    <row r="6142" spans="1:2" x14ac:dyDescent="0.25">
      <c r="A6142" t="s">
        <v>10491</v>
      </c>
      <c r="B6142" t="s">
        <v>12245</v>
      </c>
    </row>
    <row r="6143" spans="1:2" x14ac:dyDescent="0.25">
      <c r="A6143" t="s">
        <v>8553</v>
      </c>
      <c r="B6143" t="s">
        <v>12045</v>
      </c>
    </row>
    <row r="6144" spans="1:2" x14ac:dyDescent="0.25">
      <c r="A6144" t="s">
        <v>11400</v>
      </c>
      <c r="B6144" t="s">
        <v>8553</v>
      </c>
    </row>
    <row r="6145" spans="1:2" x14ac:dyDescent="0.25">
      <c r="A6145" t="s">
        <v>12746</v>
      </c>
      <c r="B6145" t="s">
        <v>8553</v>
      </c>
    </row>
    <row r="6146" spans="1:2" x14ac:dyDescent="0.25">
      <c r="A6146" t="s">
        <v>502</v>
      </c>
      <c r="B6146" t="s">
        <v>8553</v>
      </c>
    </row>
    <row r="6147" spans="1:2" x14ac:dyDescent="0.25">
      <c r="A6147" t="s">
        <v>5847</v>
      </c>
      <c r="B6147" t="s">
        <v>8553</v>
      </c>
    </row>
    <row r="6148" spans="1:2" x14ac:dyDescent="0.25">
      <c r="A6148" t="s">
        <v>12747</v>
      </c>
      <c r="B6148" t="s">
        <v>8553</v>
      </c>
    </row>
    <row r="6149" spans="1:2" x14ac:dyDescent="0.25">
      <c r="A6149" t="s">
        <v>11078</v>
      </c>
      <c r="B6149" t="s">
        <v>8553</v>
      </c>
    </row>
    <row r="6150" spans="1:2" x14ac:dyDescent="0.25">
      <c r="A6150" t="s">
        <v>10404</v>
      </c>
      <c r="B6150" t="s">
        <v>11078</v>
      </c>
    </row>
    <row r="6151" spans="1:2" x14ac:dyDescent="0.25">
      <c r="A6151" t="s">
        <v>12427</v>
      </c>
      <c r="B6151" t="s">
        <v>10404</v>
      </c>
    </row>
    <row r="6152" spans="1:2" x14ac:dyDescent="0.25">
      <c r="A6152" t="s">
        <v>4197</v>
      </c>
      <c r="B6152" t="s">
        <v>12427</v>
      </c>
    </row>
    <row r="6153" spans="1:2" x14ac:dyDescent="0.25">
      <c r="A6153" t="s">
        <v>7551</v>
      </c>
      <c r="B6153" t="s">
        <v>10404</v>
      </c>
    </row>
    <row r="6154" spans="1:2" x14ac:dyDescent="0.25">
      <c r="A6154" t="s">
        <v>2713</v>
      </c>
      <c r="B6154" t="s">
        <v>7551</v>
      </c>
    </row>
    <row r="6155" spans="1:2" x14ac:dyDescent="0.25">
      <c r="A6155" t="s">
        <v>11675</v>
      </c>
      <c r="B6155" t="s">
        <v>10404</v>
      </c>
    </row>
    <row r="6156" spans="1:2" x14ac:dyDescent="0.25">
      <c r="A6156" t="s">
        <v>11164</v>
      </c>
      <c r="B6156" t="s">
        <v>11675</v>
      </c>
    </row>
    <row r="6157" spans="1:2" x14ac:dyDescent="0.25">
      <c r="A6157" t="s">
        <v>11676</v>
      </c>
      <c r="B6157" t="s">
        <v>11675</v>
      </c>
    </row>
    <row r="6158" spans="1:2" x14ac:dyDescent="0.25">
      <c r="A6158" t="s">
        <v>7552</v>
      </c>
      <c r="B6158" t="s">
        <v>11078</v>
      </c>
    </row>
    <row r="6159" spans="1:2" x14ac:dyDescent="0.25">
      <c r="A6159" t="s">
        <v>9460</v>
      </c>
      <c r="B6159" t="s">
        <v>7552</v>
      </c>
    </row>
    <row r="6160" spans="1:2" x14ac:dyDescent="0.25">
      <c r="A6160" t="s">
        <v>10843</v>
      </c>
      <c r="B6160" t="s">
        <v>9460</v>
      </c>
    </row>
    <row r="6161" spans="1:2" x14ac:dyDescent="0.25">
      <c r="A6161" t="s">
        <v>11165</v>
      </c>
      <c r="B6161" t="s">
        <v>7552</v>
      </c>
    </row>
    <row r="6162" spans="1:2" x14ac:dyDescent="0.25">
      <c r="A6162" t="s">
        <v>4198</v>
      </c>
      <c r="B6162" t="s">
        <v>11165</v>
      </c>
    </row>
    <row r="6163" spans="1:2" x14ac:dyDescent="0.25">
      <c r="A6163" t="s">
        <v>5104</v>
      </c>
      <c r="B6163" t="s">
        <v>7552</v>
      </c>
    </row>
    <row r="6164" spans="1:2" x14ac:dyDescent="0.25">
      <c r="A6164" t="s">
        <v>4199</v>
      </c>
      <c r="B6164" t="s">
        <v>5104</v>
      </c>
    </row>
    <row r="6165" spans="1:2" x14ac:dyDescent="0.25">
      <c r="A6165" t="s">
        <v>12153</v>
      </c>
      <c r="B6165" t="s">
        <v>11078</v>
      </c>
    </row>
    <row r="6166" spans="1:2" x14ac:dyDescent="0.25">
      <c r="A6166" t="s">
        <v>8184</v>
      </c>
      <c r="B6166" t="s">
        <v>12153</v>
      </c>
    </row>
    <row r="6167" spans="1:2" x14ac:dyDescent="0.25">
      <c r="A6167" t="s">
        <v>6394</v>
      </c>
      <c r="B6167" t="s">
        <v>12153</v>
      </c>
    </row>
    <row r="6168" spans="1:2" x14ac:dyDescent="0.25">
      <c r="A6168" t="s">
        <v>12348</v>
      </c>
      <c r="B6168" t="s">
        <v>8553</v>
      </c>
    </row>
    <row r="6169" spans="1:2" x14ac:dyDescent="0.25">
      <c r="A6169" t="s">
        <v>11843</v>
      </c>
      <c r="B6169" t="s">
        <v>8553</v>
      </c>
    </row>
    <row r="6170" spans="1:2" x14ac:dyDescent="0.25">
      <c r="A6170" t="s">
        <v>12349</v>
      </c>
      <c r="B6170" t="s">
        <v>8553</v>
      </c>
    </row>
    <row r="6171" spans="1:2" x14ac:dyDescent="0.25">
      <c r="A6171" t="s">
        <v>10734</v>
      </c>
      <c r="B6171" t="s">
        <v>8553</v>
      </c>
    </row>
    <row r="6172" spans="1:2" x14ac:dyDescent="0.25">
      <c r="A6172" t="s">
        <v>12749</v>
      </c>
      <c r="B6172" t="s">
        <v>8553</v>
      </c>
    </row>
    <row r="6173" spans="1:2" x14ac:dyDescent="0.25">
      <c r="A6173" t="s">
        <v>12667</v>
      </c>
      <c r="B6173" t="s">
        <v>8553</v>
      </c>
    </row>
    <row r="6174" spans="1:2" x14ac:dyDescent="0.25">
      <c r="A6174" t="s">
        <v>12668</v>
      </c>
      <c r="B6174" t="s">
        <v>8553</v>
      </c>
    </row>
    <row r="6175" spans="1:2" x14ac:dyDescent="0.25">
      <c r="A6175" t="s">
        <v>9325</v>
      </c>
      <c r="B6175" t="s">
        <v>8553</v>
      </c>
    </row>
    <row r="6176" spans="1:2" x14ac:dyDescent="0.25">
      <c r="A6176" t="s">
        <v>11079</v>
      </c>
      <c r="B6176" t="s">
        <v>8553</v>
      </c>
    </row>
    <row r="6177" spans="1:2" x14ac:dyDescent="0.25">
      <c r="A6177" t="s">
        <v>12553</v>
      </c>
      <c r="B6177" t="s">
        <v>8553</v>
      </c>
    </row>
    <row r="6178" spans="1:2" x14ac:dyDescent="0.25">
      <c r="A6178" t="s">
        <v>12555</v>
      </c>
      <c r="B6178" t="s">
        <v>8553</v>
      </c>
    </row>
    <row r="6179" spans="1:2" x14ac:dyDescent="0.25">
      <c r="A6179" t="s">
        <v>11846</v>
      </c>
      <c r="B6179" t="s">
        <v>8553</v>
      </c>
    </row>
    <row r="6180" spans="1:2" x14ac:dyDescent="0.25">
      <c r="A6180" t="s">
        <v>12840</v>
      </c>
      <c r="B6180" t="s">
        <v>8553</v>
      </c>
    </row>
    <row r="6181" spans="1:2" x14ac:dyDescent="0.25">
      <c r="A6181" t="s">
        <v>11847</v>
      </c>
      <c r="B6181" t="s">
        <v>8553</v>
      </c>
    </row>
    <row r="6182" spans="1:2" x14ac:dyDescent="0.25">
      <c r="A6182" t="s">
        <v>12753</v>
      </c>
      <c r="B6182" t="s">
        <v>8553</v>
      </c>
    </row>
    <row r="6183" spans="1:2" x14ac:dyDescent="0.25">
      <c r="A6183" t="s">
        <v>11402</v>
      </c>
      <c r="B6183" t="s">
        <v>8553</v>
      </c>
    </row>
    <row r="6184" spans="1:2" x14ac:dyDescent="0.25">
      <c r="A6184" t="s">
        <v>11403</v>
      </c>
      <c r="B6184" t="s">
        <v>8553</v>
      </c>
    </row>
    <row r="6185" spans="1:2" x14ac:dyDescent="0.25">
      <c r="A6185" t="s">
        <v>12561</v>
      </c>
      <c r="B6185" t="s">
        <v>8553</v>
      </c>
    </row>
    <row r="6186" spans="1:2" x14ac:dyDescent="0.25">
      <c r="A6186" t="s">
        <v>7400</v>
      </c>
      <c r="B6186" t="s">
        <v>8553</v>
      </c>
    </row>
    <row r="6187" spans="1:2" x14ac:dyDescent="0.25">
      <c r="A6187" t="s">
        <v>12842</v>
      </c>
      <c r="B6187" t="s">
        <v>8553</v>
      </c>
    </row>
    <row r="6188" spans="1:2" x14ac:dyDescent="0.25">
      <c r="A6188" t="s">
        <v>12843</v>
      </c>
      <c r="B6188" t="s">
        <v>8553</v>
      </c>
    </row>
    <row r="6189" spans="1:2" x14ac:dyDescent="0.25">
      <c r="A6189" t="s">
        <v>8042</v>
      </c>
      <c r="B6189" t="s">
        <v>12902</v>
      </c>
    </row>
    <row r="6190" spans="1:2" x14ac:dyDescent="0.25">
      <c r="A6190" t="s">
        <v>12374</v>
      </c>
      <c r="B6190" t="s">
        <v>8042</v>
      </c>
    </row>
    <row r="6191" spans="1:2" x14ac:dyDescent="0.25">
      <c r="A6191" t="s">
        <v>12750</v>
      </c>
      <c r="B6191" t="s">
        <v>12374</v>
      </c>
    </row>
    <row r="6192" spans="1:2" x14ac:dyDescent="0.25">
      <c r="A6192" t="s">
        <v>12560</v>
      </c>
      <c r="B6192" t="s">
        <v>12374</v>
      </c>
    </row>
    <row r="6193" spans="1:2" x14ac:dyDescent="0.25">
      <c r="A6193" t="s">
        <v>10424</v>
      </c>
      <c r="B6193" t="s">
        <v>12560</v>
      </c>
    </row>
    <row r="6194" spans="1:2" x14ac:dyDescent="0.25">
      <c r="A6194" t="s">
        <v>12438</v>
      </c>
      <c r="B6194" t="s">
        <v>10424</v>
      </c>
    </row>
    <row r="6195" spans="1:2" x14ac:dyDescent="0.25">
      <c r="A6195" t="s">
        <v>9465</v>
      </c>
      <c r="B6195" t="s">
        <v>12438</v>
      </c>
    </row>
    <row r="6196" spans="1:2" x14ac:dyDescent="0.25">
      <c r="A6196" t="s">
        <v>10425</v>
      </c>
      <c r="B6196" t="s">
        <v>12438</v>
      </c>
    </row>
    <row r="6197" spans="1:2" x14ac:dyDescent="0.25">
      <c r="A6197" t="s">
        <v>4201</v>
      </c>
      <c r="B6197" t="s">
        <v>12438</v>
      </c>
    </row>
    <row r="6198" spans="1:2" x14ac:dyDescent="0.25">
      <c r="A6198" t="s">
        <v>10854</v>
      </c>
      <c r="B6198" t="s">
        <v>10424</v>
      </c>
    </row>
    <row r="6199" spans="1:2" x14ac:dyDescent="0.25">
      <c r="A6199" t="s">
        <v>9016</v>
      </c>
      <c r="B6199" t="s">
        <v>10854</v>
      </c>
    </row>
    <row r="6200" spans="1:2" x14ac:dyDescent="0.25">
      <c r="A6200" t="s">
        <v>9834</v>
      </c>
      <c r="B6200" t="s">
        <v>10854</v>
      </c>
    </row>
    <row r="6201" spans="1:2" x14ac:dyDescent="0.25">
      <c r="A6201" t="s">
        <v>3683</v>
      </c>
      <c r="B6201" t="s">
        <v>10854</v>
      </c>
    </row>
    <row r="6202" spans="1:2" x14ac:dyDescent="0.25">
      <c r="A6202" t="s">
        <v>16187</v>
      </c>
      <c r="B6202" t="s">
        <v>10424</v>
      </c>
    </row>
    <row r="6203" spans="1:2" x14ac:dyDescent="0.25">
      <c r="A6203" t="s">
        <v>16188</v>
      </c>
      <c r="B6203" t="s">
        <v>16187</v>
      </c>
    </row>
    <row r="6204" spans="1:2" x14ac:dyDescent="0.25">
      <c r="A6204" t="s">
        <v>16189</v>
      </c>
      <c r="B6204" t="s">
        <v>16187</v>
      </c>
    </row>
    <row r="6205" spans="1:2" x14ac:dyDescent="0.25">
      <c r="A6205" t="s">
        <v>16190</v>
      </c>
      <c r="B6205" t="s">
        <v>16187</v>
      </c>
    </row>
    <row r="6206" spans="1:2" x14ac:dyDescent="0.25">
      <c r="A6206" t="s">
        <v>7563</v>
      </c>
      <c r="B6206" t="s">
        <v>12560</v>
      </c>
    </row>
    <row r="6207" spans="1:2" x14ac:dyDescent="0.25">
      <c r="A6207" t="s">
        <v>11177</v>
      </c>
      <c r="B6207" t="s">
        <v>7563</v>
      </c>
    </row>
    <row r="6208" spans="1:2" x14ac:dyDescent="0.25">
      <c r="A6208" t="s">
        <v>4202</v>
      </c>
      <c r="B6208" t="s">
        <v>11177</v>
      </c>
    </row>
    <row r="6209" spans="1:2" x14ac:dyDescent="0.25">
      <c r="A6209" t="s">
        <v>5107</v>
      </c>
      <c r="B6209" t="s">
        <v>7563</v>
      </c>
    </row>
    <row r="6210" spans="1:2" x14ac:dyDescent="0.25">
      <c r="A6210" t="s">
        <v>4203</v>
      </c>
      <c r="B6210" t="s">
        <v>5107</v>
      </c>
    </row>
    <row r="6211" spans="1:2" x14ac:dyDescent="0.25">
      <c r="A6211" t="s">
        <v>16191</v>
      </c>
      <c r="B6211" t="s">
        <v>7563</v>
      </c>
    </row>
    <row r="6212" spans="1:2" x14ac:dyDescent="0.25">
      <c r="A6212" t="s">
        <v>16192</v>
      </c>
      <c r="B6212" t="s">
        <v>16191</v>
      </c>
    </row>
    <row r="6213" spans="1:2" x14ac:dyDescent="0.25">
      <c r="A6213" t="s">
        <v>16193</v>
      </c>
      <c r="B6213" t="s">
        <v>16191</v>
      </c>
    </row>
    <row r="6214" spans="1:2" x14ac:dyDescent="0.25">
      <c r="A6214" t="s">
        <v>12166</v>
      </c>
      <c r="B6214" t="s">
        <v>12560</v>
      </c>
    </row>
    <row r="6215" spans="1:2" x14ac:dyDescent="0.25">
      <c r="A6215" t="s">
        <v>8198</v>
      </c>
      <c r="B6215" t="s">
        <v>12166</v>
      </c>
    </row>
    <row r="6216" spans="1:2" x14ac:dyDescent="0.25">
      <c r="A6216" t="s">
        <v>6402</v>
      </c>
      <c r="B6216" t="s">
        <v>12166</v>
      </c>
    </row>
    <row r="6217" spans="1:2" x14ac:dyDescent="0.25">
      <c r="A6217" t="s">
        <v>12375</v>
      </c>
      <c r="B6217" t="s">
        <v>8042</v>
      </c>
    </row>
    <row r="6218" spans="1:2" x14ac:dyDescent="0.25">
      <c r="A6218" t="s">
        <v>12548</v>
      </c>
      <c r="B6218" t="s">
        <v>12375</v>
      </c>
    </row>
    <row r="6219" spans="1:2" x14ac:dyDescent="0.25">
      <c r="A6219" t="s">
        <v>12551</v>
      </c>
      <c r="B6219" t="s">
        <v>12375</v>
      </c>
    </row>
    <row r="6220" spans="1:2" x14ac:dyDescent="0.25">
      <c r="A6220" t="s">
        <v>12350</v>
      </c>
      <c r="B6220" t="s">
        <v>12375</v>
      </c>
    </row>
    <row r="6221" spans="1:2" x14ac:dyDescent="0.25">
      <c r="A6221" t="s">
        <v>12751</v>
      </c>
      <c r="B6221" t="s">
        <v>12375</v>
      </c>
    </row>
    <row r="6222" spans="1:2" x14ac:dyDescent="0.25">
      <c r="A6222" t="s">
        <v>10410</v>
      </c>
      <c r="B6222" t="s">
        <v>12751</v>
      </c>
    </row>
    <row r="6223" spans="1:2" x14ac:dyDescent="0.25">
      <c r="A6223" t="s">
        <v>12431</v>
      </c>
      <c r="B6223" t="s">
        <v>10410</v>
      </c>
    </row>
    <row r="6224" spans="1:2" x14ac:dyDescent="0.25">
      <c r="A6224" t="s">
        <v>9461</v>
      </c>
      <c r="B6224" t="s">
        <v>12431</v>
      </c>
    </row>
    <row r="6225" spans="1:2" x14ac:dyDescent="0.25">
      <c r="A6225" t="s">
        <v>10411</v>
      </c>
      <c r="B6225" t="s">
        <v>12431</v>
      </c>
    </row>
    <row r="6226" spans="1:2" x14ac:dyDescent="0.25">
      <c r="A6226" t="s">
        <v>5939</v>
      </c>
      <c r="B6226" t="s">
        <v>12431</v>
      </c>
    </row>
    <row r="6227" spans="1:2" x14ac:dyDescent="0.25">
      <c r="A6227" t="s">
        <v>16194</v>
      </c>
      <c r="B6227" t="s">
        <v>10410</v>
      </c>
    </row>
    <row r="6228" spans="1:2" x14ac:dyDescent="0.25">
      <c r="A6228" t="s">
        <v>16195</v>
      </c>
      <c r="B6228" t="s">
        <v>16194</v>
      </c>
    </row>
    <row r="6229" spans="1:2" x14ac:dyDescent="0.25">
      <c r="A6229" t="s">
        <v>16196</v>
      </c>
      <c r="B6229" t="s">
        <v>16194</v>
      </c>
    </row>
    <row r="6230" spans="1:2" x14ac:dyDescent="0.25">
      <c r="A6230" t="s">
        <v>16197</v>
      </c>
      <c r="B6230" t="s">
        <v>16194</v>
      </c>
    </row>
    <row r="6231" spans="1:2" x14ac:dyDescent="0.25">
      <c r="A6231" t="s">
        <v>7554</v>
      </c>
      <c r="B6231" t="s">
        <v>12751</v>
      </c>
    </row>
    <row r="6232" spans="1:2" x14ac:dyDescent="0.25">
      <c r="A6232" t="s">
        <v>10846</v>
      </c>
      <c r="B6232" t="s">
        <v>7554</v>
      </c>
    </row>
    <row r="6233" spans="1:2" x14ac:dyDescent="0.25">
      <c r="A6233" t="s">
        <v>16198</v>
      </c>
      <c r="B6233" t="s">
        <v>7554</v>
      </c>
    </row>
    <row r="6234" spans="1:2" x14ac:dyDescent="0.25">
      <c r="A6234" t="s">
        <v>16199</v>
      </c>
      <c r="B6234" t="s">
        <v>16198</v>
      </c>
    </row>
    <row r="6235" spans="1:2" x14ac:dyDescent="0.25">
      <c r="A6235" t="s">
        <v>16200</v>
      </c>
      <c r="B6235" t="s">
        <v>16198</v>
      </c>
    </row>
    <row r="6236" spans="1:2" x14ac:dyDescent="0.25">
      <c r="A6236" t="s">
        <v>12156</v>
      </c>
      <c r="B6236" t="s">
        <v>12751</v>
      </c>
    </row>
    <row r="6237" spans="1:2" x14ac:dyDescent="0.25">
      <c r="A6237" t="s">
        <v>8190</v>
      </c>
      <c r="B6237" t="s">
        <v>12156</v>
      </c>
    </row>
    <row r="6238" spans="1:2" x14ac:dyDescent="0.25">
      <c r="A6238" t="s">
        <v>6395</v>
      </c>
      <c r="B6238" t="s">
        <v>12156</v>
      </c>
    </row>
    <row r="6239" spans="1:2" x14ac:dyDescent="0.25">
      <c r="A6239" t="s">
        <v>12673</v>
      </c>
      <c r="B6239" t="s">
        <v>12375</v>
      </c>
    </row>
    <row r="6240" spans="1:2" x14ac:dyDescent="0.25">
      <c r="A6240" t="s">
        <v>12755</v>
      </c>
      <c r="B6240" t="s">
        <v>12375</v>
      </c>
    </row>
    <row r="6241" spans="1:2" x14ac:dyDescent="0.25">
      <c r="A6241" t="s">
        <v>12562</v>
      </c>
      <c r="B6241" t="s">
        <v>12375</v>
      </c>
    </row>
    <row r="6242" spans="1:2" x14ac:dyDescent="0.25">
      <c r="A6242" t="s">
        <v>11626</v>
      </c>
      <c r="B6242" t="s">
        <v>12375</v>
      </c>
    </row>
    <row r="6243" spans="1:2" x14ac:dyDescent="0.25">
      <c r="A6243" t="s">
        <v>12353</v>
      </c>
      <c r="B6243" t="s">
        <v>12375</v>
      </c>
    </row>
    <row r="6244" spans="1:2" x14ac:dyDescent="0.25">
      <c r="A6244" t="s">
        <v>12675</v>
      </c>
      <c r="B6244" t="s">
        <v>12375</v>
      </c>
    </row>
    <row r="6245" spans="1:2" x14ac:dyDescent="0.25">
      <c r="A6245" t="s">
        <v>11093</v>
      </c>
      <c r="B6245" t="s">
        <v>8042</v>
      </c>
    </row>
    <row r="6246" spans="1:2" x14ac:dyDescent="0.25">
      <c r="A6246" t="s">
        <v>12666</v>
      </c>
      <c r="B6246" t="s">
        <v>11093</v>
      </c>
    </row>
    <row r="6247" spans="1:2" x14ac:dyDescent="0.25">
      <c r="A6247" t="s">
        <v>10386</v>
      </c>
      <c r="B6247" t="s">
        <v>12666</v>
      </c>
    </row>
    <row r="6248" spans="1:2" x14ac:dyDescent="0.25">
      <c r="A6248" t="s">
        <v>12418</v>
      </c>
      <c r="B6248" t="s">
        <v>10386</v>
      </c>
    </row>
    <row r="6249" spans="1:2" x14ac:dyDescent="0.25">
      <c r="A6249" t="s">
        <v>9455</v>
      </c>
      <c r="B6249" t="s">
        <v>12418</v>
      </c>
    </row>
    <row r="6250" spans="1:2" x14ac:dyDescent="0.25">
      <c r="A6250" t="s">
        <v>10387</v>
      </c>
      <c r="B6250" t="s">
        <v>12418</v>
      </c>
    </row>
    <row r="6251" spans="1:2" x14ac:dyDescent="0.25">
      <c r="A6251" t="s">
        <v>5923</v>
      </c>
      <c r="B6251" t="s">
        <v>12418</v>
      </c>
    </row>
    <row r="6252" spans="1:2" x14ac:dyDescent="0.25">
      <c r="A6252" t="s">
        <v>5924</v>
      </c>
      <c r="B6252" t="s">
        <v>12418</v>
      </c>
    </row>
    <row r="6253" spans="1:2" x14ac:dyDescent="0.25">
      <c r="A6253" t="s">
        <v>11149</v>
      </c>
      <c r="B6253" t="s">
        <v>10386</v>
      </c>
    </row>
    <row r="6254" spans="1:2" x14ac:dyDescent="0.25">
      <c r="A6254" t="s">
        <v>6881</v>
      </c>
      <c r="B6254" t="s">
        <v>11149</v>
      </c>
    </row>
    <row r="6255" spans="1:2" x14ac:dyDescent="0.25">
      <c r="A6255" t="s">
        <v>16201</v>
      </c>
      <c r="B6255" t="s">
        <v>10386</v>
      </c>
    </row>
    <row r="6256" spans="1:2" x14ac:dyDescent="0.25">
      <c r="A6256" t="s">
        <v>16202</v>
      </c>
      <c r="B6256" t="s">
        <v>16201</v>
      </c>
    </row>
    <row r="6257" spans="1:2" x14ac:dyDescent="0.25">
      <c r="A6257" t="s">
        <v>16203</v>
      </c>
      <c r="B6257" t="s">
        <v>16201</v>
      </c>
    </row>
    <row r="6258" spans="1:2" x14ac:dyDescent="0.25">
      <c r="A6258" t="s">
        <v>16204</v>
      </c>
      <c r="B6258" t="s">
        <v>16201</v>
      </c>
    </row>
    <row r="6259" spans="1:2" x14ac:dyDescent="0.25">
      <c r="A6259" t="s">
        <v>7542</v>
      </c>
      <c r="B6259" t="s">
        <v>12666</v>
      </c>
    </row>
    <row r="6260" spans="1:2" x14ac:dyDescent="0.25">
      <c r="A6260" t="s">
        <v>16205</v>
      </c>
      <c r="B6260" t="s">
        <v>7542</v>
      </c>
    </row>
    <row r="6261" spans="1:2" x14ac:dyDescent="0.25">
      <c r="A6261" t="s">
        <v>16206</v>
      </c>
      <c r="B6261" t="s">
        <v>16205</v>
      </c>
    </row>
    <row r="6262" spans="1:2" x14ac:dyDescent="0.25">
      <c r="A6262" t="s">
        <v>16207</v>
      </c>
      <c r="B6262" t="s">
        <v>16205</v>
      </c>
    </row>
    <row r="6263" spans="1:2" x14ac:dyDescent="0.25">
      <c r="A6263" t="s">
        <v>12143</v>
      </c>
      <c r="B6263" t="s">
        <v>12666</v>
      </c>
    </row>
    <row r="6264" spans="1:2" x14ac:dyDescent="0.25">
      <c r="A6264" t="s">
        <v>12347</v>
      </c>
      <c r="B6264" t="s">
        <v>11093</v>
      </c>
    </row>
    <row r="6265" spans="1:2" x14ac:dyDescent="0.25">
      <c r="A6265" t="s">
        <v>12556</v>
      </c>
      <c r="B6265" t="s">
        <v>11093</v>
      </c>
    </row>
    <row r="6266" spans="1:2" x14ac:dyDescent="0.25">
      <c r="A6266" t="s">
        <v>12007</v>
      </c>
      <c r="B6266" t="s">
        <v>11093</v>
      </c>
    </row>
    <row r="6267" spans="1:2" x14ac:dyDescent="0.25">
      <c r="A6267" t="s">
        <v>12671</v>
      </c>
      <c r="B6267" t="s">
        <v>11093</v>
      </c>
    </row>
    <row r="6268" spans="1:2" x14ac:dyDescent="0.25">
      <c r="A6268" t="s">
        <v>11848</v>
      </c>
      <c r="B6268" t="s">
        <v>11093</v>
      </c>
    </row>
    <row r="6269" spans="1:2" x14ac:dyDescent="0.25">
      <c r="A6269" t="s">
        <v>12559</v>
      </c>
      <c r="B6269" t="s">
        <v>11093</v>
      </c>
    </row>
    <row r="6270" spans="1:2" x14ac:dyDescent="0.25">
      <c r="A6270" t="s">
        <v>12352</v>
      </c>
      <c r="B6270" t="s">
        <v>11093</v>
      </c>
    </row>
    <row r="6271" spans="1:2" x14ac:dyDescent="0.25">
      <c r="A6271" t="s">
        <v>12676</v>
      </c>
      <c r="B6271" t="s">
        <v>11093</v>
      </c>
    </row>
    <row r="6272" spans="1:2" x14ac:dyDescent="0.25">
      <c r="A6272" t="s">
        <v>12354</v>
      </c>
      <c r="B6272" t="s">
        <v>11093</v>
      </c>
    </row>
    <row r="6273" spans="1:2" x14ac:dyDescent="0.25">
      <c r="A6273" t="s">
        <v>10492</v>
      </c>
      <c r="B6273" t="s">
        <v>8042</v>
      </c>
    </row>
    <row r="6274" spans="1:2" x14ac:dyDescent="0.25">
      <c r="A6274" t="s">
        <v>12246</v>
      </c>
      <c r="B6274" t="s">
        <v>10492</v>
      </c>
    </row>
    <row r="6275" spans="1:2" x14ac:dyDescent="0.25">
      <c r="A6275" t="s">
        <v>9856</v>
      </c>
      <c r="B6275" t="s">
        <v>12246</v>
      </c>
    </row>
    <row r="6276" spans="1:2" x14ac:dyDescent="0.25">
      <c r="A6276" t="s">
        <v>8664</v>
      </c>
      <c r="B6276" t="s">
        <v>12246</v>
      </c>
    </row>
    <row r="6277" spans="1:2" x14ac:dyDescent="0.25">
      <c r="A6277" t="s">
        <v>12878</v>
      </c>
      <c r="B6277" t="s">
        <v>10492</v>
      </c>
    </row>
    <row r="6278" spans="1:2" x14ac:dyDescent="0.25">
      <c r="A6278" t="s">
        <v>11891</v>
      </c>
      <c r="B6278" t="s">
        <v>12878</v>
      </c>
    </row>
    <row r="6279" spans="1:2" x14ac:dyDescent="0.25">
      <c r="A6279" t="s">
        <v>8665</v>
      </c>
      <c r="B6279" t="s">
        <v>12878</v>
      </c>
    </row>
    <row r="6280" spans="1:2" x14ac:dyDescent="0.25">
      <c r="A6280" t="s">
        <v>12702</v>
      </c>
      <c r="B6280" t="s">
        <v>10492</v>
      </c>
    </row>
    <row r="6281" spans="1:2" x14ac:dyDescent="0.25">
      <c r="A6281" t="s">
        <v>11209</v>
      </c>
      <c r="B6281" t="s">
        <v>12702</v>
      </c>
    </row>
    <row r="6282" spans="1:2" x14ac:dyDescent="0.25">
      <c r="A6282" t="s">
        <v>8666</v>
      </c>
      <c r="B6282" t="s">
        <v>12702</v>
      </c>
    </row>
    <row r="6283" spans="1:2" x14ac:dyDescent="0.25">
      <c r="A6283" t="s">
        <v>16208</v>
      </c>
      <c r="B6283" t="s">
        <v>10492</v>
      </c>
    </row>
    <row r="6284" spans="1:2" x14ac:dyDescent="0.25">
      <c r="A6284" t="s">
        <v>16209</v>
      </c>
      <c r="B6284" t="s">
        <v>16208</v>
      </c>
    </row>
    <row r="6285" spans="1:2" x14ac:dyDescent="0.25">
      <c r="A6285" t="s">
        <v>16210</v>
      </c>
      <c r="B6285" t="s">
        <v>16208</v>
      </c>
    </row>
    <row r="6286" spans="1:2" x14ac:dyDescent="0.25">
      <c r="A6286" t="s">
        <v>16211</v>
      </c>
      <c r="B6286" t="s">
        <v>16208</v>
      </c>
    </row>
    <row r="6287" spans="1:2" x14ac:dyDescent="0.25">
      <c r="A6287" t="s">
        <v>7611</v>
      </c>
      <c r="B6287" t="s">
        <v>8042</v>
      </c>
    </row>
    <row r="6288" spans="1:2" x14ac:dyDescent="0.25">
      <c r="A6288" t="s">
        <v>9855</v>
      </c>
      <c r="B6288" t="s">
        <v>7611</v>
      </c>
    </row>
    <row r="6289" spans="1:2" x14ac:dyDescent="0.25">
      <c r="A6289" t="s">
        <v>3201</v>
      </c>
      <c r="B6289" t="s">
        <v>7611</v>
      </c>
    </row>
    <row r="6290" spans="1:2" x14ac:dyDescent="0.25">
      <c r="A6290" t="s">
        <v>16212</v>
      </c>
      <c r="B6290" t="s">
        <v>7611</v>
      </c>
    </row>
    <row r="6291" spans="1:2" x14ac:dyDescent="0.25">
      <c r="A6291" t="s">
        <v>16213</v>
      </c>
      <c r="B6291" t="s">
        <v>16212</v>
      </c>
    </row>
    <row r="6292" spans="1:2" x14ac:dyDescent="0.25">
      <c r="A6292" t="s">
        <v>16214</v>
      </c>
      <c r="B6292" t="s">
        <v>16212</v>
      </c>
    </row>
    <row r="6293" spans="1:2" x14ac:dyDescent="0.25">
      <c r="A6293" t="s">
        <v>12247</v>
      </c>
      <c r="B6293" t="s">
        <v>8042</v>
      </c>
    </row>
    <row r="6294" spans="1:2" x14ac:dyDescent="0.25">
      <c r="A6294" t="s">
        <v>11483</v>
      </c>
      <c r="B6294" t="s">
        <v>12247</v>
      </c>
    </row>
    <row r="6295" spans="1:2" x14ac:dyDescent="0.25">
      <c r="A6295" t="s">
        <v>12454</v>
      </c>
      <c r="B6295" t="s">
        <v>12247</v>
      </c>
    </row>
    <row r="6296" spans="1:2" x14ac:dyDescent="0.25">
      <c r="A6296" t="s">
        <v>10769</v>
      </c>
      <c r="B6296" t="s">
        <v>12902</v>
      </c>
    </row>
    <row r="6297" spans="1:2" x14ac:dyDescent="0.25">
      <c r="A6297" t="s">
        <v>12682</v>
      </c>
      <c r="B6297" t="s">
        <v>14946</v>
      </c>
    </row>
    <row r="6298" spans="1:2" x14ac:dyDescent="0.25">
      <c r="A6298" t="s">
        <v>8936</v>
      </c>
      <c r="B6298" t="s">
        <v>12682</v>
      </c>
    </row>
    <row r="6299" spans="1:2" x14ac:dyDescent="0.25">
      <c r="A6299" t="s">
        <v>12362</v>
      </c>
      <c r="B6299" t="s">
        <v>8936</v>
      </c>
    </row>
    <row r="6300" spans="1:2" x14ac:dyDescent="0.25">
      <c r="A6300" t="s">
        <v>12574</v>
      </c>
      <c r="B6300" t="s">
        <v>8936</v>
      </c>
    </row>
    <row r="6301" spans="1:2" x14ac:dyDescent="0.25">
      <c r="A6301" t="s">
        <v>12366</v>
      </c>
      <c r="B6301" t="s">
        <v>8936</v>
      </c>
    </row>
    <row r="6302" spans="1:2" x14ac:dyDescent="0.25">
      <c r="A6302" t="s">
        <v>12848</v>
      </c>
      <c r="B6302" t="s">
        <v>8936</v>
      </c>
    </row>
    <row r="6303" spans="1:2" x14ac:dyDescent="0.25">
      <c r="A6303" t="s">
        <v>11854</v>
      </c>
      <c r="B6303" t="s">
        <v>8936</v>
      </c>
    </row>
    <row r="6304" spans="1:2" x14ac:dyDescent="0.25">
      <c r="A6304" t="s">
        <v>12684</v>
      </c>
      <c r="B6304" t="s">
        <v>8936</v>
      </c>
    </row>
    <row r="6305" spans="1:2" x14ac:dyDescent="0.25">
      <c r="A6305" t="s">
        <v>12016</v>
      </c>
      <c r="B6305" t="s">
        <v>8936</v>
      </c>
    </row>
    <row r="6306" spans="1:2" x14ac:dyDescent="0.25">
      <c r="A6306" t="s">
        <v>12364</v>
      </c>
      <c r="B6306" t="s">
        <v>8936</v>
      </c>
    </row>
    <row r="6307" spans="1:2" x14ac:dyDescent="0.25">
      <c r="A6307" t="s">
        <v>12765</v>
      </c>
      <c r="B6307" t="s">
        <v>8936</v>
      </c>
    </row>
    <row r="6308" spans="1:2" x14ac:dyDescent="0.25">
      <c r="A6308" t="s">
        <v>12015</v>
      </c>
      <c r="B6308" t="s">
        <v>12682</v>
      </c>
    </row>
    <row r="6309" spans="1:2" x14ac:dyDescent="0.25">
      <c r="A6309" t="s">
        <v>10273</v>
      </c>
      <c r="B6309" t="s">
        <v>12015</v>
      </c>
    </row>
    <row r="6310" spans="1:2" x14ac:dyDescent="0.25">
      <c r="A6310" t="s">
        <v>12379</v>
      </c>
      <c r="B6310" t="s">
        <v>10273</v>
      </c>
    </row>
    <row r="6311" spans="1:2" x14ac:dyDescent="0.25">
      <c r="A6311" t="s">
        <v>12380</v>
      </c>
      <c r="B6311" t="s">
        <v>12379</v>
      </c>
    </row>
    <row r="6312" spans="1:2" x14ac:dyDescent="0.25">
      <c r="A6312" t="s">
        <v>12062</v>
      </c>
      <c r="B6312" t="s">
        <v>12379</v>
      </c>
    </row>
    <row r="6313" spans="1:2" x14ac:dyDescent="0.25">
      <c r="A6313" t="s">
        <v>7430</v>
      </c>
      <c r="B6313" t="s">
        <v>12379</v>
      </c>
    </row>
    <row r="6314" spans="1:2" x14ac:dyDescent="0.25">
      <c r="A6314" t="s">
        <v>2276</v>
      </c>
      <c r="B6314" t="s">
        <v>7430</v>
      </c>
    </row>
    <row r="6315" spans="1:2" x14ac:dyDescent="0.25">
      <c r="A6315" t="s">
        <v>5038</v>
      </c>
      <c r="B6315" t="s">
        <v>7430</v>
      </c>
    </row>
    <row r="6316" spans="1:2" x14ac:dyDescent="0.25">
      <c r="A6316" t="s">
        <v>5485</v>
      </c>
      <c r="B6316" t="s">
        <v>7430</v>
      </c>
    </row>
    <row r="6317" spans="1:2" x14ac:dyDescent="0.25">
      <c r="A6317" t="s">
        <v>5039</v>
      </c>
      <c r="B6317" t="s">
        <v>7430</v>
      </c>
    </row>
    <row r="6318" spans="1:2" x14ac:dyDescent="0.25">
      <c r="A6318" t="s">
        <v>10274</v>
      </c>
      <c r="B6318" t="s">
        <v>12379</v>
      </c>
    </row>
    <row r="6319" spans="1:2" x14ac:dyDescent="0.25">
      <c r="A6319" t="s">
        <v>4620</v>
      </c>
      <c r="B6319" t="s">
        <v>10273</v>
      </c>
    </row>
    <row r="6320" spans="1:2" x14ac:dyDescent="0.25">
      <c r="A6320" t="s">
        <v>6797</v>
      </c>
      <c r="B6320" t="s">
        <v>4620</v>
      </c>
    </row>
    <row r="6321" spans="1:2" x14ac:dyDescent="0.25">
      <c r="A6321" t="s">
        <v>6306</v>
      </c>
      <c r="B6321" t="s">
        <v>4620</v>
      </c>
    </row>
    <row r="6322" spans="1:2" x14ac:dyDescent="0.25">
      <c r="A6322" t="s">
        <v>415</v>
      </c>
      <c r="B6322" t="s">
        <v>4620</v>
      </c>
    </row>
    <row r="6323" spans="1:2" x14ac:dyDescent="0.25">
      <c r="A6323" t="s">
        <v>4621</v>
      </c>
      <c r="B6323" t="s">
        <v>415</v>
      </c>
    </row>
    <row r="6324" spans="1:2" x14ac:dyDescent="0.25">
      <c r="A6324" t="s">
        <v>5486</v>
      </c>
      <c r="B6324" t="s">
        <v>415</v>
      </c>
    </row>
    <row r="6325" spans="1:2" x14ac:dyDescent="0.25">
      <c r="A6325" t="s">
        <v>6798</v>
      </c>
      <c r="B6325" t="s">
        <v>415</v>
      </c>
    </row>
    <row r="6326" spans="1:2" x14ac:dyDescent="0.25">
      <c r="A6326" t="s">
        <v>6307</v>
      </c>
      <c r="B6326" t="s">
        <v>415</v>
      </c>
    </row>
    <row r="6327" spans="1:2" x14ac:dyDescent="0.25">
      <c r="A6327" t="s">
        <v>5040</v>
      </c>
      <c r="B6327" t="s">
        <v>415</v>
      </c>
    </row>
    <row r="6328" spans="1:2" x14ac:dyDescent="0.25">
      <c r="A6328" t="s">
        <v>4622</v>
      </c>
      <c r="B6328" t="s">
        <v>415</v>
      </c>
    </row>
    <row r="6329" spans="1:2" x14ac:dyDescent="0.25">
      <c r="A6329" t="s">
        <v>3591</v>
      </c>
      <c r="B6329" t="s">
        <v>4620</v>
      </c>
    </row>
    <row r="6330" spans="1:2" x14ac:dyDescent="0.25">
      <c r="A6330" t="s">
        <v>7431</v>
      </c>
      <c r="B6330" t="s">
        <v>12015</v>
      </c>
    </row>
    <row r="6331" spans="1:2" x14ac:dyDescent="0.25">
      <c r="A6331" t="s">
        <v>4623</v>
      </c>
      <c r="B6331" t="s">
        <v>7431</v>
      </c>
    </row>
    <row r="6332" spans="1:2" x14ac:dyDescent="0.25">
      <c r="A6332" t="s">
        <v>7432</v>
      </c>
      <c r="B6332" t="s">
        <v>7431</v>
      </c>
    </row>
    <row r="6333" spans="1:2" x14ac:dyDescent="0.25">
      <c r="A6333" t="s">
        <v>416</v>
      </c>
      <c r="B6333" t="s">
        <v>7432</v>
      </c>
    </row>
    <row r="6334" spans="1:2" x14ac:dyDescent="0.25">
      <c r="A6334" t="s">
        <v>3592</v>
      </c>
      <c r="B6334" t="s">
        <v>7432</v>
      </c>
    </row>
    <row r="6335" spans="1:2" x14ac:dyDescent="0.25">
      <c r="A6335" t="s">
        <v>4108</v>
      </c>
      <c r="B6335" t="s">
        <v>7432</v>
      </c>
    </row>
    <row r="6336" spans="1:2" x14ac:dyDescent="0.25">
      <c r="A6336" t="s">
        <v>417</v>
      </c>
      <c r="B6336" t="s">
        <v>7431</v>
      </c>
    </row>
    <row r="6337" spans="1:2" x14ac:dyDescent="0.25">
      <c r="A6337" t="s">
        <v>3155</v>
      </c>
      <c r="B6337" t="s">
        <v>417</v>
      </c>
    </row>
    <row r="6338" spans="1:2" x14ac:dyDescent="0.25">
      <c r="A6338" t="s">
        <v>4109</v>
      </c>
      <c r="B6338" t="s">
        <v>417</v>
      </c>
    </row>
    <row r="6339" spans="1:2" x14ac:dyDescent="0.25">
      <c r="A6339" t="s">
        <v>5487</v>
      </c>
      <c r="B6339" t="s">
        <v>417</v>
      </c>
    </row>
    <row r="6340" spans="1:2" x14ac:dyDescent="0.25">
      <c r="A6340" t="s">
        <v>5041</v>
      </c>
      <c r="B6340" t="s">
        <v>417</v>
      </c>
    </row>
    <row r="6341" spans="1:2" x14ac:dyDescent="0.25">
      <c r="A6341" t="s">
        <v>3593</v>
      </c>
      <c r="B6341" t="s">
        <v>417</v>
      </c>
    </row>
    <row r="6342" spans="1:2" x14ac:dyDescent="0.25">
      <c r="A6342" t="s">
        <v>3156</v>
      </c>
      <c r="B6342" t="s">
        <v>417</v>
      </c>
    </row>
    <row r="6343" spans="1:2" x14ac:dyDescent="0.25">
      <c r="A6343" t="s">
        <v>12063</v>
      </c>
      <c r="B6343" t="s">
        <v>12015</v>
      </c>
    </row>
    <row r="6344" spans="1:2" x14ac:dyDescent="0.25">
      <c r="A6344" t="s">
        <v>9352</v>
      </c>
      <c r="B6344" t="s">
        <v>12063</v>
      </c>
    </row>
    <row r="6345" spans="1:2" x14ac:dyDescent="0.25">
      <c r="A6345" t="s">
        <v>9353</v>
      </c>
      <c r="B6345" t="s">
        <v>12063</v>
      </c>
    </row>
    <row r="6346" spans="1:2" x14ac:dyDescent="0.25">
      <c r="A6346" t="s">
        <v>6799</v>
      </c>
      <c r="B6346" t="s">
        <v>12063</v>
      </c>
    </row>
    <row r="6347" spans="1:2" x14ac:dyDescent="0.25">
      <c r="A6347" t="s">
        <v>11632</v>
      </c>
      <c r="B6347" t="s">
        <v>12682</v>
      </c>
    </row>
    <row r="6348" spans="1:2" x14ac:dyDescent="0.25">
      <c r="A6348" t="s">
        <v>10280</v>
      </c>
      <c r="B6348" t="s">
        <v>11632</v>
      </c>
    </row>
    <row r="6349" spans="1:2" x14ac:dyDescent="0.25">
      <c r="A6349" t="s">
        <v>12381</v>
      </c>
      <c r="B6349" t="s">
        <v>10280</v>
      </c>
    </row>
    <row r="6350" spans="1:2" x14ac:dyDescent="0.25">
      <c r="A6350" t="s">
        <v>11862</v>
      </c>
      <c r="B6350" t="s">
        <v>12381</v>
      </c>
    </row>
    <row r="6351" spans="1:2" x14ac:dyDescent="0.25">
      <c r="A6351" t="s">
        <v>11648</v>
      </c>
      <c r="B6351" t="s">
        <v>12381</v>
      </c>
    </row>
    <row r="6352" spans="1:2" x14ac:dyDescent="0.25">
      <c r="A6352" t="s">
        <v>6804</v>
      </c>
      <c r="B6352" t="s">
        <v>12381</v>
      </c>
    </row>
    <row r="6353" spans="1:2" x14ac:dyDescent="0.25">
      <c r="A6353" t="s">
        <v>4625</v>
      </c>
      <c r="B6353" t="s">
        <v>12381</v>
      </c>
    </row>
    <row r="6354" spans="1:2" x14ac:dyDescent="0.25">
      <c r="A6354" t="s">
        <v>11434</v>
      </c>
      <c r="B6354" t="s">
        <v>10280</v>
      </c>
    </row>
    <row r="6355" spans="1:2" x14ac:dyDescent="0.25">
      <c r="A6355" t="s">
        <v>10781</v>
      </c>
      <c r="B6355" t="s">
        <v>11434</v>
      </c>
    </row>
    <row r="6356" spans="1:2" x14ac:dyDescent="0.25">
      <c r="A6356" t="s">
        <v>10281</v>
      </c>
      <c r="B6356" t="s">
        <v>11434</v>
      </c>
    </row>
    <row r="6357" spans="1:2" x14ac:dyDescent="0.25">
      <c r="A6357" t="s">
        <v>5044</v>
      </c>
      <c r="B6357" t="s">
        <v>11434</v>
      </c>
    </row>
    <row r="6358" spans="1:2" x14ac:dyDescent="0.25">
      <c r="A6358" t="s">
        <v>4626</v>
      </c>
      <c r="B6358" t="s">
        <v>11434</v>
      </c>
    </row>
    <row r="6359" spans="1:2" x14ac:dyDescent="0.25">
      <c r="A6359" t="s">
        <v>7437</v>
      </c>
      <c r="B6359" t="s">
        <v>11632</v>
      </c>
    </row>
    <row r="6360" spans="1:2" x14ac:dyDescent="0.25">
      <c r="A6360" t="s">
        <v>8557</v>
      </c>
      <c r="B6360" t="s">
        <v>7437</v>
      </c>
    </row>
    <row r="6361" spans="1:2" x14ac:dyDescent="0.25">
      <c r="A6361" t="s">
        <v>9359</v>
      </c>
      <c r="B6361" t="s">
        <v>8557</v>
      </c>
    </row>
    <row r="6362" spans="1:2" x14ac:dyDescent="0.25">
      <c r="A6362" t="s">
        <v>7438</v>
      </c>
      <c r="B6362" t="s">
        <v>8557</v>
      </c>
    </row>
    <row r="6363" spans="1:2" x14ac:dyDescent="0.25">
      <c r="A6363" t="s">
        <v>12068</v>
      </c>
      <c r="B6363" t="s">
        <v>11632</v>
      </c>
    </row>
    <row r="6364" spans="1:2" x14ac:dyDescent="0.25">
      <c r="A6364" t="s">
        <v>9360</v>
      </c>
      <c r="B6364" t="s">
        <v>12068</v>
      </c>
    </row>
    <row r="6365" spans="1:2" x14ac:dyDescent="0.25">
      <c r="A6365" t="s">
        <v>10282</v>
      </c>
      <c r="B6365" t="s">
        <v>12068</v>
      </c>
    </row>
    <row r="6366" spans="1:2" x14ac:dyDescent="0.25">
      <c r="A6366" t="s">
        <v>5045</v>
      </c>
      <c r="B6366" t="s">
        <v>12068</v>
      </c>
    </row>
    <row r="6367" spans="1:2" x14ac:dyDescent="0.25">
      <c r="A6367" t="s">
        <v>12367</v>
      </c>
      <c r="B6367" t="s">
        <v>12682</v>
      </c>
    </row>
    <row r="6368" spans="1:2" x14ac:dyDescent="0.25">
      <c r="A6368" t="s">
        <v>10284</v>
      </c>
      <c r="B6368" t="s">
        <v>12367</v>
      </c>
    </row>
    <row r="6369" spans="1:2" x14ac:dyDescent="0.25">
      <c r="A6369" t="s">
        <v>12382</v>
      </c>
      <c r="B6369" t="s">
        <v>10284</v>
      </c>
    </row>
    <row r="6370" spans="1:2" x14ac:dyDescent="0.25">
      <c r="A6370" t="s">
        <v>6313</v>
      </c>
      <c r="B6370" t="s">
        <v>12382</v>
      </c>
    </row>
    <row r="6371" spans="1:2" x14ac:dyDescent="0.25">
      <c r="A6371" t="s">
        <v>5865</v>
      </c>
      <c r="B6371" t="s">
        <v>12382</v>
      </c>
    </row>
    <row r="6372" spans="1:2" x14ac:dyDescent="0.25">
      <c r="A6372" t="s">
        <v>6806</v>
      </c>
      <c r="B6372" t="s">
        <v>12382</v>
      </c>
    </row>
    <row r="6373" spans="1:2" x14ac:dyDescent="0.25">
      <c r="A6373" t="s">
        <v>10782</v>
      </c>
      <c r="B6373" t="s">
        <v>10284</v>
      </c>
    </row>
    <row r="6374" spans="1:2" x14ac:dyDescent="0.25">
      <c r="A6374" t="s">
        <v>9748</v>
      </c>
      <c r="B6374" t="s">
        <v>10782</v>
      </c>
    </row>
    <row r="6375" spans="1:2" x14ac:dyDescent="0.25">
      <c r="A6375" t="s">
        <v>9363</v>
      </c>
      <c r="B6375" t="s">
        <v>10782</v>
      </c>
    </row>
    <row r="6376" spans="1:2" x14ac:dyDescent="0.25">
      <c r="A6376" t="s">
        <v>4114</v>
      </c>
      <c r="B6376" t="s">
        <v>10782</v>
      </c>
    </row>
    <row r="6377" spans="1:2" x14ac:dyDescent="0.25">
      <c r="A6377" t="s">
        <v>10783</v>
      </c>
      <c r="B6377" t="s">
        <v>10284</v>
      </c>
    </row>
    <row r="6378" spans="1:2" x14ac:dyDescent="0.25">
      <c r="A6378" t="s">
        <v>3594</v>
      </c>
      <c r="B6378" t="s">
        <v>10783</v>
      </c>
    </row>
    <row r="6379" spans="1:2" x14ac:dyDescent="0.25">
      <c r="A6379" t="s">
        <v>10285</v>
      </c>
      <c r="B6379" t="s">
        <v>10783</v>
      </c>
    </row>
    <row r="6380" spans="1:2" x14ac:dyDescent="0.25">
      <c r="A6380" t="s">
        <v>3157</v>
      </c>
      <c r="B6380" t="s">
        <v>10783</v>
      </c>
    </row>
    <row r="6381" spans="1:2" x14ac:dyDescent="0.25">
      <c r="A6381" t="s">
        <v>9749</v>
      </c>
      <c r="B6381" t="s">
        <v>10783</v>
      </c>
    </row>
    <row r="6382" spans="1:2" x14ac:dyDescent="0.25">
      <c r="A6382" t="s">
        <v>4115</v>
      </c>
      <c r="B6382" t="s">
        <v>10783</v>
      </c>
    </row>
    <row r="6383" spans="1:2" x14ac:dyDescent="0.25">
      <c r="A6383" t="s">
        <v>7440</v>
      </c>
      <c r="B6383" t="s">
        <v>12367</v>
      </c>
    </row>
    <row r="6384" spans="1:2" x14ac:dyDescent="0.25">
      <c r="A6384" t="s">
        <v>8558</v>
      </c>
      <c r="B6384" t="s">
        <v>7440</v>
      </c>
    </row>
    <row r="6385" spans="1:2" x14ac:dyDescent="0.25">
      <c r="A6385" t="s">
        <v>9364</v>
      </c>
      <c r="B6385" t="s">
        <v>8558</v>
      </c>
    </row>
    <row r="6386" spans="1:2" x14ac:dyDescent="0.25">
      <c r="A6386" t="s">
        <v>1711</v>
      </c>
      <c r="B6386" t="s">
        <v>8558</v>
      </c>
    </row>
    <row r="6387" spans="1:2" x14ac:dyDescent="0.25">
      <c r="A6387" t="s">
        <v>12071</v>
      </c>
      <c r="B6387" t="s">
        <v>12367</v>
      </c>
    </row>
    <row r="6388" spans="1:2" x14ac:dyDescent="0.25">
      <c r="A6388" t="s">
        <v>9365</v>
      </c>
      <c r="B6388" t="s">
        <v>12071</v>
      </c>
    </row>
    <row r="6389" spans="1:2" x14ac:dyDescent="0.25">
      <c r="A6389" t="s">
        <v>4627</v>
      </c>
      <c r="B6389" t="s">
        <v>12071</v>
      </c>
    </row>
    <row r="6390" spans="1:2" x14ac:dyDescent="0.25">
      <c r="A6390" t="s">
        <v>10286</v>
      </c>
      <c r="B6390" t="s">
        <v>12071</v>
      </c>
    </row>
    <row r="6391" spans="1:2" x14ac:dyDescent="0.25">
      <c r="A6391" t="s">
        <v>12575</v>
      </c>
      <c r="B6391" t="s">
        <v>12682</v>
      </c>
    </row>
    <row r="6392" spans="1:2" x14ac:dyDescent="0.25">
      <c r="A6392" t="s">
        <v>10287</v>
      </c>
      <c r="B6392" t="s">
        <v>12575</v>
      </c>
    </row>
    <row r="6393" spans="1:2" x14ac:dyDescent="0.25">
      <c r="A6393" t="s">
        <v>7441</v>
      </c>
      <c r="B6393" t="s">
        <v>10287</v>
      </c>
    </row>
    <row r="6394" spans="1:2" x14ac:dyDescent="0.25">
      <c r="A6394" t="s">
        <v>9750</v>
      </c>
      <c r="B6394" t="s">
        <v>7441</v>
      </c>
    </row>
    <row r="6395" spans="1:2" x14ac:dyDescent="0.25">
      <c r="A6395" t="s">
        <v>10784</v>
      </c>
      <c r="B6395" t="s">
        <v>7441</v>
      </c>
    </row>
    <row r="6396" spans="1:2" x14ac:dyDescent="0.25">
      <c r="A6396" t="s">
        <v>8061</v>
      </c>
      <c r="B6396" t="s">
        <v>7441</v>
      </c>
    </row>
    <row r="6397" spans="1:2" x14ac:dyDescent="0.25">
      <c r="A6397" t="s">
        <v>6807</v>
      </c>
      <c r="B6397" t="s">
        <v>10287</v>
      </c>
    </row>
    <row r="6398" spans="1:2" x14ac:dyDescent="0.25">
      <c r="A6398" t="s">
        <v>2691</v>
      </c>
      <c r="B6398" t="s">
        <v>6807</v>
      </c>
    </row>
    <row r="6399" spans="1:2" x14ac:dyDescent="0.25">
      <c r="A6399" t="s">
        <v>3595</v>
      </c>
      <c r="B6399" t="s">
        <v>6807</v>
      </c>
    </row>
    <row r="6400" spans="1:2" x14ac:dyDescent="0.25">
      <c r="A6400" t="s">
        <v>418</v>
      </c>
      <c r="B6400" t="s">
        <v>6807</v>
      </c>
    </row>
    <row r="6401" spans="1:2" x14ac:dyDescent="0.25">
      <c r="A6401" t="s">
        <v>10785</v>
      </c>
      <c r="B6401" t="s">
        <v>10287</v>
      </c>
    </row>
    <row r="6402" spans="1:2" x14ac:dyDescent="0.25">
      <c r="A6402" t="s">
        <v>6808</v>
      </c>
      <c r="B6402" t="s">
        <v>10785</v>
      </c>
    </row>
    <row r="6403" spans="1:2" x14ac:dyDescent="0.25">
      <c r="A6403" t="s">
        <v>7442</v>
      </c>
      <c r="B6403" t="s">
        <v>10785</v>
      </c>
    </row>
    <row r="6404" spans="1:2" x14ac:dyDescent="0.25">
      <c r="A6404" t="s">
        <v>4628</v>
      </c>
      <c r="B6404" t="s">
        <v>10785</v>
      </c>
    </row>
    <row r="6405" spans="1:2" x14ac:dyDescent="0.25">
      <c r="A6405" t="s">
        <v>7443</v>
      </c>
      <c r="B6405" t="s">
        <v>12575</v>
      </c>
    </row>
    <row r="6406" spans="1:2" x14ac:dyDescent="0.25">
      <c r="A6406" t="s">
        <v>1712</v>
      </c>
      <c r="B6406" t="s">
        <v>7443</v>
      </c>
    </row>
    <row r="6407" spans="1:2" x14ac:dyDescent="0.25">
      <c r="A6407" t="s">
        <v>9366</v>
      </c>
      <c r="B6407" t="s">
        <v>7443</v>
      </c>
    </row>
    <row r="6408" spans="1:2" x14ac:dyDescent="0.25">
      <c r="A6408" t="s">
        <v>12072</v>
      </c>
      <c r="B6408" t="s">
        <v>12575</v>
      </c>
    </row>
    <row r="6409" spans="1:2" x14ac:dyDescent="0.25">
      <c r="A6409" t="s">
        <v>9367</v>
      </c>
      <c r="B6409" t="s">
        <v>12072</v>
      </c>
    </row>
    <row r="6410" spans="1:2" x14ac:dyDescent="0.25">
      <c r="A6410" t="s">
        <v>10288</v>
      </c>
      <c r="B6410" t="s">
        <v>12072</v>
      </c>
    </row>
    <row r="6411" spans="1:2" x14ac:dyDescent="0.25">
      <c r="A6411" t="s">
        <v>10289</v>
      </c>
      <c r="B6411" t="s">
        <v>12072</v>
      </c>
    </row>
    <row r="6412" spans="1:2" x14ac:dyDescent="0.25">
      <c r="A6412" t="s">
        <v>6314</v>
      </c>
      <c r="B6412" t="s">
        <v>12072</v>
      </c>
    </row>
    <row r="6413" spans="1:2" x14ac:dyDescent="0.25">
      <c r="A6413" t="s">
        <v>10738</v>
      </c>
      <c r="B6413" t="s">
        <v>12682</v>
      </c>
    </row>
    <row r="6414" spans="1:2" x14ac:dyDescent="0.25">
      <c r="A6414" t="s">
        <v>9742</v>
      </c>
      <c r="B6414" t="s">
        <v>10738</v>
      </c>
    </row>
    <row r="6415" spans="1:2" x14ac:dyDescent="0.25">
      <c r="A6415" t="s">
        <v>10777</v>
      </c>
      <c r="B6415" t="s">
        <v>9742</v>
      </c>
    </row>
    <row r="6416" spans="1:2" x14ac:dyDescent="0.25">
      <c r="A6416" t="s">
        <v>10264</v>
      </c>
      <c r="B6416" t="s">
        <v>9742</v>
      </c>
    </row>
    <row r="6417" spans="1:2" x14ac:dyDescent="0.25">
      <c r="A6417" t="s">
        <v>11860</v>
      </c>
      <c r="B6417" t="s">
        <v>9742</v>
      </c>
    </row>
    <row r="6418" spans="1:2" x14ac:dyDescent="0.25">
      <c r="A6418" t="s">
        <v>12053</v>
      </c>
      <c r="B6418" t="s">
        <v>9742</v>
      </c>
    </row>
    <row r="6419" spans="1:2" x14ac:dyDescent="0.25">
      <c r="A6419" t="s">
        <v>11861</v>
      </c>
      <c r="B6419" t="s">
        <v>10738</v>
      </c>
    </row>
    <row r="6420" spans="1:2" x14ac:dyDescent="0.25">
      <c r="A6420" t="s">
        <v>7424</v>
      </c>
      <c r="B6420" t="s">
        <v>11861</v>
      </c>
    </row>
    <row r="6421" spans="1:2" x14ac:dyDescent="0.25">
      <c r="A6421" t="s">
        <v>6796</v>
      </c>
      <c r="B6421" t="s">
        <v>11861</v>
      </c>
    </row>
    <row r="6422" spans="1:2" x14ac:dyDescent="0.25">
      <c r="A6422" t="s">
        <v>9348</v>
      </c>
      <c r="B6422" t="s">
        <v>11861</v>
      </c>
    </row>
    <row r="6423" spans="1:2" x14ac:dyDescent="0.25">
      <c r="A6423" t="s">
        <v>9862</v>
      </c>
      <c r="B6423" t="s">
        <v>10738</v>
      </c>
    </row>
    <row r="6424" spans="1:2" x14ac:dyDescent="0.25">
      <c r="A6424" t="s">
        <v>9340</v>
      </c>
      <c r="B6424" t="s">
        <v>12682</v>
      </c>
    </row>
    <row r="6425" spans="1:2" x14ac:dyDescent="0.25">
      <c r="A6425" t="s">
        <v>12365</v>
      </c>
      <c r="B6425" t="s">
        <v>9340</v>
      </c>
    </row>
    <row r="6426" spans="1:2" x14ac:dyDescent="0.25">
      <c r="A6426" t="s">
        <v>10278</v>
      </c>
      <c r="B6426" t="s">
        <v>12365</v>
      </c>
    </row>
    <row r="6427" spans="1:2" x14ac:dyDescent="0.25">
      <c r="A6427" t="s">
        <v>12066</v>
      </c>
      <c r="B6427" t="s">
        <v>10278</v>
      </c>
    </row>
    <row r="6428" spans="1:2" x14ac:dyDescent="0.25">
      <c r="A6428" t="s">
        <v>8954</v>
      </c>
      <c r="B6428" t="s">
        <v>12066</v>
      </c>
    </row>
    <row r="6429" spans="1:2" x14ac:dyDescent="0.25">
      <c r="A6429" t="s">
        <v>9746</v>
      </c>
      <c r="B6429" t="s">
        <v>12066</v>
      </c>
    </row>
    <row r="6430" spans="1:2" x14ac:dyDescent="0.25">
      <c r="A6430" t="s">
        <v>6803</v>
      </c>
      <c r="B6430" t="s">
        <v>12066</v>
      </c>
    </row>
    <row r="6431" spans="1:2" x14ac:dyDescent="0.25">
      <c r="A6431" t="s">
        <v>508</v>
      </c>
      <c r="B6431" t="s">
        <v>10278</v>
      </c>
    </row>
    <row r="6432" spans="1:2" x14ac:dyDescent="0.25">
      <c r="A6432" t="s">
        <v>4110</v>
      </c>
      <c r="B6432" t="s">
        <v>508</v>
      </c>
    </row>
    <row r="6433" spans="1:2" x14ac:dyDescent="0.25">
      <c r="A6433" t="s">
        <v>5043</v>
      </c>
      <c r="B6433" t="s">
        <v>508</v>
      </c>
    </row>
    <row r="6434" spans="1:2" x14ac:dyDescent="0.25">
      <c r="A6434" t="s">
        <v>2277</v>
      </c>
      <c r="B6434" t="s">
        <v>508</v>
      </c>
    </row>
    <row r="6435" spans="1:2" x14ac:dyDescent="0.25">
      <c r="A6435" t="s">
        <v>7436</v>
      </c>
      <c r="B6435" t="s">
        <v>12365</v>
      </c>
    </row>
    <row r="6436" spans="1:2" x14ac:dyDescent="0.25">
      <c r="A6436" t="s">
        <v>4111</v>
      </c>
      <c r="B6436" t="s">
        <v>7436</v>
      </c>
    </row>
    <row r="6437" spans="1:2" x14ac:dyDescent="0.25">
      <c r="A6437" t="s">
        <v>9357</v>
      </c>
      <c r="B6437" t="s">
        <v>7436</v>
      </c>
    </row>
    <row r="6438" spans="1:2" x14ac:dyDescent="0.25">
      <c r="A6438" t="s">
        <v>12067</v>
      </c>
      <c r="B6438" t="s">
        <v>12365</v>
      </c>
    </row>
    <row r="6439" spans="1:2" x14ac:dyDescent="0.25">
      <c r="A6439" t="s">
        <v>9358</v>
      </c>
      <c r="B6439" t="s">
        <v>12067</v>
      </c>
    </row>
    <row r="6440" spans="1:2" x14ac:dyDescent="0.25">
      <c r="A6440" t="s">
        <v>10279</v>
      </c>
      <c r="B6440" t="s">
        <v>12067</v>
      </c>
    </row>
    <row r="6441" spans="1:2" x14ac:dyDescent="0.25">
      <c r="A6441" t="s">
        <v>12783</v>
      </c>
      <c r="B6441" t="s">
        <v>12067</v>
      </c>
    </row>
    <row r="6442" spans="1:2" x14ac:dyDescent="0.25">
      <c r="A6442" t="s">
        <v>6311</v>
      </c>
      <c r="B6442" t="s">
        <v>12067</v>
      </c>
    </row>
    <row r="6443" spans="1:2" x14ac:dyDescent="0.25">
      <c r="A6443" t="s">
        <v>12017</v>
      </c>
      <c r="B6443" t="s">
        <v>9340</v>
      </c>
    </row>
    <row r="6444" spans="1:2" x14ac:dyDescent="0.25">
      <c r="A6444" t="s">
        <v>10283</v>
      </c>
      <c r="B6444" t="s">
        <v>12017</v>
      </c>
    </row>
    <row r="6445" spans="1:2" x14ac:dyDescent="0.25">
      <c r="A6445" t="s">
        <v>12069</v>
      </c>
      <c r="B6445" t="s">
        <v>10283</v>
      </c>
    </row>
    <row r="6446" spans="1:2" x14ac:dyDescent="0.25">
      <c r="A6446" t="s">
        <v>8955</v>
      </c>
      <c r="B6446" t="s">
        <v>12069</v>
      </c>
    </row>
    <row r="6447" spans="1:2" x14ac:dyDescent="0.25">
      <c r="A6447" t="s">
        <v>9747</v>
      </c>
      <c r="B6447" t="s">
        <v>12069</v>
      </c>
    </row>
    <row r="6448" spans="1:2" x14ac:dyDescent="0.25">
      <c r="A6448" t="s">
        <v>6805</v>
      </c>
      <c r="B6448" t="s">
        <v>12069</v>
      </c>
    </row>
    <row r="6449" spans="1:2" x14ac:dyDescent="0.25">
      <c r="A6449" t="s">
        <v>509</v>
      </c>
      <c r="B6449" t="s">
        <v>10283</v>
      </c>
    </row>
    <row r="6450" spans="1:2" x14ac:dyDescent="0.25">
      <c r="A6450" t="s">
        <v>4112</v>
      </c>
      <c r="B6450" t="s">
        <v>509</v>
      </c>
    </row>
    <row r="6451" spans="1:2" x14ac:dyDescent="0.25">
      <c r="A6451" t="s">
        <v>5046</v>
      </c>
      <c r="B6451" t="s">
        <v>509</v>
      </c>
    </row>
    <row r="6452" spans="1:2" x14ac:dyDescent="0.25">
      <c r="A6452" t="s">
        <v>2278</v>
      </c>
      <c r="B6452" t="s">
        <v>509</v>
      </c>
    </row>
    <row r="6453" spans="1:2" x14ac:dyDescent="0.25">
      <c r="A6453" t="s">
        <v>7439</v>
      </c>
      <c r="B6453" t="s">
        <v>12017</v>
      </c>
    </row>
    <row r="6454" spans="1:2" x14ac:dyDescent="0.25">
      <c r="A6454" t="s">
        <v>4113</v>
      </c>
      <c r="B6454" t="s">
        <v>7439</v>
      </c>
    </row>
    <row r="6455" spans="1:2" x14ac:dyDescent="0.25">
      <c r="A6455" t="s">
        <v>9361</v>
      </c>
      <c r="B6455" t="s">
        <v>7439</v>
      </c>
    </row>
    <row r="6456" spans="1:2" x14ac:dyDescent="0.25">
      <c r="A6456" t="s">
        <v>12070</v>
      </c>
      <c r="B6456" t="s">
        <v>12017</v>
      </c>
    </row>
    <row r="6457" spans="1:2" x14ac:dyDescent="0.25">
      <c r="A6457" t="s">
        <v>9362</v>
      </c>
      <c r="B6457" t="s">
        <v>12070</v>
      </c>
    </row>
    <row r="6458" spans="1:2" x14ac:dyDescent="0.25">
      <c r="A6458" t="s">
        <v>6312</v>
      </c>
      <c r="B6458" t="s">
        <v>12070</v>
      </c>
    </row>
    <row r="6459" spans="1:2" x14ac:dyDescent="0.25">
      <c r="A6459" t="s">
        <v>9347</v>
      </c>
      <c r="B6459" t="s">
        <v>12682</v>
      </c>
    </row>
    <row r="6460" spans="1:2" x14ac:dyDescent="0.25">
      <c r="A6460" t="s">
        <v>11630</v>
      </c>
      <c r="B6460" t="s">
        <v>9347</v>
      </c>
    </row>
    <row r="6461" spans="1:2" x14ac:dyDescent="0.25">
      <c r="A6461" t="s">
        <v>10737</v>
      </c>
      <c r="B6461" t="s">
        <v>9347</v>
      </c>
    </row>
    <row r="6462" spans="1:2" x14ac:dyDescent="0.25">
      <c r="A6462" t="s">
        <v>9327</v>
      </c>
      <c r="B6462" t="s">
        <v>9347</v>
      </c>
    </row>
    <row r="6463" spans="1:2" x14ac:dyDescent="0.25">
      <c r="A6463" t="s">
        <v>11081</v>
      </c>
      <c r="B6463" t="s">
        <v>9347</v>
      </c>
    </row>
    <row r="6464" spans="1:2" x14ac:dyDescent="0.25">
      <c r="A6464" t="s">
        <v>11406</v>
      </c>
      <c r="B6464" t="s">
        <v>9347</v>
      </c>
    </row>
    <row r="6465" spans="1:2" x14ac:dyDescent="0.25">
      <c r="A6465" t="s">
        <v>11855</v>
      </c>
      <c r="B6465" t="s">
        <v>9347</v>
      </c>
    </row>
    <row r="6466" spans="1:2" x14ac:dyDescent="0.25">
      <c r="A6466" t="s">
        <v>12847</v>
      </c>
      <c r="B6466" t="s">
        <v>9347</v>
      </c>
    </row>
    <row r="6467" spans="1:2" x14ac:dyDescent="0.25">
      <c r="A6467" t="s">
        <v>1660</v>
      </c>
      <c r="B6467" t="s">
        <v>9347</v>
      </c>
    </row>
    <row r="6468" spans="1:2" x14ac:dyDescent="0.25">
      <c r="A6468" t="s">
        <v>3142</v>
      </c>
      <c r="B6468" t="s">
        <v>9347</v>
      </c>
    </row>
    <row r="6469" spans="1:2" x14ac:dyDescent="0.25">
      <c r="A6469" t="s">
        <v>12363</v>
      </c>
      <c r="B6469" t="s">
        <v>9347</v>
      </c>
    </row>
    <row r="6470" spans="1:2" x14ac:dyDescent="0.25">
      <c r="A6470" t="s">
        <v>11631</v>
      </c>
      <c r="B6470" t="s">
        <v>9347</v>
      </c>
    </row>
    <row r="6471" spans="1:2" x14ac:dyDescent="0.25">
      <c r="A6471" t="s">
        <v>10244</v>
      </c>
      <c r="B6471" t="s">
        <v>9347</v>
      </c>
    </row>
    <row r="6472" spans="1:2" x14ac:dyDescent="0.25">
      <c r="A6472" t="s">
        <v>5850</v>
      </c>
      <c r="B6472" t="s">
        <v>9347</v>
      </c>
    </row>
    <row r="6473" spans="1:2" x14ac:dyDescent="0.25">
      <c r="A6473" t="s">
        <v>10245</v>
      </c>
      <c r="B6473" t="s">
        <v>9347</v>
      </c>
    </row>
    <row r="6474" spans="1:2" x14ac:dyDescent="0.25">
      <c r="A6474" t="s">
        <v>12766</v>
      </c>
      <c r="B6474" t="s">
        <v>9347</v>
      </c>
    </row>
    <row r="6475" spans="1:2" x14ac:dyDescent="0.25">
      <c r="A6475" t="s">
        <v>11407</v>
      </c>
      <c r="B6475" t="s">
        <v>9347</v>
      </c>
    </row>
    <row r="6476" spans="1:2" x14ac:dyDescent="0.25">
      <c r="A6476" t="s">
        <v>9728</v>
      </c>
      <c r="B6476" t="s">
        <v>9347</v>
      </c>
    </row>
    <row r="6477" spans="1:2" x14ac:dyDescent="0.25">
      <c r="A6477" t="s">
        <v>10246</v>
      </c>
      <c r="B6477" t="s">
        <v>9347</v>
      </c>
    </row>
    <row r="6478" spans="1:2" x14ac:dyDescent="0.25">
      <c r="A6478" t="s">
        <v>12767</v>
      </c>
      <c r="B6478" t="s">
        <v>9347</v>
      </c>
    </row>
    <row r="6479" spans="1:2" x14ac:dyDescent="0.25">
      <c r="A6479" t="s">
        <v>10247</v>
      </c>
      <c r="B6479" t="s">
        <v>9347</v>
      </c>
    </row>
    <row r="6480" spans="1:2" x14ac:dyDescent="0.25">
      <c r="A6480" t="s">
        <v>4584</v>
      </c>
      <c r="B6480" t="s">
        <v>9347</v>
      </c>
    </row>
    <row r="6481" spans="1:2" x14ac:dyDescent="0.25">
      <c r="A6481" t="s">
        <v>10248</v>
      </c>
      <c r="B6481" t="s">
        <v>9347</v>
      </c>
    </row>
    <row r="6482" spans="1:2" x14ac:dyDescent="0.25">
      <c r="A6482" t="s">
        <v>11633</v>
      </c>
      <c r="B6482" t="s">
        <v>9347</v>
      </c>
    </row>
    <row r="6483" spans="1:2" x14ac:dyDescent="0.25">
      <c r="A6483" t="s">
        <v>12768</v>
      </c>
      <c r="B6483" t="s">
        <v>9347</v>
      </c>
    </row>
    <row r="6484" spans="1:2" x14ac:dyDescent="0.25">
      <c r="A6484" t="s">
        <v>12685</v>
      </c>
      <c r="B6484" t="s">
        <v>9347</v>
      </c>
    </row>
    <row r="6485" spans="1:2" x14ac:dyDescent="0.25">
      <c r="A6485" t="s">
        <v>251</v>
      </c>
      <c r="B6485" t="s">
        <v>9347</v>
      </c>
    </row>
    <row r="6486" spans="1:2" x14ac:dyDescent="0.25">
      <c r="A6486" t="s">
        <v>12576</v>
      </c>
      <c r="B6486" t="s">
        <v>9347</v>
      </c>
    </row>
    <row r="6487" spans="1:2" x14ac:dyDescent="0.25">
      <c r="A6487" t="s">
        <v>12769</v>
      </c>
      <c r="B6487" t="s">
        <v>9347</v>
      </c>
    </row>
    <row r="6488" spans="1:2" x14ac:dyDescent="0.25">
      <c r="A6488" t="s">
        <v>12846</v>
      </c>
      <c r="B6488" t="s">
        <v>12682</v>
      </c>
    </row>
    <row r="6489" spans="1:2" x14ac:dyDescent="0.25">
      <c r="A6489" t="s">
        <v>13135</v>
      </c>
      <c r="B6489" t="s">
        <v>12846</v>
      </c>
    </row>
    <row r="6490" spans="1:2" x14ac:dyDescent="0.25">
      <c r="A6490" t="s">
        <v>13136</v>
      </c>
      <c r="B6490" t="s">
        <v>13135</v>
      </c>
    </row>
    <row r="6491" spans="1:2" x14ac:dyDescent="0.25">
      <c r="A6491" t="s">
        <v>13137</v>
      </c>
      <c r="B6491" t="s">
        <v>13135</v>
      </c>
    </row>
    <row r="6492" spans="1:2" x14ac:dyDescent="0.25">
      <c r="A6492" t="s">
        <v>13138</v>
      </c>
      <c r="B6492" t="s">
        <v>13135</v>
      </c>
    </row>
    <row r="6493" spans="1:2" x14ac:dyDescent="0.25">
      <c r="A6493" t="s">
        <v>13139</v>
      </c>
      <c r="B6493" t="s">
        <v>13135</v>
      </c>
    </row>
    <row r="6494" spans="1:2" x14ac:dyDescent="0.25">
      <c r="A6494" t="s">
        <v>13140</v>
      </c>
      <c r="B6494" t="s">
        <v>12682</v>
      </c>
    </row>
    <row r="6495" spans="1:2" x14ac:dyDescent="0.25">
      <c r="A6495" t="s">
        <v>13141</v>
      </c>
      <c r="B6495" t="s">
        <v>13140</v>
      </c>
    </row>
    <row r="6496" spans="1:2" x14ac:dyDescent="0.25">
      <c r="A6496" t="s">
        <v>13142</v>
      </c>
      <c r="B6496" t="s">
        <v>13141</v>
      </c>
    </row>
    <row r="6497" spans="1:2" x14ac:dyDescent="0.25">
      <c r="A6497" t="s">
        <v>13143</v>
      </c>
      <c r="B6497" t="s">
        <v>13141</v>
      </c>
    </row>
    <row r="6498" spans="1:2" x14ac:dyDescent="0.25">
      <c r="A6498" t="s">
        <v>13144</v>
      </c>
      <c r="B6498" t="s">
        <v>13141</v>
      </c>
    </row>
    <row r="6499" spans="1:2" x14ac:dyDescent="0.25">
      <c r="A6499" t="s">
        <v>13145</v>
      </c>
      <c r="B6499" t="s">
        <v>13141</v>
      </c>
    </row>
    <row r="6500" spans="1:2" x14ac:dyDescent="0.25">
      <c r="A6500" t="s">
        <v>12683</v>
      </c>
      <c r="B6500" t="s">
        <v>12682</v>
      </c>
    </row>
    <row r="6501" spans="1:2" x14ac:dyDescent="0.25">
      <c r="A6501" t="s">
        <v>10265</v>
      </c>
      <c r="B6501" t="s">
        <v>12683</v>
      </c>
    </row>
    <row r="6502" spans="1:2" x14ac:dyDescent="0.25">
      <c r="A6502" t="s">
        <v>11094</v>
      </c>
      <c r="B6502" t="s">
        <v>10265</v>
      </c>
    </row>
    <row r="6503" spans="1:2" x14ac:dyDescent="0.25">
      <c r="A6503" t="s">
        <v>12376</v>
      </c>
      <c r="B6503" t="s">
        <v>11094</v>
      </c>
    </row>
    <row r="6504" spans="1:2" x14ac:dyDescent="0.25">
      <c r="A6504" t="s">
        <v>12054</v>
      </c>
      <c r="B6504" t="s">
        <v>11094</v>
      </c>
    </row>
    <row r="6505" spans="1:2" x14ac:dyDescent="0.25">
      <c r="A6505" t="s">
        <v>7425</v>
      </c>
      <c r="B6505" t="s">
        <v>11094</v>
      </c>
    </row>
    <row r="6506" spans="1:2" x14ac:dyDescent="0.25">
      <c r="A6506" t="s">
        <v>10778</v>
      </c>
      <c r="B6506" t="s">
        <v>10265</v>
      </c>
    </row>
    <row r="6507" spans="1:2" x14ac:dyDescent="0.25">
      <c r="A6507" t="s">
        <v>12584</v>
      </c>
      <c r="B6507" t="s">
        <v>10778</v>
      </c>
    </row>
    <row r="6508" spans="1:2" x14ac:dyDescent="0.25">
      <c r="A6508" t="s">
        <v>12377</v>
      </c>
      <c r="B6508" t="s">
        <v>10778</v>
      </c>
    </row>
    <row r="6509" spans="1:2" x14ac:dyDescent="0.25">
      <c r="A6509" t="s">
        <v>8056</v>
      </c>
      <c r="B6509" t="s">
        <v>10778</v>
      </c>
    </row>
    <row r="6510" spans="1:2" x14ac:dyDescent="0.25">
      <c r="A6510" t="s">
        <v>10266</v>
      </c>
      <c r="B6510" t="s">
        <v>10265</v>
      </c>
    </row>
    <row r="6511" spans="1:2" x14ac:dyDescent="0.25">
      <c r="A6511" t="s">
        <v>10267</v>
      </c>
      <c r="B6511" t="s">
        <v>10266</v>
      </c>
    </row>
    <row r="6512" spans="1:2" x14ac:dyDescent="0.25">
      <c r="A6512" t="s">
        <v>9743</v>
      </c>
      <c r="B6512" t="s">
        <v>10266</v>
      </c>
    </row>
    <row r="6513" spans="1:2" x14ac:dyDescent="0.25">
      <c r="A6513" t="s">
        <v>4106</v>
      </c>
      <c r="B6513" t="s">
        <v>10266</v>
      </c>
    </row>
    <row r="6514" spans="1:2" x14ac:dyDescent="0.25">
      <c r="A6514" t="s">
        <v>16504</v>
      </c>
      <c r="B6514" t="s">
        <v>10265</v>
      </c>
    </row>
    <row r="6515" spans="1:2" x14ac:dyDescent="0.25">
      <c r="A6515" t="s">
        <v>16505</v>
      </c>
      <c r="B6515" t="s">
        <v>16504</v>
      </c>
    </row>
    <row r="6516" spans="1:2" x14ac:dyDescent="0.25">
      <c r="A6516" t="s">
        <v>16506</v>
      </c>
      <c r="B6516" t="s">
        <v>16504</v>
      </c>
    </row>
    <row r="6517" spans="1:2" x14ac:dyDescent="0.25">
      <c r="A6517" t="s">
        <v>16507</v>
      </c>
      <c r="B6517" t="s">
        <v>16504</v>
      </c>
    </row>
    <row r="6518" spans="1:2" x14ac:dyDescent="0.25">
      <c r="A6518" t="s">
        <v>7426</v>
      </c>
      <c r="B6518" t="s">
        <v>12683</v>
      </c>
    </row>
    <row r="6519" spans="1:2" x14ac:dyDescent="0.25">
      <c r="A6519" t="s">
        <v>3590</v>
      </c>
      <c r="B6519" t="s">
        <v>7426</v>
      </c>
    </row>
    <row r="6520" spans="1:2" x14ac:dyDescent="0.25">
      <c r="A6520" t="s">
        <v>10268</v>
      </c>
      <c r="B6520" t="s">
        <v>7426</v>
      </c>
    </row>
    <row r="6521" spans="1:2" x14ac:dyDescent="0.25">
      <c r="A6521" t="s">
        <v>12055</v>
      </c>
      <c r="B6521" t="s">
        <v>7426</v>
      </c>
    </row>
    <row r="6522" spans="1:2" x14ac:dyDescent="0.25">
      <c r="A6522" t="s">
        <v>8554</v>
      </c>
      <c r="B6522" t="s">
        <v>7426</v>
      </c>
    </row>
    <row r="6523" spans="1:2" x14ac:dyDescent="0.25">
      <c r="A6523" t="s">
        <v>12056</v>
      </c>
      <c r="B6523" t="s">
        <v>12683</v>
      </c>
    </row>
    <row r="6524" spans="1:2" x14ac:dyDescent="0.25">
      <c r="A6524" t="s">
        <v>9349</v>
      </c>
      <c r="B6524" t="s">
        <v>12056</v>
      </c>
    </row>
    <row r="6525" spans="1:2" x14ac:dyDescent="0.25">
      <c r="A6525" t="s">
        <v>413</v>
      </c>
      <c r="B6525" t="s">
        <v>12056</v>
      </c>
    </row>
    <row r="6526" spans="1:2" x14ac:dyDescent="0.25">
      <c r="A6526" t="s">
        <v>12781</v>
      </c>
      <c r="B6526" t="s">
        <v>12056</v>
      </c>
    </row>
    <row r="6527" spans="1:2" x14ac:dyDescent="0.25">
      <c r="A6527" t="s">
        <v>12677</v>
      </c>
      <c r="B6527" t="s">
        <v>14946</v>
      </c>
    </row>
    <row r="6528" spans="1:2" x14ac:dyDescent="0.25">
      <c r="A6528" t="s">
        <v>10366</v>
      </c>
      <c r="B6528" t="s">
        <v>12677</v>
      </c>
    </row>
    <row r="6529" spans="1:2" x14ac:dyDescent="0.25">
      <c r="A6529" t="s">
        <v>11137</v>
      </c>
      <c r="B6529" t="s">
        <v>10366</v>
      </c>
    </row>
    <row r="6530" spans="1:2" x14ac:dyDescent="0.25">
      <c r="A6530" t="s">
        <v>6861</v>
      </c>
      <c r="B6530" t="s">
        <v>11137</v>
      </c>
    </row>
    <row r="6531" spans="1:2" x14ac:dyDescent="0.25">
      <c r="A6531" t="s">
        <v>8136</v>
      </c>
      <c r="B6531" t="s">
        <v>11137</v>
      </c>
    </row>
    <row r="6532" spans="1:2" x14ac:dyDescent="0.25">
      <c r="A6532" t="s">
        <v>5080</v>
      </c>
      <c r="B6532" t="s">
        <v>11137</v>
      </c>
    </row>
    <row r="6533" spans="1:2" x14ac:dyDescent="0.25">
      <c r="A6533" t="s">
        <v>5538</v>
      </c>
      <c r="B6533" t="s">
        <v>5080</v>
      </c>
    </row>
    <row r="6534" spans="1:2" x14ac:dyDescent="0.25">
      <c r="A6534" t="s">
        <v>5081</v>
      </c>
      <c r="B6534" t="s">
        <v>5080</v>
      </c>
    </row>
    <row r="6535" spans="1:2" x14ac:dyDescent="0.25">
      <c r="A6535" t="s">
        <v>5082</v>
      </c>
      <c r="B6535" t="s">
        <v>5080</v>
      </c>
    </row>
    <row r="6536" spans="1:2" x14ac:dyDescent="0.25">
      <c r="A6536" t="s">
        <v>10824</v>
      </c>
      <c r="B6536" t="s">
        <v>10366</v>
      </c>
    </row>
    <row r="6537" spans="1:2" x14ac:dyDescent="0.25">
      <c r="A6537" t="s">
        <v>6371</v>
      </c>
      <c r="B6537" t="s">
        <v>10824</v>
      </c>
    </row>
    <row r="6538" spans="1:2" x14ac:dyDescent="0.25">
      <c r="A6538" t="s">
        <v>7517</v>
      </c>
      <c r="B6538" t="s">
        <v>10824</v>
      </c>
    </row>
    <row r="6539" spans="1:2" x14ac:dyDescent="0.25">
      <c r="A6539" t="s">
        <v>4666</v>
      </c>
      <c r="B6539" t="s">
        <v>10824</v>
      </c>
    </row>
    <row r="6540" spans="1:2" x14ac:dyDescent="0.25">
      <c r="A6540" t="s">
        <v>10367</v>
      </c>
      <c r="B6540" t="s">
        <v>10366</v>
      </c>
    </row>
    <row r="6541" spans="1:2" x14ac:dyDescent="0.25">
      <c r="A6541" t="s">
        <v>10368</v>
      </c>
      <c r="B6541" t="s">
        <v>10367</v>
      </c>
    </row>
    <row r="6542" spans="1:2" x14ac:dyDescent="0.25">
      <c r="A6542" t="s">
        <v>9815</v>
      </c>
      <c r="B6542" t="s">
        <v>10367</v>
      </c>
    </row>
    <row r="6543" spans="1:2" x14ac:dyDescent="0.25">
      <c r="A6543" t="s">
        <v>9433</v>
      </c>
      <c r="B6543" t="s">
        <v>10367</v>
      </c>
    </row>
    <row r="6544" spans="1:2" x14ac:dyDescent="0.25">
      <c r="A6544" t="s">
        <v>9001</v>
      </c>
      <c r="B6544" t="s">
        <v>10367</v>
      </c>
    </row>
    <row r="6545" spans="1:2" x14ac:dyDescent="0.25">
      <c r="A6545" t="s">
        <v>7518</v>
      </c>
      <c r="B6545" t="s">
        <v>10367</v>
      </c>
    </row>
    <row r="6546" spans="1:2" x14ac:dyDescent="0.25">
      <c r="A6546" t="s">
        <v>4667</v>
      </c>
      <c r="B6546" t="s">
        <v>7518</v>
      </c>
    </row>
    <row r="6547" spans="1:2" x14ac:dyDescent="0.25">
      <c r="A6547" t="s">
        <v>6372</v>
      </c>
      <c r="B6547" t="s">
        <v>7518</v>
      </c>
    </row>
    <row r="6548" spans="1:2" x14ac:dyDescent="0.25">
      <c r="A6548" t="s">
        <v>6862</v>
      </c>
      <c r="B6548" t="s">
        <v>10367</v>
      </c>
    </row>
    <row r="6549" spans="1:2" x14ac:dyDescent="0.25">
      <c r="A6549" t="s">
        <v>6863</v>
      </c>
      <c r="B6549" t="s">
        <v>10366</v>
      </c>
    </row>
    <row r="6550" spans="1:2" x14ac:dyDescent="0.25">
      <c r="A6550" t="s">
        <v>10825</v>
      </c>
      <c r="B6550" t="s">
        <v>6863</v>
      </c>
    </row>
    <row r="6551" spans="1:2" x14ac:dyDescent="0.25">
      <c r="A6551" t="s">
        <v>6864</v>
      </c>
      <c r="B6551" t="s">
        <v>10825</v>
      </c>
    </row>
    <row r="6552" spans="1:2" x14ac:dyDescent="0.25">
      <c r="A6552" t="s">
        <v>8137</v>
      </c>
      <c r="B6552" t="s">
        <v>10825</v>
      </c>
    </row>
    <row r="6553" spans="1:2" x14ac:dyDescent="0.25">
      <c r="A6553" t="s">
        <v>8138</v>
      </c>
      <c r="B6553" t="s">
        <v>10825</v>
      </c>
    </row>
    <row r="6554" spans="1:2" x14ac:dyDescent="0.25">
      <c r="A6554" t="s">
        <v>8139</v>
      </c>
      <c r="B6554" t="s">
        <v>10825</v>
      </c>
    </row>
    <row r="6555" spans="1:2" x14ac:dyDescent="0.25">
      <c r="A6555" t="s">
        <v>9434</v>
      </c>
      <c r="B6555" t="s">
        <v>10825</v>
      </c>
    </row>
    <row r="6556" spans="1:2" x14ac:dyDescent="0.25">
      <c r="A6556" t="s">
        <v>4668</v>
      </c>
      <c r="B6556" t="s">
        <v>10825</v>
      </c>
    </row>
    <row r="6557" spans="1:2" x14ac:dyDescent="0.25">
      <c r="A6557" t="s">
        <v>5910</v>
      </c>
      <c r="B6557" t="s">
        <v>10825</v>
      </c>
    </row>
    <row r="6558" spans="1:2" x14ac:dyDescent="0.25">
      <c r="A6558" t="s">
        <v>5911</v>
      </c>
      <c r="B6558" t="s">
        <v>10825</v>
      </c>
    </row>
    <row r="6559" spans="1:2" x14ac:dyDescent="0.25">
      <c r="A6559" t="s">
        <v>5083</v>
      </c>
      <c r="B6559" t="s">
        <v>10825</v>
      </c>
    </row>
    <row r="6560" spans="1:2" x14ac:dyDescent="0.25">
      <c r="A6560" t="s">
        <v>5084</v>
      </c>
      <c r="B6560" t="s">
        <v>10825</v>
      </c>
    </row>
    <row r="6561" spans="1:2" x14ac:dyDescent="0.25">
      <c r="A6561" t="s">
        <v>4187</v>
      </c>
      <c r="B6561" t="s">
        <v>10825</v>
      </c>
    </row>
    <row r="6562" spans="1:2" x14ac:dyDescent="0.25">
      <c r="A6562" t="s">
        <v>2290</v>
      </c>
      <c r="B6562" t="s">
        <v>10825</v>
      </c>
    </row>
    <row r="6563" spans="1:2" x14ac:dyDescent="0.25">
      <c r="A6563" t="s">
        <v>4669</v>
      </c>
      <c r="B6563" t="s">
        <v>10825</v>
      </c>
    </row>
    <row r="6564" spans="1:2" x14ac:dyDescent="0.25">
      <c r="A6564" t="s">
        <v>7519</v>
      </c>
      <c r="B6564" t="s">
        <v>12677</v>
      </c>
    </row>
    <row r="6565" spans="1:2" x14ac:dyDescent="0.25">
      <c r="A6565" t="s">
        <v>9435</v>
      </c>
      <c r="B6565" t="s">
        <v>7519</v>
      </c>
    </row>
    <row r="6566" spans="1:2" x14ac:dyDescent="0.25">
      <c r="A6566" t="s">
        <v>10369</v>
      </c>
      <c r="B6566" t="s">
        <v>9435</v>
      </c>
    </row>
    <row r="6567" spans="1:2" x14ac:dyDescent="0.25">
      <c r="A6567" t="s">
        <v>8140</v>
      </c>
      <c r="B6567" t="s">
        <v>9435</v>
      </c>
    </row>
    <row r="6568" spans="1:2" x14ac:dyDescent="0.25">
      <c r="A6568" t="s">
        <v>5085</v>
      </c>
      <c r="B6568" t="s">
        <v>8140</v>
      </c>
    </row>
    <row r="6569" spans="1:2" x14ac:dyDescent="0.25">
      <c r="A6569" t="s">
        <v>5086</v>
      </c>
      <c r="B6569" t="s">
        <v>8140</v>
      </c>
    </row>
    <row r="6570" spans="1:2" x14ac:dyDescent="0.25">
      <c r="A6570" t="s">
        <v>4188</v>
      </c>
      <c r="B6570" t="s">
        <v>8140</v>
      </c>
    </row>
    <row r="6571" spans="1:2" x14ac:dyDescent="0.25">
      <c r="A6571" t="s">
        <v>2291</v>
      </c>
      <c r="B6571" t="s">
        <v>8140</v>
      </c>
    </row>
    <row r="6572" spans="1:2" x14ac:dyDescent="0.25">
      <c r="A6572" t="s">
        <v>11138</v>
      </c>
      <c r="B6572" t="s">
        <v>8140</v>
      </c>
    </row>
    <row r="6573" spans="1:2" x14ac:dyDescent="0.25">
      <c r="A6573" t="s">
        <v>4670</v>
      </c>
      <c r="B6573" t="s">
        <v>9435</v>
      </c>
    </row>
    <row r="6574" spans="1:2" x14ac:dyDescent="0.25">
      <c r="A6574" t="s">
        <v>6865</v>
      </c>
      <c r="B6574" t="s">
        <v>9435</v>
      </c>
    </row>
    <row r="6575" spans="1:2" x14ac:dyDescent="0.25">
      <c r="A6575" t="s">
        <v>5087</v>
      </c>
      <c r="B6575" t="s">
        <v>9435</v>
      </c>
    </row>
    <row r="6576" spans="1:2" x14ac:dyDescent="0.25">
      <c r="A6576" t="s">
        <v>5539</v>
      </c>
      <c r="B6576" t="s">
        <v>5087</v>
      </c>
    </row>
    <row r="6577" spans="1:2" x14ac:dyDescent="0.25">
      <c r="A6577" t="s">
        <v>5088</v>
      </c>
      <c r="B6577" t="s">
        <v>5087</v>
      </c>
    </row>
    <row r="6578" spans="1:2" x14ac:dyDescent="0.25">
      <c r="A6578" t="s">
        <v>5089</v>
      </c>
      <c r="B6578" t="s">
        <v>5087</v>
      </c>
    </row>
    <row r="6579" spans="1:2" x14ac:dyDescent="0.25">
      <c r="A6579" t="s">
        <v>7520</v>
      </c>
      <c r="B6579" t="s">
        <v>9435</v>
      </c>
    </row>
    <row r="6580" spans="1:2" x14ac:dyDescent="0.25">
      <c r="A6580" t="s">
        <v>6373</v>
      </c>
      <c r="B6580" t="s">
        <v>7520</v>
      </c>
    </row>
    <row r="6581" spans="1:2" x14ac:dyDescent="0.25">
      <c r="A6581" t="s">
        <v>4671</v>
      </c>
      <c r="B6581" t="s">
        <v>7520</v>
      </c>
    </row>
    <row r="6582" spans="1:2" x14ac:dyDescent="0.25">
      <c r="A6582" t="s">
        <v>10826</v>
      </c>
      <c r="B6582" t="s">
        <v>7519</v>
      </c>
    </row>
    <row r="6583" spans="1:2" x14ac:dyDescent="0.25">
      <c r="A6583" t="s">
        <v>12124</v>
      </c>
      <c r="B6583" t="s">
        <v>12677</v>
      </c>
    </row>
    <row r="6584" spans="1:2" x14ac:dyDescent="0.25">
      <c r="A6584" t="s">
        <v>12801</v>
      </c>
      <c r="B6584" t="s">
        <v>12124</v>
      </c>
    </row>
    <row r="6585" spans="1:2" x14ac:dyDescent="0.25">
      <c r="A6585" t="s">
        <v>11879</v>
      </c>
      <c r="B6585" t="s">
        <v>12801</v>
      </c>
    </row>
    <row r="6586" spans="1:2" x14ac:dyDescent="0.25">
      <c r="A6586" t="s">
        <v>12125</v>
      </c>
      <c r="B6586" t="s">
        <v>12801</v>
      </c>
    </row>
    <row r="6587" spans="1:2" x14ac:dyDescent="0.25">
      <c r="A6587" t="s">
        <v>8141</v>
      </c>
      <c r="B6587" t="s">
        <v>12801</v>
      </c>
    </row>
    <row r="6588" spans="1:2" x14ac:dyDescent="0.25">
      <c r="A6588" t="s">
        <v>11880</v>
      </c>
      <c r="B6588" t="s">
        <v>12801</v>
      </c>
    </row>
    <row r="6589" spans="1:2" x14ac:dyDescent="0.25">
      <c r="A6589" t="s">
        <v>9436</v>
      </c>
      <c r="B6589" t="s">
        <v>12124</v>
      </c>
    </row>
    <row r="6590" spans="1:2" x14ac:dyDescent="0.25">
      <c r="A6590" t="s">
        <v>8142</v>
      </c>
      <c r="B6590" t="s">
        <v>12124</v>
      </c>
    </row>
    <row r="6591" spans="1:2" x14ac:dyDescent="0.25">
      <c r="A6591" t="s">
        <v>2710</v>
      </c>
      <c r="B6591" t="s">
        <v>8142</v>
      </c>
    </row>
    <row r="6592" spans="1:2" x14ac:dyDescent="0.25">
      <c r="A6592" t="s">
        <v>12126</v>
      </c>
      <c r="B6592" t="s">
        <v>2710</v>
      </c>
    </row>
    <row r="6593" spans="1:2" x14ac:dyDescent="0.25">
      <c r="A6593" t="s">
        <v>426</v>
      </c>
      <c r="B6593" t="s">
        <v>8142</v>
      </c>
    </row>
    <row r="6594" spans="1:2" x14ac:dyDescent="0.25">
      <c r="A6594" t="s">
        <v>9437</v>
      </c>
      <c r="B6594" t="s">
        <v>12124</v>
      </c>
    </row>
    <row r="6595" spans="1:2" x14ac:dyDescent="0.25">
      <c r="A6595" t="s">
        <v>11455</v>
      </c>
      <c r="B6595" t="s">
        <v>12124</v>
      </c>
    </row>
    <row r="6596" spans="1:2" x14ac:dyDescent="0.25">
      <c r="A6596" t="s">
        <v>11664</v>
      </c>
      <c r="B6596" t="s">
        <v>12124</v>
      </c>
    </row>
    <row r="6597" spans="1:2" x14ac:dyDescent="0.25">
      <c r="A6597" t="s">
        <v>12127</v>
      </c>
      <c r="B6597" t="s">
        <v>12124</v>
      </c>
    </row>
    <row r="6598" spans="1:2" x14ac:dyDescent="0.25">
      <c r="A6598" t="s">
        <v>8143</v>
      </c>
      <c r="B6598" t="s">
        <v>12127</v>
      </c>
    </row>
    <row r="6599" spans="1:2" x14ac:dyDescent="0.25">
      <c r="A6599" t="s">
        <v>9438</v>
      </c>
      <c r="B6599" t="s">
        <v>8143</v>
      </c>
    </row>
    <row r="6600" spans="1:2" x14ac:dyDescent="0.25">
      <c r="A6600" t="s">
        <v>11139</v>
      </c>
      <c r="B6600" t="s">
        <v>8143</v>
      </c>
    </row>
    <row r="6601" spans="1:2" x14ac:dyDescent="0.25">
      <c r="A6601" t="s">
        <v>1723</v>
      </c>
      <c r="B6601" t="s">
        <v>8143</v>
      </c>
    </row>
    <row r="6602" spans="1:2" x14ac:dyDescent="0.25">
      <c r="A6602" t="s">
        <v>5912</v>
      </c>
      <c r="B6602" t="s">
        <v>12127</v>
      </c>
    </row>
    <row r="6603" spans="1:2" x14ac:dyDescent="0.25">
      <c r="A6603" t="s">
        <v>10827</v>
      </c>
      <c r="B6603" t="s">
        <v>12127</v>
      </c>
    </row>
    <row r="6604" spans="1:2" x14ac:dyDescent="0.25">
      <c r="A6604" t="s">
        <v>12410</v>
      </c>
      <c r="B6604" t="s">
        <v>12124</v>
      </c>
    </row>
    <row r="6605" spans="1:2" x14ac:dyDescent="0.25">
      <c r="A6605" t="s">
        <v>8144</v>
      </c>
      <c r="B6605" t="s">
        <v>12410</v>
      </c>
    </row>
    <row r="6606" spans="1:2" x14ac:dyDescent="0.25">
      <c r="A6606" t="s">
        <v>2292</v>
      </c>
      <c r="B6606" t="s">
        <v>12410</v>
      </c>
    </row>
    <row r="6607" spans="1:2" x14ac:dyDescent="0.25">
      <c r="A6607" t="s">
        <v>7521</v>
      </c>
      <c r="B6607" t="s">
        <v>12124</v>
      </c>
    </row>
    <row r="6608" spans="1:2" x14ac:dyDescent="0.25">
      <c r="A6608" t="s">
        <v>5540</v>
      </c>
      <c r="B6608" t="s">
        <v>12124</v>
      </c>
    </row>
    <row r="6609" spans="1:2" x14ac:dyDescent="0.25">
      <c r="A6609" t="s">
        <v>12678</v>
      </c>
      <c r="B6609" t="s">
        <v>14946</v>
      </c>
    </row>
    <row r="6610" spans="1:2" x14ac:dyDescent="0.25">
      <c r="A6610" t="s">
        <v>10376</v>
      </c>
      <c r="B6610" t="s">
        <v>12678</v>
      </c>
    </row>
    <row r="6611" spans="1:2" x14ac:dyDescent="0.25">
      <c r="A6611" t="s">
        <v>8155</v>
      </c>
      <c r="B6611" t="s">
        <v>10376</v>
      </c>
    </row>
    <row r="6612" spans="1:2" x14ac:dyDescent="0.25">
      <c r="A6612" t="s">
        <v>8156</v>
      </c>
      <c r="B6612" t="s">
        <v>8155</v>
      </c>
    </row>
    <row r="6613" spans="1:2" x14ac:dyDescent="0.25">
      <c r="A6613" t="s">
        <v>12132</v>
      </c>
      <c r="B6613" t="s">
        <v>8155</v>
      </c>
    </row>
    <row r="6614" spans="1:2" x14ac:dyDescent="0.25">
      <c r="A6614" t="s">
        <v>9008</v>
      </c>
      <c r="B6614" t="s">
        <v>12132</v>
      </c>
    </row>
    <row r="6615" spans="1:2" x14ac:dyDescent="0.25">
      <c r="A6615" t="s">
        <v>9821</v>
      </c>
      <c r="B6615" t="s">
        <v>12132</v>
      </c>
    </row>
    <row r="6616" spans="1:2" x14ac:dyDescent="0.25">
      <c r="A6616" t="s">
        <v>6874</v>
      </c>
      <c r="B6616" t="s">
        <v>12132</v>
      </c>
    </row>
    <row r="6617" spans="1:2" x14ac:dyDescent="0.25">
      <c r="A6617" t="s">
        <v>9822</v>
      </c>
      <c r="B6617" t="s">
        <v>12132</v>
      </c>
    </row>
    <row r="6618" spans="1:2" x14ac:dyDescent="0.25">
      <c r="A6618" t="s">
        <v>10829</v>
      </c>
      <c r="B6618" t="s">
        <v>8155</v>
      </c>
    </row>
    <row r="6619" spans="1:2" x14ac:dyDescent="0.25">
      <c r="A6619" t="s">
        <v>6382</v>
      </c>
      <c r="B6619" t="s">
        <v>10829</v>
      </c>
    </row>
    <row r="6620" spans="1:2" x14ac:dyDescent="0.25">
      <c r="A6620" t="s">
        <v>7528</v>
      </c>
      <c r="B6620" t="s">
        <v>10829</v>
      </c>
    </row>
    <row r="6621" spans="1:2" x14ac:dyDescent="0.25">
      <c r="A6621" t="s">
        <v>4675</v>
      </c>
      <c r="B6621" t="s">
        <v>10829</v>
      </c>
    </row>
    <row r="6622" spans="1:2" x14ac:dyDescent="0.25">
      <c r="A6622" t="s">
        <v>7529</v>
      </c>
      <c r="B6622" t="s">
        <v>10829</v>
      </c>
    </row>
    <row r="6623" spans="1:2" x14ac:dyDescent="0.25">
      <c r="A6623" t="s">
        <v>8159</v>
      </c>
      <c r="B6623" t="s">
        <v>10376</v>
      </c>
    </row>
    <row r="6624" spans="1:2" x14ac:dyDescent="0.25">
      <c r="A6624" t="s">
        <v>5544</v>
      </c>
      <c r="B6624" t="s">
        <v>8159</v>
      </c>
    </row>
    <row r="6625" spans="1:2" x14ac:dyDescent="0.25">
      <c r="A6625" t="s">
        <v>12414</v>
      </c>
      <c r="B6625" t="s">
        <v>8159</v>
      </c>
    </row>
    <row r="6626" spans="1:2" x14ac:dyDescent="0.25">
      <c r="A6626" t="s">
        <v>9447</v>
      </c>
      <c r="B6626" t="s">
        <v>12414</v>
      </c>
    </row>
    <row r="6627" spans="1:2" x14ac:dyDescent="0.25">
      <c r="A6627" t="s">
        <v>10377</v>
      </c>
      <c r="B6627" t="s">
        <v>12414</v>
      </c>
    </row>
    <row r="6628" spans="1:2" x14ac:dyDescent="0.25">
      <c r="A6628" t="s">
        <v>6381</v>
      </c>
      <c r="B6628" t="s">
        <v>12414</v>
      </c>
    </row>
    <row r="6629" spans="1:2" x14ac:dyDescent="0.25">
      <c r="A6629" t="s">
        <v>4674</v>
      </c>
      <c r="B6629" t="s">
        <v>12414</v>
      </c>
    </row>
    <row r="6630" spans="1:2" x14ac:dyDescent="0.25">
      <c r="A6630" t="s">
        <v>9448</v>
      </c>
      <c r="B6630" t="s">
        <v>12414</v>
      </c>
    </row>
    <row r="6631" spans="1:2" x14ac:dyDescent="0.25">
      <c r="A6631" t="s">
        <v>7527</v>
      </c>
      <c r="B6631" t="s">
        <v>12414</v>
      </c>
    </row>
    <row r="6632" spans="1:2" x14ac:dyDescent="0.25">
      <c r="A6632" t="s">
        <v>11144</v>
      </c>
      <c r="B6632" t="s">
        <v>8159</v>
      </c>
    </row>
    <row r="6633" spans="1:2" x14ac:dyDescent="0.25">
      <c r="A6633" t="s">
        <v>6873</v>
      </c>
      <c r="B6633" t="s">
        <v>11144</v>
      </c>
    </row>
    <row r="6634" spans="1:2" x14ac:dyDescent="0.25">
      <c r="A6634" t="s">
        <v>8157</v>
      </c>
      <c r="B6634" t="s">
        <v>11144</v>
      </c>
    </row>
    <row r="6635" spans="1:2" x14ac:dyDescent="0.25">
      <c r="A6635" t="s">
        <v>5543</v>
      </c>
      <c r="B6635" t="s">
        <v>11144</v>
      </c>
    </row>
    <row r="6636" spans="1:2" x14ac:dyDescent="0.25">
      <c r="A6636" t="s">
        <v>5092</v>
      </c>
      <c r="B6636" t="s">
        <v>11144</v>
      </c>
    </row>
    <row r="6637" spans="1:2" x14ac:dyDescent="0.25">
      <c r="A6637" t="s">
        <v>8631</v>
      </c>
      <c r="B6637" t="s">
        <v>11144</v>
      </c>
    </row>
    <row r="6638" spans="1:2" x14ac:dyDescent="0.25">
      <c r="A6638" t="s">
        <v>8158</v>
      </c>
      <c r="B6638" t="s">
        <v>11144</v>
      </c>
    </row>
    <row r="6639" spans="1:2" x14ac:dyDescent="0.25">
      <c r="A6639" t="s">
        <v>6380</v>
      </c>
      <c r="B6639" t="s">
        <v>11144</v>
      </c>
    </row>
    <row r="6640" spans="1:2" x14ac:dyDescent="0.25">
      <c r="A6640" t="s">
        <v>12594</v>
      </c>
      <c r="B6640" t="s">
        <v>10376</v>
      </c>
    </row>
    <row r="6641" spans="1:2" x14ac:dyDescent="0.25">
      <c r="A6641" t="s">
        <v>11457</v>
      </c>
      <c r="B6641" t="s">
        <v>12594</v>
      </c>
    </row>
    <row r="6642" spans="1:2" x14ac:dyDescent="0.25">
      <c r="A6642" t="s">
        <v>9823</v>
      </c>
      <c r="B6642" t="s">
        <v>12594</v>
      </c>
    </row>
    <row r="6643" spans="1:2" x14ac:dyDescent="0.25">
      <c r="A6643" t="s">
        <v>5545</v>
      </c>
      <c r="B6643" t="s">
        <v>9823</v>
      </c>
    </row>
    <row r="6644" spans="1:2" x14ac:dyDescent="0.25">
      <c r="A6644" t="s">
        <v>5918</v>
      </c>
      <c r="B6644" t="s">
        <v>9823</v>
      </c>
    </row>
    <row r="6645" spans="1:2" x14ac:dyDescent="0.25">
      <c r="A6645" t="s">
        <v>4189</v>
      </c>
      <c r="B6645" t="s">
        <v>9823</v>
      </c>
    </row>
    <row r="6646" spans="1:2" x14ac:dyDescent="0.25">
      <c r="A6646" t="s">
        <v>3185</v>
      </c>
      <c r="B6646" t="s">
        <v>9823</v>
      </c>
    </row>
    <row r="6647" spans="1:2" x14ac:dyDescent="0.25">
      <c r="A6647" t="s">
        <v>10830</v>
      </c>
      <c r="B6647" t="s">
        <v>12594</v>
      </c>
    </row>
    <row r="6648" spans="1:2" x14ac:dyDescent="0.25">
      <c r="A6648" t="s">
        <v>8160</v>
      </c>
      <c r="B6648" t="s">
        <v>12594</v>
      </c>
    </row>
    <row r="6649" spans="1:2" x14ac:dyDescent="0.25">
      <c r="A6649" t="s">
        <v>5093</v>
      </c>
      <c r="B6649" t="s">
        <v>8160</v>
      </c>
    </row>
    <row r="6650" spans="1:2" x14ac:dyDescent="0.25">
      <c r="A6650" t="s">
        <v>5919</v>
      </c>
      <c r="B6650" t="s">
        <v>8160</v>
      </c>
    </row>
    <row r="6651" spans="1:2" x14ac:dyDescent="0.25">
      <c r="A6651" t="s">
        <v>5094</v>
      </c>
      <c r="B6651" t="s">
        <v>8160</v>
      </c>
    </row>
    <row r="6652" spans="1:2" x14ac:dyDescent="0.25">
      <c r="A6652" t="s">
        <v>4676</v>
      </c>
      <c r="B6652" t="s">
        <v>8160</v>
      </c>
    </row>
    <row r="6653" spans="1:2" x14ac:dyDescent="0.25">
      <c r="A6653" t="s">
        <v>8161</v>
      </c>
      <c r="B6653" t="s">
        <v>8160</v>
      </c>
    </row>
    <row r="6654" spans="1:2" x14ac:dyDescent="0.25">
      <c r="A6654" t="s">
        <v>2293</v>
      </c>
      <c r="B6654" t="s">
        <v>8160</v>
      </c>
    </row>
    <row r="6655" spans="1:2" x14ac:dyDescent="0.25">
      <c r="A6655" t="s">
        <v>5095</v>
      </c>
      <c r="B6655" t="s">
        <v>8160</v>
      </c>
    </row>
    <row r="6656" spans="1:2" x14ac:dyDescent="0.25">
      <c r="A6656" t="s">
        <v>10831</v>
      </c>
      <c r="B6656" t="s">
        <v>12594</v>
      </c>
    </row>
    <row r="6657" spans="1:2" x14ac:dyDescent="0.25">
      <c r="A6657" t="s">
        <v>11668</v>
      </c>
      <c r="B6657" t="s">
        <v>12678</v>
      </c>
    </row>
    <row r="6658" spans="1:2" x14ac:dyDescent="0.25">
      <c r="A6658" t="s">
        <v>10832</v>
      </c>
      <c r="B6658" t="s">
        <v>11668</v>
      </c>
    </row>
    <row r="6659" spans="1:2" x14ac:dyDescent="0.25">
      <c r="A6659" t="s">
        <v>8162</v>
      </c>
      <c r="B6659" t="s">
        <v>11668</v>
      </c>
    </row>
    <row r="6660" spans="1:2" x14ac:dyDescent="0.25">
      <c r="A6660" t="s">
        <v>4190</v>
      </c>
      <c r="B6660" t="s">
        <v>8162</v>
      </c>
    </row>
    <row r="6661" spans="1:2" x14ac:dyDescent="0.25">
      <c r="A6661" t="s">
        <v>3645</v>
      </c>
      <c r="B6661" t="s">
        <v>8162</v>
      </c>
    </row>
    <row r="6662" spans="1:2" x14ac:dyDescent="0.25">
      <c r="A6662" t="s">
        <v>5096</v>
      </c>
      <c r="B6662" t="s">
        <v>8162</v>
      </c>
    </row>
    <row r="6663" spans="1:2" x14ac:dyDescent="0.25">
      <c r="A6663" t="s">
        <v>3186</v>
      </c>
      <c r="B6663" t="s">
        <v>8162</v>
      </c>
    </row>
    <row r="6664" spans="1:2" x14ac:dyDescent="0.25">
      <c r="A6664" t="s">
        <v>3187</v>
      </c>
      <c r="B6664" t="s">
        <v>8162</v>
      </c>
    </row>
    <row r="6665" spans="1:2" x14ac:dyDescent="0.25">
      <c r="A6665" t="s">
        <v>5546</v>
      </c>
      <c r="B6665" t="s">
        <v>8162</v>
      </c>
    </row>
    <row r="6666" spans="1:2" x14ac:dyDescent="0.25">
      <c r="A6666" t="s">
        <v>3646</v>
      </c>
      <c r="B6666" t="s">
        <v>8162</v>
      </c>
    </row>
    <row r="6667" spans="1:2" x14ac:dyDescent="0.25">
      <c r="A6667" t="s">
        <v>3647</v>
      </c>
      <c r="B6667" t="s">
        <v>8162</v>
      </c>
    </row>
    <row r="6668" spans="1:2" x14ac:dyDescent="0.25">
      <c r="A6668" t="s">
        <v>4677</v>
      </c>
      <c r="B6668" t="s">
        <v>8162</v>
      </c>
    </row>
    <row r="6669" spans="1:2" x14ac:dyDescent="0.25">
      <c r="A6669" t="s">
        <v>3188</v>
      </c>
      <c r="B6669" t="s">
        <v>8162</v>
      </c>
    </row>
    <row r="6670" spans="1:2" x14ac:dyDescent="0.25">
      <c r="A6670" t="s">
        <v>6383</v>
      </c>
      <c r="B6670" t="s">
        <v>8162</v>
      </c>
    </row>
    <row r="6671" spans="1:2" x14ac:dyDescent="0.25">
      <c r="A6671" t="s">
        <v>430</v>
      </c>
      <c r="B6671" t="s">
        <v>8162</v>
      </c>
    </row>
    <row r="6672" spans="1:2" x14ac:dyDescent="0.25">
      <c r="A6672" t="s">
        <v>12133</v>
      </c>
      <c r="B6672" t="s">
        <v>12678</v>
      </c>
    </row>
    <row r="6673" spans="1:2" x14ac:dyDescent="0.25">
      <c r="A6673" t="s">
        <v>9449</v>
      </c>
      <c r="B6673" t="s">
        <v>12133</v>
      </c>
    </row>
    <row r="6674" spans="1:2" x14ac:dyDescent="0.25">
      <c r="A6674" t="s">
        <v>12134</v>
      </c>
      <c r="B6674" t="s">
        <v>12133</v>
      </c>
    </row>
    <row r="6675" spans="1:2" x14ac:dyDescent="0.25">
      <c r="A6675" t="s">
        <v>6875</v>
      </c>
      <c r="B6675" t="s">
        <v>12133</v>
      </c>
    </row>
    <row r="6676" spans="1:2" x14ac:dyDescent="0.25">
      <c r="A6676" t="s">
        <v>12595</v>
      </c>
      <c r="B6676" t="s">
        <v>12133</v>
      </c>
    </row>
    <row r="6677" spans="1:2" x14ac:dyDescent="0.25">
      <c r="A6677" t="s">
        <v>12044</v>
      </c>
      <c r="B6677" t="s">
        <v>14946</v>
      </c>
    </row>
    <row r="6678" spans="1:2" x14ac:dyDescent="0.25">
      <c r="A6678" t="s">
        <v>12672</v>
      </c>
      <c r="B6678" t="s">
        <v>12044</v>
      </c>
    </row>
    <row r="6679" spans="1:2" x14ac:dyDescent="0.25">
      <c r="A6679" t="s">
        <v>12910</v>
      </c>
      <c r="B6679" t="s">
        <v>12672</v>
      </c>
    </row>
    <row r="6680" spans="1:2" x14ac:dyDescent="0.25">
      <c r="A6680" t="s">
        <v>12546</v>
      </c>
      <c r="B6680" t="s">
        <v>12910</v>
      </c>
    </row>
    <row r="6681" spans="1:2" x14ac:dyDescent="0.25">
      <c r="A6681" t="s">
        <v>11842</v>
      </c>
      <c r="B6681" t="s">
        <v>12910</v>
      </c>
    </row>
    <row r="6682" spans="1:2" x14ac:dyDescent="0.25">
      <c r="A6682" t="s">
        <v>12549</v>
      </c>
      <c r="B6682" t="s">
        <v>12910</v>
      </c>
    </row>
    <row r="6683" spans="1:2" x14ac:dyDescent="0.25">
      <c r="A6683" t="s">
        <v>12552</v>
      </c>
      <c r="B6683" t="s">
        <v>12910</v>
      </c>
    </row>
    <row r="6684" spans="1:2" x14ac:dyDescent="0.25">
      <c r="A6684" t="s">
        <v>11844</v>
      </c>
      <c r="B6684" t="s">
        <v>12910</v>
      </c>
    </row>
    <row r="6685" spans="1:2" x14ac:dyDescent="0.25">
      <c r="A6685" t="s">
        <v>11845</v>
      </c>
      <c r="B6685" t="s">
        <v>12910</v>
      </c>
    </row>
    <row r="6686" spans="1:2" x14ac:dyDescent="0.25">
      <c r="A6686" t="s">
        <v>12558</v>
      </c>
      <c r="B6686" t="s">
        <v>12910</v>
      </c>
    </row>
    <row r="6687" spans="1:2" x14ac:dyDescent="0.25">
      <c r="A6687" t="s">
        <v>12351</v>
      </c>
      <c r="B6687" t="s">
        <v>12910</v>
      </c>
    </row>
    <row r="6688" spans="1:2" x14ac:dyDescent="0.25">
      <c r="A6688" t="s">
        <v>11850</v>
      </c>
      <c r="B6688" t="s">
        <v>12910</v>
      </c>
    </row>
    <row r="6689" spans="1:2" x14ac:dyDescent="0.25">
      <c r="A6689" t="s">
        <v>11404</v>
      </c>
      <c r="B6689" t="s">
        <v>12910</v>
      </c>
    </row>
    <row r="6690" spans="1:2" x14ac:dyDescent="0.25">
      <c r="A6690" t="s">
        <v>12564</v>
      </c>
      <c r="B6690" t="s">
        <v>12910</v>
      </c>
    </row>
    <row r="6691" spans="1:2" x14ac:dyDescent="0.25">
      <c r="A6691" t="s">
        <v>10455</v>
      </c>
      <c r="B6691" t="s">
        <v>12564</v>
      </c>
    </row>
    <row r="6692" spans="1:2" x14ac:dyDescent="0.25">
      <c r="A6692" t="s">
        <v>11685</v>
      </c>
      <c r="B6692" t="s">
        <v>10455</v>
      </c>
    </row>
    <row r="6693" spans="1:2" x14ac:dyDescent="0.25">
      <c r="A6693" t="s">
        <v>11686</v>
      </c>
      <c r="B6693" t="s">
        <v>11685</v>
      </c>
    </row>
    <row r="6694" spans="1:2" x14ac:dyDescent="0.25">
      <c r="A6694" t="s">
        <v>12599</v>
      </c>
      <c r="B6694" t="s">
        <v>11685</v>
      </c>
    </row>
    <row r="6695" spans="1:2" x14ac:dyDescent="0.25">
      <c r="A6695" t="s">
        <v>10882</v>
      </c>
      <c r="B6695" t="s">
        <v>11685</v>
      </c>
    </row>
    <row r="6696" spans="1:2" x14ac:dyDescent="0.25">
      <c r="A6696" t="s">
        <v>11195</v>
      </c>
      <c r="B6696" t="s">
        <v>10455</v>
      </c>
    </row>
    <row r="6697" spans="1:2" x14ac:dyDescent="0.25">
      <c r="A6697" t="s">
        <v>9839</v>
      </c>
      <c r="B6697" t="s">
        <v>11195</v>
      </c>
    </row>
    <row r="6698" spans="1:2" x14ac:dyDescent="0.25">
      <c r="A6698" t="s">
        <v>6423</v>
      </c>
      <c r="B6698" t="s">
        <v>11195</v>
      </c>
    </row>
    <row r="6699" spans="1:2" x14ac:dyDescent="0.25">
      <c r="A6699" t="s">
        <v>10883</v>
      </c>
      <c r="B6699" t="s">
        <v>10455</v>
      </c>
    </row>
    <row r="6700" spans="1:2" x14ac:dyDescent="0.25">
      <c r="A6700" t="s">
        <v>9476</v>
      </c>
      <c r="B6700" t="s">
        <v>10883</v>
      </c>
    </row>
    <row r="6701" spans="1:2" x14ac:dyDescent="0.25">
      <c r="A6701" t="s">
        <v>5956</v>
      </c>
      <c r="B6701" t="s">
        <v>10883</v>
      </c>
    </row>
    <row r="6702" spans="1:2" x14ac:dyDescent="0.25">
      <c r="A6702" t="s">
        <v>10884</v>
      </c>
      <c r="B6702" t="s">
        <v>10455</v>
      </c>
    </row>
    <row r="6703" spans="1:2" x14ac:dyDescent="0.25">
      <c r="A6703" t="s">
        <v>9477</v>
      </c>
      <c r="B6703" t="s">
        <v>10884</v>
      </c>
    </row>
    <row r="6704" spans="1:2" x14ac:dyDescent="0.25">
      <c r="A6704" t="s">
        <v>5957</v>
      </c>
      <c r="B6704" t="s">
        <v>10884</v>
      </c>
    </row>
    <row r="6705" spans="1:2" x14ac:dyDescent="0.25">
      <c r="A6705" t="s">
        <v>12186</v>
      </c>
      <c r="B6705" t="s">
        <v>10455</v>
      </c>
    </row>
    <row r="6706" spans="1:2" x14ac:dyDescent="0.25">
      <c r="A6706" t="s">
        <v>11466</v>
      </c>
      <c r="B6706" t="s">
        <v>12186</v>
      </c>
    </row>
    <row r="6707" spans="1:2" x14ac:dyDescent="0.25">
      <c r="A6707" t="s">
        <v>8642</v>
      </c>
      <c r="B6707" t="s">
        <v>12186</v>
      </c>
    </row>
    <row r="6708" spans="1:2" x14ac:dyDescent="0.25">
      <c r="A6708" t="s">
        <v>7583</v>
      </c>
      <c r="B6708" t="s">
        <v>12564</v>
      </c>
    </row>
    <row r="6709" spans="1:2" x14ac:dyDescent="0.25">
      <c r="A6709" t="s">
        <v>9840</v>
      </c>
      <c r="B6709" t="s">
        <v>7583</v>
      </c>
    </row>
    <row r="6710" spans="1:2" x14ac:dyDescent="0.25">
      <c r="A6710" t="s">
        <v>2303</v>
      </c>
      <c r="B6710" t="s">
        <v>9840</v>
      </c>
    </row>
    <row r="6711" spans="1:2" x14ac:dyDescent="0.25">
      <c r="A6711" t="s">
        <v>9029</v>
      </c>
      <c r="B6711" t="s">
        <v>7583</v>
      </c>
    </row>
    <row r="6712" spans="1:2" x14ac:dyDescent="0.25">
      <c r="A6712" t="s">
        <v>3191</v>
      </c>
      <c r="B6712" t="s">
        <v>9029</v>
      </c>
    </row>
    <row r="6713" spans="1:2" x14ac:dyDescent="0.25">
      <c r="A6713" t="s">
        <v>8643</v>
      </c>
      <c r="B6713" t="s">
        <v>7583</v>
      </c>
    </row>
    <row r="6714" spans="1:2" x14ac:dyDescent="0.25">
      <c r="A6714" t="s">
        <v>3702</v>
      </c>
      <c r="B6714" t="s">
        <v>8643</v>
      </c>
    </row>
    <row r="6715" spans="1:2" x14ac:dyDescent="0.25">
      <c r="A6715" t="s">
        <v>8644</v>
      </c>
      <c r="B6715" t="s">
        <v>7583</v>
      </c>
    </row>
    <row r="6716" spans="1:2" x14ac:dyDescent="0.25">
      <c r="A6716" t="s">
        <v>3192</v>
      </c>
      <c r="B6716" t="s">
        <v>8644</v>
      </c>
    </row>
    <row r="6717" spans="1:2" x14ac:dyDescent="0.25">
      <c r="A6717" t="s">
        <v>10885</v>
      </c>
      <c r="B6717" t="s">
        <v>7583</v>
      </c>
    </row>
    <row r="6718" spans="1:2" x14ac:dyDescent="0.25">
      <c r="A6718" t="s">
        <v>3193</v>
      </c>
      <c r="B6718" t="s">
        <v>10885</v>
      </c>
    </row>
    <row r="6719" spans="1:2" x14ac:dyDescent="0.25">
      <c r="A6719" t="s">
        <v>12187</v>
      </c>
      <c r="B6719" t="s">
        <v>12564</v>
      </c>
    </row>
    <row r="6720" spans="1:2" x14ac:dyDescent="0.25">
      <c r="A6720" t="s">
        <v>11851</v>
      </c>
      <c r="B6720" t="s">
        <v>12910</v>
      </c>
    </row>
    <row r="6721" spans="1:2" x14ac:dyDescent="0.25">
      <c r="A6721" t="s">
        <v>10433</v>
      </c>
      <c r="B6721" t="s">
        <v>12672</v>
      </c>
    </row>
    <row r="6722" spans="1:2" x14ac:dyDescent="0.25">
      <c r="A6722" t="s">
        <v>11184</v>
      </c>
      <c r="B6722" t="s">
        <v>10433</v>
      </c>
    </row>
    <row r="6723" spans="1:2" x14ac:dyDescent="0.25">
      <c r="A6723" t="s">
        <v>6890</v>
      </c>
      <c r="B6723" t="s">
        <v>11184</v>
      </c>
    </row>
    <row r="6724" spans="1:2" x14ac:dyDescent="0.25">
      <c r="A6724" t="s">
        <v>8203</v>
      </c>
      <c r="B6724" t="s">
        <v>11184</v>
      </c>
    </row>
    <row r="6725" spans="1:2" x14ac:dyDescent="0.25">
      <c r="A6725" t="s">
        <v>2714</v>
      </c>
      <c r="B6725" t="s">
        <v>11184</v>
      </c>
    </row>
    <row r="6726" spans="1:2" x14ac:dyDescent="0.25">
      <c r="A6726" t="s">
        <v>12173</v>
      </c>
      <c r="B6726" t="s">
        <v>10433</v>
      </c>
    </row>
    <row r="6727" spans="1:2" x14ac:dyDescent="0.25">
      <c r="A6727" t="s">
        <v>9019</v>
      </c>
      <c r="B6727" t="s">
        <v>12173</v>
      </c>
    </row>
    <row r="6728" spans="1:2" x14ac:dyDescent="0.25">
      <c r="A6728" t="s">
        <v>9836</v>
      </c>
      <c r="B6728" t="s">
        <v>12173</v>
      </c>
    </row>
    <row r="6729" spans="1:2" x14ac:dyDescent="0.25">
      <c r="A6729" t="s">
        <v>4693</v>
      </c>
      <c r="B6729" t="s">
        <v>12173</v>
      </c>
    </row>
    <row r="6730" spans="1:2" x14ac:dyDescent="0.25">
      <c r="A6730" t="s">
        <v>10861</v>
      </c>
      <c r="B6730" t="s">
        <v>10433</v>
      </c>
    </row>
    <row r="6731" spans="1:2" x14ac:dyDescent="0.25">
      <c r="A6731" t="s">
        <v>6407</v>
      </c>
      <c r="B6731" t="s">
        <v>10861</v>
      </c>
    </row>
    <row r="6732" spans="1:2" x14ac:dyDescent="0.25">
      <c r="A6732" t="s">
        <v>7567</v>
      </c>
      <c r="B6732" t="s">
        <v>10861</v>
      </c>
    </row>
    <row r="6733" spans="1:2" x14ac:dyDescent="0.25">
      <c r="A6733" t="s">
        <v>2298</v>
      </c>
      <c r="B6733" t="s">
        <v>10861</v>
      </c>
    </row>
    <row r="6734" spans="1:2" x14ac:dyDescent="0.25">
      <c r="A6734" t="s">
        <v>10862</v>
      </c>
      <c r="B6734" t="s">
        <v>10433</v>
      </c>
    </row>
    <row r="6735" spans="1:2" x14ac:dyDescent="0.25">
      <c r="A6735" t="s">
        <v>6408</v>
      </c>
      <c r="B6735" t="s">
        <v>10862</v>
      </c>
    </row>
    <row r="6736" spans="1:2" x14ac:dyDescent="0.25">
      <c r="A6736" t="s">
        <v>7568</v>
      </c>
      <c r="B6736" t="s">
        <v>10862</v>
      </c>
    </row>
    <row r="6737" spans="1:2" x14ac:dyDescent="0.25">
      <c r="A6737" t="s">
        <v>2299</v>
      </c>
      <c r="B6737" t="s">
        <v>10862</v>
      </c>
    </row>
    <row r="6738" spans="1:2" x14ac:dyDescent="0.25">
      <c r="A6738" t="s">
        <v>11681</v>
      </c>
      <c r="B6738" t="s">
        <v>10433</v>
      </c>
    </row>
    <row r="6739" spans="1:2" x14ac:dyDescent="0.25">
      <c r="A6739" t="s">
        <v>10863</v>
      </c>
      <c r="B6739" t="s">
        <v>11681</v>
      </c>
    </row>
    <row r="6740" spans="1:2" x14ac:dyDescent="0.25">
      <c r="A6740" t="s">
        <v>16215</v>
      </c>
      <c r="B6740" t="s">
        <v>10433</v>
      </c>
    </row>
    <row r="6741" spans="1:2" x14ac:dyDescent="0.25">
      <c r="A6741" t="s">
        <v>16216</v>
      </c>
      <c r="B6741" t="s">
        <v>16215</v>
      </c>
    </row>
    <row r="6742" spans="1:2" x14ac:dyDescent="0.25">
      <c r="A6742" t="s">
        <v>16217</v>
      </c>
      <c r="B6742" t="s">
        <v>16215</v>
      </c>
    </row>
    <row r="6743" spans="1:2" x14ac:dyDescent="0.25">
      <c r="A6743" t="s">
        <v>16218</v>
      </c>
      <c r="B6743" t="s">
        <v>16215</v>
      </c>
    </row>
    <row r="6744" spans="1:2" x14ac:dyDescent="0.25">
      <c r="A6744" t="s">
        <v>7569</v>
      </c>
      <c r="B6744" t="s">
        <v>12672</v>
      </c>
    </row>
    <row r="6745" spans="1:2" x14ac:dyDescent="0.25">
      <c r="A6745" t="s">
        <v>9466</v>
      </c>
      <c r="B6745" t="s">
        <v>7569</v>
      </c>
    </row>
    <row r="6746" spans="1:2" x14ac:dyDescent="0.25">
      <c r="A6746" t="s">
        <v>10864</v>
      </c>
      <c r="B6746" t="s">
        <v>9466</v>
      </c>
    </row>
    <row r="6747" spans="1:2" x14ac:dyDescent="0.25">
      <c r="A6747" t="s">
        <v>10865</v>
      </c>
      <c r="B6747" t="s">
        <v>7569</v>
      </c>
    </row>
    <row r="6748" spans="1:2" x14ac:dyDescent="0.25">
      <c r="A6748" t="s">
        <v>4204</v>
      </c>
      <c r="B6748" t="s">
        <v>10865</v>
      </c>
    </row>
    <row r="6749" spans="1:2" x14ac:dyDescent="0.25">
      <c r="A6749" t="s">
        <v>10434</v>
      </c>
      <c r="B6749" t="s">
        <v>10865</v>
      </c>
    </row>
    <row r="6750" spans="1:2" x14ac:dyDescent="0.25">
      <c r="A6750" t="s">
        <v>9020</v>
      </c>
      <c r="B6750" t="s">
        <v>7569</v>
      </c>
    </row>
    <row r="6751" spans="1:2" x14ac:dyDescent="0.25">
      <c r="A6751" t="s">
        <v>4205</v>
      </c>
      <c r="B6751" t="s">
        <v>9020</v>
      </c>
    </row>
    <row r="6752" spans="1:2" x14ac:dyDescent="0.25">
      <c r="A6752" t="s">
        <v>10435</v>
      </c>
      <c r="B6752" t="s">
        <v>9020</v>
      </c>
    </row>
    <row r="6753" spans="1:2" x14ac:dyDescent="0.25">
      <c r="A6753" t="s">
        <v>8633</v>
      </c>
      <c r="B6753" t="s">
        <v>7569</v>
      </c>
    </row>
    <row r="6754" spans="1:2" x14ac:dyDescent="0.25">
      <c r="A6754" t="s">
        <v>4206</v>
      </c>
      <c r="B6754" t="s">
        <v>8633</v>
      </c>
    </row>
    <row r="6755" spans="1:2" x14ac:dyDescent="0.25">
      <c r="A6755" t="s">
        <v>10436</v>
      </c>
      <c r="B6755" t="s">
        <v>8633</v>
      </c>
    </row>
    <row r="6756" spans="1:2" x14ac:dyDescent="0.25">
      <c r="A6756" t="s">
        <v>8634</v>
      </c>
      <c r="B6756" t="s">
        <v>7569</v>
      </c>
    </row>
    <row r="6757" spans="1:2" x14ac:dyDescent="0.25">
      <c r="A6757" t="s">
        <v>4207</v>
      </c>
      <c r="B6757" t="s">
        <v>8634</v>
      </c>
    </row>
    <row r="6758" spans="1:2" x14ac:dyDescent="0.25">
      <c r="A6758" t="s">
        <v>10437</v>
      </c>
      <c r="B6758" t="s">
        <v>8634</v>
      </c>
    </row>
    <row r="6759" spans="1:2" x14ac:dyDescent="0.25">
      <c r="A6759" t="s">
        <v>16219</v>
      </c>
      <c r="B6759" t="s">
        <v>7569</v>
      </c>
    </row>
    <row r="6760" spans="1:2" x14ac:dyDescent="0.25">
      <c r="A6760" t="s">
        <v>16220</v>
      </c>
      <c r="B6760" t="s">
        <v>16219</v>
      </c>
    </row>
    <row r="6761" spans="1:2" x14ac:dyDescent="0.25">
      <c r="A6761" t="s">
        <v>16221</v>
      </c>
      <c r="B6761" t="s">
        <v>16219</v>
      </c>
    </row>
    <row r="6762" spans="1:2" x14ac:dyDescent="0.25">
      <c r="A6762" t="s">
        <v>12174</v>
      </c>
      <c r="B6762" t="s">
        <v>12672</v>
      </c>
    </row>
    <row r="6763" spans="1:2" x14ac:dyDescent="0.25">
      <c r="A6763" t="s">
        <v>9467</v>
      </c>
      <c r="B6763" t="s">
        <v>12174</v>
      </c>
    </row>
    <row r="6764" spans="1:2" x14ac:dyDescent="0.25">
      <c r="A6764" t="s">
        <v>8635</v>
      </c>
      <c r="B6764" t="s">
        <v>12174</v>
      </c>
    </row>
    <row r="6765" spans="1:2" x14ac:dyDescent="0.25">
      <c r="A6765" t="s">
        <v>8204</v>
      </c>
      <c r="B6765" t="s">
        <v>12174</v>
      </c>
    </row>
    <row r="6766" spans="1:2" x14ac:dyDescent="0.25">
      <c r="A6766" t="s">
        <v>10438</v>
      </c>
      <c r="B6766" t="s">
        <v>12174</v>
      </c>
    </row>
    <row r="6767" spans="1:2" x14ac:dyDescent="0.25">
      <c r="A6767" t="s">
        <v>12175</v>
      </c>
      <c r="B6767" t="s">
        <v>12174</v>
      </c>
    </row>
    <row r="6768" spans="1:2" x14ac:dyDescent="0.25">
      <c r="A6768" t="s">
        <v>12442</v>
      </c>
      <c r="B6768" t="s">
        <v>12174</v>
      </c>
    </row>
    <row r="6769" spans="1:2" x14ac:dyDescent="0.25">
      <c r="A6769" t="s">
        <v>11876</v>
      </c>
      <c r="B6769" t="s">
        <v>12044</v>
      </c>
    </row>
    <row r="6770" spans="1:2" x14ac:dyDescent="0.25">
      <c r="A6770" t="s">
        <v>8597</v>
      </c>
      <c r="B6770" t="s">
        <v>12044</v>
      </c>
    </row>
    <row r="6771" spans="1:2" x14ac:dyDescent="0.25">
      <c r="A6771" t="s">
        <v>12763</v>
      </c>
      <c r="B6771" t="s">
        <v>14946</v>
      </c>
    </row>
    <row r="6772" spans="1:2" x14ac:dyDescent="0.25">
      <c r="A6772" t="s">
        <v>10272</v>
      </c>
      <c r="B6772" t="s">
        <v>12763</v>
      </c>
    </row>
    <row r="6773" spans="1:2" x14ac:dyDescent="0.25">
      <c r="A6773" t="s">
        <v>11096</v>
      </c>
      <c r="B6773" t="s">
        <v>10272</v>
      </c>
    </row>
    <row r="6774" spans="1:2" x14ac:dyDescent="0.25">
      <c r="A6774" t="s">
        <v>10779</v>
      </c>
      <c r="B6774" t="s">
        <v>10272</v>
      </c>
    </row>
    <row r="6775" spans="1:2" x14ac:dyDescent="0.25">
      <c r="A6775" t="s">
        <v>12059</v>
      </c>
      <c r="B6775" t="s">
        <v>10272</v>
      </c>
    </row>
    <row r="6776" spans="1:2" x14ac:dyDescent="0.25">
      <c r="A6776" t="s">
        <v>12378</v>
      </c>
      <c r="B6776" t="s">
        <v>10272</v>
      </c>
    </row>
    <row r="6777" spans="1:2" x14ac:dyDescent="0.25">
      <c r="A6777" t="s">
        <v>7429</v>
      </c>
      <c r="B6777" t="s">
        <v>12763</v>
      </c>
    </row>
    <row r="6778" spans="1:2" x14ac:dyDescent="0.25">
      <c r="A6778" t="s">
        <v>8951</v>
      </c>
      <c r="B6778" t="s">
        <v>7429</v>
      </c>
    </row>
    <row r="6779" spans="1:2" x14ac:dyDescent="0.25">
      <c r="A6779" t="s">
        <v>8556</v>
      </c>
      <c r="B6779" t="s">
        <v>7429</v>
      </c>
    </row>
    <row r="6780" spans="1:2" x14ac:dyDescent="0.25">
      <c r="A6780" t="s">
        <v>10780</v>
      </c>
      <c r="B6780" t="s">
        <v>7429</v>
      </c>
    </row>
    <row r="6781" spans="1:2" x14ac:dyDescent="0.25">
      <c r="A6781" t="s">
        <v>11097</v>
      </c>
      <c r="B6781" t="s">
        <v>7429</v>
      </c>
    </row>
    <row r="6782" spans="1:2" x14ac:dyDescent="0.25">
      <c r="A6782" t="s">
        <v>5864</v>
      </c>
      <c r="B6782" t="s">
        <v>7429</v>
      </c>
    </row>
    <row r="6783" spans="1:2" x14ac:dyDescent="0.25">
      <c r="A6783" t="s">
        <v>12060</v>
      </c>
      <c r="B6783" t="s">
        <v>12763</v>
      </c>
    </row>
    <row r="6784" spans="1:2" x14ac:dyDescent="0.25">
      <c r="A6784" t="s">
        <v>9351</v>
      </c>
      <c r="B6784" t="s">
        <v>12060</v>
      </c>
    </row>
    <row r="6785" spans="1:2" x14ac:dyDescent="0.25">
      <c r="A6785" t="s">
        <v>6304</v>
      </c>
      <c r="B6785" t="s">
        <v>12060</v>
      </c>
    </row>
    <row r="6786" spans="1:2" x14ac:dyDescent="0.25">
      <c r="A6786" t="s">
        <v>6305</v>
      </c>
      <c r="B6786" t="s">
        <v>12060</v>
      </c>
    </row>
    <row r="6787" spans="1:2" x14ac:dyDescent="0.25">
      <c r="A6787" t="s">
        <v>9744</v>
      </c>
      <c r="B6787" t="s">
        <v>12060</v>
      </c>
    </row>
    <row r="6788" spans="1:2" x14ac:dyDescent="0.25">
      <c r="A6788" t="s">
        <v>12061</v>
      </c>
      <c r="B6788" t="s">
        <v>12060</v>
      </c>
    </row>
    <row r="6789" spans="1:2" x14ac:dyDescent="0.25">
      <c r="A6789" t="s">
        <v>11401</v>
      </c>
      <c r="B6789" t="s">
        <v>14946</v>
      </c>
    </row>
    <row r="6790" spans="1:2" x14ac:dyDescent="0.25">
      <c r="A6790" t="s">
        <v>10439</v>
      </c>
      <c r="B6790" t="s">
        <v>11401</v>
      </c>
    </row>
    <row r="6791" spans="1:2" x14ac:dyDescent="0.25">
      <c r="A6791" t="s">
        <v>11185</v>
      </c>
      <c r="B6791" t="s">
        <v>10439</v>
      </c>
    </row>
    <row r="6792" spans="1:2" x14ac:dyDescent="0.25">
      <c r="A6792" t="s">
        <v>6891</v>
      </c>
      <c r="B6792" t="s">
        <v>11185</v>
      </c>
    </row>
    <row r="6793" spans="1:2" x14ac:dyDescent="0.25">
      <c r="A6793" t="s">
        <v>8205</v>
      </c>
      <c r="B6793" t="s">
        <v>11185</v>
      </c>
    </row>
    <row r="6794" spans="1:2" x14ac:dyDescent="0.25">
      <c r="A6794" t="s">
        <v>2715</v>
      </c>
      <c r="B6794" t="s">
        <v>11185</v>
      </c>
    </row>
    <row r="6795" spans="1:2" x14ac:dyDescent="0.25">
      <c r="A6795" t="s">
        <v>4694</v>
      </c>
      <c r="B6795" t="s">
        <v>11185</v>
      </c>
    </row>
    <row r="6796" spans="1:2" x14ac:dyDescent="0.25">
      <c r="A6796" t="s">
        <v>12176</v>
      </c>
      <c r="B6796" t="s">
        <v>10439</v>
      </c>
    </row>
    <row r="6797" spans="1:2" x14ac:dyDescent="0.25">
      <c r="A6797" t="s">
        <v>9021</v>
      </c>
      <c r="B6797" t="s">
        <v>12176</v>
      </c>
    </row>
    <row r="6798" spans="1:2" x14ac:dyDescent="0.25">
      <c r="A6798" t="s">
        <v>9837</v>
      </c>
      <c r="B6798" t="s">
        <v>12176</v>
      </c>
    </row>
    <row r="6799" spans="1:2" x14ac:dyDescent="0.25">
      <c r="A6799" t="s">
        <v>4695</v>
      </c>
      <c r="B6799" t="s">
        <v>12176</v>
      </c>
    </row>
    <row r="6800" spans="1:2" x14ac:dyDescent="0.25">
      <c r="A6800" t="s">
        <v>10866</v>
      </c>
      <c r="B6800" t="s">
        <v>10439</v>
      </c>
    </row>
    <row r="6801" spans="1:2" x14ac:dyDescent="0.25">
      <c r="A6801" t="s">
        <v>6409</v>
      </c>
      <c r="B6801" t="s">
        <v>10866</v>
      </c>
    </row>
    <row r="6802" spans="1:2" x14ac:dyDescent="0.25">
      <c r="A6802" t="s">
        <v>7570</v>
      </c>
      <c r="B6802" t="s">
        <v>10866</v>
      </c>
    </row>
    <row r="6803" spans="1:2" x14ac:dyDescent="0.25">
      <c r="A6803" t="s">
        <v>2300</v>
      </c>
      <c r="B6803" t="s">
        <v>10866</v>
      </c>
    </row>
    <row r="6804" spans="1:2" x14ac:dyDescent="0.25">
      <c r="A6804" t="s">
        <v>10867</v>
      </c>
      <c r="B6804" t="s">
        <v>10439</v>
      </c>
    </row>
    <row r="6805" spans="1:2" x14ac:dyDescent="0.25">
      <c r="A6805" t="s">
        <v>6410</v>
      </c>
      <c r="B6805" t="s">
        <v>10867</v>
      </c>
    </row>
    <row r="6806" spans="1:2" x14ac:dyDescent="0.25">
      <c r="A6806" t="s">
        <v>7571</v>
      </c>
      <c r="B6806" t="s">
        <v>10867</v>
      </c>
    </row>
    <row r="6807" spans="1:2" x14ac:dyDescent="0.25">
      <c r="A6807" t="s">
        <v>2301</v>
      </c>
      <c r="B6807" t="s">
        <v>10867</v>
      </c>
    </row>
    <row r="6808" spans="1:2" x14ac:dyDescent="0.25">
      <c r="A6808" t="s">
        <v>11682</v>
      </c>
      <c r="B6808" t="s">
        <v>10439</v>
      </c>
    </row>
    <row r="6809" spans="1:2" x14ac:dyDescent="0.25">
      <c r="A6809" t="s">
        <v>4696</v>
      </c>
      <c r="B6809" t="s">
        <v>11682</v>
      </c>
    </row>
    <row r="6810" spans="1:2" x14ac:dyDescent="0.25">
      <c r="A6810" t="s">
        <v>16222</v>
      </c>
      <c r="B6810" t="s">
        <v>10439</v>
      </c>
    </row>
    <row r="6811" spans="1:2" x14ac:dyDescent="0.25">
      <c r="A6811" t="s">
        <v>16223</v>
      </c>
      <c r="B6811" t="s">
        <v>16222</v>
      </c>
    </row>
    <row r="6812" spans="1:2" x14ac:dyDescent="0.25">
      <c r="A6812" t="s">
        <v>16224</v>
      </c>
      <c r="B6812" t="s">
        <v>16222</v>
      </c>
    </row>
    <row r="6813" spans="1:2" x14ac:dyDescent="0.25">
      <c r="A6813" t="s">
        <v>16225</v>
      </c>
      <c r="B6813" t="s">
        <v>16222</v>
      </c>
    </row>
    <row r="6814" spans="1:2" x14ac:dyDescent="0.25">
      <c r="A6814" t="s">
        <v>7572</v>
      </c>
      <c r="B6814" t="s">
        <v>11401</v>
      </c>
    </row>
    <row r="6815" spans="1:2" x14ac:dyDescent="0.25">
      <c r="A6815" t="s">
        <v>9468</v>
      </c>
      <c r="B6815" t="s">
        <v>7572</v>
      </c>
    </row>
    <row r="6816" spans="1:2" x14ac:dyDescent="0.25">
      <c r="A6816" t="s">
        <v>10868</v>
      </c>
      <c r="B6816" t="s">
        <v>9468</v>
      </c>
    </row>
    <row r="6817" spans="1:2" x14ac:dyDescent="0.25">
      <c r="A6817" t="s">
        <v>10869</v>
      </c>
      <c r="B6817" t="s">
        <v>7572</v>
      </c>
    </row>
    <row r="6818" spans="1:2" x14ac:dyDescent="0.25">
      <c r="A6818" t="s">
        <v>4208</v>
      </c>
      <c r="B6818" t="s">
        <v>10869</v>
      </c>
    </row>
    <row r="6819" spans="1:2" x14ac:dyDescent="0.25">
      <c r="A6819" t="s">
        <v>10440</v>
      </c>
      <c r="B6819" t="s">
        <v>10869</v>
      </c>
    </row>
    <row r="6820" spans="1:2" x14ac:dyDescent="0.25">
      <c r="A6820" t="s">
        <v>9022</v>
      </c>
      <c r="B6820" t="s">
        <v>7572</v>
      </c>
    </row>
    <row r="6821" spans="1:2" x14ac:dyDescent="0.25">
      <c r="A6821" t="s">
        <v>4209</v>
      </c>
      <c r="B6821" t="s">
        <v>9022</v>
      </c>
    </row>
    <row r="6822" spans="1:2" x14ac:dyDescent="0.25">
      <c r="A6822" t="s">
        <v>10441</v>
      </c>
      <c r="B6822" t="s">
        <v>9022</v>
      </c>
    </row>
    <row r="6823" spans="1:2" x14ac:dyDescent="0.25">
      <c r="A6823" t="s">
        <v>8636</v>
      </c>
      <c r="B6823" t="s">
        <v>7572</v>
      </c>
    </row>
    <row r="6824" spans="1:2" x14ac:dyDescent="0.25">
      <c r="A6824" t="s">
        <v>4210</v>
      </c>
      <c r="B6824" t="s">
        <v>8636</v>
      </c>
    </row>
    <row r="6825" spans="1:2" x14ac:dyDescent="0.25">
      <c r="A6825" t="s">
        <v>10442</v>
      </c>
      <c r="B6825" t="s">
        <v>8636</v>
      </c>
    </row>
    <row r="6826" spans="1:2" x14ac:dyDescent="0.25">
      <c r="A6826" t="s">
        <v>8637</v>
      </c>
      <c r="B6826" t="s">
        <v>7572</v>
      </c>
    </row>
    <row r="6827" spans="1:2" x14ac:dyDescent="0.25">
      <c r="A6827" t="s">
        <v>4211</v>
      </c>
      <c r="B6827" t="s">
        <v>8637</v>
      </c>
    </row>
    <row r="6828" spans="1:2" x14ac:dyDescent="0.25">
      <c r="A6828" t="s">
        <v>10443</v>
      </c>
      <c r="B6828" t="s">
        <v>8637</v>
      </c>
    </row>
    <row r="6829" spans="1:2" x14ac:dyDescent="0.25">
      <c r="A6829" t="s">
        <v>16226</v>
      </c>
      <c r="B6829" t="s">
        <v>7572</v>
      </c>
    </row>
    <row r="6830" spans="1:2" x14ac:dyDescent="0.25">
      <c r="A6830" t="s">
        <v>16227</v>
      </c>
      <c r="B6830" t="s">
        <v>16226</v>
      </c>
    </row>
    <row r="6831" spans="1:2" x14ac:dyDescent="0.25">
      <c r="A6831" t="s">
        <v>16228</v>
      </c>
      <c r="B6831" t="s">
        <v>16226</v>
      </c>
    </row>
    <row r="6832" spans="1:2" x14ac:dyDescent="0.25">
      <c r="A6832" t="s">
        <v>12177</v>
      </c>
      <c r="B6832" t="s">
        <v>11401</v>
      </c>
    </row>
    <row r="6833" spans="1:2" x14ac:dyDescent="0.25">
      <c r="A6833" t="s">
        <v>9469</v>
      </c>
      <c r="B6833" t="s">
        <v>12177</v>
      </c>
    </row>
    <row r="6834" spans="1:2" x14ac:dyDescent="0.25">
      <c r="A6834" t="s">
        <v>3692</v>
      </c>
      <c r="B6834" t="s">
        <v>12177</v>
      </c>
    </row>
    <row r="6835" spans="1:2" x14ac:dyDescent="0.25">
      <c r="A6835" t="s">
        <v>10444</v>
      </c>
      <c r="B6835" t="s">
        <v>12177</v>
      </c>
    </row>
    <row r="6836" spans="1:2" x14ac:dyDescent="0.25">
      <c r="A6836" t="s">
        <v>12443</v>
      </c>
      <c r="B6836" t="s">
        <v>12177</v>
      </c>
    </row>
    <row r="6837" spans="1:2" x14ac:dyDescent="0.25">
      <c r="A6837" t="s">
        <v>12598</v>
      </c>
      <c r="B6837" t="s">
        <v>12177</v>
      </c>
    </row>
    <row r="6838" spans="1:2" x14ac:dyDescent="0.25">
      <c r="A6838" t="s">
        <v>11856</v>
      </c>
      <c r="B6838" t="s">
        <v>14946</v>
      </c>
    </row>
    <row r="6839" spans="1:2" x14ac:dyDescent="0.25">
      <c r="A6839" t="s">
        <v>13961</v>
      </c>
      <c r="B6839" t="s">
        <v>14946</v>
      </c>
    </row>
    <row r="6840" spans="1:2" x14ac:dyDescent="0.25">
      <c r="A6840" t="s">
        <v>12573</v>
      </c>
      <c r="B6840" t="s">
        <v>12529</v>
      </c>
    </row>
    <row r="6841" spans="1:2" x14ac:dyDescent="0.25">
      <c r="A6841" t="s">
        <v>12761</v>
      </c>
      <c r="B6841" t="s">
        <v>12573</v>
      </c>
    </row>
    <row r="6842" spans="1:2" x14ac:dyDescent="0.25">
      <c r="A6842" t="s">
        <v>10290</v>
      </c>
      <c r="B6842" t="s">
        <v>12761</v>
      </c>
    </row>
    <row r="6843" spans="1:2" x14ac:dyDescent="0.25">
      <c r="A6843" t="s">
        <v>12073</v>
      </c>
      <c r="B6843" t="s">
        <v>10290</v>
      </c>
    </row>
    <row r="6844" spans="1:2" x14ac:dyDescent="0.25">
      <c r="A6844" t="s">
        <v>8956</v>
      </c>
      <c r="B6844" t="s">
        <v>12073</v>
      </c>
    </row>
    <row r="6845" spans="1:2" x14ac:dyDescent="0.25">
      <c r="A6845" t="s">
        <v>8559</v>
      </c>
      <c r="B6845" t="s">
        <v>8956</v>
      </c>
    </row>
    <row r="6846" spans="1:2" x14ac:dyDescent="0.25">
      <c r="A6846" t="s">
        <v>10291</v>
      </c>
      <c r="B6846" t="s">
        <v>8559</v>
      </c>
    </row>
    <row r="6847" spans="1:2" x14ac:dyDescent="0.25">
      <c r="A6847" t="s">
        <v>10292</v>
      </c>
      <c r="B6847" t="s">
        <v>8559</v>
      </c>
    </row>
    <row r="6848" spans="1:2" x14ac:dyDescent="0.25">
      <c r="A6848" t="s">
        <v>3596</v>
      </c>
      <c r="B6848" t="s">
        <v>8956</v>
      </c>
    </row>
    <row r="6849" spans="1:2" x14ac:dyDescent="0.25">
      <c r="A6849" t="s">
        <v>4116</v>
      </c>
      <c r="B6849" t="s">
        <v>3596</v>
      </c>
    </row>
    <row r="6850" spans="1:2" x14ac:dyDescent="0.25">
      <c r="A6850" t="s">
        <v>2692</v>
      </c>
      <c r="B6850" t="s">
        <v>3596</v>
      </c>
    </row>
    <row r="6851" spans="1:2" x14ac:dyDescent="0.25">
      <c r="A6851" t="s">
        <v>2693</v>
      </c>
      <c r="B6851" t="s">
        <v>3596</v>
      </c>
    </row>
    <row r="6852" spans="1:2" x14ac:dyDescent="0.25">
      <c r="A6852" t="s">
        <v>2694</v>
      </c>
      <c r="B6852" t="s">
        <v>3596</v>
      </c>
    </row>
    <row r="6853" spans="1:2" x14ac:dyDescent="0.25">
      <c r="A6853" t="s">
        <v>2695</v>
      </c>
      <c r="B6853" t="s">
        <v>3596</v>
      </c>
    </row>
    <row r="6854" spans="1:2" x14ac:dyDescent="0.25">
      <c r="A6854" t="s">
        <v>4117</v>
      </c>
      <c r="B6854" t="s">
        <v>3596</v>
      </c>
    </row>
    <row r="6855" spans="1:2" x14ac:dyDescent="0.25">
      <c r="A6855" t="s">
        <v>4118</v>
      </c>
      <c r="B6855" t="s">
        <v>3596</v>
      </c>
    </row>
    <row r="6856" spans="1:2" x14ac:dyDescent="0.25">
      <c r="A6856" t="s">
        <v>11435</v>
      </c>
      <c r="B6856" t="s">
        <v>8956</v>
      </c>
    </row>
    <row r="6857" spans="1:2" x14ac:dyDescent="0.25">
      <c r="A6857" t="s">
        <v>11099</v>
      </c>
      <c r="B6857" t="s">
        <v>11435</v>
      </c>
    </row>
    <row r="6858" spans="1:2" x14ac:dyDescent="0.25">
      <c r="A6858" t="s">
        <v>10786</v>
      </c>
      <c r="B6858" t="s">
        <v>11435</v>
      </c>
    </row>
    <row r="6859" spans="1:2" x14ac:dyDescent="0.25">
      <c r="A6859" t="s">
        <v>10787</v>
      </c>
      <c r="B6859" t="s">
        <v>11435</v>
      </c>
    </row>
    <row r="6860" spans="1:2" x14ac:dyDescent="0.25">
      <c r="A6860" t="s">
        <v>11436</v>
      </c>
      <c r="B6860" t="s">
        <v>8956</v>
      </c>
    </row>
    <row r="6861" spans="1:2" x14ac:dyDescent="0.25">
      <c r="A6861" t="s">
        <v>10788</v>
      </c>
      <c r="B6861" t="s">
        <v>11436</v>
      </c>
    </row>
    <row r="6862" spans="1:2" x14ac:dyDescent="0.25">
      <c r="A6862" t="s">
        <v>10789</v>
      </c>
      <c r="B6862" t="s">
        <v>11436</v>
      </c>
    </row>
    <row r="6863" spans="1:2" x14ac:dyDescent="0.25">
      <c r="A6863" t="s">
        <v>10790</v>
      </c>
      <c r="B6863" t="s">
        <v>11436</v>
      </c>
    </row>
    <row r="6864" spans="1:2" x14ac:dyDescent="0.25">
      <c r="A6864" t="s">
        <v>14743</v>
      </c>
      <c r="B6864" t="s">
        <v>8956</v>
      </c>
    </row>
    <row r="6865" spans="1:2" x14ac:dyDescent="0.25">
      <c r="A6865" t="s">
        <v>14744</v>
      </c>
      <c r="B6865" t="s">
        <v>14743</v>
      </c>
    </row>
    <row r="6866" spans="1:2" x14ac:dyDescent="0.25">
      <c r="A6866" t="s">
        <v>14745</v>
      </c>
      <c r="B6866" t="s">
        <v>8956</v>
      </c>
    </row>
    <row r="6867" spans="1:2" x14ac:dyDescent="0.25">
      <c r="A6867" t="s">
        <v>14746</v>
      </c>
      <c r="B6867" t="s">
        <v>14745</v>
      </c>
    </row>
    <row r="6868" spans="1:2" x14ac:dyDescent="0.25">
      <c r="A6868" t="s">
        <v>3597</v>
      </c>
      <c r="B6868" t="s">
        <v>12073</v>
      </c>
    </row>
    <row r="6869" spans="1:2" x14ac:dyDescent="0.25">
      <c r="A6869" t="s">
        <v>8957</v>
      </c>
      <c r="B6869" t="s">
        <v>3597</v>
      </c>
    </row>
    <row r="6870" spans="1:2" x14ac:dyDescent="0.25">
      <c r="A6870" t="s">
        <v>8062</v>
      </c>
      <c r="B6870" t="s">
        <v>3597</v>
      </c>
    </row>
    <row r="6871" spans="1:2" x14ac:dyDescent="0.25">
      <c r="A6871" t="s">
        <v>8560</v>
      </c>
      <c r="B6871" t="s">
        <v>3597</v>
      </c>
    </row>
    <row r="6872" spans="1:2" x14ac:dyDescent="0.25">
      <c r="A6872" t="s">
        <v>10791</v>
      </c>
      <c r="B6872" t="s">
        <v>3597</v>
      </c>
    </row>
    <row r="6873" spans="1:2" x14ac:dyDescent="0.25">
      <c r="A6873" t="s">
        <v>8561</v>
      </c>
      <c r="B6873" t="s">
        <v>10791</v>
      </c>
    </row>
    <row r="6874" spans="1:2" x14ac:dyDescent="0.25">
      <c r="A6874" t="s">
        <v>7444</v>
      </c>
      <c r="B6874" t="s">
        <v>10791</v>
      </c>
    </row>
    <row r="6875" spans="1:2" x14ac:dyDescent="0.25">
      <c r="A6875" t="s">
        <v>8958</v>
      </c>
      <c r="B6875" t="s">
        <v>3597</v>
      </c>
    </row>
    <row r="6876" spans="1:2" x14ac:dyDescent="0.25">
      <c r="A6876" t="s">
        <v>8959</v>
      </c>
      <c r="B6876" t="s">
        <v>8958</v>
      </c>
    </row>
    <row r="6877" spans="1:2" x14ac:dyDescent="0.25">
      <c r="A6877" t="s">
        <v>9368</v>
      </c>
      <c r="B6877" t="s">
        <v>8958</v>
      </c>
    </row>
    <row r="6878" spans="1:2" x14ac:dyDescent="0.25">
      <c r="A6878" t="s">
        <v>9369</v>
      </c>
      <c r="B6878" t="s">
        <v>8958</v>
      </c>
    </row>
    <row r="6879" spans="1:2" x14ac:dyDescent="0.25">
      <c r="A6879" t="s">
        <v>9370</v>
      </c>
      <c r="B6879" t="s">
        <v>8958</v>
      </c>
    </row>
    <row r="6880" spans="1:2" x14ac:dyDescent="0.25">
      <c r="A6880" t="s">
        <v>9371</v>
      </c>
      <c r="B6880" t="s">
        <v>8958</v>
      </c>
    </row>
    <row r="6881" spans="1:2" x14ac:dyDescent="0.25">
      <c r="A6881" t="s">
        <v>5866</v>
      </c>
      <c r="B6881" t="s">
        <v>3597</v>
      </c>
    </row>
    <row r="6882" spans="1:2" x14ac:dyDescent="0.25">
      <c r="A6882" t="s">
        <v>4119</v>
      </c>
      <c r="B6882" t="s">
        <v>5866</v>
      </c>
    </row>
    <row r="6883" spans="1:2" x14ac:dyDescent="0.25">
      <c r="A6883" t="s">
        <v>11100</v>
      </c>
      <c r="B6883" t="s">
        <v>3597</v>
      </c>
    </row>
    <row r="6884" spans="1:2" x14ac:dyDescent="0.25">
      <c r="A6884" t="s">
        <v>9372</v>
      </c>
      <c r="B6884" t="s">
        <v>11100</v>
      </c>
    </row>
    <row r="6885" spans="1:2" x14ac:dyDescent="0.25">
      <c r="A6885" t="s">
        <v>11101</v>
      </c>
      <c r="B6885" t="s">
        <v>3597</v>
      </c>
    </row>
    <row r="6886" spans="1:2" x14ac:dyDescent="0.25">
      <c r="A6886" t="s">
        <v>10792</v>
      </c>
      <c r="B6886" t="s">
        <v>11101</v>
      </c>
    </row>
    <row r="6887" spans="1:2" x14ac:dyDescent="0.25">
      <c r="A6887" t="s">
        <v>9373</v>
      </c>
      <c r="B6887" t="s">
        <v>11101</v>
      </c>
    </row>
    <row r="6888" spans="1:2" x14ac:dyDescent="0.25">
      <c r="A6888" t="s">
        <v>14747</v>
      </c>
      <c r="B6888" t="s">
        <v>3597</v>
      </c>
    </row>
    <row r="6889" spans="1:2" x14ac:dyDescent="0.25">
      <c r="A6889" t="s">
        <v>14748</v>
      </c>
      <c r="B6889" t="s">
        <v>14747</v>
      </c>
    </row>
    <row r="6890" spans="1:2" x14ac:dyDescent="0.25">
      <c r="A6890" t="s">
        <v>14749</v>
      </c>
      <c r="B6890" t="s">
        <v>3597</v>
      </c>
    </row>
    <row r="6891" spans="1:2" x14ac:dyDescent="0.25">
      <c r="A6891" t="s">
        <v>14750</v>
      </c>
      <c r="B6891" t="s">
        <v>14749</v>
      </c>
    </row>
    <row r="6892" spans="1:2" x14ac:dyDescent="0.25">
      <c r="A6892" t="s">
        <v>6809</v>
      </c>
      <c r="B6892" t="s">
        <v>12073</v>
      </c>
    </row>
    <row r="6893" spans="1:2" x14ac:dyDescent="0.25">
      <c r="A6893" t="s">
        <v>5047</v>
      </c>
      <c r="B6893" t="s">
        <v>6809</v>
      </c>
    </row>
    <row r="6894" spans="1:2" x14ac:dyDescent="0.25">
      <c r="A6894" t="s">
        <v>4120</v>
      </c>
      <c r="B6894" t="s">
        <v>6809</v>
      </c>
    </row>
    <row r="6895" spans="1:2" x14ac:dyDescent="0.25">
      <c r="A6895" t="s">
        <v>3158</v>
      </c>
      <c r="B6895" t="s">
        <v>6809</v>
      </c>
    </row>
    <row r="6896" spans="1:2" x14ac:dyDescent="0.25">
      <c r="A6896" t="s">
        <v>9751</v>
      </c>
      <c r="B6896" t="s">
        <v>12073</v>
      </c>
    </row>
    <row r="6897" spans="1:2" x14ac:dyDescent="0.25">
      <c r="A6897" t="s">
        <v>11102</v>
      </c>
      <c r="B6897" t="s">
        <v>10290</v>
      </c>
    </row>
    <row r="6898" spans="1:2" x14ac:dyDescent="0.25">
      <c r="A6898" t="s">
        <v>8960</v>
      </c>
      <c r="B6898" t="s">
        <v>11102</v>
      </c>
    </row>
    <row r="6899" spans="1:2" x14ac:dyDescent="0.25">
      <c r="A6899" t="s">
        <v>4121</v>
      </c>
      <c r="B6899" t="s">
        <v>8960</v>
      </c>
    </row>
    <row r="6900" spans="1:2" x14ac:dyDescent="0.25">
      <c r="A6900" t="s">
        <v>6315</v>
      </c>
      <c r="B6900" t="s">
        <v>4121</v>
      </c>
    </row>
    <row r="6901" spans="1:2" x14ac:dyDescent="0.25">
      <c r="A6901" t="s">
        <v>6316</v>
      </c>
      <c r="B6901" t="s">
        <v>4121</v>
      </c>
    </row>
    <row r="6902" spans="1:2" x14ac:dyDescent="0.25">
      <c r="A6902" t="s">
        <v>5048</v>
      </c>
      <c r="B6902" t="s">
        <v>4121</v>
      </c>
    </row>
    <row r="6903" spans="1:2" x14ac:dyDescent="0.25">
      <c r="A6903" t="s">
        <v>5488</v>
      </c>
      <c r="B6903" t="s">
        <v>4121</v>
      </c>
    </row>
    <row r="6904" spans="1:2" x14ac:dyDescent="0.25">
      <c r="A6904" t="s">
        <v>5489</v>
      </c>
      <c r="B6904" t="s">
        <v>4121</v>
      </c>
    </row>
    <row r="6905" spans="1:2" x14ac:dyDescent="0.25">
      <c r="A6905" t="s">
        <v>5049</v>
      </c>
      <c r="B6905" t="s">
        <v>4121</v>
      </c>
    </row>
    <row r="6906" spans="1:2" x14ac:dyDescent="0.25">
      <c r="A6906" t="s">
        <v>5490</v>
      </c>
      <c r="B6906" t="s">
        <v>4121</v>
      </c>
    </row>
    <row r="6907" spans="1:2" x14ac:dyDescent="0.25">
      <c r="A6907" t="s">
        <v>5050</v>
      </c>
      <c r="B6907" t="s">
        <v>4121</v>
      </c>
    </row>
    <row r="6908" spans="1:2" x14ac:dyDescent="0.25">
      <c r="A6908" t="s">
        <v>5491</v>
      </c>
      <c r="B6908" t="s">
        <v>4121</v>
      </c>
    </row>
    <row r="6909" spans="1:2" x14ac:dyDescent="0.25">
      <c r="A6909" t="s">
        <v>4629</v>
      </c>
      <c r="B6909" t="s">
        <v>8960</v>
      </c>
    </row>
    <row r="6910" spans="1:2" x14ac:dyDescent="0.25">
      <c r="A6910" t="s">
        <v>6810</v>
      </c>
      <c r="B6910" t="s">
        <v>4629</v>
      </c>
    </row>
    <row r="6911" spans="1:2" x14ac:dyDescent="0.25">
      <c r="A6911" t="s">
        <v>6811</v>
      </c>
      <c r="B6911" t="s">
        <v>4629</v>
      </c>
    </row>
    <row r="6912" spans="1:2" x14ac:dyDescent="0.25">
      <c r="A6912" t="s">
        <v>5492</v>
      </c>
      <c r="B6912" t="s">
        <v>4629</v>
      </c>
    </row>
    <row r="6913" spans="1:2" x14ac:dyDescent="0.25">
      <c r="A6913" t="s">
        <v>5867</v>
      </c>
      <c r="B6913" t="s">
        <v>4629</v>
      </c>
    </row>
    <row r="6914" spans="1:2" x14ac:dyDescent="0.25">
      <c r="A6914" t="s">
        <v>5868</v>
      </c>
      <c r="B6914" t="s">
        <v>4629</v>
      </c>
    </row>
    <row r="6915" spans="1:2" x14ac:dyDescent="0.25">
      <c r="A6915" t="s">
        <v>5493</v>
      </c>
      <c r="B6915" t="s">
        <v>4629</v>
      </c>
    </row>
    <row r="6916" spans="1:2" x14ac:dyDescent="0.25">
      <c r="A6916" t="s">
        <v>5869</v>
      </c>
      <c r="B6916" t="s">
        <v>4629</v>
      </c>
    </row>
    <row r="6917" spans="1:2" x14ac:dyDescent="0.25">
      <c r="A6917" t="s">
        <v>5494</v>
      </c>
      <c r="B6917" t="s">
        <v>4629</v>
      </c>
    </row>
    <row r="6918" spans="1:2" x14ac:dyDescent="0.25">
      <c r="A6918" t="s">
        <v>3598</v>
      </c>
      <c r="B6918" t="s">
        <v>11102</v>
      </c>
    </row>
    <row r="6919" spans="1:2" x14ac:dyDescent="0.25">
      <c r="A6919" t="s">
        <v>8961</v>
      </c>
      <c r="B6919" t="s">
        <v>3598</v>
      </c>
    </row>
    <row r="6920" spans="1:2" x14ac:dyDescent="0.25">
      <c r="A6920" t="s">
        <v>6812</v>
      </c>
      <c r="B6920" t="s">
        <v>8961</v>
      </c>
    </row>
    <row r="6921" spans="1:2" x14ac:dyDescent="0.25">
      <c r="A6921" t="s">
        <v>7445</v>
      </c>
      <c r="B6921" t="s">
        <v>8961</v>
      </c>
    </row>
    <row r="6922" spans="1:2" x14ac:dyDescent="0.25">
      <c r="A6922" t="s">
        <v>9374</v>
      </c>
      <c r="B6922" t="s">
        <v>3598</v>
      </c>
    </row>
    <row r="6923" spans="1:2" x14ac:dyDescent="0.25">
      <c r="A6923" t="s">
        <v>8063</v>
      </c>
      <c r="B6923" t="s">
        <v>9374</v>
      </c>
    </row>
    <row r="6924" spans="1:2" x14ac:dyDescent="0.25">
      <c r="A6924" t="s">
        <v>7446</v>
      </c>
      <c r="B6924" t="s">
        <v>9374</v>
      </c>
    </row>
    <row r="6925" spans="1:2" x14ac:dyDescent="0.25">
      <c r="A6925" t="s">
        <v>6317</v>
      </c>
      <c r="B6925" t="s">
        <v>3598</v>
      </c>
    </row>
    <row r="6926" spans="1:2" x14ac:dyDescent="0.25">
      <c r="A6926" t="s">
        <v>4630</v>
      </c>
      <c r="B6926" t="s">
        <v>6317</v>
      </c>
    </row>
    <row r="6927" spans="1:2" x14ac:dyDescent="0.25">
      <c r="A6927" t="s">
        <v>5051</v>
      </c>
      <c r="B6927" t="s">
        <v>6317</v>
      </c>
    </row>
    <row r="6928" spans="1:2" x14ac:dyDescent="0.25">
      <c r="A6928" t="s">
        <v>6813</v>
      </c>
      <c r="B6928" t="s">
        <v>11102</v>
      </c>
    </row>
    <row r="6929" spans="1:2" x14ac:dyDescent="0.25">
      <c r="A6929" t="s">
        <v>4122</v>
      </c>
      <c r="B6929" t="s">
        <v>6813</v>
      </c>
    </row>
    <row r="6930" spans="1:2" x14ac:dyDescent="0.25">
      <c r="A6930" t="s">
        <v>2279</v>
      </c>
      <c r="B6930" t="s">
        <v>4122</v>
      </c>
    </row>
    <row r="6931" spans="1:2" x14ac:dyDescent="0.25">
      <c r="A6931" t="s">
        <v>2696</v>
      </c>
      <c r="B6931" t="s">
        <v>4122</v>
      </c>
    </row>
    <row r="6932" spans="1:2" x14ac:dyDescent="0.25">
      <c r="A6932" t="s">
        <v>3160</v>
      </c>
      <c r="B6932" t="s">
        <v>6813</v>
      </c>
    </row>
    <row r="6933" spans="1:2" x14ac:dyDescent="0.25">
      <c r="A6933" t="s">
        <v>510</v>
      </c>
      <c r="B6933" t="s">
        <v>3160</v>
      </c>
    </row>
    <row r="6934" spans="1:2" x14ac:dyDescent="0.25">
      <c r="A6934" t="s">
        <v>1713</v>
      </c>
      <c r="B6934" t="s">
        <v>3160</v>
      </c>
    </row>
    <row r="6935" spans="1:2" x14ac:dyDescent="0.25">
      <c r="A6935" t="s">
        <v>3202</v>
      </c>
      <c r="B6935" t="s">
        <v>6813</v>
      </c>
    </row>
    <row r="6936" spans="1:2" x14ac:dyDescent="0.25">
      <c r="A6936" t="s">
        <v>539</v>
      </c>
      <c r="B6936" t="s">
        <v>3202</v>
      </c>
    </row>
    <row r="6937" spans="1:2" x14ac:dyDescent="0.25">
      <c r="A6937" t="s">
        <v>1735</v>
      </c>
      <c r="B6937" t="s">
        <v>3202</v>
      </c>
    </row>
    <row r="6938" spans="1:2" x14ac:dyDescent="0.25">
      <c r="A6938" t="s">
        <v>5052</v>
      </c>
      <c r="B6938" t="s">
        <v>6813</v>
      </c>
    </row>
    <row r="6939" spans="1:2" x14ac:dyDescent="0.25">
      <c r="A6939" t="s">
        <v>3159</v>
      </c>
      <c r="B6939" t="s">
        <v>5052</v>
      </c>
    </row>
    <row r="6940" spans="1:2" x14ac:dyDescent="0.25">
      <c r="A6940" t="s">
        <v>3599</v>
      </c>
      <c r="B6940" t="s">
        <v>5052</v>
      </c>
    </row>
    <row r="6941" spans="1:2" x14ac:dyDescent="0.25">
      <c r="A6941" t="s">
        <v>9752</v>
      </c>
      <c r="B6941" t="s">
        <v>11102</v>
      </c>
    </row>
    <row r="6942" spans="1:2" x14ac:dyDescent="0.25">
      <c r="A6942" t="s">
        <v>8064</v>
      </c>
      <c r="B6942" t="s">
        <v>9752</v>
      </c>
    </row>
    <row r="6943" spans="1:2" x14ac:dyDescent="0.25">
      <c r="A6943" t="s">
        <v>8562</v>
      </c>
      <c r="B6943" t="s">
        <v>9752</v>
      </c>
    </row>
    <row r="6944" spans="1:2" x14ac:dyDescent="0.25">
      <c r="A6944" t="s">
        <v>16229</v>
      </c>
      <c r="B6944" t="s">
        <v>11102</v>
      </c>
    </row>
    <row r="6945" spans="1:2" x14ac:dyDescent="0.25">
      <c r="A6945" t="s">
        <v>16230</v>
      </c>
      <c r="B6945" t="s">
        <v>16229</v>
      </c>
    </row>
    <row r="6946" spans="1:2" x14ac:dyDescent="0.25">
      <c r="A6946" t="s">
        <v>16231</v>
      </c>
      <c r="B6946" t="s">
        <v>16230</v>
      </c>
    </row>
    <row r="6947" spans="1:2" x14ac:dyDescent="0.25">
      <c r="A6947" t="s">
        <v>16232</v>
      </c>
      <c r="B6947" t="s">
        <v>16230</v>
      </c>
    </row>
    <row r="6948" spans="1:2" x14ac:dyDescent="0.25">
      <c r="A6948" t="s">
        <v>16233</v>
      </c>
      <c r="B6948" t="s">
        <v>16230</v>
      </c>
    </row>
    <row r="6949" spans="1:2" x14ac:dyDescent="0.25">
      <c r="A6949" t="s">
        <v>16234</v>
      </c>
      <c r="B6949" t="s">
        <v>16229</v>
      </c>
    </row>
    <row r="6950" spans="1:2" x14ac:dyDescent="0.25">
      <c r="A6950" t="s">
        <v>16235</v>
      </c>
      <c r="B6950" t="s">
        <v>16234</v>
      </c>
    </row>
    <row r="6951" spans="1:2" x14ac:dyDescent="0.25">
      <c r="A6951" t="s">
        <v>16236</v>
      </c>
      <c r="B6951" t="s">
        <v>16234</v>
      </c>
    </row>
    <row r="6952" spans="1:2" x14ac:dyDescent="0.25">
      <c r="A6952" t="s">
        <v>16237</v>
      </c>
      <c r="B6952" t="s">
        <v>16234</v>
      </c>
    </row>
    <row r="6953" spans="1:2" x14ac:dyDescent="0.25">
      <c r="A6953" t="s">
        <v>16238</v>
      </c>
      <c r="B6953" t="s">
        <v>16237</v>
      </c>
    </row>
    <row r="6954" spans="1:2" x14ac:dyDescent="0.25">
      <c r="A6954" t="s">
        <v>13727</v>
      </c>
      <c r="B6954" t="s">
        <v>16238</v>
      </c>
    </row>
    <row r="6955" spans="1:2" x14ac:dyDescent="0.25">
      <c r="A6955" t="s">
        <v>16239</v>
      </c>
      <c r="B6955" t="s">
        <v>16237</v>
      </c>
    </row>
    <row r="6956" spans="1:2" x14ac:dyDescent="0.25">
      <c r="A6956" t="s">
        <v>16240</v>
      </c>
      <c r="B6956" t="s">
        <v>16237</v>
      </c>
    </row>
    <row r="6957" spans="1:2" x14ac:dyDescent="0.25">
      <c r="A6957" t="s">
        <v>16241</v>
      </c>
      <c r="B6957" t="s">
        <v>16234</v>
      </c>
    </row>
    <row r="6958" spans="1:2" x14ac:dyDescent="0.25">
      <c r="A6958" t="s">
        <v>16242</v>
      </c>
      <c r="B6958" t="s">
        <v>16229</v>
      </c>
    </row>
    <row r="6959" spans="1:2" x14ac:dyDescent="0.25">
      <c r="A6959" t="s">
        <v>16243</v>
      </c>
      <c r="B6959" t="s">
        <v>16242</v>
      </c>
    </row>
    <row r="6960" spans="1:2" x14ac:dyDescent="0.25">
      <c r="A6960" t="s">
        <v>13728</v>
      </c>
      <c r="B6960" t="s">
        <v>16243</v>
      </c>
    </row>
    <row r="6961" spans="1:2" x14ac:dyDescent="0.25">
      <c r="A6961" t="s">
        <v>16244</v>
      </c>
      <c r="B6961" t="s">
        <v>16242</v>
      </c>
    </row>
    <row r="6962" spans="1:2" x14ac:dyDescent="0.25">
      <c r="A6962" t="s">
        <v>16245</v>
      </c>
      <c r="B6962" t="s">
        <v>16242</v>
      </c>
    </row>
    <row r="6963" spans="1:2" x14ac:dyDescent="0.25">
      <c r="A6963" t="s">
        <v>10793</v>
      </c>
      <c r="B6963" t="s">
        <v>10290</v>
      </c>
    </row>
    <row r="6964" spans="1:2" x14ac:dyDescent="0.25">
      <c r="A6964" t="s">
        <v>6318</v>
      </c>
      <c r="B6964" t="s">
        <v>10793</v>
      </c>
    </row>
    <row r="6965" spans="1:2" x14ac:dyDescent="0.25">
      <c r="A6965" t="s">
        <v>2697</v>
      </c>
      <c r="B6965" t="s">
        <v>6318</v>
      </c>
    </row>
    <row r="6966" spans="1:2" x14ac:dyDescent="0.25">
      <c r="A6966" t="s">
        <v>8962</v>
      </c>
      <c r="B6966" t="s">
        <v>2697</v>
      </c>
    </row>
    <row r="6967" spans="1:2" x14ac:dyDescent="0.25">
      <c r="A6967" t="s">
        <v>8563</v>
      </c>
      <c r="B6967" t="s">
        <v>2697</v>
      </c>
    </row>
    <row r="6968" spans="1:2" x14ac:dyDescent="0.25">
      <c r="A6968" t="s">
        <v>8564</v>
      </c>
      <c r="B6968" t="s">
        <v>2697</v>
      </c>
    </row>
    <row r="6969" spans="1:2" x14ac:dyDescent="0.25">
      <c r="A6969" t="s">
        <v>8963</v>
      </c>
      <c r="B6969" t="s">
        <v>2697</v>
      </c>
    </row>
    <row r="6970" spans="1:2" x14ac:dyDescent="0.25">
      <c r="A6970" t="s">
        <v>8964</v>
      </c>
      <c r="B6970" t="s">
        <v>2697</v>
      </c>
    </row>
    <row r="6971" spans="1:2" x14ac:dyDescent="0.25">
      <c r="A6971" t="s">
        <v>9375</v>
      </c>
      <c r="B6971" t="s">
        <v>2697</v>
      </c>
    </row>
    <row r="6972" spans="1:2" x14ac:dyDescent="0.25">
      <c r="A6972" t="s">
        <v>6442</v>
      </c>
      <c r="B6972" t="s">
        <v>2697</v>
      </c>
    </row>
    <row r="6973" spans="1:2" x14ac:dyDescent="0.25">
      <c r="A6973" t="s">
        <v>5495</v>
      </c>
      <c r="B6973" t="s">
        <v>6318</v>
      </c>
    </row>
    <row r="6974" spans="1:2" x14ac:dyDescent="0.25">
      <c r="A6974" t="s">
        <v>10293</v>
      </c>
      <c r="B6974" t="s">
        <v>5495</v>
      </c>
    </row>
    <row r="6975" spans="1:2" x14ac:dyDescent="0.25">
      <c r="A6975" t="s">
        <v>3161</v>
      </c>
      <c r="B6975" t="s">
        <v>6318</v>
      </c>
    </row>
    <row r="6976" spans="1:2" x14ac:dyDescent="0.25">
      <c r="A6976" t="s">
        <v>8065</v>
      </c>
      <c r="B6976" t="s">
        <v>3161</v>
      </c>
    </row>
    <row r="6977" spans="1:2" x14ac:dyDescent="0.25">
      <c r="A6977" t="s">
        <v>9753</v>
      </c>
      <c r="B6977" t="s">
        <v>6318</v>
      </c>
    </row>
    <row r="6978" spans="1:2" x14ac:dyDescent="0.25">
      <c r="A6978" t="s">
        <v>12585</v>
      </c>
      <c r="B6978" t="s">
        <v>9753</v>
      </c>
    </row>
    <row r="6979" spans="1:2" x14ac:dyDescent="0.25">
      <c r="A6979" t="s">
        <v>511</v>
      </c>
      <c r="B6979" t="s">
        <v>10793</v>
      </c>
    </row>
    <row r="6980" spans="1:2" x14ac:dyDescent="0.25">
      <c r="A6980" t="s">
        <v>9754</v>
      </c>
      <c r="B6980" t="s">
        <v>511</v>
      </c>
    </row>
    <row r="6981" spans="1:2" x14ac:dyDescent="0.25">
      <c r="A6981" t="s">
        <v>10294</v>
      </c>
      <c r="B6981" t="s">
        <v>9754</v>
      </c>
    </row>
    <row r="6982" spans="1:2" x14ac:dyDescent="0.25">
      <c r="A6982" t="s">
        <v>11437</v>
      </c>
      <c r="B6982" t="s">
        <v>511</v>
      </c>
    </row>
    <row r="6983" spans="1:2" x14ac:dyDescent="0.25">
      <c r="A6983" t="s">
        <v>9376</v>
      </c>
      <c r="B6983" t="s">
        <v>11437</v>
      </c>
    </row>
    <row r="6984" spans="1:2" x14ac:dyDescent="0.25">
      <c r="A6984" t="s">
        <v>10295</v>
      </c>
      <c r="B6984" t="s">
        <v>11437</v>
      </c>
    </row>
    <row r="6985" spans="1:2" x14ac:dyDescent="0.25">
      <c r="A6985" t="s">
        <v>8066</v>
      </c>
      <c r="B6985" t="s">
        <v>511</v>
      </c>
    </row>
    <row r="6986" spans="1:2" x14ac:dyDescent="0.25">
      <c r="A6986" t="s">
        <v>6443</v>
      </c>
      <c r="B6986" t="s">
        <v>8066</v>
      </c>
    </row>
    <row r="6987" spans="1:2" x14ac:dyDescent="0.25">
      <c r="A6987" t="s">
        <v>7616</v>
      </c>
      <c r="B6987" t="s">
        <v>8066</v>
      </c>
    </row>
    <row r="6988" spans="1:2" x14ac:dyDescent="0.25">
      <c r="A6988" t="s">
        <v>6814</v>
      </c>
      <c r="B6988" t="s">
        <v>8066</v>
      </c>
    </row>
    <row r="6989" spans="1:2" x14ac:dyDescent="0.25">
      <c r="A6989" t="s">
        <v>11438</v>
      </c>
      <c r="B6989" t="s">
        <v>511</v>
      </c>
    </row>
    <row r="6990" spans="1:2" x14ac:dyDescent="0.25">
      <c r="A6990" t="s">
        <v>10296</v>
      </c>
      <c r="B6990" t="s">
        <v>11438</v>
      </c>
    </row>
    <row r="6991" spans="1:2" x14ac:dyDescent="0.25">
      <c r="A6991" t="s">
        <v>11439</v>
      </c>
      <c r="B6991" t="s">
        <v>511</v>
      </c>
    </row>
    <row r="6992" spans="1:2" x14ac:dyDescent="0.25">
      <c r="A6992" t="s">
        <v>9377</v>
      </c>
      <c r="B6992" t="s">
        <v>11439</v>
      </c>
    </row>
    <row r="6993" spans="1:2" x14ac:dyDescent="0.25">
      <c r="A6993" t="s">
        <v>8067</v>
      </c>
      <c r="B6993" t="s">
        <v>11439</v>
      </c>
    </row>
    <row r="6994" spans="1:2" x14ac:dyDescent="0.25">
      <c r="A6994" t="s">
        <v>8068</v>
      </c>
      <c r="B6994" t="s">
        <v>11439</v>
      </c>
    </row>
    <row r="6995" spans="1:2" x14ac:dyDescent="0.25">
      <c r="A6995" t="s">
        <v>8069</v>
      </c>
      <c r="B6995" t="s">
        <v>11439</v>
      </c>
    </row>
    <row r="6996" spans="1:2" x14ac:dyDescent="0.25">
      <c r="A6996" t="s">
        <v>6815</v>
      </c>
      <c r="B6996" t="s">
        <v>11439</v>
      </c>
    </row>
    <row r="6997" spans="1:2" x14ac:dyDescent="0.25">
      <c r="A6997" t="s">
        <v>6816</v>
      </c>
      <c r="B6997" t="s">
        <v>11439</v>
      </c>
    </row>
    <row r="6998" spans="1:2" x14ac:dyDescent="0.25">
      <c r="A6998" t="s">
        <v>2280</v>
      </c>
      <c r="B6998" t="s">
        <v>11439</v>
      </c>
    </row>
    <row r="6999" spans="1:2" x14ac:dyDescent="0.25">
      <c r="A6999" t="s">
        <v>9755</v>
      </c>
      <c r="B6999" t="s">
        <v>11439</v>
      </c>
    </row>
    <row r="7000" spans="1:2" x14ac:dyDescent="0.25">
      <c r="A7000" t="s">
        <v>13490</v>
      </c>
      <c r="B7000" t="s">
        <v>11439</v>
      </c>
    </row>
    <row r="7001" spans="1:2" x14ac:dyDescent="0.25">
      <c r="A7001" t="s">
        <v>14751</v>
      </c>
      <c r="B7001" t="s">
        <v>11439</v>
      </c>
    </row>
    <row r="7002" spans="1:2" x14ac:dyDescent="0.25">
      <c r="A7002" t="s">
        <v>11440</v>
      </c>
      <c r="B7002" t="s">
        <v>511</v>
      </c>
    </row>
    <row r="7003" spans="1:2" x14ac:dyDescent="0.25">
      <c r="A7003" t="s">
        <v>9378</v>
      </c>
      <c r="B7003" t="s">
        <v>11440</v>
      </c>
    </row>
    <row r="7004" spans="1:2" x14ac:dyDescent="0.25">
      <c r="A7004" t="s">
        <v>4631</v>
      </c>
      <c r="B7004" t="s">
        <v>10793</v>
      </c>
    </row>
    <row r="7005" spans="1:2" x14ac:dyDescent="0.25">
      <c r="A7005" t="s">
        <v>419</v>
      </c>
      <c r="B7005" t="s">
        <v>4631</v>
      </c>
    </row>
    <row r="7006" spans="1:2" x14ac:dyDescent="0.25">
      <c r="A7006" t="s">
        <v>8965</v>
      </c>
      <c r="B7006" t="s">
        <v>419</v>
      </c>
    </row>
    <row r="7007" spans="1:2" x14ac:dyDescent="0.25">
      <c r="A7007" t="s">
        <v>8565</v>
      </c>
      <c r="B7007" t="s">
        <v>419</v>
      </c>
    </row>
    <row r="7008" spans="1:2" x14ac:dyDescent="0.25">
      <c r="A7008" t="s">
        <v>8566</v>
      </c>
      <c r="B7008" t="s">
        <v>419</v>
      </c>
    </row>
    <row r="7009" spans="1:2" x14ac:dyDescent="0.25">
      <c r="A7009" t="s">
        <v>8966</v>
      </c>
      <c r="B7009" t="s">
        <v>419</v>
      </c>
    </row>
    <row r="7010" spans="1:2" x14ac:dyDescent="0.25">
      <c r="A7010" t="s">
        <v>8967</v>
      </c>
      <c r="B7010" t="s">
        <v>419</v>
      </c>
    </row>
    <row r="7011" spans="1:2" x14ac:dyDescent="0.25">
      <c r="A7011" t="s">
        <v>9379</v>
      </c>
      <c r="B7011" t="s">
        <v>419</v>
      </c>
    </row>
    <row r="7012" spans="1:2" x14ac:dyDescent="0.25">
      <c r="A7012" t="s">
        <v>6444</v>
      </c>
      <c r="B7012" t="s">
        <v>419</v>
      </c>
    </row>
    <row r="7013" spans="1:2" x14ac:dyDescent="0.25">
      <c r="A7013" t="s">
        <v>3600</v>
      </c>
      <c r="B7013" t="s">
        <v>4631</v>
      </c>
    </row>
    <row r="7014" spans="1:2" x14ac:dyDescent="0.25">
      <c r="A7014" t="s">
        <v>10297</v>
      </c>
      <c r="B7014" t="s">
        <v>3600</v>
      </c>
    </row>
    <row r="7015" spans="1:2" x14ac:dyDescent="0.25">
      <c r="A7015" t="s">
        <v>512</v>
      </c>
      <c r="B7015" t="s">
        <v>4631</v>
      </c>
    </row>
    <row r="7016" spans="1:2" x14ac:dyDescent="0.25">
      <c r="A7016" t="s">
        <v>8070</v>
      </c>
      <c r="B7016" t="s">
        <v>512</v>
      </c>
    </row>
    <row r="7017" spans="1:2" x14ac:dyDescent="0.25">
      <c r="A7017" t="s">
        <v>4123</v>
      </c>
      <c r="B7017" t="s">
        <v>4631</v>
      </c>
    </row>
    <row r="7018" spans="1:2" x14ac:dyDescent="0.25">
      <c r="A7018" t="s">
        <v>10298</v>
      </c>
      <c r="B7018" t="s">
        <v>4123</v>
      </c>
    </row>
    <row r="7019" spans="1:2" x14ac:dyDescent="0.25">
      <c r="A7019" t="s">
        <v>6319</v>
      </c>
      <c r="B7019" t="s">
        <v>4631</v>
      </c>
    </row>
    <row r="7020" spans="1:2" x14ac:dyDescent="0.25">
      <c r="A7020" t="s">
        <v>10299</v>
      </c>
      <c r="B7020" t="s">
        <v>6319</v>
      </c>
    </row>
    <row r="7021" spans="1:2" x14ac:dyDescent="0.25">
      <c r="A7021" t="s">
        <v>10794</v>
      </c>
      <c r="B7021" t="s">
        <v>6319</v>
      </c>
    </row>
    <row r="7022" spans="1:2" x14ac:dyDescent="0.25">
      <c r="A7022" t="s">
        <v>513</v>
      </c>
      <c r="B7022" t="s">
        <v>4631</v>
      </c>
    </row>
    <row r="7023" spans="1:2" x14ac:dyDescent="0.25">
      <c r="A7023" t="s">
        <v>5496</v>
      </c>
      <c r="B7023" t="s">
        <v>513</v>
      </c>
    </row>
    <row r="7024" spans="1:2" x14ac:dyDescent="0.25">
      <c r="A7024" t="s">
        <v>6921</v>
      </c>
      <c r="B7024" t="s">
        <v>513</v>
      </c>
    </row>
    <row r="7025" spans="1:2" x14ac:dyDescent="0.25">
      <c r="A7025" t="s">
        <v>8236</v>
      </c>
      <c r="B7025" t="s">
        <v>513</v>
      </c>
    </row>
    <row r="7026" spans="1:2" x14ac:dyDescent="0.25">
      <c r="A7026" t="s">
        <v>5870</v>
      </c>
      <c r="B7026" t="s">
        <v>4631</v>
      </c>
    </row>
    <row r="7027" spans="1:2" x14ac:dyDescent="0.25">
      <c r="A7027" t="s">
        <v>9756</v>
      </c>
      <c r="B7027" t="s">
        <v>5870</v>
      </c>
    </row>
    <row r="7028" spans="1:2" x14ac:dyDescent="0.25">
      <c r="A7028" t="s">
        <v>8567</v>
      </c>
      <c r="B7028" t="s">
        <v>5870</v>
      </c>
    </row>
    <row r="7029" spans="1:2" x14ac:dyDescent="0.25">
      <c r="A7029" t="s">
        <v>8568</v>
      </c>
      <c r="B7029" t="s">
        <v>5870</v>
      </c>
    </row>
    <row r="7030" spans="1:2" x14ac:dyDescent="0.25">
      <c r="A7030" t="s">
        <v>8569</v>
      </c>
      <c r="B7030" t="s">
        <v>5870</v>
      </c>
    </row>
    <row r="7031" spans="1:2" x14ac:dyDescent="0.25">
      <c r="A7031" t="s">
        <v>7447</v>
      </c>
      <c r="B7031" t="s">
        <v>5870</v>
      </c>
    </row>
    <row r="7032" spans="1:2" x14ac:dyDescent="0.25">
      <c r="A7032" t="s">
        <v>7448</v>
      </c>
      <c r="B7032" t="s">
        <v>5870</v>
      </c>
    </row>
    <row r="7033" spans="1:2" x14ac:dyDescent="0.25">
      <c r="A7033" t="s">
        <v>2698</v>
      </c>
      <c r="B7033" t="s">
        <v>5870</v>
      </c>
    </row>
    <row r="7034" spans="1:2" x14ac:dyDescent="0.25">
      <c r="A7034" t="s">
        <v>10300</v>
      </c>
      <c r="B7034" t="s">
        <v>5870</v>
      </c>
    </row>
    <row r="7035" spans="1:2" x14ac:dyDescent="0.25">
      <c r="A7035" t="s">
        <v>13491</v>
      </c>
      <c r="B7035" t="s">
        <v>5870</v>
      </c>
    </row>
    <row r="7036" spans="1:2" x14ac:dyDescent="0.25">
      <c r="A7036" t="s">
        <v>14752</v>
      </c>
      <c r="B7036" t="s">
        <v>5870</v>
      </c>
    </row>
    <row r="7037" spans="1:2" x14ac:dyDescent="0.25">
      <c r="A7037" t="s">
        <v>5871</v>
      </c>
      <c r="B7037" t="s">
        <v>4631</v>
      </c>
    </row>
    <row r="7038" spans="1:2" x14ac:dyDescent="0.25">
      <c r="A7038" t="s">
        <v>9757</v>
      </c>
      <c r="B7038" t="s">
        <v>5871</v>
      </c>
    </row>
    <row r="7039" spans="1:2" x14ac:dyDescent="0.25">
      <c r="A7039" t="s">
        <v>7449</v>
      </c>
      <c r="B7039" t="s">
        <v>10793</v>
      </c>
    </row>
    <row r="7040" spans="1:2" x14ac:dyDescent="0.25">
      <c r="A7040" t="s">
        <v>7450</v>
      </c>
      <c r="B7040" t="s">
        <v>12761</v>
      </c>
    </row>
    <row r="7041" spans="1:2" x14ac:dyDescent="0.25">
      <c r="A7041" t="s">
        <v>10795</v>
      </c>
      <c r="B7041" t="s">
        <v>7450</v>
      </c>
    </row>
    <row r="7042" spans="1:2" x14ac:dyDescent="0.25">
      <c r="A7042" t="s">
        <v>8570</v>
      </c>
      <c r="B7042" t="s">
        <v>10795</v>
      </c>
    </row>
    <row r="7043" spans="1:2" x14ac:dyDescent="0.25">
      <c r="A7043" t="s">
        <v>6817</v>
      </c>
      <c r="B7043" t="s">
        <v>8570</v>
      </c>
    </row>
    <row r="7044" spans="1:2" x14ac:dyDescent="0.25">
      <c r="A7044" t="s">
        <v>6320</v>
      </c>
      <c r="B7044" t="s">
        <v>8570</v>
      </c>
    </row>
    <row r="7045" spans="1:2" x14ac:dyDescent="0.25">
      <c r="A7045" t="s">
        <v>6818</v>
      </c>
      <c r="B7045" t="s">
        <v>8570</v>
      </c>
    </row>
    <row r="7046" spans="1:2" x14ac:dyDescent="0.25">
      <c r="A7046" t="s">
        <v>514</v>
      </c>
      <c r="B7046" t="s">
        <v>10795</v>
      </c>
    </row>
    <row r="7047" spans="1:2" x14ac:dyDescent="0.25">
      <c r="A7047" t="s">
        <v>4124</v>
      </c>
      <c r="B7047" t="s">
        <v>514</v>
      </c>
    </row>
    <row r="7048" spans="1:2" x14ac:dyDescent="0.25">
      <c r="A7048" t="s">
        <v>3601</v>
      </c>
      <c r="B7048" t="s">
        <v>514</v>
      </c>
    </row>
    <row r="7049" spans="1:2" x14ac:dyDescent="0.25">
      <c r="A7049" t="s">
        <v>4126</v>
      </c>
      <c r="B7049" t="s">
        <v>514</v>
      </c>
    </row>
    <row r="7050" spans="1:2" x14ac:dyDescent="0.25">
      <c r="A7050" t="s">
        <v>4125</v>
      </c>
      <c r="B7050" t="s">
        <v>514</v>
      </c>
    </row>
    <row r="7051" spans="1:2" x14ac:dyDescent="0.25">
      <c r="A7051" t="s">
        <v>8071</v>
      </c>
      <c r="B7051" t="s">
        <v>10795</v>
      </c>
    </row>
    <row r="7052" spans="1:2" x14ac:dyDescent="0.25">
      <c r="A7052" t="s">
        <v>6321</v>
      </c>
      <c r="B7052" t="s">
        <v>8071</v>
      </c>
    </row>
    <row r="7053" spans="1:2" x14ac:dyDescent="0.25">
      <c r="A7053" t="s">
        <v>8571</v>
      </c>
      <c r="B7053" t="s">
        <v>7450</v>
      </c>
    </row>
    <row r="7054" spans="1:2" x14ac:dyDescent="0.25">
      <c r="A7054" t="s">
        <v>5872</v>
      </c>
      <c r="B7054" t="s">
        <v>8571</v>
      </c>
    </row>
    <row r="7055" spans="1:2" x14ac:dyDescent="0.25">
      <c r="A7055" t="s">
        <v>4632</v>
      </c>
      <c r="B7055" t="s">
        <v>5872</v>
      </c>
    </row>
    <row r="7056" spans="1:2" x14ac:dyDescent="0.25">
      <c r="A7056" t="s">
        <v>4127</v>
      </c>
      <c r="B7056" t="s">
        <v>5872</v>
      </c>
    </row>
    <row r="7057" spans="1:2" x14ac:dyDescent="0.25">
      <c r="A7057" t="s">
        <v>4633</v>
      </c>
      <c r="B7057" t="s">
        <v>5872</v>
      </c>
    </row>
    <row r="7058" spans="1:2" x14ac:dyDescent="0.25">
      <c r="A7058" t="s">
        <v>515</v>
      </c>
      <c r="B7058" t="s">
        <v>8571</v>
      </c>
    </row>
    <row r="7059" spans="1:2" x14ac:dyDescent="0.25">
      <c r="A7059" t="s">
        <v>1714</v>
      </c>
      <c r="B7059" t="s">
        <v>515</v>
      </c>
    </row>
    <row r="7060" spans="1:2" x14ac:dyDescent="0.25">
      <c r="A7060" t="s">
        <v>4128</v>
      </c>
      <c r="B7060" t="s">
        <v>1714</v>
      </c>
    </row>
    <row r="7061" spans="1:2" x14ac:dyDescent="0.25">
      <c r="A7061" t="s">
        <v>7451</v>
      </c>
      <c r="B7061" t="s">
        <v>1714</v>
      </c>
    </row>
    <row r="7062" spans="1:2" x14ac:dyDescent="0.25">
      <c r="A7062" t="s">
        <v>1715</v>
      </c>
      <c r="B7062" t="s">
        <v>515</v>
      </c>
    </row>
    <row r="7063" spans="1:2" x14ac:dyDescent="0.25">
      <c r="A7063" t="s">
        <v>516</v>
      </c>
      <c r="B7063" t="s">
        <v>515</v>
      </c>
    </row>
    <row r="7064" spans="1:2" x14ac:dyDescent="0.25">
      <c r="A7064" t="s">
        <v>1716</v>
      </c>
      <c r="B7064" t="s">
        <v>515</v>
      </c>
    </row>
    <row r="7065" spans="1:2" x14ac:dyDescent="0.25">
      <c r="A7065" t="s">
        <v>5497</v>
      </c>
      <c r="B7065" t="s">
        <v>8571</v>
      </c>
    </row>
    <row r="7066" spans="1:2" x14ac:dyDescent="0.25">
      <c r="A7066" t="s">
        <v>4129</v>
      </c>
      <c r="B7066" t="s">
        <v>5497</v>
      </c>
    </row>
    <row r="7067" spans="1:2" x14ac:dyDescent="0.25">
      <c r="A7067" t="s">
        <v>8968</v>
      </c>
      <c r="B7067" t="s">
        <v>7450</v>
      </c>
    </row>
    <row r="7068" spans="1:2" x14ac:dyDescent="0.25">
      <c r="A7068" t="s">
        <v>8572</v>
      </c>
      <c r="B7068" t="s">
        <v>8968</v>
      </c>
    </row>
    <row r="7069" spans="1:2" x14ac:dyDescent="0.25">
      <c r="A7069" t="s">
        <v>6819</v>
      </c>
      <c r="B7069" t="s">
        <v>8572</v>
      </c>
    </row>
    <row r="7070" spans="1:2" x14ac:dyDescent="0.25">
      <c r="A7070" t="s">
        <v>5498</v>
      </c>
      <c r="B7070" t="s">
        <v>6819</v>
      </c>
    </row>
    <row r="7071" spans="1:2" x14ac:dyDescent="0.25">
      <c r="A7071" t="s">
        <v>8072</v>
      </c>
      <c r="B7071" t="s">
        <v>6819</v>
      </c>
    </row>
    <row r="7072" spans="1:2" x14ac:dyDescent="0.25">
      <c r="A7072" t="s">
        <v>13729</v>
      </c>
      <c r="B7072" t="s">
        <v>6819</v>
      </c>
    </row>
    <row r="7073" spans="1:2" x14ac:dyDescent="0.25">
      <c r="A7073" t="s">
        <v>16490</v>
      </c>
      <c r="B7073" t="s">
        <v>6819</v>
      </c>
    </row>
    <row r="7074" spans="1:2" x14ac:dyDescent="0.25">
      <c r="A7074" t="s">
        <v>16493</v>
      </c>
      <c r="B7074" t="s">
        <v>6819</v>
      </c>
    </row>
    <row r="7075" spans="1:2" x14ac:dyDescent="0.25">
      <c r="A7075" t="s">
        <v>6322</v>
      </c>
      <c r="B7075" t="s">
        <v>8572</v>
      </c>
    </row>
    <row r="7076" spans="1:2" x14ac:dyDescent="0.25">
      <c r="A7076" t="s">
        <v>5053</v>
      </c>
      <c r="B7076" t="s">
        <v>6322</v>
      </c>
    </row>
    <row r="7077" spans="1:2" x14ac:dyDescent="0.25">
      <c r="A7077" t="s">
        <v>7452</v>
      </c>
      <c r="B7077" t="s">
        <v>6322</v>
      </c>
    </row>
    <row r="7078" spans="1:2" x14ac:dyDescent="0.25">
      <c r="A7078" t="s">
        <v>6820</v>
      </c>
      <c r="B7078" t="s">
        <v>8572</v>
      </c>
    </row>
    <row r="7079" spans="1:2" x14ac:dyDescent="0.25">
      <c r="A7079" t="s">
        <v>5499</v>
      </c>
      <c r="B7079" t="s">
        <v>6820</v>
      </c>
    </row>
    <row r="7080" spans="1:2" x14ac:dyDescent="0.25">
      <c r="A7080" t="s">
        <v>8073</v>
      </c>
      <c r="B7080" t="s">
        <v>6820</v>
      </c>
    </row>
    <row r="7081" spans="1:2" x14ac:dyDescent="0.25">
      <c r="A7081" t="s">
        <v>517</v>
      </c>
      <c r="B7081" t="s">
        <v>8968</v>
      </c>
    </row>
    <row r="7082" spans="1:2" x14ac:dyDescent="0.25">
      <c r="A7082" t="s">
        <v>4130</v>
      </c>
      <c r="B7082" t="s">
        <v>517</v>
      </c>
    </row>
    <row r="7083" spans="1:2" x14ac:dyDescent="0.25">
      <c r="A7083" t="s">
        <v>2699</v>
      </c>
      <c r="B7083" t="s">
        <v>4130</v>
      </c>
    </row>
    <row r="7084" spans="1:2" x14ac:dyDescent="0.25">
      <c r="A7084" t="s">
        <v>5054</v>
      </c>
      <c r="B7084" t="s">
        <v>4130</v>
      </c>
    </row>
    <row r="7085" spans="1:2" x14ac:dyDescent="0.25">
      <c r="A7085" t="s">
        <v>4131</v>
      </c>
      <c r="B7085" t="s">
        <v>517</v>
      </c>
    </row>
    <row r="7086" spans="1:2" x14ac:dyDescent="0.25">
      <c r="A7086" t="s">
        <v>2700</v>
      </c>
      <c r="B7086" t="s">
        <v>4131</v>
      </c>
    </row>
    <row r="7087" spans="1:2" x14ac:dyDescent="0.25">
      <c r="A7087" t="s">
        <v>5055</v>
      </c>
      <c r="B7087" t="s">
        <v>4131</v>
      </c>
    </row>
    <row r="7088" spans="1:2" x14ac:dyDescent="0.25">
      <c r="A7088" t="s">
        <v>13730</v>
      </c>
      <c r="B7088" t="s">
        <v>4131</v>
      </c>
    </row>
    <row r="7089" spans="1:2" x14ac:dyDescent="0.25">
      <c r="A7089" t="s">
        <v>16491</v>
      </c>
      <c r="B7089" t="s">
        <v>4131</v>
      </c>
    </row>
    <row r="7090" spans="1:2" x14ac:dyDescent="0.25">
      <c r="A7090" t="s">
        <v>16494</v>
      </c>
      <c r="B7090" t="s">
        <v>4131</v>
      </c>
    </row>
    <row r="7091" spans="1:2" x14ac:dyDescent="0.25">
      <c r="A7091" t="s">
        <v>3602</v>
      </c>
      <c r="B7091" t="s">
        <v>517</v>
      </c>
    </row>
    <row r="7092" spans="1:2" x14ac:dyDescent="0.25">
      <c r="A7092" t="s">
        <v>2281</v>
      </c>
      <c r="B7092" t="s">
        <v>3602</v>
      </c>
    </row>
    <row r="7093" spans="1:2" x14ac:dyDescent="0.25">
      <c r="A7093" t="s">
        <v>4634</v>
      </c>
      <c r="B7093" t="s">
        <v>3602</v>
      </c>
    </row>
    <row r="7094" spans="1:2" x14ac:dyDescent="0.25">
      <c r="A7094" t="s">
        <v>4132</v>
      </c>
      <c r="B7094" t="s">
        <v>517</v>
      </c>
    </row>
    <row r="7095" spans="1:2" x14ac:dyDescent="0.25">
      <c r="A7095" t="s">
        <v>2701</v>
      </c>
      <c r="B7095" t="s">
        <v>4132</v>
      </c>
    </row>
    <row r="7096" spans="1:2" x14ac:dyDescent="0.25">
      <c r="A7096" t="s">
        <v>5056</v>
      </c>
      <c r="B7096" t="s">
        <v>4132</v>
      </c>
    </row>
    <row r="7097" spans="1:2" x14ac:dyDescent="0.25">
      <c r="A7097" t="s">
        <v>8074</v>
      </c>
      <c r="B7097" t="s">
        <v>8968</v>
      </c>
    </row>
    <row r="7098" spans="1:2" x14ac:dyDescent="0.25">
      <c r="A7098" t="s">
        <v>6323</v>
      </c>
      <c r="B7098" t="s">
        <v>8074</v>
      </c>
    </row>
    <row r="7099" spans="1:2" x14ac:dyDescent="0.25">
      <c r="A7099" t="s">
        <v>5057</v>
      </c>
      <c r="B7099" t="s">
        <v>6323</v>
      </c>
    </row>
    <row r="7100" spans="1:2" x14ac:dyDescent="0.25">
      <c r="A7100" t="s">
        <v>7453</v>
      </c>
      <c r="B7100" t="s">
        <v>6323</v>
      </c>
    </row>
    <row r="7101" spans="1:2" x14ac:dyDescent="0.25">
      <c r="A7101" t="s">
        <v>13731</v>
      </c>
      <c r="B7101" t="s">
        <v>6323</v>
      </c>
    </row>
    <row r="7102" spans="1:2" x14ac:dyDescent="0.25">
      <c r="A7102" t="s">
        <v>16492</v>
      </c>
      <c r="B7102" t="s">
        <v>6323</v>
      </c>
    </row>
    <row r="7103" spans="1:2" x14ac:dyDescent="0.25">
      <c r="A7103" t="s">
        <v>16495</v>
      </c>
      <c r="B7103" t="s">
        <v>6323</v>
      </c>
    </row>
    <row r="7104" spans="1:2" x14ac:dyDescent="0.25">
      <c r="A7104" t="s">
        <v>9380</v>
      </c>
      <c r="B7104" t="s">
        <v>7450</v>
      </c>
    </row>
    <row r="7105" spans="1:2" x14ac:dyDescent="0.25">
      <c r="A7105" t="s">
        <v>10796</v>
      </c>
      <c r="B7105" t="s">
        <v>9380</v>
      </c>
    </row>
    <row r="7106" spans="1:2" x14ac:dyDescent="0.25">
      <c r="A7106" t="s">
        <v>3162</v>
      </c>
      <c r="B7106" t="s">
        <v>9380</v>
      </c>
    </row>
    <row r="7107" spans="1:2" x14ac:dyDescent="0.25">
      <c r="A7107" t="s">
        <v>12074</v>
      </c>
      <c r="B7107" t="s">
        <v>12761</v>
      </c>
    </row>
    <row r="7108" spans="1:2" x14ac:dyDescent="0.25">
      <c r="A7108" t="s">
        <v>12855</v>
      </c>
      <c r="B7108" t="s">
        <v>12074</v>
      </c>
    </row>
    <row r="7109" spans="1:2" x14ac:dyDescent="0.25">
      <c r="A7109" t="s">
        <v>9758</v>
      </c>
      <c r="B7109" t="s">
        <v>12855</v>
      </c>
    </row>
    <row r="7110" spans="1:2" x14ac:dyDescent="0.25">
      <c r="A7110" t="s">
        <v>5058</v>
      </c>
      <c r="B7110" t="s">
        <v>9758</v>
      </c>
    </row>
    <row r="7111" spans="1:2" x14ac:dyDescent="0.25">
      <c r="A7111" t="s">
        <v>6324</v>
      </c>
      <c r="B7111" t="s">
        <v>9758</v>
      </c>
    </row>
    <row r="7112" spans="1:2" x14ac:dyDescent="0.25">
      <c r="A7112" t="s">
        <v>5500</v>
      </c>
      <c r="B7112" t="s">
        <v>9758</v>
      </c>
    </row>
    <row r="7113" spans="1:2" x14ac:dyDescent="0.25">
      <c r="A7113" t="s">
        <v>1717</v>
      </c>
      <c r="B7113" t="s">
        <v>9758</v>
      </c>
    </row>
    <row r="7114" spans="1:2" x14ac:dyDescent="0.25">
      <c r="A7114" t="s">
        <v>10301</v>
      </c>
      <c r="B7114" t="s">
        <v>9758</v>
      </c>
    </row>
    <row r="7115" spans="1:2" x14ac:dyDescent="0.25">
      <c r="A7115" t="s">
        <v>5873</v>
      </c>
      <c r="B7115" t="s">
        <v>9758</v>
      </c>
    </row>
    <row r="7116" spans="1:2" x14ac:dyDescent="0.25">
      <c r="A7116" t="s">
        <v>2702</v>
      </c>
      <c r="B7116" t="s">
        <v>12855</v>
      </c>
    </row>
    <row r="7117" spans="1:2" x14ac:dyDescent="0.25">
      <c r="A7117" t="s">
        <v>12786</v>
      </c>
      <c r="B7117" t="s">
        <v>12074</v>
      </c>
    </row>
    <row r="7118" spans="1:2" x14ac:dyDescent="0.25">
      <c r="A7118" t="s">
        <v>4135</v>
      </c>
      <c r="B7118" t="s">
        <v>12786</v>
      </c>
    </row>
    <row r="7119" spans="1:2" x14ac:dyDescent="0.25">
      <c r="A7119" t="s">
        <v>2285</v>
      </c>
      <c r="B7119" t="s">
        <v>12786</v>
      </c>
    </row>
    <row r="7120" spans="1:2" x14ac:dyDescent="0.25">
      <c r="A7120" t="s">
        <v>9761</v>
      </c>
      <c r="B7120" t="s">
        <v>12074</v>
      </c>
    </row>
    <row r="7121" spans="1:2" x14ac:dyDescent="0.25">
      <c r="A7121" t="s">
        <v>1719</v>
      </c>
      <c r="B7121" t="s">
        <v>9761</v>
      </c>
    </row>
    <row r="7122" spans="1:2" x14ac:dyDescent="0.25">
      <c r="A7122" t="s">
        <v>518</v>
      </c>
      <c r="B7122" t="s">
        <v>9761</v>
      </c>
    </row>
    <row r="7123" spans="1:2" x14ac:dyDescent="0.25">
      <c r="A7123" t="s">
        <v>4136</v>
      </c>
      <c r="B7123" t="s">
        <v>9761</v>
      </c>
    </row>
    <row r="7124" spans="1:2" x14ac:dyDescent="0.25">
      <c r="A7124" t="s">
        <v>12856</v>
      </c>
      <c r="B7124" t="s">
        <v>12074</v>
      </c>
    </row>
    <row r="7125" spans="1:2" x14ac:dyDescent="0.25">
      <c r="A7125" t="s">
        <v>9389</v>
      </c>
      <c r="B7125" t="s">
        <v>12074</v>
      </c>
    </row>
    <row r="7126" spans="1:2" x14ac:dyDescent="0.25">
      <c r="A7126" t="s">
        <v>3603</v>
      </c>
      <c r="B7126" t="s">
        <v>9389</v>
      </c>
    </row>
    <row r="7127" spans="1:2" x14ac:dyDescent="0.25">
      <c r="A7127" t="s">
        <v>7454</v>
      </c>
      <c r="B7127" t="s">
        <v>9389</v>
      </c>
    </row>
    <row r="7128" spans="1:2" x14ac:dyDescent="0.25">
      <c r="A7128" t="s">
        <v>1720</v>
      </c>
      <c r="B7128" t="s">
        <v>9389</v>
      </c>
    </row>
    <row r="7129" spans="1:2" x14ac:dyDescent="0.25">
      <c r="A7129" t="s">
        <v>519</v>
      </c>
      <c r="B7129" t="s">
        <v>9389</v>
      </c>
    </row>
    <row r="7130" spans="1:2" x14ac:dyDescent="0.25">
      <c r="A7130" t="s">
        <v>4635</v>
      </c>
      <c r="B7130" t="s">
        <v>9389</v>
      </c>
    </row>
    <row r="7131" spans="1:2" x14ac:dyDescent="0.25">
      <c r="A7131" t="s">
        <v>13613</v>
      </c>
      <c r="B7131" t="s">
        <v>12074</v>
      </c>
    </row>
    <row r="7132" spans="1:2" x14ac:dyDescent="0.25">
      <c r="A7132" t="s">
        <v>12784</v>
      </c>
      <c r="B7132" t="s">
        <v>12074</v>
      </c>
    </row>
    <row r="7133" spans="1:2" x14ac:dyDescent="0.25">
      <c r="A7133" t="s">
        <v>9381</v>
      </c>
      <c r="B7133" t="s">
        <v>12784</v>
      </c>
    </row>
    <row r="7134" spans="1:2" x14ac:dyDescent="0.25">
      <c r="A7134" t="s">
        <v>11649</v>
      </c>
      <c r="B7134" t="s">
        <v>9381</v>
      </c>
    </row>
    <row r="7135" spans="1:2" x14ac:dyDescent="0.25">
      <c r="A7135" t="s">
        <v>9759</v>
      </c>
      <c r="B7135" t="s">
        <v>11649</v>
      </c>
    </row>
    <row r="7136" spans="1:2" x14ac:dyDescent="0.25">
      <c r="A7136" t="s">
        <v>9382</v>
      </c>
      <c r="B7136" t="s">
        <v>11649</v>
      </c>
    </row>
    <row r="7137" spans="1:2" x14ac:dyDescent="0.25">
      <c r="A7137" t="s">
        <v>9760</v>
      </c>
      <c r="B7137" t="s">
        <v>11649</v>
      </c>
    </row>
    <row r="7138" spans="1:2" x14ac:dyDescent="0.25">
      <c r="A7138" t="s">
        <v>9383</v>
      </c>
      <c r="B7138" t="s">
        <v>11649</v>
      </c>
    </row>
    <row r="7139" spans="1:2" x14ac:dyDescent="0.25">
      <c r="A7139" t="s">
        <v>10302</v>
      </c>
      <c r="B7139" t="s">
        <v>9381</v>
      </c>
    </row>
    <row r="7140" spans="1:2" x14ac:dyDescent="0.25">
      <c r="A7140" t="s">
        <v>8075</v>
      </c>
      <c r="B7140" t="s">
        <v>10302</v>
      </c>
    </row>
    <row r="7141" spans="1:2" x14ac:dyDescent="0.25">
      <c r="A7141" t="s">
        <v>9384</v>
      </c>
      <c r="B7141" t="s">
        <v>10302</v>
      </c>
    </row>
    <row r="7142" spans="1:2" x14ac:dyDescent="0.25">
      <c r="A7142" t="s">
        <v>9385</v>
      </c>
      <c r="B7142" t="s">
        <v>10302</v>
      </c>
    </row>
    <row r="7143" spans="1:2" x14ac:dyDescent="0.25">
      <c r="A7143" t="s">
        <v>9386</v>
      </c>
      <c r="B7143" t="s">
        <v>10302</v>
      </c>
    </row>
    <row r="7144" spans="1:2" x14ac:dyDescent="0.25">
      <c r="A7144" t="s">
        <v>9387</v>
      </c>
      <c r="B7144" t="s">
        <v>10302</v>
      </c>
    </row>
    <row r="7145" spans="1:2" x14ac:dyDescent="0.25">
      <c r="A7145" t="s">
        <v>9388</v>
      </c>
      <c r="B7145" t="s">
        <v>10302</v>
      </c>
    </row>
    <row r="7146" spans="1:2" x14ac:dyDescent="0.25">
      <c r="A7146" t="s">
        <v>8573</v>
      </c>
      <c r="B7146" t="s">
        <v>10302</v>
      </c>
    </row>
    <row r="7147" spans="1:2" x14ac:dyDescent="0.25">
      <c r="A7147" t="s">
        <v>4133</v>
      </c>
      <c r="B7147" t="s">
        <v>12784</v>
      </c>
    </row>
    <row r="7148" spans="1:2" x14ac:dyDescent="0.25">
      <c r="A7148" t="s">
        <v>5501</v>
      </c>
      <c r="B7148" t="s">
        <v>4133</v>
      </c>
    </row>
    <row r="7149" spans="1:2" x14ac:dyDescent="0.25">
      <c r="A7149" t="s">
        <v>2282</v>
      </c>
      <c r="B7149" t="s">
        <v>4133</v>
      </c>
    </row>
    <row r="7150" spans="1:2" x14ac:dyDescent="0.25">
      <c r="A7150" t="s">
        <v>8969</v>
      </c>
      <c r="B7150" t="s">
        <v>2282</v>
      </c>
    </row>
    <row r="7151" spans="1:2" x14ac:dyDescent="0.25">
      <c r="A7151" t="s">
        <v>8574</v>
      </c>
      <c r="B7151" t="s">
        <v>2282</v>
      </c>
    </row>
    <row r="7152" spans="1:2" x14ac:dyDescent="0.25">
      <c r="A7152" t="s">
        <v>8970</v>
      </c>
      <c r="B7152" t="s">
        <v>2282</v>
      </c>
    </row>
    <row r="7153" spans="1:2" x14ac:dyDescent="0.25">
      <c r="A7153" t="s">
        <v>8575</v>
      </c>
      <c r="B7153" t="s">
        <v>2282</v>
      </c>
    </row>
    <row r="7154" spans="1:2" x14ac:dyDescent="0.25">
      <c r="A7154" t="s">
        <v>1718</v>
      </c>
      <c r="B7154" t="s">
        <v>4133</v>
      </c>
    </row>
    <row r="7155" spans="1:2" x14ac:dyDescent="0.25">
      <c r="A7155" t="s">
        <v>2703</v>
      </c>
      <c r="B7155" t="s">
        <v>4133</v>
      </c>
    </row>
    <row r="7156" spans="1:2" x14ac:dyDescent="0.25">
      <c r="A7156" t="s">
        <v>2283</v>
      </c>
      <c r="B7156" t="s">
        <v>12784</v>
      </c>
    </row>
    <row r="7157" spans="1:2" x14ac:dyDescent="0.25">
      <c r="A7157" t="s">
        <v>12785</v>
      </c>
      <c r="B7157" t="s">
        <v>12074</v>
      </c>
    </row>
    <row r="7158" spans="1:2" x14ac:dyDescent="0.25">
      <c r="A7158" t="s">
        <v>4134</v>
      </c>
      <c r="B7158" t="s">
        <v>12785</v>
      </c>
    </row>
    <row r="7159" spans="1:2" x14ac:dyDescent="0.25">
      <c r="A7159" t="s">
        <v>2284</v>
      </c>
      <c r="B7159" t="s">
        <v>12785</v>
      </c>
    </row>
    <row r="7160" spans="1:2" x14ac:dyDescent="0.25">
      <c r="A7160" t="s">
        <v>10243</v>
      </c>
      <c r="B7160" t="s">
        <v>12573</v>
      </c>
    </row>
    <row r="7161" spans="1:2" x14ac:dyDescent="0.25">
      <c r="A7161" t="s">
        <v>12014</v>
      </c>
      <c r="B7161" t="s">
        <v>12573</v>
      </c>
    </row>
    <row r="7162" spans="1:2" x14ac:dyDescent="0.25">
      <c r="A7162" t="s">
        <v>10271</v>
      </c>
      <c r="B7162" t="s">
        <v>12014</v>
      </c>
    </row>
    <row r="7163" spans="1:2" x14ac:dyDescent="0.25">
      <c r="A7163" t="s">
        <v>4107</v>
      </c>
      <c r="B7163" t="s">
        <v>10271</v>
      </c>
    </row>
    <row r="7164" spans="1:2" x14ac:dyDescent="0.25">
      <c r="A7164" t="s">
        <v>507</v>
      </c>
      <c r="B7164" t="s">
        <v>10271</v>
      </c>
    </row>
    <row r="7165" spans="1:2" x14ac:dyDescent="0.25">
      <c r="A7165" t="s">
        <v>7428</v>
      </c>
      <c r="B7165" t="s">
        <v>12014</v>
      </c>
    </row>
    <row r="7166" spans="1:2" x14ac:dyDescent="0.25">
      <c r="A7166" t="s">
        <v>1709</v>
      </c>
      <c r="B7166" t="s">
        <v>7428</v>
      </c>
    </row>
    <row r="7167" spans="1:2" x14ac:dyDescent="0.25">
      <c r="A7167" t="s">
        <v>414</v>
      </c>
      <c r="B7167" t="s">
        <v>7428</v>
      </c>
    </row>
    <row r="7168" spans="1:2" x14ac:dyDescent="0.25">
      <c r="A7168" t="s">
        <v>12058</v>
      </c>
      <c r="B7168" t="s">
        <v>12014</v>
      </c>
    </row>
    <row r="7169" spans="1:2" x14ac:dyDescent="0.25">
      <c r="A7169" t="s">
        <v>5863</v>
      </c>
      <c r="B7169" t="s">
        <v>12058</v>
      </c>
    </row>
    <row r="7170" spans="1:2" x14ac:dyDescent="0.25">
      <c r="A7170" t="s">
        <v>1710</v>
      </c>
      <c r="B7170" t="s">
        <v>12058</v>
      </c>
    </row>
    <row r="7171" spans="1:2" x14ac:dyDescent="0.25">
      <c r="A7171" t="s">
        <v>12764</v>
      </c>
      <c r="B7171" t="s">
        <v>12573</v>
      </c>
    </row>
    <row r="7172" spans="1:2" x14ac:dyDescent="0.25">
      <c r="A7172" t="s">
        <v>14947</v>
      </c>
      <c r="B7172" t="s">
        <v>12529</v>
      </c>
    </row>
    <row r="7173" spans="1:2" x14ac:dyDescent="0.25">
      <c r="A7173" t="s">
        <v>3576</v>
      </c>
      <c r="B7173" t="s">
        <v>14947</v>
      </c>
    </row>
    <row r="7174" spans="1:2" x14ac:dyDescent="0.25">
      <c r="A7174" t="s">
        <v>5860</v>
      </c>
      <c r="B7174" t="s">
        <v>3576</v>
      </c>
    </row>
    <row r="7175" spans="1:2" x14ac:dyDescent="0.25">
      <c r="A7175" t="s">
        <v>4613</v>
      </c>
      <c r="B7175" t="s">
        <v>3576</v>
      </c>
    </row>
    <row r="7176" spans="1:2" x14ac:dyDescent="0.25">
      <c r="A7176" t="s">
        <v>11420</v>
      </c>
      <c r="B7176" t="s">
        <v>3576</v>
      </c>
    </row>
    <row r="7177" spans="1:2" x14ac:dyDescent="0.25">
      <c r="A7177" t="s">
        <v>4097</v>
      </c>
      <c r="B7177" t="s">
        <v>3576</v>
      </c>
    </row>
    <row r="7178" spans="1:2" x14ac:dyDescent="0.25">
      <c r="A7178" t="s">
        <v>6299</v>
      </c>
      <c r="B7178" t="s">
        <v>3576</v>
      </c>
    </row>
    <row r="7179" spans="1:2" x14ac:dyDescent="0.25">
      <c r="A7179" t="s">
        <v>3588</v>
      </c>
      <c r="B7179" t="s">
        <v>3576</v>
      </c>
    </row>
    <row r="7180" spans="1:2" x14ac:dyDescent="0.25">
      <c r="A7180" t="s">
        <v>3151</v>
      </c>
      <c r="B7180" t="s">
        <v>3576</v>
      </c>
    </row>
    <row r="7181" spans="1:2" x14ac:dyDescent="0.25">
      <c r="A7181" t="s">
        <v>69</v>
      </c>
      <c r="B7181" t="s">
        <v>14947</v>
      </c>
    </row>
    <row r="7182" spans="1:2" x14ac:dyDescent="0.25">
      <c r="A7182" t="s">
        <v>11452</v>
      </c>
      <c r="B7182" t="s">
        <v>69</v>
      </c>
    </row>
    <row r="7183" spans="1:2" x14ac:dyDescent="0.25">
      <c r="A7183" t="s">
        <v>12794</v>
      </c>
      <c r="B7183" t="s">
        <v>69</v>
      </c>
    </row>
    <row r="7184" spans="1:2" x14ac:dyDescent="0.25">
      <c r="A7184" t="s">
        <v>11661</v>
      </c>
      <c r="B7184" t="s">
        <v>69</v>
      </c>
    </row>
    <row r="7185" spans="1:2" x14ac:dyDescent="0.25">
      <c r="A7185" t="s">
        <v>12795</v>
      </c>
      <c r="B7185" t="s">
        <v>69</v>
      </c>
    </row>
    <row r="7186" spans="1:2" x14ac:dyDescent="0.25">
      <c r="A7186" t="s">
        <v>12403</v>
      </c>
      <c r="B7186" t="s">
        <v>69</v>
      </c>
    </row>
    <row r="7187" spans="1:2" x14ac:dyDescent="0.25">
      <c r="A7187" t="s">
        <v>250</v>
      </c>
      <c r="B7187" t="s">
        <v>14947</v>
      </c>
    </row>
    <row r="7188" spans="1:2" x14ac:dyDescent="0.25">
      <c r="A7188" t="s">
        <v>6790</v>
      </c>
      <c r="B7188" t="s">
        <v>14947</v>
      </c>
    </row>
    <row r="7189" spans="1:2" x14ac:dyDescent="0.25">
      <c r="A7189" t="s">
        <v>4098</v>
      </c>
      <c r="B7189" t="s">
        <v>14947</v>
      </c>
    </row>
    <row r="7190" spans="1:2" x14ac:dyDescent="0.25">
      <c r="A7190" t="s">
        <v>11645</v>
      </c>
      <c r="B7190" t="s">
        <v>14947</v>
      </c>
    </row>
    <row r="7191" spans="1:2" x14ac:dyDescent="0.25">
      <c r="A7191" t="s">
        <v>14115</v>
      </c>
      <c r="B7191" t="s">
        <v>14947</v>
      </c>
    </row>
    <row r="7192" spans="1:2" x14ac:dyDescent="0.25">
      <c r="A7192" t="s">
        <v>16246</v>
      </c>
      <c r="B7192" t="s">
        <v>14115</v>
      </c>
    </row>
    <row r="7193" spans="1:2" x14ac:dyDescent="0.25">
      <c r="A7193" t="s">
        <v>16247</v>
      </c>
      <c r="B7193" t="s">
        <v>14115</v>
      </c>
    </row>
    <row r="7194" spans="1:2" x14ac:dyDescent="0.25">
      <c r="A7194" t="s">
        <v>16248</v>
      </c>
      <c r="B7194" t="s">
        <v>14115</v>
      </c>
    </row>
    <row r="7195" spans="1:2" x14ac:dyDescent="0.25">
      <c r="A7195" t="s">
        <v>16249</v>
      </c>
      <c r="B7195" t="s">
        <v>14947</v>
      </c>
    </row>
    <row r="7196" spans="1:2" x14ac:dyDescent="0.25">
      <c r="A7196" t="s">
        <v>12742</v>
      </c>
      <c r="B7196" t="s">
        <v>16249</v>
      </c>
    </row>
    <row r="7197" spans="1:2" x14ac:dyDescent="0.25">
      <c r="A7197" t="s">
        <v>8935</v>
      </c>
      <c r="B7197" t="s">
        <v>16249</v>
      </c>
    </row>
    <row r="7198" spans="1:2" x14ac:dyDescent="0.25">
      <c r="A7198" t="s">
        <v>13111</v>
      </c>
      <c r="B7198" t="s">
        <v>8935</v>
      </c>
    </row>
    <row r="7199" spans="1:2" x14ac:dyDescent="0.25">
      <c r="A7199" t="s">
        <v>13112</v>
      </c>
      <c r="B7199" t="s">
        <v>8935</v>
      </c>
    </row>
    <row r="7200" spans="1:2" x14ac:dyDescent="0.25">
      <c r="A7200" t="s">
        <v>13113</v>
      </c>
      <c r="B7200" t="s">
        <v>13112</v>
      </c>
    </row>
    <row r="7201" spans="1:2" x14ac:dyDescent="0.25">
      <c r="A7201" t="s">
        <v>13114</v>
      </c>
      <c r="B7201" t="s">
        <v>13112</v>
      </c>
    </row>
    <row r="7202" spans="1:2" x14ac:dyDescent="0.25">
      <c r="A7202" t="s">
        <v>13115</v>
      </c>
      <c r="B7202" t="s">
        <v>13112</v>
      </c>
    </row>
    <row r="7203" spans="1:2" x14ac:dyDescent="0.25">
      <c r="A7203" t="s">
        <v>13116</v>
      </c>
      <c r="B7203" t="s">
        <v>13112</v>
      </c>
    </row>
    <row r="7204" spans="1:2" x14ac:dyDescent="0.25">
      <c r="A7204" t="s">
        <v>13118</v>
      </c>
      <c r="B7204" t="s">
        <v>13112</v>
      </c>
    </row>
    <row r="7205" spans="1:2" x14ac:dyDescent="0.25">
      <c r="A7205" t="s">
        <v>16250</v>
      </c>
      <c r="B7205" t="s">
        <v>14947</v>
      </c>
    </row>
    <row r="7206" spans="1:2" x14ac:dyDescent="0.25">
      <c r="A7206" t="s">
        <v>11836</v>
      </c>
      <c r="B7206" t="s">
        <v>16250</v>
      </c>
    </row>
    <row r="7207" spans="1:2" x14ac:dyDescent="0.25">
      <c r="A7207" t="s">
        <v>11877</v>
      </c>
      <c r="B7207" t="s">
        <v>16250</v>
      </c>
    </row>
    <row r="7208" spans="1:2" x14ac:dyDescent="0.25">
      <c r="A7208" t="s">
        <v>16251</v>
      </c>
      <c r="B7208" t="s">
        <v>14947</v>
      </c>
    </row>
    <row r="7209" spans="1:2" x14ac:dyDescent="0.25">
      <c r="A7209" t="s">
        <v>13117</v>
      </c>
      <c r="B7209" t="s">
        <v>16251</v>
      </c>
    </row>
    <row r="7210" spans="1:2" x14ac:dyDescent="0.25">
      <c r="A7210" t="s">
        <v>13612</v>
      </c>
      <c r="B7210" t="s">
        <v>14947</v>
      </c>
    </row>
    <row r="7211" spans="1:2" x14ac:dyDescent="0.25">
      <c r="A7211" t="s">
        <v>16252</v>
      </c>
      <c r="B7211" t="s">
        <v>12529</v>
      </c>
    </row>
    <row r="7212" spans="1:2" x14ac:dyDescent="0.25">
      <c r="A7212" t="s">
        <v>16253</v>
      </c>
      <c r="B7212" t="s">
        <v>16252</v>
      </c>
    </row>
    <row r="7213" spans="1:2" x14ac:dyDescent="0.25">
      <c r="A7213" t="s">
        <v>16254</v>
      </c>
      <c r="B7213" t="s">
        <v>16253</v>
      </c>
    </row>
    <row r="7214" spans="1:2" x14ac:dyDescent="0.25">
      <c r="A7214" t="s">
        <v>16255</v>
      </c>
      <c r="B7214" t="s">
        <v>16253</v>
      </c>
    </row>
    <row r="7215" spans="1:2" x14ac:dyDescent="0.25">
      <c r="A7215" t="s">
        <v>16256</v>
      </c>
      <c r="B7215" t="s">
        <v>16253</v>
      </c>
    </row>
    <row r="7216" spans="1:2" x14ac:dyDescent="0.25">
      <c r="A7216" t="s">
        <v>16257</v>
      </c>
      <c r="B7216" t="s">
        <v>16252</v>
      </c>
    </row>
    <row r="7217" spans="1:2" x14ac:dyDescent="0.25">
      <c r="A7217" t="s">
        <v>11495</v>
      </c>
      <c r="B7217" t="s">
        <v>11746</v>
      </c>
    </row>
    <row r="7218" spans="1:2" x14ac:dyDescent="0.25">
      <c r="A7218" t="s">
        <v>2655</v>
      </c>
      <c r="B7218" t="s">
        <v>11495</v>
      </c>
    </row>
    <row r="7219" spans="1:2" x14ac:dyDescent="0.25">
      <c r="A7219" t="s">
        <v>3546</v>
      </c>
      <c r="B7219" t="s">
        <v>11495</v>
      </c>
    </row>
    <row r="7220" spans="1:2" x14ac:dyDescent="0.25">
      <c r="A7220" t="s">
        <v>13349</v>
      </c>
      <c r="B7220" t="s">
        <v>11495</v>
      </c>
    </row>
    <row r="7221" spans="1:2" x14ac:dyDescent="0.25">
      <c r="A7221" t="s">
        <v>9547</v>
      </c>
      <c r="B7221" t="s">
        <v>11746</v>
      </c>
    </row>
    <row r="7222" spans="1:2" x14ac:dyDescent="0.25">
      <c r="A7222" t="s">
        <v>10935</v>
      </c>
      <c r="B7222" t="s">
        <v>9547</v>
      </c>
    </row>
    <row r="7223" spans="1:2" x14ac:dyDescent="0.25">
      <c r="A7223" t="s">
        <v>11234</v>
      </c>
      <c r="B7223" t="s">
        <v>9547</v>
      </c>
    </row>
    <row r="7224" spans="1:2" x14ac:dyDescent="0.25">
      <c r="A7224" t="s">
        <v>1896</v>
      </c>
      <c r="B7224" t="s">
        <v>11234</v>
      </c>
    </row>
    <row r="7225" spans="1:2" x14ac:dyDescent="0.25">
      <c r="A7225" t="s">
        <v>7668</v>
      </c>
      <c r="B7225" t="s">
        <v>1896</v>
      </c>
    </row>
    <row r="7226" spans="1:2" x14ac:dyDescent="0.25">
      <c r="A7226" t="s">
        <v>1029</v>
      </c>
      <c r="B7226" t="s">
        <v>1896</v>
      </c>
    </row>
    <row r="7227" spans="1:2" x14ac:dyDescent="0.25">
      <c r="A7227" t="s">
        <v>3285</v>
      </c>
      <c r="B7227" t="s">
        <v>1896</v>
      </c>
    </row>
    <row r="7228" spans="1:2" x14ac:dyDescent="0.25">
      <c r="A7228" t="s">
        <v>3286</v>
      </c>
      <c r="B7228" t="s">
        <v>1896</v>
      </c>
    </row>
    <row r="7229" spans="1:2" x14ac:dyDescent="0.25">
      <c r="A7229" t="s">
        <v>6537</v>
      </c>
      <c r="B7229" t="s">
        <v>1896</v>
      </c>
    </row>
    <row r="7230" spans="1:2" x14ac:dyDescent="0.25">
      <c r="A7230" t="s">
        <v>3287</v>
      </c>
      <c r="B7230" t="s">
        <v>1896</v>
      </c>
    </row>
    <row r="7231" spans="1:2" x14ac:dyDescent="0.25">
      <c r="A7231" t="s">
        <v>6538</v>
      </c>
      <c r="B7231" t="s">
        <v>1896</v>
      </c>
    </row>
    <row r="7232" spans="1:2" x14ac:dyDescent="0.25">
      <c r="A7232" t="s">
        <v>6539</v>
      </c>
      <c r="B7232" t="s">
        <v>1896</v>
      </c>
    </row>
    <row r="7233" spans="1:2" x14ac:dyDescent="0.25">
      <c r="A7233" t="s">
        <v>7669</v>
      </c>
      <c r="B7233" t="s">
        <v>1896</v>
      </c>
    </row>
    <row r="7234" spans="1:2" x14ac:dyDescent="0.25">
      <c r="A7234" t="s">
        <v>2850</v>
      </c>
      <c r="B7234" t="s">
        <v>1896</v>
      </c>
    </row>
    <row r="7235" spans="1:2" x14ac:dyDescent="0.25">
      <c r="A7235" t="s">
        <v>4771</v>
      </c>
      <c r="B7235" t="s">
        <v>1896</v>
      </c>
    </row>
    <row r="7236" spans="1:2" x14ac:dyDescent="0.25">
      <c r="A7236" t="s">
        <v>6971</v>
      </c>
      <c r="B7236" t="s">
        <v>1896</v>
      </c>
    </row>
    <row r="7237" spans="1:2" x14ac:dyDescent="0.25">
      <c r="A7237" t="s">
        <v>2404</v>
      </c>
      <c r="B7237" t="s">
        <v>1896</v>
      </c>
    </row>
    <row r="7238" spans="1:2" x14ac:dyDescent="0.25">
      <c r="A7238" t="s">
        <v>3288</v>
      </c>
      <c r="B7238" t="s">
        <v>1896</v>
      </c>
    </row>
    <row r="7239" spans="1:2" x14ac:dyDescent="0.25">
      <c r="A7239" t="s">
        <v>6540</v>
      </c>
      <c r="B7239" t="s">
        <v>1896</v>
      </c>
    </row>
    <row r="7240" spans="1:2" x14ac:dyDescent="0.25">
      <c r="A7240" t="s">
        <v>1897</v>
      </c>
      <c r="B7240" t="s">
        <v>1896</v>
      </c>
    </row>
    <row r="7241" spans="1:2" x14ac:dyDescent="0.25">
      <c r="A7241" t="s">
        <v>1030</v>
      </c>
      <c r="B7241" t="s">
        <v>1896</v>
      </c>
    </row>
    <row r="7242" spans="1:2" x14ac:dyDescent="0.25">
      <c r="A7242" t="s">
        <v>1898</v>
      </c>
      <c r="B7242" t="s">
        <v>1896</v>
      </c>
    </row>
    <row r="7243" spans="1:2" x14ac:dyDescent="0.25">
      <c r="A7243" t="s">
        <v>1031</v>
      </c>
      <c r="B7243" t="s">
        <v>1896</v>
      </c>
    </row>
    <row r="7244" spans="1:2" x14ac:dyDescent="0.25">
      <c r="A7244" t="s">
        <v>1032</v>
      </c>
      <c r="B7244" t="s">
        <v>1896</v>
      </c>
    </row>
    <row r="7245" spans="1:2" x14ac:dyDescent="0.25">
      <c r="A7245" t="s">
        <v>1033</v>
      </c>
      <c r="B7245" t="s">
        <v>1896</v>
      </c>
    </row>
    <row r="7246" spans="1:2" x14ac:dyDescent="0.25">
      <c r="A7246" t="s">
        <v>1034</v>
      </c>
      <c r="B7246" t="s">
        <v>1896</v>
      </c>
    </row>
    <row r="7247" spans="1:2" x14ac:dyDescent="0.25">
      <c r="A7247" t="s">
        <v>4772</v>
      </c>
      <c r="B7247" t="s">
        <v>1896</v>
      </c>
    </row>
    <row r="7248" spans="1:2" x14ac:dyDescent="0.25">
      <c r="A7248" t="s">
        <v>2405</v>
      </c>
      <c r="B7248" t="s">
        <v>1896</v>
      </c>
    </row>
    <row r="7249" spans="1:2" x14ac:dyDescent="0.25">
      <c r="A7249" t="s">
        <v>4280</v>
      </c>
      <c r="B7249" t="s">
        <v>1896</v>
      </c>
    </row>
    <row r="7250" spans="1:2" x14ac:dyDescent="0.25">
      <c r="A7250" t="s">
        <v>445</v>
      </c>
      <c r="B7250" t="s">
        <v>1896</v>
      </c>
    </row>
    <row r="7251" spans="1:2" x14ac:dyDescent="0.25">
      <c r="A7251" t="s">
        <v>1035</v>
      </c>
      <c r="B7251" t="s">
        <v>1896</v>
      </c>
    </row>
    <row r="7252" spans="1:2" x14ac:dyDescent="0.25">
      <c r="A7252" t="s">
        <v>1036</v>
      </c>
      <c r="B7252" t="s">
        <v>1896</v>
      </c>
    </row>
    <row r="7253" spans="1:2" x14ac:dyDescent="0.25">
      <c r="A7253" t="s">
        <v>1037</v>
      </c>
      <c r="B7253" t="s">
        <v>1896</v>
      </c>
    </row>
    <row r="7254" spans="1:2" x14ac:dyDescent="0.25">
      <c r="A7254" t="s">
        <v>1038</v>
      </c>
      <c r="B7254" t="s">
        <v>1896</v>
      </c>
    </row>
    <row r="7255" spans="1:2" x14ac:dyDescent="0.25">
      <c r="A7255" t="s">
        <v>1039</v>
      </c>
      <c r="B7255" t="s">
        <v>1896</v>
      </c>
    </row>
    <row r="7256" spans="1:2" x14ac:dyDescent="0.25">
      <c r="A7256" t="s">
        <v>8803</v>
      </c>
      <c r="B7256" t="s">
        <v>1896</v>
      </c>
    </row>
    <row r="7257" spans="1:2" x14ac:dyDescent="0.25">
      <c r="A7257" t="s">
        <v>8804</v>
      </c>
      <c r="B7257" t="s">
        <v>1896</v>
      </c>
    </row>
    <row r="7258" spans="1:2" x14ac:dyDescent="0.25">
      <c r="A7258" t="s">
        <v>7313</v>
      </c>
      <c r="B7258" t="s">
        <v>1896</v>
      </c>
    </row>
    <row r="7259" spans="1:2" x14ac:dyDescent="0.25">
      <c r="A7259" t="s">
        <v>2237</v>
      </c>
      <c r="B7259" t="s">
        <v>1896</v>
      </c>
    </row>
    <row r="7260" spans="1:2" x14ac:dyDescent="0.25">
      <c r="A7260" t="s">
        <v>1628</v>
      </c>
      <c r="B7260" t="s">
        <v>1896</v>
      </c>
    </row>
    <row r="7261" spans="1:2" x14ac:dyDescent="0.25">
      <c r="A7261" t="s">
        <v>1629</v>
      </c>
      <c r="B7261" t="s">
        <v>1896</v>
      </c>
    </row>
    <row r="7262" spans="1:2" x14ac:dyDescent="0.25">
      <c r="A7262" t="s">
        <v>4281</v>
      </c>
      <c r="B7262" t="s">
        <v>11234</v>
      </c>
    </row>
    <row r="7263" spans="1:2" x14ac:dyDescent="0.25">
      <c r="A7263" t="s">
        <v>9104</v>
      </c>
      <c r="B7263" t="s">
        <v>4281</v>
      </c>
    </row>
    <row r="7264" spans="1:2" x14ac:dyDescent="0.25">
      <c r="A7264" t="s">
        <v>10939</v>
      </c>
      <c r="B7264" t="s">
        <v>4281</v>
      </c>
    </row>
    <row r="7265" spans="1:2" x14ac:dyDescent="0.25">
      <c r="A7265" t="s">
        <v>1040</v>
      </c>
      <c r="B7265" t="s">
        <v>4281</v>
      </c>
    </row>
    <row r="7266" spans="1:2" x14ac:dyDescent="0.25">
      <c r="A7266" t="s">
        <v>1438</v>
      </c>
      <c r="B7266" t="s">
        <v>4281</v>
      </c>
    </row>
    <row r="7267" spans="1:2" x14ac:dyDescent="0.25">
      <c r="A7267" t="s">
        <v>3456</v>
      </c>
      <c r="B7267" t="s">
        <v>4281</v>
      </c>
    </row>
    <row r="7268" spans="1:2" x14ac:dyDescent="0.25">
      <c r="A7268" t="s">
        <v>10982</v>
      </c>
      <c r="B7268" t="s">
        <v>4281</v>
      </c>
    </row>
    <row r="7269" spans="1:2" x14ac:dyDescent="0.25">
      <c r="A7269" t="s">
        <v>12952</v>
      </c>
      <c r="B7269" t="s">
        <v>4281</v>
      </c>
    </row>
    <row r="7270" spans="1:2" x14ac:dyDescent="0.25">
      <c r="A7270" t="s">
        <v>13350</v>
      </c>
      <c r="B7270" t="s">
        <v>4281</v>
      </c>
    </row>
    <row r="7271" spans="1:2" x14ac:dyDescent="0.25">
      <c r="A7271" t="s">
        <v>10526</v>
      </c>
      <c r="B7271" t="s">
        <v>9547</v>
      </c>
    </row>
    <row r="7272" spans="1:2" x14ac:dyDescent="0.25">
      <c r="A7272" t="s">
        <v>4886</v>
      </c>
      <c r="B7272" t="s">
        <v>10526</v>
      </c>
    </row>
    <row r="7273" spans="1:2" x14ac:dyDescent="0.25">
      <c r="A7273" t="s">
        <v>4887</v>
      </c>
      <c r="B7273" t="s">
        <v>10526</v>
      </c>
    </row>
    <row r="7274" spans="1:2" x14ac:dyDescent="0.25">
      <c r="A7274" t="s">
        <v>1507</v>
      </c>
      <c r="B7274" t="s">
        <v>10526</v>
      </c>
    </row>
    <row r="7275" spans="1:2" x14ac:dyDescent="0.25">
      <c r="A7275" t="s">
        <v>2188</v>
      </c>
      <c r="B7275" t="s">
        <v>10526</v>
      </c>
    </row>
    <row r="7276" spans="1:2" x14ac:dyDescent="0.25">
      <c r="A7276" t="s">
        <v>10608</v>
      </c>
      <c r="B7276" t="s">
        <v>9547</v>
      </c>
    </row>
    <row r="7277" spans="1:2" x14ac:dyDescent="0.25">
      <c r="A7277" t="s">
        <v>8805</v>
      </c>
      <c r="B7277" t="s">
        <v>9547</v>
      </c>
    </row>
    <row r="7278" spans="1:2" x14ac:dyDescent="0.25">
      <c r="A7278" t="s">
        <v>1836</v>
      </c>
      <c r="B7278" t="s">
        <v>8805</v>
      </c>
    </row>
    <row r="7279" spans="1:2" x14ac:dyDescent="0.25">
      <c r="A7279" t="s">
        <v>790</v>
      </c>
      <c r="B7279" t="s">
        <v>8805</v>
      </c>
    </row>
    <row r="7280" spans="1:2" x14ac:dyDescent="0.25">
      <c r="A7280" t="s">
        <v>4757</v>
      </c>
      <c r="B7280" t="s">
        <v>8805</v>
      </c>
    </row>
    <row r="7281" spans="1:2" x14ac:dyDescent="0.25">
      <c r="A7281" t="s">
        <v>1858</v>
      </c>
      <c r="B7281" t="s">
        <v>8805</v>
      </c>
    </row>
    <row r="7282" spans="1:2" x14ac:dyDescent="0.25">
      <c r="A7282" t="s">
        <v>2142</v>
      </c>
      <c r="B7282" t="s">
        <v>8805</v>
      </c>
    </row>
    <row r="7283" spans="1:2" x14ac:dyDescent="0.25">
      <c r="A7283" t="s">
        <v>11779</v>
      </c>
      <c r="B7283" t="s">
        <v>8805</v>
      </c>
    </row>
    <row r="7284" spans="1:2" x14ac:dyDescent="0.25">
      <c r="A7284" t="s">
        <v>3773</v>
      </c>
      <c r="B7284" t="s">
        <v>11779</v>
      </c>
    </row>
    <row r="7285" spans="1:2" x14ac:dyDescent="0.25">
      <c r="A7285" t="s">
        <v>803</v>
      </c>
      <c r="B7285" t="s">
        <v>11779</v>
      </c>
    </row>
    <row r="7286" spans="1:2" x14ac:dyDescent="0.25">
      <c r="A7286" t="s">
        <v>5201</v>
      </c>
      <c r="B7286" t="s">
        <v>11779</v>
      </c>
    </row>
    <row r="7287" spans="1:2" x14ac:dyDescent="0.25">
      <c r="A7287" t="s">
        <v>5202</v>
      </c>
      <c r="B7287" t="s">
        <v>11779</v>
      </c>
    </row>
    <row r="7288" spans="1:2" x14ac:dyDescent="0.25">
      <c r="A7288" t="s">
        <v>3457</v>
      </c>
      <c r="B7288" t="s">
        <v>11779</v>
      </c>
    </row>
    <row r="7289" spans="1:2" x14ac:dyDescent="0.25">
      <c r="A7289" t="s">
        <v>6641</v>
      </c>
      <c r="B7289" t="s">
        <v>11779</v>
      </c>
    </row>
    <row r="7290" spans="1:2" x14ac:dyDescent="0.25">
      <c r="A7290" t="s">
        <v>804</v>
      </c>
      <c r="B7290" t="s">
        <v>6641</v>
      </c>
    </row>
    <row r="7291" spans="1:2" x14ac:dyDescent="0.25">
      <c r="A7291" t="s">
        <v>1511</v>
      </c>
      <c r="B7291" t="s">
        <v>6641</v>
      </c>
    </row>
    <row r="7292" spans="1:2" x14ac:dyDescent="0.25">
      <c r="A7292" t="s">
        <v>1514</v>
      </c>
      <c r="B7292" t="s">
        <v>6641</v>
      </c>
    </row>
    <row r="7293" spans="1:2" x14ac:dyDescent="0.25">
      <c r="A7293" t="s">
        <v>623</v>
      </c>
      <c r="B7293" t="s">
        <v>6641</v>
      </c>
    </row>
    <row r="7294" spans="1:2" x14ac:dyDescent="0.25">
      <c r="A7294" t="s">
        <v>7271</v>
      </c>
      <c r="B7294" t="s">
        <v>11779</v>
      </c>
    </row>
    <row r="7295" spans="1:2" x14ac:dyDescent="0.25">
      <c r="A7295" t="s">
        <v>3271</v>
      </c>
      <c r="B7295" t="s">
        <v>7271</v>
      </c>
    </row>
    <row r="7296" spans="1:2" x14ac:dyDescent="0.25">
      <c r="A7296" t="s">
        <v>801</v>
      </c>
      <c r="B7296" t="s">
        <v>7271</v>
      </c>
    </row>
    <row r="7297" spans="1:2" x14ac:dyDescent="0.25">
      <c r="A7297" t="s">
        <v>808</v>
      </c>
      <c r="B7297" t="s">
        <v>7271</v>
      </c>
    </row>
    <row r="7298" spans="1:2" x14ac:dyDescent="0.25">
      <c r="A7298" t="s">
        <v>809</v>
      </c>
      <c r="B7298" t="s">
        <v>7271</v>
      </c>
    </row>
    <row r="7299" spans="1:2" x14ac:dyDescent="0.25">
      <c r="A7299" t="s">
        <v>9227</v>
      </c>
      <c r="B7299" t="s">
        <v>11779</v>
      </c>
    </row>
    <row r="7300" spans="1:2" x14ac:dyDescent="0.25">
      <c r="A7300" t="s">
        <v>806</v>
      </c>
      <c r="B7300" t="s">
        <v>9227</v>
      </c>
    </row>
    <row r="7301" spans="1:2" x14ac:dyDescent="0.25">
      <c r="A7301" t="s">
        <v>2807</v>
      </c>
      <c r="B7301" t="s">
        <v>9227</v>
      </c>
    </row>
    <row r="7302" spans="1:2" x14ac:dyDescent="0.25">
      <c r="A7302" t="s">
        <v>802</v>
      </c>
      <c r="B7302" t="s">
        <v>9227</v>
      </c>
    </row>
    <row r="7303" spans="1:2" x14ac:dyDescent="0.25">
      <c r="A7303" t="s">
        <v>1598</v>
      </c>
      <c r="B7303" t="s">
        <v>9227</v>
      </c>
    </row>
    <row r="7304" spans="1:2" x14ac:dyDescent="0.25">
      <c r="A7304" t="s">
        <v>7272</v>
      </c>
      <c r="B7304" t="s">
        <v>11779</v>
      </c>
    </row>
    <row r="7305" spans="1:2" x14ac:dyDescent="0.25">
      <c r="A7305" t="s">
        <v>807</v>
      </c>
      <c r="B7305" t="s">
        <v>7272</v>
      </c>
    </row>
    <row r="7306" spans="1:2" x14ac:dyDescent="0.25">
      <c r="A7306" t="s">
        <v>4462</v>
      </c>
      <c r="B7306" t="s">
        <v>7272</v>
      </c>
    </row>
    <row r="7307" spans="1:2" x14ac:dyDescent="0.25">
      <c r="A7307" t="s">
        <v>9229</v>
      </c>
      <c r="B7307" t="s">
        <v>11779</v>
      </c>
    </row>
    <row r="7308" spans="1:2" x14ac:dyDescent="0.25">
      <c r="A7308" t="s">
        <v>1842</v>
      </c>
      <c r="B7308" t="s">
        <v>9229</v>
      </c>
    </row>
    <row r="7309" spans="1:2" x14ac:dyDescent="0.25">
      <c r="A7309" t="s">
        <v>1843</v>
      </c>
      <c r="B7309" t="s">
        <v>9229</v>
      </c>
    </row>
    <row r="7310" spans="1:2" x14ac:dyDescent="0.25">
      <c r="A7310" t="s">
        <v>624</v>
      </c>
      <c r="B7310" t="s">
        <v>9229</v>
      </c>
    </row>
    <row r="7311" spans="1:2" x14ac:dyDescent="0.25">
      <c r="A7311" t="s">
        <v>11548</v>
      </c>
      <c r="B7311" t="s">
        <v>8805</v>
      </c>
    </row>
    <row r="7312" spans="1:2" x14ac:dyDescent="0.25">
      <c r="A7312" t="s">
        <v>1844</v>
      </c>
      <c r="B7312" t="s">
        <v>11548</v>
      </c>
    </row>
    <row r="7313" spans="1:2" x14ac:dyDescent="0.25">
      <c r="A7313" t="s">
        <v>1845</v>
      </c>
      <c r="B7313" t="s">
        <v>11548</v>
      </c>
    </row>
    <row r="7314" spans="1:2" x14ac:dyDescent="0.25">
      <c r="A7314" t="s">
        <v>1068</v>
      </c>
      <c r="B7314" t="s">
        <v>11548</v>
      </c>
    </row>
    <row r="7315" spans="1:2" x14ac:dyDescent="0.25">
      <c r="A7315" t="s">
        <v>1077</v>
      </c>
      <c r="B7315" t="s">
        <v>11548</v>
      </c>
    </row>
    <row r="7316" spans="1:2" x14ac:dyDescent="0.25">
      <c r="A7316" t="s">
        <v>1078</v>
      </c>
      <c r="B7316" t="s">
        <v>11548</v>
      </c>
    </row>
    <row r="7317" spans="1:2" x14ac:dyDescent="0.25">
      <c r="A7317" t="s">
        <v>4776</v>
      </c>
      <c r="B7317" t="s">
        <v>11548</v>
      </c>
    </row>
    <row r="7318" spans="1:2" x14ac:dyDescent="0.25">
      <c r="A7318" t="s">
        <v>5218</v>
      </c>
      <c r="B7318" t="s">
        <v>11548</v>
      </c>
    </row>
    <row r="7319" spans="1:2" x14ac:dyDescent="0.25">
      <c r="A7319" t="s">
        <v>1439</v>
      </c>
      <c r="B7319" t="s">
        <v>11548</v>
      </c>
    </row>
    <row r="7320" spans="1:2" x14ac:dyDescent="0.25">
      <c r="A7320" t="s">
        <v>5359</v>
      </c>
      <c r="B7320" t="s">
        <v>11548</v>
      </c>
    </row>
    <row r="7321" spans="1:2" x14ac:dyDescent="0.25">
      <c r="A7321" t="s">
        <v>3458</v>
      </c>
      <c r="B7321" t="s">
        <v>8805</v>
      </c>
    </row>
    <row r="7322" spans="1:2" x14ac:dyDescent="0.25">
      <c r="A7322" t="s">
        <v>4267</v>
      </c>
      <c r="B7322" t="s">
        <v>3458</v>
      </c>
    </row>
    <row r="7323" spans="1:2" x14ac:dyDescent="0.25">
      <c r="A7323" t="s">
        <v>800</v>
      </c>
      <c r="B7323" t="s">
        <v>3458</v>
      </c>
    </row>
    <row r="7324" spans="1:2" x14ac:dyDescent="0.25">
      <c r="A7324" t="s">
        <v>805</v>
      </c>
      <c r="B7324" t="s">
        <v>3458</v>
      </c>
    </row>
    <row r="7325" spans="1:2" x14ac:dyDescent="0.25">
      <c r="A7325" t="s">
        <v>810</v>
      </c>
      <c r="B7325" t="s">
        <v>3458</v>
      </c>
    </row>
    <row r="7326" spans="1:2" x14ac:dyDescent="0.25">
      <c r="A7326" t="s">
        <v>811</v>
      </c>
      <c r="B7326" t="s">
        <v>3458</v>
      </c>
    </row>
    <row r="7327" spans="1:2" x14ac:dyDescent="0.25">
      <c r="A7327" t="s">
        <v>4268</v>
      </c>
      <c r="B7327" t="s">
        <v>3458</v>
      </c>
    </row>
    <row r="7328" spans="1:2" x14ac:dyDescent="0.25">
      <c r="A7328" t="s">
        <v>885</v>
      </c>
      <c r="B7328" t="s">
        <v>3458</v>
      </c>
    </row>
    <row r="7329" spans="1:2" x14ac:dyDescent="0.25">
      <c r="A7329" t="s">
        <v>2389</v>
      </c>
      <c r="B7329" t="s">
        <v>3458</v>
      </c>
    </row>
    <row r="7330" spans="1:2" x14ac:dyDescent="0.25">
      <c r="A7330" t="s">
        <v>3778</v>
      </c>
      <c r="B7330" t="s">
        <v>3458</v>
      </c>
    </row>
    <row r="7331" spans="1:2" x14ac:dyDescent="0.25">
      <c r="A7331" t="s">
        <v>2837</v>
      </c>
      <c r="B7331" t="s">
        <v>3778</v>
      </c>
    </row>
    <row r="7332" spans="1:2" x14ac:dyDescent="0.25">
      <c r="A7332" t="s">
        <v>2194</v>
      </c>
      <c r="B7332" t="s">
        <v>3778</v>
      </c>
    </row>
    <row r="7333" spans="1:2" x14ac:dyDescent="0.25">
      <c r="A7333" t="s">
        <v>1592</v>
      </c>
      <c r="B7333" t="s">
        <v>3778</v>
      </c>
    </row>
    <row r="7334" spans="1:2" x14ac:dyDescent="0.25">
      <c r="A7334" t="s">
        <v>1593</v>
      </c>
      <c r="B7334" t="s">
        <v>3778</v>
      </c>
    </row>
    <row r="7335" spans="1:2" x14ac:dyDescent="0.25">
      <c r="A7335" t="s">
        <v>3291</v>
      </c>
      <c r="B7335" t="s">
        <v>3458</v>
      </c>
    </row>
    <row r="7336" spans="1:2" x14ac:dyDescent="0.25">
      <c r="A7336" t="s">
        <v>10607</v>
      </c>
      <c r="B7336" t="s">
        <v>3458</v>
      </c>
    </row>
    <row r="7337" spans="1:2" x14ac:dyDescent="0.25">
      <c r="A7337" t="s">
        <v>7220</v>
      </c>
      <c r="B7337" t="s">
        <v>3458</v>
      </c>
    </row>
    <row r="7338" spans="1:2" x14ac:dyDescent="0.25">
      <c r="A7338" t="s">
        <v>1512</v>
      </c>
      <c r="B7338" t="s">
        <v>3458</v>
      </c>
    </row>
    <row r="7339" spans="1:2" x14ac:dyDescent="0.25">
      <c r="A7339" t="s">
        <v>1513</v>
      </c>
      <c r="B7339" t="s">
        <v>3458</v>
      </c>
    </row>
    <row r="7340" spans="1:2" x14ac:dyDescent="0.25">
      <c r="A7340" t="s">
        <v>2198</v>
      </c>
      <c r="B7340" t="s">
        <v>3458</v>
      </c>
    </row>
    <row r="7341" spans="1:2" x14ac:dyDescent="0.25">
      <c r="A7341" t="s">
        <v>3033</v>
      </c>
      <c r="B7341" t="s">
        <v>8805</v>
      </c>
    </row>
    <row r="7342" spans="1:2" x14ac:dyDescent="0.25">
      <c r="A7342" t="s">
        <v>1838</v>
      </c>
      <c r="B7342" t="s">
        <v>3033</v>
      </c>
    </row>
    <row r="7343" spans="1:2" x14ac:dyDescent="0.25">
      <c r="A7343" t="s">
        <v>1011</v>
      </c>
      <c r="B7343" t="s">
        <v>3033</v>
      </c>
    </row>
    <row r="7344" spans="1:2" x14ac:dyDescent="0.25">
      <c r="A7344" t="s">
        <v>1019</v>
      </c>
      <c r="B7344" t="s">
        <v>3033</v>
      </c>
    </row>
    <row r="7345" spans="1:2" x14ac:dyDescent="0.25">
      <c r="A7345" t="s">
        <v>4901</v>
      </c>
      <c r="B7345" t="s">
        <v>8805</v>
      </c>
    </row>
    <row r="7346" spans="1:2" x14ac:dyDescent="0.25">
      <c r="A7346" t="s">
        <v>1834</v>
      </c>
      <c r="B7346" t="s">
        <v>4901</v>
      </c>
    </row>
    <row r="7347" spans="1:2" x14ac:dyDescent="0.25">
      <c r="A7347" t="s">
        <v>1835</v>
      </c>
      <c r="B7347" t="s">
        <v>4901</v>
      </c>
    </row>
    <row r="7348" spans="1:2" x14ac:dyDescent="0.25">
      <c r="A7348" t="s">
        <v>1013</v>
      </c>
      <c r="B7348" t="s">
        <v>4901</v>
      </c>
    </row>
    <row r="7349" spans="1:2" x14ac:dyDescent="0.25">
      <c r="A7349" t="s">
        <v>1023</v>
      </c>
      <c r="B7349" t="s">
        <v>4901</v>
      </c>
    </row>
    <row r="7350" spans="1:2" x14ac:dyDescent="0.25">
      <c r="A7350" t="s">
        <v>6030</v>
      </c>
      <c r="B7350" t="s">
        <v>4901</v>
      </c>
    </row>
    <row r="7351" spans="1:2" x14ac:dyDescent="0.25">
      <c r="A7351" t="s">
        <v>625</v>
      </c>
      <c r="B7351" t="s">
        <v>4901</v>
      </c>
    </row>
    <row r="7352" spans="1:2" x14ac:dyDescent="0.25">
      <c r="A7352" t="s">
        <v>3264</v>
      </c>
      <c r="B7352" t="s">
        <v>4901</v>
      </c>
    </row>
    <row r="7353" spans="1:2" x14ac:dyDescent="0.25">
      <c r="A7353" t="s">
        <v>1803</v>
      </c>
      <c r="B7353" t="s">
        <v>4901</v>
      </c>
    </row>
    <row r="7354" spans="1:2" x14ac:dyDescent="0.25">
      <c r="A7354" t="s">
        <v>6169</v>
      </c>
      <c r="B7354" t="s">
        <v>8805</v>
      </c>
    </row>
    <row r="7355" spans="1:2" x14ac:dyDescent="0.25">
      <c r="A7355" t="s">
        <v>791</v>
      </c>
      <c r="B7355" t="s">
        <v>6169</v>
      </c>
    </row>
    <row r="7356" spans="1:2" x14ac:dyDescent="0.25">
      <c r="A7356" t="s">
        <v>1839</v>
      </c>
      <c r="B7356" t="s">
        <v>6169</v>
      </c>
    </row>
    <row r="7357" spans="1:2" x14ac:dyDescent="0.25">
      <c r="A7357" t="s">
        <v>1840</v>
      </c>
      <c r="B7357" t="s">
        <v>6169</v>
      </c>
    </row>
    <row r="7358" spans="1:2" x14ac:dyDescent="0.25">
      <c r="A7358" t="s">
        <v>1016</v>
      </c>
      <c r="B7358" t="s">
        <v>6169</v>
      </c>
    </row>
    <row r="7359" spans="1:2" x14ac:dyDescent="0.25">
      <c r="A7359" t="s">
        <v>1027</v>
      </c>
      <c r="B7359" t="s">
        <v>6169</v>
      </c>
    </row>
    <row r="7360" spans="1:2" x14ac:dyDescent="0.25">
      <c r="A7360" t="s">
        <v>626</v>
      </c>
      <c r="B7360" t="s">
        <v>6169</v>
      </c>
    </row>
    <row r="7361" spans="1:2" x14ac:dyDescent="0.25">
      <c r="A7361" t="s">
        <v>1837</v>
      </c>
      <c r="B7361" t="s">
        <v>6169</v>
      </c>
    </row>
    <row r="7362" spans="1:2" x14ac:dyDescent="0.25">
      <c r="A7362" t="s">
        <v>622</v>
      </c>
      <c r="B7362" t="s">
        <v>6169</v>
      </c>
    </row>
    <row r="7363" spans="1:2" x14ac:dyDescent="0.25">
      <c r="A7363" t="s">
        <v>1510</v>
      </c>
      <c r="B7363" t="s">
        <v>8805</v>
      </c>
    </row>
    <row r="7364" spans="1:2" x14ac:dyDescent="0.25">
      <c r="A7364" t="s">
        <v>3492</v>
      </c>
      <c r="B7364" t="s">
        <v>8805</v>
      </c>
    </row>
    <row r="7365" spans="1:2" x14ac:dyDescent="0.25">
      <c r="A7365" t="s">
        <v>10609</v>
      </c>
      <c r="B7365" t="s">
        <v>9547</v>
      </c>
    </row>
    <row r="7366" spans="1:2" x14ac:dyDescent="0.25">
      <c r="A7366" t="s">
        <v>4761</v>
      </c>
      <c r="B7366" t="s">
        <v>10609</v>
      </c>
    </row>
    <row r="7367" spans="1:2" x14ac:dyDescent="0.25">
      <c r="A7367" t="s">
        <v>129</v>
      </c>
      <c r="B7367" t="s">
        <v>10609</v>
      </c>
    </row>
    <row r="7368" spans="1:2" x14ac:dyDescent="0.25">
      <c r="A7368" t="s">
        <v>337</v>
      </c>
      <c r="B7368" t="s">
        <v>129</v>
      </c>
    </row>
    <row r="7369" spans="1:2" x14ac:dyDescent="0.25">
      <c r="A7369" t="s">
        <v>1060</v>
      </c>
      <c r="B7369" t="s">
        <v>337</v>
      </c>
    </row>
    <row r="7370" spans="1:2" x14ac:dyDescent="0.25">
      <c r="A7370" t="s">
        <v>5637</v>
      </c>
      <c r="B7370" t="s">
        <v>337</v>
      </c>
    </row>
    <row r="7371" spans="1:2" x14ac:dyDescent="0.25">
      <c r="A7371" t="s">
        <v>1067</v>
      </c>
      <c r="B7371" t="s">
        <v>337</v>
      </c>
    </row>
    <row r="7372" spans="1:2" x14ac:dyDescent="0.25">
      <c r="A7372" t="s">
        <v>3950</v>
      </c>
      <c r="B7372" t="s">
        <v>337</v>
      </c>
    </row>
    <row r="7373" spans="1:2" x14ac:dyDescent="0.25">
      <c r="A7373" t="s">
        <v>4463</v>
      </c>
      <c r="B7373" t="s">
        <v>337</v>
      </c>
    </row>
    <row r="7374" spans="1:2" x14ac:dyDescent="0.25">
      <c r="A7374" t="s">
        <v>3976</v>
      </c>
      <c r="B7374" t="s">
        <v>129</v>
      </c>
    </row>
    <row r="7375" spans="1:2" x14ac:dyDescent="0.25">
      <c r="A7375" t="s">
        <v>2854</v>
      </c>
      <c r="B7375" t="s">
        <v>3976</v>
      </c>
    </row>
    <row r="7376" spans="1:2" x14ac:dyDescent="0.25">
      <c r="A7376" t="s">
        <v>1453</v>
      </c>
      <c r="B7376" t="s">
        <v>3976</v>
      </c>
    </row>
    <row r="7377" spans="1:2" x14ac:dyDescent="0.25">
      <c r="A7377" t="s">
        <v>1569</v>
      </c>
      <c r="B7377" t="s">
        <v>3976</v>
      </c>
    </row>
    <row r="7378" spans="1:2" x14ac:dyDescent="0.25">
      <c r="A7378" t="s">
        <v>4908</v>
      </c>
      <c r="B7378" t="s">
        <v>3976</v>
      </c>
    </row>
    <row r="7379" spans="1:2" x14ac:dyDescent="0.25">
      <c r="A7379" t="s">
        <v>1066</v>
      </c>
      <c r="B7379" t="s">
        <v>3976</v>
      </c>
    </row>
    <row r="7380" spans="1:2" x14ac:dyDescent="0.25">
      <c r="A7380" t="s">
        <v>1454</v>
      </c>
      <c r="B7380" t="s">
        <v>3976</v>
      </c>
    </row>
    <row r="7381" spans="1:2" x14ac:dyDescent="0.25">
      <c r="A7381" t="s">
        <v>2613</v>
      </c>
      <c r="B7381" t="s">
        <v>3976</v>
      </c>
    </row>
    <row r="7382" spans="1:2" x14ac:dyDescent="0.25">
      <c r="A7382" t="s">
        <v>3977</v>
      </c>
      <c r="B7382" t="s">
        <v>129</v>
      </c>
    </row>
    <row r="7383" spans="1:2" x14ac:dyDescent="0.25">
      <c r="A7383" t="s">
        <v>1088</v>
      </c>
      <c r="B7383" t="s">
        <v>3977</v>
      </c>
    </row>
    <row r="7384" spans="1:2" x14ac:dyDescent="0.25">
      <c r="A7384" t="s">
        <v>3460</v>
      </c>
      <c r="B7384" t="s">
        <v>3977</v>
      </c>
    </row>
    <row r="7385" spans="1:2" x14ac:dyDescent="0.25">
      <c r="A7385" t="s">
        <v>1071</v>
      </c>
      <c r="B7385" t="s">
        <v>3977</v>
      </c>
    </row>
    <row r="7386" spans="1:2" x14ac:dyDescent="0.25">
      <c r="A7386" t="s">
        <v>5219</v>
      </c>
      <c r="B7386" t="s">
        <v>3977</v>
      </c>
    </row>
    <row r="7387" spans="1:2" x14ac:dyDescent="0.25">
      <c r="A7387" t="s">
        <v>3978</v>
      </c>
      <c r="B7387" t="s">
        <v>129</v>
      </c>
    </row>
    <row r="7388" spans="1:2" x14ac:dyDescent="0.25">
      <c r="A7388" t="s">
        <v>1532</v>
      </c>
      <c r="B7388" t="s">
        <v>3978</v>
      </c>
    </row>
    <row r="7389" spans="1:2" x14ac:dyDescent="0.25">
      <c r="A7389" t="s">
        <v>1570</v>
      </c>
      <c r="B7389" t="s">
        <v>3978</v>
      </c>
    </row>
    <row r="7390" spans="1:2" x14ac:dyDescent="0.25">
      <c r="A7390" t="s">
        <v>2853</v>
      </c>
      <c r="B7390" t="s">
        <v>3978</v>
      </c>
    </row>
    <row r="7391" spans="1:2" x14ac:dyDescent="0.25">
      <c r="A7391" t="s">
        <v>1070</v>
      </c>
      <c r="B7391" t="s">
        <v>3978</v>
      </c>
    </row>
    <row r="7392" spans="1:2" x14ac:dyDescent="0.25">
      <c r="A7392" t="s">
        <v>1455</v>
      </c>
      <c r="B7392" t="s">
        <v>3978</v>
      </c>
    </row>
    <row r="7393" spans="1:2" x14ac:dyDescent="0.25">
      <c r="A7393" t="s">
        <v>3484</v>
      </c>
      <c r="B7393" t="s">
        <v>129</v>
      </c>
    </row>
    <row r="7394" spans="1:2" x14ac:dyDescent="0.25">
      <c r="A7394" t="s">
        <v>870</v>
      </c>
      <c r="B7394" t="s">
        <v>3484</v>
      </c>
    </row>
    <row r="7395" spans="1:2" x14ac:dyDescent="0.25">
      <c r="A7395" t="s">
        <v>2147</v>
      </c>
      <c r="B7395" t="s">
        <v>3484</v>
      </c>
    </row>
    <row r="7396" spans="1:2" x14ac:dyDescent="0.25">
      <c r="A7396" t="s">
        <v>2599</v>
      </c>
      <c r="B7396" t="s">
        <v>129</v>
      </c>
    </row>
    <row r="7397" spans="1:2" x14ac:dyDescent="0.25">
      <c r="A7397" t="s">
        <v>1566</v>
      </c>
      <c r="B7397" t="s">
        <v>2599</v>
      </c>
    </row>
    <row r="7398" spans="1:2" x14ac:dyDescent="0.25">
      <c r="A7398" t="s">
        <v>2600</v>
      </c>
      <c r="B7398" t="s">
        <v>129</v>
      </c>
    </row>
    <row r="7399" spans="1:2" x14ac:dyDescent="0.25">
      <c r="A7399" t="s">
        <v>872</v>
      </c>
      <c r="B7399" t="s">
        <v>2600</v>
      </c>
    </row>
    <row r="7400" spans="1:2" x14ac:dyDescent="0.25">
      <c r="A7400" t="s">
        <v>1567</v>
      </c>
      <c r="B7400" t="s">
        <v>2600</v>
      </c>
    </row>
    <row r="7401" spans="1:2" x14ac:dyDescent="0.25">
      <c r="A7401" t="s">
        <v>2601</v>
      </c>
      <c r="B7401" t="s">
        <v>129</v>
      </c>
    </row>
    <row r="7402" spans="1:2" x14ac:dyDescent="0.25">
      <c r="A7402" t="s">
        <v>1568</v>
      </c>
      <c r="B7402" t="s">
        <v>2601</v>
      </c>
    </row>
    <row r="7403" spans="1:2" x14ac:dyDescent="0.25">
      <c r="A7403" t="s">
        <v>1456</v>
      </c>
      <c r="B7403" t="s">
        <v>2601</v>
      </c>
    </row>
    <row r="7404" spans="1:2" x14ac:dyDescent="0.25">
      <c r="A7404" t="s">
        <v>13177</v>
      </c>
      <c r="B7404" t="s">
        <v>129</v>
      </c>
    </row>
    <row r="7405" spans="1:2" x14ac:dyDescent="0.25">
      <c r="A7405" t="s">
        <v>863</v>
      </c>
      <c r="B7405" t="s">
        <v>13177</v>
      </c>
    </row>
    <row r="7406" spans="1:2" x14ac:dyDescent="0.25">
      <c r="A7406" t="s">
        <v>1533</v>
      </c>
      <c r="B7406" t="s">
        <v>13177</v>
      </c>
    </row>
    <row r="7407" spans="1:2" x14ac:dyDescent="0.25">
      <c r="A7407" t="s">
        <v>13178</v>
      </c>
      <c r="B7407" t="s">
        <v>129</v>
      </c>
    </row>
    <row r="7408" spans="1:2" x14ac:dyDescent="0.25">
      <c r="A7408" t="s">
        <v>1059</v>
      </c>
      <c r="B7408" t="s">
        <v>13178</v>
      </c>
    </row>
    <row r="7409" spans="1:2" x14ac:dyDescent="0.25">
      <c r="A7409" t="s">
        <v>1534</v>
      </c>
      <c r="B7409" t="s">
        <v>13178</v>
      </c>
    </row>
    <row r="7410" spans="1:2" x14ac:dyDescent="0.25">
      <c r="A7410" t="s">
        <v>1571</v>
      </c>
      <c r="B7410" t="s">
        <v>13178</v>
      </c>
    </row>
    <row r="7411" spans="1:2" x14ac:dyDescent="0.25">
      <c r="A7411" t="s">
        <v>5325</v>
      </c>
      <c r="B7411" t="s">
        <v>10609</v>
      </c>
    </row>
    <row r="7412" spans="1:2" x14ac:dyDescent="0.25">
      <c r="A7412" t="s">
        <v>10148</v>
      </c>
      <c r="B7412" t="s">
        <v>5325</v>
      </c>
    </row>
    <row r="7413" spans="1:2" x14ac:dyDescent="0.25">
      <c r="A7413" t="s">
        <v>2831</v>
      </c>
      <c r="B7413" t="s">
        <v>10148</v>
      </c>
    </row>
    <row r="7414" spans="1:2" x14ac:dyDescent="0.25">
      <c r="A7414" t="s">
        <v>869</v>
      </c>
      <c r="B7414" t="s">
        <v>10148</v>
      </c>
    </row>
    <row r="7415" spans="1:2" x14ac:dyDescent="0.25">
      <c r="A7415" t="s">
        <v>1864</v>
      </c>
      <c r="B7415" t="s">
        <v>10148</v>
      </c>
    </row>
    <row r="7416" spans="1:2" x14ac:dyDescent="0.25">
      <c r="A7416" t="s">
        <v>1462</v>
      </c>
      <c r="B7416" t="s">
        <v>10148</v>
      </c>
    </row>
    <row r="7417" spans="1:2" x14ac:dyDescent="0.25">
      <c r="A7417" t="s">
        <v>1528</v>
      </c>
      <c r="B7417" t="s">
        <v>10148</v>
      </c>
    </row>
    <row r="7418" spans="1:2" x14ac:dyDescent="0.25">
      <c r="A7418" t="s">
        <v>7929</v>
      </c>
      <c r="B7418" t="s">
        <v>5325</v>
      </c>
    </row>
    <row r="7419" spans="1:2" x14ac:dyDescent="0.25">
      <c r="A7419" t="s">
        <v>1862</v>
      </c>
      <c r="B7419" t="s">
        <v>7929</v>
      </c>
    </row>
    <row r="7420" spans="1:2" x14ac:dyDescent="0.25">
      <c r="A7420" t="s">
        <v>7853</v>
      </c>
      <c r="B7420" t="s">
        <v>7929</v>
      </c>
    </row>
    <row r="7421" spans="1:2" x14ac:dyDescent="0.25">
      <c r="A7421" t="s">
        <v>1863</v>
      </c>
      <c r="B7421" t="s">
        <v>7853</v>
      </c>
    </row>
    <row r="7422" spans="1:2" x14ac:dyDescent="0.25">
      <c r="A7422" t="s">
        <v>5724</v>
      </c>
      <c r="B7422" t="s">
        <v>7853</v>
      </c>
    </row>
    <row r="7423" spans="1:2" x14ac:dyDescent="0.25">
      <c r="A7423" t="s">
        <v>2149</v>
      </c>
      <c r="B7423" t="s">
        <v>7853</v>
      </c>
    </row>
    <row r="7424" spans="1:2" x14ac:dyDescent="0.25">
      <c r="A7424" t="s">
        <v>11299</v>
      </c>
      <c r="B7424" t="s">
        <v>7853</v>
      </c>
    </row>
    <row r="7425" spans="1:2" x14ac:dyDescent="0.25">
      <c r="A7425" t="s">
        <v>1577</v>
      </c>
      <c r="B7425" t="s">
        <v>7853</v>
      </c>
    </row>
    <row r="7426" spans="1:2" x14ac:dyDescent="0.25">
      <c r="A7426" t="s">
        <v>13179</v>
      </c>
      <c r="B7426" t="s">
        <v>5325</v>
      </c>
    </row>
    <row r="7427" spans="1:2" x14ac:dyDescent="0.25">
      <c r="A7427" t="s">
        <v>8392</v>
      </c>
      <c r="B7427" t="s">
        <v>13179</v>
      </c>
    </row>
    <row r="7428" spans="1:2" x14ac:dyDescent="0.25">
      <c r="A7428" t="s">
        <v>1086</v>
      </c>
      <c r="B7428" t="s">
        <v>8392</v>
      </c>
    </row>
    <row r="7429" spans="1:2" x14ac:dyDescent="0.25">
      <c r="A7429" t="s">
        <v>2148</v>
      </c>
      <c r="B7429" t="s">
        <v>8392</v>
      </c>
    </row>
    <row r="7430" spans="1:2" x14ac:dyDescent="0.25">
      <c r="A7430" t="s">
        <v>8393</v>
      </c>
      <c r="B7430" t="s">
        <v>13179</v>
      </c>
    </row>
    <row r="7431" spans="1:2" x14ac:dyDescent="0.25">
      <c r="A7431" t="s">
        <v>868</v>
      </c>
      <c r="B7431" t="s">
        <v>8393</v>
      </c>
    </row>
    <row r="7432" spans="1:2" x14ac:dyDescent="0.25">
      <c r="A7432" t="s">
        <v>1087</v>
      </c>
      <c r="B7432" t="s">
        <v>8393</v>
      </c>
    </row>
    <row r="7433" spans="1:2" x14ac:dyDescent="0.25">
      <c r="A7433" t="s">
        <v>3951</v>
      </c>
      <c r="B7433" t="s">
        <v>8393</v>
      </c>
    </row>
    <row r="7434" spans="1:2" x14ac:dyDescent="0.25">
      <c r="A7434" t="s">
        <v>1457</v>
      </c>
      <c r="B7434" t="s">
        <v>8393</v>
      </c>
    </row>
    <row r="7435" spans="1:2" x14ac:dyDescent="0.25">
      <c r="A7435" t="s">
        <v>1458</v>
      </c>
      <c r="B7435" t="s">
        <v>8393</v>
      </c>
    </row>
    <row r="7436" spans="1:2" x14ac:dyDescent="0.25">
      <c r="A7436" t="s">
        <v>1573</v>
      </c>
      <c r="B7436" t="s">
        <v>8393</v>
      </c>
    </row>
    <row r="7437" spans="1:2" x14ac:dyDescent="0.25">
      <c r="A7437" t="s">
        <v>13180</v>
      </c>
      <c r="B7437" t="s">
        <v>5325</v>
      </c>
    </row>
    <row r="7438" spans="1:2" x14ac:dyDescent="0.25">
      <c r="A7438" t="s">
        <v>669</v>
      </c>
      <c r="B7438" t="s">
        <v>13180</v>
      </c>
    </row>
    <row r="7439" spans="1:2" x14ac:dyDescent="0.25">
      <c r="A7439" t="s">
        <v>1572</v>
      </c>
      <c r="B7439" t="s">
        <v>13180</v>
      </c>
    </row>
    <row r="7440" spans="1:2" x14ac:dyDescent="0.25">
      <c r="A7440" t="s">
        <v>1600</v>
      </c>
      <c r="B7440" t="s">
        <v>13180</v>
      </c>
    </row>
    <row r="7441" spans="1:2" x14ac:dyDescent="0.25">
      <c r="A7441" t="s">
        <v>1802</v>
      </c>
      <c r="B7441" t="s">
        <v>13180</v>
      </c>
    </row>
    <row r="7442" spans="1:2" x14ac:dyDescent="0.25">
      <c r="A7442" t="s">
        <v>1804</v>
      </c>
      <c r="B7442" t="s">
        <v>13180</v>
      </c>
    </row>
    <row r="7443" spans="1:2" x14ac:dyDescent="0.25">
      <c r="A7443" t="s">
        <v>13181</v>
      </c>
      <c r="B7443" t="s">
        <v>5325</v>
      </c>
    </row>
    <row r="7444" spans="1:2" x14ac:dyDescent="0.25">
      <c r="A7444" t="s">
        <v>10637</v>
      </c>
      <c r="B7444" t="s">
        <v>13181</v>
      </c>
    </row>
    <row r="7445" spans="1:2" x14ac:dyDescent="0.25">
      <c r="A7445" t="s">
        <v>1869</v>
      </c>
      <c r="B7445" t="s">
        <v>10637</v>
      </c>
    </row>
    <row r="7446" spans="1:2" x14ac:dyDescent="0.25">
      <c r="A7446" t="s">
        <v>890</v>
      </c>
      <c r="B7446" t="s">
        <v>10637</v>
      </c>
    </row>
    <row r="7447" spans="1:2" x14ac:dyDescent="0.25">
      <c r="A7447" t="s">
        <v>892</v>
      </c>
      <c r="B7447" t="s">
        <v>10637</v>
      </c>
    </row>
    <row r="7448" spans="1:2" x14ac:dyDescent="0.25">
      <c r="A7448" t="s">
        <v>1459</v>
      </c>
      <c r="B7448" t="s">
        <v>10637</v>
      </c>
    </row>
    <row r="7449" spans="1:2" x14ac:dyDescent="0.25">
      <c r="A7449" t="s">
        <v>1460</v>
      </c>
      <c r="B7449" t="s">
        <v>10637</v>
      </c>
    </row>
    <row r="7450" spans="1:2" x14ac:dyDescent="0.25">
      <c r="A7450" t="s">
        <v>4494</v>
      </c>
      <c r="B7450" t="s">
        <v>10637</v>
      </c>
    </row>
    <row r="7451" spans="1:2" x14ac:dyDescent="0.25">
      <c r="A7451" t="s">
        <v>2200</v>
      </c>
      <c r="B7451" t="s">
        <v>10637</v>
      </c>
    </row>
    <row r="7452" spans="1:2" x14ac:dyDescent="0.25">
      <c r="A7452" t="s">
        <v>1576</v>
      </c>
      <c r="B7452" t="s">
        <v>10637</v>
      </c>
    </row>
    <row r="7453" spans="1:2" x14ac:dyDescent="0.25">
      <c r="A7453" t="s">
        <v>10638</v>
      </c>
      <c r="B7453" t="s">
        <v>13181</v>
      </c>
    </row>
    <row r="7454" spans="1:2" x14ac:dyDescent="0.25">
      <c r="A7454" t="s">
        <v>889</v>
      </c>
      <c r="B7454" t="s">
        <v>10638</v>
      </c>
    </row>
    <row r="7455" spans="1:2" x14ac:dyDescent="0.25">
      <c r="A7455" t="s">
        <v>891</v>
      </c>
      <c r="B7455" t="s">
        <v>10638</v>
      </c>
    </row>
    <row r="7456" spans="1:2" x14ac:dyDescent="0.25">
      <c r="A7456" t="s">
        <v>2835</v>
      </c>
      <c r="B7456" t="s">
        <v>10638</v>
      </c>
    </row>
    <row r="7457" spans="1:2" x14ac:dyDescent="0.25">
      <c r="A7457" t="s">
        <v>893</v>
      </c>
      <c r="B7457" t="s">
        <v>10638</v>
      </c>
    </row>
    <row r="7458" spans="1:2" x14ac:dyDescent="0.25">
      <c r="A7458" t="s">
        <v>1461</v>
      </c>
      <c r="B7458" t="s">
        <v>10638</v>
      </c>
    </row>
    <row r="7459" spans="1:2" x14ac:dyDescent="0.25">
      <c r="A7459" t="s">
        <v>1575</v>
      </c>
      <c r="B7459" t="s">
        <v>10638</v>
      </c>
    </row>
    <row r="7460" spans="1:2" x14ac:dyDescent="0.25">
      <c r="A7460" t="s">
        <v>16258</v>
      </c>
      <c r="B7460" t="s">
        <v>5325</v>
      </c>
    </row>
    <row r="7461" spans="1:2" x14ac:dyDescent="0.25">
      <c r="A7461" t="s">
        <v>461</v>
      </c>
      <c r="B7461" t="s">
        <v>10609</v>
      </c>
    </row>
    <row r="7462" spans="1:2" x14ac:dyDescent="0.25">
      <c r="A7462" t="s">
        <v>1856</v>
      </c>
      <c r="B7462" t="s">
        <v>461</v>
      </c>
    </row>
    <row r="7463" spans="1:2" x14ac:dyDescent="0.25">
      <c r="A7463" t="s">
        <v>13182</v>
      </c>
      <c r="B7463" t="s">
        <v>461</v>
      </c>
    </row>
    <row r="7464" spans="1:2" x14ac:dyDescent="0.25">
      <c r="A7464" t="s">
        <v>1857</v>
      </c>
      <c r="B7464" t="s">
        <v>13182</v>
      </c>
    </row>
    <row r="7465" spans="1:2" x14ac:dyDescent="0.25">
      <c r="A7465" t="s">
        <v>1859</v>
      </c>
      <c r="B7465" t="s">
        <v>13182</v>
      </c>
    </row>
    <row r="7466" spans="1:2" x14ac:dyDescent="0.25">
      <c r="A7466" t="s">
        <v>11577</v>
      </c>
      <c r="B7466" t="s">
        <v>13182</v>
      </c>
    </row>
    <row r="7467" spans="1:2" x14ac:dyDescent="0.25">
      <c r="A7467" t="s">
        <v>8825</v>
      </c>
      <c r="B7467" t="s">
        <v>10609</v>
      </c>
    </row>
    <row r="7468" spans="1:2" x14ac:dyDescent="0.25">
      <c r="A7468" t="s">
        <v>2386</v>
      </c>
      <c r="B7468" t="s">
        <v>8825</v>
      </c>
    </row>
    <row r="7469" spans="1:2" x14ac:dyDescent="0.25">
      <c r="A7469" t="s">
        <v>1443</v>
      </c>
      <c r="B7469" t="s">
        <v>8825</v>
      </c>
    </row>
    <row r="7470" spans="1:2" x14ac:dyDescent="0.25">
      <c r="A7470" t="s">
        <v>1444</v>
      </c>
      <c r="B7470" t="s">
        <v>8825</v>
      </c>
    </row>
    <row r="7471" spans="1:2" x14ac:dyDescent="0.25">
      <c r="A7471" t="s">
        <v>1445</v>
      </c>
      <c r="B7471" t="s">
        <v>8825</v>
      </c>
    </row>
    <row r="7472" spans="1:2" x14ac:dyDescent="0.25">
      <c r="A7472" t="s">
        <v>1448</v>
      </c>
      <c r="B7472" t="s">
        <v>8825</v>
      </c>
    </row>
    <row r="7473" spans="1:2" x14ac:dyDescent="0.25">
      <c r="A7473" t="s">
        <v>1527</v>
      </c>
      <c r="B7473" t="s">
        <v>8825</v>
      </c>
    </row>
    <row r="7474" spans="1:2" x14ac:dyDescent="0.25">
      <c r="A7474" t="s">
        <v>3983</v>
      </c>
      <c r="B7474" t="s">
        <v>8825</v>
      </c>
    </row>
    <row r="7475" spans="1:2" x14ac:dyDescent="0.25">
      <c r="A7475" t="s">
        <v>9098</v>
      </c>
      <c r="B7475" t="s">
        <v>8825</v>
      </c>
    </row>
    <row r="7476" spans="1:2" x14ac:dyDescent="0.25">
      <c r="A7476" t="s">
        <v>655</v>
      </c>
      <c r="B7476" t="s">
        <v>8825</v>
      </c>
    </row>
    <row r="7477" spans="1:2" x14ac:dyDescent="0.25">
      <c r="A7477" t="s">
        <v>657</v>
      </c>
      <c r="B7477" t="s">
        <v>8825</v>
      </c>
    </row>
    <row r="7478" spans="1:2" x14ac:dyDescent="0.25">
      <c r="A7478" t="s">
        <v>658</v>
      </c>
      <c r="B7478" t="s">
        <v>8825</v>
      </c>
    </row>
    <row r="7479" spans="1:2" x14ac:dyDescent="0.25">
      <c r="A7479" t="s">
        <v>1508</v>
      </c>
      <c r="B7479" t="s">
        <v>8825</v>
      </c>
    </row>
    <row r="7480" spans="1:2" x14ac:dyDescent="0.25">
      <c r="A7480" t="s">
        <v>1601</v>
      </c>
      <c r="B7480" t="s">
        <v>8825</v>
      </c>
    </row>
    <row r="7481" spans="1:2" x14ac:dyDescent="0.25">
      <c r="A7481" t="s">
        <v>1450</v>
      </c>
      <c r="B7481" t="s">
        <v>8825</v>
      </c>
    </row>
    <row r="7482" spans="1:2" x14ac:dyDescent="0.25">
      <c r="A7482" t="s">
        <v>641</v>
      </c>
      <c r="B7482" t="s">
        <v>8825</v>
      </c>
    </row>
    <row r="7483" spans="1:2" x14ac:dyDescent="0.25">
      <c r="A7483" t="s">
        <v>642</v>
      </c>
      <c r="B7483" t="s">
        <v>8825</v>
      </c>
    </row>
    <row r="7484" spans="1:2" x14ac:dyDescent="0.25">
      <c r="A7484" t="s">
        <v>867</v>
      </c>
      <c r="B7484" t="s">
        <v>8825</v>
      </c>
    </row>
    <row r="7485" spans="1:2" x14ac:dyDescent="0.25">
      <c r="A7485" t="s">
        <v>873</v>
      </c>
      <c r="B7485" t="s">
        <v>8825</v>
      </c>
    </row>
    <row r="7486" spans="1:2" x14ac:dyDescent="0.25">
      <c r="A7486" t="s">
        <v>1009</v>
      </c>
      <c r="B7486" t="s">
        <v>8825</v>
      </c>
    </row>
    <row r="7487" spans="1:2" x14ac:dyDescent="0.25">
      <c r="A7487" t="s">
        <v>1018</v>
      </c>
      <c r="B7487" t="s">
        <v>8825</v>
      </c>
    </row>
    <row r="7488" spans="1:2" x14ac:dyDescent="0.25">
      <c r="A7488" t="s">
        <v>1441</v>
      </c>
      <c r="B7488" t="s">
        <v>8825</v>
      </c>
    </row>
    <row r="7489" spans="1:2" x14ac:dyDescent="0.25">
      <c r="A7489" t="s">
        <v>1442</v>
      </c>
      <c r="B7489" t="s">
        <v>8825</v>
      </c>
    </row>
    <row r="7490" spans="1:2" x14ac:dyDescent="0.25">
      <c r="A7490" t="s">
        <v>1452</v>
      </c>
      <c r="B7490" t="s">
        <v>8825</v>
      </c>
    </row>
    <row r="7491" spans="1:2" x14ac:dyDescent="0.25">
      <c r="A7491" t="s">
        <v>8826</v>
      </c>
      <c r="B7491" t="s">
        <v>10609</v>
      </c>
    </row>
    <row r="7492" spans="1:2" x14ac:dyDescent="0.25">
      <c r="A7492" t="s">
        <v>855</v>
      </c>
      <c r="B7492" t="s">
        <v>8826</v>
      </c>
    </row>
    <row r="7493" spans="1:2" x14ac:dyDescent="0.25">
      <c r="A7493" t="s">
        <v>856</v>
      </c>
      <c r="B7493" t="s">
        <v>8826</v>
      </c>
    </row>
    <row r="7494" spans="1:2" x14ac:dyDescent="0.25">
      <c r="A7494" t="s">
        <v>857</v>
      </c>
      <c r="B7494" t="s">
        <v>8826</v>
      </c>
    </row>
    <row r="7495" spans="1:2" x14ac:dyDescent="0.25">
      <c r="A7495" t="s">
        <v>1017</v>
      </c>
      <c r="B7495" t="s">
        <v>8826</v>
      </c>
    </row>
    <row r="7496" spans="1:2" x14ac:dyDescent="0.25">
      <c r="A7496" t="s">
        <v>1021</v>
      </c>
      <c r="B7496" t="s">
        <v>8826</v>
      </c>
    </row>
    <row r="7497" spans="1:2" x14ac:dyDescent="0.25">
      <c r="A7497" t="s">
        <v>1022</v>
      </c>
      <c r="B7497" t="s">
        <v>8826</v>
      </c>
    </row>
    <row r="7498" spans="1:2" x14ac:dyDescent="0.25">
      <c r="A7498" t="s">
        <v>1028</v>
      </c>
      <c r="B7498" t="s">
        <v>8826</v>
      </c>
    </row>
    <row r="7499" spans="1:2" x14ac:dyDescent="0.25">
      <c r="A7499" t="s">
        <v>2143</v>
      </c>
      <c r="B7499" t="s">
        <v>8826</v>
      </c>
    </row>
    <row r="7500" spans="1:2" x14ac:dyDescent="0.25">
      <c r="A7500" t="s">
        <v>2144</v>
      </c>
      <c r="B7500" t="s">
        <v>8826</v>
      </c>
    </row>
    <row r="7501" spans="1:2" x14ac:dyDescent="0.25">
      <c r="A7501" t="s">
        <v>2145</v>
      </c>
      <c r="B7501" t="s">
        <v>8826</v>
      </c>
    </row>
    <row r="7502" spans="1:2" x14ac:dyDescent="0.25">
      <c r="A7502" t="s">
        <v>10152</v>
      </c>
      <c r="B7502" t="s">
        <v>8826</v>
      </c>
    </row>
    <row r="7503" spans="1:2" x14ac:dyDescent="0.25">
      <c r="A7503" t="s">
        <v>645</v>
      </c>
      <c r="B7503" t="s">
        <v>8826</v>
      </c>
    </row>
    <row r="7504" spans="1:2" x14ac:dyDescent="0.25">
      <c r="A7504" t="s">
        <v>652</v>
      </c>
      <c r="B7504" t="s">
        <v>8826</v>
      </c>
    </row>
    <row r="7505" spans="1:2" x14ac:dyDescent="0.25">
      <c r="A7505" t="s">
        <v>653</v>
      </c>
      <c r="B7505" t="s">
        <v>8826</v>
      </c>
    </row>
    <row r="7506" spans="1:2" x14ac:dyDescent="0.25">
      <c r="A7506" t="s">
        <v>2607</v>
      </c>
      <c r="B7506" t="s">
        <v>8826</v>
      </c>
    </row>
    <row r="7507" spans="1:2" x14ac:dyDescent="0.25">
      <c r="A7507" t="s">
        <v>9641</v>
      </c>
      <c r="B7507" t="s">
        <v>8826</v>
      </c>
    </row>
    <row r="7508" spans="1:2" x14ac:dyDescent="0.25">
      <c r="A7508" t="s">
        <v>8400</v>
      </c>
      <c r="B7508" t="s">
        <v>8826</v>
      </c>
    </row>
    <row r="7509" spans="1:2" x14ac:dyDescent="0.25">
      <c r="A7509" t="s">
        <v>9642</v>
      </c>
      <c r="B7509" t="s">
        <v>8826</v>
      </c>
    </row>
    <row r="7510" spans="1:2" x14ac:dyDescent="0.25">
      <c r="A7510" t="s">
        <v>8401</v>
      </c>
      <c r="B7510" t="s">
        <v>8826</v>
      </c>
    </row>
    <row r="7511" spans="1:2" x14ac:dyDescent="0.25">
      <c r="A7511" t="s">
        <v>9643</v>
      </c>
      <c r="B7511" t="s">
        <v>8826</v>
      </c>
    </row>
    <row r="7512" spans="1:2" x14ac:dyDescent="0.25">
      <c r="A7512" t="s">
        <v>3274</v>
      </c>
      <c r="B7512" t="s">
        <v>8826</v>
      </c>
    </row>
    <row r="7513" spans="1:2" x14ac:dyDescent="0.25">
      <c r="A7513" t="s">
        <v>861</v>
      </c>
      <c r="B7513" t="s">
        <v>8826</v>
      </c>
    </row>
    <row r="7514" spans="1:2" x14ac:dyDescent="0.25">
      <c r="A7514" t="s">
        <v>2384</v>
      </c>
      <c r="B7514" t="s">
        <v>8826</v>
      </c>
    </row>
    <row r="7515" spans="1:2" x14ac:dyDescent="0.25">
      <c r="A7515" t="s">
        <v>13817</v>
      </c>
      <c r="B7515" t="s">
        <v>8826</v>
      </c>
    </row>
    <row r="7516" spans="1:2" x14ac:dyDescent="0.25">
      <c r="A7516" t="s">
        <v>862</v>
      </c>
      <c r="B7516" t="s">
        <v>8826</v>
      </c>
    </row>
    <row r="7517" spans="1:2" x14ac:dyDescent="0.25">
      <c r="A7517" t="s">
        <v>2385</v>
      </c>
      <c r="B7517" t="s">
        <v>8826</v>
      </c>
    </row>
    <row r="7518" spans="1:2" x14ac:dyDescent="0.25">
      <c r="A7518" t="s">
        <v>2573</v>
      </c>
      <c r="B7518" t="s">
        <v>8826</v>
      </c>
    </row>
    <row r="7519" spans="1:2" x14ac:dyDescent="0.25">
      <c r="A7519" t="s">
        <v>1525</v>
      </c>
      <c r="B7519" t="s">
        <v>8826</v>
      </c>
    </row>
    <row r="7520" spans="1:2" x14ac:dyDescent="0.25">
      <c r="A7520" t="s">
        <v>9639</v>
      </c>
      <c r="B7520" t="s">
        <v>8826</v>
      </c>
    </row>
    <row r="7521" spans="1:2" x14ac:dyDescent="0.25">
      <c r="A7521" t="s">
        <v>11317</v>
      </c>
      <c r="B7521" t="s">
        <v>8826</v>
      </c>
    </row>
    <row r="7522" spans="1:2" x14ac:dyDescent="0.25">
      <c r="A7522" t="s">
        <v>2370</v>
      </c>
      <c r="B7522" t="s">
        <v>8826</v>
      </c>
    </row>
    <row r="7523" spans="1:2" x14ac:dyDescent="0.25">
      <c r="A7523" t="s">
        <v>1797</v>
      </c>
      <c r="B7523" t="s">
        <v>8826</v>
      </c>
    </row>
    <row r="7524" spans="1:2" x14ac:dyDescent="0.25">
      <c r="A7524" t="s">
        <v>6031</v>
      </c>
      <c r="B7524" t="s">
        <v>8826</v>
      </c>
    </row>
    <row r="7525" spans="1:2" x14ac:dyDescent="0.25">
      <c r="A7525" t="s">
        <v>6032</v>
      </c>
      <c r="B7525" t="s">
        <v>8826</v>
      </c>
    </row>
    <row r="7526" spans="1:2" x14ac:dyDescent="0.25">
      <c r="A7526" t="s">
        <v>6033</v>
      </c>
      <c r="B7526" t="s">
        <v>8826</v>
      </c>
    </row>
    <row r="7527" spans="1:2" x14ac:dyDescent="0.25">
      <c r="A7527" t="s">
        <v>1798</v>
      </c>
      <c r="B7527" t="s">
        <v>8826</v>
      </c>
    </row>
    <row r="7528" spans="1:2" x14ac:dyDescent="0.25">
      <c r="A7528" t="s">
        <v>634</v>
      </c>
      <c r="B7528" t="s">
        <v>8826</v>
      </c>
    </row>
    <row r="7529" spans="1:2" x14ac:dyDescent="0.25">
      <c r="A7529" t="s">
        <v>637</v>
      </c>
      <c r="B7529" t="s">
        <v>8826</v>
      </c>
    </row>
    <row r="7530" spans="1:2" x14ac:dyDescent="0.25">
      <c r="A7530" t="s">
        <v>638</v>
      </c>
      <c r="B7530" t="s">
        <v>8826</v>
      </c>
    </row>
    <row r="7531" spans="1:2" x14ac:dyDescent="0.25">
      <c r="A7531" t="s">
        <v>639</v>
      </c>
      <c r="B7531" t="s">
        <v>8826</v>
      </c>
    </row>
    <row r="7532" spans="1:2" x14ac:dyDescent="0.25">
      <c r="A7532" t="s">
        <v>10932</v>
      </c>
      <c r="B7532" t="s">
        <v>8826</v>
      </c>
    </row>
    <row r="7533" spans="1:2" x14ac:dyDescent="0.25">
      <c r="A7533" t="s">
        <v>1421</v>
      </c>
      <c r="B7533" t="s">
        <v>8826</v>
      </c>
    </row>
    <row r="7534" spans="1:2" x14ac:dyDescent="0.25">
      <c r="A7534" t="s">
        <v>11004</v>
      </c>
      <c r="B7534" t="s">
        <v>8826</v>
      </c>
    </row>
    <row r="7535" spans="1:2" x14ac:dyDescent="0.25">
      <c r="A7535" t="s">
        <v>11314</v>
      </c>
      <c r="B7535" t="s">
        <v>8826</v>
      </c>
    </row>
    <row r="7536" spans="1:2" x14ac:dyDescent="0.25">
      <c r="A7536" t="s">
        <v>11315</v>
      </c>
      <c r="B7536" t="s">
        <v>8826</v>
      </c>
    </row>
    <row r="7537" spans="1:2" x14ac:dyDescent="0.25">
      <c r="A7537" t="s">
        <v>2217</v>
      </c>
      <c r="B7537" t="s">
        <v>8826</v>
      </c>
    </row>
    <row r="7538" spans="1:2" x14ac:dyDescent="0.25">
      <c r="A7538" t="s">
        <v>1599</v>
      </c>
      <c r="B7538" t="s">
        <v>8826</v>
      </c>
    </row>
    <row r="7539" spans="1:2" x14ac:dyDescent="0.25">
      <c r="A7539" t="s">
        <v>2218</v>
      </c>
      <c r="B7539" t="s">
        <v>8826</v>
      </c>
    </row>
    <row r="7540" spans="1:2" x14ac:dyDescent="0.25">
      <c r="A7540" t="s">
        <v>1801</v>
      </c>
      <c r="B7540" t="s">
        <v>8826</v>
      </c>
    </row>
    <row r="7541" spans="1:2" x14ac:dyDescent="0.25">
      <c r="A7541" t="s">
        <v>871</v>
      </c>
      <c r="B7541" t="s">
        <v>8826</v>
      </c>
    </row>
    <row r="7542" spans="1:2" x14ac:dyDescent="0.25">
      <c r="A7542" t="s">
        <v>8827</v>
      </c>
      <c r="B7542" t="s">
        <v>10609</v>
      </c>
    </row>
    <row r="7543" spans="1:2" x14ac:dyDescent="0.25">
      <c r="A7543" t="s">
        <v>1865</v>
      </c>
      <c r="B7543" t="s">
        <v>8827</v>
      </c>
    </row>
    <row r="7544" spans="1:2" x14ac:dyDescent="0.25">
      <c r="A7544" t="s">
        <v>1866</v>
      </c>
      <c r="B7544" t="s">
        <v>8827</v>
      </c>
    </row>
    <row r="7545" spans="1:2" x14ac:dyDescent="0.25">
      <c r="A7545" t="s">
        <v>875</v>
      </c>
      <c r="B7545" t="s">
        <v>8827</v>
      </c>
    </row>
    <row r="7546" spans="1:2" x14ac:dyDescent="0.25">
      <c r="A7546" t="s">
        <v>1024</v>
      </c>
      <c r="B7546" t="s">
        <v>8827</v>
      </c>
    </row>
    <row r="7547" spans="1:2" x14ac:dyDescent="0.25">
      <c r="A7547" t="s">
        <v>1025</v>
      </c>
      <c r="B7547" t="s">
        <v>8827</v>
      </c>
    </row>
    <row r="7548" spans="1:2" x14ac:dyDescent="0.25">
      <c r="A7548" t="s">
        <v>1449</v>
      </c>
      <c r="B7548" t="s">
        <v>8827</v>
      </c>
    </row>
    <row r="7549" spans="1:2" x14ac:dyDescent="0.25">
      <c r="A7549" t="s">
        <v>1529</v>
      </c>
      <c r="B7549" t="s">
        <v>8827</v>
      </c>
    </row>
    <row r="7550" spans="1:2" x14ac:dyDescent="0.25">
      <c r="A7550" t="s">
        <v>6527</v>
      </c>
      <c r="B7550" t="s">
        <v>8827</v>
      </c>
    </row>
    <row r="7551" spans="1:2" x14ac:dyDescent="0.25">
      <c r="A7551" t="s">
        <v>643</v>
      </c>
      <c r="B7551" t="s">
        <v>8827</v>
      </c>
    </row>
    <row r="7552" spans="1:2" x14ac:dyDescent="0.25">
      <c r="A7552" t="s">
        <v>2809</v>
      </c>
      <c r="B7552" t="s">
        <v>8827</v>
      </c>
    </row>
    <row r="7553" spans="1:2" x14ac:dyDescent="0.25">
      <c r="A7553" t="s">
        <v>644</v>
      </c>
      <c r="B7553" t="s">
        <v>8827</v>
      </c>
    </row>
    <row r="7554" spans="1:2" x14ac:dyDescent="0.25">
      <c r="A7554" t="s">
        <v>651</v>
      </c>
      <c r="B7554" t="s">
        <v>8827</v>
      </c>
    </row>
    <row r="7555" spans="1:2" x14ac:dyDescent="0.25">
      <c r="A7555" t="s">
        <v>2810</v>
      </c>
      <c r="B7555" t="s">
        <v>8827</v>
      </c>
    </row>
    <row r="7556" spans="1:2" x14ac:dyDescent="0.25">
      <c r="A7556" t="s">
        <v>654</v>
      </c>
      <c r="B7556" t="s">
        <v>8827</v>
      </c>
    </row>
    <row r="7557" spans="1:2" x14ac:dyDescent="0.25">
      <c r="A7557" t="s">
        <v>2811</v>
      </c>
      <c r="B7557" t="s">
        <v>8827</v>
      </c>
    </row>
    <row r="7558" spans="1:2" x14ac:dyDescent="0.25">
      <c r="A7558" t="s">
        <v>656</v>
      </c>
      <c r="B7558" t="s">
        <v>8827</v>
      </c>
    </row>
    <row r="7559" spans="1:2" x14ac:dyDescent="0.25">
      <c r="A7559" t="s">
        <v>1535</v>
      </c>
      <c r="B7559" t="s">
        <v>8827</v>
      </c>
    </row>
    <row r="7560" spans="1:2" x14ac:dyDescent="0.25">
      <c r="A7560" t="s">
        <v>1574</v>
      </c>
      <c r="B7560" t="s">
        <v>8827</v>
      </c>
    </row>
    <row r="7561" spans="1:2" x14ac:dyDescent="0.25">
      <c r="A7561" t="s">
        <v>468</v>
      </c>
      <c r="B7561" t="s">
        <v>8827</v>
      </c>
    </row>
    <row r="7562" spans="1:2" x14ac:dyDescent="0.25">
      <c r="A7562" t="s">
        <v>874</v>
      </c>
      <c r="B7562" t="s">
        <v>8827</v>
      </c>
    </row>
    <row r="7563" spans="1:2" x14ac:dyDescent="0.25">
      <c r="A7563" t="s">
        <v>2387</v>
      </c>
      <c r="B7563" t="s">
        <v>8827</v>
      </c>
    </row>
    <row r="7564" spans="1:2" x14ac:dyDescent="0.25">
      <c r="A7564" t="s">
        <v>2833</v>
      </c>
      <c r="B7564" t="s">
        <v>8827</v>
      </c>
    </row>
    <row r="7565" spans="1:2" x14ac:dyDescent="0.25">
      <c r="A7565" t="s">
        <v>2402</v>
      </c>
      <c r="B7565" t="s">
        <v>8827</v>
      </c>
    </row>
    <row r="7566" spans="1:2" x14ac:dyDescent="0.25">
      <c r="A7566" t="s">
        <v>2403</v>
      </c>
      <c r="B7566" t="s">
        <v>8827</v>
      </c>
    </row>
    <row r="7567" spans="1:2" x14ac:dyDescent="0.25">
      <c r="A7567" t="s">
        <v>1451</v>
      </c>
      <c r="B7567" t="s">
        <v>8827</v>
      </c>
    </row>
    <row r="7568" spans="1:2" x14ac:dyDescent="0.25">
      <c r="A7568" t="s">
        <v>3493</v>
      </c>
      <c r="B7568" t="s">
        <v>8827</v>
      </c>
    </row>
    <row r="7569" spans="1:2" x14ac:dyDescent="0.25">
      <c r="A7569" t="s">
        <v>1860</v>
      </c>
      <c r="B7569" t="s">
        <v>8827</v>
      </c>
    </row>
    <row r="7570" spans="1:2" x14ac:dyDescent="0.25">
      <c r="A7570" t="s">
        <v>4272</v>
      </c>
      <c r="B7570" t="s">
        <v>8827</v>
      </c>
    </row>
    <row r="7571" spans="1:2" x14ac:dyDescent="0.25">
      <c r="A7571" t="s">
        <v>1861</v>
      </c>
      <c r="B7571" t="s">
        <v>8827</v>
      </c>
    </row>
    <row r="7572" spans="1:2" x14ac:dyDescent="0.25">
      <c r="A7572" t="s">
        <v>864</v>
      </c>
      <c r="B7572" t="s">
        <v>8827</v>
      </c>
    </row>
    <row r="7573" spans="1:2" x14ac:dyDescent="0.25">
      <c r="A7573" t="s">
        <v>865</v>
      </c>
      <c r="B7573" t="s">
        <v>8827</v>
      </c>
    </row>
    <row r="7574" spans="1:2" x14ac:dyDescent="0.25">
      <c r="A7574" t="s">
        <v>866</v>
      </c>
      <c r="B7574" t="s">
        <v>8827</v>
      </c>
    </row>
    <row r="7575" spans="1:2" x14ac:dyDescent="0.25">
      <c r="A7575" t="s">
        <v>2832</v>
      </c>
      <c r="B7575" t="s">
        <v>8827</v>
      </c>
    </row>
    <row r="7576" spans="1:2" x14ac:dyDescent="0.25">
      <c r="A7576" t="s">
        <v>1446</v>
      </c>
      <c r="B7576" t="s">
        <v>8827</v>
      </c>
    </row>
    <row r="7577" spans="1:2" x14ac:dyDescent="0.25">
      <c r="A7577" t="s">
        <v>1447</v>
      </c>
      <c r="B7577" t="s">
        <v>8827</v>
      </c>
    </row>
    <row r="7578" spans="1:2" x14ac:dyDescent="0.25">
      <c r="A7578" t="s">
        <v>2146</v>
      </c>
      <c r="B7578" t="s">
        <v>8827</v>
      </c>
    </row>
    <row r="7579" spans="1:2" x14ac:dyDescent="0.25">
      <c r="A7579" t="s">
        <v>3046</v>
      </c>
      <c r="B7579" t="s">
        <v>8827</v>
      </c>
    </row>
    <row r="7580" spans="1:2" x14ac:dyDescent="0.25">
      <c r="A7580" t="s">
        <v>1526</v>
      </c>
      <c r="B7580" t="s">
        <v>8827</v>
      </c>
    </row>
    <row r="7581" spans="1:2" x14ac:dyDescent="0.25">
      <c r="A7581" t="s">
        <v>1531</v>
      </c>
      <c r="B7581" t="s">
        <v>8827</v>
      </c>
    </row>
    <row r="7582" spans="1:2" x14ac:dyDescent="0.25">
      <c r="A7582" t="s">
        <v>3265</v>
      </c>
      <c r="B7582" t="s">
        <v>8827</v>
      </c>
    </row>
    <row r="7583" spans="1:2" x14ac:dyDescent="0.25">
      <c r="A7583" t="s">
        <v>635</v>
      </c>
      <c r="B7583" t="s">
        <v>8827</v>
      </c>
    </row>
    <row r="7584" spans="1:2" x14ac:dyDescent="0.25">
      <c r="A7584" t="s">
        <v>636</v>
      </c>
      <c r="B7584" t="s">
        <v>8827</v>
      </c>
    </row>
    <row r="7585" spans="1:2" x14ac:dyDescent="0.25">
      <c r="A7585" t="s">
        <v>1799</v>
      </c>
      <c r="B7585" t="s">
        <v>8827</v>
      </c>
    </row>
    <row r="7586" spans="1:2" x14ac:dyDescent="0.25">
      <c r="A7586" t="s">
        <v>2371</v>
      </c>
      <c r="B7586" t="s">
        <v>8827</v>
      </c>
    </row>
    <row r="7587" spans="1:2" x14ac:dyDescent="0.25">
      <c r="A7587" t="s">
        <v>12953</v>
      </c>
      <c r="B7587" t="s">
        <v>10609</v>
      </c>
    </row>
    <row r="7588" spans="1:2" x14ac:dyDescent="0.25">
      <c r="A7588" t="s">
        <v>5324</v>
      </c>
      <c r="B7588" t="s">
        <v>12953</v>
      </c>
    </row>
    <row r="7589" spans="1:2" x14ac:dyDescent="0.25">
      <c r="A7589" t="s">
        <v>1530</v>
      </c>
      <c r="B7589" t="s">
        <v>12953</v>
      </c>
    </row>
    <row r="7590" spans="1:2" x14ac:dyDescent="0.25">
      <c r="A7590" t="s">
        <v>8276</v>
      </c>
      <c r="B7590" t="s">
        <v>12953</v>
      </c>
    </row>
    <row r="7591" spans="1:2" x14ac:dyDescent="0.25">
      <c r="A7591" t="s">
        <v>10610</v>
      </c>
      <c r="B7591" t="s">
        <v>9547</v>
      </c>
    </row>
    <row r="7592" spans="1:2" x14ac:dyDescent="0.25">
      <c r="A7592" t="s">
        <v>827</v>
      </c>
      <c r="B7592" t="s">
        <v>10610</v>
      </c>
    </row>
    <row r="7593" spans="1:2" x14ac:dyDescent="0.25">
      <c r="A7593" t="s">
        <v>4760</v>
      </c>
      <c r="B7593" t="s">
        <v>10610</v>
      </c>
    </row>
    <row r="7594" spans="1:2" x14ac:dyDescent="0.25">
      <c r="A7594" t="s">
        <v>130</v>
      </c>
      <c r="B7594" t="s">
        <v>10610</v>
      </c>
    </row>
    <row r="7595" spans="1:2" x14ac:dyDescent="0.25">
      <c r="A7595" t="s">
        <v>11310</v>
      </c>
      <c r="B7595" t="s">
        <v>130</v>
      </c>
    </row>
    <row r="7596" spans="1:2" x14ac:dyDescent="0.25">
      <c r="A7596" t="s">
        <v>1846</v>
      </c>
      <c r="B7596" t="s">
        <v>11310</v>
      </c>
    </row>
    <row r="7597" spans="1:2" x14ac:dyDescent="0.25">
      <c r="A7597" t="s">
        <v>819</v>
      </c>
      <c r="B7597" t="s">
        <v>11310</v>
      </c>
    </row>
    <row r="7598" spans="1:2" x14ac:dyDescent="0.25">
      <c r="A7598" t="s">
        <v>820</v>
      </c>
      <c r="B7598" t="s">
        <v>11310</v>
      </c>
    </row>
    <row r="7599" spans="1:2" x14ac:dyDescent="0.25">
      <c r="A7599" t="s">
        <v>825</v>
      </c>
      <c r="B7599" t="s">
        <v>11310</v>
      </c>
    </row>
    <row r="7600" spans="1:2" x14ac:dyDescent="0.25">
      <c r="A7600" t="s">
        <v>1469</v>
      </c>
      <c r="B7600" t="s">
        <v>11310</v>
      </c>
    </row>
    <row r="7601" spans="1:2" x14ac:dyDescent="0.25">
      <c r="A7601" t="s">
        <v>1516</v>
      </c>
      <c r="B7601" t="s">
        <v>11310</v>
      </c>
    </row>
    <row r="7602" spans="1:2" x14ac:dyDescent="0.25">
      <c r="A7602" t="s">
        <v>11311</v>
      </c>
      <c r="B7602" t="s">
        <v>130</v>
      </c>
    </row>
    <row r="7603" spans="1:2" x14ac:dyDescent="0.25">
      <c r="A7603" t="s">
        <v>1075</v>
      </c>
      <c r="B7603" t="s">
        <v>11311</v>
      </c>
    </row>
    <row r="7604" spans="1:2" x14ac:dyDescent="0.25">
      <c r="A7604" t="s">
        <v>3981</v>
      </c>
      <c r="B7604" t="s">
        <v>11311</v>
      </c>
    </row>
    <row r="7605" spans="1:2" x14ac:dyDescent="0.25">
      <c r="A7605" t="s">
        <v>1519</v>
      </c>
      <c r="B7605" t="s">
        <v>11311</v>
      </c>
    </row>
    <row r="7606" spans="1:2" x14ac:dyDescent="0.25">
      <c r="A7606" t="s">
        <v>10639</v>
      </c>
      <c r="B7606" t="s">
        <v>130</v>
      </c>
    </row>
    <row r="7607" spans="1:2" x14ac:dyDescent="0.25">
      <c r="A7607" t="s">
        <v>1073</v>
      </c>
      <c r="B7607" t="s">
        <v>10639</v>
      </c>
    </row>
    <row r="7608" spans="1:2" x14ac:dyDescent="0.25">
      <c r="A7608" t="s">
        <v>1074</v>
      </c>
      <c r="B7608" t="s">
        <v>10639</v>
      </c>
    </row>
    <row r="7609" spans="1:2" x14ac:dyDescent="0.25">
      <c r="A7609" t="s">
        <v>4888</v>
      </c>
      <c r="B7609" t="s">
        <v>10639</v>
      </c>
    </row>
    <row r="7610" spans="1:2" x14ac:dyDescent="0.25">
      <c r="A7610" t="s">
        <v>1470</v>
      </c>
      <c r="B7610" t="s">
        <v>10639</v>
      </c>
    </row>
    <row r="7611" spans="1:2" x14ac:dyDescent="0.25">
      <c r="A7611" t="s">
        <v>11932</v>
      </c>
      <c r="B7611" t="s">
        <v>10639</v>
      </c>
    </row>
    <row r="7612" spans="1:2" x14ac:dyDescent="0.25">
      <c r="A7612" t="s">
        <v>2190</v>
      </c>
      <c r="B7612" t="s">
        <v>10639</v>
      </c>
    </row>
    <row r="7613" spans="1:2" x14ac:dyDescent="0.25">
      <c r="A7613" t="s">
        <v>11316</v>
      </c>
      <c r="B7613" t="s">
        <v>10639</v>
      </c>
    </row>
    <row r="7614" spans="1:2" x14ac:dyDescent="0.25">
      <c r="A7614" t="s">
        <v>3499</v>
      </c>
      <c r="B7614" t="s">
        <v>10639</v>
      </c>
    </row>
    <row r="7615" spans="1:2" x14ac:dyDescent="0.25">
      <c r="A7615" t="s">
        <v>11567</v>
      </c>
      <c r="B7615" t="s">
        <v>130</v>
      </c>
    </row>
    <row r="7616" spans="1:2" x14ac:dyDescent="0.25">
      <c r="A7616" t="s">
        <v>4775</v>
      </c>
      <c r="B7616" t="s">
        <v>11567</v>
      </c>
    </row>
    <row r="7617" spans="1:2" x14ac:dyDescent="0.25">
      <c r="A7617" t="s">
        <v>10999</v>
      </c>
      <c r="B7617" t="s">
        <v>130</v>
      </c>
    </row>
    <row r="7618" spans="1:2" x14ac:dyDescent="0.25">
      <c r="A7618" t="s">
        <v>6043</v>
      </c>
      <c r="B7618" t="s">
        <v>10999</v>
      </c>
    </row>
    <row r="7619" spans="1:2" x14ac:dyDescent="0.25">
      <c r="A7619" t="s">
        <v>11000</v>
      </c>
      <c r="B7619" t="s">
        <v>130</v>
      </c>
    </row>
    <row r="7620" spans="1:2" x14ac:dyDescent="0.25">
      <c r="A7620" t="s">
        <v>2407</v>
      </c>
      <c r="B7620" t="s">
        <v>11000</v>
      </c>
    </row>
    <row r="7621" spans="1:2" x14ac:dyDescent="0.25">
      <c r="A7621" t="s">
        <v>11001</v>
      </c>
      <c r="B7621" t="s">
        <v>130</v>
      </c>
    </row>
    <row r="7622" spans="1:2" x14ac:dyDescent="0.25">
      <c r="A7622" t="s">
        <v>1072</v>
      </c>
      <c r="B7622" t="s">
        <v>11001</v>
      </c>
    </row>
    <row r="7623" spans="1:2" x14ac:dyDescent="0.25">
      <c r="A7623" t="s">
        <v>1521</v>
      </c>
      <c r="B7623" t="s">
        <v>130</v>
      </c>
    </row>
    <row r="7624" spans="1:2" x14ac:dyDescent="0.25">
      <c r="A7624" t="s">
        <v>1564</v>
      </c>
      <c r="B7624" t="s">
        <v>130</v>
      </c>
    </row>
    <row r="7625" spans="1:2" x14ac:dyDescent="0.25">
      <c r="A7625" t="s">
        <v>4259</v>
      </c>
      <c r="B7625" t="s">
        <v>130</v>
      </c>
    </row>
    <row r="7626" spans="1:2" x14ac:dyDescent="0.25">
      <c r="A7626" t="s">
        <v>621</v>
      </c>
      <c r="B7626" t="s">
        <v>4259</v>
      </c>
    </row>
    <row r="7627" spans="1:2" x14ac:dyDescent="0.25">
      <c r="A7627" t="s">
        <v>5327</v>
      </c>
      <c r="B7627" t="s">
        <v>10610</v>
      </c>
    </row>
    <row r="7628" spans="1:2" x14ac:dyDescent="0.25">
      <c r="A7628" t="s">
        <v>849</v>
      </c>
      <c r="B7628" t="s">
        <v>5327</v>
      </c>
    </row>
    <row r="7629" spans="1:2" x14ac:dyDescent="0.25">
      <c r="A7629" t="s">
        <v>1872</v>
      </c>
      <c r="B7629" t="s">
        <v>5327</v>
      </c>
    </row>
    <row r="7630" spans="1:2" x14ac:dyDescent="0.25">
      <c r="A7630" t="s">
        <v>2152</v>
      </c>
      <c r="B7630" t="s">
        <v>5327</v>
      </c>
    </row>
    <row r="7631" spans="1:2" x14ac:dyDescent="0.25">
      <c r="A7631" t="s">
        <v>12502</v>
      </c>
      <c r="B7631" t="s">
        <v>5327</v>
      </c>
    </row>
    <row r="7632" spans="1:2" x14ac:dyDescent="0.25">
      <c r="A7632" t="s">
        <v>842</v>
      </c>
      <c r="B7632" t="s">
        <v>12502</v>
      </c>
    </row>
    <row r="7633" spans="1:2" x14ac:dyDescent="0.25">
      <c r="A7633" t="s">
        <v>846</v>
      </c>
      <c r="B7633" t="s">
        <v>12502</v>
      </c>
    </row>
    <row r="7634" spans="1:2" x14ac:dyDescent="0.25">
      <c r="A7634" t="s">
        <v>1852</v>
      </c>
      <c r="B7634" t="s">
        <v>12502</v>
      </c>
    </row>
    <row r="7635" spans="1:2" x14ac:dyDescent="0.25">
      <c r="A7635" t="s">
        <v>3774</v>
      </c>
      <c r="B7635" t="s">
        <v>12502</v>
      </c>
    </row>
    <row r="7636" spans="1:2" x14ac:dyDescent="0.25">
      <c r="A7636" t="s">
        <v>7890</v>
      </c>
      <c r="B7636" t="s">
        <v>5327</v>
      </c>
    </row>
    <row r="7637" spans="1:2" x14ac:dyDescent="0.25">
      <c r="A7637" t="s">
        <v>1851</v>
      </c>
      <c r="B7637" t="s">
        <v>7890</v>
      </c>
    </row>
    <row r="7638" spans="1:2" x14ac:dyDescent="0.25">
      <c r="A7638" t="s">
        <v>1081</v>
      </c>
      <c r="B7638" t="s">
        <v>7890</v>
      </c>
    </row>
    <row r="7639" spans="1:2" x14ac:dyDescent="0.25">
      <c r="A7639" t="s">
        <v>2852</v>
      </c>
      <c r="B7639" t="s">
        <v>7890</v>
      </c>
    </row>
    <row r="7640" spans="1:2" x14ac:dyDescent="0.25">
      <c r="A7640" t="s">
        <v>1902</v>
      </c>
      <c r="B7640" t="s">
        <v>7890</v>
      </c>
    </row>
    <row r="7641" spans="1:2" x14ac:dyDescent="0.25">
      <c r="A7641" t="s">
        <v>3039</v>
      </c>
      <c r="B7641" t="s">
        <v>5327</v>
      </c>
    </row>
    <row r="7642" spans="1:2" x14ac:dyDescent="0.25">
      <c r="A7642" t="s">
        <v>847</v>
      </c>
      <c r="B7642" t="s">
        <v>3039</v>
      </c>
    </row>
    <row r="7643" spans="1:2" x14ac:dyDescent="0.25">
      <c r="A7643" t="s">
        <v>1080</v>
      </c>
      <c r="B7643" t="s">
        <v>3039</v>
      </c>
    </row>
    <row r="7644" spans="1:2" x14ac:dyDescent="0.25">
      <c r="A7644" t="s">
        <v>1901</v>
      </c>
      <c r="B7644" t="s">
        <v>3039</v>
      </c>
    </row>
    <row r="7645" spans="1:2" x14ac:dyDescent="0.25">
      <c r="A7645" t="s">
        <v>1082</v>
      </c>
      <c r="B7645" t="s">
        <v>3039</v>
      </c>
    </row>
    <row r="7646" spans="1:2" x14ac:dyDescent="0.25">
      <c r="A7646" t="s">
        <v>1523</v>
      </c>
      <c r="B7646" t="s">
        <v>3039</v>
      </c>
    </row>
    <row r="7647" spans="1:2" x14ac:dyDescent="0.25">
      <c r="A7647" t="s">
        <v>4491</v>
      </c>
      <c r="B7647" t="s">
        <v>3039</v>
      </c>
    </row>
    <row r="7648" spans="1:2" x14ac:dyDescent="0.25">
      <c r="A7648" t="s">
        <v>12862</v>
      </c>
      <c r="B7648" t="s">
        <v>5327</v>
      </c>
    </row>
    <row r="7649" spans="1:2" x14ac:dyDescent="0.25">
      <c r="A7649" t="s">
        <v>1868</v>
      </c>
      <c r="B7649" t="s">
        <v>12862</v>
      </c>
    </row>
    <row r="7650" spans="1:2" x14ac:dyDescent="0.25">
      <c r="A7650" t="s">
        <v>886</v>
      </c>
      <c r="B7650" t="s">
        <v>12862</v>
      </c>
    </row>
    <row r="7651" spans="1:2" x14ac:dyDescent="0.25">
      <c r="A7651" t="s">
        <v>888</v>
      </c>
      <c r="B7651" t="s">
        <v>12862</v>
      </c>
    </row>
    <row r="7652" spans="1:2" x14ac:dyDescent="0.25">
      <c r="A7652" t="s">
        <v>4906</v>
      </c>
      <c r="B7652" t="s">
        <v>12862</v>
      </c>
    </row>
    <row r="7653" spans="1:2" x14ac:dyDescent="0.25">
      <c r="A7653" t="s">
        <v>2608</v>
      </c>
      <c r="B7653" t="s">
        <v>12862</v>
      </c>
    </row>
    <row r="7654" spans="1:2" x14ac:dyDescent="0.25">
      <c r="A7654" t="s">
        <v>1522</v>
      </c>
      <c r="B7654" t="s">
        <v>12862</v>
      </c>
    </row>
    <row r="7655" spans="1:2" x14ac:dyDescent="0.25">
      <c r="A7655" t="s">
        <v>3982</v>
      </c>
      <c r="B7655" t="s">
        <v>12862</v>
      </c>
    </row>
    <row r="7656" spans="1:2" x14ac:dyDescent="0.25">
      <c r="A7656" t="s">
        <v>8828</v>
      </c>
      <c r="B7656" t="s">
        <v>5327</v>
      </c>
    </row>
    <row r="7657" spans="1:2" x14ac:dyDescent="0.25">
      <c r="A7657" t="s">
        <v>887</v>
      </c>
      <c r="B7657" t="s">
        <v>8828</v>
      </c>
    </row>
    <row r="7658" spans="1:2" x14ac:dyDescent="0.25">
      <c r="A7658" t="s">
        <v>1517</v>
      </c>
      <c r="B7658" t="s">
        <v>8828</v>
      </c>
    </row>
    <row r="7659" spans="1:2" x14ac:dyDescent="0.25">
      <c r="A7659" t="s">
        <v>1563</v>
      </c>
      <c r="B7659" t="s">
        <v>8828</v>
      </c>
    </row>
    <row r="7660" spans="1:2" x14ac:dyDescent="0.25">
      <c r="A7660" t="s">
        <v>11312</v>
      </c>
      <c r="B7660" t="s">
        <v>5327</v>
      </c>
    </row>
    <row r="7661" spans="1:2" x14ac:dyDescent="0.25">
      <c r="A7661" t="s">
        <v>845</v>
      </c>
      <c r="B7661" t="s">
        <v>11312</v>
      </c>
    </row>
    <row r="7662" spans="1:2" x14ac:dyDescent="0.25">
      <c r="A7662" t="s">
        <v>1079</v>
      </c>
      <c r="B7662" t="s">
        <v>11312</v>
      </c>
    </row>
    <row r="7663" spans="1:2" x14ac:dyDescent="0.25">
      <c r="A7663" t="s">
        <v>1083</v>
      </c>
      <c r="B7663" t="s">
        <v>11312</v>
      </c>
    </row>
    <row r="7664" spans="1:2" x14ac:dyDescent="0.25">
      <c r="A7664" t="s">
        <v>3793</v>
      </c>
      <c r="B7664" t="s">
        <v>11312</v>
      </c>
    </row>
    <row r="7665" spans="1:2" x14ac:dyDescent="0.25">
      <c r="A7665" t="s">
        <v>1084</v>
      </c>
      <c r="B7665" t="s">
        <v>11312</v>
      </c>
    </row>
    <row r="7666" spans="1:2" x14ac:dyDescent="0.25">
      <c r="A7666" t="s">
        <v>1085</v>
      </c>
      <c r="B7666" t="s">
        <v>11312</v>
      </c>
    </row>
    <row r="7667" spans="1:2" x14ac:dyDescent="0.25">
      <c r="A7667" t="s">
        <v>3794</v>
      </c>
      <c r="B7667" t="s">
        <v>11312</v>
      </c>
    </row>
    <row r="7668" spans="1:2" x14ac:dyDescent="0.25">
      <c r="A7668" t="s">
        <v>4489</v>
      </c>
      <c r="B7668" t="s">
        <v>11312</v>
      </c>
    </row>
    <row r="7669" spans="1:2" x14ac:dyDescent="0.25">
      <c r="A7669" t="s">
        <v>1520</v>
      </c>
      <c r="B7669" t="s">
        <v>11312</v>
      </c>
    </row>
    <row r="7670" spans="1:2" x14ac:dyDescent="0.25">
      <c r="A7670" t="s">
        <v>1562</v>
      </c>
      <c r="B7670" t="s">
        <v>11312</v>
      </c>
    </row>
    <row r="7671" spans="1:2" x14ac:dyDescent="0.25">
      <c r="A7671" t="s">
        <v>1518</v>
      </c>
      <c r="B7671" t="s">
        <v>5327</v>
      </c>
    </row>
    <row r="7672" spans="1:2" x14ac:dyDescent="0.25">
      <c r="A7672" t="s">
        <v>3044</v>
      </c>
      <c r="B7672" t="s">
        <v>5327</v>
      </c>
    </row>
    <row r="7673" spans="1:2" x14ac:dyDescent="0.25">
      <c r="A7673" t="s">
        <v>2199</v>
      </c>
      <c r="B7673" t="s">
        <v>5327</v>
      </c>
    </row>
    <row r="7674" spans="1:2" x14ac:dyDescent="0.25">
      <c r="A7674" t="s">
        <v>1606</v>
      </c>
      <c r="B7674" t="s">
        <v>5327</v>
      </c>
    </row>
    <row r="7675" spans="1:2" x14ac:dyDescent="0.25">
      <c r="A7675" t="s">
        <v>646</v>
      </c>
      <c r="B7675" t="s">
        <v>5327</v>
      </c>
    </row>
    <row r="7676" spans="1:2" x14ac:dyDescent="0.25">
      <c r="A7676" t="s">
        <v>649</v>
      </c>
      <c r="B7676" t="s">
        <v>5327</v>
      </c>
    </row>
    <row r="7677" spans="1:2" x14ac:dyDescent="0.25">
      <c r="A7677" t="s">
        <v>1420</v>
      </c>
      <c r="B7677" t="s">
        <v>5327</v>
      </c>
    </row>
    <row r="7678" spans="1:2" x14ac:dyDescent="0.25">
      <c r="A7678" t="s">
        <v>1561</v>
      </c>
      <c r="B7678" t="s">
        <v>10610</v>
      </c>
    </row>
    <row r="7679" spans="1:2" x14ac:dyDescent="0.25">
      <c r="A7679" t="s">
        <v>8275</v>
      </c>
      <c r="B7679" t="s">
        <v>10610</v>
      </c>
    </row>
    <row r="7680" spans="1:2" x14ac:dyDescent="0.25">
      <c r="A7680" t="s">
        <v>11942</v>
      </c>
      <c r="B7680" t="s">
        <v>10610</v>
      </c>
    </row>
    <row r="7681" spans="1:2" x14ac:dyDescent="0.25">
      <c r="A7681" t="s">
        <v>3273</v>
      </c>
      <c r="B7681" t="s">
        <v>11942</v>
      </c>
    </row>
    <row r="7682" spans="1:2" x14ac:dyDescent="0.25">
      <c r="A7682" t="s">
        <v>2189</v>
      </c>
      <c r="B7682" t="s">
        <v>11942</v>
      </c>
    </row>
    <row r="7683" spans="1:2" x14ac:dyDescent="0.25">
      <c r="A7683" t="s">
        <v>2808</v>
      </c>
      <c r="B7683" t="s">
        <v>11942</v>
      </c>
    </row>
    <row r="7684" spans="1:2" x14ac:dyDescent="0.25">
      <c r="A7684" t="s">
        <v>11943</v>
      </c>
      <c r="B7684" t="s">
        <v>10610</v>
      </c>
    </row>
    <row r="7685" spans="1:2" x14ac:dyDescent="0.25">
      <c r="A7685" t="s">
        <v>836</v>
      </c>
      <c r="B7685" t="s">
        <v>11943</v>
      </c>
    </row>
    <row r="7686" spans="1:2" x14ac:dyDescent="0.25">
      <c r="A7686" t="s">
        <v>837</v>
      </c>
      <c r="B7686" t="s">
        <v>11943</v>
      </c>
    </row>
    <row r="7687" spans="1:2" x14ac:dyDescent="0.25">
      <c r="A7687" t="s">
        <v>838</v>
      </c>
      <c r="B7687" t="s">
        <v>11943</v>
      </c>
    </row>
    <row r="7688" spans="1:2" x14ac:dyDescent="0.25">
      <c r="A7688" t="s">
        <v>839</v>
      </c>
      <c r="B7688" t="s">
        <v>11943</v>
      </c>
    </row>
    <row r="7689" spans="1:2" x14ac:dyDescent="0.25">
      <c r="A7689" t="s">
        <v>840</v>
      </c>
      <c r="B7689" t="s">
        <v>11943</v>
      </c>
    </row>
    <row r="7690" spans="1:2" x14ac:dyDescent="0.25">
      <c r="A7690" t="s">
        <v>848</v>
      </c>
      <c r="B7690" t="s">
        <v>11943</v>
      </c>
    </row>
    <row r="7691" spans="1:2" x14ac:dyDescent="0.25">
      <c r="A7691" t="s">
        <v>6526</v>
      </c>
      <c r="B7691" t="s">
        <v>11943</v>
      </c>
    </row>
    <row r="7692" spans="1:2" x14ac:dyDescent="0.25">
      <c r="A7692" t="s">
        <v>11778</v>
      </c>
      <c r="B7692" t="s">
        <v>11943</v>
      </c>
    </row>
    <row r="7693" spans="1:2" x14ac:dyDescent="0.25">
      <c r="A7693" t="s">
        <v>10998</v>
      </c>
      <c r="B7693" t="s">
        <v>10610</v>
      </c>
    </row>
    <row r="7694" spans="1:2" x14ac:dyDescent="0.25">
      <c r="A7694" t="s">
        <v>850</v>
      </c>
      <c r="B7694" t="s">
        <v>10998</v>
      </c>
    </row>
    <row r="7695" spans="1:2" x14ac:dyDescent="0.25">
      <c r="A7695" t="s">
        <v>851</v>
      </c>
      <c r="B7695" t="s">
        <v>10998</v>
      </c>
    </row>
    <row r="7696" spans="1:2" x14ac:dyDescent="0.25">
      <c r="A7696" t="s">
        <v>1853</v>
      </c>
      <c r="B7696" t="s">
        <v>10998</v>
      </c>
    </row>
    <row r="7697" spans="1:2" x14ac:dyDescent="0.25">
      <c r="A7697" t="s">
        <v>4759</v>
      </c>
      <c r="B7697" t="s">
        <v>10998</v>
      </c>
    </row>
    <row r="7698" spans="1:2" x14ac:dyDescent="0.25">
      <c r="A7698" t="s">
        <v>9893</v>
      </c>
      <c r="B7698" t="s">
        <v>10998</v>
      </c>
    </row>
    <row r="7699" spans="1:2" x14ac:dyDescent="0.25">
      <c r="A7699" t="s">
        <v>852</v>
      </c>
      <c r="B7699" t="s">
        <v>10998</v>
      </c>
    </row>
    <row r="7700" spans="1:2" x14ac:dyDescent="0.25">
      <c r="A7700" t="s">
        <v>5203</v>
      </c>
      <c r="B7700" t="s">
        <v>10998</v>
      </c>
    </row>
    <row r="7701" spans="1:2" x14ac:dyDescent="0.25">
      <c r="A7701" t="s">
        <v>853</v>
      </c>
      <c r="B7701" t="s">
        <v>10998</v>
      </c>
    </row>
    <row r="7702" spans="1:2" x14ac:dyDescent="0.25">
      <c r="A7702" t="s">
        <v>6038</v>
      </c>
      <c r="B7702" t="s">
        <v>10998</v>
      </c>
    </row>
    <row r="7703" spans="1:2" x14ac:dyDescent="0.25">
      <c r="A7703" t="s">
        <v>3272</v>
      </c>
      <c r="B7703" t="s">
        <v>10998</v>
      </c>
    </row>
    <row r="7704" spans="1:2" x14ac:dyDescent="0.25">
      <c r="A7704" t="s">
        <v>8715</v>
      </c>
      <c r="B7704" t="s">
        <v>10998</v>
      </c>
    </row>
    <row r="7705" spans="1:2" x14ac:dyDescent="0.25">
      <c r="A7705" t="s">
        <v>854</v>
      </c>
      <c r="B7705" t="s">
        <v>10998</v>
      </c>
    </row>
    <row r="7706" spans="1:2" x14ac:dyDescent="0.25">
      <c r="A7706" t="s">
        <v>1468</v>
      </c>
      <c r="B7706" t="s">
        <v>10998</v>
      </c>
    </row>
    <row r="7707" spans="1:2" x14ac:dyDescent="0.25">
      <c r="A7707" t="s">
        <v>1515</v>
      </c>
      <c r="B7707" t="s">
        <v>10998</v>
      </c>
    </row>
    <row r="7708" spans="1:2" x14ac:dyDescent="0.25">
      <c r="A7708" t="s">
        <v>627</v>
      </c>
      <c r="B7708" t="s">
        <v>10998</v>
      </c>
    </row>
    <row r="7709" spans="1:2" x14ac:dyDescent="0.25">
      <c r="A7709" t="s">
        <v>628</v>
      </c>
      <c r="B7709" t="s">
        <v>10998</v>
      </c>
    </row>
    <row r="7710" spans="1:2" x14ac:dyDescent="0.25">
      <c r="A7710" t="s">
        <v>629</v>
      </c>
      <c r="B7710" t="s">
        <v>10998</v>
      </c>
    </row>
    <row r="7711" spans="1:2" x14ac:dyDescent="0.25">
      <c r="A7711" t="s">
        <v>631</v>
      </c>
      <c r="B7711" t="s">
        <v>10998</v>
      </c>
    </row>
    <row r="7712" spans="1:2" x14ac:dyDescent="0.25">
      <c r="A7712" t="s">
        <v>632</v>
      </c>
      <c r="B7712" t="s">
        <v>10998</v>
      </c>
    </row>
    <row r="7713" spans="1:2" x14ac:dyDescent="0.25">
      <c r="A7713" t="s">
        <v>633</v>
      </c>
      <c r="B7713" t="s">
        <v>10998</v>
      </c>
    </row>
    <row r="7714" spans="1:2" x14ac:dyDescent="0.25">
      <c r="A7714" t="s">
        <v>1796</v>
      </c>
      <c r="B7714" t="s">
        <v>10998</v>
      </c>
    </row>
    <row r="7715" spans="1:2" x14ac:dyDescent="0.25">
      <c r="A7715" t="s">
        <v>1422</v>
      </c>
      <c r="B7715" t="s">
        <v>10998</v>
      </c>
    </row>
    <row r="7716" spans="1:2" x14ac:dyDescent="0.25">
      <c r="A7716" t="s">
        <v>5358</v>
      </c>
      <c r="B7716" t="s">
        <v>10998</v>
      </c>
    </row>
    <row r="7717" spans="1:2" x14ac:dyDescent="0.25">
      <c r="A7717" t="s">
        <v>7899</v>
      </c>
      <c r="B7717" t="s">
        <v>10998</v>
      </c>
    </row>
    <row r="7718" spans="1:2" x14ac:dyDescent="0.25">
      <c r="A7718" t="s">
        <v>1424</v>
      </c>
      <c r="B7718" t="s">
        <v>10998</v>
      </c>
    </row>
    <row r="7719" spans="1:2" x14ac:dyDescent="0.25">
      <c r="A7719" t="s">
        <v>11944</v>
      </c>
      <c r="B7719" t="s">
        <v>10610</v>
      </c>
    </row>
    <row r="7720" spans="1:2" x14ac:dyDescent="0.25">
      <c r="A7720" t="s">
        <v>4758</v>
      </c>
      <c r="B7720" t="s">
        <v>11944</v>
      </c>
    </row>
    <row r="7721" spans="1:2" x14ac:dyDescent="0.25">
      <c r="A7721" t="s">
        <v>2830</v>
      </c>
      <c r="B7721" t="s">
        <v>11944</v>
      </c>
    </row>
    <row r="7722" spans="1:2" x14ac:dyDescent="0.25">
      <c r="A7722" t="s">
        <v>1850</v>
      </c>
      <c r="B7722" t="s">
        <v>11944</v>
      </c>
    </row>
    <row r="7723" spans="1:2" x14ac:dyDescent="0.25">
      <c r="A7723" t="s">
        <v>835</v>
      </c>
      <c r="B7723" t="s">
        <v>11944</v>
      </c>
    </row>
    <row r="7724" spans="1:2" x14ac:dyDescent="0.25">
      <c r="A7724" t="s">
        <v>1467</v>
      </c>
      <c r="B7724" t="s">
        <v>11944</v>
      </c>
    </row>
    <row r="7725" spans="1:2" x14ac:dyDescent="0.25">
      <c r="A7725" t="s">
        <v>4750</v>
      </c>
      <c r="B7725" t="s">
        <v>11944</v>
      </c>
    </row>
    <row r="7726" spans="1:2" x14ac:dyDescent="0.25">
      <c r="A7726" t="s">
        <v>1800</v>
      </c>
      <c r="B7726" t="s">
        <v>11944</v>
      </c>
    </row>
    <row r="7727" spans="1:2" x14ac:dyDescent="0.25">
      <c r="A7727" t="s">
        <v>3048</v>
      </c>
      <c r="B7727" t="s">
        <v>11944</v>
      </c>
    </row>
    <row r="7728" spans="1:2" x14ac:dyDescent="0.25">
      <c r="A7728" t="s">
        <v>8806</v>
      </c>
      <c r="B7728" t="s">
        <v>9547</v>
      </c>
    </row>
    <row r="7729" spans="1:2" x14ac:dyDescent="0.25">
      <c r="A7729" t="s">
        <v>3461</v>
      </c>
      <c r="B7729" t="s">
        <v>8806</v>
      </c>
    </row>
    <row r="7730" spans="1:2" x14ac:dyDescent="0.25">
      <c r="A7730" t="s">
        <v>3034</v>
      </c>
      <c r="B7730" t="s">
        <v>8806</v>
      </c>
    </row>
    <row r="7731" spans="1:2" x14ac:dyDescent="0.25">
      <c r="A7731" t="s">
        <v>3035</v>
      </c>
      <c r="B7731" t="s">
        <v>8806</v>
      </c>
    </row>
    <row r="7732" spans="1:2" x14ac:dyDescent="0.25">
      <c r="A7732" t="s">
        <v>3036</v>
      </c>
      <c r="B7732" t="s">
        <v>8806</v>
      </c>
    </row>
    <row r="7733" spans="1:2" x14ac:dyDescent="0.25">
      <c r="A7733" t="s">
        <v>1503</v>
      </c>
      <c r="B7733" t="s">
        <v>8806</v>
      </c>
    </row>
    <row r="7734" spans="1:2" x14ac:dyDescent="0.25">
      <c r="A7734" t="s">
        <v>12958</v>
      </c>
      <c r="B7734" t="s">
        <v>8806</v>
      </c>
    </row>
    <row r="7735" spans="1:2" x14ac:dyDescent="0.25">
      <c r="A7735" t="s">
        <v>12959</v>
      </c>
      <c r="B7735" t="s">
        <v>12958</v>
      </c>
    </row>
    <row r="7736" spans="1:2" x14ac:dyDescent="0.25">
      <c r="A7736" t="s">
        <v>12960</v>
      </c>
      <c r="B7736" t="s">
        <v>12958</v>
      </c>
    </row>
    <row r="7737" spans="1:2" x14ac:dyDescent="0.25">
      <c r="A7737" t="s">
        <v>13186</v>
      </c>
      <c r="B7737" t="s">
        <v>12958</v>
      </c>
    </row>
    <row r="7738" spans="1:2" x14ac:dyDescent="0.25">
      <c r="A7738" t="s">
        <v>13187</v>
      </c>
      <c r="B7738" t="s">
        <v>12958</v>
      </c>
    </row>
    <row r="7739" spans="1:2" x14ac:dyDescent="0.25">
      <c r="A7739" t="s">
        <v>12961</v>
      </c>
      <c r="B7739" t="s">
        <v>8806</v>
      </c>
    </row>
    <row r="7740" spans="1:2" x14ac:dyDescent="0.25">
      <c r="A7740" t="s">
        <v>14753</v>
      </c>
      <c r="B7740" t="s">
        <v>8806</v>
      </c>
    </row>
    <row r="7741" spans="1:2" x14ac:dyDescent="0.25">
      <c r="A7741" t="s">
        <v>14754</v>
      </c>
      <c r="B7741" t="s">
        <v>8806</v>
      </c>
    </row>
    <row r="7742" spans="1:2" x14ac:dyDescent="0.25">
      <c r="A7742" t="s">
        <v>14948</v>
      </c>
      <c r="B7742" t="s">
        <v>8806</v>
      </c>
    </row>
    <row r="7743" spans="1:2" x14ac:dyDescent="0.25">
      <c r="A7743" t="s">
        <v>3063</v>
      </c>
      <c r="B7743" t="s">
        <v>8806</v>
      </c>
    </row>
    <row r="7744" spans="1:2" x14ac:dyDescent="0.25">
      <c r="A7744" t="s">
        <v>2410</v>
      </c>
      <c r="B7744" t="s">
        <v>3063</v>
      </c>
    </row>
    <row r="7745" spans="1:2" x14ac:dyDescent="0.25">
      <c r="A7745" t="s">
        <v>8719</v>
      </c>
      <c r="B7745" t="s">
        <v>2410</v>
      </c>
    </row>
    <row r="7746" spans="1:2" x14ac:dyDescent="0.25">
      <c r="A7746" t="s">
        <v>3795</v>
      </c>
      <c r="B7746" t="s">
        <v>2410</v>
      </c>
    </row>
    <row r="7747" spans="1:2" x14ac:dyDescent="0.25">
      <c r="A7747" t="s">
        <v>6544</v>
      </c>
      <c r="B7747" t="s">
        <v>2410</v>
      </c>
    </row>
    <row r="7748" spans="1:2" x14ac:dyDescent="0.25">
      <c r="A7748" t="s">
        <v>5221</v>
      </c>
      <c r="B7748" t="s">
        <v>2410</v>
      </c>
    </row>
    <row r="7749" spans="1:2" x14ac:dyDescent="0.25">
      <c r="A7749" t="s">
        <v>8720</v>
      </c>
      <c r="B7749" t="s">
        <v>2410</v>
      </c>
    </row>
    <row r="7750" spans="1:2" x14ac:dyDescent="0.25">
      <c r="A7750" t="s">
        <v>8721</v>
      </c>
      <c r="B7750" t="s">
        <v>2410</v>
      </c>
    </row>
    <row r="7751" spans="1:2" x14ac:dyDescent="0.25">
      <c r="A7751" t="s">
        <v>11506</v>
      </c>
      <c r="B7751" t="s">
        <v>2410</v>
      </c>
    </row>
    <row r="7752" spans="1:2" x14ac:dyDescent="0.25">
      <c r="A7752" t="s">
        <v>1091</v>
      </c>
      <c r="B7752" t="s">
        <v>2410</v>
      </c>
    </row>
    <row r="7753" spans="1:2" x14ac:dyDescent="0.25">
      <c r="A7753" t="s">
        <v>2155</v>
      </c>
      <c r="B7753" t="s">
        <v>2410</v>
      </c>
    </row>
    <row r="7754" spans="1:2" x14ac:dyDescent="0.25">
      <c r="A7754" t="s">
        <v>3010</v>
      </c>
      <c r="B7754" t="s">
        <v>2410</v>
      </c>
    </row>
    <row r="7755" spans="1:2" x14ac:dyDescent="0.25">
      <c r="A7755" t="s">
        <v>4497</v>
      </c>
      <c r="B7755" t="s">
        <v>2410</v>
      </c>
    </row>
    <row r="7756" spans="1:2" x14ac:dyDescent="0.25">
      <c r="A7756" t="s">
        <v>7311</v>
      </c>
      <c r="B7756" t="s">
        <v>2410</v>
      </c>
    </row>
    <row r="7757" spans="1:2" x14ac:dyDescent="0.25">
      <c r="A7757" t="s">
        <v>2411</v>
      </c>
      <c r="B7757" t="s">
        <v>3063</v>
      </c>
    </row>
    <row r="7758" spans="1:2" x14ac:dyDescent="0.25">
      <c r="A7758" t="s">
        <v>3508</v>
      </c>
      <c r="B7758" t="s">
        <v>2411</v>
      </c>
    </row>
    <row r="7759" spans="1:2" x14ac:dyDescent="0.25">
      <c r="A7759" t="s">
        <v>10654</v>
      </c>
      <c r="B7759" t="s">
        <v>9547</v>
      </c>
    </row>
    <row r="7760" spans="1:2" x14ac:dyDescent="0.25">
      <c r="A7760" t="s">
        <v>12962</v>
      </c>
      <c r="B7760" t="s">
        <v>9547</v>
      </c>
    </row>
    <row r="7761" spans="1:2" x14ac:dyDescent="0.25">
      <c r="A7761" t="s">
        <v>12968</v>
      </c>
      <c r="B7761" t="s">
        <v>12962</v>
      </c>
    </row>
    <row r="7762" spans="1:2" x14ac:dyDescent="0.25">
      <c r="A7762" t="s">
        <v>8389</v>
      </c>
      <c r="B7762" t="s">
        <v>12968</v>
      </c>
    </row>
    <row r="7763" spans="1:2" x14ac:dyDescent="0.25">
      <c r="A7763" t="s">
        <v>1825</v>
      </c>
      <c r="B7763" t="s">
        <v>8389</v>
      </c>
    </row>
    <row r="7764" spans="1:2" x14ac:dyDescent="0.25">
      <c r="A7764" t="s">
        <v>783</v>
      </c>
      <c r="B7764" t="s">
        <v>8389</v>
      </c>
    </row>
    <row r="7765" spans="1:2" x14ac:dyDescent="0.25">
      <c r="A7765" t="s">
        <v>784</v>
      </c>
      <c r="B7765" t="s">
        <v>8389</v>
      </c>
    </row>
    <row r="7766" spans="1:2" x14ac:dyDescent="0.25">
      <c r="A7766" t="s">
        <v>1832</v>
      </c>
      <c r="B7766" t="s">
        <v>8389</v>
      </c>
    </row>
    <row r="7767" spans="1:2" x14ac:dyDescent="0.25">
      <c r="A7767" t="s">
        <v>4902</v>
      </c>
      <c r="B7767" t="s">
        <v>12968</v>
      </c>
    </row>
    <row r="7768" spans="1:2" x14ac:dyDescent="0.25">
      <c r="A7768" t="s">
        <v>785</v>
      </c>
      <c r="B7768" t="s">
        <v>4902</v>
      </c>
    </row>
    <row r="7769" spans="1:2" x14ac:dyDescent="0.25">
      <c r="A7769" t="s">
        <v>1400</v>
      </c>
      <c r="B7769" t="s">
        <v>4902</v>
      </c>
    </row>
    <row r="7770" spans="1:2" x14ac:dyDescent="0.25">
      <c r="A7770" t="s">
        <v>1586</v>
      </c>
      <c r="B7770" t="s">
        <v>4902</v>
      </c>
    </row>
    <row r="7771" spans="1:2" x14ac:dyDescent="0.25">
      <c r="A7771" t="s">
        <v>1587</v>
      </c>
      <c r="B7771" t="s">
        <v>4902</v>
      </c>
    </row>
    <row r="7772" spans="1:2" x14ac:dyDescent="0.25">
      <c r="A7772" t="s">
        <v>2222</v>
      </c>
      <c r="B7772" t="s">
        <v>4902</v>
      </c>
    </row>
    <row r="7773" spans="1:2" x14ac:dyDescent="0.25">
      <c r="A7773" t="s">
        <v>2223</v>
      </c>
      <c r="B7773" t="s">
        <v>4902</v>
      </c>
    </row>
    <row r="7774" spans="1:2" x14ac:dyDescent="0.25">
      <c r="A7774" t="s">
        <v>1611</v>
      </c>
      <c r="B7774" t="s">
        <v>4902</v>
      </c>
    </row>
    <row r="7775" spans="1:2" x14ac:dyDescent="0.25">
      <c r="A7775" t="s">
        <v>2226</v>
      </c>
      <c r="B7775" t="s">
        <v>4902</v>
      </c>
    </row>
    <row r="7776" spans="1:2" x14ac:dyDescent="0.25">
      <c r="A7776" t="s">
        <v>139</v>
      </c>
      <c r="B7776" t="s">
        <v>12968</v>
      </c>
    </row>
    <row r="7777" spans="1:2" x14ac:dyDescent="0.25">
      <c r="A7777" t="s">
        <v>12970</v>
      </c>
      <c r="B7777" t="s">
        <v>12962</v>
      </c>
    </row>
    <row r="7778" spans="1:2" x14ac:dyDescent="0.25">
      <c r="A7778" t="s">
        <v>2182</v>
      </c>
      <c r="B7778" t="s">
        <v>12970</v>
      </c>
    </row>
    <row r="7779" spans="1:2" x14ac:dyDescent="0.25">
      <c r="A7779" t="s">
        <v>737</v>
      </c>
      <c r="B7779" t="s">
        <v>2182</v>
      </c>
    </row>
    <row r="7780" spans="1:2" x14ac:dyDescent="0.25">
      <c r="A7780" t="s">
        <v>8424</v>
      </c>
      <c r="B7780" t="s">
        <v>737</v>
      </c>
    </row>
    <row r="7781" spans="1:2" x14ac:dyDescent="0.25">
      <c r="A7781" t="s">
        <v>8391</v>
      </c>
      <c r="B7781" t="s">
        <v>2182</v>
      </c>
    </row>
    <row r="7782" spans="1:2" x14ac:dyDescent="0.25">
      <c r="A7782" t="s">
        <v>12972</v>
      </c>
      <c r="B7782" t="s">
        <v>12962</v>
      </c>
    </row>
    <row r="7783" spans="1:2" x14ac:dyDescent="0.25">
      <c r="A7783" t="s">
        <v>998</v>
      </c>
      <c r="B7783" t="s">
        <v>12962</v>
      </c>
    </row>
    <row r="7784" spans="1:2" x14ac:dyDescent="0.25">
      <c r="A7784" t="s">
        <v>999</v>
      </c>
      <c r="B7784" t="s">
        <v>12962</v>
      </c>
    </row>
    <row r="7785" spans="1:2" x14ac:dyDescent="0.25">
      <c r="A7785" t="s">
        <v>1063</v>
      </c>
      <c r="B7785" t="s">
        <v>12962</v>
      </c>
    </row>
    <row r="7786" spans="1:2" x14ac:dyDescent="0.25">
      <c r="A7786" t="s">
        <v>5775</v>
      </c>
      <c r="B7786" t="s">
        <v>12962</v>
      </c>
    </row>
    <row r="7787" spans="1:2" x14ac:dyDescent="0.25">
      <c r="A7787" t="s">
        <v>12974</v>
      </c>
      <c r="B7787" t="s">
        <v>9547</v>
      </c>
    </row>
    <row r="7788" spans="1:2" x14ac:dyDescent="0.25">
      <c r="A7788" t="s">
        <v>12990</v>
      </c>
      <c r="B7788" t="s">
        <v>12974</v>
      </c>
    </row>
    <row r="7789" spans="1:2" x14ac:dyDescent="0.25">
      <c r="A7789" t="s">
        <v>12992</v>
      </c>
      <c r="B7789" t="s">
        <v>12990</v>
      </c>
    </row>
    <row r="7790" spans="1:2" x14ac:dyDescent="0.25">
      <c r="A7790" t="s">
        <v>12993</v>
      </c>
      <c r="B7790" t="s">
        <v>12990</v>
      </c>
    </row>
    <row r="7791" spans="1:2" x14ac:dyDescent="0.25">
      <c r="A7791" t="s">
        <v>313</v>
      </c>
      <c r="B7791" t="s">
        <v>9547</v>
      </c>
    </row>
    <row r="7792" spans="1:2" x14ac:dyDescent="0.25">
      <c r="A7792" t="s">
        <v>7658</v>
      </c>
      <c r="B7792" t="s">
        <v>313</v>
      </c>
    </row>
    <row r="7793" spans="1:2" x14ac:dyDescent="0.25">
      <c r="A7793" t="s">
        <v>748</v>
      </c>
      <c r="B7793" t="s">
        <v>7658</v>
      </c>
    </row>
    <row r="7794" spans="1:2" x14ac:dyDescent="0.25">
      <c r="A7794" t="s">
        <v>749</v>
      </c>
      <c r="B7794" t="s">
        <v>7658</v>
      </c>
    </row>
    <row r="7795" spans="1:2" x14ac:dyDescent="0.25">
      <c r="A7795" t="s">
        <v>750</v>
      </c>
      <c r="B7795" t="s">
        <v>7658</v>
      </c>
    </row>
    <row r="7796" spans="1:2" x14ac:dyDescent="0.25">
      <c r="A7796" t="s">
        <v>751</v>
      </c>
      <c r="B7796" t="s">
        <v>7658</v>
      </c>
    </row>
    <row r="7797" spans="1:2" x14ac:dyDescent="0.25">
      <c r="A7797" t="s">
        <v>1541</v>
      </c>
      <c r="B7797" t="s">
        <v>7658</v>
      </c>
    </row>
    <row r="7798" spans="1:2" x14ac:dyDescent="0.25">
      <c r="A7798" t="s">
        <v>1542</v>
      </c>
      <c r="B7798" t="s">
        <v>7658</v>
      </c>
    </row>
    <row r="7799" spans="1:2" x14ac:dyDescent="0.25">
      <c r="A7799" t="s">
        <v>1580</v>
      </c>
      <c r="B7799" t="s">
        <v>7658</v>
      </c>
    </row>
    <row r="7800" spans="1:2" x14ac:dyDescent="0.25">
      <c r="A7800" t="s">
        <v>11800</v>
      </c>
      <c r="B7800" t="s">
        <v>7658</v>
      </c>
    </row>
    <row r="7801" spans="1:2" x14ac:dyDescent="0.25">
      <c r="A7801" t="s">
        <v>4264</v>
      </c>
      <c r="B7801" t="s">
        <v>313</v>
      </c>
    </row>
    <row r="7802" spans="1:2" x14ac:dyDescent="0.25">
      <c r="A7802" t="s">
        <v>6966</v>
      </c>
      <c r="B7802" t="s">
        <v>4264</v>
      </c>
    </row>
    <row r="7803" spans="1:2" x14ac:dyDescent="0.25">
      <c r="A7803" t="s">
        <v>1829</v>
      </c>
      <c r="B7803" t="s">
        <v>4264</v>
      </c>
    </row>
    <row r="7804" spans="1:2" x14ac:dyDescent="0.25">
      <c r="A7804" t="s">
        <v>1830</v>
      </c>
      <c r="B7804" t="s">
        <v>4264</v>
      </c>
    </row>
    <row r="7805" spans="1:2" x14ac:dyDescent="0.25">
      <c r="A7805" t="s">
        <v>752</v>
      </c>
      <c r="B7805" t="s">
        <v>4264</v>
      </c>
    </row>
    <row r="7806" spans="1:2" x14ac:dyDescent="0.25">
      <c r="A7806" t="s">
        <v>1398</v>
      </c>
      <c r="B7806" t="s">
        <v>4264</v>
      </c>
    </row>
    <row r="7807" spans="1:2" x14ac:dyDescent="0.25">
      <c r="A7807" t="s">
        <v>2220</v>
      </c>
      <c r="B7807" t="s">
        <v>4264</v>
      </c>
    </row>
    <row r="7808" spans="1:2" x14ac:dyDescent="0.25">
      <c r="A7808" t="s">
        <v>6037</v>
      </c>
      <c r="B7808" t="s">
        <v>313</v>
      </c>
    </row>
    <row r="7809" spans="1:2" x14ac:dyDescent="0.25">
      <c r="A7809" t="s">
        <v>768</v>
      </c>
      <c r="B7809" t="s">
        <v>6037</v>
      </c>
    </row>
    <row r="7810" spans="1:2" x14ac:dyDescent="0.25">
      <c r="A7810" t="s">
        <v>769</v>
      </c>
      <c r="B7810" t="s">
        <v>6037</v>
      </c>
    </row>
    <row r="7811" spans="1:2" x14ac:dyDescent="0.25">
      <c r="A7811" t="s">
        <v>770</v>
      </c>
      <c r="B7811" t="s">
        <v>6037</v>
      </c>
    </row>
    <row r="7812" spans="1:2" x14ac:dyDescent="0.25">
      <c r="A7812" t="s">
        <v>771</v>
      </c>
      <c r="B7812" t="s">
        <v>6037</v>
      </c>
    </row>
    <row r="7813" spans="1:2" x14ac:dyDescent="0.25">
      <c r="A7813" t="s">
        <v>772</v>
      </c>
      <c r="B7813" t="s">
        <v>6037</v>
      </c>
    </row>
    <row r="7814" spans="1:2" x14ac:dyDescent="0.25">
      <c r="A7814" t="s">
        <v>773</v>
      </c>
      <c r="B7814" t="s">
        <v>6037</v>
      </c>
    </row>
    <row r="7815" spans="1:2" x14ac:dyDescent="0.25">
      <c r="A7815" t="s">
        <v>775</v>
      </c>
      <c r="B7815" t="s">
        <v>6037</v>
      </c>
    </row>
    <row r="7816" spans="1:2" x14ac:dyDescent="0.25">
      <c r="A7816" t="s">
        <v>777</v>
      </c>
      <c r="B7816" t="s">
        <v>6037</v>
      </c>
    </row>
    <row r="7817" spans="1:2" x14ac:dyDescent="0.25">
      <c r="A7817" t="s">
        <v>778</v>
      </c>
      <c r="B7817" t="s">
        <v>6037</v>
      </c>
    </row>
    <row r="7818" spans="1:2" x14ac:dyDescent="0.25">
      <c r="A7818" t="s">
        <v>903</v>
      </c>
      <c r="B7818" t="s">
        <v>6037</v>
      </c>
    </row>
    <row r="7819" spans="1:2" x14ac:dyDescent="0.25">
      <c r="A7819" t="s">
        <v>3275</v>
      </c>
      <c r="B7819" t="s">
        <v>6037</v>
      </c>
    </row>
    <row r="7820" spans="1:2" x14ac:dyDescent="0.25">
      <c r="A7820" t="s">
        <v>1395</v>
      </c>
      <c r="B7820" t="s">
        <v>6037</v>
      </c>
    </row>
    <row r="7821" spans="1:2" x14ac:dyDescent="0.25">
      <c r="A7821" t="s">
        <v>3001</v>
      </c>
      <c r="B7821" t="s">
        <v>6037</v>
      </c>
    </row>
    <row r="7822" spans="1:2" x14ac:dyDescent="0.25">
      <c r="A7822" t="s">
        <v>2137</v>
      </c>
      <c r="B7822" t="s">
        <v>6037</v>
      </c>
    </row>
    <row r="7823" spans="1:2" x14ac:dyDescent="0.25">
      <c r="A7823" t="s">
        <v>1539</v>
      </c>
      <c r="B7823" t="s">
        <v>6037</v>
      </c>
    </row>
    <row r="7824" spans="1:2" x14ac:dyDescent="0.25">
      <c r="A7824" t="s">
        <v>1540</v>
      </c>
      <c r="B7824" t="s">
        <v>6037</v>
      </c>
    </row>
    <row r="7825" spans="1:2" x14ac:dyDescent="0.25">
      <c r="A7825" t="s">
        <v>6536</v>
      </c>
      <c r="B7825" t="s">
        <v>313</v>
      </c>
    </row>
    <row r="7826" spans="1:2" x14ac:dyDescent="0.25">
      <c r="A7826" t="s">
        <v>2596</v>
      </c>
      <c r="B7826" t="s">
        <v>313</v>
      </c>
    </row>
    <row r="7827" spans="1:2" x14ac:dyDescent="0.25">
      <c r="A7827" t="s">
        <v>754</v>
      </c>
      <c r="B7827" t="s">
        <v>2596</v>
      </c>
    </row>
    <row r="7828" spans="1:2" x14ac:dyDescent="0.25">
      <c r="A7828" t="s">
        <v>774</v>
      </c>
      <c r="B7828" t="s">
        <v>2596</v>
      </c>
    </row>
    <row r="7829" spans="1:2" x14ac:dyDescent="0.25">
      <c r="A7829" t="s">
        <v>776</v>
      </c>
      <c r="B7829" t="s">
        <v>2596</v>
      </c>
    </row>
    <row r="7830" spans="1:2" x14ac:dyDescent="0.25">
      <c r="A7830" t="s">
        <v>12998</v>
      </c>
      <c r="B7830" t="s">
        <v>313</v>
      </c>
    </row>
    <row r="7831" spans="1:2" x14ac:dyDescent="0.25">
      <c r="A7831" t="s">
        <v>10934</v>
      </c>
      <c r="B7831" t="s">
        <v>12998</v>
      </c>
    </row>
    <row r="7832" spans="1:2" x14ac:dyDescent="0.25">
      <c r="A7832" t="s">
        <v>755</v>
      </c>
      <c r="B7832" t="s">
        <v>10934</v>
      </c>
    </row>
    <row r="7833" spans="1:2" x14ac:dyDescent="0.25">
      <c r="A7833" t="s">
        <v>756</v>
      </c>
      <c r="B7833" t="s">
        <v>10934</v>
      </c>
    </row>
    <row r="7834" spans="1:2" x14ac:dyDescent="0.25">
      <c r="A7834" t="s">
        <v>757</v>
      </c>
      <c r="B7834" t="s">
        <v>10934</v>
      </c>
    </row>
    <row r="7835" spans="1:2" x14ac:dyDescent="0.25">
      <c r="A7835" t="s">
        <v>758</v>
      </c>
      <c r="B7835" t="s">
        <v>10934</v>
      </c>
    </row>
    <row r="7836" spans="1:2" x14ac:dyDescent="0.25">
      <c r="A7836" t="s">
        <v>759</v>
      </c>
      <c r="B7836" t="s">
        <v>10934</v>
      </c>
    </row>
    <row r="7837" spans="1:2" x14ac:dyDescent="0.25">
      <c r="A7837" t="s">
        <v>760</v>
      </c>
      <c r="B7837" t="s">
        <v>10934</v>
      </c>
    </row>
    <row r="7838" spans="1:2" x14ac:dyDescent="0.25">
      <c r="A7838" t="s">
        <v>761</v>
      </c>
      <c r="B7838" t="s">
        <v>10934</v>
      </c>
    </row>
    <row r="7839" spans="1:2" x14ac:dyDescent="0.25">
      <c r="A7839" t="s">
        <v>762</v>
      </c>
      <c r="B7839" t="s">
        <v>10934</v>
      </c>
    </row>
    <row r="7840" spans="1:2" x14ac:dyDescent="0.25">
      <c r="A7840" t="s">
        <v>1538</v>
      </c>
      <c r="B7840" t="s">
        <v>10934</v>
      </c>
    </row>
    <row r="7841" spans="1:2" x14ac:dyDescent="0.25">
      <c r="A7841" t="s">
        <v>9892</v>
      </c>
      <c r="B7841" t="s">
        <v>12998</v>
      </c>
    </row>
    <row r="7842" spans="1:2" x14ac:dyDescent="0.25">
      <c r="A7842" t="s">
        <v>753</v>
      </c>
      <c r="B7842" t="s">
        <v>9892</v>
      </c>
    </row>
    <row r="7843" spans="1:2" x14ac:dyDescent="0.25">
      <c r="A7843" t="s">
        <v>2381</v>
      </c>
      <c r="B7843" t="s">
        <v>9892</v>
      </c>
    </row>
    <row r="7844" spans="1:2" x14ac:dyDescent="0.25">
      <c r="A7844" t="s">
        <v>2382</v>
      </c>
      <c r="B7844" t="s">
        <v>9892</v>
      </c>
    </row>
    <row r="7845" spans="1:2" x14ac:dyDescent="0.25">
      <c r="A7845" t="s">
        <v>766</v>
      </c>
      <c r="B7845" t="s">
        <v>9892</v>
      </c>
    </row>
    <row r="7846" spans="1:2" x14ac:dyDescent="0.25">
      <c r="A7846" t="s">
        <v>767</v>
      </c>
      <c r="B7846" t="s">
        <v>9892</v>
      </c>
    </row>
    <row r="7847" spans="1:2" x14ac:dyDescent="0.25">
      <c r="A7847" t="s">
        <v>1394</v>
      </c>
      <c r="B7847" t="s">
        <v>9892</v>
      </c>
    </row>
    <row r="7848" spans="1:2" x14ac:dyDescent="0.25">
      <c r="A7848" t="s">
        <v>12999</v>
      </c>
      <c r="B7848" t="s">
        <v>313</v>
      </c>
    </row>
    <row r="7849" spans="1:2" x14ac:dyDescent="0.25">
      <c r="A7849" t="s">
        <v>11503</v>
      </c>
      <c r="B7849" t="s">
        <v>12999</v>
      </c>
    </row>
    <row r="7850" spans="1:2" x14ac:dyDescent="0.25">
      <c r="A7850" t="s">
        <v>6531</v>
      </c>
      <c r="B7850" t="s">
        <v>11503</v>
      </c>
    </row>
    <row r="7851" spans="1:2" x14ac:dyDescent="0.25">
      <c r="A7851" t="s">
        <v>779</v>
      </c>
      <c r="B7851" t="s">
        <v>11503</v>
      </c>
    </row>
    <row r="7852" spans="1:2" x14ac:dyDescent="0.25">
      <c r="A7852" t="s">
        <v>780</v>
      </c>
      <c r="B7852" t="s">
        <v>11503</v>
      </c>
    </row>
    <row r="7853" spans="1:2" x14ac:dyDescent="0.25">
      <c r="A7853" t="s">
        <v>2827</v>
      </c>
      <c r="B7853" t="s">
        <v>11503</v>
      </c>
    </row>
    <row r="7854" spans="1:2" x14ac:dyDescent="0.25">
      <c r="A7854" t="s">
        <v>1831</v>
      </c>
      <c r="B7854" t="s">
        <v>11503</v>
      </c>
    </row>
    <row r="7855" spans="1:2" x14ac:dyDescent="0.25">
      <c r="A7855" t="s">
        <v>781</v>
      </c>
      <c r="B7855" t="s">
        <v>11503</v>
      </c>
    </row>
    <row r="7856" spans="1:2" x14ac:dyDescent="0.25">
      <c r="A7856" t="s">
        <v>782</v>
      </c>
      <c r="B7856" t="s">
        <v>11503</v>
      </c>
    </row>
    <row r="7857" spans="1:2" x14ac:dyDescent="0.25">
      <c r="A7857" t="s">
        <v>4766</v>
      </c>
      <c r="B7857" t="s">
        <v>11503</v>
      </c>
    </row>
    <row r="7858" spans="1:2" x14ac:dyDescent="0.25">
      <c r="A7858" t="s">
        <v>3062</v>
      </c>
      <c r="B7858" t="s">
        <v>12999</v>
      </c>
    </row>
    <row r="7859" spans="1:2" x14ac:dyDescent="0.25">
      <c r="A7859" t="s">
        <v>3771</v>
      </c>
      <c r="B7859" t="s">
        <v>3062</v>
      </c>
    </row>
    <row r="7860" spans="1:2" x14ac:dyDescent="0.25">
      <c r="A7860" t="s">
        <v>8714</v>
      </c>
      <c r="B7860" t="s">
        <v>3771</v>
      </c>
    </row>
    <row r="7861" spans="1:2" x14ac:dyDescent="0.25">
      <c r="A7861" t="s">
        <v>6662</v>
      </c>
      <c r="B7861" t="s">
        <v>3062</v>
      </c>
    </row>
    <row r="7862" spans="1:2" x14ac:dyDescent="0.25">
      <c r="A7862" t="s">
        <v>2373</v>
      </c>
      <c r="B7862" t="s">
        <v>6662</v>
      </c>
    </row>
    <row r="7863" spans="1:2" x14ac:dyDescent="0.25">
      <c r="A7863" t="s">
        <v>9248</v>
      </c>
      <c r="B7863" t="s">
        <v>3062</v>
      </c>
    </row>
    <row r="7864" spans="1:2" x14ac:dyDescent="0.25">
      <c r="A7864" t="s">
        <v>11573</v>
      </c>
      <c r="B7864" t="s">
        <v>3062</v>
      </c>
    </row>
    <row r="7865" spans="1:2" x14ac:dyDescent="0.25">
      <c r="A7865" t="s">
        <v>11574</v>
      </c>
      <c r="B7865" t="s">
        <v>3062</v>
      </c>
    </row>
    <row r="7866" spans="1:2" x14ac:dyDescent="0.25">
      <c r="A7866" t="s">
        <v>8843</v>
      </c>
      <c r="B7866" t="s">
        <v>3062</v>
      </c>
    </row>
    <row r="7867" spans="1:2" x14ac:dyDescent="0.25">
      <c r="A7867" t="s">
        <v>7923</v>
      </c>
      <c r="B7867" t="s">
        <v>3062</v>
      </c>
    </row>
    <row r="7868" spans="1:2" x14ac:dyDescent="0.25">
      <c r="A7868" t="s">
        <v>4917</v>
      </c>
      <c r="B7868" t="s">
        <v>3062</v>
      </c>
    </row>
    <row r="7869" spans="1:2" x14ac:dyDescent="0.25">
      <c r="A7869" t="s">
        <v>10670</v>
      </c>
      <c r="B7869" t="s">
        <v>3062</v>
      </c>
    </row>
    <row r="7870" spans="1:2" x14ac:dyDescent="0.25">
      <c r="A7870" t="s">
        <v>13000</v>
      </c>
      <c r="B7870" t="s">
        <v>313</v>
      </c>
    </row>
    <row r="7871" spans="1:2" x14ac:dyDescent="0.25">
      <c r="A7871" t="s">
        <v>1069</v>
      </c>
      <c r="B7871" t="s">
        <v>13000</v>
      </c>
    </row>
    <row r="7872" spans="1:2" x14ac:dyDescent="0.25">
      <c r="A7872" t="s">
        <v>3792</v>
      </c>
      <c r="B7872" t="s">
        <v>13000</v>
      </c>
    </row>
    <row r="7873" spans="1:2" x14ac:dyDescent="0.25">
      <c r="A7873" t="s">
        <v>1076</v>
      </c>
      <c r="B7873" t="s">
        <v>13000</v>
      </c>
    </row>
    <row r="7874" spans="1:2" x14ac:dyDescent="0.25">
      <c r="A7874" t="s">
        <v>4889</v>
      </c>
      <c r="B7874" t="s">
        <v>13000</v>
      </c>
    </row>
    <row r="7875" spans="1:2" x14ac:dyDescent="0.25">
      <c r="A7875" t="s">
        <v>1477</v>
      </c>
      <c r="B7875" t="s">
        <v>13000</v>
      </c>
    </row>
    <row r="7876" spans="1:2" x14ac:dyDescent="0.25">
      <c r="A7876" t="s">
        <v>1478</v>
      </c>
      <c r="B7876" t="s">
        <v>13000</v>
      </c>
    </row>
    <row r="7877" spans="1:2" x14ac:dyDescent="0.25">
      <c r="A7877" t="s">
        <v>2574</v>
      </c>
      <c r="B7877" t="s">
        <v>13000</v>
      </c>
    </row>
    <row r="7878" spans="1:2" x14ac:dyDescent="0.25">
      <c r="A7878" t="s">
        <v>1479</v>
      </c>
      <c r="B7878" t="s">
        <v>13000</v>
      </c>
    </row>
    <row r="7879" spans="1:2" x14ac:dyDescent="0.25">
      <c r="A7879" t="s">
        <v>3955</v>
      </c>
      <c r="B7879" t="s">
        <v>13000</v>
      </c>
    </row>
    <row r="7880" spans="1:2" x14ac:dyDescent="0.25">
      <c r="A7880" t="s">
        <v>2609</v>
      </c>
      <c r="B7880" t="s">
        <v>13000</v>
      </c>
    </row>
    <row r="7881" spans="1:2" x14ac:dyDescent="0.25">
      <c r="A7881" t="s">
        <v>13001</v>
      </c>
      <c r="B7881" t="s">
        <v>313</v>
      </c>
    </row>
    <row r="7882" spans="1:2" x14ac:dyDescent="0.25">
      <c r="A7882" t="s">
        <v>11502</v>
      </c>
      <c r="B7882" t="s">
        <v>313</v>
      </c>
    </row>
    <row r="7883" spans="1:2" x14ac:dyDescent="0.25">
      <c r="A7883" t="s">
        <v>7659</v>
      </c>
      <c r="B7883" t="s">
        <v>11502</v>
      </c>
    </row>
    <row r="7884" spans="1:2" x14ac:dyDescent="0.25">
      <c r="A7884" t="s">
        <v>711</v>
      </c>
      <c r="B7884" t="s">
        <v>7659</v>
      </c>
    </row>
    <row r="7885" spans="1:2" x14ac:dyDescent="0.25">
      <c r="A7885" t="s">
        <v>712</v>
      </c>
      <c r="B7885" t="s">
        <v>7659</v>
      </c>
    </row>
    <row r="7886" spans="1:2" x14ac:dyDescent="0.25">
      <c r="A7886" t="s">
        <v>713</v>
      </c>
      <c r="B7886" t="s">
        <v>7659</v>
      </c>
    </row>
    <row r="7887" spans="1:2" x14ac:dyDescent="0.25">
      <c r="A7887" t="s">
        <v>3973</v>
      </c>
      <c r="B7887" t="s">
        <v>11502</v>
      </c>
    </row>
    <row r="7888" spans="1:2" x14ac:dyDescent="0.25">
      <c r="A7888" t="s">
        <v>4263</v>
      </c>
      <c r="B7888" t="s">
        <v>3973</v>
      </c>
    </row>
    <row r="7889" spans="1:2" x14ac:dyDescent="0.25">
      <c r="A7889" t="s">
        <v>719</v>
      </c>
      <c r="B7889" t="s">
        <v>3973</v>
      </c>
    </row>
    <row r="7890" spans="1:2" x14ac:dyDescent="0.25">
      <c r="A7890" t="s">
        <v>720</v>
      </c>
      <c r="B7890" t="s">
        <v>3973</v>
      </c>
    </row>
    <row r="7891" spans="1:2" x14ac:dyDescent="0.25">
      <c r="A7891" t="s">
        <v>721</v>
      </c>
      <c r="B7891" t="s">
        <v>3973</v>
      </c>
    </row>
    <row r="7892" spans="1:2" x14ac:dyDescent="0.25">
      <c r="A7892" t="s">
        <v>722</v>
      </c>
      <c r="B7892" t="s">
        <v>3973</v>
      </c>
    </row>
    <row r="7893" spans="1:2" x14ac:dyDescent="0.25">
      <c r="A7893" t="s">
        <v>723</v>
      </c>
      <c r="B7893" t="s">
        <v>3973</v>
      </c>
    </row>
    <row r="7894" spans="1:2" x14ac:dyDescent="0.25">
      <c r="A7894" t="s">
        <v>724</v>
      </c>
      <c r="B7894" t="s">
        <v>3973</v>
      </c>
    </row>
    <row r="7895" spans="1:2" x14ac:dyDescent="0.25">
      <c r="A7895" t="s">
        <v>1401</v>
      </c>
      <c r="B7895" t="s">
        <v>3973</v>
      </c>
    </row>
    <row r="7896" spans="1:2" x14ac:dyDescent="0.25">
      <c r="A7896" t="s">
        <v>1404</v>
      </c>
      <c r="B7896" t="s">
        <v>3973</v>
      </c>
    </row>
    <row r="7897" spans="1:2" x14ac:dyDescent="0.25">
      <c r="A7897" t="s">
        <v>1406</v>
      </c>
      <c r="B7897" t="s">
        <v>3973</v>
      </c>
    </row>
    <row r="7898" spans="1:2" x14ac:dyDescent="0.25">
      <c r="A7898" t="s">
        <v>1407</v>
      </c>
      <c r="B7898" t="s">
        <v>3973</v>
      </c>
    </row>
    <row r="7899" spans="1:2" x14ac:dyDescent="0.25">
      <c r="A7899" t="s">
        <v>1408</v>
      </c>
      <c r="B7899" t="s">
        <v>3973</v>
      </c>
    </row>
    <row r="7900" spans="1:2" x14ac:dyDescent="0.25">
      <c r="A7900" t="s">
        <v>1588</v>
      </c>
      <c r="B7900" t="s">
        <v>3973</v>
      </c>
    </row>
    <row r="7901" spans="1:2" x14ac:dyDescent="0.25">
      <c r="A7901" t="s">
        <v>3986</v>
      </c>
      <c r="B7901" t="s">
        <v>3973</v>
      </c>
    </row>
    <row r="7902" spans="1:2" x14ac:dyDescent="0.25">
      <c r="A7902" t="s">
        <v>1615</v>
      </c>
      <c r="B7902" t="s">
        <v>3973</v>
      </c>
    </row>
    <row r="7903" spans="1:2" x14ac:dyDescent="0.25">
      <c r="A7903" t="s">
        <v>1617</v>
      </c>
      <c r="B7903" t="s">
        <v>3973</v>
      </c>
    </row>
    <row r="7904" spans="1:2" x14ac:dyDescent="0.25">
      <c r="A7904" t="s">
        <v>10997</v>
      </c>
      <c r="B7904" t="s">
        <v>11502</v>
      </c>
    </row>
    <row r="7905" spans="1:2" x14ac:dyDescent="0.25">
      <c r="A7905" t="s">
        <v>1403</v>
      </c>
      <c r="B7905" t="s">
        <v>10997</v>
      </c>
    </row>
    <row r="7906" spans="1:2" x14ac:dyDescent="0.25">
      <c r="A7906" t="s">
        <v>1405</v>
      </c>
      <c r="B7906" t="s">
        <v>10997</v>
      </c>
    </row>
    <row r="7907" spans="1:2" x14ac:dyDescent="0.25">
      <c r="A7907" t="s">
        <v>2615</v>
      </c>
      <c r="B7907" t="s">
        <v>10997</v>
      </c>
    </row>
    <row r="7908" spans="1:2" x14ac:dyDescent="0.25">
      <c r="A7908" t="s">
        <v>3974</v>
      </c>
      <c r="B7908" t="s">
        <v>11502</v>
      </c>
    </row>
    <row r="7909" spans="1:2" x14ac:dyDescent="0.25">
      <c r="A7909" t="s">
        <v>3500</v>
      </c>
      <c r="B7909" t="s">
        <v>11502</v>
      </c>
    </row>
    <row r="7910" spans="1:2" x14ac:dyDescent="0.25">
      <c r="A7910" t="s">
        <v>9253</v>
      </c>
      <c r="B7910" t="s">
        <v>9547</v>
      </c>
    </row>
    <row r="7911" spans="1:2" x14ac:dyDescent="0.25">
      <c r="A7911" t="s">
        <v>13002</v>
      </c>
      <c r="B7911" t="s">
        <v>9253</v>
      </c>
    </row>
    <row r="7912" spans="1:2" x14ac:dyDescent="0.25">
      <c r="A7912" t="s">
        <v>8388</v>
      </c>
      <c r="B7912" t="s">
        <v>13002</v>
      </c>
    </row>
    <row r="7913" spans="1:2" x14ac:dyDescent="0.25">
      <c r="A7913" t="s">
        <v>1833</v>
      </c>
      <c r="B7913" t="s">
        <v>8388</v>
      </c>
    </row>
    <row r="7914" spans="1:2" x14ac:dyDescent="0.25">
      <c r="A7914" t="s">
        <v>788</v>
      </c>
      <c r="B7914" t="s">
        <v>8388</v>
      </c>
    </row>
    <row r="7915" spans="1:2" x14ac:dyDescent="0.25">
      <c r="A7915" t="s">
        <v>8390</v>
      </c>
      <c r="B7915" t="s">
        <v>13002</v>
      </c>
    </row>
    <row r="7916" spans="1:2" x14ac:dyDescent="0.25">
      <c r="A7916" t="s">
        <v>2629</v>
      </c>
      <c r="B7916" t="s">
        <v>13002</v>
      </c>
    </row>
    <row r="7917" spans="1:2" x14ac:dyDescent="0.25">
      <c r="A7917" t="s">
        <v>786</v>
      </c>
      <c r="B7917" t="s">
        <v>13002</v>
      </c>
    </row>
    <row r="7918" spans="1:2" x14ac:dyDescent="0.25">
      <c r="A7918" t="s">
        <v>787</v>
      </c>
      <c r="B7918" t="s">
        <v>13002</v>
      </c>
    </row>
    <row r="7919" spans="1:2" x14ac:dyDescent="0.25">
      <c r="A7919" t="s">
        <v>13003</v>
      </c>
      <c r="B7919" t="s">
        <v>13002</v>
      </c>
    </row>
    <row r="7920" spans="1:2" x14ac:dyDescent="0.25">
      <c r="A7920" t="s">
        <v>2183</v>
      </c>
      <c r="B7920" t="s">
        <v>13003</v>
      </c>
    </row>
    <row r="7921" spans="1:2" x14ac:dyDescent="0.25">
      <c r="A7921" t="s">
        <v>789</v>
      </c>
      <c r="B7921" t="s">
        <v>2183</v>
      </c>
    </row>
    <row r="7922" spans="1:2" x14ac:dyDescent="0.25">
      <c r="A7922" t="s">
        <v>2997</v>
      </c>
      <c r="B7922" t="s">
        <v>2183</v>
      </c>
    </row>
    <row r="7923" spans="1:2" x14ac:dyDescent="0.25">
      <c r="A7923" t="s">
        <v>13004</v>
      </c>
      <c r="B7923" t="s">
        <v>13002</v>
      </c>
    </row>
    <row r="7924" spans="1:2" x14ac:dyDescent="0.25">
      <c r="A7924" t="s">
        <v>14949</v>
      </c>
      <c r="B7924" t="s">
        <v>9253</v>
      </c>
    </row>
    <row r="7925" spans="1:2" x14ac:dyDescent="0.25">
      <c r="A7925" t="s">
        <v>3483</v>
      </c>
      <c r="B7925" t="s">
        <v>9253</v>
      </c>
    </row>
    <row r="7926" spans="1:2" x14ac:dyDescent="0.25">
      <c r="A7926" t="s">
        <v>2191</v>
      </c>
      <c r="B7926" t="s">
        <v>3483</v>
      </c>
    </row>
    <row r="7927" spans="1:2" x14ac:dyDescent="0.25">
      <c r="A7927" t="s">
        <v>2201</v>
      </c>
      <c r="B7927" t="s">
        <v>3483</v>
      </c>
    </row>
    <row r="7928" spans="1:2" x14ac:dyDescent="0.25">
      <c r="A7928" t="s">
        <v>2202</v>
      </c>
      <c r="B7928" t="s">
        <v>3483</v>
      </c>
    </row>
    <row r="7929" spans="1:2" x14ac:dyDescent="0.25">
      <c r="A7929" t="s">
        <v>2203</v>
      </c>
      <c r="B7929" t="s">
        <v>3483</v>
      </c>
    </row>
    <row r="7930" spans="1:2" x14ac:dyDescent="0.25">
      <c r="A7930" t="s">
        <v>13029</v>
      </c>
      <c r="B7930" t="s">
        <v>3483</v>
      </c>
    </row>
    <row r="7931" spans="1:2" x14ac:dyDescent="0.25">
      <c r="A7931" t="s">
        <v>13030</v>
      </c>
      <c r="B7931" t="s">
        <v>3483</v>
      </c>
    </row>
    <row r="7932" spans="1:2" x14ac:dyDescent="0.25">
      <c r="A7932" t="s">
        <v>13031</v>
      </c>
      <c r="B7932" t="s">
        <v>3483</v>
      </c>
    </row>
    <row r="7933" spans="1:2" x14ac:dyDescent="0.25">
      <c r="A7933" t="s">
        <v>13033</v>
      </c>
      <c r="B7933" t="s">
        <v>3483</v>
      </c>
    </row>
    <row r="7934" spans="1:2" x14ac:dyDescent="0.25">
      <c r="A7934" t="s">
        <v>13034</v>
      </c>
      <c r="B7934" t="s">
        <v>3483</v>
      </c>
    </row>
    <row r="7935" spans="1:2" x14ac:dyDescent="0.25">
      <c r="A7935" t="s">
        <v>13035</v>
      </c>
      <c r="B7935" t="s">
        <v>3483</v>
      </c>
    </row>
    <row r="7936" spans="1:2" x14ac:dyDescent="0.25">
      <c r="A7936" t="s">
        <v>13036</v>
      </c>
      <c r="B7936" t="s">
        <v>3483</v>
      </c>
    </row>
    <row r="7937" spans="1:2" x14ac:dyDescent="0.25">
      <c r="A7937" t="s">
        <v>3975</v>
      </c>
      <c r="B7937" t="s">
        <v>3483</v>
      </c>
    </row>
    <row r="7938" spans="1:2" x14ac:dyDescent="0.25">
      <c r="A7938" t="s">
        <v>13363</v>
      </c>
      <c r="B7938" t="s">
        <v>3483</v>
      </c>
    </row>
    <row r="7939" spans="1:2" x14ac:dyDescent="0.25">
      <c r="A7939" t="s">
        <v>13364</v>
      </c>
      <c r="B7939" t="s">
        <v>3483</v>
      </c>
    </row>
    <row r="7940" spans="1:2" x14ac:dyDescent="0.25">
      <c r="A7940" t="s">
        <v>13365</v>
      </c>
      <c r="B7940" t="s">
        <v>3483</v>
      </c>
    </row>
    <row r="7941" spans="1:2" x14ac:dyDescent="0.25">
      <c r="A7941" t="s">
        <v>7269</v>
      </c>
      <c r="B7941" t="s">
        <v>9253</v>
      </c>
    </row>
    <row r="7942" spans="1:2" x14ac:dyDescent="0.25">
      <c r="A7942" t="s">
        <v>1579</v>
      </c>
      <c r="B7942" t="s">
        <v>7269</v>
      </c>
    </row>
    <row r="7943" spans="1:2" x14ac:dyDescent="0.25">
      <c r="A7943" t="s">
        <v>1581</v>
      </c>
      <c r="B7943" t="s">
        <v>7269</v>
      </c>
    </row>
    <row r="7944" spans="1:2" x14ac:dyDescent="0.25">
      <c r="A7944" t="s">
        <v>2206</v>
      </c>
      <c r="B7944" t="s">
        <v>7269</v>
      </c>
    </row>
    <row r="7945" spans="1:2" x14ac:dyDescent="0.25">
      <c r="A7945" t="s">
        <v>13012</v>
      </c>
      <c r="B7945" t="s">
        <v>7269</v>
      </c>
    </row>
    <row r="7946" spans="1:2" x14ac:dyDescent="0.25">
      <c r="A7946" t="s">
        <v>13013</v>
      </c>
      <c r="B7946" t="s">
        <v>7269</v>
      </c>
    </row>
    <row r="7947" spans="1:2" x14ac:dyDescent="0.25">
      <c r="A7947" t="s">
        <v>13014</v>
      </c>
      <c r="B7947" t="s">
        <v>7269</v>
      </c>
    </row>
    <row r="7948" spans="1:2" x14ac:dyDescent="0.25">
      <c r="A7948" t="s">
        <v>13015</v>
      </c>
      <c r="B7948" t="s">
        <v>7269</v>
      </c>
    </row>
    <row r="7949" spans="1:2" x14ac:dyDescent="0.25">
      <c r="A7949" t="s">
        <v>13016</v>
      </c>
      <c r="B7949" t="s">
        <v>7269</v>
      </c>
    </row>
    <row r="7950" spans="1:2" x14ac:dyDescent="0.25">
      <c r="A7950" t="s">
        <v>13017</v>
      </c>
      <c r="B7950" t="s">
        <v>7269</v>
      </c>
    </row>
    <row r="7951" spans="1:2" x14ac:dyDescent="0.25">
      <c r="A7951" t="s">
        <v>312</v>
      </c>
      <c r="B7951" t="s">
        <v>7269</v>
      </c>
    </row>
    <row r="7952" spans="1:2" x14ac:dyDescent="0.25">
      <c r="A7952" t="s">
        <v>2816</v>
      </c>
      <c r="B7952" t="s">
        <v>7269</v>
      </c>
    </row>
    <row r="7953" spans="1:2" x14ac:dyDescent="0.25">
      <c r="A7953" t="s">
        <v>671</v>
      </c>
      <c r="B7953" t="s">
        <v>7269</v>
      </c>
    </row>
    <row r="7954" spans="1:2" x14ac:dyDescent="0.25">
      <c r="A7954" t="s">
        <v>13352</v>
      </c>
      <c r="B7954" t="s">
        <v>7269</v>
      </c>
    </row>
    <row r="7955" spans="1:2" x14ac:dyDescent="0.25">
      <c r="A7955" t="s">
        <v>13353</v>
      </c>
      <c r="B7955" t="s">
        <v>7269</v>
      </c>
    </row>
    <row r="7956" spans="1:2" x14ac:dyDescent="0.25">
      <c r="A7956" t="s">
        <v>13354</v>
      </c>
      <c r="B7956" t="s">
        <v>7269</v>
      </c>
    </row>
    <row r="7957" spans="1:2" x14ac:dyDescent="0.25">
      <c r="A7957" t="s">
        <v>13355</v>
      </c>
      <c r="B7957" t="s">
        <v>7269</v>
      </c>
    </row>
    <row r="7958" spans="1:2" x14ac:dyDescent="0.25">
      <c r="A7958" t="s">
        <v>13356</v>
      </c>
      <c r="B7958" t="s">
        <v>7269</v>
      </c>
    </row>
    <row r="7959" spans="1:2" x14ac:dyDescent="0.25">
      <c r="A7959" t="s">
        <v>3009</v>
      </c>
      <c r="B7959" t="s">
        <v>7269</v>
      </c>
    </row>
    <row r="7960" spans="1:2" x14ac:dyDescent="0.25">
      <c r="A7960" t="s">
        <v>14755</v>
      </c>
      <c r="B7960" t="s">
        <v>7269</v>
      </c>
    </row>
    <row r="7961" spans="1:2" x14ac:dyDescent="0.25">
      <c r="A7961" t="s">
        <v>735</v>
      </c>
      <c r="B7961" t="s">
        <v>14755</v>
      </c>
    </row>
    <row r="7962" spans="1:2" x14ac:dyDescent="0.25">
      <c r="A7962" t="s">
        <v>3985</v>
      </c>
      <c r="B7962" t="s">
        <v>14755</v>
      </c>
    </row>
    <row r="7963" spans="1:2" x14ac:dyDescent="0.25">
      <c r="A7963" t="s">
        <v>9616</v>
      </c>
      <c r="B7963" t="s">
        <v>9547</v>
      </c>
    </row>
    <row r="7964" spans="1:2" x14ac:dyDescent="0.25">
      <c r="A7964" t="s">
        <v>14950</v>
      </c>
      <c r="B7964" t="s">
        <v>9616</v>
      </c>
    </row>
    <row r="7965" spans="1:2" x14ac:dyDescent="0.25">
      <c r="A7965" t="s">
        <v>1892</v>
      </c>
      <c r="B7965" t="s">
        <v>14950</v>
      </c>
    </row>
    <row r="7966" spans="1:2" x14ac:dyDescent="0.25">
      <c r="A7966" t="s">
        <v>3289</v>
      </c>
      <c r="B7966" t="s">
        <v>14950</v>
      </c>
    </row>
    <row r="7967" spans="1:2" x14ac:dyDescent="0.25">
      <c r="A7967" t="s">
        <v>1044</v>
      </c>
      <c r="B7967" t="s">
        <v>14950</v>
      </c>
    </row>
    <row r="7968" spans="1:2" x14ac:dyDescent="0.25">
      <c r="A7968" t="s">
        <v>4774</v>
      </c>
      <c r="B7968" t="s">
        <v>14950</v>
      </c>
    </row>
    <row r="7969" spans="1:2" x14ac:dyDescent="0.25">
      <c r="A7969" t="s">
        <v>1049</v>
      </c>
      <c r="B7969" t="s">
        <v>14950</v>
      </c>
    </row>
    <row r="7970" spans="1:2" x14ac:dyDescent="0.25">
      <c r="A7970" t="s">
        <v>1050</v>
      </c>
      <c r="B7970" t="s">
        <v>14950</v>
      </c>
    </row>
    <row r="7971" spans="1:2" x14ac:dyDescent="0.25">
      <c r="A7971" t="s">
        <v>1052</v>
      </c>
      <c r="B7971" t="s">
        <v>14950</v>
      </c>
    </row>
    <row r="7972" spans="1:2" x14ac:dyDescent="0.25">
      <c r="A7972" t="s">
        <v>3952</v>
      </c>
      <c r="B7972" t="s">
        <v>14950</v>
      </c>
    </row>
    <row r="7973" spans="1:2" x14ac:dyDescent="0.25">
      <c r="A7973" t="s">
        <v>1480</v>
      </c>
      <c r="B7973" t="s">
        <v>14950</v>
      </c>
    </row>
    <row r="7974" spans="1:2" x14ac:dyDescent="0.25">
      <c r="A7974" t="s">
        <v>1481</v>
      </c>
      <c r="B7974" t="s">
        <v>14950</v>
      </c>
    </row>
    <row r="7975" spans="1:2" x14ac:dyDescent="0.25">
      <c r="A7975" t="s">
        <v>1483</v>
      </c>
      <c r="B7975" t="s">
        <v>14950</v>
      </c>
    </row>
    <row r="7976" spans="1:2" x14ac:dyDescent="0.25">
      <c r="A7976" t="s">
        <v>7854</v>
      </c>
      <c r="B7976" t="s">
        <v>14950</v>
      </c>
    </row>
    <row r="7977" spans="1:2" x14ac:dyDescent="0.25">
      <c r="A7977" t="s">
        <v>7855</v>
      </c>
      <c r="B7977" t="s">
        <v>14950</v>
      </c>
    </row>
    <row r="7978" spans="1:2" x14ac:dyDescent="0.25">
      <c r="A7978" t="s">
        <v>7856</v>
      </c>
      <c r="B7978" t="s">
        <v>14950</v>
      </c>
    </row>
    <row r="7979" spans="1:2" x14ac:dyDescent="0.25">
      <c r="A7979" t="s">
        <v>1543</v>
      </c>
      <c r="B7979" t="s">
        <v>14950</v>
      </c>
    </row>
    <row r="7980" spans="1:2" x14ac:dyDescent="0.25">
      <c r="A7980" t="s">
        <v>1544</v>
      </c>
      <c r="B7980" t="s">
        <v>14950</v>
      </c>
    </row>
    <row r="7981" spans="1:2" x14ac:dyDescent="0.25">
      <c r="A7981" t="s">
        <v>13005</v>
      </c>
      <c r="B7981" t="s">
        <v>14950</v>
      </c>
    </row>
    <row r="7982" spans="1:2" x14ac:dyDescent="0.25">
      <c r="A7982" t="s">
        <v>13011</v>
      </c>
      <c r="B7982" t="s">
        <v>14950</v>
      </c>
    </row>
    <row r="7983" spans="1:2" x14ac:dyDescent="0.25">
      <c r="A7983" t="s">
        <v>14951</v>
      </c>
      <c r="B7983" t="s">
        <v>9616</v>
      </c>
    </row>
    <row r="7984" spans="1:2" x14ac:dyDescent="0.25">
      <c r="A7984" t="s">
        <v>12975</v>
      </c>
      <c r="B7984" t="s">
        <v>14951</v>
      </c>
    </row>
    <row r="7985" spans="1:2" x14ac:dyDescent="0.25">
      <c r="A7985" t="s">
        <v>12976</v>
      </c>
      <c r="B7985" t="s">
        <v>12975</v>
      </c>
    </row>
    <row r="7986" spans="1:2" x14ac:dyDescent="0.25">
      <c r="A7986" t="s">
        <v>12977</v>
      </c>
      <c r="B7986" t="s">
        <v>12975</v>
      </c>
    </row>
    <row r="7987" spans="1:2" x14ac:dyDescent="0.25">
      <c r="A7987" t="s">
        <v>12978</v>
      </c>
      <c r="B7987" t="s">
        <v>12975</v>
      </c>
    </row>
    <row r="7988" spans="1:2" x14ac:dyDescent="0.25">
      <c r="A7988" t="s">
        <v>12979</v>
      </c>
      <c r="B7988" t="s">
        <v>12975</v>
      </c>
    </row>
    <row r="7989" spans="1:2" x14ac:dyDescent="0.25">
      <c r="A7989" t="s">
        <v>12980</v>
      </c>
      <c r="B7989" t="s">
        <v>12975</v>
      </c>
    </row>
    <row r="7990" spans="1:2" x14ac:dyDescent="0.25">
      <c r="A7990" t="s">
        <v>1047</v>
      </c>
      <c r="B7990" t="s">
        <v>12975</v>
      </c>
    </row>
    <row r="7991" spans="1:2" x14ac:dyDescent="0.25">
      <c r="A7991" t="s">
        <v>4283</v>
      </c>
      <c r="B7991" t="s">
        <v>12975</v>
      </c>
    </row>
    <row r="7992" spans="1:2" x14ac:dyDescent="0.25">
      <c r="A7992" t="s">
        <v>4303</v>
      </c>
      <c r="B7992" t="s">
        <v>14951</v>
      </c>
    </row>
    <row r="7993" spans="1:2" x14ac:dyDescent="0.25">
      <c r="A7993" t="s">
        <v>4810</v>
      </c>
      <c r="B7993" t="s">
        <v>4303</v>
      </c>
    </row>
    <row r="7994" spans="1:2" x14ac:dyDescent="0.25">
      <c r="A7994" t="s">
        <v>14952</v>
      </c>
      <c r="B7994" t="s">
        <v>9616</v>
      </c>
    </row>
    <row r="7995" spans="1:2" x14ac:dyDescent="0.25">
      <c r="A7995" t="s">
        <v>12496</v>
      </c>
      <c r="B7995" t="s">
        <v>14952</v>
      </c>
    </row>
    <row r="7996" spans="1:2" x14ac:dyDescent="0.25">
      <c r="A7996" t="s">
        <v>10541</v>
      </c>
      <c r="B7996" t="s">
        <v>12496</v>
      </c>
    </row>
    <row r="7997" spans="1:2" x14ac:dyDescent="0.25">
      <c r="A7997" t="s">
        <v>5244</v>
      </c>
      <c r="B7997" t="s">
        <v>14952</v>
      </c>
    </row>
    <row r="7998" spans="1:2" x14ac:dyDescent="0.25">
      <c r="A7998" t="s">
        <v>5659</v>
      </c>
      <c r="B7998" t="s">
        <v>5244</v>
      </c>
    </row>
    <row r="7999" spans="1:2" x14ac:dyDescent="0.25">
      <c r="A7999" t="s">
        <v>5662</v>
      </c>
      <c r="B7999" t="s">
        <v>5659</v>
      </c>
    </row>
    <row r="8000" spans="1:2" x14ac:dyDescent="0.25">
      <c r="A8000" t="s">
        <v>2840</v>
      </c>
      <c r="B8000" t="s">
        <v>14952</v>
      </c>
    </row>
    <row r="8001" spans="1:2" x14ac:dyDescent="0.25">
      <c r="A8001" t="s">
        <v>11332</v>
      </c>
      <c r="B8001" t="s">
        <v>14952</v>
      </c>
    </row>
    <row r="8002" spans="1:2" x14ac:dyDescent="0.25">
      <c r="A8002" t="s">
        <v>4285</v>
      </c>
      <c r="B8002" t="s">
        <v>11332</v>
      </c>
    </row>
    <row r="8003" spans="1:2" x14ac:dyDescent="0.25">
      <c r="A8003" t="s">
        <v>11235</v>
      </c>
      <c r="B8003" t="s">
        <v>11332</v>
      </c>
    </row>
    <row r="8004" spans="1:2" x14ac:dyDescent="0.25">
      <c r="A8004" t="s">
        <v>11236</v>
      </c>
      <c r="B8004" t="s">
        <v>11332</v>
      </c>
    </row>
    <row r="8005" spans="1:2" x14ac:dyDescent="0.25">
      <c r="A8005" t="s">
        <v>11237</v>
      </c>
      <c r="B8005" t="s">
        <v>11332</v>
      </c>
    </row>
    <row r="8006" spans="1:2" x14ac:dyDescent="0.25">
      <c r="A8006" t="s">
        <v>11238</v>
      </c>
      <c r="B8006" t="s">
        <v>11332</v>
      </c>
    </row>
    <row r="8007" spans="1:2" x14ac:dyDescent="0.25">
      <c r="A8007" t="s">
        <v>11239</v>
      </c>
      <c r="B8007" t="s">
        <v>11332</v>
      </c>
    </row>
    <row r="8008" spans="1:2" x14ac:dyDescent="0.25">
      <c r="A8008" t="s">
        <v>11240</v>
      </c>
      <c r="B8008" t="s">
        <v>11332</v>
      </c>
    </row>
    <row r="8009" spans="1:2" x14ac:dyDescent="0.25">
      <c r="A8009" t="s">
        <v>7930</v>
      </c>
      <c r="B8009" t="s">
        <v>14952</v>
      </c>
    </row>
    <row r="8010" spans="1:2" x14ac:dyDescent="0.25">
      <c r="A8010" t="s">
        <v>7891</v>
      </c>
      <c r="B8010" t="s">
        <v>7930</v>
      </c>
    </row>
    <row r="8011" spans="1:2" x14ac:dyDescent="0.25">
      <c r="A8011" t="s">
        <v>9106</v>
      </c>
      <c r="B8011" t="s">
        <v>7930</v>
      </c>
    </row>
    <row r="8012" spans="1:2" x14ac:dyDescent="0.25">
      <c r="A8012" t="s">
        <v>9108</v>
      </c>
      <c r="B8012" t="s">
        <v>7930</v>
      </c>
    </row>
    <row r="8013" spans="1:2" x14ac:dyDescent="0.25">
      <c r="A8013" t="s">
        <v>5331</v>
      </c>
      <c r="B8013" t="s">
        <v>14952</v>
      </c>
    </row>
    <row r="8014" spans="1:2" x14ac:dyDescent="0.25">
      <c r="A8014" t="s">
        <v>1150</v>
      </c>
      <c r="B8014" t="s">
        <v>14952</v>
      </c>
    </row>
    <row r="8015" spans="1:2" x14ac:dyDescent="0.25">
      <c r="A8015" t="s">
        <v>6557</v>
      </c>
      <c r="B8015" t="s">
        <v>14952</v>
      </c>
    </row>
    <row r="8016" spans="1:2" x14ac:dyDescent="0.25">
      <c r="A8016" t="s">
        <v>6555</v>
      </c>
      <c r="B8016" t="s">
        <v>14952</v>
      </c>
    </row>
    <row r="8017" spans="1:2" x14ac:dyDescent="0.25">
      <c r="A8017" t="s">
        <v>4806</v>
      </c>
      <c r="B8017" t="s">
        <v>14952</v>
      </c>
    </row>
    <row r="8018" spans="1:2" x14ac:dyDescent="0.25">
      <c r="A8018" t="s">
        <v>4807</v>
      </c>
      <c r="B8018" t="s">
        <v>14952</v>
      </c>
    </row>
    <row r="8019" spans="1:2" x14ac:dyDescent="0.25">
      <c r="A8019" t="s">
        <v>5656</v>
      </c>
      <c r="B8019" t="s">
        <v>14952</v>
      </c>
    </row>
    <row r="8020" spans="1:2" x14ac:dyDescent="0.25">
      <c r="A8020" t="s">
        <v>6064</v>
      </c>
      <c r="B8020" t="s">
        <v>14952</v>
      </c>
    </row>
    <row r="8021" spans="1:2" x14ac:dyDescent="0.25">
      <c r="A8021" t="s">
        <v>4793</v>
      </c>
      <c r="B8021" t="s">
        <v>14952</v>
      </c>
    </row>
    <row r="8022" spans="1:2" x14ac:dyDescent="0.25">
      <c r="A8022" t="s">
        <v>3821</v>
      </c>
      <c r="B8022" t="s">
        <v>14952</v>
      </c>
    </row>
    <row r="8023" spans="1:2" x14ac:dyDescent="0.25">
      <c r="A8023" t="s">
        <v>5240</v>
      </c>
      <c r="B8023" t="s">
        <v>14952</v>
      </c>
    </row>
    <row r="8024" spans="1:2" x14ac:dyDescent="0.25">
      <c r="A8024" t="s">
        <v>3832</v>
      </c>
      <c r="B8024" t="s">
        <v>14952</v>
      </c>
    </row>
    <row r="8025" spans="1:2" x14ac:dyDescent="0.25">
      <c r="A8025" t="s">
        <v>9905</v>
      </c>
      <c r="B8025" t="s">
        <v>14952</v>
      </c>
    </row>
    <row r="8026" spans="1:2" x14ac:dyDescent="0.25">
      <c r="A8026" t="s">
        <v>5241</v>
      </c>
      <c r="B8026" t="s">
        <v>14952</v>
      </c>
    </row>
    <row r="8027" spans="1:2" x14ac:dyDescent="0.25">
      <c r="A8027" t="s">
        <v>3459</v>
      </c>
      <c r="B8027" t="s">
        <v>9616</v>
      </c>
    </row>
    <row r="8028" spans="1:2" x14ac:dyDescent="0.25">
      <c r="A8028" t="s">
        <v>6047</v>
      </c>
      <c r="B8028" t="s">
        <v>3459</v>
      </c>
    </row>
    <row r="8029" spans="1:2" x14ac:dyDescent="0.25">
      <c r="A8029" t="s">
        <v>2414</v>
      </c>
      <c r="B8029" t="s">
        <v>6047</v>
      </c>
    </row>
    <row r="8030" spans="1:2" x14ac:dyDescent="0.25">
      <c r="A8030" t="s">
        <v>7717</v>
      </c>
      <c r="B8030" t="s">
        <v>2414</v>
      </c>
    </row>
    <row r="8031" spans="1:2" x14ac:dyDescent="0.25">
      <c r="A8031" t="s">
        <v>3799</v>
      </c>
      <c r="B8031" t="s">
        <v>2414</v>
      </c>
    </row>
    <row r="8032" spans="1:2" x14ac:dyDescent="0.25">
      <c r="A8032" t="s">
        <v>9105</v>
      </c>
      <c r="B8032" t="s">
        <v>2414</v>
      </c>
    </row>
    <row r="8033" spans="1:2" x14ac:dyDescent="0.25">
      <c r="A8033" t="s">
        <v>9109</v>
      </c>
      <c r="B8033" t="s">
        <v>6047</v>
      </c>
    </row>
    <row r="8034" spans="1:2" x14ac:dyDescent="0.25">
      <c r="A8034" t="s">
        <v>10527</v>
      </c>
      <c r="B8034" t="s">
        <v>9109</v>
      </c>
    </row>
    <row r="8035" spans="1:2" x14ac:dyDescent="0.25">
      <c r="A8035" t="s">
        <v>10528</v>
      </c>
      <c r="B8035" t="s">
        <v>9109</v>
      </c>
    </row>
    <row r="8036" spans="1:2" x14ac:dyDescent="0.25">
      <c r="A8036" t="s">
        <v>7117</v>
      </c>
      <c r="B8036" t="s">
        <v>6047</v>
      </c>
    </row>
    <row r="8037" spans="1:2" x14ac:dyDescent="0.25">
      <c r="A8037" t="s">
        <v>8722</v>
      </c>
      <c r="B8037" t="s">
        <v>7117</v>
      </c>
    </row>
    <row r="8038" spans="1:2" x14ac:dyDescent="0.25">
      <c r="A8038" t="s">
        <v>4286</v>
      </c>
      <c r="B8038" t="s">
        <v>6047</v>
      </c>
    </row>
    <row r="8039" spans="1:2" x14ac:dyDescent="0.25">
      <c r="A8039" t="s">
        <v>6547</v>
      </c>
      <c r="B8039" t="s">
        <v>4286</v>
      </c>
    </row>
    <row r="8040" spans="1:2" x14ac:dyDescent="0.25">
      <c r="A8040" t="s">
        <v>8289</v>
      </c>
      <c r="B8040" t="s">
        <v>4286</v>
      </c>
    </row>
    <row r="8041" spans="1:2" x14ac:dyDescent="0.25">
      <c r="A8041" t="s">
        <v>6048</v>
      </c>
      <c r="B8041" t="s">
        <v>4286</v>
      </c>
    </row>
    <row r="8042" spans="1:2" x14ac:dyDescent="0.25">
      <c r="A8042" t="s">
        <v>8290</v>
      </c>
      <c r="B8042" t="s">
        <v>4286</v>
      </c>
    </row>
    <row r="8043" spans="1:2" x14ac:dyDescent="0.25">
      <c r="A8043" t="s">
        <v>8723</v>
      </c>
      <c r="B8043" t="s">
        <v>4286</v>
      </c>
    </row>
    <row r="8044" spans="1:2" x14ac:dyDescent="0.25">
      <c r="A8044" t="s">
        <v>3800</v>
      </c>
      <c r="B8044" t="s">
        <v>6047</v>
      </c>
    </row>
    <row r="8045" spans="1:2" x14ac:dyDescent="0.25">
      <c r="A8045" t="s">
        <v>4287</v>
      </c>
      <c r="B8045" t="s">
        <v>6047</v>
      </c>
    </row>
    <row r="8046" spans="1:2" x14ac:dyDescent="0.25">
      <c r="A8046" t="s">
        <v>9110</v>
      </c>
      <c r="B8046" t="s">
        <v>4287</v>
      </c>
    </row>
    <row r="8047" spans="1:2" x14ac:dyDescent="0.25">
      <c r="A8047" t="s">
        <v>9111</v>
      </c>
      <c r="B8047" t="s">
        <v>4287</v>
      </c>
    </row>
    <row r="8048" spans="1:2" x14ac:dyDescent="0.25">
      <c r="A8048" t="s">
        <v>11912</v>
      </c>
      <c r="B8048" t="s">
        <v>6047</v>
      </c>
    </row>
    <row r="8049" spans="1:2" x14ac:dyDescent="0.25">
      <c r="A8049" t="s">
        <v>1504</v>
      </c>
      <c r="B8049" t="s">
        <v>6047</v>
      </c>
    </row>
    <row r="8050" spans="1:2" x14ac:dyDescent="0.25">
      <c r="A8050" t="s">
        <v>9107</v>
      </c>
      <c r="B8050" t="s">
        <v>1504</v>
      </c>
    </row>
    <row r="8051" spans="1:2" x14ac:dyDescent="0.25">
      <c r="A8051" t="s">
        <v>11784</v>
      </c>
      <c r="B8051" t="s">
        <v>3459</v>
      </c>
    </row>
    <row r="8052" spans="1:2" x14ac:dyDescent="0.25">
      <c r="A8052" t="s">
        <v>6624</v>
      </c>
      <c r="B8052" t="s">
        <v>11784</v>
      </c>
    </row>
    <row r="8053" spans="1:2" x14ac:dyDescent="0.25">
      <c r="A8053" t="s">
        <v>2416</v>
      </c>
      <c r="B8053" t="s">
        <v>6624</v>
      </c>
    </row>
    <row r="8054" spans="1:2" x14ac:dyDescent="0.25">
      <c r="A8054" t="s">
        <v>1094</v>
      </c>
      <c r="B8054" t="s">
        <v>6624</v>
      </c>
    </row>
    <row r="8055" spans="1:2" x14ac:dyDescent="0.25">
      <c r="A8055" t="s">
        <v>4783</v>
      </c>
      <c r="B8055" t="s">
        <v>6624</v>
      </c>
    </row>
    <row r="8056" spans="1:2" x14ac:dyDescent="0.25">
      <c r="A8056" t="s">
        <v>3808</v>
      </c>
      <c r="B8056" t="s">
        <v>6624</v>
      </c>
    </row>
    <row r="8057" spans="1:2" x14ac:dyDescent="0.25">
      <c r="A8057" t="s">
        <v>2429</v>
      </c>
      <c r="B8057" t="s">
        <v>6624</v>
      </c>
    </row>
    <row r="8058" spans="1:2" x14ac:dyDescent="0.25">
      <c r="A8058" t="s">
        <v>1103</v>
      </c>
      <c r="B8058" t="s">
        <v>6624</v>
      </c>
    </row>
    <row r="8059" spans="1:2" x14ac:dyDescent="0.25">
      <c r="A8059" t="s">
        <v>2430</v>
      </c>
      <c r="B8059" t="s">
        <v>6624</v>
      </c>
    </row>
    <row r="8060" spans="1:2" x14ac:dyDescent="0.25">
      <c r="A8060" t="s">
        <v>1919</v>
      </c>
      <c r="B8060" t="s">
        <v>6624</v>
      </c>
    </row>
    <row r="8061" spans="1:2" x14ac:dyDescent="0.25">
      <c r="A8061" t="s">
        <v>2431</v>
      </c>
      <c r="B8061" t="s">
        <v>6624</v>
      </c>
    </row>
    <row r="8062" spans="1:2" x14ac:dyDescent="0.25">
      <c r="A8062" t="s">
        <v>2158</v>
      </c>
      <c r="B8062" t="s">
        <v>6624</v>
      </c>
    </row>
    <row r="8063" spans="1:2" x14ac:dyDescent="0.25">
      <c r="A8063" t="s">
        <v>11304</v>
      </c>
      <c r="B8063" t="s">
        <v>11784</v>
      </c>
    </row>
    <row r="8064" spans="1:2" x14ac:dyDescent="0.25">
      <c r="A8064" t="s">
        <v>10137</v>
      </c>
      <c r="B8064" t="s">
        <v>11304</v>
      </c>
    </row>
    <row r="8065" spans="1:2" x14ac:dyDescent="0.25">
      <c r="A8065" t="s">
        <v>5326</v>
      </c>
      <c r="B8065" t="s">
        <v>9616</v>
      </c>
    </row>
    <row r="8066" spans="1:2" x14ac:dyDescent="0.25">
      <c r="A8066" t="s">
        <v>9562</v>
      </c>
      <c r="B8066" t="s">
        <v>5326</v>
      </c>
    </row>
    <row r="8067" spans="1:2" x14ac:dyDescent="0.25">
      <c r="A8067" t="s">
        <v>9909</v>
      </c>
      <c r="B8067" t="s">
        <v>9562</v>
      </c>
    </row>
    <row r="8068" spans="1:2" x14ac:dyDescent="0.25">
      <c r="A8068" t="s">
        <v>12717</v>
      </c>
      <c r="B8068" t="s">
        <v>5326</v>
      </c>
    </row>
    <row r="8069" spans="1:2" x14ac:dyDescent="0.25">
      <c r="A8069" t="s">
        <v>4305</v>
      </c>
      <c r="B8069" t="s">
        <v>5326</v>
      </c>
    </row>
    <row r="8070" spans="1:2" x14ac:dyDescent="0.25">
      <c r="A8070" t="s">
        <v>4812</v>
      </c>
      <c r="B8070" t="s">
        <v>4305</v>
      </c>
    </row>
    <row r="8071" spans="1:2" x14ac:dyDescent="0.25">
      <c r="A8071" t="s">
        <v>342</v>
      </c>
      <c r="B8071" t="s">
        <v>4305</v>
      </c>
    </row>
    <row r="8072" spans="1:2" x14ac:dyDescent="0.25">
      <c r="A8072" t="s">
        <v>5773</v>
      </c>
      <c r="B8072" t="s">
        <v>4305</v>
      </c>
    </row>
    <row r="8073" spans="1:2" x14ac:dyDescent="0.25">
      <c r="A8073" t="s">
        <v>3979</v>
      </c>
      <c r="B8073" t="s">
        <v>5326</v>
      </c>
    </row>
    <row r="8074" spans="1:2" x14ac:dyDescent="0.25">
      <c r="A8074" t="s">
        <v>7901</v>
      </c>
      <c r="B8074" t="s">
        <v>3979</v>
      </c>
    </row>
    <row r="8075" spans="1:2" x14ac:dyDescent="0.25">
      <c r="A8075" t="s">
        <v>5328</v>
      </c>
      <c r="B8075" t="s">
        <v>9616</v>
      </c>
    </row>
    <row r="8076" spans="1:2" x14ac:dyDescent="0.25">
      <c r="A8076" t="s">
        <v>6551</v>
      </c>
      <c r="B8076" t="s">
        <v>5328</v>
      </c>
    </row>
    <row r="8077" spans="1:2" x14ac:dyDescent="0.25">
      <c r="A8077" t="s">
        <v>1109</v>
      </c>
      <c r="B8077" t="s">
        <v>6551</v>
      </c>
    </row>
    <row r="8078" spans="1:2" x14ac:dyDescent="0.25">
      <c r="A8078" t="s">
        <v>7123</v>
      </c>
      <c r="B8078" t="s">
        <v>6551</v>
      </c>
    </row>
    <row r="8079" spans="1:2" x14ac:dyDescent="0.25">
      <c r="A8079" t="s">
        <v>1937</v>
      </c>
      <c r="B8079" t="s">
        <v>6551</v>
      </c>
    </row>
    <row r="8080" spans="1:2" x14ac:dyDescent="0.25">
      <c r="A8080" t="s">
        <v>5652</v>
      </c>
      <c r="B8080" t="s">
        <v>5328</v>
      </c>
    </row>
    <row r="8081" spans="1:2" x14ac:dyDescent="0.25">
      <c r="A8081" t="s">
        <v>1116</v>
      </c>
      <c r="B8081" t="s">
        <v>5652</v>
      </c>
    </row>
    <row r="8082" spans="1:2" x14ac:dyDescent="0.25">
      <c r="A8082" t="s">
        <v>2894</v>
      </c>
      <c r="B8082" t="s">
        <v>5652</v>
      </c>
    </row>
    <row r="8083" spans="1:2" x14ac:dyDescent="0.25">
      <c r="A8083" t="s">
        <v>5654</v>
      </c>
      <c r="B8083" t="s">
        <v>5328</v>
      </c>
    </row>
    <row r="8084" spans="1:2" x14ac:dyDescent="0.25">
      <c r="A8084" t="s">
        <v>5655</v>
      </c>
      <c r="B8084" t="s">
        <v>5654</v>
      </c>
    </row>
    <row r="8085" spans="1:2" x14ac:dyDescent="0.25">
      <c r="A8085" t="s">
        <v>5236</v>
      </c>
      <c r="B8085" t="s">
        <v>5654</v>
      </c>
    </row>
    <row r="8086" spans="1:2" x14ac:dyDescent="0.25">
      <c r="A8086" t="s">
        <v>4804</v>
      </c>
      <c r="B8086" t="s">
        <v>5328</v>
      </c>
    </row>
    <row r="8087" spans="1:2" x14ac:dyDescent="0.25">
      <c r="A8087" t="s">
        <v>3829</v>
      </c>
      <c r="B8087" t="s">
        <v>5328</v>
      </c>
    </row>
    <row r="8088" spans="1:2" x14ac:dyDescent="0.25">
      <c r="A8088" t="s">
        <v>1119</v>
      </c>
      <c r="B8088" t="s">
        <v>3829</v>
      </c>
    </row>
    <row r="8089" spans="1:2" x14ac:dyDescent="0.25">
      <c r="A8089" t="s">
        <v>2898</v>
      </c>
      <c r="B8089" t="s">
        <v>3829</v>
      </c>
    </row>
    <row r="8090" spans="1:2" x14ac:dyDescent="0.25">
      <c r="A8090" t="s">
        <v>1946</v>
      </c>
      <c r="B8090" t="s">
        <v>3829</v>
      </c>
    </row>
    <row r="8091" spans="1:2" x14ac:dyDescent="0.25">
      <c r="A8091" t="s">
        <v>1947</v>
      </c>
      <c r="B8091" t="s">
        <v>3829</v>
      </c>
    </row>
    <row r="8092" spans="1:2" x14ac:dyDescent="0.25">
      <c r="A8092" t="s">
        <v>1120</v>
      </c>
      <c r="B8092" t="s">
        <v>3829</v>
      </c>
    </row>
    <row r="8093" spans="1:2" x14ac:dyDescent="0.25">
      <c r="A8093" t="s">
        <v>1948</v>
      </c>
      <c r="B8093" t="s">
        <v>3829</v>
      </c>
    </row>
    <row r="8094" spans="1:2" x14ac:dyDescent="0.25">
      <c r="A8094" t="s">
        <v>6627</v>
      </c>
      <c r="B8094" t="s">
        <v>5328</v>
      </c>
    </row>
    <row r="8095" spans="1:2" x14ac:dyDescent="0.25">
      <c r="A8095" t="s">
        <v>6152</v>
      </c>
      <c r="B8095" t="s">
        <v>6627</v>
      </c>
    </row>
    <row r="8096" spans="1:2" x14ac:dyDescent="0.25">
      <c r="A8096" t="s">
        <v>1124</v>
      </c>
      <c r="B8096" t="s">
        <v>6627</v>
      </c>
    </row>
    <row r="8097" spans="1:2" x14ac:dyDescent="0.25">
      <c r="A8097" t="s">
        <v>5242</v>
      </c>
      <c r="B8097" t="s">
        <v>5328</v>
      </c>
    </row>
    <row r="8098" spans="1:2" x14ac:dyDescent="0.25">
      <c r="A8098" t="s">
        <v>2906</v>
      </c>
      <c r="B8098" t="s">
        <v>5242</v>
      </c>
    </row>
    <row r="8099" spans="1:2" x14ac:dyDescent="0.25">
      <c r="A8099" t="s">
        <v>12955</v>
      </c>
      <c r="B8099" t="s">
        <v>9616</v>
      </c>
    </row>
    <row r="8100" spans="1:2" x14ac:dyDescent="0.25">
      <c r="A8100" t="s">
        <v>9564</v>
      </c>
      <c r="B8100" t="s">
        <v>12955</v>
      </c>
    </row>
    <row r="8101" spans="1:2" x14ac:dyDescent="0.25">
      <c r="A8101" t="s">
        <v>12273</v>
      </c>
      <c r="B8101" t="s">
        <v>9564</v>
      </c>
    </row>
    <row r="8102" spans="1:2" x14ac:dyDescent="0.25">
      <c r="A8102" t="s">
        <v>5245</v>
      </c>
      <c r="B8102" t="s">
        <v>12273</v>
      </c>
    </row>
    <row r="8103" spans="1:2" x14ac:dyDescent="0.25">
      <c r="A8103" t="s">
        <v>12274</v>
      </c>
      <c r="B8103" t="s">
        <v>9564</v>
      </c>
    </row>
    <row r="8104" spans="1:2" x14ac:dyDescent="0.25">
      <c r="A8104" t="s">
        <v>7130</v>
      </c>
      <c r="B8104" t="s">
        <v>12274</v>
      </c>
    </row>
    <row r="8105" spans="1:2" x14ac:dyDescent="0.25">
      <c r="A8105" t="s">
        <v>11918</v>
      </c>
      <c r="B8105" t="s">
        <v>9564</v>
      </c>
    </row>
    <row r="8106" spans="1:2" x14ac:dyDescent="0.25">
      <c r="A8106" t="s">
        <v>4813</v>
      </c>
      <c r="B8106" t="s">
        <v>11918</v>
      </c>
    </row>
    <row r="8107" spans="1:2" x14ac:dyDescent="0.25">
      <c r="A8107" t="s">
        <v>5660</v>
      </c>
      <c r="B8107" t="s">
        <v>11918</v>
      </c>
    </row>
    <row r="8108" spans="1:2" x14ac:dyDescent="0.25">
      <c r="A8108" t="s">
        <v>3835</v>
      </c>
      <c r="B8108" t="s">
        <v>11918</v>
      </c>
    </row>
    <row r="8109" spans="1:2" x14ac:dyDescent="0.25">
      <c r="A8109" t="s">
        <v>9911</v>
      </c>
      <c r="B8109" t="s">
        <v>9564</v>
      </c>
    </row>
    <row r="8110" spans="1:2" x14ac:dyDescent="0.25">
      <c r="A8110" t="s">
        <v>6563</v>
      </c>
      <c r="B8110" t="s">
        <v>9911</v>
      </c>
    </row>
    <row r="8111" spans="1:2" x14ac:dyDescent="0.25">
      <c r="A8111" t="s">
        <v>1487</v>
      </c>
      <c r="B8111" t="s">
        <v>9564</v>
      </c>
    </row>
    <row r="8112" spans="1:2" x14ac:dyDescent="0.25">
      <c r="A8112" t="s">
        <v>7294</v>
      </c>
      <c r="B8112" t="s">
        <v>9564</v>
      </c>
    </row>
    <row r="8113" spans="1:2" x14ac:dyDescent="0.25">
      <c r="A8113" t="s">
        <v>13366</v>
      </c>
      <c r="B8113" t="s">
        <v>9547</v>
      </c>
    </row>
    <row r="8114" spans="1:2" x14ac:dyDescent="0.25">
      <c r="A8114" t="s">
        <v>8282</v>
      </c>
      <c r="B8114" t="s">
        <v>13366</v>
      </c>
    </row>
    <row r="8115" spans="1:2" x14ac:dyDescent="0.25">
      <c r="A8115" t="s">
        <v>792</v>
      </c>
      <c r="B8115" t="s">
        <v>13366</v>
      </c>
    </row>
    <row r="8116" spans="1:2" x14ac:dyDescent="0.25">
      <c r="A8116" t="s">
        <v>793</v>
      </c>
      <c r="B8116" t="s">
        <v>13366</v>
      </c>
    </row>
    <row r="8117" spans="1:2" x14ac:dyDescent="0.25">
      <c r="A8117" t="s">
        <v>794</v>
      </c>
      <c r="B8117" t="s">
        <v>13366</v>
      </c>
    </row>
    <row r="8118" spans="1:2" x14ac:dyDescent="0.25">
      <c r="A8118" t="s">
        <v>795</v>
      </c>
      <c r="B8118" t="s">
        <v>13366</v>
      </c>
    </row>
    <row r="8119" spans="1:2" x14ac:dyDescent="0.25">
      <c r="A8119" t="s">
        <v>1841</v>
      </c>
      <c r="B8119" t="s">
        <v>13366</v>
      </c>
    </row>
    <row r="8120" spans="1:2" x14ac:dyDescent="0.25">
      <c r="A8120" t="s">
        <v>796</v>
      </c>
      <c r="B8120" t="s">
        <v>13366</v>
      </c>
    </row>
    <row r="8121" spans="1:2" x14ac:dyDescent="0.25">
      <c r="A8121" t="s">
        <v>797</v>
      </c>
      <c r="B8121" t="s">
        <v>13366</v>
      </c>
    </row>
    <row r="8122" spans="1:2" x14ac:dyDescent="0.25">
      <c r="A8122" t="s">
        <v>798</v>
      </c>
      <c r="B8122" t="s">
        <v>13366</v>
      </c>
    </row>
    <row r="8123" spans="1:2" x14ac:dyDescent="0.25">
      <c r="A8123" t="s">
        <v>799</v>
      </c>
      <c r="B8123" t="s">
        <v>13366</v>
      </c>
    </row>
    <row r="8124" spans="1:2" x14ac:dyDescent="0.25">
      <c r="A8124" t="s">
        <v>1440</v>
      </c>
      <c r="B8124" t="s">
        <v>13366</v>
      </c>
    </row>
    <row r="8125" spans="1:2" x14ac:dyDescent="0.25">
      <c r="A8125" t="s">
        <v>1509</v>
      </c>
      <c r="B8125" t="s">
        <v>13366</v>
      </c>
    </row>
    <row r="8126" spans="1:2" x14ac:dyDescent="0.25">
      <c r="A8126" t="s">
        <v>858</v>
      </c>
      <c r="B8126" t="s">
        <v>13366</v>
      </c>
    </row>
    <row r="8127" spans="1:2" x14ac:dyDescent="0.25">
      <c r="A8127" t="s">
        <v>4271</v>
      </c>
      <c r="B8127" t="s">
        <v>13366</v>
      </c>
    </row>
    <row r="8128" spans="1:2" x14ac:dyDescent="0.25">
      <c r="A8128" t="s">
        <v>1854</v>
      </c>
      <c r="B8128" t="s">
        <v>13366</v>
      </c>
    </row>
    <row r="8129" spans="1:2" x14ac:dyDescent="0.25">
      <c r="A8129" t="s">
        <v>859</v>
      </c>
      <c r="B8129" t="s">
        <v>13366</v>
      </c>
    </row>
    <row r="8130" spans="1:2" x14ac:dyDescent="0.25">
      <c r="A8130" t="s">
        <v>1855</v>
      </c>
      <c r="B8130" t="s">
        <v>13366</v>
      </c>
    </row>
    <row r="8131" spans="1:2" x14ac:dyDescent="0.25">
      <c r="A8131" t="s">
        <v>860</v>
      </c>
      <c r="B8131" t="s">
        <v>13366</v>
      </c>
    </row>
    <row r="8132" spans="1:2" x14ac:dyDescent="0.25">
      <c r="A8132" t="s">
        <v>1463</v>
      </c>
      <c r="B8132" t="s">
        <v>13366</v>
      </c>
    </row>
    <row r="8133" spans="1:2" x14ac:dyDescent="0.25">
      <c r="A8133" t="s">
        <v>2150</v>
      </c>
      <c r="B8133" t="s">
        <v>13366</v>
      </c>
    </row>
    <row r="8134" spans="1:2" x14ac:dyDescent="0.25">
      <c r="A8134" t="s">
        <v>2151</v>
      </c>
      <c r="B8134" t="s">
        <v>13366</v>
      </c>
    </row>
    <row r="8135" spans="1:2" x14ac:dyDescent="0.25">
      <c r="A8135" t="s">
        <v>1464</v>
      </c>
      <c r="B8135" t="s">
        <v>13366</v>
      </c>
    </row>
    <row r="8136" spans="1:2" x14ac:dyDescent="0.25">
      <c r="A8136" t="s">
        <v>3005</v>
      </c>
      <c r="B8136" t="s">
        <v>13366</v>
      </c>
    </row>
    <row r="8137" spans="1:2" x14ac:dyDescent="0.25">
      <c r="A8137" t="s">
        <v>3006</v>
      </c>
      <c r="B8137" t="s">
        <v>13366</v>
      </c>
    </row>
    <row r="8138" spans="1:2" x14ac:dyDescent="0.25">
      <c r="A8138" t="s">
        <v>1565</v>
      </c>
      <c r="B8138" t="s">
        <v>13366</v>
      </c>
    </row>
    <row r="8139" spans="1:2" x14ac:dyDescent="0.25">
      <c r="A8139" t="s">
        <v>1578</v>
      </c>
      <c r="B8139" t="s">
        <v>13366</v>
      </c>
    </row>
    <row r="8140" spans="1:2" x14ac:dyDescent="0.25">
      <c r="A8140" t="s">
        <v>1604</v>
      </c>
      <c r="B8140" t="s">
        <v>13366</v>
      </c>
    </row>
    <row r="8141" spans="1:2" x14ac:dyDescent="0.25">
      <c r="A8141" t="s">
        <v>812</v>
      </c>
      <c r="B8141" t="s">
        <v>13366</v>
      </c>
    </row>
    <row r="8142" spans="1:2" x14ac:dyDescent="0.25">
      <c r="A8142" t="s">
        <v>813</v>
      </c>
      <c r="B8142" t="s">
        <v>13366</v>
      </c>
    </row>
    <row r="8143" spans="1:2" x14ac:dyDescent="0.25">
      <c r="A8143" t="s">
        <v>814</v>
      </c>
      <c r="B8143" t="s">
        <v>13366</v>
      </c>
    </row>
    <row r="8144" spans="1:2" x14ac:dyDescent="0.25">
      <c r="A8144" t="s">
        <v>7660</v>
      </c>
      <c r="B8144" t="s">
        <v>13366</v>
      </c>
    </row>
    <row r="8145" spans="1:2" x14ac:dyDescent="0.25">
      <c r="A8145" t="s">
        <v>817</v>
      </c>
      <c r="B8145" t="s">
        <v>13366</v>
      </c>
    </row>
    <row r="8146" spans="1:2" x14ac:dyDescent="0.25">
      <c r="A8146" t="s">
        <v>818</v>
      </c>
      <c r="B8146" t="s">
        <v>13366</v>
      </c>
    </row>
    <row r="8147" spans="1:2" x14ac:dyDescent="0.25">
      <c r="A8147" t="s">
        <v>1847</v>
      </c>
      <c r="B8147" t="s">
        <v>13366</v>
      </c>
    </row>
    <row r="8148" spans="1:2" x14ac:dyDescent="0.25">
      <c r="A8148" t="s">
        <v>1848</v>
      </c>
      <c r="B8148" t="s">
        <v>13366</v>
      </c>
    </row>
    <row r="8149" spans="1:2" x14ac:dyDescent="0.25">
      <c r="A8149" t="s">
        <v>821</v>
      </c>
      <c r="B8149" t="s">
        <v>13366</v>
      </c>
    </row>
    <row r="8150" spans="1:2" x14ac:dyDescent="0.25">
      <c r="A8150" t="s">
        <v>822</v>
      </c>
      <c r="B8150" t="s">
        <v>13366</v>
      </c>
    </row>
    <row r="8151" spans="1:2" x14ac:dyDescent="0.25">
      <c r="A8151" t="s">
        <v>823</v>
      </c>
      <c r="B8151" t="s">
        <v>13366</v>
      </c>
    </row>
    <row r="8152" spans="1:2" x14ac:dyDescent="0.25">
      <c r="A8152" t="s">
        <v>824</v>
      </c>
      <c r="B8152" t="s">
        <v>13366</v>
      </c>
    </row>
    <row r="8153" spans="1:2" x14ac:dyDescent="0.25">
      <c r="A8153" t="s">
        <v>826</v>
      </c>
      <c r="B8153" t="s">
        <v>13366</v>
      </c>
    </row>
    <row r="8154" spans="1:2" x14ac:dyDescent="0.25">
      <c r="A8154" t="s">
        <v>1471</v>
      </c>
      <c r="B8154" t="s">
        <v>13366</v>
      </c>
    </row>
    <row r="8155" spans="1:2" x14ac:dyDescent="0.25">
      <c r="A8155" t="s">
        <v>4490</v>
      </c>
      <c r="B8155" t="s">
        <v>13366</v>
      </c>
    </row>
    <row r="8156" spans="1:2" x14ac:dyDescent="0.25">
      <c r="A8156" t="s">
        <v>1524</v>
      </c>
      <c r="B8156" t="s">
        <v>13366</v>
      </c>
    </row>
    <row r="8157" spans="1:2" x14ac:dyDescent="0.25">
      <c r="A8157" t="s">
        <v>1476</v>
      </c>
      <c r="B8157" t="s">
        <v>13366</v>
      </c>
    </row>
    <row r="8158" spans="1:2" x14ac:dyDescent="0.25">
      <c r="A8158" t="s">
        <v>3953</v>
      </c>
      <c r="B8158" t="s">
        <v>13366</v>
      </c>
    </row>
    <row r="8159" spans="1:2" x14ac:dyDescent="0.25">
      <c r="A8159" t="s">
        <v>3954</v>
      </c>
      <c r="B8159" t="s">
        <v>13366</v>
      </c>
    </row>
    <row r="8160" spans="1:2" x14ac:dyDescent="0.25">
      <c r="A8160" t="s">
        <v>3956</v>
      </c>
      <c r="B8160" t="s">
        <v>13366</v>
      </c>
    </row>
    <row r="8161" spans="1:2" x14ac:dyDescent="0.25">
      <c r="A8161" t="s">
        <v>6647</v>
      </c>
      <c r="B8161" t="s">
        <v>13366</v>
      </c>
    </row>
    <row r="8162" spans="1:2" x14ac:dyDescent="0.25">
      <c r="A8162" t="s">
        <v>1605</v>
      </c>
      <c r="B8162" t="s">
        <v>13366</v>
      </c>
    </row>
    <row r="8163" spans="1:2" x14ac:dyDescent="0.25">
      <c r="A8163" t="s">
        <v>1001</v>
      </c>
      <c r="B8163" t="s">
        <v>13366</v>
      </c>
    </row>
    <row r="8164" spans="1:2" x14ac:dyDescent="0.25">
      <c r="A8164" t="s">
        <v>1002</v>
      </c>
      <c r="B8164" t="s">
        <v>13366</v>
      </c>
    </row>
    <row r="8165" spans="1:2" x14ac:dyDescent="0.25">
      <c r="A8165" t="s">
        <v>5216</v>
      </c>
      <c r="B8165" t="s">
        <v>13366</v>
      </c>
    </row>
    <row r="8166" spans="1:2" x14ac:dyDescent="0.25">
      <c r="A8166" t="s">
        <v>1005</v>
      </c>
      <c r="B8166" t="s">
        <v>13366</v>
      </c>
    </row>
    <row r="8167" spans="1:2" x14ac:dyDescent="0.25">
      <c r="A8167" t="s">
        <v>1007</v>
      </c>
      <c r="B8167" t="s">
        <v>13366</v>
      </c>
    </row>
    <row r="8168" spans="1:2" x14ac:dyDescent="0.25">
      <c r="A8168" t="s">
        <v>1008</v>
      </c>
      <c r="B8168" t="s">
        <v>13366</v>
      </c>
    </row>
    <row r="8169" spans="1:2" x14ac:dyDescent="0.25">
      <c r="A8169" t="s">
        <v>1061</v>
      </c>
      <c r="B8169" t="s">
        <v>13366</v>
      </c>
    </row>
    <row r="8170" spans="1:2" x14ac:dyDescent="0.25">
      <c r="A8170" t="s">
        <v>1062</v>
      </c>
      <c r="B8170" t="s">
        <v>13366</v>
      </c>
    </row>
    <row r="8171" spans="1:2" x14ac:dyDescent="0.25">
      <c r="A8171" t="s">
        <v>1482</v>
      </c>
      <c r="B8171" t="s">
        <v>13366</v>
      </c>
    </row>
    <row r="8172" spans="1:2" x14ac:dyDescent="0.25">
      <c r="A8172" t="s">
        <v>1484</v>
      </c>
      <c r="B8172" t="s">
        <v>13366</v>
      </c>
    </row>
    <row r="8173" spans="1:2" x14ac:dyDescent="0.25">
      <c r="A8173" t="s">
        <v>3494</v>
      </c>
      <c r="B8173" t="s">
        <v>13366</v>
      </c>
    </row>
    <row r="8174" spans="1:2" x14ac:dyDescent="0.25">
      <c r="A8174" t="s">
        <v>1591</v>
      </c>
      <c r="B8174" t="s">
        <v>13366</v>
      </c>
    </row>
    <row r="8175" spans="1:2" x14ac:dyDescent="0.25">
      <c r="A8175" t="s">
        <v>876</v>
      </c>
      <c r="B8175" t="s">
        <v>13366</v>
      </c>
    </row>
    <row r="8176" spans="1:2" x14ac:dyDescent="0.25">
      <c r="A8176" t="s">
        <v>7667</v>
      </c>
      <c r="B8176" t="s">
        <v>13366</v>
      </c>
    </row>
    <row r="8177" spans="1:2" x14ac:dyDescent="0.25">
      <c r="A8177" t="s">
        <v>1485</v>
      </c>
      <c r="B8177" t="s">
        <v>13366</v>
      </c>
    </row>
    <row r="8178" spans="1:2" x14ac:dyDescent="0.25">
      <c r="A8178" t="s">
        <v>1003</v>
      </c>
      <c r="B8178" t="s">
        <v>13366</v>
      </c>
    </row>
    <row r="8179" spans="1:2" x14ac:dyDescent="0.25">
      <c r="A8179" t="s">
        <v>1012</v>
      </c>
      <c r="B8179" t="s">
        <v>13366</v>
      </c>
    </row>
    <row r="8180" spans="1:2" x14ac:dyDescent="0.25">
      <c r="A8180" t="s">
        <v>1014</v>
      </c>
      <c r="B8180" t="s">
        <v>13366</v>
      </c>
    </row>
    <row r="8181" spans="1:2" x14ac:dyDescent="0.25">
      <c r="A8181" t="s">
        <v>1015</v>
      </c>
      <c r="B8181" t="s">
        <v>13366</v>
      </c>
    </row>
    <row r="8182" spans="1:2" x14ac:dyDescent="0.25">
      <c r="A8182" t="s">
        <v>1026</v>
      </c>
      <c r="B8182" t="s">
        <v>13366</v>
      </c>
    </row>
    <row r="8183" spans="1:2" x14ac:dyDescent="0.25">
      <c r="A8183" t="s">
        <v>1064</v>
      </c>
      <c r="B8183" t="s">
        <v>13366</v>
      </c>
    </row>
    <row r="8184" spans="1:2" x14ac:dyDescent="0.25">
      <c r="A8184" t="s">
        <v>2211</v>
      </c>
      <c r="B8184" t="s">
        <v>13366</v>
      </c>
    </row>
    <row r="8185" spans="1:2" x14ac:dyDescent="0.25">
      <c r="A8185" t="s">
        <v>1894</v>
      </c>
      <c r="B8185" t="s">
        <v>13366</v>
      </c>
    </row>
    <row r="8186" spans="1:2" x14ac:dyDescent="0.25">
      <c r="A8186" t="s">
        <v>3008</v>
      </c>
      <c r="B8186" t="s">
        <v>13366</v>
      </c>
    </row>
    <row r="8187" spans="1:2" x14ac:dyDescent="0.25">
      <c r="A8187" t="s">
        <v>1000</v>
      </c>
      <c r="B8187" t="s">
        <v>13366</v>
      </c>
    </row>
    <row r="8188" spans="1:2" x14ac:dyDescent="0.25">
      <c r="A8188" t="s">
        <v>1010</v>
      </c>
      <c r="B8188" t="s">
        <v>13366</v>
      </c>
    </row>
    <row r="8189" spans="1:2" x14ac:dyDescent="0.25">
      <c r="A8189" t="s">
        <v>1020</v>
      </c>
      <c r="B8189" t="s">
        <v>13366</v>
      </c>
    </row>
    <row r="8190" spans="1:2" x14ac:dyDescent="0.25">
      <c r="A8190" t="s">
        <v>1895</v>
      </c>
      <c r="B8190" t="s">
        <v>13366</v>
      </c>
    </row>
    <row r="8191" spans="1:2" x14ac:dyDescent="0.25">
      <c r="A8191" t="s">
        <v>1472</v>
      </c>
      <c r="B8191" t="s">
        <v>13366</v>
      </c>
    </row>
    <row r="8192" spans="1:2" x14ac:dyDescent="0.25">
      <c r="A8192" t="s">
        <v>2153</v>
      </c>
      <c r="B8192" t="s">
        <v>13366</v>
      </c>
    </row>
    <row r="8193" spans="1:2" x14ac:dyDescent="0.25">
      <c r="A8193" t="s">
        <v>1065</v>
      </c>
      <c r="B8193" t="s">
        <v>13366</v>
      </c>
    </row>
    <row r="8194" spans="1:2" x14ac:dyDescent="0.25">
      <c r="A8194" t="s">
        <v>894</v>
      </c>
      <c r="B8194" t="s">
        <v>13366</v>
      </c>
    </row>
    <row r="8195" spans="1:2" x14ac:dyDescent="0.25">
      <c r="A8195" t="s">
        <v>1870</v>
      </c>
      <c r="B8195" t="s">
        <v>13366</v>
      </c>
    </row>
    <row r="8196" spans="1:2" x14ac:dyDescent="0.25">
      <c r="A8196" t="s">
        <v>895</v>
      </c>
      <c r="B8196" t="s">
        <v>13366</v>
      </c>
    </row>
    <row r="8197" spans="1:2" x14ac:dyDescent="0.25">
      <c r="A8197" t="s">
        <v>3776</v>
      </c>
      <c r="B8197" t="s">
        <v>13366</v>
      </c>
    </row>
    <row r="8198" spans="1:2" x14ac:dyDescent="0.25">
      <c r="A8198" t="s">
        <v>1871</v>
      </c>
      <c r="B8198" t="s">
        <v>13366</v>
      </c>
    </row>
    <row r="8199" spans="1:2" x14ac:dyDescent="0.25">
      <c r="A8199" t="s">
        <v>896</v>
      </c>
      <c r="B8199" t="s">
        <v>13366</v>
      </c>
    </row>
    <row r="8200" spans="1:2" x14ac:dyDescent="0.25">
      <c r="A8200" t="s">
        <v>897</v>
      </c>
      <c r="B8200" t="s">
        <v>13366</v>
      </c>
    </row>
    <row r="8201" spans="1:2" x14ac:dyDescent="0.25">
      <c r="A8201" t="s">
        <v>3777</v>
      </c>
      <c r="B8201" t="s">
        <v>13366</v>
      </c>
    </row>
    <row r="8202" spans="1:2" x14ac:dyDescent="0.25">
      <c r="A8202" t="s">
        <v>4273</v>
      </c>
      <c r="B8202" t="s">
        <v>13366</v>
      </c>
    </row>
    <row r="8203" spans="1:2" x14ac:dyDescent="0.25">
      <c r="A8203" t="s">
        <v>2390</v>
      </c>
      <c r="B8203" t="s">
        <v>13366</v>
      </c>
    </row>
    <row r="8204" spans="1:2" x14ac:dyDescent="0.25">
      <c r="A8204" t="s">
        <v>898</v>
      </c>
      <c r="B8204" t="s">
        <v>13366</v>
      </c>
    </row>
    <row r="8205" spans="1:2" x14ac:dyDescent="0.25">
      <c r="A8205" t="s">
        <v>899</v>
      </c>
      <c r="B8205" t="s">
        <v>13366</v>
      </c>
    </row>
    <row r="8206" spans="1:2" x14ac:dyDescent="0.25">
      <c r="A8206" t="s">
        <v>900</v>
      </c>
      <c r="B8206" t="s">
        <v>13366</v>
      </c>
    </row>
    <row r="8207" spans="1:2" x14ac:dyDescent="0.25">
      <c r="A8207" t="s">
        <v>2130</v>
      </c>
      <c r="B8207" t="s">
        <v>13366</v>
      </c>
    </row>
    <row r="8208" spans="1:2" x14ac:dyDescent="0.25">
      <c r="A8208" t="s">
        <v>1820</v>
      </c>
      <c r="B8208" t="s">
        <v>13366</v>
      </c>
    </row>
    <row r="8209" spans="1:2" x14ac:dyDescent="0.25">
      <c r="A8209" t="s">
        <v>1821</v>
      </c>
      <c r="B8209" t="s">
        <v>13366</v>
      </c>
    </row>
    <row r="8210" spans="1:2" x14ac:dyDescent="0.25">
      <c r="A8210" t="s">
        <v>1402</v>
      </c>
      <c r="B8210" t="s">
        <v>13366</v>
      </c>
    </row>
    <row r="8211" spans="1:2" x14ac:dyDescent="0.25">
      <c r="A8211" t="s">
        <v>1602</v>
      </c>
      <c r="B8211" t="s">
        <v>13366</v>
      </c>
    </row>
    <row r="8212" spans="1:2" x14ac:dyDescent="0.25">
      <c r="A8212" t="s">
        <v>2841</v>
      </c>
      <c r="B8212" t="s">
        <v>13366</v>
      </c>
    </row>
    <row r="8213" spans="1:2" x14ac:dyDescent="0.25">
      <c r="A8213" t="s">
        <v>3279</v>
      </c>
      <c r="B8213" t="s">
        <v>13366</v>
      </c>
    </row>
    <row r="8214" spans="1:2" x14ac:dyDescent="0.25">
      <c r="A8214" t="s">
        <v>912</v>
      </c>
      <c r="B8214" t="s">
        <v>13366</v>
      </c>
    </row>
    <row r="8215" spans="1:2" x14ac:dyDescent="0.25">
      <c r="A8215" t="s">
        <v>913</v>
      </c>
      <c r="B8215" t="s">
        <v>13366</v>
      </c>
    </row>
    <row r="8216" spans="1:2" x14ac:dyDescent="0.25">
      <c r="A8216" t="s">
        <v>1875</v>
      </c>
      <c r="B8216" t="s">
        <v>13366</v>
      </c>
    </row>
    <row r="8217" spans="1:2" x14ac:dyDescent="0.25">
      <c r="A8217" t="s">
        <v>914</v>
      </c>
      <c r="B8217" t="s">
        <v>13366</v>
      </c>
    </row>
    <row r="8218" spans="1:2" x14ac:dyDescent="0.25">
      <c r="A8218" t="s">
        <v>3280</v>
      </c>
      <c r="B8218" t="s">
        <v>13366</v>
      </c>
    </row>
    <row r="8219" spans="1:2" x14ac:dyDescent="0.25">
      <c r="A8219" t="s">
        <v>915</v>
      </c>
      <c r="B8219" t="s">
        <v>13366</v>
      </c>
    </row>
    <row r="8220" spans="1:2" x14ac:dyDescent="0.25">
      <c r="A8220" t="s">
        <v>916</v>
      </c>
      <c r="B8220" t="s">
        <v>13366</v>
      </c>
    </row>
    <row r="8221" spans="1:2" x14ac:dyDescent="0.25">
      <c r="A8221" t="s">
        <v>917</v>
      </c>
      <c r="B8221" t="s">
        <v>13366</v>
      </c>
    </row>
    <row r="8222" spans="1:2" x14ac:dyDescent="0.25">
      <c r="A8222" t="s">
        <v>5214</v>
      </c>
      <c r="B8222" t="s">
        <v>13366</v>
      </c>
    </row>
    <row r="8223" spans="1:2" x14ac:dyDescent="0.25">
      <c r="A8223" t="s">
        <v>1425</v>
      </c>
      <c r="B8223" t="s">
        <v>13366</v>
      </c>
    </row>
    <row r="8224" spans="1:2" x14ac:dyDescent="0.25">
      <c r="A8224" t="s">
        <v>3454</v>
      </c>
      <c r="B8224" t="s">
        <v>13366</v>
      </c>
    </row>
    <row r="8225" spans="1:2" x14ac:dyDescent="0.25">
      <c r="A8225" t="s">
        <v>3988</v>
      </c>
      <c r="B8225" t="s">
        <v>13366</v>
      </c>
    </row>
    <row r="8226" spans="1:2" x14ac:dyDescent="0.25">
      <c r="A8226" t="s">
        <v>911</v>
      </c>
      <c r="B8226" t="s">
        <v>13366</v>
      </c>
    </row>
    <row r="8227" spans="1:2" x14ac:dyDescent="0.25">
      <c r="A8227" t="s">
        <v>1884</v>
      </c>
      <c r="B8227" t="s">
        <v>13366</v>
      </c>
    </row>
    <row r="8228" spans="1:2" x14ac:dyDescent="0.25">
      <c r="A8228" t="s">
        <v>974</v>
      </c>
      <c r="B8228" t="s">
        <v>13366</v>
      </c>
    </row>
    <row r="8229" spans="1:2" x14ac:dyDescent="0.25">
      <c r="A8229" t="s">
        <v>1885</v>
      </c>
      <c r="B8229" t="s">
        <v>13366</v>
      </c>
    </row>
    <row r="8230" spans="1:2" x14ac:dyDescent="0.25">
      <c r="A8230" t="s">
        <v>975</v>
      </c>
      <c r="B8230" t="s">
        <v>13366</v>
      </c>
    </row>
    <row r="8231" spans="1:2" x14ac:dyDescent="0.25">
      <c r="A8231" t="s">
        <v>976</v>
      </c>
      <c r="B8231" t="s">
        <v>13366</v>
      </c>
    </row>
    <row r="8232" spans="1:2" x14ac:dyDescent="0.25">
      <c r="A8232" t="s">
        <v>2208</v>
      </c>
      <c r="B8232" t="s">
        <v>13366</v>
      </c>
    </row>
    <row r="8233" spans="1:2" x14ac:dyDescent="0.25">
      <c r="A8233" t="s">
        <v>3051</v>
      </c>
      <c r="B8233" t="s">
        <v>13366</v>
      </c>
    </row>
    <row r="8234" spans="1:2" x14ac:dyDescent="0.25">
      <c r="A8234" t="s">
        <v>1006</v>
      </c>
      <c r="B8234" t="s">
        <v>13366</v>
      </c>
    </row>
    <row r="8235" spans="1:2" x14ac:dyDescent="0.25">
      <c r="A8235" t="s">
        <v>1089</v>
      </c>
      <c r="B8235" t="s">
        <v>13366</v>
      </c>
    </row>
    <row r="8236" spans="1:2" x14ac:dyDescent="0.25">
      <c r="A8236" t="s">
        <v>1893</v>
      </c>
      <c r="B8236" t="s">
        <v>13366</v>
      </c>
    </row>
    <row r="8237" spans="1:2" x14ac:dyDescent="0.25">
      <c r="A8237" t="s">
        <v>1004</v>
      </c>
      <c r="B8237" t="s">
        <v>13366</v>
      </c>
    </row>
    <row r="8238" spans="1:2" x14ac:dyDescent="0.25">
      <c r="A8238" t="s">
        <v>1899</v>
      </c>
      <c r="B8238" t="s">
        <v>13366</v>
      </c>
    </row>
    <row r="8239" spans="1:2" x14ac:dyDescent="0.25">
      <c r="A8239" t="s">
        <v>6141</v>
      </c>
      <c r="B8239" t="s">
        <v>13366</v>
      </c>
    </row>
    <row r="8240" spans="1:2" x14ac:dyDescent="0.25">
      <c r="A8240" t="s">
        <v>6140</v>
      </c>
      <c r="B8240" t="s">
        <v>13366</v>
      </c>
    </row>
    <row r="8241" spans="1:2" x14ac:dyDescent="0.25">
      <c r="A8241" t="s">
        <v>6968</v>
      </c>
      <c r="B8241" t="s">
        <v>13366</v>
      </c>
    </row>
    <row r="8242" spans="1:2" x14ac:dyDescent="0.25">
      <c r="A8242" t="s">
        <v>6665</v>
      </c>
      <c r="B8242" t="s">
        <v>6968</v>
      </c>
    </row>
    <row r="8243" spans="1:2" x14ac:dyDescent="0.25">
      <c r="A8243" t="s">
        <v>1616</v>
      </c>
      <c r="B8243" t="s">
        <v>13366</v>
      </c>
    </row>
    <row r="8244" spans="1:2" x14ac:dyDescent="0.25">
      <c r="A8244" t="s">
        <v>3061</v>
      </c>
      <c r="B8244" t="s">
        <v>13366</v>
      </c>
    </row>
    <row r="8245" spans="1:2" x14ac:dyDescent="0.25">
      <c r="A8245" t="s">
        <v>4918</v>
      </c>
      <c r="B8245" t="s">
        <v>13366</v>
      </c>
    </row>
    <row r="8246" spans="1:2" x14ac:dyDescent="0.25">
      <c r="A8246" t="s">
        <v>2998</v>
      </c>
      <c r="B8246" t="s">
        <v>13366</v>
      </c>
    </row>
    <row r="8247" spans="1:2" x14ac:dyDescent="0.25">
      <c r="A8247" t="s">
        <v>1419</v>
      </c>
      <c r="B8247" t="s">
        <v>13366</v>
      </c>
    </row>
    <row r="8248" spans="1:2" x14ac:dyDescent="0.25">
      <c r="A8248" t="s">
        <v>1418</v>
      </c>
      <c r="B8248" t="s">
        <v>13366</v>
      </c>
    </row>
    <row r="8249" spans="1:2" x14ac:dyDescent="0.25">
      <c r="A8249" t="s">
        <v>2375</v>
      </c>
      <c r="B8249" t="s">
        <v>13366</v>
      </c>
    </row>
    <row r="8250" spans="1:2" x14ac:dyDescent="0.25">
      <c r="A8250" t="s">
        <v>679</v>
      </c>
      <c r="B8250" t="s">
        <v>13366</v>
      </c>
    </row>
    <row r="8251" spans="1:2" x14ac:dyDescent="0.25">
      <c r="A8251" t="s">
        <v>2821</v>
      </c>
      <c r="B8251" t="s">
        <v>13366</v>
      </c>
    </row>
    <row r="8252" spans="1:2" x14ac:dyDescent="0.25">
      <c r="A8252" t="s">
        <v>3772</v>
      </c>
      <c r="B8252" t="s">
        <v>13366</v>
      </c>
    </row>
    <row r="8253" spans="1:2" x14ac:dyDescent="0.25">
      <c r="A8253" t="s">
        <v>12956</v>
      </c>
      <c r="B8253" t="s">
        <v>13366</v>
      </c>
    </row>
    <row r="8254" spans="1:2" x14ac:dyDescent="0.25">
      <c r="A8254" t="s">
        <v>12957</v>
      </c>
      <c r="B8254" t="s">
        <v>13366</v>
      </c>
    </row>
    <row r="8255" spans="1:2" x14ac:dyDescent="0.25">
      <c r="A8255" t="s">
        <v>3037</v>
      </c>
      <c r="B8255" t="s">
        <v>13366</v>
      </c>
    </row>
    <row r="8256" spans="1:2" x14ac:dyDescent="0.25">
      <c r="A8256" t="s">
        <v>2379</v>
      </c>
      <c r="B8256" t="s">
        <v>13366</v>
      </c>
    </row>
    <row r="8257" spans="1:2" x14ac:dyDescent="0.25">
      <c r="A8257" t="s">
        <v>740</v>
      </c>
      <c r="B8257" t="s">
        <v>13366</v>
      </c>
    </row>
    <row r="8258" spans="1:2" x14ac:dyDescent="0.25">
      <c r="A8258" t="s">
        <v>741</v>
      </c>
      <c r="B8258" t="s">
        <v>13366</v>
      </c>
    </row>
    <row r="8259" spans="1:2" x14ac:dyDescent="0.25">
      <c r="A8259" t="s">
        <v>742</v>
      </c>
      <c r="B8259" t="s">
        <v>13366</v>
      </c>
    </row>
    <row r="8260" spans="1:2" x14ac:dyDescent="0.25">
      <c r="A8260" t="s">
        <v>743</v>
      </c>
      <c r="B8260" t="s">
        <v>13366</v>
      </c>
    </row>
    <row r="8261" spans="1:2" x14ac:dyDescent="0.25">
      <c r="A8261" t="s">
        <v>5210</v>
      </c>
      <c r="B8261" t="s">
        <v>13366</v>
      </c>
    </row>
    <row r="8262" spans="1:2" x14ac:dyDescent="0.25">
      <c r="A8262" t="s">
        <v>2392</v>
      </c>
      <c r="B8262" t="s">
        <v>13366</v>
      </c>
    </row>
    <row r="8263" spans="1:2" x14ac:dyDescent="0.25">
      <c r="A8263" t="s">
        <v>2135</v>
      </c>
      <c r="B8263" t="s">
        <v>13366</v>
      </c>
    </row>
    <row r="8264" spans="1:2" x14ac:dyDescent="0.25">
      <c r="A8264" t="s">
        <v>4461</v>
      </c>
      <c r="B8264" t="s">
        <v>13366</v>
      </c>
    </row>
    <row r="8265" spans="1:2" x14ac:dyDescent="0.25">
      <c r="A8265" t="s">
        <v>1433</v>
      </c>
      <c r="B8265" t="s">
        <v>13366</v>
      </c>
    </row>
    <row r="8266" spans="1:2" x14ac:dyDescent="0.25">
      <c r="A8266" t="s">
        <v>2624</v>
      </c>
      <c r="B8266" t="s">
        <v>13366</v>
      </c>
    </row>
    <row r="8267" spans="1:2" x14ac:dyDescent="0.25">
      <c r="A8267" t="s">
        <v>3064</v>
      </c>
      <c r="B8267" t="s">
        <v>13366</v>
      </c>
    </row>
    <row r="8268" spans="1:2" x14ac:dyDescent="0.25">
      <c r="A8268" t="s">
        <v>714</v>
      </c>
      <c r="B8268" t="s">
        <v>13366</v>
      </c>
    </row>
    <row r="8269" spans="1:2" x14ac:dyDescent="0.25">
      <c r="A8269" t="s">
        <v>715</v>
      </c>
      <c r="B8269" t="s">
        <v>13366</v>
      </c>
    </row>
    <row r="8270" spans="1:2" x14ac:dyDescent="0.25">
      <c r="A8270" t="s">
        <v>718</v>
      </c>
      <c r="B8270" t="s">
        <v>13366</v>
      </c>
    </row>
    <row r="8271" spans="1:2" x14ac:dyDescent="0.25">
      <c r="A8271" t="s">
        <v>6965</v>
      </c>
      <c r="B8271" t="s">
        <v>13366</v>
      </c>
    </row>
    <row r="8272" spans="1:2" x14ac:dyDescent="0.25">
      <c r="A8272" t="s">
        <v>1603</v>
      </c>
      <c r="B8272" t="s">
        <v>13366</v>
      </c>
    </row>
    <row r="8273" spans="1:2" x14ac:dyDescent="0.25">
      <c r="A8273" t="s">
        <v>8845</v>
      </c>
      <c r="B8273" t="s">
        <v>13366</v>
      </c>
    </row>
    <row r="8274" spans="1:2" x14ac:dyDescent="0.25">
      <c r="A8274" t="s">
        <v>13930</v>
      </c>
      <c r="B8274" t="s">
        <v>9547</v>
      </c>
    </row>
    <row r="8275" spans="1:2" x14ac:dyDescent="0.25">
      <c r="A8275" t="s">
        <v>13851</v>
      </c>
      <c r="B8275" t="s">
        <v>13930</v>
      </c>
    </row>
    <row r="8276" spans="1:2" x14ac:dyDescent="0.25">
      <c r="A8276" t="s">
        <v>336</v>
      </c>
      <c r="B8276" t="s">
        <v>13930</v>
      </c>
    </row>
    <row r="8277" spans="1:2" x14ac:dyDescent="0.25">
      <c r="A8277" t="s">
        <v>1609</v>
      </c>
      <c r="B8277" t="s">
        <v>336</v>
      </c>
    </row>
    <row r="8278" spans="1:2" x14ac:dyDescent="0.25">
      <c r="A8278" t="s">
        <v>12969</v>
      </c>
      <c r="B8278" t="s">
        <v>13930</v>
      </c>
    </row>
    <row r="8279" spans="1:2" x14ac:dyDescent="0.25">
      <c r="A8279" t="s">
        <v>717</v>
      </c>
      <c r="B8279" t="s">
        <v>12969</v>
      </c>
    </row>
    <row r="8280" spans="1:2" x14ac:dyDescent="0.25">
      <c r="A8280" t="s">
        <v>6201</v>
      </c>
      <c r="B8280" t="s">
        <v>12969</v>
      </c>
    </row>
    <row r="8281" spans="1:2" x14ac:dyDescent="0.25">
      <c r="A8281" t="s">
        <v>4516</v>
      </c>
      <c r="B8281" t="s">
        <v>12969</v>
      </c>
    </row>
    <row r="8282" spans="1:2" x14ac:dyDescent="0.25">
      <c r="A8282" t="s">
        <v>6044</v>
      </c>
      <c r="B8282" t="s">
        <v>12969</v>
      </c>
    </row>
    <row r="8283" spans="1:2" x14ac:dyDescent="0.25">
      <c r="A8283" t="s">
        <v>2408</v>
      </c>
      <c r="B8283" t="s">
        <v>12969</v>
      </c>
    </row>
    <row r="8284" spans="1:2" x14ac:dyDescent="0.25">
      <c r="A8284" t="s">
        <v>1610</v>
      </c>
      <c r="B8284" t="s">
        <v>12969</v>
      </c>
    </row>
    <row r="8285" spans="1:2" x14ac:dyDescent="0.25">
      <c r="A8285" t="s">
        <v>6529</v>
      </c>
      <c r="B8285" t="s">
        <v>12969</v>
      </c>
    </row>
    <row r="8286" spans="1:2" x14ac:dyDescent="0.25">
      <c r="A8286" t="s">
        <v>134</v>
      </c>
      <c r="B8286" t="s">
        <v>6529</v>
      </c>
    </row>
    <row r="8287" spans="1:2" x14ac:dyDescent="0.25">
      <c r="A8287" t="s">
        <v>1822</v>
      </c>
      <c r="B8287" t="s">
        <v>134</v>
      </c>
    </row>
    <row r="8288" spans="1:2" x14ac:dyDescent="0.25">
      <c r="A8288" t="s">
        <v>1823</v>
      </c>
      <c r="B8288" t="s">
        <v>134</v>
      </c>
    </row>
    <row r="8289" spans="1:2" x14ac:dyDescent="0.25">
      <c r="A8289" t="s">
        <v>1584</v>
      </c>
      <c r="B8289" t="s">
        <v>12969</v>
      </c>
    </row>
    <row r="8290" spans="1:2" x14ac:dyDescent="0.25">
      <c r="A8290" t="s">
        <v>4753</v>
      </c>
      <c r="B8290" t="s">
        <v>13930</v>
      </c>
    </row>
    <row r="8291" spans="1:2" x14ac:dyDescent="0.25">
      <c r="A8291" t="s">
        <v>727</v>
      </c>
      <c r="B8291" t="s">
        <v>4753</v>
      </c>
    </row>
    <row r="8292" spans="1:2" x14ac:dyDescent="0.25">
      <c r="A8292" t="s">
        <v>728</v>
      </c>
      <c r="B8292" t="s">
        <v>4753</v>
      </c>
    </row>
    <row r="8293" spans="1:2" x14ac:dyDescent="0.25">
      <c r="A8293" t="s">
        <v>12981</v>
      </c>
      <c r="B8293" t="s">
        <v>13930</v>
      </c>
    </row>
    <row r="8294" spans="1:2" x14ac:dyDescent="0.25">
      <c r="A8294" t="s">
        <v>12982</v>
      </c>
      <c r="B8294" t="s">
        <v>12981</v>
      </c>
    </row>
    <row r="8295" spans="1:2" x14ac:dyDescent="0.25">
      <c r="A8295" t="s">
        <v>12983</v>
      </c>
      <c r="B8295" t="s">
        <v>12981</v>
      </c>
    </row>
    <row r="8296" spans="1:2" x14ac:dyDescent="0.25">
      <c r="A8296" t="s">
        <v>12984</v>
      </c>
      <c r="B8296" t="s">
        <v>12981</v>
      </c>
    </row>
    <row r="8297" spans="1:2" x14ac:dyDescent="0.25">
      <c r="A8297" t="s">
        <v>12985</v>
      </c>
      <c r="B8297" t="s">
        <v>12981</v>
      </c>
    </row>
    <row r="8298" spans="1:2" x14ac:dyDescent="0.25">
      <c r="A8298" t="s">
        <v>1045</v>
      </c>
      <c r="B8298" t="s">
        <v>12981</v>
      </c>
    </row>
    <row r="8299" spans="1:2" x14ac:dyDescent="0.25">
      <c r="A8299" t="s">
        <v>9554</v>
      </c>
      <c r="B8299" t="s">
        <v>12981</v>
      </c>
    </row>
    <row r="8300" spans="1:2" x14ac:dyDescent="0.25">
      <c r="A8300" t="s">
        <v>688</v>
      </c>
      <c r="B8300" t="s">
        <v>9554</v>
      </c>
    </row>
    <row r="8301" spans="1:2" x14ac:dyDescent="0.25">
      <c r="A8301" t="s">
        <v>1054</v>
      </c>
      <c r="B8301" t="s">
        <v>9554</v>
      </c>
    </row>
    <row r="8302" spans="1:2" x14ac:dyDescent="0.25">
      <c r="A8302" t="s">
        <v>3290</v>
      </c>
      <c r="B8302" t="s">
        <v>9554</v>
      </c>
    </row>
    <row r="8303" spans="1:2" x14ac:dyDescent="0.25">
      <c r="A8303" t="s">
        <v>2851</v>
      </c>
      <c r="B8303" t="s">
        <v>9554</v>
      </c>
    </row>
    <row r="8304" spans="1:2" x14ac:dyDescent="0.25">
      <c r="A8304" t="s">
        <v>4282</v>
      </c>
      <c r="B8304" t="s">
        <v>9554</v>
      </c>
    </row>
    <row r="8305" spans="1:2" x14ac:dyDescent="0.25">
      <c r="A8305" t="s">
        <v>1055</v>
      </c>
      <c r="B8305" t="s">
        <v>9554</v>
      </c>
    </row>
    <row r="8306" spans="1:2" x14ac:dyDescent="0.25">
      <c r="A8306" t="s">
        <v>5634</v>
      </c>
      <c r="B8306" t="s">
        <v>9554</v>
      </c>
    </row>
    <row r="8307" spans="1:2" x14ac:dyDescent="0.25">
      <c r="A8307" t="s">
        <v>1056</v>
      </c>
      <c r="B8307" t="s">
        <v>9554</v>
      </c>
    </row>
    <row r="8308" spans="1:2" x14ac:dyDescent="0.25">
      <c r="A8308" t="s">
        <v>5217</v>
      </c>
      <c r="B8308" t="s">
        <v>9554</v>
      </c>
    </row>
    <row r="8309" spans="1:2" x14ac:dyDescent="0.25">
      <c r="A8309" t="s">
        <v>2406</v>
      </c>
      <c r="B8309" t="s">
        <v>9554</v>
      </c>
    </row>
    <row r="8310" spans="1:2" x14ac:dyDescent="0.25">
      <c r="A8310" t="s">
        <v>5635</v>
      </c>
      <c r="B8310" t="s">
        <v>9554</v>
      </c>
    </row>
    <row r="8311" spans="1:2" x14ac:dyDescent="0.25">
      <c r="A8311" t="s">
        <v>446</v>
      </c>
      <c r="B8311" t="s">
        <v>9554</v>
      </c>
    </row>
    <row r="8312" spans="1:2" x14ac:dyDescent="0.25">
      <c r="A8312" t="s">
        <v>1057</v>
      </c>
      <c r="B8312" t="s">
        <v>9554</v>
      </c>
    </row>
    <row r="8313" spans="1:2" x14ac:dyDescent="0.25">
      <c r="A8313" t="s">
        <v>5636</v>
      </c>
      <c r="B8313" t="s">
        <v>9554</v>
      </c>
    </row>
    <row r="8314" spans="1:2" x14ac:dyDescent="0.25">
      <c r="A8314" t="s">
        <v>1058</v>
      </c>
      <c r="B8314" t="s">
        <v>9554</v>
      </c>
    </row>
    <row r="8315" spans="1:2" x14ac:dyDescent="0.25">
      <c r="A8315" t="s">
        <v>1900</v>
      </c>
      <c r="B8315" t="s">
        <v>9554</v>
      </c>
    </row>
    <row r="8316" spans="1:2" x14ac:dyDescent="0.25">
      <c r="A8316" t="s">
        <v>1473</v>
      </c>
      <c r="B8316" t="s">
        <v>9554</v>
      </c>
    </row>
    <row r="8317" spans="1:2" x14ac:dyDescent="0.25">
      <c r="A8317" t="s">
        <v>1474</v>
      </c>
      <c r="B8317" t="s">
        <v>9554</v>
      </c>
    </row>
    <row r="8318" spans="1:2" x14ac:dyDescent="0.25">
      <c r="A8318" t="s">
        <v>1475</v>
      </c>
      <c r="B8318" t="s">
        <v>9554</v>
      </c>
    </row>
    <row r="8319" spans="1:2" x14ac:dyDescent="0.25">
      <c r="A8319" t="s">
        <v>5725</v>
      </c>
      <c r="B8319" t="s">
        <v>9554</v>
      </c>
    </row>
    <row r="8320" spans="1:2" x14ac:dyDescent="0.25">
      <c r="A8320" t="s">
        <v>8807</v>
      </c>
      <c r="B8320" t="s">
        <v>9554</v>
      </c>
    </row>
    <row r="8321" spans="1:2" x14ac:dyDescent="0.25">
      <c r="A8321" t="s">
        <v>5329</v>
      </c>
      <c r="B8321" t="s">
        <v>9554</v>
      </c>
    </row>
    <row r="8322" spans="1:2" x14ac:dyDescent="0.25">
      <c r="A8322" t="s">
        <v>8808</v>
      </c>
      <c r="B8322" t="s">
        <v>9554</v>
      </c>
    </row>
    <row r="8323" spans="1:2" x14ac:dyDescent="0.25">
      <c r="A8323" t="s">
        <v>8809</v>
      </c>
      <c r="B8323" t="s">
        <v>9554</v>
      </c>
    </row>
    <row r="8324" spans="1:2" x14ac:dyDescent="0.25">
      <c r="A8324" t="s">
        <v>2192</v>
      </c>
      <c r="B8324" t="s">
        <v>9554</v>
      </c>
    </row>
    <row r="8325" spans="1:2" x14ac:dyDescent="0.25">
      <c r="A8325" t="s">
        <v>1545</v>
      </c>
      <c r="B8325" t="s">
        <v>9554</v>
      </c>
    </row>
    <row r="8326" spans="1:2" x14ac:dyDescent="0.25">
      <c r="A8326" t="s">
        <v>14192</v>
      </c>
      <c r="B8326" t="s">
        <v>13930</v>
      </c>
    </row>
    <row r="8327" spans="1:2" x14ac:dyDescent="0.25">
      <c r="A8327" t="s">
        <v>13881</v>
      </c>
      <c r="B8327" t="s">
        <v>14192</v>
      </c>
    </row>
    <row r="8328" spans="1:2" x14ac:dyDescent="0.25">
      <c r="A8328" t="s">
        <v>3785</v>
      </c>
      <c r="B8328" t="s">
        <v>13881</v>
      </c>
    </row>
    <row r="8329" spans="1:2" x14ac:dyDescent="0.25">
      <c r="A8329" t="s">
        <v>908</v>
      </c>
      <c r="B8329" t="s">
        <v>3785</v>
      </c>
    </row>
    <row r="8330" spans="1:2" x14ac:dyDescent="0.25">
      <c r="A8330" t="s">
        <v>909</v>
      </c>
      <c r="B8330" t="s">
        <v>3785</v>
      </c>
    </row>
    <row r="8331" spans="1:2" x14ac:dyDescent="0.25">
      <c r="A8331" t="s">
        <v>910</v>
      </c>
      <c r="B8331" t="s">
        <v>3785</v>
      </c>
    </row>
    <row r="8332" spans="1:2" x14ac:dyDescent="0.25">
      <c r="A8332" t="s">
        <v>12991</v>
      </c>
      <c r="B8332" t="s">
        <v>13881</v>
      </c>
    </row>
    <row r="8333" spans="1:2" x14ac:dyDescent="0.25">
      <c r="A8333" t="s">
        <v>14182</v>
      </c>
      <c r="B8333" t="s">
        <v>13930</v>
      </c>
    </row>
    <row r="8334" spans="1:2" x14ac:dyDescent="0.25">
      <c r="A8334" t="s">
        <v>14231</v>
      </c>
      <c r="B8334" t="s">
        <v>14182</v>
      </c>
    </row>
    <row r="8335" spans="1:2" x14ac:dyDescent="0.25">
      <c r="A8335" t="s">
        <v>12986</v>
      </c>
      <c r="B8335" t="s">
        <v>14182</v>
      </c>
    </row>
    <row r="8336" spans="1:2" x14ac:dyDescent="0.25">
      <c r="A8336" t="s">
        <v>12987</v>
      </c>
      <c r="B8336" t="s">
        <v>12986</v>
      </c>
    </row>
    <row r="8337" spans="1:2" x14ac:dyDescent="0.25">
      <c r="A8337" t="s">
        <v>12988</v>
      </c>
      <c r="B8337" t="s">
        <v>12986</v>
      </c>
    </row>
    <row r="8338" spans="1:2" x14ac:dyDescent="0.25">
      <c r="A8338" t="s">
        <v>12989</v>
      </c>
      <c r="B8338" t="s">
        <v>12986</v>
      </c>
    </row>
    <row r="8339" spans="1:2" x14ac:dyDescent="0.25">
      <c r="A8339" t="s">
        <v>3269</v>
      </c>
      <c r="B8339" t="s">
        <v>12986</v>
      </c>
    </row>
    <row r="8340" spans="1:2" x14ac:dyDescent="0.25">
      <c r="A8340" t="s">
        <v>13848</v>
      </c>
      <c r="B8340" t="s">
        <v>9547</v>
      </c>
    </row>
    <row r="8341" spans="1:2" x14ac:dyDescent="0.25">
      <c r="A8341" t="s">
        <v>13845</v>
      </c>
      <c r="B8341" t="s">
        <v>13848</v>
      </c>
    </row>
    <row r="8342" spans="1:2" x14ac:dyDescent="0.25">
      <c r="A8342" t="s">
        <v>13914</v>
      </c>
      <c r="B8342" t="s">
        <v>13848</v>
      </c>
    </row>
    <row r="8343" spans="1:2" x14ac:dyDescent="0.25">
      <c r="A8343" t="s">
        <v>13843</v>
      </c>
      <c r="B8343" t="s">
        <v>13848</v>
      </c>
    </row>
    <row r="8344" spans="1:2" x14ac:dyDescent="0.25">
      <c r="A8344" t="s">
        <v>1393</v>
      </c>
      <c r="B8344" t="s">
        <v>13843</v>
      </c>
    </row>
    <row r="8345" spans="1:2" x14ac:dyDescent="0.25">
      <c r="A8345" t="s">
        <v>2210</v>
      </c>
      <c r="B8345" t="s">
        <v>13843</v>
      </c>
    </row>
    <row r="8346" spans="1:2" x14ac:dyDescent="0.25">
      <c r="A8346" t="s">
        <v>10644</v>
      </c>
      <c r="B8346" t="s">
        <v>13843</v>
      </c>
    </row>
    <row r="8347" spans="1:2" x14ac:dyDescent="0.25">
      <c r="A8347" t="s">
        <v>13866</v>
      </c>
      <c r="B8347" t="s">
        <v>13848</v>
      </c>
    </row>
    <row r="8348" spans="1:2" x14ac:dyDescent="0.25">
      <c r="A8348" t="s">
        <v>13032</v>
      </c>
      <c r="B8348" t="s">
        <v>13866</v>
      </c>
    </row>
    <row r="8349" spans="1:2" x14ac:dyDescent="0.25">
      <c r="A8349" t="s">
        <v>13875</v>
      </c>
      <c r="B8349" t="s">
        <v>13848</v>
      </c>
    </row>
    <row r="8350" spans="1:2" x14ac:dyDescent="0.25">
      <c r="A8350" t="s">
        <v>7314</v>
      </c>
      <c r="B8350" t="s">
        <v>13875</v>
      </c>
    </row>
    <row r="8351" spans="1:2" x14ac:dyDescent="0.25">
      <c r="A8351" t="s">
        <v>13184</v>
      </c>
      <c r="B8351" t="s">
        <v>13875</v>
      </c>
    </row>
    <row r="8352" spans="1:2" x14ac:dyDescent="0.25">
      <c r="A8352" t="s">
        <v>12966</v>
      </c>
      <c r="B8352" t="s">
        <v>13848</v>
      </c>
    </row>
    <row r="8353" spans="1:2" x14ac:dyDescent="0.25">
      <c r="A8353" t="s">
        <v>6035</v>
      </c>
      <c r="B8353" t="s">
        <v>12966</v>
      </c>
    </row>
    <row r="8354" spans="1:2" x14ac:dyDescent="0.25">
      <c r="A8354" t="s">
        <v>6036</v>
      </c>
      <c r="B8354" t="s">
        <v>6035</v>
      </c>
    </row>
    <row r="8355" spans="1:2" x14ac:dyDescent="0.25">
      <c r="A8355" t="s">
        <v>6136</v>
      </c>
      <c r="B8355" t="s">
        <v>6035</v>
      </c>
    </row>
    <row r="8356" spans="1:2" x14ac:dyDescent="0.25">
      <c r="A8356" t="s">
        <v>4499</v>
      </c>
      <c r="B8356" t="s">
        <v>6035</v>
      </c>
    </row>
    <row r="8357" spans="1:2" x14ac:dyDescent="0.25">
      <c r="A8357" t="s">
        <v>1582</v>
      </c>
      <c r="B8357" t="s">
        <v>6035</v>
      </c>
    </row>
    <row r="8358" spans="1:2" x14ac:dyDescent="0.25">
      <c r="A8358" t="s">
        <v>14756</v>
      </c>
      <c r="B8358" t="s">
        <v>13848</v>
      </c>
    </row>
    <row r="8359" spans="1:2" x14ac:dyDescent="0.25">
      <c r="A8359" t="s">
        <v>731</v>
      </c>
      <c r="B8359" t="s">
        <v>14756</v>
      </c>
    </row>
    <row r="8360" spans="1:2" x14ac:dyDescent="0.25">
      <c r="A8360" t="s">
        <v>14757</v>
      </c>
      <c r="B8360" t="s">
        <v>13848</v>
      </c>
    </row>
    <row r="8361" spans="1:2" x14ac:dyDescent="0.25">
      <c r="A8361" t="s">
        <v>14758</v>
      </c>
      <c r="B8361" t="s">
        <v>13848</v>
      </c>
    </row>
    <row r="8362" spans="1:2" x14ac:dyDescent="0.25">
      <c r="A8362" t="s">
        <v>16259</v>
      </c>
      <c r="B8362" t="s">
        <v>14758</v>
      </c>
    </row>
    <row r="8363" spans="1:2" x14ac:dyDescent="0.25">
      <c r="A8363" t="s">
        <v>16260</v>
      </c>
      <c r="B8363" t="s">
        <v>14758</v>
      </c>
    </row>
    <row r="8364" spans="1:2" x14ac:dyDescent="0.25">
      <c r="A8364" t="s">
        <v>16261</v>
      </c>
      <c r="B8364" t="s">
        <v>14758</v>
      </c>
    </row>
    <row r="8365" spans="1:2" x14ac:dyDescent="0.25">
      <c r="A8365" t="s">
        <v>16262</v>
      </c>
      <c r="B8365" t="s">
        <v>14758</v>
      </c>
    </row>
    <row r="8366" spans="1:2" x14ac:dyDescent="0.25">
      <c r="A8366" t="s">
        <v>14759</v>
      </c>
      <c r="B8366" t="s">
        <v>13848</v>
      </c>
    </row>
    <row r="8367" spans="1:2" x14ac:dyDescent="0.25">
      <c r="A8367" t="s">
        <v>733</v>
      </c>
      <c r="B8367" t="s">
        <v>14759</v>
      </c>
    </row>
    <row r="8368" spans="1:2" x14ac:dyDescent="0.25">
      <c r="A8368" t="s">
        <v>14760</v>
      </c>
      <c r="B8368" t="s">
        <v>13848</v>
      </c>
    </row>
    <row r="8369" spans="1:2" x14ac:dyDescent="0.25">
      <c r="A8369" t="s">
        <v>732</v>
      </c>
      <c r="B8369" t="s">
        <v>14760</v>
      </c>
    </row>
    <row r="8370" spans="1:2" x14ac:dyDescent="0.25">
      <c r="A8370" t="s">
        <v>730</v>
      </c>
      <c r="B8370" t="s">
        <v>13848</v>
      </c>
    </row>
    <row r="8371" spans="1:2" x14ac:dyDescent="0.25">
      <c r="A8371" t="s">
        <v>12965</v>
      </c>
      <c r="B8371" t="s">
        <v>9547</v>
      </c>
    </row>
    <row r="8372" spans="1:2" x14ac:dyDescent="0.25">
      <c r="A8372" t="s">
        <v>107</v>
      </c>
      <c r="B8372" t="s">
        <v>12965</v>
      </c>
    </row>
    <row r="8373" spans="1:2" x14ac:dyDescent="0.25">
      <c r="A8373" t="s">
        <v>725</v>
      </c>
      <c r="B8373" t="s">
        <v>107</v>
      </c>
    </row>
    <row r="8374" spans="1:2" x14ac:dyDescent="0.25">
      <c r="A8374" t="s">
        <v>726</v>
      </c>
      <c r="B8374" t="s">
        <v>107</v>
      </c>
    </row>
    <row r="8375" spans="1:2" x14ac:dyDescent="0.25">
      <c r="A8375" t="s">
        <v>1827</v>
      </c>
      <c r="B8375" t="s">
        <v>107</v>
      </c>
    </row>
    <row r="8376" spans="1:2" x14ac:dyDescent="0.25">
      <c r="A8376" t="s">
        <v>460</v>
      </c>
      <c r="B8376" t="s">
        <v>107</v>
      </c>
    </row>
    <row r="8377" spans="1:2" x14ac:dyDescent="0.25">
      <c r="A8377" t="s">
        <v>902</v>
      </c>
      <c r="B8377" t="s">
        <v>460</v>
      </c>
    </row>
    <row r="8378" spans="1:2" x14ac:dyDescent="0.25">
      <c r="A8378" t="s">
        <v>2571</v>
      </c>
      <c r="B8378" t="s">
        <v>460</v>
      </c>
    </row>
    <row r="8379" spans="1:2" x14ac:dyDescent="0.25">
      <c r="A8379" t="s">
        <v>2572</v>
      </c>
      <c r="B8379" t="s">
        <v>460</v>
      </c>
    </row>
    <row r="8380" spans="1:2" x14ac:dyDescent="0.25">
      <c r="A8380" t="s">
        <v>2207</v>
      </c>
      <c r="B8380" t="s">
        <v>107</v>
      </c>
    </row>
    <row r="8381" spans="1:2" x14ac:dyDescent="0.25">
      <c r="A8381" t="s">
        <v>1585</v>
      </c>
      <c r="B8381" t="s">
        <v>107</v>
      </c>
    </row>
    <row r="8382" spans="1:2" x14ac:dyDescent="0.25">
      <c r="A8382" t="s">
        <v>12967</v>
      </c>
      <c r="B8382" t="s">
        <v>12965</v>
      </c>
    </row>
    <row r="8383" spans="1:2" x14ac:dyDescent="0.25">
      <c r="A8383" t="s">
        <v>716</v>
      </c>
      <c r="B8383" t="s">
        <v>12967</v>
      </c>
    </row>
    <row r="8384" spans="1:2" x14ac:dyDescent="0.25">
      <c r="A8384" t="s">
        <v>6639</v>
      </c>
      <c r="B8384" t="s">
        <v>12967</v>
      </c>
    </row>
    <row r="8385" spans="1:2" x14ac:dyDescent="0.25">
      <c r="A8385" t="s">
        <v>13870</v>
      </c>
      <c r="B8385" t="s">
        <v>12965</v>
      </c>
    </row>
    <row r="8386" spans="1:2" x14ac:dyDescent="0.25">
      <c r="A8386" t="s">
        <v>8281</v>
      </c>
      <c r="B8386" t="s">
        <v>13870</v>
      </c>
    </row>
    <row r="8387" spans="1:2" x14ac:dyDescent="0.25">
      <c r="A8387" t="s">
        <v>3481</v>
      </c>
      <c r="B8387" t="s">
        <v>13870</v>
      </c>
    </row>
    <row r="8388" spans="1:2" x14ac:dyDescent="0.25">
      <c r="A8388" t="s">
        <v>13183</v>
      </c>
      <c r="B8388" t="s">
        <v>13870</v>
      </c>
    </row>
    <row r="8389" spans="1:2" x14ac:dyDescent="0.25">
      <c r="A8389" t="s">
        <v>13185</v>
      </c>
      <c r="B8389" t="s">
        <v>13870</v>
      </c>
    </row>
    <row r="8390" spans="1:2" x14ac:dyDescent="0.25">
      <c r="A8390" t="s">
        <v>13900</v>
      </c>
      <c r="B8390" t="s">
        <v>12965</v>
      </c>
    </row>
    <row r="8391" spans="1:2" x14ac:dyDescent="0.25">
      <c r="A8391" t="s">
        <v>1537</v>
      </c>
      <c r="B8391" t="s">
        <v>13900</v>
      </c>
    </row>
    <row r="8392" spans="1:2" x14ac:dyDescent="0.25">
      <c r="A8392" t="s">
        <v>1826</v>
      </c>
      <c r="B8392" t="s">
        <v>13900</v>
      </c>
    </row>
    <row r="8393" spans="1:2" x14ac:dyDescent="0.25">
      <c r="A8393" t="s">
        <v>729</v>
      </c>
      <c r="B8393" t="s">
        <v>13900</v>
      </c>
    </row>
    <row r="8394" spans="1:2" x14ac:dyDescent="0.25">
      <c r="A8394" t="s">
        <v>9100</v>
      </c>
      <c r="B8394" t="s">
        <v>13900</v>
      </c>
    </row>
    <row r="8395" spans="1:2" x14ac:dyDescent="0.25">
      <c r="A8395" t="s">
        <v>13941</v>
      </c>
      <c r="B8395" t="s">
        <v>12965</v>
      </c>
    </row>
    <row r="8396" spans="1:2" x14ac:dyDescent="0.25">
      <c r="A8396" t="s">
        <v>13877</v>
      </c>
      <c r="B8396" t="s">
        <v>12965</v>
      </c>
    </row>
    <row r="8397" spans="1:2" x14ac:dyDescent="0.25">
      <c r="A8397" t="s">
        <v>13846</v>
      </c>
      <c r="B8397" t="s">
        <v>12965</v>
      </c>
    </row>
    <row r="8398" spans="1:2" x14ac:dyDescent="0.25">
      <c r="A8398" t="s">
        <v>2611</v>
      </c>
      <c r="B8398" t="s">
        <v>13846</v>
      </c>
    </row>
    <row r="8399" spans="1:2" x14ac:dyDescent="0.25">
      <c r="A8399" t="s">
        <v>1583</v>
      </c>
      <c r="B8399" t="s">
        <v>13846</v>
      </c>
    </row>
    <row r="8400" spans="1:2" x14ac:dyDescent="0.25">
      <c r="A8400" t="s">
        <v>1409</v>
      </c>
      <c r="B8400" t="s">
        <v>13846</v>
      </c>
    </row>
    <row r="8401" spans="1:2" x14ac:dyDescent="0.25">
      <c r="A8401" t="s">
        <v>13865</v>
      </c>
      <c r="B8401" t="s">
        <v>12965</v>
      </c>
    </row>
    <row r="8402" spans="1:2" x14ac:dyDescent="0.25">
      <c r="A8402" t="s">
        <v>13847</v>
      </c>
      <c r="B8402" t="s">
        <v>12965</v>
      </c>
    </row>
    <row r="8403" spans="1:2" x14ac:dyDescent="0.25">
      <c r="A8403" t="s">
        <v>13858</v>
      </c>
      <c r="B8403" t="s">
        <v>12965</v>
      </c>
    </row>
    <row r="8404" spans="1:2" x14ac:dyDescent="0.25">
      <c r="A8404" t="s">
        <v>734</v>
      </c>
      <c r="B8404" t="s">
        <v>13858</v>
      </c>
    </row>
    <row r="8405" spans="1:2" x14ac:dyDescent="0.25">
      <c r="A8405" t="s">
        <v>7888</v>
      </c>
      <c r="B8405" t="s">
        <v>12965</v>
      </c>
    </row>
    <row r="8406" spans="1:2" x14ac:dyDescent="0.25">
      <c r="A8406" t="s">
        <v>1589</v>
      </c>
      <c r="B8406" t="s">
        <v>12965</v>
      </c>
    </row>
    <row r="8407" spans="1:2" x14ac:dyDescent="0.25">
      <c r="A8407" t="s">
        <v>2622</v>
      </c>
      <c r="B8407" t="s">
        <v>12965</v>
      </c>
    </row>
    <row r="8408" spans="1:2" x14ac:dyDescent="0.25">
      <c r="A8408" t="s">
        <v>12963</v>
      </c>
      <c r="B8408" t="s">
        <v>9547</v>
      </c>
    </row>
    <row r="8409" spans="1:2" x14ac:dyDescent="0.25">
      <c r="A8409" t="s">
        <v>11012</v>
      </c>
      <c r="B8409" t="s">
        <v>12963</v>
      </c>
    </row>
    <row r="8410" spans="1:2" x14ac:dyDescent="0.25">
      <c r="A8410" t="s">
        <v>11233</v>
      </c>
      <c r="B8410" t="s">
        <v>11012</v>
      </c>
    </row>
    <row r="8411" spans="1:2" x14ac:dyDescent="0.25">
      <c r="A8411" t="s">
        <v>12509</v>
      </c>
      <c r="B8411" t="s">
        <v>12963</v>
      </c>
    </row>
    <row r="8412" spans="1:2" x14ac:dyDescent="0.25">
      <c r="A8412" t="s">
        <v>13924</v>
      </c>
      <c r="B8412" t="s">
        <v>12963</v>
      </c>
    </row>
    <row r="8413" spans="1:2" x14ac:dyDescent="0.25">
      <c r="A8413" t="s">
        <v>13889</v>
      </c>
      <c r="B8413" t="s">
        <v>12963</v>
      </c>
    </row>
    <row r="8414" spans="1:2" x14ac:dyDescent="0.25">
      <c r="A8414" t="s">
        <v>13948</v>
      </c>
      <c r="B8414" t="s">
        <v>12963</v>
      </c>
    </row>
    <row r="8415" spans="1:2" x14ac:dyDescent="0.25">
      <c r="A8415" t="s">
        <v>13886</v>
      </c>
      <c r="B8415" t="s">
        <v>12963</v>
      </c>
    </row>
    <row r="8416" spans="1:2" x14ac:dyDescent="0.25">
      <c r="A8416" t="s">
        <v>13880</v>
      </c>
      <c r="B8416" t="s">
        <v>12963</v>
      </c>
    </row>
    <row r="8417" spans="1:2" x14ac:dyDescent="0.25">
      <c r="A8417" t="s">
        <v>11547</v>
      </c>
      <c r="B8417" t="s">
        <v>13880</v>
      </c>
    </row>
    <row r="8418" spans="1:2" x14ac:dyDescent="0.25">
      <c r="A8418" t="s">
        <v>1413</v>
      </c>
      <c r="B8418" t="s">
        <v>11547</v>
      </c>
    </row>
    <row r="8419" spans="1:2" x14ac:dyDescent="0.25">
      <c r="A8419" t="s">
        <v>11777</v>
      </c>
      <c r="B8419" t="s">
        <v>13880</v>
      </c>
    </row>
    <row r="8420" spans="1:2" x14ac:dyDescent="0.25">
      <c r="A8420" t="s">
        <v>1414</v>
      </c>
      <c r="B8420" t="s">
        <v>11777</v>
      </c>
    </row>
    <row r="8421" spans="1:2" x14ac:dyDescent="0.25">
      <c r="A8421" t="s">
        <v>8280</v>
      </c>
      <c r="B8421" t="s">
        <v>11777</v>
      </c>
    </row>
    <row r="8422" spans="1:2" x14ac:dyDescent="0.25">
      <c r="A8422" t="s">
        <v>663</v>
      </c>
      <c r="B8422" t="s">
        <v>8280</v>
      </c>
    </row>
    <row r="8423" spans="1:2" x14ac:dyDescent="0.25">
      <c r="A8423" t="s">
        <v>2825</v>
      </c>
      <c r="B8423" t="s">
        <v>8280</v>
      </c>
    </row>
    <row r="8424" spans="1:2" x14ac:dyDescent="0.25">
      <c r="A8424" t="s">
        <v>9551</v>
      </c>
      <c r="B8424" t="s">
        <v>8280</v>
      </c>
    </row>
    <row r="8425" spans="1:2" x14ac:dyDescent="0.25">
      <c r="A8425" t="s">
        <v>2131</v>
      </c>
      <c r="B8425" t="s">
        <v>8280</v>
      </c>
    </row>
    <row r="8426" spans="1:2" x14ac:dyDescent="0.25">
      <c r="A8426" t="s">
        <v>2132</v>
      </c>
      <c r="B8426" t="s">
        <v>8280</v>
      </c>
    </row>
    <row r="8427" spans="1:2" x14ac:dyDescent="0.25">
      <c r="A8427" t="s">
        <v>1416</v>
      </c>
      <c r="B8427" t="s">
        <v>8280</v>
      </c>
    </row>
    <row r="8428" spans="1:2" x14ac:dyDescent="0.25">
      <c r="A8428" t="s">
        <v>13869</v>
      </c>
      <c r="B8428" t="s">
        <v>12963</v>
      </c>
    </row>
    <row r="8429" spans="1:2" x14ac:dyDescent="0.25">
      <c r="A8429" t="s">
        <v>13958</v>
      </c>
      <c r="B8429" t="s">
        <v>12963</v>
      </c>
    </row>
    <row r="8430" spans="1:2" x14ac:dyDescent="0.25">
      <c r="A8430" t="s">
        <v>12973</v>
      </c>
      <c r="B8430" t="s">
        <v>13958</v>
      </c>
    </row>
    <row r="8431" spans="1:2" x14ac:dyDescent="0.25">
      <c r="A8431" t="s">
        <v>6530</v>
      </c>
      <c r="B8431" t="s">
        <v>13958</v>
      </c>
    </row>
    <row r="8432" spans="1:2" x14ac:dyDescent="0.25">
      <c r="A8432" t="s">
        <v>2614</v>
      </c>
      <c r="B8432" t="s">
        <v>6530</v>
      </c>
    </row>
    <row r="8433" spans="1:2" x14ac:dyDescent="0.25">
      <c r="A8433" t="s">
        <v>2628</v>
      </c>
      <c r="B8433" t="s">
        <v>6530</v>
      </c>
    </row>
    <row r="8434" spans="1:2" x14ac:dyDescent="0.25">
      <c r="A8434" t="s">
        <v>2620</v>
      </c>
      <c r="B8434" t="s">
        <v>6530</v>
      </c>
    </row>
    <row r="8435" spans="1:2" x14ac:dyDescent="0.25">
      <c r="A8435" t="s">
        <v>10663</v>
      </c>
      <c r="B8435" t="s">
        <v>13958</v>
      </c>
    </row>
    <row r="8436" spans="1:2" x14ac:dyDescent="0.25">
      <c r="A8436" t="s">
        <v>7924</v>
      </c>
      <c r="B8436" t="s">
        <v>10663</v>
      </c>
    </row>
    <row r="8437" spans="1:2" x14ac:dyDescent="0.25">
      <c r="A8437" t="s">
        <v>4001</v>
      </c>
      <c r="B8437" t="s">
        <v>10663</v>
      </c>
    </row>
    <row r="8438" spans="1:2" x14ac:dyDescent="0.25">
      <c r="A8438" t="s">
        <v>2374</v>
      </c>
      <c r="B8438" t="s">
        <v>4001</v>
      </c>
    </row>
    <row r="8439" spans="1:2" x14ac:dyDescent="0.25">
      <c r="A8439" t="s">
        <v>9549</v>
      </c>
      <c r="B8439" t="s">
        <v>4001</v>
      </c>
    </row>
    <row r="8440" spans="1:2" x14ac:dyDescent="0.25">
      <c r="A8440" t="s">
        <v>2999</v>
      </c>
      <c r="B8440" t="s">
        <v>4001</v>
      </c>
    </row>
    <row r="8441" spans="1:2" x14ac:dyDescent="0.25">
      <c r="A8441" t="s">
        <v>2133</v>
      </c>
      <c r="B8441" t="s">
        <v>4001</v>
      </c>
    </row>
    <row r="8442" spans="1:2" x14ac:dyDescent="0.25">
      <c r="A8442" t="s">
        <v>2195</v>
      </c>
      <c r="B8442" t="s">
        <v>4001</v>
      </c>
    </row>
    <row r="8443" spans="1:2" x14ac:dyDescent="0.25">
      <c r="A8443" t="s">
        <v>4907</v>
      </c>
      <c r="B8443" t="s">
        <v>4001</v>
      </c>
    </row>
    <row r="8444" spans="1:2" x14ac:dyDescent="0.25">
      <c r="A8444" t="s">
        <v>6967</v>
      </c>
      <c r="B8444" t="s">
        <v>13958</v>
      </c>
    </row>
    <row r="8445" spans="1:2" x14ac:dyDescent="0.25">
      <c r="A8445" t="s">
        <v>744</v>
      </c>
      <c r="B8445" t="s">
        <v>6967</v>
      </c>
    </row>
    <row r="8446" spans="1:2" x14ac:dyDescent="0.25">
      <c r="A8446" t="s">
        <v>745</v>
      </c>
      <c r="B8446" t="s">
        <v>6967</v>
      </c>
    </row>
    <row r="8447" spans="1:2" x14ac:dyDescent="0.25">
      <c r="A8447" t="s">
        <v>746</v>
      </c>
      <c r="B8447" t="s">
        <v>6967</v>
      </c>
    </row>
    <row r="8448" spans="1:2" x14ac:dyDescent="0.25">
      <c r="A8448" t="s">
        <v>2380</v>
      </c>
      <c r="B8448" t="s">
        <v>6967</v>
      </c>
    </row>
    <row r="8449" spans="1:2" x14ac:dyDescent="0.25">
      <c r="A8449" t="s">
        <v>7657</v>
      </c>
      <c r="B8449" t="s">
        <v>6967</v>
      </c>
    </row>
    <row r="8450" spans="1:2" x14ac:dyDescent="0.25">
      <c r="A8450" t="s">
        <v>2225</v>
      </c>
      <c r="B8450" t="s">
        <v>6967</v>
      </c>
    </row>
    <row r="8451" spans="1:2" x14ac:dyDescent="0.25">
      <c r="A8451" t="s">
        <v>2623</v>
      </c>
      <c r="B8451" t="s">
        <v>6967</v>
      </c>
    </row>
    <row r="8452" spans="1:2" x14ac:dyDescent="0.25">
      <c r="A8452" t="s">
        <v>12964</v>
      </c>
      <c r="B8452" t="s">
        <v>13958</v>
      </c>
    </row>
    <row r="8453" spans="1:2" x14ac:dyDescent="0.25">
      <c r="A8453" t="s">
        <v>11908</v>
      </c>
      <c r="B8453" t="s">
        <v>12964</v>
      </c>
    </row>
    <row r="8454" spans="1:2" x14ac:dyDescent="0.25">
      <c r="A8454" t="s">
        <v>684</v>
      </c>
      <c r="B8454" t="s">
        <v>11908</v>
      </c>
    </row>
    <row r="8455" spans="1:2" x14ac:dyDescent="0.25">
      <c r="A8455" t="s">
        <v>685</v>
      </c>
      <c r="B8455" t="s">
        <v>11908</v>
      </c>
    </row>
    <row r="8456" spans="1:2" x14ac:dyDescent="0.25">
      <c r="A8456" t="s">
        <v>686</v>
      </c>
      <c r="B8456" t="s">
        <v>11908</v>
      </c>
    </row>
    <row r="8457" spans="1:2" x14ac:dyDescent="0.25">
      <c r="A8457" t="s">
        <v>687</v>
      </c>
      <c r="B8457" t="s">
        <v>11908</v>
      </c>
    </row>
    <row r="8458" spans="1:2" x14ac:dyDescent="0.25">
      <c r="A8458" t="s">
        <v>689</v>
      </c>
      <c r="B8458" t="s">
        <v>11908</v>
      </c>
    </row>
    <row r="8459" spans="1:2" x14ac:dyDescent="0.25">
      <c r="A8459" t="s">
        <v>1816</v>
      </c>
      <c r="B8459" t="s">
        <v>11908</v>
      </c>
    </row>
    <row r="8460" spans="1:2" x14ac:dyDescent="0.25">
      <c r="A8460" t="s">
        <v>690</v>
      </c>
      <c r="B8460" t="s">
        <v>11908</v>
      </c>
    </row>
    <row r="8461" spans="1:2" x14ac:dyDescent="0.25">
      <c r="A8461" t="s">
        <v>691</v>
      </c>
      <c r="B8461" t="s">
        <v>11908</v>
      </c>
    </row>
    <row r="8462" spans="1:2" x14ac:dyDescent="0.25">
      <c r="A8462" t="s">
        <v>1818</v>
      </c>
      <c r="B8462" t="s">
        <v>11908</v>
      </c>
    </row>
    <row r="8463" spans="1:2" x14ac:dyDescent="0.25">
      <c r="A8463" t="s">
        <v>444</v>
      </c>
      <c r="B8463" t="s">
        <v>11908</v>
      </c>
    </row>
    <row r="8464" spans="1:2" x14ac:dyDescent="0.25">
      <c r="A8464" t="s">
        <v>694</v>
      </c>
      <c r="B8464" t="s">
        <v>11908</v>
      </c>
    </row>
    <row r="8465" spans="1:2" x14ac:dyDescent="0.25">
      <c r="A8465" t="s">
        <v>699</v>
      </c>
      <c r="B8465" t="s">
        <v>11908</v>
      </c>
    </row>
    <row r="8466" spans="1:2" x14ac:dyDescent="0.25">
      <c r="A8466" t="s">
        <v>700</v>
      </c>
      <c r="B8466" t="s">
        <v>11908</v>
      </c>
    </row>
    <row r="8467" spans="1:2" x14ac:dyDescent="0.25">
      <c r="A8467" t="s">
        <v>701</v>
      </c>
      <c r="B8467" t="s">
        <v>11908</v>
      </c>
    </row>
    <row r="8468" spans="1:2" x14ac:dyDescent="0.25">
      <c r="A8468" t="s">
        <v>702</v>
      </c>
      <c r="B8468" t="s">
        <v>11908</v>
      </c>
    </row>
    <row r="8469" spans="1:2" x14ac:dyDescent="0.25">
      <c r="A8469" t="s">
        <v>703</v>
      </c>
      <c r="B8469" t="s">
        <v>11908</v>
      </c>
    </row>
    <row r="8470" spans="1:2" x14ac:dyDescent="0.25">
      <c r="A8470" t="s">
        <v>704</v>
      </c>
      <c r="B8470" t="s">
        <v>11908</v>
      </c>
    </row>
    <row r="8471" spans="1:2" x14ac:dyDescent="0.25">
      <c r="A8471" t="s">
        <v>705</v>
      </c>
      <c r="B8471" t="s">
        <v>11908</v>
      </c>
    </row>
    <row r="8472" spans="1:2" x14ac:dyDescent="0.25">
      <c r="A8472" t="s">
        <v>706</v>
      </c>
      <c r="B8472" t="s">
        <v>11908</v>
      </c>
    </row>
    <row r="8473" spans="1:2" x14ac:dyDescent="0.25">
      <c r="A8473" t="s">
        <v>707</v>
      </c>
      <c r="B8473" t="s">
        <v>11908</v>
      </c>
    </row>
    <row r="8474" spans="1:2" x14ac:dyDescent="0.25">
      <c r="A8474" t="s">
        <v>708</v>
      </c>
      <c r="B8474" t="s">
        <v>11908</v>
      </c>
    </row>
    <row r="8475" spans="1:2" x14ac:dyDescent="0.25">
      <c r="A8475" t="s">
        <v>2377</v>
      </c>
      <c r="B8475" t="s">
        <v>11908</v>
      </c>
    </row>
    <row r="8476" spans="1:2" x14ac:dyDescent="0.25">
      <c r="A8476" t="s">
        <v>709</v>
      </c>
      <c r="B8476" t="s">
        <v>11908</v>
      </c>
    </row>
    <row r="8477" spans="1:2" x14ac:dyDescent="0.25">
      <c r="A8477" t="s">
        <v>710</v>
      </c>
      <c r="B8477" t="s">
        <v>11908</v>
      </c>
    </row>
    <row r="8478" spans="1:2" x14ac:dyDescent="0.25">
      <c r="A8478" t="s">
        <v>1828</v>
      </c>
      <c r="B8478" t="s">
        <v>11908</v>
      </c>
    </row>
    <row r="8479" spans="1:2" x14ac:dyDescent="0.25">
      <c r="A8479" t="s">
        <v>3453</v>
      </c>
      <c r="B8479" t="s">
        <v>11908</v>
      </c>
    </row>
    <row r="8480" spans="1:2" x14ac:dyDescent="0.25">
      <c r="A8480" t="s">
        <v>1410</v>
      </c>
      <c r="B8480" t="s">
        <v>11908</v>
      </c>
    </row>
    <row r="8481" spans="1:2" x14ac:dyDescent="0.25">
      <c r="A8481" t="s">
        <v>1411</v>
      </c>
      <c r="B8481" t="s">
        <v>11908</v>
      </c>
    </row>
    <row r="8482" spans="1:2" x14ac:dyDescent="0.25">
      <c r="A8482" t="s">
        <v>1412</v>
      </c>
      <c r="B8482" t="s">
        <v>11908</v>
      </c>
    </row>
    <row r="8483" spans="1:2" x14ac:dyDescent="0.25">
      <c r="A8483" t="s">
        <v>2196</v>
      </c>
      <c r="B8483" t="s">
        <v>11908</v>
      </c>
    </row>
    <row r="8484" spans="1:2" x14ac:dyDescent="0.25">
      <c r="A8484" t="s">
        <v>2216</v>
      </c>
      <c r="B8484" t="s">
        <v>11908</v>
      </c>
    </row>
    <row r="8485" spans="1:2" x14ac:dyDescent="0.25">
      <c r="A8485" t="s">
        <v>747</v>
      </c>
      <c r="B8485" t="s">
        <v>12964</v>
      </c>
    </row>
    <row r="8486" spans="1:2" x14ac:dyDescent="0.25">
      <c r="A8486" t="s">
        <v>6198</v>
      </c>
      <c r="B8486" t="s">
        <v>12963</v>
      </c>
    </row>
    <row r="8487" spans="1:2" x14ac:dyDescent="0.25">
      <c r="A8487" t="s">
        <v>311</v>
      </c>
      <c r="B8487" t="s">
        <v>6198</v>
      </c>
    </row>
    <row r="8488" spans="1:2" x14ac:dyDescent="0.25">
      <c r="A8488" t="s">
        <v>2815</v>
      </c>
      <c r="B8488" t="s">
        <v>311</v>
      </c>
    </row>
    <row r="8489" spans="1:2" x14ac:dyDescent="0.25">
      <c r="A8489" t="s">
        <v>3496</v>
      </c>
      <c r="B8489" t="s">
        <v>311</v>
      </c>
    </row>
    <row r="8490" spans="1:2" x14ac:dyDescent="0.25">
      <c r="A8490" t="s">
        <v>1824</v>
      </c>
      <c r="B8490" t="s">
        <v>12963</v>
      </c>
    </row>
    <row r="8491" spans="1:2" x14ac:dyDescent="0.25">
      <c r="A8491" t="s">
        <v>16263</v>
      </c>
      <c r="B8491" t="s">
        <v>12963</v>
      </c>
    </row>
    <row r="8492" spans="1:2" x14ac:dyDescent="0.25">
      <c r="A8492" t="s">
        <v>14953</v>
      </c>
      <c r="B8492" t="s">
        <v>9547</v>
      </c>
    </row>
    <row r="8493" spans="1:2" x14ac:dyDescent="0.25">
      <c r="A8493" t="s">
        <v>14954</v>
      </c>
      <c r="B8493" t="s">
        <v>14953</v>
      </c>
    </row>
    <row r="8494" spans="1:2" x14ac:dyDescent="0.25">
      <c r="A8494" t="s">
        <v>14955</v>
      </c>
      <c r="B8494" t="s">
        <v>14954</v>
      </c>
    </row>
    <row r="8495" spans="1:2" x14ac:dyDescent="0.25">
      <c r="A8495" t="s">
        <v>14956</v>
      </c>
      <c r="B8495" t="s">
        <v>14953</v>
      </c>
    </row>
    <row r="8496" spans="1:2" x14ac:dyDescent="0.25">
      <c r="A8496" t="s">
        <v>14957</v>
      </c>
      <c r="B8496" t="s">
        <v>14953</v>
      </c>
    </row>
    <row r="8497" spans="1:2" x14ac:dyDescent="0.25">
      <c r="A8497" t="s">
        <v>14958</v>
      </c>
      <c r="B8497" t="s">
        <v>14957</v>
      </c>
    </row>
    <row r="8498" spans="1:2" x14ac:dyDescent="0.25">
      <c r="A8498" t="s">
        <v>2184</v>
      </c>
      <c r="B8498" t="s">
        <v>14953</v>
      </c>
    </row>
    <row r="8499" spans="1:2" x14ac:dyDescent="0.25">
      <c r="A8499" t="s">
        <v>4754</v>
      </c>
      <c r="B8499" t="s">
        <v>2184</v>
      </c>
    </row>
    <row r="8500" spans="1:2" x14ac:dyDescent="0.25">
      <c r="A8500" t="s">
        <v>4755</v>
      </c>
      <c r="B8500" t="s">
        <v>2184</v>
      </c>
    </row>
    <row r="8501" spans="1:2" x14ac:dyDescent="0.25">
      <c r="A8501" t="s">
        <v>764</v>
      </c>
      <c r="B8501" t="s">
        <v>2184</v>
      </c>
    </row>
    <row r="8502" spans="1:2" x14ac:dyDescent="0.25">
      <c r="A8502" t="s">
        <v>4265</v>
      </c>
      <c r="B8502" t="s">
        <v>2184</v>
      </c>
    </row>
    <row r="8503" spans="1:2" x14ac:dyDescent="0.25">
      <c r="A8503" t="s">
        <v>4266</v>
      </c>
      <c r="B8503" t="s">
        <v>2184</v>
      </c>
    </row>
    <row r="8504" spans="1:2" x14ac:dyDescent="0.25">
      <c r="A8504" t="s">
        <v>765</v>
      </c>
      <c r="B8504" t="s">
        <v>2184</v>
      </c>
    </row>
    <row r="8505" spans="1:2" x14ac:dyDescent="0.25">
      <c r="A8505" t="s">
        <v>6970</v>
      </c>
      <c r="B8505" t="s">
        <v>2184</v>
      </c>
    </row>
    <row r="8506" spans="1:2" x14ac:dyDescent="0.25">
      <c r="A8506" t="s">
        <v>1396</v>
      </c>
      <c r="B8506" t="s">
        <v>2184</v>
      </c>
    </row>
    <row r="8507" spans="1:2" x14ac:dyDescent="0.25">
      <c r="A8507" t="s">
        <v>1397</v>
      </c>
      <c r="B8507" t="s">
        <v>2184</v>
      </c>
    </row>
    <row r="8508" spans="1:2" x14ac:dyDescent="0.25">
      <c r="A8508" t="s">
        <v>13018</v>
      </c>
      <c r="B8508" t="s">
        <v>2184</v>
      </c>
    </row>
    <row r="8509" spans="1:2" x14ac:dyDescent="0.25">
      <c r="A8509" t="s">
        <v>13019</v>
      </c>
      <c r="B8509" t="s">
        <v>2184</v>
      </c>
    </row>
    <row r="8510" spans="1:2" x14ac:dyDescent="0.25">
      <c r="A8510" t="s">
        <v>13020</v>
      </c>
      <c r="B8510" t="s">
        <v>2184</v>
      </c>
    </row>
    <row r="8511" spans="1:2" x14ac:dyDescent="0.25">
      <c r="A8511" t="s">
        <v>13021</v>
      </c>
      <c r="B8511" t="s">
        <v>2184</v>
      </c>
    </row>
    <row r="8512" spans="1:2" x14ac:dyDescent="0.25">
      <c r="A8512" t="s">
        <v>13022</v>
      </c>
      <c r="B8512" t="s">
        <v>2184</v>
      </c>
    </row>
    <row r="8513" spans="1:2" x14ac:dyDescent="0.25">
      <c r="A8513" t="s">
        <v>13023</v>
      </c>
      <c r="B8513" t="s">
        <v>2184</v>
      </c>
    </row>
    <row r="8514" spans="1:2" x14ac:dyDescent="0.25">
      <c r="A8514" t="s">
        <v>13357</v>
      </c>
      <c r="B8514" t="s">
        <v>2184</v>
      </c>
    </row>
    <row r="8515" spans="1:2" x14ac:dyDescent="0.25">
      <c r="A8515" t="s">
        <v>13358</v>
      </c>
      <c r="B8515" t="s">
        <v>2184</v>
      </c>
    </row>
    <row r="8516" spans="1:2" x14ac:dyDescent="0.25">
      <c r="A8516" t="s">
        <v>14959</v>
      </c>
      <c r="B8516" t="s">
        <v>2184</v>
      </c>
    </row>
    <row r="8517" spans="1:2" x14ac:dyDescent="0.25">
      <c r="A8517" t="s">
        <v>16264</v>
      </c>
      <c r="B8517" t="s">
        <v>9547</v>
      </c>
    </row>
    <row r="8518" spans="1:2" x14ac:dyDescent="0.25">
      <c r="A8518" t="s">
        <v>12971</v>
      </c>
      <c r="B8518" t="s">
        <v>16264</v>
      </c>
    </row>
    <row r="8519" spans="1:2" x14ac:dyDescent="0.25">
      <c r="A8519" t="s">
        <v>6541</v>
      </c>
      <c r="B8519" t="s">
        <v>11746</v>
      </c>
    </row>
    <row r="8520" spans="1:2" x14ac:dyDescent="0.25">
      <c r="A8520" t="s">
        <v>4718</v>
      </c>
      <c r="B8520" t="s">
        <v>6541</v>
      </c>
    </row>
    <row r="8521" spans="1:2" x14ac:dyDescent="0.25">
      <c r="A8521" t="s">
        <v>7636</v>
      </c>
      <c r="B8521" t="s">
        <v>4718</v>
      </c>
    </row>
    <row r="8522" spans="1:2" x14ac:dyDescent="0.25">
      <c r="A8522" t="s">
        <v>6473</v>
      </c>
      <c r="B8522" t="s">
        <v>7636</v>
      </c>
    </row>
    <row r="8523" spans="1:2" x14ac:dyDescent="0.25">
      <c r="A8523" t="s">
        <v>6936</v>
      </c>
      <c r="B8523" t="s">
        <v>7636</v>
      </c>
    </row>
    <row r="8524" spans="1:2" x14ac:dyDescent="0.25">
      <c r="A8524" t="s">
        <v>11796</v>
      </c>
      <c r="B8524" t="s">
        <v>7636</v>
      </c>
    </row>
    <row r="8525" spans="1:2" x14ac:dyDescent="0.25">
      <c r="A8525" t="s">
        <v>10925</v>
      </c>
      <c r="B8525" t="s">
        <v>4718</v>
      </c>
    </row>
    <row r="8526" spans="1:2" x14ac:dyDescent="0.25">
      <c r="A8526" t="s">
        <v>8685</v>
      </c>
      <c r="B8526" t="s">
        <v>10925</v>
      </c>
    </row>
    <row r="8527" spans="1:2" x14ac:dyDescent="0.25">
      <c r="A8527" t="s">
        <v>11248</v>
      </c>
      <c r="B8527" t="s">
        <v>10925</v>
      </c>
    </row>
    <row r="8528" spans="1:2" x14ac:dyDescent="0.25">
      <c r="A8528" t="s">
        <v>2469</v>
      </c>
      <c r="B8528" t="s">
        <v>11248</v>
      </c>
    </row>
    <row r="8529" spans="1:2" x14ac:dyDescent="0.25">
      <c r="A8529" t="s">
        <v>9523</v>
      </c>
      <c r="B8529" t="s">
        <v>4718</v>
      </c>
    </row>
    <row r="8530" spans="1:2" x14ac:dyDescent="0.25">
      <c r="A8530" t="s">
        <v>5586</v>
      </c>
      <c r="B8530" t="s">
        <v>9523</v>
      </c>
    </row>
    <row r="8531" spans="1:2" x14ac:dyDescent="0.25">
      <c r="A8531" t="s">
        <v>8252</v>
      </c>
      <c r="B8531" t="s">
        <v>9523</v>
      </c>
    </row>
    <row r="8532" spans="1:2" x14ac:dyDescent="0.25">
      <c r="A8532" t="s">
        <v>6937</v>
      </c>
      <c r="B8532" t="s">
        <v>9523</v>
      </c>
    </row>
    <row r="8533" spans="1:2" x14ac:dyDescent="0.25">
      <c r="A8533" t="s">
        <v>9880</v>
      </c>
      <c r="B8533" t="s">
        <v>9523</v>
      </c>
    </row>
    <row r="8534" spans="1:2" x14ac:dyDescent="0.25">
      <c r="A8534" t="s">
        <v>3723</v>
      </c>
      <c r="B8534" t="s">
        <v>9523</v>
      </c>
    </row>
    <row r="8535" spans="1:2" x14ac:dyDescent="0.25">
      <c r="A8535" t="s">
        <v>10928</v>
      </c>
      <c r="B8535" t="s">
        <v>9523</v>
      </c>
    </row>
    <row r="8536" spans="1:2" x14ac:dyDescent="0.25">
      <c r="A8536" t="s">
        <v>1805</v>
      </c>
      <c r="B8536" t="s">
        <v>9523</v>
      </c>
    </row>
    <row r="8537" spans="1:2" x14ac:dyDescent="0.25">
      <c r="A8537" t="s">
        <v>10940</v>
      </c>
      <c r="B8537" t="s">
        <v>9523</v>
      </c>
    </row>
    <row r="8538" spans="1:2" x14ac:dyDescent="0.25">
      <c r="A8538" t="s">
        <v>11757</v>
      </c>
      <c r="B8538" t="s">
        <v>9523</v>
      </c>
    </row>
    <row r="8539" spans="1:2" x14ac:dyDescent="0.25">
      <c r="A8539" t="s">
        <v>5997</v>
      </c>
      <c r="B8539" t="s">
        <v>11757</v>
      </c>
    </row>
    <row r="8540" spans="1:2" x14ac:dyDescent="0.25">
      <c r="A8540" t="s">
        <v>5587</v>
      </c>
      <c r="B8540" t="s">
        <v>11757</v>
      </c>
    </row>
    <row r="8541" spans="1:2" x14ac:dyDescent="0.25">
      <c r="A8541" t="s">
        <v>7758</v>
      </c>
      <c r="B8541" t="s">
        <v>11757</v>
      </c>
    </row>
    <row r="8542" spans="1:2" x14ac:dyDescent="0.25">
      <c r="A8542" t="s">
        <v>9924</v>
      </c>
      <c r="B8542" t="s">
        <v>9523</v>
      </c>
    </row>
    <row r="8543" spans="1:2" x14ac:dyDescent="0.25">
      <c r="A8543" t="s">
        <v>10956</v>
      </c>
      <c r="B8543" t="s">
        <v>9523</v>
      </c>
    </row>
    <row r="8544" spans="1:2" x14ac:dyDescent="0.25">
      <c r="A8544" t="s">
        <v>9128</v>
      </c>
      <c r="B8544" t="s">
        <v>9523</v>
      </c>
    </row>
    <row r="8545" spans="1:2" x14ac:dyDescent="0.25">
      <c r="A8545" t="s">
        <v>4820</v>
      </c>
      <c r="B8545" t="s">
        <v>9523</v>
      </c>
    </row>
    <row r="8546" spans="1:2" x14ac:dyDescent="0.25">
      <c r="A8546" t="s">
        <v>12275</v>
      </c>
      <c r="B8546" t="s">
        <v>9523</v>
      </c>
    </row>
    <row r="8547" spans="1:2" x14ac:dyDescent="0.25">
      <c r="A8547" t="s">
        <v>12622</v>
      </c>
      <c r="B8547" t="s">
        <v>12275</v>
      </c>
    </row>
    <row r="8548" spans="1:2" x14ac:dyDescent="0.25">
      <c r="A8548" t="s">
        <v>9925</v>
      </c>
      <c r="B8548" t="s">
        <v>12622</v>
      </c>
    </row>
    <row r="8549" spans="1:2" x14ac:dyDescent="0.25">
      <c r="A8549" t="s">
        <v>9926</v>
      </c>
      <c r="B8549" t="s">
        <v>12622</v>
      </c>
    </row>
    <row r="8550" spans="1:2" x14ac:dyDescent="0.25">
      <c r="A8550" t="s">
        <v>11780</v>
      </c>
      <c r="B8550" t="s">
        <v>9523</v>
      </c>
    </row>
    <row r="8551" spans="1:2" x14ac:dyDescent="0.25">
      <c r="A8551" t="s">
        <v>9524</v>
      </c>
      <c r="B8551" t="s">
        <v>11780</v>
      </c>
    </row>
    <row r="8552" spans="1:2" x14ac:dyDescent="0.25">
      <c r="A8552" t="s">
        <v>5588</v>
      </c>
      <c r="B8552" t="s">
        <v>11780</v>
      </c>
    </row>
    <row r="8553" spans="1:2" x14ac:dyDescent="0.25">
      <c r="A8553" t="s">
        <v>3724</v>
      </c>
      <c r="B8553" t="s">
        <v>5588</v>
      </c>
    </row>
    <row r="8554" spans="1:2" x14ac:dyDescent="0.25">
      <c r="A8554" t="s">
        <v>3725</v>
      </c>
      <c r="B8554" t="s">
        <v>5588</v>
      </c>
    </row>
    <row r="8555" spans="1:2" x14ac:dyDescent="0.25">
      <c r="A8555" t="s">
        <v>10617</v>
      </c>
      <c r="B8555" t="s">
        <v>9523</v>
      </c>
    </row>
    <row r="8556" spans="1:2" x14ac:dyDescent="0.25">
      <c r="A8556" t="s">
        <v>10620</v>
      </c>
      <c r="B8556" t="s">
        <v>9523</v>
      </c>
    </row>
    <row r="8557" spans="1:2" x14ac:dyDescent="0.25">
      <c r="A8557" t="s">
        <v>5757</v>
      </c>
      <c r="B8557" t="s">
        <v>9523</v>
      </c>
    </row>
    <row r="8558" spans="1:2" x14ac:dyDescent="0.25">
      <c r="A8558" t="s">
        <v>11006</v>
      </c>
      <c r="B8558" t="s">
        <v>9523</v>
      </c>
    </row>
    <row r="8559" spans="1:2" x14ac:dyDescent="0.25">
      <c r="A8559" t="s">
        <v>11319</v>
      </c>
      <c r="B8559" t="s">
        <v>9523</v>
      </c>
    </row>
    <row r="8560" spans="1:2" x14ac:dyDescent="0.25">
      <c r="A8560" t="s">
        <v>7905</v>
      </c>
      <c r="B8560" t="s">
        <v>9523</v>
      </c>
    </row>
    <row r="8561" spans="1:2" x14ac:dyDescent="0.25">
      <c r="A8561" t="s">
        <v>10656</v>
      </c>
      <c r="B8561" t="s">
        <v>9523</v>
      </c>
    </row>
    <row r="8562" spans="1:2" x14ac:dyDescent="0.25">
      <c r="A8562" t="s">
        <v>10163</v>
      </c>
      <c r="B8562" t="s">
        <v>9523</v>
      </c>
    </row>
    <row r="8563" spans="1:2" x14ac:dyDescent="0.25">
      <c r="A8563" t="s">
        <v>10542</v>
      </c>
      <c r="B8563" t="s">
        <v>10163</v>
      </c>
    </row>
    <row r="8564" spans="1:2" x14ac:dyDescent="0.25">
      <c r="A8564" t="s">
        <v>11549</v>
      </c>
      <c r="B8564" t="s">
        <v>10542</v>
      </c>
    </row>
    <row r="8565" spans="1:2" x14ac:dyDescent="0.25">
      <c r="A8565" t="s">
        <v>11550</v>
      </c>
      <c r="B8565" t="s">
        <v>10542</v>
      </c>
    </row>
    <row r="8566" spans="1:2" x14ac:dyDescent="0.25">
      <c r="A8566" t="s">
        <v>11795</v>
      </c>
      <c r="B8566" t="s">
        <v>10542</v>
      </c>
    </row>
    <row r="8567" spans="1:2" x14ac:dyDescent="0.25">
      <c r="A8567" t="s">
        <v>9232</v>
      </c>
      <c r="B8567" t="s">
        <v>10542</v>
      </c>
    </row>
    <row r="8568" spans="1:2" x14ac:dyDescent="0.25">
      <c r="A8568" t="s">
        <v>109</v>
      </c>
      <c r="B8568" t="s">
        <v>9523</v>
      </c>
    </row>
    <row r="8569" spans="1:2" x14ac:dyDescent="0.25">
      <c r="A8569" t="s">
        <v>1753</v>
      </c>
      <c r="B8569" t="s">
        <v>4718</v>
      </c>
    </row>
    <row r="8570" spans="1:2" x14ac:dyDescent="0.25">
      <c r="A8570" t="s">
        <v>8253</v>
      </c>
      <c r="B8570" t="s">
        <v>4718</v>
      </c>
    </row>
    <row r="8571" spans="1:2" x14ac:dyDescent="0.25">
      <c r="A8571" t="s">
        <v>11904</v>
      </c>
      <c r="B8571" t="s">
        <v>8253</v>
      </c>
    </row>
    <row r="8572" spans="1:2" x14ac:dyDescent="0.25">
      <c r="A8572" t="s">
        <v>9068</v>
      </c>
      <c r="B8572" t="s">
        <v>8253</v>
      </c>
    </row>
    <row r="8573" spans="1:2" x14ac:dyDescent="0.25">
      <c r="A8573" t="s">
        <v>6474</v>
      </c>
      <c r="B8573" t="s">
        <v>8253</v>
      </c>
    </row>
    <row r="8574" spans="1:2" x14ac:dyDescent="0.25">
      <c r="A8574" t="s">
        <v>10504</v>
      </c>
      <c r="B8574" t="s">
        <v>8253</v>
      </c>
    </row>
    <row r="8575" spans="1:2" x14ac:dyDescent="0.25">
      <c r="A8575" t="s">
        <v>10505</v>
      </c>
      <c r="B8575" t="s">
        <v>8253</v>
      </c>
    </row>
    <row r="8576" spans="1:2" x14ac:dyDescent="0.25">
      <c r="A8576" t="s">
        <v>10506</v>
      </c>
      <c r="B8576" t="s">
        <v>8253</v>
      </c>
    </row>
    <row r="8577" spans="1:2" x14ac:dyDescent="0.25">
      <c r="A8577" t="s">
        <v>8284</v>
      </c>
      <c r="B8577" t="s">
        <v>8253</v>
      </c>
    </row>
    <row r="8578" spans="1:2" x14ac:dyDescent="0.25">
      <c r="A8578" t="s">
        <v>7028</v>
      </c>
      <c r="B8578" t="s">
        <v>8284</v>
      </c>
    </row>
    <row r="8579" spans="1:2" x14ac:dyDescent="0.25">
      <c r="A8579" t="s">
        <v>7029</v>
      </c>
      <c r="B8579" t="s">
        <v>8284</v>
      </c>
    </row>
    <row r="8580" spans="1:2" x14ac:dyDescent="0.25">
      <c r="A8580" t="s">
        <v>7030</v>
      </c>
      <c r="B8580" t="s">
        <v>8284</v>
      </c>
    </row>
    <row r="8581" spans="1:2" x14ac:dyDescent="0.25">
      <c r="A8581" t="s">
        <v>6075</v>
      </c>
      <c r="B8581" t="s">
        <v>8253</v>
      </c>
    </row>
    <row r="8582" spans="1:2" x14ac:dyDescent="0.25">
      <c r="A8582" t="s">
        <v>5364</v>
      </c>
      <c r="B8582" t="s">
        <v>8253</v>
      </c>
    </row>
    <row r="8583" spans="1:2" x14ac:dyDescent="0.25">
      <c r="A8583" t="s">
        <v>5365</v>
      </c>
      <c r="B8583" t="s">
        <v>8253</v>
      </c>
    </row>
    <row r="8584" spans="1:2" x14ac:dyDescent="0.25">
      <c r="A8584" t="s">
        <v>10161</v>
      </c>
      <c r="B8584" t="s">
        <v>4718</v>
      </c>
    </row>
    <row r="8585" spans="1:2" x14ac:dyDescent="0.25">
      <c r="A8585" t="s">
        <v>9515</v>
      </c>
      <c r="B8585" t="s">
        <v>10161</v>
      </c>
    </row>
    <row r="8586" spans="1:2" x14ac:dyDescent="0.25">
      <c r="A8586" t="s">
        <v>301</v>
      </c>
      <c r="B8586" t="s">
        <v>10161</v>
      </c>
    </row>
    <row r="8587" spans="1:2" x14ac:dyDescent="0.25">
      <c r="A8587" t="s">
        <v>302</v>
      </c>
      <c r="B8587" t="s">
        <v>301</v>
      </c>
    </row>
    <row r="8588" spans="1:2" x14ac:dyDescent="0.25">
      <c r="A8588" t="s">
        <v>1737</v>
      </c>
      <c r="B8588" t="s">
        <v>302</v>
      </c>
    </row>
    <row r="8589" spans="1:2" x14ac:dyDescent="0.25">
      <c r="A8589" t="s">
        <v>11902</v>
      </c>
      <c r="B8589" t="s">
        <v>302</v>
      </c>
    </row>
    <row r="8590" spans="1:2" x14ac:dyDescent="0.25">
      <c r="A8590" t="s">
        <v>2320</v>
      </c>
      <c r="B8590" t="s">
        <v>11902</v>
      </c>
    </row>
    <row r="8591" spans="1:2" x14ac:dyDescent="0.25">
      <c r="A8591" t="s">
        <v>12468</v>
      </c>
      <c r="B8591" t="s">
        <v>11902</v>
      </c>
    </row>
    <row r="8592" spans="1:2" x14ac:dyDescent="0.25">
      <c r="A8592" t="s">
        <v>9874</v>
      </c>
      <c r="B8592" t="s">
        <v>11902</v>
      </c>
    </row>
    <row r="8593" spans="1:2" x14ac:dyDescent="0.25">
      <c r="A8593" t="s">
        <v>9517</v>
      </c>
      <c r="B8593" t="s">
        <v>11902</v>
      </c>
    </row>
    <row r="8594" spans="1:2" x14ac:dyDescent="0.25">
      <c r="A8594" t="s">
        <v>9518</v>
      </c>
      <c r="B8594" t="s">
        <v>11902</v>
      </c>
    </row>
    <row r="8595" spans="1:2" x14ac:dyDescent="0.25">
      <c r="A8595" t="s">
        <v>6468</v>
      </c>
      <c r="B8595" t="s">
        <v>11902</v>
      </c>
    </row>
    <row r="8596" spans="1:2" x14ac:dyDescent="0.25">
      <c r="A8596" t="s">
        <v>2733</v>
      </c>
      <c r="B8596" t="s">
        <v>302</v>
      </c>
    </row>
    <row r="8597" spans="1:2" x14ac:dyDescent="0.25">
      <c r="A8597" t="s">
        <v>6929</v>
      </c>
      <c r="B8597" t="s">
        <v>301</v>
      </c>
    </row>
    <row r="8598" spans="1:2" x14ac:dyDescent="0.25">
      <c r="A8598" t="s">
        <v>4226</v>
      </c>
      <c r="B8598" t="s">
        <v>6929</v>
      </c>
    </row>
    <row r="8599" spans="1:2" x14ac:dyDescent="0.25">
      <c r="A8599" t="s">
        <v>10924</v>
      </c>
      <c r="B8599" t="s">
        <v>301</v>
      </c>
    </row>
    <row r="8600" spans="1:2" x14ac:dyDescent="0.25">
      <c r="A8600" t="s">
        <v>5582</v>
      </c>
      <c r="B8600" t="s">
        <v>10924</v>
      </c>
    </row>
    <row r="8601" spans="1:2" x14ac:dyDescent="0.25">
      <c r="A8601" t="s">
        <v>9522</v>
      </c>
      <c r="B8601" t="s">
        <v>301</v>
      </c>
    </row>
    <row r="8602" spans="1:2" x14ac:dyDescent="0.25">
      <c r="A8602" t="s">
        <v>8686</v>
      </c>
      <c r="B8602" t="s">
        <v>10161</v>
      </c>
    </row>
    <row r="8603" spans="1:2" x14ac:dyDescent="0.25">
      <c r="A8603" t="s">
        <v>9069</v>
      </c>
      <c r="B8603" t="s">
        <v>8686</v>
      </c>
    </row>
    <row r="8604" spans="1:2" x14ac:dyDescent="0.25">
      <c r="A8604" t="s">
        <v>8687</v>
      </c>
      <c r="B8604" t="s">
        <v>8686</v>
      </c>
    </row>
    <row r="8605" spans="1:2" x14ac:dyDescent="0.25">
      <c r="A8605" t="s">
        <v>7637</v>
      </c>
      <c r="B8605" t="s">
        <v>10161</v>
      </c>
    </row>
    <row r="8606" spans="1:2" x14ac:dyDescent="0.25">
      <c r="A8606" t="s">
        <v>6023</v>
      </c>
      <c r="B8606" t="s">
        <v>10161</v>
      </c>
    </row>
    <row r="8607" spans="1:2" x14ac:dyDescent="0.25">
      <c r="A8607" t="s">
        <v>10659</v>
      </c>
      <c r="B8607" t="s">
        <v>6023</v>
      </c>
    </row>
    <row r="8608" spans="1:2" x14ac:dyDescent="0.25">
      <c r="A8608" t="s">
        <v>2799</v>
      </c>
      <c r="B8608" t="s">
        <v>10161</v>
      </c>
    </row>
    <row r="8609" spans="1:2" x14ac:dyDescent="0.25">
      <c r="A8609" t="s">
        <v>110</v>
      </c>
      <c r="B8609" t="s">
        <v>10161</v>
      </c>
    </row>
    <row r="8610" spans="1:2" x14ac:dyDescent="0.25">
      <c r="A8610" t="s">
        <v>3839</v>
      </c>
      <c r="B8610" t="s">
        <v>10161</v>
      </c>
    </row>
    <row r="8611" spans="1:2" x14ac:dyDescent="0.25">
      <c r="A8611" t="s">
        <v>450</v>
      </c>
      <c r="B8611" t="s">
        <v>10161</v>
      </c>
    </row>
    <row r="8612" spans="1:2" x14ac:dyDescent="0.25">
      <c r="A8612" t="s">
        <v>2154</v>
      </c>
      <c r="B8612" t="s">
        <v>450</v>
      </c>
    </row>
    <row r="8613" spans="1:2" x14ac:dyDescent="0.25">
      <c r="A8613" t="s">
        <v>2908</v>
      </c>
      <c r="B8613" t="s">
        <v>2154</v>
      </c>
    </row>
    <row r="8614" spans="1:2" x14ac:dyDescent="0.25">
      <c r="A8614" t="s">
        <v>6475</v>
      </c>
      <c r="B8614" t="s">
        <v>6541</v>
      </c>
    </row>
    <row r="8615" spans="1:2" x14ac:dyDescent="0.25">
      <c r="A8615" t="s">
        <v>5158</v>
      </c>
      <c r="B8615" t="s">
        <v>6475</v>
      </c>
    </row>
    <row r="8616" spans="1:2" x14ac:dyDescent="0.25">
      <c r="A8616" t="s">
        <v>4720</v>
      </c>
      <c r="B8616" t="s">
        <v>5158</v>
      </c>
    </row>
    <row r="8617" spans="1:2" x14ac:dyDescent="0.25">
      <c r="A8617" t="s">
        <v>5159</v>
      </c>
      <c r="B8617" t="s">
        <v>5158</v>
      </c>
    </row>
    <row r="8618" spans="1:2" x14ac:dyDescent="0.25">
      <c r="A8618" t="s">
        <v>98</v>
      </c>
      <c r="B8618" t="s">
        <v>5158</v>
      </c>
    </row>
    <row r="8619" spans="1:2" x14ac:dyDescent="0.25">
      <c r="A8619" t="s">
        <v>1760</v>
      </c>
      <c r="B8619" t="s">
        <v>98</v>
      </c>
    </row>
    <row r="8620" spans="1:2" x14ac:dyDescent="0.25">
      <c r="A8620" t="s">
        <v>3730</v>
      </c>
      <c r="B8620" t="s">
        <v>98</v>
      </c>
    </row>
    <row r="8621" spans="1:2" x14ac:dyDescent="0.25">
      <c r="A8621" t="s">
        <v>2765</v>
      </c>
      <c r="B8621" t="s">
        <v>98</v>
      </c>
    </row>
    <row r="8622" spans="1:2" x14ac:dyDescent="0.25">
      <c r="A8622" t="s">
        <v>3235</v>
      </c>
      <c r="B8622" t="s">
        <v>98</v>
      </c>
    </row>
    <row r="8623" spans="1:2" x14ac:dyDescent="0.25">
      <c r="A8623" t="s">
        <v>5752</v>
      </c>
      <c r="B8623" t="s">
        <v>5158</v>
      </c>
    </row>
    <row r="8624" spans="1:2" x14ac:dyDescent="0.25">
      <c r="A8624" t="s">
        <v>1622</v>
      </c>
      <c r="B8624" t="s">
        <v>5158</v>
      </c>
    </row>
    <row r="8625" spans="1:2" x14ac:dyDescent="0.25">
      <c r="A8625" t="s">
        <v>2910</v>
      </c>
      <c r="B8625" t="s">
        <v>1622</v>
      </c>
    </row>
    <row r="8626" spans="1:2" x14ac:dyDescent="0.25">
      <c r="A8626" t="s">
        <v>2625</v>
      </c>
      <c r="B8626" t="s">
        <v>5158</v>
      </c>
    </row>
    <row r="8627" spans="1:2" x14ac:dyDescent="0.25">
      <c r="A8627" t="s">
        <v>11905</v>
      </c>
      <c r="B8627" t="s">
        <v>6475</v>
      </c>
    </row>
    <row r="8628" spans="1:2" x14ac:dyDescent="0.25">
      <c r="A8628" t="s">
        <v>7018</v>
      </c>
      <c r="B8628" t="s">
        <v>11905</v>
      </c>
    </row>
    <row r="8629" spans="1:2" x14ac:dyDescent="0.25">
      <c r="A8629" t="s">
        <v>10139</v>
      </c>
      <c r="B8629" t="s">
        <v>11905</v>
      </c>
    </row>
    <row r="8630" spans="1:2" x14ac:dyDescent="0.25">
      <c r="A8630" t="s">
        <v>9884</v>
      </c>
      <c r="B8630" t="s">
        <v>10139</v>
      </c>
    </row>
    <row r="8631" spans="1:2" x14ac:dyDescent="0.25">
      <c r="A8631" t="s">
        <v>10508</v>
      </c>
      <c r="B8631" t="s">
        <v>9884</v>
      </c>
    </row>
    <row r="8632" spans="1:2" x14ac:dyDescent="0.25">
      <c r="A8632" t="s">
        <v>8257</v>
      </c>
      <c r="B8632" t="s">
        <v>9884</v>
      </c>
    </row>
    <row r="8633" spans="1:2" x14ac:dyDescent="0.25">
      <c r="A8633" t="s">
        <v>5594</v>
      </c>
      <c r="B8633" t="s">
        <v>10139</v>
      </c>
    </row>
    <row r="8634" spans="1:2" x14ac:dyDescent="0.25">
      <c r="A8634" t="s">
        <v>10619</v>
      </c>
      <c r="B8634" t="s">
        <v>11905</v>
      </c>
    </row>
    <row r="8635" spans="1:2" x14ac:dyDescent="0.25">
      <c r="A8635" t="s">
        <v>10668</v>
      </c>
      <c r="B8635" t="s">
        <v>6475</v>
      </c>
    </row>
    <row r="8636" spans="1:2" x14ac:dyDescent="0.25">
      <c r="A8636" t="s">
        <v>7685</v>
      </c>
      <c r="B8636" t="s">
        <v>10668</v>
      </c>
    </row>
    <row r="8637" spans="1:2" x14ac:dyDescent="0.25">
      <c r="A8637" t="s">
        <v>7023</v>
      </c>
      <c r="B8637" t="s">
        <v>10668</v>
      </c>
    </row>
    <row r="8638" spans="1:2" x14ac:dyDescent="0.25">
      <c r="A8638" t="s">
        <v>7024</v>
      </c>
      <c r="B8638" t="s">
        <v>10668</v>
      </c>
    </row>
    <row r="8639" spans="1:2" x14ac:dyDescent="0.25">
      <c r="A8639" t="s">
        <v>7026</v>
      </c>
      <c r="B8639" t="s">
        <v>10668</v>
      </c>
    </row>
    <row r="8640" spans="1:2" x14ac:dyDescent="0.25">
      <c r="A8640" t="s">
        <v>470</v>
      </c>
      <c r="B8640" t="s">
        <v>6475</v>
      </c>
    </row>
    <row r="8641" spans="1:2" x14ac:dyDescent="0.25">
      <c r="A8641" t="s">
        <v>12615</v>
      </c>
      <c r="B8641" t="s">
        <v>6475</v>
      </c>
    </row>
    <row r="8642" spans="1:2" x14ac:dyDescent="0.25">
      <c r="A8642" t="s">
        <v>4721</v>
      </c>
      <c r="B8642" t="s">
        <v>12615</v>
      </c>
    </row>
    <row r="8643" spans="1:2" x14ac:dyDescent="0.25">
      <c r="A8643" t="s">
        <v>6002</v>
      </c>
      <c r="B8643" t="s">
        <v>4721</v>
      </c>
    </row>
    <row r="8644" spans="1:2" x14ac:dyDescent="0.25">
      <c r="A8644" t="s">
        <v>3726</v>
      </c>
      <c r="B8644" t="s">
        <v>4721</v>
      </c>
    </row>
    <row r="8645" spans="1:2" x14ac:dyDescent="0.25">
      <c r="A8645" t="s">
        <v>5597</v>
      </c>
      <c r="B8645" t="s">
        <v>4721</v>
      </c>
    </row>
    <row r="8646" spans="1:2" x14ac:dyDescent="0.25">
      <c r="A8646" t="s">
        <v>6478</v>
      </c>
      <c r="B8646" t="s">
        <v>4721</v>
      </c>
    </row>
    <row r="8647" spans="1:2" x14ac:dyDescent="0.25">
      <c r="A8647" t="s">
        <v>6479</v>
      </c>
      <c r="B8647" t="s">
        <v>4721</v>
      </c>
    </row>
    <row r="8648" spans="1:2" x14ac:dyDescent="0.25">
      <c r="A8648" t="s">
        <v>6480</v>
      </c>
      <c r="B8648" t="s">
        <v>4721</v>
      </c>
    </row>
    <row r="8649" spans="1:2" x14ac:dyDescent="0.25">
      <c r="A8649" t="s">
        <v>12277</v>
      </c>
      <c r="B8649" t="s">
        <v>12615</v>
      </c>
    </row>
    <row r="8650" spans="1:2" x14ac:dyDescent="0.25">
      <c r="A8650" t="s">
        <v>6154</v>
      </c>
      <c r="B8650" t="s">
        <v>12615</v>
      </c>
    </row>
    <row r="8651" spans="1:2" x14ac:dyDescent="0.25">
      <c r="A8651" t="s">
        <v>6481</v>
      </c>
      <c r="B8651" t="s">
        <v>6154</v>
      </c>
    </row>
    <row r="8652" spans="1:2" x14ac:dyDescent="0.25">
      <c r="A8652" t="s">
        <v>6003</v>
      </c>
      <c r="B8652" t="s">
        <v>6154</v>
      </c>
    </row>
    <row r="8653" spans="1:2" x14ac:dyDescent="0.25">
      <c r="A8653" t="s">
        <v>6155</v>
      </c>
      <c r="B8653" t="s">
        <v>12615</v>
      </c>
    </row>
    <row r="8654" spans="1:2" x14ac:dyDescent="0.25">
      <c r="A8654" t="s">
        <v>6940</v>
      </c>
      <c r="B8654" t="s">
        <v>6475</v>
      </c>
    </row>
    <row r="8655" spans="1:2" x14ac:dyDescent="0.25">
      <c r="A8655" t="s">
        <v>8698</v>
      </c>
      <c r="B8655" t="s">
        <v>6940</v>
      </c>
    </row>
    <row r="8656" spans="1:2" x14ac:dyDescent="0.25">
      <c r="A8656" t="s">
        <v>4231</v>
      </c>
      <c r="B8656" t="s">
        <v>6940</v>
      </c>
    </row>
    <row r="8657" spans="1:2" x14ac:dyDescent="0.25">
      <c r="A8657" t="s">
        <v>3959</v>
      </c>
      <c r="B8657" t="s">
        <v>6940</v>
      </c>
    </row>
    <row r="8658" spans="1:2" x14ac:dyDescent="0.25">
      <c r="A8658" t="s">
        <v>4467</v>
      </c>
      <c r="B8658" t="s">
        <v>6940</v>
      </c>
    </row>
    <row r="8659" spans="1:2" x14ac:dyDescent="0.25">
      <c r="A8659" t="s">
        <v>8384</v>
      </c>
      <c r="B8659" t="s">
        <v>6940</v>
      </c>
    </row>
    <row r="8660" spans="1:2" x14ac:dyDescent="0.25">
      <c r="A8660" t="s">
        <v>12267</v>
      </c>
      <c r="B8660" t="s">
        <v>6541</v>
      </c>
    </row>
    <row r="8661" spans="1:2" x14ac:dyDescent="0.25">
      <c r="A8661" t="s">
        <v>14722</v>
      </c>
      <c r="B8661" t="s">
        <v>12267</v>
      </c>
    </row>
    <row r="8662" spans="1:2" x14ac:dyDescent="0.25">
      <c r="A8662" t="s">
        <v>11504</v>
      </c>
      <c r="B8662" t="s">
        <v>12267</v>
      </c>
    </row>
    <row r="8663" spans="1:2" x14ac:dyDescent="0.25">
      <c r="A8663" t="s">
        <v>9621</v>
      </c>
      <c r="B8663" t="s">
        <v>11504</v>
      </c>
    </row>
    <row r="8664" spans="1:2" x14ac:dyDescent="0.25">
      <c r="A8664" t="s">
        <v>6982</v>
      </c>
      <c r="B8664" t="s">
        <v>9621</v>
      </c>
    </row>
    <row r="8665" spans="1:2" x14ac:dyDescent="0.25">
      <c r="A8665" t="s">
        <v>6983</v>
      </c>
      <c r="B8665" t="s">
        <v>9621</v>
      </c>
    </row>
    <row r="8666" spans="1:2" x14ac:dyDescent="0.25">
      <c r="A8666" t="s">
        <v>6984</v>
      </c>
      <c r="B8666" t="s">
        <v>9621</v>
      </c>
    </row>
    <row r="8667" spans="1:2" x14ac:dyDescent="0.25">
      <c r="A8667" t="s">
        <v>6985</v>
      </c>
      <c r="B8667" t="s">
        <v>9621</v>
      </c>
    </row>
    <row r="8668" spans="1:2" x14ac:dyDescent="0.25">
      <c r="A8668" t="s">
        <v>6986</v>
      </c>
      <c r="B8668" t="s">
        <v>9621</v>
      </c>
    </row>
    <row r="8669" spans="1:2" x14ac:dyDescent="0.25">
      <c r="A8669" t="s">
        <v>6987</v>
      </c>
      <c r="B8669" t="s">
        <v>9621</v>
      </c>
    </row>
    <row r="8670" spans="1:2" x14ac:dyDescent="0.25">
      <c r="A8670" t="s">
        <v>6988</v>
      </c>
      <c r="B8670" t="s">
        <v>9621</v>
      </c>
    </row>
    <row r="8671" spans="1:2" x14ac:dyDescent="0.25">
      <c r="A8671" t="s">
        <v>6990</v>
      </c>
      <c r="B8671" t="s">
        <v>9621</v>
      </c>
    </row>
    <row r="8672" spans="1:2" x14ac:dyDescent="0.25">
      <c r="A8672" t="s">
        <v>7244</v>
      </c>
      <c r="B8672" t="s">
        <v>9621</v>
      </c>
    </row>
    <row r="8673" spans="1:2" x14ac:dyDescent="0.25">
      <c r="A8673" t="s">
        <v>7870</v>
      </c>
      <c r="B8673" t="s">
        <v>9621</v>
      </c>
    </row>
    <row r="8674" spans="1:2" x14ac:dyDescent="0.25">
      <c r="A8674" t="s">
        <v>7245</v>
      </c>
      <c r="B8674" t="s">
        <v>9621</v>
      </c>
    </row>
    <row r="8675" spans="1:2" x14ac:dyDescent="0.25">
      <c r="A8675" t="s">
        <v>7304</v>
      </c>
      <c r="B8675" t="s">
        <v>9621</v>
      </c>
    </row>
    <row r="8676" spans="1:2" x14ac:dyDescent="0.25">
      <c r="A8676" t="s">
        <v>10150</v>
      </c>
      <c r="B8676" t="s">
        <v>9621</v>
      </c>
    </row>
    <row r="8677" spans="1:2" x14ac:dyDescent="0.25">
      <c r="A8677" t="s">
        <v>7894</v>
      </c>
      <c r="B8677" t="s">
        <v>9621</v>
      </c>
    </row>
    <row r="8678" spans="1:2" x14ac:dyDescent="0.25">
      <c r="A8678" t="s">
        <v>9209</v>
      </c>
      <c r="B8678" t="s">
        <v>11504</v>
      </c>
    </row>
    <row r="8679" spans="1:2" x14ac:dyDescent="0.25">
      <c r="A8679" t="s">
        <v>7288</v>
      </c>
      <c r="B8679" t="s">
        <v>9209</v>
      </c>
    </row>
    <row r="8680" spans="1:2" x14ac:dyDescent="0.25">
      <c r="A8680" t="s">
        <v>6185</v>
      </c>
      <c r="B8680" t="s">
        <v>11504</v>
      </c>
    </row>
    <row r="8681" spans="1:2" x14ac:dyDescent="0.25">
      <c r="A8681" t="s">
        <v>4777</v>
      </c>
      <c r="B8681" t="s">
        <v>12267</v>
      </c>
    </row>
    <row r="8682" spans="1:2" x14ac:dyDescent="0.25">
      <c r="A8682" t="s">
        <v>7004</v>
      </c>
      <c r="B8682" t="s">
        <v>4777</v>
      </c>
    </row>
    <row r="8683" spans="1:2" x14ac:dyDescent="0.25">
      <c r="A8683" t="s">
        <v>7006</v>
      </c>
      <c r="B8683" t="s">
        <v>4777</v>
      </c>
    </row>
    <row r="8684" spans="1:2" x14ac:dyDescent="0.25">
      <c r="A8684" t="s">
        <v>9556</v>
      </c>
      <c r="B8684" t="s">
        <v>4777</v>
      </c>
    </row>
    <row r="8685" spans="1:2" x14ac:dyDescent="0.25">
      <c r="A8685" t="s">
        <v>9620</v>
      </c>
      <c r="B8685" t="s">
        <v>4777</v>
      </c>
    </row>
    <row r="8686" spans="1:2" x14ac:dyDescent="0.25">
      <c r="A8686" t="s">
        <v>7286</v>
      </c>
      <c r="B8686" t="s">
        <v>9620</v>
      </c>
    </row>
    <row r="8687" spans="1:2" x14ac:dyDescent="0.25">
      <c r="A8687" t="s">
        <v>8816</v>
      </c>
      <c r="B8687" t="s">
        <v>4777</v>
      </c>
    </row>
    <row r="8688" spans="1:2" x14ac:dyDescent="0.25">
      <c r="A8688" t="s">
        <v>7676</v>
      </c>
      <c r="B8688" t="s">
        <v>8816</v>
      </c>
    </row>
    <row r="8689" spans="1:2" x14ac:dyDescent="0.25">
      <c r="A8689" t="s">
        <v>7677</v>
      </c>
      <c r="B8689" t="s">
        <v>8816</v>
      </c>
    </row>
    <row r="8690" spans="1:2" x14ac:dyDescent="0.25">
      <c r="A8690" t="s">
        <v>7003</v>
      </c>
      <c r="B8690" t="s">
        <v>8816</v>
      </c>
    </row>
    <row r="8691" spans="1:2" x14ac:dyDescent="0.25">
      <c r="A8691" t="s">
        <v>7005</v>
      </c>
      <c r="B8691" t="s">
        <v>8816</v>
      </c>
    </row>
    <row r="8692" spans="1:2" x14ac:dyDescent="0.25">
      <c r="A8692" t="s">
        <v>7249</v>
      </c>
      <c r="B8692" t="s">
        <v>8816</v>
      </c>
    </row>
    <row r="8693" spans="1:2" x14ac:dyDescent="0.25">
      <c r="A8693" t="s">
        <v>7871</v>
      </c>
      <c r="B8693" t="s">
        <v>8816</v>
      </c>
    </row>
    <row r="8694" spans="1:2" x14ac:dyDescent="0.25">
      <c r="A8694" t="s">
        <v>11323</v>
      </c>
      <c r="B8694" t="s">
        <v>8816</v>
      </c>
    </row>
    <row r="8695" spans="1:2" x14ac:dyDescent="0.25">
      <c r="A8695" t="s">
        <v>9656</v>
      </c>
      <c r="B8695" t="s">
        <v>8816</v>
      </c>
    </row>
    <row r="8696" spans="1:2" x14ac:dyDescent="0.25">
      <c r="A8696" t="s">
        <v>10155</v>
      </c>
      <c r="B8696" t="s">
        <v>8816</v>
      </c>
    </row>
    <row r="8697" spans="1:2" x14ac:dyDescent="0.25">
      <c r="A8697" t="s">
        <v>7913</v>
      </c>
      <c r="B8697" t="s">
        <v>8816</v>
      </c>
    </row>
    <row r="8698" spans="1:2" x14ac:dyDescent="0.25">
      <c r="A8698" t="s">
        <v>11557</v>
      </c>
      <c r="B8698" t="s">
        <v>4777</v>
      </c>
    </row>
    <row r="8699" spans="1:2" x14ac:dyDescent="0.25">
      <c r="A8699" t="s">
        <v>7872</v>
      </c>
      <c r="B8699" t="s">
        <v>11557</v>
      </c>
    </row>
    <row r="8700" spans="1:2" x14ac:dyDescent="0.25">
      <c r="A8700" t="s">
        <v>7283</v>
      </c>
      <c r="B8700" t="s">
        <v>11557</v>
      </c>
    </row>
    <row r="8701" spans="1:2" x14ac:dyDescent="0.25">
      <c r="A8701" t="s">
        <v>9210</v>
      </c>
      <c r="B8701" t="s">
        <v>4777</v>
      </c>
    </row>
    <row r="8702" spans="1:2" x14ac:dyDescent="0.25">
      <c r="A8702" t="s">
        <v>7002</v>
      </c>
      <c r="B8702" t="s">
        <v>9210</v>
      </c>
    </row>
    <row r="8703" spans="1:2" x14ac:dyDescent="0.25">
      <c r="A8703" t="s">
        <v>568</v>
      </c>
      <c r="B8703" t="s">
        <v>9210</v>
      </c>
    </row>
    <row r="8704" spans="1:2" x14ac:dyDescent="0.25">
      <c r="A8704" t="s">
        <v>8717</v>
      </c>
      <c r="B8704" t="s">
        <v>12267</v>
      </c>
    </row>
    <row r="8705" spans="1:2" x14ac:dyDescent="0.25">
      <c r="A8705" t="s">
        <v>7013</v>
      </c>
      <c r="B8705" t="s">
        <v>8717</v>
      </c>
    </row>
    <row r="8706" spans="1:2" x14ac:dyDescent="0.25">
      <c r="A8706" t="s">
        <v>8838</v>
      </c>
      <c r="B8706" t="s">
        <v>8717</v>
      </c>
    </row>
    <row r="8707" spans="1:2" x14ac:dyDescent="0.25">
      <c r="A8707" t="s">
        <v>6652</v>
      </c>
      <c r="B8707" t="s">
        <v>8717</v>
      </c>
    </row>
    <row r="8708" spans="1:2" x14ac:dyDescent="0.25">
      <c r="A8708" t="s">
        <v>8718</v>
      </c>
      <c r="B8708" t="s">
        <v>12267</v>
      </c>
    </row>
    <row r="8709" spans="1:2" x14ac:dyDescent="0.25">
      <c r="A8709" t="s">
        <v>5337</v>
      </c>
      <c r="B8709" t="s">
        <v>8718</v>
      </c>
    </row>
    <row r="8710" spans="1:2" x14ac:dyDescent="0.25">
      <c r="A8710" t="s">
        <v>7015</v>
      </c>
      <c r="B8710" t="s">
        <v>5337</v>
      </c>
    </row>
    <row r="8711" spans="1:2" x14ac:dyDescent="0.25">
      <c r="A8711" t="s">
        <v>7238</v>
      </c>
      <c r="B8711" t="s">
        <v>5337</v>
      </c>
    </row>
    <row r="8712" spans="1:2" x14ac:dyDescent="0.25">
      <c r="A8712" t="s">
        <v>7284</v>
      </c>
      <c r="B8712" t="s">
        <v>5337</v>
      </c>
    </row>
    <row r="8713" spans="1:2" x14ac:dyDescent="0.25">
      <c r="A8713" t="s">
        <v>6996</v>
      </c>
      <c r="B8713" t="s">
        <v>5337</v>
      </c>
    </row>
    <row r="8714" spans="1:2" x14ac:dyDescent="0.25">
      <c r="A8714" t="s">
        <v>11786</v>
      </c>
      <c r="B8714" t="s">
        <v>8718</v>
      </c>
    </row>
    <row r="8715" spans="1:2" x14ac:dyDescent="0.25">
      <c r="A8715" t="s">
        <v>6989</v>
      </c>
      <c r="B8715" t="s">
        <v>11786</v>
      </c>
    </row>
    <row r="8716" spans="1:2" x14ac:dyDescent="0.25">
      <c r="A8716" t="s">
        <v>7000</v>
      </c>
      <c r="B8716" t="s">
        <v>11786</v>
      </c>
    </row>
    <row r="8717" spans="1:2" x14ac:dyDescent="0.25">
      <c r="A8717" t="s">
        <v>7239</v>
      </c>
      <c r="B8717" t="s">
        <v>11786</v>
      </c>
    </row>
    <row r="8718" spans="1:2" x14ac:dyDescent="0.25">
      <c r="A8718" t="s">
        <v>7240</v>
      </c>
      <c r="B8718" t="s">
        <v>11786</v>
      </c>
    </row>
    <row r="8719" spans="1:2" x14ac:dyDescent="0.25">
      <c r="A8719" t="s">
        <v>7903</v>
      </c>
      <c r="B8719" t="s">
        <v>11786</v>
      </c>
    </row>
    <row r="8720" spans="1:2" x14ac:dyDescent="0.25">
      <c r="A8720" t="s">
        <v>11787</v>
      </c>
      <c r="B8720" t="s">
        <v>8718</v>
      </c>
    </row>
    <row r="8721" spans="1:2" x14ac:dyDescent="0.25">
      <c r="A8721" t="s">
        <v>7673</v>
      </c>
      <c r="B8721" t="s">
        <v>11787</v>
      </c>
    </row>
    <row r="8722" spans="1:2" x14ac:dyDescent="0.25">
      <c r="A8722" t="s">
        <v>7674</v>
      </c>
      <c r="B8722" t="s">
        <v>11787</v>
      </c>
    </row>
    <row r="8723" spans="1:2" x14ac:dyDescent="0.25">
      <c r="A8723" t="s">
        <v>6981</v>
      </c>
      <c r="B8723" t="s">
        <v>11787</v>
      </c>
    </row>
    <row r="8724" spans="1:2" x14ac:dyDescent="0.25">
      <c r="A8724" t="s">
        <v>12863</v>
      </c>
      <c r="B8724" t="s">
        <v>8718</v>
      </c>
    </row>
    <row r="8725" spans="1:2" x14ac:dyDescent="0.25">
      <c r="A8725" t="s">
        <v>11325</v>
      </c>
      <c r="B8725" t="s">
        <v>12863</v>
      </c>
    </row>
    <row r="8726" spans="1:2" x14ac:dyDescent="0.25">
      <c r="A8726" t="s">
        <v>7912</v>
      </c>
      <c r="B8726" t="s">
        <v>12863</v>
      </c>
    </row>
    <row r="8727" spans="1:2" x14ac:dyDescent="0.25">
      <c r="A8727" t="s">
        <v>11505</v>
      </c>
      <c r="B8727" t="s">
        <v>12267</v>
      </c>
    </row>
    <row r="8728" spans="1:2" x14ac:dyDescent="0.25">
      <c r="A8728" t="s">
        <v>8283</v>
      </c>
      <c r="B8728" t="s">
        <v>12267</v>
      </c>
    </row>
    <row r="8729" spans="1:2" x14ac:dyDescent="0.25">
      <c r="A8729" t="s">
        <v>7014</v>
      </c>
      <c r="B8729" t="s">
        <v>8283</v>
      </c>
    </row>
    <row r="8730" spans="1:2" x14ac:dyDescent="0.25">
      <c r="A8730" t="s">
        <v>7680</v>
      </c>
      <c r="B8730" t="s">
        <v>8283</v>
      </c>
    </row>
    <row r="8731" spans="1:2" x14ac:dyDescent="0.25">
      <c r="A8731" t="s">
        <v>7287</v>
      </c>
      <c r="B8731" t="s">
        <v>8283</v>
      </c>
    </row>
    <row r="8732" spans="1:2" x14ac:dyDescent="0.25">
      <c r="A8732" t="s">
        <v>8383</v>
      </c>
      <c r="B8732" t="s">
        <v>12267</v>
      </c>
    </row>
    <row r="8733" spans="1:2" x14ac:dyDescent="0.25">
      <c r="A8733" t="s">
        <v>7001</v>
      </c>
      <c r="B8733" t="s">
        <v>8383</v>
      </c>
    </row>
    <row r="8734" spans="1:2" x14ac:dyDescent="0.25">
      <c r="A8734" t="s">
        <v>7868</v>
      </c>
      <c r="B8734" t="s">
        <v>8383</v>
      </c>
    </row>
    <row r="8735" spans="1:2" x14ac:dyDescent="0.25">
      <c r="A8735" t="s">
        <v>11326</v>
      </c>
      <c r="B8735" t="s">
        <v>8383</v>
      </c>
    </row>
    <row r="8736" spans="1:2" x14ac:dyDescent="0.25">
      <c r="A8736" t="s">
        <v>11788</v>
      </c>
      <c r="B8736" t="s">
        <v>12267</v>
      </c>
    </row>
    <row r="8737" spans="1:2" x14ac:dyDescent="0.25">
      <c r="A8737" t="s">
        <v>7675</v>
      </c>
      <c r="B8737" t="s">
        <v>11788</v>
      </c>
    </row>
    <row r="8738" spans="1:2" x14ac:dyDescent="0.25">
      <c r="A8738" t="s">
        <v>6991</v>
      </c>
      <c r="B8738" t="s">
        <v>11788</v>
      </c>
    </row>
    <row r="8739" spans="1:2" x14ac:dyDescent="0.25">
      <c r="A8739" t="s">
        <v>6992</v>
      </c>
      <c r="B8739" t="s">
        <v>11788</v>
      </c>
    </row>
    <row r="8740" spans="1:2" x14ac:dyDescent="0.25">
      <c r="A8740" t="s">
        <v>6993</v>
      </c>
      <c r="B8740" t="s">
        <v>11788</v>
      </c>
    </row>
    <row r="8741" spans="1:2" x14ac:dyDescent="0.25">
      <c r="A8741" t="s">
        <v>6994</v>
      </c>
      <c r="B8741" t="s">
        <v>11788</v>
      </c>
    </row>
    <row r="8742" spans="1:2" x14ac:dyDescent="0.25">
      <c r="A8742" t="s">
        <v>6995</v>
      </c>
      <c r="B8742" t="s">
        <v>11788</v>
      </c>
    </row>
    <row r="8743" spans="1:2" x14ac:dyDescent="0.25">
      <c r="A8743" t="s">
        <v>6997</v>
      </c>
      <c r="B8743" t="s">
        <v>11788</v>
      </c>
    </row>
    <row r="8744" spans="1:2" x14ac:dyDescent="0.25">
      <c r="A8744" t="s">
        <v>6998</v>
      </c>
      <c r="B8744" t="s">
        <v>11788</v>
      </c>
    </row>
    <row r="8745" spans="1:2" x14ac:dyDescent="0.25">
      <c r="A8745" t="s">
        <v>6999</v>
      </c>
      <c r="B8745" t="s">
        <v>11788</v>
      </c>
    </row>
    <row r="8746" spans="1:2" x14ac:dyDescent="0.25">
      <c r="A8746" t="s">
        <v>7246</v>
      </c>
      <c r="B8746" t="s">
        <v>11788</v>
      </c>
    </row>
    <row r="8747" spans="1:2" x14ac:dyDescent="0.25">
      <c r="A8747" t="s">
        <v>7247</v>
      </c>
      <c r="B8747" t="s">
        <v>11788</v>
      </c>
    </row>
    <row r="8748" spans="1:2" x14ac:dyDescent="0.25">
      <c r="A8748" t="s">
        <v>7248</v>
      </c>
      <c r="B8748" t="s">
        <v>11788</v>
      </c>
    </row>
    <row r="8749" spans="1:2" x14ac:dyDescent="0.25">
      <c r="A8749" t="s">
        <v>7285</v>
      </c>
      <c r="B8749" t="s">
        <v>11788</v>
      </c>
    </row>
    <row r="8750" spans="1:2" x14ac:dyDescent="0.25">
      <c r="A8750" t="s">
        <v>7289</v>
      </c>
      <c r="B8750" t="s">
        <v>11788</v>
      </c>
    </row>
    <row r="8751" spans="1:2" x14ac:dyDescent="0.25">
      <c r="A8751" t="s">
        <v>9655</v>
      </c>
      <c r="B8751" t="s">
        <v>11788</v>
      </c>
    </row>
    <row r="8752" spans="1:2" x14ac:dyDescent="0.25">
      <c r="A8752" t="s">
        <v>7303</v>
      </c>
      <c r="B8752" t="s">
        <v>11788</v>
      </c>
    </row>
    <row r="8753" spans="1:2" x14ac:dyDescent="0.25">
      <c r="A8753" t="s">
        <v>3468</v>
      </c>
      <c r="B8753" t="s">
        <v>12267</v>
      </c>
    </row>
    <row r="8754" spans="1:2" x14ac:dyDescent="0.25">
      <c r="A8754" t="s">
        <v>7678</v>
      </c>
      <c r="B8754" t="s">
        <v>3468</v>
      </c>
    </row>
    <row r="8755" spans="1:2" x14ac:dyDescent="0.25">
      <c r="A8755" t="s">
        <v>7679</v>
      </c>
      <c r="B8755" t="s">
        <v>3468</v>
      </c>
    </row>
    <row r="8756" spans="1:2" x14ac:dyDescent="0.25">
      <c r="A8756" t="s">
        <v>7007</v>
      </c>
      <c r="B8756" t="s">
        <v>3468</v>
      </c>
    </row>
    <row r="8757" spans="1:2" x14ac:dyDescent="0.25">
      <c r="A8757" t="s">
        <v>7008</v>
      </c>
      <c r="B8757" t="s">
        <v>3468</v>
      </c>
    </row>
    <row r="8758" spans="1:2" x14ac:dyDescent="0.25">
      <c r="A8758" t="s">
        <v>7009</v>
      </c>
      <c r="B8758" t="s">
        <v>3468</v>
      </c>
    </row>
    <row r="8759" spans="1:2" x14ac:dyDescent="0.25">
      <c r="A8759" t="s">
        <v>7010</v>
      </c>
      <c r="B8759" t="s">
        <v>3468</v>
      </c>
    </row>
    <row r="8760" spans="1:2" x14ac:dyDescent="0.25">
      <c r="A8760" t="s">
        <v>7011</v>
      </c>
      <c r="B8760" t="s">
        <v>3468</v>
      </c>
    </row>
    <row r="8761" spans="1:2" x14ac:dyDescent="0.25">
      <c r="A8761" t="s">
        <v>7012</v>
      </c>
      <c r="B8761" t="s">
        <v>3468</v>
      </c>
    </row>
    <row r="8762" spans="1:2" x14ac:dyDescent="0.25">
      <c r="A8762" t="s">
        <v>7022</v>
      </c>
      <c r="B8762" t="s">
        <v>3468</v>
      </c>
    </row>
    <row r="8763" spans="1:2" x14ac:dyDescent="0.25">
      <c r="A8763" t="s">
        <v>7020</v>
      </c>
      <c r="B8763" t="s">
        <v>7022</v>
      </c>
    </row>
    <row r="8764" spans="1:2" x14ac:dyDescent="0.25">
      <c r="A8764" t="s">
        <v>7021</v>
      </c>
      <c r="B8764" t="s">
        <v>7022</v>
      </c>
    </row>
    <row r="8765" spans="1:2" x14ac:dyDescent="0.25">
      <c r="A8765" t="s">
        <v>7682</v>
      </c>
      <c r="B8765" t="s">
        <v>7022</v>
      </c>
    </row>
    <row r="8766" spans="1:2" x14ac:dyDescent="0.25">
      <c r="A8766" t="s">
        <v>7683</v>
      </c>
      <c r="B8766" t="s">
        <v>7022</v>
      </c>
    </row>
    <row r="8767" spans="1:2" x14ac:dyDescent="0.25">
      <c r="A8767" t="s">
        <v>7684</v>
      </c>
      <c r="B8767" t="s">
        <v>7022</v>
      </c>
    </row>
    <row r="8768" spans="1:2" x14ac:dyDescent="0.25">
      <c r="A8768" t="s">
        <v>7025</v>
      </c>
      <c r="B8768" t="s">
        <v>7022</v>
      </c>
    </row>
    <row r="8769" spans="1:2" x14ac:dyDescent="0.25">
      <c r="A8769" t="s">
        <v>7873</v>
      </c>
      <c r="B8769" t="s">
        <v>3468</v>
      </c>
    </row>
    <row r="8770" spans="1:2" x14ac:dyDescent="0.25">
      <c r="A8770" t="s">
        <v>9658</v>
      </c>
      <c r="B8770" t="s">
        <v>3468</v>
      </c>
    </row>
    <row r="8771" spans="1:2" x14ac:dyDescent="0.25">
      <c r="A8771" t="s">
        <v>12268</v>
      </c>
      <c r="B8771" t="s">
        <v>6541</v>
      </c>
    </row>
    <row r="8772" spans="1:2" x14ac:dyDescent="0.25">
      <c r="A8772" t="s">
        <v>8684</v>
      </c>
      <c r="B8772" t="s">
        <v>12268</v>
      </c>
    </row>
    <row r="8773" spans="1:2" x14ac:dyDescent="0.25">
      <c r="A8773" t="s">
        <v>5144</v>
      </c>
      <c r="B8773" t="s">
        <v>8684</v>
      </c>
    </row>
    <row r="8774" spans="1:2" x14ac:dyDescent="0.25">
      <c r="A8774" t="s">
        <v>5155</v>
      </c>
      <c r="B8774" t="s">
        <v>8684</v>
      </c>
    </row>
    <row r="8775" spans="1:2" x14ac:dyDescent="0.25">
      <c r="A8775" t="s">
        <v>11018</v>
      </c>
      <c r="B8775" t="s">
        <v>8684</v>
      </c>
    </row>
    <row r="8776" spans="1:2" x14ac:dyDescent="0.25">
      <c r="A8776" t="s">
        <v>11802</v>
      </c>
      <c r="B8776" t="s">
        <v>8684</v>
      </c>
    </row>
    <row r="8777" spans="1:2" x14ac:dyDescent="0.25">
      <c r="A8777" t="s">
        <v>11903</v>
      </c>
      <c r="B8777" t="s">
        <v>12268</v>
      </c>
    </row>
    <row r="8778" spans="1:2" x14ac:dyDescent="0.25">
      <c r="A8778" t="s">
        <v>8251</v>
      </c>
      <c r="B8778" t="s">
        <v>11903</v>
      </c>
    </row>
    <row r="8779" spans="1:2" x14ac:dyDescent="0.25">
      <c r="A8779" t="s">
        <v>3998</v>
      </c>
      <c r="B8779" t="s">
        <v>11903</v>
      </c>
    </row>
    <row r="8780" spans="1:2" x14ac:dyDescent="0.25">
      <c r="A8780" t="s">
        <v>1977</v>
      </c>
      <c r="B8780" t="s">
        <v>11903</v>
      </c>
    </row>
    <row r="8781" spans="1:2" x14ac:dyDescent="0.25">
      <c r="A8781" t="s">
        <v>7933</v>
      </c>
      <c r="B8781" t="s">
        <v>11903</v>
      </c>
    </row>
    <row r="8782" spans="1:2" x14ac:dyDescent="0.25">
      <c r="A8782" t="s">
        <v>11747</v>
      </c>
      <c r="B8782" t="s">
        <v>7933</v>
      </c>
    </row>
    <row r="8783" spans="1:2" x14ac:dyDescent="0.25">
      <c r="A8783" t="s">
        <v>4924</v>
      </c>
      <c r="B8783" t="s">
        <v>11903</v>
      </c>
    </row>
    <row r="8784" spans="1:2" x14ac:dyDescent="0.25">
      <c r="A8784" t="s">
        <v>9255</v>
      </c>
      <c r="B8784" t="s">
        <v>11903</v>
      </c>
    </row>
    <row r="8785" spans="1:2" x14ac:dyDescent="0.25">
      <c r="A8785" t="s">
        <v>1638</v>
      </c>
      <c r="B8785" t="s">
        <v>11903</v>
      </c>
    </row>
    <row r="8786" spans="1:2" x14ac:dyDescent="0.25">
      <c r="A8786" t="s">
        <v>11508</v>
      </c>
      <c r="B8786" t="s">
        <v>12268</v>
      </c>
    </row>
    <row r="8787" spans="1:2" x14ac:dyDescent="0.25">
      <c r="A8787" t="s">
        <v>10164</v>
      </c>
      <c r="B8787" t="s">
        <v>11508</v>
      </c>
    </row>
    <row r="8788" spans="1:2" x14ac:dyDescent="0.25">
      <c r="A8788" t="s">
        <v>8420</v>
      </c>
      <c r="B8788" t="s">
        <v>11508</v>
      </c>
    </row>
    <row r="8789" spans="1:2" x14ac:dyDescent="0.25">
      <c r="A8789" t="s">
        <v>2857</v>
      </c>
      <c r="B8789" t="s">
        <v>12268</v>
      </c>
    </row>
    <row r="8790" spans="1:2" x14ac:dyDescent="0.25">
      <c r="A8790" t="s">
        <v>9877</v>
      </c>
      <c r="B8790" t="s">
        <v>2857</v>
      </c>
    </row>
    <row r="8791" spans="1:2" x14ac:dyDescent="0.25">
      <c r="A8791" t="s">
        <v>11019</v>
      </c>
      <c r="B8791" t="s">
        <v>2857</v>
      </c>
    </row>
    <row r="8792" spans="1:2" x14ac:dyDescent="0.25">
      <c r="A8792" t="s">
        <v>8287</v>
      </c>
      <c r="B8792" t="s">
        <v>12268</v>
      </c>
    </row>
    <row r="8793" spans="1:2" x14ac:dyDescent="0.25">
      <c r="A8793" t="s">
        <v>11330</v>
      </c>
      <c r="B8793" t="s">
        <v>8287</v>
      </c>
    </row>
    <row r="8794" spans="1:2" x14ac:dyDescent="0.25">
      <c r="A8794" t="s">
        <v>7692</v>
      </c>
      <c r="B8794" t="s">
        <v>11330</v>
      </c>
    </row>
    <row r="8795" spans="1:2" x14ac:dyDescent="0.25">
      <c r="A8795" t="s">
        <v>7055</v>
      </c>
      <c r="B8795" t="s">
        <v>11330</v>
      </c>
    </row>
    <row r="8796" spans="1:2" x14ac:dyDescent="0.25">
      <c r="A8796" t="s">
        <v>7232</v>
      </c>
      <c r="B8796" t="s">
        <v>11330</v>
      </c>
    </row>
    <row r="8797" spans="1:2" x14ac:dyDescent="0.25">
      <c r="A8797" t="s">
        <v>7693</v>
      </c>
      <c r="B8797" t="s">
        <v>12268</v>
      </c>
    </row>
    <row r="8798" spans="1:2" x14ac:dyDescent="0.25">
      <c r="A8798" t="s">
        <v>8847</v>
      </c>
      <c r="B8798" t="s">
        <v>12268</v>
      </c>
    </row>
    <row r="8799" spans="1:2" x14ac:dyDescent="0.25">
      <c r="A8799" t="s">
        <v>5589</v>
      </c>
      <c r="B8799" t="s">
        <v>8847</v>
      </c>
    </row>
    <row r="8800" spans="1:2" x14ac:dyDescent="0.25">
      <c r="A8800" t="s">
        <v>10141</v>
      </c>
      <c r="B8800" t="s">
        <v>8847</v>
      </c>
    </row>
    <row r="8801" spans="1:2" x14ac:dyDescent="0.25">
      <c r="A8801" t="s">
        <v>13193</v>
      </c>
      <c r="B8801" t="s">
        <v>12268</v>
      </c>
    </row>
    <row r="8802" spans="1:2" x14ac:dyDescent="0.25">
      <c r="A8802" t="s">
        <v>13037</v>
      </c>
      <c r="B8802" t="s">
        <v>13193</v>
      </c>
    </row>
    <row r="8803" spans="1:2" x14ac:dyDescent="0.25">
      <c r="A8803" t="s">
        <v>10502</v>
      </c>
      <c r="B8803" t="s">
        <v>13037</v>
      </c>
    </row>
    <row r="8804" spans="1:2" x14ac:dyDescent="0.25">
      <c r="A8804" t="s">
        <v>1746</v>
      </c>
      <c r="B8804" t="s">
        <v>10502</v>
      </c>
    </row>
    <row r="8805" spans="1:2" x14ac:dyDescent="0.25">
      <c r="A8805" t="s">
        <v>9898</v>
      </c>
      <c r="B8805" t="s">
        <v>13037</v>
      </c>
    </row>
    <row r="8806" spans="1:2" x14ac:dyDescent="0.25">
      <c r="A8806" t="s">
        <v>2859</v>
      </c>
      <c r="B8806" t="s">
        <v>13193</v>
      </c>
    </row>
    <row r="8807" spans="1:2" x14ac:dyDescent="0.25">
      <c r="A8807" t="s">
        <v>7705</v>
      </c>
      <c r="B8807" t="s">
        <v>2859</v>
      </c>
    </row>
    <row r="8808" spans="1:2" x14ac:dyDescent="0.25">
      <c r="A8808" t="s">
        <v>7103</v>
      </c>
      <c r="B8808" t="s">
        <v>2859</v>
      </c>
    </row>
    <row r="8809" spans="1:2" x14ac:dyDescent="0.25">
      <c r="A8809" t="s">
        <v>3796</v>
      </c>
      <c r="B8809" t="s">
        <v>13193</v>
      </c>
    </row>
    <row r="8810" spans="1:2" x14ac:dyDescent="0.25">
      <c r="A8810" t="s">
        <v>3292</v>
      </c>
      <c r="B8810" t="s">
        <v>3796</v>
      </c>
    </row>
    <row r="8811" spans="1:2" x14ac:dyDescent="0.25">
      <c r="A8811" t="s">
        <v>2855</v>
      </c>
      <c r="B8811" t="s">
        <v>3796</v>
      </c>
    </row>
    <row r="8812" spans="1:2" x14ac:dyDescent="0.25">
      <c r="A8812" t="s">
        <v>2412</v>
      </c>
      <c r="B8812" t="s">
        <v>3796</v>
      </c>
    </row>
    <row r="8813" spans="1:2" x14ac:dyDescent="0.25">
      <c r="A8813" t="s">
        <v>2856</v>
      </c>
      <c r="B8813" t="s">
        <v>3796</v>
      </c>
    </row>
    <row r="8814" spans="1:2" x14ac:dyDescent="0.25">
      <c r="A8814" t="s">
        <v>1092</v>
      </c>
      <c r="B8814" t="s">
        <v>3796</v>
      </c>
    </row>
    <row r="8815" spans="1:2" x14ac:dyDescent="0.25">
      <c r="A8815" t="s">
        <v>9897</v>
      </c>
      <c r="B8815" t="s">
        <v>3796</v>
      </c>
    </row>
    <row r="8816" spans="1:2" x14ac:dyDescent="0.25">
      <c r="A8816" t="s">
        <v>13511</v>
      </c>
      <c r="B8816" t="s">
        <v>12268</v>
      </c>
    </row>
    <row r="8817" spans="1:2" x14ac:dyDescent="0.25">
      <c r="A8817" t="s">
        <v>2413</v>
      </c>
      <c r="B8817" t="s">
        <v>13511</v>
      </c>
    </row>
    <row r="8818" spans="1:2" x14ac:dyDescent="0.25">
      <c r="A8818" t="s">
        <v>9666</v>
      </c>
      <c r="B8818" t="s">
        <v>2413</v>
      </c>
    </row>
    <row r="8819" spans="1:2" x14ac:dyDescent="0.25">
      <c r="A8819" t="s">
        <v>13038</v>
      </c>
      <c r="B8819" t="s">
        <v>13511</v>
      </c>
    </row>
    <row r="8820" spans="1:2" x14ac:dyDescent="0.25">
      <c r="A8820" t="s">
        <v>6928</v>
      </c>
      <c r="B8820" t="s">
        <v>13038</v>
      </c>
    </row>
    <row r="8821" spans="1:2" x14ac:dyDescent="0.25">
      <c r="A8821" t="s">
        <v>10501</v>
      </c>
      <c r="B8821" t="s">
        <v>13038</v>
      </c>
    </row>
    <row r="8822" spans="1:2" x14ac:dyDescent="0.25">
      <c r="A8822" t="s">
        <v>3473</v>
      </c>
      <c r="B8822" t="s">
        <v>10501</v>
      </c>
    </row>
    <row r="8823" spans="1:2" x14ac:dyDescent="0.25">
      <c r="A8823" t="s">
        <v>7629</v>
      </c>
      <c r="B8823" t="s">
        <v>13038</v>
      </c>
    </row>
    <row r="8824" spans="1:2" x14ac:dyDescent="0.25">
      <c r="A8824" t="s">
        <v>10142</v>
      </c>
      <c r="B8824" t="s">
        <v>13038</v>
      </c>
    </row>
    <row r="8825" spans="1:2" x14ac:dyDescent="0.25">
      <c r="A8825" t="s">
        <v>11558</v>
      </c>
      <c r="B8825" t="s">
        <v>13038</v>
      </c>
    </row>
    <row r="8826" spans="1:2" x14ac:dyDescent="0.25">
      <c r="A8826" t="s">
        <v>7253</v>
      </c>
      <c r="B8826" t="s">
        <v>13038</v>
      </c>
    </row>
    <row r="8827" spans="1:2" x14ac:dyDescent="0.25">
      <c r="A8827" t="s">
        <v>7926</v>
      </c>
      <c r="B8827" t="s">
        <v>13038</v>
      </c>
    </row>
    <row r="8828" spans="1:2" x14ac:dyDescent="0.25">
      <c r="A8828" t="s">
        <v>7927</v>
      </c>
      <c r="B8828" t="s">
        <v>13038</v>
      </c>
    </row>
    <row r="8829" spans="1:2" x14ac:dyDescent="0.25">
      <c r="A8829" t="s">
        <v>4513</v>
      </c>
      <c r="B8829" t="s">
        <v>13511</v>
      </c>
    </row>
    <row r="8830" spans="1:2" x14ac:dyDescent="0.25">
      <c r="A8830" t="s">
        <v>13512</v>
      </c>
      <c r="B8830" t="s">
        <v>12268</v>
      </c>
    </row>
    <row r="8831" spans="1:2" x14ac:dyDescent="0.25">
      <c r="A8831" t="s">
        <v>3293</v>
      </c>
      <c r="B8831" t="s">
        <v>13512</v>
      </c>
    </row>
    <row r="8832" spans="1:2" x14ac:dyDescent="0.25">
      <c r="A8832" t="s">
        <v>341</v>
      </c>
      <c r="B8832" t="s">
        <v>13512</v>
      </c>
    </row>
    <row r="8833" spans="1:2" x14ac:dyDescent="0.25">
      <c r="A8833" t="s">
        <v>3467</v>
      </c>
      <c r="B8833" t="s">
        <v>13512</v>
      </c>
    </row>
    <row r="8834" spans="1:2" x14ac:dyDescent="0.25">
      <c r="A8834" t="s">
        <v>9667</v>
      </c>
      <c r="B8834" t="s">
        <v>13512</v>
      </c>
    </row>
    <row r="8835" spans="1:2" x14ac:dyDescent="0.25">
      <c r="A8835" t="s">
        <v>8848</v>
      </c>
      <c r="B8835" t="s">
        <v>13512</v>
      </c>
    </row>
    <row r="8836" spans="1:2" x14ac:dyDescent="0.25">
      <c r="A8836" t="s">
        <v>6546</v>
      </c>
      <c r="B8836" t="s">
        <v>6541</v>
      </c>
    </row>
    <row r="8837" spans="1:2" x14ac:dyDescent="0.25">
      <c r="A8837" t="s">
        <v>12823</v>
      </c>
      <c r="B8837" t="s">
        <v>6546</v>
      </c>
    </row>
    <row r="8838" spans="1:2" x14ac:dyDescent="0.25">
      <c r="A8838" t="s">
        <v>6045</v>
      </c>
      <c r="B8838" t="s">
        <v>12823</v>
      </c>
    </row>
    <row r="8839" spans="1:2" x14ac:dyDescent="0.25">
      <c r="A8839" t="s">
        <v>1090</v>
      </c>
      <c r="B8839" t="s">
        <v>12823</v>
      </c>
    </row>
    <row r="8840" spans="1:2" x14ac:dyDescent="0.25">
      <c r="A8840" t="s">
        <v>2409</v>
      </c>
      <c r="B8840" t="s">
        <v>12823</v>
      </c>
    </row>
    <row r="8841" spans="1:2" x14ac:dyDescent="0.25">
      <c r="A8841" t="s">
        <v>1903</v>
      </c>
      <c r="B8841" t="s">
        <v>12823</v>
      </c>
    </row>
    <row r="8842" spans="1:2" x14ac:dyDescent="0.25">
      <c r="A8842" t="s">
        <v>6144</v>
      </c>
      <c r="B8842" t="s">
        <v>12823</v>
      </c>
    </row>
    <row r="8843" spans="1:2" x14ac:dyDescent="0.25">
      <c r="A8843" t="s">
        <v>4916</v>
      </c>
      <c r="B8843" t="s">
        <v>12823</v>
      </c>
    </row>
    <row r="8844" spans="1:2" x14ac:dyDescent="0.25">
      <c r="A8844" t="s">
        <v>4782</v>
      </c>
      <c r="B8844" t="s">
        <v>6546</v>
      </c>
    </row>
    <row r="8845" spans="1:2" x14ac:dyDescent="0.25">
      <c r="A8845" t="s">
        <v>6049</v>
      </c>
      <c r="B8845" t="s">
        <v>4782</v>
      </c>
    </row>
    <row r="8846" spans="1:2" x14ac:dyDescent="0.25">
      <c r="A8846" t="s">
        <v>6050</v>
      </c>
      <c r="B8846" t="s">
        <v>6546</v>
      </c>
    </row>
    <row r="8847" spans="1:2" x14ac:dyDescent="0.25">
      <c r="A8847" t="s">
        <v>9112</v>
      </c>
      <c r="B8847" t="s">
        <v>6050</v>
      </c>
    </row>
    <row r="8848" spans="1:2" x14ac:dyDescent="0.25">
      <c r="A8848" t="s">
        <v>7720</v>
      </c>
      <c r="B8848" t="s">
        <v>6050</v>
      </c>
    </row>
    <row r="8849" spans="1:2" x14ac:dyDescent="0.25">
      <c r="A8849" t="s">
        <v>7119</v>
      </c>
      <c r="B8849" t="s">
        <v>6050</v>
      </c>
    </row>
    <row r="8850" spans="1:2" x14ac:dyDescent="0.25">
      <c r="A8850" t="s">
        <v>7120</v>
      </c>
      <c r="B8850" t="s">
        <v>6050</v>
      </c>
    </row>
    <row r="8851" spans="1:2" x14ac:dyDescent="0.25">
      <c r="A8851" t="s">
        <v>10529</v>
      </c>
      <c r="B8851" t="s">
        <v>6050</v>
      </c>
    </row>
    <row r="8852" spans="1:2" x14ac:dyDescent="0.25">
      <c r="A8852" t="s">
        <v>11781</v>
      </c>
      <c r="B8852" t="s">
        <v>10529</v>
      </c>
    </row>
    <row r="8853" spans="1:2" x14ac:dyDescent="0.25">
      <c r="A8853" t="s">
        <v>3803</v>
      </c>
      <c r="B8853" t="s">
        <v>11781</v>
      </c>
    </row>
    <row r="8854" spans="1:2" x14ac:dyDescent="0.25">
      <c r="A8854" t="s">
        <v>11782</v>
      </c>
      <c r="B8854" t="s">
        <v>10529</v>
      </c>
    </row>
    <row r="8855" spans="1:2" x14ac:dyDescent="0.25">
      <c r="A8855" t="s">
        <v>3802</v>
      </c>
      <c r="B8855" t="s">
        <v>11782</v>
      </c>
    </row>
    <row r="8856" spans="1:2" x14ac:dyDescent="0.25">
      <c r="A8856" t="s">
        <v>3804</v>
      </c>
      <c r="B8856" t="s">
        <v>11782</v>
      </c>
    </row>
    <row r="8857" spans="1:2" x14ac:dyDescent="0.25">
      <c r="A8857" t="s">
        <v>3805</v>
      </c>
      <c r="B8857" t="s">
        <v>11782</v>
      </c>
    </row>
    <row r="8858" spans="1:2" x14ac:dyDescent="0.25">
      <c r="A8858" t="s">
        <v>3807</v>
      </c>
      <c r="B8858" t="s">
        <v>11782</v>
      </c>
    </row>
    <row r="8859" spans="1:2" x14ac:dyDescent="0.25">
      <c r="A8859" t="s">
        <v>10611</v>
      </c>
      <c r="B8859" t="s">
        <v>10529</v>
      </c>
    </row>
    <row r="8860" spans="1:2" x14ac:dyDescent="0.25">
      <c r="A8860" t="s">
        <v>10530</v>
      </c>
      <c r="B8860" t="s">
        <v>10611</v>
      </c>
    </row>
    <row r="8861" spans="1:2" x14ac:dyDescent="0.25">
      <c r="A8861" t="s">
        <v>6052</v>
      </c>
      <c r="B8861" t="s">
        <v>10611</v>
      </c>
    </row>
    <row r="8862" spans="1:2" x14ac:dyDescent="0.25">
      <c r="A8862" t="s">
        <v>3815</v>
      </c>
      <c r="B8862" t="s">
        <v>10611</v>
      </c>
    </row>
    <row r="8863" spans="1:2" x14ac:dyDescent="0.25">
      <c r="A8863" t="s">
        <v>5728</v>
      </c>
      <c r="B8863" t="s">
        <v>10611</v>
      </c>
    </row>
    <row r="8864" spans="1:2" x14ac:dyDescent="0.25">
      <c r="A8864" t="s">
        <v>3049</v>
      </c>
      <c r="B8864" t="s">
        <v>10611</v>
      </c>
    </row>
    <row r="8865" spans="1:2" x14ac:dyDescent="0.25">
      <c r="A8865" t="s">
        <v>9617</v>
      </c>
      <c r="B8865" t="s">
        <v>10529</v>
      </c>
    </row>
    <row r="8866" spans="1:2" x14ac:dyDescent="0.25">
      <c r="A8866" t="s">
        <v>8380</v>
      </c>
      <c r="B8866" t="s">
        <v>9617</v>
      </c>
    </row>
    <row r="8867" spans="1:2" x14ac:dyDescent="0.25">
      <c r="A8867" t="s">
        <v>9902</v>
      </c>
      <c r="B8867" t="s">
        <v>6050</v>
      </c>
    </row>
    <row r="8868" spans="1:2" x14ac:dyDescent="0.25">
      <c r="A8868" t="s">
        <v>12497</v>
      </c>
      <c r="B8868" t="s">
        <v>9902</v>
      </c>
    </row>
    <row r="8869" spans="1:2" x14ac:dyDescent="0.25">
      <c r="A8869" t="s">
        <v>3303</v>
      </c>
      <c r="B8869" t="s">
        <v>12497</v>
      </c>
    </row>
    <row r="8870" spans="1:2" x14ac:dyDescent="0.25">
      <c r="A8870" t="s">
        <v>6053</v>
      </c>
      <c r="B8870" t="s">
        <v>6050</v>
      </c>
    </row>
    <row r="8871" spans="1:2" x14ac:dyDescent="0.25">
      <c r="A8871" t="s">
        <v>10136</v>
      </c>
      <c r="B8871" t="s">
        <v>6053</v>
      </c>
    </row>
    <row r="8872" spans="1:2" x14ac:dyDescent="0.25">
      <c r="A8872" t="s">
        <v>1916</v>
      </c>
      <c r="B8872" t="s">
        <v>10136</v>
      </c>
    </row>
    <row r="8873" spans="1:2" x14ac:dyDescent="0.25">
      <c r="A8873" t="s">
        <v>1917</v>
      </c>
      <c r="B8873" t="s">
        <v>10136</v>
      </c>
    </row>
    <row r="8874" spans="1:2" x14ac:dyDescent="0.25">
      <c r="A8874" t="s">
        <v>1918</v>
      </c>
      <c r="B8874" t="s">
        <v>10136</v>
      </c>
    </row>
    <row r="8875" spans="1:2" x14ac:dyDescent="0.25">
      <c r="A8875" t="s">
        <v>11553</v>
      </c>
      <c r="B8875" t="s">
        <v>6053</v>
      </c>
    </row>
    <row r="8876" spans="1:2" x14ac:dyDescent="0.25">
      <c r="A8876" t="s">
        <v>10612</v>
      </c>
      <c r="B8876" t="s">
        <v>11553</v>
      </c>
    </row>
    <row r="8877" spans="1:2" x14ac:dyDescent="0.25">
      <c r="A8877" t="s">
        <v>11300</v>
      </c>
      <c r="B8877" t="s">
        <v>6050</v>
      </c>
    </row>
    <row r="8878" spans="1:2" x14ac:dyDescent="0.25">
      <c r="A8878" t="s">
        <v>11554</v>
      </c>
      <c r="B8878" t="s">
        <v>11300</v>
      </c>
    </row>
    <row r="8879" spans="1:2" x14ac:dyDescent="0.25">
      <c r="A8879" t="s">
        <v>3304</v>
      </c>
      <c r="B8879" t="s">
        <v>11554</v>
      </c>
    </row>
    <row r="8880" spans="1:2" x14ac:dyDescent="0.25">
      <c r="A8880" t="s">
        <v>3305</v>
      </c>
      <c r="B8880" t="s">
        <v>11554</v>
      </c>
    </row>
    <row r="8881" spans="1:2" x14ac:dyDescent="0.25">
      <c r="A8881" t="s">
        <v>1104</v>
      </c>
      <c r="B8881" t="s">
        <v>11554</v>
      </c>
    </row>
    <row r="8882" spans="1:2" x14ac:dyDescent="0.25">
      <c r="A8882" t="s">
        <v>3306</v>
      </c>
      <c r="B8882" t="s">
        <v>11554</v>
      </c>
    </row>
    <row r="8883" spans="1:2" x14ac:dyDescent="0.25">
      <c r="A8883" t="s">
        <v>1924</v>
      </c>
      <c r="B8883" t="s">
        <v>11554</v>
      </c>
    </row>
    <row r="8884" spans="1:2" x14ac:dyDescent="0.25">
      <c r="A8884" t="s">
        <v>3814</v>
      </c>
      <c r="B8884" t="s">
        <v>11554</v>
      </c>
    </row>
    <row r="8885" spans="1:2" x14ac:dyDescent="0.25">
      <c r="A8885" t="s">
        <v>1107</v>
      </c>
      <c r="B8885" t="s">
        <v>11554</v>
      </c>
    </row>
    <row r="8886" spans="1:2" x14ac:dyDescent="0.25">
      <c r="A8886" t="s">
        <v>1925</v>
      </c>
      <c r="B8886" t="s">
        <v>11554</v>
      </c>
    </row>
    <row r="8887" spans="1:2" x14ac:dyDescent="0.25">
      <c r="A8887" t="s">
        <v>1926</v>
      </c>
      <c r="B8887" t="s">
        <v>11554</v>
      </c>
    </row>
    <row r="8888" spans="1:2" x14ac:dyDescent="0.25">
      <c r="A8888" t="s">
        <v>3816</v>
      </c>
      <c r="B8888" t="s">
        <v>11554</v>
      </c>
    </row>
    <row r="8889" spans="1:2" x14ac:dyDescent="0.25">
      <c r="A8889" t="s">
        <v>1927</v>
      </c>
      <c r="B8889" t="s">
        <v>11554</v>
      </c>
    </row>
    <row r="8890" spans="1:2" x14ac:dyDescent="0.25">
      <c r="A8890" t="s">
        <v>3307</v>
      </c>
      <c r="B8890" t="s">
        <v>11554</v>
      </c>
    </row>
    <row r="8891" spans="1:2" x14ac:dyDescent="0.25">
      <c r="A8891" t="s">
        <v>2870</v>
      </c>
      <c r="B8891" t="s">
        <v>11554</v>
      </c>
    </row>
    <row r="8892" spans="1:2" x14ac:dyDescent="0.25">
      <c r="A8892" t="s">
        <v>1928</v>
      </c>
      <c r="B8892" t="s">
        <v>11554</v>
      </c>
    </row>
    <row r="8893" spans="1:2" x14ac:dyDescent="0.25">
      <c r="A8893" t="s">
        <v>1929</v>
      </c>
      <c r="B8893" t="s">
        <v>11554</v>
      </c>
    </row>
    <row r="8894" spans="1:2" x14ac:dyDescent="0.25">
      <c r="A8894" t="s">
        <v>2871</v>
      </c>
      <c r="B8894" t="s">
        <v>11554</v>
      </c>
    </row>
    <row r="8895" spans="1:2" x14ac:dyDescent="0.25">
      <c r="A8895" t="s">
        <v>2432</v>
      </c>
      <c r="B8895" t="s">
        <v>11554</v>
      </c>
    </row>
    <row r="8896" spans="1:2" x14ac:dyDescent="0.25">
      <c r="A8896" t="s">
        <v>3817</v>
      </c>
      <c r="B8896" t="s">
        <v>11554</v>
      </c>
    </row>
    <row r="8897" spans="1:2" x14ac:dyDescent="0.25">
      <c r="A8897" t="s">
        <v>4291</v>
      </c>
      <c r="B8897" t="s">
        <v>11554</v>
      </c>
    </row>
    <row r="8898" spans="1:2" x14ac:dyDescent="0.25">
      <c r="A8898" t="s">
        <v>4787</v>
      </c>
      <c r="B8898" t="s">
        <v>11554</v>
      </c>
    </row>
    <row r="8899" spans="1:2" x14ac:dyDescent="0.25">
      <c r="A8899" t="s">
        <v>2433</v>
      </c>
      <c r="B8899" t="s">
        <v>11554</v>
      </c>
    </row>
    <row r="8900" spans="1:2" x14ac:dyDescent="0.25">
      <c r="A8900" t="s">
        <v>2434</v>
      </c>
      <c r="B8900" t="s">
        <v>11554</v>
      </c>
    </row>
    <row r="8901" spans="1:2" x14ac:dyDescent="0.25">
      <c r="A8901" t="s">
        <v>3308</v>
      </c>
      <c r="B8901" t="s">
        <v>11554</v>
      </c>
    </row>
    <row r="8902" spans="1:2" x14ac:dyDescent="0.25">
      <c r="A8902" t="s">
        <v>2872</v>
      </c>
      <c r="B8902" t="s">
        <v>11554</v>
      </c>
    </row>
    <row r="8903" spans="1:2" x14ac:dyDescent="0.25">
      <c r="A8903" t="s">
        <v>2435</v>
      </c>
      <c r="B8903" t="s">
        <v>11554</v>
      </c>
    </row>
    <row r="8904" spans="1:2" x14ac:dyDescent="0.25">
      <c r="A8904" t="s">
        <v>3309</v>
      </c>
      <c r="B8904" t="s">
        <v>11554</v>
      </c>
    </row>
    <row r="8905" spans="1:2" x14ac:dyDescent="0.25">
      <c r="A8905" t="s">
        <v>2873</v>
      </c>
      <c r="B8905" t="s">
        <v>11554</v>
      </c>
    </row>
    <row r="8906" spans="1:2" x14ac:dyDescent="0.25">
      <c r="A8906" t="s">
        <v>2437</v>
      </c>
      <c r="B8906" t="s">
        <v>11554</v>
      </c>
    </row>
    <row r="8907" spans="1:2" x14ac:dyDescent="0.25">
      <c r="A8907" t="s">
        <v>1108</v>
      </c>
      <c r="B8907" t="s">
        <v>11554</v>
      </c>
    </row>
    <row r="8908" spans="1:2" x14ac:dyDescent="0.25">
      <c r="A8908" t="s">
        <v>5228</v>
      </c>
      <c r="B8908" t="s">
        <v>11554</v>
      </c>
    </row>
    <row r="8909" spans="1:2" x14ac:dyDescent="0.25">
      <c r="A8909" t="s">
        <v>2874</v>
      </c>
      <c r="B8909" t="s">
        <v>11554</v>
      </c>
    </row>
    <row r="8910" spans="1:2" x14ac:dyDescent="0.25">
      <c r="A8910" t="s">
        <v>2875</v>
      </c>
      <c r="B8910" t="s">
        <v>11554</v>
      </c>
    </row>
    <row r="8911" spans="1:2" x14ac:dyDescent="0.25">
      <c r="A8911" t="s">
        <v>3310</v>
      </c>
      <c r="B8911" t="s">
        <v>11554</v>
      </c>
    </row>
    <row r="8912" spans="1:2" x14ac:dyDescent="0.25">
      <c r="A8912" t="s">
        <v>1930</v>
      </c>
      <c r="B8912" t="s">
        <v>11554</v>
      </c>
    </row>
    <row r="8913" spans="1:2" x14ac:dyDescent="0.25">
      <c r="A8913" t="s">
        <v>3818</v>
      </c>
      <c r="B8913" t="s">
        <v>11554</v>
      </c>
    </row>
    <row r="8914" spans="1:2" x14ac:dyDescent="0.25">
      <c r="A8914" t="s">
        <v>3311</v>
      </c>
      <c r="B8914" t="s">
        <v>11554</v>
      </c>
    </row>
    <row r="8915" spans="1:2" x14ac:dyDescent="0.25">
      <c r="A8915" t="s">
        <v>2876</v>
      </c>
      <c r="B8915" t="s">
        <v>11554</v>
      </c>
    </row>
    <row r="8916" spans="1:2" x14ac:dyDescent="0.25">
      <c r="A8916" t="s">
        <v>2877</v>
      </c>
      <c r="B8916" t="s">
        <v>11554</v>
      </c>
    </row>
    <row r="8917" spans="1:2" x14ac:dyDescent="0.25">
      <c r="A8917" t="s">
        <v>1931</v>
      </c>
      <c r="B8917" t="s">
        <v>11554</v>
      </c>
    </row>
    <row r="8918" spans="1:2" x14ac:dyDescent="0.25">
      <c r="A8918" t="s">
        <v>2878</v>
      </c>
      <c r="B8918" t="s">
        <v>11554</v>
      </c>
    </row>
    <row r="8919" spans="1:2" x14ac:dyDescent="0.25">
      <c r="A8919" t="s">
        <v>3504</v>
      </c>
      <c r="B8919" t="s">
        <v>11554</v>
      </c>
    </row>
    <row r="8920" spans="1:2" x14ac:dyDescent="0.25">
      <c r="A8920" t="s">
        <v>11555</v>
      </c>
      <c r="B8920" t="s">
        <v>11300</v>
      </c>
    </row>
    <row r="8921" spans="1:2" x14ac:dyDescent="0.25">
      <c r="A8921" t="s">
        <v>3806</v>
      </c>
      <c r="B8921" t="s">
        <v>11555</v>
      </c>
    </row>
    <row r="8922" spans="1:2" x14ac:dyDescent="0.25">
      <c r="A8922" t="s">
        <v>1922</v>
      </c>
      <c r="B8922" t="s">
        <v>11555</v>
      </c>
    </row>
    <row r="8923" spans="1:2" x14ac:dyDescent="0.25">
      <c r="A8923" t="s">
        <v>5226</v>
      </c>
      <c r="B8923" t="s">
        <v>11555</v>
      </c>
    </row>
    <row r="8924" spans="1:2" x14ac:dyDescent="0.25">
      <c r="A8924" t="s">
        <v>4785</v>
      </c>
      <c r="B8924" t="s">
        <v>11555</v>
      </c>
    </row>
    <row r="8925" spans="1:2" x14ac:dyDescent="0.25">
      <c r="A8925" t="s">
        <v>5645</v>
      </c>
      <c r="B8925" t="s">
        <v>11555</v>
      </c>
    </row>
    <row r="8926" spans="1:2" x14ac:dyDescent="0.25">
      <c r="A8926" t="s">
        <v>1105</v>
      </c>
      <c r="B8926" t="s">
        <v>11555</v>
      </c>
    </row>
    <row r="8927" spans="1:2" x14ac:dyDescent="0.25">
      <c r="A8927" t="s">
        <v>3812</v>
      </c>
      <c r="B8927" t="s">
        <v>11555</v>
      </c>
    </row>
    <row r="8928" spans="1:2" x14ac:dyDescent="0.25">
      <c r="A8928" t="s">
        <v>1106</v>
      </c>
      <c r="B8928" t="s">
        <v>11555</v>
      </c>
    </row>
    <row r="8929" spans="1:2" x14ac:dyDescent="0.25">
      <c r="A8929" t="s">
        <v>3813</v>
      </c>
      <c r="B8929" t="s">
        <v>11555</v>
      </c>
    </row>
    <row r="8930" spans="1:2" x14ac:dyDescent="0.25">
      <c r="A8930" t="s">
        <v>1923</v>
      </c>
      <c r="B8930" t="s">
        <v>11555</v>
      </c>
    </row>
    <row r="8931" spans="1:2" x14ac:dyDescent="0.25">
      <c r="A8931" t="s">
        <v>5227</v>
      </c>
      <c r="B8931" t="s">
        <v>11555</v>
      </c>
    </row>
    <row r="8932" spans="1:2" x14ac:dyDescent="0.25">
      <c r="A8932" t="s">
        <v>4786</v>
      </c>
      <c r="B8932" t="s">
        <v>11555</v>
      </c>
    </row>
    <row r="8933" spans="1:2" x14ac:dyDescent="0.25">
      <c r="A8933" t="s">
        <v>3992</v>
      </c>
      <c r="B8933" t="s">
        <v>11555</v>
      </c>
    </row>
    <row r="8934" spans="1:2" x14ac:dyDescent="0.25">
      <c r="A8934" t="s">
        <v>10983</v>
      </c>
      <c r="B8934" t="s">
        <v>11300</v>
      </c>
    </row>
    <row r="8935" spans="1:2" x14ac:dyDescent="0.25">
      <c r="A8935" t="s">
        <v>9558</v>
      </c>
      <c r="B8935" t="s">
        <v>10983</v>
      </c>
    </row>
    <row r="8936" spans="1:2" x14ac:dyDescent="0.25">
      <c r="A8936" t="s">
        <v>8293</v>
      </c>
      <c r="B8936" t="s">
        <v>10983</v>
      </c>
    </row>
    <row r="8937" spans="1:2" x14ac:dyDescent="0.25">
      <c r="A8937" t="s">
        <v>7724</v>
      </c>
      <c r="B8937" t="s">
        <v>10983</v>
      </c>
    </row>
    <row r="8938" spans="1:2" x14ac:dyDescent="0.25">
      <c r="A8938" t="s">
        <v>11301</v>
      </c>
      <c r="B8938" t="s">
        <v>6050</v>
      </c>
    </row>
    <row r="8939" spans="1:2" x14ac:dyDescent="0.25">
      <c r="A8939" t="s">
        <v>11302</v>
      </c>
      <c r="B8939" t="s">
        <v>11301</v>
      </c>
    </row>
    <row r="8940" spans="1:2" x14ac:dyDescent="0.25">
      <c r="A8940" t="s">
        <v>3299</v>
      </c>
      <c r="B8940" t="s">
        <v>11302</v>
      </c>
    </row>
    <row r="8941" spans="1:2" x14ac:dyDescent="0.25">
      <c r="A8941" t="s">
        <v>4788</v>
      </c>
      <c r="B8941" t="s">
        <v>11302</v>
      </c>
    </row>
    <row r="8942" spans="1:2" x14ac:dyDescent="0.25">
      <c r="A8942" t="s">
        <v>4292</v>
      </c>
      <c r="B8942" t="s">
        <v>11302</v>
      </c>
    </row>
    <row r="8943" spans="1:2" x14ac:dyDescent="0.25">
      <c r="A8943" t="s">
        <v>2880</v>
      </c>
      <c r="B8943" t="s">
        <v>11302</v>
      </c>
    </row>
    <row r="8944" spans="1:2" x14ac:dyDescent="0.25">
      <c r="A8944" t="s">
        <v>5647</v>
      </c>
      <c r="B8944" t="s">
        <v>11302</v>
      </c>
    </row>
    <row r="8945" spans="1:2" x14ac:dyDescent="0.25">
      <c r="A8945" t="s">
        <v>2439</v>
      </c>
      <c r="B8945" t="s">
        <v>11302</v>
      </c>
    </row>
    <row r="8946" spans="1:2" x14ac:dyDescent="0.25">
      <c r="A8946" t="s">
        <v>5229</v>
      </c>
      <c r="B8946" t="s">
        <v>11302</v>
      </c>
    </row>
    <row r="8947" spans="1:2" x14ac:dyDescent="0.25">
      <c r="A8947" t="s">
        <v>4293</v>
      </c>
      <c r="B8947" t="s">
        <v>11302</v>
      </c>
    </row>
    <row r="8948" spans="1:2" x14ac:dyDescent="0.25">
      <c r="A8948" t="s">
        <v>4294</v>
      </c>
      <c r="B8948" t="s">
        <v>11302</v>
      </c>
    </row>
    <row r="8949" spans="1:2" x14ac:dyDescent="0.25">
      <c r="A8949" t="s">
        <v>5648</v>
      </c>
      <c r="B8949" t="s">
        <v>11302</v>
      </c>
    </row>
    <row r="8950" spans="1:2" x14ac:dyDescent="0.25">
      <c r="A8950" t="s">
        <v>2441</v>
      </c>
      <c r="B8950" t="s">
        <v>11302</v>
      </c>
    </row>
    <row r="8951" spans="1:2" x14ac:dyDescent="0.25">
      <c r="A8951" t="s">
        <v>5230</v>
      </c>
      <c r="B8951" t="s">
        <v>11302</v>
      </c>
    </row>
    <row r="8952" spans="1:2" x14ac:dyDescent="0.25">
      <c r="A8952" t="s">
        <v>4295</v>
      </c>
      <c r="B8952" t="s">
        <v>11302</v>
      </c>
    </row>
    <row r="8953" spans="1:2" x14ac:dyDescent="0.25">
      <c r="A8953" t="s">
        <v>4790</v>
      </c>
      <c r="B8953" t="s">
        <v>11302</v>
      </c>
    </row>
    <row r="8954" spans="1:2" x14ac:dyDescent="0.25">
      <c r="A8954" t="s">
        <v>3012</v>
      </c>
      <c r="B8954" t="s">
        <v>11302</v>
      </c>
    </row>
    <row r="8955" spans="1:2" x14ac:dyDescent="0.25">
      <c r="A8955" t="s">
        <v>11303</v>
      </c>
      <c r="B8955" t="s">
        <v>11301</v>
      </c>
    </row>
    <row r="8956" spans="1:2" x14ac:dyDescent="0.25">
      <c r="A8956" t="s">
        <v>2879</v>
      </c>
      <c r="B8956" t="s">
        <v>11303</v>
      </c>
    </row>
    <row r="8957" spans="1:2" x14ac:dyDescent="0.25">
      <c r="A8957" t="s">
        <v>4789</v>
      </c>
      <c r="B8957" t="s">
        <v>11303</v>
      </c>
    </row>
    <row r="8958" spans="1:2" x14ac:dyDescent="0.25">
      <c r="A8958" t="s">
        <v>10613</v>
      </c>
      <c r="B8958" t="s">
        <v>11301</v>
      </c>
    </row>
    <row r="8959" spans="1:2" x14ac:dyDescent="0.25">
      <c r="A8959" t="s">
        <v>9236</v>
      </c>
      <c r="B8959" t="s">
        <v>11301</v>
      </c>
    </row>
    <row r="8960" spans="1:2" x14ac:dyDescent="0.25">
      <c r="A8960" t="s">
        <v>7222</v>
      </c>
      <c r="B8960" t="s">
        <v>6050</v>
      </c>
    </row>
    <row r="8961" spans="1:2" x14ac:dyDescent="0.25">
      <c r="A8961" t="s">
        <v>11783</v>
      </c>
      <c r="B8961" t="s">
        <v>7222</v>
      </c>
    </row>
    <row r="8962" spans="1:2" x14ac:dyDescent="0.25">
      <c r="A8962" t="s">
        <v>3295</v>
      </c>
      <c r="B8962" t="s">
        <v>11783</v>
      </c>
    </row>
    <row r="8963" spans="1:2" x14ac:dyDescent="0.25">
      <c r="A8963" t="s">
        <v>1096</v>
      </c>
      <c r="B8963" t="s">
        <v>11783</v>
      </c>
    </row>
    <row r="8964" spans="1:2" x14ac:dyDescent="0.25">
      <c r="A8964" t="s">
        <v>1911</v>
      </c>
      <c r="B8964" t="s">
        <v>11783</v>
      </c>
    </row>
    <row r="8965" spans="1:2" x14ac:dyDescent="0.25">
      <c r="A8965" t="s">
        <v>2865</v>
      </c>
      <c r="B8965" t="s">
        <v>11783</v>
      </c>
    </row>
    <row r="8966" spans="1:2" x14ac:dyDescent="0.25">
      <c r="A8966" t="s">
        <v>2436</v>
      </c>
      <c r="B8966" t="s">
        <v>11783</v>
      </c>
    </row>
    <row r="8967" spans="1:2" x14ac:dyDescent="0.25">
      <c r="A8967" t="s">
        <v>2438</v>
      </c>
      <c r="B8967" t="s">
        <v>11783</v>
      </c>
    </row>
    <row r="8968" spans="1:2" x14ac:dyDescent="0.25">
      <c r="A8968" t="s">
        <v>3318</v>
      </c>
      <c r="B8968" t="s">
        <v>11783</v>
      </c>
    </row>
    <row r="8969" spans="1:2" x14ac:dyDescent="0.25">
      <c r="A8969" t="s">
        <v>3319</v>
      </c>
      <c r="B8969" t="s">
        <v>11783</v>
      </c>
    </row>
    <row r="8970" spans="1:2" x14ac:dyDescent="0.25">
      <c r="A8970" t="s">
        <v>4791</v>
      </c>
      <c r="B8970" t="s">
        <v>11783</v>
      </c>
    </row>
    <row r="8971" spans="1:2" x14ac:dyDescent="0.25">
      <c r="A8971" t="s">
        <v>1935</v>
      </c>
      <c r="B8971" t="s">
        <v>11783</v>
      </c>
    </row>
    <row r="8972" spans="1:2" x14ac:dyDescent="0.25">
      <c r="A8972" t="s">
        <v>2156</v>
      </c>
      <c r="B8972" t="s">
        <v>11783</v>
      </c>
    </row>
    <row r="8973" spans="1:2" x14ac:dyDescent="0.25">
      <c r="A8973" t="s">
        <v>2577</v>
      </c>
      <c r="B8973" t="s">
        <v>11783</v>
      </c>
    </row>
    <row r="8974" spans="1:2" x14ac:dyDescent="0.25">
      <c r="A8974" t="s">
        <v>12894</v>
      </c>
      <c r="B8974" t="s">
        <v>7222</v>
      </c>
    </row>
    <row r="8975" spans="1:2" x14ac:dyDescent="0.25">
      <c r="A8975" t="s">
        <v>1906</v>
      </c>
      <c r="B8975" t="s">
        <v>12894</v>
      </c>
    </row>
    <row r="8976" spans="1:2" x14ac:dyDescent="0.25">
      <c r="A8976" t="s">
        <v>2863</v>
      </c>
      <c r="B8976" t="s">
        <v>12894</v>
      </c>
    </row>
    <row r="8977" spans="1:2" x14ac:dyDescent="0.25">
      <c r="A8977" t="s">
        <v>2440</v>
      </c>
      <c r="B8977" t="s">
        <v>12894</v>
      </c>
    </row>
    <row r="8978" spans="1:2" x14ac:dyDescent="0.25">
      <c r="A8978" t="s">
        <v>3317</v>
      </c>
      <c r="B8978" t="s">
        <v>12894</v>
      </c>
    </row>
    <row r="8979" spans="1:2" x14ac:dyDescent="0.25">
      <c r="A8979" t="s">
        <v>4296</v>
      </c>
      <c r="B8979" t="s">
        <v>12894</v>
      </c>
    </row>
    <row r="8980" spans="1:2" x14ac:dyDescent="0.25">
      <c r="A8980" t="s">
        <v>2443</v>
      </c>
      <c r="B8980" t="s">
        <v>12894</v>
      </c>
    </row>
    <row r="8981" spans="1:2" x14ac:dyDescent="0.25">
      <c r="A8981" t="s">
        <v>1934</v>
      </c>
      <c r="B8981" t="s">
        <v>12894</v>
      </c>
    </row>
    <row r="8982" spans="1:2" x14ac:dyDescent="0.25">
      <c r="A8982" t="s">
        <v>2883</v>
      </c>
      <c r="B8982" t="s">
        <v>12894</v>
      </c>
    </row>
    <row r="8983" spans="1:2" x14ac:dyDescent="0.25">
      <c r="A8983" t="s">
        <v>2884</v>
      </c>
      <c r="B8983" t="s">
        <v>12894</v>
      </c>
    </row>
    <row r="8984" spans="1:2" x14ac:dyDescent="0.25">
      <c r="A8984" t="s">
        <v>2885</v>
      </c>
      <c r="B8984" t="s">
        <v>12894</v>
      </c>
    </row>
    <row r="8985" spans="1:2" x14ac:dyDescent="0.25">
      <c r="A8985" t="s">
        <v>5332</v>
      </c>
      <c r="B8985" t="s">
        <v>12894</v>
      </c>
    </row>
    <row r="8986" spans="1:2" x14ac:dyDescent="0.25">
      <c r="A8986" t="s">
        <v>7857</v>
      </c>
      <c r="B8986" t="s">
        <v>12894</v>
      </c>
    </row>
    <row r="8987" spans="1:2" x14ac:dyDescent="0.25">
      <c r="A8987" t="s">
        <v>2578</v>
      </c>
      <c r="B8987" t="s">
        <v>12894</v>
      </c>
    </row>
    <row r="8988" spans="1:2" x14ac:dyDescent="0.25">
      <c r="A8988" t="s">
        <v>10984</v>
      </c>
      <c r="B8988" t="s">
        <v>7222</v>
      </c>
    </row>
    <row r="8989" spans="1:2" x14ac:dyDescent="0.25">
      <c r="A8989" t="s">
        <v>6548</v>
      </c>
      <c r="B8989" t="s">
        <v>10984</v>
      </c>
    </row>
    <row r="8990" spans="1:2" x14ac:dyDescent="0.25">
      <c r="A8990" t="s">
        <v>3801</v>
      </c>
      <c r="B8990" t="s">
        <v>10984</v>
      </c>
    </row>
    <row r="8991" spans="1:2" x14ac:dyDescent="0.25">
      <c r="A8991" t="s">
        <v>6549</v>
      </c>
      <c r="B8991" t="s">
        <v>10984</v>
      </c>
    </row>
    <row r="8992" spans="1:2" x14ac:dyDescent="0.25">
      <c r="A8992" t="s">
        <v>10614</v>
      </c>
      <c r="B8992" t="s">
        <v>7222</v>
      </c>
    </row>
    <row r="8993" spans="1:2" x14ac:dyDescent="0.25">
      <c r="A8993" t="s">
        <v>2422</v>
      </c>
      <c r="B8993" t="s">
        <v>10614</v>
      </c>
    </row>
    <row r="8994" spans="1:2" x14ac:dyDescent="0.25">
      <c r="A8994" t="s">
        <v>3298</v>
      </c>
      <c r="B8994" t="s">
        <v>10614</v>
      </c>
    </row>
    <row r="8995" spans="1:2" x14ac:dyDescent="0.25">
      <c r="A8995" t="s">
        <v>2423</v>
      </c>
      <c r="B8995" t="s">
        <v>10614</v>
      </c>
    </row>
    <row r="8996" spans="1:2" x14ac:dyDescent="0.25">
      <c r="A8996" t="s">
        <v>1099</v>
      </c>
      <c r="B8996" t="s">
        <v>10614</v>
      </c>
    </row>
    <row r="8997" spans="1:2" x14ac:dyDescent="0.25">
      <c r="A8997" t="s">
        <v>2424</v>
      </c>
      <c r="B8997" t="s">
        <v>10614</v>
      </c>
    </row>
    <row r="8998" spans="1:2" x14ac:dyDescent="0.25">
      <c r="A8998" t="s">
        <v>1101</v>
      </c>
      <c r="B8998" t="s">
        <v>10614</v>
      </c>
    </row>
    <row r="8999" spans="1:2" x14ac:dyDescent="0.25">
      <c r="A8999" t="s">
        <v>1102</v>
      </c>
      <c r="B8999" t="s">
        <v>10614</v>
      </c>
    </row>
    <row r="9000" spans="1:2" x14ac:dyDescent="0.25">
      <c r="A9000" t="s">
        <v>3302</v>
      </c>
      <c r="B9000" t="s">
        <v>10614</v>
      </c>
    </row>
    <row r="9001" spans="1:2" x14ac:dyDescent="0.25">
      <c r="A9001" t="s">
        <v>4290</v>
      </c>
      <c r="B9001" t="s">
        <v>10614</v>
      </c>
    </row>
    <row r="9002" spans="1:2" x14ac:dyDescent="0.25">
      <c r="A9002" t="s">
        <v>3819</v>
      </c>
      <c r="B9002" t="s">
        <v>10614</v>
      </c>
    </row>
    <row r="9003" spans="1:2" x14ac:dyDescent="0.25">
      <c r="A9003" t="s">
        <v>3312</v>
      </c>
      <c r="B9003" t="s">
        <v>10614</v>
      </c>
    </row>
    <row r="9004" spans="1:2" x14ac:dyDescent="0.25">
      <c r="A9004" t="s">
        <v>1932</v>
      </c>
      <c r="B9004" t="s">
        <v>10614</v>
      </c>
    </row>
    <row r="9005" spans="1:2" x14ac:dyDescent="0.25">
      <c r="A9005" t="s">
        <v>3313</v>
      </c>
      <c r="B9005" t="s">
        <v>10614</v>
      </c>
    </row>
    <row r="9006" spans="1:2" x14ac:dyDescent="0.25">
      <c r="A9006" t="s">
        <v>3314</v>
      </c>
      <c r="B9006" t="s">
        <v>10614</v>
      </c>
    </row>
    <row r="9007" spans="1:2" x14ac:dyDescent="0.25">
      <c r="A9007" t="s">
        <v>2881</v>
      </c>
      <c r="B9007" t="s">
        <v>10614</v>
      </c>
    </row>
    <row r="9008" spans="1:2" x14ac:dyDescent="0.25">
      <c r="A9008" t="s">
        <v>1933</v>
      </c>
      <c r="B9008" t="s">
        <v>10614</v>
      </c>
    </row>
    <row r="9009" spans="1:2" x14ac:dyDescent="0.25">
      <c r="A9009" t="s">
        <v>3315</v>
      </c>
      <c r="B9009" t="s">
        <v>10614</v>
      </c>
    </row>
    <row r="9010" spans="1:2" x14ac:dyDescent="0.25">
      <c r="A9010" t="s">
        <v>3316</v>
      </c>
      <c r="B9010" t="s">
        <v>10614</v>
      </c>
    </row>
    <row r="9011" spans="1:2" x14ac:dyDescent="0.25">
      <c r="A9011" t="s">
        <v>2882</v>
      </c>
      <c r="B9011" t="s">
        <v>10614</v>
      </c>
    </row>
    <row r="9012" spans="1:2" x14ac:dyDescent="0.25">
      <c r="A9012" t="s">
        <v>2442</v>
      </c>
      <c r="B9012" t="s">
        <v>10614</v>
      </c>
    </row>
    <row r="9013" spans="1:2" x14ac:dyDescent="0.25">
      <c r="A9013" t="s">
        <v>2886</v>
      </c>
      <c r="B9013" t="s">
        <v>10614</v>
      </c>
    </row>
    <row r="9014" spans="1:2" x14ac:dyDescent="0.25">
      <c r="A9014" t="s">
        <v>3820</v>
      </c>
      <c r="B9014" t="s">
        <v>10614</v>
      </c>
    </row>
    <row r="9015" spans="1:2" x14ac:dyDescent="0.25">
      <c r="A9015" t="s">
        <v>2887</v>
      </c>
      <c r="B9015" t="s">
        <v>10614</v>
      </c>
    </row>
    <row r="9016" spans="1:2" x14ac:dyDescent="0.25">
      <c r="A9016" t="s">
        <v>1936</v>
      </c>
      <c r="B9016" t="s">
        <v>10614</v>
      </c>
    </row>
    <row r="9017" spans="1:2" x14ac:dyDescent="0.25">
      <c r="A9017" t="s">
        <v>3320</v>
      </c>
      <c r="B9017" t="s">
        <v>10614</v>
      </c>
    </row>
    <row r="9018" spans="1:2" x14ac:dyDescent="0.25">
      <c r="A9018" t="s">
        <v>2444</v>
      </c>
      <c r="B9018" t="s">
        <v>10614</v>
      </c>
    </row>
    <row r="9019" spans="1:2" x14ac:dyDescent="0.25">
      <c r="A9019" t="s">
        <v>2888</v>
      </c>
      <c r="B9019" t="s">
        <v>10614</v>
      </c>
    </row>
    <row r="9020" spans="1:2" x14ac:dyDescent="0.25">
      <c r="A9020" t="s">
        <v>2445</v>
      </c>
      <c r="B9020" t="s">
        <v>10614</v>
      </c>
    </row>
    <row r="9021" spans="1:2" x14ac:dyDescent="0.25">
      <c r="A9021" t="s">
        <v>12498</v>
      </c>
      <c r="B9021" t="s">
        <v>7222</v>
      </c>
    </row>
    <row r="9022" spans="1:2" x14ac:dyDescent="0.25">
      <c r="A9022" t="s">
        <v>1915</v>
      </c>
      <c r="B9022" t="s">
        <v>12498</v>
      </c>
    </row>
    <row r="9023" spans="1:2" x14ac:dyDescent="0.25">
      <c r="A9023" t="s">
        <v>3810</v>
      </c>
      <c r="B9023" t="s">
        <v>12498</v>
      </c>
    </row>
    <row r="9024" spans="1:2" x14ac:dyDescent="0.25">
      <c r="A9024" t="s">
        <v>4465</v>
      </c>
      <c r="B9024" t="s">
        <v>12498</v>
      </c>
    </row>
    <row r="9025" spans="1:2" x14ac:dyDescent="0.25">
      <c r="A9025" t="s">
        <v>2157</v>
      </c>
      <c r="B9025" t="s">
        <v>12498</v>
      </c>
    </row>
    <row r="9026" spans="1:2" x14ac:dyDescent="0.25">
      <c r="A9026" t="s">
        <v>9206</v>
      </c>
      <c r="B9026" t="s">
        <v>7222</v>
      </c>
    </row>
    <row r="9027" spans="1:2" x14ac:dyDescent="0.25">
      <c r="A9027" t="s">
        <v>7719</v>
      </c>
      <c r="B9027" t="s">
        <v>9206</v>
      </c>
    </row>
    <row r="9028" spans="1:2" x14ac:dyDescent="0.25">
      <c r="A9028" t="s">
        <v>1630</v>
      </c>
      <c r="B9028" t="s">
        <v>6546</v>
      </c>
    </row>
    <row r="9029" spans="1:2" x14ac:dyDescent="0.25">
      <c r="A9029" t="s">
        <v>340</v>
      </c>
      <c r="B9029" t="s">
        <v>1630</v>
      </c>
    </row>
    <row r="9030" spans="1:2" x14ac:dyDescent="0.25">
      <c r="A9030" t="s">
        <v>6054</v>
      </c>
      <c r="B9030" t="s">
        <v>340</v>
      </c>
    </row>
    <row r="9031" spans="1:2" x14ac:dyDescent="0.25">
      <c r="A9031" t="s">
        <v>12271</v>
      </c>
      <c r="B9031" t="s">
        <v>6054</v>
      </c>
    </row>
    <row r="9032" spans="1:2" x14ac:dyDescent="0.25">
      <c r="A9032" t="s">
        <v>11750</v>
      </c>
      <c r="B9032" t="s">
        <v>6054</v>
      </c>
    </row>
    <row r="9033" spans="1:2" x14ac:dyDescent="0.25">
      <c r="A9033" t="s">
        <v>7725</v>
      </c>
      <c r="B9033" t="s">
        <v>340</v>
      </c>
    </row>
    <row r="9034" spans="1:2" x14ac:dyDescent="0.25">
      <c r="A9034" t="s">
        <v>97</v>
      </c>
      <c r="B9034" t="s">
        <v>7725</v>
      </c>
    </row>
    <row r="9035" spans="1:2" x14ac:dyDescent="0.25">
      <c r="A9035" t="s">
        <v>573</v>
      </c>
      <c r="B9035" t="s">
        <v>97</v>
      </c>
    </row>
    <row r="9036" spans="1:2" x14ac:dyDescent="0.25">
      <c r="A9036" t="s">
        <v>5164</v>
      </c>
      <c r="B9036" t="s">
        <v>97</v>
      </c>
    </row>
    <row r="9037" spans="1:2" x14ac:dyDescent="0.25">
      <c r="A9037" t="s">
        <v>3729</v>
      </c>
      <c r="B9037" t="s">
        <v>97</v>
      </c>
    </row>
    <row r="9038" spans="1:2" x14ac:dyDescent="0.25">
      <c r="A9038" t="s">
        <v>3234</v>
      </c>
      <c r="B9038" t="s">
        <v>7725</v>
      </c>
    </row>
    <row r="9039" spans="1:2" x14ac:dyDescent="0.25">
      <c r="A9039" t="s">
        <v>2428</v>
      </c>
      <c r="B9039" t="s">
        <v>7725</v>
      </c>
    </row>
    <row r="9040" spans="1:2" x14ac:dyDescent="0.25">
      <c r="A9040" t="s">
        <v>9113</v>
      </c>
      <c r="B9040" t="s">
        <v>7725</v>
      </c>
    </row>
    <row r="9041" spans="1:2" x14ac:dyDescent="0.25">
      <c r="A9041" t="s">
        <v>8811</v>
      </c>
      <c r="B9041" t="s">
        <v>7725</v>
      </c>
    </row>
    <row r="9042" spans="1:2" x14ac:dyDescent="0.25">
      <c r="A9042" t="s">
        <v>2162</v>
      </c>
      <c r="B9042" t="s">
        <v>7725</v>
      </c>
    </row>
    <row r="9043" spans="1:2" x14ac:dyDescent="0.25">
      <c r="A9043" t="s">
        <v>5352</v>
      </c>
      <c r="B9043" t="s">
        <v>7725</v>
      </c>
    </row>
    <row r="9044" spans="1:2" x14ac:dyDescent="0.25">
      <c r="A9044" t="s">
        <v>2764</v>
      </c>
      <c r="B9044" t="s">
        <v>5352</v>
      </c>
    </row>
    <row r="9045" spans="1:2" x14ac:dyDescent="0.25">
      <c r="A9045" t="s">
        <v>6145</v>
      </c>
      <c r="B9045" t="s">
        <v>5352</v>
      </c>
    </row>
    <row r="9046" spans="1:2" x14ac:dyDescent="0.25">
      <c r="A9046" t="s">
        <v>5753</v>
      </c>
      <c r="B9046" t="s">
        <v>5352</v>
      </c>
    </row>
    <row r="9047" spans="1:2" x14ac:dyDescent="0.25">
      <c r="A9047" t="s">
        <v>13196</v>
      </c>
      <c r="B9047" t="s">
        <v>6546</v>
      </c>
    </row>
    <row r="9048" spans="1:2" x14ac:dyDescent="0.25">
      <c r="A9048" t="s">
        <v>7115</v>
      </c>
      <c r="B9048" t="s">
        <v>13196</v>
      </c>
    </row>
    <row r="9049" spans="1:2" x14ac:dyDescent="0.25">
      <c r="A9049" t="s">
        <v>4715</v>
      </c>
      <c r="B9049" t="s">
        <v>7115</v>
      </c>
    </row>
    <row r="9050" spans="1:2" x14ac:dyDescent="0.25">
      <c r="A9050" t="s">
        <v>2324</v>
      </c>
      <c r="B9050" t="s">
        <v>4715</v>
      </c>
    </row>
    <row r="9051" spans="1:2" x14ac:dyDescent="0.25">
      <c r="A9051" t="s">
        <v>549</v>
      </c>
      <c r="B9051" t="s">
        <v>4715</v>
      </c>
    </row>
    <row r="9052" spans="1:2" x14ac:dyDescent="0.25">
      <c r="A9052" t="s">
        <v>550</v>
      </c>
      <c r="B9052" t="s">
        <v>4715</v>
      </c>
    </row>
    <row r="9053" spans="1:2" x14ac:dyDescent="0.25">
      <c r="A9053" t="s">
        <v>551</v>
      </c>
      <c r="B9053" t="s">
        <v>4715</v>
      </c>
    </row>
    <row r="9054" spans="1:2" x14ac:dyDescent="0.25">
      <c r="A9054" t="s">
        <v>1744</v>
      </c>
      <c r="B9054" t="s">
        <v>4715</v>
      </c>
    </row>
    <row r="9055" spans="1:2" x14ac:dyDescent="0.25">
      <c r="A9055" t="s">
        <v>6930</v>
      </c>
      <c r="B9055" t="s">
        <v>4715</v>
      </c>
    </row>
    <row r="9056" spans="1:2" x14ac:dyDescent="0.25">
      <c r="A9056" t="s">
        <v>5580</v>
      </c>
      <c r="B9056" t="s">
        <v>4715</v>
      </c>
    </row>
    <row r="9057" spans="1:2" x14ac:dyDescent="0.25">
      <c r="A9057" t="s">
        <v>12474</v>
      </c>
      <c r="B9057" t="s">
        <v>7115</v>
      </c>
    </row>
    <row r="9058" spans="1:2" x14ac:dyDescent="0.25">
      <c r="A9058" t="s">
        <v>9557</v>
      </c>
      <c r="B9058" t="s">
        <v>12474</v>
      </c>
    </row>
    <row r="9059" spans="1:2" x14ac:dyDescent="0.25">
      <c r="A9059" t="s">
        <v>9618</v>
      </c>
      <c r="B9059" t="s">
        <v>12474</v>
      </c>
    </row>
    <row r="9060" spans="1:2" x14ac:dyDescent="0.25">
      <c r="A9060" t="s">
        <v>4486</v>
      </c>
      <c r="B9060" t="s">
        <v>12474</v>
      </c>
    </row>
    <row r="9061" spans="1:2" x14ac:dyDescent="0.25">
      <c r="A9061" t="s">
        <v>11749</v>
      </c>
      <c r="B9061" t="s">
        <v>7115</v>
      </c>
    </row>
    <row r="9062" spans="1:2" x14ac:dyDescent="0.25">
      <c r="A9062" t="s">
        <v>12475</v>
      </c>
      <c r="B9062" t="s">
        <v>11749</v>
      </c>
    </row>
    <row r="9063" spans="1:2" x14ac:dyDescent="0.25">
      <c r="A9063" t="s">
        <v>12476</v>
      </c>
      <c r="B9063" t="s">
        <v>7115</v>
      </c>
    </row>
    <row r="9064" spans="1:2" x14ac:dyDescent="0.25">
      <c r="A9064" t="s">
        <v>12825</v>
      </c>
      <c r="B9064" t="s">
        <v>12476</v>
      </c>
    </row>
    <row r="9065" spans="1:2" x14ac:dyDescent="0.25">
      <c r="A9065" t="s">
        <v>12826</v>
      </c>
      <c r="B9065" t="s">
        <v>12476</v>
      </c>
    </row>
    <row r="9066" spans="1:2" x14ac:dyDescent="0.25">
      <c r="A9066" t="s">
        <v>7858</v>
      </c>
      <c r="B9066" t="s">
        <v>7115</v>
      </c>
    </row>
    <row r="9067" spans="1:2" x14ac:dyDescent="0.25">
      <c r="A9067" t="s">
        <v>3294</v>
      </c>
      <c r="B9067" t="s">
        <v>13196</v>
      </c>
    </row>
    <row r="9068" spans="1:2" x14ac:dyDescent="0.25">
      <c r="A9068" t="s">
        <v>2737</v>
      </c>
      <c r="B9068" t="s">
        <v>3294</v>
      </c>
    </row>
    <row r="9069" spans="1:2" x14ac:dyDescent="0.25">
      <c r="A9069" t="s">
        <v>1905</v>
      </c>
      <c r="B9069" t="s">
        <v>3294</v>
      </c>
    </row>
    <row r="9070" spans="1:2" x14ac:dyDescent="0.25">
      <c r="A9070" t="s">
        <v>7116</v>
      </c>
      <c r="B9070" t="s">
        <v>3294</v>
      </c>
    </row>
    <row r="9071" spans="1:2" x14ac:dyDescent="0.25">
      <c r="A9071" t="s">
        <v>4891</v>
      </c>
      <c r="B9071" t="s">
        <v>3294</v>
      </c>
    </row>
    <row r="9072" spans="1:2" x14ac:dyDescent="0.25">
      <c r="A9072" t="s">
        <v>14960</v>
      </c>
      <c r="B9072" t="s">
        <v>6546</v>
      </c>
    </row>
    <row r="9073" spans="1:2" x14ac:dyDescent="0.25">
      <c r="A9073" t="s">
        <v>10943</v>
      </c>
      <c r="B9073" t="s">
        <v>14960</v>
      </c>
    </row>
    <row r="9074" spans="1:2" x14ac:dyDescent="0.25">
      <c r="A9074" t="s">
        <v>11913</v>
      </c>
      <c r="B9074" t="s">
        <v>10943</v>
      </c>
    </row>
    <row r="9075" spans="1:2" x14ac:dyDescent="0.25">
      <c r="A9075" t="s">
        <v>1907</v>
      </c>
      <c r="B9075" t="s">
        <v>11913</v>
      </c>
    </row>
    <row r="9076" spans="1:2" x14ac:dyDescent="0.25">
      <c r="A9076" t="s">
        <v>2418</v>
      </c>
      <c r="B9076" t="s">
        <v>11913</v>
      </c>
    </row>
    <row r="9077" spans="1:2" x14ac:dyDescent="0.25">
      <c r="A9077" t="s">
        <v>2860</v>
      </c>
      <c r="B9077" t="s">
        <v>11913</v>
      </c>
    </row>
    <row r="9078" spans="1:2" x14ac:dyDescent="0.25">
      <c r="A9078" t="s">
        <v>1909</v>
      </c>
      <c r="B9078" t="s">
        <v>11913</v>
      </c>
    </row>
    <row r="9079" spans="1:2" x14ac:dyDescent="0.25">
      <c r="A9079" t="s">
        <v>1098</v>
      </c>
      <c r="B9079" t="s">
        <v>11913</v>
      </c>
    </row>
    <row r="9080" spans="1:2" x14ac:dyDescent="0.25">
      <c r="A9080" t="s">
        <v>1612</v>
      </c>
      <c r="B9080" t="s">
        <v>11913</v>
      </c>
    </row>
    <row r="9081" spans="1:2" x14ac:dyDescent="0.25">
      <c r="A9081" t="s">
        <v>11914</v>
      </c>
      <c r="B9081" t="s">
        <v>10943</v>
      </c>
    </row>
    <row r="9082" spans="1:2" x14ac:dyDescent="0.25">
      <c r="A9082" t="s">
        <v>1095</v>
      </c>
      <c r="B9082" t="s">
        <v>11914</v>
      </c>
    </row>
    <row r="9083" spans="1:2" x14ac:dyDescent="0.25">
      <c r="A9083" t="s">
        <v>2417</v>
      </c>
      <c r="B9083" t="s">
        <v>11914</v>
      </c>
    </row>
    <row r="9084" spans="1:2" x14ac:dyDescent="0.25">
      <c r="A9084" t="s">
        <v>1097</v>
      </c>
      <c r="B9084" t="s">
        <v>11914</v>
      </c>
    </row>
    <row r="9085" spans="1:2" x14ac:dyDescent="0.25">
      <c r="A9085" t="s">
        <v>2419</v>
      </c>
      <c r="B9085" t="s">
        <v>11914</v>
      </c>
    </row>
    <row r="9086" spans="1:2" x14ac:dyDescent="0.25">
      <c r="A9086" t="s">
        <v>3296</v>
      </c>
      <c r="B9086" t="s">
        <v>11914</v>
      </c>
    </row>
    <row r="9087" spans="1:2" x14ac:dyDescent="0.25">
      <c r="A9087" t="s">
        <v>3297</v>
      </c>
      <c r="B9087" t="s">
        <v>11914</v>
      </c>
    </row>
    <row r="9088" spans="1:2" x14ac:dyDescent="0.25">
      <c r="A9088" t="s">
        <v>2861</v>
      </c>
      <c r="B9088" t="s">
        <v>11914</v>
      </c>
    </row>
    <row r="9089" spans="1:2" x14ac:dyDescent="0.25">
      <c r="A9089" t="s">
        <v>1910</v>
      </c>
      <c r="B9089" t="s">
        <v>11914</v>
      </c>
    </row>
    <row r="9090" spans="1:2" x14ac:dyDescent="0.25">
      <c r="A9090" t="s">
        <v>2862</v>
      </c>
      <c r="B9090" t="s">
        <v>11914</v>
      </c>
    </row>
    <row r="9091" spans="1:2" x14ac:dyDescent="0.25">
      <c r="A9091" t="s">
        <v>2420</v>
      </c>
      <c r="B9091" t="s">
        <v>11914</v>
      </c>
    </row>
    <row r="9092" spans="1:2" x14ac:dyDescent="0.25">
      <c r="A9092" t="s">
        <v>2421</v>
      </c>
      <c r="B9092" t="s">
        <v>11914</v>
      </c>
    </row>
    <row r="9093" spans="1:2" x14ac:dyDescent="0.25">
      <c r="A9093" t="s">
        <v>3464</v>
      </c>
      <c r="B9093" t="s">
        <v>11914</v>
      </c>
    </row>
    <row r="9094" spans="1:2" x14ac:dyDescent="0.25">
      <c r="A9094" t="s">
        <v>11551</v>
      </c>
      <c r="B9094" t="s">
        <v>10943</v>
      </c>
    </row>
    <row r="9095" spans="1:2" x14ac:dyDescent="0.25">
      <c r="A9095" t="s">
        <v>8724</v>
      </c>
      <c r="B9095" t="s">
        <v>11551</v>
      </c>
    </row>
    <row r="9096" spans="1:2" x14ac:dyDescent="0.25">
      <c r="A9096" t="s">
        <v>10944</v>
      </c>
      <c r="B9096" t="s">
        <v>14960</v>
      </c>
    </row>
    <row r="9097" spans="1:2" x14ac:dyDescent="0.25">
      <c r="A9097" t="s">
        <v>11915</v>
      </c>
      <c r="B9097" t="s">
        <v>10944</v>
      </c>
    </row>
    <row r="9098" spans="1:2" x14ac:dyDescent="0.25">
      <c r="A9098" t="s">
        <v>5225</v>
      </c>
      <c r="B9098" t="s">
        <v>11915</v>
      </c>
    </row>
    <row r="9099" spans="1:2" x14ac:dyDescent="0.25">
      <c r="A9099" t="s">
        <v>2425</v>
      </c>
      <c r="B9099" t="s">
        <v>11915</v>
      </c>
    </row>
    <row r="9100" spans="1:2" x14ac:dyDescent="0.25">
      <c r="A9100" t="s">
        <v>7121</v>
      </c>
      <c r="B9100" t="s">
        <v>11915</v>
      </c>
    </row>
    <row r="9101" spans="1:2" x14ac:dyDescent="0.25">
      <c r="A9101" t="s">
        <v>1912</v>
      </c>
      <c r="B9101" t="s">
        <v>11915</v>
      </c>
    </row>
    <row r="9102" spans="1:2" x14ac:dyDescent="0.25">
      <c r="A9102" t="s">
        <v>3011</v>
      </c>
      <c r="B9102" t="s">
        <v>11915</v>
      </c>
    </row>
    <row r="9103" spans="1:2" x14ac:dyDescent="0.25">
      <c r="A9103" t="s">
        <v>11916</v>
      </c>
      <c r="B9103" t="s">
        <v>10944</v>
      </c>
    </row>
    <row r="9104" spans="1:2" x14ac:dyDescent="0.25">
      <c r="A9104" t="s">
        <v>1100</v>
      </c>
      <c r="B9104" t="s">
        <v>11916</v>
      </c>
    </row>
    <row r="9105" spans="1:2" x14ac:dyDescent="0.25">
      <c r="A9105" t="s">
        <v>3300</v>
      </c>
      <c r="B9105" t="s">
        <v>11916</v>
      </c>
    </row>
    <row r="9106" spans="1:2" x14ac:dyDescent="0.25">
      <c r="A9106" t="s">
        <v>4784</v>
      </c>
      <c r="B9106" t="s">
        <v>11916</v>
      </c>
    </row>
    <row r="9107" spans="1:2" x14ac:dyDescent="0.25">
      <c r="A9107" t="s">
        <v>4289</v>
      </c>
      <c r="B9107" t="s">
        <v>11916</v>
      </c>
    </row>
    <row r="9108" spans="1:2" x14ac:dyDescent="0.25">
      <c r="A9108" t="s">
        <v>3809</v>
      </c>
      <c r="B9108" t="s">
        <v>11916</v>
      </c>
    </row>
    <row r="9109" spans="1:2" x14ac:dyDescent="0.25">
      <c r="A9109" t="s">
        <v>2864</v>
      </c>
      <c r="B9109" t="s">
        <v>11916</v>
      </c>
    </row>
    <row r="9110" spans="1:2" x14ac:dyDescent="0.25">
      <c r="A9110" t="s">
        <v>2426</v>
      </c>
      <c r="B9110" t="s">
        <v>11916</v>
      </c>
    </row>
    <row r="9111" spans="1:2" x14ac:dyDescent="0.25">
      <c r="A9111" t="s">
        <v>2427</v>
      </c>
      <c r="B9111" t="s">
        <v>11916</v>
      </c>
    </row>
    <row r="9112" spans="1:2" x14ac:dyDescent="0.25">
      <c r="A9112" t="s">
        <v>3301</v>
      </c>
      <c r="B9112" t="s">
        <v>11916</v>
      </c>
    </row>
    <row r="9113" spans="1:2" x14ac:dyDescent="0.25">
      <c r="A9113" t="s">
        <v>1913</v>
      </c>
      <c r="B9113" t="s">
        <v>11916</v>
      </c>
    </row>
    <row r="9114" spans="1:2" x14ac:dyDescent="0.25">
      <c r="A9114" t="s">
        <v>1914</v>
      </c>
      <c r="B9114" t="s">
        <v>11916</v>
      </c>
    </row>
    <row r="9115" spans="1:2" x14ac:dyDescent="0.25">
      <c r="A9115" t="s">
        <v>11552</v>
      </c>
      <c r="B9115" t="s">
        <v>10944</v>
      </c>
    </row>
    <row r="9116" spans="1:2" x14ac:dyDescent="0.25">
      <c r="A9116" t="s">
        <v>8812</v>
      </c>
      <c r="B9116" t="s">
        <v>11552</v>
      </c>
    </row>
    <row r="9117" spans="1:2" x14ac:dyDescent="0.25">
      <c r="A9117" t="s">
        <v>14961</v>
      </c>
      <c r="B9117" t="s">
        <v>6546</v>
      </c>
    </row>
    <row r="9118" spans="1:2" x14ac:dyDescent="0.25">
      <c r="A9118" t="s">
        <v>14962</v>
      </c>
      <c r="B9118" t="s">
        <v>6546</v>
      </c>
    </row>
    <row r="9119" spans="1:2" x14ac:dyDescent="0.25">
      <c r="A9119" t="s">
        <v>14963</v>
      </c>
      <c r="B9119" t="s">
        <v>6546</v>
      </c>
    </row>
    <row r="9120" spans="1:2" x14ac:dyDescent="0.25">
      <c r="A9120" t="s">
        <v>14964</v>
      </c>
      <c r="B9120" t="s">
        <v>6546</v>
      </c>
    </row>
    <row r="9121" spans="1:2" x14ac:dyDescent="0.25">
      <c r="A9121" t="s">
        <v>13195</v>
      </c>
      <c r="B9121" t="s">
        <v>14964</v>
      </c>
    </row>
    <row r="9122" spans="1:2" x14ac:dyDescent="0.25">
      <c r="A9122" t="s">
        <v>10921</v>
      </c>
      <c r="B9122" t="s">
        <v>13195</v>
      </c>
    </row>
    <row r="9123" spans="1:2" x14ac:dyDescent="0.25">
      <c r="A9123" t="s">
        <v>3718</v>
      </c>
      <c r="B9123" t="s">
        <v>10921</v>
      </c>
    </row>
    <row r="9124" spans="1:2" x14ac:dyDescent="0.25">
      <c r="A9124" t="s">
        <v>5579</v>
      </c>
      <c r="B9124" t="s">
        <v>10921</v>
      </c>
    </row>
    <row r="9125" spans="1:2" x14ac:dyDescent="0.25">
      <c r="A9125" t="s">
        <v>3211</v>
      </c>
      <c r="B9125" t="s">
        <v>5579</v>
      </c>
    </row>
    <row r="9126" spans="1:2" x14ac:dyDescent="0.25">
      <c r="A9126" t="s">
        <v>3212</v>
      </c>
      <c r="B9126" t="s">
        <v>5579</v>
      </c>
    </row>
    <row r="9127" spans="1:2" x14ac:dyDescent="0.25">
      <c r="A9127" t="s">
        <v>544</v>
      </c>
      <c r="B9127" t="s">
        <v>5579</v>
      </c>
    </row>
    <row r="9128" spans="1:2" x14ac:dyDescent="0.25">
      <c r="A9128" t="s">
        <v>1488</v>
      </c>
      <c r="B9128" t="s">
        <v>5579</v>
      </c>
    </row>
    <row r="9129" spans="1:2" x14ac:dyDescent="0.25">
      <c r="A9129" t="s">
        <v>8246</v>
      </c>
      <c r="B9129" t="s">
        <v>10921</v>
      </c>
    </row>
    <row r="9130" spans="1:2" x14ac:dyDescent="0.25">
      <c r="A9130" t="s">
        <v>5992</v>
      </c>
      <c r="B9130" t="s">
        <v>8246</v>
      </c>
    </row>
    <row r="9131" spans="1:2" x14ac:dyDescent="0.25">
      <c r="A9131" t="s">
        <v>2736</v>
      </c>
      <c r="B9131" t="s">
        <v>8246</v>
      </c>
    </row>
    <row r="9132" spans="1:2" x14ac:dyDescent="0.25">
      <c r="A9132" t="s">
        <v>1739</v>
      </c>
      <c r="B9132" t="s">
        <v>8246</v>
      </c>
    </row>
    <row r="9133" spans="1:2" x14ac:dyDescent="0.25">
      <c r="A9133" t="s">
        <v>3719</v>
      </c>
      <c r="B9133" t="s">
        <v>10921</v>
      </c>
    </row>
    <row r="9134" spans="1:2" x14ac:dyDescent="0.25">
      <c r="A9134" t="s">
        <v>545</v>
      </c>
      <c r="B9134" t="s">
        <v>3719</v>
      </c>
    </row>
    <row r="9135" spans="1:2" x14ac:dyDescent="0.25">
      <c r="A9135" t="s">
        <v>1740</v>
      </c>
      <c r="B9135" t="s">
        <v>3719</v>
      </c>
    </row>
    <row r="9136" spans="1:2" x14ac:dyDescent="0.25">
      <c r="A9136" t="s">
        <v>1741</v>
      </c>
      <c r="B9136" t="s">
        <v>3719</v>
      </c>
    </row>
    <row r="9137" spans="1:2" x14ac:dyDescent="0.25">
      <c r="A9137" t="s">
        <v>5143</v>
      </c>
      <c r="B9137" t="s">
        <v>10921</v>
      </c>
    </row>
    <row r="9138" spans="1:2" x14ac:dyDescent="0.25">
      <c r="A9138" t="s">
        <v>546</v>
      </c>
      <c r="B9138" t="s">
        <v>5143</v>
      </c>
    </row>
    <row r="9139" spans="1:2" x14ac:dyDescent="0.25">
      <c r="A9139" t="s">
        <v>547</v>
      </c>
      <c r="B9139" t="s">
        <v>5143</v>
      </c>
    </row>
    <row r="9140" spans="1:2" x14ac:dyDescent="0.25">
      <c r="A9140" t="s">
        <v>548</v>
      </c>
      <c r="B9140" t="s">
        <v>5143</v>
      </c>
    </row>
    <row r="9141" spans="1:2" x14ac:dyDescent="0.25">
      <c r="A9141" t="s">
        <v>8682</v>
      </c>
      <c r="B9141" t="s">
        <v>10921</v>
      </c>
    </row>
    <row r="9142" spans="1:2" x14ac:dyDescent="0.25">
      <c r="A9142" t="s">
        <v>5993</v>
      </c>
      <c r="B9142" t="s">
        <v>8682</v>
      </c>
    </row>
    <row r="9143" spans="1:2" x14ac:dyDescent="0.25">
      <c r="A9143" t="s">
        <v>1742</v>
      </c>
      <c r="B9143" t="s">
        <v>8682</v>
      </c>
    </row>
    <row r="9144" spans="1:2" x14ac:dyDescent="0.25">
      <c r="A9144" t="s">
        <v>1743</v>
      </c>
      <c r="B9144" t="s">
        <v>8682</v>
      </c>
    </row>
    <row r="9145" spans="1:2" x14ac:dyDescent="0.25">
      <c r="A9145" t="s">
        <v>9536</v>
      </c>
      <c r="B9145" t="s">
        <v>13195</v>
      </c>
    </row>
    <row r="9146" spans="1:2" x14ac:dyDescent="0.25">
      <c r="A9146" t="s">
        <v>3247</v>
      </c>
      <c r="B9146" t="s">
        <v>9536</v>
      </c>
    </row>
    <row r="9147" spans="1:2" x14ac:dyDescent="0.25">
      <c r="A9147" t="s">
        <v>6502</v>
      </c>
      <c r="B9147" t="s">
        <v>9536</v>
      </c>
    </row>
    <row r="9148" spans="1:2" x14ac:dyDescent="0.25">
      <c r="A9148" t="s">
        <v>9888</v>
      </c>
      <c r="B9148" t="s">
        <v>9536</v>
      </c>
    </row>
    <row r="9149" spans="1:2" x14ac:dyDescent="0.25">
      <c r="A9149" t="s">
        <v>6503</v>
      </c>
      <c r="B9149" t="s">
        <v>9536</v>
      </c>
    </row>
    <row r="9150" spans="1:2" x14ac:dyDescent="0.25">
      <c r="A9150" t="s">
        <v>6504</v>
      </c>
      <c r="B9150" t="s">
        <v>9536</v>
      </c>
    </row>
    <row r="9151" spans="1:2" x14ac:dyDescent="0.25">
      <c r="A9151" t="s">
        <v>8704</v>
      </c>
      <c r="B9151" t="s">
        <v>9536</v>
      </c>
    </row>
    <row r="9152" spans="1:2" x14ac:dyDescent="0.25">
      <c r="A9152" t="s">
        <v>3248</v>
      </c>
      <c r="B9152" t="s">
        <v>9536</v>
      </c>
    </row>
    <row r="9153" spans="1:2" x14ac:dyDescent="0.25">
      <c r="A9153" t="s">
        <v>6956</v>
      </c>
      <c r="B9153" t="s">
        <v>9536</v>
      </c>
    </row>
    <row r="9154" spans="1:2" x14ac:dyDescent="0.25">
      <c r="A9154" t="s">
        <v>13194</v>
      </c>
      <c r="B9154" t="s">
        <v>14964</v>
      </c>
    </row>
    <row r="9155" spans="1:2" x14ac:dyDescent="0.25">
      <c r="A9155" t="s">
        <v>10941</v>
      </c>
      <c r="B9155" t="s">
        <v>13194</v>
      </c>
    </row>
    <row r="9156" spans="1:2" x14ac:dyDescent="0.25">
      <c r="A9156" t="s">
        <v>4780</v>
      </c>
      <c r="B9156" t="s">
        <v>10941</v>
      </c>
    </row>
    <row r="9157" spans="1:2" x14ac:dyDescent="0.25">
      <c r="A9157" t="s">
        <v>4781</v>
      </c>
      <c r="B9157" t="s">
        <v>10941</v>
      </c>
    </row>
    <row r="9158" spans="1:2" x14ac:dyDescent="0.25">
      <c r="A9158" t="s">
        <v>11911</v>
      </c>
      <c r="B9158" t="s">
        <v>10941</v>
      </c>
    </row>
    <row r="9159" spans="1:2" x14ac:dyDescent="0.25">
      <c r="A9159" t="s">
        <v>4792</v>
      </c>
      <c r="B9159" t="s">
        <v>13194</v>
      </c>
    </row>
    <row r="9160" spans="1:2" x14ac:dyDescent="0.25">
      <c r="A9160" t="s">
        <v>6550</v>
      </c>
      <c r="B9160" t="s">
        <v>4792</v>
      </c>
    </row>
    <row r="9161" spans="1:2" x14ac:dyDescent="0.25">
      <c r="A9161" t="s">
        <v>12270</v>
      </c>
      <c r="B9161" t="s">
        <v>4792</v>
      </c>
    </row>
    <row r="9162" spans="1:2" x14ac:dyDescent="0.25">
      <c r="A9162" t="s">
        <v>9630</v>
      </c>
      <c r="B9162" t="s">
        <v>4792</v>
      </c>
    </row>
    <row r="9163" spans="1:2" x14ac:dyDescent="0.25">
      <c r="A9163" t="s">
        <v>12477</v>
      </c>
      <c r="B9163" t="s">
        <v>9630</v>
      </c>
    </row>
    <row r="9164" spans="1:2" x14ac:dyDescent="0.25">
      <c r="A9164" t="s">
        <v>9228</v>
      </c>
      <c r="B9164" t="s">
        <v>4792</v>
      </c>
    </row>
    <row r="9165" spans="1:2" x14ac:dyDescent="0.25">
      <c r="A9165" t="s">
        <v>12297</v>
      </c>
      <c r="B9165" t="s">
        <v>9228</v>
      </c>
    </row>
    <row r="9166" spans="1:2" x14ac:dyDescent="0.25">
      <c r="A9166" t="s">
        <v>14965</v>
      </c>
      <c r="B9166" t="s">
        <v>6546</v>
      </c>
    </row>
    <row r="9167" spans="1:2" x14ac:dyDescent="0.25">
      <c r="A9167" t="s">
        <v>14966</v>
      </c>
      <c r="B9167" t="s">
        <v>14965</v>
      </c>
    </row>
    <row r="9168" spans="1:2" x14ac:dyDescent="0.25">
      <c r="A9168" t="s">
        <v>5374</v>
      </c>
      <c r="B9168" t="s">
        <v>14965</v>
      </c>
    </row>
    <row r="9169" spans="1:2" x14ac:dyDescent="0.25">
      <c r="A9169" t="s">
        <v>7118</v>
      </c>
      <c r="B9169" t="s">
        <v>6546</v>
      </c>
    </row>
    <row r="9170" spans="1:2" x14ac:dyDescent="0.25">
      <c r="A9170" t="s">
        <v>4288</v>
      </c>
      <c r="B9170" t="s">
        <v>7118</v>
      </c>
    </row>
    <row r="9171" spans="1:2" x14ac:dyDescent="0.25">
      <c r="A9171" t="s">
        <v>2415</v>
      </c>
      <c r="B9171" t="s">
        <v>7118</v>
      </c>
    </row>
    <row r="9172" spans="1:2" x14ac:dyDescent="0.25">
      <c r="A9172" t="s">
        <v>10942</v>
      </c>
      <c r="B9172" t="s">
        <v>7118</v>
      </c>
    </row>
    <row r="9173" spans="1:2" x14ac:dyDescent="0.25">
      <c r="A9173" t="s">
        <v>6146</v>
      </c>
      <c r="B9173" t="s">
        <v>7118</v>
      </c>
    </row>
    <row r="9174" spans="1:2" x14ac:dyDescent="0.25">
      <c r="A9174" t="s">
        <v>4903</v>
      </c>
      <c r="B9174" t="s">
        <v>7118</v>
      </c>
    </row>
    <row r="9175" spans="1:2" x14ac:dyDescent="0.25">
      <c r="A9175" t="s">
        <v>4892</v>
      </c>
      <c r="B9175" t="s">
        <v>4903</v>
      </c>
    </row>
    <row r="9176" spans="1:2" x14ac:dyDescent="0.25">
      <c r="A9176" t="s">
        <v>6147</v>
      </c>
      <c r="B9176" t="s">
        <v>4903</v>
      </c>
    </row>
    <row r="9177" spans="1:2" x14ac:dyDescent="0.25">
      <c r="A9177" t="s">
        <v>6148</v>
      </c>
      <c r="B9177" t="s">
        <v>4903</v>
      </c>
    </row>
    <row r="9178" spans="1:2" x14ac:dyDescent="0.25">
      <c r="A9178" t="s">
        <v>5727</v>
      </c>
      <c r="B9178" t="s">
        <v>4903</v>
      </c>
    </row>
    <row r="9179" spans="1:2" x14ac:dyDescent="0.25">
      <c r="A9179" t="s">
        <v>8726</v>
      </c>
      <c r="B9179" t="s">
        <v>6541</v>
      </c>
    </row>
    <row r="9180" spans="1:2" x14ac:dyDescent="0.25">
      <c r="A9180" t="s">
        <v>3209</v>
      </c>
      <c r="B9180" t="s">
        <v>8726</v>
      </c>
    </row>
    <row r="9181" spans="1:2" x14ac:dyDescent="0.25">
      <c r="A9181" t="s">
        <v>5142</v>
      </c>
      <c r="B9181" t="s">
        <v>8726</v>
      </c>
    </row>
    <row r="9182" spans="1:2" x14ac:dyDescent="0.25">
      <c r="A9182" t="s">
        <v>6955</v>
      </c>
      <c r="B9182" t="s">
        <v>8726</v>
      </c>
    </row>
    <row r="9183" spans="1:2" x14ac:dyDescent="0.25">
      <c r="A9183" t="s">
        <v>9088</v>
      </c>
      <c r="B9183" t="s">
        <v>6955</v>
      </c>
    </row>
    <row r="9184" spans="1:2" x14ac:dyDescent="0.25">
      <c r="A9184" t="s">
        <v>10926</v>
      </c>
      <c r="B9184" t="s">
        <v>6955</v>
      </c>
    </row>
    <row r="9185" spans="1:2" x14ac:dyDescent="0.25">
      <c r="A9185" t="s">
        <v>12263</v>
      </c>
      <c r="B9185" t="s">
        <v>6955</v>
      </c>
    </row>
    <row r="9186" spans="1:2" x14ac:dyDescent="0.25">
      <c r="A9186" t="s">
        <v>11227</v>
      </c>
      <c r="B9186" t="s">
        <v>6955</v>
      </c>
    </row>
    <row r="9187" spans="1:2" x14ac:dyDescent="0.25">
      <c r="A9187" t="s">
        <v>6019</v>
      </c>
      <c r="B9187" t="s">
        <v>6955</v>
      </c>
    </row>
    <row r="9188" spans="1:2" x14ac:dyDescent="0.25">
      <c r="A9188" t="s">
        <v>6020</v>
      </c>
      <c r="B9188" t="s">
        <v>6019</v>
      </c>
    </row>
    <row r="9189" spans="1:2" x14ac:dyDescent="0.25">
      <c r="A9189" t="s">
        <v>3748</v>
      </c>
      <c r="B9189" t="s">
        <v>6019</v>
      </c>
    </row>
    <row r="9190" spans="1:2" x14ac:dyDescent="0.25">
      <c r="A9190" t="s">
        <v>4734</v>
      </c>
      <c r="B9190" t="s">
        <v>6019</v>
      </c>
    </row>
    <row r="9191" spans="1:2" x14ac:dyDescent="0.25">
      <c r="A9191" t="s">
        <v>11498</v>
      </c>
      <c r="B9191" t="s">
        <v>6019</v>
      </c>
    </row>
    <row r="9192" spans="1:2" x14ac:dyDescent="0.25">
      <c r="A9192" t="s">
        <v>4735</v>
      </c>
      <c r="B9192" t="s">
        <v>6955</v>
      </c>
    </row>
    <row r="9193" spans="1:2" x14ac:dyDescent="0.25">
      <c r="A9193" t="s">
        <v>6055</v>
      </c>
      <c r="B9193" t="s">
        <v>8726</v>
      </c>
    </row>
    <row r="9194" spans="1:2" x14ac:dyDescent="0.25">
      <c r="A9194" t="s">
        <v>9114</v>
      </c>
      <c r="B9194" t="s">
        <v>8726</v>
      </c>
    </row>
    <row r="9195" spans="1:2" x14ac:dyDescent="0.25">
      <c r="A9195" t="s">
        <v>9559</v>
      </c>
      <c r="B9195" t="s">
        <v>9114</v>
      </c>
    </row>
    <row r="9196" spans="1:2" x14ac:dyDescent="0.25">
      <c r="A9196" t="s">
        <v>7122</v>
      </c>
      <c r="B9196" t="s">
        <v>9559</v>
      </c>
    </row>
    <row r="9197" spans="1:2" x14ac:dyDescent="0.25">
      <c r="A9197" t="s">
        <v>7726</v>
      </c>
      <c r="B9197" t="s">
        <v>9559</v>
      </c>
    </row>
    <row r="9198" spans="1:2" x14ac:dyDescent="0.25">
      <c r="A9198" t="s">
        <v>6056</v>
      </c>
      <c r="B9198" t="s">
        <v>9114</v>
      </c>
    </row>
    <row r="9199" spans="1:2" x14ac:dyDescent="0.25">
      <c r="A9199" t="s">
        <v>6552</v>
      </c>
      <c r="B9199" t="s">
        <v>6056</v>
      </c>
    </row>
    <row r="9200" spans="1:2" x14ac:dyDescent="0.25">
      <c r="A9200" t="s">
        <v>1110</v>
      </c>
      <c r="B9200" t="s">
        <v>6056</v>
      </c>
    </row>
    <row r="9201" spans="1:2" x14ac:dyDescent="0.25">
      <c r="A9201" t="s">
        <v>3822</v>
      </c>
      <c r="B9201" t="s">
        <v>6056</v>
      </c>
    </row>
    <row r="9202" spans="1:2" x14ac:dyDescent="0.25">
      <c r="A9202" t="s">
        <v>9560</v>
      </c>
      <c r="B9202" t="s">
        <v>6056</v>
      </c>
    </row>
    <row r="9203" spans="1:2" x14ac:dyDescent="0.25">
      <c r="A9203" t="s">
        <v>9115</v>
      </c>
      <c r="B9203" t="s">
        <v>9114</v>
      </c>
    </row>
    <row r="9204" spans="1:2" x14ac:dyDescent="0.25">
      <c r="A9204" t="s">
        <v>8727</v>
      </c>
      <c r="B9204" t="s">
        <v>9115</v>
      </c>
    </row>
    <row r="9205" spans="1:2" x14ac:dyDescent="0.25">
      <c r="A9205" t="s">
        <v>2889</v>
      </c>
      <c r="B9205" t="s">
        <v>9115</v>
      </c>
    </row>
    <row r="9206" spans="1:2" x14ac:dyDescent="0.25">
      <c r="A9206" t="s">
        <v>1111</v>
      </c>
      <c r="B9206" t="s">
        <v>9115</v>
      </c>
    </row>
    <row r="9207" spans="1:2" x14ac:dyDescent="0.25">
      <c r="A9207" t="s">
        <v>6057</v>
      </c>
      <c r="B9207" t="s">
        <v>9115</v>
      </c>
    </row>
    <row r="9208" spans="1:2" x14ac:dyDescent="0.25">
      <c r="A9208" t="s">
        <v>11751</v>
      </c>
      <c r="B9208" t="s">
        <v>9115</v>
      </c>
    </row>
    <row r="9209" spans="1:2" x14ac:dyDescent="0.25">
      <c r="A9209" t="s">
        <v>11509</v>
      </c>
      <c r="B9209" t="s">
        <v>9114</v>
      </c>
    </row>
    <row r="9210" spans="1:2" x14ac:dyDescent="0.25">
      <c r="A9210" t="s">
        <v>11241</v>
      </c>
      <c r="B9210" t="s">
        <v>9114</v>
      </c>
    </row>
    <row r="9211" spans="1:2" x14ac:dyDescent="0.25">
      <c r="A9211" t="s">
        <v>12299</v>
      </c>
      <c r="B9211" t="s">
        <v>9114</v>
      </c>
    </row>
    <row r="9212" spans="1:2" x14ac:dyDescent="0.25">
      <c r="A9212" t="s">
        <v>12507</v>
      </c>
      <c r="B9212" t="s">
        <v>12299</v>
      </c>
    </row>
    <row r="9213" spans="1:2" x14ac:dyDescent="0.25">
      <c r="A9213" t="s">
        <v>5749</v>
      </c>
      <c r="B9213" t="s">
        <v>9114</v>
      </c>
    </row>
    <row r="9214" spans="1:2" x14ac:dyDescent="0.25">
      <c r="A9214" t="s">
        <v>5766</v>
      </c>
      <c r="B9214" t="s">
        <v>5749</v>
      </c>
    </row>
    <row r="9215" spans="1:2" x14ac:dyDescent="0.25">
      <c r="A9215" t="s">
        <v>9631</v>
      </c>
      <c r="B9215" t="s">
        <v>9114</v>
      </c>
    </row>
    <row r="9216" spans="1:2" x14ac:dyDescent="0.25">
      <c r="A9216" t="s">
        <v>10156</v>
      </c>
      <c r="B9216" t="s">
        <v>9631</v>
      </c>
    </row>
    <row r="9217" spans="1:2" x14ac:dyDescent="0.25">
      <c r="A9217" t="s">
        <v>9632</v>
      </c>
      <c r="B9217" t="s">
        <v>9114</v>
      </c>
    </row>
    <row r="9218" spans="1:2" x14ac:dyDescent="0.25">
      <c r="A9218" t="s">
        <v>9659</v>
      </c>
      <c r="B9218" t="s">
        <v>9632</v>
      </c>
    </row>
    <row r="9219" spans="1:2" x14ac:dyDescent="0.25">
      <c r="A9219" t="s">
        <v>4794</v>
      </c>
      <c r="B9219" t="s">
        <v>9632</v>
      </c>
    </row>
    <row r="9220" spans="1:2" x14ac:dyDescent="0.25">
      <c r="A9220" t="s">
        <v>1114</v>
      </c>
      <c r="B9220" t="s">
        <v>8726</v>
      </c>
    </row>
    <row r="9221" spans="1:2" x14ac:dyDescent="0.25">
      <c r="A9221" t="s">
        <v>2890</v>
      </c>
      <c r="B9221" t="s">
        <v>1114</v>
      </c>
    </row>
    <row r="9222" spans="1:2" x14ac:dyDescent="0.25">
      <c r="A9222" t="s">
        <v>317</v>
      </c>
      <c r="B9222" t="s">
        <v>1114</v>
      </c>
    </row>
    <row r="9223" spans="1:2" x14ac:dyDescent="0.25">
      <c r="A9223" t="s">
        <v>2446</v>
      </c>
      <c r="B9223" t="s">
        <v>317</v>
      </c>
    </row>
    <row r="9224" spans="1:2" x14ac:dyDescent="0.25">
      <c r="A9224" t="s">
        <v>2891</v>
      </c>
      <c r="B9224" t="s">
        <v>317</v>
      </c>
    </row>
    <row r="9225" spans="1:2" x14ac:dyDescent="0.25">
      <c r="A9225" t="s">
        <v>3321</v>
      </c>
      <c r="B9225" t="s">
        <v>1114</v>
      </c>
    </row>
    <row r="9226" spans="1:2" x14ac:dyDescent="0.25">
      <c r="A9226" t="s">
        <v>6058</v>
      </c>
      <c r="B9226" t="s">
        <v>1114</v>
      </c>
    </row>
    <row r="9227" spans="1:2" x14ac:dyDescent="0.25">
      <c r="A9227" t="s">
        <v>1115</v>
      </c>
      <c r="B9227" t="s">
        <v>6058</v>
      </c>
    </row>
    <row r="9228" spans="1:2" x14ac:dyDescent="0.25">
      <c r="A9228" t="s">
        <v>11021</v>
      </c>
      <c r="B9228" t="s">
        <v>1114</v>
      </c>
    </row>
    <row r="9229" spans="1:2" x14ac:dyDescent="0.25">
      <c r="A9229" t="s">
        <v>1634</v>
      </c>
      <c r="B9229" t="s">
        <v>1114</v>
      </c>
    </row>
    <row r="9230" spans="1:2" x14ac:dyDescent="0.25">
      <c r="A9230" t="s">
        <v>2239</v>
      </c>
      <c r="B9230" t="s">
        <v>1114</v>
      </c>
    </row>
    <row r="9231" spans="1:2" x14ac:dyDescent="0.25">
      <c r="A9231" t="s">
        <v>4719</v>
      </c>
      <c r="B9231" t="s">
        <v>1114</v>
      </c>
    </row>
    <row r="9232" spans="1:2" x14ac:dyDescent="0.25">
      <c r="A9232" t="s">
        <v>6483</v>
      </c>
      <c r="B9232" t="s">
        <v>1114</v>
      </c>
    </row>
    <row r="9233" spans="1:2" x14ac:dyDescent="0.25">
      <c r="A9233" t="s">
        <v>6628</v>
      </c>
      <c r="B9233" t="s">
        <v>1114</v>
      </c>
    </row>
    <row r="9234" spans="1:2" x14ac:dyDescent="0.25">
      <c r="A9234" t="s">
        <v>9211</v>
      </c>
      <c r="B9234" t="s">
        <v>1114</v>
      </c>
    </row>
    <row r="9235" spans="1:2" x14ac:dyDescent="0.25">
      <c r="A9235" t="s">
        <v>11002</v>
      </c>
      <c r="B9235" t="s">
        <v>1114</v>
      </c>
    </row>
    <row r="9236" spans="1:2" x14ac:dyDescent="0.25">
      <c r="A9236" t="s">
        <v>6645</v>
      </c>
      <c r="B9236" t="s">
        <v>1114</v>
      </c>
    </row>
    <row r="9237" spans="1:2" x14ac:dyDescent="0.25">
      <c r="A9237" t="s">
        <v>9637</v>
      </c>
      <c r="B9237" t="s">
        <v>1114</v>
      </c>
    </row>
    <row r="9238" spans="1:2" x14ac:dyDescent="0.25">
      <c r="A9238" t="s">
        <v>11917</v>
      </c>
      <c r="B9238" t="s">
        <v>8726</v>
      </c>
    </row>
    <row r="9239" spans="1:2" x14ac:dyDescent="0.25">
      <c r="A9239" t="s">
        <v>5651</v>
      </c>
      <c r="B9239" t="s">
        <v>8726</v>
      </c>
    </row>
    <row r="9240" spans="1:2" x14ac:dyDescent="0.25">
      <c r="A9240" t="s">
        <v>3210</v>
      </c>
      <c r="B9240" t="s">
        <v>5651</v>
      </c>
    </row>
    <row r="9241" spans="1:2" x14ac:dyDescent="0.25">
      <c r="A9241" t="s">
        <v>543</v>
      </c>
      <c r="B9241" t="s">
        <v>3210</v>
      </c>
    </row>
    <row r="9242" spans="1:2" x14ac:dyDescent="0.25">
      <c r="A9242" t="s">
        <v>2321</v>
      </c>
      <c r="B9242" t="s">
        <v>3210</v>
      </c>
    </row>
    <row r="9243" spans="1:2" x14ac:dyDescent="0.25">
      <c r="A9243" t="s">
        <v>2322</v>
      </c>
      <c r="B9243" t="s">
        <v>3210</v>
      </c>
    </row>
    <row r="9244" spans="1:2" x14ac:dyDescent="0.25">
      <c r="A9244" t="s">
        <v>2323</v>
      </c>
      <c r="B9244" t="s">
        <v>3210</v>
      </c>
    </row>
    <row r="9245" spans="1:2" x14ac:dyDescent="0.25">
      <c r="A9245" t="s">
        <v>1738</v>
      </c>
      <c r="B9245" t="s">
        <v>3210</v>
      </c>
    </row>
    <row r="9246" spans="1:2" x14ac:dyDescent="0.25">
      <c r="A9246" t="s">
        <v>2580</v>
      </c>
      <c r="B9246" t="s">
        <v>3210</v>
      </c>
    </row>
    <row r="9247" spans="1:2" x14ac:dyDescent="0.25">
      <c r="A9247" t="s">
        <v>2164</v>
      </c>
      <c r="B9247" t="s">
        <v>3210</v>
      </c>
    </row>
    <row r="9248" spans="1:2" x14ac:dyDescent="0.25">
      <c r="A9248" t="s">
        <v>2165</v>
      </c>
      <c r="B9248" t="s">
        <v>3210</v>
      </c>
    </row>
    <row r="9249" spans="1:2" x14ac:dyDescent="0.25">
      <c r="A9249" t="s">
        <v>2447</v>
      </c>
      <c r="B9249" t="s">
        <v>5651</v>
      </c>
    </row>
    <row r="9250" spans="1:2" x14ac:dyDescent="0.25">
      <c r="A9250" t="s">
        <v>3322</v>
      </c>
      <c r="B9250" t="s">
        <v>5651</v>
      </c>
    </row>
    <row r="9251" spans="1:2" x14ac:dyDescent="0.25">
      <c r="A9251" t="s">
        <v>2448</v>
      </c>
      <c r="B9251" t="s">
        <v>5651</v>
      </c>
    </row>
    <row r="9252" spans="1:2" x14ac:dyDescent="0.25">
      <c r="A9252" t="s">
        <v>8296</v>
      </c>
      <c r="B9252" t="s">
        <v>5651</v>
      </c>
    </row>
    <row r="9253" spans="1:2" x14ac:dyDescent="0.25">
      <c r="A9253" t="s">
        <v>8297</v>
      </c>
      <c r="B9253" t="s">
        <v>8726</v>
      </c>
    </row>
    <row r="9254" spans="1:2" x14ac:dyDescent="0.25">
      <c r="A9254" t="s">
        <v>11497</v>
      </c>
      <c r="B9254" t="s">
        <v>8297</v>
      </c>
    </row>
    <row r="9255" spans="1:2" x14ac:dyDescent="0.25">
      <c r="A9255" t="s">
        <v>2734</v>
      </c>
      <c r="B9255" t="s">
        <v>11497</v>
      </c>
    </row>
    <row r="9256" spans="1:2" x14ac:dyDescent="0.25">
      <c r="A9256" t="s">
        <v>8729</v>
      </c>
      <c r="B9256" t="s">
        <v>8297</v>
      </c>
    </row>
    <row r="9257" spans="1:2" x14ac:dyDescent="0.25">
      <c r="A9257" t="s">
        <v>8730</v>
      </c>
      <c r="B9257" t="s">
        <v>8729</v>
      </c>
    </row>
    <row r="9258" spans="1:2" x14ac:dyDescent="0.25">
      <c r="A9258" t="s">
        <v>4796</v>
      </c>
      <c r="B9258" t="s">
        <v>8297</v>
      </c>
    </row>
    <row r="9259" spans="1:2" x14ac:dyDescent="0.25">
      <c r="A9259" t="s">
        <v>2892</v>
      </c>
      <c r="B9259" t="s">
        <v>4796</v>
      </c>
    </row>
    <row r="9260" spans="1:2" x14ac:dyDescent="0.25">
      <c r="A9260" t="s">
        <v>4797</v>
      </c>
      <c r="B9260" t="s">
        <v>8297</v>
      </c>
    </row>
    <row r="9261" spans="1:2" x14ac:dyDescent="0.25">
      <c r="A9261" t="s">
        <v>6059</v>
      </c>
      <c r="B9261" t="s">
        <v>4797</v>
      </c>
    </row>
    <row r="9262" spans="1:2" x14ac:dyDescent="0.25">
      <c r="A9262" t="s">
        <v>2893</v>
      </c>
      <c r="B9262" t="s">
        <v>4797</v>
      </c>
    </row>
    <row r="9263" spans="1:2" x14ac:dyDescent="0.25">
      <c r="A9263" t="s">
        <v>2449</v>
      </c>
      <c r="B9263" t="s">
        <v>4797</v>
      </c>
    </row>
    <row r="9264" spans="1:2" x14ac:dyDescent="0.25">
      <c r="A9264" t="s">
        <v>2450</v>
      </c>
      <c r="B9264" t="s">
        <v>4797</v>
      </c>
    </row>
    <row r="9265" spans="1:2" x14ac:dyDescent="0.25">
      <c r="A9265" t="s">
        <v>1942</v>
      </c>
      <c r="B9265" t="s">
        <v>4797</v>
      </c>
    </row>
    <row r="9266" spans="1:2" x14ac:dyDescent="0.25">
      <c r="A9266" t="s">
        <v>1943</v>
      </c>
      <c r="B9266" t="s">
        <v>4797</v>
      </c>
    </row>
    <row r="9267" spans="1:2" x14ac:dyDescent="0.25">
      <c r="A9267" t="s">
        <v>7728</v>
      </c>
      <c r="B9267" t="s">
        <v>8297</v>
      </c>
    </row>
    <row r="9268" spans="1:2" x14ac:dyDescent="0.25">
      <c r="A9268" t="s">
        <v>7729</v>
      </c>
      <c r="B9268" t="s">
        <v>8297</v>
      </c>
    </row>
    <row r="9269" spans="1:2" x14ac:dyDescent="0.25">
      <c r="A9269" t="s">
        <v>4798</v>
      </c>
      <c r="B9269" t="s">
        <v>7729</v>
      </c>
    </row>
    <row r="9270" spans="1:2" x14ac:dyDescent="0.25">
      <c r="A9270" t="s">
        <v>2451</v>
      </c>
      <c r="B9270" t="s">
        <v>7729</v>
      </c>
    </row>
    <row r="9271" spans="1:2" x14ac:dyDescent="0.25">
      <c r="A9271" t="s">
        <v>8815</v>
      </c>
      <c r="B9271" t="s">
        <v>7729</v>
      </c>
    </row>
    <row r="9272" spans="1:2" x14ac:dyDescent="0.25">
      <c r="A9272" t="s">
        <v>1944</v>
      </c>
      <c r="B9272" t="s">
        <v>8297</v>
      </c>
    </row>
    <row r="9273" spans="1:2" x14ac:dyDescent="0.25">
      <c r="A9273" t="s">
        <v>2895</v>
      </c>
      <c r="B9273" t="s">
        <v>1944</v>
      </c>
    </row>
    <row r="9274" spans="1:2" x14ac:dyDescent="0.25">
      <c r="A9274" t="s">
        <v>2896</v>
      </c>
      <c r="B9274" t="s">
        <v>1944</v>
      </c>
    </row>
    <row r="9275" spans="1:2" x14ac:dyDescent="0.25">
      <c r="A9275" t="s">
        <v>1117</v>
      </c>
      <c r="B9275" t="s">
        <v>8297</v>
      </c>
    </row>
    <row r="9276" spans="1:2" x14ac:dyDescent="0.25">
      <c r="A9276" t="s">
        <v>1118</v>
      </c>
      <c r="B9276" t="s">
        <v>1117</v>
      </c>
    </row>
    <row r="9277" spans="1:2" x14ac:dyDescent="0.25">
      <c r="A9277" t="s">
        <v>10945</v>
      </c>
      <c r="B9277" t="s">
        <v>8297</v>
      </c>
    </row>
    <row r="9278" spans="1:2" x14ac:dyDescent="0.25">
      <c r="A9278" t="s">
        <v>7730</v>
      </c>
      <c r="B9278" t="s">
        <v>8726</v>
      </c>
    </row>
    <row r="9279" spans="1:2" x14ac:dyDescent="0.25">
      <c r="A9279" t="s">
        <v>12262</v>
      </c>
      <c r="B9279" t="s">
        <v>7730</v>
      </c>
    </row>
    <row r="9280" spans="1:2" x14ac:dyDescent="0.25">
      <c r="A9280" t="s">
        <v>9519</v>
      </c>
      <c r="B9280" t="s">
        <v>7730</v>
      </c>
    </row>
    <row r="9281" spans="1:2" x14ac:dyDescent="0.25">
      <c r="A9281" t="s">
        <v>8298</v>
      </c>
      <c r="B9281" t="s">
        <v>7730</v>
      </c>
    </row>
    <row r="9282" spans="1:2" x14ac:dyDescent="0.25">
      <c r="A9282" t="s">
        <v>5653</v>
      </c>
      <c r="B9282" t="s">
        <v>7730</v>
      </c>
    </row>
    <row r="9283" spans="1:2" x14ac:dyDescent="0.25">
      <c r="A9283" t="s">
        <v>4800</v>
      </c>
      <c r="B9283" t="s">
        <v>7730</v>
      </c>
    </row>
    <row r="9284" spans="1:2" x14ac:dyDescent="0.25">
      <c r="A9284" t="s">
        <v>6556</v>
      </c>
      <c r="B9284" t="s">
        <v>4800</v>
      </c>
    </row>
    <row r="9285" spans="1:2" x14ac:dyDescent="0.25">
      <c r="A9285" t="s">
        <v>4801</v>
      </c>
      <c r="B9285" t="s">
        <v>4800</v>
      </c>
    </row>
    <row r="9286" spans="1:2" x14ac:dyDescent="0.25">
      <c r="A9286" t="s">
        <v>7731</v>
      </c>
      <c r="B9286" t="s">
        <v>7730</v>
      </c>
    </row>
    <row r="9287" spans="1:2" x14ac:dyDescent="0.25">
      <c r="A9287" t="s">
        <v>10946</v>
      </c>
      <c r="B9287" t="s">
        <v>7730</v>
      </c>
    </row>
    <row r="9288" spans="1:2" x14ac:dyDescent="0.25">
      <c r="A9288" t="s">
        <v>10532</v>
      </c>
      <c r="B9288" t="s">
        <v>7730</v>
      </c>
    </row>
    <row r="9289" spans="1:2" x14ac:dyDescent="0.25">
      <c r="A9289" t="s">
        <v>7732</v>
      </c>
      <c r="B9289" t="s">
        <v>7730</v>
      </c>
    </row>
    <row r="9290" spans="1:2" x14ac:dyDescent="0.25">
      <c r="A9290" t="s">
        <v>9117</v>
      </c>
      <c r="B9290" t="s">
        <v>7730</v>
      </c>
    </row>
    <row r="9291" spans="1:2" x14ac:dyDescent="0.25">
      <c r="A9291" t="s">
        <v>7864</v>
      </c>
      <c r="B9291" t="s">
        <v>7730</v>
      </c>
    </row>
    <row r="9292" spans="1:2" x14ac:dyDescent="0.25">
      <c r="A9292" t="s">
        <v>4904</v>
      </c>
      <c r="B9292" t="s">
        <v>7730</v>
      </c>
    </row>
    <row r="9293" spans="1:2" x14ac:dyDescent="0.25">
      <c r="A9293" t="s">
        <v>5770</v>
      </c>
      <c r="B9293" t="s">
        <v>7730</v>
      </c>
    </row>
    <row r="9294" spans="1:2" x14ac:dyDescent="0.25">
      <c r="A9294" t="s">
        <v>7925</v>
      </c>
      <c r="B9294" t="s">
        <v>7730</v>
      </c>
    </row>
    <row r="9295" spans="1:2" x14ac:dyDescent="0.25">
      <c r="A9295" t="s">
        <v>5375</v>
      </c>
      <c r="B9295" t="s">
        <v>7730</v>
      </c>
    </row>
    <row r="9296" spans="1:2" x14ac:dyDescent="0.25">
      <c r="A9296" t="s">
        <v>13375</v>
      </c>
      <c r="B9296" t="s">
        <v>7730</v>
      </c>
    </row>
    <row r="9297" spans="1:2" x14ac:dyDescent="0.25">
      <c r="A9297" t="s">
        <v>3830</v>
      </c>
      <c r="B9297" t="s">
        <v>8726</v>
      </c>
    </row>
    <row r="9298" spans="1:2" x14ac:dyDescent="0.25">
      <c r="A9298" t="s">
        <v>9875</v>
      </c>
      <c r="B9298" t="s">
        <v>3830</v>
      </c>
    </row>
    <row r="9299" spans="1:2" x14ac:dyDescent="0.25">
      <c r="A9299" t="s">
        <v>2735</v>
      </c>
      <c r="B9299" t="s">
        <v>9875</v>
      </c>
    </row>
    <row r="9300" spans="1:2" x14ac:dyDescent="0.25">
      <c r="A9300" t="s">
        <v>6063</v>
      </c>
      <c r="B9300" t="s">
        <v>3830</v>
      </c>
    </row>
    <row r="9301" spans="1:2" x14ac:dyDescent="0.25">
      <c r="A9301" t="s">
        <v>5657</v>
      </c>
      <c r="B9301" t="s">
        <v>6063</v>
      </c>
    </row>
    <row r="9302" spans="1:2" x14ac:dyDescent="0.25">
      <c r="A9302" t="s">
        <v>3828</v>
      </c>
      <c r="B9302" t="s">
        <v>6063</v>
      </c>
    </row>
    <row r="9303" spans="1:2" x14ac:dyDescent="0.25">
      <c r="A9303" t="s">
        <v>3323</v>
      </c>
      <c r="B9303" t="s">
        <v>6063</v>
      </c>
    </row>
    <row r="9304" spans="1:2" x14ac:dyDescent="0.25">
      <c r="A9304" t="s">
        <v>6559</v>
      </c>
      <c r="B9304" t="s">
        <v>6063</v>
      </c>
    </row>
    <row r="9305" spans="1:2" x14ac:dyDescent="0.25">
      <c r="A9305" t="s">
        <v>2453</v>
      </c>
      <c r="B9305" t="s">
        <v>6559</v>
      </c>
    </row>
    <row r="9306" spans="1:2" x14ac:dyDescent="0.25">
      <c r="A9306" t="s">
        <v>8731</v>
      </c>
      <c r="B9306" t="s">
        <v>6063</v>
      </c>
    </row>
    <row r="9307" spans="1:2" x14ac:dyDescent="0.25">
      <c r="A9307" t="s">
        <v>2454</v>
      </c>
      <c r="B9307" t="s">
        <v>8731</v>
      </c>
    </row>
    <row r="9308" spans="1:2" x14ac:dyDescent="0.25">
      <c r="A9308" t="s">
        <v>2455</v>
      </c>
      <c r="B9308" t="s">
        <v>8731</v>
      </c>
    </row>
    <row r="9309" spans="1:2" x14ac:dyDescent="0.25">
      <c r="A9309" t="s">
        <v>7734</v>
      </c>
      <c r="B9309" t="s">
        <v>6063</v>
      </c>
    </row>
    <row r="9310" spans="1:2" x14ac:dyDescent="0.25">
      <c r="A9310" t="s">
        <v>1949</v>
      </c>
      <c r="B9310" t="s">
        <v>7734</v>
      </c>
    </row>
    <row r="9311" spans="1:2" x14ac:dyDescent="0.25">
      <c r="A9311" t="s">
        <v>1950</v>
      </c>
      <c r="B9311" t="s">
        <v>7734</v>
      </c>
    </row>
    <row r="9312" spans="1:2" x14ac:dyDescent="0.25">
      <c r="A9312" t="s">
        <v>8732</v>
      </c>
      <c r="B9312" t="s">
        <v>6063</v>
      </c>
    </row>
    <row r="9313" spans="1:2" x14ac:dyDescent="0.25">
      <c r="A9313" t="s">
        <v>6667</v>
      </c>
      <c r="B9313" t="s">
        <v>6063</v>
      </c>
    </row>
    <row r="9314" spans="1:2" x14ac:dyDescent="0.25">
      <c r="A9314" t="s">
        <v>11242</v>
      </c>
      <c r="B9314" t="s">
        <v>3830</v>
      </c>
    </row>
    <row r="9315" spans="1:2" x14ac:dyDescent="0.25">
      <c r="A9315" t="s">
        <v>1121</v>
      </c>
      <c r="B9315" t="s">
        <v>11242</v>
      </c>
    </row>
    <row r="9316" spans="1:2" x14ac:dyDescent="0.25">
      <c r="A9316" t="s">
        <v>1952</v>
      </c>
      <c r="B9316" t="s">
        <v>11242</v>
      </c>
    </row>
    <row r="9317" spans="1:2" x14ac:dyDescent="0.25">
      <c r="A9317" t="s">
        <v>1122</v>
      </c>
      <c r="B9317" t="s">
        <v>11242</v>
      </c>
    </row>
    <row r="9318" spans="1:2" x14ac:dyDescent="0.25">
      <c r="A9318" t="s">
        <v>1123</v>
      </c>
      <c r="B9318" t="s">
        <v>11242</v>
      </c>
    </row>
    <row r="9319" spans="1:2" x14ac:dyDescent="0.25">
      <c r="A9319" t="s">
        <v>318</v>
      </c>
      <c r="B9319" t="s">
        <v>3830</v>
      </c>
    </row>
    <row r="9320" spans="1:2" x14ac:dyDescent="0.25">
      <c r="A9320" t="s">
        <v>1125</v>
      </c>
      <c r="B9320" t="s">
        <v>318</v>
      </c>
    </row>
    <row r="9321" spans="1:2" x14ac:dyDescent="0.25">
      <c r="A9321" t="s">
        <v>2579</v>
      </c>
      <c r="B9321" t="s">
        <v>318</v>
      </c>
    </row>
    <row r="9322" spans="1:2" x14ac:dyDescent="0.25">
      <c r="A9322" t="s">
        <v>9120</v>
      </c>
      <c r="B9322" t="s">
        <v>3830</v>
      </c>
    </row>
    <row r="9323" spans="1:2" x14ac:dyDescent="0.25">
      <c r="A9323" t="s">
        <v>1953</v>
      </c>
      <c r="B9323" t="s">
        <v>9120</v>
      </c>
    </row>
    <row r="9324" spans="1:2" x14ac:dyDescent="0.25">
      <c r="A9324" t="s">
        <v>1954</v>
      </c>
      <c r="B9324" t="s">
        <v>9120</v>
      </c>
    </row>
    <row r="9325" spans="1:2" x14ac:dyDescent="0.25">
      <c r="A9325" t="s">
        <v>1955</v>
      </c>
      <c r="B9325" t="s">
        <v>9120</v>
      </c>
    </row>
    <row r="9326" spans="1:2" x14ac:dyDescent="0.25">
      <c r="A9326" t="s">
        <v>3831</v>
      </c>
      <c r="B9326" t="s">
        <v>3830</v>
      </c>
    </row>
    <row r="9327" spans="1:2" x14ac:dyDescent="0.25">
      <c r="A9327" t="s">
        <v>2899</v>
      </c>
      <c r="B9327" t="s">
        <v>3831</v>
      </c>
    </row>
    <row r="9328" spans="1:2" x14ac:dyDescent="0.25">
      <c r="A9328" t="s">
        <v>1126</v>
      </c>
      <c r="B9328" t="s">
        <v>3831</v>
      </c>
    </row>
    <row r="9329" spans="1:2" x14ac:dyDescent="0.25">
      <c r="A9329" t="s">
        <v>2456</v>
      </c>
      <c r="B9329" t="s">
        <v>3831</v>
      </c>
    </row>
    <row r="9330" spans="1:2" x14ac:dyDescent="0.25">
      <c r="A9330" t="s">
        <v>1127</v>
      </c>
      <c r="B9330" t="s">
        <v>3831</v>
      </c>
    </row>
    <row r="9331" spans="1:2" x14ac:dyDescent="0.25">
      <c r="A9331" t="s">
        <v>1128</v>
      </c>
      <c r="B9331" t="s">
        <v>3831</v>
      </c>
    </row>
    <row r="9332" spans="1:2" x14ac:dyDescent="0.25">
      <c r="A9332" t="s">
        <v>1129</v>
      </c>
      <c r="B9332" t="s">
        <v>3831</v>
      </c>
    </row>
    <row r="9333" spans="1:2" x14ac:dyDescent="0.25">
      <c r="A9333" t="s">
        <v>2457</v>
      </c>
      <c r="B9333" t="s">
        <v>3831</v>
      </c>
    </row>
    <row r="9334" spans="1:2" x14ac:dyDescent="0.25">
      <c r="A9334" t="s">
        <v>1957</v>
      </c>
      <c r="B9334" t="s">
        <v>3831</v>
      </c>
    </row>
    <row r="9335" spans="1:2" x14ac:dyDescent="0.25">
      <c r="A9335" t="s">
        <v>1958</v>
      </c>
      <c r="B9335" t="s">
        <v>3831</v>
      </c>
    </row>
    <row r="9336" spans="1:2" x14ac:dyDescent="0.25">
      <c r="A9336" t="s">
        <v>8733</v>
      </c>
      <c r="B9336" t="s">
        <v>3831</v>
      </c>
    </row>
    <row r="9337" spans="1:2" x14ac:dyDescent="0.25">
      <c r="A9337" t="s">
        <v>5342</v>
      </c>
      <c r="B9337" t="s">
        <v>3831</v>
      </c>
    </row>
    <row r="9338" spans="1:2" x14ac:dyDescent="0.25">
      <c r="A9338" t="s">
        <v>10947</v>
      </c>
      <c r="B9338" t="s">
        <v>3830</v>
      </c>
    </row>
    <row r="9339" spans="1:2" x14ac:dyDescent="0.25">
      <c r="A9339" t="s">
        <v>1959</v>
      </c>
      <c r="B9339" t="s">
        <v>10947</v>
      </c>
    </row>
    <row r="9340" spans="1:2" x14ac:dyDescent="0.25">
      <c r="A9340" t="s">
        <v>1960</v>
      </c>
      <c r="B9340" t="s">
        <v>10947</v>
      </c>
    </row>
    <row r="9341" spans="1:2" x14ac:dyDescent="0.25">
      <c r="A9341" t="s">
        <v>1130</v>
      </c>
      <c r="B9341" t="s">
        <v>10947</v>
      </c>
    </row>
    <row r="9342" spans="1:2" x14ac:dyDescent="0.25">
      <c r="A9342" t="s">
        <v>1131</v>
      </c>
      <c r="B9342" t="s">
        <v>10947</v>
      </c>
    </row>
    <row r="9343" spans="1:2" x14ac:dyDescent="0.25">
      <c r="A9343" t="s">
        <v>1961</v>
      </c>
      <c r="B9343" t="s">
        <v>10947</v>
      </c>
    </row>
    <row r="9344" spans="1:2" x14ac:dyDescent="0.25">
      <c r="A9344" t="s">
        <v>1962</v>
      </c>
      <c r="B9344" t="s">
        <v>10947</v>
      </c>
    </row>
    <row r="9345" spans="1:2" x14ac:dyDescent="0.25">
      <c r="A9345" t="s">
        <v>1132</v>
      </c>
      <c r="B9345" t="s">
        <v>10947</v>
      </c>
    </row>
    <row r="9346" spans="1:2" x14ac:dyDescent="0.25">
      <c r="A9346" t="s">
        <v>1963</v>
      </c>
      <c r="B9346" t="s">
        <v>10947</v>
      </c>
    </row>
    <row r="9347" spans="1:2" x14ac:dyDescent="0.25">
      <c r="A9347" t="s">
        <v>2458</v>
      </c>
      <c r="B9347" t="s">
        <v>10947</v>
      </c>
    </row>
    <row r="9348" spans="1:2" x14ac:dyDescent="0.25">
      <c r="A9348" t="s">
        <v>10948</v>
      </c>
      <c r="B9348" t="s">
        <v>3830</v>
      </c>
    </row>
    <row r="9349" spans="1:2" x14ac:dyDescent="0.25">
      <c r="A9349" t="s">
        <v>1964</v>
      </c>
      <c r="B9349" t="s">
        <v>10948</v>
      </c>
    </row>
    <row r="9350" spans="1:2" x14ac:dyDescent="0.25">
      <c r="A9350" t="s">
        <v>2902</v>
      </c>
      <c r="B9350" t="s">
        <v>10948</v>
      </c>
    </row>
    <row r="9351" spans="1:2" x14ac:dyDescent="0.25">
      <c r="A9351" t="s">
        <v>1133</v>
      </c>
      <c r="B9351" t="s">
        <v>10948</v>
      </c>
    </row>
    <row r="9352" spans="1:2" x14ac:dyDescent="0.25">
      <c r="A9352" t="s">
        <v>1134</v>
      </c>
      <c r="B9352" t="s">
        <v>10948</v>
      </c>
    </row>
    <row r="9353" spans="1:2" x14ac:dyDescent="0.25">
      <c r="A9353" t="s">
        <v>1965</v>
      </c>
      <c r="B9353" t="s">
        <v>10948</v>
      </c>
    </row>
    <row r="9354" spans="1:2" x14ac:dyDescent="0.25">
      <c r="A9354" t="s">
        <v>1135</v>
      </c>
      <c r="B9354" t="s">
        <v>10948</v>
      </c>
    </row>
    <row r="9355" spans="1:2" x14ac:dyDescent="0.25">
      <c r="A9355" t="s">
        <v>1966</v>
      </c>
      <c r="B9355" t="s">
        <v>10948</v>
      </c>
    </row>
    <row r="9356" spans="1:2" x14ac:dyDescent="0.25">
      <c r="A9356" t="s">
        <v>2903</v>
      </c>
      <c r="B9356" t="s">
        <v>10948</v>
      </c>
    </row>
    <row r="9357" spans="1:2" x14ac:dyDescent="0.25">
      <c r="A9357" t="s">
        <v>1136</v>
      </c>
      <c r="B9357" t="s">
        <v>10948</v>
      </c>
    </row>
    <row r="9358" spans="1:2" x14ac:dyDescent="0.25">
      <c r="A9358" t="s">
        <v>10949</v>
      </c>
      <c r="B9358" t="s">
        <v>3830</v>
      </c>
    </row>
    <row r="9359" spans="1:2" x14ac:dyDescent="0.25">
      <c r="A9359" t="s">
        <v>1967</v>
      </c>
      <c r="B9359" t="s">
        <v>10949</v>
      </c>
    </row>
    <row r="9360" spans="1:2" x14ac:dyDescent="0.25">
      <c r="A9360" t="s">
        <v>1138</v>
      </c>
      <c r="B9360" t="s">
        <v>10949</v>
      </c>
    </row>
    <row r="9361" spans="1:2" x14ac:dyDescent="0.25">
      <c r="A9361" t="s">
        <v>1139</v>
      </c>
      <c r="B9361" t="s">
        <v>10949</v>
      </c>
    </row>
    <row r="9362" spans="1:2" x14ac:dyDescent="0.25">
      <c r="A9362" t="s">
        <v>3324</v>
      </c>
      <c r="B9362" t="s">
        <v>10949</v>
      </c>
    </row>
    <row r="9363" spans="1:2" x14ac:dyDescent="0.25">
      <c r="A9363" t="s">
        <v>1968</v>
      </c>
      <c r="B9363" t="s">
        <v>10949</v>
      </c>
    </row>
    <row r="9364" spans="1:2" x14ac:dyDescent="0.25">
      <c r="A9364" t="s">
        <v>1969</v>
      </c>
      <c r="B9364" t="s">
        <v>10949</v>
      </c>
    </row>
    <row r="9365" spans="1:2" x14ac:dyDescent="0.25">
      <c r="A9365" t="s">
        <v>1140</v>
      </c>
      <c r="B9365" t="s">
        <v>10949</v>
      </c>
    </row>
    <row r="9366" spans="1:2" x14ac:dyDescent="0.25">
      <c r="A9366" t="s">
        <v>1141</v>
      </c>
      <c r="B9366" t="s">
        <v>10949</v>
      </c>
    </row>
    <row r="9367" spans="1:2" x14ac:dyDescent="0.25">
      <c r="A9367" t="s">
        <v>1970</v>
      </c>
      <c r="B9367" t="s">
        <v>10949</v>
      </c>
    </row>
    <row r="9368" spans="1:2" x14ac:dyDescent="0.25">
      <c r="A9368" t="s">
        <v>10950</v>
      </c>
      <c r="B9368" t="s">
        <v>3830</v>
      </c>
    </row>
    <row r="9369" spans="1:2" x14ac:dyDescent="0.25">
      <c r="A9369" t="s">
        <v>1971</v>
      </c>
      <c r="B9369" t="s">
        <v>10950</v>
      </c>
    </row>
    <row r="9370" spans="1:2" x14ac:dyDescent="0.25">
      <c r="A9370" t="s">
        <v>1142</v>
      </c>
      <c r="B9370" t="s">
        <v>10950</v>
      </c>
    </row>
    <row r="9371" spans="1:2" x14ac:dyDescent="0.25">
      <c r="A9371" t="s">
        <v>3325</v>
      </c>
      <c r="B9371" t="s">
        <v>10950</v>
      </c>
    </row>
    <row r="9372" spans="1:2" x14ac:dyDescent="0.25">
      <c r="A9372" t="s">
        <v>2905</v>
      </c>
      <c r="B9372" t="s">
        <v>10950</v>
      </c>
    </row>
    <row r="9373" spans="1:2" x14ac:dyDescent="0.25">
      <c r="A9373" t="s">
        <v>1143</v>
      </c>
      <c r="B9373" t="s">
        <v>10950</v>
      </c>
    </row>
    <row r="9374" spans="1:2" x14ac:dyDescent="0.25">
      <c r="A9374" t="s">
        <v>1972</v>
      </c>
      <c r="B9374" t="s">
        <v>10950</v>
      </c>
    </row>
    <row r="9375" spans="1:2" x14ac:dyDescent="0.25">
      <c r="A9375" t="s">
        <v>1144</v>
      </c>
      <c r="B9375" t="s">
        <v>10950</v>
      </c>
    </row>
    <row r="9376" spans="1:2" x14ac:dyDescent="0.25">
      <c r="A9376" t="s">
        <v>5658</v>
      </c>
      <c r="B9376" t="s">
        <v>3830</v>
      </c>
    </row>
    <row r="9377" spans="1:2" x14ac:dyDescent="0.25">
      <c r="A9377" t="s">
        <v>11513</v>
      </c>
      <c r="B9377" t="s">
        <v>3830</v>
      </c>
    </row>
    <row r="9378" spans="1:2" x14ac:dyDescent="0.25">
      <c r="A9378" t="s">
        <v>7735</v>
      </c>
      <c r="B9378" t="s">
        <v>8726</v>
      </c>
    </row>
    <row r="9379" spans="1:2" x14ac:dyDescent="0.25">
      <c r="A9379" t="s">
        <v>11224</v>
      </c>
      <c r="B9379" t="s">
        <v>7735</v>
      </c>
    </row>
    <row r="9380" spans="1:2" x14ac:dyDescent="0.25">
      <c r="A9380" t="s">
        <v>7736</v>
      </c>
      <c r="B9380" t="s">
        <v>7735</v>
      </c>
    </row>
    <row r="9381" spans="1:2" x14ac:dyDescent="0.25">
      <c r="A9381" t="s">
        <v>7128</v>
      </c>
      <c r="B9381" t="s">
        <v>7735</v>
      </c>
    </row>
    <row r="9382" spans="1:2" x14ac:dyDescent="0.25">
      <c r="A9382" t="s">
        <v>9121</v>
      </c>
      <c r="B9382" t="s">
        <v>7735</v>
      </c>
    </row>
    <row r="9383" spans="1:2" x14ac:dyDescent="0.25">
      <c r="A9383" t="s">
        <v>11752</v>
      </c>
      <c r="B9383" t="s">
        <v>7735</v>
      </c>
    </row>
    <row r="9384" spans="1:2" x14ac:dyDescent="0.25">
      <c r="A9384" t="s">
        <v>2459</v>
      </c>
      <c r="B9384" t="s">
        <v>7735</v>
      </c>
    </row>
    <row r="9385" spans="1:2" x14ac:dyDescent="0.25">
      <c r="A9385" t="s">
        <v>10951</v>
      </c>
      <c r="B9385" t="s">
        <v>7735</v>
      </c>
    </row>
    <row r="9386" spans="1:2" x14ac:dyDescent="0.25">
      <c r="A9386" t="s">
        <v>1145</v>
      </c>
      <c r="B9386" t="s">
        <v>10951</v>
      </c>
    </row>
    <row r="9387" spans="1:2" x14ac:dyDescent="0.25">
      <c r="A9387" t="s">
        <v>9906</v>
      </c>
      <c r="B9387" t="s">
        <v>10951</v>
      </c>
    </row>
    <row r="9388" spans="1:2" x14ac:dyDescent="0.25">
      <c r="A9388" t="s">
        <v>4300</v>
      </c>
      <c r="B9388" t="s">
        <v>7735</v>
      </c>
    </row>
    <row r="9389" spans="1:2" x14ac:dyDescent="0.25">
      <c r="A9389" t="s">
        <v>8734</v>
      </c>
      <c r="B9389" t="s">
        <v>7735</v>
      </c>
    </row>
    <row r="9390" spans="1:2" x14ac:dyDescent="0.25">
      <c r="A9390" t="s">
        <v>5243</v>
      </c>
      <c r="B9390" t="s">
        <v>8734</v>
      </c>
    </row>
    <row r="9391" spans="1:2" x14ac:dyDescent="0.25">
      <c r="A9391" t="s">
        <v>8426</v>
      </c>
      <c r="B9391" t="s">
        <v>7735</v>
      </c>
    </row>
    <row r="9392" spans="1:2" x14ac:dyDescent="0.25">
      <c r="A9392" t="s">
        <v>6560</v>
      </c>
      <c r="B9392" t="s">
        <v>7735</v>
      </c>
    </row>
    <row r="9393" spans="1:2" x14ac:dyDescent="0.25">
      <c r="A9393" t="s">
        <v>5991</v>
      </c>
      <c r="B9393" t="s">
        <v>7735</v>
      </c>
    </row>
    <row r="9394" spans="1:2" x14ac:dyDescent="0.25">
      <c r="A9394" t="s">
        <v>463</v>
      </c>
      <c r="B9394" t="s">
        <v>8726</v>
      </c>
    </row>
    <row r="9395" spans="1:2" x14ac:dyDescent="0.25">
      <c r="A9395" t="s">
        <v>5341</v>
      </c>
      <c r="B9395" t="s">
        <v>8726</v>
      </c>
    </row>
    <row r="9396" spans="1:2" x14ac:dyDescent="0.25">
      <c r="A9396" t="s">
        <v>3511</v>
      </c>
      <c r="B9396" t="s">
        <v>8726</v>
      </c>
    </row>
    <row r="9397" spans="1:2" x14ac:dyDescent="0.25">
      <c r="A9397" t="s">
        <v>5237</v>
      </c>
      <c r="B9397" t="s">
        <v>8726</v>
      </c>
    </row>
    <row r="9398" spans="1:2" x14ac:dyDescent="0.25">
      <c r="A9398" t="s">
        <v>6061</v>
      </c>
      <c r="B9398" t="s">
        <v>5237</v>
      </c>
    </row>
    <row r="9399" spans="1:2" x14ac:dyDescent="0.25">
      <c r="A9399" t="s">
        <v>8300</v>
      </c>
      <c r="B9399" t="s">
        <v>6061</v>
      </c>
    </row>
    <row r="9400" spans="1:2" x14ac:dyDescent="0.25">
      <c r="A9400" t="s">
        <v>4802</v>
      </c>
      <c r="B9400" t="s">
        <v>5237</v>
      </c>
    </row>
    <row r="9401" spans="1:2" x14ac:dyDescent="0.25">
      <c r="A9401" t="s">
        <v>448</v>
      </c>
      <c r="B9401" t="s">
        <v>5237</v>
      </c>
    </row>
    <row r="9402" spans="1:2" x14ac:dyDescent="0.25">
      <c r="A9402" t="s">
        <v>2897</v>
      </c>
      <c r="B9402" t="s">
        <v>5237</v>
      </c>
    </row>
    <row r="9403" spans="1:2" x14ac:dyDescent="0.25">
      <c r="A9403" t="s">
        <v>8301</v>
      </c>
      <c r="B9403" t="s">
        <v>2897</v>
      </c>
    </row>
    <row r="9404" spans="1:2" x14ac:dyDescent="0.25">
      <c r="A9404" t="s">
        <v>10514</v>
      </c>
      <c r="B9404" t="s">
        <v>2897</v>
      </c>
    </row>
    <row r="9405" spans="1:2" x14ac:dyDescent="0.25">
      <c r="A9405" t="s">
        <v>4803</v>
      </c>
      <c r="B9405" t="s">
        <v>5237</v>
      </c>
    </row>
    <row r="9406" spans="1:2" x14ac:dyDescent="0.25">
      <c r="A9406" t="s">
        <v>1945</v>
      </c>
      <c r="B9406" t="s">
        <v>5237</v>
      </c>
    </row>
    <row r="9407" spans="1:2" x14ac:dyDescent="0.25">
      <c r="A9407" t="s">
        <v>3826</v>
      </c>
      <c r="B9407" t="s">
        <v>5237</v>
      </c>
    </row>
    <row r="9408" spans="1:2" x14ac:dyDescent="0.25">
      <c r="A9408" t="s">
        <v>6558</v>
      </c>
      <c r="B9408" t="s">
        <v>5237</v>
      </c>
    </row>
    <row r="9409" spans="1:2" x14ac:dyDescent="0.25">
      <c r="A9409" t="s">
        <v>4805</v>
      </c>
      <c r="B9409" t="s">
        <v>5237</v>
      </c>
    </row>
    <row r="9410" spans="1:2" x14ac:dyDescent="0.25">
      <c r="A9410" t="s">
        <v>7934</v>
      </c>
      <c r="B9410" t="s">
        <v>5237</v>
      </c>
    </row>
    <row r="9411" spans="1:2" x14ac:dyDescent="0.25">
      <c r="A9411" t="s">
        <v>7733</v>
      </c>
      <c r="B9411" t="s">
        <v>5237</v>
      </c>
    </row>
    <row r="9412" spans="1:2" x14ac:dyDescent="0.25">
      <c r="A9412" t="s">
        <v>13376</v>
      </c>
      <c r="B9412" t="s">
        <v>5237</v>
      </c>
    </row>
    <row r="9413" spans="1:2" x14ac:dyDescent="0.25">
      <c r="A9413" t="s">
        <v>8735</v>
      </c>
      <c r="B9413" t="s">
        <v>6541</v>
      </c>
    </row>
    <row r="9414" spans="1:2" x14ac:dyDescent="0.25">
      <c r="A9414" t="s">
        <v>3326</v>
      </c>
      <c r="B9414" t="s">
        <v>8735</v>
      </c>
    </row>
    <row r="9415" spans="1:2" x14ac:dyDescent="0.25">
      <c r="A9415" t="s">
        <v>9064</v>
      </c>
      <c r="B9415" t="s">
        <v>3326</v>
      </c>
    </row>
    <row r="9416" spans="1:2" x14ac:dyDescent="0.25">
      <c r="A9416" t="s">
        <v>1146</v>
      </c>
      <c r="B9416" t="s">
        <v>3326</v>
      </c>
    </row>
    <row r="9417" spans="1:2" x14ac:dyDescent="0.25">
      <c r="A9417" t="s">
        <v>4808</v>
      </c>
      <c r="B9417" t="s">
        <v>1146</v>
      </c>
    </row>
    <row r="9418" spans="1:2" x14ac:dyDescent="0.25">
      <c r="A9418" t="s">
        <v>449</v>
      </c>
      <c r="B9418" t="s">
        <v>3326</v>
      </c>
    </row>
    <row r="9419" spans="1:2" x14ac:dyDescent="0.25">
      <c r="A9419" t="s">
        <v>10533</v>
      </c>
      <c r="B9419" t="s">
        <v>449</v>
      </c>
    </row>
    <row r="9420" spans="1:2" x14ac:dyDescent="0.25">
      <c r="A9420" t="s">
        <v>4301</v>
      </c>
      <c r="B9420" t="s">
        <v>3326</v>
      </c>
    </row>
    <row r="9421" spans="1:2" x14ac:dyDescent="0.25">
      <c r="A9421" t="s">
        <v>4228</v>
      </c>
      <c r="B9421" t="s">
        <v>4301</v>
      </c>
    </row>
    <row r="9422" spans="1:2" x14ac:dyDescent="0.25">
      <c r="A9422" t="s">
        <v>4809</v>
      </c>
      <c r="B9422" t="s">
        <v>4301</v>
      </c>
    </row>
    <row r="9423" spans="1:2" x14ac:dyDescent="0.25">
      <c r="A9423" t="s">
        <v>4302</v>
      </c>
      <c r="B9423" t="s">
        <v>4301</v>
      </c>
    </row>
    <row r="9424" spans="1:2" x14ac:dyDescent="0.25">
      <c r="A9424" t="s">
        <v>1147</v>
      </c>
      <c r="B9424" t="s">
        <v>4301</v>
      </c>
    </row>
    <row r="9425" spans="1:2" x14ac:dyDescent="0.25">
      <c r="A9425" t="s">
        <v>3833</v>
      </c>
      <c r="B9425" t="s">
        <v>3326</v>
      </c>
    </row>
    <row r="9426" spans="1:2" x14ac:dyDescent="0.25">
      <c r="A9426" t="s">
        <v>6065</v>
      </c>
      <c r="B9426" t="s">
        <v>3833</v>
      </c>
    </row>
    <row r="9427" spans="1:2" x14ac:dyDescent="0.25">
      <c r="A9427" t="s">
        <v>7292</v>
      </c>
      <c r="B9427" t="s">
        <v>3833</v>
      </c>
    </row>
    <row r="9428" spans="1:2" x14ac:dyDescent="0.25">
      <c r="A9428" t="s">
        <v>1973</v>
      </c>
      <c r="B9428" t="s">
        <v>3833</v>
      </c>
    </row>
    <row r="9429" spans="1:2" x14ac:dyDescent="0.25">
      <c r="A9429" t="s">
        <v>11514</v>
      </c>
      <c r="B9429" t="s">
        <v>1973</v>
      </c>
    </row>
    <row r="9430" spans="1:2" x14ac:dyDescent="0.25">
      <c r="A9430" t="s">
        <v>9907</v>
      </c>
      <c r="B9430" t="s">
        <v>3326</v>
      </c>
    </row>
    <row r="9431" spans="1:2" x14ac:dyDescent="0.25">
      <c r="A9431" t="s">
        <v>11933</v>
      </c>
      <c r="B9431" t="s">
        <v>3326</v>
      </c>
    </row>
    <row r="9432" spans="1:2" x14ac:dyDescent="0.25">
      <c r="A9432" t="s">
        <v>12473</v>
      </c>
      <c r="B9432" t="s">
        <v>11933</v>
      </c>
    </row>
    <row r="9433" spans="1:2" x14ac:dyDescent="0.25">
      <c r="A9433" t="s">
        <v>5223</v>
      </c>
      <c r="B9433" t="s">
        <v>11933</v>
      </c>
    </row>
    <row r="9434" spans="1:2" x14ac:dyDescent="0.25">
      <c r="A9434" t="s">
        <v>6623</v>
      </c>
      <c r="B9434" t="s">
        <v>11933</v>
      </c>
    </row>
    <row r="9435" spans="1:2" x14ac:dyDescent="0.25">
      <c r="A9435" t="s">
        <v>4890</v>
      </c>
      <c r="B9435" t="s">
        <v>11933</v>
      </c>
    </row>
    <row r="9436" spans="1:2" x14ac:dyDescent="0.25">
      <c r="A9436" t="s">
        <v>2627</v>
      </c>
      <c r="B9436" t="s">
        <v>11933</v>
      </c>
    </row>
    <row r="9437" spans="1:2" x14ac:dyDescent="0.25">
      <c r="A9437" t="s">
        <v>11318</v>
      </c>
      <c r="B9437" t="s">
        <v>3326</v>
      </c>
    </row>
    <row r="9438" spans="1:2" x14ac:dyDescent="0.25">
      <c r="A9438" t="s">
        <v>3512</v>
      </c>
      <c r="B9438" t="s">
        <v>3326</v>
      </c>
    </row>
    <row r="9439" spans="1:2" x14ac:dyDescent="0.25">
      <c r="A9439" t="s">
        <v>8736</v>
      </c>
      <c r="B9439" t="s">
        <v>3326</v>
      </c>
    </row>
    <row r="9440" spans="1:2" x14ac:dyDescent="0.25">
      <c r="A9440" t="s">
        <v>8303</v>
      </c>
      <c r="B9440" t="s">
        <v>8736</v>
      </c>
    </row>
    <row r="9441" spans="1:2" x14ac:dyDescent="0.25">
      <c r="A9441" t="s">
        <v>8737</v>
      </c>
      <c r="B9441" t="s">
        <v>8735</v>
      </c>
    </row>
    <row r="9442" spans="1:2" x14ac:dyDescent="0.25">
      <c r="A9442" t="s">
        <v>6046</v>
      </c>
      <c r="B9442" t="s">
        <v>8737</v>
      </c>
    </row>
    <row r="9443" spans="1:2" x14ac:dyDescent="0.25">
      <c r="A9443" t="s">
        <v>5222</v>
      </c>
      <c r="B9443" t="s">
        <v>8737</v>
      </c>
    </row>
    <row r="9444" spans="1:2" x14ac:dyDescent="0.25">
      <c r="A9444" t="s">
        <v>7739</v>
      </c>
      <c r="B9444" t="s">
        <v>8737</v>
      </c>
    </row>
    <row r="9445" spans="1:2" x14ac:dyDescent="0.25">
      <c r="A9445" t="s">
        <v>4307</v>
      </c>
      <c r="B9445" t="s">
        <v>8737</v>
      </c>
    </row>
    <row r="9446" spans="1:2" x14ac:dyDescent="0.25">
      <c r="A9446" t="s">
        <v>6561</v>
      </c>
      <c r="B9446" t="s">
        <v>8737</v>
      </c>
    </row>
    <row r="9447" spans="1:2" x14ac:dyDescent="0.25">
      <c r="A9447" t="s">
        <v>6068</v>
      </c>
      <c r="B9447" t="s">
        <v>8737</v>
      </c>
    </row>
    <row r="9448" spans="1:2" x14ac:dyDescent="0.25">
      <c r="A9448" t="s">
        <v>2465</v>
      </c>
      <c r="B9448" t="s">
        <v>6068</v>
      </c>
    </row>
    <row r="9449" spans="1:2" x14ac:dyDescent="0.25">
      <c r="A9449" t="s">
        <v>1152</v>
      </c>
      <c r="B9449" t="s">
        <v>6068</v>
      </c>
    </row>
    <row r="9450" spans="1:2" x14ac:dyDescent="0.25">
      <c r="A9450" t="s">
        <v>4816</v>
      </c>
      <c r="B9450" t="s">
        <v>6068</v>
      </c>
    </row>
    <row r="9451" spans="1:2" x14ac:dyDescent="0.25">
      <c r="A9451" t="s">
        <v>12618</v>
      </c>
      <c r="B9451" t="s">
        <v>6068</v>
      </c>
    </row>
    <row r="9452" spans="1:2" x14ac:dyDescent="0.25">
      <c r="A9452" t="s">
        <v>8309</v>
      </c>
      <c r="B9452" t="s">
        <v>12618</v>
      </c>
    </row>
    <row r="9453" spans="1:2" x14ac:dyDescent="0.25">
      <c r="A9453" t="s">
        <v>8310</v>
      </c>
      <c r="B9453" t="s">
        <v>12618</v>
      </c>
    </row>
    <row r="9454" spans="1:2" x14ac:dyDescent="0.25">
      <c r="A9454" t="s">
        <v>9125</v>
      </c>
      <c r="B9454" t="s">
        <v>12618</v>
      </c>
    </row>
    <row r="9455" spans="1:2" x14ac:dyDescent="0.25">
      <c r="A9455" t="s">
        <v>2907</v>
      </c>
      <c r="B9455" t="s">
        <v>6068</v>
      </c>
    </row>
    <row r="9456" spans="1:2" x14ac:dyDescent="0.25">
      <c r="A9456" t="s">
        <v>6626</v>
      </c>
      <c r="B9456" t="s">
        <v>6068</v>
      </c>
    </row>
    <row r="9457" spans="1:2" x14ac:dyDescent="0.25">
      <c r="A9457" t="s">
        <v>5730</v>
      </c>
      <c r="B9457" t="s">
        <v>6068</v>
      </c>
    </row>
    <row r="9458" spans="1:2" x14ac:dyDescent="0.25">
      <c r="A9458" t="s">
        <v>3015</v>
      </c>
      <c r="B9458" t="s">
        <v>6068</v>
      </c>
    </row>
    <row r="9459" spans="1:2" x14ac:dyDescent="0.25">
      <c r="A9459" t="s">
        <v>4466</v>
      </c>
      <c r="B9459" t="s">
        <v>6068</v>
      </c>
    </row>
    <row r="9460" spans="1:2" x14ac:dyDescent="0.25">
      <c r="A9460" t="s">
        <v>462</v>
      </c>
      <c r="B9460" t="s">
        <v>8737</v>
      </c>
    </row>
    <row r="9461" spans="1:2" x14ac:dyDescent="0.25">
      <c r="A9461" t="s">
        <v>5735</v>
      </c>
      <c r="B9461" t="s">
        <v>8737</v>
      </c>
    </row>
    <row r="9462" spans="1:2" x14ac:dyDescent="0.25">
      <c r="A9462" t="s">
        <v>13198</v>
      </c>
      <c r="B9462" t="s">
        <v>8735</v>
      </c>
    </row>
    <row r="9463" spans="1:2" x14ac:dyDescent="0.25">
      <c r="A9463" t="s">
        <v>9918</v>
      </c>
      <c r="B9463" t="s">
        <v>13198</v>
      </c>
    </row>
    <row r="9464" spans="1:2" x14ac:dyDescent="0.25">
      <c r="A9464" t="s">
        <v>6543</v>
      </c>
      <c r="B9464" t="s">
        <v>13198</v>
      </c>
    </row>
    <row r="9465" spans="1:2" x14ac:dyDescent="0.25">
      <c r="A9465" t="s">
        <v>14967</v>
      </c>
      <c r="B9465" t="s">
        <v>8735</v>
      </c>
    </row>
    <row r="9466" spans="1:2" x14ac:dyDescent="0.25">
      <c r="A9466" t="s">
        <v>14968</v>
      </c>
      <c r="B9466" t="s">
        <v>14967</v>
      </c>
    </row>
    <row r="9467" spans="1:2" x14ac:dyDescent="0.25">
      <c r="A9467" t="s">
        <v>14969</v>
      </c>
      <c r="B9467" t="s">
        <v>14968</v>
      </c>
    </row>
    <row r="9468" spans="1:2" x14ac:dyDescent="0.25">
      <c r="A9468" t="s">
        <v>14970</v>
      </c>
      <c r="B9468" t="s">
        <v>14967</v>
      </c>
    </row>
    <row r="9469" spans="1:2" x14ac:dyDescent="0.25">
      <c r="A9469" t="s">
        <v>14973</v>
      </c>
      <c r="B9469" t="s">
        <v>14967</v>
      </c>
    </row>
    <row r="9470" spans="1:2" x14ac:dyDescent="0.25">
      <c r="A9470" t="s">
        <v>14974</v>
      </c>
      <c r="B9470" t="s">
        <v>14967</v>
      </c>
    </row>
    <row r="9471" spans="1:2" x14ac:dyDescent="0.25">
      <c r="A9471" t="s">
        <v>14975</v>
      </c>
      <c r="B9471" t="s">
        <v>14967</v>
      </c>
    </row>
    <row r="9472" spans="1:2" x14ac:dyDescent="0.25">
      <c r="A9472" t="s">
        <v>14976</v>
      </c>
      <c r="B9472" t="s">
        <v>14967</v>
      </c>
    </row>
    <row r="9473" spans="1:2" x14ac:dyDescent="0.25">
      <c r="A9473" t="s">
        <v>1904</v>
      </c>
      <c r="B9473" t="s">
        <v>14967</v>
      </c>
    </row>
    <row r="9474" spans="1:2" x14ac:dyDescent="0.25">
      <c r="A9474" t="s">
        <v>8285</v>
      </c>
      <c r="B9474" t="s">
        <v>1904</v>
      </c>
    </row>
    <row r="9475" spans="1:2" x14ac:dyDescent="0.25">
      <c r="A9475" t="s">
        <v>3797</v>
      </c>
      <c r="B9475" t="s">
        <v>1904</v>
      </c>
    </row>
    <row r="9476" spans="1:2" x14ac:dyDescent="0.25">
      <c r="A9476" t="s">
        <v>8286</v>
      </c>
      <c r="B9476" t="s">
        <v>1904</v>
      </c>
    </row>
    <row r="9477" spans="1:2" x14ac:dyDescent="0.25">
      <c r="A9477" t="s">
        <v>5638</v>
      </c>
      <c r="B9477" t="s">
        <v>1904</v>
      </c>
    </row>
    <row r="9478" spans="1:2" x14ac:dyDescent="0.25">
      <c r="A9478" t="s">
        <v>5639</v>
      </c>
      <c r="B9478" t="s">
        <v>1904</v>
      </c>
    </row>
    <row r="9479" spans="1:2" x14ac:dyDescent="0.25">
      <c r="A9479" t="s">
        <v>1093</v>
      </c>
      <c r="B9479" t="s">
        <v>1904</v>
      </c>
    </row>
    <row r="9480" spans="1:2" x14ac:dyDescent="0.25">
      <c r="A9480" t="s">
        <v>4779</v>
      </c>
      <c r="B9480" t="s">
        <v>1904</v>
      </c>
    </row>
    <row r="9481" spans="1:2" x14ac:dyDescent="0.25">
      <c r="A9481" t="s">
        <v>5640</v>
      </c>
      <c r="B9481" t="s">
        <v>1904</v>
      </c>
    </row>
    <row r="9482" spans="1:2" x14ac:dyDescent="0.25">
      <c r="A9482" t="s">
        <v>7686</v>
      </c>
      <c r="B9482" t="s">
        <v>1904</v>
      </c>
    </row>
    <row r="9483" spans="1:2" x14ac:dyDescent="0.25">
      <c r="A9483" t="s">
        <v>5641</v>
      </c>
      <c r="B9483" t="s">
        <v>1904</v>
      </c>
    </row>
    <row r="9484" spans="1:2" x14ac:dyDescent="0.25">
      <c r="A9484" t="s">
        <v>5642</v>
      </c>
      <c r="B9484" t="s">
        <v>1904</v>
      </c>
    </row>
    <row r="9485" spans="1:2" x14ac:dyDescent="0.25">
      <c r="A9485" t="s">
        <v>5643</v>
      </c>
      <c r="B9485" t="s">
        <v>1904</v>
      </c>
    </row>
    <row r="9486" spans="1:2" x14ac:dyDescent="0.25">
      <c r="A9486" t="s">
        <v>6143</v>
      </c>
      <c r="B9486" t="s">
        <v>1904</v>
      </c>
    </row>
    <row r="9487" spans="1:2" x14ac:dyDescent="0.25">
      <c r="A9487" t="s">
        <v>3987</v>
      </c>
      <c r="B9487" t="s">
        <v>1904</v>
      </c>
    </row>
    <row r="9488" spans="1:2" x14ac:dyDescent="0.25">
      <c r="A9488" t="s">
        <v>4914</v>
      </c>
      <c r="B9488" t="s">
        <v>1904</v>
      </c>
    </row>
    <row r="9489" spans="1:2" x14ac:dyDescent="0.25">
      <c r="A9489" t="s">
        <v>14971</v>
      </c>
      <c r="B9489" t="s">
        <v>1904</v>
      </c>
    </row>
    <row r="9490" spans="1:2" x14ac:dyDescent="0.25">
      <c r="A9490" t="s">
        <v>14972</v>
      </c>
      <c r="B9490" t="s">
        <v>1904</v>
      </c>
    </row>
    <row r="9491" spans="1:2" x14ac:dyDescent="0.25">
      <c r="A9491" t="s">
        <v>14977</v>
      </c>
      <c r="B9491" t="s">
        <v>8735</v>
      </c>
    </row>
    <row r="9492" spans="1:2" x14ac:dyDescent="0.25">
      <c r="A9492" t="s">
        <v>7737</v>
      </c>
      <c r="B9492" t="s">
        <v>14977</v>
      </c>
    </row>
    <row r="9493" spans="1:2" x14ac:dyDescent="0.25">
      <c r="A9493" t="s">
        <v>4304</v>
      </c>
      <c r="B9493" t="s">
        <v>7737</v>
      </c>
    </row>
    <row r="9494" spans="1:2" x14ac:dyDescent="0.25">
      <c r="A9494" t="s">
        <v>4811</v>
      </c>
      <c r="B9494" t="s">
        <v>4304</v>
      </c>
    </row>
    <row r="9495" spans="1:2" x14ac:dyDescent="0.25">
      <c r="A9495" t="s">
        <v>9561</v>
      </c>
      <c r="B9495" t="s">
        <v>4304</v>
      </c>
    </row>
    <row r="9496" spans="1:2" x14ac:dyDescent="0.25">
      <c r="A9496" t="s">
        <v>9908</v>
      </c>
      <c r="B9496" t="s">
        <v>9561</v>
      </c>
    </row>
    <row r="9497" spans="1:2" x14ac:dyDescent="0.25">
      <c r="A9497" t="s">
        <v>13377</v>
      </c>
      <c r="B9497" t="s">
        <v>4304</v>
      </c>
    </row>
    <row r="9498" spans="1:2" x14ac:dyDescent="0.25">
      <c r="A9498" t="s">
        <v>7738</v>
      </c>
      <c r="B9498" t="s">
        <v>7737</v>
      </c>
    </row>
    <row r="9499" spans="1:2" x14ac:dyDescent="0.25">
      <c r="A9499" t="s">
        <v>8302</v>
      </c>
      <c r="B9499" t="s">
        <v>7737</v>
      </c>
    </row>
    <row r="9500" spans="1:2" x14ac:dyDescent="0.25">
      <c r="A9500" t="s">
        <v>10534</v>
      </c>
      <c r="B9500" t="s">
        <v>7737</v>
      </c>
    </row>
    <row r="9501" spans="1:2" x14ac:dyDescent="0.25">
      <c r="A9501" t="s">
        <v>6625</v>
      </c>
      <c r="B9501" t="s">
        <v>7737</v>
      </c>
    </row>
    <row r="9502" spans="1:2" x14ac:dyDescent="0.25">
      <c r="A9502" t="s">
        <v>8814</v>
      </c>
      <c r="B9502" t="s">
        <v>7737</v>
      </c>
    </row>
    <row r="9503" spans="1:2" x14ac:dyDescent="0.25">
      <c r="A9503" t="s">
        <v>9640</v>
      </c>
      <c r="B9503" t="s">
        <v>7737</v>
      </c>
    </row>
    <row r="9504" spans="1:2" x14ac:dyDescent="0.25">
      <c r="A9504" t="s">
        <v>11946</v>
      </c>
      <c r="B9504" t="s">
        <v>7737</v>
      </c>
    </row>
    <row r="9505" spans="1:2" x14ac:dyDescent="0.25">
      <c r="A9505" t="s">
        <v>3328</v>
      </c>
      <c r="B9505" t="s">
        <v>14977</v>
      </c>
    </row>
    <row r="9506" spans="1:2" x14ac:dyDescent="0.25">
      <c r="A9506" t="s">
        <v>10952</v>
      </c>
      <c r="B9506" t="s">
        <v>3328</v>
      </c>
    </row>
    <row r="9507" spans="1:2" x14ac:dyDescent="0.25">
      <c r="A9507" t="s">
        <v>10537</v>
      </c>
      <c r="B9507" t="s">
        <v>3328</v>
      </c>
    </row>
    <row r="9508" spans="1:2" x14ac:dyDescent="0.25">
      <c r="A9508" t="s">
        <v>4311</v>
      </c>
      <c r="B9508" t="s">
        <v>3328</v>
      </c>
    </row>
    <row r="9509" spans="1:2" x14ac:dyDescent="0.25">
      <c r="A9509" t="s">
        <v>11515</v>
      </c>
      <c r="B9509" t="s">
        <v>4311</v>
      </c>
    </row>
    <row r="9510" spans="1:2" x14ac:dyDescent="0.25">
      <c r="A9510" t="s">
        <v>3721</v>
      </c>
      <c r="B9510" t="s">
        <v>4311</v>
      </c>
    </row>
    <row r="9511" spans="1:2" x14ac:dyDescent="0.25">
      <c r="A9511" t="s">
        <v>10539</v>
      </c>
      <c r="B9511" t="s">
        <v>3328</v>
      </c>
    </row>
    <row r="9512" spans="1:2" x14ac:dyDescent="0.25">
      <c r="A9512" t="s">
        <v>12860</v>
      </c>
      <c r="B9512" t="s">
        <v>3328</v>
      </c>
    </row>
    <row r="9513" spans="1:2" x14ac:dyDescent="0.25">
      <c r="A9513" t="s">
        <v>11919</v>
      </c>
      <c r="B9513" t="s">
        <v>12860</v>
      </c>
    </row>
    <row r="9514" spans="1:2" x14ac:dyDescent="0.25">
      <c r="A9514" t="s">
        <v>9566</v>
      </c>
      <c r="B9514" t="s">
        <v>11919</v>
      </c>
    </row>
    <row r="9515" spans="1:2" x14ac:dyDescent="0.25">
      <c r="A9515" t="s">
        <v>12487</v>
      </c>
      <c r="B9515" t="s">
        <v>11919</v>
      </c>
    </row>
    <row r="9516" spans="1:2" x14ac:dyDescent="0.25">
      <c r="A9516" t="s">
        <v>6149</v>
      </c>
      <c r="B9516" t="s">
        <v>12860</v>
      </c>
    </row>
    <row r="9517" spans="1:2" x14ac:dyDescent="0.25">
      <c r="A9517" t="s">
        <v>6564</v>
      </c>
      <c r="B9517" t="s">
        <v>6149</v>
      </c>
    </row>
    <row r="9518" spans="1:2" x14ac:dyDescent="0.25">
      <c r="A9518" t="s">
        <v>3013</v>
      </c>
      <c r="B9518" t="s">
        <v>6149</v>
      </c>
    </row>
    <row r="9519" spans="1:2" x14ac:dyDescent="0.25">
      <c r="A9519" t="s">
        <v>7743</v>
      </c>
      <c r="B9519" t="s">
        <v>6149</v>
      </c>
    </row>
    <row r="9520" spans="1:2" x14ac:dyDescent="0.25">
      <c r="A9520" t="s">
        <v>7904</v>
      </c>
      <c r="B9520" t="s">
        <v>6149</v>
      </c>
    </row>
    <row r="9521" spans="1:2" x14ac:dyDescent="0.25">
      <c r="A9521" t="s">
        <v>11935</v>
      </c>
      <c r="B9521" t="s">
        <v>12860</v>
      </c>
    </row>
    <row r="9522" spans="1:2" x14ac:dyDescent="0.25">
      <c r="A9522" t="s">
        <v>11754</v>
      </c>
      <c r="B9522" t="s">
        <v>11935</v>
      </c>
    </row>
    <row r="9523" spans="1:2" x14ac:dyDescent="0.25">
      <c r="A9523" t="s">
        <v>12619</v>
      </c>
      <c r="B9523" t="s">
        <v>11935</v>
      </c>
    </row>
    <row r="9524" spans="1:2" x14ac:dyDescent="0.25">
      <c r="A9524" t="s">
        <v>12621</v>
      </c>
      <c r="B9524" t="s">
        <v>11935</v>
      </c>
    </row>
    <row r="9525" spans="1:2" x14ac:dyDescent="0.25">
      <c r="A9525" t="s">
        <v>10986</v>
      </c>
      <c r="B9525" t="s">
        <v>12860</v>
      </c>
    </row>
    <row r="9526" spans="1:2" x14ac:dyDescent="0.25">
      <c r="A9526" t="s">
        <v>8741</v>
      </c>
      <c r="B9526" t="s">
        <v>10986</v>
      </c>
    </row>
    <row r="9527" spans="1:2" x14ac:dyDescent="0.25">
      <c r="A9527" t="s">
        <v>9567</v>
      </c>
      <c r="B9527" t="s">
        <v>10986</v>
      </c>
    </row>
    <row r="9528" spans="1:2" x14ac:dyDescent="0.25">
      <c r="A9528" t="s">
        <v>6565</v>
      </c>
      <c r="B9528" t="s">
        <v>10986</v>
      </c>
    </row>
    <row r="9529" spans="1:2" x14ac:dyDescent="0.25">
      <c r="A9529" t="s">
        <v>10138</v>
      </c>
      <c r="B9529" t="s">
        <v>12860</v>
      </c>
    </row>
    <row r="9530" spans="1:2" x14ac:dyDescent="0.25">
      <c r="A9530" t="s">
        <v>7742</v>
      </c>
      <c r="B9530" t="s">
        <v>10138</v>
      </c>
    </row>
    <row r="9531" spans="1:2" x14ac:dyDescent="0.25">
      <c r="A9531" t="s">
        <v>9568</v>
      </c>
      <c r="B9531" t="s">
        <v>10138</v>
      </c>
    </row>
    <row r="9532" spans="1:2" x14ac:dyDescent="0.25">
      <c r="A9532" t="s">
        <v>9633</v>
      </c>
      <c r="B9532" t="s">
        <v>10138</v>
      </c>
    </row>
    <row r="9533" spans="1:2" x14ac:dyDescent="0.25">
      <c r="A9533" t="s">
        <v>7131</v>
      </c>
      <c r="B9533" t="s">
        <v>12860</v>
      </c>
    </row>
    <row r="9534" spans="1:2" x14ac:dyDescent="0.25">
      <c r="A9534" t="s">
        <v>12861</v>
      </c>
      <c r="B9534" t="s">
        <v>3328</v>
      </c>
    </row>
    <row r="9535" spans="1:2" x14ac:dyDescent="0.25">
      <c r="A9535" t="s">
        <v>6069</v>
      </c>
      <c r="B9535" t="s">
        <v>12861</v>
      </c>
    </row>
    <row r="9536" spans="1:2" x14ac:dyDescent="0.25">
      <c r="A9536" t="s">
        <v>10953</v>
      </c>
      <c r="B9536" t="s">
        <v>12861</v>
      </c>
    </row>
    <row r="9537" spans="1:2" x14ac:dyDescent="0.25">
      <c r="A9537" t="s">
        <v>11921</v>
      </c>
      <c r="B9537" t="s">
        <v>12861</v>
      </c>
    </row>
    <row r="9538" spans="1:2" x14ac:dyDescent="0.25">
      <c r="A9538" t="s">
        <v>9914</v>
      </c>
      <c r="B9538" t="s">
        <v>12861</v>
      </c>
    </row>
    <row r="9539" spans="1:2" x14ac:dyDescent="0.25">
      <c r="A9539" t="s">
        <v>12880</v>
      </c>
      <c r="B9539" t="s">
        <v>3328</v>
      </c>
    </row>
    <row r="9540" spans="1:2" x14ac:dyDescent="0.25">
      <c r="A9540" t="s">
        <v>11516</v>
      </c>
      <c r="B9540" t="s">
        <v>12880</v>
      </c>
    </row>
    <row r="9541" spans="1:2" x14ac:dyDescent="0.25">
      <c r="A9541" t="s">
        <v>5663</v>
      </c>
      <c r="B9541" t="s">
        <v>11516</v>
      </c>
    </row>
    <row r="9542" spans="1:2" x14ac:dyDescent="0.25">
      <c r="A9542" t="s">
        <v>11756</v>
      </c>
      <c r="B9542" t="s">
        <v>11516</v>
      </c>
    </row>
    <row r="9543" spans="1:2" x14ac:dyDescent="0.25">
      <c r="A9543" t="s">
        <v>9569</v>
      </c>
      <c r="B9543" t="s">
        <v>11516</v>
      </c>
    </row>
    <row r="9544" spans="1:2" x14ac:dyDescent="0.25">
      <c r="A9544" t="s">
        <v>7861</v>
      </c>
      <c r="B9544" t="s">
        <v>11516</v>
      </c>
    </row>
    <row r="9545" spans="1:2" x14ac:dyDescent="0.25">
      <c r="A9545" t="s">
        <v>6070</v>
      </c>
      <c r="B9545" t="s">
        <v>12880</v>
      </c>
    </row>
    <row r="9546" spans="1:2" x14ac:dyDescent="0.25">
      <c r="A9546" t="s">
        <v>11244</v>
      </c>
      <c r="B9546" t="s">
        <v>6070</v>
      </c>
    </row>
    <row r="9547" spans="1:2" x14ac:dyDescent="0.25">
      <c r="A9547" t="s">
        <v>6566</v>
      </c>
      <c r="B9547" t="s">
        <v>6070</v>
      </c>
    </row>
    <row r="9548" spans="1:2" x14ac:dyDescent="0.25">
      <c r="A9548" t="s">
        <v>6567</v>
      </c>
      <c r="B9548" t="s">
        <v>6070</v>
      </c>
    </row>
    <row r="9549" spans="1:2" x14ac:dyDescent="0.25">
      <c r="A9549" t="s">
        <v>11517</v>
      </c>
      <c r="B9549" t="s">
        <v>6070</v>
      </c>
    </row>
    <row r="9550" spans="1:2" x14ac:dyDescent="0.25">
      <c r="A9550" t="s">
        <v>7133</v>
      </c>
      <c r="B9550" t="s">
        <v>6070</v>
      </c>
    </row>
    <row r="9551" spans="1:2" x14ac:dyDescent="0.25">
      <c r="A9551" t="s">
        <v>5247</v>
      </c>
      <c r="B9551" t="s">
        <v>6070</v>
      </c>
    </row>
    <row r="9552" spans="1:2" x14ac:dyDescent="0.25">
      <c r="A9552" t="s">
        <v>9127</v>
      </c>
      <c r="B9552" t="s">
        <v>6070</v>
      </c>
    </row>
    <row r="9553" spans="1:2" x14ac:dyDescent="0.25">
      <c r="A9553" t="s">
        <v>8813</v>
      </c>
      <c r="B9553" t="s">
        <v>6070</v>
      </c>
    </row>
    <row r="9554" spans="1:2" x14ac:dyDescent="0.25">
      <c r="A9554" t="s">
        <v>4893</v>
      </c>
      <c r="B9554" t="s">
        <v>6070</v>
      </c>
    </row>
    <row r="9555" spans="1:2" x14ac:dyDescent="0.25">
      <c r="A9555" t="s">
        <v>6071</v>
      </c>
      <c r="B9555" t="s">
        <v>12880</v>
      </c>
    </row>
    <row r="9556" spans="1:2" x14ac:dyDescent="0.25">
      <c r="A9556" t="s">
        <v>11245</v>
      </c>
      <c r="B9556" t="s">
        <v>6071</v>
      </c>
    </row>
    <row r="9557" spans="1:2" x14ac:dyDescent="0.25">
      <c r="A9557" t="s">
        <v>11518</v>
      </c>
      <c r="B9557" t="s">
        <v>6071</v>
      </c>
    </row>
    <row r="9558" spans="1:2" x14ac:dyDescent="0.25">
      <c r="A9558" t="s">
        <v>7134</v>
      </c>
      <c r="B9558" t="s">
        <v>6071</v>
      </c>
    </row>
    <row r="9559" spans="1:2" x14ac:dyDescent="0.25">
      <c r="A9559" t="s">
        <v>12298</v>
      </c>
      <c r="B9559" t="s">
        <v>12880</v>
      </c>
    </row>
    <row r="9560" spans="1:2" x14ac:dyDescent="0.25">
      <c r="A9560" t="s">
        <v>11785</v>
      </c>
      <c r="B9560" t="s">
        <v>12298</v>
      </c>
    </row>
    <row r="9561" spans="1:2" x14ac:dyDescent="0.25">
      <c r="A9561" t="s">
        <v>12633</v>
      </c>
      <c r="B9561" t="s">
        <v>12298</v>
      </c>
    </row>
    <row r="9562" spans="1:2" x14ac:dyDescent="0.25">
      <c r="A9562" t="s">
        <v>12729</v>
      </c>
      <c r="B9562" t="s">
        <v>12880</v>
      </c>
    </row>
    <row r="9563" spans="1:2" x14ac:dyDescent="0.25">
      <c r="A9563" t="s">
        <v>2466</v>
      </c>
      <c r="B9563" t="s">
        <v>12729</v>
      </c>
    </row>
    <row r="9564" spans="1:2" x14ac:dyDescent="0.25">
      <c r="A9564" t="s">
        <v>5334</v>
      </c>
      <c r="B9564" t="s">
        <v>12729</v>
      </c>
    </row>
    <row r="9565" spans="1:2" x14ac:dyDescent="0.25">
      <c r="A9565" t="s">
        <v>6151</v>
      </c>
      <c r="B9565" t="s">
        <v>12729</v>
      </c>
    </row>
    <row r="9566" spans="1:2" x14ac:dyDescent="0.25">
      <c r="A9566" t="s">
        <v>4894</v>
      </c>
      <c r="B9566" t="s">
        <v>12729</v>
      </c>
    </row>
    <row r="9567" spans="1:2" x14ac:dyDescent="0.25">
      <c r="A9567" t="s">
        <v>13513</v>
      </c>
      <c r="B9567" t="s">
        <v>12880</v>
      </c>
    </row>
    <row r="9568" spans="1:2" x14ac:dyDescent="0.25">
      <c r="A9568" t="s">
        <v>11920</v>
      </c>
      <c r="B9568" t="s">
        <v>13513</v>
      </c>
    </row>
    <row r="9569" spans="1:2" x14ac:dyDescent="0.25">
      <c r="A9569" t="s">
        <v>12718</v>
      </c>
      <c r="B9569" t="s">
        <v>11920</v>
      </c>
    </row>
    <row r="9570" spans="1:2" x14ac:dyDescent="0.25">
      <c r="A9570" t="s">
        <v>9126</v>
      </c>
      <c r="B9570" t="s">
        <v>11920</v>
      </c>
    </row>
    <row r="9571" spans="1:2" x14ac:dyDescent="0.25">
      <c r="A9571" t="s">
        <v>11755</v>
      </c>
      <c r="B9571" t="s">
        <v>11920</v>
      </c>
    </row>
    <row r="9572" spans="1:2" x14ac:dyDescent="0.25">
      <c r="A9572" t="s">
        <v>5246</v>
      </c>
      <c r="B9572" t="s">
        <v>13513</v>
      </c>
    </row>
    <row r="9573" spans="1:2" x14ac:dyDescent="0.25">
      <c r="A9573" t="s">
        <v>7132</v>
      </c>
      <c r="B9573" t="s">
        <v>13513</v>
      </c>
    </row>
    <row r="9574" spans="1:2" x14ac:dyDescent="0.25">
      <c r="A9574" t="s">
        <v>12620</v>
      </c>
      <c r="B9574" t="s">
        <v>13513</v>
      </c>
    </row>
    <row r="9575" spans="1:2" x14ac:dyDescent="0.25">
      <c r="A9575" t="s">
        <v>7274</v>
      </c>
      <c r="B9575" t="s">
        <v>13513</v>
      </c>
    </row>
    <row r="9576" spans="1:2" x14ac:dyDescent="0.25">
      <c r="A9576" t="s">
        <v>12719</v>
      </c>
      <c r="B9576" t="s">
        <v>3328</v>
      </c>
    </row>
    <row r="9577" spans="1:2" x14ac:dyDescent="0.25">
      <c r="A9577" t="s">
        <v>9565</v>
      </c>
      <c r="B9577" t="s">
        <v>12719</v>
      </c>
    </row>
    <row r="9578" spans="1:2" x14ac:dyDescent="0.25">
      <c r="A9578" t="s">
        <v>4312</v>
      </c>
      <c r="B9578" t="s">
        <v>12719</v>
      </c>
    </row>
    <row r="9579" spans="1:2" x14ac:dyDescent="0.25">
      <c r="A9579" t="s">
        <v>13514</v>
      </c>
      <c r="B9579" t="s">
        <v>12719</v>
      </c>
    </row>
    <row r="9580" spans="1:2" x14ac:dyDescent="0.25">
      <c r="A9580" t="s">
        <v>12479</v>
      </c>
      <c r="B9580" t="s">
        <v>13514</v>
      </c>
    </row>
    <row r="9581" spans="1:2" x14ac:dyDescent="0.25">
      <c r="A9581" t="s">
        <v>8304</v>
      </c>
      <c r="B9581" t="s">
        <v>13514</v>
      </c>
    </row>
    <row r="9582" spans="1:2" x14ac:dyDescent="0.25">
      <c r="A9582" t="s">
        <v>12480</v>
      </c>
      <c r="B9582" t="s">
        <v>13514</v>
      </c>
    </row>
    <row r="9583" spans="1:2" x14ac:dyDescent="0.25">
      <c r="A9583" t="s">
        <v>8305</v>
      </c>
      <c r="B9583" t="s">
        <v>13514</v>
      </c>
    </row>
    <row r="9584" spans="1:2" x14ac:dyDescent="0.25">
      <c r="A9584" t="s">
        <v>12481</v>
      </c>
      <c r="B9584" t="s">
        <v>13514</v>
      </c>
    </row>
    <row r="9585" spans="1:2" x14ac:dyDescent="0.25">
      <c r="A9585" t="s">
        <v>8306</v>
      </c>
      <c r="B9585" t="s">
        <v>13514</v>
      </c>
    </row>
    <row r="9586" spans="1:2" x14ac:dyDescent="0.25">
      <c r="A9586" t="s">
        <v>8307</v>
      </c>
      <c r="B9586" t="s">
        <v>13514</v>
      </c>
    </row>
    <row r="9587" spans="1:2" x14ac:dyDescent="0.25">
      <c r="A9587" t="s">
        <v>12728</v>
      </c>
      <c r="B9587" t="s">
        <v>12719</v>
      </c>
    </row>
    <row r="9588" spans="1:2" x14ac:dyDescent="0.25">
      <c r="A9588" t="s">
        <v>7862</v>
      </c>
      <c r="B9588" t="s">
        <v>12728</v>
      </c>
    </row>
    <row r="9589" spans="1:2" x14ac:dyDescent="0.25">
      <c r="A9589" t="s">
        <v>5729</v>
      </c>
      <c r="B9589" t="s">
        <v>12728</v>
      </c>
    </row>
    <row r="9590" spans="1:2" x14ac:dyDescent="0.25">
      <c r="A9590" t="s">
        <v>7863</v>
      </c>
      <c r="B9590" t="s">
        <v>12728</v>
      </c>
    </row>
    <row r="9591" spans="1:2" x14ac:dyDescent="0.25">
      <c r="A9591" t="s">
        <v>9619</v>
      </c>
      <c r="B9591" t="s">
        <v>12728</v>
      </c>
    </row>
    <row r="9592" spans="1:2" x14ac:dyDescent="0.25">
      <c r="A9592" t="s">
        <v>10616</v>
      </c>
      <c r="B9592" t="s">
        <v>12728</v>
      </c>
    </row>
    <row r="9593" spans="1:2" x14ac:dyDescent="0.25">
      <c r="A9593" t="s">
        <v>11936</v>
      </c>
      <c r="B9593" t="s">
        <v>12728</v>
      </c>
    </row>
    <row r="9594" spans="1:2" x14ac:dyDescent="0.25">
      <c r="A9594" t="s">
        <v>6150</v>
      </c>
      <c r="B9594" t="s">
        <v>12728</v>
      </c>
    </row>
    <row r="9595" spans="1:2" x14ac:dyDescent="0.25">
      <c r="A9595" t="s">
        <v>3957</v>
      </c>
      <c r="B9595" t="s">
        <v>12728</v>
      </c>
    </row>
    <row r="9596" spans="1:2" x14ac:dyDescent="0.25">
      <c r="A9596" t="s">
        <v>4308</v>
      </c>
      <c r="B9596" t="s">
        <v>3328</v>
      </c>
    </row>
    <row r="9597" spans="1:2" x14ac:dyDescent="0.25">
      <c r="A9597" t="s">
        <v>6562</v>
      </c>
      <c r="B9597" t="s">
        <v>4308</v>
      </c>
    </row>
    <row r="9598" spans="1:2" x14ac:dyDescent="0.25">
      <c r="A9598" t="s">
        <v>3327</v>
      </c>
      <c r="B9598" t="s">
        <v>6562</v>
      </c>
    </row>
    <row r="9599" spans="1:2" x14ac:dyDescent="0.25">
      <c r="A9599" t="s">
        <v>7740</v>
      </c>
      <c r="B9599" t="s">
        <v>4308</v>
      </c>
    </row>
    <row r="9600" spans="1:2" x14ac:dyDescent="0.25">
      <c r="A9600" t="s">
        <v>7129</v>
      </c>
      <c r="B9600" t="s">
        <v>7740</v>
      </c>
    </row>
    <row r="9601" spans="1:2" x14ac:dyDescent="0.25">
      <c r="A9601" t="s">
        <v>9910</v>
      </c>
      <c r="B9601" t="s">
        <v>4308</v>
      </c>
    </row>
    <row r="9602" spans="1:2" x14ac:dyDescent="0.25">
      <c r="A9602" t="s">
        <v>9563</v>
      </c>
      <c r="B9602" t="s">
        <v>4308</v>
      </c>
    </row>
    <row r="9603" spans="1:2" x14ac:dyDescent="0.25">
      <c r="A9603" t="s">
        <v>11243</v>
      </c>
      <c r="B9603" t="s">
        <v>4308</v>
      </c>
    </row>
    <row r="9604" spans="1:2" x14ac:dyDescent="0.25">
      <c r="A9604" t="s">
        <v>3836</v>
      </c>
      <c r="B9604" t="s">
        <v>11243</v>
      </c>
    </row>
    <row r="9605" spans="1:2" x14ac:dyDescent="0.25">
      <c r="A9605" t="s">
        <v>12478</v>
      </c>
      <c r="B9605" t="s">
        <v>4308</v>
      </c>
    </row>
    <row r="9606" spans="1:2" x14ac:dyDescent="0.25">
      <c r="A9606" t="s">
        <v>9912</v>
      </c>
      <c r="B9606" t="s">
        <v>12478</v>
      </c>
    </row>
    <row r="9607" spans="1:2" x14ac:dyDescent="0.25">
      <c r="A9607" t="s">
        <v>2460</v>
      </c>
      <c r="B9607" t="s">
        <v>12478</v>
      </c>
    </row>
    <row r="9608" spans="1:2" x14ac:dyDescent="0.25">
      <c r="A9608" t="s">
        <v>1148</v>
      </c>
      <c r="B9608" t="s">
        <v>12478</v>
      </c>
    </row>
    <row r="9609" spans="1:2" x14ac:dyDescent="0.25">
      <c r="A9609" t="s">
        <v>4814</v>
      </c>
      <c r="B9609" t="s">
        <v>12478</v>
      </c>
    </row>
    <row r="9610" spans="1:2" x14ac:dyDescent="0.25">
      <c r="A9610" t="s">
        <v>4310</v>
      </c>
      <c r="B9610" t="s">
        <v>4308</v>
      </c>
    </row>
    <row r="9611" spans="1:2" x14ac:dyDescent="0.25">
      <c r="A9611" t="s">
        <v>3837</v>
      </c>
      <c r="B9611" t="s">
        <v>4310</v>
      </c>
    </row>
    <row r="9612" spans="1:2" x14ac:dyDescent="0.25">
      <c r="A9612" t="s">
        <v>6066</v>
      </c>
      <c r="B9612" t="s">
        <v>4310</v>
      </c>
    </row>
    <row r="9613" spans="1:2" x14ac:dyDescent="0.25">
      <c r="A9613" t="s">
        <v>10535</v>
      </c>
      <c r="B9613" t="s">
        <v>4310</v>
      </c>
    </row>
    <row r="9614" spans="1:2" x14ac:dyDescent="0.25">
      <c r="A9614" t="s">
        <v>9913</v>
      </c>
      <c r="B9614" t="s">
        <v>4310</v>
      </c>
    </row>
    <row r="9615" spans="1:2" x14ac:dyDescent="0.25">
      <c r="A9615" t="s">
        <v>9122</v>
      </c>
      <c r="B9615" t="s">
        <v>4308</v>
      </c>
    </row>
    <row r="9616" spans="1:2" x14ac:dyDescent="0.25">
      <c r="A9616" t="s">
        <v>4815</v>
      </c>
      <c r="B9616" t="s">
        <v>9122</v>
      </c>
    </row>
    <row r="9617" spans="1:2" x14ac:dyDescent="0.25">
      <c r="A9617" t="s">
        <v>11753</v>
      </c>
      <c r="B9617" t="s">
        <v>9122</v>
      </c>
    </row>
    <row r="9618" spans="1:2" x14ac:dyDescent="0.25">
      <c r="A9618" t="s">
        <v>3838</v>
      </c>
      <c r="B9618" t="s">
        <v>11753</v>
      </c>
    </row>
    <row r="9619" spans="1:2" x14ac:dyDescent="0.25">
      <c r="A9619" t="s">
        <v>2461</v>
      </c>
      <c r="B9619" t="s">
        <v>11753</v>
      </c>
    </row>
    <row r="9620" spans="1:2" x14ac:dyDescent="0.25">
      <c r="A9620" t="s">
        <v>1149</v>
      </c>
      <c r="B9620" t="s">
        <v>11753</v>
      </c>
    </row>
    <row r="9621" spans="1:2" x14ac:dyDescent="0.25">
      <c r="A9621" t="s">
        <v>9123</v>
      </c>
      <c r="B9621" t="s">
        <v>3328</v>
      </c>
    </row>
    <row r="9622" spans="1:2" x14ac:dyDescent="0.25">
      <c r="A9622" t="s">
        <v>10536</v>
      </c>
      <c r="B9622" t="s">
        <v>9123</v>
      </c>
    </row>
    <row r="9623" spans="1:2" x14ac:dyDescent="0.25">
      <c r="A9623" t="s">
        <v>1974</v>
      </c>
      <c r="B9623" t="s">
        <v>10536</v>
      </c>
    </row>
    <row r="9624" spans="1:2" x14ac:dyDescent="0.25">
      <c r="A9624" t="s">
        <v>2462</v>
      </c>
      <c r="B9624" t="s">
        <v>10536</v>
      </c>
    </row>
    <row r="9625" spans="1:2" x14ac:dyDescent="0.25">
      <c r="A9625" t="s">
        <v>3465</v>
      </c>
      <c r="B9625" t="s">
        <v>10536</v>
      </c>
    </row>
    <row r="9626" spans="1:2" x14ac:dyDescent="0.25">
      <c r="A9626" t="s">
        <v>1151</v>
      </c>
      <c r="B9626" t="s">
        <v>9123</v>
      </c>
    </row>
    <row r="9627" spans="1:2" x14ac:dyDescent="0.25">
      <c r="A9627" t="s">
        <v>2463</v>
      </c>
      <c r="B9627" t="s">
        <v>9123</v>
      </c>
    </row>
    <row r="9628" spans="1:2" x14ac:dyDescent="0.25">
      <c r="A9628" t="s">
        <v>5661</v>
      </c>
      <c r="B9628" t="s">
        <v>9123</v>
      </c>
    </row>
    <row r="9629" spans="1:2" x14ac:dyDescent="0.25">
      <c r="A9629" t="s">
        <v>8738</v>
      </c>
      <c r="B9629" t="s">
        <v>9123</v>
      </c>
    </row>
    <row r="9630" spans="1:2" x14ac:dyDescent="0.25">
      <c r="A9630" t="s">
        <v>1975</v>
      </c>
      <c r="B9630" t="s">
        <v>9123</v>
      </c>
    </row>
    <row r="9631" spans="1:2" x14ac:dyDescent="0.25">
      <c r="A9631" t="s">
        <v>1976</v>
      </c>
      <c r="B9631" t="s">
        <v>9123</v>
      </c>
    </row>
    <row r="9632" spans="1:2" x14ac:dyDescent="0.25">
      <c r="A9632" t="s">
        <v>7741</v>
      </c>
      <c r="B9632" t="s">
        <v>9123</v>
      </c>
    </row>
    <row r="9633" spans="1:2" x14ac:dyDescent="0.25">
      <c r="A9633" t="s">
        <v>12482</v>
      </c>
      <c r="B9633" t="s">
        <v>7741</v>
      </c>
    </row>
    <row r="9634" spans="1:2" x14ac:dyDescent="0.25">
      <c r="A9634" t="s">
        <v>8308</v>
      </c>
      <c r="B9634" t="s">
        <v>12482</v>
      </c>
    </row>
    <row r="9635" spans="1:2" x14ac:dyDescent="0.25">
      <c r="A9635" t="s">
        <v>12483</v>
      </c>
      <c r="B9635" t="s">
        <v>7741</v>
      </c>
    </row>
    <row r="9636" spans="1:2" x14ac:dyDescent="0.25">
      <c r="A9636" t="s">
        <v>9124</v>
      </c>
      <c r="B9636" t="s">
        <v>12483</v>
      </c>
    </row>
    <row r="9637" spans="1:2" x14ac:dyDescent="0.25">
      <c r="A9637" t="s">
        <v>12484</v>
      </c>
      <c r="B9637" t="s">
        <v>7741</v>
      </c>
    </row>
    <row r="9638" spans="1:2" x14ac:dyDescent="0.25">
      <c r="A9638" t="s">
        <v>2464</v>
      </c>
      <c r="B9638" t="s">
        <v>12484</v>
      </c>
    </row>
    <row r="9639" spans="1:2" x14ac:dyDescent="0.25">
      <c r="A9639" t="s">
        <v>12485</v>
      </c>
      <c r="B9639" t="s">
        <v>7741</v>
      </c>
    </row>
    <row r="9640" spans="1:2" x14ac:dyDescent="0.25">
      <c r="A9640" t="s">
        <v>8739</v>
      </c>
      <c r="B9640" t="s">
        <v>12485</v>
      </c>
    </row>
    <row r="9641" spans="1:2" x14ac:dyDescent="0.25">
      <c r="A9641" t="s">
        <v>12486</v>
      </c>
      <c r="B9641" t="s">
        <v>7741</v>
      </c>
    </row>
    <row r="9642" spans="1:2" x14ac:dyDescent="0.25">
      <c r="A9642" t="s">
        <v>6067</v>
      </c>
      <c r="B9642" t="s">
        <v>12486</v>
      </c>
    </row>
    <row r="9643" spans="1:2" x14ac:dyDescent="0.25">
      <c r="A9643" t="s">
        <v>8404</v>
      </c>
      <c r="B9643" t="s">
        <v>7741</v>
      </c>
    </row>
    <row r="9644" spans="1:2" x14ac:dyDescent="0.25">
      <c r="A9644" t="s">
        <v>13515</v>
      </c>
      <c r="B9644" t="s">
        <v>3328</v>
      </c>
    </row>
    <row r="9645" spans="1:2" x14ac:dyDescent="0.25">
      <c r="A9645" t="s">
        <v>13197</v>
      </c>
      <c r="B9645" t="s">
        <v>14977</v>
      </c>
    </row>
    <row r="9646" spans="1:2" x14ac:dyDescent="0.25">
      <c r="A9646" t="s">
        <v>4819</v>
      </c>
      <c r="B9646" t="s">
        <v>13197</v>
      </c>
    </row>
    <row r="9647" spans="1:2" x14ac:dyDescent="0.25">
      <c r="A9647" t="s">
        <v>6570</v>
      </c>
      <c r="B9647" t="s">
        <v>4819</v>
      </c>
    </row>
    <row r="9648" spans="1:2" x14ac:dyDescent="0.25">
      <c r="A9648" t="s">
        <v>8743</v>
      </c>
      <c r="B9648" t="s">
        <v>6570</v>
      </c>
    </row>
    <row r="9649" spans="1:2" x14ac:dyDescent="0.25">
      <c r="A9649" t="s">
        <v>8744</v>
      </c>
      <c r="B9649" t="s">
        <v>6570</v>
      </c>
    </row>
    <row r="9650" spans="1:2" x14ac:dyDescent="0.25">
      <c r="A9650" t="s">
        <v>8745</v>
      </c>
      <c r="B9650" t="s">
        <v>6570</v>
      </c>
    </row>
    <row r="9651" spans="1:2" x14ac:dyDescent="0.25">
      <c r="A9651" t="s">
        <v>7860</v>
      </c>
      <c r="B9651" t="s">
        <v>6570</v>
      </c>
    </row>
    <row r="9652" spans="1:2" x14ac:dyDescent="0.25">
      <c r="A9652" t="s">
        <v>11246</v>
      </c>
      <c r="B9652" t="s">
        <v>4819</v>
      </c>
    </row>
    <row r="9653" spans="1:2" x14ac:dyDescent="0.25">
      <c r="A9653" t="s">
        <v>8746</v>
      </c>
      <c r="B9653" t="s">
        <v>11246</v>
      </c>
    </row>
    <row r="9654" spans="1:2" x14ac:dyDescent="0.25">
      <c r="A9654" t="s">
        <v>6072</v>
      </c>
      <c r="B9654" t="s">
        <v>11246</v>
      </c>
    </row>
    <row r="9655" spans="1:2" x14ac:dyDescent="0.25">
      <c r="A9655" t="s">
        <v>11519</v>
      </c>
      <c r="B9655" t="s">
        <v>4819</v>
      </c>
    </row>
    <row r="9656" spans="1:2" x14ac:dyDescent="0.25">
      <c r="A9656" t="s">
        <v>8747</v>
      </c>
      <c r="B9656" t="s">
        <v>11519</v>
      </c>
    </row>
    <row r="9657" spans="1:2" x14ac:dyDescent="0.25">
      <c r="A9657" t="s">
        <v>6073</v>
      </c>
      <c r="B9657" t="s">
        <v>11519</v>
      </c>
    </row>
    <row r="9658" spans="1:2" x14ac:dyDescent="0.25">
      <c r="A9658" t="s">
        <v>11247</v>
      </c>
      <c r="B9658" t="s">
        <v>4819</v>
      </c>
    </row>
    <row r="9659" spans="1:2" x14ac:dyDescent="0.25">
      <c r="A9659" t="s">
        <v>8748</v>
      </c>
      <c r="B9659" t="s">
        <v>11247</v>
      </c>
    </row>
    <row r="9660" spans="1:2" x14ac:dyDescent="0.25">
      <c r="A9660" t="s">
        <v>8749</v>
      </c>
      <c r="B9660" t="s">
        <v>11247</v>
      </c>
    </row>
    <row r="9661" spans="1:2" x14ac:dyDescent="0.25">
      <c r="A9661" t="s">
        <v>6074</v>
      </c>
      <c r="B9661" t="s">
        <v>11247</v>
      </c>
    </row>
    <row r="9662" spans="1:2" x14ac:dyDescent="0.25">
      <c r="A9662" t="s">
        <v>5664</v>
      </c>
      <c r="B9662" t="s">
        <v>4819</v>
      </c>
    </row>
    <row r="9663" spans="1:2" x14ac:dyDescent="0.25">
      <c r="A9663" t="s">
        <v>3331</v>
      </c>
      <c r="B9663" t="s">
        <v>5664</v>
      </c>
    </row>
    <row r="9664" spans="1:2" x14ac:dyDescent="0.25">
      <c r="A9664" t="s">
        <v>7296</v>
      </c>
      <c r="B9664" t="s">
        <v>5664</v>
      </c>
    </row>
    <row r="9665" spans="1:2" x14ac:dyDescent="0.25">
      <c r="A9665" t="s">
        <v>8750</v>
      </c>
      <c r="B9665" t="s">
        <v>4819</v>
      </c>
    </row>
    <row r="9666" spans="1:2" x14ac:dyDescent="0.25">
      <c r="A9666" t="s">
        <v>8751</v>
      </c>
      <c r="B9666" t="s">
        <v>8750</v>
      </c>
    </row>
    <row r="9667" spans="1:2" x14ac:dyDescent="0.25">
      <c r="A9667" t="s">
        <v>8752</v>
      </c>
      <c r="B9667" t="s">
        <v>8750</v>
      </c>
    </row>
    <row r="9668" spans="1:2" x14ac:dyDescent="0.25">
      <c r="A9668" t="s">
        <v>8753</v>
      </c>
      <c r="B9668" t="s">
        <v>8750</v>
      </c>
    </row>
    <row r="9669" spans="1:2" x14ac:dyDescent="0.25">
      <c r="A9669" t="s">
        <v>8317</v>
      </c>
      <c r="B9669" t="s">
        <v>8750</v>
      </c>
    </row>
    <row r="9670" spans="1:2" x14ac:dyDescent="0.25">
      <c r="A9670" t="s">
        <v>8754</v>
      </c>
      <c r="B9670" t="s">
        <v>4819</v>
      </c>
    </row>
    <row r="9671" spans="1:2" x14ac:dyDescent="0.25">
      <c r="A9671" t="s">
        <v>10985</v>
      </c>
      <c r="B9671" t="s">
        <v>4819</v>
      </c>
    </row>
    <row r="9672" spans="1:2" x14ac:dyDescent="0.25">
      <c r="A9672" t="s">
        <v>11934</v>
      </c>
      <c r="B9672" t="s">
        <v>4819</v>
      </c>
    </row>
    <row r="9673" spans="1:2" x14ac:dyDescent="0.25">
      <c r="A9673" t="s">
        <v>11952</v>
      </c>
      <c r="B9673" t="s">
        <v>11934</v>
      </c>
    </row>
    <row r="9674" spans="1:2" x14ac:dyDescent="0.25">
      <c r="A9674" t="s">
        <v>11571</v>
      </c>
      <c r="B9674" t="s">
        <v>11952</v>
      </c>
    </row>
    <row r="9675" spans="1:2" x14ac:dyDescent="0.25">
      <c r="A9675" t="s">
        <v>11007</v>
      </c>
      <c r="B9675" t="s">
        <v>11952</v>
      </c>
    </row>
    <row r="9676" spans="1:2" x14ac:dyDescent="0.25">
      <c r="A9676" t="s">
        <v>11328</v>
      </c>
      <c r="B9676" t="s">
        <v>11934</v>
      </c>
    </row>
    <row r="9677" spans="1:2" x14ac:dyDescent="0.25">
      <c r="A9677" t="s">
        <v>10660</v>
      </c>
      <c r="B9677" t="s">
        <v>11328</v>
      </c>
    </row>
    <row r="9678" spans="1:2" x14ac:dyDescent="0.25">
      <c r="A9678" t="s">
        <v>11799</v>
      </c>
      <c r="B9678" t="s">
        <v>11328</v>
      </c>
    </row>
    <row r="9679" spans="1:2" x14ac:dyDescent="0.25">
      <c r="A9679" t="s">
        <v>10159</v>
      </c>
      <c r="B9679" t="s">
        <v>11328</v>
      </c>
    </row>
    <row r="9680" spans="1:2" x14ac:dyDescent="0.25">
      <c r="A9680" t="s">
        <v>11010</v>
      </c>
      <c r="B9680" t="s">
        <v>11328</v>
      </c>
    </row>
    <row r="9681" spans="1:2" x14ac:dyDescent="0.25">
      <c r="A9681" t="s">
        <v>10661</v>
      </c>
      <c r="B9681" t="s">
        <v>11328</v>
      </c>
    </row>
    <row r="9682" spans="1:2" x14ac:dyDescent="0.25">
      <c r="A9682" t="s">
        <v>11570</v>
      </c>
      <c r="B9682" t="s">
        <v>4819</v>
      </c>
    </row>
    <row r="9683" spans="1:2" x14ac:dyDescent="0.25">
      <c r="A9683" t="s">
        <v>10954</v>
      </c>
      <c r="B9683" t="s">
        <v>13197</v>
      </c>
    </row>
    <row r="9684" spans="1:2" x14ac:dyDescent="0.25">
      <c r="A9684" t="s">
        <v>9920</v>
      </c>
      <c r="B9684" t="s">
        <v>10954</v>
      </c>
    </row>
    <row r="9685" spans="1:2" x14ac:dyDescent="0.25">
      <c r="A9685" t="s">
        <v>9921</v>
      </c>
      <c r="B9685" t="s">
        <v>9920</v>
      </c>
    </row>
    <row r="9686" spans="1:2" x14ac:dyDescent="0.25">
      <c r="A9686" t="s">
        <v>9922</v>
      </c>
      <c r="B9686" t="s">
        <v>9920</v>
      </c>
    </row>
    <row r="9687" spans="1:2" x14ac:dyDescent="0.25">
      <c r="A9687" t="s">
        <v>7744</v>
      </c>
      <c r="B9687" t="s">
        <v>9920</v>
      </c>
    </row>
    <row r="9688" spans="1:2" x14ac:dyDescent="0.25">
      <c r="A9688" t="s">
        <v>7745</v>
      </c>
      <c r="B9688" t="s">
        <v>9920</v>
      </c>
    </row>
    <row r="9689" spans="1:2" x14ac:dyDescent="0.25">
      <c r="A9689" t="s">
        <v>7747</v>
      </c>
      <c r="B9689" t="s">
        <v>9920</v>
      </c>
    </row>
    <row r="9690" spans="1:2" x14ac:dyDescent="0.25">
      <c r="A9690" t="s">
        <v>6569</v>
      </c>
      <c r="B9690" t="s">
        <v>9920</v>
      </c>
    </row>
    <row r="9691" spans="1:2" x14ac:dyDescent="0.25">
      <c r="A9691" t="s">
        <v>7746</v>
      </c>
      <c r="B9691" t="s">
        <v>10954</v>
      </c>
    </row>
    <row r="9692" spans="1:2" x14ac:dyDescent="0.25">
      <c r="A9692" t="s">
        <v>8315</v>
      </c>
      <c r="B9692" t="s">
        <v>7746</v>
      </c>
    </row>
    <row r="9693" spans="1:2" x14ac:dyDescent="0.25">
      <c r="A9693" t="s">
        <v>5756</v>
      </c>
      <c r="B9693" t="s">
        <v>7746</v>
      </c>
    </row>
    <row r="9694" spans="1:2" x14ac:dyDescent="0.25">
      <c r="A9694" t="s">
        <v>6568</v>
      </c>
      <c r="B9694" t="s">
        <v>7746</v>
      </c>
    </row>
    <row r="9695" spans="1:2" x14ac:dyDescent="0.25">
      <c r="A9695" t="s">
        <v>10955</v>
      </c>
      <c r="B9695" t="s">
        <v>10954</v>
      </c>
    </row>
    <row r="9696" spans="1:2" x14ac:dyDescent="0.25">
      <c r="A9696" t="s">
        <v>7749</v>
      </c>
      <c r="B9696" t="s">
        <v>10955</v>
      </c>
    </row>
    <row r="9697" spans="1:2" x14ac:dyDescent="0.25">
      <c r="A9697" t="s">
        <v>7750</v>
      </c>
      <c r="B9697" t="s">
        <v>10955</v>
      </c>
    </row>
    <row r="9698" spans="1:2" x14ac:dyDescent="0.25">
      <c r="A9698" t="s">
        <v>7751</v>
      </c>
      <c r="B9698" t="s">
        <v>10955</v>
      </c>
    </row>
    <row r="9699" spans="1:2" x14ac:dyDescent="0.25">
      <c r="A9699" t="s">
        <v>7752</v>
      </c>
      <c r="B9699" t="s">
        <v>10955</v>
      </c>
    </row>
    <row r="9700" spans="1:2" x14ac:dyDescent="0.25">
      <c r="A9700" t="s">
        <v>7753</v>
      </c>
      <c r="B9700" t="s">
        <v>10955</v>
      </c>
    </row>
    <row r="9701" spans="1:2" x14ac:dyDescent="0.25">
      <c r="A9701" t="s">
        <v>5250</v>
      </c>
      <c r="B9701" t="s">
        <v>10955</v>
      </c>
    </row>
    <row r="9702" spans="1:2" x14ac:dyDescent="0.25">
      <c r="A9702" t="s">
        <v>5251</v>
      </c>
      <c r="B9702" t="s">
        <v>10955</v>
      </c>
    </row>
    <row r="9703" spans="1:2" x14ac:dyDescent="0.25">
      <c r="A9703" t="s">
        <v>5254</v>
      </c>
      <c r="B9703" t="s">
        <v>10955</v>
      </c>
    </row>
    <row r="9704" spans="1:2" x14ac:dyDescent="0.25">
      <c r="A9704" t="s">
        <v>5255</v>
      </c>
      <c r="B9704" t="s">
        <v>10955</v>
      </c>
    </row>
    <row r="9705" spans="1:2" x14ac:dyDescent="0.25">
      <c r="A9705" t="s">
        <v>4818</v>
      </c>
      <c r="B9705" t="s">
        <v>10954</v>
      </c>
    </row>
    <row r="9706" spans="1:2" x14ac:dyDescent="0.25">
      <c r="A9706" t="s">
        <v>112</v>
      </c>
      <c r="B9706" t="s">
        <v>4818</v>
      </c>
    </row>
    <row r="9707" spans="1:2" x14ac:dyDescent="0.25">
      <c r="A9707" t="s">
        <v>2468</v>
      </c>
      <c r="B9707" t="s">
        <v>4818</v>
      </c>
    </row>
    <row r="9708" spans="1:2" x14ac:dyDescent="0.25">
      <c r="A9708" t="s">
        <v>5256</v>
      </c>
      <c r="B9708" t="s">
        <v>4818</v>
      </c>
    </row>
    <row r="9709" spans="1:2" x14ac:dyDescent="0.25">
      <c r="A9709" t="s">
        <v>7754</v>
      </c>
      <c r="B9709" t="s">
        <v>10954</v>
      </c>
    </row>
    <row r="9710" spans="1:2" x14ac:dyDescent="0.25">
      <c r="A9710" t="s">
        <v>9923</v>
      </c>
      <c r="B9710" t="s">
        <v>7754</v>
      </c>
    </row>
    <row r="9711" spans="1:2" x14ac:dyDescent="0.25">
      <c r="A9711" t="s">
        <v>7755</v>
      </c>
      <c r="B9711" t="s">
        <v>7754</v>
      </c>
    </row>
    <row r="9712" spans="1:2" x14ac:dyDescent="0.25">
      <c r="A9712" t="s">
        <v>7756</v>
      </c>
      <c r="B9712" t="s">
        <v>7754</v>
      </c>
    </row>
    <row r="9713" spans="1:2" x14ac:dyDescent="0.25">
      <c r="A9713" t="s">
        <v>9570</v>
      </c>
      <c r="B9713" t="s">
        <v>7754</v>
      </c>
    </row>
    <row r="9714" spans="1:2" x14ac:dyDescent="0.25">
      <c r="A9714" t="s">
        <v>7859</v>
      </c>
      <c r="B9714" t="s">
        <v>7754</v>
      </c>
    </row>
    <row r="9715" spans="1:2" x14ac:dyDescent="0.25">
      <c r="A9715" t="s">
        <v>5248</v>
      </c>
      <c r="B9715" t="s">
        <v>7754</v>
      </c>
    </row>
    <row r="9716" spans="1:2" x14ac:dyDescent="0.25">
      <c r="A9716" t="s">
        <v>5249</v>
      </c>
      <c r="B9716" t="s">
        <v>7754</v>
      </c>
    </row>
    <row r="9717" spans="1:2" x14ac:dyDescent="0.25">
      <c r="A9717" t="s">
        <v>7748</v>
      </c>
      <c r="B9717" t="s">
        <v>7754</v>
      </c>
    </row>
    <row r="9718" spans="1:2" x14ac:dyDescent="0.25">
      <c r="A9718" t="s">
        <v>5252</v>
      </c>
      <c r="B9718" t="s">
        <v>7754</v>
      </c>
    </row>
    <row r="9719" spans="1:2" x14ac:dyDescent="0.25">
      <c r="A9719" t="s">
        <v>5253</v>
      </c>
      <c r="B9719" t="s">
        <v>7754</v>
      </c>
    </row>
    <row r="9720" spans="1:2" x14ac:dyDescent="0.25">
      <c r="A9720" t="s">
        <v>8316</v>
      </c>
      <c r="B9720" t="s">
        <v>7754</v>
      </c>
    </row>
    <row r="9721" spans="1:2" x14ac:dyDescent="0.25">
      <c r="A9721" t="s">
        <v>7757</v>
      </c>
      <c r="B9721" t="s">
        <v>10954</v>
      </c>
    </row>
    <row r="9722" spans="1:2" x14ac:dyDescent="0.25">
      <c r="A9722" t="s">
        <v>5333</v>
      </c>
      <c r="B9722" t="s">
        <v>10954</v>
      </c>
    </row>
    <row r="9723" spans="1:2" x14ac:dyDescent="0.25">
      <c r="A9723" t="s">
        <v>13199</v>
      </c>
      <c r="B9723" t="s">
        <v>14977</v>
      </c>
    </row>
    <row r="9724" spans="1:2" x14ac:dyDescent="0.25">
      <c r="A9724" t="s">
        <v>10922</v>
      </c>
      <c r="B9724" t="s">
        <v>13199</v>
      </c>
    </row>
    <row r="9725" spans="1:2" x14ac:dyDescent="0.25">
      <c r="A9725" t="s">
        <v>3213</v>
      </c>
      <c r="B9725" t="s">
        <v>10922</v>
      </c>
    </row>
    <row r="9726" spans="1:2" x14ac:dyDescent="0.25">
      <c r="A9726" t="s">
        <v>5994</v>
      </c>
      <c r="B9726" t="s">
        <v>10922</v>
      </c>
    </row>
    <row r="9727" spans="1:2" x14ac:dyDescent="0.25">
      <c r="A9727" t="s">
        <v>3720</v>
      </c>
      <c r="B9727" t="s">
        <v>5994</v>
      </c>
    </row>
    <row r="9728" spans="1:2" x14ac:dyDescent="0.25">
      <c r="A9728" t="s">
        <v>2163</v>
      </c>
      <c r="B9728" t="s">
        <v>5994</v>
      </c>
    </row>
    <row r="9729" spans="1:2" x14ac:dyDescent="0.25">
      <c r="A9729" t="s">
        <v>5581</v>
      </c>
      <c r="B9729" t="s">
        <v>10922</v>
      </c>
    </row>
    <row r="9730" spans="1:2" x14ac:dyDescent="0.25">
      <c r="A9730" t="s">
        <v>2738</v>
      </c>
      <c r="B9730" t="s">
        <v>5581</v>
      </c>
    </row>
    <row r="9731" spans="1:2" x14ac:dyDescent="0.25">
      <c r="A9731" t="s">
        <v>2325</v>
      </c>
      <c r="B9731" t="s">
        <v>5581</v>
      </c>
    </row>
    <row r="9732" spans="1:2" x14ac:dyDescent="0.25">
      <c r="A9732" t="s">
        <v>2739</v>
      </c>
      <c r="B9732" t="s">
        <v>5581</v>
      </c>
    </row>
    <row r="9733" spans="1:2" x14ac:dyDescent="0.25">
      <c r="A9733" t="s">
        <v>3220</v>
      </c>
      <c r="B9733" t="s">
        <v>5581</v>
      </c>
    </row>
    <row r="9734" spans="1:2" x14ac:dyDescent="0.25">
      <c r="A9734" t="s">
        <v>3722</v>
      </c>
      <c r="B9734" t="s">
        <v>5581</v>
      </c>
    </row>
    <row r="9735" spans="1:2" x14ac:dyDescent="0.25">
      <c r="A9735" t="s">
        <v>2747</v>
      </c>
      <c r="B9735" t="s">
        <v>5581</v>
      </c>
    </row>
    <row r="9736" spans="1:2" x14ac:dyDescent="0.25">
      <c r="A9736" t="s">
        <v>5145</v>
      </c>
      <c r="B9736" t="s">
        <v>5581</v>
      </c>
    </row>
    <row r="9737" spans="1:2" x14ac:dyDescent="0.25">
      <c r="A9737" t="s">
        <v>5146</v>
      </c>
      <c r="B9737" t="s">
        <v>5581</v>
      </c>
    </row>
    <row r="9738" spans="1:2" x14ac:dyDescent="0.25">
      <c r="A9738" t="s">
        <v>5150</v>
      </c>
      <c r="B9738" t="s">
        <v>5581</v>
      </c>
    </row>
    <row r="9739" spans="1:2" x14ac:dyDescent="0.25">
      <c r="A9739" t="s">
        <v>434</v>
      </c>
      <c r="B9739" t="s">
        <v>10922</v>
      </c>
    </row>
    <row r="9740" spans="1:2" x14ac:dyDescent="0.25">
      <c r="A9740" t="s">
        <v>3218</v>
      </c>
      <c r="B9740" t="s">
        <v>434</v>
      </c>
    </row>
    <row r="9741" spans="1:2" x14ac:dyDescent="0.25">
      <c r="A9741" t="s">
        <v>3219</v>
      </c>
      <c r="B9741" t="s">
        <v>434</v>
      </c>
    </row>
    <row r="9742" spans="1:2" x14ac:dyDescent="0.25">
      <c r="A9742" t="s">
        <v>2740</v>
      </c>
      <c r="B9742" t="s">
        <v>434</v>
      </c>
    </row>
    <row r="9743" spans="1:2" x14ac:dyDescent="0.25">
      <c r="A9743" t="s">
        <v>2326</v>
      </c>
      <c r="B9743" t="s">
        <v>434</v>
      </c>
    </row>
    <row r="9744" spans="1:2" x14ac:dyDescent="0.25">
      <c r="A9744" t="s">
        <v>2327</v>
      </c>
      <c r="B9744" t="s">
        <v>434</v>
      </c>
    </row>
    <row r="9745" spans="1:2" x14ac:dyDescent="0.25">
      <c r="A9745" t="s">
        <v>10923</v>
      </c>
      <c r="B9745" t="s">
        <v>434</v>
      </c>
    </row>
    <row r="9746" spans="1:2" x14ac:dyDescent="0.25">
      <c r="A9746" t="s">
        <v>3221</v>
      </c>
      <c r="B9746" t="s">
        <v>10923</v>
      </c>
    </row>
    <row r="9747" spans="1:2" x14ac:dyDescent="0.25">
      <c r="A9747" t="s">
        <v>3222</v>
      </c>
      <c r="B9747" t="s">
        <v>10923</v>
      </c>
    </row>
    <row r="9748" spans="1:2" x14ac:dyDescent="0.25">
      <c r="A9748" t="s">
        <v>5147</v>
      </c>
      <c r="B9748" t="s">
        <v>10923</v>
      </c>
    </row>
    <row r="9749" spans="1:2" x14ac:dyDescent="0.25">
      <c r="A9749" t="s">
        <v>552</v>
      </c>
      <c r="B9749" t="s">
        <v>10923</v>
      </c>
    </row>
    <row r="9750" spans="1:2" x14ac:dyDescent="0.25">
      <c r="A9750" t="s">
        <v>5148</v>
      </c>
      <c r="B9750" t="s">
        <v>10923</v>
      </c>
    </row>
    <row r="9751" spans="1:2" x14ac:dyDescent="0.25">
      <c r="A9751" t="s">
        <v>5343</v>
      </c>
      <c r="B9751" t="s">
        <v>10923</v>
      </c>
    </row>
    <row r="9752" spans="1:2" x14ac:dyDescent="0.25">
      <c r="A9752" t="s">
        <v>3229</v>
      </c>
      <c r="B9752" t="s">
        <v>10923</v>
      </c>
    </row>
    <row r="9753" spans="1:2" x14ac:dyDescent="0.25">
      <c r="A9753" t="s">
        <v>9876</v>
      </c>
      <c r="B9753" t="s">
        <v>434</v>
      </c>
    </row>
    <row r="9754" spans="1:2" x14ac:dyDescent="0.25">
      <c r="A9754" t="s">
        <v>3224</v>
      </c>
      <c r="B9754" t="s">
        <v>9876</v>
      </c>
    </row>
    <row r="9755" spans="1:2" x14ac:dyDescent="0.25">
      <c r="A9755" t="s">
        <v>3225</v>
      </c>
      <c r="B9755" t="s">
        <v>9876</v>
      </c>
    </row>
    <row r="9756" spans="1:2" x14ac:dyDescent="0.25">
      <c r="A9756" t="s">
        <v>3226</v>
      </c>
      <c r="B9756" t="s">
        <v>9876</v>
      </c>
    </row>
    <row r="9757" spans="1:2" x14ac:dyDescent="0.25">
      <c r="A9757" t="s">
        <v>2742</v>
      </c>
      <c r="B9757" t="s">
        <v>9876</v>
      </c>
    </row>
    <row r="9758" spans="1:2" x14ac:dyDescent="0.25">
      <c r="A9758" t="s">
        <v>2328</v>
      </c>
      <c r="B9758" t="s">
        <v>9876</v>
      </c>
    </row>
    <row r="9759" spans="1:2" x14ac:dyDescent="0.25">
      <c r="A9759" t="s">
        <v>2329</v>
      </c>
      <c r="B9759" t="s">
        <v>9876</v>
      </c>
    </row>
    <row r="9760" spans="1:2" x14ac:dyDescent="0.25">
      <c r="A9760" t="s">
        <v>3214</v>
      </c>
      <c r="B9760" t="s">
        <v>9876</v>
      </c>
    </row>
    <row r="9761" spans="1:2" x14ac:dyDescent="0.25">
      <c r="A9761" t="s">
        <v>3215</v>
      </c>
      <c r="B9761" t="s">
        <v>9876</v>
      </c>
    </row>
    <row r="9762" spans="1:2" x14ac:dyDescent="0.25">
      <c r="A9762" t="s">
        <v>435</v>
      </c>
      <c r="B9762" t="s">
        <v>9876</v>
      </c>
    </row>
    <row r="9763" spans="1:2" x14ac:dyDescent="0.25">
      <c r="A9763" t="s">
        <v>3227</v>
      </c>
      <c r="B9763" t="s">
        <v>9876</v>
      </c>
    </row>
    <row r="9764" spans="1:2" x14ac:dyDescent="0.25">
      <c r="A9764" t="s">
        <v>6469</v>
      </c>
      <c r="B9764" t="s">
        <v>9876</v>
      </c>
    </row>
    <row r="9765" spans="1:2" x14ac:dyDescent="0.25">
      <c r="A9765" t="s">
        <v>5995</v>
      </c>
      <c r="B9765" t="s">
        <v>10922</v>
      </c>
    </row>
    <row r="9766" spans="1:2" x14ac:dyDescent="0.25">
      <c r="A9766" t="s">
        <v>5149</v>
      </c>
      <c r="B9766" t="s">
        <v>5995</v>
      </c>
    </row>
    <row r="9767" spans="1:2" x14ac:dyDescent="0.25">
      <c r="A9767" t="s">
        <v>3228</v>
      </c>
      <c r="B9767" t="s">
        <v>5995</v>
      </c>
    </row>
    <row r="9768" spans="1:2" x14ac:dyDescent="0.25">
      <c r="A9768" t="s">
        <v>5151</v>
      </c>
      <c r="B9768" t="s">
        <v>5995</v>
      </c>
    </row>
    <row r="9769" spans="1:2" x14ac:dyDescent="0.25">
      <c r="A9769" t="s">
        <v>3216</v>
      </c>
      <c r="B9769" t="s">
        <v>5995</v>
      </c>
    </row>
    <row r="9770" spans="1:2" x14ac:dyDescent="0.25">
      <c r="A9770" t="s">
        <v>3217</v>
      </c>
      <c r="B9770" t="s">
        <v>5995</v>
      </c>
    </row>
    <row r="9771" spans="1:2" x14ac:dyDescent="0.25">
      <c r="A9771" t="s">
        <v>3223</v>
      </c>
      <c r="B9771" t="s">
        <v>5995</v>
      </c>
    </row>
    <row r="9772" spans="1:2" x14ac:dyDescent="0.25">
      <c r="A9772" t="s">
        <v>2741</v>
      </c>
      <c r="B9772" t="s">
        <v>5995</v>
      </c>
    </row>
    <row r="9773" spans="1:2" x14ac:dyDescent="0.25">
      <c r="A9773" t="s">
        <v>2743</v>
      </c>
      <c r="B9773" t="s">
        <v>5995</v>
      </c>
    </row>
    <row r="9774" spans="1:2" x14ac:dyDescent="0.25">
      <c r="A9774" t="s">
        <v>2745</v>
      </c>
      <c r="B9774" t="s">
        <v>5995</v>
      </c>
    </row>
    <row r="9775" spans="1:2" x14ac:dyDescent="0.25">
      <c r="A9775" t="s">
        <v>2746</v>
      </c>
      <c r="B9775" t="s">
        <v>5995</v>
      </c>
    </row>
    <row r="9776" spans="1:2" x14ac:dyDescent="0.25">
      <c r="A9776" t="s">
        <v>5152</v>
      </c>
      <c r="B9776" t="s">
        <v>10922</v>
      </c>
    </row>
    <row r="9777" spans="1:2" x14ac:dyDescent="0.25">
      <c r="A9777" t="s">
        <v>5153</v>
      </c>
      <c r="B9777" t="s">
        <v>5152</v>
      </c>
    </row>
    <row r="9778" spans="1:2" x14ac:dyDescent="0.25">
      <c r="A9778" t="s">
        <v>2748</v>
      </c>
      <c r="B9778" t="s">
        <v>5152</v>
      </c>
    </row>
    <row r="9779" spans="1:2" x14ac:dyDescent="0.25">
      <c r="A9779" t="s">
        <v>2330</v>
      </c>
      <c r="B9779" t="s">
        <v>5152</v>
      </c>
    </row>
    <row r="9780" spans="1:2" x14ac:dyDescent="0.25">
      <c r="A9780" t="s">
        <v>2749</v>
      </c>
      <c r="B9780" t="s">
        <v>5152</v>
      </c>
    </row>
    <row r="9781" spans="1:2" x14ac:dyDescent="0.25">
      <c r="A9781" t="s">
        <v>2750</v>
      </c>
      <c r="B9781" t="s">
        <v>5152</v>
      </c>
    </row>
    <row r="9782" spans="1:2" x14ac:dyDescent="0.25">
      <c r="A9782" t="s">
        <v>553</v>
      </c>
      <c r="B9782" t="s">
        <v>5152</v>
      </c>
    </row>
    <row r="9783" spans="1:2" x14ac:dyDescent="0.25">
      <c r="A9783" t="s">
        <v>554</v>
      </c>
      <c r="B9783" t="s">
        <v>5152</v>
      </c>
    </row>
    <row r="9784" spans="1:2" x14ac:dyDescent="0.25">
      <c r="A9784" t="s">
        <v>555</v>
      </c>
      <c r="B9784" t="s">
        <v>5152</v>
      </c>
    </row>
    <row r="9785" spans="1:2" x14ac:dyDescent="0.25">
      <c r="A9785" t="s">
        <v>556</v>
      </c>
      <c r="B9785" t="s">
        <v>5152</v>
      </c>
    </row>
    <row r="9786" spans="1:2" x14ac:dyDescent="0.25">
      <c r="A9786" t="s">
        <v>2752</v>
      </c>
      <c r="B9786" t="s">
        <v>5152</v>
      </c>
    </row>
    <row r="9787" spans="1:2" x14ac:dyDescent="0.25">
      <c r="A9787" t="s">
        <v>2753</v>
      </c>
      <c r="B9787" t="s">
        <v>5152</v>
      </c>
    </row>
    <row r="9788" spans="1:2" x14ac:dyDescent="0.25">
      <c r="A9788" t="s">
        <v>2754</v>
      </c>
      <c r="B9788" t="s">
        <v>5152</v>
      </c>
    </row>
    <row r="9789" spans="1:2" x14ac:dyDescent="0.25">
      <c r="A9789" t="s">
        <v>2744</v>
      </c>
      <c r="B9789" t="s">
        <v>5152</v>
      </c>
    </row>
    <row r="9790" spans="1:2" x14ac:dyDescent="0.25">
      <c r="A9790" t="s">
        <v>2751</v>
      </c>
      <c r="B9790" t="s">
        <v>5152</v>
      </c>
    </row>
    <row r="9791" spans="1:2" x14ac:dyDescent="0.25">
      <c r="A9791" t="s">
        <v>9537</v>
      </c>
      <c r="B9791" t="s">
        <v>13199</v>
      </c>
    </row>
    <row r="9792" spans="1:2" x14ac:dyDescent="0.25">
      <c r="A9792" t="s">
        <v>6021</v>
      </c>
      <c r="B9792" t="s">
        <v>9537</v>
      </c>
    </row>
    <row r="9793" spans="1:2" x14ac:dyDescent="0.25">
      <c r="A9793" t="s">
        <v>9538</v>
      </c>
      <c r="B9793" t="s">
        <v>9537</v>
      </c>
    </row>
    <row r="9794" spans="1:2" x14ac:dyDescent="0.25">
      <c r="A9794" t="s">
        <v>6505</v>
      </c>
      <c r="B9794" t="s">
        <v>9537</v>
      </c>
    </row>
    <row r="9795" spans="1:2" x14ac:dyDescent="0.25">
      <c r="A9795" t="s">
        <v>11499</v>
      </c>
      <c r="B9795" t="s">
        <v>9537</v>
      </c>
    </row>
    <row r="9796" spans="1:2" x14ac:dyDescent="0.25">
      <c r="A9796" t="s">
        <v>11500</v>
      </c>
      <c r="B9796" t="s">
        <v>9537</v>
      </c>
    </row>
    <row r="9797" spans="1:2" x14ac:dyDescent="0.25">
      <c r="A9797" t="s">
        <v>9089</v>
      </c>
      <c r="B9797" t="s">
        <v>9537</v>
      </c>
    </row>
    <row r="9798" spans="1:2" x14ac:dyDescent="0.25">
      <c r="A9798" t="s">
        <v>6022</v>
      </c>
      <c r="B9798" t="s">
        <v>9537</v>
      </c>
    </row>
    <row r="9799" spans="1:2" x14ac:dyDescent="0.25">
      <c r="A9799" t="s">
        <v>6506</v>
      </c>
      <c r="B9799" t="s">
        <v>9537</v>
      </c>
    </row>
    <row r="9800" spans="1:2" x14ac:dyDescent="0.25">
      <c r="A9800" t="s">
        <v>6507</v>
      </c>
      <c r="B9800" t="s">
        <v>9537</v>
      </c>
    </row>
    <row r="9801" spans="1:2" x14ac:dyDescent="0.25">
      <c r="A9801" t="s">
        <v>10927</v>
      </c>
      <c r="B9801" t="s">
        <v>9537</v>
      </c>
    </row>
    <row r="9802" spans="1:2" x14ac:dyDescent="0.25">
      <c r="A9802" t="s">
        <v>9090</v>
      </c>
      <c r="B9802" t="s">
        <v>9537</v>
      </c>
    </row>
    <row r="9803" spans="1:2" x14ac:dyDescent="0.25">
      <c r="A9803" t="s">
        <v>9889</v>
      </c>
      <c r="B9803" t="s">
        <v>9537</v>
      </c>
    </row>
    <row r="9804" spans="1:2" x14ac:dyDescent="0.25">
      <c r="A9804" t="s">
        <v>11228</v>
      </c>
      <c r="B9804" t="s">
        <v>9537</v>
      </c>
    </row>
    <row r="9805" spans="1:2" x14ac:dyDescent="0.25">
      <c r="A9805" t="s">
        <v>2350</v>
      </c>
      <c r="B9805" t="s">
        <v>9537</v>
      </c>
    </row>
    <row r="9806" spans="1:2" x14ac:dyDescent="0.25">
      <c r="A9806" t="s">
        <v>6160</v>
      </c>
      <c r="B9806" t="s">
        <v>9537</v>
      </c>
    </row>
    <row r="9807" spans="1:2" x14ac:dyDescent="0.25">
      <c r="A9807" t="s">
        <v>14978</v>
      </c>
      <c r="B9807" t="s">
        <v>8735</v>
      </c>
    </row>
    <row r="9808" spans="1:2" x14ac:dyDescent="0.25">
      <c r="A9808" t="s">
        <v>14979</v>
      </c>
      <c r="B9808" t="s">
        <v>8735</v>
      </c>
    </row>
    <row r="9809" spans="1:2" x14ac:dyDescent="0.25">
      <c r="A9809" t="s">
        <v>14980</v>
      </c>
      <c r="B9809" t="s">
        <v>14979</v>
      </c>
    </row>
    <row r="9810" spans="1:2" x14ac:dyDescent="0.25">
      <c r="A9810" t="s">
        <v>14981</v>
      </c>
      <c r="B9810" t="s">
        <v>14979</v>
      </c>
    </row>
    <row r="9811" spans="1:2" x14ac:dyDescent="0.25">
      <c r="A9811" t="s">
        <v>14982</v>
      </c>
      <c r="B9811" t="s">
        <v>14979</v>
      </c>
    </row>
    <row r="9812" spans="1:2" x14ac:dyDescent="0.25">
      <c r="A9812" t="s">
        <v>14983</v>
      </c>
      <c r="B9812" t="s">
        <v>14979</v>
      </c>
    </row>
    <row r="9813" spans="1:2" x14ac:dyDescent="0.25">
      <c r="A9813" t="s">
        <v>16265</v>
      </c>
      <c r="B9813" t="s">
        <v>14979</v>
      </c>
    </row>
    <row r="9814" spans="1:2" x14ac:dyDescent="0.25">
      <c r="A9814" t="s">
        <v>14984</v>
      </c>
      <c r="B9814" t="s">
        <v>8735</v>
      </c>
    </row>
    <row r="9815" spans="1:2" x14ac:dyDescent="0.25">
      <c r="A9815" t="s">
        <v>14985</v>
      </c>
      <c r="B9815" t="s">
        <v>8735</v>
      </c>
    </row>
    <row r="9816" spans="1:2" x14ac:dyDescent="0.25">
      <c r="A9816" t="s">
        <v>14986</v>
      </c>
      <c r="B9816" t="s">
        <v>14985</v>
      </c>
    </row>
    <row r="9817" spans="1:2" x14ac:dyDescent="0.25">
      <c r="A9817" t="s">
        <v>9555</v>
      </c>
      <c r="B9817" t="s">
        <v>14985</v>
      </c>
    </row>
    <row r="9818" spans="1:2" x14ac:dyDescent="0.25">
      <c r="A9818" t="s">
        <v>4284</v>
      </c>
      <c r="B9818" t="s">
        <v>9555</v>
      </c>
    </row>
    <row r="9819" spans="1:2" x14ac:dyDescent="0.25">
      <c r="A9819" t="s">
        <v>7031</v>
      </c>
      <c r="B9819" t="s">
        <v>9555</v>
      </c>
    </row>
    <row r="9820" spans="1:2" x14ac:dyDescent="0.25">
      <c r="A9820" t="s">
        <v>4778</v>
      </c>
      <c r="B9820" t="s">
        <v>9555</v>
      </c>
    </row>
    <row r="9821" spans="1:2" x14ac:dyDescent="0.25">
      <c r="A9821" t="s">
        <v>5726</v>
      </c>
      <c r="B9821" t="s">
        <v>9555</v>
      </c>
    </row>
    <row r="9822" spans="1:2" x14ac:dyDescent="0.25">
      <c r="A9822" t="s">
        <v>2575</v>
      </c>
      <c r="B9822" t="s">
        <v>9555</v>
      </c>
    </row>
    <row r="9823" spans="1:2" x14ac:dyDescent="0.25">
      <c r="A9823" t="s">
        <v>2576</v>
      </c>
      <c r="B9823" t="s">
        <v>9555</v>
      </c>
    </row>
    <row r="9824" spans="1:2" x14ac:dyDescent="0.25">
      <c r="A9824" t="s">
        <v>2234</v>
      </c>
      <c r="B9824" t="s">
        <v>9555</v>
      </c>
    </row>
    <row r="9825" spans="1:2" x14ac:dyDescent="0.25">
      <c r="A9825" t="s">
        <v>12635</v>
      </c>
      <c r="B9825" t="s">
        <v>6541</v>
      </c>
    </row>
    <row r="9826" spans="1:2" x14ac:dyDescent="0.25">
      <c r="A9826" t="s">
        <v>12269</v>
      </c>
      <c r="B9826" t="s">
        <v>12635</v>
      </c>
    </row>
    <row r="9827" spans="1:2" x14ac:dyDescent="0.25">
      <c r="A9827" t="s">
        <v>12824</v>
      </c>
      <c r="B9827" t="s">
        <v>12269</v>
      </c>
    </row>
    <row r="9828" spans="1:2" x14ac:dyDescent="0.25">
      <c r="A9828" t="s">
        <v>7083</v>
      </c>
      <c r="B9828" t="s">
        <v>12269</v>
      </c>
    </row>
    <row r="9829" spans="1:2" x14ac:dyDescent="0.25">
      <c r="A9829" t="s">
        <v>7084</v>
      </c>
      <c r="B9829" t="s">
        <v>12269</v>
      </c>
    </row>
    <row r="9830" spans="1:2" x14ac:dyDescent="0.25">
      <c r="A9830" t="s">
        <v>7095</v>
      </c>
      <c r="B9830" t="s">
        <v>12269</v>
      </c>
    </row>
    <row r="9831" spans="1:2" x14ac:dyDescent="0.25">
      <c r="A9831" t="s">
        <v>7105</v>
      </c>
      <c r="B9831" t="s">
        <v>12269</v>
      </c>
    </row>
    <row r="9832" spans="1:2" x14ac:dyDescent="0.25">
      <c r="A9832" t="s">
        <v>7293</v>
      </c>
      <c r="B9832" t="s">
        <v>12269</v>
      </c>
    </row>
    <row r="9833" spans="1:2" x14ac:dyDescent="0.25">
      <c r="A9833" t="s">
        <v>11797</v>
      </c>
      <c r="B9833" t="s">
        <v>12269</v>
      </c>
    </row>
    <row r="9834" spans="1:2" x14ac:dyDescent="0.25">
      <c r="A9834" t="s">
        <v>9900</v>
      </c>
      <c r="B9834" t="s">
        <v>12635</v>
      </c>
    </row>
    <row r="9835" spans="1:2" x14ac:dyDescent="0.25">
      <c r="A9835" t="s">
        <v>5224</v>
      </c>
      <c r="B9835" t="s">
        <v>12635</v>
      </c>
    </row>
    <row r="9836" spans="1:2" x14ac:dyDescent="0.25">
      <c r="A9836" t="s">
        <v>7706</v>
      </c>
      <c r="B9836" t="s">
        <v>5224</v>
      </c>
    </row>
    <row r="9837" spans="1:2" x14ac:dyDescent="0.25">
      <c r="A9837" t="s">
        <v>7707</v>
      </c>
      <c r="B9837" t="s">
        <v>5224</v>
      </c>
    </row>
    <row r="9838" spans="1:2" x14ac:dyDescent="0.25">
      <c r="A9838" t="s">
        <v>7713</v>
      </c>
      <c r="B9838" t="s">
        <v>5224</v>
      </c>
    </row>
    <row r="9839" spans="1:2" x14ac:dyDescent="0.25">
      <c r="A9839" t="s">
        <v>7098</v>
      </c>
      <c r="B9839" t="s">
        <v>5224</v>
      </c>
    </row>
    <row r="9840" spans="1:2" x14ac:dyDescent="0.25">
      <c r="A9840" t="s">
        <v>7099</v>
      </c>
      <c r="B9840" t="s">
        <v>5224</v>
      </c>
    </row>
    <row r="9841" spans="1:2" x14ac:dyDescent="0.25">
      <c r="A9841" t="s">
        <v>7101</v>
      </c>
      <c r="B9841" t="s">
        <v>5224</v>
      </c>
    </row>
    <row r="9842" spans="1:2" x14ac:dyDescent="0.25">
      <c r="A9842" t="s">
        <v>7102</v>
      </c>
      <c r="B9842" t="s">
        <v>5224</v>
      </c>
    </row>
    <row r="9843" spans="1:2" x14ac:dyDescent="0.25">
      <c r="A9843" t="s">
        <v>7234</v>
      </c>
      <c r="B9843" t="s">
        <v>5224</v>
      </c>
    </row>
    <row r="9844" spans="1:2" x14ac:dyDescent="0.25">
      <c r="A9844" t="s">
        <v>7279</v>
      </c>
      <c r="B9844" t="s">
        <v>5224</v>
      </c>
    </row>
    <row r="9845" spans="1:2" x14ac:dyDescent="0.25">
      <c r="A9845" t="s">
        <v>9901</v>
      </c>
      <c r="B9845" t="s">
        <v>12635</v>
      </c>
    </row>
    <row r="9846" spans="1:2" x14ac:dyDescent="0.25">
      <c r="A9846" t="s">
        <v>7711</v>
      </c>
      <c r="B9846" t="s">
        <v>9901</v>
      </c>
    </row>
    <row r="9847" spans="1:2" x14ac:dyDescent="0.25">
      <c r="A9847" t="s">
        <v>7096</v>
      </c>
      <c r="B9847" t="s">
        <v>9901</v>
      </c>
    </row>
    <row r="9848" spans="1:2" x14ac:dyDescent="0.25">
      <c r="A9848" t="s">
        <v>7715</v>
      </c>
      <c r="B9848" t="s">
        <v>9901</v>
      </c>
    </row>
    <row r="9849" spans="1:2" x14ac:dyDescent="0.25">
      <c r="A9849" t="s">
        <v>7106</v>
      </c>
      <c r="B9849" t="s">
        <v>9901</v>
      </c>
    </row>
    <row r="9850" spans="1:2" x14ac:dyDescent="0.25">
      <c r="A9850" t="s">
        <v>7107</v>
      </c>
      <c r="B9850" t="s">
        <v>9901</v>
      </c>
    </row>
    <row r="9851" spans="1:2" x14ac:dyDescent="0.25">
      <c r="A9851" t="s">
        <v>7108</v>
      </c>
      <c r="B9851" t="s">
        <v>9901</v>
      </c>
    </row>
    <row r="9852" spans="1:2" x14ac:dyDescent="0.25">
      <c r="A9852" t="s">
        <v>7109</v>
      </c>
      <c r="B9852" t="s">
        <v>9901</v>
      </c>
    </row>
    <row r="9853" spans="1:2" x14ac:dyDescent="0.25">
      <c r="A9853" t="s">
        <v>7110</v>
      </c>
      <c r="B9853" t="s">
        <v>9901</v>
      </c>
    </row>
    <row r="9854" spans="1:2" x14ac:dyDescent="0.25">
      <c r="A9854" t="s">
        <v>7235</v>
      </c>
      <c r="B9854" t="s">
        <v>9901</v>
      </c>
    </row>
    <row r="9855" spans="1:2" x14ac:dyDescent="0.25">
      <c r="A9855" t="s">
        <v>7276</v>
      </c>
      <c r="B9855" t="s">
        <v>9901</v>
      </c>
    </row>
    <row r="9856" spans="1:2" x14ac:dyDescent="0.25">
      <c r="A9856" t="s">
        <v>9571</v>
      </c>
      <c r="B9856" t="s">
        <v>12635</v>
      </c>
    </row>
    <row r="9857" spans="1:2" x14ac:dyDescent="0.25">
      <c r="A9857" t="s">
        <v>9646</v>
      </c>
      <c r="B9857" t="s">
        <v>9571</v>
      </c>
    </row>
    <row r="9858" spans="1:2" x14ac:dyDescent="0.25">
      <c r="A9858" t="s">
        <v>9208</v>
      </c>
      <c r="B9858" t="s">
        <v>12635</v>
      </c>
    </row>
    <row r="9859" spans="1:2" x14ac:dyDescent="0.25">
      <c r="A9859" t="s">
        <v>7704</v>
      </c>
      <c r="B9859" t="s">
        <v>9208</v>
      </c>
    </row>
    <row r="9860" spans="1:2" x14ac:dyDescent="0.25">
      <c r="A9860" t="s">
        <v>7093</v>
      </c>
      <c r="B9860" t="s">
        <v>9208</v>
      </c>
    </row>
    <row r="9861" spans="1:2" x14ac:dyDescent="0.25">
      <c r="A9861" t="s">
        <v>7094</v>
      </c>
      <c r="B9861" t="s">
        <v>9208</v>
      </c>
    </row>
    <row r="9862" spans="1:2" x14ac:dyDescent="0.25">
      <c r="A9862" t="s">
        <v>7097</v>
      </c>
      <c r="B9862" t="s">
        <v>9208</v>
      </c>
    </row>
    <row r="9863" spans="1:2" x14ac:dyDescent="0.25">
      <c r="A9863" t="s">
        <v>1631</v>
      </c>
      <c r="B9863" t="s">
        <v>12635</v>
      </c>
    </row>
    <row r="9864" spans="1:2" x14ac:dyDescent="0.25">
      <c r="A9864" t="s">
        <v>7082</v>
      </c>
      <c r="B9864" t="s">
        <v>1631</v>
      </c>
    </row>
    <row r="9865" spans="1:2" x14ac:dyDescent="0.25">
      <c r="A9865" t="s">
        <v>7714</v>
      </c>
      <c r="B9865" t="s">
        <v>1631</v>
      </c>
    </row>
    <row r="9866" spans="1:2" x14ac:dyDescent="0.25">
      <c r="A9866" t="s">
        <v>7104</v>
      </c>
      <c r="B9866" t="s">
        <v>1631</v>
      </c>
    </row>
    <row r="9867" spans="1:2" x14ac:dyDescent="0.25">
      <c r="A9867" t="s">
        <v>7291</v>
      </c>
      <c r="B9867" t="s">
        <v>1631</v>
      </c>
    </row>
    <row r="9868" spans="1:2" x14ac:dyDescent="0.25">
      <c r="A9868" t="s">
        <v>11520</v>
      </c>
      <c r="B9868" t="s">
        <v>12635</v>
      </c>
    </row>
    <row r="9869" spans="1:2" x14ac:dyDescent="0.25">
      <c r="A9869" t="s">
        <v>11758</v>
      </c>
      <c r="B9869" t="s">
        <v>11520</v>
      </c>
    </row>
    <row r="9870" spans="1:2" x14ac:dyDescent="0.25">
      <c r="A9870" t="s">
        <v>2470</v>
      </c>
      <c r="B9870" t="s">
        <v>11520</v>
      </c>
    </row>
    <row r="9871" spans="1:2" x14ac:dyDescent="0.25">
      <c r="A9871" t="s">
        <v>10958</v>
      </c>
      <c r="B9871" t="s">
        <v>2470</v>
      </c>
    </row>
    <row r="9872" spans="1:2" x14ac:dyDescent="0.25">
      <c r="A9872" t="s">
        <v>1153</v>
      </c>
      <c r="B9872" t="s">
        <v>2470</v>
      </c>
    </row>
    <row r="9873" spans="1:2" x14ac:dyDescent="0.25">
      <c r="A9873" t="s">
        <v>5665</v>
      </c>
      <c r="B9873" t="s">
        <v>2470</v>
      </c>
    </row>
    <row r="9874" spans="1:2" x14ac:dyDescent="0.25">
      <c r="A9874" t="s">
        <v>6076</v>
      </c>
      <c r="B9874" t="s">
        <v>2470</v>
      </c>
    </row>
    <row r="9875" spans="1:2" x14ac:dyDescent="0.25">
      <c r="A9875" t="s">
        <v>7762</v>
      </c>
      <c r="B9875" t="s">
        <v>2470</v>
      </c>
    </row>
    <row r="9876" spans="1:2" x14ac:dyDescent="0.25">
      <c r="A9876" t="s">
        <v>8849</v>
      </c>
      <c r="B9876" t="s">
        <v>2470</v>
      </c>
    </row>
    <row r="9877" spans="1:2" x14ac:dyDescent="0.25">
      <c r="A9877" t="s">
        <v>4920</v>
      </c>
      <c r="B9877" t="s">
        <v>2470</v>
      </c>
    </row>
    <row r="9878" spans="1:2" x14ac:dyDescent="0.25">
      <c r="A9878" t="s">
        <v>11575</v>
      </c>
      <c r="B9878" t="s">
        <v>2470</v>
      </c>
    </row>
    <row r="9879" spans="1:2" x14ac:dyDescent="0.25">
      <c r="A9879" t="s">
        <v>9250</v>
      </c>
      <c r="B9879" t="s">
        <v>2470</v>
      </c>
    </row>
    <row r="9880" spans="1:2" x14ac:dyDescent="0.25">
      <c r="A9880" t="s">
        <v>11804</v>
      </c>
      <c r="B9880" t="s">
        <v>2470</v>
      </c>
    </row>
    <row r="9881" spans="1:2" x14ac:dyDescent="0.25">
      <c r="A9881" t="s">
        <v>10671</v>
      </c>
      <c r="B9881" t="s">
        <v>2470</v>
      </c>
    </row>
    <row r="9882" spans="1:2" x14ac:dyDescent="0.25">
      <c r="A9882" t="s">
        <v>10936</v>
      </c>
      <c r="B9882" t="s">
        <v>2470</v>
      </c>
    </row>
    <row r="9883" spans="1:2" x14ac:dyDescent="0.25">
      <c r="A9883" t="s">
        <v>3277</v>
      </c>
      <c r="B9883" t="s">
        <v>10936</v>
      </c>
    </row>
    <row r="9884" spans="1:2" x14ac:dyDescent="0.25">
      <c r="A9884" t="s">
        <v>7852</v>
      </c>
      <c r="B9884" t="s">
        <v>2470</v>
      </c>
    </row>
    <row r="9885" spans="1:2" x14ac:dyDescent="0.25">
      <c r="A9885" t="s">
        <v>1874</v>
      </c>
      <c r="B9885" t="s">
        <v>7852</v>
      </c>
    </row>
    <row r="9886" spans="1:2" x14ac:dyDescent="0.25">
      <c r="A9886" t="s">
        <v>2394</v>
      </c>
      <c r="B9886" t="s">
        <v>7852</v>
      </c>
    </row>
    <row r="9887" spans="1:2" x14ac:dyDescent="0.25">
      <c r="A9887" t="s">
        <v>6040</v>
      </c>
      <c r="B9887" t="s">
        <v>7852</v>
      </c>
    </row>
    <row r="9888" spans="1:2" x14ac:dyDescent="0.25">
      <c r="A9888" t="s">
        <v>1434</v>
      </c>
      <c r="B9888" t="s">
        <v>7852</v>
      </c>
    </row>
    <row r="9889" spans="1:2" x14ac:dyDescent="0.25">
      <c r="A9889" t="s">
        <v>2138</v>
      </c>
      <c r="B9889" t="s">
        <v>7852</v>
      </c>
    </row>
    <row r="9890" spans="1:2" x14ac:dyDescent="0.25">
      <c r="A9890" t="s">
        <v>2139</v>
      </c>
      <c r="B9890" t="s">
        <v>7852</v>
      </c>
    </row>
    <row r="9891" spans="1:2" x14ac:dyDescent="0.25">
      <c r="A9891" t="s">
        <v>4909</v>
      </c>
      <c r="B9891" t="s">
        <v>7852</v>
      </c>
    </row>
    <row r="9892" spans="1:2" x14ac:dyDescent="0.25">
      <c r="A9892" t="s">
        <v>6142</v>
      </c>
      <c r="B9892" t="s">
        <v>2470</v>
      </c>
    </row>
    <row r="9893" spans="1:2" x14ac:dyDescent="0.25">
      <c r="A9893" t="s">
        <v>2909</v>
      </c>
      <c r="B9893" t="s">
        <v>11520</v>
      </c>
    </row>
    <row r="9894" spans="1:2" x14ac:dyDescent="0.25">
      <c r="A9894" t="s">
        <v>9129</v>
      </c>
      <c r="B9894" t="s">
        <v>2909</v>
      </c>
    </row>
    <row r="9895" spans="1:2" x14ac:dyDescent="0.25">
      <c r="A9895" t="s">
        <v>5257</v>
      </c>
      <c r="B9895" t="s">
        <v>2909</v>
      </c>
    </row>
    <row r="9896" spans="1:2" x14ac:dyDescent="0.25">
      <c r="A9896" t="s">
        <v>8756</v>
      </c>
      <c r="B9896" t="s">
        <v>2909</v>
      </c>
    </row>
    <row r="9897" spans="1:2" x14ac:dyDescent="0.25">
      <c r="A9897" t="s">
        <v>1154</v>
      </c>
      <c r="B9897" t="s">
        <v>2909</v>
      </c>
    </row>
    <row r="9898" spans="1:2" x14ac:dyDescent="0.25">
      <c r="A9898" t="s">
        <v>5666</v>
      </c>
      <c r="B9898" t="s">
        <v>2909</v>
      </c>
    </row>
    <row r="9899" spans="1:2" x14ac:dyDescent="0.25">
      <c r="A9899" t="s">
        <v>1155</v>
      </c>
      <c r="B9899" t="s">
        <v>2909</v>
      </c>
    </row>
    <row r="9900" spans="1:2" x14ac:dyDescent="0.25">
      <c r="A9900" t="s">
        <v>7763</v>
      </c>
      <c r="B9900" t="s">
        <v>2909</v>
      </c>
    </row>
    <row r="9901" spans="1:2" x14ac:dyDescent="0.25">
      <c r="A9901" t="s">
        <v>8379</v>
      </c>
      <c r="B9901" t="s">
        <v>2909</v>
      </c>
    </row>
    <row r="9902" spans="1:2" x14ac:dyDescent="0.25">
      <c r="A9902" t="s">
        <v>4464</v>
      </c>
      <c r="B9902" t="s">
        <v>2909</v>
      </c>
    </row>
    <row r="9903" spans="1:2" x14ac:dyDescent="0.25">
      <c r="A9903" t="s">
        <v>8421</v>
      </c>
      <c r="B9903" t="s">
        <v>2909</v>
      </c>
    </row>
    <row r="9904" spans="1:2" x14ac:dyDescent="0.25">
      <c r="A9904" t="s">
        <v>7315</v>
      </c>
      <c r="B9904" t="s">
        <v>2909</v>
      </c>
    </row>
    <row r="9905" spans="1:2" x14ac:dyDescent="0.25">
      <c r="A9905" t="s">
        <v>7316</v>
      </c>
      <c r="B9905" t="s">
        <v>2909</v>
      </c>
    </row>
    <row r="9906" spans="1:2" x14ac:dyDescent="0.25">
      <c r="A9906" t="s">
        <v>8850</v>
      </c>
      <c r="B9906" t="s">
        <v>2909</v>
      </c>
    </row>
    <row r="9907" spans="1:2" x14ac:dyDescent="0.25">
      <c r="A9907" t="s">
        <v>10672</v>
      </c>
      <c r="B9907" t="s">
        <v>2909</v>
      </c>
    </row>
    <row r="9908" spans="1:2" x14ac:dyDescent="0.25">
      <c r="A9908" t="s">
        <v>5377</v>
      </c>
      <c r="B9908" t="s">
        <v>2909</v>
      </c>
    </row>
    <row r="9909" spans="1:2" x14ac:dyDescent="0.25">
      <c r="A9909" t="s">
        <v>11953</v>
      </c>
      <c r="B9909" t="s">
        <v>2909</v>
      </c>
    </row>
    <row r="9910" spans="1:2" x14ac:dyDescent="0.25">
      <c r="A9910" t="s">
        <v>6666</v>
      </c>
      <c r="B9910" t="s">
        <v>2909</v>
      </c>
    </row>
    <row r="9911" spans="1:2" x14ac:dyDescent="0.25">
      <c r="A9911" t="s">
        <v>9664</v>
      </c>
      <c r="B9911" t="s">
        <v>11520</v>
      </c>
    </row>
    <row r="9912" spans="1:2" x14ac:dyDescent="0.25">
      <c r="A9912" t="s">
        <v>2838</v>
      </c>
      <c r="B9912" t="s">
        <v>9664</v>
      </c>
    </row>
    <row r="9913" spans="1:2" x14ac:dyDescent="0.25">
      <c r="A9913" t="s">
        <v>9552</v>
      </c>
      <c r="B9913" t="s">
        <v>2838</v>
      </c>
    </row>
    <row r="9914" spans="1:2" x14ac:dyDescent="0.25">
      <c r="A9914" t="s">
        <v>904</v>
      </c>
      <c r="B9914" t="s">
        <v>9552</v>
      </c>
    </row>
    <row r="9915" spans="1:2" x14ac:dyDescent="0.25">
      <c r="A9915" t="s">
        <v>9895</v>
      </c>
      <c r="B9915" t="s">
        <v>2838</v>
      </c>
    </row>
    <row r="9916" spans="1:2" x14ac:dyDescent="0.25">
      <c r="A9916" t="s">
        <v>2839</v>
      </c>
      <c r="B9916" t="s">
        <v>9895</v>
      </c>
    </row>
    <row r="9917" spans="1:2" x14ac:dyDescent="0.25">
      <c r="A9917" t="s">
        <v>1435</v>
      </c>
      <c r="B9917" t="s">
        <v>9895</v>
      </c>
    </row>
    <row r="9918" spans="1:2" x14ac:dyDescent="0.25">
      <c r="A9918" t="s">
        <v>1436</v>
      </c>
      <c r="B9918" t="s">
        <v>9895</v>
      </c>
    </row>
    <row r="9919" spans="1:2" x14ac:dyDescent="0.25">
      <c r="A9919" t="s">
        <v>3948</v>
      </c>
      <c r="B9919" t="s">
        <v>9895</v>
      </c>
    </row>
    <row r="9920" spans="1:2" x14ac:dyDescent="0.25">
      <c r="A9920" t="s">
        <v>4764</v>
      </c>
      <c r="B9920" t="s">
        <v>2838</v>
      </c>
    </row>
    <row r="9921" spans="1:2" x14ac:dyDescent="0.25">
      <c r="A9921" t="s">
        <v>905</v>
      </c>
      <c r="B9921" t="s">
        <v>4764</v>
      </c>
    </row>
    <row r="9922" spans="1:2" x14ac:dyDescent="0.25">
      <c r="A9922" t="s">
        <v>4765</v>
      </c>
      <c r="B9922" t="s">
        <v>4764</v>
      </c>
    </row>
    <row r="9923" spans="1:2" x14ac:dyDescent="0.25">
      <c r="A9923" t="s">
        <v>2140</v>
      </c>
      <c r="B9923" t="s">
        <v>4764</v>
      </c>
    </row>
    <row r="9924" spans="1:2" x14ac:dyDescent="0.25">
      <c r="A9924" t="s">
        <v>5207</v>
      </c>
      <c r="B9924" t="s">
        <v>2838</v>
      </c>
    </row>
    <row r="9925" spans="1:2" x14ac:dyDescent="0.25">
      <c r="A9925" t="s">
        <v>3780</v>
      </c>
      <c r="B9925" t="s">
        <v>5207</v>
      </c>
    </row>
    <row r="9926" spans="1:2" x14ac:dyDescent="0.25">
      <c r="A9926" t="s">
        <v>5208</v>
      </c>
      <c r="B9926" t="s">
        <v>2838</v>
      </c>
    </row>
    <row r="9927" spans="1:2" x14ac:dyDescent="0.25">
      <c r="A9927" t="s">
        <v>3781</v>
      </c>
      <c r="B9927" t="s">
        <v>5208</v>
      </c>
    </row>
    <row r="9928" spans="1:2" x14ac:dyDescent="0.25">
      <c r="A9928" t="s">
        <v>5209</v>
      </c>
      <c r="B9928" t="s">
        <v>2838</v>
      </c>
    </row>
    <row r="9929" spans="1:2" x14ac:dyDescent="0.25">
      <c r="A9929" t="s">
        <v>906</v>
      </c>
      <c r="B9929" t="s">
        <v>5209</v>
      </c>
    </row>
    <row r="9930" spans="1:2" x14ac:dyDescent="0.25">
      <c r="A9930" t="s">
        <v>1546</v>
      </c>
      <c r="B9930" t="s">
        <v>5209</v>
      </c>
    </row>
    <row r="9931" spans="1:2" x14ac:dyDescent="0.25">
      <c r="A9931" t="s">
        <v>2214</v>
      </c>
      <c r="B9931" t="s">
        <v>5209</v>
      </c>
    </row>
    <row r="9932" spans="1:2" x14ac:dyDescent="0.25">
      <c r="A9932" t="s">
        <v>907</v>
      </c>
      <c r="B9932" t="s">
        <v>9664</v>
      </c>
    </row>
    <row r="9933" spans="1:2" x14ac:dyDescent="0.25">
      <c r="A9933" t="s">
        <v>6534</v>
      </c>
      <c r="B9933" t="s">
        <v>907</v>
      </c>
    </row>
    <row r="9934" spans="1:2" x14ac:dyDescent="0.25">
      <c r="A9934" t="s">
        <v>6535</v>
      </c>
      <c r="B9934" t="s">
        <v>907</v>
      </c>
    </row>
    <row r="9935" spans="1:2" x14ac:dyDescent="0.25">
      <c r="A9935" t="s">
        <v>9553</v>
      </c>
      <c r="B9935" t="s">
        <v>9664</v>
      </c>
    </row>
    <row r="9936" spans="1:2" x14ac:dyDescent="0.25">
      <c r="A9936" t="s">
        <v>3278</v>
      </c>
      <c r="B9936" t="s">
        <v>9553</v>
      </c>
    </row>
    <row r="9937" spans="1:2" x14ac:dyDescent="0.25">
      <c r="A9937" t="s">
        <v>3784</v>
      </c>
      <c r="B9937" t="s">
        <v>3278</v>
      </c>
    </row>
    <row r="9938" spans="1:2" x14ac:dyDescent="0.25">
      <c r="A9938" t="s">
        <v>2616</v>
      </c>
      <c r="B9938" t="s">
        <v>3278</v>
      </c>
    </row>
    <row r="9939" spans="1:2" x14ac:dyDescent="0.25">
      <c r="A9939" t="s">
        <v>3047</v>
      </c>
      <c r="B9939" t="s">
        <v>3278</v>
      </c>
    </row>
    <row r="9940" spans="1:2" x14ac:dyDescent="0.25">
      <c r="A9940" t="s">
        <v>9896</v>
      </c>
      <c r="B9940" t="s">
        <v>9553</v>
      </c>
    </row>
    <row r="9941" spans="1:2" x14ac:dyDescent="0.25">
      <c r="A9941" t="s">
        <v>4767</v>
      </c>
      <c r="B9941" t="s">
        <v>9896</v>
      </c>
    </row>
    <row r="9942" spans="1:2" x14ac:dyDescent="0.25">
      <c r="A9942" t="s">
        <v>3003</v>
      </c>
      <c r="B9942" t="s">
        <v>9896</v>
      </c>
    </row>
    <row r="9943" spans="1:2" x14ac:dyDescent="0.25">
      <c r="A9943" t="s">
        <v>6621</v>
      </c>
      <c r="B9943" t="s">
        <v>9553</v>
      </c>
    </row>
    <row r="9944" spans="1:2" x14ac:dyDescent="0.25">
      <c r="A9944" t="s">
        <v>3949</v>
      </c>
      <c r="B9944" t="s">
        <v>6621</v>
      </c>
    </row>
    <row r="9945" spans="1:2" x14ac:dyDescent="0.25">
      <c r="A9945" t="s">
        <v>9930</v>
      </c>
      <c r="B9945" t="s">
        <v>12635</v>
      </c>
    </row>
    <row r="9946" spans="1:2" x14ac:dyDescent="0.25">
      <c r="A9946" t="s">
        <v>12616</v>
      </c>
      <c r="B9946" t="s">
        <v>12635</v>
      </c>
    </row>
    <row r="9947" spans="1:2" x14ac:dyDescent="0.25">
      <c r="A9947" t="s">
        <v>6969</v>
      </c>
      <c r="B9947" t="s">
        <v>12616</v>
      </c>
    </row>
    <row r="9948" spans="1:2" x14ac:dyDescent="0.25">
      <c r="A9948" t="s">
        <v>7136</v>
      </c>
      <c r="B9948" t="s">
        <v>12616</v>
      </c>
    </row>
    <row r="9949" spans="1:2" x14ac:dyDescent="0.25">
      <c r="A9949" t="s">
        <v>7137</v>
      </c>
      <c r="B9949" t="s">
        <v>12616</v>
      </c>
    </row>
    <row r="9950" spans="1:2" x14ac:dyDescent="0.25">
      <c r="A9950" t="s">
        <v>4885</v>
      </c>
      <c r="B9950" t="s">
        <v>12616</v>
      </c>
    </row>
    <row r="9951" spans="1:2" x14ac:dyDescent="0.25">
      <c r="A9951" t="s">
        <v>2213</v>
      </c>
      <c r="B9951" t="s">
        <v>12616</v>
      </c>
    </row>
    <row r="9952" spans="1:2" x14ac:dyDescent="0.25">
      <c r="A9952" t="s">
        <v>14987</v>
      </c>
      <c r="B9952" t="s">
        <v>12635</v>
      </c>
    </row>
    <row r="9953" spans="1:2" x14ac:dyDescent="0.25">
      <c r="A9953" t="s">
        <v>3798</v>
      </c>
      <c r="B9953" t="s">
        <v>14987</v>
      </c>
    </row>
    <row r="9954" spans="1:2" x14ac:dyDescent="0.25">
      <c r="A9954" t="s">
        <v>7701</v>
      </c>
      <c r="B9954" t="s">
        <v>3798</v>
      </c>
    </row>
    <row r="9955" spans="1:2" x14ac:dyDescent="0.25">
      <c r="A9955" t="s">
        <v>7702</v>
      </c>
      <c r="B9955" t="s">
        <v>3798</v>
      </c>
    </row>
    <row r="9956" spans="1:2" x14ac:dyDescent="0.25">
      <c r="A9956" t="s">
        <v>7703</v>
      </c>
      <c r="B9956" t="s">
        <v>3798</v>
      </c>
    </row>
    <row r="9957" spans="1:2" x14ac:dyDescent="0.25">
      <c r="A9957" t="s">
        <v>7236</v>
      </c>
      <c r="B9957" t="s">
        <v>3798</v>
      </c>
    </row>
    <row r="9958" spans="1:2" x14ac:dyDescent="0.25">
      <c r="A9958" t="s">
        <v>7709</v>
      </c>
      <c r="B9958" t="s">
        <v>14987</v>
      </c>
    </row>
    <row r="9959" spans="1:2" x14ac:dyDescent="0.25">
      <c r="A9959" t="s">
        <v>7710</v>
      </c>
      <c r="B9959" t="s">
        <v>7709</v>
      </c>
    </row>
    <row r="9960" spans="1:2" x14ac:dyDescent="0.25">
      <c r="A9960" t="s">
        <v>7087</v>
      </c>
      <c r="B9960" t="s">
        <v>7709</v>
      </c>
    </row>
    <row r="9961" spans="1:2" x14ac:dyDescent="0.25">
      <c r="A9961" t="s">
        <v>7088</v>
      </c>
      <c r="B9961" t="s">
        <v>7709</v>
      </c>
    </row>
    <row r="9962" spans="1:2" x14ac:dyDescent="0.25">
      <c r="A9962" t="s">
        <v>7089</v>
      </c>
      <c r="B9962" t="s">
        <v>7709</v>
      </c>
    </row>
    <row r="9963" spans="1:2" x14ac:dyDescent="0.25">
      <c r="A9963" t="s">
        <v>7090</v>
      </c>
      <c r="B9963" t="s">
        <v>7709</v>
      </c>
    </row>
    <row r="9964" spans="1:2" x14ac:dyDescent="0.25">
      <c r="A9964" t="s">
        <v>7091</v>
      </c>
      <c r="B9964" t="s">
        <v>7709</v>
      </c>
    </row>
    <row r="9965" spans="1:2" x14ac:dyDescent="0.25">
      <c r="A9965" t="s">
        <v>7092</v>
      </c>
      <c r="B9965" t="s">
        <v>7709</v>
      </c>
    </row>
    <row r="9966" spans="1:2" x14ac:dyDescent="0.25">
      <c r="A9966" t="s">
        <v>7100</v>
      </c>
      <c r="B9966" t="s">
        <v>7709</v>
      </c>
    </row>
    <row r="9967" spans="1:2" x14ac:dyDescent="0.25">
      <c r="A9967" t="s">
        <v>7233</v>
      </c>
      <c r="B9967" t="s">
        <v>7709</v>
      </c>
    </row>
    <row r="9968" spans="1:2" x14ac:dyDescent="0.25">
      <c r="A9968" t="s">
        <v>7278</v>
      </c>
      <c r="B9968" t="s">
        <v>7709</v>
      </c>
    </row>
    <row r="9969" spans="1:2" x14ac:dyDescent="0.25">
      <c r="A9969" t="s">
        <v>14988</v>
      </c>
      <c r="B9969" t="s">
        <v>12635</v>
      </c>
    </row>
    <row r="9970" spans="1:2" x14ac:dyDescent="0.25">
      <c r="A9970" t="s">
        <v>14989</v>
      </c>
      <c r="B9970" t="s">
        <v>14988</v>
      </c>
    </row>
    <row r="9971" spans="1:2" x14ac:dyDescent="0.25">
      <c r="A9971" t="s">
        <v>14990</v>
      </c>
      <c r="B9971" t="s">
        <v>14988</v>
      </c>
    </row>
    <row r="9972" spans="1:2" x14ac:dyDescent="0.25">
      <c r="A9972" t="s">
        <v>14991</v>
      </c>
      <c r="B9972" t="s">
        <v>14988</v>
      </c>
    </row>
    <row r="9973" spans="1:2" x14ac:dyDescent="0.25">
      <c r="A9973" t="s">
        <v>14992</v>
      </c>
      <c r="B9973" t="s">
        <v>14988</v>
      </c>
    </row>
    <row r="9974" spans="1:2" x14ac:dyDescent="0.25">
      <c r="A9974" t="s">
        <v>14993</v>
      </c>
      <c r="B9974" t="s">
        <v>14988</v>
      </c>
    </row>
    <row r="9975" spans="1:2" x14ac:dyDescent="0.25">
      <c r="A9975" t="s">
        <v>2858</v>
      </c>
      <c r="B9975" t="s">
        <v>12635</v>
      </c>
    </row>
    <row r="9976" spans="1:2" x14ac:dyDescent="0.25">
      <c r="A9976" t="s">
        <v>10618</v>
      </c>
      <c r="B9976" t="s">
        <v>2858</v>
      </c>
    </row>
    <row r="9977" spans="1:2" x14ac:dyDescent="0.25">
      <c r="A9977" t="s">
        <v>7681</v>
      </c>
      <c r="B9977" t="s">
        <v>10618</v>
      </c>
    </row>
    <row r="9978" spans="1:2" x14ac:dyDescent="0.25">
      <c r="A9978" t="s">
        <v>7708</v>
      </c>
      <c r="B9978" t="s">
        <v>10618</v>
      </c>
    </row>
    <row r="9979" spans="1:2" x14ac:dyDescent="0.25">
      <c r="A9979" t="s">
        <v>7085</v>
      </c>
      <c r="B9979" t="s">
        <v>10618</v>
      </c>
    </row>
    <row r="9980" spans="1:2" x14ac:dyDescent="0.25">
      <c r="A9980" t="s">
        <v>7086</v>
      </c>
      <c r="B9980" t="s">
        <v>10618</v>
      </c>
    </row>
    <row r="9981" spans="1:2" x14ac:dyDescent="0.25">
      <c r="A9981" t="s">
        <v>7716</v>
      </c>
      <c r="B9981" t="s">
        <v>10618</v>
      </c>
    </row>
    <row r="9982" spans="1:2" x14ac:dyDescent="0.25">
      <c r="A9982" t="s">
        <v>7111</v>
      </c>
      <c r="B9982" t="s">
        <v>10618</v>
      </c>
    </row>
    <row r="9983" spans="1:2" x14ac:dyDescent="0.25">
      <c r="A9983" t="s">
        <v>7112</v>
      </c>
      <c r="B9983" t="s">
        <v>10618</v>
      </c>
    </row>
    <row r="9984" spans="1:2" x14ac:dyDescent="0.25">
      <c r="A9984" t="s">
        <v>7113</v>
      </c>
      <c r="B9984" t="s">
        <v>10618</v>
      </c>
    </row>
    <row r="9985" spans="1:2" x14ac:dyDescent="0.25">
      <c r="A9985" t="s">
        <v>7114</v>
      </c>
      <c r="B9985" t="s">
        <v>10618</v>
      </c>
    </row>
    <row r="9986" spans="1:2" x14ac:dyDescent="0.25">
      <c r="A9986" t="s">
        <v>7718</v>
      </c>
      <c r="B9986" t="s">
        <v>10618</v>
      </c>
    </row>
    <row r="9987" spans="1:2" x14ac:dyDescent="0.25">
      <c r="A9987" t="s">
        <v>7237</v>
      </c>
      <c r="B9987" t="s">
        <v>10618</v>
      </c>
    </row>
    <row r="9988" spans="1:2" x14ac:dyDescent="0.25">
      <c r="A9988" t="s">
        <v>7867</v>
      </c>
      <c r="B9988" t="s">
        <v>10618</v>
      </c>
    </row>
    <row r="9989" spans="1:2" x14ac:dyDescent="0.25">
      <c r="A9989" t="s">
        <v>7081</v>
      </c>
      <c r="B9989" t="s">
        <v>2858</v>
      </c>
    </row>
    <row r="9990" spans="1:2" x14ac:dyDescent="0.25">
      <c r="A9990" t="s">
        <v>7712</v>
      </c>
      <c r="B9990" t="s">
        <v>2858</v>
      </c>
    </row>
    <row r="9991" spans="1:2" x14ac:dyDescent="0.25">
      <c r="A9991" t="s">
        <v>10655</v>
      </c>
      <c r="B9991" t="s">
        <v>6541</v>
      </c>
    </row>
    <row r="9992" spans="1:2" x14ac:dyDescent="0.25">
      <c r="A9992" t="s">
        <v>9067</v>
      </c>
      <c r="B9992" t="s">
        <v>6541</v>
      </c>
    </row>
    <row r="9993" spans="1:2" x14ac:dyDescent="0.25">
      <c r="A9993" t="s">
        <v>13200</v>
      </c>
      <c r="B9993" t="s">
        <v>9067</v>
      </c>
    </row>
    <row r="9994" spans="1:2" x14ac:dyDescent="0.25">
      <c r="A9994" t="s">
        <v>5596</v>
      </c>
      <c r="B9994" t="s">
        <v>13200</v>
      </c>
    </row>
    <row r="9995" spans="1:2" x14ac:dyDescent="0.25">
      <c r="A9995" t="s">
        <v>13201</v>
      </c>
      <c r="B9995" t="s">
        <v>6541</v>
      </c>
    </row>
    <row r="9996" spans="1:2" x14ac:dyDescent="0.25">
      <c r="A9996" t="s">
        <v>7126</v>
      </c>
      <c r="B9996" t="s">
        <v>13201</v>
      </c>
    </row>
    <row r="9997" spans="1:2" x14ac:dyDescent="0.25">
      <c r="A9997" t="s">
        <v>1940</v>
      </c>
      <c r="B9997" t="s">
        <v>13201</v>
      </c>
    </row>
    <row r="9998" spans="1:2" x14ac:dyDescent="0.25">
      <c r="A9998" t="s">
        <v>1941</v>
      </c>
      <c r="B9998" t="s">
        <v>13201</v>
      </c>
    </row>
    <row r="9999" spans="1:2" x14ac:dyDescent="0.25">
      <c r="A9999" t="s">
        <v>6476</v>
      </c>
      <c r="B9999" t="s">
        <v>13201</v>
      </c>
    </row>
    <row r="10000" spans="1:2" x14ac:dyDescent="0.25">
      <c r="A10000" t="s">
        <v>5340</v>
      </c>
      <c r="B10000" t="s">
        <v>13201</v>
      </c>
    </row>
    <row r="10001" spans="1:2" x14ac:dyDescent="0.25">
      <c r="A10001" t="s">
        <v>570</v>
      </c>
      <c r="B10001" t="s">
        <v>13201</v>
      </c>
    </row>
    <row r="10002" spans="1:2" x14ac:dyDescent="0.25">
      <c r="A10002" t="s">
        <v>5369</v>
      </c>
      <c r="B10002" t="s">
        <v>13201</v>
      </c>
    </row>
    <row r="10003" spans="1:2" x14ac:dyDescent="0.25">
      <c r="A10003" t="s">
        <v>4229</v>
      </c>
      <c r="B10003" t="s">
        <v>13201</v>
      </c>
    </row>
    <row r="10004" spans="1:2" x14ac:dyDescent="0.25">
      <c r="A10004" t="s">
        <v>2341</v>
      </c>
      <c r="B10004" t="s">
        <v>13201</v>
      </c>
    </row>
    <row r="10005" spans="1:2" x14ac:dyDescent="0.25">
      <c r="A10005" t="s">
        <v>3236</v>
      </c>
      <c r="B10005" t="s">
        <v>13201</v>
      </c>
    </row>
    <row r="10006" spans="1:2" x14ac:dyDescent="0.25">
      <c r="A10006" t="s">
        <v>3469</v>
      </c>
      <c r="B10006" t="s">
        <v>13201</v>
      </c>
    </row>
    <row r="10007" spans="1:2" x14ac:dyDescent="0.25">
      <c r="A10007" t="s">
        <v>5339</v>
      </c>
      <c r="B10007" t="s">
        <v>13201</v>
      </c>
    </row>
    <row r="10008" spans="1:2" x14ac:dyDescent="0.25">
      <c r="A10008" t="s">
        <v>2221</v>
      </c>
      <c r="B10008" t="s">
        <v>13201</v>
      </c>
    </row>
    <row r="10009" spans="1:2" x14ac:dyDescent="0.25">
      <c r="A10009" t="s">
        <v>5998</v>
      </c>
      <c r="B10009" t="s">
        <v>13201</v>
      </c>
    </row>
    <row r="10010" spans="1:2" x14ac:dyDescent="0.25">
      <c r="A10010" t="s">
        <v>2160</v>
      </c>
      <c r="B10010" t="s">
        <v>13201</v>
      </c>
    </row>
    <row r="10011" spans="1:2" x14ac:dyDescent="0.25">
      <c r="A10011" t="s">
        <v>2161</v>
      </c>
      <c r="B10011" t="s">
        <v>13201</v>
      </c>
    </row>
    <row r="10012" spans="1:2" x14ac:dyDescent="0.25">
      <c r="A10012" t="s">
        <v>5593</v>
      </c>
      <c r="B10012" t="s">
        <v>13201</v>
      </c>
    </row>
    <row r="10013" spans="1:2" x14ac:dyDescent="0.25">
      <c r="A10013" t="s">
        <v>6189</v>
      </c>
      <c r="B10013" t="s">
        <v>13201</v>
      </c>
    </row>
    <row r="10014" spans="1:2" x14ac:dyDescent="0.25">
      <c r="A10014" t="s">
        <v>9881</v>
      </c>
      <c r="B10014" t="s">
        <v>13201</v>
      </c>
    </row>
    <row r="10015" spans="1:2" x14ac:dyDescent="0.25">
      <c r="A10015" t="s">
        <v>1759</v>
      </c>
      <c r="B10015" t="s">
        <v>13201</v>
      </c>
    </row>
    <row r="10016" spans="1:2" x14ac:dyDescent="0.25">
      <c r="A10016" t="s">
        <v>7895</v>
      </c>
      <c r="B10016" t="s">
        <v>13201</v>
      </c>
    </row>
    <row r="10017" spans="1:2" x14ac:dyDescent="0.25">
      <c r="A10017" t="s">
        <v>4230</v>
      </c>
      <c r="B10017" t="s">
        <v>13201</v>
      </c>
    </row>
    <row r="10018" spans="1:2" x14ac:dyDescent="0.25">
      <c r="A10018" t="s">
        <v>10140</v>
      </c>
      <c r="B10018" t="s">
        <v>13201</v>
      </c>
    </row>
    <row r="10019" spans="1:2" x14ac:dyDescent="0.25">
      <c r="A10019" t="s">
        <v>4510</v>
      </c>
      <c r="B10019" t="s">
        <v>13201</v>
      </c>
    </row>
    <row r="10020" spans="1:2" x14ac:dyDescent="0.25">
      <c r="A10020" t="s">
        <v>569</v>
      </c>
      <c r="B10020" t="s">
        <v>13201</v>
      </c>
    </row>
    <row r="10021" spans="1:2" x14ac:dyDescent="0.25">
      <c r="A10021" t="s">
        <v>7921</v>
      </c>
      <c r="B10021" t="s">
        <v>13201</v>
      </c>
    </row>
    <row r="10022" spans="1:2" x14ac:dyDescent="0.25">
      <c r="A10022" t="s">
        <v>5599</v>
      </c>
      <c r="B10022" t="s">
        <v>13201</v>
      </c>
    </row>
    <row r="10023" spans="1:2" x14ac:dyDescent="0.25">
      <c r="A10023" t="s">
        <v>4233</v>
      </c>
      <c r="B10023" t="s">
        <v>13201</v>
      </c>
    </row>
    <row r="10024" spans="1:2" x14ac:dyDescent="0.25">
      <c r="A10024" t="s">
        <v>3727</v>
      </c>
      <c r="B10024" t="s">
        <v>13201</v>
      </c>
    </row>
    <row r="10025" spans="1:2" x14ac:dyDescent="0.25">
      <c r="A10025" t="s">
        <v>9622</v>
      </c>
      <c r="B10025" t="s">
        <v>13201</v>
      </c>
    </row>
    <row r="10026" spans="1:2" x14ac:dyDescent="0.25">
      <c r="A10026" t="s">
        <v>9879</v>
      </c>
      <c r="B10026" t="s">
        <v>13201</v>
      </c>
    </row>
    <row r="10027" spans="1:2" x14ac:dyDescent="0.25">
      <c r="A10027" t="s">
        <v>2159</v>
      </c>
      <c r="B10027" t="s">
        <v>13201</v>
      </c>
    </row>
    <row r="10028" spans="1:2" x14ac:dyDescent="0.25">
      <c r="A10028" t="s">
        <v>5238</v>
      </c>
      <c r="B10028" t="s">
        <v>13201</v>
      </c>
    </row>
    <row r="10029" spans="1:2" x14ac:dyDescent="0.25">
      <c r="A10029" t="s">
        <v>2452</v>
      </c>
      <c r="B10029" t="s">
        <v>13201</v>
      </c>
    </row>
    <row r="10030" spans="1:2" x14ac:dyDescent="0.25">
      <c r="A10030" t="s">
        <v>4298</v>
      </c>
      <c r="B10030" t="s">
        <v>13201</v>
      </c>
    </row>
    <row r="10031" spans="1:2" x14ac:dyDescent="0.25">
      <c r="A10031" t="s">
        <v>4299</v>
      </c>
      <c r="B10031" t="s">
        <v>13201</v>
      </c>
    </row>
    <row r="10032" spans="1:2" x14ac:dyDescent="0.25">
      <c r="A10032" t="s">
        <v>5239</v>
      </c>
      <c r="B10032" t="s">
        <v>13201</v>
      </c>
    </row>
    <row r="10033" spans="1:2" x14ac:dyDescent="0.25">
      <c r="A10033" t="s">
        <v>5644</v>
      </c>
      <c r="B10033" t="s">
        <v>13201</v>
      </c>
    </row>
    <row r="10034" spans="1:2" x14ac:dyDescent="0.25">
      <c r="A10034" t="s">
        <v>11331</v>
      </c>
      <c r="B10034" t="s">
        <v>13201</v>
      </c>
    </row>
    <row r="10035" spans="1:2" x14ac:dyDescent="0.25">
      <c r="A10035" t="s">
        <v>9644</v>
      </c>
      <c r="B10035" t="s">
        <v>13201</v>
      </c>
    </row>
    <row r="10036" spans="1:2" x14ac:dyDescent="0.25">
      <c r="A10036" t="s">
        <v>8299</v>
      </c>
      <c r="B10036" t="s">
        <v>13201</v>
      </c>
    </row>
    <row r="10037" spans="1:2" x14ac:dyDescent="0.25">
      <c r="A10037" t="s">
        <v>5235</v>
      </c>
      <c r="B10037" t="s">
        <v>13201</v>
      </c>
    </row>
    <row r="10038" spans="1:2" x14ac:dyDescent="0.25">
      <c r="A10038" t="s">
        <v>7127</v>
      </c>
      <c r="B10038" t="s">
        <v>13201</v>
      </c>
    </row>
    <row r="10039" spans="1:2" x14ac:dyDescent="0.25">
      <c r="A10039" t="s">
        <v>9118</v>
      </c>
      <c r="B10039" t="s">
        <v>13201</v>
      </c>
    </row>
    <row r="10040" spans="1:2" x14ac:dyDescent="0.25">
      <c r="A10040" t="s">
        <v>4799</v>
      </c>
      <c r="B10040" t="s">
        <v>13201</v>
      </c>
    </row>
    <row r="10041" spans="1:2" x14ac:dyDescent="0.25">
      <c r="A10041" t="s">
        <v>6062</v>
      </c>
      <c r="B10041" t="s">
        <v>13201</v>
      </c>
    </row>
    <row r="10042" spans="1:2" x14ac:dyDescent="0.25">
      <c r="A10042" t="s">
        <v>11512</v>
      </c>
      <c r="B10042" t="s">
        <v>13201</v>
      </c>
    </row>
    <row r="10043" spans="1:2" x14ac:dyDescent="0.25">
      <c r="A10043" t="s">
        <v>3827</v>
      </c>
      <c r="B10043" t="s">
        <v>13201</v>
      </c>
    </row>
    <row r="10044" spans="1:2" x14ac:dyDescent="0.25">
      <c r="A10044" t="s">
        <v>9119</v>
      </c>
      <c r="B10044" t="s">
        <v>13201</v>
      </c>
    </row>
    <row r="10045" spans="1:2" x14ac:dyDescent="0.25">
      <c r="A10045" t="s">
        <v>9903</v>
      </c>
      <c r="B10045" t="s">
        <v>13201</v>
      </c>
    </row>
    <row r="10046" spans="1:2" x14ac:dyDescent="0.25">
      <c r="A10046" t="s">
        <v>9904</v>
      </c>
      <c r="B10046" t="s">
        <v>13201</v>
      </c>
    </row>
    <row r="10047" spans="1:2" x14ac:dyDescent="0.25">
      <c r="A10047" t="s">
        <v>5373</v>
      </c>
      <c r="B10047" t="s">
        <v>13201</v>
      </c>
    </row>
    <row r="10048" spans="1:2" x14ac:dyDescent="0.25">
      <c r="A10048" t="s">
        <v>13367</v>
      </c>
      <c r="B10048" t="s">
        <v>13201</v>
      </c>
    </row>
    <row r="10049" spans="1:2" x14ac:dyDescent="0.25">
      <c r="A10049" t="s">
        <v>2349</v>
      </c>
      <c r="B10049" t="s">
        <v>13201</v>
      </c>
    </row>
    <row r="10050" spans="1:2" x14ac:dyDescent="0.25">
      <c r="A10050" t="s">
        <v>5354</v>
      </c>
      <c r="B10050" t="s">
        <v>13201</v>
      </c>
    </row>
    <row r="10051" spans="1:2" x14ac:dyDescent="0.25">
      <c r="A10051" t="s">
        <v>4498</v>
      </c>
      <c r="B10051" t="s">
        <v>13201</v>
      </c>
    </row>
    <row r="10052" spans="1:2" x14ac:dyDescent="0.25">
      <c r="A10052" t="s">
        <v>11230</v>
      </c>
      <c r="B10052" t="s">
        <v>13201</v>
      </c>
    </row>
    <row r="10053" spans="1:2" x14ac:dyDescent="0.25">
      <c r="A10053" t="s">
        <v>10640</v>
      </c>
      <c r="B10053" t="s">
        <v>13201</v>
      </c>
    </row>
    <row r="10054" spans="1:2" x14ac:dyDescent="0.25">
      <c r="A10054" t="s">
        <v>10649</v>
      </c>
      <c r="B10054" t="s">
        <v>13201</v>
      </c>
    </row>
    <row r="10055" spans="1:2" x14ac:dyDescent="0.25">
      <c r="A10055" t="s">
        <v>5161</v>
      </c>
      <c r="B10055" t="s">
        <v>13201</v>
      </c>
    </row>
    <row r="10056" spans="1:2" x14ac:dyDescent="0.25">
      <c r="A10056" t="s">
        <v>2762</v>
      </c>
      <c r="B10056" t="s">
        <v>13201</v>
      </c>
    </row>
    <row r="10057" spans="1:2" x14ac:dyDescent="0.25">
      <c r="A10057" t="s">
        <v>5733</v>
      </c>
      <c r="B10057" t="s">
        <v>13201</v>
      </c>
    </row>
    <row r="10058" spans="1:2" x14ac:dyDescent="0.25">
      <c r="A10058" t="s">
        <v>8403</v>
      </c>
      <c r="B10058" t="s">
        <v>13201</v>
      </c>
    </row>
    <row r="10059" spans="1:2" x14ac:dyDescent="0.25">
      <c r="A10059" t="s">
        <v>1756</v>
      </c>
      <c r="B10059" t="s">
        <v>13201</v>
      </c>
    </row>
    <row r="10060" spans="1:2" x14ac:dyDescent="0.25">
      <c r="A10060" t="s">
        <v>7897</v>
      </c>
      <c r="B10060" t="s">
        <v>13201</v>
      </c>
    </row>
    <row r="10061" spans="1:2" x14ac:dyDescent="0.25">
      <c r="A10061" t="s">
        <v>2760</v>
      </c>
      <c r="B10061" t="s">
        <v>13201</v>
      </c>
    </row>
    <row r="10062" spans="1:2" x14ac:dyDescent="0.25">
      <c r="A10062" t="s">
        <v>6001</v>
      </c>
      <c r="B10062" t="s">
        <v>13201</v>
      </c>
    </row>
    <row r="10063" spans="1:2" x14ac:dyDescent="0.25">
      <c r="A10063" t="s">
        <v>8385</v>
      </c>
      <c r="B10063" t="s">
        <v>13201</v>
      </c>
    </row>
    <row r="10064" spans="1:2" x14ac:dyDescent="0.25">
      <c r="A10064" t="s">
        <v>12617</v>
      </c>
      <c r="B10064" t="s">
        <v>13201</v>
      </c>
    </row>
    <row r="10065" spans="1:2" x14ac:dyDescent="0.25">
      <c r="A10065" t="s">
        <v>4224</v>
      </c>
      <c r="B10065" t="s">
        <v>12617</v>
      </c>
    </row>
    <row r="10066" spans="1:2" x14ac:dyDescent="0.25">
      <c r="A10066" t="s">
        <v>12879</v>
      </c>
      <c r="B10066" t="s">
        <v>4224</v>
      </c>
    </row>
    <row r="10067" spans="1:2" x14ac:dyDescent="0.25">
      <c r="A10067" t="s">
        <v>6462</v>
      </c>
      <c r="B10067" t="s">
        <v>12879</v>
      </c>
    </row>
    <row r="10068" spans="1:2" x14ac:dyDescent="0.25">
      <c r="A10068" t="s">
        <v>3208</v>
      </c>
      <c r="B10068" t="s">
        <v>12879</v>
      </c>
    </row>
    <row r="10069" spans="1:2" x14ac:dyDescent="0.25">
      <c r="A10069" t="s">
        <v>6463</v>
      </c>
      <c r="B10069" t="s">
        <v>12879</v>
      </c>
    </row>
    <row r="10070" spans="1:2" x14ac:dyDescent="0.25">
      <c r="A10070" t="s">
        <v>6464</v>
      </c>
      <c r="B10070" t="s">
        <v>12879</v>
      </c>
    </row>
    <row r="10071" spans="1:2" x14ac:dyDescent="0.25">
      <c r="A10071" t="s">
        <v>5989</v>
      </c>
      <c r="B10071" t="s">
        <v>12879</v>
      </c>
    </row>
    <row r="10072" spans="1:2" x14ac:dyDescent="0.25">
      <c r="A10072" t="s">
        <v>5990</v>
      </c>
      <c r="B10072" t="s">
        <v>5989</v>
      </c>
    </row>
    <row r="10073" spans="1:2" x14ac:dyDescent="0.25">
      <c r="A10073" t="s">
        <v>2732</v>
      </c>
      <c r="B10073" t="s">
        <v>5989</v>
      </c>
    </row>
    <row r="10074" spans="1:2" x14ac:dyDescent="0.25">
      <c r="A10074" t="s">
        <v>6466</v>
      </c>
      <c r="B10074" t="s">
        <v>5989</v>
      </c>
    </row>
    <row r="10075" spans="1:2" x14ac:dyDescent="0.25">
      <c r="A10075" t="s">
        <v>6465</v>
      </c>
      <c r="B10075" t="s">
        <v>6466</v>
      </c>
    </row>
    <row r="10076" spans="1:2" x14ac:dyDescent="0.25">
      <c r="A10076" t="s">
        <v>9516</v>
      </c>
      <c r="B10076" t="s">
        <v>12879</v>
      </c>
    </row>
    <row r="10077" spans="1:2" x14ac:dyDescent="0.25">
      <c r="A10077" t="s">
        <v>542</v>
      </c>
      <c r="B10077" t="s">
        <v>12879</v>
      </c>
    </row>
    <row r="10078" spans="1:2" x14ac:dyDescent="0.25">
      <c r="A10078" t="s">
        <v>4225</v>
      </c>
      <c r="B10078" t="s">
        <v>12879</v>
      </c>
    </row>
    <row r="10079" spans="1:2" x14ac:dyDescent="0.25">
      <c r="A10079" t="s">
        <v>6467</v>
      </c>
      <c r="B10079" t="s">
        <v>12879</v>
      </c>
    </row>
    <row r="10080" spans="1:2" x14ac:dyDescent="0.25">
      <c r="A10080" t="s">
        <v>6649</v>
      </c>
      <c r="B10080" t="s">
        <v>12879</v>
      </c>
    </row>
    <row r="10081" spans="1:2" x14ac:dyDescent="0.25">
      <c r="A10081" t="s">
        <v>5768</v>
      </c>
      <c r="B10081" t="s">
        <v>12617</v>
      </c>
    </row>
    <row r="10082" spans="1:2" x14ac:dyDescent="0.25">
      <c r="A10082" t="s">
        <v>8419</v>
      </c>
      <c r="B10082" t="s">
        <v>12617</v>
      </c>
    </row>
    <row r="10083" spans="1:2" x14ac:dyDescent="0.25">
      <c r="A10083" t="s">
        <v>3233</v>
      </c>
      <c r="B10083" t="s">
        <v>8419</v>
      </c>
    </row>
    <row r="10084" spans="1:2" x14ac:dyDescent="0.25">
      <c r="A10084" t="s">
        <v>2763</v>
      </c>
      <c r="B10084" t="s">
        <v>8419</v>
      </c>
    </row>
    <row r="10085" spans="1:2" x14ac:dyDescent="0.25">
      <c r="A10085" t="s">
        <v>11003</v>
      </c>
      <c r="B10085" t="s">
        <v>13201</v>
      </c>
    </row>
    <row r="10086" spans="1:2" x14ac:dyDescent="0.25">
      <c r="A10086" t="s">
        <v>12508</v>
      </c>
      <c r="B10086" t="s">
        <v>13201</v>
      </c>
    </row>
    <row r="10087" spans="1:2" x14ac:dyDescent="0.25">
      <c r="A10087" t="s">
        <v>1490</v>
      </c>
      <c r="B10087" t="s">
        <v>13201</v>
      </c>
    </row>
    <row r="10088" spans="1:2" x14ac:dyDescent="0.25">
      <c r="A10088" t="s">
        <v>8247</v>
      </c>
      <c r="B10088" t="s">
        <v>13201</v>
      </c>
    </row>
    <row r="10089" spans="1:2" x14ac:dyDescent="0.25">
      <c r="A10089" t="s">
        <v>9520</v>
      </c>
      <c r="B10089" t="s">
        <v>13201</v>
      </c>
    </row>
    <row r="10090" spans="1:2" x14ac:dyDescent="0.25">
      <c r="A10090" t="s">
        <v>1747</v>
      </c>
      <c r="B10090" t="s">
        <v>13201</v>
      </c>
    </row>
    <row r="10091" spans="1:2" x14ac:dyDescent="0.25">
      <c r="A10091" t="s">
        <v>2335</v>
      </c>
      <c r="B10091" t="s">
        <v>13201</v>
      </c>
    </row>
    <row r="10092" spans="1:2" x14ac:dyDescent="0.25">
      <c r="A10092" t="s">
        <v>2336</v>
      </c>
      <c r="B10092" t="s">
        <v>13201</v>
      </c>
    </row>
    <row r="10093" spans="1:2" x14ac:dyDescent="0.25">
      <c r="A10093" t="s">
        <v>10151</v>
      </c>
      <c r="B10093" t="s">
        <v>13201</v>
      </c>
    </row>
    <row r="10094" spans="1:2" x14ac:dyDescent="0.25">
      <c r="A10094" t="s">
        <v>11225</v>
      </c>
      <c r="B10094" t="s">
        <v>13201</v>
      </c>
    </row>
    <row r="10095" spans="1:2" x14ac:dyDescent="0.25">
      <c r="A10095" t="s">
        <v>6934</v>
      </c>
      <c r="B10095" t="s">
        <v>13201</v>
      </c>
    </row>
    <row r="10096" spans="1:2" x14ac:dyDescent="0.25">
      <c r="A10096" t="s">
        <v>6935</v>
      </c>
      <c r="B10096" t="s">
        <v>13201</v>
      </c>
    </row>
    <row r="10097" spans="1:2" x14ac:dyDescent="0.25">
      <c r="A10097" t="s">
        <v>6156</v>
      </c>
      <c r="B10097" t="s">
        <v>13201</v>
      </c>
    </row>
    <row r="10098" spans="1:2" x14ac:dyDescent="0.25">
      <c r="A10098" t="s">
        <v>7298</v>
      </c>
      <c r="B10098" t="s">
        <v>13201</v>
      </c>
    </row>
    <row r="10099" spans="1:2" x14ac:dyDescent="0.25">
      <c r="A10099" t="s">
        <v>7299</v>
      </c>
      <c r="B10099" t="s">
        <v>13201</v>
      </c>
    </row>
    <row r="10100" spans="1:2" x14ac:dyDescent="0.25">
      <c r="A10100" t="s">
        <v>5362</v>
      </c>
      <c r="B10100" t="s">
        <v>13201</v>
      </c>
    </row>
    <row r="10101" spans="1:2" x14ac:dyDescent="0.25">
      <c r="A10101" t="s">
        <v>11249</v>
      </c>
      <c r="B10101" t="s">
        <v>13201</v>
      </c>
    </row>
    <row r="10102" spans="1:2" x14ac:dyDescent="0.25">
      <c r="A10102" t="s">
        <v>9636</v>
      </c>
      <c r="B10102" t="s">
        <v>13201</v>
      </c>
    </row>
    <row r="10103" spans="1:2" x14ac:dyDescent="0.25">
      <c r="A10103" t="s">
        <v>8396</v>
      </c>
      <c r="B10103" t="s">
        <v>13201</v>
      </c>
    </row>
    <row r="10104" spans="1:2" x14ac:dyDescent="0.25">
      <c r="A10104" t="s">
        <v>303</v>
      </c>
      <c r="B10104" t="s">
        <v>13201</v>
      </c>
    </row>
    <row r="10105" spans="1:2" x14ac:dyDescent="0.25">
      <c r="A10105" t="s">
        <v>4717</v>
      </c>
      <c r="B10105" t="s">
        <v>13201</v>
      </c>
    </row>
    <row r="10106" spans="1:2" x14ac:dyDescent="0.25">
      <c r="A10106" t="s">
        <v>560</v>
      </c>
      <c r="B10106" t="s">
        <v>13201</v>
      </c>
    </row>
    <row r="10107" spans="1:2" x14ac:dyDescent="0.25">
      <c r="A10107" t="s">
        <v>1749</v>
      </c>
      <c r="B10107" t="s">
        <v>13201</v>
      </c>
    </row>
    <row r="10108" spans="1:2" x14ac:dyDescent="0.25">
      <c r="A10108" t="s">
        <v>6933</v>
      </c>
      <c r="B10108" t="s">
        <v>13201</v>
      </c>
    </row>
    <row r="10109" spans="1:2" x14ac:dyDescent="0.25">
      <c r="A10109" t="s">
        <v>5996</v>
      </c>
      <c r="B10109" t="s">
        <v>13201</v>
      </c>
    </row>
    <row r="10110" spans="1:2" x14ac:dyDescent="0.25">
      <c r="A10110" t="s">
        <v>5583</v>
      </c>
      <c r="B10110" t="s">
        <v>13201</v>
      </c>
    </row>
    <row r="10111" spans="1:2" x14ac:dyDescent="0.25">
      <c r="A10111" t="s">
        <v>561</v>
      </c>
      <c r="B10111" t="s">
        <v>13201</v>
      </c>
    </row>
    <row r="10112" spans="1:2" x14ac:dyDescent="0.25">
      <c r="A10112" t="s">
        <v>562</v>
      </c>
      <c r="B10112" t="s">
        <v>13201</v>
      </c>
    </row>
    <row r="10113" spans="1:2" x14ac:dyDescent="0.25">
      <c r="A10113" t="s">
        <v>1750</v>
      </c>
      <c r="B10113" t="s">
        <v>13201</v>
      </c>
    </row>
    <row r="10114" spans="1:2" x14ac:dyDescent="0.25">
      <c r="A10114" t="s">
        <v>2337</v>
      </c>
      <c r="B10114" t="s">
        <v>13201</v>
      </c>
    </row>
    <row r="10115" spans="1:2" x14ac:dyDescent="0.25">
      <c r="A10115" t="s">
        <v>1752</v>
      </c>
      <c r="B10115" t="s">
        <v>13201</v>
      </c>
    </row>
    <row r="10116" spans="1:2" x14ac:dyDescent="0.25">
      <c r="A10116" t="s">
        <v>8425</v>
      </c>
      <c r="B10116" t="s">
        <v>13201</v>
      </c>
    </row>
    <row r="10117" spans="1:2" x14ac:dyDescent="0.25">
      <c r="A10117" t="s">
        <v>9065</v>
      </c>
      <c r="B10117" t="s">
        <v>13201</v>
      </c>
    </row>
    <row r="10118" spans="1:2" x14ac:dyDescent="0.25">
      <c r="A10118" t="s">
        <v>10503</v>
      </c>
      <c r="B10118" t="s">
        <v>13201</v>
      </c>
    </row>
    <row r="10119" spans="1:2" x14ac:dyDescent="0.25">
      <c r="A10119" t="s">
        <v>563</v>
      </c>
      <c r="B10119" t="s">
        <v>13201</v>
      </c>
    </row>
    <row r="10120" spans="1:2" x14ac:dyDescent="0.25">
      <c r="A10120" t="s">
        <v>5157</v>
      </c>
      <c r="B10120" t="s">
        <v>13201</v>
      </c>
    </row>
    <row r="10121" spans="1:2" x14ac:dyDescent="0.25">
      <c r="A10121" t="s">
        <v>7893</v>
      </c>
      <c r="B10121" t="s">
        <v>13201</v>
      </c>
    </row>
    <row r="10122" spans="1:2" x14ac:dyDescent="0.25">
      <c r="A10122" t="s">
        <v>5584</v>
      </c>
      <c r="B10122" t="s">
        <v>13201</v>
      </c>
    </row>
    <row r="10123" spans="1:2" x14ac:dyDescent="0.25">
      <c r="A10123" t="s">
        <v>3230</v>
      </c>
      <c r="B10123" t="s">
        <v>13201</v>
      </c>
    </row>
    <row r="10124" spans="1:2" x14ac:dyDescent="0.25">
      <c r="A10124" t="s">
        <v>2758</v>
      </c>
      <c r="B10124" t="s">
        <v>13201</v>
      </c>
    </row>
    <row r="10125" spans="1:2" x14ac:dyDescent="0.25">
      <c r="A10125" t="s">
        <v>12716</v>
      </c>
      <c r="B10125" t="s">
        <v>13201</v>
      </c>
    </row>
    <row r="10126" spans="1:2" x14ac:dyDescent="0.25">
      <c r="A10126" t="s">
        <v>2759</v>
      </c>
      <c r="B10126" t="s">
        <v>13201</v>
      </c>
    </row>
    <row r="10127" spans="1:2" x14ac:dyDescent="0.25">
      <c r="A10127" t="s">
        <v>9066</v>
      </c>
      <c r="B10127" t="s">
        <v>13201</v>
      </c>
    </row>
    <row r="10128" spans="1:2" x14ac:dyDescent="0.25">
      <c r="A10128" t="s">
        <v>5585</v>
      </c>
      <c r="B10128" t="s">
        <v>13201</v>
      </c>
    </row>
    <row r="10129" spans="1:2" x14ac:dyDescent="0.25">
      <c r="A10129" t="s">
        <v>2338</v>
      </c>
      <c r="B10129" t="s">
        <v>13201</v>
      </c>
    </row>
    <row r="10130" spans="1:2" x14ac:dyDescent="0.25">
      <c r="A10130" t="s">
        <v>8755</v>
      </c>
      <c r="B10130" t="s">
        <v>13201</v>
      </c>
    </row>
    <row r="10131" spans="1:2" x14ac:dyDescent="0.25">
      <c r="A10131" t="s">
        <v>5378</v>
      </c>
      <c r="B10131" t="s">
        <v>13201</v>
      </c>
    </row>
    <row r="10132" spans="1:2" x14ac:dyDescent="0.25">
      <c r="A10132" t="s">
        <v>9878</v>
      </c>
      <c r="B10132" t="s">
        <v>13201</v>
      </c>
    </row>
    <row r="10133" spans="1:2" x14ac:dyDescent="0.25">
      <c r="A10133" t="s">
        <v>6472</v>
      </c>
      <c r="B10133" t="s">
        <v>13201</v>
      </c>
    </row>
    <row r="10134" spans="1:2" x14ac:dyDescent="0.25">
      <c r="A10134" t="s">
        <v>2757</v>
      </c>
      <c r="B10134" t="s">
        <v>13201</v>
      </c>
    </row>
    <row r="10135" spans="1:2" x14ac:dyDescent="0.25">
      <c r="A10135" t="s">
        <v>1751</v>
      </c>
      <c r="B10135" t="s">
        <v>13201</v>
      </c>
    </row>
    <row r="10136" spans="1:2" x14ac:dyDescent="0.25">
      <c r="A10136" t="s">
        <v>5156</v>
      </c>
      <c r="B10136" t="s">
        <v>13201</v>
      </c>
    </row>
    <row r="10137" spans="1:2" x14ac:dyDescent="0.25">
      <c r="A10137" t="s">
        <v>10957</v>
      </c>
      <c r="B10137" t="s">
        <v>13201</v>
      </c>
    </row>
    <row r="10138" spans="1:2" x14ac:dyDescent="0.25">
      <c r="A10138" t="s">
        <v>9929</v>
      </c>
      <c r="B10138" t="s">
        <v>13201</v>
      </c>
    </row>
    <row r="10139" spans="1:2" x14ac:dyDescent="0.25">
      <c r="A10139" t="s">
        <v>11020</v>
      </c>
      <c r="B10139" t="s">
        <v>13201</v>
      </c>
    </row>
    <row r="10140" spans="1:2" x14ac:dyDescent="0.25">
      <c r="A10140" t="s">
        <v>12276</v>
      </c>
      <c r="B10140" t="s">
        <v>13201</v>
      </c>
    </row>
    <row r="10141" spans="1:2" x14ac:dyDescent="0.25">
      <c r="A10141" t="s">
        <v>7687</v>
      </c>
      <c r="B10141" t="s">
        <v>13201</v>
      </c>
    </row>
    <row r="10142" spans="1:2" x14ac:dyDescent="0.25">
      <c r="A10142" t="s">
        <v>7032</v>
      </c>
      <c r="B10142" t="s">
        <v>13201</v>
      </c>
    </row>
    <row r="10143" spans="1:2" x14ac:dyDescent="0.25">
      <c r="A10143" t="s">
        <v>7033</v>
      </c>
      <c r="B10143" t="s">
        <v>13201</v>
      </c>
    </row>
    <row r="10144" spans="1:2" x14ac:dyDescent="0.25">
      <c r="A10144" t="s">
        <v>7034</v>
      </c>
      <c r="B10144" t="s">
        <v>13201</v>
      </c>
    </row>
    <row r="10145" spans="1:2" x14ac:dyDescent="0.25">
      <c r="A10145" t="s">
        <v>12469</v>
      </c>
      <c r="B10145" t="s">
        <v>13201</v>
      </c>
    </row>
    <row r="10146" spans="1:2" x14ac:dyDescent="0.25">
      <c r="A10146" t="s">
        <v>2331</v>
      </c>
      <c r="B10146" t="s">
        <v>13201</v>
      </c>
    </row>
    <row r="10147" spans="1:2" x14ac:dyDescent="0.25">
      <c r="A10147" t="s">
        <v>2755</v>
      </c>
      <c r="B10147" t="s">
        <v>13201</v>
      </c>
    </row>
    <row r="10148" spans="1:2" x14ac:dyDescent="0.25">
      <c r="A10148" t="s">
        <v>7631</v>
      </c>
      <c r="B10148" t="s">
        <v>13201</v>
      </c>
    </row>
    <row r="10149" spans="1:2" x14ac:dyDescent="0.25">
      <c r="A10149" t="s">
        <v>7632</v>
      </c>
      <c r="B10149" t="s">
        <v>13201</v>
      </c>
    </row>
    <row r="10150" spans="1:2" x14ac:dyDescent="0.25">
      <c r="A10150" t="s">
        <v>6931</v>
      </c>
      <c r="B10150" t="s">
        <v>13201</v>
      </c>
    </row>
    <row r="10151" spans="1:2" x14ac:dyDescent="0.25">
      <c r="A10151" t="s">
        <v>7633</v>
      </c>
      <c r="B10151" t="s">
        <v>13201</v>
      </c>
    </row>
    <row r="10152" spans="1:2" x14ac:dyDescent="0.25">
      <c r="A10152" t="s">
        <v>557</v>
      </c>
      <c r="B10152" t="s">
        <v>13201</v>
      </c>
    </row>
    <row r="10153" spans="1:2" x14ac:dyDescent="0.25">
      <c r="A10153" t="s">
        <v>8248</v>
      </c>
      <c r="B10153" t="s">
        <v>13201</v>
      </c>
    </row>
    <row r="10154" spans="1:2" x14ac:dyDescent="0.25">
      <c r="A10154" t="s">
        <v>8250</v>
      </c>
      <c r="B10154" t="s">
        <v>13201</v>
      </c>
    </row>
    <row r="10155" spans="1:2" x14ac:dyDescent="0.25">
      <c r="A10155" t="s">
        <v>9638</v>
      </c>
      <c r="B10155" t="s">
        <v>13201</v>
      </c>
    </row>
    <row r="10156" spans="1:2" x14ac:dyDescent="0.25">
      <c r="A10156" t="s">
        <v>5154</v>
      </c>
      <c r="B10156" t="s">
        <v>13201</v>
      </c>
    </row>
    <row r="10157" spans="1:2" x14ac:dyDescent="0.25">
      <c r="A10157" t="s">
        <v>558</v>
      </c>
      <c r="B10157" t="s">
        <v>13201</v>
      </c>
    </row>
    <row r="10158" spans="1:2" x14ac:dyDescent="0.25">
      <c r="A10158" t="s">
        <v>2756</v>
      </c>
      <c r="B10158" t="s">
        <v>13201</v>
      </c>
    </row>
    <row r="10159" spans="1:2" x14ac:dyDescent="0.25">
      <c r="A10159" t="s">
        <v>559</v>
      </c>
      <c r="B10159" t="s">
        <v>13201</v>
      </c>
    </row>
    <row r="10160" spans="1:2" x14ac:dyDescent="0.25">
      <c r="A10160" t="s">
        <v>3470</v>
      </c>
      <c r="B10160" t="s">
        <v>13201</v>
      </c>
    </row>
    <row r="10161" spans="1:2" x14ac:dyDescent="0.25">
      <c r="A10161" t="s">
        <v>3018</v>
      </c>
      <c r="B10161" t="s">
        <v>13201</v>
      </c>
    </row>
    <row r="10162" spans="1:2" x14ac:dyDescent="0.25">
      <c r="A10162" t="s">
        <v>6932</v>
      </c>
      <c r="B10162" t="s">
        <v>13201</v>
      </c>
    </row>
    <row r="10163" spans="1:2" x14ac:dyDescent="0.25">
      <c r="A10163" t="s">
        <v>7635</v>
      </c>
      <c r="B10163" t="s">
        <v>13201</v>
      </c>
    </row>
    <row r="10164" spans="1:2" x14ac:dyDescent="0.25">
      <c r="A10164" t="s">
        <v>12312</v>
      </c>
      <c r="B10164" t="s">
        <v>13201</v>
      </c>
    </row>
    <row r="10165" spans="1:2" x14ac:dyDescent="0.25">
      <c r="A10165" t="s">
        <v>5734</v>
      </c>
      <c r="B10165" t="s">
        <v>13201</v>
      </c>
    </row>
    <row r="10166" spans="1:2" x14ac:dyDescent="0.25">
      <c r="A10166" t="s">
        <v>7053</v>
      </c>
      <c r="B10166" t="s">
        <v>13201</v>
      </c>
    </row>
    <row r="10167" spans="1:2" x14ac:dyDescent="0.25">
      <c r="A10167" t="s">
        <v>7054</v>
      </c>
      <c r="B10167" t="s">
        <v>13201</v>
      </c>
    </row>
    <row r="10168" spans="1:2" x14ac:dyDescent="0.25">
      <c r="A10168" t="s">
        <v>7865</v>
      </c>
      <c r="B10168" t="s">
        <v>13201</v>
      </c>
    </row>
    <row r="10169" spans="1:2" x14ac:dyDescent="0.25">
      <c r="A10169" t="s">
        <v>7225</v>
      </c>
      <c r="B10169" t="s">
        <v>13201</v>
      </c>
    </row>
    <row r="10170" spans="1:2" x14ac:dyDescent="0.25">
      <c r="A10170" t="s">
        <v>11305</v>
      </c>
      <c r="B10170" t="s">
        <v>13201</v>
      </c>
    </row>
    <row r="10171" spans="1:2" x14ac:dyDescent="0.25">
      <c r="A10171" t="s">
        <v>7037</v>
      </c>
      <c r="B10171" t="s">
        <v>13201</v>
      </c>
    </row>
    <row r="10172" spans="1:2" x14ac:dyDescent="0.25">
      <c r="A10172" t="s">
        <v>7049</v>
      </c>
      <c r="B10172" t="s">
        <v>13201</v>
      </c>
    </row>
    <row r="10173" spans="1:2" x14ac:dyDescent="0.25">
      <c r="A10173" t="s">
        <v>7052</v>
      </c>
      <c r="B10173" t="s">
        <v>13201</v>
      </c>
    </row>
    <row r="10174" spans="1:2" x14ac:dyDescent="0.25">
      <c r="A10174" t="s">
        <v>7135</v>
      </c>
      <c r="B10174" t="s">
        <v>13201</v>
      </c>
    </row>
    <row r="10175" spans="1:2" x14ac:dyDescent="0.25">
      <c r="A10175" t="s">
        <v>7056</v>
      </c>
      <c r="B10175" t="s">
        <v>13201</v>
      </c>
    </row>
    <row r="10176" spans="1:2" x14ac:dyDescent="0.25">
      <c r="A10176" t="s">
        <v>7057</v>
      </c>
      <c r="B10176" t="s">
        <v>13201</v>
      </c>
    </row>
    <row r="10177" spans="1:2" x14ac:dyDescent="0.25">
      <c r="A10177" t="s">
        <v>9626</v>
      </c>
      <c r="B10177" t="s">
        <v>13201</v>
      </c>
    </row>
    <row r="10178" spans="1:2" x14ac:dyDescent="0.25">
      <c r="A10178" t="s">
        <v>8402</v>
      </c>
      <c r="B10178" t="s">
        <v>13201</v>
      </c>
    </row>
    <row r="10179" spans="1:2" x14ac:dyDescent="0.25">
      <c r="A10179" t="s">
        <v>4495</v>
      </c>
      <c r="B10179" t="s">
        <v>13201</v>
      </c>
    </row>
    <row r="10180" spans="1:2" x14ac:dyDescent="0.25">
      <c r="A10180" t="s">
        <v>4496</v>
      </c>
      <c r="B10180" t="s">
        <v>13201</v>
      </c>
    </row>
    <row r="10181" spans="1:2" x14ac:dyDescent="0.25">
      <c r="A10181" t="s">
        <v>6654</v>
      </c>
      <c r="B10181" t="s">
        <v>13201</v>
      </c>
    </row>
    <row r="10182" spans="1:2" x14ac:dyDescent="0.25">
      <c r="A10182" t="s">
        <v>6655</v>
      </c>
      <c r="B10182" t="s">
        <v>13201</v>
      </c>
    </row>
    <row r="10183" spans="1:2" x14ac:dyDescent="0.25">
      <c r="A10183" t="s">
        <v>7914</v>
      </c>
      <c r="B10183" t="s">
        <v>13201</v>
      </c>
    </row>
    <row r="10184" spans="1:2" x14ac:dyDescent="0.25">
      <c r="A10184" t="s">
        <v>8415</v>
      </c>
      <c r="B10184" t="s">
        <v>13201</v>
      </c>
    </row>
    <row r="10185" spans="1:2" x14ac:dyDescent="0.25">
      <c r="A10185" t="s">
        <v>11507</v>
      </c>
      <c r="B10185" t="s">
        <v>13201</v>
      </c>
    </row>
    <row r="10186" spans="1:2" x14ac:dyDescent="0.25">
      <c r="A10186" t="s">
        <v>5330</v>
      </c>
      <c r="B10186" t="s">
        <v>13201</v>
      </c>
    </row>
    <row r="10187" spans="1:2" x14ac:dyDescent="0.25">
      <c r="A10187" t="s">
        <v>3463</v>
      </c>
      <c r="B10187" t="s">
        <v>13201</v>
      </c>
    </row>
    <row r="10188" spans="1:2" x14ac:dyDescent="0.25">
      <c r="A10188" t="s">
        <v>7310</v>
      </c>
      <c r="B10188" t="s">
        <v>13201</v>
      </c>
    </row>
    <row r="10189" spans="1:2" x14ac:dyDescent="0.25">
      <c r="A10189" t="s">
        <v>7277</v>
      </c>
      <c r="B10189" t="s">
        <v>13201</v>
      </c>
    </row>
    <row r="10190" spans="1:2" x14ac:dyDescent="0.25">
      <c r="A10190" t="s">
        <v>2332</v>
      </c>
      <c r="B10190" t="s">
        <v>13201</v>
      </c>
    </row>
    <row r="10191" spans="1:2" x14ac:dyDescent="0.25">
      <c r="A10191" t="s">
        <v>2333</v>
      </c>
      <c r="B10191" t="s">
        <v>13201</v>
      </c>
    </row>
    <row r="10192" spans="1:2" x14ac:dyDescent="0.25">
      <c r="A10192" t="s">
        <v>9521</v>
      </c>
      <c r="B10192" t="s">
        <v>13201</v>
      </c>
    </row>
    <row r="10193" spans="1:2" x14ac:dyDescent="0.25">
      <c r="A10193" t="s">
        <v>2334</v>
      </c>
      <c r="B10193" t="s">
        <v>13201</v>
      </c>
    </row>
    <row r="10194" spans="1:2" x14ac:dyDescent="0.25">
      <c r="A10194" t="s">
        <v>4716</v>
      </c>
      <c r="B10194" t="s">
        <v>13201</v>
      </c>
    </row>
    <row r="10195" spans="1:2" x14ac:dyDescent="0.25">
      <c r="A10195" t="s">
        <v>7060</v>
      </c>
      <c r="B10195" t="s">
        <v>13201</v>
      </c>
    </row>
    <row r="10196" spans="1:2" x14ac:dyDescent="0.25">
      <c r="A10196" t="s">
        <v>7061</v>
      </c>
      <c r="B10196" t="s">
        <v>13201</v>
      </c>
    </row>
    <row r="10197" spans="1:2" x14ac:dyDescent="0.25">
      <c r="A10197" t="s">
        <v>7062</v>
      </c>
      <c r="B10197" t="s">
        <v>13201</v>
      </c>
    </row>
    <row r="10198" spans="1:2" x14ac:dyDescent="0.25">
      <c r="A10198" t="s">
        <v>6545</v>
      </c>
      <c r="B10198" t="s">
        <v>13201</v>
      </c>
    </row>
    <row r="10199" spans="1:2" x14ac:dyDescent="0.25">
      <c r="A10199" t="s">
        <v>7050</v>
      </c>
      <c r="B10199" t="s">
        <v>13201</v>
      </c>
    </row>
    <row r="10200" spans="1:2" x14ac:dyDescent="0.25">
      <c r="A10200" t="s">
        <v>7051</v>
      </c>
      <c r="B10200" t="s">
        <v>13201</v>
      </c>
    </row>
    <row r="10201" spans="1:2" x14ac:dyDescent="0.25">
      <c r="A10201" t="s">
        <v>7038</v>
      </c>
      <c r="B10201" t="s">
        <v>13201</v>
      </c>
    </row>
    <row r="10202" spans="1:2" x14ac:dyDescent="0.25">
      <c r="A10202" t="s">
        <v>7039</v>
      </c>
      <c r="B10202" t="s">
        <v>13201</v>
      </c>
    </row>
    <row r="10203" spans="1:2" x14ac:dyDescent="0.25">
      <c r="A10203" t="s">
        <v>7040</v>
      </c>
      <c r="B10203" t="s">
        <v>13201</v>
      </c>
    </row>
    <row r="10204" spans="1:2" x14ac:dyDescent="0.25">
      <c r="A10204" t="s">
        <v>7041</v>
      </c>
      <c r="B10204" t="s">
        <v>13201</v>
      </c>
    </row>
    <row r="10205" spans="1:2" x14ac:dyDescent="0.25">
      <c r="A10205" t="s">
        <v>7042</v>
      </c>
      <c r="B10205" t="s">
        <v>13201</v>
      </c>
    </row>
    <row r="10206" spans="1:2" x14ac:dyDescent="0.25">
      <c r="A10206" t="s">
        <v>7043</v>
      </c>
      <c r="B10206" t="s">
        <v>13201</v>
      </c>
    </row>
    <row r="10207" spans="1:2" x14ac:dyDescent="0.25">
      <c r="A10207" t="s">
        <v>11803</v>
      </c>
      <c r="B10207" t="s">
        <v>13201</v>
      </c>
    </row>
    <row r="10208" spans="1:2" x14ac:dyDescent="0.25">
      <c r="A10208" t="s">
        <v>7058</v>
      </c>
      <c r="B10208" t="s">
        <v>13201</v>
      </c>
    </row>
    <row r="10209" spans="1:2" x14ac:dyDescent="0.25">
      <c r="A10209" t="s">
        <v>7059</v>
      </c>
      <c r="B10209" t="s">
        <v>13201</v>
      </c>
    </row>
    <row r="10210" spans="1:2" x14ac:dyDescent="0.25">
      <c r="A10210" t="s">
        <v>3207</v>
      </c>
      <c r="B10210" t="s">
        <v>13201</v>
      </c>
    </row>
    <row r="10211" spans="1:2" x14ac:dyDescent="0.25">
      <c r="A10211" t="s">
        <v>11938</v>
      </c>
      <c r="B10211" t="s">
        <v>13201</v>
      </c>
    </row>
    <row r="10212" spans="1:2" x14ac:dyDescent="0.25">
      <c r="A10212" t="s">
        <v>3961</v>
      </c>
      <c r="B10212" t="s">
        <v>13201</v>
      </c>
    </row>
    <row r="10213" spans="1:2" x14ac:dyDescent="0.25">
      <c r="A10213" t="s">
        <v>3962</v>
      </c>
      <c r="B10213" t="s">
        <v>13201</v>
      </c>
    </row>
    <row r="10214" spans="1:2" x14ac:dyDescent="0.25">
      <c r="A10214" t="s">
        <v>11789</v>
      </c>
      <c r="B10214" t="s">
        <v>13201</v>
      </c>
    </row>
    <row r="10215" spans="1:2" x14ac:dyDescent="0.25">
      <c r="A10215" t="s">
        <v>8818</v>
      </c>
      <c r="B10215" t="s">
        <v>13201</v>
      </c>
    </row>
    <row r="10216" spans="1:2" x14ac:dyDescent="0.25">
      <c r="A10216" t="s">
        <v>8819</v>
      </c>
      <c r="B10216" t="s">
        <v>13201</v>
      </c>
    </row>
    <row r="10217" spans="1:2" x14ac:dyDescent="0.25">
      <c r="A10217" t="s">
        <v>4714</v>
      </c>
      <c r="B10217" t="s">
        <v>13201</v>
      </c>
    </row>
    <row r="10218" spans="1:2" x14ac:dyDescent="0.25">
      <c r="A10218" t="s">
        <v>3022</v>
      </c>
      <c r="B10218" t="s">
        <v>13201</v>
      </c>
    </row>
    <row r="10219" spans="1:2" x14ac:dyDescent="0.25">
      <c r="A10219" t="s">
        <v>3490</v>
      </c>
      <c r="B10219" t="s">
        <v>13201</v>
      </c>
    </row>
    <row r="10220" spans="1:2" x14ac:dyDescent="0.25">
      <c r="A10220" t="s">
        <v>3491</v>
      </c>
      <c r="B10220" t="s">
        <v>13201</v>
      </c>
    </row>
    <row r="10221" spans="1:2" x14ac:dyDescent="0.25">
      <c r="A10221" t="s">
        <v>3489</v>
      </c>
      <c r="B10221" t="s">
        <v>13201</v>
      </c>
    </row>
    <row r="10222" spans="1:2" x14ac:dyDescent="0.25">
      <c r="A10222" t="s">
        <v>2731</v>
      </c>
      <c r="B10222" t="s">
        <v>13201</v>
      </c>
    </row>
    <row r="10223" spans="1:2" x14ac:dyDescent="0.25">
      <c r="A10223" t="s">
        <v>3474</v>
      </c>
      <c r="B10223" t="s">
        <v>13201</v>
      </c>
    </row>
    <row r="10224" spans="1:2" x14ac:dyDescent="0.25">
      <c r="A10224" t="s">
        <v>3475</v>
      </c>
      <c r="B10224" t="s">
        <v>13201</v>
      </c>
    </row>
    <row r="10225" spans="1:2" x14ac:dyDescent="0.25">
      <c r="A10225" t="s">
        <v>3963</v>
      </c>
      <c r="B10225" t="s">
        <v>13201</v>
      </c>
    </row>
    <row r="10226" spans="1:2" x14ac:dyDescent="0.25">
      <c r="A10226" t="s">
        <v>3023</v>
      </c>
      <c r="B10226" t="s">
        <v>13201</v>
      </c>
    </row>
    <row r="10227" spans="1:2" x14ac:dyDescent="0.25">
      <c r="A10227" t="s">
        <v>2581</v>
      </c>
      <c r="B10227" t="s">
        <v>13201</v>
      </c>
    </row>
    <row r="10228" spans="1:2" x14ac:dyDescent="0.25">
      <c r="A10228" t="s">
        <v>3024</v>
      </c>
      <c r="B10228" t="s">
        <v>13201</v>
      </c>
    </row>
    <row r="10229" spans="1:2" x14ac:dyDescent="0.25">
      <c r="A10229" t="s">
        <v>3476</v>
      </c>
      <c r="B10229" t="s">
        <v>13201</v>
      </c>
    </row>
    <row r="10230" spans="1:2" x14ac:dyDescent="0.25">
      <c r="A10230" t="s">
        <v>3964</v>
      </c>
      <c r="B10230" t="s">
        <v>13201</v>
      </c>
    </row>
    <row r="10231" spans="1:2" x14ac:dyDescent="0.25">
      <c r="A10231" t="s">
        <v>3477</v>
      </c>
      <c r="B10231" t="s">
        <v>13201</v>
      </c>
    </row>
    <row r="10232" spans="1:2" x14ac:dyDescent="0.25">
      <c r="A10232" t="s">
        <v>5346</v>
      </c>
      <c r="B10232" t="s">
        <v>13201</v>
      </c>
    </row>
    <row r="10233" spans="1:2" x14ac:dyDescent="0.25">
      <c r="A10233" t="s">
        <v>2219</v>
      </c>
      <c r="B10233" t="s">
        <v>13201</v>
      </c>
    </row>
    <row r="10234" spans="1:2" x14ac:dyDescent="0.25">
      <c r="A10234" t="s">
        <v>5578</v>
      </c>
      <c r="B10234" t="s">
        <v>13201</v>
      </c>
    </row>
    <row r="10235" spans="1:2" x14ac:dyDescent="0.25">
      <c r="A10235" t="s">
        <v>6161</v>
      </c>
      <c r="B10235" t="s">
        <v>13201</v>
      </c>
    </row>
    <row r="10236" spans="1:2" x14ac:dyDescent="0.25">
      <c r="A10236" t="s">
        <v>4470</v>
      </c>
      <c r="B10236" t="s">
        <v>13201</v>
      </c>
    </row>
    <row r="10237" spans="1:2" x14ac:dyDescent="0.25">
      <c r="A10237" t="s">
        <v>4471</v>
      </c>
      <c r="B10237" t="s">
        <v>13201</v>
      </c>
    </row>
    <row r="10238" spans="1:2" x14ac:dyDescent="0.25">
      <c r="A10238" t="s">
        <v>6630</v>
      </c>
      <c r="B10238" t="s">
        <v>13201</v>
      </c>
    </row>
    <row r="10239" spans="1:2" x14ac:dyDescent="0.25">
      <c r="A10239" t="s">
        <v>6162</v>
      </c>
      <c r="B10239" t="s">
        <v>13201</v>
      </c>
    </row>
    <row r="10240" spans="1:2" x14ac:dyDescent="0.25">
      <c r="A10240" t="s">
        <v>7275</v>
      </c>
      <c r="B10240" t="s">
        <v>13201</v>
      </c>
    </row>
    <row r="10241" spans="1:2" x14ac:dyDescent="0.25">
      <c r="A10241" t="s">
        <v>6173</v>
      </c>
      <c r="B10241" t="s">
        <v>13201</v>
      </c>
    </row>
    <row r="10242" spans="1:2" x14ac:dyDescent="0.25">
      <c r="A10242" t="s">
        <v>12301</v>
      </c>
      <c r="B10242" t="s">
        <v>13201</v>
      </c>
    </row>
    <row r="10243" spans="1:2" x14ac:dyDescent="0.25">
      <c r="A10243" t="s">
        <v>5577</v>
      </c>
      <c r="B10243" t="s">
        <v>13201</v>
      </c>
    </row>
    <row r="10244" spans="1:2" x14ac:dyDescent="0.25">
      <c r="A10244" t="s">
        <v>8245</v>
      </c>
      <c r="B10244" t="s">
        <v>13201</v>
      </c>
    </row>
    <row r="10245" spans="1:2" x14ac:dyDescent="0.25">
      <c r="A10245" t="s">
        <v>131</v>
      </c>
      <c r="B10245" t="s">
        <v>13201</v>
      </c>
    </row>
    <row r="10246" spans="1:2" x14ac:dyDescent="0.25">
      <c r="A10246" t="s">
        <v>7254</v>
      </c>
      <c r="B10246" t="s">
        <v>13201</v>
      </c>
    </row>
    <row r="10247" spans="1:2" x14ac:dyDescent="0.25">
      <c r="A10247" t="s">
        <v>8397</v>
      </c>
      <c r="B10247" t="s">
        <v>13201</v>
      </c>
    </row>
    <row r="10248" spans="1:2" x14ac:dyDescent="0.25">
      <c r="A10248" t="s">
        <v>9231</v>
      </c>
      <c r="B10248" t="s">
        <v>13201</v>
      </c>
    </row>
    <row r="10249" spans="1:2" x14ac:dyDescent="0.25">
      <c r="A10249" t="s">
        <v>7898</v>
      </c>
      <c r="B10249" t="s">
        <v>13201</v>
      </c>
    </row>
    <row r="10250" spans="1:2" x14ac:dyDescent="0.25">
      <c r="A10250" t="s">
        <v>8831</v>
      </c>
      <c r="B10250" t="s">
        <v>13201</v>
      </c>
    </row>
    <row r="10251" spans="1:2" x14ac:dyDescent="0.25">
      <c r="A10251" t="s">
        <v>9629</v>
      </c>
      <c r="B10251" t="s">
        <v>13201</v>
      </c>
    </row>
    <row r="10252" spans="1:2" x14ac:dyDescent="0.25">
      <c r="A10252" t="s">
        <v>8413</v>
      </c>
      <c r="B10252" t="s">
        <v>13201</v>
      </c>
    </row>
    <row r="10253" spans="1:2" x14ac:dyDescent="0.25">
      <c r="A10253" t="s">
        <v>8414</v>
      </c>
      <c r="B10253" t="s">
        <v>13201</v>
      </c>
    </row>
    <row r="10254" spans="1:2" x14ac:dyDescent="0.25">
      <c r="A10254" t="s">
        <v>4507</v>
      </c>
      <c r="B10254" t="s">
        <v>13201</v>
      </c>
    </row>
    <row r="10255" spans="1:2" x14ac:dyDescent="0.25">
      <c r="A10255" t="s">
        <v>4508</v>
      </c>
      <c r="B10255" t="s">
        <v>13201</v>
      </c>
    </row>
    <row r="10256" spans="1:2" x14ac:dyDescent="0.25">
      <c r="A10256" t="s">
        <v>6658</v>
      </c>
      <c r="B10256" t="s">
        <v>13201</v>
      </c>
    </row>
    <row r="10257" spans="1:2" x14ac:dyDescent="0.25">
      <c r="A10257" t="s">
        <v>6659</v>
      </c>
      <c r="B10257" t="s">
        <v>13201</v>
      </c>
    </row>
    <row r="10258" spans="1:2" x14ac:dyDescent="0.25">
      <c r="A10258" t="s">
        <v>7919</v>
      </c>
      <c r="B10258" t="s">
        <v>13201</v>
      </c>
    </row>
    <row r="10259" spans="1:2" x14ac:dyDescent="0.25">
      <c r="A10259" t="s">
        <v>7690</v>
      </c>
      <c r="B10259" t="s">
        <v>13201</v>
      </c>
    </row>
    <row r="10260" spans="1:2" x14ac:dyDescent="0.25">
      <c r="A10260" t="s">
        <v>7044</v>
      </c>
      <c r="B10260" t="s">
        <v>13201</v>
      </c>
    </row>
    <row r="10261" spans="1:2" x14ac:dyDescent="0.25">
      <c r="A10261" t="s">
        <v>7045</v>
      </c>
      <c r="B10261" t="s">
        <v>13201</v>
      </c>
    </row>
    <row r="10262" spans="1:2" x14ac:dyDescent="0.25">
      <c r="A10262" t="s">
        <v>7866</v>
      </c>
      <c r="B10262" t="s">
        <v>13201</v>
      </c>
    </row>
    <row r="10263" spans="1:2" x14ac:dyDescent="0.25">
      <c r="A10263" t="s">
        <v>7229</v>
      </c>
      <c r="B10263" t="s">
        <v>13201</v>
      </c>
    </row>
    <row r="10264" spans="1:2" x14ac:dyDescent="0.25">
      <c r="A10264" t="s">
        <v>7282</v>
      </c>
      <c r="B10264" t="s">
        <v>13201</v>
      </c>
    </row>
    <row r="10265" spans="1:2" x14ac:dyDescent="0.25">
      <c r="A10265" t="s">
        <v>7689</v>
      </c>
      <c r="B10265" t="s">
        <v>13201</v>
      </c>
    </row>
    <row r="10266" spans="1:2" x14ac:dyDescent="0.25">
      <c r="A10266" t="s">
        <v>7691</v>
      </c>
      <c r="B10266" t="s">
        <v>13201</v>
      </c>
    </row>
    <row r="10267" spans="1:2" x14ac:dyDescent="0.25">
      <c r="A10267" t="s">
        <v>7046</v>
      </c>
      <c r="B10267" t="s">
        <v>13201</v>
      </c>
    </row>
    <row r="10268" spans="1:2" x14ac:dyDescent="0.25">
      <c r="A10268" t="s">
        <v>7228</v>
      </c>
      <c r="B10268" t="s">
        <v>13201</v>
      </c>
    </row>
    <row r="10269" spans="1:2" x14ac:dyDescent="0.25">
      <c r="A10269" t="s">
        <v>7928</v>
      </c>
      <c r="B10269" t="s">
        <v>13201</v>
      </c>
    </row>
    <row r="10270" spans="1:2" x14ac:dyDescent="0.25">
      <c r="A10270" t="s">
        <v>7048</v>
      </c>
      <c r="B10270" t="s">
        <v>13201</v>
      </c>
    </row>
    <row r="10271" spans="1:2" x14ac:dyDescent="0.25">
      <c r="A10271" t="s">
        <v>4514</v>
      </c>
      <c r="B10271" t="s">
        <v>13201</v>
      </c>
    </row>
    <row r="10272" spans="1:2" x14ac:dyDescent="0.25">
      <c r="A10272" t="s">
        <v>7047</v>
      </c>
      <c r="B10272" t="s">
        <v>13201</v>
      </c>
    </row>
    <row r="10273" spans="1:2" x14ac:dyDescent="0.25">
      <c r="A10273" t="s">
        <v>7227</v>
      </c>
      <c r="B10273" t="s">
        <v>13201</v>
      </c>
    </row>
    <row r="10274" spans="1:2" x14ac:dyDescent="0.25">
      <c r="A10274" t="s">
        <v>9070</v>
      </c>
      <c r="B10274" t="s">
        <v>13201</v>
      </c>
    </row>
    <row r="10275" spans="1:2" x14ac:dyDescent="0.25">
      <c r="A10275" t="s">
        <v>9882</v>
      </c>
      <c r="B10275" t="s">
        <v>13201</v>
      </c>
    </row>
    <row r="10276" spans="1:2" x14ac:dyDescent="0.25">
      <c r="A10276" t="s">
        <v>9525</v>
      </c>
      <c r="B10276" t="s">
        <v>13201</v>
      </c>
    </row>
    <row r="10277" spans="1:2" x14ac:dyDescent="0.25">
      <c r="A10277" t="s">
        <v>9526</v>
      </c>
      <c r="B10277" t="s">
        <v>13201</v>
      </c>
    </row>
    <row r="10278" spans="1:2" x14ac:dyDescent="0.25">
      <c r="A10278" t="s">
        <v>8688</v>
      </c>
      <c r="B10278" t="s">
        <v>13201</v>
      </c>
    </row>
    <row r="10279" spans="1:2" x14ac:dyDescent="0.25">
      <c r="A10279" t="s">
        <v>10646</v>
      </c>
      <c r="B10279" t="s">
        <v>13201</v>
      </c>
    </row>
    <row r="10280" spans="1:2" x14ac:dyDescent="0.25">
      <c r="A10280" t="s">
        <v>9071</v>
      </c>
      <c r="B10280" t="s">
        <v>13201</v>
      </c>
    </row>
    <row r="10281" spans="1:2" x14ac:dyDescent="0.25">
      <c r="A10281" t="s">
        <v>8254</v>
      </c>
      <c r="B10281" t="s">
        <v>13201</v>
      </c>
    </row>
    <row r="10282" spans="1:2" x14ac:dyDescent="0.25">
      <c r="A10282" t="s">
        <v>8689</v>
      </c>
      <c r="B10282" t="s">
        <v>13201</v>
      </c>
    </row>
    <row r="10283" spans="1:2" x14ac:dyDescent="0.25">
      <c r="A10283" t="s">
        <v>8255</v>
      </c>
      <c r="B10283" t="s">
        <v>13201</v>
      </c>
    </row>
    <row r="10284" spans="1:2" x14ac:dyDescent="0.25">
      <c r="A10284" t="s">
        <v>7694</v>
      </c>
      <c r="B10284" t="s">
        <v>13201</v>
      </c>
    </row>
    <row r="10285" spans="1:2" x14ac:dyDescent="0.25">
      <c r="A10285" t="s">
        <v>7695</v>
      </c>
      <c r="B10285" t="s">
        <v>13201</v>
      </c>
    </row>
    <row r="10286" spans="1:2" x14ac:dyDescent="0.25">
      <c r="A10286" t="s">
        <v>7064</v>
      </c>
      <c r="B10286" t="s">
        <v>13201</v>
      </c>
    </row>
    <row r="10287" spans="1:2" x14ac:dyDescent="0.25">
      <c r="A10287" t="s">
        <v>9899</v>
      </c>
      <c r="B10287" t="s">
        <v>13201</v>
      </c>
    </row>
    <row r="10288" spans="1:2" x14ac:dyDescent="0.25">
      <c r="A10288" t="s">
        <v>7065</v>
      </c>
      <c r="B10288" t="s">
        <v>13201</v>
      </c>
    </row>
    <row r="10289" spans="1:2" x14ac:dyDescent="0.25">
      <c r="A10289" t="s">
        <v>7066</v>
      </c>
      <c r="B10289" t="s">
        <v>13201</v>
      </c>
    </row>
    <row r="10290" spans="1:2" x14ac:dyDescent="0.25">
      <c r="A10290" t="s">
        <v>7281</v>
      </c>
      <c r="B10290" t="s">
        <v>13201</v>
      </c>
    </row>
    <row r="10291" spans="1:2" x14ac:dyDescent="0.25">
      <c r="A10291" t="s">
        <v>7696</v>
      </c>
      <c r="B10291" t="s">
        <v>13201</v>
      </c>
    </row>
    <row r="10292" spans="1:2" x14ac:dyDescent="0.25">
      <c r="A10292" t="s">
        <v>7697</v>
      </c>
      <c r="B10292" t="s">
        <v>13201</v>
      </c>
    </row>
    <row r="10293" spans="1:2" x14ac:dyDescent="0.25">
      <c r="A10293" t="s">
        <v>7067</v>
      </c>
      <c r="B10293" t="s">
        <v>13201</v>
      </c>
    </row>
    <row r="10294" spans="1:2" x14ac:dyDescent="0.25">
      <c r="A10294" t="s">
        <v>7068</v>
      </c>
      <c r="B10294" t="s">
        <v>13201</v>
      </c>
    </row>
    <row r="10295" spans="1:2" x14ac:dyDescent="0.25">
      <c r="A10295" t="s">
        <v>7069</v>
      </c>
      <c r="B10295" t="s">
        <v>13201</v>
      </c>
    </row>
    <row r="10296" spans="1:2" x14ac:dyDescent="0.25">
      <c r="A10296" t="s">
        <v>7070</v>
      </c>
      <c r="B10296" t="s">
        <v>13201</v>
      </c>
    </row>
    <row r="10297" spans="1:2" x14ac:dyDescent="0.25">
      <c r="A10297" t="s">
        <v>7071</v>
      </c>
      <c r="B10297" t="s">
        <v>13201</v>
      </c>
    </row>
    <row r="10298" spans="1:2" x14ac:dyDescent="0.25">
      <c r="A10298" t="s">
        <v>7072</v>
      </c>
      <c r="B10298" t="s">
        <v>13201</v>
      </c>
    </row>
    <row r="10299" spans="1:2" x14ac:dyDescent="0.25">
      <c r="A10299" t="s">
        <v>7073</v>
      </c>
      <c r="B10299" t="s">
        <v>13201</v>
      </c>
    </row>
    <row r="10300" spans="1:2" x14ac:dyDescent="0.25">
      <c r="A10300" t="s">
        <v>7074</v>
      </c>
      <c r="B10300" t="s">
        <v>13201</v>
      </c>
    </row>
    <row r="10301" spans="1:2" x14ac:dyDescent="0.25">
      <c r="A10301" t="s">
        <v>7075</v>
      </c>
      <c r="B10301" t="s">
        <v>13201</v>
      </c>
    </row>
    <row r="10302" spans="1:2" x14ac:dyDescent="0.25">
      <c r="A10302" t="s">
        <v>7076</v>
      </c>
      <c r="B10302" t="s">
        <v>13201</v>
      </c>
    </row>
    <row r="10303" spans="1:2" x14ac:dyDescent="0.25">
      <c r="A10303" t="s">
        <v>7077</v>
      </c>
      <c r="B10303" t="s">
        <v>13201</v>
      </c>
    </row>
    <row r="10304" spans="1:2" x14ac:dyDescent="0.25">
      <c r="A10304" t="s">
        <v>7078</v>
      </c>
      <c r="B10304" t="s">
        <v>13201</v>
      </c>
    </row>
    <row r="10305" spans="1:2" x14ac:dyDescent="0.25">
      <c r="A10305" t="s">
        <v>7016</v>
      </c>
      <c r="B10305" t="s">
        <v>13201</v>
      </c>
    </row>
    <row r="10306" spans="1:2" x14ac:dyDescent="0.25">
      <c r="A10306" t="s">
        <v>7017</v>
      </c>
      <c r="B10306" t="s">
        <v>13201</v>
      </c>
    </row>
    <row r="10307" spans="1:2" x14ac:dyDescent="0.25">
      <c r="A10307" t="s">
        <v>7019</v>
      </c>
      <c r="B10307" t="s">
        <v>13201</v>
      </c>
    </row>
    <row r="10308" spans="1:2" x14ac:dyDescent="0.25">
      <c r="A10308" t="s">
        <v>7063</v>
      </c>
      <c r="B10308" t="s">
        <v>13201</v>
      </c>
    </row>
    <row r="10309" spans="1:2" x14ac:dyDescent="0.25">
      <c r="A10309" t="s">
        <v>7302</v>
      </c>
      <c r="B10309" t="s">
        <v>13201</v>
      </c>
    </row>
    <row r="10310" spans="1:2" x14ac:dyDescent="0.25">
      <c r="A10310" t="s">
        <v>9230</v>
      </c>
      <c r="B10310" t="s">
        <v>13201</v>
      </c>
    </row>
    <row r="10311" spans="1:2" x14ac:dyDescent="0.25">
      <c r="A10311" t="s">
        <v>7230</v>
      </c>
      <c r="B10311" t="s">
        <v>13201</v>
      </c>
    </row>
    <row r="10312" spans="1:2" x14ac:dyDescent="0.25">
      <c r="A10312" t="s">
        <v>7231</v>
      </c>
      <c r="B10312" t="s">
        <v>13201</v>
      </c>
    </row>
    <row r="10313" spans="1:2" x14ac:dyDescent="0.25">
      <c r="A10313" t="s">
        <v>7630</v>
      </c>
      <c r="B10313" t="s">
        <v>13201</v>
      </c>
    </row>
    <row r="10314" spans="1:2" x14ac:dyDescent="0.25">
      <c r="A10314" t="s">
        <v>6470</v>
      </c>
      <c r="B10314" t="s">
        <v>13201</v>
      </c>
    </row>
    <row r="10315" spans="1:2" x14ac:dyDescent="0.25">
      <c r="A10315" t="s">
        <v>6471</v>
      </c>
      <c r="B10315" t="s">
        <v>13201</v>
      </c>
    </row>
    <row r="10316" spans="1:2" x14ac:dyDescent="0.25">
      <c r="A10316" t="s">
        <v>8249</v>
      </c>
      <c r="B10316" t="s">
        <v>13201</v>
      </c>
    </row>
    <row r="10317" spans="1:2" x14ac:dyDescent="0.25">
      <c r="A10317" t="s">
        <v>7634</v>
      </c>
      <c r="B10317" t="s">
        <v>13201</v>
      </c>
    </row>
    <row r="10318" spans="1:2" x14ac:dyDescent="0.25">
      <c r="A10318" t="s">
        <v>1745</v>
      </c>
      <c r="B10318" t="s">
        <v>13201</v>
      </c>
    </row>
    <row r="10319" spans="1:2" x14ac:dyDescent="0.25">
      <c r="A10319" t="s">
        <v>8683</v>
      </c>
      <c r="B10319" t="s">
        <v>13201</v>
      </c>
    </row>
    <row r="10320" spans="1:2" x14ac:dyDescent="0.25">
      <c r="A10320" t="s">
        <v>1748</v>
      </c>
      <c r="B10320" t="s">
        <v>13201</v>
      </c>
    </row>
    <row r="10321" spans="1:2" x14ac:dyDescent="0.25">
      <c r="A10321" t="s">
        <v>14994</v>
      </c>
      <c r="B10321" t="s">
        <v>6541</v>
      </c>
    </row>
    <row r="10322" spans="1:2" x14ac:dyDescent="0.25">
      <c r="A10322" t="s">
        <v>14995</v>
      </c>
      <c r="B10322" t="s">
        <v>14994</v>
      </c>
    </row>
    <row r="10323" spans="1:2" x14ac:dyDescent="0.25">
      <c r="A10323" t="s">
        <v>14996</v>
      </c>
      <c r="B10323" t="s">
        <v>14994</v>
      </c>
    </row>
    <row r="10324" spans="1:2" x14ac:dyDescent="0.25">
      <c r="A10324" t="s">
        <v>14997</v>
      </c>
      <c r="B10324" t="s">
        <v>14996</v>
      </c>
    </row>
    <row r="10325" spans="1:2" x14ac:dyDescent="0.25">
      <c r="A10325" t="s">
        <v>11013</v>
      </c>
      <c r="B10325" t="s">
        <v>14997</v>
      </c>
    </row>
    <row r="10326" spans="1:2" x14ac:dyDescent="0.25">
      <c r="A10326" t="s">
        <v>5592</v>
      </c>
      <c r="B10326" t="s">
        <v>11013</v>
      </c>
    </row>
    <row r="10327" spans="1:2" x14ac:dyDescent="0.25">
      <c r="A10327" t="s">
        <v>5999</v>
      </c>
      <c r="B10327" t="s">
        <v>11013</v>
      </c>
    </row>
    <row r="10328" spans="1:2" x14ac:dyDescent="0.25">
      <c r="A10328" t="s">
        <v>320</v>
      </c>
      <c r="B10328" t="s">
        <v>14997</v>
      </c>
    </row>
    <row r="10329" spans="1:2" x14ac:dyDescent="0.25">
      <c r="A10329" t="s">
        <v>8742</v>
      </c>
      <c r="B10329" t="s">
        <v>320</v>
      </c>
    </row>
    <row r="10330" spans="1:2" x14ac:dyDescent="0.25">
      <c r="A10330" t="s">
        <v>10540</v>
      </c>
      <c r="B10330" t="s">
        <v>8742</v>
      </c>
    </row>
    <row r="10331" spans="1:2" x14ac:dyDescent="0.25">
      <c r="A10331" t="s">
        <v>9915</v>
      </c>
      <c r="B10331" t="s">
        <v>8742</v>
      </c>
    </row>
    <row r="10332" spans="1:2" x14ac:dyDescent="0.25">
      <c r="A10332" t="s">
        <v>8313</v>
      </c>
      <c r="B10332" t="s">
        <v>8742</v>
      </c>
    </row>
    <row r="10333" spans="1:2" x14ac:dyDescent="0.25">
      <c r="A10333" t="s">
        <v>321</v>
      </c>
      <c r="B10333" t="s">
        <v>320</v>
      </c>
    </row>
    <row r="10334" spans="1:2" x14ac:dyDescent="0.25">
      <c r="A10334" t="s">
        <v>3466</v>
      </c>
      <c r="B10334" t="s">
        <v>321</v>
      </c>
    </row>
    <row r="10335" spans="1:2" x14ac:dyDescent="0.25">
      <c r="A10335" t="s">
        <v>4817</v>
      </c>
      <c r="B10335" t="s">
        <v>320</v>
      </c>
    </row>
    <row r="10336" spans="1:2" x14ac:dyDescent="0.25">
      <c r="A10336" t="s">
        <v>3728</v>
      </c>
      <c r="B10336" t="s">
        <v>4817</v>
      </c>
    </row>
    <row r="10337" spans="1:2" x14ac:dyDescent="0.25">
      <c r="A10337" t="s">
        <v>5165</v>
      </c>
      <c r="B10337" t="s">
        <v>4817</v>
      </c>
    </row>
    <row r="10338" spans="1:2" x14ac:dyDescent="0.25">
      <c r="A10338" t="s">
        <v>3232</v>
      </c>
      <c r="B10338" t="s">
        <v>5165</v>
      </c>
    </row>
    <row r="10339" spans="1:2" x14ac:dyDescent="0.25">
      <c r="A10339" t="s">
        <v>8314</v>
      </c>
      <c r="B10339" t="s">
        <v>4817</v>
      </c>
    </row>
    <row r="10340" spans="1:2" x14ac:dyDescent="0.25">
      <c r="A10340" t="s">
        <v>9919</v>
      </c>
      <c r="B10340" t="s">
        <v>4817</v>
      </c>
    </row>
    <row r="10341" spans="1:2" x14ac:dyDescent="0.25">
      <c r="A10341" t="s">
        <v>2467</v>
      </c>
      <c r="B10341" t="s">
        <v>4817</v>
      </c>
    </row>
    <row r="10342" spans="1:2" x14ac:dyDescent="0.25">
      <c r="A10342" t="s">
        <v>3330</v>
      </c>
      <c r="B10342" t="s">
        <v>320</v>
      </c>
    </row>
    <row r="10343" spans="1:2" x14ac:dyDescent="0.25">
      <c r="A10343" t="s">
        <v>3462</v>
      </c>
      <c r="B10343" t="s">
        <v>320</v>
      </c>
    </row>
    <row r="10344" spans="1:2" x14ac:dyDescent="0.25">
      <c r="A10344" t="s">
        <v>3014</v>
      </c>
      <c r="B10344" t="s">
        <v>320</v>
      </c>
    </row>
    <row r="10345" spans="1:2" x14ac:dyDescent="0.25">
      <c r="A10345" t="s">
        <v>7250</v>
      </c>
      <c r="B10345" t="s">
        <v>320</v>
      </c>
    </row>
    <row r="10346" spans="1:2" x14ac:dyDescent="0.25">
      <c r="A10346" t="s">
        <v>5338</v>
      </c>
      <c r="B10346" t="s">
        <v>320</v>
      </c>
    </row>
    <row r="10347" spans="1:2" x14ac:dyDescent="0.25">
      <c r="A10347" t="s">
        <v>3065</v>
      </c>
      <c r="B10347" t="s">
        <v>320</v>
      </c>
    </row>
    <row r="10348" spans="1:2" x14ac:dyDescent="0.25">
      <c r="A10348" t="s">
        <v>4921</v>
      </c>
      <c r="B10348" t="s">
        <v>320</v>
      </c>
    </row>
    <row r="10349" spans="1:2" x14ac:dyDescent="0.25">
      <c r="A10349" t="s">
        <v>14998</v>
      </c>
      <c r="B10349" t="s">
        <v>14996</v>
      </c>
    </row>
    <row r="10350" spans="1:2" x14ac:dyDescent="0.25">
      <c r="A10350" t="s">
        <v>14999</v>
      </c>
      <c r="B10350" t="s">
        <v>14996</v>
      </c>
    </row>
    <row r="10351" spans="1:2" x14ac:dyDescent="0.25">
      <c r="A10351" t="s">
        <v>15000</v>
      </c>
      <c r="B10351" t="s">
        <v>14996</v>
      </c>
    </row>
    <row r="10352" spans="1:2" x14ac:dyDescent="0.25">
      <c r="A10352" t="s">
        <v>15001</v>
      </c>
      <c r="B10352" t="s">
        <v>14996</v>
      </c>
    </row>
    <row r="10353" spans="1:2" x14ac:dyDescent="0.25">
      <c r="A10353" t="s">
        <v>571</v>
      </c>
      <c r="B10353" t="s">
        <v>14996</v>
      </c>
    </row>
    <row r="10354" spans="1:2" x14ac:dyDescent="0.25">
      <c r="A10354" t="s">
        <v>1758</v>
      </c>
      <c r="B10354" t="s">
        <v>571</v>
      </c>
    </row>
    <row r="10355" spans="1:2" x14ac:dyDescent="0.25">
      <c r="A10355" t="s">
        <v>9075</v>
      </c>
      <c r="B10355" t="s">
        <v>1758</v>
      </c>
    </row>
    <row r="10356" spans="1:2" x14ac:dyDescent="0.25">
      <c r="A10356" t="s">
        <v>3231</v>
      </c>
      <c r="B10356" t="s">
        <v>1758</v>
      </c>
    </row>
    <row r="10357" spans="1:2" x14ac:dyDescent="0.25">
      <c r="A10357" t="s">
        <v>96</v>
      </c>
      <c r="B10357" t="s">
        <v>571</v>
      </c>
    </row>
    <row r="10358" spans="1:2" x14ac:dyDescent="0.25">
      <c r="A10358" t="s">
        <v>2340</v>
      </c>
      <c r="B10358" t="s">
        <v>96</v>
      </c>
    </row>
    <row r="10359" spans="1:2" x14ac:dyDescent="0.25">
      <c r="A10359" t="s">
        <v>4722</v>
      </c>
      <c r="B10359" t="s">
        <v>96</v>
      </c>
    </row>
    <row r="10360" spans="1:2" x14ac:dyDescent="0.25">
      <c r="A10360" t="s">
        <v>9885</v>
      </c>
      <c r="B10360" t="s">
        <v>96</v>
      </c>
    </row>
    <row r="10361" spans="1:2" x14ac:dyDescent="0.25">
      <c r="A10361" t="s">
        <v>572</v>
      </c>
      <c r="B10361" t="s">
        <v>571</v>
      </c>
    </row>
    <row r="10362" spans="1:2" x14ac:dyDescent="0.25">
      <c r="A10362" t="s">
        <v>9076</v>
      </c>
      <c r="B10362" t="s">
        <v>572</v>
      </c>
    </row>
    <row r="10363" spans="1:2" x14ac:dyDescent="0.25">
      <c r="A10363" t="s">
        <v>9530</v>
      </c>
      <c r="B10363" t="s">
        <v>572</v>
      </c>
    </row>
    <row r="10364" spans="1:2" x14ac:dyDescent="0.25">
      <c r="A10364" t="s">
        <v>8830</v>
      </c>
      <c r="B10364" t="s">
        <v>572</v>
      </c>
    </row>
    <row r="10365" spans="1:2" x14ac:dyDescent="0.25">
      <c r="A10365" t="s">
        <v>9531</v>
      </c>
      <c r="B10365" t="s">
        <v>571</v>
      </c>
    </row>
    <row r="10366" spans="1:2" x14ac:dyDescent="0.25">
      <c r="A10366" t="s">
        <v>6941</v>
      </c>
      <c r="B10366" t="s">
        <v>9531</v>
      </c>
    </row>
    <row r="10367" spans="1:2" x14ac:dyDescent="0.25">
      <c r="A10367" t="s">
        <v>6942</v>
      </c>
      <c r="B10367" t="s">
        <v>9531</v>
      </c>
    </row>
    <row r="10368" spans="1:2" x14ac:dyDescent="0.25">
      <c r="A10368" t="s">
        <v>6943</v>
      </c>
      <c r="B10368" t="s">
        <v>9531</v>
      </c>
    </row>
    <row r="10369" spans="1:2" x14ac:dyDescent="0.25">
      <c r="A10369" t="s">
        <v>6944</v>
      </c>
      <c r="B10369" t="s">
        <v>9531</v>
      </c>
    </row>
    <row r="10370" spans="1:2" x14ac:dyDescent="0.25">
      <c r="A10370" t="s">
        <v>6482</v>
      </c>
      <c r="B10370" t="s">
        <v>571</v>
      </c>
    </row>
    <row r="10371" spans="1:2" x14ac:dyDescent="0.25">
      <c r="A10371" t="s">
        <v>5163</v>
      </c>
      <c r="B10371" t="s">
        <v>6482</v>
      </c>
    </row>
    <row r="10372" spans="1:2" x14ac:dyDescent="0.25">
      <c r="A10372" t="s">
        <v>9077</v>
      </c>
      <c r="B10372" t="s">
        <v>6482</v>
      </c>
    </row>
    <row r="10373" spans="1:2" x14ac:dyDescent="0.25">
      <c r="A10373" t="s">
        <v>15002</v>
      </c>
      <c r="B10373" t="s">
        <v>14994</v>
      </c>
    </row>
    <row r="10374" spans="1:2" x14ac:dyDescent="0.25">
      <c r="A10374" t="s">
        <v>15003</v>
      </c>
      <c r="B10374" t="s">
        <v>14994</v>
      </c>
    </row>
    <row r="10375" spans="1:2" x14ac:dyDescent="0.25">
      <c r="A10375" t="s">
        <v>15004</v>
      </c>
      <c r="B10375" t="s">
        <v>15003</v>
      </c>
    </row>
    <row r="10376" spans="1:2" x14ac:dyDescent="0.25">
      <c r="A10376" t="s">
        <v>15005</v>
      </c>
      <c r="B10376" t="s">
        <v>15003</v>
      </c>
    </row>
    <row r="10377" spans="1:2" x14ac:dyDescent="0.25">
      <c r="A10377" t="s">
        <v>3834</v>
      </c>
      <c r="B10377" t="s">
        <v>15005</v>
      </c>
    </row>
    <row r="10378" spans="1:2" x14ac:dyDescent="0.25">
      <c r="A10378" t="s">
        <v>4306</v>
      </c>
      <c r="B10378" t="s">
        <v>3834</v>
      </c>
    </row>
    <row r="10379" spans="1:2" x14ac:dyDescent="0.25">
      <c r="A10379" t="s">
        <v>140</v>
      </c>
      <c r="B10379" t="s">
        <v>3834</v>
      </c>
    </row>
    <row r="10380" spans="1:2" x14ac:dyDescent="0.25">
      <c r="A10380" t="s">
        <v>141</v>
      </c>
      <c r="B10380" t="s">
        <v>3834</v>
      </c>
    </row>
    <row r="10381" spans="1:2" x14ac:dyDescent="0.25">
      <c r="A10381" t="s">
        <v>8423</v>
      </c>
      <c r="B10381" t="s">
        <v>3834</v>
      </c>
    </row>
    <row r="10382" spans="1:2" x14ac:dyDescent="0.25">
      <c r="A10382" t="s">
        <v>12883</v>
      </c>
      <c r="B10382" t="s">
        <v>15005</v>
      </c>
    </row>
    <row r="10383" spans="1:2" x14ac:dyDescent="0.25">
      <c r="A10383" t="s">
        <v>8725</v>
      </c>
      <c r="B10383" t="s">
        <v>12883</v>
      </c>
    </row>
    <row r="10384" spans="1:2" x14ac:dyDescent="0.25">
      <c r="A10384" t="s">
        <v>6051</v>
      </c>
      <c r="B10384" t="s">
        <v>12883</v>
      </c>
    </row>
    <row r="10385" spans="1:2" x14ac:dyDescent="0.25">
      <c r="A10385" t="s">
        <v>8291</v>
      </c>
      <c r="B10385" t="s">
        <v>12883</v>
      </c>
    </row>
    <row r="10386" spans="1:2" x14ac:dyDescent="0.25">
      <c r="A10386" t="s">
        <v>7721</v>
      </c>
      <c r="B10386" t="s">
        <v>12883</v>
      </c>
    </row>
    <row r="10387" spans="1:2" x14ac:dyDescent="0.25">
      <c r="A10387" t="s">
        <v>2866</v>
      </c>
      <c r="B10387" t="s">
        <v>12883</v>
      </c>
    </row>
    <row r="10388" spans="1:2" x14ac:dyDescent="0.25">
      <c r="A10388" t="s">
        <v>3811</v>
      </c>
      <c r="B10388" t="s">
        <v>12883</v>
      </c>
    </row>
    <row r="10389" spans="1:2" x14ac:dyDescent="0.25">
      <c r="A10389" t="s">
        <v>1920</v>
      </c>
      <c r="B10389" t="s">
        <v>12883</v>
      </c>
    </row>
    <row r="10390" spans="1:2" x14ac:dyDescent="0.25">
      <c r="A10390" t="s">
        <v>2867</v>
      </c>
      <c r="B10390" t="s">
        <v>12883</v>
      </c>
    </row>
    <row r="10391" spans="1:2" x14ac:dyDescent="0.25">
      <c r="A10391" t="s">
        <v>1921</v>
      </c>
      <c r="B10391" t="s">
        <v>12883</v>
      </c>
    </row>
    <row r="10392" spans="1:2" x14ac:dyDescent="0.25">
      <c r="A10392" t="s">
        <v>2868</v>
      </c>
      <c r="B10392" t="s">
        <v>12883</v>
      </c>
    </row>
    <row r="10393" spans="1:2" x14ac:dyDescent="0.25">
      <c r="A10393" t="s">
        <v>7722</v>
      </c>
      <c r="B10393" t="s">
        <v>12883</v>
      </c>
    </row>
    <row r="10394" spans="1:2" x14ac:dyDescent="0.25">
      <c r="A10394" t="s">
        <v>8292</v>
      </c>
      <c r="B10394" t="s">
        <v>12883</v>
      </c>
    </row>
    <row r="10395" spans="1:2" x14ac:dyDescent="0.25">
      <c r="A10395" t="s">
        <v>7723</v>
      </c>
      <c r="B10395" t="s">
        <v>12883</v>
      </c>
    </row>
    <row r="10396" spans="1:2" x14ac:dyDescent="0.25">
      <c r="A10396" t="s">
        <v>2869</v>
      </c>
      <c r="B10396" t="s">
        <v>12883</v>
      </c>
    </row>
    <row r="10397" spans="1:2" x14ac:dyDescent="0.25">
      <c r="A10397" t="s">
        <v>5646</v>
      </c>
      <c r="B10397" t="s">
        <v>12883</v>
      </c>
    </row>
    <row r="10398" spans="1:2" x14ac:dyDescent="0.25">
      <c r="A10398" t="s">
        <v>1486</v>
      </c>
      <c r="B10398" t="s">
        <v>12883</v>
      </c>
    </row>
    <row r="10399" spans="1:2" x14ac:dyDescent="0.25">
      <c r="A10399" t="s">
        <v>1156</v>
      </c>
      <c r="B10399" t="s">
        <v>11746</v>
      </c>
    </row>
    <row r="10400" spans="1:2" x14ac:dyDescent="0.25">
      <c r="A10400" t="s">
        <v>4313</v>
      </c>
      <c r="B10400" t="s">
        <v>1156</v>
      </c>
    </row>
    <row r="10401" spans="1:2" x14ac:dyDescent="0.25">
      <c r="A10401" t="s">
        <v>1981</v>
      </c>
      <c r="B10401" t="s">
        <v>4313</v>
      </c>
    </row>
    <row r="10402" spans="1:2" x14ac:dyDescent="0.25">
      <c r="A10402" t="s">
        <v>1982</v>
      </c>
      <c r="B10402" t="s">
        <v>1981</v>
      </c>
    </row>
    <row r="10403" spans="1:2" x14ac:dyDescent="0.25">
      <c r="A10403" t="s">
        <v>1158</v>
      </c>
      <c r="B10403" t="s">
        <v>1981</v>
      </c>
    </row>
    <row r="10404" spans="1:2" x14ac:dyDescent="0.25">
      <c r="A10404" t="s">
        <v>2911</v>
      </c>
      <c r="B10404" t="s">
        <v>1981</v>
      </c>
    </row>
    <row r="10405" spans="1:2" x14ac:dyDescent="0.25">
      <c r="A10405" t="s">
        <v>2471</v>
      </c>
      <c r="B10405" t="s">
        <v>1981</v>
      </c>
    </row>
    <row r="10406" spans="1:2" x14ac:dyDescent="0.25">
      <c r="A10406" t="s">
        <v>4822</v>
      </c>
      <c r="B10406" t="s">
        <v>1981</v>
      </c>
    </row>
    <row r="10407" spans="1:2" x14ac:dyDescent="0.25">
      <c r="A10407" t="s">
        <v>4823</v>
      </c>
      <c r="B10407" t="s">
        <v>1981</v>
      </c>
    </row>
    <row r="10408" spans="1:2" x14ac:dyDescent="0.25">
      <c r="A10408" t="s">
        <v>1159</v>
      </c>
      <c r="B10408" t="s">
        <v>1981</v>
      </c>
    </row>
    <row r="10409" spans="1:2" x14ac:dyDescent="0.25">
      <c r="A10409" t="s">
        <v>3840</v>
      </c>
      <c r="B10409" t="s">
        <v>1981</v>
      </c>
    </row>
    <row r="10410" spans="1:2" x14ac:dyDescent="0.25">
      <c r="A10410" t="s">
        <v>2472</v>
      </c>
      <c r="B10410" t="s">
        <v>1981</v>
      </c>
    </row>
    <row r="10411" spans="1:2" x14ac:dyDescent="0.25">
      <c r="A10411" t="s">
        <v>466</v>
      </c>
      <c r="B10411" t="s">
        <v>1981</v>
      </c>
    </row>
    <row r="10412" spans="1:2" x14ac:dyDescent="0.25">
      <c r="A10412" t="s">
        <v>4504</v>
      </c>
      <c r="B10412" t="s">
        <v>1981</v>
      </c>
    </row>
    <row r="10413" spans="1:2" x14ac:dyDescent="0.25">
      <c r="A10413" t="s">
        <v>10543</v>
      </c>
      <c r="B10413" t="s">
        <v>1156</v>
      </c>
    </row>
    <row r="10414" spans="1:2" x14ac:dyDescent="0.25">
      <c r="A10414" t="s">
        <v>11922</v>
      </c>
      <c r="B10414" t="s">
        <v>10543</v>
      </c>
    </row>
    <row r="10415" spans="1:2" x14ac:dyDescent="0.25">
      <c r="A10415" t="s">
        <v>4824</v>
      </c>
      <c r="B10415" t="s">
        <v>11922</v>
      </c>
    </row>
    <row r="10416" spans="1:2" x14ac:dyDescent="0.25">
      <c r="A10416" t="s">
        <v>12623</v>
      </c>
      <c r="B10416" t="s">
        <v>11922</v>
      </c>
    </row>
    <row r="10417" spans="1:2" x14ac:dyDescent="0.25">
      <c r="A10417" t="s">
        <v>6077</v>
      </c>
      <c r="B10417" t="s">
        <v>11922</v>
      </c>
    </row>
    <row r="10418" spans="1:2" x14ac:dyDescent="0.25">
      <c r="A10418" t="s">
        <v>4825</v>
      </c>
      <c r="B10418" t="s">
        <v>6077</v>
      </c>
    </row>
    <row r="10419" spans="1:2" x14ac:dyDescent="0.25">
      <c r="A10419" t="s">
        <v>6571</v>
      </c>
      <c r="B10419" t="s">
        <v>6077</v>
      </c>
    </row>
    <row r="10420" spans="1:2" x14ac:dyDescent="0.25">
      <c r="A10420" t="s">
        <v>8319</v>
      </c>
      <c r="B10420" t="s">
        <v>6077</v>
      </c>
    </row>
    <row r="10421" spans="1:2" x14ac:dyDescent="0.25">
      <c r="A10421" t="s">
        <v>9130</v>
      </c>
      <c r="B10421" t="s">
        <v>11922</v>
      </c>
    </row>
    <row r="10422" spans="1:2" x14ac:dyDescent="0.25">
      <c r="A10422" t="s">
        <v>7139</v>
      </c>
      <c r="B10422" t="s">
        <v>11922</v>
      </c>
    </row>
    <row r="10423" spans="1:2" x14ac:dyDescent="0.25">
      <c r="A10423" t="s">
        <v>6572</v>
      </c>
      <c r="B10423" t="s">
        <v>7139</v>
      </c>
    </row>
    <row r="10424" spans="1:2" x14ac:dyDescent="0.25">
      <c r="A10424" t="s">
        <v>10960</v>
      </c>
      <c r="B10424" t="s">
        <v>11922</v>
      </c>
    </row>
    <row r="10425" spans="1:2" x14ac:dyDescent="0.25">
      <c r="A10425" t="s">
        <v>4827</v>
      </c>
      <c r="B10425" t="s">
        <v>10960</v>
      </c>
    </row>
    <row r="10426" spans="1:2" x14ac:dyDescent="0.25">
      <c r="A10426" t="s">
        <v>9699</v>
      </c>
      <c r="B10426" t="s">
        <v>10960</v>
      </c>
    </row>
    <row r="10427" spans="1:2" x14ac:dyDescent="0.25">
      <c r="A10427" t="s">
        <v>9956</v>
      </c>
      <c r="B10427" t="s">
        <v>11922</v>
      </c>
    </row>
    <row r="10428" spans="1:2" x14ac:dyDescent="0.25">
      <c r="A10428" t="s">
        <v>6573</v>
      </c>
      <c r="B10428" t="s">
        <v>9956</v>
      </c>
    </row>
    <row r="10429" spans="1:2" x14ac:dyDescent="0.25">
      <c r="A10429" t="s">
        <v>4481</v>
      </c>
      <c r="B10429" t="s">
        <v>11922</v>
      </c>
    </row>
    <row r="10430" spans="1:2" x14ac:dyDescent="0.25">
      <c r="A10430" t="s">
        <v>8320</v>
      </c>
      <c r="B10430" t="s">
        <v>10543</v>
      </c>
    </row>
    <row r="10431" spans="1:2" x14ac:dyDescent="0.25">
      <c r="A10431" t="s">
        <v>451</v>
      </c>
      <c r="B10431" t="s">
        <v>8320</v>
      </c>
    </row>
    <row r="10432" spans="1:2" x14ac:dyDescent="0.25">
      <c r="A10432" t="s">
        <v>11253</v>
      </c>
      <c r="B10432" t="s">
        <v>451</v>
      </c>
    </row>
    <row r="10433" spans="1:2" x14ac:dyDescent="0.25">
      <c r="A10433" t="s">
        <v>9576</v>
      </c>
      <c r="B10433" t="s">
        <v>8320</v>
      </c>
    </row>
    <row r="10434" spans="1:2" x14ac:dyDescent="0.25">
      <c r="A10434" t="s">
        <v>8764</v>
      </c>
      <c r="B10434" t="s">
        <v>9576</v>
      </c>
    </row>
    <row r="10435" spans="1:2" x14ac:dyDescent="0.25">
      <c r="A10435" t="s">
        <v>3555</v>
      </c>
      <c r="B10435" t="s">
        <v>8764</v>
      </c>
    </row>
    <row r="10436" spans="1:2" x14ac:dyDescent="0.25">
      <c r="A10436" t="s">
        <v>5355</v>
      </c>
      <c r="B10436" t="s">
        <v>9576</v>
      </c>
    </row>
    <row r="10437" spans="1:2" x14ac:dyDescent="0.25">
      <c r="A10437" t="s">
        <v>9238</v>
      </c>
      <c r="B10437" t="s">
        <v>9576</v>
      </c>
    </row>
    <row r="10438" spans="1:2" x14ac:dyDescent="0.25">
      <c r="A10438" t="s">
        <v>9158</v>
      </c>
      <c r="B10438" t="s">
        <v>8320</v>
      </c>
    </row>
    <row r="10439" spans="1:2" x14ac:dyDescent="0.25">
      <c r="A10439" t="s">
        <v>6081</v>
      </c>
      <c r="B10439" t="s">
        <v>9158</v>
      </c>
    </row>
    <row r="10440" spans="1:2" x14ac:dyDescent="0.25">
      <c r="A10440" t="s">
        <v>5671</v>
      </c>
      <c r="B10440" t="s">
        <v>9158</v>
      </c>
    </row>
    <row r="10441" spans="1:2" x14ac:dyDescent="0.25">
      <c r="A10441" t="s">
        <v>5672</v>
      </c>
      <c r="B10441" t="s">
        <v>9158</v>
      </c>
    </row>
    <row r="10442" spans="1:2" x14ac:dyDescent="0.25">
      <c r="A10442" t="s">
        <v>4314</v>
      </c>
      <c r="B10442" t="s">
        <v>9158</v>
      </c>
    </row>
    <row r="10443" spans="1:2" x14ac:dyDescent="0.25">
      <c r="A10443" t="s">
        <v>8765</v>
      </c>
      <c r="B10443" t="s">
        <v>9158</v>
      </c>
    </row>
    <row r="10444" spans="1:2" x14ac:dyDescent="0.25">
      <c r="A10444" t="s">
        <v>9159</v>
      </c>
      <c r="B10444" t="s">
        <v>9158</v>
      </c>
    </row>
    <row r="10445" spans="1:2" x14ac:dyDescent="0.25">
      <c r="A10445" t="s">
        <v>9160</v>
      </c>
      <c r="B10445" t="s">
        <v>9158</v>
      </c>
    </row>
    <row r="10446" spans="1:2" x14ac:dyDescent="0.25">
      <c r="A10446" t="s">
        <v>9161</v>
      </c>
      <c r="B10446" t="s">
        <v>9158</v>
      </c>
    </row>
    <row r="10447" spans="1:2" x14ac:dyDescent="0.25">
      <c r="A10447" t="s">
        <v>10565</v>
      </c>
      <c r="B10447" t="s">
        <v>9158</v>
      </c>
    </row>
    <row r="10448" spans="1:2" x14ac:dyDescent="0.25">
      <c r="A10448" t="s">
        <v>7295</v>
      </c>
      <c r="B10448" t="s">
        <v>9158</v>
      </c>
    </row>
    <row r="10449" spans="1:2" x14ac:dyDescent="0.25">
      <c r="A10449" t="s">
        <v>4911</v>
      </c>
      <c r="B10449" t="s">
        <v>9158</v>
      </c>
    </row>
    <row r="10450" spans="1:2" x14ac:dyDescent="0.25">
      <c r="A10450" t="s">
        <v>8481</v>
      </c>
      <c r="B10450" t="s">
        <v>9158</v>
      </c>
    </row>
    <row r="10451" spans="1:2" x14ac:dyDescent="0.25">
      <c r="A10451" t="s">
        <v>9577</v>
      </c>
      <c r="B10451" t="s">
        <v>8320</v>
      </c>
    </row>
    <row r="10452" spans="1:2" x14ac:dyDescent="0.25">
      <c r="A10452" t="s">
        <v>8766</v>
      </c>
      <c r="B10452" t="s">
        <v>9577</v>
      </c>
    </row>
    <row r="10453" spans="1:2" x14ac:dyDescent="0.25">
      <c r="A10453" t="s">
        <v>6196</v>
      </c>
      <c r="B10453" t="s">
        <v>9577</v>
      </c>
    </row>
    <row r="10454" spans="1:2" x14ac:dyDescent="0.25">
      <c r="A10454" t="s">
        <v>9698</v>
      </c>
      <c r="B10454" t="s">
        <v>9577</v>
      </c>
    </row>
    <row r="10455" spans="1:2" x14ac:dyDescent="0.25">
      <c r="A10455" t="s">
        <v>8767</v>
      </c>
      <c r="B10455" t="s">
        <v>8320</v>
      </c>
    </row>
    <row r="10456" spans="1:2" x14ac:dyDescent="0.25">
      <c r="A10456" t="s">
        <v>7140</v>
      </c>
      <c r="B10456" t="s">
        <v>8767</v>
      </c>
    </row>
    <row r="10457" spans="1:2" x14ac:dyDescent="0.25">
      <c r="A10457" t="s">
        <v>1161</v>
      </c>
      <c r="B10457" t="s">
        <v>8767</v>
      </c>
    </row>
    <row r="10458" spans="1:2" x14ac:dyDescent="0.25">
      <c r="A10458" t="s">
        <v>10549</v>
      </c>
      <c r="B10458" t="s">
        <v>8320</v>
      </c>
    </row>
    <row r="10459" spans="1:2" x14ac:dyDescent="0.25">
      <c r="A10459" t="s">
        <v>10622</v>
      </c>
      <c r="B10459" t="s">
        <v>10549</v>
      </c>
    </row>
    <row r="10460" spans="1:2" x14ac:dyDescent="0.25">
      <c r="A10460" t="s">
        <v>2474</v>
      </c>
      <c r="B10460" t="s">
        <v>10622</v>
      </c>
    </row>
    <row r="10461" spans="1:2" x14ac:dyDescent="0.25">
      <c r="A10461" t="s">
        <v>5259</v>
      </c>
      <c r="B10461" t="s">
        <v>10622</v>
      </c>
    </row>
    <row r="10462" spans="1:2" x14ac:dyDescent="0.25">
      <c r="A10462" t="s">
        <v>5350</v>
      </c>
      <c r="B10462" t="s">
        <v>10622</v>
      </c>
    </row>
    <row r="10463" spans="1:2" x14ac:dyDescent="0.25">
      <c r="A10463" t="s">
        <v>2587</v>
      </c>
      <c r="B10463" t="s">
        <v>10622</v>
      </c>
    </row>
    <row r="10464" spans="1:2" x14ac:dyDescent="0.25">
      <c r="A10464" t="s">
        <v>6636</v>
      </c>
      <c r="B10464" t="s">
        <v>10549</v>
      </c>
    </row>
    <row r="10465" spans="1:2" x14ac:dyDescent="0.25">
      <c r="A10465" t="s">
        <v>3333</v>
      </c>
      <c r="B10465" t="s">
        <v>6636</v>
      </c>
    </row>
    <row r="10466" spans="1:2" x14ac:dyDescent="0.25">
      <c r="A10466" t="s">
        <v>1162</v>
      </c>
      <c r="B10466" t="s">
        <v>6636</v>
      </c>
    </row>
    <row r="10467" spans="1:2" x14ac:dyDescent="0.25">
      <c r="A10467" t="s">
        <v>3846</v>
      </c>
      <c r="B10467" t="s">
        <v>6636</v>
      </c>
    </row>
    <row r="10468" spans="1:2" x14ac:dyDescent="0.25">
      <c r="A10468" t="s">
        <v>4488</v>
      </c>
      <c r="B10468" t="s">
        <v>10549</v>
      </c>
    </row>
    <row r="10469" spans="1:2" x14ac:dyDescent="0.25">
      <c r="A10469" t="s">
        <v>11032</v>
      </c>
      <c r="B10469" t="s">
        <v>10549</v>
      </c>
    </row>
    <row r="10470" spans="1:2" x14ac:dyDescent="0.25">
      <c r="A10470" t="s">
        <v>8387</v>
      </c>
      <c r="B10470" t="s">
        <v>8320</v>
      </c>
    </row>
    <row r="10471" spans="1:2" x14ac:dyDescent="0.25">
      <c r="A10471" t="s">
        <v>13039</v>
      </c>
      <c r="B10471" t="s">
        <v>8320</v>
      </c>
    </row>
    <row r="10472" spans="1:2" x14ac:dyDescent="0.25">
      <c r="A10472" t="s">
        <v>113</v>
      </c>
      <c r="B10472" t="s">
        <v>1156</v>
      </c>
    </row>
    <row r="10473" spans="1:2" x14ac:dyDescent="0.25">
      <c r="A10473" t="s">
        <v>12278</v>
      </c>
      <c r="B10473" t="s">
        <v>113</v>
      </c>
    </row>
    <row r="10474" spans="1:2" x14ac:dyDescent="0.25">
      <c r="A10474" t="s">
        <v>5674</v>
      </c>
      <c r="B10474" t="s">
        <v>12278</v>
      </c>
    </row>
    <row r="10475" spans="1:2" x14ac:dyDescent="0.25">
      <c r="A10475" t="s">
        <v>6086</v>
      </c>
      <c r="B10475" t="s">
        <v>5674</v>
      </c>
    </row>
    <row r="10476" spans="1:2" x14ac:dyDescent="0.25">
      <c r="A10476" t="s">
        <v>7261</v>
      </c>
      <c r="B10476" t="s">
        <v>12278</v>
      </c>
    </row>
    <row r="10477" spans="1:2" x14ac:dyDescent="0.25">
      <c r="A10477" t="s">
        <v>11791</v>
      </c>
      <c r="B10477" t="s">
        <v>12278</v>
      </c>
    </row>
    <row r="10478" spans="1:2" x14ac:dyDescent="0.25">
      <c r="A10478" t="s">
        <v>13495</v>
      </c>
      <c r="B10478" t="s">
        <v>113</v>
      </c>
    </row>
    <row r="10479" spans="1:2" x14ac:dyDescent="0.25">
      <c r="A10479" t="s">
        <v>323</v>
      </c>
      <c r="B10479" t="s">
        <v>1156</v>
      </c>
    </row>
    <row r="10480" spans="1:2" x14ac:dyDescent="0.25">
      <c r="A10480" t="s">
        <v>10553</v>
      </c>
      <c r="B10480" t="s">
        <v>323</v>
      </c>
    </row>
    <row r="10481" spans="1:2" x14ac:dyDescent="0.25">
      <c r="A10481" t="s">
        <v>1993</v>
      </c>
      <c r="B10481" t="s">
        <v>10553</v>
      </c>
    </row>
    <row r="10482" spans="1:2" x14ac:dyDescent="0.25">
      <c r="A10482" t="s">
        <v>2481</v>
      </c>
      <c r="B10482" t="s">
        <v>10553</v>
      </c>
    </row>
    <row r="10483" spans="1:2" x14ac:dyDescent="0.25">
      <c r="A10483" t="s">
        <v>1182</v>
      </c>
      <c r="B10483" t="s">
        <v>10553</v>
      </c>
    </row>
    <row r="10484" spans="1:2" x14ac:dyDescent="0.25">
      <c r="A10484" t="s">
        <v>4324</v>
      </c>
      <c r="B10484" t="s">
        <v>10553</v>
      </c>
    </row>
    <row r="10485" spans="1:2" x14ac:dyDescent="0.25">
      <c r="A10485" t="s">
        <v>6093</v>
      </c>
      <c r="B10485" t="s">
        <v>10553</v>
      </c>
    </row>
    <row r="10486" spans="1:2" x14ac:dyDescent="0.25">
      <c r="A10486" t="s">
        <v>2918</v>
      </c>
      <c r="B10486" t="s">
        <v>6093</v>
      </c>
    </row>
    <row r="10487" spans="1:2" x14ac:dyDescent="0.25">
      <c r="A10487" t="s">
        <v>5737</v>
      </c>
      <c r="B10487" t="s">
        <v>10553</v>
      </c>
    </row>
    <row r="10488" spans="1:2" x14ac:dyDescent="0.25">
      <c r="A10488" t="s">
        <v>9239</v>
      </c>
      <c r="B10488" t="s">
        <v>5737</v>
      </c>
    </row>
    <row r="10489" spans="1:2" x14ac:dyDescent="0.25">
      <c r="A10489" t="s">
        <v>8772</v>
      </c>
      <c r="B10489" t="s">
        <v>323</v>
      </c>
    </row>
    <row r="10490" spans="1:2" x14ac:dyDescent="0.25">
      <c r="A10490" t="s">
        <v>11338</v>
      </c>
      <c r="B10490" t="s">
        <v>8772</v>
      </c>
    </row>
    <row r="10491" spans="1:2" x14ac:dyDescent="0.25">
      <c r="A10491" t="s">
        <v>9167</v>
      </c>
      <c r="B10491" t="s">
        <v>323</v>
      </c>
    </row>
    <row r="10492" spans="1:2" x14ac:dyDescent="0.25">
      <c r="A10492" t="s">
        <v>11522</v>
      </c>
      <c r="B10492" t="s">
        <v>323</v>
      </c>
    </row>
    <row r="10493" spans="1:2" x14ac:dyDescent="0.25">
      <c r="A10493" t="s">
        <v>7152</v>
      </c>
      <c r="B10493" t="s">
        <v>323</v>
      </c>
    </row>
    <row r="10494" spans="1:2" x14ac:dyDescent="0.25">
      <c r="A10494" t="s">
        <v>9961</v>
      </c>
      <c r="B10494" t="s">
        <v>1156</v>
      </c>
    </row>
    <row r="10495" spans="1:2" x14ac:dyDescent="0.25">
      <c r="A10495" t="s">
        <v>11523</v>
      </c>
      <c r="B10495" t="s">
        <v>1156</v>
      </c>
    </row>
    <row r="10496" spans="1:2" x14ac:dyDescent="0.25">
      <c r="A10496" t="s">
        <v>5679</v>
      </c>
      <c r="B10496" t="s">
        <v>11523</v>
      </c>
    </row>
    <row r="10497" spans="1:2" x14ac:dyDescent="0.25">
      <c r="A10497" t="s">
        <v>1505</v>
      </c>
      <c r="B10497" t="s">
        <v>5679</v>
      </c>
    </row>
    <row r="10498" spans="1:2" x14ac:dyDescent="0.25">
      <c r="A10498" t="s">
        <v>3358</v>
      </c>
      <c r="B10498" t="s">
        <v>11523</v>
      </c>
    </row>
    <row r="10499" spans="1:2" x14ac:dyDescent="0.25">
      <c r="A10499" t="s">
        <v>1223</v>
      </c>
      <c r="B10499" t="s">
        <v>11523</v>
      </c>
    </row>
    <row r="10500" spans="1:2" x14ac:dyDescent="0.25">
      <c r="A10500" t="s">
        <v>1224</v>
      </c>
      <c r="B10500" t="s">
        <v>11523</v>
      </c>
    </row>
    <row r="10501" spans="1:2" x14ac:dyDescent="0.25">
      <c r="A10501" t="s">
        <v>1225</v>
      </c>
      <c r="B10501" t="s">
        <v>11523</v>
      </c>
    </row>
    <row r="10502" spans="1:2" x14ac:dyDescent="0.25">
      <c r="A10502" t="s">
        <v>3864</v>
      </c>
      <c r="B10502" t="s">
        <v>11523</v>
      </c>
    </row>
    <row r="10503" spans="1:2" x14ac:dyDescent="0.25">
      <c r="A10503" t="s">
        <v>1226</v>
      </c>
      <c r="B10503" t="s">
        <v>11523</v>
      </c>
    </row>
    <row r="10504" spans="1:2" x14ac:dyDescent="0.25">
      <c r="A10504" t="s">
        <v>1227</v>
      </c>
      <c r="B10504" t="s">
        <v>11523</v>
      </c>
    </row>
    <row r="10505" spans="1:2" x14ac:dyDescent="0.25">
      <c r="A10505" t="s">
        <v>1228</v>
      </c>
      <c r="B10505" t="s">
        <v>11523</v>
      </c>
    </row>
    <row r="10506" spans="1:2" x14ac:dyDescent="0.25">
      <c r="A10506" t="s">
        <v>6584</v>
      </c>
      <c r="B10506" t="s">
        <v>11523</v>
      </c>
    </row>
    <row r="10507" spans="1:2" x14ac:dyDescent="0.25">
      <c r="A10507" t="s">
        <v>6585</v>
      </c>
      <c r="B10507" t="s">
        <v>11523</v>
      </c>
    </row>
    <row r="10508" spans="1:2" x14ac:dyDescent="0.25">
      <c r="A10508" t="s">
        <v>3865</v>
      </c>
      <c r="B10508" t="s">
        <v>11523</v>
      </c>
    </row>
    <row r="10509" spans="1:2" x14ac:dyDescent="0.25">
      <c r="A10509" t="s">
        <v>3866</v>
      </c>
      <c r="B10509" t="s">
        <v>11523</v>
      </c>
    </row>
    <row r="10510" spans="1:2" x14ac:dyDescent="0.25">
      <c r="A10510" t="s">
        <v>3867</v>
      </c>
      <c r="B10510" t="s">
        <v>11523</v>
      </c>
    </row>
    <row r="10511" spans="1:2" x14ac:dyDescent="0.25">
      <c r="A10511" t="s">
        <v>5680</v>
      </c>
      <c r="B10511" t="s">
        <v>11523</v>
      </c>
    </row>
    <row r="10512" spans="1:2" x14ac:dyDescent="0.25">
      <c r="A10512" t="s">
        <v>3868</v>
      </c>
      <c r="B10512" t="s">
        <v>11523</v>
      </c>
    </row>
    <row r="10513" spans="1:2" x14ac:dyDescent="0.25">
      <c r="A10513" t="s">
        <v>3869</v>
      </c>
      <c r="B10513" t="s">
        <v>11523</v>
      </c>
    </row>
    <row r="10514" spans="1:2" x14ac:dyDescent="0.25">
      <c r="A10514" t="s">
        <v>1229</v>
      </c>
      <c r="B10514" t="s">
        <v>11523</v>
      </c>
    </row>
    <row r="10515" spans="1:2" x14ac:dyDescent="0.25">
      <c r="A10515" t="s">
        <v>1230</v>
      </c>
      <c r="B10515" t="s">
        <v>11523</v>
      </c>
    </row>
    <row r="10516" spans="1:2" x14ac:dyDescent="0.25">
      <c r="A10516" t="s">
        <v>1231</v>
      </c>
      <c r="B10516" t="s">
        <v>11523</v>
      </c>
    </row>
    <row r="10517" spans="1:2" x14ac:dyDescent="0.25">
      <c r="A10517" t="s">
        <v>6586</v>
      </c>
      <c r="B10517" t="s">
        <v>11523</v>
      </c>
    </row>
    <row r="10518" spans="1:2" x14ac:dyDescent="0.25">
      <c r="A10518" t="s">
        <v>2927</v>
      </c>
      <c r="B10518" t="s">
        <v>11523</v>
      </c>
    </row>
    <row r="10519" spans="1:2" x14ac:dyDescent="0.25">
      <c r="A10519" t="s">
        <v>3870</v>
      </c>
      <c r="B10519" t="s">
        <v>11523</v>
      </c>
    </row>
    <row r="10520" spans="1:2" x14ac:dyDescent="0.25">
      <c r="A10520" t="s">
        <v>3871</v>
      </c>
      <c r="B10520" t="s">
        <v>11523</v>
      </c>
    </row>
    <row r="10521" spans="1:2" x14ac:dyDescent="0.25">
      <c r="A10521" t="s">
        <v>2027</v>
      </c>
      <c r="B10521" t="s">
        <v>11523</v>
      </c>
    </row>
    <row r="10522" spans="1:2" x14ac:dyDescent="0.25">
      <c r="A10522" t="s">
        <v>4331</v>
      </c>
      <c r="B10522" t="s">
        <v>11523</v>
      </c>
    </row>
    <row r="10523" spans="1:2" x14ac:dyDescent="0.25">
      <c r="A10523" t="s">
        <v>5681</v>
      </c>
      <c r="B10523" t="s">
        <v>11523</v>
      </c>
    </row>
    <row r="10524" spans="1:2" x14ac:dyDescent="0.25">
      <c r="A10524" t="s">
        <v>10555</v>
      </c>
      <c r="B10524" t="s">
        <v>11523</v>
      </c>
    </row>
    <row r="10525" spans="1:2" x14ac:dyDescent="0.25">
      <c r="A10525" t="s">
        <v>1232</v>
      </c>
      <c r="B10525" t="s">
        <v>11523</v>
      </c>
    </row>
    <row r="10526" spans="1:2" x14ac:dyDescent="0.25">
      <c r="A10526" t="s">
        <v>5682</v>
      </c>
      <c r="B10526" t="s">
        <v>11523</v>
      </c>
    </row>
    <row r="10527" spans="1:2" x14ac:dyDescent="0.25">
      <c r="A10527" t="s">
        <v>4332</v>
      </c>
      <c r="B10527" t="s">
        <v>11523</v>
      </c>
    </row>
    <row r="10528" spans="1:2" x14ac:dyDescent="0.25">
      <c r="A10528" t="s">
        <v>10635</v>
      </c>
      <c r="B10528" t="s">
        <v>11523</v>
      </c>
    </row>
    <row r="10529" spans="1:2" x14ac:dyDescent="0.25">
      <c r="A10529" t="s">
        <v>3371</v>
      </c>
      <c r="B10529" t="s">
        <v>11523</v>
      </c>
    </row>
    <row r="10530" spans="1:2" x14ac:dyDescent="0.25">
      <c r="A10530" t="s">
        <v>6594</v>
      </c>
      <c r="B10530" t="s">
        <v>3371</v>
      </c>
    </row>
    <row r="10531" spans="1:2" x14ac:dyDescent="0.25">
      <c r="A10531" t="s">
        <v>4834</v>
      </c>
      <c r="B10531" t="s">
        <v>1156</v>
      </c>
    </row>
    <row r="10532" spans="1:2" x14ac:dyDescent="0.25">
      <c r="A10532" t="s">
        <v>9964</v>
      </c>
      <c r="B10532" t="s">
        <v>4834</v>
      </c>
    </row>
    <row r="10533" spans="1:2" x14ac:dyDescent="0.25">
      <c r="A10533" t="s">
        <v>7805</v>
      </c>
      <c r="B10533" t="s">
        <v>9964</v>
      </c>
    </row>
    <row r="10534" spans="1:2" x14ac:dyDescent="0.25">
      <c r="A10534" t="s">
        <v>3052</v>
      </c>
      <c r="B10534" t="s">
        <v>7805</v>
      </c>
    </row>
    <row r="10535" spans="1:2" x14ac:dyDescent="0.25">
      <c r="A10535" t="s">
        <v>3053</v>
      </c>
      <c r="B10535" t="s">
        <v>7805</v>
      </c>
    </row>
    <row r="10536" spans="1:2" x14ac:dyDescent="0.25">
      <c r="A10536" t="s">
        <v>3054</v>
      </c>
      <c r="B10536" t="s">
        <v>7805</v>
      </c>
    </row>
    <row r="10537" spans="1:2" x14ac:dyDescent="0.25">
      <c r="A10537" t="s">
        <v>3055</v>
      </c>
      <c r="B10537" t="s">
        <v>7805</v>
      </c>
    </row>
    <row r="10538" spans="1:2" x14ac:dyDescent="0.25">
      <c r="A10538" t="s">
        <v>3056</v>
      </c>
      <c r="B10538" t="s">
        <v>7805</v>
      </c>
    </row>
    <row r="10539" spans="1:2" x14ac:dyDescent="0.25">
      <c r="A10539" t="s">
        <v>3057</v>
      </c>
      <c r="B10539" t="s">
        <v>7805</v>
      </c>
    </row>
    <row r="10540" spans="1:2" x14ac:dyDescent="0.25">
      <c r="A10540" t="s">
        <v>3058</v>
      </c>
      <c r="B10540" t="s">
        <v>7805</v>
      </c>
    </row>
    <row r="10541" spans="1:2" x14ac:dyDescent="0.25">
      <c r="A10541" t="s">
        <v>114</v>
      </c>
      <c r="B10541" t="s">
        <v>9964</v>
      </c>
    </row>
    <row r="10542" spans="1:2" x14ac:dyDescent="0.25">
      <c r="A10542" t="s">
        <v>16266</v>
      </c>
      <c r="B10542" t="s">
        <v>114</v>
      </c>
    </row>
    <row r="10543" spans="1:2" x14ac:dyDescent="0.25">
      <c r="A10543" t="s">
        <v>3510</v>
      </c>
      <c r="B10543" t="s">
        <v>16266</v>
      </c>
    </row>
    <row r="10544" spans="1:2" x14ac:dyDescent="0.25">
      <c r="A10544" t="s">
        <v>2028</v>
      </c>
      <c r="B10544" t="s">
        <v>16266</v>
      </c>
    </row>
    <row r="10545" spans="1:2" x14ac:dyDescent="0.25">
      <c r="A10545" t="s">
        <v>1233</v>
      </c>
      <c r="B10545" t="s">
        <v>2028</v>
      </c>
    </row>
    <row r="10546" spans="1:2" x14ac:dyDescent="0.25">
      <c r="A10546" t="s">
        <v>3361</v>
      </c>
      <c r="B10546" t="s">
        <v>16266</v>
      </c>
    </row>
    <row r="10547" spans="1:2" x14ac:dyDescent="0.25">
      <c r="A10547" t="s">
        <v>1240</v>
      </c>
      <c r="B10547" t="s">
        <v>3361</v>
      </c>
    </row>
    <row r="10548" spans="1:2" x14ac:dyDescent="0.25">
      <c r="A10548" t="s">
        <v>117</v>
      </c>
      <c r="B10548" t="s">
        <v>16266</v>
      </c>
    </row>
    <row r="10549" spans="1:2" x14ac:dyDescent="0.25">
      <c r="A10549" t="s">
        <v>1241</v>
      </c>
      <c r="B10549" t="s">
        <v>117</v>
      </c>
    </row>
    <row r="10550" spans="1:2" x14ac:dyDescent="0.25">
      <c r="A10550" t="s">
        <v>2496</v>
      </c>
      <c r="B10550" t="s">
        <v>16266</v>
      </c>
    </row>
    <row r="10551" spans="1:2" x14ac:dyDescent="0.25">
      <c r="A10551" t="s">
        <v>1242</v>
      </c>
      <c r="B10551" t="s">
        <v>2496</v>
      </c>
    </row>
    <row r="10552" spans="1:2" x14ac:dyDescent="0.25">
      <c r="A10552" t="s">
        <v>1243</v>
      </c>
      <c r="B10552" t="s">
        <v>16266</v>
      </c>
    </row>
    <row r="10553" spans="1:2" x14ac:dyDescent="0.25">
      <c r="A10553" t="s">
        <v>1244</v>
      </c>
      <c r="B10553" t="s">
        <v>1243</v>
      </c>
    </row>
    <row r="10554" spans="1:2" x14ac:dyDescent="0.25">
      <c r="A10554" t="s">
        <v>2497</v>
      </c>
      <c r="B10554" t="s">
        <v>16266</v>
      </c>
    </row>
    <row r="10555" spans="1:2" x14ac:dyDescent="0.25">
      <c r="A10555" t="s">
        <v>1245</v>
      </c>
      <c r="B10555" t="s">
        <v>2497</v>
      </c>
    </row>
    <row r="10556" spans="1:2" x14ac:dyDescent="0.25">
      <c r="A10556" t="s">
        <v>3363</v>
      </c>
      <c r="B10556" t="s">
        <v>16266</v>
      </c>
    </row>
    <row r="10557" spans="1:2" x14ac:dyDescent="0.25">
      <c r="A10557" t="s">
        <v>1251</v>
      </c>
      <c r="B10557" t="s">
        <v>3363</v>
      </c>
    </row>
    <row r="10558" spans="1:2" x14ac:dyDescent="0.25">
      <c r="A10558" t="s">
        <v>2500</v>
      </c>
      <c r="B10558" t="s">
        <v>16266</v>
      </c>
    </row>
    <row r="10559" spans="1:2" x14ac:dyDescent="0.25">
      <c r="A10559" t="s">
        <v>1253</v>
      </c>
      <c r="B10559" t="s">
        <v>2500</v>
      </c>
    </row>
    <row r="10560" spans="1:2" x14ac:dyDescent="0.25">
      <c r="A10560" t="s">
        <v>3365</v>
      </c>
      <c r="B10560" t="s">
        <v>16266</v>
      </c>
    </row>
    <row r="10561" spans="1:2" x14ac:dyDescent="0.25">
      <c r="A10561" t="s">
        <v>1254</v>
      </c>
      <c r="B10561" t="s">
        <v>3365</v>
      </c>
    </row>
    <row r="10562" spans="1:2" x14ac:dyDescent="0.25">
      <c r="A10562" t="s">
        <v>2038</v>
      </c>
      <c r="B10562" t="s">
        <v>16266</v>
      </c>
    </row>
    <row r="10563" spans="1:2" x14ac:dyDescent="0.25">
      <c r="A10563" t="s">
        <v>2039</v>
      </c>
      <c r="B10563" t="s">
        <v>2038</v>
      </c>
    </row>
    <row r="10564" spans="1:2" x14ac:dyDescent="0.25">
      <c r="A10564" t="s">
        <v>453</v>
      </c>
      <c r="B10564" t="s">
        <v>16266</v>
      </c>
    </row>
    <row r="10565" spans="1:2" x14ac:dyDescent="0.25">
      <c r="A10565" t="s">
        <v>2503</v>
      </c>
      <c r="B10565" t="s">
        <v>453</v>
      </c>
    </row>
    <row r="10566" spans="1:2" x14ac:dyDescent="0.25">
      <c r="A10566" t="s">
        <v>2040</v>
      </c>
      <c r="B10566" t="s">
        <v>16266</v>
      </c>
    </row>
    <row r="10567" spans="1:2" x14ac:dyDescent="0.25">
      <c r="A10567" t="s">
        <v>2041</v>
      </c>
      <c r="B10567" t="s">
        <v>2040</v>
      </c>
    </row>
    <row r="10568" spans="1:2" x14ac:dyDescent="0.25">
      <c r="A10568" t="s">
        <v>2042</v>
      </c>
      <c r="B10568" t="s">
        <v>16266</v>
      </c>
    </row>
    <row r="10569" spans="1:2" x14ac:dyDescent="0.25">
      <c r="A10569" t="s">
        <v>2043</v>
      </c>
      <c r="B10569" t="s">
        <v>2042</v>
      </c>
    </row>
    <row r="10570" spans="1:2" x14ac:dyDescent="0.25">
      <c r="A10570" t="s">
        <v>2933</v>
      </c>
      <c r="B10570" t="s">
        <v>16266</v>
      </c>
    </row>
    <row r="10571" spans="1:2" x14ac:dyDescent="0.25">
      <c r="A10571" t="s">
        <v>2047</v>
      </c>
      <c r="B10571" t="s">
        <v>2933</v>
      </c>
    </row>
    <row r="10572" spans="1:2" x14ac:dyDescent="0.25">
      <c r="A10572" t="s">
        <v>2504</v>
      </c>
      <c r="B10572" t="s">
        <v>16266</v>
      </c>
    </row>
    <row r="10573" spans="1:2" x14ac:dyDescent="0.25">
      <c r="A10573" t="s">
        <v>1261</v>
      </c>
      <c r="B10573" t="s">
        <v>2504</v>
      </c>
    </row>
    <row r="10574" spans="1:2" x14ac:dyDescent="0.25">
      <c r="A10574" t="s">
        <v>2505</v>
      </c>
      <c r="B10574" t="s">
        <v>16266</v>
      </c>
    </row>
    <row r="10575" spans="1:2" x14ac:dyDescent="0.25">
      <c r="A10575" t="s">
        <v>1262</v>
      </c>
      <c r="B10575" t="s">
        <v>2505</v>
      </c>
    </row>
    <row r="10576" spans="1:2" x14ac:dyDescent="0.25">
      <c r="A10576" t="s">
        <v>2048</v>
      </c>
      <c r="B10576" t="s">
        <v>16266</v>
      </c>
    </row>
    <row r="10577" spans="1:2" x14ac:dyDescent="0.25">
      <c r="A10577" t="s">
        <v>5270</v>
      </c>
      <c r="B10577" t="s">
        <v>2048</v>
      </c>
    </row>
    <row r="10578" spans="1:2" x14ac:dyDescent="0.25">
      <c r="A10578" t="s">
        <v>2049</v>
      </c>
      <c r="B10578" t="s">
        <v>16266</v>
      </c>
    </row>
    <row r="10579" spans="1:2" x14ac:dyDescent="0.25">
      <c r="A10579" t="s">
        <v>1263</v>
      </c>
      <c r="B10579" t="s">
        <v>2049</v>
      </c>
    </row>
    <row r="10580" spans="1:2" x14ac:dyDescent="0.25">
      <c r="A10580" t="s">
        <v>6184</v>
      </c>
      <c r="B10580" t="s">
        <v>16266</v>
      </c>
    </row>
    <row r="10581" spans="1:2" x14ac:dyDescent="0.25">
      <c r="A10581" t="s">
        <v>16267</v>
      </c>
      <c r="B10581" t="s">
        <v>114</v>
      </c>
    </row>
    <row r="10582" spans="1:2" x14ac:dyDescent="0.25">
      <c r="A10582" t="s">
        <v>2029</v>
      </c>
      <c r="B10582" t="s">
        <v>16267</v>
      </c>
    </row>
    <row r="10583" spans="1:2" x14ac:dyDescent="0.25">
      <c r="A10583" t="s">
        <v>1234</v>
      </c>
      <c r="B10583" t="s">
        <v>2029</v>
      </c>
    </row>
    <row r="10584" spans="1:2" x14ac:dyDescent="0.25">
      <c r="A10584" t="s">
        <v>3360</v>
      </c>
      <c r="B10584" t="s">
        <v>16267</v>
      </c>
    </row>
    <row r="10585" spans="1:2" x14ac:dyDescent="0.25">
      <c r="A10585" t="s">
        <v>1239</v>
      </c>
      <c r="B10585" t="s">
        <v>3360</v>
      </c>
    </row>
    <row r="10586" spans="1:2" x14ac:dyDescent="0.25">
      <c r="A10586" t="s">
        <v>3874</v>
      </c>
      <c r="B10586" t="s">
        <v>16267</v>
      </c>
    </row>
    <row r="10587" spans="1:2" x14ac:dyDescent="0.25">
      <c r="A10587" t="s">
        <v>2032</v>
      </c>
      <c r="B10587" t="s">
        <v>3874</v>
      </c>
    </row>
    <row r="10588" spans="1:2" x14ac:dyDescent="0.25">
      <c r="A10588" t="s">
        <v>3366</v>
      </c>
      <c r="B10588" t="s">
        <v>16267</v>
      </c>
    </row>
    <row r="10589" spans="1:2" x14ac:dyDescent="0.25">
      <c r="A10589" t="s">
        <v>1256</v>
      </c>
      <c r="B10589" t="s">
        <v>3366</v>
      </c>
    </row>
    <row r="10590" spans="1:2" x14ac:dyDescent="0.25">
      <c r="A10590" t="s">
        <v>16268</v>
      </c>
      <c r="B10590" t="s">
        <v>114</v>
      </c>
    </row>
    <row r="10591" spans="1:2" x14ac:dyDescent="0.25">
      <c r="A10591" t="s">
        <v>2030</v>
      </c>
      <c r="B10591" t="s">
        <v>16268</v>
      </c>
    </row>
    <row r="10592" spans="1:2" x14ac:dyDescent="0.25">
      <c r="A10592" t="s">
        <v>3872</v>
      </c>
      <c r="B10592" t="s">
        <v>2030</v>
      </c>
    </row>
    <row r="10593" spans="1:2" x14ac:dyDescent="0.25">
      <c r="A10593" t="s">
        <v>2499</v>
      </c>
      <c r="B10593" t="s">
        <v>16268</v>
      </c>
    </row>
    <row r="10594" spans="1:2" x14ac:dyDescent="0.25">
      <c r="A10594" t="s">
        <v>1249</v>
      </c>
      <c r="B10594" t="s">
        <v>2499</v>
      </c>
    </row>
    <row r="10595" spans="1:2" x14ac:dyDescent="0.25">
      <c r="A10595" t="s">
        <v>2502</v>
      </c>
      <c r="B10595" t="s">
        <v>16268</v>
      </c>
    </row>
    <row r="10596" spans="1:2" x14ac:dyDescent="0.25">
      <c r="A10596" t="s">
        <v>1255</v>
      </c>
      <c r="B10596" t="s">
        <v>2502</v>
      </c>
    </row>
    <row r="10597" spans="1:2" x14ac:dyDescent="0.25">
      <c r="A10597" t="s">
        <v>452</v>
      </c>
      <c r="B10597" t="s">
        <v>16268</v>
      </c>
    </row>
    <row r="10598" spans="1:2" x14ac:dyDescent="0.25">
      <c r="A10598" t="s">
        <v>1257</v>
      </c>
      <c r="B10598" t="s">
        <v>452</v>
      </c>
    </row>
    <row r="10599" spans="1:2" x14ac:dyDescent="0.25">
      <c r="A10599" t="s">
        <v>16269</v>
      </c>
      <c r="B10599" t="s">
        <v>114</v>
      </c>
    </row>
    <row r="10600" spans="1:2" x14ac:dyDescent="0.25">
      <c r="A10600" t="s">
        <v>16270</v>
      </c>
      <c r="B10600" t="s">
        <v>16269</v>
      </c>
    </row>
    <row r="10601" spans="1:2" x14ac:dyDescent="0.25">
      <c r="A10601" t="s">
        <v>16271</v>
      </c>
      <c r="B10601" t="s">
        <v>16269</v>
      </c>
    </row>
    <row r="10602" spans="1:2" x14ac:dyDescent="0.25">
      <c r="A10602" t="s">
        <v>16272</v>
      </c>
      <c r="B10602" t="s">
        <v>16269</v>
      </c>
    </row>
    <row r="10603" spans="1:2" x14ac:dyDescent="0.25">
      <c r="A10603" t="s">
        <v>16273</v>
      </c>
      <c r="B10603" t="s">
        <v>16269</v>
      </c>
    </row>
    <row r="10604" spans="1:2" x14ac:dyDescent="0.25">
      <c r="A10604" t="s">
        <v>16274</v>
      </c>
      <c r="B10604" t="s">
        <v>16269</v>
      </c>
    </row>
    <row r="10605" spans="1:2" x14ac:dyDescent="0.25">
      <c r="A10605" t="s">
        <v>16275</v>
      </c>
      <c r="B10605" t="s">
        <v>16269</v>
      </c>
    </row>
    <row r="10606" spans="1:2" x14ac:dyDescent="0.25">
      <c r="A10606" t="s">
        <v>16276</v>
      </c>
      <c r="B10606" t="s">
        <v>16269</v>
      </c>
    </row>
    <row r="10607" spans="1:2" x14ac:dyDescent="0.25">
      <c r="A10607" t="s">
        <v>4836</v>
      </c>
      <c r="B10607" t="s">
        <v>9964</v>
      </c>
    </row>
    <row r="10608" spans="1:2" x14ac:dyDescent="0.25">
      <c r="A10608" t="s">
        <v>5683</v>
      </c>
      <c r="B10608" t="s">
        <v>4836</v>
      </c>
    </row>
    <row r="10609" spans="1:2" x14ac:dyDescent="0.25">
      <c r="A10609" t="s">
        <v>8777</v>
      </c>
      <c r="B10609" t="s">
        <v>5683</v>
      </c>
    </row>
    <row r="10610" spans="1:2" x14ac:dyDescent="0.25">
      <c r="A10610" t="s">
        <v>119</v>
      </c>
      <c r="B10610" t="s">
        <v>4836</v>
      </c>
    </row>
    <row r="10611" spans="1:2" x14ac:dyDescent="0.25">
      <c r="A10611" t="s">
        <v>10961</v>
      </c>
      <c r="B10611" t="s">
        <v>119</v>
      </c>
    </row>
    <row r="10612" spans="1:2" x14ac:dyDescent="0.25">
      <c r="A10612" t="s">
        <v>7806</v>
      </c>
      <c r="B10612" t="s">
        <v>119</v>
      </c>
    </row>
    <row r="10613" spans="1:2" x14ac:dyDescent="0.25">
      <c r="A10613" t="s">
        <v>7263</v>
      </c>
      <c r="B10613" t="s">
        <v>4836</v>
      </c>
    </row>
    <row r="10614" spans="1:2" x14ac:dyDescent="0.25">
      <c r="A10614" t="s">
        <v>8334</v>
      </c>
      <c r="B10614" t="s">
        <v>7263</v>
      </c>
    </row>
    <row r="10615" spans="1:2" x14ac:dyDescent="0.25">
      <c r="A10615" t="s">
        <v>9634</v>
      </c>
      <c r="B10615" t="s">
        <v>7263</v>
      </c>
    </row>
    <row r="10616" spans="1:2" x14ac:dyDescent="0.25">
      <c r="A10616" t="s">
        <v>7264</v>
      </c>
      <c r="B10616" t="s">
        <v>4836</v>
      </c>
    </row>
    <row r="10617" spans="1:2" x14ac:dyDescent="0.25">
      <c r="A10617" t="s">
        <v>4837</v>
      </c>
      <c r="B10617" t="s">
        <v>7264</v>
      </c>
    </row>
    <row r="10618" spans="1:2" x14ac:dyDescent="0.25">
      <c r="A10618" t="s">
        <v>6171</v>
      </c>
      <c r="B10618" t="s">
        <v>4836</v>
      </c>
    </row>
    <row r="10619" spans="1:2" x14ac:dyDescent="0.25">
      <c r="A10619" t="s">
        <v>16277</v>
      </c>
      <c r="B10619" t="s">
        <v>4836</v>
      </c>
    </row>
    <row r="10620" spans="1:2" x14ac:dyDescent="0.25">
      <c r="A10620" t="s">
        <v>16278</v>
      </c>
      <c r="B10620" t="s">
        <v>4836</v>
      </c>
    </row>
    <row r="10621" spans="1:2" x14ac:dyDescent="0.25">
      <c r="A10621" t="s">
        <v>16279</v>
      </c>
      <c r="B10621" t="s">
        <v>4836</v>
      </c>
    </row>
    <row r="10622" spans="1:2" x14ac:dyDescent="0.25">
      <c r="A10622" t="s">
        <v>16280</v>
      </c>
      <c r="B10622" t="s">
        <v>4836</v>
      </c>
    </row>
    <row r="10623" spans="1:2" x14ac:dyDescent="0.25">
      <c r="A10623" t="s">
        <v>16281</v>
      </c>
      <c r="B10623" t="s">
        <v>4836</v>
      </c>
    </row>
    <row r="10624" spans="1:2" x14ac:dyDescent="0.25">
      <c r="A10624" t="s">
        <v>16282</v>
      </c>
      <c r="B10624" t="s">
        <v>4836</v>
      </c>
    </row>
    <row r="10625" spans="1:2" x14ac:dyDescent="0.25">
      <c r="A10625" t="s">
        <v>16283</v>
      </c>
      <c r="B10625" t="s">
        <v>4836</v>
      </c>
    </row>
    <row r="10626" spans="1:2" x14ac:dyDescent="0.25">
      <c r="A10626" t="s">
        <v>16284</v>
      </c>
      <c r="B10626" t="s">
        <v>4836</v>
      </c>
    </row>
    <row r="10627" spans="1:2" x14ac:dyDescent="0.25">
      <c r="A10627" t="s">
        <v>16285</v>
      </c>
      <c r="B10627" t="s">
        <v>4836</v>
      </c>
    </row>
    <row r="10628" spans="1:2" x14ac:dyDescent="0.25">
      <c r="A10628" t="s">
        <v>4335</v>
      </c>
      <c r="B10628" t="s">
        <v>9964</v>
      </c>
    </row>
    <row r="10629" spans="1:2" x14ac:dyDescent="0.25">
      <c r="A10629" t="s">
        <v>7156</v>
      </c>
      <c r="B10629" t="s">
        <v>4335</v>
      </c>
    </row>
    <row r="10630" spans="1:2" x14ac:dyDescent="0.25">
      <c r="A10630" t="s">
        <v>9965</v>
      </c>
      <c r="B10630" t="s">
        <v>7156</v>
      </c>
    </row>
    <row r="10631" spans="1:2" x14ac:dyDescent="0.25">
      <c r="A10631" t="s">
        <v>11254</v>
      </c>
      <c r="B10631" t="s">
        <v>7156</v>
      </c>
    </row>
    <row r="10632" spans="1:2" x14ac:dyDescent="0.25">
      <c r="A10632" t="s">
        <v>11525</v>
      </c>
      <c r="B10632" t="s">
        <v>7156</v>
      </c>
    </row>
    <row r="10633" spans="1:2" x14ac:dyDescent="0.25">
      <c r="A10633" t="s">
        <v>11255</v>
      </c>
      <c r="B10633" t="s">
        <v>7156</v>
      </c>
    </row>
    <row r="10634" spans="1:2" x14ac:dyDescent="0.25">
      <c r="A10634" t="s">
        <v>5271</v>
      </c>
      <c r="B10634" t="s">
        <v>7156</v>
      </c>
    </row>
    <row r="10635" spans="1:2" x14ac:dyDescent="0.25">
      <c r="A10635" t="s">
        <v>455</v>
      </c>
      <c r="B10635" t="s">
        <v>4335</v>
      </c>
    </row>
    <row r="10636" spans="1:2" x14ac:dyDescent="0.25">
      <c r="A10636" t="s">
        <v>2934</v>
      </c>
      <c r="B10636" t="s">
        <v>455</v>
      </c>
    </row>
    <row r="10637" spans="1:2" x14ac:dyDescent="0.25">
      <c r="A10637" t="s">
        <v>5684</v>
      </c>
      <c r="B10637" t="s">
        <v>9964</v>
      </c>
    </row>
    <row r="10638" spans="1:2" x14ac:dyDescent="0.25">
      <c r="A10638" t="s">
        <v>5685</v>
      </c>
      <c r="B10638" t="s">
        <v>5684</v>
      </c>
    </row>
    <row r="10639" spans="1:2" x14ac:dyDescent="0.25">
      <c r="A10639" t="s">
        <v>8780</v>
      </c>
      <c r="B10639" t="s">
        <v>5685</v>
      </c>
    </row>
    <row r="10640" spans="1:2" x14ac:dyDescent="0.25">
      <c r="A10640" t="s">
        <v>5272</v>
      </c>
      <c r="B10640" t="s">
        <v>5684</v>
      </c>
    </row>
    <row r="10641" spans="1:2" x14ac:dyDescent="0.25">
      <c r="A10641" t="s">
        <v>9966</v>
      </c>
      <c r="B10641" t="s">
        <v>5272</v>
      </c>
    </row>
    <row r="10642" spans="1:2" x14ac:dyDescent="0.25">
      <c r="A10642" t="s">
        <v>9173</v>
      </c>
      <c r="B10642" t="s">
        <v>5272</v>
      </c>
    </row>
    <row r="10643" spans="1:2" x14ac:dyDescent="0.25">
      <c r="A10643" t="s">
        <v>7807</v>
      </c>
      <c r="B10643" t="s">
        <v>5272</v>
      </c>
    </row>
    <row r="10644" spans="1:2" x14ac:dyDescent="0.25">
      <c r="A10644" t="s">
        <v>9967</v>
      </c>
      <c r="B10644" t="s">
        <v>5272</v>
      </c>
    </row>
    <row r="10645" spans="1:2" x14ac:dyDescent="0.25">
      <c r="A10645" t="s">
        <v>9591</v>
      </c>
      <c r="B10645" t="s">
        <v>5272</v>
      </c>
    </row>
    <row r="10646" spans="1:2" x14ac:dyDescent="0.25">
      <c r="A10646" t="s">
        <v>9174</v>
      </c>
      <c r="B10646" t="s">
        <v>5272</v>
      </c>
    </row>
    <row r="10647" spans="1:2" x14ac:dyDescent="0.25">
      <c r="A10647" t="s">
        <v>9592</v>
      </c>
      <c r="B10647" t="s">
        <v>5272</v>
      </c>
    </row>
    <row r="10648" spans="1:2" x14ac:dyDescent="0.25">
      <c r="A10648" t="s">
        <v>6590</v>
      </c>
      <c r="B10648" t="s">
        <v>5272</v>
      </c>
    </row>
    <row r="10649" spans="1:2" x14ac:dyDescent="0.25">
      <c r="A10649" t="s">
        <v>9593</v>
      </c>
      <c r="B10649" t="s">
        <v>5272</v>
      </c>
    </row>
    <row r="10650" spans="1:2" x14ac:dyDescent="0.25">
      <c r="A10650" t="s">
        <v>9594</v>
      </c>
      <c r="B10650" t="s">
        <v>5272</v>
      </c>
    </row>
    <row r="10651" spans="1:2" x14ac:dyDescent="0.25">
      <c r="A10651" t="s">
        <v>9175</v>
      </c>
      <c r="B10651" t="s">
        <v>5272</v>
      </c>
    </row>
    <row r="10652" spans="1:2" x14ac:dyDescent="0.25">
      <c r="A10652" t="s">
        <v>9219</v>
      </c>
      <c r="B10652" t="s">
        <v>5684</v>
      </c>
    </row>
    <row r="10653" spans="1:2" x14ac:dyDescent="0.25">
      <c r="A10653" t="s">
        <v>3356</v>
      </c>
      <c r="B10653" t="s">
        <v>9219</v>
      </c>
    </row>
    <row r="10654" spans="1:2" x14ac:dyDescent="0.25">
      <c r="A10654" t="s">
        <v>5686</v>
      </c>
      <c r="B10654" t="s">
        <v>9219</v>
      </c>
    </row>
    <row r="10655" spans="1:2" x14ac:dyDescent="0.25">
      <c r="A10655" t="s">
        <v>5687</v>
      </c>
      <c r="B10655" t="s">
        <v>9219</v>
      </c>
    </row>
    <row r="10656" spans="1:2" x14ac:dyDescent="0.25">
      <c r="A10656" t="s">
        <v>2064</v>
      </c>
      <c r="B10656" t="s">
        <v>9219</v>
      </c>
    </row>
    <row r="10657" spans="1:2" x14ac:dyDescent="0.25">
      <c r="A10657" t="s">
        <v>2582</v>
      </c>
      <c r="B10657" t="s">
        <v>9219</v>
      </c>
    </row>
    <row r="10658" spans="1:2" x14ac:dyDescent="0.25">
      <c r="A10658" t="s">
        <v>2231</v>
      </c>
      <c r="B10658" t="s">
        <v>9219</v>
      </c>
    </row>
    <row r="10659" spans="1:2" x14ac:dyDescent="0.25">
      <c r="A10659" t="s">
        <v>9259</v>
      </c>
      <c r="B10659" t="s">
        <v>9964</v>
      </c>
    </row>
    <row r="10660" spans="1:2" x14ac:dyDescent="0.25">
      <c r="A10660" t="s">
        <v>9572</v>
      </c>
      <c r="B10660" t="s">
        <v>9259</v>
      </c>
    </row>
    <row r="10661" spans="1:2" x14ac:dyDescent="0.25">
      <c r="A10661" t="s">
        <v>9931</v>
      </c>
      <c r="B10661" t="s">
        <v>9572</v>
      </c>
    </row>
    <row r="10662" spans="1:2" x14ac:dyDescent="0.25">
      <c r="A10662" t="s">
        <v>9932</v>
      </c>
      <c r="B10662" t="s">
        <v>9572</v>
      </c>
    </row>
    <row r="10663" spans="1:2" x14ac:dyDescent="0.25">
      <c r="A10663" t="s">
        <v>9933</v>
      </c>
      <c r="B10663" t="s">
        <v>9572</v>
      </c>
    </row>
    <row r="10664" spans="1:2" x14ac:dyDescent="0.25">
      <c r="A10664" t="s">
        <v>11250</v>
      </c>
      <c r="B10664" t="s">
        <v>9259</v>
      </c>
    </row>
    <row r="10665" spans="1:2" x14ac:dyDescent="0.25">
      <c r="A10665" t="s">
        <v>9934</v>
      </c>
      <c r="B10665" t="s">
        <v>11250</v>
      </c>
    </row>
    <row r="10666" spans="1:2" x14ac:dyDescent="0.25">
      <c r="A10666" t="s">
        <v>9935</v>
      </c>
      <c r="B10666" t="s">
        <v>11250</v>
      </c>
    </row>
    <row r="10667" spans="1:2" x14ac:dyDescent="0.25">
      <c r="A10667" t="s">
        <v>3332</v>
      </c>
      <c r="B10667" t="s">
        <v>11250</v>
      </c>
    </row>
    <row r="10668" spans="1:2" x14ac:dyDescent="0.25">
      <c r="A10668" t="s">
        <v>1160</v>
      </c>
      <c r="B10668" t="s">
        <v>11250</v>
      </c>
    </row>
    <row r="10669" spans="1:2" x14ac:dyDescent="0.25">
      <c r="A10669" t="s">
        <v>4315</v>
      </c>
      <c r="B10669" t="s">
        <v>11250</v>
      </c>
    </row>
    <row r="10670" spans="1:2" x14ac:dyDescent="0.25">
      <c r="A10670" t="s">
        <v>6174</v>
      </c>
      <c r="B10670" t="s">
        <v>11250</v>
      </c>
    </row>
    <row r="10671" spans="1:2" x14ac:dyDescent="0.25">
      <c r="A10671" t="s">
        <v>6175</v>
      </c>
      <c r="B10671" t="s">
        <v>11250</v>
      </c>
    </row>
    <row r="10672" spans="1:2" x14ac:dyDescent="0.25">
      <c r="A10672" t="s">
        <v>9936</v>
      </c>
      <c r="B10672" t="s">
        <v>9259</v>
      </c>
    </row>
    <row r="10673" spans="1:2" x14ac:dyDescent="0.25">
      <c r="A10673" t="s">
        <v>11251</v>
      </c>
      <c r="B10673" t="s">
        <v>9259</v>
      </c>
    </row>
    <row r="10674" spans="1:2" x14ac:dyDescent="0.25">
      <c r="A10674" t="s">
        <v>2473</v>
      </c>
      <c r="B10674" t="s">
        <v>11251</v>
      </c>
    </row>
    <row r="10675" spans="1:2" x14ac:dyDescent="0.25">
      <c r="A10675" t="s">
        <v>3843</v>
      </c>
      <c r="B10675" t="s">
        <v>11251</v>
      </c>
    </row>
    <row r="10676" spans="1:2" x14ac:dyDescent="0.25">
      <c r="A10676" t="s">
        <v>6646</v>
      </c>
      <c r="B10676" t="s">
        <v>11251</v>
      </c>
    </row>
    <row r="10677" spans="1:2" x14ac:dyDescent="0.25">
      <c r="A10677" t="s">
        <v>9573</v>
      </c>
      <c r="B10677" t="s">
        <v>9259</v>
      </c>
    </row>
    <row r="10678" spans="1:2" x14ac:dyDescent="0.25">
      <c r="A10678" t="s">
        <v>9937</v>
      </c>
      <c r="B10678" t="s">
        <v>9573</v>
      </c>
    </row>
    <row r="10679" spans="1:2" x14ac:dyDescent="0.25">
      <c r="A10679" t="s">
        <v>9938</v>
      </c>
      <c r="B10679" t="s">
        <v>9573</v>
      </c>
    </row>
    <row r="10680" spans="1:2" x14ac:dyDescent="0.25">
      <c r="A10680" t="s">
        <v>11252</v>
      </c>
      <c r="B10680" t="s">
        <v>9259</v>
      </c>
    </row>
    <row r="10681" spans="1:2" x14ac:dyDescent="0.25">
      <c r="A10681" t="s">
        <v>9939</v>
      </c>
      <c r="B10681" t="s">
        <v>11252</v>
      </c>
    </row>
    <row r="10682" spans="1:2" x14ac:dyDescent="0.25">
      <c r="A10682" t="s">
        <v>9940</v>
      </c>
      <c r="B10682" t="s">
        <v>11252</v>
      </c>
    </row>
    <row r="10683" spans="1:2" x14ac:dyDescent="0.25">
      <c r="A10683" t="s">
        <v>9941</v>
      </c>
      <c r="B10683" t="s">
        <v>9259</v>
      </c>
    </row>
    <row r="10684" spans="1:2" x14ac:dyDescent="0.25">
      <c r="A10684" t="s">
        <v>9942</v>
      </c>
      <c r="B10684" t="s">
        <v>9941</v>
      </c>
    </row>
    <row r="10685" spans="1:2" x14ac:dyDescent="0.25">
      <c r="A10685" t="s">
        <v>9943</v>
      </c>
      <c r="B10685" t="s">
        <v>9941</v>
      </c>
    </row>
    <row r="10686" spans="1:2" x14ac:dyDescent="0.25">
      <c r="A10686" t="s">
        <v>8758</v>
      </c>
      <c r="B10686" t="s">
        <v>9259</v>
      </c>
    </row>
    <row r="10687" spans="1:2" x14ac:dyDescent="0.25">
      <c r="A10687" t="s">
        <v>9944</v>
      </c>
      <c r="B10687" t="s">
        <v>8758</v>
      </c>
    </row>
    <row r="10688" spans="1:2" x14ac:dyDescent="0.25">
      <c r="A10688" t="s">
        <v>9945</v>
      </c>
      <c r="B10688" t="s">
        <v>8758</v>
      </c>
    </row>
    <row r="10689" spans="1:2" x14ac:dyDescent="0.25">
      <c r="A10689" t="s">
        <v>8759</v>
      </c>
      <c r="B10689" t="s">
        <v>9259</v>
      </c>
    </row>
    <row r="10690" spans="1:2" x14ac:dyDescent="0.25">
      <c r="A10690" t="s">
        <v>9946</v>
      </c>
      <c r="B10690" t="s">
        <v>8759</v>
      </c>
    </row>
    <row r="10691" spans="1:2" x14ac:dyDescent="0.25">
      <c r="A10691" t="s">
        <v>6078</v>
      </c>
      <c r="B10691" t="s">
        <v>8759</v>
      </c>
    </row>
    <row r="10692" spans="1:2" x14ac:dyDescent="0.25">
      <c r="A10692" t="s">
        <v>9574</v>
      </c>
      <c r="B10692" t="s">
        <v>9259</v>
      </c>
    </row>
    <row r="10693" spans="1:2" x14ac:dyDescent="0.25">
      <c r="A10693" t="s">
        <v>9947</v>
      </c>
      <c r="B10693" t="s">
        <v>9574</v>
      </c>
    </row>
    <row r="10694" spans="1:2" x14ac:dyDescent="0.25">
      <c r="A10694" t="s">
        <v>9948</v>
      </c>
      <c r="B10694" t="s">
        <v>9574</v>
      </c>
    </row>
    <row r="10695" spans="1:2" x14ac:dyDescent="0.25">
      <c r="A10695" t="s">
        <v>8760</v>
      </c>
      <c r="B10695" t="s">
        <v>9259</v>
      </c>
    </row>
    <row r="10696" spans="1:2" x14ac:dyDescent="0.25">
      <c r="A10696" t="s">
        <v>9949</v>
      </c>
      <c r="B10696" t="s">
        <v>8760</v>
      </c>
    </row>
    <row r="10697" spans="1:2" x14ac:dyDescent="0.25">
      <c r="A10697" t="s">
        <v>9950</v>
      </c>
      <c r="B10697" t="s">
        <v>8760</v>
      </c>
    </row>
    <row r="10698" spans="1:2" x14ac:dyDescent="0.25">
      <c r="A10698" t="s">
        <v>10959</v>
      </c>
      <c r="B10698" t="s">
        <v>9259</v>
      </c>
    </row>
    <row r="10699" spans="1:2" x14ac:dyDescent="0.25">
      <c r="A10699" t="s">
        <v>9951</v>
      </c>
      <c r="B10699" t="s">
        <v>10959</v>
      </c>
    </row>
    <row r="10700" spans="1:2" x14ac:dyDescent="0.25">
      <c r="A10700" t="s">
        <v>6079</v>
      </c>
      <c r="B10700" t="s">
        <v>10959</v>
      </c>
    </row>
    <row r="10701" spans="1:2" x14ac:dyDescent="0.25">
      <c r="A10701" t="s">
        <v>9952</v>
      </c>
      <c r="B10701" t="s">
        <v>9259</v>
      </c>
    </row>
    <row r="10702" spans="1:2" x14ac:dyDescent="0.25">
      <c r="A10702" t="s">
        <v>9953</v>
      </c>
      <c r="B10702" t="s">
        <v>9952</v>
      </c>
    </row>
    <row r="10703" spans="1:2" x14ac:dyDescent="0.25">
      <c r="A10703" t="s">
        <v>10544</v>
      </c>
      <c r="B10703" t="s">
        <v>9259</v>
      </c>
    </row>
    <row r="10704" spans="1:2" x14ac:dyDescent="0.25">
      <c r="A10704" t="s">
        <v>9954</v>
      </c>
      <c r="B10704" t="s">
        <v>10544</v>
      </c>
    </row>
    <row r="10705" spans="1:2" x14ac:dyDescent="0.25">
      <c r="A10705" t="s">
        <v>12316</v>
      </c>
      <c r="B10705" t="s">
        <v>9964</v>
      </c>
    </row>
    <row r="10706" spans="1:2" x14ac:dyDescent="0.25">
      <c r="A10706" t="s">
        <v>6098</v>
      </c>
      <c r="B10706" t="s">
        <v>4834</v>
      </c>
    </row>
    <row r="10707" spans="1:2" x14ac:dyDescent="0.25">
      <c r="A10707" t="s">
        <v>7301</v>
      </c>
      <c r="B10707" t="s">
        <v>6098</v>
      </c>
    </row>
    <row r="10708" spans="1:2" x14ac:dyDescent="0.25">
      <c r="A10708" t="s">
        <v>3876</v>
      </c>
      <c r="B10708" t="s">
        <v>4834</v>
      </c>
    </row>
    <row r="10709" spans="1:2" x14ac:dyDescent="0.25">
      <c r="A10709" t="s">
        <v>12490</v>
      </c>
      <c r="B10709" t="s">
        <v>3876</v>
      </c>
    </row>
    <row r="10710" spans="1:2" x14ac:dyDescent="0.25">
      <c r="A10710" t="s">
        <v>4336</v>
      </c>
      <c r="B10710" t="s">
        <v>4834</v>
      </c>
    </row>
    <row r="10711" spans="1:2" x14ac:dyDescent="0.25">
      <c r="A10711" t="s">
        <v>7808</v>
      </c>
      <c r="B10711" t="s">
        <v>4336</v>
      </c>
    </row>
    <row r="10712" spans="1:2" x14ac:dyDescent="0.25">
      <c r="A10712" t="s">
        <v>8335</v>
      </c>
      <c r="B10712" t="s">
        <v>4834</v>
      </c>
    </row>
    <row r="10713" spans="1:2" x14ac:dyDescent="0.25">
      <c r="A10713" t="s">
        <v>11764</v>
      </c>
      <c r="B10713" t="s">
        <v>8335</v>
      </c>
    </row>
    <row r="10714" spans="1:2" x14ac:dyDescent="0.25">
      <c r="A10714" t="s">
        <v>6593</v>
      </c>
      <c r="B10714" t="s">
        <v>8335</v>
      </c>
    </row>
    <row r="10715" spans="1:2" x14ac:dyDescent="0.25">
      <c r="A10715" t="s">
        <v>11259</v>
      </c>
      <c r="B10715" t="s">
        <v>8335</v>
      </c>
    </row>
    <row r="10716" spans="1:2" x14ac:dyDescent="0.25">
      <c r="A10716" t="s">
        <v>11533</v>
      </c>
      <c r="B10716" t="s">
        <v>8335</v>
      </c>
    </row>
    <row r="10717" spans="1:2" x14ac:dyDescent="0.25">
      <c r="A10717" t="s">
        <v>2050</v>
      </c>
      <c r="B10717" t="s">
        <v>4834</v>
      </c>
    </row>
    <row r="10718" spans="1:2" x14ac:dyDescent="0.25">
      <c r="A10718" t="s">
        <v>11308</v>
      </c>
      <c r="B10718" t="s">
        <v>2050</v>
      </c>
    </row>
    <row r="10719" spans="1:2" x14ac:dyDescent="0.25">
      <c r="A10719" t="s">
        <v>10990</v>
      </c>
      <c r="B10719" t="s">
        <v>2050</v>
      </c>
    </row>
    <row r="10720" spans="1:2" x14ac:dyDescent="0.25">
      <c r="A10720" t="s">
        <v>12500</v>
      </c>
      <c r="B10720" t="s">
        <v>2050</v>
      </c>
    </row>
    <row r="10721" spans="1:2" x14ac:dyDescent="0.25">
      <c r="A10721" t="s">
        <v>11309</v>
      </c>
      <c r="B10721" t="s">
        <v>2050</v>
      </c>
    </row>
    <row r="10722" spans="1:2" x14ac:dyDescent="0.25">
      <c r="A10722" t="s">
        <v>10991</v>
      </c>
      <c r="B10722" t="s">
        <v>2050</v>
      </c>
    </row>
    <row r="10723" spans="1:2" x14ac:dyDescent="0.25">
      <c r="A10723" t="s">
        <v>12501</v>
      </c>
      <c r="B10723" t="s">
        <v>2050</v>
      </c>
    </row>
    <row r="10724" spans="1:2" x14ac:dyDescent="0.25">
      <c r="A10724" t="s">
        <v>4479</v>
      </c>
      <c r="B10724" t="s">
        <v>4834</v>
      </c>
    </row>
    <row r="10725" spans="1:2" x14ac:dyDescent="0.25">
      <c r="A10725" t="s">
        <v>2175</v>
      </c>
      <c r="B10725" t="s">
        <v>4479</v>
      </c>
    </row>
    <row r="10726" spans="1:2" x14ac:dyDescent="0.25">
      <c r="A10726" t="s">
        <v>2176</v>
      </c>
      <c r="B10726" t="s">
        <v>4479</v>
      </c>
    </row>
    <row r="10727" spans="1:2" x14ac:dyDescent="0.25">
      <c r="A10727" t="s">
        <v>4927</v>
      </c>
      <c r="B10727" t="s">
        <v>4834</v>
      </c>
    </row>
    <row r="10728" spans="1:2" x14ac:dyDescent="0.25">
      <c r="A10728" t="s">
        <v>10170</v>
      </c>
      <c r="B10728" t="s">
        <v>4834</v>
      </c>
    </row>
    <row r="10729" spans="1:2" x14ac:dyDescent="0.25">
      <c r="A10729" t="s">
        <v>6675</v>
      </c>
      <c r="B10729" t="s">
        <v>10170</v>
      </c>
    </row>
    <row r="10730" spans="1:2" x14ac:dyDescent="0.25">
      <c r="A10730" t="s">
        <v>6676</v>
      </c>
      <c r="B10730" t="s">
        <v>10170</v>
      </c>
    </row>
    <row r="10731" spans="1:2" x14ac:dyDescent="0.25">
      <c r="A10731" t="s">
        <v>4013</v>
      </c>
      <c r="B10731" t="s">
        <v>10170</v>
      </c>
    </row>
    <row r="10732" spans="1:2" x14ac:dyDescent="0.25">
      <c r="A10732" t="s">
        <v>12885</v>
      </c>
      <c r="B10732" t="s">
        <v>10170</v>
      </c>
    </row>
    <row r="10733" spans="1:2" x14ac:dyDescent="0.25">
      <c r="A10733" t="s">
        <v>8784</v>
      </c>
      <c r="B10733" t="s">
        <v>4834</v>
      </c>
    </row>
    <row r="10734" spans="1:2" x14ac:dyDescent="0.25">
      <c r="A10734" t="s">
        <v>9598</v>
      </c>
      <c r="B10734" t="s">
        <v>8784</v>
      </c>
    </row>
    <row r="10735" spans="1:2" x14ac:dyDescent="0.25">
      <c r="A10735" t="s">
        <v>10561</v>
      </c>
      <c r="B10735" t="s">
        <v>8784</v>
      </c>
    </row>
    <row r="10736" spans="1:2" x14ac:dyDescent="0.25">
      <c r="A10736" t="s">
        <v>10965</v>
      </c>
      <c r="B10736" t="s">
        <v>8784</v>
      </c>
    </row>
    <row r="10737" spans="1:2" x14ac:dyDescent="0.25">
      <c r="A10737" t="s">
        <v>5276</v>
      </c>
      <c r="B10737" t="s">
        <v>8784</v>
      </c>
    </row>
    <row r="10738" spans="1:2" x14ac:dyDescent="0.25">
      <c r="A10738" t="s">
        <v>9970</v>
      </c>
      <c r="B10738" t="s">
        <v>5276</v>
      </c>
    </row>
    <row r="10739" spans="1:2" x14ac:dyDescent="0.25">
      <c r="A10739" t="s">
        <v>10966</v>
      </c>
      <c r="B10739" t="s">
        <v>5276</v>
      </c>
    </row>
    <row r="10740" spans="1:2" x14ac:dyDescent="0.25">
      <c r="A10740" t="s">
        <v>10967</v>
      </c>
      <c r="B10740" t="s">
        <v>5276</v>
      </c>
    </row>
    <row r="10741" spans="1:2" x14ac:dyDescent="0.25">
      <c r="A10741" t="s">
        <v>4316</v>
      </c>
      <c r="B10741" t="s">
        <v>4834</v>
      </c>
    </row>
    <row r="10742" spans="1:2" x14ac:dyDescent="0.25">
      <c r="A10742" t="s">
        <v>7141</v>
      </c>
      <c r="B10742" t="s">
        <v>4316</v>
      </c>
    </row>
    <row r="10743" spans="1:2" x14ac:dyDescent="0.25">
      <c r="A10743" t="s">
        <v>1983</v>
      </c>
      <c r="B10743" t="s">
        <v>7141</v>
      </c>
    </row>
    <row r="10744" spans="1:2" x14ac:dyDescent="0.25">
      <c r="A10744" t="s">
        <v>7767</v>
      </c>
      <c r="B10744" t="s">
        <v>7141</v>
      </c>
    </row>
    <row r="10745" spans="1:2" x14ac:dyDescent="0.25">
      <c r="A10745" t="s">
        <v>7768</v>
      </c>
      <c r="B10745" t="s">
        <v>7141</v>
      </c>
    </row>
    <row r="10746" spans="1:2" x14ac:dyDescent="0.25">
      <c r="A10746" t="s">
        <v>9162</v>
      </c>
      <c r="B10746" t="s">
        <v>4316</v>
      </c>
    </row>
    <row r="10747" spans="1:2" x14ac:dyDescent="0.25">
      <c r="A10747" t="s">
        <v>7769</v>
      </c>
      <c r="B10747" t="s">
        <v>9162</v>
      </c>
    </row>
    <row r="10748" spans="1:2" x14ac:dyDescent="0.25">
      <c r="A10748" t="s">
        <v>7770</v>
      </c>
      <c r="B10748" t="s">
        <v>9162</v>
      </c>
    </row>
    <row r="10749" spans="1:2" x14ac:dyDescent="0.25">
      <c r="A10749" t="s">
        <v>9163</v>
      </c>
      <c r="B10749" t="s">
        <v>4316</v>
      </c>
    </row>
    <row r="10750" spans="1:2" x14ac:dyDescent="0.25">
      <c r="A10750" t="s">
        <v>4317</v>
      </c>
      <c r="B10750" t="s">
        <v>9163</v>
      </c>
    </row>
    <row r="10751" spans="1:2" x14ac:dyDescent="0.25">
      <c r="A10751" t="s">
        <v>4318</v>
      </c>
      <c r="B10751" t="s">
        <v>9163</v>
      </c>
    </row>
    <row r="10752" spans="1:2" x14ac:dyDescent="0.25">
      <c r="A10752" t="s">
        <v>7142</v>
      </c>
      <c r="B10752" t="s">
        <v>4316</v>
      </c>
    </row>
    <row r="10753" spans="1:2" x14ac:dyDescent="0.25">
      <c r="A10753" t="s">
        <v>7771</v>
      </c>
      <c r="B10753" t="s">
        <v>7142</v>
      </c>
    </row>
    <row r="10754" spans="1:2" x14ac:dyDescent="0.25">
      <c r="A10754" t="s">
        <v>7772</v>
      </c>
      <c r="B10754" t="s">
        <v>7142</v>
      </c>
    </row>
    <row r="10755" spans="1:2" x14ac:dyDescent="0.25">
      <c r="A10755" t="s">
        <v>9164</v>
      </c>
      <c r="B10755" t="s">
        <v>4316</v>
      </c>
    </row>
    <row r="10756" spans="1:2" x14ac:dyDescent="0.25">
      <c r="A10756" t="s">
        <v>7773</v>
      </c>
      <c r="B10756" t="s">
        <v>9164</v>
      </c>
    </row>
    <row r="10757" spans="1:2" x14ac:dyDescent="0.25">
      <c r="A10757" t="s">
        <v>7774</v>
      </c>
      <c r="B10757" t="s">
        <v>9164</v>
      </c>
    </row>
    <row r="10758" spans="1:2" x14ac:dyDescent="0.25">
      <c r="A10758" t="s">
        <v>7775</v>
      </c>
      <c r="B10758" t="s">
        <v>4316</v>
      </c>
    </row>
    <row r="10759" spans="1:2" x14ac:dyDescent="0.25">
      <c r="A10759" t="s">
        <v>7776</v>
      </c>
      <c r="B10759" t="s">
        <v>7775</v>
      </c>
    </row>
    <row r="10760" spans="1:2" x14ac:dyDescent="0.25">
      <c r="A10760" t="s">
        <v>6082</v>
      </c>
      <c r="B10760" t="s">
        <v>4316</v>
      </c>
    </row>
    <row r="10761" spans="1:2" x14ac:dyDescent="0.25">
      <c r="A10761" t="s">
        <v>7777</v>
      </c>
      <c r="B10761" t="s">
        <v>6082</v>
      </c>
    </row>
    <row r="10762" spans="1:2" x14ac:dyDescent="0.25">
      <c r="A10762" t="s">
        <v>6083</v>
      </c>
      <c r="B10762" t="s">
        <v>4316</v>
      </c>
    </row>
    <row r="10763" spans="1:2" x14ac:dyDescent="0.25">
      <c r="A10763" t="s">
        <v>7778</v>
      </c>
      <c r="B10763" t="s">
        <v>6083</v>
      </c>
    </row>
    <row r="10764" spans="1:2" x14ac:dyDescent="0.25">
      <c r="A10764" t="s">
        <v>7779</v>
      </c>
      <c r="B10764" t="s">
        <v>4316</v>
      </c>
    </row>
    <row r="10765" spans="1:2" x14ac:dyDescent="0.25">
      <c r="A10765" t="s">
        <v>5673</v>
      </c>
      <c r="B10765" t="s">
        <v>7779</v>
      </c>
    </row>
    <row r="10766" spans="1:2" x14ac:dyDescent="0.25">
      <c r="A10766" t="s">
        <v>6084</v>
      </c>
      <c r="B10766" t="s">
        <v>7779</v>
      </c>
    </row>
    <row r="10767" spans="1:2" x14ac:dyDescent="0.25">
      <c r="A10767" t="s">
        <v>10550</v>
      </c>
      <c r="B10767" t="s">
        <v>7779</v>
      </c>
    </row>
    <row r="10768" spans="1:2" x14ac:dyDescent="0.25">
      <c r="A10768" t="s">
        <v>8321</v>
      </c>
      <c r="B10768" t="s">
        <v>7779</v>
      </c>
    </row>
    <row r="10769" spans="1:2" x14ac:dyDescent="0.25">
      <c r="A10769" t="s">
        <v>7143</v>
      </c>
      <c r="B10769" t="s">
        <v>4316</v>
      </c>
    </row>
    <row r="10770" spans="1:2" x14ac:dyDescent="0.25">
      <c r="A10770" t="s">
        <v>7780</v>
      </c>
      <c r="B10770" t="s">
        <v>7143</v>
      </c>
    </row>
    <row r="10771" spans="1:2" x14ac:dyDescent="0.25">
      <c r="A10771" t="s">
        <v>7781</v>
      </c>
      <c r="B10771" t="s">
        <v>7143</v>
      </c>
    </row>
    <row r="10772" spans="1:2" x14ac:dyDescent="0.25">
      <c r="A10772" t="s">
        <v>6085</v>
      </c>
      <c r="B10772" t="s">
        <v>4316</v>
      </c>
    </row>
    <row r="10773" spans="1:2" x14ac:dyDescent="0.25">
      <c r="A10773" t="s">
        <v>7782</v>
      </c>
      <c r="B10773" t="s">
        <v>6085</v>
      </c>
    </row>
    <row r="10774" spans="1:2" x14ac:dyDescent="0.25">
      <c r="A10774" t="s">
        <v>7783</v>
      </c>
      <c r="B10774" t="s">
        <v>6085</v>
      </c>
    </row>
    <row r="10775" spans="1:2" x14ac:dyDescent="0.25">
      <c r="A10775" t="s">
        <v>8768</v>
      </c>
      <c r="B10775" t="s">
        <v>4316</v>
      </c>
    </row>
    <row r="10776" spans="1:2" x14ac:dyDescent="0.25">
      <c r="A10776" t="s">
        <v>7784</v>
      </c>
      <c r="B10776" t="s">
        <v>8768</v>
      </c>
    </row>
    <row r="10777" spans="1:2" x14ac:dyDescent="0.25">
      <c r="A10777" t="s">
        <v>7785</v>
      </c>
      <c r="B10777" t="s">
        <v>4316</v>
      </c>
    </row>
    <row r="10778" spans="1:2" x14ac:dyDescent="0.25">
      <c r="A10778" t="s">
        <v>7786</v>
      </c>
      <c r="B10778" t="s">
        <v>7785</v>
      </c>
    </row>
    <row r="10779" spans="1:2" x14ac:dyDescent="0.25">
      <c r="A10779" t="s">
        <v>8322</v>
      </c>
      <c r="B10779" t="s">
        <v>4316</v>
      </c>
    </row>
    <row r="10780" spans="1:2" x14ac:dyDescent="0.25">
      <c r="A10780" t="s">
        <v>7787</v>
      </c>
      <c r="B10780" t="s">
        <v>8322</v>
      </c>
    </row>
    <row r="10781" spans="1:2" x14ac:dyDescent="0.25">
      <c r="A10781" t="s">
        <v>7879</v>
      </c>
      <c r="B10781" t="s">
        <v>4316</v>
      </c>
    </row>
    <row r="10782" spans="1:2" x14ac:dyDescent="0.25">
      <c r="A10782" t="s">
        <v>3841</v>
      </c>
      <c r="B10782" t="s">
        <v>4834</v>
      </c>
    </row>
    <row r="10783" spans="1:2" x14ac:dyDescent="0.25">
      <c r="A10783" t="s">
        <v>13738</v>
      </c>
      <c r="B10783" t="s">
        <v>4834</v>
      </c>
    </row>
    <row r="10784" spans="1:2" x14ac:dyDescent="0.25">
      <c r="A10784" t="s">
        <v>4838</v>
      </c>
      <c r="B10784" t="s">
        <v>13738</v>
      </c>
    </row>
    <row r="10785" spans="1:2" x14ac:dyDescent="0.25">
      <c r="A10785" t="s">
        <v>10962</v>
      </c>
      <c r="B10785" t="s">
        <v>4838</v>
      </c>
    </row>
    <row r="10786" spans="1:2" x14ac:dyDescent="0.25">
      <c r="A10786" t="s">
        <v>11765</v>
      </c>
      <c r="B10786" t="s">
        <v>13738</v>
      </c>
    </row>
    <row r="10787" spans="1:2" x14ac:dyDescent="0.25">
      <c r="A10787" t="s">
        <v>5277</v>
      </c>
      <c r="B10787" t="s">
        <v>11765</v>
      </c>
    </row>
    <row r="10788" spans="1:2" x14ac:dyDescent="0.25">
      <c r="A10788" t="s">
        <v>13739</v>
      </c>
      <c r="B10788" t="s">
        <v>4834</v>
      </c>
    </row>
    <row r="10789" spans="1:2" x14ac:dyDescent="0.25">
      <c r="A10789" t="s">
        <v>15006</v>
      </c>
      <c r="B10789" t="s">
        <v>4834</v>
      </c>
    </row>
    <row r="10790" spans="1:2" x14ac:dyDescent="0.25">
      <c r="A10790" t="s">
        <v>15007</v>
      </c>
      <c r="B10790" t="s">
        <v>4834</v>
      </c>
    </row>
    <row r="10791" spans="1:2" x14ac:dyDescent="0.25">
      <c r="A10791" t="s">
        <v>10662</v>
      </c>
      <c r="B10791" t="s">
        <v>4834</v>
      </c>
    </row>
    <row r="10792" spans="1:2" x14ac:dyDescent="0.25">
      <c r="A10792" t="s">
        <v>2506</v>
      </c>
      <c r="B10792" t="s">
        <v>1156</v>
      </c>
    </row>
    <row r="10793" spans="1:2" x14ac:dyDescent="0.25">
      <c r="A10793" t="s">
        <v>12289</v>
      </c>
      <c r="B10793" t="s">
        <v>2506</v>
      </c>
    </row>
    <row r="10794" spans="1:2" x14ac:dyDescent="0.25">
      <c r="A10794" t="s">
        <v>9971</v>
      </c>
      <c r="B10794" t="s">
        <v>12289</v>
      </c>
    </row>
    <row r="10795" spans="1:2" x14ac:dyDescent="0.25">
      <c r="A10795" t="s">
        <v>5691</v>
      </c>
      <c r="B10795" t="s">
        <v>12289</v>
      </c>
    </row>
    <row r="10796" spans="1:2" x14ac:dyDescent="0.25">
      <c r="A10796" t="s">
        <v>120</v>
      </c>
      <c r="B10796" t="s">
        <v>1156</v>
      </c>
    </row>
    <row r="10797" spans="1:2" x14ac:dyDescent="0.25">
      <c r="A10797" t="s">
        <v>12291</v>
      </c>
      <c r="B10797" t="s">
        <v>120</v>
      </c>
    </row>
    <row r="10798" spans="1:2" x14ac:dyDescent="0.25">
      <c r="A10798" t="s">
        <v>1497</v>
      </c>
      <c r="B10798" t="s">
        <v>12291</v>
      </c>
    </row>
    <row r="10799" spans="1:2" x14ac:dyDescent="0.25">
      <c r="A10799" t="s">
        <v>9195</v>
      </c>
      <c r="B10799" t="s">
        <v>120</v>
      </c>
    </row>
    <row r="10800" spans="1:2" x14ac:dyDescent="0.25">
      <c r="A10800" t="s">
        <v>3391</v>
      </c>
      <c r="B10800" t="s">
        <v>9195</v>
      </c>
    </row>
    <row r="10801" spans="1:2" x14ac:dyDescent="0.25">
      <c r="A10801" t="s">
        <v>4361</v>
      </c>
      <c r="B10801" t="s">
        <v>9195</v>
      </c>
    </row>
    <row r="10802" spans="1:2" x14ac:dyDescent="0.25">
      <c r="A10802" t="s">
        <v>9214</v>
      </c>
      <c r="B10802" t="s">
        <v>120</v>
      </c>
    </row>
    <row r="10803" spans="1:2" x14ac:dyDescent="0.25">
      <c r="A10803" t="s">
        <v>9216</v>
      </c>
      <c r="B10803" t="s">
        <v>120</v>
      </c>
    </row>
    <row r="10804" spans="1:2" x14ac:dyDescent="0.25">
      <c r="A10804" t="s">
        <v>457</v>
      </c>
      <c r="B10804" t="s">
        <v>1156</v>
      </c>
    </row>
    <row r="10805" spans="1:2" x14ac:dyDescent="0.25">
      <c r="A10805" t="s">
        <v>4374</v>
      </c>
      <c r="B10805" t="s">
        <v>457</v>
      </c>
    </row>
    <row r="10806" spans="1:2" x14ac:dyDescent="0.25">
      <c r="A10806" t="s">
        <v>2104</v>
      </c>
      <c r="B10806" t="s">
        <v>4374</v>
      </c>
    </row>
    <row r="10807" spans="1:2" x14ac:dyDescent="0.25">
      <c r="A10807" t="s">
        <v>1357</v>
      </c>
      <c r="B10807" t="s">
        <v>457</v>
      </c>
    </row>
    <row r="10808" spans="1:2" x14ac:dyDescent="0.25">
      <c r="A10808" t="s">
        <v>1358</v>
      </c>
      <c r="B10808" t="s">
        <v>1357</v>
      </c>
    </row>
    <row r="10809" spans="1:2" x14ac:dyDescent="0.25">
      <c r="A10809" t="s">
        <v>16286</v>
      </c>
      <c r="B10809" t="s">
        <v>1357</v>
      </c>
    </row>
    <row r="10810" spans="1:2" x14ac:dyDescent="0.25">
      <c r="A10810" t="s">
        <v>1359</v>
      </c>
      <c r="B10810" t="s">
        <v>457</v>
      </c>
    </row>
    <row r="10811" spans="1:2" x14ac:dyDescent="0.25">
      <c r="A10811" t="s">
        <v>5707</v>
      </c>
      <c r="B10811" t="s">
        <v>1359</v>
      </c>
    </row>
    <row r="10812" spans="1:2" x14ac:dyDescent="0.25">
      <c r="A10812" t="s">
        <v>9197</v>
      </c>
      <c r="B10812" t="s">
        <v>1359</v>
      </c>
    </row>
    <row r="10813" spans="1:2" x14ac:dyDescent="0.25">
      <c r="A10813" t="s">
        <v>5708</v>
      </c>
      <c r="B10813" t="s">
        <v>1359</v>
      </c>
    </row>
    <row r="10814" spans="1:2" x14ac:dyDescent="0.25">
      <c r="A10814" t="s">
        <v>4864</v>
      </c>
      <c r="B10814" t="s">
        <v>457</v>
      </c>
    </row>
    <row r="10815" spans="1:2" x14ac:dyDescent="0.25">
      <c r="A10815" t="s">
        <v>1500</v>
      </c>
      <c r="B10815" t="s">
        <v>4864</v>
      </c>
    </row>
    <row r="10816" spans="1:2" x14ac:dyDescent="0.25">
      <c r="A10816" t="s">
        <v>5306</v>
      </c>
      <c r="B10816" t="s">
        <v>457</v>
      </c>
    </row>
    <row r="10817" spans="1:2" x14ac:dyDescent="0.25">
      <c r="A10817" t="s">
        <v>10564</v>
      </c>
      <c r="B10817" t="s">
        <v>5306</v>
      </c>
    </row>
    <row r="10818" spans="1:2" x14ac:dyDescent="0.25">
      <c r="A10818" t="s">
        <v>12292</v>
      </c>
      <c r="B10818" t="s">
        <v>5306</v>
      </c>
    </row>
    <row r="10819" spans="1:2" x14ac:dyDescent="0.25">
      <c r="A10819" t="s">
        <v>122</v>
      </c>
      <c r="B10819" t="s">
        <v>457</v>
      </c>
    </row>
    <row r="10820" spans="1:2" x14ac:dyDescent="0.25">
      <c r="A10820" t="s">
        <v>2177</v>
      </c>
      <c r="B10820" t="s">
        <v>122</v>
      </c>
    </row>
    <row r="10821" spans="1:2" x14ac:dyDescent="0.25">
      <c r="A10821" t="s">
        <v>6113</v>
      </c>
      <c r="B10821" t="s">
        <v>457</v>
      </c>
    </row>
    <row r="10822" spans="1:2" x14ac:dyDescent="0.25">
      <c r="A10822" t="s">
        <v>10969</v>
      </c>
      <c r="B10822" t="s">
        <v>6113</v>
      </c>
    </row>
    <row r="10823" spans="1:2" x14ac:dyDescent="0.25">
      <c r="A10823" t="s">
        <v>8347</v>
      </c>
      <c r="B10823" t="s">
        <v>10969</v>
      </c>
    </row>
    <row r="10824" spans="1:2" x14ac:dyDescent="0.25">
      <c r="A10824" t="s">
        <v>4866</v>
      </c>
      <c r="B10824" t="s">
        <v>457</v>
      </c>
    </row>
    <row r="10825" spans="1:2" x14ac:dyDescent="0.25">
      <c r="A10825" t="s">
        <v>1367</v>
      </c>
      <c r="B10825" t="s">
        <v>4866</v>
      </c>
    </row>
    <row r="10826" spans="1:2" x14ac:dyDescent="0.25">
      <c r="A10826" t="s">
        <v>7882</v>
      </c>
      <c r="B10826" t="s">
        <v>457</v>
      </c>
    </row>
    <row r="10827" spans="1:2" x14ac:dyDescent="0.25">
      <c r="A10827" t="s">
        <v>9624</v>
      </c>
      <c r="B10827" t="s">
        <v>1156</v>
      </c>
    </row>
    <row r="10828" spans="1:2" x14ac:dyDescent="0.25">
      <c r="A10828" t="s">
        <v>5743</v>
      </c>
      <c r="B10828" t="s">
        <v>1156</v>
      </c>
    </row>
    <row r="10829" spans="1:2" x14ac:dyDescent="0.25">
      <c r="A10829" t="s">
        <v>1978</v>
      </c>
      <c r="B10829" t="s">
        <v>5743</v>
      </c>
    </row>
    <row r="10830" spans="1:2" x14ac:dyDescent="0.25">
      <c r="A10830" t="s">
        <v>1979</v>
      </c>
      <c r="B10830" t="s">
        <v>5743</v>
      </c>
    </row>
    <row r="10831" spans="1:2" x14ac:dyDescent="0.25">
      <c r="A10831" t="s">
        <v>1980</v>
      </c>
      <c r="B10831" t="s">
        <v>5743</v>
      </c>
    </row>
    <row r="10832" spans="1:2" x14ac:dyDescent="0.25">
      <c r="A10832" t="s">
        <v>1157</v>
      </c>
      <c r="B10832" t="s">
        <v>5743</v>
      </c>
    </row>
    <row r="10833" spans="1:2" x14ac:dyDescent="0.25">
      <c r="A10833" t="s">
        <v>4899</v>
      </c>
      <c r="B10833" t="s">
        <v>5743</v>
      </c>
    </row>
    <row r="10834" spans="1:2" x14ac:dyDescent="0.25">
      <c r="A10834" t="s">
        <v>7883</v>
      </c>
      <c r="B10834" t="s">
        <v>5743</v>
      </c>
    </row>
    <row r="10835" spans="1:2" x14ac:dyDescent="0.25">
      <c r="A10835" t="s">
        <v>7884</v>
      </c>
      <c r="B10835" t="s">
        <v>5743</v>
      </c>
    </row>
    <row r="10836" spans="1:2" x14ac:dyDescent="0.25">
      <c r="A10836" t="s">
        <v>9660</v>
      </c>
      <c r="B10836" t="s">
        <v>1156</v>
      </c>
    </row>
    <row r="10837" spans="1:2" x14ac:dyDescent="0.25">
      <c r="A10837" t="s">
        <v>9661</v>
      </c>
      <c r="B10837" t="s">
        <v>1156</v>
      </c>
    </row>
    <row r="10838" spans="1:2" x14ac:dyDescent="0.25">
      <c r="A10838" t="s">
        <v>9258</v>
      </c>
      <c r="B10838" t="s">
        <v>1156</v>
      </c>
    </row>
    <row r="10839" spans="1:2" x14ac:dyDescent="0.25">
      <c r="A10839" t="s">
        <v>1639</v>
      </c>
      <c r="B10839" t="s">
        <v>9258</v>
      </c>
    </row>
    <row r="10840" spans="1:2" x14ac:dyDescent="0.25">
      <c r="A10840" t="s">
        <v>6210</v>
      </c>
      <c r="B10840" t="s">
        <v>1639</v>
      </c>
    </row>
    <row r="10841" spans="1:2" x14ac:dyDescent="0.25">
      <c r="A10841" t="s">
        <v>2633</v>
      </c>
      <c r="B10841" t="s">
        <v>1639</v>
      </c>
    </row>
    <row r="10842" spans="1:2" x14ac:dyDescent="0.25">
      <c r="A10842" t="s">
        <v>344</v>
      </c>
      <c r="B10842" t="s">
        <v>9258</v>
      </c>
    </row>
    <row r="10843" spans="1:2" x14ac:dyDescent="0.25">
      <c r="A10843" t="s">
        <v>13820</v>
      </c>
      <c r="B10843" t="s">
        <v>344</v>
      </c>
    </row>
    <row r="10844" spans="1:2" x14ac:dyDescent="0.25">
      <c r="A10844" t="s">
        <v>4012</v>
      </c>
      <c r="B10844" t="s">
        <v>9258</v>
      </c>
    </row>
    <row r="10845" spans="1:2" x14ac:dyDescent="0.25">
      <c r="A10845" t="s">
        <v>4522</v>
      </c>
      <c r="B10845" t="s">
        <v>9258</v>
      </c>
    </row>
    <row r="10846" spans="1:2" x14ac:dyDescent="0.25">
      <c r="A10846" t="s">
        <v>5382</v>
      </c>
      <c r="B10846" t="s">
        <v>9258</v>
      </c>
    </row>
    <row r="10847" spans="1:2" x14ac:dyDescent="0.25">
      <c r="A10847" t="s">
        <v>1641</v>
      </c>
      <c r="B10847" t="s">
        <v>5382</v>
      </c>
    </row>
    <row r="10848" spans="1:2" x14ac:dyDescent="0.25">
      <c r="A10848" t="s">
        <v>1640</v>
      </c>
      <c r="B10848" t="s">
        <v>9258</v>
      </c>
    </row>
    <row r="10849" spans="1:2" x14ac:dyDescent="0.25">
      <c r="A10849" t="s">
        <v>4480</v>
      </c>
      <c r="B10849" t="s">
        <v>1640</v>
      </c>
    </row>
    <row r="10850" spans="1:2" x14ac:dyDescent="0.25">
      <c r="A10850" t="s">
        <v>2826</v>
      </c>
      <c r="B10850" t="s">
        <v>4480</v>
      </c>
    </row>
    <row r="10851" spans="1:2" x14ac:dyDescent="0.25">
      <c r="A10851" t="s">
        <v>738</v>
      </c>
      <c r="B10851" t="s">
        <v>4480</v>
      </c>
    </row>
    <row r="10852" spans="1:2" x14ac:dyDescent="0.25">
      <c r="A10852" t="s">
        <v>739</v>
      </c>
      <c r="B10852" t="s">
        <v>4480</v>
      </c>
    </row>
    <row r="10853" spans="1:2" x14ac:dyDescent="0.25">
      <c r="A10853" t="s">
        <v>2209</v>
      </c>
      <c r="B10853" t="s">
        <v>4480</v>
      </c>
    </row>
    <row r="10854" spans="1:2" x14ac:dyDescent="0.25">
      <c r="A10854" t="s">
        <v>2597</v>
      </c>
      <c r="B10854" t="s">
        <v>1640</v>
      </c>
    </row>
    <row r="10855" spans="1:2" x14ac:dyDescent="0.25">
      <c r="A10855" t="s">
        <v>736</v>
      </c>
      <c r="B10855" t="s">
        <v>2597</v>
      </c>
    </row>
    <row r="10856" spans="1:2" x14ac:dyDescent="0.25">
      <c r="A10856" t="s">
        <v>4928</v>
      </c>
      <c r="B10856" t="s">
        <v>1640</v>
      </c>
    </row>
    <row r="10857" spans="1:2" x14ac:dyDescent="0.25">
      <c r="A10857" t="s">
        <v>8856</v>
      </c>
      <c r="B10857" t="s">
        <v>1156</v>
      </c>
    </row>
    <row r="10858" spans="1:2" x14ac:dyDescent="0.25">
      <c r="A10858" t="s">
        <v>15008</v>
      </c>
      <c r="B10858" t="s">
        <v>8856</v>
      </c>
    </row>
    <row r="10859" spans="1:2" x14ac:dyDescent="0.25">
      <c r="A10859" t="s">
        <v>15009</v>
      </c>
      <c r="B10859" t="s">
        <v>8856</v>
      </c>
    </row>
    <row r="10860" spans="1:2" x14ac:dyDescent="0.25">
      <c r="A10860" t="s">
        <v>15010</v>
      </c>
      <c r="B10860" t="s">
        <v>8856</v>
      </c>
    </row>
    <row r="10861" spans="1:2" x14ac:dyDescent="0.25">
      <c r="A10861" t="s">
        <v>15011</v>
      </c>
      <c r="B10861" t="s">
        <v>8856</v>
      </c>
    </row>
    <row r="10862" spans="1:2" x14ac:dyDescent="0.25">
      <c r="A10862" t="s">
        <v>15012</v>
      </c>
      <c r="B10862" t="s">
        <v>8856</v>
      </c>
    </row>
    <row r="10863" spans="1:2" x14ac:dyDescent="0.25">
      <c r="A10863" t="s">
        <v>15013</v>
      </c>
      <c r="B10863" t="s">
        <v>8856</v>
      </c>
    </row>
    <row r="10864" spans="1:2" x14ac:dyDescent="0.25">
      <c r="A10864" t="s">
        <v>11954</v>
      </c>
      <c r="B10864" t="s">
        <v>1156</v>
      </c>
    </row>
    <row r="10865" spans="1:2" x14ac:dyDescent="0.25">
      <c r="A10865" t="s">
        <v>12864</v>
      </c>
      <c r="B10865" t="s">
        <v>11954</v>
      </c>
    </row>
    <row r="10866" spans="1:2" x14ac:dyDescent="0.25">
      <c r="A10866" t="s">
        <v>10554</v>
      </c>
      <c r="B10866" t="s">
        <v>12864</v>
      </c>
    </row>
    <row r="10867" spans="1:2" x14ac:dyDescent="0.25">
      <c r="A10867" t="s">
        <v>7149</v>
      </c>
      <c r="B10867" t="s">
        <v>10554</v>
      </c>
    </row>
    <row r="10868" spans="1:2" x14ac:dyDescent="0.25">
      <c r="A10868" t="s">
        <v>3346</v>
      </c>
      <c r="B10868" t="s">
        <v>10554</v>
      </c>
    </row>
    <row r="10869" spans="1:2" x14ac:dyDescent="0.25">
      <c r="A10869" t="s">
        <v>11939</v>
      </c>
      <c r="B10869" t="s">
        <v>10554</v>
      </c>
    </row>
    <row r="10870" spans="1:2" x14ac:dyDescent="0.25">
      <c r="A10870" t="s">
        <v>1492</v>
      </c>
      <c r="B10870" t="s">
        <v>10554</v>
      </c>
    </row>
    <row r="10871" spans="1:2" x14ac:dyDescent="0.25">
      <c r="A10871" t="s">
        <v>2166</v>
      </c>
      <c r="B10871" t="s">
        <v>10554</v>
      </c>
    </row>
    <row r="10872" spans="1:2" x14ac:dyDescent="0.25">
      <c r="A10872" t="s">
        <v>4964</v>
      </c>
      <c r="B10872" t="s">
        <v>10554</v>
      </c>
    </row>
    <row r="10873" spans="1:2" x14ac:dyDescent="0.25">
      <c r="A10873" t="s">
        <v>7825</v>
      </c>
      <c r="B10873" t="s">
        <v>12864</v>
      </c>
    </row>
    <row r="10874" spans="1:2" x14ac:dyDescent="0.25">
      <c r="A10874" t="s">
        <v>1291</v>
      </c>
      <c r="B10874" t="s">
        <v>7825</v>
      </c>
    </row>
    <row r="10875" spans="1:2" x14ac:dyDescent="0.25">
      <c r="A10875" t="s">
        <v>6109</v>
      </c>
      <c r="B10875" t="s">
        <v>7825</v>
      </c>
    </row>
    <row r="10876" spans="1:2" x14ac:dyDescent="0.25">
      <c r="A10876" t="s">
        <v>2061</v>
      </c>
      <c r="B10876" t="s">
        <v>7825</v>
      </c>
    </row>
    <row r="10877" spans="1:2" x14ac:dyDescent="0.25">
      <c r="A10877" t="s">
        <v>3375</v>
      </c>
      <c r="B10877" t="s">
        <v>7825</v>
      </c>
    </row>
    <row r="10878" spans="1:2" x14ac:dyDescent="0.25">
      <c r="A10878" t="s">
        <v>7826</v>
      </c>
      <c r="B10878" t="s">
        <v>7825</v>
      </c>
    </row>
    <row r="10879" spans="1:2" x14ac:dyDescent="0.25">
      <c r="A10879" t="s">
        <v>6110</v>
      </c>
      <c r="B10879" t="s">
        <v>7825</v>
      </c>
    </row>
    <row r="10880" spans="1:2" x14ac:dyDescent="0.25">
      <c r="A10880" t="s">
        <v>9974</v>
      </c>
      <c r="B10880" t="s">
        <v>7825</v>
      </c>
    </row>
    <row r="10881" spans="1:2" x14ac:dyDescent="0.25">
      <c r="A10881" t="s">
        <v>3376</v>
      </c>
      <c r="B10881" t="s">
        <v>7825</v>
      </c>
    </row>
    <row r="10882" spans="1:2" x14ac:dyDescent="0.25">
      <c r="A10882" t="s">
        <v>5286</v>
      </c>
      <c r="B10882" t="s">
        <v>7825</v>
      </c>
    </row>
    <row r="10883" spans="1:2" x14ac:dyDescent="0.25">
      <c r="A10883" t="s">
        <v>8786</v>
      </c>
      <c r="B10883" t="s">
        <v>7825</v>
      </c>
    </row>
    <row r="10884" spans="1:2" x14ac:dyDescent="0.25">
      <c r="A10884" t="s">
        <v>5702</v>
      </c>
      <c r="B10884" t="s">
        <v>7825</v>
      </c>
    </row>
    <row r="10885" spans="1:2" x14ac:dyDescent="0.25">
      <c r="A10885" t="s">
        <v>2062</v>
      </c>
      <c r="B10885" t="s">
        <v>7825</v>
      </c>
    </row>
    <row r="10886" spans="1:2" x14ac:dyDescent="0.25">
      <c r="A10886" t="s">
        <v>2514</v>
      </c>
      <c r="B10886" t="s">
        <v>7825</v>
      </c>
    </row>
    <row r="10887" spans="1:2" x14ac:dyDescent="0.25">
      <c r="A10887" t="s">
        <v>3377</v>
      </c>
      <c r="B10887" t="s">
        <v>7825</v>
      </c>
    </row>
    <row r="10888" spans="1:2" x14ac:dyDescent="0.25">
      <c r="A10888" t="s">
        <v>2515</v>
      </c>
      <c r="B10888" t="s">
        <v>7825</v>
      </c>
    </row>
    <row r="10889" spans="1:2" x14ac:dyDescent="0.25">
      <c r="A10889" t="s">
        <v>4849</v>
      </c>
      <c r="B10889" t="s">
        <v>7825</v>
      </c>
    </row>
    <row r="10890" spans="1:2" x14ac:dyDescent="0.25">
      <c r="A10890" t="s">
        <v>4347</v>
      </c>
      <c r="B10890" t="s">
        <v>7825</v>
      </c>
    </row>
    <row r="10891" spans="1:2" x14ac:dyDescent="0.25">
      <c r="A10891" t="s">
        <v>4348</v>
      </c>
      <c r="B10891" t="s">
        <v>7825</v>
      </c>
    </row>
    <row r="10892" spans="1:2" x14ac:dyDescent="0.25">
      <c r="A10892" t="s">
        <v>2516</v>
      </c>
      <c r="B10892" t="s">
        <v>7825</v>
      </c>
    </row>
    <row r="10893" spans="1:2" x14ac:dyDescent="0.25">
      <c r="A10893" t="s">
        <v>4349</v>
      </c>
      <c r="B10893" t="s">
        <v>7825</v>
      </c>
    </row>
    <row r="10894" spans="1:2" x14ac:dyDescent="0.25">
      <c r="A10894" t="s">
        <v>3885</v>
      </c>
      <c r="B10894" t="s">
        <v>7825</v>
      </c>
    </row>
    <row r="10895" spans="1:2" x14ac:dyDescent="0.25">
      <c r="A10895" t="s">
        <v>9194</v>
      </c>
      <c r="B10895" t="s">
        <v>12864</v>
      </c>
    </row>
    <row r="10896" spans="1:2" x14ac:dyDescent="0.25">
      <c r="A10896" t="s">
        <v>2074</v>
      </c>
      <c r="B10896" t="s">
        <v>9194</v>
      </c>
    </row>
    <row r="10897" spans="1:2" x14ac:dyDescent="0.25">
      <c r="A10897" t="s">
        <v>1306</v>
      </c>
      <c r="B10897" t="s">
        <v>9194</v>
      </c>
    </row>
    <row r="10898" spans="1:2" x14ac:dyDescent="0.25">
      <c r="A10898" t="s">
        <v>5297</v>
      </c>
      <c r="B10898" t="s">
        <v>9194</v>
      </c>
    </row>
    <row r="10899" spans="1:2" x14ac:dyDescent="0.25">
      <c r="A10899" t="s">
        <v>2075</v>
      </c>
      <c r="B10899" t="s">
        <v>9194</v>
      </c>
    </row>
    <row r="10900" spans="1:2" x14ac:dyDescent="0.25">
      <c r="A10900" t="s">
        <v>2526</v>
      </c>
      <c r="B10900" t="s">
        <v>9194</v>
      </c>
    </row>
    <row r="10901" spans="1:2" x14ac:dyDescent="0.25">
      <c r="A10901" t="s">
        <v>4853</v>
      </c>
      <c r="B10901" t="s">
        <v>9194</v>
      </c>
    </row>
    <row r="10902" spans="1:2" x14ac:dyDescent="0.25">
      <c r="A10902" t="s">
        <v>3896</v>
      </c>
      <c r="B10902" t="s">
        <v>9194</v>
      </c>
    </row>
    <row r="10903" spans="1:2" x14ac:dyDescent="0.25">
      <c r="A10903" t="s">
        <v>3897</v>
      </c>
      <c r="B10903" t="s">
        <v>9194</v>
      </c>
    </row>
    <row r="10904" spans="1:2" x14ac:dyDescent="0.25">
      <c r="A10904" t="s">
        <v>1307</v>
      </c>
      <c r="B10904" t="s">
        <v>9194</v>
      </c>
    </row>
    <row r="10905" spans="1:2" x14ac:dyDescent="0.25">
      <c r="A10905" t="s">
        <v>3386</v>
      </c>
      <c r="B10905" t="s">
        <v>9194</v>
      </c>
    </row>
    <row r="10906" spans="1:2" x14ac:dyDescent="0.25">
      <c r="A10906" t="s">
        <v>4356</v>
      </c>
      <c r="B10906" t="s">
        <v>9194</v>
      </c>
    </row>
    <row r="10907" spans="1:2" x14ac:dyDescent="0.25">
      <c r="A10907" t="s">
        <v>1308</v>
      </c>
      <c r="B10907" t="s">
        <v>9194</v>
      </c>
    </row>
    <row r="10908" spans="1:2" x14ac:dyDescent="0.25">
      <c r="A10908" t="s">
        <v>1309</v>
      </c>
      <c r="B10908" t="s">
        <v>9194</v>
      </c>
    </row>
    <row r="10909" spans="1:2" x14ac:dyDescent="0.25">
      <c r="A10909" t="s">
        <v>1310</v>
      </c>
      <c r="B10909" t="s">
        <v>9194</v>
      </c>
    </row>
    <row r="10910" spans="1:2" x14ac:dyDescent="0.25">
      <c r="A10910" t="s">
        <v>2954</v>
      </c>
      <c r="B10910" t="s">
        <v>9194</v>
      </c>
    </row>
    <row r="10911" spans="1:2" x14ac:dyDescent="0.25">
      <c r="A10911" t="s">
        <v>2527</v>
      </c>
      <c r="B10911" t="s">
        <v>9194</v>
      </c>
    </row>
    <row r="10912" spans="1:2" x14ac:dyDescent="0.25">
      <c r="A10912" t="s">
        <v>1311</v>
      </c>
      <c r="B10912" t="s">
        <v>9194</v>
      </c>
    </row>
    <row r="10913" spans="1:2" x14ac:dyDescent="0.25">
      <c r="A10913" t="s">
        <v>6604</v>
      </c>
      <c r="B10913" t="s">
        <v>9194</v>
      </c>
    </row>
    <row r="10914" spans="1:2" x14ac:dyDescent="0.25">
      <c r="A10914" t="s">
        <v>9215</v>
      </c>
      <c r="B10914" t="s">
        <v>9194</v>
      </c>
    </row>
    <row r="10915" spans="1:2" x14ac:dyDescent="0.25">
      <c r="A10915" t="s">
        <v>2583</v>
      </c>
      <c r="B10915" t="s">
        <v>9194</v>
      </c>
    </row>
    <row r="10916" spans="1:2" x14ac:dyDescent="0.25">
      <c r="A10916" t="s">
        <v>6633</v>
      </c>
      <c r="B10916" t="s">
        <v>9194</v>
      </c>
    </row>
    <row r="10917" spans="1:2" x14ac:dyDescent="0.25">
      <c r="A10917" t="s">
        <v>3025</v>
      </c>
      <c r="B10917" t="s">
        <v>9194</v>
      </c>
    </row>
    <row r="10918" spans="1:2" x14ac:dyDescent="0.25">
      <c r="A10918" t="s">
        <v>3026</v>
      </c>
      <c r="B10918" t="s">
        <v>9194</v>
      </c>
    </row>
    <row r="10919" spans="1:2" x14ac:dyDescent="0.25">
      <c r="A10919" t="s">
        <v>2167</v>
      </c>
      <c r="B10919" t="s">
        <v>9194</v>
      </c>
    </row>
    <row r="10920" spans="1:2" x14ac:dyDescent="0.25">
      <c r="A10920" t="s">
        <v>3027</v>
      </c>
      <c r="B10920" t="s">
        <v>9194</v>
      </c>
    </row>
    <row r="10921" spans="1:2" x14ac:dyDescent="0.25">
      <c r="A10921" t="s">
        <v>1495</v>
      </c>
      <c r="B10921" t="s">
        <v>9194</v>
      </c>
    </row>
    <row r="10922" spans="1:2" x14ac:dyDescent="0.25">
      <c r="A10922" t="s">
        <v>1496</v>
      </c>
      <c r="B10922" t="s">
        <v>9194</v>
      </c>
    </row>
    <row r="10923" spans="1:2" x14ac:dyDescent="0.25">
      <c r="A10923" t="s">
        <v>2168</v>
      </c>
      <c r="B10923" t="s">
        <v>9194</v>
      </c>
    </row>
    <row r="10924" spans="1:2" x14ac:dyDescent="0.25">
      <c r="A10924" t="s">
        <v>9196</v>
      </c>
      <c r="B10924" t="s">
        <v>12864</v>
      </c>
    </row>
    <row r="10925" spans="1:2" x14ac:dyDescent="0.25">
      <c r="A10925" t="s">
        <v>1317</v>
      </c>
      <c r="B10925" t="s">
        <v>9196</v>
      </c>
    </row>
    <row r="10926" spans="1:2" x14ac:dyDescent="0.25">
      <c r="A10926" t="s">
        <v>1318</v>
      </c>
      <c r="B10926" t="s">
        <v>9196</v>
      </c>
    </row>
    <row r="10927" spans="1:2" x14ac:dyDescent="0.25">
      <c r="A10927" t="s">
        <v>1319</v>
      </c>
      <c r="B10927" t="s">
        <v>9196</v>
      </c>
    </row>
    <row r="10928" spans="1:2" x14ac:dyDescent="0.25">
      <c r="A10928" t="s">
        <v>1320</v>
      </c>
      <c r="B10928" t="s">
        <v>9196</v>
      </c>
    </row>
    <row r="10929" spans="1:2" x14ac:dyDescent="0.25">
      <c r="A10929" t="s">
        <v>2960</v>
      </c>
      <c r="B10929" t="s">
        <v>9196</v>
      </c>
    </row>
    <row r="10930" spans="1:2" x14ac:dyDescent="0.25">
      <c r="A10930" t="s">
        <v>1321</v>
      </c>
      <c r="B10930" t="s">
        <v>9196</v>
      </c>
    </row>
    <row r="10931" spans="1:2" x14ac:dyDescent="0.25">
      <c r="A10931" t="s">
        <v>1322</v>
      </c>
      <c r="B10931" t="s">
        <v>9196</v>
      </c>
    </row>
    <row r="10932" spans="1:2" x14ac:dyDescent="0.25">
      <c r="A10932" t="s">
        <v>2530</v>
      </c>
      <c r="B10932" t="s">
        <v>9196</v>
      </c>
    </row>
    <row r="10933" spans="1:2" x14ac:dyDescent="0.25">
      <c r="A10933" t="s">
        <v>4362</v>
      </c>
      <c r="B10933" t="s">
        <v>9196</v>
      </c>
    </row>
    <row r="10934" spans="1:2" x14ac:dyDescent="0.25">
      <c r="A10934" t="s">
        <v>2085</v>
      </c>
      <c r="B10934" t="s">
        <v>9196</v>
      </c>
    </row>
    <row r="10935" spans="1:2" x14ac:dyDescent="0.25">
      <c r="A10935" t="s">
        <v>2531</v>
      </c>
      <c r="B10935" t="s">
        <v>9196</v>
      </c>
    </row>
    <row r="10936" spans="1:2" x14ac:dyDescent="0.25">
      <c r="A10936" t="s">
        <v>2086</v>
      </c>
      <c r="B10936" t="s">
        <v>9196</v>
      </c>
    </row>
    <row r="10937" spans="1:2" x14ac:dyDescent="0.25">
      <c r="A10937" t="s">
        <v>1323</v>
      </c>
      <c r="B10937" t="s">
        <v>9196</v>
      </c>
    </row>
    <row r="10938" spans="1:2" x14ac:dyDescent="0.25">
      <c r="A10938" t="s">
        <v>2961</v>
      </c>
      <c r="B10938" t="s">
        <v>9196</v>
      </c>
    </row>
    <row r="10939" spans="1:2" x14ac:dyDescent="0.25">
      <c r="A10939" t="s">
        <v>2087</v>
      </c>
      <c r="B10939" t="s">
        <v>9196</v>
      </c>
    </row>
    <row r="10940" spans="1:2" x14ac:dyDescent="0.25">
      <c r="A10940" t="s">
        <v>2532</v>
      </c>
      <c r="B10940" t="s">
        <v>9196</v>
      </c>
    </row>
    <row r="10941" spans="1:2" x14ac:dyDescent="0.25">
      <c r="A10941" t="s">
        <v>4363</v>
      </c>
      <c r="B10941" t="s">
        <v>9196</v>
      </c>
    </row>
    <row r="10942" spans="1:2" x14ac:dyDescent="0.25">
      <c r="A10942" t="s">
        <v>1324</v>
      </c>
      <c r="B10942" t="s">
        <v>9196</v>
      </c>
    </row>
    <row r="10943" spans="1:2" x14ac:dyDescent="0.25">
      <c r="A10943" t="s">
        <v>3898</v>
      </c>
      <c r="B10943" t="s">
        <v>9196</v>
      </c>
    </row>
    <row r="10944" spans="1:2" x14ac:dyDescent="0.25">
      <c r="A10944" t="s">
        <v>2533</v>
      </c>
      <c r="B10944" t="s">
        <v>9196</v>
      </c>
    </row>
    <row r="10945" spans="1:2" x14ac:dyDescent="0.25">
      <c r="A10945" t="s">
        <v>2962</v>
      </c>
      <c r="B10945" t="s">
        <v>9196</v>
      </c>
    </row>
    <row r="10946" spans="1:2" x14ac:dyDescent="0.25">
      <c r="A10946" t="s">
        <v>4364</v>
      </c>
      <c r="B10946" t="s">
        <v>9196</v>
      </c>
    </row>
    <row r="10947" spans="1:2" x14ac:dyDescent="0.25">
      <c r="A10947" t="s">
        <v>1325</v>
      </c>
      <c r="B10947" t="s">
        <v>9196</v>
      </c>
    </row>
    <row r="10948" spans="1:2" x14ac:dyDescent="0.25">
      <c r="A10948" t="s">
        <v>1326</v>
      </c>
      <c r="B10948" t="s">
        <v>9196</v>
      </c>
    </row>
    <row r="10949" spans="1:2" x14ac:dyDescent="0.25">
      <c r="A10949" t="s">
        <v>1327</v>
      </c>
      <c r="B10949" t="s">
        <v>9196</v>
      </c>
    </row>
    <row r="10950" spans="1:2" x14ac:dyDescent="0.25">
      <c r="A10950" t="s">
        <v>1328</v>
      </c>
      <c r="B10950" t="s">
        <v>9196</v>
      </c>
    </row>
    <row r="10951" spans="1:2" x14ac:dyDescent="0.25">
      <c r="A10951" t="s">
        <v>2963</v>
      </c>
      <c r="B10951" t="s">
        <v>9196</v>
      </c>
    </row>
    <row r="10952" spans="1:2" x14ac:dyDescent="0.25">
      <c r="A10952" t="s">
        <v>1329</v>
      </c>
      <c r="B10952" t="s">
        <v>9196</v>
      </c>
    </row>
    <row r="10953" spans="1:2" x14ac:dyDescent="0.25">
      <c r="A10953" t="s">
        <v>2964</v>
      </c>
      <c r="B10953" t="s">
        <v>9196</v>
      </c>
    </row>
    <row r="10954" spans="1:2" x14ac:dyDescent="0.25">
      <c r="A10954" t="s">
        <v>5703</v>
      </c>
      <c r="B10954" t="s">
        <v>9196</v>
      </c>
    </row>
    <row r="10955" spans="1:2" x14ac:dyDescent="0.25">
      <c r="A10955" t="s">
        <v>2965</v>
      </c>
      <c r="B10955" t="s">
        <v>9196</v>
      </c>
    </row>
    <row r="10956" spans="1:2" x14ac:dyDescent="0.25">
      <c r="A10956" t="s">
        <v>5300</v>
      </c>
      <c r="B10956" t="s">
        <v>9196</v>
      </c>
    </row>
    <row r="10957" spans="1:2" x14ac:dyDescent="0.25">
      <c r="A10957" t="s">
        <v>1330</v>
      </c>
      <c r="B10957" t="s">
        <v>9196</v>
      </c>
    </row>
    <row r="10958" spans="1:2" x14ac:dyDescent="0.25">
      <c r="A10958" t="s">
        <v>4365</v>
      </c>
      <c r="B10958" t="s">
        <v>9196</v>
      </c>
    </row>
    <row r="10959" spans="1:2" x14ac:dyDescent="0.25">
      <c r="A10959" t="s">
        <v>2088</v>
      </c>
      <c r="B10959" t="s">
        <v>9196</v>
      </c>
    </row>
    <row r="10960" spans="1:2" x14ac:dyDescent="0.25">
      <c r="A10960" t="s">
        <v>2534</v>
      </c>
      <c r="B10960" t="s">
        <v>9196</v>
      </c>
    </row>
    <row r="10961" spans="1:2" x14ac:dyDescent="0.25">
      <c r="A10961" t="s">
        <v>1290</v>
      </c>
      <c r="B10961" t="s">
        <v>2534</v>
      </c>
    </row>
    <row r="10962" spans="1:2" x14ac:dyDescent="0.25">
      <c r="A10962" t="s">
        <v>3899</v>
      </c>
      <c r="B10962" t="s">
        <v>9196</v>
      </c>
    </row>
    <row r="10963" spans="1:2" x14ac:dyDescent="0.25">
      <c r="A10963" t="s">
        <v>2089</v>
      </c>
      <c r="B10963" t="s">
        <v>9196</v>
      </c>
    </row>
    <row r="10964" spans="1:2" x14ac:dyDescent="0.25">
      <c r="A10964" t="s">
        <v>2535</v>
      </c>
      <c r="B10964" t="s">
        <v>9196</v>
      </c>
    </row>
    <row r="10965" spans="1:2" x14ac:dyDescent="0.25">
      <c r="A10965" t="s">
        <v>4856</v>
      </c>
      <c r="B10965" t="s">
        <v>9196</v>
      </c>
    </row>
    <row r="10966" spans="1:2" x14ac:dyDescent="0.25">
      <c r="A10966" t="s">
        <v>1331</v>
      </c>
      <c r="B10966" t="s">
        <v>9196</v>
      </c>
    </row>
    <row r="10967" spans="1:2" x14ac:dyDescent="0.25">
      <c r="A10967" t="s">
        <v>2090</v>
      </c>
      <c r="B10967" t="s">
        <v>9196</v>
      </c>
    </row>
    <row r="10968" spans="1:2" x14ac:dyDescent="0.25">
      <c r="A10968" t="s">
        <v>2091</v>
      </c>
      <c r="B10968" t="s">
        <v>9196</v>
      </c>
    </row>
    <row r="10969" spans="1:2" x14ac:dyDescent="0.25">
      <c r="A10969" t="s">
        <v>4366</v>
      </c>
      <c r="B10969" t="s">
        <v>9196</v>
      </c>
    </row>
    <row r="10970" spans="1:2" x14ac:dyDescent="0.25">
      <c r="A10970" t="s">
        <v>4857</v>
      </c>
      <c r="B10970" t="s">
        <v>9196</v>
      </c>
    </row>
    <row r="10971" spans="1:2" x14ac:dyDescent="0.25">
      <c r="A10971" t="s">
        <v>1332</v>
      </c>
      <c r="B10971" t="s">
        <v>9196</v>
      </c>
    </row>
    <row r="10972" spans="1:2" x14ac:dyDescent="0.25">
      <c r="A10972" t="s">
        <v>4858</v>
      </c>
      <c r="B10972" t="s">
        <v>9196</v>
      </c>
    </row>
    <row r="10973" spans="1:2" x14ac:dyDescent="0.25">
      <c r="A10973" t="s">
        <v>3392</v>
      </c>
      <c r="B10973" t="s">
        <v>9196</v>
      </c>
    </row>
    <row r="10974" spans="1:2" x14ac:dyDescent="0.25">
      <c r="A10974" t="s">
        <v>2536</v>
      </c>
      <c r="B10974" t="s">
        <v>9196</v>
      </c>
    </row>
    <row r="10975" spans="1:2" x14ac:dyDescent="0.25">
      <c r="A10975" t="s">
        <v>2537</v>
      </c>
      <c r="B10975" t="s">
        <v>9196</v>
      </c>
    </row>
    <row r="10976" spans="1:2" x14ac:dyDescent="0.25">
      <c r="A10976" t="s">
        <v>4367</v>
      </c>
      <c r="B10976" t="s">
        <v>9196</v>
      </c>
    </row>
    <row r="10977" spans="1:2" x14ac:dyDescent="0.25">
      <c r="A10977" t="s">
        <v>2092</v>
      </c>
      <c r="B10977" t="s">
        <v>9196</v>
      </c>
    </row>
    <row r="10978" spans="1:2" x14ac:dyDescent="0.25">
      <c r="A10978" t="s">
        <v>1333</v>
      </c>
      <c r="B10978" t="s">
        <v>9196</v>
      </c>
    </row>
    <row r="10979" spans="1:2" x14ac:dyDescent="0.25">
      <c r="A10979" t="s">
        <v>5301</v>
      </c>
      <c r="B10979" t="s">
        <v>9196</v>
      </c>
    </row>
    <row r="10980" spans="1:2" x14ac:dyDescent="0.25">
      <c r="A10980" t="s">
        <v>2966</v>
      </c>
      <c r="B10980" t="s">
        <v>9196</v>
      </c>
    </row>
    <row r="10981" spans="1:2" x14ac:dyDescent="0.25">
      <c r="A10981" t="s">
        <v>3393</v>
      </c>
      <c r="B10981" t="s">
        <v>9196</v>
      </c>
    </row>
    <row r="10982" spans="1:2" x14ac:dyDescent="0.25">
      <c r="A10982" t="s">
        <v>2967</v>
      </c>
      <c r="B10982" t="s">
        <v>9196</v>
      </c>
    </row>
    <row r="10983" spans="1:2" x14ac:dyDescent="0.25">
      <c r="A10983" t="s">
        <v>2538</v>
      </c>
      <c r="B10983" t="s">
        <v>9196</v>
      </c>
    </row>
    <row r="10984" spans="1:2" x14ac:dyDescent="0.25">
      <c r="A10984" t="s">
        <v>2093</v>
      </c>
      <c r="B10984" t="s">
        <v>9196</v>
      </c>
    </row>
    <row r="10985" spans="1:2" x14ac:dyDescent="0.25">
      <c r="A10985" t="s">
        <v>4368</v>
      </c>
      <c r="B10985" t="s">
        <v>9196</v>
      </c>
    </row>
    <row r="10986" spans="1:2" x14ac:dyDescent="0.25">
      <c r="A10986" t="s">
        <v>2539</v>
      </c>
      <c r="B10986" t="s">
        <v>9196</v>
      </c>
    </row>
    <row r="10987" spans="1:2" x14ac:dyDescent="0.25">
      <c r="A10987" t="s">
        <v>3394</v>
      </c>
      <c r="B10987" t="s">
        <v>9196</v>
      </c>
    </row>
    <row r="10988" spans="1:2" x14ac:dyDescent="0.25">
      <c r="A10988" t="s">
        <v>7819</v>
      </c>
      <c r="B10988" t="s">
        <v>12864</v>
      </c>
    </row>
    <row r="10989" spans="1:2" x14ac:dyDescent="0.25">
      <c r="A10989" t="s">
        <v>3883</v>
      </c>
      <c r="B10989" t="s">
        <v>7819</v>
      </c>
    </row>
    <row r="10990" spans="1:2" x14ac:dyDescent="0.25">
      <c r="A10990" t="s">
        <v>6598</v>
      </c>
      <c r="B10990" t="s">
        <v>7819</v>
      </c>
    </row>
    <row r="10991" spans="1:2" x14ac:dyDescent="0.25">
      <c r="A10991" t="s">
        <v>4474</v>
      </c>
      <c r="B10991" t="s">
        <v>7819</v>
      </c>
    </row>
    <row r="10992" spans="1:2" x14ac:dyDescent="0.25">
      <c r="A10992" t="s">
        <v>9241</v>
      </c>
      <c r="B10992" t="s">
        <v>7819</v>
      </c>
    </row>
    <row r="10993" spans="1:2" x14ac:dyDescent="0.25">
      <c r="A10993" t="s">
        <v>8478</v>
      </c>
      <c r="B10993" t="s">
        <v>7819</v>
      </c>
    </row>
    <row r="10994" spans="1:2" x14ac:dyDescent="0.25">
      <c r="A10994" t="s">
        <v>9192</v>
      </c>
      <c r="B10994" t="s">
        <v>12864</v>
      </c>
    </row>
    <row r="10995" spans="1:2" x14ac:dyDescent="0.25">
      <c r="A10995" t="s">
        <v>8340</v>
      </c>
      <c r="B10995" t="s">
        <v>9192</v>
      </c>
    </row>
    <row r="10996" spans="1:2" x14ac:dyDescent="0.25">
      <c r="A10996" t="s">
        <v>2938</v>
      </c>
      <c r="B10996" t="s">
        <v>9192</v>
      </c>
    </row>
    <row r="10997" spans="1:2" x14ac:dyDescent="0.25">
      <c r="A10997" t="s">
        <v>2939</v>
      </c>
      <c r="B10997" t="s">
        <v>9192</v>
      </c>
    </row>
    <row r="10998" spans="1:2" x14ac:dyDescent="0.25">
      <c r="A10998" t="s">
        <v>2055</v>
      </c>
      <c r="B10998" t="s">
        <v>9192</v>
      </c>
    </row>
    <row r="10999" spans="1:2" x14ac:dyDescent="0.25">
      <c r="A10999" t="s">
        <v>6166</v>
      </c>
      <c r="B10999" t="s">
        <v>9192</v>
      </c>
    </row>
    <row r="11000" spans="1:2" x14ac:dyDescent="0.25">
      <c r="A11000" t="s">
        <v>7300</v>
      </c>
      <c r="B11000" t="s">
        <v>9192</v>
      </c>
    </row>
    <row r="11001" spans="1:2" x14ac:dyDescent="0.25">
      <c r="A11001" t="s">
        <v>10648</v>
      </c>
      <c r="B11001" t="s">
        <v>9192</v>
      </c>
    </row>
    <row r="11002" spans="1:2" x14ac:dyDescent="0.25">
      <c r="A11002" t="s">
        <v>9702</v>
      </c>
      <c r="B11002" t="s">
        <v>9192</v>
      </c>
    </row>
    <row r="11003" spans="1:2" x14ac:dyDescent="0.25">
      <c r="A11003" t="s">
        <v>8325</v>
      </c>
      <c r="B11003" t="s">
        <v>12864</v>
      </c>
    </row>
    <row r="11004" spans="1:2" x14ac:dyDescent="0.25">
      <c r="A11004" t="s">
        <v>3850</v>
      </c>
      <c r="B11004" t="s">
        <v>8325</v>
      </c>
    </row>
    <row r="11005" spans="1:2" x14ac:dyDescent="0.25">
      <c r="A11005" t="s">
        <v>3851</v>
      </c>
      <c r="B11005" t="s">
        <v>8325</v>
      </c>
    </row>
    <row r="11006" spans="1:2" x14ac:dyDescent="0.25">
      <c r="A11006" t="s">
        <v>1173</v>
      </c>
      <c r="B11006" t="s">
        <v>8325</v>
      </c>
    </row>
    <row r="11007" spans="1:2" x14ac:dyDescent="0.25">
      <c r="A11007" t="s">
        <v>8326</v>
      </c>
      <c r="B11007" t="s">
        <v>8325</v>
      </c>
    </row>
    <row r="11008" spans="1:2" x14ac:dyDescent="0.25">
      <c r="A11008" t="s">
        <v>6092</v>
      </c>
      <c r="B11008" t="s">
        <v>8325</v>
      </c>
    </row>
    <row r="11009" spans="1:2" x14ac:dyDescent="0.25">
      <c r="A11009" t="s">
        <v>1174</v>
      </c>
      <c r="B11009" t="s">
        <v>8325</v>
      </c>
    </row>
    <row r="11010" spans="1:2" x14ac:dyDescent="0.25">
      <c r="A11010" t="s">
        <v>1175</v>
      </c>
      <c r="B11010" t="s">
        <v>8325</v>
      </c>
    </row>
    <row r="11011" spans="1:2" x14ac:dyDescent="0.25">
      <c r="A11011" t="s">
        <v>4828</v>
      </c>
      <c r="B11011" t="s">
        <v>8325</v>
      </c>
    </row>
    <row r="11012" spans="1:2" x14ac:dyDescent="0.25">
      <c r="A11012" t="s">
        <v>2915</v>
      </c>
      <c r="B11012" t="s">
        <v>8325</v>
      </c>
    </row>
    <row r="11013" spans="1:2" x14ac:dyDescent="0.25">
      <c r="A11013" t="s">
        <v>5266</v>
      </c>
      <c r="B11013" t="s">
        <v>8325</v>
      </c>
    </row>
    <row r="11014" spans="1:2" x14ac:dyDescent="0.25">
      <c r="A11014" t="s">
        <v>1176</v>
      </c>
      <c r="B11014" t="s">
        <v>8325</v>
      </c>
    </row>
    <row r="11015" spans="1:2" x14ac:dyDescent="0.25">
      <c r="A11015" t="s">
        <v>1177</v>
      </c>
      <c r="B11015" t="s">
        <v>8325</v>
      </c>
    </row>
    <row r="11016" spans="1:2" x14ac:dyDescent="0.25">
      <c r="A11016" t="s">
        <v>2480</v>
      </c>
      <c r="B11016" t="s">
        <v>8325</v>
      </c>
    </row>
    <row r="11017" spans="1:2" x14ac:dyDescent="0.25">
      <c r="A11017" t="s">
        <v>1178</v>
      </c>
      <c r="B11017" t="s">
        <v>8325</v>
      </c>
    </row>
    <row r="11018" spans="1:2" x14ac:dyDescent="0.25">
      <c r="A11018" t="s">
        <v>8881</v>
      </c>
      <c r="B11018" t="s">
        <v>8325</v>
      </c>
    </row>
    <row r="11019" spans="1:2" x14ac:dyDescent="0.25">
      <c r="A11019" t="s">
        <v>13732</v>
      </c>
      <c r="B11019" t="s">
        <v>12864</v>
      </c>
    </row>
    <row r="11020" spans="1:2" x14ac:dyDescent="0.25">
      <c r="A11020" t="s">
        <v>12510</v>
      </c>
      <c r="B11020" t="s">
        <v>11954</v>
      </c>
    </row>
    <row r="11021" spans="1:2" x14ac:dyDescent="0.25">
      <c r="A11021" t="s">
        <v>9581</v>
      </c>
      <c r="B11021" t="s">
        <v>12510</v>
      </c>
    </row>
    <row r="11022" spans="1:2" x14ac:dyDescent="0.25">
      <c r="A11022" t="s">
        <v>2913</v>
      </c>
      <c r="B11022" t="s">
        <v>9581</v>
      </c>
    </row>
    <row r="11023" spans="1:2" x14ac:dyDescent="0.25">
      <c r="A11023" t="s">
        <v>1169</v>
      </c>
      <c r="B11023" t="s">
        <v>9581</v>
      </c>
    </row>
    <row r="11024" spans="1:2" x14ac:dyDescent="0.25">
      <c r="A11024" t="s">
        <v>2479</v>
      </c>
      <c r="B11024" t="s">
        <v>9581</v>
      </c>
    </row>
    <row r="11025" spans="1:2" x14ac:dyDescent="0.25">
      <c r="A11025" t="s">
        <v>1170</v>
      </c>
      <c r="B11025" t="s">
        <v>9581</v>
      </c>
    </row>
    <row r="11026" spans="1:2" x14ac:dyDescent="0.25">
      <c r="A11026" t="s">
        <v>1171</v>
      </c>
      <c r="B11026" t="s">
        <v>9581</v>
      </c>
    </row>
    <row r="11027" spans="1:2" x14ac:dyDescent="0.25">
      <c r="A11027" t="s">
        <v>6090</v>
      </c>
      <c r="B11027" t="s">
        <v>9581</v>
      </c>
    </row>
    <row r="11028" spans="1:2" x14ac:dyDescent="0.25">
      <c r="A11028" t="s">
        <v>1991</v>
      </c>
      <c r="B11028" t="s">
        <v>9581</v>
      </c>
    </row>
    <row r="11029" spans="1:2" x14ac:dyDescent="0.25">
      <c r="A11029" t="s">
        <v>2914</v>
      </c>
      <c r="B11029" t="s">
        <v>9581</v>
      </c>
    </row>
    <row r="11030" spans="1:2" x14ac:dyDescent="0.25">
      <c r="A11030" t="s">
        <v>5265</v>
      </c>
      <c r="B11030" t="s">
        <v>9581</v>
      </c>
    </row>
    <row r="11031" spans="1:2" x14ac:dyDescent="0.25">
      <c r="A11031" t="s">
        <v>7793</v>
      </c>
      <c r="B11031" t="s">
        <v>9581</v>
      </c>
    </row>
    <row r="11032" spans="1:2" x14ac:dyDescent="0.25">
      <c r="A11032" t="s">
        <v>6091</v>
      </c>
      <c r="B11032" t="s">
        <v>9581</v>
      </c>
    </row>
    <row r="11033" spans="1:2" x14ac:dyDescent="0.25">
      <c r="A11033" t="s">
        <v>1172</v>
      </c>
      <c r="B11033" t="s">
        <v>9581</v>
      </c>
    </row>
    <row r="11034" spans="1:2" x14ac:dyDescent="0.25">
      <c r="A11034" t="s">
        <v>3849</v>
      </c>
      <c r="B11034" t="s">
        <v>9581</v>
      </c>
    </row>
    <row r="11035" spans="1:2" x14ac:dyDescent="0.25">
      <c r="A11035" t="s">
        <v>12281</v>
      </c>
      <c r="B11035" t="s">
        <v>9581</v>
      </c>
    </row>
    <row r="11036" spans="1:2" x14ac:dyDescent="0.25">
      <c r="A11036" t="s">
        <v>4502</v>
      </c>
      <c r="B11036" t="s">
        <v>9581</v>
      </c>
    </row>
    <row r="11037" spans="1:2" x14ac:dyDescent="0.25">
      <c r="A11037" t="s">
        <v>6182</v>
      </c>
      <c r="B11037" t="s">
        <v>9581</v>
      </c>
    </row>
    <row r="11038" spans="1:2" x14ac:dyDescent="0.25">
      <c r="A11038" t="s">
        <v>8773</v>
      </c>
      <c r="B11038" t="s">
        <v>12510</v>
      </c>
    </row>
    <row r="11039" spans="1:2" x14ac:dyDescent="0.25">
      <c r="A11039" t="s">
        <v>2486</v>
      </c>
      <c r="B11039" t="s">
        <v>8773</v>
      </c>
    </row>
    <row r="11040" spans="1:2" x14ac:dyDescent="0.25">
      <c r="A11040" t="s">
        <v>8774</v>
      </c>
      <c r="B11040" t="s">
        <v>8773</v>
      </c>
    </row>
    <row r="11041" spans="1:2" x14ac:dyDescent="0.25">
      <c r="A11041" t="s">
        <v>2002</v>
      </c>
      <c r="B11041" t="s">
        <v>8773</v>
      </c>
    </row>
    <row r="11042" spans="1:2" x14ac:dyDescent="0.25">
      <c r="A11042" t="s">
        <v>2923</v>
      </c>
      <c r="B11042" t="s">
        <v>8773</v>
      </c>
    </row>
    <row r="11043" spans="1:2" x14ac:dyDescent="0.25">
      <c r="A11043" t="s">
        <v>1197</v>
      </c>
      <c r="B11043" t="s">
        <v>8773</v>
      </c>
    </row>
    <row r="11044" spans="1:2" x14ac:dyDescent="0.25">
      <c r="A11044" t="s">
        <v>7796</v>
      </c>
      <c r="B11044" t="s">
        <v>8773</v>
      </c>
    </row>
    <row r="11045" spans="1:2" x14ac:dyDescent="0.25">
      <c r="A11045" t="s">
        <v>8327</v>
      </c>
      <c r="B11045" t="s">
        <v>8773</v>
      </c>
    </row>
    <row r="11046" spans="1:2" x14ac:dyDescent="0.25">
      <c r="A11046" t="s">
        <v>4831</v>
      </c>
      <c r="B11046" t="s">
        <v>8773</v>
      </c>
    </row>
    <row r="11047" spans="1:2" x14ac:dyDescent="0.25">
      <c r="A11047" t="s">
        <v>2003</v>
      </c>
      <c r="B11047" t="s">
        <v>8773</v>
      </c>
    </row>
    <row r="11048" spans="1:2" x14ac:dyDescent="0.25">
      <c r="A11048" t="s">
        <v>2487</v>
      </c>
      <c r="B11048" t="s">
        <v>8773</v>
      </c>
    </row>
    <row r="11049" spans="1:2" x14ac:dyDescent="0.25">
      <c r="A11049" t="s">
        <v>4327</v>
      </c>
      <c r="B11049" t="s">
        <v>8773</v>
      </c>
    </row>
    <row r="11050" spans="1:2" x14ac:dyDescent="0.25">
      <c r="A11050" t="s">
        <v>7878</v>
      </c>
      <c r="B11050" t="s">
        <v>8773</v>
      </c>
    </row>
    <row r="11051" spans="1:2" x14ac:dyDescent="0.25">
      <c r="A11051" t="s">
        <v>3374</v>
      </c>
      <c r="B11051" t="s">
        <v>12510</v>
      </c>
    </row>
    <row r="11052" spans="1:2" x14ac:dyDescent="0.25">
      <c r="A11052" t="s">
        <v>4847</v>
      </c>
      <c r="B11052" t="s">
        <v>3374</v>
      </c>
    </row>
    <row r="11053" spans="1:2" x14ac:dyDescent="0.25">
      <c r="A11053" t="s">
        <v>7820</v>
      </c>
      <c r="B11053" t="s">
        <v>3374</v>
      </c>
    </row>
    <row r="11054" spans="1:2" x14ac:dyDescent="0.25">
      <c r="A11054" t="s">
        <v>5349</v>
      </c>
      <c r="B11054" t="s">
        <v>3374</v>
      </c>
    </row>
    <row r="11055" spans="1:2" x14ac:dyDescent="0.25">
      <c r="A11055" t="s">
        <v>3478</v>
      </c>
      <c r="B11055" t="s">
        <v>3374</v>
      </c>
    </row>
    <row r="11056" spans="1:2" x14ac:dyDescent="0.25">
      <c r="A11056" t="s">
        <v>9240</v>
      </c>
      <c r="B11056" t="s">
        <v>3374</v>
      </c>
    </row>
    <row r="11057" spans="1:2" x14ac:dyDescent="0.25">
      <c r="A11057" t="s">
        <v>10154</v>
      </c>
      <c r="B11057" t="s">
        <v>3374</v>
      </c>
    </row>
    <row r="11058" spans="1:2" x14ac:dyDescent="0.25">
      <c r="A11058" t="s">
        <v>4052</v>
      </c>
      <c r="B11058" t="s">
        <v>3374</v>
      </c>
    </row>
    <row r="11059" spans="1:2" x14ac:dyDescent="0.25">
      <c r="A11059" t="s">
        <v>12895</v>
      </c>
      <c r="B11059" t="s">
        <v>3374</v>
      </c>
    </row>
    <row r="11060" spans="1:2" x14ac:dyDescent="0.25">
      <c r="A11060" t="s">
        <v>11559</v>
      </c>
      <c r="B11060" t="s">
        <v>12895</v>
      </c>
    </row>
    <row r="11061" spans="1:2" x14ac:dyDescent="0.25">
      <c r="A11061" t="s">
        <v>8341</v>
      </c>
      <c r="B11061" t="s">
        <v>12510</v>
      </c>
    </row>
    <row r="11062" spans="1:2" x14ac:dyDescent="0.25">
      <c r="A11062" t="s">
        <v>335</v>
      </c>
      <c r="B11062" t="s">
        <v>8341</v>
      </c>
    </row>
    <row r="11063" spans="1:2" x14ac:dyDescent="0.25">
      <c r="A11063" t="s">
        <v>8880</v>
      </c>
      <c r="B11063" t="s">
        <v>8341</v>
      </c>
    </row>
    <row r="11064" spans="1:2" x14ac:dyDescent="0.25">
      <c r="A11064" t="s">
        <v>5383</v>
      </c>
      <c r="B11064" t="s">
        <v>8341</v>
      </c>
    </row>
    <row r="11065" spans="1:2" x14ac:dyDescent="0.25">
      <c r="A11065" t="s">
        <v>5779</v>
      </c>
      <c r="B11065" t="s">
        <v>5383</v>
      </c>
    </row>
    <row r="11066" spans="1:2" x14ac:dyDescent="0.25">
      <c r="A11066" t="s">
        <v>9242</v>
      </c>
      <c r="B11066" t="s">
        <v>5779</v>
      </c>
    </row>
    <row r="11067" spans="1:2" x14ac:dyDescent="0.25">
      <c r="A11067" t="s">
        <v>6213</v>
      </c>
      <c r="B11067" t="s">
        <v>5779</v>
      </c>
    </row>
    <row r="11068" spans="1:2" x14ac:dyDescent="0.25">
      <c r="A11068" t="s">
        <v>11261</v>
      </c>
      <c r="B11068" t="s">
        <v>6213</v>
      </c>
    </row>
    <row r="11069" spans="1:2" x14ac:dyDescent="0.25">
      <c r="A11069" t="s">
        <v>11262</v>
      </c>
      <c r="B11069" t="s">
        <v>6213</v>
      </c>
    </row>
    <row r="11070" spans="1:2" x14ac:dyDescent="0.25">
      <c r="A11070" t="s">
        <v>11263</v>
      </c>
      <c r="B11070" t="s">
        <v>6213</v>
      </c>
    </row>
    <row r="11071" spans="1:2" x14ac:dyDescent="0.25">
      <c r="A11071" t="s">
        <v>9650</v>
      </c>
      <c r="B11071" t="s">
        <v>6213</v>
      </c>
    </row>
    <row r="11072" spans="1:2" x14ac:dyDescent="0.25">
      <c r="A11072" t="s">
        <v>6214</v>
      </c>
      <c r="B11072" t="s">
        <v>5779</v>
      </c>
    </row>
    <row r="11073" spans="1:2" x14ac:dyDescent="0.25">
      <c r="A11073" t="s">
        <v>11264</v>
      </c>
      <c r="B11073" t="s">
        <v>6214</v>
      </c>
    </row>
    <row r="11074" spans="1:2" x14ac:dyDescent="0.25">
      <c r="A11074" t="s">
        <v>11265</v>
      </c>
      <c r="B11074" t="s">
        <v>6214</v>
      </c>
    </row>
    <row r="11075" spans="1:2" x14ac:dyDescent="0.25">
      <c r="A11075" t="s">
        <v>10968</v>
      </c>
      <c r="B11075" t="s">
        <v>6214</v>
      </c>
    </row>
    <row r="11076" spans="1:2" x14ac:dyDescent="0.25">
      <c r="A11076" t="s">
        <v>12731</v>
      </c>
      <c r="B11076" t="s">
        <v>5779</v>
      </c>
    </row>
    <row r="11077" spans="1:2" x14ac:dyDescent="0.25">
      <c r="A11077" t="s">
        <v>6215</v>
      </c>
      <c r="B11077" t="s">
        <v>5779</v>
      </c>
    </row>
    <row r="11078" spans="1:2" x14ac:dyDescent="0.25">
      <c r="A11078" t="s">
        <v>8432</v>
      </c>
      <c r="B11078" t="s">
        <v>5779</v>
      </c>
    </row>
    <row r="11079" spans="1:2" x14ac:dyDescent="0.25">
      <c r="A11079" t="s">
        <v>10679</v>
      </c>
      <c r="B11079" t="s">
        <v>5779</v>
      </c>
    </row>
    <row r="11080" spans="1:2" x14ac:dyDescent="0.25">
      <c r="A11080" t="s">
        <v>13379</v>
      </c>
      <c r="B11080" t="s">
        <v>5779</v>
      </c>
    </row>
    <row r="11081" spans="1:2" x14ac:dyDescent="0.25">
      <c r="A11081" t="s">
        <v>6212</v>
      </c>
      <c r="B11081" t="s">
        <v>5383</v>
      </c>
    </row>
    <row r="11082" spans="1:2" x14ac:dyDescent="0.25">
      <c r="A11082" t="s">
        <v>7821</v>
      </c>
      <c r="B11082" t="s">
        <v>6212</v>
      </c>
    </row>
    <row r="11083" spans="1:2" x14ac:dyDescent="0.25">
      <c r="A11083" t="s">
        <v>7822</v>
      </c>
      <c r="B11083" t="s">
        <v>6212</v>
      </c>
    </row>
    <row r="11084" spans="1:2" x14ac:dyDescent="0.25">
      <c r="A11084" t="s">
        <v>6677</v>
      </c>
      <c r="B11084" t="s">
        <v>6212</v>
      </c>
    </row>
    <row r="11085" spans="1:2" x14ac:dyDescent="0.25">
      <c r="A11085" t="s">
        <v>2511</v>
      </c>
      <c r="B11085" t="s">
        <v>6677</v>
      </c>
    </row>
    <row r="11086" spans="1:2" x14ac:dyDescent="0.25">
      <c r="A11086" t="s">
        <v>6678</v>
      </c>
      <c r="B11086" t="s">
        <v>6212</v>
      </c>
    </row>
    <row r="11087" spans="1:2" x14ac:dyDescent="0.25">
      <c r="A11087" t="s">
        <v>12866</v>
      </c>
      <c r="B11087" t="s">
        <v>6212</v>
      </c>
    </row>
    <row r="11088" spans="1:2" x14ac:dyDescent="0.25">
      <c r="A11088" t="s">
        <v>9606</v>
      </c>
      <c r="B11088" t="s">
        <v>12866</v>
      </c>
    </row>
    <row r="11089" spans="1:2" x14ac:dyDescent="0.25">
      <c r="A11089" t="s">
        <v>4344</v>
      </c>
      <c r="B11089" t="s">
        <v>9606</v>
      </c>
    </row>
    <row r="11090" spans="1:2" x14ac:dyDescent="0.25">
      <c r="A11090" t="s">
        <v>3029</v>
      </c>
      <c r="B11090" t="s">
        <v>12866</v>
      </c>
    </row>
    <row r="11091" spans="1:2" x14ac:dyDescent="0.25">
      <c r="A11091" t="s">
        <v>7948</v>
      </c>
      <c r="B11091" t="s">
        <v>12866</v>
      </c>
    </row>
    <row r="11092" spans="1:2" x14ac:dyDescent="0.25">
      <c r="A11092" t="s">
        <v>13380</v>
      </c>
      <c r="B11092" t="s">
        <v>6212</v>
      </c>
    </row>
    <row r="11093" spans="1:2" x14ac:dyDescent="0.25">
      <c r="A11093" t="s">
        <v>13381</v>
      </c>
      <c r="B11093" t="s">
        <v>6212</v>
      </c>
    </row>
    <row r="11094" spans="1:2" x14ac:dyDescent="0.25">
      <c r="A11094" t="s">
        <v>9261</v>
      </c>
      <c r="B11094" t="s">
        <v>8341</v>
      </c>
    </row>
    <row r="11095" spans="1:2" x14ac:dyDescent="0.25">
      <c r="A11095" t="s">
        <v>7164</v>
      </c>
      <c r="B11095" t="s">
        <v>9261</v>
      </c>
    </row>
    <row r="11096" spans="1:2" x14ac:dyDescent="0.25">
      <c r="A11096" t="s">
        <v>5363</v>
      </c>
      <c r="B11096" t="s">
        <v>9261</v>
      </c>
    </row>
    <row r="11097" spans="1:2" x14ac:dyDescent="0.25">
      <c r="A11097" t="s">
        <v>11955</v>
      </c>
      <c r="B11097" t="s">
        <v>9261</v>
      </c>
    </row>
    <row r="11098" spans="1:2" x14ac:dyDescent="0.25">
      <c r="A11098" t="s">
        <v>11586</v>
      </c>
      <c r="B11098" t="s">
        <v>9261</v>
      </c>
    </row>
    <row r="11099" spans="1:2" x14ac:dyDescent="0.25">
      <c r="A11099" t="s">
        <v>11587</v>
      </c>
      <c r="B11099" t="s">
        <v>8341</v>
      </c>
    </row>
    <row r="11100" spans="1:2" x14ac:dyDescent="0.25">
      <c r="A11100" t="s">
        <v>8342</v>
      </c>
      <c r="B11100" t="s">
        <v>11587</v>
      </c>
    </row>
    <row r="11101" spans="1:2" x14ac:dyDescent="0.25">
      <c r="A11101" t="s">
        <v>6599</v>
      </c>
      <c r="B11101" t="s">
        <v>11587</v>
      </c>
    </row>
    <row r="11102" spans="1:2" x14ac:dyDescent="0.25">
      <c r="A11102" t="s">
        <v>6600</v>
      </c>
      <c r="B11102" t="s">
        <v>11587</v>
      </c>
    </row>
    <row r="11103" spans="1:2" x14ac:dyDescent="0.25">
      <c r="A11103" t="s">
        <v>6107</v>
      </c>
      <c r="B11103" t="s">
        <v>11587</v>
      </c>
    </row>
    <row r="11104" spans="1:2" x14ac:dyDescent="0.25">
      <c r="A11104" t="s">
        <v>7823</v>
      </c>
      <c r="B11104" t="s">
        <v>11587</v>
      </c>
    </row>
    <row r="11105" spans="1:2" x14ac:dyDescent="0.25">
      <c r="A11105" t="s">
        <v>7324</v>
      </c>
      <c r="B11105" t="s">
        <v>11587</v>
      </c>
    </row>
    <row r="11106" spans="1:2" x14ac:dyDescent="0.25">
      <c r="A11106" t="s">
        <v>13382</v>
      </c>
      <c r="B11106" t="s">
        <v>12510</v>
      </c>
    </row>
    <row r="11107" spans="1:2" x14ac:dyDescent="0.25">
      <c r="A11107" t="s">
        <v>13202</v>
      </c>
      <c r="B11107" t="s">
        <v>12510</v>
      </c>
    </row>
    <row r="11108" spans="1:2" x14ac:dyDescent="0.25">
      <c r="A11108" t="s">
        <v>13203</v>
      </c>
      <c r="B11108" t="s">
        <v>12510</v>
      </c>
    </row>
    <row r="11109" spans="1:2" x14ac:dyDescent="0.25">
      <c r="A11109" t="s">
        <v>8770</v>
      </c>
      <c r="B11109" t="s">
        <v>13203</v>
      </c>
    </row>
    <row r="11110" spans="1:2" x14ac:dyDescent="0.25">
      <c r="A11110" t="s">
        <v>3334</v>
      </c>
      <c r="B11110" t="s">
        <v>8770</v>
      </c>
    </row>
    <row r="11111" spans="1:2" x14ac:dyDescent="0.25">
      <c r="A11111" t="s">
        <v>2477</v>
      </c>
      <c r="B11111" t="s">
        <v>8770</v>
      </c>
    </row>
    <row r="11112" spans="1:2" x14ac:dyDescent="0.25">
      <c r="A11112" t="s">
        <v>1164</v>
      </c>
      <c r="B11112" t="s">
        <v>8770</v>
      </c>
    </row>
    <row r="11113" spans="1:2" x14ac:dyDescent="0.25">
      <c r="A11113" t="s">
        <v>1165</v>
      </c>
      <c r="B11113" t="s">
        <v>8770</v>
      </c>
    </row>
    <row r="11114" spans="1:2" x14ac:dyDescent="0.25">
      <c r="A11114" t="s">
        <v>11759</v>
      </c>
      <c r="B11114" t="s">
        <v>8770</v>
      </c>
    </row>
    <row r="11115" spans="1:2" x14ac:dyDescent="0.25">
      <c r="A11115" t="s">
        <v>6574</v>
      </c>
      <c r="B11115" t="s">
        <v>8770</v>
      </c>
    </row>
    <row r="11116" spans="1:2" x14ac:dyDescent="0.25">
      <c r="A11116" t="s">
        <v>6088</v>
      </c>
      <c r="B11116" t="s">
        <v>8770</v>
      </c>
    </row>
    <row r="11117" spans="1:2" x14ac:dyDescent="0.25">
      <c r="A11117" t="s">
        <v>8771</v>
      </c>
      <c r="B11117" t="s">
        <v>13203</v>
      </c>
    </row>
    <row r="11118" spans="1:2" x14ac:dyDescent="0.25">
      <c r="A11118" t="s">
        <v>11760</v>
      </c>
      <c r="B11118" t="s">
        <v>8771</v>
      </c>
    </row>
    <row r="11119" spans="1:2" x14ac:dyDescent="0.25">
      <c r="A11119" t="s">
        <v>5738</v>
      </c>
      <c r="B11119" t="s">
        <v>8771</v>
      </c>
    </row>
    <row r="11120" spans="1:2" x14ac:dyDescent="0.25">
      <c r="A11120" t="s">
        <v>6163</v>
      </c>
      <c r="B11120" t="s">
        <v>8771</v>
      </c>
    </row>
    <row r="11121" spans="1:2" x14ac:dyDescent="0.25">
      <c r="A11121" t="s">
        <v>11337</v>
      </c>
      <c r="B11121" t="s">
        <v>8771</v>
      </c>
    </row>
    <row r="11122" spans="1:2" x14ac:dyDescent="0.25">
      <c r="A11122" t="s">
        <v>12314</v>
      </c>
      <c r="B11122" t="s">
        <v>8771</v>
      </c>
    </row>
    <row r="11123" spans="1:2" x14ac:dyDescent="0.25">
      <c r="A11123" t="s">
        <v>6672</v>
      </c>
      <c r="B11123" t="s">
        <v>8771</v>
      </c>
    </row>
    <row r="11124" spans="1:2" x14ac:dyDescent="0.25">
      <c r="A11124" t="s">
        <v>9583</v>
      </c>
      <c r="B11124" t="s">
        <v>13203</v>
      </c>
    </row>
    <row r="11125" spans="1:2" x14ac:dyDescent="0.25">
      <c r="A11125" t="s">
        <v>5267</v>
      </c>
      <c r="B11125" t="s">
        <v>9583</v>
      </c>
    </row>
    <row r="11126" spans="1:2" x14ac:dyDescent="0.25">
      <c r="A11126" t="s">
        <v>1191</v>
      </c>
      <c r="B11126" t="s">
        <v>9583</v>
      </c>
    </row>
    <row r="11127" spans="1:2" x14ac:dyDescent="0.25">
      <c r="A11127" t="s">
        <v>3341</v>
      </c>
      <c r="B11127" t="s">
        <v>9583</v>
      </c>
    </row>
    <row r="11128" spans="1:2" x14ac:dyDescent="0.25">
      <c r="A11128" t="s">
        <v>5676</v>
      </c>
      <c r="B11128" t="s">
        <v>9583</v>
      </c>
    </row>
    <row r="11129" spans="1:2" x14ac:dyDescent="0.25">
      <c r="A11129" t="s">
        <v>3852</v>
      </c>
      <c r="B11129" t="s">
        <v>9583</v>
      </c>
    </row>
    <row r="11130" spans="1:2" x14ac:dyDescent="0.25">
      <c r="A11130" t="s">
        <v>1192</v>
      </c>
      <c r="B11130" t="s">
        <v>9583</v>
      </c>
    </row>
    <row r="11131" spans="1:2" x14ac:dyDescent="0.25">
      <c r="A11131" t="s">
        <v>1193</v>
      </c>
      <c r="B11131" t="s">
        <v>9583</v>
      </c>
    </row>
    <row r="11132" spans="1:2" x14ac:dyDescent="0.25">
      <c r="A11132" t="s">
        <v>1194</v>
      </c>
      <c r="B11132" t="s">
        <v>9583</v>
      </c>
    </row>
    <row r="11133" spans="1:2" x14ac:dyDescent="0.25">
      <c r="A11133" t="s">
        <v>1195</v>
      </c>
      <c r="B11133" t="s">
        <v>9583</v>
      </c>
    </row>
    <row r="11134" spans="1:2" x14ac:dyDescent="0.25">
      <c r="A11134" t="s">
        <v>3342</v>
      </c>
      <c r="B11134" t="s">
        <v>9583</v>
      </c>
    </row>
    <row r="11135" spans="1:2" x14ac:dyDescent="0.25">
      <c r="A11135" t="s">
        <v>3853</v>
      </c>
      <c r="B11135" t="s">
        <v>9583</v>
      </c>
    </row>
    <row r="11136" spans="1:2" x14ac:dyDescent="0.25">
      <c r="A11136" t="s">
        <v>2485</v>
      </c>
      <c r="B11136" t="s">
        <v>9583</v>
      </c>
    </row>
    <row r="11137" spans="1:2" x14ac:dyDescent="0.25">
      <c r="A11137" t="s">
        <v>1196</v>
      </c>
      <c r="B11137" t="s">
        <v>9583</v>
      </c>
    </row>
    <row r="11138" spans="1:2" x14ac:dyDescent="0.25">
      <c r="A11138" t="s">
        <v>1997</v>
      </c>
      <c r="B11138" t="s">
        <v>9583</v>
      </c>
    </row>
    <row r="11139" spans="1:2" x14ac:dyDescent="0.25">
      <c r="A11139" t="s">
        <v>9213</v>
      </c>
      <c r="B11139" t="s">
        <v>9583</v>
      </c>
    </row>
    <row r="11140" spans="1:2" x14ac:dyDescent="0.25">
      <c r="A11140" t="s">
        <v>7256</v>
      </c>
      <c r="B11140" t="s">
        <v>9583</v>
      </c>
    </row>
    <row r="11141" spans="1:2" x14ac:dyDescent="0.25">
      <c r="A11141" t="s">
        <v>1190</v>
      </c>
      <c r="B11141" t="s">
        <v>9583</v>
      </c>
    </row>
    <row r="11142" spans="1:2" x14ac:dyDescent="0.25">
      <c r="A11142" t="s">
        <v>9960</v>
      </c>
      <c r="B11142" t="s">
        <v>13203</v>
      </c>
    </row>
    <row r="11143" spans="1:2" x14ac:dyDescent="0.25">
      <c r="A11143" t="s">
        <v>1998</v>
      </c>
      <c r="B11143" t="s">
        <v>9960</v>
      </c>
    </row>
    <row r="11144" spans="1:2" x14ac:dyDescent="0.25">
      <c r="A11144" t="s">
        <v>2921</v>
      </c>
      <c r="B11144" t="s">
        <v>9960</v>
      </c>
    </row>
    <row r="11145" spans="1:2" x14ac:dyDescent="0.25">
      <c r="A11145" t="s">
        <v>1999</v>
      </c>
      <c r="B11145" t="s">
        <v>9960</v>
      </c>
    </row>
    <row r="11146" spans="1:2" x14ac:dyDescent="0.25">
      <c r="A11146" t="s">
        <v>6094</v>
      </c>
      <c r="B11146" t="s">
        <v>9960</v>
      </c>
    </row>
    <row r="11147" spans="1:2" x14ac:dyDescent="0.25">
      <c r="A11147" t="s">
        <v>2000</v>
      </c>
      <c r="B11147" t="s">
        <v>9960</v>
      </c>
    </row>
    <row r="11148" spans="1:2" x14ac:dyDescent="0.25">
      <c r="A11148" t="s">
        <v>6095</v>
      </c>
      <c r="B11148" t="s">
        <v>9960</v>
      </c>
    </row>
    <row r="11149" spans="1:2" x14ac:dyDescent="0.25">
      <c r="A11149" t="s">
        <v>2001</v>
      </c>
      <c r="B11149" t="s">
        <v>9960</v>
      </c>
    </row>
    <row r="11150" spans="1:2" x14ac:dyDescent="0.25">
      <c r="A11150" t="s">
        <v>3854</v>
      </c>
      <c r="B11150" t="s">
        <v>9960</v>
      </c>
    </row>
    <row r="11151" spans="1:2" x14ac:dyDescent="0.25">
      <c r="A11151" t="s">
        <v>9584</v>
      </c>
      <c r="B11151" t="s">
        <v>9960</v>
      </c>
    </row>
    <row r="11152" spans="1:2" x14ac:dyDescent="0.25">
      <c r="A11152" t="s">
        <v>7257</v>
      </c>
      <c r="B11152" t="s">
        <v>9960</v>
      </c>
    </row>
    <row r="11153" spans="1:2" x14ac:dyDescent="0.25">
      <c r="A11153" t="s">
        <v>7877</v>
      </c>
      <c r="B11153" t="s">
        <v>9960</v>
      </c>
    </row>
    <row r="11154" spans="1:2" x14ac:dyDescent="0.25">
      <c r="A11154" t="s">
        <v>1494</v>
      </c>
      <c r="B11154" t="s">
        <v>9960</v>
      </c>
    </row>
    <row r="11155" spans="1:2" x14ac:dyDescent="0.25">
      <c r="A11155" t="s">
        <v>2922</v>
      </c>
      <c r="B11155" t="s">
        <v>9960</v>
      </c>
    </row>
    <row r="11156" spans="1:2" x14ac:dyDescent="0.25">
      <c r="A11156" t="s">
        <v>3343</v>
      </c>
      <c r="B11156" t="s">
        <v>9960</v>
      </c>
    </row>
    <row r="11157" spans="1:2" x14ac:dyDescent="0.25">
      <c r="A11157" t="s">
        <v>7146</v>
      </c>
      <c r="B11157" t="s">
        <v>13203</v>
      </c>
    </row>
    <row r="11158" spans="1:2" x14ac:dyDescent="0.25">
      <c r="A11158" t="s">
        <v>6578</v>
      </c>
      <c r="B11158" t="s">
        <v>7146</v>
      </c>
    </row>
    <row r="11159" spans="1:2" x14ac:dyDescent="0.25">
      <c r="A11159" t="s">
        <v>7258</v>
      </c>
      <c r="B11159" t="s">
        <v>7146</v>
      </c>
    </row>
    <row r="11160" spans="1:2" x14ac:dyDescent="0.25">
      <c r="A11160" t="s">
        <v>13531</v>
      </c>
      <c r="B11160" t="s">
        <v>7146</v>
      </c>
    </row>
    <row r="11161" spans="1:2" x14ac:dyDescent="0.25">
      <c r="A11161" t="s">
        <v>11344</v>
      </c>
      <c r="B11161" t="s">
        <v>7146</v>
      </c>
    </row>
    <row r="11162" spans="1:2" x14ac:dyDescent="0.25">
      <c r="A11162" t="s">
        <v>6579</v>
      </c>
      <c r="B11162" t="s">
        <v>13203</v>
      </c>
    </row>
    <row r="11163" spans="1:2" x14ac:dyDescent="0.25">
      <c r="A11163" t="s">
        <v>7797</v>
      </c>
      <c r="B11163" t="s">
        <v>6579</v>
      </c>
    </row>
    <row r="11164" spans="1:2" x14ac:dyDescent="0.25">
      <c r="A11164" t="s">
        <v>6580</v>
      </c>
      <c r="B11164" t="s">
        <v>6579</v>
      </c>
    </row>
    <row r="11165" spans="1:2" x14ac:dyDescent="0.25">
      <c r="A11165" t="s">
        <v>7147</v>
      </c>
      <c r="B11165" t="s">
        <v>6579</v>
      </c>
    </row>
    <row r="11166" spans="1:2" x14ac:dyDescent="0.25">
      <c r="A11166" t="s">
        <v>7148</v>
      </c>
      <c r="B11166" t="s">
        <v>6579</v>
      </c>
    </row>
    <row r="11167" spans="1:2" x14ac:dyDescent="0.25">
      <c r="A11167" t="s">
        <v>1198</v>
      </c>
      <c r="B11167" t="s">
        <v>6579</v>
      </c>
    </row>
    <row r="11168" spans="1:2" x14ac:dyDescent="0.25">
      <c r="A11168" t="s">
        <v>2004</v>
      </c>
      <c r="B11168" t="s">
        <v>6579</v>
      </c>
    </row>
    <row r="11169" spans="1:2" x14ac:dyDescent="0.25">
      <c r="A11169" t="s">
        <v>1199</v>
      </c>
      <c r="B11169" t="s">
        <v>6579</v>
      </c>
    </row>
    <row r="11170" spans="1:2" x14ac:dyDescent="0.25">
      <c r="A11170" t="s">
        <v>2005</v>
      </c>
      <c r="B11170" t="s">
        <v>6579</v>
      </c>
    </row>
    <row r="11171" spans="1:2" x14ac:dyDescent="0.25">
      <c r="A11171" t="s">
        <v>6631</v>
      </c>
      <c r="B11171" t="s">
        <v>6579</v>
      </c>
    </row>
    <row r="11172" spans="1:2" x14ac:dyDescent="0.25">
      <c r="A11172" t="s">
        <v>13618</v>
      </c>
      <c r="B11172" t="s">
        <v>13203</v>
      </c>
    </row>
    <row r="11173" spans="1:2" x14ac:dyDescent="0.25">
      <c r="A11173" t="s">
        <v>6575</v>
      </c>
      <c r="B11173" t="s">
        <v>13618</v>
      </c>
    </row>
    <row r="11174" spans="1:2" x14ac:dyDescent="0.25">
      <c r="A11174" t="s">
        <v>4326</v>
      </c>
      <c r="B11174" t="s">
        <v>13618</v>
      </c>
    </row>
    <row r="11175" spans="1:2" x14ac:dyDescent="0.25">
      <c r="A11175" t="s">
        <v>2920</v>
      </c>
      <c r="B11175" t="s">
        <v>13618</v>
      </c>
    </row>
    <row r="11176" spans="1:2" x14ac:dyDescent="0.25">
      <c r="A11176" t="s">
        <v>5762</v>
      </c>
      <c r="B11176" t="s">
        <v>13618</v>
      </c>
    </row>
    <row r="11177" spans="1:2" x14ac:dyDescent="0.25">
      <c r="A11177" t="s">
        <v>7297</v>
      </c>
      <c r="B11177" t="s">
        <v>13618</v>
      </c>
    </row>
    <row r="11178" spans="1:2" x14ac:dyDescent="0.25">
      <c r="A11178" t="s">
        <v>10970</v>
      </c>
      <c r="B11178" t="s">
        <v>13618</v>
      </c>
    </row>
    <row r="11179" spans="1:2" x14ac:dyDescent="0.25">
      <c r="A11179" t="s">
        <v>5307</v>
      </c>
      <c r="B11179" t="s">
        <v>10970</v>
      </c>
    </row>
    <row r="11180" spans="1:2" x14ac:dyDescent="0.25">
      <c r="A11180" t="s">
        <v>1364</v>
      </c>
      <c r="B11180" t="s">
        <v>10970</v>
      </c>
    </row>
    <row r="11181" spans="1:2" x14ac:dyDescent="0.25">
      <c r="A11181" t="s">
        <v>2552</v>
      </c>
      <c r="B11181" t="s">
        <v>10970</v>
      </c>
    </row>
    <row r="11182" spans="1:2" x14ac:dyDescent="0.25">
      <c r="A11182" t="s">
        <v>2105</v>
      </c>
      <c r="B11182" t="s">
        <v>10970</v>
      </c>
    </row>
    <row r="11183" spans="1:2" x14ac:dyDescent="0.25">
      <c r="A11183" t="s">
        <v>1365</v>
      </c>
      <c r="B11183" t="s">
        <v>10970</v>
      </c>
    </row>
    <row r="11184" spans="1:2" x14ac:dyDescent="0.25">
      <c r="A11184" t="s">
        <v>1366</v>
      </c>
      <c r="B11184" t="s">
        <v>10970</v>
      </c>
    </row>
    <row r="11185" spans="1:2" x14ac:dyDescent="0.25">
      <c r="A11185" t="s">
        <v>2553</v>
      </c>
      <c r="B11185" t="s">
        <v>10970</v>
      </c>
    </row>
    <row r="11186" spans="1:2" x14ac:dyDescent="0.25">
      <c r="A11186" t="s">
        <v>2106</v>
      </c>
      <c r="B11186" t="s">
        <v>10970</v>
      </c>
    </row>
    <row r="11187" spans="1:2" x14ac:dyDescent="0.25">
      <c r="A11187" t="s">
        <v>2107</v>
      </c>
      <c r="B11187" t="s">
        <v>10970</v>
      </c>
    </row>
    <row r="11188" spans="1:2" x14ac:dyDescent="0.25">
      <c r="A11188" t="s">
        <v>5361</v>
      </c>
      <c r="B11188" t="s">
        <v>13618</v>
      </c>
    </row>
    <row r="11189" spans="1:2" x14ac:dyDescent="0.25">
      <c r="A11189" t="s">
        <v>13733</v>
      </c>
      <c r="B11189" t="s">
        <v>12510</v>
      </c>
    </row>
    <row r="11190" spans="1:2" x14ac:dyDescent="0.25">
      <c r="A11190" t="s">
        <v>11356</v>
      </c>
      <c r="B11190" t="s">
        <v>12510</v>
      </c>
    </row>
    <row r="11191" spans="1:2" x14ac:dyDescent="0.25">
      <c r="A11191" t="s">
        <v>8459</v>
      </c>
      <c r="B11191" t="s">
        <v>12510</v>
      </c>
    </row>
    <row r="11192" spans="1:2" x14ac:dyDescent="0.25">
      <c r="A11192" t="s">
        <v>14228</v>
      </c>
      <c r="B11192" t="s">
        <v>12510</v>
      </c>
    </row>
    <row r="11193" spans="1:2" x14ac:dyDescent="0.25">
      <c r="A11193" t="s">
        <v>14230</v>
      </c>
      <c r="B11193" t="s">
        <v>12510</v>
      </c>
    </row>
    <row r="11194" spans="1:2" x14ac:dyDescent="0.25">
      <c r="A11194" t="s">
        <v>9171</v>
      </c>
      <c r="B11194" t="s">
        <v>12510</v>
      </c>
    </row>
    <row r="11195" spans="1:2" x14ac:dyDescent="0.25">
      <c r="A11195" t="s">
        <v>2020</v>
      </c>
      <c r="B11195" t="s">
        <v>9171</v>
      </c>
    </row>
    <row r="11196" spans="1:2" x14ac:dyDescent="0.25">
      <c r="A11196" t="s">
        <v>2021</v>
      </c>
      <c r="B11196" t="s">
        <v>9171</v>
      </c>
    </row>
    <row r="11197" spans="1:2" x14ac:dyDescent="0.25">
      <c r="A11197" t="s">
        <v>2022</v>
      </c>
      <c r="B11197" t="s">
        <v>9171</v>
      </c>
    </row>
    <row r="11198" spans="1:2" x14ac:dyDescent="0.25">
      <c r="A11198" t="s">
        <v>2491</v>
      </c>
      <c r="B11198" t="s">
        <v>9171</v>
      </c>
    </row>
    <row r="11199" spans="1:2" x14ac:dyDescent="0.25">
      <c r="A11199" t="s">
        <v>3354</v>
      </c>
      <c r="B11199" t="s">
        <v>9171</v>
      </c>
    </row>
    <row r="11200" spans="1:2" x14ac:dyDescent="0.25">
      <c r="A11200" t="s">
        <v>2492</v>
      </c>
      <c r="B11200" t="s">
        <v>9171</v>
      </c>
    </row>
    <row r="11201" spans="1:2" x14ac:dyDescent="0.25">
      <c r="A11201" t="s">
        <v>2924</v>
      </c>
      <c r="B11201" t="s">
        <v>9171</v>
      </c>
    </row>
    <row r="11202" spans="1:2" x14ac:dyDescent="0.25">
      <c r="A11202" t="s">
        <v>8330</v>
      </c>
      <c r="B11202" t="s">
        <v>9171</v>
      </c>
    </row>
    <row r="11203" spans="1:2" x14ac:dyDescent="0.25">
      <c r="A11203" t="s">
        <v>2493</v>
      </c>
      <c r="B11203" t="s">
        <v>9171</v>
      </c>
    </row>
    <row r="11204" spans="1:2" x14ac:dyDescent="0.25">
      <c r="A11204" t="s">
        <v>1214</v>
      </c>
      <c r="B11204" t="s">
        <v>9171</v>
      </c>
    </row>
    <row r="11205" spans="1:2" x14ac:dyDescent="0.25">
      <c r="A11205" t="s">
        <v>3355</v>
      </c>
      <c r="B11205" t="s">
        <v>9171</v>
      </c>
    </row>
    <row r="11206" spans="1:2" x14ac:dyDescent="0.25">
      <c r="A11206" t="s">
        <v>6582</v>
      </c>
      <c r="B11206" t="s">
        <v>9171</v>
      </c>
    </row>
    <row r="11207" spans="1:2" x14ac:dyDescent="0.25">
      <c r="A11207" t="s">
        <v>2023</v>
      </c>
      <c r="B11207" t="s">
        <v>9171</v>
      </c>
    </row>
    <row r="11208" spans="1:2" x14ac:dyDescent="0.25">
      <c r="A11208" t="s">
        <v>5736</v>
      </c>
      <c r="B11208" t="s">
        <v>9171</v>
      </c>
    </row>
    <row r="11209" spans="1:2" x14ac:dyDescent="0.25">
      <c r="A11209" t="s">
        <v>7972</v>
      </c>
      <c r="B11209" t="s">
        <v>9171</v>
      </c>
    </row>
    <row r="11210" spans="1:2" x14ac:dyDescent="0.25">
      <c r="A11210" t="s">
        <v>13758</v>
      </c>
      <c r="B11210" t="s">
        <v>12510</v>
      </c>
    </row>
    <row r="11211" spans="1:2" x14ac:dyDescent="0.25">
      <c r="A11211" t="s">
        <v>16287</v>
      </c>
      <c r="B11211" t="s">
        <v>13758</v>
      </c>
    </row>
    <row r="11212" spans="1:2" x14ac:dyDescent="0.25">
      <c r="A11212" t="s">
        <v>12865</v>
      </c>
      <c r="B11212" t="s">
        <v>11954</v>
      </c>
    </row>
    <row r="11213" spans="1:2" x14ac:dyDescent="0.25">
      <c r="A11213" t="s">
        <v>9168</v>
      </c>
      <c r="B11213" t="s">
        <v>12865</v>
      </c>
    </row>
    <row r="11214" spans="1:2" x14ac:dyDescent="0.25">
      <c r="A11214" t="s">
        <v>3344</v>
      </c>
      <c r="B11214" t="s">
        <v>9168</v>
      </c>
    </row>
    <row r="11215" spans="1:2" x14ac:dyDescent="0.25">
      <c r="A11215" t="s">
        <v>7798</v>
      </c>
      <c r="B11215" t="s">
        <v>9168</v>
      </c>
    </row>
    <row r="11216" spans="1:2" x14ac:dyDescent="0.25">
      <c r="A11216" t="s">
        <v>3855</v>
      </c>
      <c r="B11216" t="s">
        <v>9168</v>
      </c>
    </row>
    <row r="11217" spans="1:2" x14ac:dyDescent="0.25">
      <c r="A11217" t="s">
        <v>3345</v>
      </c>
      <c r="B11217" t="s">
        <v>9168</v>
      </c>
    </row>
    <row r="11218" spans="1:2" x14ac:dyDescent="0.25">
      <c r="A11218" t="s">
        <v>4832</v>
      </c>
      <c r="B11218" t="s">
        <v>9168</v>
      </c>
    </row>
    <row r="11219" spans="1:2" x14ac:dyDescent="0.25">
      <c r="A11219" t="s">
        <v>6581</v>
      </c>
      <c r="B11219" t="s">
        <v>9168</v>
      </c>
    </row>
    <row r="11220" spans="1:2" x14ac:dyDescent="0.25">
      <c r="A11220" t="s">
        <v>9212</v>
      </c>
      <c r="B11220" t="s">
        <v>9168</v>
      </c>
    </row>
    <row r="11221" spans="1:2" x14ac:dyDescent="0.25">
      <c r="A11221" t="s">
        <v>7799</v>
      </c>
      <c r="B11221" t="s">
        <v>12865</v>
      </c>
    </row>
    <row r="11222" spans="1:2" x14ac:dyDescent="0.25">
      <c r="A11222" t="s">
        <v>4328</v>
      </c>
      <c r="B11222" t="s">
        <v>7799</v>
      </c>
    </row>
    <row r="11223" spans="1:2" x14ac:dyDescent="0.25">
      <c r="A11223" t="s">
        <v>1200</v>
      </c>
      <c r="B11223" t="s">
        <v>7799</v>
      </c>
    </row>
    <row r="11224" spans="1:2" x14ac:dyDescent="0.25">
      <c r="A11224" t="s">
        <v>4329</v>
      </c>
      <c r="B11224" t="s">
        <v>7799</v>
      </c>
    </row>
    <row r="11225" spans="1:2" x14ac:dyDescent="0.25">
      <c r="A11225" t="s">
        <v>3856</v>
      </c>
      <c r="B11225" t="s">
        <v>7799</v>
      </c>
    </row>
    <row r="11226" spans="1:2" x14ac:dyDescent="0.25">
      <c r="A11226" t="s">
        <v>2006</v>
      </c>
      <c r="B11226" t="s">
        <v>7799</v>
      </c>
    </row>
    <row r="11227" spans="1:2" x14ac:dyDescent="0.25">
      <c r="A11227" t="s">
        <v>7150</v>
      </c>
      <c r="B11227" t="s">
        <v>7799</v>
      </c>
    </row>
    <row r="11228" spans="1:2" x14ac:dyDescent="0.25">
      <c r="A11228" t="s">
        <v>7151</v>
      </c>
      <c r="B11228" t="s">
        <v>7799</v>
      </c>
    </row>
    <row r="11229" spans="1:2" x14ac:dyDescent="0.25">
      <c r="A11229" t="s">
        <v>3347</v>
      </c>
      <c r="B11229" t="s">
        <v>7799</v>
      </c>
    </row>
    <row r="11230" spans="1:2" x14ac:dyDescent="0.25">
      <c r="A11230" t="s">
        <v>3348</v>
      </c>
      <c r="B11230" t="s">
        <v>7799</v>
      </c>
    </row>
    <row r="11231" spans="1:2" x14ac:dyDescent="0.25">
      <c r="A11231" t="s">
        <v>7800</v>
      </c>
      <c r="B11231" t="s">
        <v>7799</v>
      </c>
    </row>
    <row r="11232" spans="1:2" x14ac:dyDescent="0.25">
      <c r="A11232" t="s">
        <v>1493</v>
      </c>
      <c r="B11232" t="s">
        <v>7799</v>
      </c>
    </row>
    <row r="11233" spans="1:2" x14ac:dyDescent="0.25">
      <c r="A11233" t="s">
        <v>6096</v>
      </c>
      <c r="B11233" t="s">
        <v>12865</v>
      </c>
    </row>
    <row r="11234" spans="1:2" x14ac:dyDescent="0.25">
      <c r="A11234" t="s">
        <v>3349</v>
      </c>
      <c r="B11234" t="s">
        <v>6096</v>
      </c>
    </row>
    <row r="11235" spans="1:2" x14ac:dyDescent="0.25">
      <c r="A11235" t="s">
        <v>7802</v>
      </c>
      <c r="B11235" t="s">
        <v>6096</v>
      </c>
    </row>
    <row r="11236" spans="1:2" x14ac:dyDescent="0.25">
      <c r="A11236" t="s">
        <v>2490</v>
      </c>
      <c r="B11236" t="s">
        <v>6096</v>
      </c>
    </row>
    <row r="11237" spans="1:2" x14ac:dyDescent="0.25">
      <c r="A11237" t="s">
        <v>2012</v>
      </c>
      <c r="B11237" t="s">
        <v>6096</v>
      </c>
    </row>
    <row r="11238" spans="1:2" x14ac:dyDescent="0.25">
      <c r="A11238" t="s">
        <v>2013</v>
      </c>
      <c r="B11238" t="s">
        <v>6096</v>
      </c>
    </row>
    <row r="11239" spans="1:2" x14ac:dyDescent="0.25">
      <c r="A11239" t="s">
        <v>1207</v>
      </c>
      <c r="B11239" t="s">
        <v>6096</v>
      </c>
    </row>
    <row r="11240" spans="1:2" x14ac:dyDescent="0.25">
      <c r="A11240" t="s">
        <v>1208</v>
      </c>
      <c r="B11240" t="s">
        <v>6096</v>
      </c>
    </row>
    <row r="11241" spans="1:2" x14ac:dyDescent="0.25">
      <c r="A11241" t="s">
        <v>3350</v>
      </c>
      <c r="B11241" t="s">
        <v>6096</v>
      </c>
    </row>
    <row r="11242" spans="1:2" x14ac:dyDescent="0.25">
      <c r="A11242" t="s">
        <v>2014</v>
      </c>
      <c r="B11242" t="s">
        <v>6096</v>
      </c>
    </row>
    <row r="11243" spans="1:2" x14ac:dyDescent="0.25">
      <c r="A11243" t="s">
        <v>2015</v>
      </c>
      <c r="B11243" t="s">
        <v>6096</v>
      </c>
    </row>
    <row r="11244" spans="1:2" x14ac:dyDescent="0.25">
      <c r="A11244" t="s">
        <v>1209</v>
      </c>
      <c r="B11244" t="s">
        <v>6096</v>
      </c>
    </row>
    <row r="11245" spans="1:2" x14ac:dyDescent="0.25">
      <c r="A11245" t="s">
        <v>3351</v>
      </c>
      <c r="B11245" t="s">
        <v>6096</v>
      </c>
    </row>
    <row r="11246" spans="1:2" x14ac:dyDescent="0.25">
      <c r="A11246" t="s">
        <v>3352</v>
      </c>
      <c r="B11246" t="s">
        <v>6096</v>
      </c>
    </row>
    <row r="11247" spans="1:2" x14ac:dyDescent="0.25">
      <c r="A11247" t="s">
        <v>2016</v>
      </c>
      <c r="B11247" t="s">
        <v>6096</v>
      </c>
    </row>
    <row r="11248" spans="1:2" x14ac:dyDescent="0.25">
      <c r="A11248" t="s">
        <v>1210</v>
      </c>
      <c r="B11248" t="s">
        <v>6096</v>
      </c>
    </row>
    <row r="11249" spans="1:2" x14ac:dyDescent="0.25">
      <c r="A11249" t="s">
        <v>1211</v>
      </c>
      <c r="B11249" t="s">
        <v>6096</v>
      </c>
    </row>
    <row r="11250" spans="1:2" x14ac:dyDescent="0.25">
      <c r="A11250" t="s">
        <v>1212</v>
      </c>
      <c r="B11250" t="s">
        <v>6096</v>
      </c>
    </row>
    <row r="11251" spans="1:2" x14ac:dyDescent="0.25">
      <c r="A11251" t="s">
        <v>2017</v>
      </c>
      <c r="B11251" t="s">
        <v>6096</v>
      </c>
    </row>
    <row r="11252" spans="1:2" x14ac:dyDescent="0.25">
      <c r="A11252" t="s">
        <v>3353</v>
      </c>
      <c r="B11252" t="s">
        <v>6096</v>
      </c>
    </row>
    <row r="11253" spans="1:2" x14ac:dyDescent="0.25">
      <c r="A11253" t="s">
        <v>2018</v>
      </c>
      <c r="B11253" t="s">
        <v>6096</v>
      </c>
    </row>
    <row r="11254" spans="1:2" x14ac:dyDescent="0.25">
      <c r="A11254" t="s">
        <v>1213</v>
      </c>
      <c r="B11254" t="s">
        <v>6096</v>
      </c>
    </row>
    <row r="11255" spans="1:2" x14ac:dyDescent="0.25">
      <c r="A11255" t="s">
        <v>5347</v>
      </c>
      <c r="B11255" t="s">
        <v>6096</v>
      </c>
    </row>
    <row r="11256" spans="1:2" x14ac:dyDescent="0.25">
      <c r="A11256" t="s">
        <v>9585</v>
      </c>
      <c r="B11256" t="s">
        <v>12865</v>
      </c>
    </row>
    <row r="11257" spans="1:2" x14ac:dyDescent="0.25">
      <c r="A11257" t="s">
        <v>7803</v>
      </c>
      <c r="B11257" t="s">
        <v>9585</v>
      </c>
    </row>
    <row r="11258" spans="1:2" x14ac:dyDescent="0.25">
      <c r="A11258" t="s">
        <v>9586</v>
      </c>
      <c r="B11258" t="s">
        <v>9585</v>
      </c>
    </row>
    <row r="11259" spans="1:2" x14ac:dyDescent="0.25">
      <c r="A11259" t="s">
        <v>3863</v>
      </c>
      <c r="B11259" t="s">
        <v>9585</v>
      </c>
    </row>
    <row r="11260" spans="1:2" x14ac:dyDescent="0.25">
      <c r="A11260" t="s">
        <v>6097</v>
      </c>
      <c r="B11260" t="s">
        <v>9585</v>
      </c>
    </row>
    <row r="11261" spans="1:2" x14ac:dyDescent="0.25">
      <c r="A11261" t="s">
        <v>2019</v>
      </c>
      <c r="B11261" t="s">
        <v>9585</v>
      </c>
    </row>
    <row r="11262" spans="1:2" x14ac:dyDescent="0.25">
      <c r="A11262" t="s">
        <v>8776</v>
      </c>
      <c r="B11262" t="s">
        <v>12865</v>
      </c>
    </row>
    <row r="11263" spans="1:2" x14ac:dyDescent="0.25">
      <c r="A11263" t="s">
        <v>1215</v>
      </c>
      <c r="B11263" t="s">
        <v>8776</v>
      </c>
    </row>
    <row r="11264" spans="1:2" x14ac:dyDescent="0.25">
      <c r="A11264" t="s">
        <v>5678</v>
      </c>
      <c r="B11264" t="s">
        <v>8776</v>
      </c>
    </row>
    <row r="11265" spans="1:2" x14ac:dyDescent="0.25">
      <c r="A11265" t="s">
        <v>6583</v>
      </c>
      <c r="B11265" t="s">
        <v>8776</v>
      </c>
    </row>
    <row r="11266" spans="1:2" x14ac:dyDescent="0.25">
      <c r="A11266" t="s">
        <v>1216</v>
      </c>
      <c r="B11266" t="s">
        <v>8776</v>
      </c>
    </row>
    <row r="11267" spans="1:2" x14ac:dyDescent="0.25">
      <c r="A11267" t="s">
        <v>1217</v>
      </c>
      <c r="B11267" t="s">
        <v>8776</v>
      </c>
    </row>
    <row r="11268" spans="1:2" x14ac:dyDescent="0.25">
      <c r="A11268" t="s">
        <v>1218</v>
      </c>
      <c r="B11268" t="s">
        <v>8776</v>
      </c>
    </row>
    <row r="11269" spans="1:2" x14ac:dyDescent="0.25">
      <c r="A11269" t="s">
        <v>3357</v>
      </c>
      <c r="B11269" t="s">
        <v>8776</v>
      </c>
    </row>
    <row r="11270" spans="1:2" x14ac:dyDescent="0.25">
      <c r="A11270" t="s">
        <v>2494</v>
      </c>
      <c r="B11270" t="s">
        <v>8776</v>
      </c>
    </row>
    <row r="11271" spans="1:2" x14ac:dyDescent="0.25">
      <c r="A11271" t="s">
        <v>2024</v>
      </c>
      <c r="B11271" t="s">
        <v>8776</v>
      </c>
    </row>
    <row r="11272" spans="1:2" x14ac:dyDescent="0.25">
      <c r="A11272" t="s">
        <v>2925</v>
      </c>
      <c r="B11272" t="s">
        <v>8776</v>
      </c>
    </row>
    <row r="11273" spans="1:2" x14ac:dyDescent="0.25">
      <c r="A11273" t="s">
        <v>7153</v>
      </c>
      <c r="B11273" t="s">
        <v>8776</v>
      </c>
    </row>
    <row r="11274" spans="1:2" x14ac:dyDescent="0.25">
      <c r="A11274" t="s">
        <v>8331</v>
      </c>
      <c r="B11274" t="s">
        <v>8776</v>
      </c>
    </row>
    <row r="11275" spans="1:2" x14ac:dyDescent="0.25">
      <c r="A11275" t="s">
        <v>7804</v>
      </c>
      <c r="B11275" t="s">
        <v>8776</v>
      </c>
    </row>
    <row r="11276" spans="1:2" x14ac:dyDescent="0.25">
      <c r="A11276" t="s">
        <v>2025</v>
      </c>
      <c r="B11276" t="s">
        <v>8776</v>
      </c>
    </row>
    <row r="11277" spans="1:2" x14ac:dyDescent="0.25">
      <c r="A11277" t="s">
        <v>1219</v>
      </c>
      <c r="B11277" t="s">
        <v>8776</v>
      </c>
    </row>
    <row r="11278" spans="1:2" x14ac:dyDescent="0.25">
      <c r="A11278" t="s">
        <v>1220</v>
      </c>
      <c r="B11278" t="s">
        <v>8776</v>
      </c>
    </row>
    <row r="11279" spans="1:2" x14ac:dyDescent="0.25">
      <c r="A11279" t="s">
        <v>5269</v>
      </c>
      <c r="B11279" t="s">
        <v>8776</v>
      </c>
    </row>
    <row r="11280" spans="1:2" x14ac:dyDescent="0.25">
      <c r="A11280" t="s">
        <v>1221</v>
      </c>
      <c r="B11280" t="s">
        <v>8776</v>
      </c>
    </row>
    <row r="11281" spans="1:2" x14ac:dyDescent="0.25">
      <c r="A11281" t="s">
        <v>2495</v>
      </c>
      <c r="B11281" t="s">
        <v>8776</v>
      </c>
    </row>
    <row r="11282" spans="1:2" x14ac:dyDescent="0.25">
      <c r="A11282" t="s">
        <v>1222</v>
      </c>
      <c r="B11282" t="s">
        <v>8776</v>
      </c>
    </row>
    <row r="11283" spans="1:2" x14ac:dyDescent="0.25">
      <c r="A11283" t="s">
        <v>2926</v>
      </c>
      <c r="B11283" t="s">
        <v>8776</v>
      </c>
    </row>
    <row r="11284" spans="1:2" x14ac:dyDescent="0.25">
      <c r="A11284" t="s">
        <v>2026</v>
      </c>
      <c r="B11284" t="s">
        <v>8776</v>
      </c>
    </row>
    <row r="11285" spans="1:2" x14ac:dyDescent="0.25">
      <c r="A11285" t="s">
        <v>7876</v>
      </c>
      <c r="B11285" t="s">
        <v>8776</v>
      </c>
    </row>
    <row r="11286" spans="1:2" x14ac:dyDescent="0.25">
      <c r="A11286" t="s">
        <v>8787</v>
      </c>
      <c r="B11286" t="s">
        <v>12865</v>
      </c>
    </row>
    <row r="11287" spans="1:2" x14ac:dyDescent="0.25">
      <c r="A11287" t="s">
        <v>2063</v>
      </c>
      <c r="B11287" t="s">
        <v>8787</v>
      </c>
    </row>
    <row r="11288" spans="1:2" x14ac:dyDescent="0.25">
      <c r="A11288" t="s">
        <v>7827</v>
      </c>
      <c r="B11288" t="s">
        <v>8787</v>
      </c>
    </row>
    <row r="11289" spans="1:2" x14ac:dyDescent="0.25">
      <c r="A11289" t="s">
        <v>2942</v>
      </c>
      <c r="B11289" t="s">
        <v>7827</v>
      </c>
    </row>
    <row r="11290" spans="1:2" x14ac:dyDescent="0.25">
      <c r="A11290" t="s">
        <v>1292</v>
      </c>
      <c r="B11290" t="s">
        <v>7827</v>
      </c>
    </row>
    <row r="11291" spans="1:2" x14ac:dyDescent="0.25">
      <c r="A11291" t="s">
        <v>5287</v>
      </c>
      <c r="B11291" t="s">
        <v>8787</v>
      </c>
    </row>
    <row r="11292" spans="1:2" x14ac:dyDescent="0.25">
      <c r="A11292" t="s">
        <v>2943</v>
      </c>
      <c r="B11292" t="s">
        <v>5287</v>
      </c>
    </row>
    <row r="11293" spans="1:2" x14ac:dyDescent="0.25">
      <c r="A11293" t="s">
        <v>1293</v>
      </c>
      <c r="B11293" t="s">
        <v>5287</v>
      </c>
    </row>
    <row r="11294" spans="1:2" x14ac:dyDescent="0.25">
      <c r="A11294" t="s">
        <v>1294</v>
      </c>
      <c r="B11294" t="s">
        <v>5287</v>
      </c>
    </row>
    <row r="11295" spans="1:2" x14ac:dyDescent="0.25">
      <c r="A11295" t="s">
        <v>6601</v>
      </c>
      <c r="B11295" t="s">
        <v>8787</v>
      </c>
    </row>
    <row r="11296" spans="1:2" x14ac:dyDescent="0.25">
      <c r="A11296" t="s">
        <v>1295</v>
      </c>
      <c r="B11296" t="s">
        <v>6601</v>
      </c>
    </row>
    <row r="11297" spans="1:2" x14ac:dyDescent="0.25">
      <c r="A11297" t="s">
        <v>4350</v>
      </c>
      <c r="B11297" t="s">
        <v>8787</v>
      </c>
    </row>
    <row r="11298" spans="1:2" x14ac:dyDescent="0.25">
      <c r="A11298" t="s">
        <v>13734</v>
      </c>
      <c r="B11298" t="s">
        <v>12865</v>
      </c>
    </row>
    <row r="11299" spans="1:2" x14ac:dyDescent="0.25">
      <c r="A11299" t="s">
        <v>14207</v>
      </c>
      <c r="B11299" t="s">
        <v>12865</v>
      </c>
    </row>
    <row r="11300" spans="1:2" x14ac:dyDescent="0.25">
      <c r="A11300" t="s">
        <v>13821</v>
      </c>
      <c r="B11300" t="s">
        <v>11954</v>
      </c>
    </row>
    <row r="11301" spans="1:2" x14ac:dyDescent="0.25">
      <c r="A11301" t="s">
        <v>13006</v>
      </c>
      <c r="B11301" t="s">
        <v>13821</v>
      </c>
    </row>
    <row r="11302" spans="1:2" x14ac:dyDescent="0.25">
      <c r="A11302" t="s">
        <v>13007</v>
      </c>
      <c r="B11302" t="s">
        <v>13006</v>
      </c>
    </row>
    <row r="11303" spans="1:2" x14ac:dyDescent="0.25">
      <c r="A11303" t="s">
        <v>13008</v>
      </c>
      <c r="B11303" t="s">
        <v>13006</v>
      </c>
    </row>
    <row r="11304" spans="1:2" x14ac:dyDescent="0.25">
      <c r="A11304" t="s">
        <v>13009</v>
      </c>
      <c r="B11304" t="s">
        <v>13006</v>
      </c>
    </row>
    <row r="11305" spans="1:2" x14ac:dyDescent="0.25">
      <c r="A11305" t="s">
        <v>13010</v>
      </c>
      <c r="B11305" t="s">
        <v>13006</v>
      </c>
    </row>
    <row r="11306" spans="1:2" x14ac:dyDescent="0.25">
      <c r="A11306" t="s">
        <v>13351</v>
      </c>
      <c r="B11306" t="s">
        <v>13006</v>
      </c>
    </row>
    <row r="11307" spans="1:2" x14ac:dyDescent="0.25">
      <c r="A11307" t="s">
        <v>1502</v>
      </c>
      <c r="B11307" t="s">
        <v>13006</v>
      </c>
    </row>
    <row r="11308" spans="1:2" x14ac:dyDescent="0.25">
      <c r="A11308" t="s">
        <v>6640</v>
      </c>
      <c r="B11308" t="s">
        <v>1502</v>
      </c>
    </row>
    <row r="11309" spans="1:2" x14ac:dyDescent="0.25">
      <c r="A11309" t="s">
        <v>7270</v>
      </c>
      <c r="B11309" t="s">
        <v>1502</v>
      </c>
    </row>
    <row r="11310" spans="1:2" x14ac:dyDescent="0.25">
      <c r="A11310" t="s">
        <v>2378</v>
      </c>
      <c r="B11310" t="s">
        <v>7270</v>
      </c>
    </row>
    <row r="11311" spans="1:2" x14ac:dyDescent="0.25">
      <c r="A11311" t="s">
        <v>2598</v>
      </c>
      <c r="B11311" t="s">
        <v>1502</v>
      </c>
    </row>
    <row r="11312" spans="1:2" x14ac:dyDescent="0.25">
      <c r="A11312" t="s">
        <v>763</v>
      </c>
      <c r="B11312" t="s">
        <v>2598</v>
      </c>
    </row>
    <row r="11313" spans="1:2" x14ac:dyDescent="0.25">
      <c r="A11313" t="s">
        <v>4756</v>
      </c>
      <c r="B11313" t="s">
        <v>1502</v>
      </c>
    </row>
    <row r="11314" spans="1:2" x14ac:dyDescent="0.25">
      <c r="A11314" t="s">
        <v>1399</v>
      </c>
      <c r="B11314" t="s">
        <v>4756</v>
      </c>
    </row>
    <row r="11315" spans="1:2" x14ac:dyDescent="0.25">
      <c r="A11315" t="s">
        <v>4884</v>
      </c>
      <c r="B11315" t="s">
        <v>4756</v>
      </c>
    </row>
    <row r="11316" spans="1:2" x14ac:dyDescent="0.25">
      <c r="A11316" t="s">
        <v>6137</v>
      </c>
      <c r="B11316" t="s">
        <v>4756</v>
      </c>
    </row>
    <row r="11317" spans="1:2" x14ac:dyDescent="0.25">
      <c r="A11317" t="s">
        <v>2187</v>
      </c>
      <c r="B11317" t="s">
        <v>13006</v>
      </c>
    </row>
    <row r="11318" spans="1:2" x14ac:dyDescent="0.25">
      <c r="A11318" t="s">
        <v>1536</v>
      </c>
      <c r="B11318" t="s">
        <v>2187</v>
      </c>
    </row>
    <row r="11319" spans="1:2" x14ac:dyDescent="0.25">
      <c r="A11319" t="s">
        <v>14238</v>
      </c>
      <c r="B11319" t="s">
        <v>11954</v>
      </c>
    </row>
    <row r="11320" spans="1:2" x14ac:dyDescent="0.25">
      <c r="A11320" t="s">
        <v>8785</v>
      </c>
      <c r="B11320" t="s">
        <v>14238</v>
      </c>
    </row>
    <row r="11321" spans="1:2" x14ac:dyDescent="0.25">
      <c r="A11321" t="s">
        <v>11345</v>
      </c>
      <c r="B11321" t="s">
        <v>14238</v>
      </c>
    </row>
    <row r="11322" spans="1:2" x14ac:dyDescent="0.25">
      <c r="A11322" t="s">
        <v>14229</v>
      </c>
      <c r="B11322" t="s">
        <v>11954</v>
      </c>
    </row>
    <row r="11323" spans="1:2" x14ac:dyDescent="0.25">
      <c r="A11323" t="s">
        <v>16288</v>
      </c>
      <c r="B11323" t="s">
        <v>14229</v>
      </c>
    </row>
    <row r="11324" spans="1:2" x14ac:dyDescent="0.25">
      <c r="A11324" t="s">
        <v>15014</v>
      </c>
      <c r="B11324" t="s">
        <v>11954</v>
      </c>
    </row>
    <row r="11325" spans="1:2" x14ac:dyDescent="0.25">
      <c r="A11325" t="s">
        <v>11025</v>
      </c>
      <c r="B11325" t="s">
        <v>1156</v>
      </c>
    </row>
    <row r="11326" spans="1:2" x14ac:dyDescent="0.25">
      <c r="A11326" t="s">
        <v>5778</v>
      </c>
      <c r="B11326" t="s">
        <v>11025</v>
      </c>
    </row>
    <row r="11327" spans="1:2" x14ac:dyDescent="0.25">
      <c r="A11327" t="s">
        <v>9580</v>
      </c>
      <c r="B11327" t="s">
        <v>5778</v>
      </c>
    </row>
    <row r="11328" spans="1:2" x14ac:dyDescent="0.25">
      <c r="A11328" t="s">
        <v>1166</v>
      </c>
      <c r="B11328" t="s">
        <v>9580</v>
      </c>
    </row>
    <row r="11329" spans="1:2" x14ac:dyDescent="0.25">
      <c r="A11329" t="s">
        <v>1988</v>
      </c>
      <c r="B11329" t="s">
        <v>9580</v>
      </c>
    </row>
    <row r="11330" spans="1:2" x14ac:dyDescent="0.25">
      <c r="A11330" t="s">
        <v>2478</v>
      </c>
      <c r="B11330" t="s">
        <v>9580</v>
      </c>
    </row>
    <row r="11331" spans="1:2" x14ac:dyDescent="0.25">
      <c r="A11331" t="s">
        <v>3335</v>
      </c>
      <c r="B11331" t="s">
        <v>9580</v>
      </c>
    </row>
    <row r="11332" spans="1:2" x14ac:dyDescent="0.25">
      <c r="A11332" t="s">
        <v>1167</v>
      </c>
      <c r="B11332" t="s">
        <v>9580</v>
      </c>
    </row>
    <row r="11333" spans="1:2" x14ac:dyDescent="0.25">
      <c r="A11333" t="s">
        <v>5264</v>
      </c>
      <c r="B11333" t="s">
        <v>9580</v>
      </c>
    </row>
    <row r="11334" spans="1:2" x14ac:dyDescent="0.25">
      <c r="A11334" t="s">
        <v>1989</v>
      </c>
      <c r="B11334" t="s">
        <v>9580</v>
      </c>
    </row>
    <row r="11335" spans="1:2" x14ac:dyDescent="0.25">
      <c r="A11335" t="s">
        <v>6089</v>
      </c>
      <c r="B11335" t="s">
        <v>9580</v>
      </c>
    </row>
    <row r="11336" spans="1:2" x14ac:dyDescent="0.25">
      <c r="A11336" t="s">
        <v>3336</v>
      </c>
      <c r="B11336" t="s">
        <v>9580</v>
      </c>
    </row>
    <row r="11337" spans="1:2" x14ac:dyDescent="0.25">
      <c r="A11337" t="s">
        <v>1168</v>
      </c>
      <c r="B11337" t="s">
        <v>9580</v>
      </c>
    </row>
    <row r="11338" spans="1:2" x14ac:dyDescent="0.25">
      <c r="A11338" t="s">
        <v>2912</v>
      </c>
      <c r="B11338" t="s">
        <v>9580</v>
      </c>
    </row>
    <row r="11339" spans="1:2" x14ac:dyDescent="0.25">
      <c r="A11339" t="s">
        <v>1990</v>
      </c>
      <c r="B11339" t="s">
        <v>9580</v>
      </c>
    </row>
    <row r="11340" spans="1:2" x14ac:dyDescent="0.25">
      <c r="A11340" t="s">
        <v>9958</v>
      </c>
      <c r="B11340" t="s">
        <v>9580</v>
      </c>
    </row>
    <row r="11341" spans="1:2" x14ac:dyDescent="0.25">
      <c r="A11341" t="s">
        <v>12280</v>
      </c>
      <c r="B11341" t="s">
        <v>9580</v>
      </c>
    </row>
    <row r="11342" spans="1:2" x14ac:dyDescent="0.25">
      <c r="A11342" t="s">
        <v>7792</v>
      </c>
      <c r="B11342" t="s">
        <v>9580</v>
      </c>
    </row>
    <row r="11343" spans="1:2" x14ac:dyDescent="0.25">
      <c r="A11343" t="s">
        <v>7144</v>
      </c>
      <c r="B11343" t="s">
        <v>9580</v>
      </c>
    </row>
    <row r="11344" spans="1:2" x14ac:dyDescent="0.25">
      <c r="A11344" t="s">
        <v>10191</v>
      </c>
      <c r="B11344" t="s">
        <v>9580</v>
      </c>
    </row>
    <row r="11345" spans="1:2" x14ac:dyDescent="0.25">
      <c r="A11345" t="s">
        <v>9582</v>
      </c>
      <c r="B11345" t="s">
        <v>5778</v>
      </c>
    </row>
    <row r="11346" spans="1:2" x14ac:dyDescent="0.25">
      <c r="A11346" t="s">
        <v>3337</v>
      </c>
      <c r="B11346" t="s">
        <v>9582</v>
      </c>
    </row>
    <row r="11347" spans="1:2" x14ac:dyDescent="0.25">
      <c r="A11347" t="s">
        <v>8324</v>
      </c>
      <c r="B11347" t="s">
        <v>9582</v>
      </c>
    </row>
    <row r="11348" spans="1:2" x14ac:dyDescent="0.25">
      <c r="A11348" t="s">
        <v>5421</v>
      </c>
      <c r="B11348" t="s">
        <v>9582</v>
      </c>
    </row>
    <row r="11349" spans="1:2" x14ac:dyDescent="0.25">
      <c r="A11349" t="s">
        <v>7794</v>
      </c>
      <c r="B11349" t="s">
        <v>5778</v>
      </c>
    </row>
    <row r="11350" spans="1:2" x14ac:dyDescent="0.25">
      <c r="A11350" t="s">
        <v>1994</v>
      </c>
      <c r="B11350" t="s">
        <v>7794</v>
      </c>
    </row>
    <row r="11351" spans="1:2" x14ac:dyDescent="0.25">
      <c r="A11351" t="s">
        <v>7795</v>
      </c>
      <c r="B11351" t="s">
        <v>7794</v>
      </c>
    </row>
    <row r="11352" spans="1:2" x14ac:dyDescent="0.25">
      <c r="A11352" t="s">
        <v>1183</v>
      </c>
      <c r="B11352" t="s">
        <v>7794</v>
      </c>
    </row>
    <row r="11353" spans="1:2" x14ac:dyDescent="0.25">
      <c r="A11353" t="s">
        <v>2482</v>
      </c>
      <c r="B11353" t="s">
        <v>7794</v>
      </c>
    </row>
    <row r="11354" spans="1:2" x14ac:dyDescent="0.25">
      <c r="A11354" t="s">
        <v>3338</v>
      </c>
      <c r="B11354" t="s">
        <v>7794</v>
      </c>
    </row>
    <row r="11355" spans="1:2" x14ac:dyDescent="0.25">
      <c r="A11355" t="s">
        <v>2483</v>
      </c>
      <c r="B11355" t="s">
        <v>7794</v>
      </c>
    </row>
    <row r="11356" spans="1:2" x14ac:dyDescent="0.25">
      <c r="A11356" t="s">
        <v>2919</v>
      </c>
      <c r="B11356" t="s">
        <v>7794</v>
      </c>
    </row>
    <row r="11357" spans="1:2" x14ac:dyDescent="0.25">
      <c r="A11357" t="s">
        <v>4325</v>
      </c>
      <c r="B11357" t="s">
        <v>7794</v>
      </c>
    </row>
    <row r="11358" spans="1:2" x14ac:dyDescent="0.25">
      <c r="A11358" t="s">
        <v>1184</v>
      </c>
      <c r="B11358" t="s">
        <v>7794</v>
      </c>
    </row>
    <row r="11359" spans="1:2" x14ac:dyDescent="0.25">
      <c r="A11359" t="s">
        <v>1185</v>
      </c>
      <c r="B11359" t="s">
        <v>7794</v>
      </c>
    </row>
    <row r="11360" spans="1:2" x14ac:dyDescent="0.25">
      <c r="A11360" t="s">
        <v>3339</v>
      </c>
      <c r="B11360" t="s">
        <v>7794</v>
      </c>
    </row>
    <row r="11361" spans="1:2" x14ac:dyDescent="0.25">
      <c r="A11361" t="s">
        <v>1186</v>
      </c>
      <c r="B11361" t="s">
        <v>7794</v>
      </c>
    </row>
    <row r="11362" spans="1:2" x14ac:dyDescent="0.25">
      <c r="A11362" t="s">
        <v>7145</v>
      </c>
      <c r="B11362" t="s">
        <v>7794</v>
      </c>
    </row>
    <row r="11363" spans="1:2" x14ac:dyDescent="0.25">
      <c r="A11363" t="s">
        <v>4830</v>
      </c>
      <c r="B11363" t="s">
        <v>7794</v>
      </c>
    </row>
    <row r="11364" spans="1:2" x14ac:dyDescent="0.25">
      <c r="A11364" t="s">
        <v>3340</v>
      </c>
      <c r="B11364" t="s">
        <v>7794</v>
      </c>
    </row>
    <row r="11365" spans="1:2" x14ac:dyDescent="0.25">
      <c r="A11365" t="s">
        <v>6576</v>
      </c>
      <c r="B11365" t="s">
        <v>7794</v>
      </c>
    </row>
    <row r="11366" spans="1:2" x14ac:dyDescent="0.25">
      <c r="A11366" t="s">
        <v>1187</v>
      </c>
      <c r="B11366" t="s">
        <v>7794</v>
      </c>
    </row>
    <row r="11367" spans="1:2" x14ac:dyDescent="0.25">
      <c r="A11367" t="s">
        <v>1995</v>
      </c>
      <c r="B11367" t="s">
        <v>7794</v>
      </c>
    </row>
    <row r="11368" spans="1:2" x14ac:dyDescent="0.25">
      <c r="A11368" t="s">
        <v>6577</v>
      </c>
      <c r="B11368" t="s">
        <v>7794</v>
      </c>
    </row>
    <row r="11369" spans="1:2" x14ac:dyDescent="0.25">
      <c r="A11369" t="s">
        <v>2484</v>
      </c>
      <c r="B11369" t="s">
        <v>7794</v>
      </c>
    </row>
    <row r="11370" spans="1:2" x14ac:dyDescent="0.25">
      <c r="A11370" t="s">
        <v>1996</v>
      </c>
      <c r="B11370" t="s">
        <v>7794</v>
      </c>
    </row>
    <row r="11371" spans="1:2" x14ac:dyDescent="0.25">
      <c r="A11371" t="s">
        <v>1188</v>
      </c>
      <c r="B11371" t="s">
        <v>7794</v>
      </c>
    </row>
    <row r="11372" spans="1:2" x14ac:dyDescent="0.25">
      <c r="A11372" t="s">
        <v>1189</v>
      </c>
      <c r="B11372" t="s">
        <v>7794</v>
      </c>
    </row>
    <row r="11373" spans="1:2" x14ac:dyDescent="0.25">
      <c r="A11373" t="s">
        <v>4472</v>
      </c>
      <c r="B11373" t="s">
        <v>7794</v>
      </c>
    </row>
    <row r="11374" spans="1:2" x14ac:dyDescent="0.25">
      <c r="A11374" t="s">
        <v>8329</v>
      </c>
      <c r="B11374" t="s">
        <v>5778</v>
      </c>
    </row>
    <row r="11375" spans="1:2" x14ac:dyDescent="0.25">
      <c r="A11375" t="s">
        <v>4833</v>
      </c>
      <c r="B11375" t="s">
        <v>8329</v>
      </c>
    </row>
    <row r="11376" spans="1:2" x14ac:dyDescent="0.25">
      <c r="A11376" t="s">
        <v>3861</v>
      </c>
      <c r="B11376" t="s">
        <v>8329</v>
      </c>
    </row>
    <row r="11377" spans="1:2" x14ac:dyDescent="0.25">
      <c r="A11377" t="s">
        <v>2008</v>
      </c>
      <c r="B11377" t="s">
        <v>8329</v>
      </c>
    </row>
    <row r="11378" spans="1:2" x14ac:dyDescent="0.25">
      <c r="A11378" t="s">
        <v>2009</v>
      </c>
      <c r="B11378" t="s">
        <v>8329</v>
      </c>
    </row>
    <row r="11379" spans="1:2" x14ac:dyDescent="0.25">
      <c r="A11379" t="s">
        <v>1202</v>
      </c>
      <c r="B11379" t="s">
        <v>8329</v>
      </c>
    </row>
    <row r="11380" spans="1:2" x14ac:dyDescent="0.25">
      <c r="A11380" t="s">
        <v>1203</v>
      </c>
      <c r="B11380" t="s">
        <v>8329</v>
      </c>
    </row>
    <row r="11381" spans="1:2" x14ac:dyDescent="0.25">
      <c r="A11381" t="s">
        <v>1204</v>
      </c>
      <c r="B11381" t="s">
        <v>8329</v>
      </c>
    </row>
    <row r="11382" spans="1:2" x14ac:dyDescent="0.25">
      <c r="A11382" t="s">
        <v>4330</v>
      </c>
      <c r="B11382" t="s">
        <v>8329</v>
      </c>
    </row>
    <row r="11383" spans="1:2" x14ac:dyDescent="0.25">
      <c r="A11383" t="s">
        <v>3862</v>
      </c>
      <c r="B11383" t="s">
        <v>8329</v>
      </c>
    </row>
    <row r="11384" spans="1:2" x14ac:dyDescent="0.25">
      <c r="A11384" t="s">
        <v>1205</v>
      </c>
      <c r="B11384" t="s">
        <v>8329</v>
      </c>
    </row>
    <row r="11385" spans="1:2" x14ac:dyDescent="0.25">
      <c r="A11385" t="s">
        <v>2010</v>
      </c>
      <c r="B11385" t="s">
        <v>8329</v>
      </c>
    </row>
    <row r="11386" spans="1:2" x14ac:dyDescent="0.25">
      <c r="A11386" t="s">
        <v>2011</v>
      </c>
      <c r="B11386" t="s">
        <v>8329</v>
      </c>
    </row>
    <row r="11387" spans="1:2" x14ac:dyDescent="0.25">
      <c r="A11387" t="s">
        <v>1206</v>
      </c>
      <c r="B11387" t="s">
        <v>8329</v>
      </c>
    </row>
    <row r="11388" spans="1:2" x14ac:dyDescent="0.25">
      <c r="A11388" t="s">
        <v>7255</v>
      </c>
      <c r="B11388" t="s">
        <v>8329</v>
      </c>
    </row>
    <row r="11389" spans="1:2" x14ac:dyDescent="0.25">
      <c r="A11389" t="s">
        <v>13383</v>
      </c>
      <c r="B11389" t="s">
        <v>8329</v>
      </c>
    </row>
    <row r="11390" spans="1:2" x14ac:dyDescent="0.25">
      <c r="A11390" t="s">
        <v>9193</v>
      </c>
      <c r="B11390" t="s">
        <v>5778</v>
      </c>
    </row>
    <row r="11391" spans="1:2" x14ac:dyDescent="0.25">
      <c r="A11391" t="s">
        <v>6108</v>
      </c>
      <c r="B11391" t="s">
        <v>9193</v>
      </c>
    </row>
    <row r="11392" spans="1:2" x14ac:dyDescent="0.25">
      <c r="A11392" t="s">
        <v>3884</v>
      </c>
      <c r="B11392" t="s">
        <v>6108</v>
      </c>
    </row>
    <row r="11393" spans="1:2" x14ac:dyDescent="0.25">
      <c r="A11393" t="s">
        <v>8345</v>
      </c>
      <c r="B11393" t="s">
        <v>6108</v>
      </c>
    </row>
    <row r="11394" spans="1:2" x14ac:dyDescent="0.25">
      <c r="A11394" t="s">
        <v>7824</v>
      </c>
      <c r="B11394" t="s">
        <v>6108</v>
      </c>
    </row>
    <row r="11395" spans="1:2" x14ac:dyDescent="0.25">
      <c r="A11395" t="s">
        <v>5701</v>
      </c>
      <c r="B11395" t="s">
        <v>6108</v>
      </c>
    </row>
    <row r="11396" spans="1:2" x14ac:dyDescent="0.25">
      <c r="A11396" t="s">
        <v>4345</v>
      </c>
      <c r="B11396" t="s">
        <v>6108</v>
      </c>
    </row>
    <row r="11397" spans="1:2" x14ac:dyDescent="0.25">
      <c r="A11397" t="s">
        <v>4346</v>
      </c>
      <c r="B11397" t="s">
        <v>9193</v>
      </c>
    </row>
    <row r="11398" spans="1:2" x14ac:dyDescent="0.25">
      <c r="A11398" t="s">
        <v>10563</v>
      </c>
      <c r="B11398" t="s">
        <v>5778</v>
      </c>
    </row>
    <row r="11399" spans="1:2" x14ac:dyDescent="0.25">
      <c r="A11399" t="s">
        <v>6111</v>
      </c>
      <c r="B11399" t="s">
        <v>10563</v>
      </c>
    </row>
    <row r="11400" spans="1:2" x14ac:dyDescent="0.25">
      <c r="A11400" t="s">
        <v>4850</v>
      </c>
      <c r="B11400" t="s">
        <v>6111</v>
      </c>
    </row>
    <row r="11401" spans="1:2" x14ac:dyDescent="0.25">
      <c r="A11401" t="s">
        <v>3378</v>
      </c>
      <c r="B11401" t="s">
        <v>6111</v>
      </c>
    </row>
    <row r="11402" spans="1:2" x14ac:dyDescent="0.25">
      <c r="A11402" t="s">
        <v>2065</v>
      </c>
      <c r="B11402" t="s">
        <v>6111</v>
      </c>
    </row>
    <row r="11403" spans="1:2" x14ac:dyDescent="0.25">
      <c r="A11403" t="s">
        <v>2517</v>
      </c>
      <c r="B11403" t="s">
        <v>6111</v>
      </c>
    </row>
    <row r="11404" spans="1:2" x14ac:dyDescent="0.25">
      <c r="A11404" t="s">
        <v>4351</v>
      </c>
      <c r="B11404" t="s">
        <v>6111</v>
      </c>
    </row>
    <row r="11405" spans="1:2" x14ac:dyDescent="0.25">
      <c r="A11405" t="s">
        <v>5288</v>
      </c>
      <c r="B11405" t="s">
        <v>6111</v>
      </c>
    </row>
    <row r="11406" spans="1:2" x14ac:dyDescent="0.25">
      <c r="A11406" t="s">
        <v>2066</v>
      </c>
      <c r="B11406" t="s">
        <v>6111</v>
      </c>
    </row>
    <row r="11407" spans="1:2" x14ac:dyDescent="0.25">
      <c r="A11407" t="s">
        <v>4851</v>
      </c>
      <c r="B11407" t="s">
        <v>6111</v>
      </c>
    </row>
    <row r="11408" spans="1:2" x14ac:dyDescent="0.25">
      <c r="A11408" t="s">
        <v>3379</v>
      </c>
      <c r="B11408" t="s">
        <v>6111</v>
      </c>
    </row>
    <row r="11409" spans="1:2" x14ac:dyDescent="0.25">
      <c r="A11409" t="s">
        <v>2944</v>
      </c>
      <c r="B11409" t="s">
        <v>6111</v>
      </c>
    </row>
    <row r="11410" spans="1:2" x14ac:dyDescent="0.25">
      <c r="A11410" t="s">
        <v>5289</v>
      </c>
      <c r="B11410" t="s">
        <v>6111</v>
      </c>
    </row>
    <row r="11411" spans="1:2" x14ac:dyDescent="0.25">
      <c r="A11411" t="s">
        <v>5290</v>
      </c>
      <c r="B11411" t="s">
        <v>6111</v>
      </c>
    </row>
    <row r="11412" spans="1:2" x14ac:dyDescent="0.25">
      <c r="A11412" t="s">
        <v>3886</v>
      </c>
      <c r="B11412" t="s">
        <v>6111</v>
      </c>
    </row>
    <row r="11413" spans="1:2" x14ac:dyDescent="0.25">
      <c r="A11413" t="s">
        <v>3887</v>
      </c>
      <c r="B11413" t="s">
        <v>6111</v>
      </c>
    </row>
    <row r="11414" spans="1:2" x14ac:dyDescent="0.25">
      <c r="A11414" t="s">
        <v>2518</v>
      </c>
      <c r="B11414" t="s">
        <v>6111</v>
      </c>
    </row>
    <row r="11415" spans="1:2" x14ac:dyDescent="0.25">
      <c r="A11415" t="s">
        <v>3888</v>
      </c>
      <c r="B11415" t="s">
        <v>6111</v>
      </c>
    </row>
    <row r="11416" spans="1:2" x14ac:dyDescent="0.25">
      <c r="A11416" t="s">
        <v>2519</v>
      </c>
      <c r="B11416" t="s">
        <v>6111</v>
      </c>
    </row>
    <row r="11417" spans="1:2" x14ac:dyDescent="0.25">
      <c r="A11417" t="s">
        <v>1296</v>
      </c>
      <c r="B11417" t="s">
        <v>6111</v>
      </c>
    </row>
    <row r="11418" spans="1:2" x14ac:dyDescent="0.25">
      <c r="A11418" t="s">
        <v>3380</v>
      </c>
      <c r="B11418" t="s">
        <v>6111</v>
      </c>
    </row>
    <row r="11419" spans="1:2" x14ac:dyDescent="0.25">
      <c r="A11419" t="s">
        <v>2067</v>
      </c>
      <c r="B11419" t="s">
        <v>6111</v>
      </c>
    </row>
    <row r="11420" spans="1:2" x14ac:dyDescent="0.25">
      <c r="A11420" t="s">
        <v>2520</v>
      </c>
      <c r="B11420" t="s">
        <v>6111</v>
      </c>
    </row>
    <row r="11421" spans="1:2" x14ac:dyDescent="0.25">
      <c r="A11421" t="s">
        <v>1297</v>
      </c>
      <c r="B11421" t="s">
        <v>6111</v>
      </c>
    </row>
    <row r="11422" spans="1:2" x14ac:dyDescent="0.25">
      <c r="A11422" t="s">
        <v>1287</v>
      </c>
      <c r="B11422" t="s">
        <v>1297</v>
      </c>
    </row>
    <row r="11423" spans="1:2" x14ac:dyDescent="0.25">
      <c r="A11423" t="s">
        <v>1298</v>
      </c>
      <c r="B11423" t="s">
        <v>6111</v>
      </c>
    </row>
    <row r="11424" spans="1:2" x14ac:dyDescent="0.25">
      <c r="A11424" t="s">
        <v>5291</v>
      </c>
      <c r="B11424" t="s">
        <v>6111</v>
      </c>
    </row>
    <row r="11425" spans="1:2" x14ac:dyDescent="0.25">
      <c r="A11425" t="s">
        <v>7828</v>
      </c>
      <c r="B11425" t="s">
        <v>6111</v>
      </c>
    </row>
    <row r="11426" spans="1:2" x14ac:dyDescent="0.25">
      <c r="A11426" t="s">
        <v>1299</v>
      </c>
      <c r="B11426" t="s">
        <v>6111</v>
      </c>
    </row>
    <row r="11427" spans="1:2" x14ac:dyDescent="0.25">
      <c r="A11427" t="s">
        <v>1300</v>
      </c>
      <c r="B11427" t="s">
        <v>6111</v>
      </c>
    </row>
    <row r="11428" spans="1:2" x14ac:dyDescent="0.25">
      <c r="A11428" t="s">
        <v>3381</v>
      </c>
      <c r="B11428" t="s">
        <v>6111</v>
      </c>
    </row>
    <row r="11429" spans="1:2" x14ac:dyDescent="0.25">
      <c r="A11429" t="s">
        <v>2068</v>
      </c>
      <c r="B11429" t="s">
        <v>6111</v>
      </c>
    </row>
    <row r="11430" spans="1:2" x14ac:dyDescent="0.25">
      <c r="A11430" t="s">
        <v>4852</v>
      </c>
      <c r="B11430" t="s">
        <v>6111</v>
      </c>
    </row>
    <row r="11431" spans="1:2" x14ac:dyDescent="0.25">
      <c r="A11431" t="s">
        <v>5292</v>
      </c>
      <c r="B11431" t="s">
        <v>6111</v>
      </c>
    </row>
    <row r="11432" spans="1:2" x14ac:dyDescent="0.25">
      <c r="A11432" t="s">
        <v>3889</v>
      </c>
      <c r="B11432" t="s">
        <v>6111</v>
      </c>
    </row>
    <row r="11433" spans="1:2" x14ac:dyDescent="0.25">
      <c r="A11433" t="s">
        <v>3890</v>
      </c>
      <c r="B11433" t="s">
        <v>6111</v>
      </c>
    </row>
    <row r="11434" spans="1:2" x14ac:dyDescent="0.25">
      <c r="A11434" t="s">
        <v>6602</v>
      </c>
      <c r="B11434" t="s">
        <v>10563</v>
      </c>
    </row>
    <row r="11435" spans="1:2" x14ac:dyDescent="0.25">
      <c r="A11435" t="s">
        <v>4352</v>
      </c>
      <c r="B11435" t="s">
        <v>6602</v>
      </c>
    </row>
    <row r="11436" spans="1:2" x14ac:dyDescent="0.25">
      <c r="A11436" t="s">
        <v>2945</v>
      </c>
      <c r="B11436" t="s">
        <v>6602</v>
      </c>
    </row>
    <row r="11437" spans="1:2" x14ac:dyDescent="0.25">
      <c r="A11437" t="s">
        <v>5293</v>
      </c>
      <c r="B11437" t="s">
        <v>6602</v>
      </c>
    </row>
    <row r="11438" spans="1:2" x14ac:dyDescent="0.25">
      <c r="A11438" t="s">
        <v>3891</v>
      </c>
      <c r="B11438" t="s">
        <v>6602</v>
      </c>
    </row>
    <row r="11439" spans="1:2" x14ac:dyDescent="0.25">
      <c r="A11439" t="s">
        <v>4353</v>
      </c>
      <c r="B11439" t="s">
        <v>6602</v>
      </c>
    </row>
    <row r="11440" spans="1:2" x14ac:dyDescent="0.25">
      <c r="A11440" t="s">
        <v>3382</v>
      </c>
      <c r="B11440" t="s">
        <v>6602</v>
      </c>
    </row>
    <row r="11441" spans="1:2" x14ac:dyDescent="0.25">
      <c r="A11441" t="s">
        <v>5294</v>
      </c>
      <c r="B11441" t="s">
        <v>10563</v>
      </c>
    </row>
    <row r="11442" spans="1:2" x14ac:dyDescent="0.25">
      <c r="A11442" t="s">
        <v>2069</v>
      </c>
      <c r="B11442" t="s">
        <v>5294</v>
      </c>
    </row>
    <row r="11443" spans="1:2" x14ac:dyDescent="0.25">
      <c r="A11443" t="s">
        <v>5295</v>
      </c>
      <c r="B11443" t="s">
        <v>5294</v>
      </c>
    </row>
    <row r="11444" spans="1:2" x14ac:dyDescent="0.25">
      <c r="A11444" t="s">
        <v>2070</v>
      </c>
      <c r="B11444" t="s">
        <v>5294</v>
      </c>
    </row>
    <row r="11445" spans="1:2" x14ac:dyDescent="0.25">
      <c r="A11445" t="s">
        <v>3892</v>
      </c>
      <c r="B11445" t="s">
        <v>5294</v>
      </c>
    </row>
    <row r="11446" spans="1:2" x14ac:dyDescent="0.25">
      <c r="A11446" t="s">
        <v>2946</v>
      </c>
      <c r="B11446" t="s">
        <v>5294</v>
      </c>
    </row>
    <row r="11447" spans="1:2" x14ac:dyDescent="0.25">
      <c r="A11447" t="s">
        <v>1301</v>
      </c>
      <c r="B11447" t="s">
        <v>5294</v>
      </c>
    </row>
    <row r="11448" spans="1:2" x14ac:dyDescent="0.25">
      <c r="A11448" t="s">
        <v>3893</v>
      </c>
      <c r="B11448" t="s">
        <v>5294</v>
      </c>
    </row>
    <row r="11449" spans="1:2" x14ac:dyDescent="0.25">
      <c r="A11449" t="s">
        <v>1302</v>
      </c>
      <c r="B11449" t="s">
        <v>5294</v>
      </c>
    </row>
    <row r="11450" spans="1:2" x14ac:dyDescent="0.25">
      <c r="A11450" t="s">
        <v>3383</v>
      </c>
      <c r="B11450" t="s">
        <v>5294</v>
      </c>
    </row>
    <row r="11451" spans="1:2" x14ac:dyDescent="0.25">
      <c r="A11451" t="s">
        <v>3384</v>
      </c>
      <c r="B11451" t="s">
        <v>5294</v>
      </c>
    </row>
    <row r="11452" spans="1:2" x14ac:dyDescent="0.25">
      <c r="A11452" t="s">
        <v>2947</v>
      </c>
      <c r="B11452" t="s">
        <v>5294</v>
      </c>
    </row>
    <row r="11453" spans="1:2" x14ac:dyDescent="0.25">
      <c r="A11453" t="s">
        <v>1303</v>
      </c>
      <c r="B11453" t="s">
        <v>5294</v>
      </c>
    </row>
    <row r="11454" spans="1:2" x14ac:dyDescent="0.25">
      <c r="A11454" t="s">
        <v>1304</v>
      </c>
      <c r="B11454" t="s">
        <v>5294</v>
      </c>
    </row>
    <row r="11455" spans="1:2" x14ac:dyDescent="0.25">
      <c r="A11455" t="s">
        <v>3385</v>
      </c>
      <c r="B11455" t="s">
        <v>5294</v>
      </c>
    </row>
    <row r="11456" spans="1:2" x14ac:dyDescent="0.25">
      <c r="A11456" t="s">
        <v>2948</v>
      </c>
      <c r="B11456" t="s">
        <v>5294</v>
      </c>
    </row>
    <row r="11457" spans="1:2" x14ac:dyDescent="0.25">
      <c r="A11457" t="s">
        <v>2949</v>
      </c>
      <c r="B11457" t="s">
        <v>5294</v>
      </c>
    </row>
    <row r="11458" spans="1:2" x14ac:dyDescent="0.25">
      <c r="A11458" t="s">
        <v>1305</v>
      </c>
      <c r="B11458" t="s">
        <v>5294</v>
      </c>
    </row>
    <row r="11459" spans="1:2" x14ac:dyDescent="0.25">
      <c r="A11459" t="s">
        <v>3894</v>
      </c>
      <c r="B11459" t="s">
        <v>5294</v>
      </c>
    </row>
    <row r="11460" spans="1:2" x14ac:dyDescent="0.25">
      <c r="A11460" t="s">
        <v>5296</v>
      </c>
      <c r="B11460" t="s">
        <v>5294</v>
      </c>
    </row>
    <row r="11461" spans="1:2" x14ac:dyDescent="0.25">
      <c r="A11461" t="s">
        <v>2521</v>
      </c>
      <c r="B11461" t="s">
        <v>5294</v>
      </c>
    </row>
    <row r="11462" spans="1:2" x14ac:dyDescent="0.25">
      <c r="A11462" t="s">
        <v>2071</v>
      </c>
      <c r="B11462" t="s">
        <v>5294</v>
      </c>
    </row>
    <row r="11463" spans="1:2" x14ac:dyDescent="0.25">
      <c r="A11463" t="s">
        <v>4354</v>
      </c>
      <c r="B11463" t="s">
        <v>5294</v>
      </c>
    </row>
    <row r="11464" spans="1:2" x14ac:dyDescent="0.25">
      <c r="A11464" t="s">
        <v>3895</v>
      </c>
      <c r="B11464" t="s">
        <v>5294</v>
      </c>
    </row>
    <row r="11465" spans="1:2" x14ac:dyDescent="0.25">
      <c r="A11465" t="s">
        <v>2072</v>
      </c>
      <c r="B11465" t="s">
        <v>5294</v>
      </c>
    </row>
    <row r="11466" spans="1:2" x14ac:dyDescent="0.25">
      <c r="A11466" t="s">
        <v>2950</v>
      </c>
      <c r="B11466" t="s">
        <v>5294</v>
      </c>
    </row>
    <row r="11467" spans="1:2" x14ac:dyDescent="0.25">
      <c r="A11467" t="s">
        <v>2522</v>
      </c>
      <c r="B11467" t="s">
        <v>5294</v>
      </c>
    </row>
    <row r="11468" spans="1:2" x14ac:dyDescent="0.25">
      <c r="A11468" t="s">
        <v>4355</v>
      </c>
      <c r="B11468" t="s">
        <v>5294</v>
      </c>
    </row>
    <row r="11469" spans="1:2" x14ac:dyDescent="0.25">
      <c r="A11469" t="s">
        <v>2523</v>
      </c>
      <c r="B11469" t="s">
        <v>5294</v>
      </c>
    </row>
    <row r="11470" spans="1:2" x14ac:dyDescent="0.25">
      <c r="A11470" t="s">
        <v>2951</v>
      </c>
      <c r="B11470" t="s">
        <v>5294</v>
      </c>
    </row>
    <row r="11471" spans="1:2" x14ac:dyDescent="0.25">
      <c r="A11471" t="s">
        <v>2524</v>
      </c>
      <c r="B11471" t="s">
        <v>5294</v>
      </c>
    </row>
    <row r="11472" spans="1:2" x14ac:dyDescent="0.25">
      <c r="A11472" t="s">
        <v>2073</v>
      </c>
      <c r="B11472" t="s">
        <v>5294</v>
      </c>
    </row>
    <row r="11473" spans="1:2" x14ac:dyDescent="0.25">
      <c r="A11473" t="s">
        <v>2525</v>
      </c>
      <c r="B11473" t="s">
        <v>5294</v>
      </c>
    </row>
    <row r="11474" spans="1:2" x14ac:dyDescent="0.25">
      <c r="A11474" t="s">
        <v>2952</v>
      </c>
      <c r="B11474" t="s">
        <v>5294</v>
      </c>
    </row>
    <row r="11475" spans="1:2" x14ac:dyDescent="0.25">
      <c r="A11475" t="s">
        <v>2953</v>
      </c>
      <c r="B11475" t="s">
        <v>5294</v>
      </c>
    </row>
    <row r="11476" spans="1:2" x14ac:dyDescent="0.25">
      <c r="A11476" t="s">
        <v>11792</v>
      </c>
      <c r="B11476" t="s">
        <v>5294</v>
      </c>
    </row>
    <row r="11477" spans="1:2" x14ac:dyDescent="0.25">
      <c r="A11477" t="s">
        <v>6242</v>
      </c>
      <c r="B11477" t="s">
        <v>10563</v>
      </c>
    </row>
    <row r="11478" spans="1:2" x14ac:dyDescent="0.25">
      <c r="A11478" t="s">
        <v>13516</v>
      </c>
      <c r="B11478" t="s">
        <v>10563</v>
      </c>
    </row>
    <row r="11479" spans="1:2" x14ac:dyDescent="0.25">
      <c r="A11479" t="s">
        <v>16289</v>
      </c>
      <c r="B11479" t="s">
        <v>13516</v>
      </c>
    </row>
    <row r="11480" spans="1:2" x14ac:dyDescent="0.25">
      <c r="A11480" t="s">
        <v>13524</v>
      </c>
      <c r="B11480" t="s">
        <v>13516</v>
      </c>
    </row>
    <row r="11481" spans="1:2" x14ac:dyDescent="0.25">
      <c r="A11481" t="s">
        <v>13517</v>
      </c>
      <c r="B11481" t="s">
        <v>13516</v>
      </c>
    </row>
    <row r="11482" spans="1:2" x14ac:dyDescent="0.25">
      <c r="A11482" t="s">
        <v>13518</v>
      </c>
      <c r="B11482" t="s">
        <v>13516</v>
      </c>
    </row>
    <row r="11483" spans="1:2" x14ac:dyDescent="0.25">
      <c r="A11483" t="s">
        <v>13519</v>
      </c>
      <c r="B11483" t="s">
        <v>13516</v>
      </c>
    </row>
    <row r="11484" spans="1:2" x14ac:dyDescent="0.25">
      <c r="A11484" t="s">
        <v>13520</v>
      </c>
      <c r="B11484" t="s">
        <v>13516</v>
      </c>
    </row>
    <row r="11485" spans="1:2" x14ac:dyDescent="0.25">
      <c r="A11485" t="s">
        <v>13521</v>
      </c>
      <c r="B11485" t="s">
        <v>13516</v>
      </c>
    </row>
    <row r="11486" spans="1:2" x14ac:dyDescent="0.25">
      <c r="A11486" t="s">
        <v>13522</v>
      </c>
      <c r="B11486" t="s">
        <v>13516</v>
      </c>
    </row>
    <row r="11487" spans="1:2" x14ac:dyDescent="0.25">
      <c r="A11487" t="s">
        <v>13523</v>
      </c>
      <c r="B11487" t="s">
        <v>13516</v>
      </c>
    </row>
    <row r="11488" spans="1:2" x14ac:dyDescent="0.25">
      <c r="A11488" t="s">
        <v>13525</v>
      </c>
      <c r="B11488" t="s">
        <v>13516</v>
      </c>
    </row>
    <row r="11489" spans="1:2" x14ac:dyDescent="0.25">
      <c r="A11489" t="s">
        <v>13526</v>
      </c>
      <c r="B11489" t="s">
        <v>13516</v>
      </c>
    </row>
    <row r="11490" spans="1:2" x14ac:dyDescent="0.25">
      <c r="A11490" t="s">
        <v>13527</v>
      </c>
      <c r="B11490" t="s">
        <v>13516</v>
      </c>
    </row>
    <row r="11491" spans="1:2" x14ac:dyDescent="0.25">
      <c r="A11491" t="s">
        <v>13528</v>
      </c>
      <c r="B11491" t="s">
        <v>13516</v>
      </c>
    </row>
    <row r="11492" spans="1:2" x14ac:dyDescent="0.25">
      <c r="A11492" t="s">
        <v>13529</v>
      </c>
      <c r="B11492" t="s">
        <v>13516</v>
      </c>
    </row>
    <row r="11493" spans="1:2" x14ac:dyDescent="0.25">
      <c r="A11493" t="s">
        <v>13530</v>
      </c>
      <c r="B11493" t="s">
        <v>13516</v>
      </c>
    </row>
    <row r="11494" spans="1:2" x14ac:dyDescent="0.25">
      <c r="A11494" t="s">
        <v>8788</v>
      </c>
      <c r="B11494" t="s">
        <v>5778</v>
      </c>
    </row>
    <row r="11495" spans="1:2" x14ac:dyDescent="0.25">
      <c r="A11495" t="s">
        <v>456</v>
      </c>
      <c r="B11495" t="s">
        <v>8788</v>
      </c>
    </row>
    <row r="11496" spans="1:2" x14ac:dyDescent="0.25">
      <c r="A11496" t="s">
        <v>13532</v>
      </c>
      <c r="B11496" t="s">
        <v>456</v>
      </c>
    </row>
    <row r="11497" spans="1:2" x14ac:dyDescent="0.25">
      <c r="A11497" t="s">
        <v>2968</v>
      </c>
      <c r="B11497" t="s">
        <v>13532</v>
      </c>
    </row>
    <row r="11498" spans="1:2" x14ac:dyDescent="0.25">
      <c r="A11498" t="s">
        <v>2540</v>
      </c>
      <c r="B11498" t="s">
        <v>13532</v>
      </c>
    </row>
    <row r="11499" spans="1:2" x14ac:dyDescent="0.25">
      <c r="A11499" t="s">
        <v>2543</v>
      </c>
      <c r="B11499" t="s">
        <v>13532</v>
      </c>
    </row>
    <row r="11500" spans="1:2" x14ac:dyDescent="0.25">
      <c r="A11500" t="s">
        <v>3397</v>
      </c>
      <c r="B11500" t="s">
        <v>13532</v>
      </c>
    </row>
    <row r="11501" spans="1:2" x14ac:dyDescent="0.25">
      <c r="A11501" t="s">
        <v>4373</v>
      </c>
      <c r="B11501" t="s">
        <v>13532</v>
      </c>
    </row>
    <row r="11502" spans="1:2" x14ac:dyDescent="0.25">
      <c r="A11502" t="s">
        <v>2974</v>
      </c>
      <c r="B11502" t="s">
        <v>13532</v>
      </c>
    </row>
    <row r="11503" spans="1:2" x14ac:dyDescent="0.25">
      <c r="A11503" t="s">
        <v>1339</v>
      </c>
      <c r="B11503" t="s">
        <v>13532</v>
      </c>
    </row>
    <row r="11504" spans="1:2" x14ac:dyDescent="0.25">
      <c r="A11504" t="s">
        <v>1340</v>
      </c>
      <c r="B11504" t="s">
        <v>13532</v>
      </c>
    </row>
    <row r="11505" spans="1:2" x14ac:dyDescent="0.25">
      <c r="A11505" t="s">
        <v>1341</v>
      </c>
      <c r="B11505" t="s">
        <v>13532</v>
      </c>
    </row>
    <row r="11506" spans="1:2" x14ac:dyDescent="0.25">
      <c r="A11506" t="s">
        <v>5302</v>
      </c>
      <c r="B11506" t="s">
        <v>13532</v>
      </c>
    </row>
    <row r="11507" spans="1:2" x14ac:dyDescent="0.25">
      <c r="A11507" t="s">
        <v>1342</v>
      </c>
      <c r="B11507" t="s">
        <v>13532</v>
      </c>
    </row>
    <row r="11508" spans="1:2" x14ac:dyDescent="0.25">
      <c r="A11508" t="s">
        <v>2099</v>
      </c>
      <c r="B11508" t="s">
        <v>13532</v>
      </c>
    </row>
    <row r="11509" spans="1:2" x14ac:dyDescent="0.25">
      <c r="A11509" t="s">
        <v>1343</v>
      </c>
      <c r="B11509" t="s">
        <v>13532</v>
      </c>
    </row>
    <row r="11510" spans="1:2" x14ac:dyDescent="0.25">
      <c r="A11510" t="s">
        <v>3900</v>
      </c>
      <c r="B11510" t="s">
        <v>13532</v>
      </c>
    </row>
    <row r="11511" spans="1:2" x14ac:dyDescent="0.25">
      <c r="A11511" t="s">
        <v>1344</v>
      </c>
      <c r="B11511" t="s">
        <v>13532</v>
      </c>
    </row>
    <row r="11512" spans="1:2" x14ac:dyDescent="0.25">
      <c r="A11512" t="s">
        <v>13533</v>
      </c>
      <c r="B11512" t="s">
        <v>456</v>
      </c>
    </row>
    <row r="11513" spans="1:2" x14ac:dyDescent="0.25">
      <c r="A11513" t="s">
        <v>7167</v>
      </c>
      <c r="B11513" t="s">
        <v>13533</v>
      </c>
    </row>
    <row r="11514" spans="1:2" x14ac:dyDescent="0.25">
      <c r="A11514" t="s">
        <v>5704</v>
      </c>
      <c r="B11514" t="s">
        <v>13533</v>
      </c>
    </row>
    <row r="11515" spans="1:2" x14ac:dyDescent="0.25">
      <c r="A11515" t="s">
        <v>4369</v>
      </c>
      <c r="B11515" t="s">
        <v>13533</v>
      </c>
    </row>
    <row r="11516" spans="1:2" x14ac:dyDescent="0.25">
      <c r="A11516" t="s">
        <v>3395</v>
      </c>
      <c r="B11516" t="s">
        <v>13533</v>
      </c>
    </row>
    <row r="11517" spans="1:2" x14ac:dyDescent="0.25">
      <c r="A11517" t="s">
        <v>2969</v>
      </c>
      <c r="B11517" t="s">
        <v>13533</v>
      </c>
    </row>
    <row r="11518" spans="1:2" x14ac:dyDescent="0.25">
      <c r="A11518" t="s">
        <v>1334</v>
      </c>
      <c r="B11518" t="s">
        <v>13533</v>
      </c>
    </row>
    <row r="11519" spans="1:2" x14ac:dyDescent="0.25">
      <c r="A11519" t="s">
        <v>3396</v>
      </c>
      <c r="B11519" t="s">
        <v>13533</v>
      </c>
    </row>
    <row r="11520" spans="1:2" x14ac:dyDescent="0.25">
      <c r="A11520" t="s">
        <v>2094</v>
      </c>
      <c r="B11520" t="s">
        <v>13533</v>
      </c>
    </row>
    <row r="11521" spans="1:2" x14ac:dyDescent="0.25">
      <c r="A11521" t="s">
        <v>4371</v>
      </c>
      <c r="B11521" t="s">
        <v>13533</v>
      </c>
    </row>
    <row r="11522" spans="1:2" x14ac:dyDescent="0.25">
      <c r="A11522" t="s">
        <v>1335</v>
      </c>
      <c r="B11522" t="s">
        <v>13533</v>
      </c>
    </row>
    <row r="11523" spans="1:2" x14ac:dyDescent="0.25">
      <c r="A11523" t="s">
        <v>2541</v>
      </c>
      <c r="B11523" t="s">
        <v>13533</v>
      </c>
    </row>
    <row r="11524" spans="1:2" x14ac:dyDescent="0.25">
      <c r="A11524" t="s">
        <v>5706</v>
      </c>
      <c r="B11524" t="s">
        <v>13533</v>
      </c>
    </row>
    <row r="11525" spans="1:2" x14ac:dyDescent="0.25">
      <c r="A11525" t="s">
        <v>1336</v>
      </c>
      <c r="B11525" t="s">
        <v>13533</v>
      </c>
    </row>
    <row r="11526" spans="1:2" x14ac:dyDescent="0.25">
      <c r="A11526" t="s">
        <v>2095</v>
      </c>
      <c r="B11526" t="s">
        <v>13533</v>
      </c>
    </row>
    <row r="11527" spans="1:2" x14ac:dyDescent="0.25">
      <c r="A11527" t="s">
        <v>2096</v>
      </c>
      <c r="B11527" t="s">
        <v>13533</v>
      </c>
    </row>
    <row r="11528" spans="1:2" x14ac:dyDescent="0.25">
      <c r="A11528" t="s">
        <v>2097</v>
      </c>
      <c r="B11528" t="s">
        <v>13533</v>
      </c>
    </row>
    <row r="11529" spans="1:2" x14ac:dyDescent="0.25">
      <c r="A11529" t="s">
        <v>7168</v>
      </c>
      <c r="B11529" t="s">
        <v>13533</v>
      </c>
    </row>
    <row r="11530" spans="1:2" x14ac:dyDescent="0.25">
      <c r="A11530" t="s">
        <v>4859</v>
      </c>
      <c r="B11530" t="s">
        <v>13533</v>
      </c>
    </row>
    <row r="11531" spans="1:2" x14ac:dyDescent="0.25">
      <c r="A11531" t="s">
        <v>2970</v>
      </c>
      <c r="B11531" t="s">
        <v>13533</v>
      </c>
    </row>
    <row r="11532" spans="1:2" x14ac:dyDescent="0.25">
      <c r="A11532" t="s">
        <v>1337</v>
      </c>
      <c r="B11532" t="s">
        <v>13533</v>
      </c>
    </row>
    <row r="11533" spans="1:2" x14ac:dyDescent="0.25">
      <c r="A11533" t="s">
        <v>2542</v>
      </c>
      <c r="B11533" t="s">
        <v>13533</v>
      </c>
    </row>
    <row r="11534" spans="1:2" x14ac:dyDescent="0.25">
      <c r="A11534" t="s">
        <v>4372</v>
      </c>
      <c r="B11534" t="s">
        <v>13533</v>
      </c>
    </row>
    <row r="11535" spans="1:2" x14ac:dyDescent="0.25">
      <c r="A11535" t="s">
        <v>1338</v>
      </c>
      <c r="B11535" t="s">
        <v>13533</v>
      </c>
    </row>
    <row r="11536" spans="1:2" x14ac:dyDescent="0.25">
      <c r="A11536" t="s">
        <v>2971</v>
      </c>
      <c r="B11536" t="s">
        <v>13533</v>
      </c>
    </row>
    <row r="11537" spans="1:2" x14ac:dyDescent="0.25">
      <c r="A11537" t="s">
        <v>2972</v>
      </c>
      <c r="B11537" t="s">
        <v>13533</v>
      </c>
    </row>
    <row r="11538" spans="1:2" x14ac:dyDescent="0.25">
      <c r="A11538" t="s">
        <v>2098</v>
      </c>
      <c r="B11538" t="s">
        <v>13533</v>
      </c>
    </row>
    <row r="11539" spans="1:2" x14ac:dyDescent="0.25">
      <c r="A11539" t="s">
        <v>2973</v>
      </c>
      <c r="B11539" t="s">
        <v>13533</v>
      </c>
    </row>
    <row r="11540" spans="1:2" x14ac:dyDescent="0.25">
      <c r="A11540" t="s">
        <v>3398</v>
      </c>
      <c r="B11540" t="s">
        <v>13533</v>
      </c>
    </row>
    <row r="11541" spans="1:2" x14ac:dyDescent="0.25">
      <c r="A11541" t="s">
        <v>2544</v>
      </c>
      <c r="B11541" t="s">
        <v>13533</v>
      </c>
    </row>
    <row r="11542" spans="1:2" x14ac:dyDescent="0.25">
      <c r="A11542" t="s">
        <v>2545</v>
      </c>
      <c r="B11542" t="s">
        <v>13533</v>
      </c>
    </row>
    <row r="11543" spans="1:2" x14ac:dyDescent="0.25">
      <c r="A11543" t="s">
        <v>2100</v>
      </c>
      <c r="B11543" t="s">
        <v>13533</v>
      </c>
    </row>
    <row r="11544" spans="1:2" x14ac:dyDescent="0.25">
      <c r="A11544" t="s">
        <v>1288</v>
      </c>
      <c r="B11544" t="s">
        <v>13533</v>
      </c>
    </row>
    <row r="11545" spans="1:2" x14ac:dyDescent="0.25">
      <c r="A11545" t="s">
        <v>2101</v>
      </c>
      <c r="B11545" t="s">
        <v>13533</v>
      </c>
    </row>
    <row r="11546" spans="1:2" x14ac:dyDescent="0.25">
      <c r="A11546" t="s">
        <v>2235</v>
      </c>
      <c r="B11546" t="s">
        <v>13533</v>
      </c>
    </row>
    <row r="11547" spans="1:2" x14ac:dyDescent="0.25">
      <c r="A11547" t="s">
        <v>3999</v>
      </c>
      <c r="B11547" t="s">
        <v>13533</v>
      </c>
    </row>
    <row r="11548" spans="1:2" x14ac:dyDescent="0.25">
      <c r="A11548" t="s">
        <v>4915</v>
      </c>
      <c r="B11548" t="s">
        <v>13533</v>
      </c>
    </row>
    <row r="11549" spans="1:2" x14ac:dyDescent="0.25">
      <c r="A11549" t="s">
        <v>3399</v>
      </c>
      <c r="B11549" t="s">
        <v>8788</v>
      </c>
    </row>
    <row r="11550" spans="1:2" x14ac:dyDescent="0.25">
      <c r="A11550" t="s">
        <v>3901</v>
      </c>
      <c r="B11550" t="s">
        <v>3399</v>
      </c>
    </row>
    <row r="11551" spans="1:2" x14ac:dyDescent="0.25">
      <c r="A11551" t="s">
        <v>1345</v>
      </c>
      <c r="B11551" t="s">
        <v>3399</v>
      </c>
    </row>
    <row r="11552" spans="1:2" x14ac:dyDescent="0.25">
      <c r="A11552" t="s">
        <v>2975</v>
      </c>
      <c r="B11552" t="s">
        <v>3399</v>
      </c>
    </row>
    <row r="11553" spans="1:2" x14ac:dyDescent="0.25">
      <c r="A11553" t="s">
        <v>1346</v>
      </c>
      <c r="B11553" t="s">
        <v>3399</v>
      </c>
    </row>
    <row r="11554" spans="1:2" x14ac:dyDescent="0.25">
      <c r="A11554" t="s">
        <v>2546</v>
      </c>
      <c r="B11554" t="s">
        <v>3399</v>
      </c>
    </row>
    <row r="11555" spans="1:2" x14ac:dyDescent="0.25">
      <c r="A11555" t="s">
        <v>3902</v>
      </c>
      <c r="B11555" t="s">
        <v>3399</v>
      </c>
    </row>
    <row r="11556" spans="1:2" x14ac:dyDescent="0.25">
      <c r="A11556" t="s">
        <v>1347</v>
      </c>
      <c r="B11556" t="s">
        <v>3399</v>
      </c>
    </row>
    <row r="11557" spans="1:2" x14ac:dyDescent="0.25">
      <c r="A11557" t="s">
        <v>1348</v>
      </c>
      <c r="B11557" t="s">
        <v>3399</v>
      </c>
    </row>
    <row r="11558" spans="1:2" x14ac:dyDescent="0.25">
      <c r="A11558" t="s">
        <v>3903</v>
      </c>
      <c r="B11558" t="s">
        <v>3399</v>
      </c>
    </row>
    <row r="11559" spans="1:2" x14ac:dyDescent="0.25">
      <c r="A11559" t="s">
        <v>2547</v>
      </c>
      <c r="B11559" t="s">
        <v>3399</v>
      </c>
    </row>
    <row r="11560" spans="1:2" x14ac:dyDescent="0.25">
      <c r="A11560" t="s">
        <v>1349</v>
      </c>
      <c r="B11560" t="s">
        <v>3399</v>
      </c>
    </row>
    <row r="11561" spans="1:2" x14ac:dyDescent="0.25">
      <c r="A11561" t="s">
        <v>2548</v>
      </c>
      <c r="B11561" t="s">
        <v>3399</v>
      </c>
    </row>
    <row r="11562" spans="1:2" x14ac:dyDescent="0.25">
      <c r="A11562" t="s">
        <v>3904</v>
      </c>
      <c r="B11562" t="s">
        <v>3399</v>
      </c>
    </row>
    <row r="11563" spans="1:2" x14ac:dyDescent="0.25">
      <c r="A11563" t="s">
        <v>1350</v>
      </c>
      <c r="B11563" t="s">
        <v>3399</v>
      </c>
    </row>
    <row r="11564" spans="1:2" x14ac:dyDescent="0.25">
      <c r="A11564" t="s">
        <v>2549</v>
      </c>
      <c r="B11564" t="s">
        <v>3399</v>
      </c>
    </row>
    <row r="11565" spans="1:2" x14ac:dyDescent="0.25">
      <c r="A11565" t="s">
        <v>3400</v>
      </c>
      <c r="B11565" t="s">
        <v>3399</v>
      </c>
    </row>
    <row r="11566" spans="1:2" x14ac:dyDescent="0.25">
      <c r="A11566" t="s">
        <v>3401</v>
      </c>
      <c r="B11566" t="s">
        <v>3399</v>
      </c>
    </row>
    <row r="11567" spans="1:2" x14ac:dyDescent="0.25">
      <c r="A11567" t="s">
        <v>2976</v>
      </c>
      <c r="B11567" t="s">
        <v>3399</v>
      </c>
    </row>
    <row r="11568" spans="1:2" x14ac:dyDescent="0.25">
      <c r="A11568" t="s">
        <v>6603</v>
      </c>
      <c r="B11568" t="s">
        <v>3399</v>
      </c>
    </row>
    <row r="11569" spans="1:2" x14ac:dyDescent="0.25">
      <c r="A11569" t="s">
        <v>2102</v>
      </c>
      <c r="B11569" t="s">
        <v>3399</v>
      </c>
    </row>
    <row r="11570" spans="1:2" x14ac:dyDescent="0.25">
      <c r="A11570" t="s">
        <v>13204</v>
      </c>
      <c r="B11570" t="s">
        <v>8788</v>
      </c>
    </row>
    <row r="11571" spans="1:2" x14ac:dyDescent="0.25">
      <c r="A11571" t="s">
        <v>13205</v>
      </c>
      <c r="B11571" t="s">
        <v>13204</v>
      </c>
    </row>
    <row r="11572" spans="1:2" x14ac:dyDescent="0.25">
      <c r="A11572" t="s">
        <v>5705</v>
      </c>
      <c r="B11572" t="s">
        <v>13205</v>
      </c>
    </row>
    <row r="11573" spans="1:2" x14ac:dyDescent="0.25">
      <c r="A11573" t="s">
        <v>4370</v>
      </c>
      <c r="B11573" t="s">
        <v>13205</v>
      </c>
    </row>
    <row r="11574" spans="1:2" x14ac:dyDescent="0.25">
      <c r="A11574" t="s">
        <v>1625</v>
      </c>
      <c r="B11574" t="s">
        <v>13205</v>
      </c>
    </row>
    <row r="11575" spans="1:2" x14ac:dyDescent="0.25">
      <c r="A11575" t="s">
        <v>121</v>
      </c>
      <c r="B11575" t="s">
        <v>13204</v>
      </c>
    </row>
    <row r="11576" spans="1:2" x14ac:dyDescent="0.25">
      <c r="A11576" t="s">
        <v>1351</v>
      </c>
      <c r="B11576" t="s">
        <v>121</v>
      </c>
    </row>
    <row r="11577" spans="1:2" x14ac:dyDescent="0.25">
      <c r="A11577" t="s">
        <v>3905</v>
      </c>
      <c r="B11577" t="s">
        <v>121</v>
      </c>
    </row>
    <row r="11578" spans="1:2" x14ac:dyDescent="0.25">
      <c r="A11578" t="s">
        <v>4860</v>
      </c>
      <c r="B11578" t="s">
        <v>121</v>
      </c>
    </row>
    <row r="11579" spans="1:2" x14ac:dyDescent="0.25">
      <c r="A11579" t="s">
        <v>5303</v>
      </c>
      <c r="B11579" t="s">
        <v>121</v>
      </c>
    </row>
    <row r="11580" spans="1:2" x14ac:dyDescent="0.25">
      <c r="A11580" t="s">
        <v>3906</v>
      </c>
      <c r="B11580" t="s">
        <v>121</v>
      </c>
    </row>
    <row r="11581" spans="1:2" x14ac:dyDescent="0.25">
      <c r="A11581" t="s">
        <v>3907</v>
      </c>
      <c r="B11581" t="s">
        <v>121</v>
      </c>
    </row>
    <row r="11582" spans="1:2" x14ac:dyDescent="0.25">
      <c r="A11582" t="s">
        <v>4861</v>
      </c>
      <c r="B11582" t="s">
        <v>121</v>
      </c>
    </row>
    <row r="11583" spans="1:2" x14ac:dyDescent="0.25">
      <c r="A11583" t="s">
        <v>2103</v>
      </c>
      <c r="B11583" t="s">
        <v>121</v>
      </c>
    </row>
    <row r="11584" spans="1:2" x14ac:dyDescent="0.25">
      <c r="A11584" t="s">
        <v>1352</v>
      </c>
      <c r="B11584" t="s">
        <v>121</v>
      </c>
    </row>
    <row r="11585" spans="1:2" x14ac:dyDescent="0.25">
      <c r="A11585" t="s">
        <v>1353</v>
      </c>
      <c r="B11585" t="s">
        <v>121</v>
      </c>
    </row>
    <row r="11586" spans="1:2" x14ac:dyDescent="0.25">
      <c r="A11586" t="s">
        <v>1354</v>
      </c>
      <c r="B11586" t="s">
        <v>121</v>
      </c>
    </row>
    <row r="11587" spans="1:2" x14ac:dyDescent="0.25">
      <c r="A11587" t="s">
        <v>5304</v>
      </c>
      <c r="B11587" t="s">
        <v>121</v>
      </c>
    </row>
    <row r="11588" spans="1:2" x14ac:dyDescent="0.25">
      <c r="A11588" t="s">
        <v>4862</v>
      </c>
      <c r="B11588" t="s">
        <v>121</v>
      </c>
    </row>
    <row r="11589" spans="1:2" x14ac:dyDescent="0.25">
      <c r="A11589" t="s">
        <v>1355</v>
      </c>
      <c r="B11589" t="s">
        <v>121</v>
      </c>
    </row>
    <row r="11590" spans="1:2" x14ac:dyDescent="0.25">
      <c r="A11590" t="s">
        <v>1356</v>
      </c>
      <c r="B11590" t="s">
        <v>121</v>
      </c>
    </row>
    <row r="11591" spans="1:2" x14ac:dyDescent="0.25">
      <c r="A11591" t="s">
        <v>5305</v>
      </c>
      <c r="B11591" t="s">
        <v>121</v>
      </c>
    </row>
    <row r="11592" spans="1:2" x14ac:dyDescent="0.25">
      <c r="A11592" t="s">
        <v>4863</v>
      </c>
      <c r="B11592" t="s">
        <v>121</v>
      </c>
    </row>
    <row r="11593" spans="1:2" x14ac:dyDescent="0.25">
      <c r="A11593" t="s">
        <v>3507</v>
      </c>
      <c r="B11593" t="s">
        <v>121</v>
      </c>
    </row>
    <row r="11594" spans="1:2" x14ac:dyDescent="0.25">
      <c r="A11594" t="s">
        <v>135</v>
      </c>
      <c r="B11594" t="s">
        <v>13204</v>
      </c>
    </row>
    <row r="11595" spans="1:2" x14ac:dyDescent="0.25">
      <c r="A11595" t="s">
        <v>4910</v>
      </c>
      <c r="B11595" t="s">
        <v>135</v>
      </c>
    </row>
    <row r="11596" spans="1:2" x14ac:dyDescent="0.25">
      <c r="A11596" t="s">
        <v>3050</v>
      </c>
      <c r="B11596" t="s">
        <v>135</v>
      </c>
    </row>
    <row r="11597" spans="1:2" x14ac:dyDescent="0.25">
      <c r="A11597" t="s">
        <v>3059</v>
      </c>
      <c r="B11597" t="s">
        <v>135</v>
      </c>
    </row>
    <row r="11598" spans="1:2" x14ac:dyDescent="0.25">
      <c r="A11598" t="s">
        <v>6194</v>
      </c>
      <c r="B11598" t="s">
        <v>135</v>
      </c>
    </row>
    <row r="11599" spans="1:2" x14ac:dyDescent="0.25">
      <c r="A11599" t="s">
        <v>5368</v>
      </c>
      <c r="B11599" t="s">
        <v>135</v>
      </c>
    </row>
    <row r="11600" spans="1:2" x14ac:dyDescent="0.25">
      <c r="A11600" t="s">
        <v>3060</v>
      </c>
      <c r="B11600" t="s">
        <v>135</v>
      </c>
    </row>
    <row r="11601" spans="1:2" x14ac:dyDescent="0.25">
      <c r="A11601" t="s">
        <v>4509</v>
      </c>
      <c r="B11601" t="s">
        <v>135</v>
      </c>
    </row>
    <row r="11602" spans="1:2" x14ac:dyDescent="0.25">
      <c r="A11602" t="s">
        <v>5767</v>
      </c>
      <c r="B11602" t="s">
        <v>135</v>
      </c>
    </row>
    <row r="11603" spans="1:2" x14ac:dyDescent="0.25">
      <c r="A11603" t="s">
        <v>7920</v>
      </c>
      <c r="B11603" t="s">
        <v>135</v>
      </c>
    </row>
    <row r="11604" spans="1:2" x14ac:dyDescent="0.25">
      <c r="A11604" t="s">
        <v>1624</v>
      </c>
      <c r="B11604" t="s">
        <v>135</v>
      </c>
    </row>
    <row r="11605" spans="1:2" x14ac:dyDescent="0.25">
      <c r="A11605" t="s">
        <v>2626</v>
      </c>
      <c r="B11605" t="s">
        <v>135</v>
      </c>
    </row>
    <row r="11606" spans="1:2" x14ac:dyDescent="0.25">
      <c r="A11606" t="s">
        <v>7308</v>
      </c>
      <c r="B11606" t="s">
        <v>135</v>
      </c>
    </row>
    <row r="11607" spans="1:2" x14ac:dyDescent="0.25">
      <c r="A11607" t="s">
        <v>7309</v>
      </c>
      <c r="B11607" t="s">
        <v>135</v>
      </c>
    </row>
    <row r="11608" spans="1:2" x14ac:dyDescent="0.25">
      <c r="A11608" t="s">
        <v>2233</v>
      </c>
      <c r="B11608" t="s">
        <v>135</v>
      </c>
    </row>
    <row r="11609" spans="1:2" x14ac:dyDescent="0.25">
      <c r="A11609" t="s">
        <v>137</v>
      </c>
      <c r="B11609" t="s">
        <v>135</v>
      </c>
    </row>
    <row r="11610" spans="1:2" x14ac:dyDescent="0.25">
      <c r="A11610" t="s">
        <v>5677</v>
      </c>
      <c r="B11610" t="s">
        <v>5778</v>
      </c>
    </row>
    <row r="11611" spans="1:2" x14ac:dyDescent="0.25">
      <c r="A11611" t="s">
        <v>12282</v>
      </c>
      <c r="B11611" t="s">
        <v>5677</v>
      </c>
    </row>
    <row r="11612" spans="1:2" x14ac:dyDescent="0.25">
      <c r="A11612" t="s">
        <v>8328</v>
      </c>
      <c r="B11612" t="s">
        <v>5778</v>
      </c>
    </row>
    <row r="11613" spans="1:2" x14ac:dyDescent="0.25">
      <c r="A11613" t="s">
        <v>12283</v>
      </c>
      <c r="B11613" t="s">
        <v>8328</v>
      </c>
    </row>
    <row r="11614" spans="1:2" x14ac:dyDescent="0.25">
      <c r="A11614" t="s">
        <v>3857</v>
      </c>
      <c r="B11614" t="s">
        <v>8328</v>
      </c>
    </row>
    <row r="11615" spans="1:2" x14ac:dyDescent="0.25">
      <c r="A11615" t="s">
        <v>3858</v>
      </c>
      <c r="B11615" t="s">
        <v>8328</v>
      </c>
    </row>
    <row r="11616" spans="1:2" x14ac:dyDescent="0.25">
      <c r="A11616" t="s">
        <v>2488</v>
      </c>
      <c r="B11616" t="s">
        <v>8328</v>
      </c>
    </row>
    <row r="11617" spans="1:2" x14ac:dyDescent="0.25">
      <c r="A11617" t="s">
        <v>5268</v>
      </c>
      <c r="B11617" t="s">
        <v>8328</v>
      </c>
    </row>
    <row r="11618" spans="1:2" x14ac:dyDescent="0.25">
      <c r="A11618" t="s">
        <v>3859</v>
      </c>
      <c r="B11618" t="s">
        <v>8328</v>
      </c>
    </row>
    <row r="11619" spans="1:2" x14ac:dyDescent="0.25">
      <c r="A11619" t="s">
        <v>7801</v>
      </c>
      <c r="B11619" t="s">
        <v>8328</v>
      </c>
    </row>
    <row r="11620" spans="1:2" x14ac:dyDescent="0.25">
      <c r="A11620" t="s">
        <v>3554</v>
      </c>
      <c r="B11620" t="s">
        <v>8328</v>
      </c>
    </row>
    <row r="11621" spans="1:2" x14ac:dyDescent="0.25">
      <c r="A11621" t="s">
        <v>9169</v>
      </c>
      <c r="B11621" t="s">
        <v>5778</v>
      </c>
    </row>
    <row r="11622" spans="1:2" x14ac:dyDescent="0.25">
      <c r="A11622" t="s">
        <v>12284</v>
      </c>
      <c r="B11622" t="s">
        <v>9169</v>
      </c>
    </row>
    <row r="11623" spans="1:2" x14ac:dyDescent="0.25">
      <c r="A11623" t="s">
        <v>9170</v>
      </c>
      <c r="B11623" t="s">
        <v>9169</v>
      </c>
    </row>
    <row r="11624" spans="1:2" x14ac:dyDescent="0.25">
      <c r="A11624" t="s">
        <v>3860</v>
      </c>
      <c r="B11624" t="s">
        <v>9169</v>
      </c>
    </row>
    <row r="11625" spans="1:2" x14ac:dyDescent="0.25">
      <c r="A11625" t="s">
        <v>1201</v>
      </c>
      <c r="B11625" t="s">
        <v>9169</v>
      </c>
    </row>
    <row r="11626" spans="1:2" x14ac:dyDescent="0.25">
      <c r="A11626" t="s">
        <v>2007</v>
      </c>
      <c r="B11626" t="s">
        <v>9169</v>
      </c>
    </row>
    <row r="11627" spans="1:2" x14ac:dyDescent="0.25">
      <c r="A11627" t="s">
        <v>8775</v>
      </c>
      <c r="B11627" t="s">
        <v>9169</v>
      </c>
    </row>
    <row r="11628" spans="1:2" x14ac:dyDescent="0.25">
      <c r="A11628" t="s">
        <v>3553</v>
      </c>
      <c r="B11628" t="s">
        <v>9169</v>
      </c>
    </row>
    <row r="11629" spans="1:2" x14ac:dyDescent="0.25">
      <c r="A11629" t="s">
        <v>11521</v>
      </c>
      <c r="B11629" t="s">
        <v>5778</v>
      </c>
    </row>
    <row r="11630" spans="1:2" x14ac:dyDescent="0.25">
      <c r="A11630" t="s">
        <v>13735</v>
      </c>
      <c r="B11630" t="s">
        <v>5778</v>
      </c>
    </row>
    <row r="11631" spans="1:2" x14ac:dyDescent="0.25">
      <c r="A11631" t="s">
        <v>11809</v>
      </c>
      <c r="B11631" t="s">
        <v>11025</v>
      </c>
    </row>
    <row r="11632" spans="1:2" x14ac:dyDescent="0.25">
      <c r="A11632" t="s">
        <v>9165</v>
      </c>
      <c r="B11632" t="s">
        <v>11809</v>
      </c>
    </row>
    <row r="11633" spans="1:2" x14ac:dyDescent="0.25">
      <c r="A11633" t="s">
        <v>1163</v>
      </c>
      <c r="B11633" t="s">
        <v>9165</v>
      </c>
    </row>
    <row r="11634" spans="1:2" x14ac:dyDescent="0.25">
      <c r="A11634" t="s">
        <v>1984</v>
      </c>
      <c r="B11634" t="s">
        <v>9165</v>
      </c>
    </row>
    <row r="11635" spans="1:2" x14ac:dyDescent="0.25">
      <c r="A11635" t="s">
        <v>4319</v>
      </c>
      <c r="B11635" t="s">
        <v>9165</v>
      </c>
    </row>
    <row r="11636" spans="1:2" x14ac:dyDescent="0.25">
      <c r="A11636" t="s">
        <v>7788</v>
      </c>
      <c r="B11636" t="s">
        <v>9165</v>
      </c>
    </row>
    <row r="11637" spans="1:2" x14ac:dyDescent="0.25">
      <c r="A11637" t="s">
        <v>5260</v>
      </c>
      <c r="B11637" t="s">
        <v>9165</v>
      </c>
    </row>
    <row r="11638" spans="1:2" x14ac:dyDescent="0.25">
      <c r="A11638" t="s">
        <v>6748</v>
      </c>
      <c r="B11638" t="s">
        <v>9165</v>
      </c>
    </row>
    <row r="11639" spans="1:2" x14ac:dyDescent="0.25">
      <c r="A11639" t="s">
        <v>1265</v>
      </c>
      <c r="B11639" t="s">
        <v>9165</v>
      </c>
    </row>
    <row r="11640" spans="1:2" x14ac:dyDescent="0.25">
      <c r="A11640" t="s">
        <v>1267</v>
      </c>
      <c r="B11640" t="s">
        <v>9165</v>
      </c>
    </row>
    <row r="11641" spans="1:2" x14ac:dyDescent="0.25">
      <c r="A11641" t="s">
        <v>9957</v>
      </c>
      <c r="B11641" t="s">
        <v>11809</v>
      </c>
    </row>
    <row r="11642" spans="1:2" x14ac:dyDescent="0.25">
      <c r="A11642" t="s">
        <v>9166</v>
      </c>
      <c r="B11642" t="s">
        <v>9957</v>
      </c>
    </row>
    <row r="11643" spans="1:2" x14ac:dyDescent="0.25">
      <c r="A11643" t="s">
        <v>8323</v>
      </c>
      <c r="B11643" t="s">
        <v>9957</v>
      </c>
    </row>
    <row r="11644" spans="1:2" x14ac:dyDescent="0.25">
      <c r="A11644" t="s">
        <v>7789</v>
      </c>
      <c r="B11644" t="s">
        <v>9957</v>
      </c>
    </row>
    <row r="11645" spans="1:2" x14ac:dyDescent="0.25">
      <c r="A11645" t="s">
        <v>5261</v>
      </c>
      <c r="B11645" t="s">
        <v>9957</v>
      </c>
    </row>
    <row r="11646" spans="1:2" x14ac:dyDescent="0.25">
      <c r="A11646" t="s">
        <v>7790</v>
      </c>
      <c r="B11646" t="s">
        <v>9957</v>
      </c>
    </row>
    <row r="11647" spans="1:2" x14ac:dyDescent="0.25">
      <c r="A11647" t="s">
        <v>3848</v>
      </c>
      <c r="B11647" t="s">
        <v>9957</v>
      </c>
    </row>
    <row r="11648" spans="1:2" x14ac:dyDescent="0.25">
      <c r="A11648" t="s">
        <v>4473</v>
      </c>
      <c r="B11648" t="s">
        <v>3848</v>
      </c>
    </row>
    <row r="11649" spans="1:2" x14ac:dyDescent="0.25">
      <c r="A11649" t="s">
        <v>7791</v>
      </c>
      <c r="B11649" t="s">
        <v>9957</v>
      </c>
    </row>
    <row r="11650" spans="1:2" x14ac:dyDescent="0.25">
      <c r="A11650" t="s">
        <v>1985</v>
      </c>
      <c r="B11650" t="s">
        <v>9957</v>
      </c>
    </row>
    <row r="11651" spans="1:2" x14ac:dyDescent="0.25">
      <c r="A11651" t="s">
        <v>10551</v>
      </c>
      <c r="B11651" t="s">
        <v>9957</v>
      </c>
    </row>
    <row r="11652" spans="1:2" x14ac:dyDescent="0.25">
      <c r="A11652" t="s">
        <v>6087</v>
      </c>
      <c r="B11652" t="s">
        <v>9957</v>
      </c>
    </row>
    <row r="11653" spans="1:2" x14ac:dyDescent="0.25">
      <c r="A11653" t="s">
        <v>2475</v>
      </c>
      <c r="B11653" t="s">
        <v>9957</v>
      </c>
    </row>
    <row r="11654" spans="1:2" x14ac:dyDescent="0.25">
      <c r="A11654" t="s">
        <v>12279</v>
      </c>
      <c r="B11654" t="s">
        <v>9957</v>
      </c>
    </row>
    <row r="11655" spans="1:2" x14ac:dyDescent="0.25">
      <c r="A11655" t="s">
        <v>10700</v>
      </c>
      <c r="B11655" t="s">
        <v>9957</v>
      </c>
    </row>
    <row r="11656" spans="1:2" x14ac:dyDescent="0.25">
      <c r="A11656" t="s">
        <v>5262</v>
      </c>
      <c r="B11656" t="s">
        <v>9957</v>
      </c>
    </row>
    <row r="11657" spans="1:2" x14ac:dyDescent="0.25">
      <c r="A11657" t="s">
        <v>9578</v>
      </c>
      <c r="B11657" t="s">
        <v>9957</v>
      </c>
    </row>
    <row r="11658" spans="1:2" x14ac:dyDescent="0.25">
      <c r="A11658" t="s">
        <v>1986</v>
      </c>
      <c r="B11658" t="s">
        <v>9957</v>
      </c>
    </row>
    <row r="11659" spans="1:2" x14ac:dyDescent="0.25">
      <c r="A11659" t="s">
        <v>9579</v>
      </c>
      <c r="B11659" t="s">
        <v>11809</v>
      </c>
    </row>
    <row r="11660" spans="1:2" x14ac:dyDescent="0.25">
      <c r="A11660" t="s">
        <v>8769</v>
      </c>
      <c r="B11660" t="s">
        <v>9579</v>
      </c>
    </row>
    <row r="11661" spans="1:2" x14ac:dyDescent="0.25">
      <c r="A11661" t="s">
        <v>4321</v>
      </c>
      <c r="B11661" t="s">
        <v>9579</v>
      </c>
    </row>
    <row r="11662" spans="1:2" x14ac:dyDescent="0.25">
      <c r="A11662" t="s">
        <v>4322</v>
      </c>
      <c r="B11662" t="s">
        <v>9579</v>
      </c>
    </row>
    <row r="11663" spans="1:2" x14ac:dyDescent="0.25">
      <c r="A11663" t="s">
        <v>4323</v>
      </c>
      <c r="B11663" t="s">
        <v>9579</v>
      </c>
    </row>
    <row r="11664" spans="1:2" x14ac:dyDescent="0.25">
      <c r="A11664" t="s">
        <v>5675</v>
      </c>
      <c r="B11664" t="s">
        <v>9579</v>
      </c>
    </row>
    <row r="11665" spans="1:2" x14ac:dyDescent="0.25">
      <c r="A11665" t="s">
        <v>1987</v>
      </c>
      <c r="B11665" t="s">
        <v>9579</v>
      </c>
    </row>
    <row r="11666" spans="1:2" x14ac:dyDescent="0.25">
      <c r="A11666" t="s">
        <v>8346</v>
      </c>
      <c r="B11666" t="s">
        <v>11809</v>
      </c>
    </row>
    <row r="11667" spans="1:2" x14ac:dyDescent="0.25">
      <c r="A11667" t="s">
        <v>5298</v>
      </c>
      <c r="B11667" t="s">
        <v>8346</v>
      </c>
    </row>
    <row r="11668" spans="1:2" x14ac:dyDescent="0.25">
      <c r="A11668" t="s">
        <v>1312</v>
      </c>
      <c r="B11668" t="s">
        <v>8346</v>
      </c>
    </row>
    <row r="11669" spans="1:2" x14ac:dyDescent="0.25">
      <c r="A11669" t="s">
        <v>4357</v>
      </c>
      <c r="B11669" t="s">
        <v>8346</v>
      </c>
    </row>
    <row r="11670" spans="1:2" x14ac:dyDescent="0.25">
      <c r="A11670" t="s">
        <v>3387</v>
      </c>
      <c r="B11670" t="s">
        <v>8346</v>
      </c>
    </row>
    <row r="11671" spans="1:2" x14ac:dyDescent="0.25">
      <c r="A11671" t="s">
        <v>3388</v>
      </c>
      <c r="B11671" t="s">
        <v>8346</v>
      </c>
    </row>
    <row r="11672" spans="1:2" x14ac:dyDescent="0.25">
      <c r="A11672" t="s">
        <v>4854</v>
      </c>
      <c r="B11672" t="s">
        <v>8346</v>
      </c>
    </row>
    <row r="11673" spans="1:2" x14ac:dyDescent="0.25">
      <c r="A11673" t="s">
        <v>2076</v>
      </c>
      <c r="B11673" t="s">
        <v>8346</v>
      </c>
    </row>
    <row r="11674" spans="1:2" x14ac:dyDescent="0.25">
      <c r="A11674" t="s">
        <v>4358</v>
      </c>
      <c r="B11674" t="s">
        <v>8346</v>
      </c>
    </row>
    <row r="11675" spans="1:2" x14ac:dyDescent="0.25">
      <c r="A11675" t="s">
        <v>3389</v>
      </c>
      <c r="B11675" t="s">
        <v>8346</v>
      </c>
    </row>
    <row r="11676" spans="1:2" x14ac:dyDescent="0.25">
      <c r="A11676" t="s">
        <v>2955</v>
      </c>
      <c r="B11676" t="s">
        <v>8346</v>
      </c>
    </row>
    <row r="11677" spans="1:2" x14ac:dyDescent="0.25">
      <c r="A11677" t="s">
        <v>2956</v>
      </c>
      <c r="B11677" t="s">
        <v>8346</v>
      </c>
    </row>
    <row r="11678" spans="1:2" x14ac:dyDescent="0.25">
      <c r="A11678" t="s">
        <v>2077</v>
      </c>
      <c r="B11678" t="s">
        <v>8346</v>
      </c>
    </row>
    <row r="11679" spans="1:2" x14ac:dyDescent="0.25">
      <c r="A11679" t="s">
        <v>2078</v>
      </c>
      <c r="B11679" t="s">
        <v>8346</v>
      </c>
    </row>
    <row r="11680" spans="1:2" x14ac:dyDescent="0.25">
      <c r="A11680" t="s">
        <v>4359</v>
      </c>
      <c r="B11680" t="s">
        <v>8346</v>
      </c>
    </row>
    <row r="11681" spans="1:2" x14ac:dyDescent="0.25">
      <c r="A11681" t="s">
        <v>2079</v>
      </c>
      <c r="B11681" t="s">
        <v>8346</v>
      </c>
    </row>
    <row r="11682" spans="1:2" x14ac:dyDescent="0.25">
      <c r="A11682" t="s">
        <v>2080</v>
      </c>
      <c r="B11682" t="s">
        <v>8346</v>
      </c>
    </row>
    <row r="11683" spans="1:2" x14ac:dyDescent="0.25">
      <c r="A11683" t="s">
        <v>2957</v>
      </c>
      <c r="B11683" t="s">
        <v>8346</v>
      </c>
    </row>
    <row r="11684" spans="1:2" x14ac:dyDescent="0.25">
      <c r="A11684" t="s">
        <v>2081</v>
      </c>
      <c r="B11684" t="s">
        <v>8346</v>
      </c>
    </row>
    <row r="11685" spans="1:2" x14ac:dyDescent="0.25">
      <c r="A11685" t="s">
        <v>3390</v>
      </c>
      <c r="B11685" t="s">
        <v>8346</v>
      </c>
    </row>
    <row r="11686" spans="1:2" x14ac:dyDescent="0.25">
      <c r="A11686" t="s">
        <v>2528</v>
      </c>
      <c r="B11686" t="s">
        <v>8346</v>
      </c>
    </row>
    <row r="11687" spans="1:2" x14ac:dyDescent="0.25">
      <c r="A11687" t="s">
        <v>2958</v>
      </c>
      <c r="B11687" t="s">
        <v>8346</v>
      </c>
    </row>
    <row r="11688" spans="1:2" x14ac:dyDescent="0.25">
      <c r="A11688" t="s">
        <v>2529</v>
      </c>
      <c r="B11688" t="s">
        <v>8346</v>
      </c>
    </row>
    <row r="11689" spans="1:2" x14ac:dyDescent="0.25">
      <c r="A11689" t="s">
        <v>2082</v>
      </c>
      <c r="B11689" t="s">
        <v>8346</v>
      </c>
    </row>
    <row r="11690" spans="1:2" x14ac:dyDescent="0.25">
      <c r="A11690" t="s">
        <v>1313</v>
      </c>
      <c r="B11690" t="s">
        <v>8346</v>
      </c>
    </row>
    <row r="11691" spans="1:2" x14ac:dyDescent="0.25">
      <c r="A11691" t="s">
        <v>1314</v>
      </c>
      <c r="B11691" t="s">
        <v>8346</v>
      </c>
    </row>
    <row r="11692" spans="1:2" x14ac:dyDescent="0.25">
      <c r="A11692" t="s">
        <v>1315</v>
      </c>
      <c r="B11692" t="s">
        <v>8346</v>
      </c>
    </row>
    <row r="11693" spans="1:2" x14ac:dyDescent="0.25">
      <c r="A11693" t="s">
        <v>4855</v>
      </c>
      <c r="B11693" t="s">
        <v>8346</v>
      </c>
    </row>
    <row r="11694" spans="1:2" x14ac:dyDescent="0.25">
      <c r="A11694" t="s">
        <v>5299</v>
      </c>
      <c r="B11694" t="s">
        <v>8346</v>
      </c>
    </row>
    <row r="11695" spans="1:2" x14ac:dyDescent="0.25">
      <c r="A11695" t="s">
        <v>4360</v>
      </c>
      <c r="B11695" t="s">
        <v>8346</v>
      </c>
    </row>
    <row r="11696" spans="1:2" x14ac:dyDescent="0.25">
      <c r="A11696" t="s">
        <v>9607</v>
      </c>
      <c r="B11696" t="s">
        <v>8346</v>
      </c>
    </row>
    <row r="11697" spans="1:2" x14ac:dyDescent="0.25">
      <c r="A11697" t="s">
        <v>2959</v>
      </c>
      <c r="B11697" t="s">
        <v>8346</v>
      </c>
    </row>
    <row r="11698" spans="1:2" x14ac:dyDescent="0.25">
      <c r="A11698" t="s">
        <v>2083</v>
      </c>
      <c r="B11698" t="s">
        <v>8346</v>
      </c>
    </row>
    <row r="11699" spans="1:2" x14ac:dyDescent="0.25">
      <c r="A11699" t="s">
        <v>1316</v>
      </c>
      <c r="B11699" t="s">
        <v>8346</v>
      </c>
    </row>
    <row r="11700" spans="1:2" x14ac:dyDescent="0.25">
      <c r="A11700" t="s">
        <v>6112</v>
      </c>
      <c r="B11700" t="s">
        <v>8346</v>
      </c>
    </row>
    <row r="11701" spans="1:2" x14ac:dyDescent="0.25">
      <c r="A11701" t="s">
        <v>2084</v>
      </c>
      <c r="B11701" t="s">
        <v>8346</v>
      </c>
    </row>
    <row r="11702" spans="1:2" x14ac:dyDescent="0.25">
      <c r="A11702" t="s">
        <v>2169</v>
      </c>
      <c r="B11702" t="s">
        <v>8346</v>
      </c>
    </row>
    <row r="11703" spans="1:2" x14ac:dyDescent="0.25">
      <c r="A11703" t="s">
        <v>3556</v>
      </c>
      <c r="B11703" t="s">
        <v>8346</v>
      </c>
    </row>
    <row r="11704" spans="1:2" x14ac:dyDescent="0.25">
      <c r="A11704" t="s">
        <v>11260</v>
      </c>
      <c r="B11704" t="s">
        <v>11809</v>
      </c>
    </row>
    <row r="11705" spans="1:2" x14ac:dyDescent="0.25">
      <c r="A11705" t="s">
        <v>13384</v>
      </c>
      <c r="B11705" t="s">
        <v>11260</v>
      </c>
    </row>
    <row r="11706" spans="1:2" x14ac:dyDescent="0.25">
      <c r="A11706" t="s">
        <v>4517</v>
      </c>
      <c r="B11706" t="s">
        <v>11260</v>
      </c>
    </row>
    <row r="11707" spans="1:2" x14ac:dyDescent="0.25">
      <c r="A11707" t="s">
        <v>8851</v>
      </c>
      <c r="B11707" t="s">
        <v>4517</v>
      </c>
    </row>
    <row r="11708" spans="1:2" x14ac:dyDescent="0.25">
      <c r="A11708" t="s">
        <v>5279</v>
      </c>
      <c r="B11708" t="s">
        <v>8851</v>
      </c>
    </row>
    <row r="11709" spans="1:2" x14ac:dyDescent="0.25">
      <c r="A11709" t="s">
        <v>7161</v>
      </c>
      <c r="B11709" t="s">
        <v>5279</v>
      </c>
    </row>
    <row r="11710" spans="1:2" x14ac:dyDescent="0.25">
      <c r="A11710" t="s">
        <v>9183</v>
      </c>
      <c r="B11710" t="s">
        <v>5279</v>
      </c>
    </row>
    <row r="11711" spans="1:2" x14ac:dyDescent="0.25">
      <c r="A11711" t="s">
        <v>9184</v>
      </c>
      <c r="B11711" t="s">
        <v>5279</v>
      </c>
    </row>
    <row r="11712" spans="1:2" x14ac:dyDescent="0.25">
      <c r="A11712" t="s">
        <v>9185</v>
      </c>
      <c r="B11712" t="s">
        <v>5279</v>
      </c>
    </row>
    <row r="11713" spans="1:2" x14ac:dyDescent="0.25">
      <c r="A11713" t="s">
        <v>9186</v>
      </c>
      <c r="B11713" t="s">
        <v>5279</v>
      </c>
    </row>
    <row r="11714" spans="1:2" x14ac:dyDescent="0.25">
      <c r="A11714" t="s">
        <v>9600</v>
      </c>
      <c r="B11714" t="s">
        <v>5279</v>
      </c>
    </row>
    <row r="11715" spans="1:2" x14ac:dyDescent="0.25">
      <c r="A11715" t="s">
        <v>2937</v>
      </c>
      <c r="B11715" t="s">
        <v>5279</v>
      </c>
    </row>
    <row r="11716" spans="1:2" x14ac:dyDescent="0.25">
      <c r="A11716" t="s">
        <v>9217</v>
      </c>
      <c r="B11716" t="s">
        <v>5279</v>
      </c>
    </row>
    <row r="11717" spans="1:2" x14ac:dyDescent="0.25">
      <c r="A11717" t="s">
        <v>6650</v>
      </c>
      <c r="B11717" t="s">
        <v>5279</v>
      </c>
    </row>
    <row r="11718" spans="1:2" x14ac:dyDescent="0.25">
      <c r="A11718" t="s">
        <v>1281</v>
      </c>
      <c r="B11718" t="s">
        <v>8851</v>
      </c>
    </row>
    <row r="11719" spans="1:2" x14ac:dyDescent="0.25">
      <c r="A11719" t="s">
        <v>10562</v>
      </c>
      <c r="B11719" t="s">
        <v>1281</v>
      </c>
    </row>
    <row r="11720" spans="1:2" x14ac:dyDescent="0.25">
      <c r="A11720" t="s">
        <v>10621</v>
      </c>
      <c r="B11720" t="s">
        <v>8851</v>
      </c>
    </row>
    <row r="11721" spans="1:2" x14ac:dyDescent="0.25">
      <c r="A11721" t="s">
        <v>6165</v>
      </c>
      <c r="B11721" t="s">
        <v>10621</v>
      </c>
    </row>
    <row r="11722" spans="1:2" x14ac:dyDescent="0.25">
      <c r="A11722" t="s">
        <v>12313</v>
      </c>
      <c r="B11722" t="s">
        <v>8851</v>
      </c>
    </row>
    <row r="11723" spans="1:2" x14ac:dyDescent="0.25">
      <c r="A11723" t="s">
        <v>11766</v>
      </c>
      <c r="B11723" t="s">
        <v>12313</v>
      </c>
    </row>
    <row r="11724" spans="1:2" x14ac:dyDescent="0.25">
      <c r="A11724" t="s">
        <v>9601</v>
      </c>
      <c r="B11724" t="s">
        <v>11766</v>
      </c>
    </row>
    <row r="11725" spans="1:2" x14ac:dyDescent="0.25">
      <c r="A11725" t="s">
        <v>11767</v>
      </c>
      <c r="B11725" t="s">
        <v>12313</v>
      </c>
    </row>
    <row r="11726" spans="1:2" x14ac:dyDescent="0.25">
      <c r="A11726" t="s">
        <v>9602</v>
      </c>
      <c r="B11726" t="s">
        <v>11767</v>
      </c>
    </row>
    <row r="11727" spans="1:2" x14ac:dyDescent="0.25">
      <c r="A11727" t="s">
        <v>11768</v>
      </c>
      <c r="B11727" t="s">
        <v>12313</v>
      </c>
    </row>
    <row r="11728" spans="1:2" x14ac:dyDescent="0.25">
      <c r="A11728" t="s">
        <v>9603</v>
      </c>
      <c r="B11728" t="s">
        <v>11768</v>
      </c>
    </row>
    <row r="11729" spans="1:2" x14ac:dyDescent="0.25">
      <c r="A11729" t="s">
        <v>11769</v>
      </c>
      <c r="B11729" t="s">
        <v>12313</v>
      </c>
    </row>
    <row r="11730" spans="1:2" x14ac:dyDescent="0.25">
      <c r="A11730" t="s">
        <v>9604</v>
      </c>
      <c r="B11730" t="s">
        <v>11769</v>
      </c>
    </row>
    <row r="11731" spans="1:2" x14ac:dyDescent="0.25">
      <c r="A11731" t="s">
        <v>11770</v>
      </c>
      <c r="B11731" t="s">
        <v>12313</v>
      </c>
    </row>
    <row r="11732" spans="1:2" x14ac:dyDescent="0.25">
      <c r="A11732" t="s">
        <v>9605</v>
      </c>
      <c r="B11732" t="s">
        <v>11770</v>
      </c>
    </row>
    <row r="11733" spans="1:2" x14ac:dyDescent="0.25">
      <c r="A11733" t="s">
        <v>16290</v>
      </c>
      <c r="B11733" t="s">
        <v>12313</v>
      </c>
    </row>
    <row r="11734" spans="1:2" x14ac:dyDescent="0.25">
      <c r="A11734" t="s">
        <v>16291</v>
      </c>
      <c r="B11734" t="s">
        <v>16290</v>
      </c>
    </row>
    <row r="11735" spans="1:2" x14ac:dyDescent="0.25">
      <c r="A11735" t="s">
        <v>16292</v>
      </c>
      <c r="B11735" t="s">
        <v>16290</v>
      </c>
    </row>
    <row r="11736" spans="1:2" x14ac:dyDescent="0.25">
      <c r="A11736" t="s">
        <v>16293</v>
      </c>
      <c r="B11736" t="s">
        <v>16290</v>
      </c>
    </row>
    <row r="11737" spans="1:2" x14ac:dyDescent="0.25">
      <c r="A11737" t="s">
        <v>16294</v>
      </c>
      <c r="B11737" t="s">
        <v>16290</v>
      </c>
    </row>
    <row r="11738" spans="1:2" x14ac:dyDescent="0.25">
      <c r="A11738" t="s">
        <v>16295</v>
      </c>
      <c r="B11738" t="s">
        <v>12313</v>
      </c>
    </row>
    <row r="11739" spans="1:2" x14ac:dyDescent="0.25">
      <c r="A11739" t="s">
        <v>16296</v>
      </c>
      <c r="B11739" t="s">
        <v>16295</v>
      </c>
    </row>
    <row r="11740" spans="1:2" x14ac:dyDescent="0.25">
      <c r="A11740" t="s">
        <v>16297</v>
      </c>
      <c r="B11740" t="s">
        <v>16295</v>
      </c>
    </row>
    <row r="11741" spans="1:2" x14ac:dyDescent="0.25">
      <c r="A11741" t="s">
        <v>16298</v>
      </c>
      <c r="B11741" t="s">
        <v>16295</v>
      </c>
    </row>
    <row r="11742" spans="1:2" x14ac:dyDescent="0.25">
      <c r="A11742" t="s">
        <v>16299</v>
      </c>
      <c r="B11742" t="s">
        <v>16295</v>
      </c>
    </row>
    <row r="11743" spans="1:2" x14ac:dyDescent="0.25">
      <c r="A11743" t="s">
        <v>16300</v>
      </c>
      <c r="B11743" t="s">
        <v>12313</v>
      </c>
    </row>
    <row r="11744" spans="1:2" x14ac:dyDescent="0.25">
      <c r="A11744" t="s">
        <v>16301</v>
      </c>
      <c r="B11744" t="s">
        <v>16300</v>
      </c>
    </row>
    <row r="11745" spans="1:2" x14ac:dyDescent="0.25">
      <c r="A11745" t="s">
        <v>16302</v>
      </c>
      <c r="B11745" t="s">
        <v>16300</v>
      </c>
    </row>
    <row r="11746" spans="1:2" x14ac:dyDescent="0.25">
      <c r="A11746" t="s">
        <v>13923</v>
      </c>
      <c r="B11746" t="s">
        <v>16300</v>
      </c>
    </row>
    <row r="11747" spans="1:2" x14ac:dyDescent="0.25">
      <c r="A11747" t="s">
        <v>13953</v>
      </c>
      <c r="B11747" t="s">
        <v>13923</v>
      </c>
    </row>
    <row r="11748" spans="1:2" x14ac:dyDescent="0.25">
      <c r="A11748" t="s">
        <v>13954</v>
      </c>
      <c r="B11748" t="s">
        <v>13923</v>
      </c>
    </row>
    <row r="11749" spans="1:2" x14ac:dyDescent="0.25">
      <c r="A11749" t="s">
        <v>16303</v>
      </c>
      <c r="B11749" t="s">
        <v>12313</v>
      </c>
    </row>
    <row r="11750" spans="1:2" x14ac:dyDescent="0.25">
      <c r="A11750" t="s">
        <v>16304</v>
      </c>
      <c r="B11750" t="s">
        <v>16303</v>
      </c>
    </row>
    <row r="11751" spans="1:2" x14ac:dyDescent="0.25">
      <c r="A11751" t="s">
        <v>16305</v>
      </c>
      <c r="B11751" t="s">
        <v>16303</v>
      </c>
    </row>
    <row r="11752" spans="1:2" x14ac:dyDescent="0.25">
      <c r="A11752" t="s">
        <v>5835</v>
      </c>
      <c r="B11752" t="s">
        <v>16305</v>
      </c>
    </row>
    <row r="11753" spans="1:2" x14ac:dyDescent="0.25">
      <c r="A11753" t="s">
        <v>11393</v>
      </c>
      <c r="B11753" t="s">
        <v>5835</v>
      </c>
    </row>
    <row r="11754" spans="1:2" x14ac:dyDescent="0.25">
      <c r="A11754" t="s">
        <v>11394</v>
      </c>
      <c r="B11754" t="s">
        <v>11393</v>
      </c>
    </row>
    <row r="11755" spans="1:2" x14ac:dyDescent="0.25">
      <c r="A11755" t="s">
        <v>11395</v>
      </c>
      <c r="B11755" t="s">
        <v>5835</v>
      </c>
    </row>
    <row r="11756" spans="1:2" x14ac:dyDescent="0.25">
      <c r="A11756" t="s">
        <v>16306</v>
      </c>
      <c r="B11756" t="s">
        <v>16303</v>
      </c>
    </row>
    <row r="11757" spans="1:2" x14ac:dyDescent="0.25">
      <c r="A11757" t="s">
        <v>16307</v>
      </c>
      <c r="B11757" t="s">
        <v>16303</v>
      </c>
    </row>
    <row r="11758" spans="1:2" x14ac:dyDescent="0.25">
      <c r="A11758" t="s">
        <v>12493</v>
      </c>
      <c r="B11758" t="s">
        <v>16303</v>
      </c>
    </row>
    <row r="11759" spans="1:2" x14ac:dyDescent="0.25">
      <c r="A11759" t="s">
        <v>9649</v>
      </c>
      <c r="B11759" t="s">
        <v>12493</v>
      </c>
    </row>
    <row r="11760" spans="1:2" x14ac:dyDescent="0.25">
      <c r="A11760" t="s">
        <v>16308</v>
      </c>
      <c r="B11760" t="s">
        <v>8851</v>
      </c>
    </row>
    <row r="11761" spans="1:2" x14ac:dyDescent="0.25">
      <c r="A11761" t="s">
        <v>10673</v>
      </c>
      <c r="B11761" t="s">
        <v>4517</v>
      </c>
    </row>
    <row r="11762" spans="1:2" x14ac:dyDescent="0.25">
      <c r="A11762" t="s">
        <v>3966</v>
      </c>
      <c r="B11762" t="s">
        <v>4517</v>
      </c>
    </row>
    <row r="11763" spans="1:2" x14ac:dyDescent="0.25">
      <c r="A11763" t="s">
        <v>3967</v>
      </c>
      <c r="B11763" t="s">
        <v>3966</v>
      </c>
    </row>
    <row r="11764" spans="1:2" x14ac:dyDescent="0.25">
      <c r="A11764" t="s">
        <v>3968</v>
      </c>
      <c r="B11764" t="s">
        <v>3966</v>
      </c>
    </row>
    <row r="11765" spans="1:2" x14ac:dyDescent="0.25">
      <c r="A11765" t="s">
        <v>4912</v>
      </c>
      <c r="B11765" t="s">
        <v>3966</v>
      </c>
    </row>
    <row r="11766" spans="1:2" x14ac:dyDescent="0.25">
      <c r="A11766" t="s">
        <v>16309</v>
      </c>
      <c r="B11766" t="s">
        <v>4517</v>
      </c>
    </row>
    <row r="11767" spans="1:2" x14ac:dyDescent="0.25">
      <c r="A11767" t="s">
        <v>16310</v>
      </c>
      <c r="B11767" t="s">
        <v>16309</v>
      </c>
    </row>
    <row r="11768" spans="1:2" x14ac:dyDescent="0.25">
      <c r="A11768" t="s">
        <v>16311</v>
      </c>
      <c r="B11768" t="s">
        <v>16310</v>
      </c>
    </row>
    <row r="11769" spans="1:2" x14ac:dyDescent="0.25">
      <c r="A11769" t="s">
        <v>16312</v>
      </c>
      <c r="B11769" t="s">
        <v>16311</v>
      </c>
    </row>
    <row r="11770" spans="1:2" x14ac:dyDescent="0.25">
      <c r="A11770" t="s">
        <v>16313</v>
      </c>
      <c r="B11770" t="s">
        <v>16311</v>
      </c>
    </row>
    <row r="11771" spans="1:2" x14ac:dyDescent="0.25">
      <c r="A11771" t="s">
        <v>16314</v>
      </c>
      <c r="B11771" t="s">
        <v>16311</v>
      </c>
    </row>
    <row r="11772" spans="1:2" x14ac:dyDescent="0.25">
      <c r="A11772" t="s">
        <v>16315</v>
      </c>
      <c r="B11772" t="s">
        <v>16311</v>
      </c>
    </row>
    <row r="11773" spans="1:2" x14ac:dyDescent="0.25">
      <c r="A11773" t="s">
        <v>16316</v>
      </c>
      <c r="B11773" t="s">
        <v>16310</v>
      </c>
    </row>
    <row r="11774" spans="1:2" x14ac:dyDescent="0.25">
      <c r="A11774" t="s">
        <v>16317</v>
      </c>
      <c r="B11774" t="s">
        <v>16316</v>
      </c>
    </row>
    <row r="11775" spans="1:2" x14ac:dyDescent="0.25">
      <c r="A11775" t="s">
        <v>16318</v>
      </c>
      <c r="B11775" t="s">
        <v>16316</v>
      </c>
    </row>
    <row r="11776" spans="1:2" x14ac:dyDescent="0.25">
      <c r="A11776" t="s">
        <v>16319</v>
      </c>
      <c r="B11776" t="s">
        <v>16316</v>
      </c>
    </row>
    <row r="11777" spans="1:2" x14ac:dyDescent="0.25">
      <c r="A11777" t="s">
        <v>16320</v>
      </c>
      <c r="B11777" t="s">
        <v>16316</v>
      </c>
    </row>
    <row r="11778" spans="1:2" x14ac:dyDescent="0.25">
      <c r="A11778" t="s">
        <v>16321</v>
      </c>
      <c r="B11778" t="s">
        <v>16310</v>
      </c>
    </row>
    <row r="11779" spans="1:2" x14ac:dyDescent="0.25">
      <c r="A11779" t="s">
        <v>16322</v>
      </c>
      <c r="B11779" t="s">
        <v>16321</v>
      </c>
    </row>
    <row r="11780" spans="1:2" x14ac:dyDescent="0.25">
      <c r="A11780" t="s">
        <v>16323</v>
      </c>
      <c r="B11780" t="s">
        <v>16321</v>
      </c>
    </row>
    <row r="11781" spans="1:2" x14ac:dyDescent="0.25">
      <c r="A11781" t="s">
        <v>16324</v>
      </c>
      <c r="B11781" t="s">
        <v>16310</v>
      </c>
    </row>
    <row r="11782" spans="1:2" x14ac:dyDescent="0.25">
      <c r="A11782" t="s">
        <v>16325</v>
      </c>
      <c r="B11782" t="s">
        <v>16324</v>
      </c>
    </row>
    <row r="11783" spans="1:2" x14ac:dyDescent="0.25">
      <c r="A11783" t="s">
        <v>16326</v>
      </c>
      <c r="B11783" t="s">
        <v>16324</v>
      </c>
    </row>
    <row r="11784" spans="1:2" x14ac:dyDescent="0.25">
      <c r="A11784" t="s">
        <v>16327</v>
      </c>
      <c r="B11784" t="s">
        <v>16324</v>
      </c>
    </row>
    <row r="11785" spans="1:2" x14ac:dyDescent="0.25">
      <c r="A11785" t="s">
        <v>16328</v>
      </c>
      <c r="B11785" t="s">
        <v>16324</v>
      </c>
    </row>
    <row r="11786" spans="1:2" x14ac:dyDescent="0.25">
      <c r="A11786" t="s">
        <v>16329</v>
      </c>
      <c r="B11786" t="s">
        <v>16324</v>
      </c>
    </row>
    <row r="11787" spans="1:2" x14ac:dyDescent="0.25">
      <c r="A11787" t="s">
        <v>16330</v>
      </c>
      <c r="B11787" t="s">
        <v>16309</v>
      </c>
    </row>
    <row r="11788" spans="1:2" x14ac:dyDescent="0.25">
      <c r="A11788" t="s">
        <v>16331</v>
      </c>
      <c r="B11788" t="s">
        <v>16309</v>
      </c>
    </row>
    <row r="11789" spans="1:2" x14ac:dyDescent="0.25">
      <c r="A11789" t="s">
        <v>16332</v>
      </c>
      <c r="B11789" t="s">
        <v>16309</v>
      </c>
    </row>
    <row r="11790" spans="1:2" x14ac:dyDescent="0.25">
      <c r="A11790" t="s">
        <v>16333</v>
      </c>
      <c r="B11790" t="s">
        <v>16309</v>
      </c>
    </row>
    <row r="11791" spans="1:2" x14ac:dyDescent="0.25">
      <c r="A11791" t="s">
        <v>5772</v>
      </c>
      <c r="B11791" t="s">
        <v>11260</v>
      </c>
    </row>
    <row r="11792" spans="1:2" x14ac:dyDescent="0.25">
      <c r="A11792" t="s">
        <v>8337</v>
      </c>
      <c r="B11792" t="s">
        <v>5772</v>
      </c>
    </row>
    <row r="11793" spans="1:2" x14ac:dyDescent="0.25">
      <c r="A11793" t="s">
        <v>6596</v>
      </c>
      <c r="B11793" t="s">
        <v>8337</v>
      </c>
    </row>
    <row r="11794" spans="1:2" x14ac:dyDescent="0.25">
      <c r="A11794" t="s">
        <v>7160</v>
      </c>
      <c r="B11794" t="s">
        <v>8337</v>
      </c>
    </row>
    <row r="11795" spans="1:2" x14ac:dyDescent="0.25">
      <c r="A11795" t="s">
        <v>2936</v>
      </c>
      <c r="B11795" t="s">
        <v>7160</v>
      </c>
    </row>
    <row r="11796" spans="1:2" x14ac:dyDescent="0.25">
      <c r="A11796" t="s">
        <v>3880</v>
      </c>
      <c r="B11796" t="s">
        <v>5772</v>
      </c>
    </row>
    <row r="11797" spans="1:2" x14ac:dyDescent="0.25">
      <c r="A11797" t="s">
        <v>7815</v>
      </c>
      <c r="B11797" t="s">
        <v>3880</v>
      </c>
    </row>
    <row r="11798" spans="1:2" x14ac:dyDescent="0.25">
      <c r="A11798" t="s">
        <v>1271</v>
      </c>
      <c r="B11798" t="s">
        <v>3880</v>
      </c>
    </row>
    <row r="11799" spans="1:2" x14ac:dyDescent="0.25">
      <c r="A11799" t="s">
        <v>1272</v>
      </c>
      <c r="B11799" t="s">
        <v>3880</v>
      </c>
    </row>
    <row r="11800" spans="1:2" x14ac:dyDescent="0.25">
      <c r="A11800" t="s">
        <v>6101</v>
      </c>
      <c r="B11800" t="s">
        <v>3880</v>
      </c>
    </row>
    <row r="11801" spans="1:2" x14ac:dyDescent="0.25">
      <c r="A11801" t="s">
        <v>5280</v>
      </c>
      <c r="B11801" t="s">
        <v>6101</v>
      </c>
    </row>
    <row r="11802" spans="1:2" x14ac:dyDescent="0.25">
      <c r="A11802" t="s">
        <v>6102</v>
      </c>
      <c r="B11802" t="s">
        <v>3880</v>
      </c>
    </row>
    <row r="11803" spans="1:2" x14ac:dyDescent="0.25">
      <c r="A11803" t="s">
        <v>2053</v>
      </c>
      <c r="B11803" t="s">
        <v>6102</v>
      </c>
    </row>
    <row r="11804" spans="1:2" x14ac:dyDescent="0.25">
      <c r="A11804" t="s">
        <v>6103</v>
      </c>
      <c r="B11804" t="s">
        <v>3880</v>
      </c>
    </row>
    <row r="11805" spans="1:2" x14ac:dyDescent="0.25">
      <c r="A11805" t="s">
        <v>4341</v>
      </c>
      <c r="B11805" t="s">
        <v>3880</v>
      </c>
    </row>
    <row r="11806" spans="1:2" x14ac:dyDescent="0.25">
      <c r="A11806" t="s">
        <v>1273</v>
      </c>
      <c r="B11806" t="s">
        <v>4341</v>
      </c>
    </row>
    <row r="11807" spans="1:2" x14ac:dyDescent="0.25">
      <c r="A11807" t="s">
        <v>4845</v>
      </c>
      <c r="B11807" t="s">
        <v>3880</v>
      </c>
    </row>
    <row r="11808" spans="1:2" x14ac:dyDescent="0.25">
      <c r="A11808" t="s">
        <v>1274</v>
      </c>
      <c r="B11808" t="s">
        <v>4845</v>
      </c>
    </row>
    <row r="11809" spans="1:2" x14ac:dyDescent="0.25">
      <c r="A11809" t="s">
        <v>1275</v>
      </c>
      <c r="B11809" t="s">
        <v>3880</v>
      </c>
    </row>
    <row r="11810" spans="1:2" x14ac:dyDescent="0.25">
      <c r="A11810" t="s">
        <v>1276</v>
      </c>
      <c r="B11810" t="s">
        <v>1275</v>
      </c>
    </row>
    <row r="11811" spans="1:2" x14ac:dyDescent="0.25">
      <c r="A11811" t="s">
        <v>1277</v>
      </c>
      <c r="B11811" t="s">
        <v>3880</v>
      </c>
    </row>
    <row r="11812" spans="1:2" x14ac:dyDescent="0.25">
      <c r="A11812" t="s">
        <v>1278</v>
      </c>
      <c r="B11812" t="s">
        <v>1277</v>
      </c>
    </row>
    <row r="11813" spans="1:2" x14ac:dyDescent="0.25">
      <c r="A11813" t="s">
        <v>3881</v>
      </c>
      <c r="B11813" t="s">
        <v>3880</v>
      </c>
    </row>
    <row r="11814" spans="1:2" x14ac:dyDescent="0.25">
      <c r="A11814" t="s">
        <v>2507</v>
      </c>
      <c r="B11814" t="s">
        <v>3881</v>
      </c>
    </row>
    <row r="11815" spans="1:2" x14ac:dyDescent="0.25">
      <c r="A11815" t="s">
        <v>6104</v>
      </c>
      <c r="B11815" t="s">
        <v>3880</v>
      </c>
    </row>
    <row r="11816" spans="1:2" x14ac:dyDescent="0.25">
      <c r="A11816" t="s">
        <v>1279</v>
      </c>
      <c r="B11816" t="s">
        <v>6104</v>
      </c>
    </row>
    <row r="11817" spans="1:2" x14ac:dyDescent="0.25">
      <c r="A11817" t="s">
        <v>3373</v>
      </c>
      <c r="B11817" t="s">
        <v>3880</v>
      </c>
    </row>
    <row r="11818" spans="1:2" x14ac:dyDescent="0.25">
      <c r="A11818" t="s">
        <v>1280</v>
      </c>
      <c r="B11818" t="s">
        <v>3373</v>
      </c>
    </row>
    <row r="11819" spans="1:2" x14ac:dyDescent="0.25">
      <c r="A11819" t="s">
        <v>1498</v>
      </c>
      <c r="B11819" t="s">
        <v>3880</v>
      </c>
    </row>
    <row r="11820" spans="1:2" x14ac:dyDescent="0.25">
      <c r="A11820" t="s">
        <v>1499</v>
      </c>
      <c r="B11820" t="s">
        <v>3880</v>
      </c>
    </row>
    <row r="11821" spans="1:2" x14ac:dyDescent="0.25">
      <c r="A11821" t="s">
        <v>2584</v>
      </c>
      <c r="B11821" t="s">
        <v>3880</v>
      </c>
    </row>
    <row r="11822" spans="1:2" x14ac:dyDescent="0.25">
      <c r="A11822" t="s">
        <v>2585</v>
      </c>
      <c r="B11822" t="s">
        <v>3880</v>
      </c>
    </row>
    <row r="11823" spans="1:2" x14ac:dyDescent="0.25">
      <c r="A11823" t="s">
        <v>2586</v>
      </c>
      <c r="B11823" t="s">
        <v>3880</v>
      </c>
    </row>
    <row r="11824" spans="1:2" x14ac:dyDescent="0.25">
      <c r="A11824" t="s">
        <v>4913</v>
      </c>
      <c r="B11824" t="s">
        <v>3880</v>
      </c>
    </row>
    <row r="11825" spans="1:2" x14ac:dyDescent="0.25">
      <c r="A11825" t="s">
        <v>3503</v>
      </c>
      <c r="B11825" t="s">
        <v>3880</v>
      </c>
    </row>
    <row r="11826" spans="1:2" x14ac:dyDescent="0.25">
      <c r="A11826" t="s">
        <v>2228</v>
      </c>
      <c r="B11826" t="s">
        <v>3880</v>
      </c>
    </row>
    <row r="11827" spans="1:2" x14ac:dyDescent="0.25">
      <c r="A11827" t="s">
        <v>2229</v>
      </c>
      <c r="B11827" t="s">
        <v>3880</v>
      </c>
    </row>
    <row r="11828" spans="1:2" x14ac:dyDescent="0.25">
      <c r="A11828" t="s">
        <v>1621</v>
      </c>
      <c r="B11828" t="s">
        <v>3880</v>
      </c>
    </row>
    <row r="11829" spans="1:2" x14ac:dyDescent="0.25">
      <c r="A11829" t="s">
        <v>469</v>
      </c>
      <c r="B11829" t="s">
        <v>3880</v>
      </c>
    </row>
    <row r="11830" spans="1:2" x14ac:dyDescent="0.25">
      <c r="A11830" t="s">
        <v>6651</v>
      </c>
      <c r="B11830" t="s">
        <v>3880</v>
      </c>
    </row>
    <row r="11831" spans="1:2" x14ac:dyDescent="0.25">
      <c r="A11831" t="s">
        <v>11333</v>
      </c>
      <c r="B11831" t="s">
        <v>5772</v>
      </c>
    </row>
    <row r="11832" spans="1:2" x14ac:dyDescent="0.25">
      <c r="A11832" t="s">
        <v>10674</v>
      </c>
      <c r="B11832" t="s">
        <v>11333</v>
      </c>
    </row>
    <row r="11833" spans="1:2" x14ac:dyDescent="0.25">
      <c r="A11833" t="s">
        <v>2170</v>
      </c>
      <c r="B11833" t="s">
        <v>10674</v>
      </c>
    </row>
    <row r="11834" spans="1:2" x14ac:dyDescent="0.25">
      <c r="A11834" t="s">
        <v>11334</v>
      </c>
      <c r="B11834" t="s">
        <v>11333</v>
      </c>
    </row>
    <row r="11835" spans="1:2" x14ac:dyDescent="0.25">
      <c r="A11835" t="s">
        <v>6200</v>
      </c>
      <c r="B11835" t="s">
        <v>11260</v>
      </c>
    </row>
    <row r="11836" spans="1:2" x14ac:dyDescent="0.25">
      <c r="A11836" t="s">
        <v>7159</v>
      </c>
      <c r="B11836" t="s">
        <v>6200</v>
      </c>
    </row>
    <row r="11837" spans="1:2" x14ac:dyDescent="0.25">
      <c r="A11837" t="s">
        <v>6100</v>
      </c>
      <c r="B11837" t="s">
        <v>6200</v>
      </c>
    </row>
    <row r="11838" spans="1:2" x14ac:dyDescent="0.25">
      <c r="A11838" t="s">
        <v>3879</v>
      </c>
      <c r="B11838" t="s">
        <v>6100</v>
      </c>
    </row>
    <row r="11839" spans="1:2" x14ac:dyDescent="0.25">
      <c r="A11839" t="s">
        <v>5693</v>
      </c>
      <c r="B11839" t="s">
        <v>6200</v>
      </c>
    </row>
    <row r="11840" spans="1:2" x14ac:dyDescent="0.25">
      <c r="A11840" t="s">
        <v>3372</v>
      </c>
      <c r="B11840" t="s">
        <v>5693</v>
      </c>
    </row>
    <row r="11841" spans="1:2" x14ac:dyDescent="0.25">
      <c r="A11841" t="s">
        <v>4846</v>
      </c>
      <c r="B11841" t="s">
        <v>6200</v>
      </c>
    </row>
    <row r="11842" spans="1:2" x14ac:dyDescent="0.25">
      <c r="A11842" t="s">
        <v>1282</v>
      </c>
      <c r="B11842" t="s">
        <v>4846</v>
      </c>
    </row>
    <row r="11843" spans="1:2" x14ac:dyDescent="0.25">
      <c r="A11843" t="s">
        <v>6105</v>
      </c>
      <c r="B11843" t="s">
        <v>6200</v>
      </c>
    </row>
    <row r="11844" spans="1:2" x14ac:dyDescent="0.25">
      <c r="A11844" t="s">
        <v>2508</v>
      </c>
      <c r="B11844" t="s">
        <v>6105</v>
      </c>
    </row>
    <row r="11845" spans="1:2" x14ac:dyDescent="0.25">
      <c r="A11845" t="s">
        <v>5694</v>
      </c>
      <c r="B11845" t="s">
        <v>6200</v>
      </c>
    </row>
    <row r="11846" spans="1:2" x14ac:dyDescent="0.25">
      <c r="A11846" t="s">
        <v>11995</v>
      </c>
      <c r="B11846" t="s">
        <v>5694</v>
      </c>
    </row>
    <row r="11847" spans="1:2" x14ac:dyDescent="0.25">
      <c r="A11847" t="s">
        <v>3138</v>
      </c>
      <c r="B11847" t="s">
        <v>5694</v>
      </c>
    </row>
    <row r="11848" spans="1:2" x14ac:dyDescent="0.25">
      <c r="A11848" t="s">
        <v>7163</v>
      </c>
      <c r="B11848" t="s">
        <v>6200</v>
      </c>
    </row>
    <row r="11849" spans="1:2" x14ac:dyDescent="0.25">
      <c r="A11849" t="s">
        <v>3028</v>
      </c>
      <c r="B11849" t="s">
        <v>6200</v>
      </c>
    </row>
    <row r="11850" spans="1:2" x14ac:dyDescent="0.25">
      <c r="A11850" t="s">
        <v>6164</v>
      </c>
      <c r="B11850" t="s">
        <v>6200</v>
      </c>
    </row>
    <row r="11851" spans="1:2" x14ac:dyDescent="0.25">
      <c r="A11851" t="s">
        <v>464</v>
      </c>
      <c r="B11851" t="s">
        <v>6200</v>
      </c>
    </row>
    <row r="11852" spans="1:2" x14ac:dyDescent="0.25">
      <c r="A11852" t="s">
        <v>8820</v>
      </c>
      <c r="B11852" t="s">
        <v>6200</v>
      </c>
    </row>
    <row r="11853" spans="1:2" x14ac:dyDescent="0.25">
      <c r="A11853" t="s">
        <v>3965</v>
      </c>
      <c r="B11853" t="s">
        <v>6200</v>
      </c>
    </row>
    <row r="11854" spans="1:2" x14ac:dyDescent="0.25">
      <c r="A11854" t="s">
        <v>4518</v>
      </c>
      <c r="B11854" t="s">
        <v>11260</v>
      </c>
    </row>
    <row r="11855" spans="1:2" x14ac:dyDescent="0.25">
      <c r="A11855" t="s">
        <v>6634</v>
      </c>
      <c r="B11855" t="s">
        <v>4518</v>
      </c>
    </row>
    <row r="11856" spans="1:2" x14ac:dyDescent="0.25">
      <c r="A11856" t="s">
        <v>9252</v>
      </c>
      <c r="B11856" t="s">
        <v>4518</v>
      </c>
    </row>
    <row r="11857" spans="1:2" x14ac:dyDescent="0.25">
      <c r="A11857" t="s">
        <v>9189</v>
      </c>
      <c r="B11857" t="s">
        <v>11809</v>
      </c>
    </row>
    <row r="11858" spans="1:2" x14ac:dyDescent="0.25">
      <c r="A11858" t="s">
        <v>5281</v>
      </c>
      <c r="B11858" t="s">
        <v>9189</v>
      </c>
    </row>
    <row r="11859" spans="1:2" x14ac:dyDescent="0.25">
      <c r="A11859" t="s">
        <v>4342</v>
      </c>
      <c r="B11859" t="s">
        <v>9189</v>
      </c>
    </row>
    <row r="11860" spans="1:2" x14ac:dyDescent="0.25">
      <c r="A11860" t="s">
        <v>5282</v>
      </c>
      <c r="B11860" t="s">
        <v>9189</v>
      </c>
    </row>
    <row r="11861" spans="1:2" x14ac:dyDescent="0.25">
      <c r="A11861" t="s">
        <v>2509</v>
      </c>
      <c r="B11861" t="s">
        <v>9189</v>
      </c>
    </row>
    <row r="11862" spans="1:2" x14ac:dyDescent="0.25">
      <c r="A11862" t="s">
        <v>5283</v>
      </c>
      <c r="B11862" t="s">
        <v>9189</v>
      </c>
    </row>
    <row r="11863" spans="1:2" x14ac:dyDescent="0.25">
      <c r="A11863" t="s">
        <v>5284</v>
      </c>
      <c r="B11863" t="s">
        <v>9189</v>
      </c>
    </row>
    <row r="11864" spans="1:2" x14ac:dyDescent="0.25">
      <c r="A11864" t="s">
        <v>5285</v>
      </c>
      <c r="B11864" t="s">
        <v>9189</v>
      </c>
    </row>
    <row r="11865" spans="1:2" x14ac:dyDescent="0.25">
      <c r="A11865" t="s">
        <v>2054</v>
      </c>
      <c r="B11865" t="s">
        <v>9189</v>
      </c>
    </row>
    <row r="11866" spans="1:2" x14ac:dyDescent="0.25">
      <c r="A11866" t="s">
        <v>8339</v>
      </c>
      <c r="B11866" t="s">
        <v>9189</v>
      </c>
    </row>
    <row r="11867" spans="1:2" x14ac:dyDescent="0.25">
      <c r="A11867" t="s">
        <v>5740</v>
      </c>
      <c r="B11867" t="s">
        <v>9189</v>
      </c>
    </row>
    <row r="11868" spans="1:2" x14ac:dyDescent="0.25">
      <c r="A11868" t="s">
        <v>9696</v>
      </c>
      <c r="B11868" t="s">
        <v>9189</v>
      </c>
    </row>
    <row r="11869" spans="1:2" x14ac:dyDescent="0.25">
      <c r="A11869" t="s">
        <v>7817</v>
      </c>
      <c r="B11869" t="s">
        <v>11809</v>
      </c>
    </row>
    <row r="11870" spans="1:2" x14ac:dyDescent="0.25">
      <c r="A11870" t="s">
        <v>4003</v>
      </c>
      <c r="B11870" t="s">
        <v>7817</v>
      </c>
    </row>
    <row r="11871" spans="1:2" x14ac:dyDescent="0.25">
      <c r="A11871" t="s">
        <v>5695</v>
      </c>
      <c r="B11871" t="s">
        <v>4003</v>
      </c>
    </row>
    <row r="11872" spans="1:2" x14ac:dyDescent="0.25">
      <c r="A11872" t="s">
        <v>2510</v>
      </c>
      <c r="B11872" t="s">
        <v>4003</v>
      </c>
    </row>
    <row r="11873" spans="1:2" x14ac:dyDescent="0.25">
      <c r="A11873" t="s">
        <v>5696</v>
      </c>
      <c r="B11873" t="s">
        <v>4003</v>
      </c>
    </row>
    <row r="11874" spans="1:2" x14ac:dyDescent="0.25">
      <c r="A11874" t="s">
        <v>1283</v>
      </c>
      <c r="B11874" t="s">
        <v>5696</v>
      </c>
    </row>
    <row r="11875" spans="1:2" x14ac:dyDescent="0.25">
      <c r="A11875" t="s">
        <v>9190</v>
      </c>
      <c r="B11875" t="s">
        <v>4003</v>
      </c>
    </row>
    <row r="11876" spans="1:2" x14ac:dyDescent="0.25">
      <c r="A11876" t="s">
        <v>5697</v>
      </c>
      <c r="B11876" t="s">
        <v>9190</v>
      </c>
    </row>
    <row r="11877" spans="1:2" x14ac:dyDescent="0.25">
      <c r="A11877" t="s">
        <v>7818</v>
      </c>
      <c r="B11877" t="s">
        <v>4003</v>
      </c>
    </row>
    <row r="11878" spans="1:2" x14ac:dyDescent="0.25">
      <c r="A11878" t="s">
        <v>4343</v>
      </c>
      <c r="B11878" t="s">
        <v>7818</v>
      </c>
    </row>
    <row r="11879" spans="1:2" x14ac:dyDescent="0.25">
      <c r="A11879" t="s">
        <v>9191</v>
      </c>
      <c r="B11879" t="s">
        <v>4003</v>
      </c>
    </row>
    <row r="11880" spans="1:2" x14ac:dyDescent="0.25">
      <c r="A11880" t="s">
        <v>5698</v>
      </c>
      <c r="B11880" t="s">
        <v>9191</v>
      </c>
    </row>
    <row r="11881" spans="1:2" x14ac:dyDescent="0.25">
      <c r="A11881" t="s">
        <v>326</v>
      </c>
      <c r="B11881" t="s">
        <v>4003</v>
      </c>
    </row>
    <row r="11882" spans="1:2" x14ac:dyDescent="0.25">
      <c r="A11882" t="s">
        <v>1284</v>
      </c>
      <c r="B11882" t="s">
        <v>326</v>
      </c>
    </row>
    <row r="11883" spans="1:2" x14ac:dyDescent="0.25">
      <c r="A11883" t="s">
        <v>5699</v>
      </c>
      <c r="B11883" t="s">
        <v>4003</v>
      </c>
    </row>
    <row r="11884" spans="1:2" x14ac:dyDescent="0.25">
      <c r="A11884" t="s">
        <v>3882</v>
      </c>
      <c r="B11884" t="s">
        <v>5699</v>
      </c>
    </row>
    <row r="11885" spans="1:2" x14ac:dyDescent="0.25">
      <c r="A11885" t="s">
        <v>9973</v>
      </c>
      <c r="B11885" t="s">
        <v>4003</v>
      </c>
    </row>
    <row r="11886" spans="1:2" x14ac:dyDescent="0.25">
      <c r="A11886" t="s">
        <v>5700</v>
      </c>
      <c r="B11886" t="s">
        <v>9973</v>
      </c>
    </row>
    <row r="11887" spans="1:2" x14ac:dyDescent="0.25">
      <c r="A11887" t="s">
        <v>6106</v>
      </c>
      <c r="B11887" t="s">
        <v>4003</v>
      </c>
    </row>
    <row r="11888" spans="1:2" x14ac:dyDescent="0.25">
      <c r="A11888" t="s">
        <v>6597</v>
      </c>
      <c r="B11888" t="s">
        <v>6106</v>
      </c>
    </row>
    <row r="11889" spans="1:2" x14ac:dyDescent="0.25">
      <c r="A11889" t="s">
        <v>334</v>
      </c>
      <c r="B11889" t="s">
        <v>4003</v>
      </c>
    </row>
    <row r="11890" spans="1:2" x14ac:dyDescent="0.25">
      <c r="A11890" t="s">
        <v>9251</v>
      </c>
      <c r="B11890" t="s">
        <v>4003</v>
      </c>
    </row>
    <row r="11891" spans="1:2" x14ac:dyDescent="0.25">
      <c r="A11891" t="s">
        <v>11256</v>
      </c>
      <c r="B11891" t="s">
        <v>4003</v>
      </c>
    </row>
    <row r="11892" spans="1:2" x14ac:dyDescent="0.25">
      <c r="A11892" t="s">
        <v>3878</v>
      </c>
      <c r="B11892" t="s">
        <v>11256</v>
      </c>
    </row>
    <row r="11893" spans="1:2" x14ac:dyDescent="0.25">
      <c r="A11893" t="s">
        <v>10987</v>
      </c>
      <c r="B11893" t="s">
        <v>4003</v>
      </c>
    </row>
    <row r="11894" spans="1:2" x14ac:dyDescent="0.25">
      <c r="A11894" t="s">
        <v>3479</v>
      </c>
      <c r="B11894" t="s">
        <v>4003</v>
      </c>
    </row>
    <row r="11895" spans="1:2" x14ac:dyDescent="0.25">
      <c r="A11895" t="s">
        <v>2174</v>
      </c>
      <c r="B11895" t="s">
        <v>3479</v>
      </c>
    </row>
    <row r="11896" spans="1:2" x14ac:dyDescent="0.25">
      <c r="A11896" t="s">
        <v>5741</v>
      </c>
      <c r="B11896" t="s">
        <v>3479</v>
      </c>
    </row>
    <row r="11897" spans="1:2" x14ac:dyDescent="0.25">
      <c r="A11897" t="s">
        <v>4004</v>
      </c>
      <c r="B11897" t="s">
        <v>7817</v>
      </c>
    </row>
    <row r="11898" spans="1:2" x14ac:dyDescent="0.25">
      <c r="A11898" t="s">
        <v>7931</v>
      </c>
      <c r="B11898" t="s">
        <v>4004</v>
      </c>
    </row>
    <row r="11899" spans="1:2" x14ac:dyDescent="0.25">
      <c r="A11899" t="s">
        <v>8343</v>
      </c>
      <c r="B11899" t="s">
        <v>11809</v>
      </c>
    </row>
    <row r="11900" spans="1:2" x14ac:dyDescent="0.25">
      <c r="A11900" t="s">
        <v>2940</v>
      </c>
      <c r="B11900" t="s">
        <v>8343</v>
      </c>
    </row>
    <row r="11901" spans="1:2" x14ac:dyDescent="0.25">
      <c r="A11901" t="s">
        <v>7165</v>
      </c>
      <c r="B11901" t="s">
        <v>8343</v>
      </c>
    </row>
    <row r="11902" spans="1:2" x14ac:dyDescent="0.25">
      <c r="A11902" t="s">
        <v>2056</v>
      </c>
      <c r="B11902" t="s">
        <v>8343</v>
      </c>
    </row>
    <row r="11903" spans="1:2" x14ac:dyDescent="0.25">
      <c r="A11903" t="s">
        <v>8344</v>
      </c>
      <c r="B11903" t="s">
        <v>8343</v>
      </c>
    </row>
    <row r="11904" spans="1:2" x14ac:dyDescent="0.25">
      <c r="A11904" t="s">
        <v>1285</v>
      </c>
      <c r="B11904" t="s">
        <v>8343</v>
      </c>
    </row>
    <row r="11905" spans="1:2" x14ac:dyDescent="0.25">
      <c r="A11905" t="s">
        <v>2057</v>
      </c>
      <c r="B11905" t="s">
        <v>8343</v>
      </c>
    </row>
    <row r="11906" spans="1:2" x14ac:dyDescent="0.25">
      <c r="A11906" t="s">
        <v>7166</v>
      </c>
      <c r="B11906" t="s">
        <v>8343</v>
      </c>
    </row>
    <row r="11907" spans="1:2" x14ac:dyDescent="0.25">
      <c r="A11907" t="s">
        <v>2171</v>
      </c>
      <c r="B11907" t="s">
        <v>8343</v>
      </c>
    </row>
    <row r="11908" spans="1:2" x14ac:dyDescent="0.25">
      <c r="A11908" t="s">
        <v>2172</v>
      </c>
      <c r="B11908" t="s">
        <v>8343</v>
      </c>
    </row>
    <row r="11909" spans="1:2" x14ac:dyDescent="0.25">
      <c r="A11909" t="s">
        <v>2173</v>
      </c>
      <c r="B11909" t="s">
        <v>8343</v>
      </c>
    </row>
    <row r="11910" spans="1:2" x14ac:dyDescent="0.25">
      <c r="A11910" t="s">
        <v>465</v>
      </c>
      <c r="B11910" t="s">
        <v>8343</v>
      </c>
    </row>
    <row r="11911" spans="1:2" x14ac:dyDescent="0.25">
      <c r="A11911" t="s">
        <v>4897</v>
      </c>
      <c r="B11911" t="s">
        <v>8343</v>
      </c>
    </row>
    <row r="11912" spans="1:2" x14ac:dyDescent="0.25">
      <c r="A11912" t="s">
        <v>10149</v>
      </c>
      <c r="B11912" t="s">
        <v>8343</v>
      </c>
    </row>
    <row r="11913" spans="1:2" x14ac:dyDescent="0.25">
      <c r="A11913" t="s">
        <v>6181</v>
      </c>
      <c r="B11913" t="s">
        <v>10149</v>
      </c>
    </row>
    <row r="11914" spans="1:2" x14ac:dyDescent="0.25">
      <c r="A11914" t="s">
        <v>389</v>
      </c>
      <c r="B11914" t="s">
        <v>8343</v>
      </c>
    </row>
    <row r="11915" spans="1:2" x14ac:dyDescent="0.25">
      <c r="A11915" t="s">
        <v>4958</v>
      </c>
      <c r="B11915" t="s">
        <v>8343</v>
      </c>
    </row>
    <row r="11916" spans="1:2" x14ac:dyDescent="0.25">
      <c r="A11916" t="s">
        <v>10996</v>
      </c>
      <c r="B11916" t="s">
        <v>11809</v>
      </c>
    </row>
    <row r="11917" spans="1:2" x14ac:dyDescent="0.25">
      <c r="A11917" t="s">
        <v>8829</v>
      </c>
      <c r="B11917" t="s">
        <v>10996</v>
      </c>
    </row>
    <row r="11918" spans="1:2" x14ac:dyDescent="0.25">
      <c r="A11918" t="s">
        <v>6172</v>
      </c>
      <c r="B11918" t="s">
        <v>8829</v>
      </c>
    </row>
    <row r="11919" spans="1:2" x14ac:dyDescent="0.25">
      <c r="A11919" t="s">
        <v>13873</v>
      </c>
      <c r="B11919" t="s">
        <v>10996</v>
      </c>
    </row>
    <row r="11920" spans="1:2" x14ac:dyDescent="0.25">
      <c r="A11920" t="s">
        <v>13040</v>
      </c>
      <c r="B11920" t="s">
        <v>10996</v>
      </c>
    </row>
    <row r="11921" spans="1:2" x14ac:dyDescent="0.25">
      <c r="A11921" t="s">
        <v>13736</v>
      </c>
      <c r="B11921" t="s">
        <v>11809</v>
      </c>
    </row>
    <row r="11922" spans="1:2" x14ac:dyDescent="0.25">
      <c r="A11922" t="s">
        <v>12290</v>
      </c>
      <c r="B11922" t="s">
        <v>11809</v>
      </c>
    </row>
    <row r="11923" spans="1:2" x14ac:dyDescent="0.25">
      <c r="A11923" t="s">
        <v>5692</v>
      </c>
      <c r="B11923" t="s">
        <v>12290</v>
      </c>
    </row>
    <row r="11924" spans="1:2" x14ac:dyDescent="0.25">
      <c r="A11924" t="s">
        <v>1270</v>
      </c>
      <c r="B11924" t="s">
        <v>12290</v>
      </c>
    </row>
    <row r="11925" spans="1:2" x14ac:dyDescent="0.25">
      <c r="A11925" t="s">
        <v>2051</v>
      </c>
      <c r="B11925" t="s">
        <v>12290</v>
      </c>
    </row>
    <row r="11926" spans="1:2" x14ac:dyDescent="0.25">
      <c r="A11926" t="s">
        <v>2052</v>
      </c>
      <c r="B11926" t="s">
        <v>12290</v>
      </c>
    </row>
    <row r="11927" spans="1:2" x14ac:dyDescent="0.25">
      <c r="A11927" t="s">
        <v>12302</v>
      </c>
      <c r="B11927" t="s">
        <v>12290</v>
      </c>
    </row>
    <row r="11928" spans="1:2" x14ac:dyDescent="0.25">
      <c r="A11928" t="s">
        <v>7946</v>
      </c>
      <c r="B11928" t="s">
        <v>1156</v>
      </c>
    </row>
    <row r="11929" spans="1:2" x14ac:dyDescent="0.25">
      <c r="A11929" t="s">
        <v>12642</v>
      </c>
      <c r="B11929" t="s">
        <v>7946</v>
      </c>
    </row>
    <row r="11930" spans="1:2" x14ac:dyDescent="0.25">
      <c r="A11930" t="s">
        <v>11585</v>
      </c>
      <c r="B11930" t="s">
        <v>7946</v>
      </c>
    </row>
    <row r="11931" spans="1:2" x14ac:dyDescent="0.25">
      <c r="A11931" t="s">
        <v>12730</v>
      </c>
      <c r="B11931" t="s">
        <v>7946</v>
      </c>
    </row>
    <row r="11932" spans="1:2" x14ac:dyDescent="0.25">
      <c r="A11932" t="s">
        <v>10171</v>
      </c>
      <c r="B11932" t="s">
        <v>7946</v>
      </c>
    </row>
    <row r="11933" spans="1:2" x14ac:dyDescent="0.25">
      <c r="A11933" t="s">
        <v>12905</v>
      </c>
      <c r="B11933" t="s">
        <v>7946</v>
      </c>
    </row>
    <row r="11934" spans="1:2" x14ac:dyDescent="0.25">
      <c r="A11934" t="s">
        <v>9260</v>
      </c>
      <c r="B11934" t="s">
        <v>7946</v>
      </c>
    </row>
    <row r="11935" spans="1:2" x14ac:dyDescent="0.25">
      <c r="A11935" t="s">
        <v>12317</v>
      </c>
      <c r="B11935" t="s">
        <v>7946</v>
      </c>
    </row>
    <row r="11936" spans="1:2" x14ac:dyDescent="0.25">
      <c r="A11936" t="s">
        <v>9674</v>
      </c>
      <c r="B11936" t="s">
        <v>7946</v>
      </c>
    </row>
    <row r="11937" spans="1:2" x14ac:dyDescent="0.25">
      <c r="A11937" t="s">
        <v>1286</v>
      </c>
      <c r="B11937" t="s">
        <v>9674</v>
      </c>
    </row>
    <row r="11938" spans="1:2" x14ac:dyDescent="0.25">
      <c r="A11938" t="s">
        <v>2512</v>
      </c>
      <c r="B11938" t="s">
        <v>1286</v>
      </c>
    </row>
    <row r="11939" spans="1:2" x14ac:dyDescent="0.25">
      <c r="A11939" t="s">
        <v>2058</v>
      </c>
      <c r="B11939" t="s">
        <v>1286</v>
      </c>
    </row>
    <row r="11940" spans="1:2" x14ac:dyDescent="0.25">
      <c r="A11940" t="s">
        <v>2941</v>
      </c>
      <c r="B11940" t="s">
        <v>1286</v>
      </c>
    </row>
    <row r="11941" spans="1:2" x14ac:dyDescent="0.25">
      <c r="A11941" t="s">
        <v>2059</v>
      </c>
      <c r="B11941" t="s">
        <v>1286</v>
      </c>
    </row>
    <row r="11942" spans="1:2" x14ac:dyDescent="0.25">
      <c r="A11942" t="s">
        <v>4848</v>
      </c>
      <c r="B11942" t="s">
        <v>1286</v>
      </c>
    </row>
    <row r="11943" spans="1:2" x14ac:dyDescent="0.25">
      <c r="A11943" t="s">
        <v>2060</v>
      </c>
      <c r="B11943" t="s">
        <v>1286</v>
      </c>
    </row>
    <row r="11944" spans="1:2" x14ac:dyDescent="0.25">
      <c r="A11944" t="s">
        <v>1289</v>
      </c>
      <c r="B11944" t="s">
        <v>1286</v>
      </c>
    </row>
    <row r="11945" spans="1:2" x14ac:dyDescent="0.25">
      <c r="A11945" t="s">
        <v>2513</v>
      </c>
      <c r="B11945" t="s">
        <v>1286</v>
      </c>
    </row>
    <row r="11946" spans="1:2" x14ac:dyDescent="0.25">
      <c r="A11946" t="s">
        <v>6595</v>
      </c>
      <c r="B11946" t="s">
        <v>7946</v>
      </c>
    </row>
    <row r="11947" spans="1:2" x14ac:dyDescent="0.25">
      <c r="A11947" t="s">
        <v>9599</v>
      </c>
      <c r="B11947" t="s">
        <v>6595</v>
      </c>
    </row>
    <row r="11948" spans="1:2" x14ac:dyDescent="0.25">
      <c r="A11948" t="s">
        <v>13041</v>
      </c>
      <c r="B11948" t="s">
        <v>7946</v>
      </c>
    </row>
    <row r="11949" spans="1:2" x14ac:dyDescent="0.25">
      <c r="A11949" t="s">
        <v>13042</v>
      </c>
      <c r="B11949" t="s">
        <v>7946</v>
      </c>
    </row>
    <row r="11950" spans="1:2" x14ac:dyDescent="0.25">
      <c r="A11950" t="s">
        <v>13737</v>
      </c>
      <c r="B11950" t="s">
        <v>7946</v>
      </c>
    </row>
    <row r="11951" spans="1:2" x14ac:dyDescent="0.25">
      <c r="A11951" t="s">
        <v>13955</v>
      </c>
      <c r="B11951" t="s">
        <v>7946</v>
      </c>
    </row>
    <row r="11952" spans="1:2" x14ac:dyDescent="0.25">
      <c r="A11952" t="s">
        <v>13974</v>
      </c>
      <c r="B11952" t="s">
        <v>7946</v>
      </c>
    </row>
    <row r="11953" spans="1:2" x14ac:dyDescent="0.25">
      <c r="A11953" t="s">
        <v>13942</v>
      </c>
      <c r="B11953" t="s">
        <v>7946</v>
      </c>
    </row>
    <row r="11954" spans="1:2" x14ac:dyDescent="0.25">
      <c r="A11954" t="s">
        <v>13943</v>
      </c>
      <c r="B11954" t="s">
        <v>7946</v>
      </c>
    </row>
    <row r="11955" spans="1:2" x14ac:dyDescent="0.25">
      <c r="A11955" t="s">
        <v>13890</v>
      </c>
      <c r="B11955" t="s">
        <v>13943</v>
      </c>
    </row>
    <row r="11956" spans="1:2" x14ac:dyDescent="0.25">
      <c r="A11956" t="s">
        <v>13956</v>
      </c>
      <c r="B11956" t="s">
        <v>13943</v>
      </c>
    </row>
    <row r="11957" spans="1:2" x14ac:dyDescent="0.25">
      <c r="A11957" t="s">
        <v>13859</v>
      </c>
      <c r="B11957" t="s">
        <v>13943</v>
      </c>
    </row>
    <row r="11958" spans="1:2" x14ac:dyDescent="0.25">
      <c r="A11958" t="s">
        <v>13860</v>
      </c>
      <c r="B11958" t="s">
        <v>13943</v>
      </c>
    </row>
    <row r="11959" spans="1:2" x14ac:dyDescent="0.25">
      <c r="A11959" t="s">
        <v>13925</v>
      </c>
      <c r="B11959" t="s">
        <v>13943</v>
      </c>
    </row>
    <row r="11960" spans="1:2" x14ac:dyDescent="0.25">
      <c r="A11960" t="s">
        <v>13915</v>
      </c>
      <c r="B11960" t="s">
        <v>13943</v>
      </c>
    </row>
    <row r="11961" spans="1:2" x14ac:dyDescent="0.25">
      <c r="A11961" t="s">
        <v>13852</v>
      </c>
      <c r="B11961" t="s">
        <v>13943</v>
      </c>
    </row>
    <row r="11962" spans="1:2" x14ac:dyDescent="0.25">
      <c r="A11962" t="s">
        <v>11956</v>
      </c>
      <c r="B11962" t="s">
        <v>1156</v>
      </c>
    </row>
    <row r="11963" spans="1:2" x14ac:dyDescent="0.25">
      <c r="A11963" t="s">
        <v>9975</v>
      </c>
      <c r="B11963" t="s">
        <v>11956</v>
      </c>
    </row>
    <row r="11964" spans="1:2" x14ac:dyDescent="0.25">
      <c r="A11964" t="s">
        <v>11266</v>
      </c>
      <c r="B11964" t="s">
        <v>9975</v>
      </c>
    </row>
    <row r="11965" spans="1:2" x14ac:dyDescent="0.25">
      <c r="A11965" t="s">
        <v>10566</v>
      </c>
      <c r="B11965" t="s">
        <v>11266</v>
      </c>
    </row>
    <row r="11966" spans="1:2" x14ac:dyDescent="0.25">
      <c r="A11966" t="s">
        <v>1362</v>
      </c>
      <c r="B11966" t="s">
        <v>11266</v>
      </c>
    </row>
    <row r="11967" spans="1:2" x14ac:dyDescent="0.25">
      <c r="A11967" t="s">
        <v>2550</v>
      </c>
      <c r="B11967" t="s">
        <v>11266</v>
      </c>
    </row>
    <row r="11968" spans="1:2" x14ac:dyDescent="0.25">
      <c r="A11968" t="s">
        <v>1363</v>
      </c>
      <c r="B11968" t="s">
        <v>11266</v>
      </c>
    </row>
    <row r="11969" spans="1:2" x14ac:dyDescent="0.25">
      <c r="A11969" t="s">
        <v>3908</v>
      </c>
      <c r="B11969" t="s">
        <v>11266</v>
      </c>
    </row>
    <row r="11970" spans="1:2" x14ac:dyDescent="0.25">
      <c r="A11970" t="s">
        <v>7169</v>
      </c>
      <c r="B11970" t="s">
        <v>11266</v>
      </c>
    </row>
    <row r="11971" spans="1:2" x14ac:dyDescent="0.25">
      <c r="A11971" t="s">
        <v>2551</v>
      </c>
      <c r="B11971" t="s">
        <v>11266</v>
      </c>
    </row>
    <row r="11972" spans="1:2" x14ac:dyDescent="0.25">
      <c r="A11972" t="s">
        <v>4865</v>
      </c>
      <c r="B11972" t="s">
        <v>11266</v>
      </c>
    </row>
    <row r="11973" spans="1:2" x14ac:dyDescent="0.25">
      <c r="A11973" t="s">
        <v>7170</v>
      </c>
      <c r="B11973" t="s">
        <v>11266</v>
      </c>
    </row>
    <row r="11974" spans="1:2" x14ac:dyDescent="0.25">
      <c r="A11974" t="s">
        <v>12896</v>
      </c>
      <c r="B11974" t="s">
        <v>1156</v>
      </c>
    </row>
    <row r="11975" spans="1:2" x14ac:dyDescent="0.25">
      <c r="A11975" t="s">
        <v>1360</v>
      </c>
      <c r="B11975" t="s">
        <v>12896</v>
      </c>
    </row>
    <row r="11976" spans="1:2" x14ac:dyDescent="0.25">
      <c r="A11976" t="s">
        <v>1361</v>
      </c>
      <c r="B11976" t="s">
        <v>12896</v>
      </c>
    </row>
    <row r="11977" spans="1:2" x14ac:dyDescent="0.25">
      <c r="A11977" t="s">
        <v>13043</v>
      </c>
      <c r="B11977" t="s">
        <v>12896</v>
      </c>
    </row>
    <row r="11978" spans="1:2" x14ac:dyDescent="0.25">
      <c r="A11978" t="s">
        <v>3847</v>
      </c>
      <c r="B11978" t="s">
        <v>12896</v>
      </c>
    </row>
    <row r="11979" spans="1:2" x14ac:dyDescent="0.25">
      <c r="A11979" t="s">
        <v>13385</v>
      </c>
      <c r="B11979" t="s">
        <v>12896</v>
      </c>
    </row>
    <row r="11980" spans="1:2" x14ac:dyDescent="0.25">
      <c r="A11980" t="s">
        <v>13386</v>
      </c>
      <c r="B11980" t="s">
        <v>12896</v>
      </c>
    </row>
    <row r="11981" spans="1:2" x14ac:dyDescent="0.25">
      <c r="A11981" t="s">
        <v>13387</v>
      </c>
      <c r="B11981" t="s">
        <v>12896</v>
      </c>
    </row>
    <row r="11982" spans="1:2" x14ac:dyDescent="0.25">
      <c r="A11982" t="s">
        <v>13388</v>
      </c>
      <c r="B11982" t="s">
        <v>12896</v>
      </c>
    </row>
    <row r="11983" spans="1:2" x14ac:dyDescent="0.25">
      <c r="A11983" t="s">
        <v>13389</v>
      </c>
      <c r="B11983" t="s">
        <v>12896</v>
      </c>
    </row>
    <row r="11984" spans="1:2" x14ac:dyDescent="0.25">
      <c r="A11984" t="s">
        <v>13390</v>
      </c>
      <c r="B11984" t="s">
        <v>12896</v>
      </c>
    </row>
    <row r="11985" spans="1:2" x14ac:dyDescent="0.25">
      <c r="A11985" t="s">
        <v>13392</v>
      </c>
      <c r="B11985" t="s">
        <v>1156</v>
      </c>
    </row>
    <row r="11986" spans="1:2" x14ac:dyDescent="0.25">
      <c r="A11986" t="s">
        <v>6592</v>
      </c>
      <c r="B11986" t="s">
        <v>13392</v>
      </c>
    </row>
    <row r="11987" spans="1:2" x14ac:dyDescent="0.25">
      <c r="A11987" t="s">
        <v>5689</v>
      </c>
      <c r="B11987" t="s">
        <v>13392</v>
      </c>
    </row>
    <row r="11988" spans="1:2" x14ac:dyDescent="0.25">
      <c r="A11988" t="s">
        <v>7813</v>
      </c>
      <c r="B11988" t="s">
        <v>13392</v>
      </c>
    </row>
    <row r="11989" spans="1:2" x14ac:dyDescent="0.25">
      <c r="A11989" t="s">
        <v>11530</v>
      </c>
      <c r="B11989" t="s">
        <v>13392</v>
      </c>
    </row>
    <row r="11990" spans="1:2" x14ac:dyDescent="0.25">
      <c r="A11990" t="s">
        <v>8783</v>
      </c>
      <c r="B11990" t="s">
        <v>13392</v>
      </c>
    </row>
    <row r="11991" spans="1:2" x14ac:dyDescent="0.25">
      <c r="A11991" t="s">
        <v>8821</v>
      </c>
      <c r="B11991" t="s">
        <v>13392</v>
      </c>
    </row>
    <row r="11992" spans="1:2" x14ac:dyDescent="0.25">
      <c r="A11992" t="s">
        <v>10964</v>
      </c>
      <c r="B11992" t="s">
        <v>13392</v>
      </c>
    </row>
    <row r="11993" spans="1:2" x14ac:dyDescent="0.25">
      <c r="A11993" t="s">
        <v>7158</v>
      </c>
      <c r="B11993" t="s">
        <v>13392</v>
      </c>
    </row>
    <row r="11994" spans="1:2" x14ac:dyDescent="0.25">
      <c r="A11994" t="s">
        <v>9623</v>
      </c>
      <c r="B11994" t="s">
        <v>13392</v>
      </c>
    </row>
    <row r="11995" spans="1:2" x14ac:dyDescent="0.25">
      <c r="A11995" t="s">
        <v>9180</v>
      </c>
      <c r="B11995" t="s">
        <v>13392</v>
      </c>
    </row>
    <row r="11996" spans="1:2" x14ac:dyDescent="0.25">
      <c r="A11996" t="s">
        <v>9221</v>
      </c>
      <c r="B11996" t="s">
        <v>13392</v>
      </c>
    </row>
    <row r="11997" spans="1:2" x14ac:dyDescent="0.25">
      <c r="A11997" t="s">
        <v>4338</v>
      </c>
      <c r="B11997" t="s">
        <v>13392</v>
      </c>
    </row>
    <row r="11998" spans="1:2" x14ac:dyDescent="0.25">
      <c r="A11998" t="s">
        <v>8781</v>
      </c>
      <c r="B11998" t="s">
        <v>13392</v>
      </c>
    </row>
    <row r="11999" spans="1:2" x14ac:dyDescent="0.25">
      <c r="A11999" t="s">
        <v>4337</v>
      </c>
      <c r="B11999" t="s">
        <v>13392</v>
      </c>
    </row>
    <row r="12000" spans="1:2" x14ac:dyDescent="0.25">
      <c r="A12000" t="s">
        <v>9968</v>
      </c>
      <c r="B12000" t="s">
        <v>13392</v>
      </c>
    </row>
    <row r="12001" spans="1:2" x14ac:dyDescent="0.25">
      <c r="A12001" t="s">
        <v>7945</v>
      </c>
      <c r="B12001" t="s">
        <v>13392</v>
      </c>
    </row>
    <row r="12002" spans="1:2" x14ac:dyDescent="0.25">
      <c r="A12002" t="s">
        <v>7321</v>
      </c>
      <c r="B12002" t="s">
        <v>13392</v>
      </c>
    </row>
    <row r="12003" spans="1:2" x14ac:dyDescent="0.25">
      <c r="A12003" t="s">
        <v>2928</v>
      </c>
      <c r="B12003" t="s">
        <v>13392</v>
      </c>
    </row>
    <row r="12004" spans="1:2" x14ac:dyDescent="0.25">
      <c r="A12004" t="s">
        <v>9588</v>
      </c>
      <c r="B12004" t="s">
        <v>13392</v>
      </c>
    </row>
    <row r="12005" spans="1:2" x14ac:dyDescent="0.25">
      <c r="A12005" t="s">
        <v>11925</v>
      </c>
      <c r="B12005" t="s">
        <v>13392</v>
      </c>
    </row>
    <row r="12006" spans="1:2" x14ac:dyDescent="0.25">
      <c r="A12006" t="s">
        <v>8394</v>
      </c>
      <c r="B12006" t="s">
        <v>13392</v>
      </c>
    </row>
    <row r="12007" spans="1:2" x14ac:dyDescent="0.25">
      <c r="A12007" t="s">
        <v>6591</v>
      </c>
      <c r="B12007" t="s">
        <v>13392</v>
      </c>
    </row>
    <row r="12008" spans="1:2" x14ac:dyDescent="0.25">
      <c r="A12008" t="s">
        <v>11258</v>
      </c>
      <c r="B12008" t="s">
        <v>13392</v>
      </c>
    </row>
    <row r="12009" spans="1:2" x14ac:dyDescent="0.25">
      <c r="A12009" t="s">
        <v>11532</v>
      </c>
      <c r="B12009" t="s">
        <v>13392</v>
      </c>
    </row>
    <row r="12010" spans="1:2" x14ac:dyDescent="0.25">
      <c r="A12010" t="s">
        <v>11940</v>
      </c>
      <c r="B12010" t="s">
        <v>13392</v>
      </c>
    </row>
    <row r="12011" spans="1:2" x14ac:dyDescent="0.25">
      <c r="A12011" t="s">
        <v>12492</v>
      </c>
      <c r="B12011" t="s">
        <v>13392</v>
      </c>
    </row>
    <row r="12012" spans="1:2" x14ac:dyDescent="0.25">
      <c r="A12012" t="s">
        <v>7880</v>
      </c>
      <c r="B12012" t="s">
        <v>13392</v>
      </c>
    </row>
    <row r="12013" spans="1:2" x14ac:dyDescent="0.25">
      <c r="A12013" t="s">
        <v>7265</v>
      </c>
      <c r="B12013" t="s">
        <v>13392</v>
      </c>
    </row>
    <row r="12014" spans="1:2" x14ac:dyDescent="0.25">
      <c r="A12014" t="s">
        <v>10143</v>
      </c>
      <c r="B12014" t="s">
        <v>13392</v>
      </c>
    </row>
    <row r="12015" spans="1:2" x14ac:dyDescent="0.25">
      <c r="A12015" t="s">
        <v>7881</v>
      </c>
      <c r="B12015" t="s">
        <v>13392</v>
      </c>
    </row>
    <row r="12016" spans="1:2" x14ac:dyDescent="0.25">
      <c r="A12016" t="s">
        <v>7266</v>
      </c>
      <c r="B12016" t="s">
        <v>13392</v>
      </c>
    </row>
    <row r="12017" spans="1:2" x14ac:dyDescent="0.25">
      <c r="A12017" t="s">
        <v>10144</v>
      </c>
      <c r="B12017" t="s">
        <v>13392</v>
      </c>
    </row>
    <row r="12018" spans="1:2" x14ac:dyDescent="0.25">
      <c r="A12018" t="s">
        <v>10623</v>
      </c>
      <c r="B12018" t="s">
        <v>13392</v>
      </c>
    </row>
    <row r="12019" spans="1:2" x14ac:dyDescent="0.25">
      <c r="A12019" t="s">
        <v>10624</v>
      </c>
      <c r="B12019" t="s">
        <v>13392</v>
      </c>
    </row>
    <row r="12020" spans="1:2" x14ac:dyDescent="0.25">
      <c r="A12020" t="s">
        <v>10625</v>
      </c>
      <c r="B12020" t="s">
        <v>13392</v>
      </c>
    </row>
    <row r="12021" spans="1:2" x14ac:dyDescent="0.25">
      <c r="A12021" t="s">
        <v>10626</v>
      </c>
      <c r="B12021" t="s">
        <v>13392</v>
      </c>
    </row>
    <row r="12022" spans="1:2" x14ac:dyDescent="0.25">
      <c r="A12022" t="s">
        <v>10627</v>
      </c>
      <c r="B12022" t="s">
        <v>13392</v>
      </c>
    </row>
    <row r="12023" spans="1:2" x14ac:dyDescent="0.25">
      <c r="A12023" t="s">
        <v>10628</v>
      </c>
      <c r="B12023" t="s">
        <v>13392</v>
      </c>
    </row>
    <row r="12024" spans="1:2" x14ac:dyDescent="0.25">
      <c r="A12024" t="s">
        <v>5688</v>
      </c>
      <c r="B12024" t="s">
        <v>13392</v>
      </c>
    </row>
    <row r="12025" spans="1:2" x14ac:dyDescent="0.25">
      <c r="A12025" t="s">
        <v>11945</v>
      </c>
      <c r="B12025" t="s">
        <v>13392</v>
      </c>
    </row>
    <row r="12026" spans="1:2" x14ac:dyDescent="0.25">
      <c r="A12026" t="s">
        <v>15015</v>
      </c>
      <c r="B12026" t="s">
        <v>13392</v>
      </c>
    </row>
    <row r="12027" spans="1:2" x14ac:dyDescent="0.25">
      <c r="A12027" t="s">
        <v>5761</v>
      </c>
      <c r="B12027" t="s">
        <v>13392</v>
      </c>
    </row>
    <row r="12028" spans="1:2" x14ac:dyDescent="0.25">
      <c r="A12028" t="s">
        <v>6180</v>
      </c>
      <c r="B12028" t="s">
        <v>13392</v>
      </c>
    </row>
    <row r="12029" spans="1:2" x14ac:dyDescent="0.25">
      <c r="A12029" t="s">
        <v>8336</v>
      </c>
      <c r="B12029" t="s">
        <v>13392</v>
      </c>
    </row>
    <row r="12030" spans="1:2" x14ac:dyDescent="0.25">
      <c r="A12030" t="s">
        <v>5278</v>
      </c>
      <c r="B12030" t="s">
        <v>13392</v>
      </c>
    </row>
    <row r="12031" spans="1:2" x14ac:dyDescent="0.25">
      <c r="A12031" t="s">
        <v>9181</v>
      </c>
      <c r="B12031" t="s">
        <v>13392</v>
      </c>
    </row>
    <row r="12032" spans="1:2" x14ac:dyDescent="0.25">
      <c r="A12032" t="s">
        <v>9972</v>
      </c>
      <c r="B12032" t="s">
        <v>13392</v>
      </c>
    </row>
    <row r="12033" spans="1:2" x14ac:dyDescent="0.25">
      <c r="A12033" t="s">
        <v>7162</v>
      </c>
      <c r="B12033" t="s">
        <v>13392</v>
      </c>
    </row>
    <row r="12034" spans="1:2" x14ac:dyDescent="0.25">
      <c r="A12034" t="s">
        <v>11771</v>
      </c>
      <c r="B12034" t="s">
        <v>13392</v>
      </c>
    </row>
    <row r="12035" spans="1:2" x14ac:dyDescent="0.25">
      <c r="A12035" t="s">
        <v>8835</v>
      </c>
      <c r="B12035" t="s">
        <v>13392</v>
      </c>
    </row>
    <row r="12036" spans="1:2" x14ac:dyDescent="0.25">
      <c r="A12036" t="s">
        <v>5760</v>
      </c>
      <c r="B12036" t="s">
        <v>13392</v>
      </c>
    </row>
    <row r="12037" spans="1:2" x14ac:dyDescent="0.25">
      <c r="A12037" t="s">
        <v>9188</v>
      </c>
      <c r="B12037" t="s">
        <v>13392</v>
      </c>
    </row>
    <row r="12038" spans="1:2" x14ac:dyDescent="0.25">
      <c r="A12038" t="s">
        <v>8338</v>
      </c>
      <c r="B12038" t="s">
        <v>13392</v>
      </c>
    </row>
    <row r="12039" spans="1:2" x14ac:dyDescent="0.25">
      <c r="A12039" t="s">
        <v>11576</v>
      </c>
      <c r="B12039" t="s">
        <v>13392</v>
      </c>
    </row>
    <row r="12040" spans="1:2" x14ac:dyDescent="0.25">
      <c r="A12040" t="s">
        <v>8422</v>
      </c>
      <c r="B12040" t="s">
        <v>13392</v>
      </c>
    </row>
    <row r="12041" spans="1:2" x14ac:dyDescent="0.25">
      <c r="A12041" t="s">
        <v>9187</v>
      </c>
      <c r="B12041" t="s">
        <v>13392</v>
      </c>
    </row>
    <row r="12042" spans="1:2" x14ac:dyDescent="0.25">
      <c r="A12042" t="s">
        <v>7816</v>
      </c>
      <c r="B12042" t="s">
        <v>13392</v>
      </c>
    </row>
    <row r="12043" spans="1:2" x14ac:dyDescent="0.25">
      <c r="A12043" t="s">
        <v>3359</v>
      </c>
      <c r="B12043" t="s">
        <v>13392</v>
      </c>
    </row>
    <row r="12044" spans="1:2" x14ac:dyDescent="0.25">
      <c r="A12044" t="s">
        <v>1235</v>
      </c>
      <c r="B12044" t="s">
        <v>13392</v>
      </c>
    </row>
    <row r="12045" spans="1:2" x14ac:dyDescent="0.25">
      <c r="A12045" t="s">
        <v>2929</v>
      </c>
      <c r="B12045" t="s">
        <v>13392</v>
      </c>
    </row>
    <row r="12046" spans="1:2" x14ac:dyDescent="0.25">
      <c r="A12046" t="s">
        <v>1236</v>
      </c>
      <c r="B12046" t="s">
        <v>13392</v>
      </c>
    </row>
    <row r="12047" spans="1:2" x14ac:dyDescent="0.25">
      <c r="A12047" t="s">
        <v>115</v>
      </c>
      <c r="B12047" t="s">
        <v>13392</v>
      </c>
    </row>
    <row r="12048" spans="1:2" x14ac:dyDescent="0.25">
      <c r="A12048" t="s">
        <v>1237</v>
      </c>
      <c r="B12048" t="s">
        <v>13392</v>
      </c>
    </row>
    <row r="12049" spans="1:2" x14ac:dyDescent="0.25">
      <c r="A12049" t="s">
        <v>116</v>
      </c>
      <c r="B12049" t="s">
        <v>13392</v>
      </c>
    </row>
    <row r="12050" spans="1:2" x14ac:dyDescent="0.25">
      <c r="A12050" t="s">
        <v>1238</v>
      </c>
      <c r="B12050" t="s">
        <v>13392</v>
      </c>
    </row>
    <row r="12051" spans="1:2" x14ac:dyDescent="0.25">
      <c r="A12051" t="s">
        <v>3873</v>
      </c>
      <c r="B12051" t="s">
        <v>13392</v>
      </c>
    </row>
    <row r="12052" spans="1:2" x14ac:dyDescent="0.25">
      <c r="A12052" t="s">
        <v>2031</v>
      </c>
      <c r="B12052" t="s">
        <v>13392</v>
      </c>
    </row>
    <row r="12053" spans="1:2" x14ac:dyDescent="0.25">
      <c r="A12053" t="s">
        <v>2930</v>
      </c>
      <c r="B12053" t="s">
        <v>13392</v>
      </c>
    </row>
    <row r="12054" spans="1:2" x14ac:dyDescent="0.25">
      <c r="A12054" t="s">
        <v>2033</v>
      </c>
      <c r="B12054" t="s">
        <v>13392</v>
      </c>
    </row>
    <row r="12055" spans="1:2" x14ac:dyDescent="0.25">
      <c r="A12055" t="s">
        <v>2931</v>
      </c>
      <c r="B12055" t="s">
        <v>13392</v>
      </c>
    </row>
    <row r="12056" spans="1:2" x14ac:dyDescent="0.25">
      <c r="A12056" t="s">
        <v>2034</v>
      </c>
      <c r="B12056" t="s">
        <v>13392</v>
      </c>
    </row>
    <row r="12057" spans="1:2" x14ac:dyDescent="0.25">
      <c r="A12057" t="s">
        <v>1246</v>
      </c>
      <c r="B12057" t="s">
        <v>13392</v>
      </c>
    </row>
    <row r="12058" spans="1:2" x14ac:dyDescent="0.25">
      <c r="A12058" t="s">
        <v>1247</v>
      </c>
      <c r="B12058" t="s">
        <v>13392</v>
      </c>
    </row>
    <row r="12059" spans="1:2" x14ac:dyDescent="0.25">
      <c r="A12059" t="s">
        <v>2498</v>
      </c>
      <c r="B12059" t="s">
        <v>13392</v>
      </c>
    </row>
    <row r="12060" spans="1:2" x14ac:dyDescent="0.25">
      <c r="A12060" t="s">
        <v>1248</v>
      </c>
      <c r="B12060" t="s">
        <v>13392</v>
      </c>
    </row>
    <row r="12061" spans="1:2" x14ac:dyDescent="0.25">
      <c r="A12061" t="s">
        <v>2035</v>
      </c>
      <c r="B12061" t="s">
        <v>13392</v>
      </c>
    </row>
    <row r="12062" spans="1:2" x14ac:dyDescent="0.25">
      <c r="A12062" t="s">
        <v>2036</v>
      </c>
      <c r="B12062" t="s">
        <v>13392</v>
      </c>
    </row>
    <row r="12063" spans="1:2" x14ac:dyDescent="0.25">
      <c r="A12063" t="s">
        <v>3362</v>
      </c>
      <c r="B12063" t="s">
        <v>13392</v>
      </c>
    </row>
    <row r="12064" spans="1:2" x14ac:dyDescent="0.25">
      <c r="A12064" t="s">
        <v>1250</v>
      </c>
      <c r="B12064" t="s">
        <v>13392</v>
      </c>
    </row>
    <row r="12065" spans="1:2" x14ac:dyDescent="0.25">
      <c r="A12065" t="s">
        <v>3364</v>
      </c>
      <c r="B12065" t="s">
        <v>13392</v>
      </c>
    </row>
    <row r="12066" spans="1:2" x14ac:dyDescent="0.25">
      <c r="A12066" t="s">
        <v>1252</v>
      </c>
      <c r="B12066" t="s">
        <v>13392</v>
      </c>
    </row>
    <row r="12067" spans="1:2" x14ac:dyDescent="0.25">
      <c r="A12067" t="s">
        <v>3875</v>
      </c>
      <c r="B12067" t="s">
        <v>13392</v>
      </c>
    </row>
    <row r="12068" spans="1:2" x14ac:dyDescent="0.25">
      <c r="A12068" t="s">
        <v>2037</v>
      </c>
      <c r="B12068" t="s">
        <v>13392</v>
      </c>
    </row>
    <row r="12069" spans="1:2" x14ac:dyDescent="0.25">
      <c r="A12069" t="s">
        <v>4334</v>
      </c>
      <c r="B12069" t="s">
        <v>13392</v>
      </c>
    </row>
    <row r="12070" spans="1:2" x14ac:dyDescent="0.25">
      <c r="A12070" t="s">
        <v>2501</v>
      </c>
      <c r="B12070" t="s">
        <v>13392</v>
      </c>
    </row>
    <row r="12071" spans="1:2" x14ac:dyDescent="0.25">
      <c r="A12071" t="s">
        <v>3367</v>
      </c>
      <c r="B12071" t="s">
        <v>13392</v>
      </c>
    </row>
    <row r="12072" spans="1:2" x14ac:dyDescent="0.25">
      <c r="A12072" t="s">
        <v>1258</v>
      </c>
      <c r="B12072" t="s">
        <v>13392</v>
      </c>
    </row>
    <row r="12073" spans="1:2" x14ac:dyDescent="0.25">
      <c r="A12073" t="s">
        <v>454</v>
      </c>
      <c r="B12073" t="s">
        <v>13392</v>
      </c>
    </row>
    <row r="12074" spans="1:2" x14ac:dyDescent="0.25">
      <c r="A12074" t="s">
        <v>2932</v>
      </c>
      <c r="B12074" t="s">
        <v>13392</v>
      </c>
    </row>
    <row r="12075" spans="1:2" x14ac:dyDescent="0.25">
      <c r="A12075" t="s">
        <v>325</v>
      </c>
      <c r="B12075" t="s">
        <v>13392</v>
      </c>
    </row>
    <row r="12076" spans="1:2" x14ac:dyDescent="0.25">
      <c r="A12076" t="s">
        <v>2044</v>
      </c>
      <c r="B12076" t="s">
        <v>13392</v>
      </c>
    </row>
    <row r="12077" spans="1:2" x14ac:dyDescent="0.25">
      <c r="A12077" t="s">
        <v>2045</v>
      </c>
      <c r="B12077" t="s">
        <v>13392</v>
      </c>
    </row>
    <row r="12078" spans="1:2" x14ac:dyDescent="0.25">
      <c r="A12078" t="s">
        <v>2046</v>
      </c>
      <c r="B12078" t="s">
        <v>13392</v>
      </c>
    </row>
    <row r="12079" spans="1:2" x14ac:dyDescent="0.25">
      <c r="A12079" t="s">
        <v>118</v>
      </c>
      <c r="B12079" t="s">
        <v>13392</v>
      </c>
    </row>
    <row r="12080" spans="1:2" x14ac:dyDescent="0.25">
      <c r="A12080" t="s">
        <v>1259</v>
      </c>
      <c r="B12080" t="s">
        <v>13392</v>
      </c>
    </row>
    <row r="12081" spans="1:2" x14ac:dyDescent="0.25">
      <c r="A12081" t="s">
        <v>3368</v>
      </c>
      <c r="B12081" t="s">
        <v>13392</v>
      </c>
    </row>
    <row r="12082" spans="1:2" x14ac:dyDescent="0.25">
      <c r="A12082" t="s">
        <v>1260</v>
      </c>
      <c r="B12082" t="s">
        <v>13392</v>
      </c>
    </row>
    <row r="12083" spans="1:2" x14ac:dyDescent="0.25">
      <c r="A12083" t="s">
        <v>136</v>
      </c>
      <c r="B12083" t="s">
        <v>13392</v>
      </c>
    </row>
    <row r="12084" spans="1:2" x14ac:dyDescent="0.25">
      <c r="A12084" t="s">
        <v>9654</v>
      </c>
      <c r="B12084" t="s">
        <v>13392</v>
      </c>
    </row>
    <row r="12085" spans="1:2" x14ac:dyDescent="0.25">
      <c r="A12085" t="s">
        <v>3040</v>
      </c>
      <c r="B12085" t="s">
        <v>13392</v>
      </c>
    </row>
    <row r="12086" spans="1:2" x14ac:dyDescent="0.25">
      <c r="A12086" t="s">
        <v>9651</v>
      </c>
      <c r="B12086" t="s">
        <v>13392</v>
      </c>
    </row>
    <row r="12087" spans="1:2" x14ac:dyDescent="0.25">
      <c r="A12087" t="s">
        <v>3041</v>
      </c>
      <c r="B12087" t="s">
        <v>13392</v>
      </c>
    </row>
    <row r="12088" spans="1:2" x14ac:dyDescent="0.25">
      <c r="A12088" t="s">
        <v>3486</v>
      </c>
      <c r="B12088" t="s">
        <v>13392</v>
      </c>
    </row>
    <row r="12089" spans="1:2" x14ac:dyDescent="0.25">
      <c r="A12089" t="s">
        <v>9652</v>
      </c>
      <c r="B12089" t="s">
        <v>13392</v>
      </c>
    </row>
    <row r="12090" spans="1:2" x14ac:dyDescent="0.25">
      <c r="A12090" t="s">
        <v>2602</v>
      </c>
      <c r="B12090" t="s">
        <v>13392</v>
      </c>
    </row>
    <row r="12091" spans="1:2" x14ac:dyDescent="0.25">
      <c r="A12091" t="s">
        <v>9653</v>
      </c>
      <c r="B12091" t="s">
        <v>13392</v>
      </c>
    </row>
    <row r="12092" spans="1:2" x14ac:dyDescent="0.25">
      <c r="A12092" t="s">
        <v>3487</v>
      </c>
      <c r="B12092" t="s">
        <v>13392</v>
      </c>
    </row>
    <row r="12093" spans="1:2" x14ac:dyDescent="0.25">
      <c r="A12093" t="s">
        <v>2227</v>
      </c>
      <c r="B12093" t="s">
        <v>13392</v>
      </c>
    </row>
    <row r="12094" spans="1:2" x14ac:dyDescent="0.25">
      <c r="A12094" t="s">
        <v>3488</v>
      </c>
      <c r="B12094" t="s">
        <v>13392</v>
      </c>
    </row>
    <row r="12095" spans="1:2" x14ac:dyDescent="0.25">
      <c r="A12095" t="s">
        <v>8779</v>
      </c>
      <c r="B12095" t="s">
        <v>13392</v>
      </c>
    </row>
    <row r="12096" spans="1:2" x14ac:dyDescent="0.25">
      <c r="A12096" t="s">
        <v>1264</v>
      </c>
      <c r="B12096" t="s">
        <v>13392</v>
      </c>
    </row>
    <row r="12097" spans="1:2" x14ac:dyDescent="0.25">
      <c r="A12097" t="s">
        <v>3369</v>
      </c>
      <c r="B12097" t="s">
        <v>13392</v>
      </c>
    </row>
    <row r="12098" spans="1:2" x14ac:dyDescent="0.25">
      <c r="A12098" t="s">
        <v>9220</v>
      </c>
      <c r="B12098" t="s">
        <v>13392</v>
      </c>
    </row>
    <row r="12099" spans="1:2" x14ac:dyDescent="0.25">
      <c r="A12099" t="s">
        <v>9172</v>
      </c>
      <c r="B12099" t="s">
        <v>13392</v>
      </c>
    </row>
    <row r="12100" spans="1:2" x14ac:dyDescent="0.25">
      <c r="A12100" t="s">
        <v>2489</v>
      </c>
      <c r="B12100" t="s">
        <v>13392</v>
      </c>
    </row>
    <row r="12101" spans="1:2" x14ac:dyDescent="0.25">
      <c r="A12101" t="s">
        <v>8778</v>
      </c>
      <c r="B12101" t="s">
        <v>13392</v>
      </c>
    </row>
    <row r="12102" spans="1:2" x14ac:dyDescent="0.25">
      <c r="A12102" t="s">
        <v>12307</v>
      </c>
      <c r="B12102" t="s">
        <v>13392</v>
      </c>
    </row>
    <row r="12103" spans="1:2" x14ac:dyDescent="0.25">
      <c r="A12103" t="s">
        <v>10557</v>
      </c>
      <c r="B12103" t="s">
        <v>13392</v>
      </c>
    </row>
    <row r="12104" spans="1:2" x14ac:dyDescent="0.25">
      <c r="A12104" t="s">
        <v>7155</v>
      </c>
      <c r="B12104" t="s">
        <v>13392</v>
      </c>
    </row>
    <row r="12105" spans="1:2" x14ac:dyDescent="0.25">
      <c r="A12105" t="s">
        <v>6183</v>
      </c>
      <c r="B12105" t="s">
        <v>13392</v>
      </c>
    </row>
    <row r="12106" spans="1:2" x14ac:dyDescent="0.25">
      <c r="A12106" t="s">
        <v>5353</v>
      </c>
      <c r="B12106" t="s">
        <v>13392</v>
      </c>
    </row>
    <row r="12107" spans="1:2" x14ac:dyDescent="0.25">
      <c r="A12107" t="s">
        <v>8333</v>
      </c>
      <c r="B12107" t="s">
        <v>13392</v>
      </c>
    </row>
    <row r="12108" spans="1:2" x14ac:dyDescent="0.25">
      <c r="A12108" t="s">
        <v>13619</v>
      </c>
      <c r="B12108" t="s">
        <v>1156</v>
      </c>
    </row>
    <row r="12109" spans="1:2" x14ac:dyDescent="0.25">
      <c r="A12109" t="s">
        <v>13620</v>
      </c>
      <c r="B12109" t="s">
        <v>13619</v>
      </c>
    </row>
    <row r="12110" spans="1:2" x14ac:dyDescent="0.25">
      <c r="A12110" t="s">
        <v>1269</v>
      </c>
      <c r="B12110" t="s">
        <v>13619</v>
      </c>
    </row>
    <row r="12111" spans="1:2" x14ac:dyDescent="0.25">
      <c r="A12111" t="s">
        <v>7262</v>
      </c>
      <c r="B12111" t="s">
        <v>13619</v>
      </c>
    </row>
    <row r="12112" spans="1:2" x14ac:dyDescent="0.25">
      <c r="A12112" t="s">
        <v>4843</v>
      </c>
      <c r="B12112" t="s">
        <v>7262</v>
      </c>
    </row>
    <row r="12113" spans="1:2" x14ac:dyDescent="0.25">
      <c r="A12113" t="s">
        <v>4844</v>
      </c>
      <c r="B12113" t="s">
        <v>7262</v>
      </c>
    </row>
    <row r="12114" spans="1:2" x14ac:dyDescent="0.25">
      <c r="A12114" t="s">
        <v>4340</v>
      </c>
      <c r="B12114" t="s">
        <v>7262</v>
      </c>
    </row>
    <row r="12115" spans="1:2" x14ac:dyDescent="0.25">
      <c r="A12115" t="s">
        <v>11011</v>
      </c>
      <c r="B12115" t="s">
        <v>1156</v>
      </c>
    </row>
    <row r="12116" spans="1:2" x14ac:dyDescent="0.25">
      <c r="A12116" t="s">
        <v>9959</v>
      </c>
      <c r="B12116" t="s">
        <v>11011</v>
      </c>
    </row>
    <row r="12117" spans="1:2" x14ac:dyDescent="0.25">
      <c r="A12117" t="s">
        <v>1992</v>
      </c>
      <c r="B12117" t="s">
        <v>9959</v>
      </c>
    </row>
    <row r="12118" spans="1:2" x14ac:dyDescent="0.25">
      <c r="A12118" t="s">
        <v>1179</v>
      </c>
      <c r="B12118" t="s">
        <v>9959</v>
      </c>
    </row>
    <row r="12119" spans="1:2" x14ac:dyDescent="0.25">
      <c r="A12119" t="s">
        <v>2916</v>
      </c>
      <c r="B12119" t="s">
        <v>9959</v>
      </c>
    </row>
    <row r="12120" spans="1:2" x14ac:dyDescent="0.25">
      <c r="A12120" t="s">
        <v>1180</v>
      </c>
      <c r="B12120" t="s">
        <v>9959</v>
      </c>
    </row>
    <row r="12121" spans="1:2" x14ac:dyDescent="0.25">
      <c r="A12121" t="s">
        <v>1181</v>
      </c>
      <c r="B12121" t="s">
        <v>9959</v>
      </c>
    </row>
    <row r="12122" spans="1:2" x14ac:dyDescent="0.25">
      <c r="A12122" t="s">
        <v>2917</v>
      </c>
      <c r="B12122" t="s">
        <v>9959</v>
      </c>
    </row>
    <row r="12123" spans="1:2" x14ac:dyDescent="0.25">
      <c r="A12123" t="s">
        <v>4561</v>
      </c>
      <c r="B12123" t="s">
        <v>9959</v>
      </c>
    </row>
    <row r="12124" spans="1:2" x14ac:dyDescent="0.25">
      <c r="A12124" t="s">
        <v>11022</v>
      </c>
      <c r="B12124" t="s">
        <v>9959</v>
      </c>
    </row>
    <row r="12125" spans="1:2" x14ac:dyDescent="0.25">
      <c r="A12125" t="s">
        <v>11806</v>
      </c>
      <c r="B12125" t="s">
        <v>9959</v>
      </c>
    </row>
    <row r="12126" spans="1:2" x14ac:dyDescent="0.25">
      <c r="A12126" t="s">
        <v>6204</v>
      </c>
      <c r="B12126" t="s">
        <v>9959</v>
      </c>
    </row>
    <row r="12127" spans="1:2" x14ac:dyDescent="0.25">
      <c r="A12127" t="s">
        <v>7936</v>
      </c>
      <c r="B12127" t="s">
        <v>9959</v>
      </c>
    </row>
    <row r="12128" spans="1:2" x14ac:dyDescent="0.25">
      <c r="A12128" t="s">
        <v>11335</v>
      </c>
      <c r="B12128" t="s">
        <v>9959</v>
      </c>
    </row>
    <row r="12129" spans="1:2" x14ac:dyDescent="0.25">
      <c r="A12129" t="s">
        <v>6669</v>
      </c>
      <c r="B12129" t="s">
        <v>9959</v>
      </c>
    </row>
    <row r="12130" spans="1:2" x14ac:dyDescent="0.25">
      <c r="A12130" t="s">
        <v>6205</v>
      </c>
      <c r="B12130" t="s">
        <v>9959</v>
      </c>
    </row>
    <row r="12131" spans="1:2" x14ac:dyDescent="0.25">
      <c r="A12131" t="s">
        <v>11578</v>
      </c>
      <c r="B12131" t="s">
        <v>9959</v>
      </c>
    </row>
    <row r="12132" spans="1:2" x14ac:dyDescent="0.25">
      <c r="A12132" t="s">
        <v>13047</v>
      </c>
      <c r="B12132" t="s">
        <v>9959</v>
      </c>
    </row>
    <row r="12133" spans="1:2" x14ac:dyDescent="0.25">
      <c r="A12133" t="s">
        <v>6528</v>
      </c>
      <c r="B12133" t="s">
        <v>13047</v>
      </c>
    </row>
    <row r="12134" spans="1:2" x14ac:dyDescent="0.25">
      <c r="A12134" t="s">
        <v>6176</v>
      </c>
      <c r="B12134" t="s">
        <v>13047</v>
      </c>
    </row>
    <row r="12135" spans="1:2" x14ac:dyDescent="0.25">
      <c r="A12135" t="s">
        <v>6177</v>
      </c>
      <c r="B12135" t="s">
        <v>13047</v>
      </c>
    </row>
    <row r="12136" spans="1:2" x14ac:dyDescent="0.25">
      <c r="A12136" t="s">
        <v>4905</v>
      </c>
      <c r="B12136" t="s">
        <v>13047</v>
      </c>
    </row>
    <row r="12137" spans="1:2" x14ac:dyDescent="0.25">
      <c r="A12137" t="s">
        <v>6178</v>
      </c>
      <c r="B12137" t="s">
        <v>13047</v>
      </c>
    </row>
    <row r="12138" spans="1:2" x14ac:dyDescent="0.25">
      <c r="A12138" t="s">
        <v>1266</v>
      </c>
      <c r="B12138" t="s">
        <v>9959</v>
      </c>
    </row>
    <row r="12139" spans="1:2" x14ac:dyDescent="0.25">
      <c r="A12139" t="s">
        <v>1268</v>
      </c>
      <c r="B12139" t="s">
        <v>9959</v>
      </c>
    </row>
    <row r="12140" spans="1:2" x14ac:dyDescent="0.25">
      <c r="A12140" t="s">
        <v>10664</v>
      </c>
      <c r="B12140" t="s">
        <v>11011</v>
      </c>
    </row>
    <row r="12141" spans="1:2" x14ac:dyDescent="0.25">
      <c r="A12141" t="s">
        <v>7260</v>
      </c>
      <c r="B12141" t="s">
        <v>10664</v>
      </c>
    </row>
    <row r="12142" spans="1:2" x14ac:dyDescent="0.25">
      <c r="A12142" t="s">
        <v>5348</v>
      </c>
      <c r="B12142" t="s">
        <v>10664</v>
      </c>
    </row>
    <row r="12143" spans="1:2" x14ac:dyDescent="0.25">
      <c r="A12143" t="s">
        <v>10665</v>
      </c>
      <c r="B12143" t="s">
        <v>10664</v>
      </c>
    </row>
    <row r="12144" spans="1:2" x14ac:dyDescent="0.25">
      <c r="A12144" t="s">
        <v>4002</v>
      </c>
      <c r="B12144" t="s">
        <v>10664</v>
      </c>
    </row>
    <row r="12145" spans="1:2" x14ac:dyDescent="0.25">
      <c r="A12145" t="s">
        <v>10666</v>
      </c>
      <c r="B12145" t="s">
        <v>10664</v>
      </c>
    </row>
    <row r="12146" spans="1:2" x14ac:dyDescent="0.25">
      <c r="A12146" t="s">
        <v>13048</v>
      </c>
      <c r="B12146" t="s">
        <v>10664</v>
      </c>
    </row>
    <row r="12147" spans="1:2" x14ac:dyDescent="0.25">
      <c r="A12147" t="s">
        <v>672</v>
      </c>
      <c r="B12147" t="s">
        <v>13048</v>
      </c>
    </row>
    <row r="12148" spans="1:2" x14ac:dyDescent="0.25">
      <c r="A12148" t="s">
        <v>8418</v>
      </c>
      <c r="B12148" t="s">
        <v>11011</v>
      </c>
    </row>
    <row r="12149" spans="1:2" x14ac:dyDescent="0.25">
      <c r="A12149" t="s">
        <v>4829</v>
      </c>
      <c r="B12149" t="s">
        <v>8418</v>
      </c>
    </row>
    <row r="12150" spans="1:2" x14ac:dyDescent="0.25">
      <c r="A12150" t="s">
        <v>11923</v>
      </c>
      <c r="B12150" t="s">
        <v>4829</v>
      </c>
    </row>
    <row r="12151" spans="1:2" x14ac:dyDescent="0.25">
      <c r="A12151" t="s">
        <v>10552</v>
      </c>
      <c r="B12151" t="s">
        <v>4829</v>
      </c>
    </row>
    <row r="12152" spans="1:2" x14ac:dyDescent="0.25">
      <c r="A12152" t="s">
        <v>7259</v>
      </c>
      <c r="B12152" t="s">
        <v>4829</v>
      </c>
    </row>
    <row r="12153" spans="1:2" x14ac:dyDescent="0.25">
      <c r="A12153" t="s">
        <v>11790</v>
      </c>
      <c r="B12153" t="s">
        <v>4829</v>
      </c>
    </row>
    <row r="12154" spans="1:2" x14ac:dyDescent="0.25">
      <c r="A12154" t="s">
        <v>6632</v>
      </c>
      <c r="B12154" t="s">
        <v>4829</v>
      </c>
    </row>
    <row r="12155" spans="1:2" x14ac:dyDescent="0.25">
      <c r="A12155" t="s">
        <v>4560</v>
      </c>
      <c r="B12155" t="s">
        <v>4829</v>
      </c>
    </row>
    <row r="12156" spans="1:2" x14ac:dyDescent="0.25">
      <c r="A12156" t="s">
        <v>10675</v>
      </c>
      <c r="B12156" t="s">
        <v>8418</v>
      </c>
    </row>
    <row r="12157" spans="1:2" x14ac:dyDescent="0.25">
      <c r="A12157" t="s">
        <v>11807</v>
      </c>
      <c r="B12157" t="s">
        <v>8418</v>
      </c>
    </row>
    <row r="12158" spans="1:2" x14ac:dyDescent="0.25">
      <c r="A12158" t="s">
        <v>2631</v>
      </c>
      <c r="B12158" t="s">
        <v>8418</v>
      </c>
    </row>
    <row r="12159" spans="1:2" x14ac:dyDescent="0.25">
      <c r="A12159" t="s">
        <v>8427</v>
      </c>
      <c r="B12159" t="s">
        <v>8418</v>
      </c>
    </row>
    <row r="12160" spans="1:2" x14ac:dyDescent="0.25">
      <c r="A12160" t="s">
        <v>10165</v>
      </c>
      <c r="B12160" t="s">
        <v>8418</v>
      </c>
    </row>
    <row r="12161" spans="1:2" x14ac:dyDescent="0.25">
      <c r="A12161" t="s">
        <v>13049</v>
      </c>
      <c r="B12161" t="s">
        <v>8418</v>
      </c>
    </row>
    <row r="12162" spans="1:2" x14ac:dyDescent="0.25">
      <c r="A12162" t="s">
        <v>4260</v>
      </c>
      <c r="B12162" t="s">
        <v>13049</v>
      </c>
    </row>
    <row r="12163" spans="1:2" x14ac:dyDescent="0.25">
      <c r="A12163" t="s">
        <v>4261</v>
      </c>
      <c r="B12163" t="s">
        <v>13049</v>
      </c>
    </row>
    <row r="12164" spans="1:2" x14ac:dyDescent="0.25">
      <c r="A12164" t="s">
        <v>9671</v>
      </c>
      <c r="B12164" t="s">
        <v>11011</v>
      </c>
    </row>
    <row r="12165" spans="1:2" x14ac:dyDescent="0.25">
      <c r="A12165" t="s">
        <v>6668</v>
      </c>
      <c r="B12165" t="s">
        <v>9671</v>
      </c>
    </row>
    <row r="12166" spans="1:2" x14ac:dyDescent="0.25">
      <c r="A12166" t="s">
        <v>6202</v>
      </c>
      <c r="B12166" t="s">
        <v>9671</v>
      </c>
    </row>
    <row r="12167" spans="1:2" x14ac:dyDescent="0.25">
      <c r="A12167" t="s">
        <v>6203</v>
      </c>
      <c r="B12167" t="s">
        <v>9671</v>
      </c>
    </row>
    <row r="12168" spans="1:2" x14ac:dyDescent="0.25">
      <c r="A12168" t="s">
        <v>4007</v>
      </c>
      <c r="B12168" t="s">
        <v>9671</v>
      </c>
    </row>
    <row r="12169" spans="1:2" x14ac:dyDescent="0.25">
      <c r="A12169" t="s">
        <v>2241</v>
      </c>
      <c r="B12169" t="s">
        <v>9671</v>
      </c>
    </row>
    <row r="12170" spans="1:2" x14ac:dyDescent="0.25">
      <c r="A12170" t="s">
        <v>13050</v>
      </c>
      <c r="B12170" t="s">
        <v>11011</v>
      </c>
    </row>
    <row r="12171" spans="1:2" x14ac:dyDescent="0.25">
      <c r="A12171" t="s">
        <v>13818</v>
      </c>
      <c r="B12171" t="s">
        <v>13050</v>
      </c>
    </row>
    <row r="12172" spans="1:2" x14ac:dyDescent="0.25">
      <c r="A12172" t="s">
        <v>13819</v>
      </c>
      <c r="B12172" t="s">
        <v>13050</v>
      </c>
    </row>
    <row r="12173" spans="1:2" x14ac:dyDescent="0.25">
      <c r="A12173" t="s">
        <v>5380</v>
      </c>
      <c r="B12173" t="s">
        <v>13050</v>
      </c>
    </row>
    <row r="12174" spans="1:2" x14ac:dyDescent="0.25">
      <c r="A12174" t="s">
        <v>11342</v>
      </c>
      <c r="B12174" t="s">
        <v>5380</v>
      </c>
    </row>
    <row r="12175" spans="1:2" x14ac:dyDescent="0.25">
      <c r="A12175" t="s">
        <v>10636</v>
      </c>
      <c r="B12175" t="s">
        <v>13050</v>
      </c>
    </row>
    <row r="12176" spans="1:2" x14ac:dyDescent="0.25">
      <c r="A12176" t="s">
        <v>11569</v>
      </c>
      <c r="B12176" t="s">
        <v>10636</v>
      </c>
    </row>
    <row r="12177" spans="1:2" x14ac:dyDescent="0.25">
      <c r="A12177" t="s">
        <v>11801</v>
      </c>
      <c r="B12177" t="s">
        <v>11011</v>
      </c>
    </row>
    <row r="12178" spans="1:2" x14ac:dyDescent="0.25">
      <c r="A12178" t="s">
        <v>322</v>
      </c>
      <c r="B12178" t="s">
        <v>11011</v>
      </c>
    </row>
    <row r="12179" spans="1:2" x14ac:dyDescent="0.25">
      <c r="A12179" t="s">
        <v>5263</v>
      </c>
      <c r="B12179" t="s">
        <v>322</v>
      </c>
    </row>
    <row r="12180" spans="1:2" x14ac:dyDescent="0.25">
      <c r="A12180" t="s">
        <v>4320</v>
      </c>
      <c r="B12180" t="s">
        <v>322</v>
      </c>
    </row>
    <row r="12181" spans="1:2" x14ac:dyDescent="0.25">
      <c r="A12181" t="s">
        <v>2476</v>
      </c>
      <c r="B12181" t="s">
        <v>322</v>
      </c>
    </row>
    <row r="12182" spans="1:2" x14ac:dyDescent="0.25">
      <c r="A12182" t="s">
        <v>11306</v>
      </c>
      <c r="B12182" t="s">
        <v>322</v>
      </c>
    </row>
    <row r="12183" spans="1:2" x14ac:dyDescent="0.25">
      <c r="A12183" t="s">
        <v>5739</v>
      </c>
      <c r="B12183" t="s">
        <v>322</v>
      </c>
    </row>
    <row r="12184" spans="1:2" x14ac:dyDescent="0.25">
      <c r="A12184" t="s">
        <v>11307</v>
      </c>
      <c r="B12184" t="s">
        <v>322</v>
      </c>
    </row>
    <row r="12185" spans="1:2" x14ac:dyDescent="0.25">
      <c r="A12185" t="s">
        <v>8386</v>
      </c>
      <c r="B12185" t="s">
        <v>322</v>
      </c>
    </row>
    <row r="12186" spans="1:2" x14ac:dyDescent="0.25">
      <c r="A12186" t="s">
        <v>9233</v>
      </c>
      <c r="B12186" t="s">
        <v>322</v>
      </c>
    </row>
    <row r="12187" spans="1:2" x14ac:dyDescent="0.25">
      <c r="A12187" t="s">
        <v>5758</v>
      </c>
      <c r="B12187" t="s">
        <v>322</v>
      </c>
    </row>
    <row r="12188" spans="1:2" x14ac:dyDescent="0.25">
      <c r="A12188" t="s">
        <v>7906</v>
      </c>
      <c r="B12188" t="s">
        <v>322</v>
      </c>
    </row>
    <row r="12189" spans="1:2" x14ac:dyDescent="0.25">
      <c r="A12189" t="s">
        <v>13391</v>
      </c>
      <c r="B12189" t="s">
        <v>322</v>
      </c>
    </row>
    <row r="12190" spans="1:2" x14ac:dyDescent="0.25">
      <c r="A12190" t="s">
        <v>8802</v>
      </c>
      <c r="B12190" t="s">
        <v>11011</v>
      </c>
    </row>
    <row r="12191" spans="1:2" x14ac:dyDescent="0.25">
      <c r="A12191" t="s">
        <v>7662</v>
      </c>
      <c r="B12191" t="s">
        <v>8802</v>
      </c>
    </row>
    <row r="12192" spans="1:2" x14ac:dyDescent="0.25">
      <c r="A12192" t="s">
        <v>2391</v>
      </c>
      <c r="B12192" t="s">
        <v>8802</v>
      </c>
    </row>
    <row r="12193" spans="1:2" x14ac:dyDescent="0.25">
      <c r="A12193" t="s">
        <v>2836</v>
      </c>
      <c r="B12193" t="s">
        <v>8802</v>
      </c>
    </row>
    <row r="12194" spans="1:2" x14ac:dyDescent="0.25">
      <c r="A12194" t="s">
        <v>332</v>
      </c>
      <c r="B12194" t="s">
        <v>8802</v>
      </c>
    </row>
    <row r="12195" spans="1:2" x14ac:dyDescent="0.25">
      <c r="A12195" t="s">
        <v>5204</v>
      </c>
      <c r="B12195" t="s">
        <v>332</v>
      </c>
    </row>
    <row r="12196" spans="1:2" x14ac:dyDescent="0.25">
      <c r="A12196" t="s">
        <v>7663</v>
      </c>
      <c r="B12196" t="s">
        <v>332</v>
      </c>
    </row>
    <row r="12197" spans="1:2" x14ac:dyDescent="0.25">
      <c r="A12197" t="s">
        <v>1618</v>
      </c>
      <c r="B12197" t="s">
        <v>332</v>
      </c>
    </row>
    <row r="12198" spans="1:2" x14ac:dyDescent="0.25">
      <c r="A12198" t="s">
        <v>8378</v>
      </c>
      <c r="B12198" t="s">
        <v>11011</v>
      </c>
    </row>
    <row r="12199" spans="1:2" x14ac:dyDescent="0.25">
      <c r="A12199" t="s">
        <v>9257</v>
      </c>
      <c r="B12199" t="s">
        <v>11011</v>
      </c>
    </row>
    <row r="12200" spans="1:2" x14ac:dyDescent="0.25">
      <c r="A12200" t="s">
        <v>15016</v>
      </c>
      <c r="B12200" t="s">
        <v>1156</v>
      </c>
    </row>
    <row r="12201" spans="1:2" x14ac:dyDescent="0.25">
      <c r="A12201" t="s">
        <v>15017</v>
      </c>
      <c r="B12201" t="s">
        <v>15016</v>
      </c>
    </row>
    <row r="12202" spans="1:2" x14ac:dyDescent="0.25">
      <c r="A12202" t="s">
        <v>15018</v>
      </c>
      <c r="B12202" t="s">
        <v>15016</v>
      </c>
    </row>
    <row r="12203" spans="1:2" x14ac:dyDescent="0.25">
      <c r="A12203" t="s">
        <v>15019</v>
      </c>
      <c r="B12203" t="s">
        <v>15016</v>
      </c>
    </row>
    <row r="12204" spans="1:2" x14ac:dyDescent="0.25">
      <c r="A12204" t="s">
        <v>15020</v>
      </c>
      <c r="B12204" t="s">
        <v>15016</v>
      </c>
    </row>
    <row r="12205" spans="1:2" x14ac:dyDescent="0.25">
      <c r="A12205" t="s">
        <v>15021</v>
      </c>
      <c r="B12205" t="s">
        <v>1156</v>
      </c>
    </row>
    <row r="12206" spans="1:2" x14ac:dyDescent="0.25">
      <c r="A12206" t="s">
        <v>13534</v>
      </c>
      <c r="B12206" t="s">
        <v>1156</v>
      </c>
    </row>
    <row r="12207" spans="1:2" x14ac:dyDescent="0.25">
      <c r="A12207" t="s">
        <v>5274</v>
      </c>
      <c r="B12207" t="s">
        <v>13534</v>
      </c>
    </row>
    <row r="12208" spans="1:2" x14ac:dyDescent="0.25">
      <c r="A12208" t="s">
        <v>12721</v>
      </c>
      <c r="B12208" t="s">
        <v>5274</v>
      </c>
    </row>
    <row r="12209" spans="1:2" x14ac:dyDescent="0.25">
      <c r="A12209" t="s">
        <v>7810</v>
      </c>
      <c r="B12209" t="s">
        <v>12721</v>
      </c>
    </row>
    <row r="12210" spans="1:2" x14ac:dyDescent="0.25">
      <c r="A12210" t="s">
        <v>11528</v>
      </c>
      <c r="B12210" t="s">
        <v>12721</v>
      </c>
    </row>
    <row r="12211" spans="1:2" x14ac:dyDescent="0.25">
      <c r="A12211" t="s">
        <v>12723</v>
      </c>
      <c r="B12211" t="s">
        <v>5274</v>
      </c>
    </row>
    <row r="12212" spans="1:2" x14ac:dyDescent="0.25">
      <c r="A12212" t="s">
        <v>7811</v>
      </c>
      <c r="B12212" t="s">
        <v>12723</v>
      </c>
    </row>
    <row r="12213" spans="1:2" x14ac:dyDescent="0.25">
      <c r="A12213" t="s">
        <v>11529</v>
      </c>
      <c r="B12213" t="s">
        <v>12723</v>
      </c>
    </row>
    <row r="12214" spans="1:2" x14ac:dyDescent="0.25">
      <c r="A12214" t="s">
        <v>5742</v>
      </c>
      <c r="B12214" t="s">
        <v>12723</v>
      </c>
    </row>
    <row r="12215" spans="1:2" x14ac:dyDescent="0.25">
      <c r="A12215" t="s">
        <v>12641</v>
      </c>
      <c r="B12215" t="s">
        <v>5274</v>
      </c>
    </row>
    <row r="12216" spans="1:2" x14ac:dyDescent="0.25">
      <c r="A12216" t="s">
        <v>12884</v>
      </c>
      <c r="B12216" t="s">
        <v>5274</v>
      </c>
    </row>
    <row r="12217" spans="1:2" x14ac:dyDescent="0.25">
      <c r="A12217" t="s">
        <v>12722</v>
      </c>
      <c r="B12217" t="s">
        <v>12884</v>
      </c>
    </row>
    <row r="12218" spans="1:2" x14ac:dyDescent="0.25">
      <c r="A12218" t="s">
        <v>2935</v>
      </c>
      <c r="B12218" t="s">
        <v>12722</v>
      </c>
    </row>
    <row r="12219" spans="1:2" x14ac:dyDescent="0.25">
      <c r="A12219" t="s">
        <v>7157</v>
      </c>
      <c r="B12219" t="s">
        <v>12722</v>
      </c>
    </row>
    <row r="12220" spans="1:2" x14ac:dyDescent="0.25">
      <c r="A12220" t="s">
        <v>8782</v>
      </c>
      <c r="B12220" t="s">
        <v>12722</v>
      </c>
    </row>
    <row r="12221" spans="1:2" x14ac:dyDescent="0.25">
      <c r="A12221" t="s">
        <v>12491</v>
      </c>
      <c r="B12221" t="s">
        <v>12884</v>
      </c>
    </row>
    <row r="12222" spans="1:2" x14ac:dyDescent="0.25">
      <c r="A12222" t="s">
        <v>3370</v>
      </c>
      <c r="B12222" t="s">
        <v>12491</v>
      </c>
    </row>
    <row r="12223" spans="1:2" x14ac:dyDescent="0.25">
      <c r="A12223" t="s">
        <v>7812</v>
      </c>
      <c r="B12223" t="s">
        <v>12491</v>
      </c>
    </row>
    <row r="12224" spans="1:2" x14ac:dyDescent="0.25">
      <c r="A12224" t="s">
        <v>12720</v>
      </c>
      <c r="B12224" t="s">
        <v>5274</v>
      </c>
    </row>
    <row r="12225" spans="1:2" x14ac:dyDescent="0.25">
      <c r="A12225" t="s">
        <v>4841</v>
      </c>
      <c r="B12225" t="s">
        <v>12720</v>
      </c>
    </row>
    <row r="12226" spans="1:2" x14ac:dyDescent="0.25">
      <c r="A12226" t="s">
        <v>5275</v>
      </c>
      <c r="B12226" t="s">
        <v>12720</v>
      </c>
    </row>
    <row r="12227" spans="1:2" x14ac:dyDescent="0.25">
      <c r="A12227" t="s">
        <v>9179</v>
      </c>
      <c r="B12227" t="s">
        <v>12720</v>
      </c>
    </row>
    <row r="12228" spans="1:2" x14ac:dyDescent="0.25">
      <c r="A12228" t="s">
        <v>9597</v>
      </c>
      <c r="B12228" t="s">
        <v>12720</v>
      </c>
    </row>
    <row r="12229" spans="1:2" x14ac:dyDescent="0.25">
      <c r="A12229" t="s">
        <v>12288</v>
      </c>
      <c r="B12229" t="s">
        <v>5274</v>
      </c>
    </row>
    <row r="12230" spans="1:2" x14ac:dyDescent="0.25">
      <c r="A12230" t="s">
        <v>6099</v>
      </c>
      <c r="B12230" t="s">
        <v>12288</v>
      </c>
    </row>
    <row r="12231" spans="1:2" x14ac:dyDescent="0.25">
      <c r="A12231" t="s">
        <v>10560</v>
      </c>
      <c r="B12231" t="s">
        <v>12288</v>
      </c>
    </row>
    <row r="12232" spans="1:2" x14ac:dyDescent="0.25">
      <c r="A12232" t="s">
        <v>8757</v>
      </c>
      <c r="B12232" t="s">
        <v>13534</v>
      </c>
    </row>
    <row r="12233" spans="1:2" x14ac:dyDescent="0.25">
      <c r="A12233" t="s">
        <v>8761</v>
      </c>
      <c r="B12233" t="s">
        <v>8757</v>
      </c>
    </row>
    <row r="12234" spans="1:2" x14ac:dyDescent="0.25">
      <c r="A12234" t="s">
        <v>9131</v>
      </c>
      <c r="B12234" t="s">
        <v>8761</v>
      </c>
    </row>
    <row r="12235" spans="1:2" x14ac:dyDescent="0.25">
      <c r="A12235" t="s">
        <v>4826</v>
      </c>
      <c r="B12235" t="s">
        <v>8761</v>
      </c>
    </row>
    <row r="12236" spans="1:2" x14ac:dyDescent="0.25">
      <c r="A12236" t="s">
        <v>9132</v>
      </c>
      <c r="B12236" t="s">
        <v>8761</v>
      </c>
    </row>
    <row r="12237" spans="1:2" x14ac:dyDescent="0.25">
      <c r="A12237" t="s">
        <v>3844</v>
      </c>
      <c r="B12237" t="s">
        <v>8761</v>
      </c>
    </row>
    <row r="12238" spans="1:2" x14ac:dyDescent="0.25">
      <c r="A12238" t="s">
        <v>9133</v>
      </c>
      <c r="B12238" t="s">
        <v>8761</v>
      </c>
    </row>
    <row r="12239" spans="1:2" x14ac:dyDescent="0.25">
      <c r="A12239" t="s">
        <v>10545</v>
      </c>
      <c r="B12239" t="s">
        <v>8757</v>
      </c>
    </row>
    <row r="12240" spans="1:2" x14ac:dyDescent="0.25">
      <c r="A12240" t="s">
        <v>9134</v>
      </c>
      <c r="B12240" t="s">
        <v>10545</v>
      </c>
    </row>
    <row r="12241" spans="1:2" x14ac:dyDescent="0.25">
      <c r="A12241" t="s">
        <v>5667</v>
      </c>
      <c r="B12241" t="s">
        <v>10545</v>
      </c>
    </row>
    <row r="12242" spans="1:2" x14ac:dyDescent="0.25">
      <c r="A12242" t="s">
        <v>7138</v>
      </c>
      <c r="B12242" t="s">
        <v>10545</v>
      </c>
    </row>
    <row r="12243" spans="1:2" x14ac:dyDescent="0.25">
      <c r="A12243" t="s">
        <v>9135</v>
      </c>
      <c r="B12243" t="s">
        <v>10545</v>
      </c>
    </row>
    <row r="12244" spans="1:2" x14ac:dyDescent="0.25">
      <c r="A12244" t="s">
        <v>3845</v>
      </c>
      <c r="B12244" t="s">
        <v>10545</v>
      </c>
    </row>
    <row r="12245" spans="1:2" x14ac:dyDescent="0.25">
      <c r="A12245" t="s">
        <v>5356</v>
      </c>
      <c r="B12245" t="s">
        <v>10545</v>
      </c>
    </row>
    <row r="12246" spans="1:2" x14ac:dyDescent="0.25">
      <c r="A12246" t="s">
        <v>5357</v>
      </c>
      <c r="B12246" t="s">
        <v>10545</v>
      </c>
    </row>
    <row r="12247" spans="1:2" x14ac:dyDescent="0.25">
      <c r="A12247" t="s">
        <v>5759</v>
      </c>
      <c r="B12247" t="s">
        <v>10545</v>
      </c>
    </row>
    <row r="12248" spans="1:2" x14ac:dyDescent="0.25">
      <c r="A12248" t="s">
        <v>9136</v>
      </c>
      <c r="B12248" t="s">
        <v>8757</v>
      </c>
    </row>
    <row r="12249" spans="1:2" x14ac:dyDescent="0.25">
      <c r="A12249" t="s">
        <v>9137</v>
      </c>
      <c r="B12249" t="s">
        <v>9136</v>
      </c>
    </row>
    <row r="12250" spans="1:2" x14ac:dyDescent="0.25">
      <c r="A12250" t="s">
        <v>9138</v>
      </c>
      <c r="B12250" t="s">
        <v>9136</v>
      </c>
    </row>
    <row r="12251" spans="1:2" x14ac:dyDescent="0.25">
      <c r="A12251" t="s">
        <v>10546</v>
      </c>
      <c r="B12251" t="s">
        <v>8757</v>
      </c>
    </row>
    <row r="12252" spans="1:2" x14ac:dyDescent="0.25">
      <c r="A12252" t="s">
        <v>5668</v>
      </c>
      <c r="B12252" t="s">
        <v>10546</v>
      </c>
    </row>
    <row r="12253" spans="1:2" x14ac:dyDescent="0.25">
      <c r="A12253" t="s">
        <v>5669</v>
      </c>
      <c r="B12253" t="s">
        <v>10546</v>
      </c>
    </row>
    <row r="12254" spans="1:2" x14ac:dyDescent="0.25">
      <c r="A12254" t="s">
        <v>9700</v>
      </c>
      <c r="B12254" t="s">
        <v>5669</v>
      </c>
    </row>
    <row r="12255" spans="1:2" x14ac:dyDescent="0.25">
      <c r="A12255" t="s">
        <v>9701</v>
      </c>
      <c r="B12255" t="s">
        <v>5669</v>
      </c>
    </row>
    <row r="12256" spans="1:2" x14ac:dyDescent="0.25">
      <c r="A12256" t="s">
        <v>8762</v>
      </c>
      <c r="B12256" t="s">
        <v>8757</v>
      </c>
    </row>
    <row r="12257" spans="1:2" x14ac:dyDescent="0.25">
      <c r="A12257" t="s">
        <v>9139</v>
      </c>
      <c r="B12257" t="s">
        <v>8762</v>
      </c>
    </row>
    <row r="12258" spans="1:2" x14ac:dyDescent="0.25">
      <c r="A12258" t="s">
        <v>9140</v>
      </c>
      <c r="B12258" t="s">
        <v>8762</v>
      </c>
    </row>
    <row r="12259" spans="1:2" x14ac:dyDescent="0.25">
      <c r="A12259" t="s">
        <v>10547</v>
      </c>
      <c r="B12259" t="s">
        <v>8757</v>
      </c>
    </row>
    <row r="12260" spans="1:2" x14ac:dyDescent="0.25">
      <c r="A12260" t="s">
        <v>9141</v>
      </c>
      <c r="B12260" t="s">
        <v>10547</v>
      </c>
    </row>
    <row r="12261" spans="1:2" x14ac:dyDescent="0.25">
      <c r="A12261" t="s">
        <v>9142</v>
      </c>
      <c r="B12261" t="s">
        <v>10547</v>
      </c>
    </row>
    <row r="12262" spans="1:2" x14ac:dyDescent="0.25">
      <c r="A12262" t="s">
        <v>9143</v>
      </c>
      <c r="B12262" t="s">
        <v>8757</v>
      </c>
    </row>
    <row r="12263" spans="1:2" x14ac:dyDescent="0.25">
      <c r="A12263" t="s">
        <v>9144</v>
      </c>
      <c r="B12263" t="s">
        <v>9143</v>
      </c>
    </row>
    <row r="12264" spans="1:2" x14ac:dyDescent="0.25">
      <c r="A12264" t="s">
        <v>9145</v>
      </c>
      <c r="B12264" t="s">
        <v>9143</v>
      </c>
    </row>
    <row r="12265" spans="1:2" x14ac:dyDescent="0.25">
      <c r="A12265" t="s">
        <v>9146</v>
      </c>
      <c r="B12265" t="s">
        <v>9143</v>
      </c>
    </row>
    <row r="12266" spans="1:2" x14ac:dyDescent="0.25">
      <c r="A12266" t="s">
        <v>7764</v>
      </c>
      <c r="B12266" t="s">
        <v>8757</v>
      </c>
    </row>
    <row r="12267" spans="1:2" x14ac:dyDescent="0.25">
      <c r="A12267" t="s">
        <v>9147</v>
      </c>
      <c r="B12267" t="s">
        <v>7764</v>
      </c>
    </row>
    <row r="12268" spans="1:2" x14ac:dyDescent="0.25">
      <c r="A12268" t="s">
        <v>9218</v>
      </c>
      <c r="B12268" t="s">
        <v>7764</v>
      </c>
    </row>
    <row r="12269" spans="1:2" x14ac:dyDescent="0.25">
      <c r="A12269" t="s">
        <v>7765</v>
      </c>
      <c r="B12269" t="s">
        <v>8757</v>
      </c>
    </row>
    <row r="12270" spans="1:2" x14ac:dyDescent="0.25">
      <c r="A12270" t="s">
        <v>9148</v>
      </c>
      <c r="B12270" t="s">
        <v>7765</v>
      </c>
    </row>
    <row r="12271" spans="1:2" x14ac:dyDescent="0.25">
      <c r="A12271" t="s">
        <v>9149</v>
      </c>
      <c r="B12271" t="s">
        <v>8757</v>
      </c>
    </row>
    <row r="12272" spans="1:2" x14ac:dyDescent="0.25">
      <c r="A12272" t="s">
        <v>5670</v>
      </c>
      <c r="B12272" t="s">
        <v>9149</v>
      </c>
    </row>
    <row r="12273" spans="1:2" x14ac:dyDescent="0.25">
      <c r="A12273" t="s">
        <v>5258</v>
      </c>
      <c r="B12273" t="s">
        <v>9149</v>
      </c>
    </row>
    <row r="12274" spans="1:2" x14ac:dyDescent="0.25">
      <c r="A12274" t="s">
        <v>6080</v>
      </c>
      <c r="B12274" t="s">
        <v>9149</v>
      </c>
    </row>
    <row r="12275" spans="1:2" x14ac:dyDescent="0.25">
      <c r="A12275" t="s">
        <v>8763</v>
      </c>
      <c r="B12275" t="s">
        <v>8757</v>
      </c>
    </row>
    <row r="12276" spans="1:2" x14ac:dyDescent="0.25">
      <c r="A12276" t="s">
        <v>9150</v>
      </c>
      <c r="B12276" t="s">
        <v>8763</v>
      </c>
    </row>
    <row r="12277" spans="1:2" x14ac:dyDescent="0.25">
      <c r="A12277" t="s">
        <v>9151</v>
      </c>
      <c r="B12277" t="s">
        <v>8763</v>
      </c>
    </row>
    <row r="12278" spans="1:2" x14ac:dyDescent="0.25">
      <c r="A12278" t="s">
        <v>7766</v>
      </c>
      <c r="B12278" t="s">
        <v>8757</v>
      </c>
    </row>
    <row r="12279" spans="1:2" x14ac:dyDescent="0.25">
      <c r="A12279" t="s">
        <v>9152</v>
      </c>
      <c r="B12279" t="s">
        <v>7766</v>
      </c>
    </row>
    <row r="12280" spans="1:2" x14ac:dyDescent="0.25">
      <c r="A12280" t="s">
        <v>9153</v>
      </c>
      <c r="B12280" t="s">
        <v>7766</v>
      </c>
    </row>
    <row r="12281" spans="1:2" x14ac:dyDescent="0.25">
      <c r="A12281" t="s">
        <v>9955</v>
      </c>
      <c r="B12281" t="s">
        <v>8757</v>
      </c>
    </row>
    <row r="12282" spans="1:2" x14ac:dyDescent="0.25">
      <c r="A12282" t="s">
        <v>9154</v>
      </c>
      <c r="B12282" t="s">
        <v>9955</v>
      </c>
    </row>
    <row r="12283" spans="1:2" x14ac:dyDescent="0.25">
      <c r="A12283" t="s">
        <v>10548</v>
      </c>
      <c r="B12283" t="s">
        <v>9955</v>
      </c>
    </row>
    <row r="12284" spans="1:2" x14ac:dyDescent="0.25">
      <c r="A12284" t="s">
        <v>9155</v>
      </c>
      <c r="B12284" t="s">
        <v>8757</v>
      </c>
    </row>
    <row r="12285" spans="1:2" x14ac:dyDescent="0.25">
      <c r="A12285" t="s">
        <v>9156</v>
      </c>
      <c r="B12285" t="s">
        <v>9155</v>
      </c>
    </row>
    <row r="12286" spans="1:2" x14ac:dyDescent="0.25">
      <c r="A12286" t="s">
        <v>9575</v>
      </c>
      <c r="B12286" t="s">
        <v>8757</v>
      </c>
    </row>
    <row r="12287" spans="1:2" x14ac:dyDescent="0.25">
      <c r="A12287" t="s">
        <v>9157</v>
      </c>
      <c r="B12287" t="s">
        <v>9575</v>
      </c>
    </row>
    <row r="12288" spans="1:2" x14ac:dyDescent="0.25">
      <c r="A12288" t="s">
        <v>7809</v>
      </c>
      <c r="B12288" t="s">
        <v>13534</v>
      </c>
    </row>
    <row r="12289" spans="1:2" x14ac:dyDescent="0.25">
      <c r="A12289" t="s">
        <v>10169</v>
      </c>
      <c r="B12289" t="s">
        <v>13534</v>
      </c>
    </row>
    <row r="12290" spans="1:2" x14ac:dyDescent="0.25">
      <c r="A12290" t="s">
        <v>12287</v>
      </c>
      <c r="B12290" t="s">
        <v>10169</v>
      </c>
    </row>
    <row r="12291" spans="1:2" x14ac:dyDescent="0.25">
      <c r="A12291" t="s">
        <v>11526</v>
      </c>
      <c r="B12291" t="s">
        <v>12287</v>
      </c>
    </row>
    <row r="12292" spans="1:2" x14ac:dyDescent="0.25">
      <c r="A12292" t="s">
        <v>9178</v>
      </c>
      <c r="B12292" t="s">
        <v>11526</v>
      </c>
    </row>
    <row r="12293" spans="1:2" x14ac:dyDescent="0.25">
      <c r="A12293" t="s">
        <v>4339</v>
      </c>
      <c r="B12293" t="s">
        <v>12287</v>
      </c>
    </row>
    <row r="12294" spans="1:2" x14ac:dyDescent="0.25">
      <c r="A12294" t="s">
        <v>9596</v>
      </c>
      <c r="B12294" t="s">
        <v>4339</v>
      </c>
    </row>
    <row r="12295" spans="1:2" x14ac:dyDescent="0.25">
      <c r="A12295" t="s">
        <v>5273</v>
      </c>
      <c r="B12295" t="s">
        <v>12287</v>
      </c>
    </row>
    <row r="12296" spans="1:2" x14ac:dyDescent="0.25">
      <c r="A12296" t="s">
        <v>10559</v>
      </c>
      <c r="B12296" t="s">
        <v>5273</v>
      </c>
    </row>
    <row r="12297" spans="1:2" x14ac:dyDescent="0.25">
      <c r="A12297" t="s">
        <v>4840</v>
      </c>
      <c r="B12297" t="s">
        <v>12287</v>
      </c>
    </row>
    <row r="12298" spans="1:2" x14ac:dyDescent="0.25">
      <c r="A12298" t="s">
        <v>9969</v>
      </c>
      <c r="B12298" t="s">
        <v>4840</v>
      </c>
    </row>
    <row r="12299" spans="1:2" x14ac:dyDescent="0.25">
      <c r="A12299" t="s">
        <v>12636</v>
      </c>
      <c r="B12299" t="s">
        <v>4840</v>
      </c>
    </row>
    <row r="12300" spans="1:2" x14ac:dyDescent="0.25">
      <c r="A12300" t="s">
        <v>12303</v>
      </c>
      <c r="B12300" t="s">
        <v>12287</v>
      </c>
    </row>
    <row r="12301" spans="1:2" x14ac:dyDescent="0.25">
      <c r="A12301" t="s">
        <v>9176</v>
      </c>
      <c r="B12301" t="s">
        <v>12303</v>
      </c>
    </row>
    <row r="12302" spans="1:2" x14ac:dyDescent="0.25">
      <c r="A12302" t="s">
        <v>3042</v>
      </c>
      <c r="B12302" t="s">
        <v>12287</v>
      </c>
    </row>
    <row r="12303" spans="1:2" x14ac:dyDescent="0.25">
      <c r="A12303" t="s">
        <v>10641</v>
      </c>
      <c r="B12303" t="s">
        <v>12287</v>
      </c>
    </row>
    <row r="12304" spans="1:2" x14ac:dyDescent="0.25">
      <c r="A12304" t="s">
        <v>10145</v>
      </c>
      <c r="B12304" t="s">
        <v>10641</v>
      </c>
    </row>
    <row r="12305" spans="1:2" x14ac:dyDescent="0.25">
      <c r="A12305" t="s">
        <v>4484</v>
      </c>
      <c r="B12305" t="s">
        <v>12287</v>
      </c>
    </row>
    <row r="12306" spans="1:2" x14ac:dyDescent="0.25">
      <c r="A12306" t="s">
        <v>132</v>
      </c>
      <c r="B12306" t="s">
        <v>4484</v>
      </c>
    </row>
    <row r="12307" spans="1:2" x14ac:dyDescent="0.25">
      <c r="A12307" t="s">
        <v>133</v>
      </c>
      <c r="B12307" t="s">
        <v>4484</v>
      </c>
    </row>
    <row r="12308" spans="1:2" x14ac:dyDescent="0.25">
      <c r="A12308" t="s">
        <v>11996</v>
      </c>
      <c r="B12308" t="s">
        <v>12287</v>
      </c>
    </row>
    <row r="12309" spans="1:2" x14ac:dyDescent="0.25">
      <c r="A12309" t="s">
        <v>5843</v>
      </c>
      <c r="B12309" t="s">
        <v>12287</v>
      </c>
    </row>
    <row r="12310" spans="1:2" x14ac:dyDescent="0.25">
      <c r="A12310" t="s">
        <v>13496</v>
      </c>
      <c r="B12310" t="s">
        <v>12287</v>
      </c>
    </row>
    <row r="12311" spans="1:2" x14ac:dyDescent="0.25">
      <c r="A12311" t="s">
        <v>13497</v>
      </c>
      <c r="B12311" t="s">
        <v>12287</v>
      </c>
    </row>
    <row r="12312" spans="1:2" x14ac:dyDescent="0.25">
      <c r="A12312" t="s">
        <v>13498</v>
      </c>
      <c r="B12312" t="s">
        <v>12287</v>
      </c>
    </row>
    <row r="12313" spans="1:2" x14ac:dyDescent="0.25">
      <c r="A12313" t="s">
        <v>13874</v>
      </c>
      <c r="B12313" t="s">
        <v>12287</v>
      </c>
    </row>
    <row r="12314" spans="1:2" x14ac:dyDescent="0.25">
      <c r="A12314" t="s">
        <v>4842</v>
      </c>
      <c r="B12314" t="s">
        <v>10169</v>
      </c>
    </row>
    <row r="12315" spans="1:2" x14ac:dyDescent="0.25">
      <c r="A12315" t="s">
        <v>12626</v>
      </c>
      <c r="B12315" t="s">
        <v>4842</v>
      </c>
    </row>
    <row r="12316" spans="1:2" x14ac:dyDescent="0.25">
      <c r="A12316" t="s">
        <v>9595</v>
      </c>
      <c r="B12316" t="s">
        <v>10169</v>
      </c>
    </row>
    <row r="12317" spans="1:2" x14ac:dyDescent="0.25">
      <c r="A12317" t="s">
        <v>9177</v>
      </c>
      <c r="B12317" t="s">
        <v>9595</v>
      </c>
    </row>
    <row r="12318" spans="1:2" x14ac:dyDescent="0.25">
      <c r="A12318" t="s">
        <v>11762</v>
      </c>
      <c r="B12318" t="s">
        <v>9595</v>
      </c>
    </row>
    <row r="12319" spans="1:2" x14ac:dyDescent="0.25">
      <c r="A12319" t="s">
        <v>11926</v>
      </c>
      <c r="B12319" t="s">
        <v>9595</v>
      </c>
    </row>
    <row r="12320" spans="1:2" x14ac:dyDescent="0.25">
      <c r="A12320" t="s">
        <v>11763</v>
      </c>
      <c r="B12320" t="s">
        <v>9595</v>
      </c>
    </row>
    <row r="12321" spans="1:2" x14ac:dyDescent="0.25">
      <c r="A12321" t="s">
        <v>11560</v>
      </c>
      <c r="B12321" t="s">
        <v>10169</v>
      </c>
    </row>
    <row r="12322" spans="1:2" x14ac:dyDescent="0.25">
      <c r="A12322" t="s">
        <v>11257</v>
      </c>
      <c r="B12322" t="s">
        <v>11560</v>
      </c>
    </row>
    <row r="12323" spans="1:2" x14ac:dyDescent="0.25">
      <c r="A12323" t="s">
        <v>5690</v>
      </c>
      <c r="B12323" t="s">
        <v>11560</v>
      </c>
    </row>
    <row r="12324" spans="1:2" x14ac:dyDescent="0.25">
      <c r="A12324" t="s">
        <v>7814</v>
      </c>
      <c r="B12324" t="s">
        <v>10169</v>
      </c>
    </row>
    <row r="12325" spans="1:2" x14ac:dyDescent="0.25">
      <c r="A12325" t="s">
        <v>12627</v>
      </c>
      <c r="B12325" t="s">
        <v>7814</v>
      </c>
    </row>
    <row r="12326" spans="1:2" x14ac:dyDescent="0.25">
      <c r="A12326" t="s">
        <v>10642</v>
      </c>
      <c r="B12326" t="s">
        <v>7814</v>
      </c>
    </row>
    <row r="12327" spans="1:2" x14ac:dyDescent="0.25">
      <c r="A12327" t="s">
        <v>11005</v>
      </c>
      <c r="B12327" t="s">
        <v>7814</v>
      </c>
    </row>
    <row r="12328" spans="1:2" x14ac:dyDescent="0.25">
      <c r="A12328" t="s">
        <v>12505</v>
      </c>
      <c r="B12328" t="s">
        <v>7814</v>
      </c>
    </row>
    <row r="12329" spans="1:2" x14ac:dyDescent="0.25">
      <c r="A12329" t="s">
        <v>10643</v>
      </c>
      <c r="B12329" t="s">
        <v>7814</v>
      </c>
    </row>
    <row r="12330" spans="1:2" x14ac:dyDescent="0.25">
      <c r="A12330" t="s">
        <v>9635</v>
      </c>
      <c r="B12330" t="s">
        <v>7814</v>
      </c>
    </row>
    <row r="12331" spans="1:2" x14ac:dyDescent="0.25">
      <c r="A12331" t="s">
        <v>10645</v>
      </c>
      <c r="B12331" t="s">
        <v>7814</v>
      </c>
    </row>
    <row r="12332" spans="1:2" x14ac:dyDescent="0.25">
      <c r="A12332" t="s">
        <v>4523</v>
      </c>
      <c r="B12332" t="s">
        <v>7814</v>
      </c>
    </row>
    <row r="12333" spans="1:2" x14ac:dyDescent="0.25">
      <c r="A12333" t="s">
        <v>2603</v>
      </c>
      <c r="B12333" t="s">
        <v>4523</v>
      </c>
    </row>
    <row r="12334" spans="1:2" x14ac:dyDescent="0.25">
      <c r="A12334" t="s">
        <v>11527</v>
      </c>
      <c r="B12334" t="s">
        <v>4523</v>
      </c>
    </row>
    <row r="12335" spans="1:2" x14ac:dyDescent="0.25">
      <c r="A12335" t="s">
        <v>13538</v>
      </c>
      <c r="B12335" t="s">
        <v>7814</v>
      </c>
    </row>
    <row r="12336" spans="1:2" x14ac:dyDescent="0.25">
      <c r="A12336" t="s">
        <v>11531</v>
      </c>
      <c r="B12336" t="s">
        <v>13538</v>
      </c>
    </row>
    <row r="12337" spans="1:2" x14ac:dyDescent="0.25">
      <c r="A12337" t="s">
        <v>12499</v>
      </c>
      <c r="B12337" t="s">
        <v>10169</v>
      </c>
    </row>
    <row r="12338" spans="1:2" x14ac:dyDescent="0.25">
      <c r="A12338" t="s">
        <v>10558</v>
      </c>
      <c r="B12338" t="s">
        <v>12499</v>
      </c>
    </row>
    <row r="12339" spans="1:2" x14ac:dyDescent="0.25">
      <c r="A12339" t="s">
        <v>13537</v>
      </c>
      <c r="B12339" t="s">
        <v>10169</v>
      </c>
    </row>
    <row r="12340" spans="1:2" x14ac:dyDescent="0.25">
      <c r="A12340" t="s">
        <v>10963</v>
      </c>
      <c r="B12340" t="s">
        <v>13537</v>
      </c>
    </row>
    <row r="12341" spans="1:2" x14ac:dyDescent="0.25">
      <c r="A12341" t="s">
        <v>13539</v>
      </c>
      <c r="B12341" t="s">
        <v>10169</v>
      </c>
    </row>
    <row r="12342" spans="1:2" x14ac:dyDescent="0.25">
      <c r="A12342" t="s">
        <v>12304</v>
      </c>
      <c r="B12342" t="s">
        <v>13539</v>
      </c>
    </row>
    <row r="12343" spans="1:2" x14ac:dyDescent="0.25">
      <c r="A12343" t="s">
        <v>4839</v>
      </c>
      <c r="B12343" t="s">
        <v>10169</v>
      </c>
    </row>
    <row r="12344" spans="1:2" x14ac:dyDescent="0.25">
      <c r="A12344" t="s">
        <v>13378</v>
      </c>
      <c r="B12344" t="s">
        <v>4839</v>
      </c>
    </row>
    <row r="12345" spans="1:2" x14ac:dyDescent="0.25">
      <c r="A12345" t="s">
        <v>10556</v>
      </c>
      <c r="B12345" t="s">
        <v>13534</v>
      </c>
    </row>
    <row r="12346" spans="1:2" x14ac:dyDescent="0.25">
      <c r="A12346" t="s">
        <v>12285</v>
      </c>
      <c r="B12346" t="s">
        <v>10556</v>
      </c>
    </row>
    <row r="12347" spans="1:2" x14ac:dyDescent="0.25">
      <c r="A12347" t="s">
        <v>9587</v>
      </c>
      <c r="B12347" t="s">
        <v>12285</v>
      </c>
    </row>
    <row r="12348" spans="1:2" x14ac:dyDescent="0.25">
      <c r="A12348" t="s">
        <v>10988</v>
      </c>
      <c r="B12348" t="s">
        <v>12285</v>
      </c>
    </row>
    <row r="12349" spans="1:2" x14ac:dyDescent="0.25">
      <c r="A12349" t="s">
        <v>12488</v>
      </c>
      <c r="B12349" t="s">
        <v>10556</v>
      </c>
    </row>
    <row r="12350" spans="1:2" x14ac:dyDescent="0.25">
      <c r="A12350" t="s">
        <v>10146</v>
      </c>
      <c r="B12350" t="s">
        <v>12488</v>
      </c>
    </row>
    <row r="12351" spans="1:2" x14ac:dyDescent="0.25">
      <c r="A12351" t="s">
        <v>11524</v>
      </c>
      <c r="B12351" t="s">
        <v>10556</v>
      </c>
    </row>
    <row r="12352" spans="1:2" x14ac:dyDescent="0.25">
      <c r="A12352" t="s">
        <v>11761</v>
      </c>
      <c r="B12352" t="s">
        <v>10556</v>
      </c>
    </row>
    <row r="12353" spans="1:2" x14ac:dyDescent="0.25">
      <c r="A12353" t="s">
        <v>6587</v>
      </c>
      <c r="B12353" t="s">
        <v>11761</v>
      </c>
    </row>
    <row r="12354" spans="1:2" x14ac:dyDescent="0.25">
      <c r="A12354" t="s">
        <v>12286</v>
      </c>
      <c r="B12354" t="s">
        <v>10556</v>
      </c>
    </row>
    <row r="12355" spans="1:2" x14ac:dyDescent="0.25">
      <c r="A12355" t="s">
        <v>9589</v>
      </c>
      <c r="B12355" t="s">
        <v>12286</v>
      </c>
    </row>
    <row r="12356" spans="1:2" x14ac:dyDescent="0.25">
      <c r="A12356" t="s">
        <v>10989</v>
      </c>
      <c r="B12356" t="s">
        <v>12286</v>
      </c>
    </row>
    <row r="12357" spans="1:2" x14ac:dyDescent="0.25">
      <c r="A12357" t="s">
        <v>11924</v>
      </c>
      <c r="B12357" t="s">
        <v>10556</v>
      </c>
    </row>
    <row r="12358" spans="1:2" x14ac:dyDescent="0.25">
      <c r="A12358" t="s">
        <v>7154</v>
      </c>
      <c r="B12358" t="s">
        <v>11924</v>
      </c>
    </row>
    <row r="12359" spans="1:2" x14ac:dyDescent="0.25">
      <c r="A12359" t="s">
        <v>12489</v>
      </c>
      <c r="B12359" t="s">
        <v>10556</v>
      </c>
    </row>
    <row r="12360" spans="1:2" x14ac:dyDescent="0.25">
      <c r="A12360" t="s">
        <v>8332</v>
      </c>
      <c r="B12360" t="s">
        <v>12489</v>
      </c>
    </row>
    <row r="12361" spans="1:2" x14ac:dyDescent="0.25">
      <c r="A12361" t="s">
        <v>12624</v>
      </c>
      <c r="B12361" t="s">
        <v>10556</v>
      </c>
    </row>
    <row r="12362" spans="1:2" x14ac:dyDescent="0.25">
      <c r="A12362" t="s">
        <v>4333</v>
      </c>
      <c r="B12362" t="s">
        <v>12624</v>
      </c>
    </row>
    <row r="12363" spans="1:2" x14ac:dyDescent="0.25">
      <c r="A12363" t="s">
        <v>12625</v>
      </c>
      <c r="B12363" t="s">
        <v>10556</v>
      </c>
    </row>
    <row r="12364" spans="1:2" x14ac:dyDescent="0.25">
      <c r="A12364" t="s">
        <v>6588</v>
      </c>
      <c r="B12364" t="s">
        <v>12625</v>
      </c>
    </row>
    <row r="12365" spans="1:2" x14ac:dyDescent="0.25">
      <c r="A12365" t="s">
        <v>4898</v>
      </c>
      <c r="B12365" t="s">
        <v>10556</v>
      </c>
    </row>
    <row r="12366" spans="1:2" x14ac:dyDescent="0.25">
      <c r="A12366" t="s">
        <v>9962</v>
      </c>
      <c r="B12366" t="s">
        <v>4898</v>
      </c>
    </row>
    <row r="12367" spans="1:2" x14ac:dyDescent="0.25">
      <c r="A12367" t="s">
        <v>4835</v>
      </c>
      <c r="B12367" t="s">
        <v>4898</v>
      </c>
    </row>
    <row r="12368" spans="1:2" x14ac:dyDescent="0.25">
      <c r="A12368" t="s">
        <v>13535</v>
      </c>
      <c r="B12368" t="s">
        <v>10556</v>
      </c>
    </row>
    <row r="12369" spans="1:2" x14ac:dyDescent="0.25">
      <c r="A12369" t="s">
        <v>9590</v>
      </c>
      <c r="B12369" t="s">
        <v>13535</v>
      </c>
    </row>
    <row r="12370" spans="1:2" x14ac:dyDescent="0.25">
      <c r="A12370" t="s">
        <v>6589</v>
      </c>
      <c r="B12370" t="s">
        <v>13535</v>
      </c>
    </row>
    <row r="12371" spans="1:2" x14ac:dyDescent="0.25">
      <c r="A12371" t="s">
        <v>13536</v>
      </c>
      <c r="B12371" t="s">
        <v>10556</v>
      </c>
    </row>
    <row r="12372" spans="1:2" x14ac:dyDescent="0.25">
      <c r="A12372" t="s">
        <v>9963</v>
      </c>
      <c r="B12372" t="s">
        <v>13536</v>
      </c>
    </row>
    <row r="12373" spans="1:2" x14ac:dyDescent="0.25">
      <c r="A12373" t="s">
        <v>14248</v>
      </c>
      <c r="B12373" t="s">
        <v>10556</v>
      </c>
    </row>
    <row r="12374" spans="1:2" x14ac:dyDescent="0.25">
      <c r="A12374" t="s">
        <v>16334</v>
      </c>
      <c r="B12374" t="s">
        <v>10556</v>
      </c>
    </row>
    <row r="12375" spans="1:2" x14ac:dyDescent="0.25">
      <c r="A12375" t="s">
        <v>3877</v>
      </c>
      <c r="B12375" t="s">
        <v>13534</v>
      </c>
    </row>
    <row r="12376" spans="1:2" x14ac:dyDescent="0.25">
      <c r="A12376" t="s">
        <v>15022</v>
      </c>
      <c r="B12376" t="s">
        <v>13534</v>
      </c>
    </row>
    <row r="12377" spans="1:2" x14ac:dyDescent="0.25">
      <c r="A12377" t="s">
        <v>11773</v>
      </c>
      <c r="B12377" t="s">
        <v>11746</v>
      </c>
    </row>
    <row r="12378" spans="1:2" x14ac:dyDescent="0.25">
      <c r="A12378" t="s">
        <v>11296</v>
      </c>
      <c r="B12378" t="s">
        <v>11773</v>
      </c>
    </row>
    <row r="12379" spans="1:2" x14ac:dyDescent="0.25">
      <c r="A12379" t="s">
        <v>9608</v>
      </c>
      <c r="B12379" t="s">
        <v>11296</v>
      </c>
    </row>
    <row r="12380" spans="1:2" x14ac:dyDescent="0.25">
      <c r="A12380" t="s">
        <v>5311</v>
      </c>
      <c r="B12380" t="s">
        <v>11296</v>
      </c>
    </row>
    <row r="12381" spans="1:2" x14ac:dyDescent="0.25">
      <c r="A12381" t="s">
        <v>1372</v>
      </c>
      <c r="B12381" t="s">
        <v>5311</v>
      </c>
    </row>
    <row r="12382" spans="1:2" x14ac:dyDescent="0.25">
      <c r="A12382" t="s">
        <v>11545</v>
      </c>
      <c r="B12382" t="s">
        <v>11296</v>
      </c>
    </row>
    <row r="12383" spans="1:2" x14ac:dyDescent="0.25">
      <c r="A12383" t="s">
        <v>10130</v>
      </c>
      <c r="B12383" t="s">
        <v>11296</v>
      </c>
    </row>
    <row r="12384" spans="1:2" x14ac:dyDescent="0.25">
      <c r="A12384" t="s">
        <v>4437</v>
      </c>
      <c r="B12384" t="s">
        <v>10130</v>
      </c>
    </row>
    <row r="12385" spans="1:2" x14ac:dyDescent="0.25">
      <c r="A12385" t="s">
        <v>8354</v>
      </c>
      <c r="B12385" t="s">
        <v>10130</v>
      </c>
    </row>
    <row r="12386" spans="1:2" x14ac:dyDescent="0.25">
      <c r="A12386" t="s">
        <v>4438</v>
      </c>
      <c r="B12386" t="s">
        <v>10130</v>
      </c>
    </row>
    <row r="12387" spans="1:2" x14ac:dyDescent="0.25">
      <c r="A12387" t="s">
        <v>7844</v>
      </c>
      <c r="B12387" t="s">
        <v>10130</v>
      </c>
    </row>
    <row r="12388" spans="1:2" x14ac:dyDescent="0.25">
      <c r="A12388" t="s">
        <v>4439</v>
      </c>
      <c r="B12388" t="s">
        <v>10130</v>
      </c>
    </row>
    <row r="12389" spans="1:2" x14ac:dyDescent="0.25">
      <c r="A12389" t="s">
        <v>8355</v>
      </c>
      <c r="B12389" t="s">
        <v>10130</v>
      </c>
    </row>
    <row r="12390" spans="1:2" x14ac:dyDescent="0.25">
      <c r="A12390" t="s">
        <v>8356</v>
      </c>
      <c r="B12390" t="s">
        <v>10130</v>
      </c>
    </row>
    <row r="12391" spans="1:2" x14ac:dyDescent="0.25">
      <c r="A12391" t="s">
        <v>4440</v>
      </c>
      <c r="B12391" t="s">
        <v>10130</v>
      </c>
    </row>
    <row r="12392" spans="1:2" x14ac:dyDescent="0.25">
      <c r="A12392" t="s">
        <v>4441</v>
      </c>
      <c r="B12392" t="s">
        <v>10130</v>
      </c>
    </row>
    <row r="12393" spans="1:2" x14ac:dyDescent="0.25">
      <c r="A12393" t="s">
        <v>8357</v>
      </c>
      <c r="B12393" t="s">
        <v>10130</v>
      </c>
    </row>
    <row r="12394" spans="1:2" x14ac:dyDescent="0.25">
      <c r="A12394" t="s">
        <v>3936</v>
      </c>
      <c r="B12394" t="s">
        <v>10130</v>
      </c>
    </row>
    <row r="12395" spans="1:2" x14ac:dyDescent="0.25">
      <c r="A12395" t="s">
        <v>4442</v>
      </c>
      <c r="B12395" t="s">
        <v>10130</v>
      </c>
    </row>
    <row r="12396" spans="1:2" x14ac:dyDescent="0.25">
      <c r="A12396" t="s">
        <v>8358</v>
      </c>
      <c r="B12396" t="s">
        <v>10130</v>
      </c>
    </row>
    <row r="12397" spans="1:2" x14ac:dyDescent="0.25">
      <c r="A12397" t="s">
        <v>3937</v>
      </c>
      <c r="B12397" t="s">
        <v>10130</v>
      </c>
    </row>
    <row r="12398" spans="1:2" x14ac:dyDescent="0.25">
      <c r="A12398" t="s">
        <v>4443</v>
      </c>
      <c r="B12398" t="s">
        <v>10130</v>
      </c>
    </row>
    <row r="12399" spans="1:2" x14ac:dyDescent="0.25">
      <c r="A12399" t="s">
        <v>8359</v>
      </c>
      <c r="B12399" t="s">
        <v>10130</v>
      </c>
    </row>
    <row r="12400" spans="1:2" x14ac:dyDescent="0.25">
      <c r="A12400" t="s">
        <v>3938</v>
      </c>
      <c r="B12400" t="s">
        <v>10130</v>
      </c>
    </row>
    <row r="12401" spans="1:2" x14ac:dyDescent="0.25">
      <c r="A12401" t="s">
        <v>4444</v>
      </c>
      <c r="B12401" t="s">
        <v>10130</v>
      </c>
    </row>
    <row r="12402" spans="1:2" x14ac:dyDescent="0.25">
      <c r="A12402" t="s">
        <v>8360</v>
      </c>
      <c r="B12402" t="s">
        <v>10130</v>
      </c>
    </row>
    <row r="12403" spans="1:2" x14ac:dyDescent="0.25">
      <c r="A12403" t="s">
        <v>3939</v>
      </c>
      <c r="B12403" t="s">
        <v>10130</v>
      </c>
    </row>
    <row r="12404" spans="1:2" x14ac:dyDescent="0.25">
      <c r="A12404" t="s">
        <v>4445</v>
      </c>
      <c r="B12404" t="s">
        <v>10130</v>
      </c>
    </row>
    <row r="12405" spans="1:2" x14ac:dyDescent="0.25">
      <c r="A12405" t="s">
        <v>8361</v>
      </c>
      <c r="B12405" t="s">
        <v>10130</v>
      </c>
    </row>
    <row r="12406" spans="1:2" x14ac:dyDescent="0.25">
      <c r="A12406" t="s">
        <v>3940</v>
      </c>
      <c r="B12406" t="s">
        <v>10130</v>
      </c>
    </row>
    <row r="12407" spans="1:2" x14ac:dyDescent="0.25">
      <c r="A12407" t="s">
        <v>4446</v>
      </c>
      <c r="B12407" t="s">
        <v>10130</v>
      </c>
    </row>
    <row r="12408" spans="1:2" x14ac:dyDescent="0.25">
      <c r="A12408" t="s">
        <v>8362</v>
      </c>
      <c r="B12408" t="s">
        <v>10130</v>
      </c>
    </row>
    <row r="12409" spans="1:2" x14ac:dyDescent="0.25">
      <c r="A12409" t="s">
        <v>8363</v>
      </c>
      <c r="B12409" t="s">
        <v>10130</v>
      </c>
    </row>
    <row r="12410" spans="1:2" x14ac:dyDescent="0.25">
      <c r="A12410" t="s">
        <v>3941</v>
      </c>
      <c r="B12410" t="s">
        <v>10130</v>
      </c>
    </row>
    <row r="12411" spans="1:2" x14ac:dyDescent="0.25">
      <c r="A12411" t="s">
        <v>4447</v>
      </c>
      <c r="B12411" t="s">
        <v>10130</v>
      </c>
    </row>
    <row r="12412" spans="1:2" x14ac:dyDescent="0.25">
      <c r="A12412" t="s">
        <v>8364</v>
      </c>
      <c r="B12412" t="s">
        <v>10130</v>
      </c>
    </row>
    <row r="12413" spans="1:2" x14ac:dyDescent="0.25">
      <c r="A12413" t="s">
        <v>8365</v>
      </c>
      <c r="B12413" t="s">
        <v>10130</v>
      </c>
    </row>
    <row r="12414" spans="1:2" x14ac:dyDescent="0.25">
      <c r="A12414" t="s">
        <v>8366</v>
      </c>
      <c r="B12414" t="s">
        <v>10130</v>
      </c>
    </row>
    <row r="12415" spans="1:2" x14ac:dyDescent="0.25">
      <c r="A12415" t="s">
        <v>8367</v>
      </c>
      <c r="B12415" t="s">
        <v>10130</v>
      </c>
    </row>
    <row r="12416" spans="1:2" x14ac:dyDescent="0.25">
      <c r="A12416" t="s">
        <v>11563</v>
      </c>
      <c r="B12416" t="s">
        <v>10130</v>
      </c>
    </row>
    <row r="12417" spans="1:2" x14ac:dyDescent="0.25">
      <c r="A12417" t="s">
        <v>8408</v>
      </c>
      <c r="B12417" t="s">
        <v>10130</v>
      </c>
    </row>
    <row r="12418" spans="1:2" x14ac:dyDescent="0.25">
      <c r="A12418" t="s">
        <v>10601</v>
      </c>
      <c r="B12418" t="s">
        <v>11296</v>
      </c>
    </row>
    <row r="12419" spans="1:2" x14ac:dyDescent="0.25">
      <c r="A12419" t="s">
        <v>1908</v>
      </c>
      <c r="B12419" t="s">
        <v>10601</v>
      </c>
    </row>
    <row r="12420" spans="1:2" x14ac:dyDescent="0.25">
      <c r="A12420" t="s">
        <v>4448</v>
      </c>
      <c r="B12420" t="s">
        <v>10601</v>
      </c>
    </row>
    <row r="12421" spans="1:2" x14ac:dyDescent="0.25">
      <c r="A12421" t="s">
        <v>5312</v>
      </c>
      <c r="B12421" t="s">
        <v>10601</v>
      </c>
    </row>
    <row r="12422" spans="1:2" x14ac:dyDescent="0.25">
      <c r="A12422" t="s">
        <v>4449</v>
      </c>
      <c r="B12422" t="s">
        <v>10601</v>
      </c>
    </row>
    <row r="12423" spans="1:2" x14ac:dyDescent="0.25">
      <c r="A12423" t="s">
        <v>5313</v>
      </c>
      <c r="B12423" t="s">
        <v>10601</v>
      </c>
    </row>
    <row r="12424" spans="1:2" x14ac:dyDescent="0.25">
      <c r="A12424" t="s">
        <v>4873</v>
      </c>
      <c r="B12424" t="s">
        <v>10601</v>
      </c>
    </row>
    <row r="12425" spans="1:2" x14ac:dyDescent="0.25">
      <c r="A12425" t="s">
        <v>5713</v>
      </c>
      <c r="B12425" t="s">
        <v>10601</v>
      </c>
    </row>
    <row r="12426" spans="1:2" x14ac:dyDescent="0.25">
      <c r="A12426" t="s">
        <v>5714</v>
      </c>
      <c r="B12426" t="s">
        <v>10601</v>
      </c>
    </row>
    <row r="12427" spans="1:2" x14ac:dyDescent="0.25">
      <c r="A12427" t="s">
        <v>3445</v>
      </c>
      <c r="B12427" t="s">
        <v>10601</v>
      </c>
    </row>
    <row r="12428" spans="1:2" x14ac:dyDescent="0.25">
      <c r="A12428" t="s">
        <v>6120</v>
      </c>
      <c r="B12428" t="s">
        <v>10601</v>
      </c>
    </row>
    <row r="12429" spans="1:2" x14ac:dyDescent="0.25">
      <c r="A12429" t="s">
        <v>6121</v>
      </c>
      <c r="B12429" t="s">
        <v>10601</v>
      </c>
    </row>
    <row r="12430" spans="1:2" x14ac:dyDescent="0.25">
      <c r="A12430" t="s">
        <v>4874</v>
      </c>
      <c r="B12430" t="s">
        <v>10601</v>
      </c>
    </row>
    <row r="12431" spans="1:2" x14ac:dyDescent="0.25">
      <c r="A12431" t="s">
        <v>2114</v>
      </c>
      <c r="B12431" t="s">
        <v>10601</v>
      </c>
    </row>
    <row r="12432" spans="1:2" x14ac:dyDescent="0.25">
      <c r="A12432" t="s">
        <v>5314</v>
      </c>
      <c r="B12432" t="s">
        <v>10601</v>
      </c>
    </row>
    <row r="12433" spans="1:2" x14ac:dyDescent="0.25">
      <c r="A12433" t="s">
        <v>2115</v>
      </c>
      <c r="B12433" t="s">
        <v>10601</v>
      </c>
    </row>
    <row r="12434" spans="1:2" x14ac:dyDescent="0.25">
      <c r="A12434" t="s">
        <v>5315</v>
      </c>
      <c r="B12434" t="s">
        <v>10601</v>
      </c>
    </row>
    <row r="12435" spans="1:2" x14ac:dyDescent="0.25">
      <c r="A12435" t="s">
        <v>6122</v>
      </c>
      <c r="B12435" t="s">
        <v>10601</v>
      </c>
    </row>
    <row r="12436" spans="1:2" x14ac:dyDescent="0.25">
      <c r="A12436" t="s">
        <v>5715</v>
      </c>
      <c r="B12436" t="s">
        <v>10601</v>
      </c>
    </row>
    <row r="12437" spans="1:2" x14ac:dyDescent="0.25">
      <c r="A12437" t="s">
        <v>5716</v>
      </c>
      <c r="B12437" t="s">
        <v>10601</v>
      </c>
    </row>
    <row r="12438" spans="1:2" x14ac:dyDescent="0.25">
      <c r="A12438" t="s">
        <v>4450</v>
      </c>
      <c r="B12438" t="s">
        <v>10601</v>
      </c>
    </row>
    <row r="12439" spans="1:2" x14ac:dyDescent="0.25">
      <c r="A12439" t="s">
        <v>4451</v>
      </c>
      <c r="B12439" t="s">
        <v>10601</v>
      </c>
    </row>
    <row r="12440" spans="1:2" x14ac:dyDescent="0.25">
      <c r="A12440" t="s">
        <v>5316</v>
      </c>
      <c r="B12440" t="s">
        <v>10601</v>
      </c>
    </row>
    <row r="12441" spans="1:2" x14ac:dyDescent="0.25">
      <c r="A12441" t="s">
        <v>4452</v>
      </c>
      <c r="B12441" t="s">
        <v>10601</v>
      </c>
    </row>
    <row r="12442" spans="1:2" x14ac:dyDescent="0.25">
      <c r="A12442" t="s">
        <v>5317</v>
      </c>
      <c r="B12442" t="s">
        <v>10601</v>
      </c>
    </row>
    <row r="12443" spans="1:2" x14ac:dyDescent="0.25">
      <c r="A12443" t="s">
        <v>6123</v>
      </c>
      <c r="B12443" t="s">
        <v>10601</v>
      </c>
    </row>
    <row r="12444" spans="1:2" x14ac:dyDescent="0.25">
      <c r="A12444" t="s">
        <v>6124</v>
      </c>
      <c r="B12444" t="s">
        <v>10601</v>
      </c>
    </row>
    <row r="12445" spans="1:2" x14ac:dyDescent="0.25">
      <c r="A12445" t="s">
        <v>6125</v>
      </c>
      <c r="B12445" t="s">
        <v>10601</v>
      </c>
    </row>
    <row r="12446" spans="1:2" x14ac:dyDescent="0.25">
      <c r="A12446" t="s">
        <v>3446</v>
      </c>
      <c r="B12446" t="s">
        <v>10601</v>
      </c>
    </row>
    <row r="12447" spans="1:2" x14ac:dyDescent="0.25">
      <c r="A12447" t="s">
        <v>3942</v>
      </c>
      <c r="B12447" t="s">
        <v>10601</v>
      </c>
    </row>
    <row r="12448" spans="1:2" x14ac:dyDescent="0.25">
      <c r="A12448" t="s">
        <v>5717</v>
      </c>
      <c r="B12448" t="s">
        <v>10601</v>
      </c>
    </row>
    <row r="12449" spans="1:2" x14ac:dyDescent="0.25">
      <c r="A12449" t="s">
        <v>4875</v>
      </c>
      <c r="B12449" t="s">
        <v>10601</v>
      </c>
    </row>
    <row r="12450" spans="1:2" x14ac:dyDescent="0.25">
      <c r="A12450" t="s">
        <v>4453</v>
      </c>
      <c r="B12450" t="s">
        <v>10601</v>
      </c>
    </row>
    <row r="12451" spans="1:2" x14ac:dyDescent="0.25">
      <c r="A12451" t="s">
        <v>3447</v>
      </c>
      <c r="B12451" t="s">
        <v>10601</v>
      </c>
    </row>
    <row r="12452" spans="1:2" x14ac:dyDescent="0.25">
      <c r="A12452" t="s">
        <v>5718</v>
      </c>
      <c r="B12452" t="s">
        <v>10601</v>
      </c>
    </row>
    <row r="12453" spans="1:2" x14ac:dyDescent="0.25">
      <c r="A12453" t="s">
        <v>3448</v>
      </c>
      <c r="B12453" t="s">
        <v>10601</v>
      </c>
    </row>
    <row r="12454" spans="1:2" x14ac:dyDescent="0.25">
      <c r="A12454" t="s">
        <v>6615</v>
      </c>
      <c r="B12454" t="s">
        <v>10601</v>
      </c>
    </row>
    <row r="12455" spans="1:2" x14ac:dyDescent="0.25">
      <c r="A12455" t="s">
        <v>3449</v>
      </c>
      <c r="B12455" t="s">
        <v>10601</v>
      </c>
    </row>
    <row r="12456" spans="1:2" x14ac:dyDescent="0.25">
      <c r="A12456" t="s">
        <v>5719</v>
      </c>
      <c r="B12456" t="s">
        <v>10601</v>
      </c>
    </row>
    <row r="12457" spans="1:2" x14ac:dyDescent="0.25">
      <c r="A12457" t="s">
        <v>4876</v>
      </c>
      <c r="B12457" t="s">
        <v>10601</v>
      </c>
    </row>
    <row r="12458" spans="1:2" x14ac:dyDescent="0.25">
      <c r="A12458" t="s">
        <v>5318</v>
      </c>
      <c r="B12458" t="s">
        <v>10601</v>
      </c>
    </row>
    <row r="12459" spans="1:2" x14ac:dyDescent="0.25">
      <c r="A12459" t="s">
        <v>2993</v>
      </c>
      <c r="B12459" t="s">
        <v>10601</v>
      </c>
    </row>
    <row r="12460" spans="1:2" x14ac:dyDescent="0.25">
      <c r="A12460" t="s">
        <v>5720</v>
      </c>
      <c r="B12460" t="s">
        <v>10601</v>
      </c>
    </row>
    <row r="12461" spans="1:2" x14ac:dyDescent="0.25">
      <c r="A12461" t="s">
        <v>4454</v>
      </c>
      <c r="B12461" t="s">
        <v>10601</v>
      </c>
    </row>
    <row r="12462" spans="1:2" x14ac:dyDescent="0.25">
      <c r="A12462" t="s">
        <v>4877</v>
      </c>
      <c r="B12462" t="s">
        <v>10601</v>
      </c>
    </row>
    <row r="12463" spans="1:2" x14ac:dyDescent="0.25">
      <c r="A12463" t="s">
        <v>5721</v>
      </c>
      <c r="B12463" t="s">
        <v>10601</v>
      </c>
    </row>
    <row r="12464" spans="1:2" x14ac:dyDescent="0.25">
      <c r="A12464" t="s">
        <v>7215</v>
      </c>
      <c r="B12464" t="s">
        <v>10601</v>
      </c>
    </row>
    <row r="12465" spans="1:2" x14ac:dyDescent="0.25">
      <c r="A12465" t="s">
        <v>5319</v>
      </c>
      <c r="B12465" t="s">
        <v>10601</v>
      </c>
    </row>
    <row r="12466" spans="1:2" x14ac:dyDescent="0.25">
      <c r="A12466" t="s">
        <v>11562</v>
      </c>
      <c r="B12466" t="s">
        <v>10601</v>
      </c>
    </row>
    <row r="12467" spans="1:2" x14ac:dyDescent="0.25">
      <c r="A12467" t="s">
        <v>9625</v>
      </c>
      <c r="B12467" t="s">
        <v>10601</v>
      </c>
    </row>
    <row r="12468" spans="1:2" x14ac:dyDescent="0.25">
      <c r="A12468" t="s">
        <v>10973</v>
      </c>
      <c r="B12468" t="s">
        <v>11296</v>
      </c>
    </row>
    <row r="12469" spans="1:2" x14ac:dyDescent="0.25">
      <c r="A12469" t="s">
        <v>2994</v>
      </c>
      <c r="B12469" t="s">
        <v>10973</v>
      </c>
    </row>
    <row r="12470" spans="1:2" x14ac:dyDescent="0.25">
      <c r="A12470" t="s">
        <v>2116</v>
      </c>
      <c r="B12470" t="s">
        <v>10973</v>
      </c>
    </row>
    <row r="12471" spans="1:2" x14ac:dyDescent="0.25">
      <c r="A12471" t="s">
        <v>5746</v>
      </c>
      <c r="B12471" t="s">
        <v>10973</v>
      </c>
    </row>
    <row r="12472" spans="1:2" x14ac:dyDescent="0.25">
      <c r="A12472" t="s">
        <v>6637</v>
      </c>
      <c r="B12472" t="s">
        <v>10973</v>
      </c>
    </row>
    <row r="12473" spans="1:2" x14ac:dyDescent="0.25">
      <c r="A12473" t="s">
        <v>2591</v>
      </c>
      <c r="B12473" t="s">
        <v>10973</v>
      </c>
    </row>
    <row r="12474" spans="1:2" x14ac:dyDescent="0.25">
      <c r="A12474" t="s">
        <v>6167</v>
      </c>
      <c r="B12474" t="s">
        <v>10973</v>
      </c>
    </row>
    <row r="12475" spans="1:2" x14ac:dyDescent="0.25">
      <c r="A12475" t="s">
        <v>12828</v>
      </c>
      <c r="B12475" t="s">
        <v>11296</v>
      </c>
    </row>
    <row r="12476" spans="1:2" x14ac:dyDescent="0.25">
      <c r="A12476" t="s">
        <v>2117</v>
      </c>
      <c r="B12476" t="s">
        <v>12828</v>
      </c>
    </row>
    <row r="12477" spans="1:2" x14ac:dyDescent="0.25">
      <c r="A12477" t="s">
        <v>7216</v>
      </c>
      <c r="B12477" t="s">
        <v>12828</v>
      </c>
    </row>
    <row r="12478" spans="1:2" x14ac:dyDescent="0.25">
      <c r="A12478" t="s">
        <v>2118</v>
      </c>
      <c r="B12478" t="s">
        <v>12828</v>
      </c>
    </row>
    <row r="12479" spans="1:2" x14ac:dyDescent="0.25">
      <c r="A12479" t="s">
        <v>2119</v>
      </c>
      <c r="B12479" t="s">
        <v>12828</v>
      </c>
    </row>
    <row r="12480" spans="1:2" x14ac:dyDescent="0.25">
      <c r="A12480" t="s">
        <v>1374</v>
      </c>
      <c r="B12480" t="s">
        <v>12828</v>
      </c>
    </row>
    <row r="12481" spans="1:2" x14ac:dyDescent="0.25">
      <c r="A12481" t="s">
        <v>1375</v>
      </c>
      <c r="B12481" t="s">
        <v>12828</v>
      </c>
    </row>
    <row r="12482" spans="1:2" x14ac:dyDescent="0.25">
      <c r="A12482" t="s">
        <v>1376</v>
      </c>
      <c r="B12482" t="s">
        <v>12828</v>
      </c>
    </row>
    <row r="12483" spans="1:2" x14ac:dyDescent="0.25">
      <c r="A12483" t="s">
        <v>2995</v>
      </c>
      <c r="B12483" t="s">
        <v>12828</v>
      </c>
    </row>
    <row r="12484" spans="1:2" x14ac:dyDescent="0.25">
      <c r="A12484" t="s">
        <v>1377</v>
      </c>
      <c r="B12484" t="s">
        <v>12828</v>
      </c>
    </row>
    <row r="12485" spans="1:2" x14ac:dyDescent="0.25">
      <c r="A12485" t="s">
        <v>2566</v>
      </c>
      <c r="B12485" t="s">
        <v>12828</v>
      </c>
    </row>
    <row r="12486" spans="1:2" x14ac:dyDescent="0.25">
      <c r="A12486" t="s">
        <v>1378</v>
      </c>
      <c r="B12486" t="s">
        <v>12828</v>
      </c>
    </row>
    <row r="12487" spans="1:2" x14ac:dyDescent="0.25">
      <c r="A12487" t="s">
        <v>1379</v>
      </c>
      <c r="B12487" t="s">
        <v>12828</v>
      </c>
    </row>
    <row r="12488" spans="1:2" x14ac:dyDescent="0.25">
      <c r="A12488" t="s">
        <v>3450</v>
      </c>
      <c r="B12488" t="s">
        <v>12828</v>
      </c>
    </row>
    <row r="12489" spans="1:2" x14ac:dyDescent="0.25">
      <c r="A12489" t="s">
        <v>2120</v>
      </c>
      <c r="B12489" t="s">
        <v>12828</v>
      </c>
    </row>
    <row r="12490" spans="1:2" x14ac:dyDescent="0.25">
      <c r="A12490" t="s">
        <v>2567</v>
      </c>
      <c r="B12490" t="s">
        <v>12828</v>
      </c>
    </row>
    <row r="12491" spans="1:2" x14ac:dyDescent="0.25">
      <c r="A12491" t="s">
        <v>2568</v>
      </c>
      <c r="B12491" t="s">
        <v>12828</v>
      </c>
    </row>
    <row r="12492" spans="1:2" x14ac:dyDescent="0.25">
      <c r="A12492" t="s">
        <v>1380</v>
      </c>
      <c r="B12492" t="s">
        <v>12828</v>
      </c>
    </row>
    <row r="12493" spans="1:2" x14ac:dyDescent="0.25">
      <c r="A12493" t="s">
        <v>6616</v>
      </c>
      <c r="B12493" t="s">
        <v>12828</v>
      </c>
    </row>
    <row r="12494" spans="1:2" x14ac:dyDescent="0.25">
      <c r="A12494" t="s">
        <v>5320</v>
      </c>
      <c r="B12494" t="s">
        <v>12828</v>
      </c>
    </row>
    <row r="12495" spans="1:2" x14ac:dyDescent="0.25">
      <c r="A12495" t="s">
        <v>8368</v>
      </c>
      <c r="B12495" t="s">
        <v>12828</v>
      </c>
    </row>
    <row r="12496" spans="1:2" x14ac:dyDescent="0.25">
      <c r="A12496" t="s">
        <v>8369</v>
      </c>
      <c r="B12496" t="s">
        <v>12828</v>
      </c>
    </row>
    <row r="12497" spans="1:2" x14ac:dyDescent="0.25">
      <c r="A12497" t="s">
        <v>4455</v>
      </c>
      <c r="B12497" t="s">
        <v>12828</v>
      </c>
    </row>
    <row r="12498" spans="1:2" x14ac:dyDescent="0.25">
      <c r="A12498" t="s">
        <v>9610</v>
      </c>
      <c r="B12498" t="s">
        <v>12828</v>
      </c>
    </row>
    <row r="12499" spans="1:2" x14ac:dyDescent="0.25">
      <c r="A12499" t="s">
        <v>4456</v>
      </c>
      <c r="B12499" t="s">
        <v>12828</v>
      </c>
    </row>
    <row r="12500" spans="1:2" x14ac:dyDescent="0.25">
      <c r="A12500" t="s">
        <v>1381</v>
      </c>
      <c r="B12500" t="s">
        <v>12828</v>
      </c>
    </row>
    <row r="12501" spans="1:2" x14ac:dyDescent="0.25">
      <c r="A12501" t="s">
        <v>7217</v>
      </c>
      <c r="B12501" t="s">
        <v>12828</v>
      </c>
    </row>
    <row r="12502" spans="1:2" x14ac:dyDescent="0.25">
      <c r="A12502" t="s">
        <v>2121</v>
      </c>
      <c r="B12502" t="s">
        <v>12828</v>
      </c>
    </row>
    <row r="12503" spans="1:2" x14ac:dyDescent="0.25">
      <c r="A12503" t="s">
        <v>1382</v>
      </c>
      <c r="B12503" t="s">
        <v>12828</v>
      </c>
    </row>
    <row r="12504" spans="1:2" x14ac:dyDescent="0.25">
      <c r="A12504" t="s">
        <v>6617</v>
      </c>
      <c r="B12504" t="s">
        <v>12828</v>
      </c>
    </row>
    <row r="12505" spans="1:2" x14ac:dyDescent="0.25">
      <c r="A12505" t="s">
        <v>1383</v>
      </c>
      <c r="B12505" t="s">
        <v>12828</v>
      </c>
    </row>
    <row r="12506" spans="1:2" x14ac:dyDescent="0.25">
      <c r="A12506" t="s">
        <v>9201</v>
      </c>
      <c r="B12506" t="s">
        <v>12828</v>
      </c>
    </row>
    <row r="12507" spans="1:2" x14ac:dyDescent="0.25">
      <c r="A12507" t="s">
        <v>5321</v>
      </c>
      <c r="B12507" t="s">
        <v>12828</v>
      </c>
    </row>
    <row r="12508" spans="1:2" x14ac:dyDescent="0.25">
      <c r="A12508" t="s">
        <v>5322</v>
      </c>
      <c r="B12508" t="s">
        <v>12828</v>
      </c>
    </row>
    <row r="12509" spans="1:2" x14ac:dyDescent="0.25">
      <c r="A12509" t="s">
        <v>2122</v>
      </c>
      <c r="B12509" t="s">
        <v>12828</v>
      </c>
    </row>
    <row r="12510" spans="1:2" x14ac:dyDescent="0.25">
      <c r="A12510" t="s">
        <v>7846</v>
      </c>
      <c r="B12510" t="s">
        <v>12828</v>
      </c>
    </row>
    <row r="12511" spans="1:2" x14ac:dyDescent="0.25">
      <c r="A12511" t="s">
        <v>3943</v>
      </c>
      <c r="B12511" t="s">
        <v>12828</v>
      </c>
    </row>
    <row r="12512" spans="1:2" x14ac:dyDescent="0.25">
      <c r="A12512" t="s">
        <v>4457</v>
      </c>
      <c r="B12512" t="s">
        <v>12828</v>
      </c>
    </row>
    <row r="12513" spans="1:2" x14ac:dyDescent="0.25">
      <c r="A12513" t="s">
        <v>6126</v>
      </c>
      <c r="B12513" t="s">
        <v>12828</v>
      </c>
    </row>
    <row r="12514" spans="1:2" x14ac:dyDescent="0.25">
      <c r="A12514" t="s">
        <v>1384</v>
      </c>
      <c r="B12514" t="s">
        <v>12828</v>
      </c>
    </row>
    <row r="12515" spans="1:2" x14ac:dyDescent="0.25">
      <c r="A12515" t="s">
        <v>2123</v>
      </c>
      <c r="B12515" t="s">
        <v>12828</v>
      </c>
    </row>
    <row r="12516" spans="1:2" x14ac:dyDescent="0.25">
      <c r="A12516" t="s">
        <v>4458</v>
      </c>
      <c r="B12516" t="s">
        <v>12828</v>
      </c>
    </row>
    <row r="12517" spans="1:2" x14ac:dyDescent="0.25">
      <c r="A12517" t="s">
        <v>2124</v>
      </c>
      <c r="B12517" t="s">
        <v>12828</v>
      </c>
    </row>
    <row r="12518" spans="1:2" x14ac:dyDescent="0.25">
      <c r="A12518" t="s">
        <v>6127</v>
      </c>
      <c r="B12518" t="s">
        <v>12828</v>
      </c>
    </row>
    <row r="12519" spans="1:2" x14ac:dyDescent="0.25">
      <c r="A12519" t="s">
        <v>8370</v>
      </c>
      <c r="B12519" t="s">
        <v>12828</v>
      </c>
    </row>
    <row r="12520" spans="1:2" x14ac:dyDescent="0.25">
      <c r="A12520" t="s">
        <v>6128</v>
      </c>
      <c r="B12520" t="s">
        <v>12828</v>
      </c>
    </row>
    <row r="12521" spans="1:2" x14ac:dyDescent="0.25">
      <c r="A12521" t="s">
        <v>1385</v>
      </c>
      <c r="B12521" t="s">
        <v>12828</v>
      </c>
    </row>
    <row r="12522" spans="1:2" x14ac:dyDescent="0.25">
      <c r="A12522" t="s">
        <v>1386</v>
      </c>
      <c r="B12522" t="s">
        <v>12828</v>
      </c>
    </row>
    <row r="12523" spans="1:2" x14ac:dyDescent="0.25">
      <c r="A12523" t="s">
        <v>1387</v>
      </c>
      <c r="B12523" t="s">
        <v>12828</v>
      </c>
    </row>
    <row r="12524" spans="1:2" x14ac:dyDescent="0.25">
      <c r="A12524" t="s">
        <v>1388</v>
      </c>
      <c r="B12524" t="s">
        <v>12828</v>
      </c>
    </row>
    <row r="12525" spans="1:2" x14ac:dyDescent="0.25">
      <c r="A12525" t="s">
        <v>3944</v>
      </c>
      <c r="B12525" t="s">
        <v>12828</v>
      </c>
    </row>
    <row r="12526" spans="1:2" x14ac:dyDescent="0.25">
      <c r="A12526" t="s">
        <v>12727</v>
      </c>
      <c r="B12526" t="s">
        <v>12828</v>
      </c>
    </row>
    <row r="12527" spans="1:2" x14ac:dyDescent="0.25">
      <c r="A12527" t="s">
        <v>12294</v>
      </c>
      <c r="B12527" t="s">
        <v>12828</v>
      </c>
    </row>
    <row r="12528" spans="1:2" x14ac:dyDescent="0.25">
      <c r="A12528" t="s">
        <v>10602</v>
      </c>
      <c r="B12528" t="s">
        <v>12828</v>
      </c>
    </row>
    <row r="12529" spans="1:2" x14ac:dyDescent="0.25">
      <c r="A12529" t="s">
        <v>8797</v>
      </c>
      <c r="B12529" t="s">
        <v>12828</v>
      </c>
    </row>
    <row r="12530" spans="1:2" x14ac:dyDescent="0.25">
      <c r="A12530" t="s">
        <v>8798</v>
      </c>
      <c r="B12530" t="s">
        <v>12828</v>
      </c>
    </row>
    <row r="12531" spans="1:2" x14ac:dyDescent="0.25">
      <c r="A12531" t="s">
        <v>8799</v>
      </c>
      <c r="B12531" t="s">
        <v>12828</v>
      </c>
    </row>
    <row r="12532" spans="1:2" x14ac:dyDescent="0.25">
      <c r="A12532" t="s">
        <v>10131</v>
      </c>
      <c r="B12532" t="s">
        <v>12828</v>
      </c>
    </row>
    <row r="12533" spans="1:2" x14ac:dyDescent="0.25">
      <c r="A12533" t="s">
        <v>9611</v>
      </c>
      <c r="B12533" t="s">
        <v>12828</v>
      </c>
    </row>
    <row r="12534" spans="1:2" x14ac:dyDescent="0.25">
      <c r="A12534" t="s">
        <v>3945</v>
      </c>
      <c r="B12534" t="s">
        <v>12828</v>
      </c>
    </row>
    <row r="12535" spans="1:2" x14ac:dyDescent="0.25">
      <c r="A12535" t="s">
        <v>10974</v>
      </c>
      <c r="B12535" t="s">
        <v>12828</v>
      </c>
    </row>
    <row r="12536" spans="1:2" x14ac:dyDescent="0.25">
      <c r="A12536" t="s">
        <v>10975</v>
      </c>
      <c r="B12536" t="s">
        <v>12828</v>
      </c>
    </row>
    <row r="12537" spans="1:2" x14ac:dyDescent="0.25">
      <c r="A12537" t="s">
        <v>10976</v>
      </c>
      <c r="B12537" t="s">
        <v>12828</v>
      </c>
    </row>
    <row r="12538" spans="1:2" x14ac:dyDescent="0.25">
      <c r="A12538" t="s">
        <v>10977</v>
      </c>
      <c r="B12538" t="s">
        <v>12828</v>
      </c>
    </row>
    <row r="12539" spans="1:2" x14ac:dyDescent="0.25">
      <c r="A12539" t="s">
        <v>10978</v>
      </c>
      <c r="B12539" t="s">
        <v>12828</v>
      </c>
    </row>
    <row r="12540" spans="1:2" x14ac:dyDescent="0.25">
      <c r="A12540" t="s">
        <v>6618</v>
      </c>
      <c r="B12540" t="s">
        <v>12828</v>
      </c>
    </row>
    <row r="12541" spans="1:2" x14ac:dyDescent="0.25">
      <c r="A12541" t="s">
        <v>8371</v>
      </c>
      <c r="B12541" t="s">
        <v>12828</v>
      </c>
    </row>
    <row r="12542" spans="1:2" x14ac:dyDescent="0.25">
      <c r="A12542" t="s">
        <v>6129</v>
      </c>
      <c r="B12542" t="s">
        <v>12828</v>
      </c>
    </row>
    <row r="12543" spans="1:2" x14ac:dyDescent="0.25">
      <c r="A12543" t="s">
        <v>6130</v>
      </c>
      <c r="B12543" t="s">
        <v>12828</v>
      </c>
    </row>
    <row r="12544" spans="1:2" x14ac:dyDescent="0.25">
      <c r="A12544" t="s">
        <v>6131</v>
      </c>
      <c r="B12544" t="s">
        <v>12828</v>
      </c>
    </row>
    <row r="12545" spans="1:2" x14ac:dyDescent="0.25">
      <c r="A12545" t="s">
        <v>9612</v>
      </c>
      <c r="B12545" t="s">
        <v>12828</v>
      </c>
    </row>
    <row r="12546" spans="1:2" x14ac:dyDescent="0.25">
      <c r="A12546" t="s">
        <v>10603</v>
      </c>
      <c r="B12546" t="s">
        <v>12828</v>
      </c>
    </row>
    <row r="12547" spans="1:2" x14ac:dyDescent="0.25">
      <c r="A12547" t="s">
        <v>10132</v>
      </c>
      <c r="B12547" t="s">
        <v>12828</v>
      </c>
    </row>
    <row r="12548" spans="1:2" x14ac:dyDescent="0.25">
      <c r="A12548" t="s">
        <v>10604</v>
      </c>
      <c r="B12548" t="s">
        <v>12828</v>
      </c>
    </row>
    <row r="12549" spans="1:2" x14ac:dyDescent="0.25">
      <c r="A12549" t="s">
        <v>10133</v>
      </c>
      <c r="B12549" t="s">
        <v>12828</v>
      </c>
    </row>
    <row r="12550" spans="1:2" x14ac:dyDescent="0.25">
      <c r="A12550" t="s">
        <v>2588</v>
      </c>
      <c r="B12550" t="s">
        <v>12828</v>
      </c>
    </row>
    <row r="12551" spans="1:2" x14ac:dyDescent="0.25">
      <c r="A12551" t="s">
        <v>2589</v>
      </c>
      <c r="B12551" t="s">
        <v>12828</v>
      </c>
    </row>
    <row r="12552" spans="1:2" x14ac:dyDescent="0.25">
      <c r="A12552" t="s">
        <v>5744</v>
      </c>
      <c r="B12552" t="s">
        <v>12828</v>
      </c>
    </row>
    <row r="12553" spans="1:2" x14ac:dyDescent="0.25">
      <c r="A12553" t="s">
        <v>5745</v>
      </c>
      <c r="B12553" t="s">
        <v>12828</v>
      </c>
    </row>
    <row r="12554" spans="1:2" x14ac:dyDescent="0.25">
      <c r="A12554" t="s">
        <v>2179</v>
      </c>
      <c r="B12554" t="s">
        <v>12828</v>
      </c>
    </row>
    <row r="12555" spans="1:2" x14ac:dyDescent="0.25">
      <c r="A12555" t="s">
        <v>2590</v>
      </c>
      <c r="B12555" t="s">
        <v>12828</v>
      </c>
    </row>
    <row r="12556" spans="1:2" x14ac:dyDescent="0.25">
      <c r="A12556" t="s">
        <v>11546</v>
      </c>
      <c r="B12556" t="s">
        <v>11296</v>
      </c>
    </row>
    <row r="12557" spans="1:2" x14ac:dyDescent="0.25">
      <c r="A12557" t="s">
        <v>11793</v>
      </c>
      <c r="B12557" t="s">
        <v>11296</v>
      </c>
    </row>
    <row r="12558" spans="1:2" x14ac:dyDescent="0.25">
      <c r="A12558" t="s">
        <v>9222</v>
      </c>
      <c r="B12558" t="s">
        <v>11296</v>
      </c>
    </row>
    <row r="12559" spans="1:2" x14ac:dyDescent="0.25">
      <c r="A12559" t="s">
        <v>2592</v>
      </c>
      <c r="B12559" t="s">
        <v>11296</v>
      </c>
    </row>
    <row r="12560" spans="1:2" x14ac:dyDescent="0.25">
      <c r="A12560" t="s">
        <v>3031</v>
      </c>
      <c r="B12560" t="s">
        <v>2592</v>
      </c>
    </row>
    <row r="12561" spans="1:2" x14ac:dyDescent="0.25">
      <c r="A12561" t="s">
        <v>10147</v>
      </c>
      <c r="B12561" t="s">
        <v>11296</v>
      </c>
    </row>
    <row r="12562" spans="1:2" x14ac:dyDescent="0.25">
      <c r="A12562" t="s">
        <v>7268</v>
      </c>
      <c r="B12562" t="s">
        <v>10147</v>
      </c>
    </row>
    <row r="12563" spans="1:2" x14ac:dyDescent="0.25">
      <c r="A12563" t="s">
        <v>9244</v>
      </c>
      <c r="B12563" t="s">
        <v>11296</v>
      </c>
    </row>
    <row r="12564" spans="1:2" x14ac:dyDescent="0.25">
      <c r="A12564" t="s">
        <v>338</v>
      </c>
      <c r="B12564" t="s">
        <v>11296</v>
      </c>
    </row>
    <row r="12565" spans="1:2" x14ac:dyDescent="0.25">
      <c r="A12565" t="s">
        <v>2595</v>
      </c>
      <c r="B12565" t="s">
        <v>338</v>
      </c>
    </row>
    <row r="12566" spans="1:2" x14ac:dyDescent="0.25">
      <c r="A12566" t="s">
        <v>9662</v>
      </c>
      <c r="B12566" t="s">
        <v>2595</v>
      </c>
    </row>
    <row r="12567" spans="1:2" x14ac:dyDescent="0.25">
      <c r="A12567" t="s">
        <v>7911</v>
      </c>
      <c r="B12567" t="s">
        <v>2595</v>
      </c>
    </row>
    <row r="12568" spans="1:2" x14ac:dyDescent="0.25">
      <c r="A12568" t="s">
        <v>3038</v>
      </c>
      <c r="B12568" t="s">
        <v>338</v>
      </c>
    </row>
    <row r="12569" spans="1:2" x14ac:dyDescent="0.25">
      <c r="A12569" t="s">
        <v>9663</v>
      </c>
      <c r="B12569" t="s">
        <v>3038</v>
      </c>
    </row>
    <row r="12570" spans="1:2" x14ac:dyDescent="0.25">
      <c r="A12570" t="s">
        <v>8410</v>
      </c>
      <c r="B12570" t="s">
        <v>3038</v>
      </c>
    </row>
    <row r="12571" spans="1:2" x14ac:dyDescent="0.25">
      <c r="A12571" t="s">
        <v>4919</v>
      </c>
      <c r="B12571" t="s">
        <v>11296</v>
      </c>
    </row>
    <row r="12572" spans="1:2" x14ac:dyDescent="0.25">
      <c r="A12572" t="s">
        <v>7317</v>
      </c>
      <c r="B12572" t="s">
        <v>11296</v>
      </c>
    </row>
    <row r="12573" spans="1:2" x14ac:dyDescent="0.25">
      <c r="A12573" t="s">
        <v>8852</v>
      </c>
      <c r="B12573" t="s">
        <v>11296</v>
      </c>
    </row>
    <row r="12574" spans="1:2" x14ac:dyDescent="0.25">
      <c r="A12574" t="s">
        <v>14239</v>
      </c>
      <c r="B12574" t="s">
        <v>11296</v>
      </c>
    </row>
    <row r="12575" spans="1:2" x14ac:dyDescent="0.25">
      <c r="A12575" t="s">
        <v>14249</v>
      </c>
      <c r="B12575" t="s">
        <v>11296</v>
      </c>
    </row>
    <row r="12576" spans="1:2" x14ac:dyDescent="0.25">
      <c r="A12576" t="s">
        <v>14250</v>
      </c>
      <c r="B12576" t="s">
        <v>11296</v>
      </c>
    </row>
    <row r="12577" spans="1:2" x14ac:dyDescent="0.25">
      <c r="A12577" t="s">
        <v>14251</v>
      </c>
      <c r="B12577" t="s">
        <v>11296</v>
      </c>
    </row>
    <row r="12578" spans="1:2" x14ac:dyDescent="0.25">
      <c r="A12578" t="s">
        <v>13394</v>
      </c>
      <c r="B12578" t="s">
        <v>11773</v>
      </c>
    </row>
    <row r="12579" spans="1:2" x14ac:dyDescent="0.25">
      <c r="A12579" t="s">
        <v>12724</v>
      </c>
      <c r="B12579" t="s">
        <v>11773</v>
      </c>
    </row>
    <row r="12580" spans="1:2" x14ac:dyDescent="0.25">
      <c r="A12580" t="s">
        <v>6606</v>
      </c>
      <c r="B12580" t="s">
        <v>12724</v>
      </c>
    </row>
    <row r="12581" spans="1:2" x14ac:dyDescent="0.25">
      <c r="A12581" t="s">
        <v>2981</v>
      </c>
      <c r="B12581" t="s">
        <v>6606</v>
      </c>
    </row>
    <row r="12582" spans="1:2" x14ac:dyDescent="0.25">
      <c r="A12582" t="s">
        <v>2562</v>
      </c>
      <c r="B12582" t="s">
        <v>6606</v>
      </c>
    </row>
    <row r="12583" spans="1:2" x14ac:dyDescent="0.25">
      <c r="A12583" t="s">
        <v>7831</v>
      </c>
      <c r="B12583" t="s">
        <v>6606</v>
      </c>
    </row>
    <row r="12584" spans="1:2" x14ac:dyDescent="0.25">
      <c r="A12584" t="s">
        <v>9199</v>
      </c>
      <c r="B12584" t="s">
        <v>6606</v>
      </c>
    </row>
    <row r="12585" spans="1:2" x14ac:dyDescent="0.25">
      <c r="A12585" t="s">
        <v>10570</v>
      </c>
      <c r="B12585" t="s">
        <v>9199</v>
      </c>
    </row>
    <row r="12586" spans="1:2" x14ac:dyDescent="0.25">
      <c r="A12586" t="s">
        <v>10574</v>
      </c>
      <c r="B12586" t="s">
        <v>6606</v>
      </c>
    </row>
    <row r="12587" spans="1:2" x14ac:dyDescent="0.25">
      <c r="A12587" t="s">
        <v>1771</v>
      </c>
      <c r="B12587" t="s">
        <v>10574</v>
      </c>
    </row>
    <row r="12588" spans="1:2" x14ac:dyDescent="0.25">
      <c r="A12588" t="s">
        <v>11534</v>
      </c>
      <c r="B12588" t="s">
        <v>6606</v>
      </c>
    </row>
    <row r="12589" spans="1:2" x14ac:dyDescent="0.25">
      <c r="A12589" t="s">
        <v>12293</v>
      </c>
      <c r="B12589" t="s">
        <v>11534</v>
      </c>
    </row>
    <row r="12590" spans="1:2" x14ac:dyDescent="0.25">
      <c r="A12590" t="s">
        <v>6611</v>
      </c>
      <c r="B12590" t="s">
        <v>6606</v>
      </c>
    </row>
    <row r="12591" spans="1:2" x14ac:dyDescent="0.25">
      <c r="A12591" t="s">
        <v>327</v>
      </c>
      <c r="B12591" t="s">
        <v>6606</v>
      </c>
    </row>
    <row r="12592" spans="1:2" x14ac:dyDescent="0.25">
      <c r="A12592" t="s">
        <v>2111</v>
      </c>
      <c r="B12592" t="s">
        <v>327</v>
      </c>
    </row>
    <row r="12593" spans="1:2" x14ac:dyDescent="0.25">
      <c r="A12593" t="s">
        <v>2564</v>
      </c>
      <c r="B12593" t="s">
        <v>327</v>
      </c>
    </row>
    <row r="12594" spans="1:2" x14ac:dyDescent="0.25">
      <c r="A12594" t="s">
        <v>2112</v>
      </c>
      <c r="B12594" t="s">
        <v>327</v>
      </c>
    </row>
    <row r="12595" spans="1:2" x14ac:dyDescent="0.25">
      <c r="A12595" t="s">
        <v>6613</v>
      </c>
      <c r="B12595" t="s">
        <v>327</v>
      </c>
    </row>
    <row r="12596" spans="1:2" x14ac:dyDescent="0.25">
      <c r="A12596" t="s">
        <v>2113</v>
      </c>
      <c r="B12596" t="s">
        <v>327</v>
      </c>
    </row>
    <row r="12597" spans="1:2" x14ac:dyDescent="0.25">
      <c r="A12597" t="s">
        <v>3934</v>
      </c>
      <c r="B12597" t="s">
        <v>327</v>
      </c>
    </row>
    <row r="12598" spans="1:2" x14ac:dyDescent="0.25">
      <c r="A12598" t="s">
        <v>13393</v>
      </c>
      <c r="B12598" t="s">
        <v>12724</v>
      </c>
    </row>
    <row r="12599" spans="1:2" x14ac:dyDescent="0.25">
      <c r="A12599" t="s">
        <v>7922</v>
      </c>
      <c r="B12599" t="s">
        <v>11746</v>
      </c>
    </row>
    <row r="12600" spans="1:2" x14ac:dyDescent="0.25">
      <c r="A12600" t="s">
        <v>5633</v>
      </c>
      <c r="B12600" t="s">
        <v>7922</v>
      </c>
    </row>
    <row r="12601" spans="1:2" x14ac:dyDescent="0.25">
      <c r="A12601" t="s">
        <v>3786</v>
      </c>
      <c r="B12601" t="s">
        <v>5633</v>
      </c>
    </row>
    <row r="12602" spans="1:2" x14ac:dyDescent="0.25">
      <c r="A12602" t="s">
        <v>3787</v>
      </c>
      <c r="B12602" t="s">
        <v>3786</v>
      </c>
    </row>
    <row r="12603" spans="1:2" x14ac:dyDescent="0.25">
      <c r="A12603" t="s">
        <v>3788</v>
      </c>
      <c r="B12603" t="s">
        <v>3786</v>
      </c>
    </row>
    <row r="12604" spans="1:2" x14ac:dyDescent="0.25">
      <c r="A12604" t="s">
        <v>2842</v>
      </c>
      <c r="B12604" t="s">
        <v>3786</v>
      </c>
    </row>
    <row r="12605" spans="1:2" x14ac:dyDescent="0.25">
      <c r="A12605" t="s">
        <v>4277</v>
      </c>
      <c r="B12605" t="s">
        <v>3786</v>
      </c>
    </row>
    <row r="12606" spans="1:2" x14ac:dyDescent="0.25">
      <c r="A12606" t="s">
        <v>918</v>
      </c>
      <c r="B12606" t="s">
        <v>3786</v>
      </c>
    </row>
    <row r="12607" spans="1:2" x14ac:dyDescent="0.25">
      <c r="A12607" t="s">
        <v>919</v>
      </c>
      <c r="B12607" t="s">
        <v>3786</v>
      </c>
    </row>
    <row r="12608" spans="1:2" x14ac:dyDescent="0.25">
      <c r="A12608" t="s">
        <v>2395</v>
      </c>
      <c r="B12608" t="s">
        <v>3786</v>
      </c>
    </row>
    <row r="12609" spans="1:2" x14ac:dyDescent="0.25">
      <c r="A12609" t="s">
        <v>3789</v>
      </c>
      <c r="B12609" t="s">
        <v>3786</v>
      </c>
    </row>
    <row r="12610" spans="1:2" x14ac:dyDescent="0.25">
      <c r="A12610" t="s">
        <v>920</v>
      </c>
      <c r="B12610" t="s">
        <v>3786</v>
      </c>
    </row>
    <row r="12611" spans="1:2" x14ac:dyDescent="0.25">
      <c r="A12611" t="s">
        <v>2843</v>
      </c>
      <c r="B12611" t="s">
        <v>3786</v>
      </c>
    </row>
    <row r="12612" spans="1:2" x14ac:dyDescent="0.25">
      <c r="A12612" t="s">
        <v>921</v>
      </c>
      <c r="B12612" t="s">
        <v>3786</v>
      </c>
    </row>
    <row r="12613" spans="1:2" x14ac:dyDescent="0.25">
      <c r="A12613" t="s">
        <v>922</v>
      </c>
      <c r="B12613" t="s">
        <v>3786</v>
      </c>
    </row>
    <row r="12614" spans="1:2" x14ac:dyDescent="0.25">
      <c r="A12614" t="s">
        <v>923</v>
      </c>
      <c r="B12614" t="s">
        <v>3786</v>
      </c>
    </row>
    <row r="12615" spans="1:2" x14ac:dyDescent="0.25">
      <c r="A12615" t="s">
        <v>924</v>
      </c>
      <c r="B12615" t="s">
        <v>3786</v>
      </c>
    </row>
    <row r="12616" spans="1:2" x14ac:dyDescent="0.25">
      <c r="A12616" t="s">
        <v>925</v>
      </c>
      <c r="B12616" t="s">
        <v>3786</v>
      </c>
    </row>
    <row r="12617" spans="1:2" x14ac:dyDescent="0.25">
      <c r="A12617" t="s">
        <v>926</v>
      </c>
      <c r="B12617" t="s">
        <v>3786</v>
      </c>
    </row>
    <row r="12618" spans="1:2" x14ac:dyDescent="0.25">
      <c r="A12618" t="s">
        <v>927</v>
      </c>
      <c r="B12618" t="s">
        <v>3786</v>
      </c>
    </row>
    <row r="12619" spans="1:2" x14ac:dyDescent="0.25">
      <c r="A12619" t="s">
        <v>928</v>
      </c>
      <c r="B12619" t="s">
        <v>3786</v>
      </c>
    </row>
    <row r="12620" spans="1:2" x14ac:dyDescent="0.25">
      <c r="A12620" t="s">
        <v>1876</v>
      </c>
      <c r="B12620" t="s">
        <v>3786</v>
      </c>
    </row>
    <row r="12621" spans="1:2" x14ac:dyDescent="0.25">
      <c r="A12621" t="s">
        <v>929</v>
      </c>
      <c r="B12621" t="s">
        <v>3786</v>
      </c>
    </row>
    <row r="12622" spans="1:2" x14ac:dyDescent="0.25">
      <c r="A12622" t="s">
        <v>1877</v>
      </c>
      <c r="B12622" t="s">
        <v>3786</v>
      </c>
    </row>
    <row r="12623" spans="1:2" x14ac:dyDescent="0.25">
      <c r="A12623" t="s">
        <v>930</v>
      </c>
      <c r="B12623" t="s">
        <v>3786</v>
      </c>
    </row>
    <row r="12624" spans="1:2" x14ac:dyDescent="0.25">
      <c r="A12624" t="s">
        <v>931</v>
      </c>
      <c r="B12624" t="s">
        <v>3786</v>
      </c>
    </row>
    <row r="12625" spans="1:2" x14ac:dyDescent="0.25">
      <c r="A12625" t="s">
        <v>932</v>
      </c>
      <c r="B12625" t="s">
        <v>3786</v>
      </c>
    </row>
    <row r="12626" spans="1:2" x14ac:dyDescent="0.25">
      <c r="A12626" t="s">
        <v>933</v>
      </c>
      <c r="B12626" t="s">
        <v>3786</v>
      </c>
    </row>
    <row r="12627" spans="1:2" x14ac:dyDescent="0.25">
      <c r="A12627" t="s">
        <v>934</v>
      </c>
      <c r="B12627" t="s">
        <v>3786</v>
      </c>
    </row>
    <row r="12628" spans="1:2" x14ac:dyDescent="0.25">
      <c r="A12628" t="s">
        <v>935</v>
      </c>
      <c r="B12628" t="s">
        <v>3786</v>
      </c>
    </row>
    <row r="12629" spans="1:2" x14ac:dyDescent="0.25">
      <c r="A12629" t="s">
        <v>936</v>
      </c>
      <c r="B12629" t="s">
        <v>3786</v>
      </c>
    </row>
    <row r="12630" spans="1:2" x14ac:dyDescent="0.25">
      <c r="A12630" t="s">
        <v>937</v>
      </c>
      <c r="B12630" t="s">
        <v>3786</v>
      </c>
    </row>
    <row r="12631" spans="1:2" x14ac:dyDescent="0.25">
      <c r="A12631" t="s">
        <v>1878</v>
      </c>
      <c r="B12631" t="s">
        <v>3786</v>
      </c>
    </row>
    <row r="12632" spans="1:2" x14ac:dyDescent="0.25">
      <c r="A12632" t="s">
        <v>4768</v>
      </c>
      <c r="B12632" t="s">
        <v>3786</v>
      </c>
    </row>
    <row r="12633" spans="1:2" x14ac:dyDescent="0.25">
      <c r="A12633" t="s">
        <v>938</v>
      </c>
      <c r="B12633" t="s">
        <v>3786</v>
      </c>
    </row>
    <row r="12634" spans="1:2" x14ac:dyDescent="0.25">
      <c r="A12634" t="s">
        <v>2844</v>
      </c>
      <c r="B12634" t="s">
        <v>3786</v>
      </c>
    </row>
    <row r="12635" spans="1:2" x14ac:dyDescent="0.25">
      <c r="A12635" t="s">
        <v>5212</v>
      </c>
      <c r="B12635" t="s">
        <v>3786</v>
      </c>
    </row>
    <row r="12636" spans="1:2" x14ac:dyDescent="0.25">
      <c r="A12636" t="s">
        <v>939</v>
      </c>
      <c r="B12636" t="s">
        <v>3786</v>
      </c>
    </row>
    <row r="12637" spans="1:2" x14ac:dyDescent="0.25">
      <c r="A12637" t="s">
        <v>2845</v>
      </c>
      <c r="B12637" t="s">
        <v>3786</v>
      </c>
    </row>
    <row r="12638" spans="1:2" x14ac:dyDescent="0.25">
      <c r="A12638" t="s">
        <v>2396</v>
      </c>
      <c r="B12638" t="s">
        <v>3786</v>
      </c>
    </row>
    <row r="12639" spans="1:2" x14ac:dyDescent="0.25">
      <c r="A12639" t="s">
        <v>940</v>
      </c>
      <c r="B12639" t="s">
        <v>3786</v>
      </c>
    </row>
    <row r="12640" spans="1:2" x14ac:dyDescent="0.25">
      <c r="A12640" t="s">
        <v>3790</v>
      </c>
      <c r="B12640" t="s">
        <v>3786</v>
      </c>
    </row>
    <row r="12641" spans="1:2" x14ac:dyDescent="0.25">
      <c r="A12641" t="s">
        <v>3791</v>
      </c>
      <c r="B12641" t="s">
        <v>3786</v>
      </c>
    </row>
    <row r="12642" spans="1:2" x14ac:dyDescent="0.25">
      <c r="A12642" t="s">
        <v>941</v>
      </c>
      <c r="B12642" t="s">
        <v>3786</v>
      </c>
    </row>
    <row r="12643" spans="1:2" x14ac:dyDescent="0.25">
      <c r="A12643" t="s">
        <v>942</v>
      </c>
      <c r="B12643" t="s">
        <v>3786</v>
      </c>
    </row>
    <row r="12644" spans="1:2" x14ac:dyDescent="0.25">
      <c r="A12644" t="s">
        <v>2397</v>
      </c>
      <c r="B12644" t="s">
        <v>3786</v>
      </c>
    </row>
    <row r="12645" spans="1:2" x14ac:dyDescent="0.25">
      <c r="A12645" t="s">
        <v>943</v>
      </c>
      <c r="B12645" t="s">
        <v>3786</v>
      </c>
    </row>
    <row r="12646" spans="1:2" x14ac:dyDescent="0.25">
      <c r="A12646" t="s">
        <v>944</v>
      </c>
      <c r="B12646" t="s">
        <v>3786</v>
      </c>
    </row>
    <row r="12647" spans="1:2" x14ac:dyDescent="0.25">
      <c r="A12647" t="s">
        <v>945</v>
      </c>
      <c r="B12647" t="s">
        <v>3786</v>
      </c>
    </row>
    <row r="12648" spans="1:2" x14ac:dyDescent="0.25">
      <c r="A12648" t="s">
        <v>946</v>
      </c>
      <c r="B12648" t="s">
        <v>3786</v>
      </c>
    </row>
    <row r="12649" spans="1:2" x14ac:dyDescent="0.25">
      <c r="A12649" t="s">
        <v>947</v>
      </c>
      <c r="B12649" t="s">
        <v>3786</v>
      </c>
    </row>
    <row r="12650" spans="1:2" x14ac:dyDescent="0.25">
      <c r="A12650" t="s">
        <v>948</v>
      </c>
      <c r="B12650" t="s">
        <v>3786</v>
      </c>
    </row>
    <row r="12651" spans="1:2" x14ac:dyDescent="0.25">
      <c r="A12651" t="s">
        <v>949</v>
      </c>
      <c r="B12651" t="s">
        <v>3786</v>
      </c>
    </row>
    <row r="12652" spans="1:2" x14ac:dyDescent="0.25">
      <c r="A12652" t="s">
        <v>950</v>
      </c>
      <c r="B12652" t="s">
        <v>3786</v>
      </c>
    </row>
    <row r="12653" spans="1:2" x14ac:dyDescent="0.25">
      <c r="A12653" t="s">
        <v>951</v>
      </c>
      <c r="B12653" t="s">
        <v>3786</v>
      </c>
    </row>
    <row r="12654" spans="1:2" x14ac:dyDescent="0.25">
      <c r="A12654" t="s">
        <v>952</v>
      </c>
      <c r="B12654" t="s">
        <v>3786</v>
      </c>
    </row>
    <row r="12655" spans="1:2" x14ac:dyDescent="0.25">
      <c r="A12655" t="s">
        <v>953</v>
      </c>
      <c r="B12655" t="s">
        <v>3786</v>
      </c>
    </row>
    <row r="12656" spans="1:2" x14ac:dyDescent="0.25">
      <c r="A12656" t="s">
        <v>954</v>
      </c>
      <c r="B12656" t="s">
        <v>3786</v>
      </c>
    </row>
    <row r="12657" spans="1:2" x14ac:dyDescent="0.25">
      <c r="A12657" t="s">
        <v>955</v>
      </c>
      <c r="B12657" t="s">
        <v>3786</v>
      </c>
    </row>
    <row r="12658" spans="1:2" x14ac:dyDescent="0.25">
      <c r="A12658" t="s">
        <v>956</v>
      </c>
      <c r="B12658" t="s">
        <v>3786</v>
      </c>
    </row>
    <row r="12659" spans="1:2" x14ac:dyDescent="0.25">
      <c r="A12659" t="s">
        <v>3281</v>
      </c>
      <c r="B12659" t="s">
        <v>3786</v>
      </c>
    </row>
    <row r="12660" spans="1:2" x14ac:dyDescent="0.25">
      <c r="A12660" t="s">
        <v>957</v>
      </c>
      <c r="B12660" t="s">
        <v>3786</v>
      </c>
    </row>
    <row r="12661" spans="1:2" x14ac:dyDescent="0.25">
      <c r="A12661" t="s">
        <v>958</v>
      </c>
      <c r="B12661" t="s">
        <v>3786</v>
      </c>
    </row>
    <row r="12662" spans="1:2" x14ac:dyDescent="0.25">
      <c r="A12662" t="s">
        <v>959</v>
      </c>
      <c r="B12662" t="s">
        <v>3786</v>
      </c>
    </row>
    <row r="12663" spans="1:2" x14ac:dyDescent="0.25">
      <c r="A12663" t="s">
        <v>1879</v>
      </c>
      <c r="B12663" t="s">
        <v>3786</v>
      </c>
    </row>
    <row r="12664" spans="1:2" x14ac:dyDescent="0.25">
      <c r="A12664" t="s">
        <v>960</v>
      </c>
      <c r="B12664" t="s">
        <v>3786</v>
      </c>
    </row>
    <row r="12665" spans="1:2" x14ac:dyDescent="0.25">
      <c r="A12665" t="s">
        <v>969</v>
      </c>
      <c r="B12665" t="s">
        <v>3786</v>
      </c>
    </row>
    <row r="12666" spans="1:2" x14ac:dyDescent="0.25">
      <c r="A12666" t="s">
        <v>2399</v>
      </c>
      <c r="B12666" t="s">
        <v>3786</v>
      </c>
    </row>
    <row r="12667" spans="1:2" x14ac:dyDescent="0.25">
      <c r="A12667" t="s">
        <v>2400</v>
      </c>
      <c r="B12667" t="s">
        <v>3786</v>
      </c>
    </row>
    <row r="12668" spans="1:2" x14ac:dyDescent="0.25">
      <c r="A12668" t="s">
        <v>970</v>
      </c>
      <c r="B12668" t="s">
        <v>3786</v>
      </c>
    </row>
    <row r="12669" spans="1:2" x14ac:dyDescent="0.25">
      <c r="A12669" t="s">
        <v>971</v>
      </c>
      <c r="B12669" t="s">
        <v>3786</v>
      </c>
    </row>
    <row r="12670" spans="1:2" x14ac:dyDescent="0.25">
      <c r="A12670" t="s">
        <v>4770</v>
      </c>
      <c r="B12670" t="s">
        <v>3786</v>
      </c>
    </row>
    <row r="12671" spans="1:2" x14ac:dyDescent="0.25">
      <c r="A12671" t="s">
        <v>1882</v>
      </c>
      <c r="B12671" t="s">
        <v>3786</v>
      </c>
    </row>
    <row r="12672" spans="1:2" x14ac:dyDescent="0.25">
      <c r="A12672" t="s">
        <v>972</v>
      </c>
      <c r="B12672" t="s">
        <v>3786</v>
      </c>
    </row>
    <row r="12673" spans="1:2" x14ac:dyDescent="0.25">
      <c r="A12673" t="s">
        <v>1883</v>
      </c>
      <c r="B12673" t="s">
        <v>3786</v>
      </c>
    </row>
    <row r="12674" spans="1:2" x14ac:dyDescent="0.25">
      <c r="A12674" t="s">
        <v>973</v>
      </c>
      <c r="B12674" t="s">
        <v>3786</v>
      </c>
    </row>
    <row r="12675" spans="1:2" x14ac:dyDescent="0.25">
      <c r="A12675" t="s">
        <v>7665</v>
      </c>
      <c r="B12675" t="s">
        <v>3786</v>
      </c>
    </row>
    <row r="12676" spans="1:2" x14ac:dyDescent="0.25">
      <c r="A12676" t="s">
        <v>1426</v>
      </c>
      <c r="B12676" t="s">
        <v>3786</v>
      </c>
    </row>
    <row r="12677" spans="1:2" x14ac:dyDescent="0.25">
      <c r="A12677" t="s">
        <v>1427</v>
      </c>
      <c r="B12677" t="s">
        <v>3786</v>
      </c>
    </row>
    <row r="12678" spans="1:2" x14ac:dyDescent="0.25">
      <c r="A12678" t="s">
        <v>1428</v>
      </c>
      <c r="B12678" t="s">
        <v>3786</v>
      </c>
    </row>
    <row r="12679" spans="1:2" x14ac:dyDescent="0.25">
      <c r="A12679" t="s">
        <v>1429</v>
      </c>
      <c r="B12679" t="s">
        <v>3786</v>
      </c>
    </row>
    <row r="12680" spans="1:2" x14ac:dyDescent="0.25">
      <c r="A12680" t="s">
        <v>1547</v>
      </c>
      <c r="B12680" t="s">
        <v>3786</v>
      </c>
    </row>
    <row r="12681" spans="1:2" x14ac:dyDescent="0.25">
      <c r="A12681" t="s">
        <v>1549</v>
      </c>
      <c r="B12681" t="s">
        <v>3786</v>
      </c>
    </row>
    <row r="12682" spans="1:2" x14ac:dyDescent="0.25">
      <c r="A12682" t="s">
        <v>1550</v>
      </c>
      <c r="B12682" t="s">
        <v>3786</v>
      </c>
    </row>
    <row r="12683" spans="1:2" x14ac:dyDescent="0.25">
      <c r="A12683" t="s">
        <v>1556</v>
      </c>
      <c r="B12683" t="s">
        <v>3786</v>
      </c>
    </row>
    <row r="12684" spans="1:2" x14ac:dyDescent="0.25">
      <c r="A12684" t="s">
        <v>1557</v>
      </c>
      <c r="B12684" t="s">
        <v>3786</v>
      </c>
    </row>
    <row r="12685" spans="1:2" x14ac:dyDescent="0.25">
      <c r="A12685" t="s">
        <v>2617</v>
      </c>
      <c r="B12685" t="s">
        <v>3786</v>
      </c>
    </row>
    <row r="12686" spans="1:2" x14ac:dyDescent="0.25">
      <c r="A12686" t="s">
        <v>12308</v>
      </c>
      <c r="B12686" t="s">
        <v>3786</v>
      </c>
    </row>
    <row r="12687" spans="1:2" x14ac:dyDescent="0.25">
      <c r="A12687" t="s">
        <v>11024</v>
      </c>
      <c r="B12687" t="s">
        <v>3786</v>
      </c>
    </row>
    <row r="12688" spans="1:2" x14ac:dyDescent="0.25">
      <c r="A12688" t="s">
        <v>11582</v>
      </c>
      <c r="B12688" t="s">
        <v>3786</v>
      </c>
    </row>
    <row r="12689" spans="1:2" x14ac:dyDescent="0.25">
      <c r="A12689" t="s">
        <v>7944</v>
      </c>
      <c r="B12689" t="s">
        <v>3786</v>
      </c>
    </row>
    <row r="12690" spans="1:2" x14ac:dyDescent="0.25">
      <c r="A12690" t="s">
        <v>12315</v>
      </c>
      <c r="B12690" t="s">
        <v>3786</v>
      </c>
    </row>
    <row r="12691" spans="1:2" x14ac:dyDescent="0.25">
      <c r="A12691" t="s">
        <v>6673</v>
      </c>
      <c r="B12691" t="s">
        <v>3786</v>
      </c>
    </row>
    <row r="12692" spans="1:2" x14ac:dyDescent="0.25">
      <c r="A12692" t="s">
        <v>9673</v>
      </c>
      <c r="B12692" t="s">
        <v>3786</v>
      </c>
    </row>
    <row r="12693" spans="1:2" x14ac:dyDescent="0.25">
      <c r="A12693" t="s">
        <v>6209</v>
      </c>
      <c r="B12693" t="s">
        <v>3786</v>
      </c>
    </row>
    <row r="12694" spans="1:2" x14ac:dyDescent="0.25">
      <c r="A12694" t="s">
        <v>11583</v>
      </c>
      <c r="B12694" t="s">
        <v>3786</v>
      </c>
    </row>
    <row r="12695" spans="1:2" x14ac:dyDescent="0.25">
      <c r="A12695" t="s">
        <v>11584</v>
      </c>
      <c r="B12695" t="s">
        <v>3786</v>
      </c>
    </row>
    <row r="12696" spans="1:2" x14ac:dyDescent="0.25">
      <c r="A12696" t="s">
        <v>12912</v>
      </c>
      <c r="B12696" t="s">
        <v>3786</v>
      </c>
    </row>
    <row r="12697" spans="1:2" x14ac:dyDescent="0.25">
      <c r="A12697" t="s">
        <v>2398</v>
      </c>
      <c r="B12697" t="s">
        <v>5633</v>
      </c>
    </row>
    <row r="12698" spans="1:2" x14ac:dyDescent="0.25">
      <c r="A12698" t="s">
        <v>962</v>
      </c>
      <c r="B12698" t="s">
        <v>2398</v>
      </c>
    </row>
    <row r="12699" spans="1:2" x14ac:dyDescent="0.25">
      <c r="A12699" t="s">
        <v>963</v>
      </c>
      <c r="B12699" t="s">
        <v>2398</v>
      </c>
    </row>
    <row r="12700" spans="1:2" x14ac:dyDescent="0.25">
      <c r="A12700" t="s">
        <v>965</v>
      </c>
      <c r="B12700" t="s">
        <v>2398</v>
      </c>
    </row>
    <row r="12701" spans="1:2" x14ac:dyDescent="0.25">
      <c r="A12701" t="s">
        <v>1880</v>
      </c>
      <c r="B12701" t="s">
        <v>2398</v>
      </c>
    </row>
    <row r="12702" spans="1:2" x14ac:dyDescent="0.25">
      <c r="A12702" t="s">
        <v>1881</v>
      </c>
      <c r="B12702" t="s">
        <v>2398</v>
      </c>
    </row>
    <row r="12703" spans="1:2" x14ac:dyDescent="0.25">
      <c r="A12703" t="s">
        <v>3282</v>
      </c>
      <c r="B12703" t="s">
        <v>2398</v>
      </c>
    </row>
    <row r="12704" spans="1:2" x14ac:dyDescent="0.25">
      <c r="A12704" t="s">
        <v>2846</v>
      </c>
      <c r="B12704" t="s">
        <v>2398</v>
      </c>
    </row>
    <row r="12705" spans="1:2" x14ac:dyDescent="0.25">
      <c r="A12705" t="s">
        <v>1430</v>
      </c>
      <c r="B12705" t="s">
        <v>2398</v>
      </c>
    </row>
    <row r="12706" spans="1:2" x14ac:dyDescent="0.25">
      <c r="A12706" t="s">
        <v>2612</v>
      </c>
      <c r="B12706" t="s">
        <v>2398</v>
      </c>
    </row>
    <row r="12707" spans="1:2" x14ac:dyDescent="0.25">
      <c r="A12707" t="s">
        <v>9648</v>
      </c>
      <c r="B12707" t="s">
        <v>2398</v>
      </c>
    </row>
    <row r="12708" spans="1:2" x14ac:dyDescent="0.25">
      <c r="A12708" t="s">
        <v>11910</v>
      </c>
      <c r="B12708" t="s">
        <v>5633</v>
      </c>
    </row>
    <row r="12709" spans="1:2" x14ac:dyDescent="0.25">
      <c r="A12709" t="s">
        <v>966</v>
      </c>
      <c r="B12709" t="s">
        <v>11910</v>
      </c>
    </row>
    <row r="12710" spans="1:2" x14ac:dyDescent="0.25">
      <c r="A12710" t="s">
        <v>4769</v>
      </c>
      <c r="B12710" t="s">
        <v>11910</v>
      </c>
    </row>
    <row r="12711" spans="1:2" x14ac:dyDescent="0.25">
      <c r="A12711" t="s">
        <v>9103</v>
      </c>
      <c r="B12711" t="s">
        <v>5633</v>
      </c>
    </row>
    <row r="12712" spans="1:2" x14ac:dyDescent="0.25">
      <c r="A12712" t="s">
        <v>961</v>
      </c>
      <c r="B12712" t="s">
        <v>9103</v>
      </c>
    </row>
    <row r="12713" spans="1:2" x14ac:dyDescent="0.25">
      <c r="A12713" t="s">
        <v>964</v>
      </c>
      <c r="B12713" t="s">
        <v>9103</v>
      </c>
    </row>
    <row r="12714" spans="1:2" x14ac:dyDescent="0.25">
      <c r="A12714" t="s">
        <v>967</v>
      </c>
      <c r="B12714" t="s">
        <v>9103</v>
      </c>
    </row>
    <row r="12715" spans="1:2" x14ac:dyDescent="0.25">
      <c r="A12715" t="s">
        <v>968</v>
      </c>
      <c r="B12715" t="s">
        <v>9103</v>
      </c>
    </row>
    <row r="12716" spans="1:2" x14ac:dyDescent="0.25">
      <c r="A12716" t="s">
        <v>1548</v>
      </c>
      <c r="B12716" t="s">
        <v>9103</v>
      </c>
    </row>
    <row r="12717" spans="1:2" x14ac:dyDescent="0.25">
      <c r="A12717" t="s">
        <v>1555</v>
      </c>
      <c r="B12717" t="s">
        <v>9103</v>
      </c>
    </row>
    <row r="12718" spans="1:2" x14ac:dyDescent="0.25">
      <c r="A12718" t="s">
        <v>1594</v>
      </c>
      <c r="B12718" t="s">
        <v>9103</v>
      </c>
    </row>
    <row r="12719" spans="1:2" x14ac:dyDescent="0.25">
      <c r="A12719" t="s">
        <v>1595</v>
      </c>
      <c r="B12719" t="s">
        <v>9103</v>
      </c>
    </row>
    <row r="12720" spans="1:2" x14ac:dyDescent="0.25">
      <c r="A12720" t="s">
        <v>10937</v>
      </c>
      <c r="B12720" t="s">
        <v>5633</v>
      </c>
    </row>
    <row r="12721" spans="1:2" x14ac:dyDescent="0.25">
      <c r="A12721" t="s">
        <v>1886</v>
      </c>
      <c r="B12721" t="s">
        <v>10937</v>
      </c>
    </row>
    <row r="12722" spans="1:2" x14ac:dyDescent="0.25">
      <c r="A12722" t="s">
        <v>5213</v>
      </c>
      <c r="B12722" t="s">
        <v>10937</v>
      </c>
    </row>
    <row r="12723" spans="1:2" x14ac:dyDescent="0.25">
      <c r="A12723" t="s">
        <v>977</v>
      </c>
      <c r="B12723" t="s">
        <v>10937</v>
      </c>
    </row>
    <row r="12724" spans="1:2" x14ac:dyDescent="0.25">
      <c r="A12724" t="s">
        <v>2618</v>
      </c>
      <c r="B12724" t="s">
        <v>10937</v>
      </c>
    </row>
    <row r="12725" spans="1:2" x14ac:dyDescent="0.25">
      <c r="A12725" t="s">
        <v>2619</v>
      </c>
      <c r="B12725" t="s">
        <v>10937</v>
      </c>
    </row>
    <row r="12726" spans="1:2" x14ac:dyDescent="0.25">
      <c r="A12726" t="s">
        <v>1596</v>
      </c>
      <c r="B12726" t="s">
        <v>10937</v>
      </c>
    </row>
    <row r="12727" spans="1:2" x14ac:dyDescent="0.25">
      <c r="A12727" t="s">
        <v>1597</v>
      </c>
      <c r="B12727" t="s">
        <v>10937</v>
      </c>
    </row>
    <row r="12728" spans="1:2" x14ac:dyDescent="0.25">
      <c r="A12728" t="s">
        <v>10938</v>
      </c>
      <c r="B12728" t="s">
        <v>5633</v>
      </c>
    </row>
    <row r="12729" spans="1:2" x14ac:dyDescent="0.25">
      <c r="A12729" t="s">
        <v>2847</v>
      </c>
      <c r="B12729" t="s">
        <v>10938</v>
      </c>
    </row>
    <row r="12730" spans="1:2" x14ac:dyDescent="0.25">
      <c r="A12730" t="s">
        <v>3283</v>
      </c>
      <c r="B12730" t="s">
        <v>10938</v>
      </c>
    </row>
    <row r="12731" spans="1:2" x14ac:dyDescent="0.25">
      <c r="A12731" t="s">
        <v>4279</v>
      </c>
      <c r="B12731" t="s">
        <v>10938</v>
      </c>
    </row>
    <row r="12732" spans="1:2" x14ac:dyDescent="0.25">
      <c r="A12732" t="s">
        <v>981</v>
      </c>
      <c r="B12732" t="s">
        <v>10938</v>
      </c>
    </row>
    <row r="12733" spans="1:2" x14ac:dyDescent="0.25">
      <c r="A12733" t="s">
        <v>982</v>
      </c>
      <c r="B12733" t="s">
        <v>10938</v>
      </c>
    </row>
    <row r="12734" spans="1:2" x14ac:dyDescent="0.25">
      <c r="A12734" t="s">
        <v>983</v>
      </c>
      <c r="B12734" t="s">
        <v>10938</v>
      </c>
    </row>
    <row r="12735" spans="1:2" x14ac:dyDescent="0.25">
      <c r="A12735" t="s">
        <v>984</v>
      </c>
      <c r="B12735" t="s">
        <v>10938</v>
      </c>
    </row>
    <row r="12736" spans="1:2" x14ac:dyDescent="0.25">
      <c r="A12736" t="s">
        <v>7666</v>
      </c>
      <c r="B12736" t="s">
        <v>10938</v>
      </c>
    </row>
    <row r="12737" spans="1:2" x14ac:dyDescent="0.25">
      <c r="A12737" t="s">
        <v>1887</v>
      </c>
      <c r="B12737" t="s">
        <v>10938</v>
      </c>
    </row>
    <row r="12738" spans="1:2" x14ac:dyDescent="0.25">
      <c r="A12738" t="s">
        <v>1888</v>
      </c>
      <c r="B12738" t="s">
        <v>10938</v>
      </c>
    </row>
    <row r="12739" spans="1:2" x14ac:dyDescent="0.25">
      <c r="A12739" t="s">
        <v>985</v>
      </c>
      <c r="B12739" t="s">
        <v>10938</v>
      </c>
    </row>
    <row r="12740" spans="1:2" x14ac:dyDescent="0.25">
      <c r="A12740" t="s">
        <v>2215</v>
      </c>
      <c r="B12740" t="s">
        <v>10938</v>
      </c>
    </row>
    <row r="12741" spans="1:2" x14ac:dyDescent="0.25">
      <c r="A12741" t="s">
        <v>3498</v>
      </c>
      <c r="B12741" t="s">
        <v>10938</v>
      </c>
    </row>
    <row r="12742" spans="1:2" x14ac:dyDescent="0.25">
      <c r="A12742" t="s">
        <v>11948</v>
      </c>
      <c r="B12742" t="s">
        <v>10938</v>
      </c>
    </row>
    <row r="12743" spans="1:2" x14ac:dyDescent="0.25">
      <c r="A12743" t="s">
        <v>3284</v>
      </c>
      <c r="B12743" t="s">
        <v>5633</v>
      </c>
    </row>
    <row r="12744" spans="1:2" x14ac:dyDescent="0.25">
      <c r="A12744" t="s">
        <v>986</v>
      </c>
      <c r="B12744" t="s">
        <v>3284</v>
      </c>
    </row>
    <row r="12745" spans="1:2" x14ac:dyDescent="0.25">
      <c r="A12745" t="s">
        <v>1889</v>
      </c>
      <c r="B12745" t="s">
        <v>3284</v>
      </c>
    </row>
    <row r="12746" spans="1:2" x14ac:dyDescent="0.25">
      <c r="A12746" t="s">
        <v>987</v>
      </c>
      <c r="B12746" t="s">
        <v>3284</v>
      </c>
    </row>
    <row r="12747" spans="1:2" x14ac:dyDescent="0.25">
      <c r="A12747" t="s">
        <v>2134</v>
      </c>
      <c r="B12747" t="s">
        <v>3284</v>
      </c>
    </row>
    <row r="12748" spans="1:2" x14ac:dyDescent="0.25">
      <c r="A12748" t="s">
        <v>8716</v>
      </c>
      <c r="B12748" t="s">
        <v>5633</v>
      </c>
    </row>
    <row r="12749" spans="1:2" x14ac:dyDescent="0.25">
      <c r="A12749" t="s">
        <v>988</v>
      </c>
      <c r="B12749" t="s">
        <v>8716</v>
      </c>
    </row>
    <row r="12750" spans="1:2" x14ac:dyDescent="0.25">
      <c r="A12750" t="s">
        <v>989</v>
      </c>
      <c r="B12750" t="s">
        <v>8716</v>
      </c>
    </row>
    <row r="12751" spans="1:2" x14ac:dyDescent="0.25">
      <c r="A12751" t="s">
        <v>990</v>
      </c>
      <c r="B12751" t="s">
        <v>8716</v>
      </c>
    </row>
    <row r="12752" spans="1:2" x14ac:dyDescent="0.25">
      <c r="A12752" t="s">
        <v>991</v>
      </c>
      <c r="B12752" t="s">
        <v>8716</v>
      </c>
    </row>
    <row r="12753" spans="1:2" x14ac:dyDescent="0.25">
      <c r="A12753" t="s">
        <v>992</v>
      </c>
      <c r="B12753" t="s">
        <v>8716</v>
      </c>
    </row>
    <row r="12754" spans="1:2" x14ac:dyDescent="0.25">
      <c r="A12754" t="s">
        <v>993</v>
      </c>
      <c r="B12754" t="s">
        <v>8716</v>
      </c>
    </row>
    <row r="12755" spans="1:2" x14ac:dyDescent="0.25">
      <c r="A12755" t="s">
        <v>994</v>
      </c>
      <c r="B12755" t="s">
        <v>8716</v>
      </c>
    </row>
    <row r="12756" spans="1:2" x14ac:dyDescent="0.25">
      <c r="A12756" t="s">
        <v>1890</v>
      </c>
      <c r="B12756" t="s">
        <v>8716</v>
      </c>
    </row>
    <row r="12757" spans="1:2" x14ac:dyDescent="0.25">
      <c r="A12757" t="s">
        <v>5215</v>
      </c>
      <c r="B12757" t="s">
        <v>8716</v>
      </c>
    </row>
    <row r="12758" spans="1:2" x14ac:dyDescent="0.25">
      <c r="A12758" t="s">
        <v>995</v>
      </c>
      <c r="B12758" t="s">
        <v>8716</v>
      </c>
    </row>
    <row r="12759" spans="1:2" x14ac:dyDescent="0.25">
      <c r="A12759" t="s">
        <v>996</v>
      </c>
      <c r="B12759" t="s">
        <v>8716</v>
      </c>
    </row>
    <row r="12760" spans="1:2" x14ac:dyDescent="0.25">
      <c r="A12760" t="s">
        <v>997</v>
      </c>
      <c r="B12760" t="s">
        <v>8716</v>
      </c>
    </row>
    <row r="12761" spans="1:2" x14ac:dyDescent="0.25">
      <c r="A12761" t="s">
        <v>2848</v>
      </c>
      <c r="B12761" t="s">
        <v>8716</v>
      </c>
    </row>
    <row r="12762" spans="1:2" x14ac:dyDescent="0.25">
      <c r="A12762" t="s">
        <v>1891</v>
      </c>
      <c r="B12762" t="s">
        <v>8716</v>
      </c>
    </row>
    <row r="12763" spans="1:2" x14ac:dyDescent="0.25">
      <c r="A12763" t="s">
        <v>2849</v>
      </c>
      <c r="B12763" t="s">
        <v>8716</v>
      </c>
    </row>
    <row r="12764" spans="1:2" x14ac:dyDescent="0.25">
      <c r="A12764" t="s">
        <v>1551</v>
      </c>
      <c r="B12764" t="s">
        <v>8716</v>
      </c>
    </row>
    <row r="12765" spans="1:2" x14ac:dyDescent="0.25">
      <c r="A12765" t="s">
        <v>1552</v>
      </c>
      <c r="B12765" t="s">
        <v>8716</v>
      </c>
    </row>
    <row r="12766" spans="1:2" x14ac:dyDescent="0.25">
      <c r="A12766" t="s">
        <v>1553</v>
      </c>
      <c r="B12766" t="s">
        <v>8716</v>
      </c>
    </row>
    <row r="12767" spans="1:2" x14ac:dyDescent="0.25">
      <c r="A12767" t="s">
        <v>1554</v>
      </c>
      <c r="B12767" t="s">
        <v>8716</v>
      </c>
    </row>
    <row r="12768" spans="1:2" x14ac:dyDescent="0.25">
      <c r="A12768" t="s">
        <v>15023</v>
      </c>
      <c r="B12768" t="s">
        <v>5633</v>
      </c>
    </row>
    <row r="12769" spans="1:2" x14ac:dyDescent="0.25">
      <c r="A12769" t="s">
        <v>315</v>
      </c>
      <c r="B12769" t="s">
        <v>15023</v>
      </c>
    </row>
    <row r="12770" spans="1:2" x14ac:dyDescent="0.25">
      <c r="A12770" t="s">
        <v>978</v>
      </c>
      <c r="B12770" t="s">
        <v>315</v>
      </c>
    </row>
    <row r="12771" spans="1:2" x14ac:dyDescent="0.25">
      <c r="A12771" t="s">
        <v>979</v>
      </c>
      <c r="B12771" t="s">
        <v>315</v>
      </c>
    </row>
    <row r="12772" spans="1:2" x14ac:dyDescent="0.25">
      <c r="A12772" t="s">
        <v>2401</v>
      </c>
      <c r="B12772" t="s">
        <v>315</v>
      </c>
    </row>
    <row r="12773" spans="1:2" x14ac:dyDescent="0.25">
      <c r="A12773" t="s">
        <v>4278</v>
      </c>
      <c r="B12773" t="s">
        <v>315</v>
      </c>
    </row>
    <row r="12774" spans="1:2" x14ac:dyDescent="0.25">
      <c r="A12774" t="s">
        <v>980</v>
      </c>
      <c r="B12774" t="s">
        <v>315</v>
      </c>
    </row>
    <row r="12775" spans="1:2" x14ac:dyDescent="0.25">
      <c r="A12775" t="s">
        <v>1558</v>
      </c>
      <c r="B12775" t="s">
        <v>315</v>
      </c>
    </row>
    <row r="12776" spans="1:2" x14ac:dyDescent="0.25">
      <c r="A12776" t="s">
        <v>12913</v>
      </c>
      <c r="B12776" t="s">
        <v>15023</v>
      </c>
    </row>
    <row r="12777" spans="1:2" x14ac:dyDescent="0.25">
      <c r="A12777" t="s">
        <v>11808</v>
      </c>
      <c r="B12777" t="s">
        <v>5633</v>
      </c>
    </row>
    <row r="12778" spans="1:2" x14ac:dyDescent="0.25">
      <c r="A12778" t="s">
        <v>8824</v>
      </c>
      <c r="B12778" t="s">
        <v>7922</v>
      </c>
    </row>
    <row r="12779" spans="1:2" x14ac:dyDescent="0.25">
      <c r="A12779" t="s">
        <v>3004</v>
      </c>
      <c r="B12779" t="s">
        <v>8824</v>
      </c>
    </row>
    <row r="12780" spans="1:2" x14ac:dyDescent="0.25">
      <c r="A12780" t="s">
        <v>1437</v>
      </c>
      <c r="B12780" t="s">
        <v>8824</v>
      </c>
    </row>
    <row r="12781" spans="1:2" x14ac:dyDescent="0.25">
      <c r="A12781" t="s">
        <v>3455</v>
      </c>
      <c r="B12781" t="s">
        <v>8824</v>
      </c>
    </row>
    <row r="12782" spans="1:2" x14ac:dyDescent="0.25">
      <c r="A12782" t="s">
        <v>5360</v>
      </c>
      <c r="B12782" t="s">
        <v>8824</v>
      </c>
    </row>
    <row r="12783" spans="1:2" x14ac:dyDescent="0.25">
      <c r="A12783" t="s">
        <v>2621</v>
      </c>
      <c r="B12783" t="s">
        <v>8824</v>
      </c>
    </row>
    <row r="12784" spans="1:2" x14ac:dyDescent="0.25">
      <c r="A12784" t="s">
        <v>2236</v>
      </c>
      <c r="B12784" t="s">
        <v>8824</v>
      </c>
    </row>
    <row r="12785" spans="1:2" x14ac:dyDescent="0.25">
      <c r="A12785" t="s">
        <v>4000</v>
      </c>
      <c r="B12785" t="s">
        <v>8824</v>
      </c>
    </row>
    <row r="12786" spans="1:2" x14ac:dyDescent="0.25">
      <c r="A12786" t="s">
        <v>7937</v>
      </c>
      <c r="B12786" t="s">
        <v>8824</v>
      </c>
    </row>
    <row r="12787" spans="1:2" x14ac:dyDescent="0.25">
      <c r="A12787" t="s">
        <v>8428</v>
      </c>
      <c r="B12787" t="s">
        <v>8824</v>
      </c>
    </row>
    <row r="12788" spans="1:2" x14ac:dyDescent="0.25">
      <c r="A12788" t="s">
        <v>7938</v>
      </c>
      <c r="B12788" t="s">
        <v>8824</v>
      </c>
    </row>
    <row r="12789" spans="1:2" x14ac:dyDescent="0.25">
      <c r="A12789" t="s">
        <v>9894</v>
      </c>
      <c r="B12789" t="s">
        <v>8824</v>
      </c>
    </row>
    <row r="12790" spans="1:2" x14ac:dyDescent="0.25">
      <c r="A12790" t="s">
        <v>883</v>
      </c>
      <c r="B12790" t="s">
        <v>9894</v>
      </c>
    </row>
    <row r="12791" spans="1:2" x14ac:dyDescent="0.25">
      <c r="A12791" t="s">
        <v>884</v>
      </c>
      <c r="B12791" t="s">
        <v>9894</v>
      </c>
    </row>
    <row r="12792" spans="1:2" x14ac:dyDescent="0.25">
      <c r="A12792" t="s">
        <v>3782</v>
      </c>
      <c r="B12792" t="s">
        <v>9894</v>
      </c>
    </row>
    <row r="12793" spans="1:2" x14ac:dyDescent="0.25">
      <c r="A12793" t="s">
        <v>5630</v>
      </c>
      <c r="B12793" t="s">
        <v>9894</v>
      </c>
    </row>
    <row r="12794" spans="1:2" x14ac:dyDescent="0.25">
      <c r="A12794" t="s">
        <v>9550</v>
      </c>
      <c r="B12794" t="s">
        <v>8824</v>
      </c>
    </row>
    <row r="12795" spans="1:2" x14ac:dyDescent="0.25">
      <c r="A12795" t="s">
        <v>11501</v>
      </c>
      <c r="B12795" t="s">
        <v>9550</v>
      </c>
    </row>
    <row r="12796" spans="1:2" x14ac:dyDescent="0.25">
      <c r="A12796" t="s">
        <v>680</v>
      </c>
      <c r="B12796" t="s">
        <v>11501</v>
      </c>
    </row>
    <row r="12797" spans="1:2" x14ac:dyDescent="0.25">
      <c r="A12797" t="s">
        <v>681</v>
      </c>
      <c r="B12797" t="s">
        <v>11501</v>
      </c>
    </row>
    <row r="12798" spans="1:2" x14ac:dyDescent="0.25">
      <c r="A12798" t="s">
        <v>2822</v>
      </c>
      <c r="B12798" t="s">
        <v>11501</v>
      </c>
    </row>
    <row r="12799" spans="1:2" x14ac:dyDescent="0.25">
      <c r="A12799" t="s">
        <v>6964</v>
      </c>
      <c r="B12799" t="s">
        <v>9550</v>
      </c>
    </row>
    <row r="12800" spans="1:2" x14ac:dyDescent="0.25">
      <c r="A12800" t="s">
        <v>1812</v>
      </c>
      <c r="B12800" t="s">
        <v>6964</v>
      </c>
    </row>
    <row r="12801" spans="1:2" x14ac:dyDescent="0.25">
      <c r="A12801" t="s">
        <v>6138</v>
      </c>
      <c r="B12801" t="s">
        <v>9550</v>
      </c>
    </row>
    <row r="12802" spans="1:2" x14ac:dyDescent="0.25">
      <c r="A12802" t="s">
        <v>695</v>
      </c>
      <c r="B12802" t="s">
        <v>6138</v>
      </c>
    </row>
    <row r="12803" spans="1:2" x14ac:dyDescent="0.25">
      <c r="A12803" t="s">
        <v>15024</v>
      </c>
      <c r="B12803" t="s">
        <v>8824</v>
      </c>
    </row>
    <row r="12804" spans="1:2" x14ac:dyDescent="0.25">
      <c r="A12804" t="s">
        <v>15025</v>
      </c>
      <c r="B12804" t="s">
        <v>8824</v>
      </c>
    </row>
    <row r="12805" spans="1:2" x14ac:dyDescent="0.25">
      <c r="A12805" t="s">
        <v>13621</v>
      </c>
      <c r="B12805" t="s">
        <v>8824</v>
      </c>
    </row>
    <row r="12806" spans="1:2" x14ac:dyDescent="0.25">
      <c r="A12806" t="s">
        <v>13885</v>
      </c>
      <c r="B12806" t="s">
        <v>13621</v>
      </c>
    </row>
    <row r="12807" spans="1:2" x14ac:dyDescent="0.25">
      <c r="A12807" t="s">
        <v>7320</v>
      </c>
      <c r="B12807" t="s">
        <v>13621</v>
      </c>
    </row>
    <row r="12808" spans="1:2" x14ac:dyDescent="0.25">
      <c r="A12808" t="s">
        <v>9672</v>
      </c>
      <c r="B12808" t="s">
        <v>13621</v>
      </c>
    </row>
    <row r="12809" spans="1:2" x14ac:dyDescent="0.25">
      <c r="A12809" t="s">
        <v>5162</v>
      </c>
      <c r="B12809" t="s">
        <v>8824</v>
      </c>
    </row>
    <row r="12810" spans="1:2" x14ac:dyDescent="0.25">
      <c r="A12810" t="s">
        <v>4232</v>
      </c>
      <c r="B12810" t="s">
        <v>5162</v>
      </c>
    </row>
    <row r="12811" spans="1:2" x14ac:dyDescent="0.25">
      <c r="A12811" t="s">
        <v>5598</v>
      </c>
      <c r="B12811" t="s">
        <v>5162</v>
      </c>
    </row>
    <row r="12812" spans="1:2" x14ac:dyDescent="0.25">
      <c r="A12812" t="s">
        <v>6644</v>
      </c>
      <c r="B12812" t="s">
        <v>5162</v>
      </c>
    </row>
    <row r="12813" spans="1:2" x14ac:dyDescent="0.25">
      <c r="A12813" t="s">
        <v>11016</v>
      </c>
      <c r="B12813" t="s">
        <v>7922</v>
      </c>
    </row>
    <row r="12814" spans="1:2" x14ac:dyDescent="0.25">
      <c r="A12814" t="s">
        <v>11343</v>
      </c>
      <c r="B12814" t="s">
        <v>11016</v>
      </c>
    </row>
    <row r="12815" spans="1:2" x14ac:dyDescent="0.25">
      <c r="A12815" t="s">
        <v>11580</v>
      </c>
      <c r="B12815" t="s">
        <v>11016</v>
      </c>
    </row>
    <row r="12816" spans="1:2" x14ac:dyDescent="0.25">
      <c r="A12816" t="s">
        <v>11017</v>
      </c>
      <c r="B12816" t="s">
        <v>7922</v>
      </c>
    </row>
    <row r="12817" spans="1:2" x14ac:dyDescent="0.25">
      <c r="A12817" t="s">
        <v>13756</v>
      </c>
      <c r="B12817" t="s">
        <v>11017</v>
      </c>
    </row>
    <row r="12818" spans="1:2" x14ac:dyDescent="0.25">
      <c r="A12818" t="s">
        <v>15026</v>
      </c>
      <c r="B12818" t="s">
        <v>11017</v>
      </c>
    </row>
    <row r="12819" spans="1:2" x14ac:dyDescent="0.25">
      <c r="A12819" t="s">
        <v>2141</v>
      </c>
      <c r="B12819" t="s">
        <v>15026</v>
      </c>
    </row>
    <row r="12820" spans="1:2" x14ac:dyDescent="0.25">
      <c r="A12820" t="s">
        <v>6670</v>
      </c>
      <c r="B12820" t="s">
        <v>15026</v>
      </c>
    </row>
    <row r="12821" spans="1:2" x14ac:dyDescent="0.25">
      <c r="A12821" t="s">
        <v>6671</v>
      </c>
      <c r="B12821" t="s">
        <v>6670</v>
      </c>
    </row>
    <row r="12822" spans="1:2" x14ac:dyDescent="0.25">
      <c r="A12822" t="s">
        <v>6206</v>
      </c>
      <c r="B12822" t="s">
        <v>15026</v>
      </c>
    </row>
    <row r="12823" spans="1:2" x14ac:dyDescent="0.25">
      <c r="A12823" t="s">
        <v>7939</v>
      </c>
      <c r="B12823" t="s">
        <v>6206</v>
      </c>
    </row>
    <row r="12824" spans="1:2" x14ac:dyDescent="0.25">
      <c r="A12824" t="s">
        <v>7940</v>
      </c>
      <c r="B12824" t="s">
        <v>6206</v>
      </c>
    </row>
    <row r="12825" spans="1:2" x14ac:dyDescent="0.25">
      <c r="A12825" t="s">
        <v>15027</v>
      </c>
      <c r="B12825" t="s">
        <v>11017</v>
      </c>
    </row>
    <row r="12826" spans="1:2" x14ac:dyDescent="0.25">
      <c r="A12826" t="s">
        <v>15028</v>
      </c>
      <c r="B12826" t="s">
        <v>11017</v>
      </c>
    </row>
    <row r="12827" spans="1:2" x14ac:dyDescent="0.25">
      <c r="A12827" t="s">
        <v>15029</v>
      </c>
      <c r="B12827" t="s">
        <v>11017</v>
      </c>
    </row>
    <row r="12828" spans="1:2" x14ac:dyDescent="0.25">
      <c r="A12828" t="s">
        <v>15030</v>
      </c>
      <c r="B12828" t="s">
        <v>11017</v>
      </c>
    </row>
    <row r="12829" spans="1:2" x14ac:dyDescent="0.25">
      <c r="A12829" t="s">
        <v>8288</v>
      </c>
      <c r="B12829" t="s">
        <v>15030</v>
      </c>
    </row>
    <row r="12830" spans="1:2" x14ac:dyDescent="0.25">
      <c r="A12830" t="s">
        <v>7698</v>
      </c>
      <c r="B12830" t="s">
        <v>8288</v>
      </c>
    </row>
    <row r="12831" spans="1:2" x14ac:dyDescent="0.25">
      <c r="A12831" t="s">
        <v>7699</v>
      </c>
      <c r="B12831" t="s">
        <v>8288</v>
      </c>
    </row>
    <row r="12832" spans="1:2" x14ac:dyDescent="0.25">
      <c r="A12832" t="s">
        <v>7700</v>
      </c>
      <c r="B12832" t="s">
        <v>8288</v>
      </c>
    </row>
    <row r="12833" spans="1:2" x14ac:dyDescent="0.25">
      <c r="A12833" t="s">
        <v>7079</v>
      </c>
      <c r="B12833" t="s">
        <v>8288</v>
      </c>
    </row>
    <row r="12834" spans="1:2" x14ac:dyDescent="0.25">
      <c r="A12834" t="s">
        <v>7080</v>
      </c>
      <c r="B12834" t="s">
        <v>8288</v>
      </c>
    </row>
    <row r="12835" spans="1:2" x14ac:dyDescent="0.25">
      <c r="A12835" t="s">
        <v>7290</v>
      </c>
      <c r="B12835" t="s">
        <v>8288</v>
      </c>
    </row>
    <row r="12836" spans="1:2" x14ac:dyDescent="0.25">
      <c r="A12836" t="s">
        <v>3482</v>
      </c>
      <c r="B12836" t="s">
        <v>15030</v>
      </c>
    </row>
    <row r="12837" spans="1:2" x14ac:dyDescent="0.25">
      <c r="A12837" t="s">
        <v>2204</v>
      </c>
      <c r="B12837" t="s">
        <v>3482</v>
      </c>
    </row>
    <row r="12838" spans="1:2" x14ac:dyDescent="0.25">
      <c r="A12838" t="s">
        <v>2205</v>
      </c>
      <c r="B12838" t="s">
        <v>3482</v>
      </c>
    </row>
    <row r="12839" spans="1:2" x14ac:dyDescent="0.25">
      <c r="A12839" t="s">
        <v>13024</v>
      </c>
      <c r="B12839" t="s">
        <v>3482</v>
      </c>
    </row>
    <row r="12840" spans="1:2" x14ac:dyDescent="0.25">
      <c r="A12840" t="s">
        <v>13025</v>
      </c>
      <c r="B12840" t="s">
        <v>3482</v>
      </c>
    </row>
    <row r="12841" spans="1:2" x14ac:dyDescent="0.25">
      <c r="A12841" t="s">
        <v>13026</v>
      </c>
      <c r="B12841" t="s">
        <v>3482</v>
      </c>
    </row>
    <row r="12842" spans="1:2" x14ac:dyDescent="0.25">
      <c r="A12842" t="s">
        <v>13027</v>
      </c>
      <c r="B12842" t="s">
        <v>3482</v>
      </c>
    </row>
    <row r="12843" spans="1:2" x14ac:dyDescent="0.25">
      <c r="A12843" t="s">
        <v>13028</v>
      </c>
      <c r="B12843" t="s">
        <v>3482</v>
      </c>
    </row>
    <row r="12844" spans="1:2" x14ac:dyDescent="0.25">
      <c r="A12844" t="s">
        <v>4515</v>
      </c>
      <c r="B12844" t="s">
        <v>13028</v>
      </c>
    </row>
    <row r="12845" spans="1:2" x14ac:dyDescent="0.25">
      <c r="A12845" t="s">
        <v>13359</v>
      </c>
      <c r="B12845" t="s">
        <v>3482</v>
      </c>
    </row>
    <row r="12846" spans="1:2" x14ac:dyDescent="0.25">
      <c r="A12846" t="s">
        <v>13360</v>
      </c>
      <c r="B12846" t="s">
        <v>3482</v>
      </c>
    </row>
    <row r="12847" spans="1:2" x14ac:dyDescent="0.25">
      <c r="A12847" t="s">
        <v>13361</v>
      </c>
      <c r="B12847" t="s">
        <v>3482</v>
      </c>
    </row>
    <row r="12848" spans="1:2" x14ac:dyDescent="0.25">
      <c r="A12848" t="s">
        <v>13362</v>
      </c>
      <c r="B12848" t="s">
        <v>3482</v>
      </c>
    </row>
    <row r="12849" spans="1:2" x14ac:dyDescent="0.25">
      <c r="A12849" t="s">
        <v>15031</v>
      </c>
      <c r="B12849" t="s">
        <v>11017</v>
      </c>
    </row>
    <row r="12850" spans="1:2" x14ac:dyDescent="0.25">
      <c r="A12850" t="s">
        <v>13757</v>
      </c>
      <c r="B12850" t="s">
        <v>15031</v>
      </c>
    </row>
    <row r="12851" spans="1:2" x14ac:dyDescent="0.25">
      <c r="A12851" t="s">
        <v>12881</v>
      </c>
      <c r="B12851" t="s">
        <v>15031</v>
      </c>
    </row>
    <row r="12852" spans="1:2" x14ac:dyDescent="0.25">
      <c r="A12852" t="s">
        <v>9917</v>
      </c>
      <c r="B12852" t="s">
        <v>12881</v>
      </c>
    </row>
    <row r="12853" spans="1:2" x14ac:dyDescent="0.25">
      <c r="A12853" t="s">
        <v>8398</v>
      </c>
      <c r="B12853" t="s">
        <v>12881</v>
      </c>
    </row>
    <row r="12854" spans="1:2" x14ac:dyDescent="0.25">
      <c r="A12854" t="s">
        <v>8399</v>
      </c>
      <c r="B12854" t="s">
        <v>12881</v>
      </c>
    </row>
    <row r="12855" spans="1:2" x14ac:dyDescent="0.25">
      <c r="A12855" t="s">
        <v>9916</v>
      </c>
      <c r="B12855" t="s">
        <v>15031</v>
      </c>
    </row>
    <row r="12856" spans="1:2" x14ac:dyDescent="0.25">
      <c r="A12856" t="s">
        <v>333</v>
      </c>
      <c r="B12856" t="s">
        <v>15031</v>
      </c>
    </row>
    <row r="12857" spans="1:2" x14ac:dyDescent="0.25">
      <c r="A12857" t="s">
        <v>8810</v>
      </c>
      <c r="B12857" t="s">
        <v>15031</v>
      </c>
    </row>
    <row r="12858" spans="1:2" x14ac:dyDescent="0.25">
      <c r="A12858" t="s">
        <v>1867</v>
      </c>
      <c r="B12858" t="s">
        <v>8810</v>
      </c>
    </row>
    <row r="12859" spans="1:2" x14ac:dyDescent="0.25">
      <c r="A12859" t="s">
        <v>4773</v>
      </c>
      <c r="B12859" t="s">
        <v>8810</v>
      </c>
    </row>
    <row r="12860" spans="1:2" x14ac:dyDescent="0.25">
      <c r="A12860" t="s">
        <v>1041</v>
      </c>
      <c r="B12860" t="s">
        <v>8810</v>
      </c>
    </row>
    <row r="12861" spans="1:2" x14ac:dyDescent="0.25">
      <c r="A12861" t="s">
        <v>1042</v>
      </c>
      <c r="B12861" t="s">
        <v>8810</v>
      </c>
    </row>
    <row r="12862" spans="1:2" x14ac:dyDescent="0.25">
      <c r="A12862" t="s">
        <v>1043</v>
      </c>
      <c r="B12862" t="s">
        <v>8810</v>
      </c>
    </row>
    <row r="12863" spans="1:2" x14ac:dyDescent="0.25">
      <c r="A12863" t="s">
        <v>1046</v>
      </c>
      <c r="B12863" t="s">
        <v>8810</v>
      </c>
    </row>
    <row r="12864" spans="1:2" x14ac:dyDescent="0.25">
      <c r="A12864" t="s">
        <v>1048</v>
      </c>
      <c r="B12864" t="s">
        <v>8810</v>
      </c>
    </row>
    <row r="12865" spans="1:2" x14ac:dyDescent="0.25">
      <c r="A12865" t="s">
        <v>1051</v>
      </c>
      <c r="B12865" t="s">
        <v>8810</v>
      </c>
    </row>
    <row r="12866" spans="1:2" x14ac:dyDescent="0.25">
      <c r="A12866" t="s">
        <v>1053</v>
      </c>
      <c r="B12866" t="s">
        <v>8810</v>
      </c>
    </row>
    <row r="12867" spans="1:2" x14ac:dyDescent="0.25">
      <c r="A12867" t="s">
        <v>6622</v>
      </c>
      <c r="B12867" t="s">
        <v>8810</v>
      </c>
    </row>
    <row r="12868" spans="1:2" x14ac:dyDescent="0.25">
      <c r="A12868" t="s">
        <v>3495</v>
      </c>
      <c r="B12868" t="s">
        <v>8810</v>
      </c>
    </row>
    <row r="12869" spans="1:2" x14ac:dyDescent="0.25">
      <c r="A12869" t="s">
        <v>1590</v>
      </c>
      <c r="B12869" t="s">
        <v>8810</v>
      </c>
    </row>
    <row r="12870" spans="1:2" x14ac:dyDescent="0.25">
      <c r="A12870" t="s">
        <v>12994</v>
      </c>
      <c r="B12870" t="s">
        <v>8810</v>
      </c>
    </row>
    <row r="12871" spans="1:2" x14ac:dyDescent="0.25">
      <c r="A12871" t="s">
        <v>12995</v>
      </c>
      <c r="B12871" t="s">
        <v>8810</v>
      </c>
    </row>
    <row r="12872" spans="1:2" x14ac:dyDescent="0.25">
      <c r="A12872" t="s">
        <v>12996</v>
      </c>
      <c r="B12872" t="s">
        <v>8810</v>
      </c>
    </row>
    <row r="12873" spans="1:2" x14ac:dyDescent="0.25">
      <c r="A12873" t="s">
        <v>12997</v>
      </c>
      <c r="B12873" t="s">
        <v>8810</v>
      </c>
    </row>
    <row r="12874" spans="1:2" x14ac:dyDescent="0.25">
      <c r="A12874" t="s">
        <v>8846</v>
      </c>
      <c r="B12874" t="s">
        <v>7922</v>
      </c>
    </row>
    <row r="12875" spans="1:2" x14ac:dyDescent="0.25">
      <c r="A12875" t="s">
        <v>10676</v>
      </c>
      <c r="B12875" t="s">
        <v>8846</v>
      </c>
    </row>
    <row r="12876" spans="1:2" x14ac:dyDescent="0.25">
      <c r="A12876" t="s">
        <v>7943</v>
      </c>
      <c r="B12876" t="s">
        <v>8846</v>
      </c>
    </row>
    <row r="12877" spans="1:2" x14ac:dyDescent="0.25">
      <c r="A12877" t="s">
        <v>6208</v>
      </c>
      <c r="B12877" t="s">
        <v>8846</v>
      </c>
    </row>
    <row r="12878" spans="1:2" x14ac:dyDescent="0.25">
      <c r="A12878" t="s">
        <v>11329</v>
      </c>
      <c r="B12878" t="s">
        <v>7922</v>
      </c>
    </row>
    <row r="12879" spans="1:2" x14ac:dyDescent="0.25">
      <c r="A12879" t="s">
        <v>10510</v>
      </c>
      <c r="B12879" t="s">
        <v>11329</v>
      </c>
    </row>
    <row r="12880" spans="1:2" x14ac:dyDescent="0.25">
      <c r="A12880" t="s">
        <v>7251</v>
      </c>
      <c r="B12880" t="s">
        <v>10510</v>
      </c>
    </row>
    <row r="12881" spans="1:2" x14ac:dyDescent="0.25">
      <c r="A12881" t="s">
        <v>7252</v>
      </c>
      <c r="B12881" t="s">
        <v>10510</v>
      </c>
    </row>
    <row r="12882" spans="1:2" x14ac:dyDescent="0.25">
      <c r="A12882" t="s">
        <v>13207</v>
      </c>
      <c r="B12882" t="s">
        <v>7922</v>
      </c>
    </row>
    <row r="12883" spans="1:2" x14ac:dyDescent="0.25">
      <c r="A12883" t="s">
        <v>11339</v>
      </c>
      <c r="B12883" t="s">
        <v>13207</v>
      </c>
    </row>
    <row r="12884" spans="1:2" x14ac:dyDescent="0.25">
      <c r="A12884" t="s">
        <v>11340</v>
      </c>
      <c r="B12884" t="s">
        <v>13207</v>
      </c>
    </row>
    <row r="12885" spans="1:2" x14ac:dyDescent="0.25">
      <c r="A12885" t="s">
        <v>11341</v>
      </c>
      <c r="B12885" t="s">
        <v>13207</v>
      </c>
    </row>
    <row r="12886" spans="1:2" x14ac:dyDescent="0.25">
      <c r="A12886" t="s">
        <v>2818</v>
      </c>
      <c r="B12886" t="s">
        <v>13207</v>
      </c>
    </row>
    <row r="12887" spans="1:2" x14ac:dyDescent="0.25">
      <c r="A12887" t="s">
        <v>2819</v>
      </c>
      <c r="B12887" t="s">
        <v>13207</v>
      </c>
    </row>
    <row r="12888" spans="1:2" x14ac:dyDescent="0.25">
      <c r="A12888" t="s">
        <v>2820</v>
      </c>
      <c r="B12888" t="s">
        <v>13207</v>
      </c>
    </row>
    <row r="12889" spans="1:2" x14ac:dyDescent="0.25">
      <c r="A12889" t="s">
        <v>676</v>
      </c>
      <c r="B12889" t="s">
        <v>13207</v>
      </c>
    </row>
    <row r="12890" spans="1:2" x14ac:dyDescent="0.25">
      <c r="A12890" t="s">
        <v>7941</v>
      </c>
      <c r="B12890" t="s">
        <v>13207</v>
      </c>
    </row>
    <row r="12891" spans="1:2" x14ac:dyDescent="0.25">
      <c r="A12891" t="s">
        <v>12638</v>
      </c>
      <c r="B12891" t="s">
        <v>13207</v>
      </c>
    </row>
    <row r="12892" spans="1:2" x14ac:dyDescent="0.25">
      <c r="A12892" t="s">
        <v>4008</v>
      </c>
      <c r="B12892" t="s">
        <v>13207</v>
      </c>
    </row>
    <row r="12893" spans="1:2" x14ac:dyDescent="0.25">
      <c r="A12893" t="s">
        <v>8274</v>
      </c>
      <c r="B12893" t="s">
        <v>13207</v>
      </c>
    </row>
    <row r="12894" spans="1:2" x14ac:dyDescent="0.25">
      <c r="A12894" t="s">
        <v>881</v>
      </c>
      <c r="B12894" t="s">
        <v>13207</v>
      </c>
    </row>
    <row r="12895" spans="1:2" x14ac:dyDescent="0.25">
      <c r="A12895" t="s">
        <v>882</v>
      </c>
      <c r="B12895" t="s">
        <v>13207</v>
      </c>
    </row>
    <row r="12896" spans="1:2" x14ac:dyDescent="0.25">
      <c r="A12896" t="s">
        <v>3775</v>
      </c>
      <c r="B12896" t="s">
        <v>13207</v>
      </c>
    </row>
    <row r="12897" spans="1:2" x14ac:dyDescent="0.25">
      <c r="A12897" t="s">
        <v>1873</v>
      </c>
      <c r="B12897" t="s">
        <v>13207</v>
      </c>
    </row>
    <row r="12898" spans="1:2" x14ac:dyDescent="0.25">
      <c r="A12898" t="s">
        <v>2136</v>
      </c>
      <c r="B12898" t="s">
        <v>13207</v>
      </c>
    </row>
    <row r="12899" spans="1:2" x14ac:dyDescent="0.25">
      <c r="A12899" t="s">
        <v>2610</v>
      </c>
      <c r="B12899" t="s">
        <v>13207</v>
      </c>
    </row>
    <row r="12900" spans="1:2" x14ac:dyDescent="0.25">
      <c r="A12900" t="s">
        <v>7319</v>
      </c>
      <c r="B12900" t="s">
        <v>13207</v>
      </c>
    </row>
    <row r="12901" spans="1:2" x14ac:dyDescent="0.25">
      <c r="A12901" t="s">
        <v>4512</v>
      </c>
      <c r="B12901" t="s">
        <v>13207</v>
      </c>
    </row>
    <row r="12902" spans="1:2" x14ac:dyDescent="0.25">
      <c r="A12902" t="s">
        <v>12639</v>
      </c>
      <c r="B12902" t="s">
        <v>13207</v>
      </c>
    </row>
    <row r="12903" spans="1:2" x14ac:dyDescent="0.25">
      <c r="A12903" t="s">
        <v>11581</v>
      </c>
      <c r="B12903" t="s">
        <v>13207</v>
      </c>
    </row>
    <row r="12904" spans="1:2" x14ac:dyDescent="0.25">
      <c r="A12904" t="s">
        <v>12640</v>
      </c>
      <c r="B12904" t="s">
        <v>13207</v>
      </c>
    </row>
    <row r="12905" spans="1:2" x14ac:dyDescent="0.25">
      <c r="A12905" t="s">
        <v>880</v>
      </c>
      <c r="B12905" t="s">
        <v>13207</v>
      </c>
    </row>
    <row r="12906" spans="1:2" x14ac:dyDescent="0.25">
      <c r="A12906" t="s">
        <v>10933</v>
      </c>
      <c r="B12906" t="s">
        <v>13207</v>
      </c>
    </row>
    <row r="12907" spans="1:2" x14ac:dyDescent="0.25">
      <c r="A12907" t="s">
        <v>15032</v>
      </c>
      <c r="B12907" t="s">
        <v>13207</v>
      </c>
    </row>
    <row r="12908" spans="1:2" x14ac:dyDescent="0.25">
      <c r="A12908" t="s">
        <v>13192</v>
      </c>
      <c r="B12908" t="s">
        <v>13207</v>
      </c>
    </row>
    <row r="12909" spans="1:2" x14ac:dyDescent="0.25">
      <c r="A12909" t="s">
        <v>13627</v>
      </c>
      <c r="B12909" t="s">
        <v>13207</v>
      </c>
    </row>
    <row r="12910" spans="1:2" x14ac:dyDescent="0.25">
      <c r="A12910" t="s">
        <v>13622</v>
      </c>
      <c r="B12910" t="s">
        <v>7922</v>
      </c>
    </row>
    <row r="12911" spans="1:2" x14ac:dyDescent="0.25">
      <c r="A12911" t="s">
        <v>13623</v>
      </c>
      <c r="B12911" t="s">
        <v>13622</v>
      </c>
    </row>
    <row r="12912" spans="1:2" x14ac:dyDescent="0.25">
      <c r="A12912" t="s">
        <v>11232</v>
      </c>
      <c r="B12912" t="s">
        <v>13623</v>
      </c>
    </row>
    <row r="12913" spans="1:2" x14ac:dyDescent="0.25">
      <c r="A12913" t="s">
        <v>12266</v>
      </c>
      <c r="B12913" t="s">
        <v>11232</v>
      </c>
    </row>
    <row r="12914" spans="1:2" x14ac:dyDescent="0.25">
      <c r="A12914" t="s">
        <v>2823</v>
      </c>
      <c r="B12914" t="s">
        <v>12266</v>
      </c>
    </row>
    <row r="12915" spans="1:2" x14ac:dyDescent="0.25">
      <c r="A12915" t="s">
        <v>1814</v>
      </c>
      <c r="B12915" t="s">
        <v>12266</v>
      </c>
    </row>
    <row r="12916" spans="1:2" x14ac:dyDescent="0.25">
      <c r="A12916" t="s">
        <v>2376</v>
      </c>
      <c r="B12916" t="s">
        <v>12266</v>
      </c>
    </row>
    <row r="12917" spans="1:2" x14ac:dyDescent="0.25">
      <c r="A12917" t="s">
        <v>1815</v>
      </c>
      <c r="B12917" t="s">
        <v>12266</v>
      </c>
    </row>
    <row r="12918" spans="1:2" x14ac:dyDescent="0.25">
      <c r="A12918" t="s">
        <v>1817</v>
      </c>
      <c r="B12918" t="s">
        <v>12266</v>
      </c>
    </row>
    <row r="12919" spans="1:2" x14ac:dyDescent="0.25">
      <c r="A12919" t="s">
        <v>2824</v>
      </c>
      <c r="B12919" t="s">
        <v>12266</v>
      </c>
    </row>
    <row r="12920" spans="1:2" x14ac:dyDescent="0.25">
      <c r="A12920" t="s">
        <v>692</v>
      </c>
      <c r="B12920" t="s">
        <v>12266</v>
      </c>
    </row>
    <row r="12921" spans="1:2" x14ac:dyDescent="0.25">
      <c r="A12921" t="s">
        <v>1819</v>
      </c>
      <c r="B12921" t="s">
        <v>12266</v>
      </c>
    </row>
    <row r="12922" spans="1:2" x14ac:dyDescent="0.25">
      <c r="A12922" t="s">
        <v>693</v>
      </c>
      <c r="B12922" t="s">
        <v>12266</v>
      </c>
    </row>
    <row r="12923" spans="1:2" x14ac:dyDescent="0.25">
      <c r="A12923" t="s">
        <v>1417</v>
      </c>
      <c r="B12923" t="s">
        <v>12266</v>
      </c>
    </row>
    <row r="12924" spans="1:2" x14ac:dyDescent="0.25">
      <c r="A12924" t="s">
        <v>9099</v>
      </c>
      <c r="B12924" t="s">
        <v>11232</v>
      </c>
    </row>
    <row r="12925" spans="1:2" x14ac:dyDescent="0.25">
      <c r="A12925" t="s">
        <v>3270</v>
      </c>
      <c r="B12925" t="s">
        <v>9099</v>
      </c>
    </row>
    <row r="12926" spans="1:2" x14ac:dyDescent="0.25">
      <c r="A12926" t="s">
        <v>7851</v>
      </c>
      <c r="B12926" t="s">
        <v>11232</v>
      </c>
    </row>
    <row r="12927" spans="1:2" x14ac:dyDescent="0.25">
      <c r="A12927" t="s">
        <v>696</v>
      </c>
      <c r="B12927" t="s">
        <v>7851</v>
      </c>
    </row>
    <row r="12928" spans="1:2" x14ac:dyDescent="0.25">
      <c r="A12928" t="s">
        <v>1415</v>
      </c>
      <c r="B12928" t="s">
        <v>7851</v>
      </c>
    </row>
    <row r="12929" spans="1:2" x14ac:dyDescent="0.25">
      <c r="A12929" t="s">
        <v>6199</v>
      </c>
      <c r="B12929" t="s">
        <v>11232</v>
      </c>
    </row>
    <row r="12930" spans="1:2" x14ac:dyDescent="0.25">
      <c r="A12930" t="s">
        <v>678</v>
      </c>
      <c r="B12930" t="s">
        <v>6199</v>
      </c>
    </row>
    <row r="12931" spans="1:2" x14ac:dyDescent="0.25">
      <c r="A12931" t="s">
        <v>683</v>
      </c>
      <c r="B12931" t="s">
        <v>6199</v>
      </c>
    </row>
    <row r="12932" spans="1:2" x14ac:dyDescent="0.25">
      <c r="A12932" t="s">
        <v>4511</v>
      </c>
      <c r="B12932" t="s">
        <v>11232</v>
      </c>
    </row>
    <row r="12933" spans="1:2" x14ac:dyDescent="0.25">
      <c r="A12933" t="s">
        <v>1813</v>
      </c>
      <c r="B12933" t="s">
        <v>4511</v>
      </c>
    </row>
    <row r="12934" spans="1:2" x14ac:dyDescent="0.25">
      <c r="A12934" t="s">
        <v>682</v>
      </c>
      <c r="B12934" t="s">
        <v>4511</v>
      </c>
    </row>
    <row r="12935" spans="1:2" x14ac:dyDescent="0.25">
      <c r="A12935" t="s">
        <v>1559</v>
      </c>
      <c r="B12935" t="s">
        <v>4511</v>
      </c>
    </row>
    <row r="12936" spans="1:2" x14ac:dyDescent="0.25">
      <c r="A12936" t="s">
        <v>6139</v>
      </c>
      <c r="B12936" t="s">
        <v>13623</v>
      </c>
    </row>
    <row r="12937" spans="1:2" x14ac:dyDescent="0.25">
      <c r="A12937" t="s">
        <v>2393</v>
      </c>
      <c r="B12937" t="s">
        <v>6139</v>
      </c>
    </row>
    <row r="12938" spans="1:2" x14ac:dyDescent="0.25">
      <c r="A12938" t="s">
        <v>5206</v>
      </c>
      <c r="B12938" t="s">
        <v>6139</v>
      </c>
    </row>
    <row r="12939" spans="1:2" x14ac:dyDescent="0.25">
      <c r="A12939" t="s">
        <v>4274</v>
      </c>
      <c r="B12939" t="s">
        <v>6139</v>
      </c>
    </row>
    <row r="12940" spans="1:2" x14ac:dyDescent="0.25">
      <c r="A12940" t="s">
        <v>13624</v>
      </c>
      <c r="B12940" t="s">
        <v>13622</v>
      </c>
    </row>
    <row r="12941" spans="1:2" x14ac:dyDescent="0.25">
      <c r="A12941" t="s">
        <v>13826</v>
      </c>
      <c r="B12941" t="s">
        <v>13624</v>
      </c>
    </row>
    <row r="12942" spans="1:2" x14ac:dyDescent="0.25">
      <c r="A12942" t="s">
        <v>4752</v>
      </c>
      <c r="B12942" t="s">
        <v>13624</v>
      </c>
    </row>
    <row r="12943" spans="1:2" x14ac:dyDescent="0.25">
      <c r="A12943" t="s">
        <v>10669</v>
      </c>
      <c r="B12943" t="s">
        <v>13624</v>
      </c>
    </row>
    <row r="12944" spans="1:2" x14ac:dyDescent="0.25">
      <c r="A12944" t="s">
        <v>13824</v>
      </c>
      <c r="B12944" t="s">
        <v>10669</v>
      </c>
    </row>
    <row r="12945" spans="1:2" x14ac:dyDescent="0.25">
      <c r="A12945" t="s">
        <v>5631</v>
      </c>
      <c r="B12945" t="s">
        <v>13824</v>
      </c>
    </row>
    <row r="12946" spans="1:2" x14ac:dyDescent="0.25">
      <c r="A12946" t="s">
        <v>3783</v>
      </c>
      <c r="B12946" t="s">
        <v>5631</v>
      </c>
    </row>
    <row r="12947" spans="1:2" x14ac:dyDescent="0.25">
      <c r="A12947" t="s">
        <v>7664</v>
      </c>
      <c r="B12947" t="s">
        <v>5631</v>
      </c>
    </row>
    <row r="12948" spans="1:2" x14ac:dyDescent="0.25">
      <c r="A12948" t="s">
        <v>5774</v>
      </c>
      <c r="B12948" t="s">
        <v>13824</v>
      </c>
    </row>
    <row r="12949" spans="1:2" x14ac:dyDescent="0.25">
      <c r="A12949" t="s">
        <v>13825</v>
      </c>
      <c r="B12949" t="s">
        <v>10669</v>
      </c>
    </row>
    <row r="12950" spans="1:2" x14ac:dyDescent="0.25">
      <c r="A12950" t="s">
        <v>11231</v>
      </c>
      <c r="B12950" t="s">
        <v>13624</v>
      </c>
    </row>
    <row r="12951" spans="1:2" x14ac:dyDescent="0.25">
      <c r="A12951" t="s">
        <v>3268</v>
      </c>
      <c r="B12951" t="s">
        <v>13624</v>
      </c>
    </row>
    <row r="12952" spans="1:2" x14ac:dyDescent="0.25">
      <c r="A12952" t="s">
        <v>13822</v>
      </c>
      <c r="B12952" t="s">
        <v>13624</v>
      </c>
    </row>
    <row r="12953" spans="1:2" x14ac:dyDescent="0.25">
      <c r="A12953" t="s">
        <v>11907</v>
      </c>
      <c r="B12953" t="s">
        <v>13822</v>
      </c>
    </row>
    <row r="12954" spans="1:2" x14ac:dyDescent="0.25">
      <c r="A12954" t="s">
        <v>4262</v>
      </c>
      <c r="B12954" t="s">
        <v>13822</v>
      </c>
    </row>
    <row r="12955" spans="1:2" x14ac:dyDescent="0.25">
      <c r="A12955" t="s">
        <v>14761</v>
      </c>
      <c r="B12955" t="s">
        <v>13822</v>
      </c>
    </row>
    <row r="12956" spans="1:2" x14ac:dyDescent="0.25">
      <c r="A12956" t="s">
        <v>13823</v>
      </c>
      <c r="B12956" t="s">
        <v>13624</v>
      </c>
    </row>
    <row r="12957" spans="1:2" x14ac:dyDescent="0.25">
      <c r="A12957" t="s">
        <v>6034</v>
      </c>
      <c r="B12957" t="s">
        <v>13823</v>
      </c>
    </row>
    <row r="12958" spans="1:2" x14ac:dyDescent="0.25">
      <c r="A12958" t="s">
        <v>3947</v>
      </c>
      <c r="B12958" t="s">
        <v>13823</v>
      </c>
    </row>
    <row r="12959" spans="1:2" x14ac:dyDescent="0.25">
      <c r="A12959" t="s">
        <v>9102</v>
      </c>
      <c r="B12959" t="s">
        <v>13624</v>
      </c>
    </row>
    <row r="12960" spans="1:2" x14ac:dyDescent="0.25">
      <c r="A12960" t="s">
        <v>5211</v>
      </c>
      <c r="B12960" t="s">
        <v>9102</v>
      </c>
    </row>
    <row r="12961" spans="1:2" x14ac:dyDescent="0.25">
      <c r="A12961" t="s">
        <v>5632</v>
      </c>
      <c r="B12961" t="s">
        <v>9102</v>
      </c>
    </row>
    <row r="12962" spans="1:2" x14ac:dyDescent="0.25">
      <c r="A12962" t="s">
        <v>4493</v>
      </c>
      <c r="B12962" t="s">
        <v>9102</v>
      </c>
    </row>
    <row r="12963" spans="1:2" x14ac:dyDescent="0.25">
      <c r="A12963" t="s">
        <v>13625</v>
      </c>
      <c r="B12963" t="s">
        <v>13622</v>
      </c>
    </row>
    <row r="12964" spans="1:2" x14ac:dyDescent="0.25">
      <c r="A12964" t="s">
        <v>3267</v>
      </c>
      <c r="B12964" t="s">
        <v>13625</v>
      </c>
    </row>
    <row r="12965" spans="1:2" x14ac:dyDescent="0.25">
      <c r="A12965" t="s">
        <v>9548</v>
      </c>
      <c r="B12965" t="s">
        <v>3267</v>
      </c>
    </row>
    <row r="12966" spans="1:2" x14ac:dyDescent="0.25">
      <c r="A12966" t="s">
        <v>5200</v>
      </c>
      <c r="B12966" t="s">
        <v>3267</v>
      </c>
    </row>
    <row r="12967" spans="1:2" x14ac:dyDescent="0.25">
      <c r="A12967" t="s">
        <v>1811</v>
      </c>
      <c r="B12967" t="s">
        <v>5200</v>
      </c>
    </row>
    <row r="12968" spans="1:2" x14ac:dyDescent="0.25">
      <c r="A12968" t="s">
        <v>2372</v>
      </c>
      <c r="B12968" t="s">
        <v>5200</v>
      </c>
    </row>
    <row r="12969" spans="1:2" x14ac:dyDescent="0.25">
      <c r="A12969" t="s">
        <v>7889</v>
      </c>
      <c r="B12969" t="s">
        <v>5200</v>
      </c>
    </row>
    <row r="12970" spans="1:2" x14ac:dyDescent="0.25">
      <c r="A12970" t="s">
        <v>1810</v>
      </c>
      <c r="B12970" t="s">
        <v>7889</v>
      </c>
    </row>
    <row r="12971" spans="1:2" x14ac:dyDescent="0.25">
      <c r="A12971" t="s">
        <v>8278</v>
      </c>
      <c r="B12971" t="s">
        <v>3267</v>
      </c>
    </row>
    <row r="12972" spans="1:2" x14ac:dyDescent="0.25">
      <c r="A12972" t="s">
        <v>2812</v>
      </c>
      <c r="B12972" t="s">
        <v>8278</v>
      </c>
    </row>
    <row r="12973" spans="1:2" x14ac:dyDescent="0.25">
      <c r="A12973" t="s">
        <v>2813</v>
      </c>
      <c r="B12973" t="s">
        <v>8278</v>
      </c>
    </row>
    <row r="12974" spans="1:2" x14ac:dyDescent="0.25">
      <c r="A12974" t="s">
        <v>2814</v>
      </c>
      <c r="B12974" t="s">
        <v>8278</v>
      </c>
    </row>
    <row r="12975" spans="1:2" x14ac:dyDescent="0.25">
      <c r="A12975" t="s">
        <v>13046</v>
      </c>
      <c r="B12975" t="s">
        <v>3267</v>
      </c>
    </row>
    <row r="12976" spans="1:2" x14ac:dyDescent="0.25">
      <c r="A12976" t="s">
        <v>6039</v>
      </c>
      <c r="B12976" t="s">
        <v>13625</v>
      </c>
    </row>
    <row r="12977" spans="1:2" x14ac:dyDescent="0.25">
      <c r="A12977" t="s">
        <v>314</v>
      </c>
      <c r="B12977" t="s">
        <v>6039</v>
      </c>
    </row>
    <row r="12978" spans="1:2" x14ac:dyDescent="0.25">
      <c r="A12978" t="s">
        <v>878</v>
      </c>
      <c r="B12978" t="s">
        <v>314</v>
      </c>
    </row>
    <row r="12979" spans="1:2" x14ac:dyDescent="0.25">
      <c r="A12979" t="s">
        <v>2834</v>
      </c>
      <c r="B12979" t="s">
        <v>314</v>
      </c>
    </row>
    <row r="12980" spans="1:2" x14ac:dyDescent="0.25">
      <c r="A12980" t="s">
        <v>877</v>
      </c>
      <c r="B12980" t="s">
        <v>6039</v>
      </c>
    </row>
    <row r="12981" spans="1:2" x14ac:dyDescent="0.25">
      <c r="A12981" t="s">
        <v>6532</v>
      </c>
      <c r="B12981" t="s">
        <v>6039</v>
      </c>
    </row>
    <row r="12982" spans="1:2" x14ac:dyDescent="0.25">
      <c r="A12982" t="s">
        <v>6041</v>
      </c>
      <c r="B12982" t="s">
        <v>6039</v>
      </c>
    </row>
    <row r="12983" spans="1:2" x14ac:dyDescent="0.25">
      <c r="A12983" t="s">
        <v>4275</v>
      </c>
      <c r="B12983" t="s">
        <v>6041</v>
      </c>
    </row>
    <row r="12984" spans="1:2" x14ac:dyDescent="0.25">
      <c r="A12984" t="s">
        <v>4276</v>
      </c>
      <c r="B12984" t="s">
        <v>6041</v>
      </c>
    </row>
    <row r="12985" spans="1:2" x14ac:dyDescent="0.25">
      <c r="A12985" t="s">
        <v>3984</v>
      </c>
      <c r="B12985" t="s">
        <v>6039</v>
      </c>
    </row>
    <row r="12986" spans="1:2" x14ac:dyDescent="0.25">
      <c r="A12986" t="s">
        <v>13626</v>
      </c>
      <c r="B12986" t="s">
        <v>13622</v>
      </c>
    </row>
    <row r="12987" spans="1:2" x14ac:dyDescent="0.25">
      <c r="A12987" t="s">
        <v>11579</v>
      </c>
      <c r="B12987" t="s">
        <v>13626</v>
      </c>
    </row>
    <row r="12988" spans="1:2" x14ac:dyDescent="0.25">
      <c r="A12988" t="s">
        <v>13206</v>
      </c>
      <c r="B12988" t="s">
        <v>13626</v>
      </c>
    </row>
    <row r="12989" spans="1:2" x14ac:dyDescent="0.25">
      <c r="A12989" t="s">
        <v>13396</v>
      </c>
      <c r="B12989" t="s">
        <v>13206</v>
      </c>
    </row>
    <row r="12990" spans="1:2" x14ac:dyDescent="0.25">
      <c r="A12990" t="s">
        <v>13397</v>
      </c>
      <c r="B12990" t="s">
        <v>13206</v>
      </c>
    </row>
    <row r="12991" spans="1:2" x14ac:dyDescent="0.25">
      <c r="A12991" t="s">
        <v>443</v>
      </c>
      <c r="B12991" t="s">
        <v>13206</v>
      </c>
    </row>
    <row r="12992" spans="1:2" x14ac:dyDescent="0.25">
      <c r="A12992" t="s">
        <v>7656</v>
      </c>
      <c r="B12992" t="s">
        <v>443</v>
      </c>
    </row>
    <row r="12993" spans="1:2" x14ac:dyDescent="0.25">
      <c r="A12993" t="s">
        <v>650</v>
      </c>
      <c r="B12993" t="s">
        <v>7656</v>
      </c>
    </row>
    <row r="12994" spans="1:2" x14ac:dyDescent="0.25">
      <c r="A12994" t="s">
        <v>659</v>
      </c>
      <c r="B12994" t="s">
        <v>7656</v>
      </c>
    </row>
    <row r="12995" spans="1:2" x14ac:dyDescent="0.25">
      <c r="A12995" t="s">
        <v>6963</v>
      </c>
      <c r="B12995" t="s">
        <v>7656</v>
      </c>
    </row>
    <row r="12996" spans="1:2" x14ac:dyDescent="0.25">
      <c r="A12996" t="s">
        <v>1806</v>
      </c>
      <c r="B12996" t="s">
        <v>7656</v>
      </c>
    </row>
    <row r="12997" spans="1:2" x14ac:dyDescent="0.25">
      <c r="A12997" t="s">
        <v>660</v>
      </c>
      <c r="B12997" t="s">
        <v>7656</v>
      </c>
    </row>
    <row r="12998" spans="1:2" x14ac:dyDescent="0.25">
      <c r="A12998" t="s">
        <v>3770</v>
      </c>
      <c r="B12998" t="s">
        <v>7656</v>
      </c>
    </row>
    <row r="12999" spans="1:2" x14ac:dyDescent="0.25">
      <c r="A12999" t="s">
        <v>661</v>
      </c>
      <c r="B12999" t="s">
        <v>7656</v>
      </c>
    </row>
    <row r="13000" spans="1:2" x14ac:dyDescent="0.25">
      <c r="A13000" t="s">
        <v>662</v>
      </c>
      <c r="B13000" t="s">
        <v>7656</v>
      </c>
    </row>
    <row r="13001" spans="1:2" x14ac:dyDescent="0.25">
      <c r="A13001" t="s">
        <v>1423</v>
      </c>
      <c r="B13001" t="s">
        <v>7656</v>
      </c>
    </row>
    <row r="13002" spans="1:2" x14ac:dyDescent="0.25">
      <c r="A13002" t="s">
        <v>6648</v>
      </c>
      <c r="B13002" t="s">
        <v>7656</v>
      </c>
    </row>
    <row r="13003" spans="1:2" x14ac:dyDescent="0.25">
      <c r="A13003" t="s">
        <v>106</v>
      </c>
      <c r="B13003" t="s">
        <v>443</v>
      </c>
    </row>
    <row r="13004" spans="1:2" x14ac:dyDescent="0.25">
      <c r="A13004" t="s">
        <v>7935</v>
      </c>
      <c r="B13004" t="s">
        <v>443</v>
      </c>
    </row>
    <row r="13005" spans="1:2" x14ac:dyDescent="0.25">
      <c r="A13005" t="s">
        <v>8844</v>
      </c>
      <c r="B13005" t="s">
        <v>13206</v>
      </c>
    </row>
    <row r="13006" spans="1:2" x14ac:dyDescent="0.25">
      <c r="A13006" t="s">
        <v>640</v>
      </c>
      <c r="B13006" t="s">
        <v>8844</v>
      </c>
    </row>
    <row r="13007" spans="1:2" x14ac:dyDescent="0.25">
      <c r="A13007" t="s">
        <v>8277</v>
      </c>
      <c r="B13007" t="s">
        <v>8844</v>
      </c>
    </row>
    <row r="13008" spans="1:2" x14ac:dyDescent="0.25">
      <c r="A13008" t="s">
        <v>1807</v>
      </c>
      <c r="B13008" t="s">
        <v>8277</v>
      </c>
    </row>
    <row r="13009" spans="1:2" x14ac:dyDescent="0.25">
      <c r="A13009" t="s">
        <v>4751</v>
      </c>
      <c r="B13009" t="s">
        <v>8277</v>
      </c>
    </row>
    <row r="13010" spans="1:2" x14ac:dyDescent="0.25">
      <c r="A13010" t="s">
        <v>664</v>
      </c>
      <c r="B13010" t="s">
        <v>8277</v>
      </c>
    </row>
    <row r="13011" spans="1:2" x14ac:dyDescent="0.25">
      <c r="A13011" t="s">
        <v>665</v>
      </c>
      <c r="B13011" t="s">
        <v>8277</v>
      </c>
    </row>
    <row r="13012" spans="1:2" x14ac:dyDescent="0.25">
      <c r="A13012" t="s">
        <v>666</v>
      </c>
      <c r="B13012" t="s">
        <v>8277</v>
      </c>
    </row>
    <row r="13013" spans="1:2" x14ac:dyDescent="0.25">
      <c r="A13013" t="s">
        <v>667</v>
      </c>
      <c r="B13013" t="s">
        <v>8277</v>
      </c>
    </row>
    <row r="13014" spans="1:2" x14ac:dyDescent="0.25">
      <c r="A13014" t="s">
        <v>668</v>
      </c>
      <c r="B13014" t="s">
        <v>8277</v>
      </c>
    </row>
    <row r="13015" spans="1:2" x14ac:dyDescent="0.25">
      <c r="A13015" t="s">
        <v>3266</v>
      </c>
      <c r="B13015" t="s">
        <v>8277</v>
      </c>
    </row>
    <row r="13016" spans="1:2" x14ac:dyDescent="0.25">
      <c r="A13016" t="s">
        <v>1808</v>
      </c>
      <c r="B13016" t="s">
        <v>8277</v>
      </c>
    </row>
    <row r="13017" spans="1:2" x14ac:dyDescent="0.25">
      <c r="A13017" t="s">
        <v>670</v>
      </c>
      <c r="B13017" t="s">
        <v>8277</v>
      </c>
    </row>
    <row r="13018" spans="1:2" x14ac:dyDescent="0.25">
      <c r="A13018" t="s">
        <v>1809</v>
      </c>
      <c r="B13018" t="s">
        <v>8277</v>
      </c>
    </row>
    <row r="13019" spans="1:2" x14ac:dyDescent="0.25">
      <c r="A13019" t="s">
        <v>2197</v>
      </c>
      <c r="B13019" t="s">
        <v>8277</v>
      </c>
    </row>
    <row r="13020" spans="1:2" x14ac:dyDescent="0.25">
      <c r="A13020" t="s">
        <v>1560</v>
      </c>
      <c r="B13020" t="s">
        <v>8277</v>
      </c>
    </row>
    <row r="13021" spans="1:2" x14ac:dyDescent="0.25">
      <c r="A13021" t="s">
        <v>8853</v>
      </c>
      <c r="B13021" t="s">
        <v>8844</v>
      </c>
    </row>
    <row r="13022" spans="1:2" x14ac:dyDescent="0.25">
      <c r="A13022" t="s">
        <v>9670</v>
      </c>
      <c r="B13022" t="s">
        <v>8844</v>
      </c>
    </row>
    <row r="13023" spans="1:2" x14ac:dyDescent="0.25">
      <c r="A13023" t="s">
        <v>11909</v>
      </c>
      <c r="B13023" t="s">
        <v>13626</v>
      </c>
    </row>
    <row r="13024" spans="1:2" x14ac:dyDescent="0.25">
      <c r="A13024" t="s">
        <v>6533</v>
      </c>
      <c r="B13024" t="s">
        <v>11909</v>
      </c>
    </row>
    <row r="13025" spans="1:2" x14ac:dyDescent="0.25">
      <c r="A13025" t="s">
        <v>4762</v>
      </c>
      <c r="B13025" t="s">
        <v>6533</v>
      </c>
    </row>
    <row r="13026" spans="1:2" x14ac:dyDescent="0.25">
      <c r="A13026" t="s">
        <v>901</v>
      </c>
      <c r="B13026" t="s">
        <v>6533</v>
      </c>
    </row>
    <row r="13027" spans="1:2" x14ac:dyDescent="0.25">
      <c r="A13027" t="s">
        <v>5629</v>
      </c>
      <c r="B13027" t="s">
        <v>6533</v>
      </c>
    </row>
    <row r="13028" spans="1:2" x14ac:dyDescent="0.25">
      <c r="A13028" t="s">
        <v>1432</v>
      </c>
      <c r="B13028" t="s">
        <v>6533</v>
      </c>
    </row>
    <row r="13029" spans="1:2" x14ac:dyDescent="0.25">
      <c r="A13029" t="s">
        <v>2193</v>
      </c>
      <c r="B13029" t="s">
        <v>6533</v>
      </c>
    </row>
    <row r="13030" spans="1:2" x14ac:dyDescent="0.25">
      <c r="A13030" t="s">
        <v>4492</v>
      </c>
      <c r="B13030" t="s">
        <v>6533</v>
      </c>
    </row>
    <row r="13031" spans="1:2" x14ac:dyDescent="0.25">
      <c r="A13031" t="s">
        <v>3276</v>
      </c>
      <c r="B13031" t="s">
        <v>11909</v>
      </c>
    </row>
    <row r="13032" spans="1:2" x14ac:dyDescent="0.25">
      <c r="A13032" t="s">
        <v>9615</v>
      </c>
      <c r="B13032" t="s">
        <v>11909</v>
      </c>
    </row>
    <row r="13033" spans="1:2" x14ac:dyDescent="0.25">
      <c r="A13033" t="s">
        <v>4763</v>
      </c>
      <c r="B13033" t="s">
        <v>9615</v>
      </c>
    </row>
    <row r="13034" spans="1:2" x14ac:dyDescent="0.25">
      <c r="A13034" t="s">
        <v>3779</v>
      </c>
      <c r="B13034" t="s">
        <v>9615</v>
      </c>
    </row>
    <row r="13035" spans="1:2" x14ac:dyDescent="0.25">
      <c r="A13035" t="s">
        <v>2212</v>
      </c>
      <c r="B13035" t="s">
        <v>9615</v>
      </c>
    </row>
    <row r="13036" spans="1:2" x14ac:dyDescent="0.25">
      <c r="A13036" t="s">
        <v>7900</v>
      </c>
      <c r="B13036" t="s">
        <v>9615</v>
      </c>
    </row>
    <row r="13037" spans="1:2" x14ac:dyDescent="0.25">
      <c r="A13037" t="s">
        <v>3002</v>
      </c>
      <c r="B13037" t="s">
        <v>11909</v>
      </c>
    </row>
    <row r="13038" spans="1:2" x14ac:dyDescent="0.25">
      <c r="A13038" t="s">
        <v>13628</v>
      </c>
      <c r="B13038" t="s">
        <v>13622</v>
      </c>
    </row>
    <row r="13039" spans="1:2" x14ac:dyDescent="0.25">
      <c r="A13039" t="s">
        <v>2817</v>
      </c>
      <c r="B13039" t="s">
        <v>13628</v>
      </c>
    </row>
    <row r="13040" spans="1:2" x14ac:dyDescent="0.25">
      <c r="A13040" t="s">
        <v>673</v>
      </c>
      <c r="B13040" t="s">
        <v>2817</v>
      </c>
    </row>
    <row r="13041" spans="1:2" x14ac:dyDescent="0.25">
      <c r="A13041" t="s">
        <v>674</v>
      </c>
      <c r="B13041" t="s">
        <v>2817</v>
      </c>
    </row>
    <row r="13042" spans="1:2" x14ac:dyDescent="0.25">
      <c r="A13042" t="s">
        <v>675</v>
      </c>
      <c r="B13042" t="s">
        <v>2817</v>
      </c>
    </row>
    <row r="13043" spans="1:2" x14ac:dyDescent="0.25">
      <c r="A13043" t="s">
        <v>8279</v>
      </c>
      <c r="B13043" t="s">
        <v>2817</v>
      </c>
    </row>
    <row r="13044" spans="1:2" x14ac:dyDescent="0.25">
      <c r="A13044" t="s">
        <v>677</v>
      </c>
      <c r="B13044" t="s">
        <v>8279</v>
      </c>
    </row>
    <row r="13045" spans="1:2" x14ac:dyDescent="0.25">
      <c r="A13045" t="s">
        <v>4460</v>
      </c>
      <c r="B13045" t="s">
        <v>2817</v>
      </c>
    </row>
    <row r="13046" spans="1:2" x14ac:dyDescent="0.25">
      <c r="A13046" t="s">
        <v>3000</v>
      </c>
      <c r="B13046" t="s">
        <v>2817</v>
      </c>
    </row>
    <row r="13047" spans="1:2" x14ac:dyDescent="0.25">
      <c r="A13047" t="s">
        <v>3501</v>
      </c>
      <c r="B13047" t="s">
        <v>2817</v>
      </c>
    </row>
    <row r="13048" spans="1:2" x14ac:dyDescent="0.25">
      <c r="A13048" t="s">
        <v>6663</v>
      </c>
      <c r="B13048" t="s">
        <v>13628</v>
      </c>
    </row>
    <row r="13049" spans="1:2" x14ac:dyDescent="0.25">
      <c r="A13049" t="s">
        <v>9101</v>
      </c>
      <c r="B13049" t="s">
        <v>13628</v>
      </c>
    </row>
    <row r="13050" spans="1:2" x14ac:dyDescent="0.25">
      <c r="A13050" t="s">
        <v>879</v>
      </c>
      <c r="B13050" t="s">
        <v>9101</v>
      </c>
    </row>
    <row r="13051" spans="1:2" x14ac:dyDescent="0.25">
      <c r="A13051" t="s">
        <v>7661</v>
      </c>
      <c r="B13051" t="s">
        <v>9101</v>
      </c>
    </row>
    <row r="13052" spans="1:2" x14ac:dyDescent="0.25">
      <c r="A13052" t="s">
        <v>5205</v>
      </c>
      <c r="B13052" t="s">
        <v>9101</v>
      </c>
    </row>
    <row r="13053" spans="1:2" x14ac:dyDescent="0.25">
      <c r="A13053" t="s">
        <v>6042</v>
      </c>
      <c r="B13053" t="s">
        <v>9101</v>
      </c>
    </row>
    <row r="13054" spans="1:2" x14ac:dyDescent="0.25">
      <c r="A13054" t="s">
        <v>1633</v>
      </c>
      <c r="B13054" t="s">
        <v>13628</v>
      </c>
    </row>
    <row r="13055" spans="1:2" x14ac:dyDescent="0.25">
      <c r="A13055" t="s">
        <v>2570</v>
      </c>
      <c r="B13055" t="s">
        <v>13622</v>
      </c>
    </row>
    <row r="13056" spans="1:2" x14ac:dyDescent="0.25">
      <c r="A13056" t="s">
        <v>5755</v>
      </c>
      <c r="B13056" t="s">
        <v>2570</v>
      </c>
    </row>
    <row r="13057" spans="1:2" x14ac:dyDescent="0.25">
      <c r="A13057" t="s">
        <v>2388</v>
      </c>
      <c r="B13057" t="s">
        <v>7922</v>
      </c>
    </row>
    <row r="13058" spans="1:2" x14ac:dyDescent="0.25">
      <c r="A13058" t="s">
        <v>11226</v>
      </c>
      <c r="B13058" t="s">
        <v>7922</v>
      </c>
    </row>
    <row r="13059" spans="1:2" x14ac:dyDescent="0.25">
      <c r="A13059" t="s">
        <v>7638</v>
      </c>
      <c r="B13059" t="s">
        <v>11226</v>
      </c>
    </row>
    <row r="13060" spans="1:2" x14ac:dyDescent="0.25">
      <c r="A13060" t="s">
        <v>1761</v>
      </c>
      <c r="B13060" t="s">
        <v>7638</v>
      </c>
    </row>
    <row r="13061" spans="1:2" x14ac:dyDescent="0.25">
      <c r="A13061" t="s">
        <v>5166</v>
      </c>
      <c r="B13061" t="s">
        <v>7638</v>
      </c>
    </row>
    <row r="13062" spans="1:2" x14ac:dyDescent="0.25">
      <c r="A13062" t="s">
        <v>8258</v>
      </c>
      <c r="B13062" t="s">
        <v>7638</v>
      </c>
    </row>
    <row r="13063" spans="1:2" x14ac:dyDescent="0.25">
      <c r="A13063" t="s">
        <v>9078</v>
      </c>
      <c r="B13063" t="s">
        <v>8258</v>
      </c>
    </row>
    <row r="13064" spans="1:2" x14ac:dyDescent="0.25">
      <c r="A13064" t="s">
        <v>4723</v>
      </c>
      <c r="B13064" t="s">
        <v>7638</v>
      </c>
    </row>
    <row r="13065" spans="1:2" x14ac:dyDescent="0.25">
      <c r="A13065" t="s">
        <v>4234</v>
      </c>
      <c r="B13065" t="s">
        <v>4723</v>
      </c>
    </row>
    <row r="13066" spans="1:2" x14ac:dyDescent="0.25">
      <c r="A13066" t="s">
        <v>6946</v>
      </c>
      <c r="B13066" t="s">
        <v>7638</v>
      </c>
    </row>
    <row r="13067" spans="1:2" x14ac:dyDescent="0.25">
      <c r="A13067" t="s">
        <v>5168</v>
      </c>
      <c r="B13067" t="s">
        <v>6946</v>
      </c>
    </row>
    <row r="13068" spans="1:2" x14ac:dyDescent="0.25">
      <c r="A13068" t="s">
        <v>12506</v>
      </c>
      <c r="B13068" t="s">
        <v>6946</v>
      </c>
    </row>
    <row r="13069" spans="1:2" x14ac:dyDescent="0.25">
      <c r="A13069" t="s">
        <v>6947</v>
      </c>
      <c r="B13069" t="s">
        <v>7638</v>
      </c>
    </row>
    <row r="13070" spans="1:2" x14ac:dyDescent="0.25">
      <c r="A13070" t="s">
        <v>6004</v>
      </c>
      <c r="B13070" t="s">
        <v>6947</v>
      </c>
    </row>
    <row r="13071" spans="1:2" x14ac:dyDescent="0.25">
      <c r="A13071" t="s">
        <v>437</v>
      </c>
      <c r="B13071" t="s">
        <v>7638</v>
      </c>
    </row>
    <row r="13072" spans="1:2" x14ac:dyDescent="0.25">
      <c r="A13072" t="s">
        <v>2767</v>
      </c>
      <c r="B13072" t="s">
        <v>437</v>
      </c>
    </row>
    <row r="13073" spans="1:2" x14ac:dyDescent="0.25">
      <c r="A13073" t="s">
        <v>6484</v>
      </c>
      <c r="B13073" t="s">
        <v>437</v>
      </c>
    </row>
    <row r="13074" spans="1:2" x14ac:dyDescent="0.25">
      <c r="A13074" t="s">
        <v>6485</v>
      </c>
      <c r="B13074" t="s">
        <v>6484</v>
      </c>
    </row>
    <row r="13075" spans="1:2" x14ac:dyDescent="0.25">
      <c r="A13075" t="s">
        <v>5600</v>
      </c>
      <c r="B13075" t="s">
        <v>437</v>
      </c>
    </row>
    <row r="13076" spans="1:2" x14ac:dyDescent="0.25">
      <c r="A13076" t="s">
        <v>2768</v>
      </c>
      <c r="B13076" t="s">
        <v>5600</v>
      </c>
    </row>
    <row r="13077" spans="1:2" x14ac:dyDescent="0.25">
      <c r="A13077" t="s">
        <v>6486</v>
      </c>
      <c r="B13077" t="s">
        <v>5600</v>
      </c>
    </row>
    <row r="13078" spans="1:2" x14ac:dyDescent="0.25">
      <c r="A13078" t="s">
        <v>5601</v>
      </c>
      <c r="B13078" t="s">
        <v>437</v>
      </c>
    </row>
    <row r="13079" spans="1:2" x14ac:dyDescent="0.25">
      <c r="A13079" t="s">
        <v>3731</v>
      </c>
      <c r="B13079" t="s">
        <v>5601</v>
      </c>
    </row>
    <row r="13080" spans="1:2" x14ac:dyDescent="0.25">
      <c r="A13080" t="s">
        <v>7639</v>
      </c>
      <c r="B13080" t="s">
        <v>5601</v>
      </c>
    </row>
    <row r="13081" spans="1:2" x14ac:dyDescent="0.25">
      <c r="A13081" t="s">
        <v>4724</v>
      </c>
      <c r="B13081" t="s">
        <v>437</v>
      </c>
    </row>
    <row r="13082" spans="1:2" x14ac:dyDescent="0.25">
      <c r="A13082" t="s">
        <v>4235</v>
      </c>
      <c r="B13082" t="s">
        <v>4724</v>
      </c>
    </row>
    <row r="13083" spans="1:2" x14ac:dyDescent="0.25">
      <c r="A13083" t="s">
        <v>3732</v>
      </c>
      <c r="B13083" t="s">
        <v>437</v>
      </c>
    </row>
    <row r="13084" spans="1:2" x14ac:dyDescent="0.25">
      <c r="A13084" t="s">
        <v>4236</v>
      </c>
      <c r="B13084" t="s">
        <v>3732</v>
      </c>
    </row>
    <row r="13085" spans="1:2" x14ac:dyDescent="0.25">
      <c r="A13085" t="s">
        <v>5169</v>
      </c>
      <c r="B13085" t="s">
        <v>437</v>
      </c>
    </row>
    <row r="13086" spans="1:2" x14ac:dyDescent="0.25">
      <c r="A13086" t="s">
        <v>6005</v>
      </c>
      <c r="B13086" t="s">
        <v>5169</v>
      </c>
    </row>
    <row r="13087" spans="1:2" x14ac:dyDescent="0.25">
      <c r="A13087" t="s">
        <v>2342</v>
      </c>
      <c r="B13087" t="s">
        <v>5169</v>
      </c>
    </row>
    <row r="13088" spans="1:2" x14ac:dyDescent="0.25">
      <c r="A13088" t="s">
        <v>3485</v>
      </c>
      <c r="B13088" t="s">
        <v>437</v>
      </c>
    </row>
    <row r="13089" spans="1:2" x14ac:dyDescent="0.25">
      <c r="A13089" t="s">
        <v>6664</v>
      </c>
      <c r="B13089" t="s">
        <v>437</v>
      </c>
    </row>
    <row r="13090" spans="1:2" x14ac:dyDescent="0.25">
      <c r="A13090" t="s">
        <v>7322</v>
      </c>
      <c r="B13090" t="s">
        <v>437</v>
      </c>
    </row>
    <row r="13091" spans="1:2" x14ac:dyDescent="0.25">
      <c r="A13091" t="s">
        <v>6006</v>
      </c>
      <c r="B13091" t="s">
        <v>7638</v>
      </c>
    </row>
    <row r="13092" spans="1:2" x14ac:dyDescent="0.25">
      <c r="A13092" t="s">
        <v>2343</v>
      </c>
      <c r="B13092" t="s">
        <v>6006</v>
      </c>
    </row>
    <row r="13093" spans="1:2" x14ac:dyDescent="0.25">
      <c r="A13093" t="s">
        <v>5170</v>
      </c>
      <c r="B13093" t="s">
        <v>7638</v>
      </c>
    </row>
    <row r="13094" spans="1:2" x14ac:dyDescent="0.25">
      <c r="A13094" t="s">
        <v>6487</v>
      </c>
      <c r="B13094" t="s">
        <v>5170</v>
      </c>
    </row>
    <row r="13095" spans="1:2" x14ac:dyDescent="0.25">
      <c r="A13095" t="s">
        <v>6488</v>
      </c>
      <c r="B13095" t="s">
        <v>7638</v>
      </c>
    </row>
    <row r="13096" spans="1:2" x14ac:dyDescent="0.25">
      <c r="A13096" t="s">
        <v>4725</v>
      </c>
      <c r="B13096" t="s">
        <v>6488</v>
      </c>
    </row>
    <row r="13097" spans="1:2" x14ac:dyDescent="0.25">
      <c r="A13097" t="s">
        <v>304</v>
      </c>
      <c r="B13097" t="s">
        <v>7638</v>
      </c>
    </row>
    <row r="13098" spans="1:2" x14ac:dyDescent="0.25">
      <c r="A13098" t="s">
        <v>574</v>
      </c>
      <c r="B13098" t="s">
        <v>304</v>
      </c>
    </row>
    <row r="13099" spans="1:2" x14ac:dyDescent="0.25">
      <c r="A13099" t="s">
        <v>8382</v>
      </c>
      <c r="B13099" t="s">
        <v>7638</v>
      </c>
    </row>
    <row r="13100" spans="1:2" x14ac:dyDescent="0.25">
      <c r="A13100" t="s">
        <v>11556</v>
      </c>
      <c r="B13100" t="s">
        <v>8382</v>
      </c>
    </row>
    <row r="13101" spans="1:2" x14ac:dyDescent="0.25">
      <c r="A13101" t="s">
        <v>4895</v>
      </c>
      <c r="B13101" t="s">
        <v>7638</v>
      </c>
    </row>
    <row r="13102" spans="1:2" x14ac:dyDescent="0.25">
      <c r="A13102" t="s">
        <v>467</v>
      </c>
      <c r="B13102" t="s">
        <v>7638</v>
      </c>
    </row>
    <row r="13103" spans="1:2" x14ac:dyDescent="0.25">
      <c r="A13103" t="s">
        <v>575</v>
      </c>
      <c r="B13103" t="s">
        <v>11226</v>
      </c>
    </row>
    <row r="13104" spans="1:2" x14ac:dyDescent="0.25">
      <c r="A13104" t="s">
        <v>7640</v>
      </c>
      <c r="B13104" t="s">
        <v>575</v>
      </c>
    </row>
    <row r="13105" spans="1:2" x14ac:dyDescent="0.25">
      <c r="A13105" t="s">
        <v>6950</v>
      </c>
      <c r="B13105" t="s">
        <v>575</v>
      </c>
    </row>
    <row r="13106" spans="1:2" x14ac:dyDescent="0.25">
      <c r="A13106" t="s">
        <v>7641</v>
      </c>
      <c r="B13106" t="s">
        <v>6950</v>
      </c>
    </row>
    <row r="13107" spans="1:2" x14ac:dyDescent="0.25">
      <c r="A13107" t="s">
        <v>4732</v>
      </c>
      <c r="B13107" t="s">
        <v>6950</v>
      </c>
    </row>
    <row r="13108" spans="1:2" x14ac:dyDescent="0.25">
      <c r="A13108" t="s">
        <v>4726</v>
      </c>
      <c r="B13108" t="s">
        <v>6950</v>
      </c>
    </row>
    <row r="13109" spans="1:2" x14ac:dyDescent="0.25">
      <c r="A13109" t="s">
        <v>3735</v>
      </c>
      <c r="B13109" t="s">
        <v>575</v>
      </c>
    </row>
    <row r="13110" spans="1:2" x14ac:dyDescent="0.25">
      <c r="A13110" t="s">
        <v>4733</v>
      </c>
      <c r="B13110" t="s">
        <v>3735</v>
      </c>
    </row>
    <row r="13111" spans="1:2" x14ac:dyDescent="0.25">
      <c r="A13111" t="s">
        <v>7875</v>
      </c>
      <c r="B13111" t="s">
        <v>575</v>
      </c>
    </row>
    <row r="13112" spans="1:2" x14ac:dyDescent="0.25">
      <c r="A13112" t="s">
        <v>8699</v>
      </c>
      <c r="B13112" t="s">
        <v>11226</v>
      </c>
    </row>
    <row r="13113" spans="1:2" x14ac:dyDescent="0.25">
      <c r="A13113" t="s">
        <v>3238</v>
      </c>
      <c r="B13113" t="s">
        <v>8699</v>
      </c>
    </row>
    <row r="13114" spans="1:2" x14ac:dyDescent="0.25">
      <c r="A13114" t="s">
        <v>10512</v>
      </c>
      <c r="B13114" t="s">
        <v>8699</v>
      </c>
    </row>
    <row r="13115" spans="1:2" x14ac:dyDescent="0.25">
      <c r="A13115" t="s">
        <v>4729</v>
      </c>
      <c r="B13115" t="s">
        <v>10512</v>
      </c>
    </row>
    <row r="13116" spans="1:2" x14ac:dyDescent="0.25">
      <c r="A13116" t="s">
        <v>2346</v>
      </c>
      <c r="B13116" t="s">
        <v>4729</v>
      </c>
    </row>
    <row r="13117" spans="1:2" x14ac:dyDescent="0.25">
      <c r="A13117" t="s">
        <v>6491</v>
      </c>
      <c r="B13117" t="s">
        <v>4729</v>
      </c>
    </row>
    <row r="13118" spans="1:2" x14ac:dyDescent="0.25">
      <c r="A13118" t="s">
        <v>6009</v>
      </c>
      <c r="B13118" t="s">
        <v>10512</v>
      </c>
    </row>
    <row r="13119" spans="1:2" x14ac:dyDescent="0.25">
      <c r="A13119" t="s">
        <v>6492</v>
      </c>
      <c r="B13119" t="s">
        <v>6009</v>
      </c>
    </row>
    <row r="13120" spans="1:2" x14ac:dyDescent="0.25">
      <c r="A13120" t="s">
        <v>4730</v>
      </c>
      <c r="B13120" t="s">
        <v>6009</v>
      </c>
    </row>
    <row r="13121" spans="1:2" x14ac:dyDescent="0.25">
      <c r="A13121" t="s">
        <v>4238</v>
      </c>
      <c r="B13121" t="s">
        <v>6009</v>
      </c>
    </row>
    <row r="13122" spans="1:2" x14ac:dyDescent="0.25">
      <c r="A13122" t="s">
        <v>9647</v>
      </c>
      <c r="B13122" t="s">
        <v>6009</v>
      </c>
    </row>
    <row r="13123" spans="1:2" x14ac:dyDescent="0.25">
      <c r="A13123" t="s">
        <v>6493</v>
      </c>
      <c r="B13123" t="s">
        <v>10512</v>
      </c>
    </row>
    <row r="13124" spans="1:2" x14ac:dyDescent="0.25">
      <c r="A13124" t="s">
        <v>4239</v>
      </c>
      <c r="B13124" t="s">
        <v>6493</v>
      </c>
    </row>
    <row r="13125" spans="1:2" x14ac:dyDescent="0.25">
      <c r="A13125" t="s">
        <v>11947</v>
      </c>
      <c r="B13125" t="s">
        <v>6493</v>
      </c>
    </row>
    <row r="13126" spans="1:2" x14ac:dyDescent="0.25">
      <c r="A13126" t="s">
        <v>5172</v>
      </c>
      <c r="B13126" t="s">
        <v>10512</v>
      </c>
    </row>
    <row r="13127" spans="1:2" x14ac:dyDescent="0.25">
      <c r="A13127" t="s">
        <v>4240</v>
      </c>
      <c r="B13127" t="s">
        <v>5172</v>
      </c>
    </row>
    <row r="13128" spans="1:2" x14ac:dyDescent="0.25">
      <c r="A13128" t="s">
        <v>4731</v>
      </c>
      <c r="B13128" t="s">
        <v>10512</v>
      </c>
    </row>
    <row r="13129" spans="1:2" x14ac:dyDescent="0.25">
      <c r="A13129" t="s">
        <v>6494</v>
      </c>
      <c r="B13129" t="s">
        <v>4731</v>
      </c>
    </row>
    <row r="13130" spans="1:2" x14ac:dyDescent="0.25">
      <c r="A13130" t="s">
        <v>6010</v>
      </c>
      <c r="B13130" t="s">
        <v>10512</v>
      </c>
    </row>
    <row r="13131" spans="1:2" x14ac:dyDescent="0.25">
      <c r="A13131" t="s">
        <v>7643</v>
      </c>
      <c r="B13131" t="s">
        <v>6010</v>
      </c>
    </row>
    <row r="13132" spans="1:2" x14ac:dyDescent="0.25">
      <c r="A13132" t="s">
        <v>6951</v>
      </c>
      <c r="B13132" t="s">
        <v>10512</v>
      </c>
    </row>
    <row r="13133" spans="1:2" x14ac:dyDescent="0.25">
      <c r="A13133" t="s">
        <v>4241</v>
      </c>
      <c r="B13133" t="s">
        <v>6951</v>
      </c>
    </row>
    <row r="13134" spans="1:2" x14ac:dyDescent="0.25">
      <c r="A13134" t="s">
        <v>9082</v>
      </c>
      <c r="B13134" t="s">
        <v>8699</v>
      </c>
    </row>
    <row r="13135" spans="1:2" x14ac:dyDescent="0.25">
      <c r="A13135" t="s">
        <v>8260</v>
      </c>
      <c r="B13135" t="s">
        <v>9082</v>
      </c>
    </row>
    <row r="13136" spans="1:2" x14ac:dyDescent="0.25">
      <c r="A13136" t="s">
        <v>8261</v>
      </c>
      <c r="B13136" t="s">
        <v>9082</v>
      </c>
    </row>
    <row r="13137" spans="1:2" x14ac:dyDescent="0.25">
      <c r="A13137" t="s">
        <v>6495</v>
      </c>
      <c r="B13137" t="s">
        <v>8261</v>
      </c>
    </row>
    <row r="13138" spans="1:2" x14ac:dyDescent="0.25">
      <c r="A13138" t="s">
        <v>5605</v>
      </c>
      <c r="B13138" t="s">
        <v>8261</v>
      </c>
    </row>
    <row r="13139" spans="1:2" x14ac:dyDescent="0.25">
      <c r="A13139" t="s">
        <v>8262</v>
      </c>
      <c r="B13139" t="s">
        <v>9082</v>
      </c>
    </row>
    <row r="13140" spans="1:2" x14ac:dyDescent="0.25">
      <c r="A13140" t="s">
        <v>5606</v>
      </c>
      <c r="B13140" t="s">
        <v>8262</v>
      </c>
    </row>
    <row r="13141" spans="1:2" x14ac:dyDescent="0.25">
      <c r="A13141" t="s">
        <v>3736</v>
      </c>
      <c r="B13141" t="s">
        <v>9082</v>
      </c>
    </row>
    <row r="13142" spans="1:2" x14ac:dyDescent="0.25">
      <c r="A13142" t="s">
        <v>6011</v>
      </c>
      <c r="B13142" t="s">
        <v>3736</v>
      </c>
    </row>
    <row r="13143" spans="1:2" x14ac:dyDescent="0.25">
      <c r="A13143" t="s">
        <v>9083</v>
      </c>
      <c r="B13143" t="s">
        <v>9082</v>
      </c>
    </row>
    <row r="13144" spans="1:2" x14ac:dyDescent="0.25">
      <c r="A13144" t="s">
        <v>4242</v>
      </c>
      <c r="B13144" t="s">
        <v>9083</v>
      </c>
    </row>
    <row r="13145" spans="1:2" x14ac:dyDescent="0.25">
      <c r="A13145" t="s">
        <v>6952</v>
      </c>
      <c r="B13145" t="s">
        <v>9083</v>
      </c>
    </row>
    <row r="13146" spans="1:2" x14ac:dyDescent="0.25">
      <c r="A13146" t="s">
        <v>6012</v>
      </c>
      <c r="B13146" t="s">
        <v>9083</v>
      </c>
    </row>
    <row r="13147" spans="1:2" x14ac:dyDescent="0.25">
      <c r="A13147" t="s">
        <v>2770</v>
      </c>
      <c r="B13147" t="s">
        <v>9083</v>
      </c>
    </row>
    <row r="13148" spans="1:2" x14ac:dyDescent="0.25">
      <c r="A13148" t="s">
        <v>1764</v>
      </c>
      <c r="B13148" t="s">
        <v>9083</v>
      </c>
    </row>
    <row r="13149" spans="1:2" x14ac:dyDescent="0.25">
      <c r="A13149" t="s">
        <v>6496</v>
      </c>
      <c r="B13149" t="s">
        <v>9083</v>
      </c>
    </row>
    <row r="13150" spans="1:2" x14ac:dyDescent="0.25">
      <c r="A13150" t="s">
        <v>3737</v>
      </c>
      <c r="B13150" t="s">
        <v>9082</v>
      </c>
    </row>
    <row r="13151" spans="1:2" x14ac:dyDescent="0.25">
      <c r="A13151" t="s">
        <v>4483</v>
      </c>
      <c r="B13151" t="s">
        <v>9082</v>
      </c>
    </row>
    <row r="13152" spans="1:2" x14ac:dyDescent="0.25">
      <c r="A13152" t="s">
        <v>104</v>
      </c>
      <c r="B13152" t="s">
        <v>9082</v>
      </c>
    </row>
    <row r="13153" spans="1:2" x14ac:dyDescent="0.25">
      <c r="A13153" t="s">
        <v>5190</v>
      </c>
      <c r="B13153" t="s">
        <v>9082</v>
      </c>
    </row>
    <row r="13154" spans="1:2" x14ac:dyDescent="0.25">
      <c r="A13154" t="s">
        <v>5191</v>
      </c>
      <c r="B13154" t="s">
        <v>9082</v>
      </c>
    </row>
    <row r="13155" spans="1:2" x14ac:dyDescent="0.25">
      <c r="A13155" t="s">
        <v>6643</v>
      </c>
      <c r="B13155" t="s">
        <v>9082</v>
      </c>
    </row>
    <row r="13156" spans="1:2" x14ac:dyDescent="0.25">
      <c r="A13156" t="s">
        <v>13615</v>
      </c>
      <c r="B13156" t="s">
        <v>9082</v>
      </c>
    </row>
    <row r="13157" spans="1:2" x14ac:dyDescent="0.25">
      <c r="A13157" t="s">
        <v>577</v>
      </c>
      <c r="B13157" t="s">
        <v>8699</v>
      </c>
    </row>
    <row r="13158" spans="1:2" x14ac:dyDescent="0.25">
      <c r="A13158" t="s">
        <v>8700</v>
      </c>
      <c r="B13158" t="s">
        <v>577</v>
      </c>
    </row>
    <row r="13159" spans="1:2" x14ac:dyDescent="0.25">
      <c r="A13159" t="s">
        <v>8263</v>
      </c>
      <c r="B13159" t="s">
        <v>577</v>
      </c>
    </row>
    <row r="13160" spans="1:2" x14ac:dyDescent="0.25">
      <c r="A13160" t="s">
        <v>3471</v>
      </c>
      <c r="B13160" t="s">
        <v>8699</v>
      </c>
    </row>
    <row r="13161" spans="1:2" x14ac:dyDescent="0.25">
      <c r="A13161" t="s">
        <v>12470</v>
      </c>
      <c r="B13161" t="s">
        <v>11226</v>
      </c>
    </row>
    <row r="13162" spans="1:2" x14ac:dyDescent="0.25">
      <c r="A13162" t="s">
        <v>8701</v>
      </c>
      <c r="B13162" t="s">
        <v>12470</v>
      </c>
    </row>
    <row r="13163" spans="1:2" x14ac:dyDescent="0.25">
      <c r="A13163" t="s">
        <v>9533</v>
      </c>
      <c r="B13163" t="s">
        <v>12470</v>
      </c>
    </row>
    <row r="13164" spans="1:2" x14ac:dyDescent="0.25">
      <c r="A13164" t="s">
        <v>7644</v>
      </c>
      <c r="B13164" t="s">
        <v>9533</v>
      </c>
    </row>
    <row r="13165" spans="1:2" x14ac:dyDescent="0.25">
      <c r="A13165" t="s">
        <v>2771</v>
      </c>
      <c r="B13165" t="s">
        <v>9533</v>
      </c>
    </row>
    <row r="13166" spans="1:2" x14ac:dyDescent="0.25">
      <c r="A13166" t="s">
        <v>5607</v>
      </c>
      <c r="B13166" t="s">
        <v>9533</v>
      </c>
    </row>
    <row r="13167" spans="1:2" x14ac:dyDescent="0.25">
      <c r="A13167" t="s">
        <v>3239</v>
      </c>
      <c r="B13167" t="s">
        <v>12470</v>
      </c>
    </row>
    <row r="13168" spans="1:2" x14ac:dyDescent="0.25">
      <c r="A13168" t="s">
        <v>4243</v>
      </c>
      <c r="B13168" t="s">
        <v>12470</v>
      </c>
    </row>
    <row r="13169" spans="1:2" x14ac:dyDescent="0.25">
      <c r="A13169" t="s">
        <v>1765</v>
      </c>
      <c r="B13169" t="s">
        <v>4243</v>
      </c>
    </row>
    <row r="13170" spans="1:2" x14ac:dyDescent="0.25">
      <c r="A13170" t="s">
        <v>3738</v>
      </c>
      <c r="B13170" t="s">
        <v>4243</v>
      </c>
    </row>
    <row r="13171" spans="1:2" x14ac:dyDescent="0.25">
      <c r="A13171" t="s">
        <v>6497</v>
      </c>
      <c r="B13171" t="s">
        <v>4243</v>
      </c>
    </row>
    <row r="13172" spans="1:2" x14ac:dyDescent="0.25">
      <c r="A13172" t="s">
        <v>8264</v>
      </c>
      <c r="B13172" t="s">
        <v>4243</v>
      </c>
    </row>
    <row r="13173" spans="1:2" x14ac:dyDescent="0.25">
      <c r="A13173" t="s">
        <v>2347</v>
      </c>
      <c r="B13173" t="s">
        <v>12470</v>
      </c>
    </row>
    <row r="13174" spans="1:2" x14ac:dyDescent="0.25">
      <c r="A13174" t="s">
        <v>2772</v>
      </c>
      <c r="B13174" t="s">
        <v>2347</v>
      </c>
    </row>
    <row r="13175" spans="1:2" x14ac:dyDescent="0.25">
      <c r="A13175" t="s">
        <v>2773</v>
      </c>
      <c r="B13175" t="s">
        <v>2347</v>
      </c>
    </row>
    <row r="13176" spans="1:2" x14ac:dyDescent="0.25">
      <c r="A13176" t="s">
        <v>3240</v>
      </c>
      <c r="B13176" t="s">
        <v>2347</v>
      </c>
    </row>
    <row r="13177" spans="1:2" x14ac:dyDescent="0.25">
      <c r="A13177" t="s">
        <v>8265</v>
      </c>
      <c r="B13177" t="s">
        <v>12470</v>
      </c>
    </row>
    <row r="13178" spans="1:2" x14ac:dyDescent="0.25">
      <c r="A13178" t="s">
        <v>9886</v>
      </c>
      <c r="B13178" t="s">
        <v>8265</v>
      </c>
    </row>
    <row r="13179" spans="1:2" x14ac:dyDescent="0.25">
      <c r="A13179" t="s">
        <v>9084</v>
      </c>
      <c r="B13179" t="s">
        <v>8265</v>
      </c>
    </row>
    <row r="13180" spans="1:2" x14ac:dyDescent="0.25">
      <c r="A13180" t="s">
        <v>3241</v>
      </c>
      <c r="B13180" t="s">
        <v>12470</v>
      </c>
    </row>
    <row r="13181" spans="1:2" x14ac:dyDescent="0.25">
      <c r="A13181" t="s">
        <v>3242</v>
      </c>
      <c r="B13181" t="s">
        <v>3241</v>
      </c>
    </row>
    <row r="13182" spans="1:2" x14ac:dyDescent="0.25">
      <c r="A13182" t="s">
        <v>3243</v>
      </c>
      <c r="B13182" t="s">
        <v>12470</v>
      </c>
    </row>
    <row r="13183" spans="1:2" x14ac:dyDescent="0.25">
      <c r="A13183" t="s">
        <v>5173</v>
      </c>
      <c r="B13183" t="s">
        <v>3243</v>
      </c>
    </row>
    <row r="13184" spans="1:2" x14ac:dyDescent="0.25">
      <c r="A13184" t="s">
        <v>5608</v>
      </c>
      <c r="B13184" t="s">
        <v>12470</v>
      </c>
    </row>
    <row r="13185" spans="1:2" x14ac:dyDescent="0.25">
      <c r="A13185" t="s">
        <v>2774</v>
      </c>
      <c r="B13185" t="s">
        <v>5608</v>
      </c>
    </row>
    <row r="13186" spans="1:2" x14ac:dyDescent="0.25">
      <c r="A13186" t="s">
        <v>1766</v>
      </c>
      <c r="B13186" t="s">
        <v>12470</v>
      </c>
    </row>
    <row r="13187" spans="1:2" x14ac:dyDescent="0.25">
      <c r="A13187" t="s">
        <v>2775</v>
      </c>
      <c r="B13187" t="s">
        <v>1766</v>
      </c>
    </row>
    <row r="13188" spans="1:2" x14ac:dyDescent="0.25">
      <c r="A13188" t="s">
        <v>2776</v>
      </c>
      <c r="B13188" t="s">
        <v>12470</v>
      </c>
    </row>
    <row r="13189" spans="1:2" x14ac:dyDescent="0.25">
      <c r="A13189" t="s">
        <v>3739</v>
      </c>
      <c r="B13189" t="s">
        <v>2776</v>
      </c>
    </row>
    <row r="13190" spans="1:2" x14ac:dyDescent="0.25">
      <c r="A13190" t="s">
        <v>4244</v>
      </c>
      <c r="B13190" t="s">
        <v>12470</v>
      </c>
    </row>
    <row r="13191" spans="1:2" x14ac:dyDescent="0.25">
      <c r="A13191" t="s">
        <v>6498</v>
      </c>
      <c r="B13191" t="s">
        <v>4244</v>
      </c>
    </row>
    <row r="13192" spans="1:2" x14ac:dyDescent="0.25">
      <c r="A13192" t="s">
        <v>3740</v>
      </c>
      <c r="B13192" t="s">
        <v>4244</v>
      </c>
    </row>
    <row r="13193" spans="1:2" x14ac:dyDescent="0.25">
      <c r="A13193" t="s">
        <v>8817</v>
      </c>
      <c r="B13193" t="s">
        <v>12470</v>
      </c>
    </row>
    <row r="13194" spans="1:2" x14ac:dyDescent="0.25">
      <c r="A13194" t="s">
        <v>13368</v>
      </c>
      <c r="B13194" t="s">
        <v>12470</v>
      </c>
    </row>
    <row r="13195" spans="1:2" x14ac:dyDescent="0.25">
      <c r="A13195" t="s">
        <v>13369</v>
      </c>
      <c r="B13195" t="s">
        <v>12470</v>
      </c>
    </row>
    <row r="13196" spans="1:2" x14ac:dyDescent="0.25">
      <c r="A13196" t="s">
        <v>9080</v>
      </c>
      <c r="B13196" t="s">
        <v>12470</v>
      </c>
    </row>
    <row r="13197" spans="1:2" x14ac:dyDescent="0.25">
      <c r="A13197" t="s">
        <v>5171</v>
      </c>
      <c r="B13197" t="s">
        <v>9080</v>
      </c>
    </row>
    <row r="13198" spans="1:2" x14ac:dyDescent="0.25">
      <c r="A13198" t="s">
        <v>3734</v>
      </c>
      <c r="B13198" t="s">
        <v>9080</v>
      </c>
    </row>
    <row r="13199" spans="1:2" x14ac:dyDescent="0.25">
      <c r="A13199" t="s">
        <v>1762</v>
      </c>
      <c r="B13199" t="s">
        <v>9080</v>
      </c>
    </row>
    <row r="13200" spans="1:2" x14ac:dyDescent="0.25">
      <c r="A13200" t="s">
        <v>576</v>
      </c>
      <c r="B13200" t="s">
        <v>9080</v>
      </c>
    </row>
    <row r="13201" spans="1:2" x14ac:dyDescent="0.25">
      <c r="A13201" t="s">
        <v>4728</v>
      </c>
      <c r="B13201" t="s">
        <v>9080</v>
      </c>
    </row>
    <row r="13202" spans="1:2" x14ac:dyDescent="0.25">
      <c r="A13202" t="s">
        <v>3733</v>
      </c>
      <c r="B13202" t="s">
        <v>9080</v>
      </c>
    </row>
    <row r="13203" spans="1:2" x14ac:dyDescent="0.25">
      <c r="A13203" t="s">
        <v>5602</v>
      </c>
      <c r="B13203" t="s">
        <v>9080</v>
      </c>
    </row>
    <row r="13204" spans="1:2" x14ac:dyDescent="0.25">
      <c r="A13204" t="s">
        <v>10511</v>
      </c>
      <c r="B13204" t="s">
        <v>12470</v>
      </c>
    </row>
    <row r="13205" spans="1:2" x14ac:dyDescent="0.25">
      <c r="A13205" t="s">
        <v>2344</v>
      </c>
      <c r="B13205" t="s">
        <v>10511</v>
      </c>
    </row>
    <row r="13206" spans="1:2" x14ac:dyDescent="0.25">
      <c r="A13206" t="s">
        <v>2345</v>
      </c>
      <c r="B13206" t="s">
        <v>10511</v>
      </c>
    </row>
    <row r="13207" spans="1:2" x14ac:dyDescent="0.25">
      <c r="A13207" t="s">
        <v>4237</v>
      </c>
      <c r="B13207" t="s">
        <v>10511</v>
      </c>
    </row>
    <row r="13208" spans="1:2" x14ac:dyDescent="0.25">
      <c r="A13208" t="s">
        <v>7642</v>
      </c>
      <c r="B13208" t="s">
        <v>12470</v>
      </c>
    </row>
    <row r="13209" spans="1:2" x14ac:dyDescent="0.25">
      <c r="A13209" t="s">
        <v>6008</v>
      </c>
      <c r="B13209" t="s">
        <v>7642</v>
      </c>
    </row>
    <row r="13210" spans="1:2" x14ac:dyDescent="0.25">
      <c r="A13210" t="s">
        <v>5609</v>
      </c>
      <c r="B13210" t="s">
        <v>11226</v>
      </c>
    </row>
    <row r="13211" spans="1:2" x14ac:dyDescent="0.25">
      <c r="A13211" t="s">
        <v>6013</v>
      </c>
      <c r="B13211" t="s">
        <v>5609</v>
      </c>
    </row>
    <row r="13212" spans="1:2" x14ac:dyDescent="0.25">
      <c r="A13212" t="s">
        <v>6499</v>
      </c>
      <c r="B13212" t="s">
        <v>5609</v>
      </c>
    </row>
    <row r="13213" spans="1:2" x14ac:dyDescent="0.25">
      <c r="A13213" t="s">
        <v>5174</v>
      </c>
      <c r="B13213" t="s">
        <v>6499</v>
      </c>
    </row>
    <row r="13214" spans="1:2" x14ac:dyDescent="0.25">
      <c r="A13214" t="s">
        <v>5175</v>
      </c>
      <c r="B13214" t="s">
        <v>6499</v>
      </c>
    </row>
    <row r="13215" spans="1:2" x14ac:dyDescent="0.25">
      <c r="A13215" t="s">
        <v>5176</v>
      </c>
      <c r="B13215" t="s">
        <v>6499</v>
      </c>
    </row>
    <row r="13216" spans="1:2" x14ac:dyDescent="0.25">
      <c r="A13216" t="s">
        <v>2348</v>
      </c>
      <c r="B13216" t="s">
        <v>5609</v>
      </c>
    </row>
    <row r="13217" spans="1:2" x14ac:dyDescent="0.25">
      <c r="A13217" t="s">
        <v>2777</v>
      </c>
      <c r="B13217" t="s">
        <v>2348</v>
      </c>
    </row>
    <row r="13218" spans="1:2" x14ac:dyDescent="0.25">
      <c r="A13218" t="s">
        <v>3741</v>
      </c>
      <c r="B13218" t="s">
        <v>2777</v>
      </c>
    </row>
    <row r="13219" spans="1:2" x14ac:dyDescent="0.25">
      <c r="A13219" t="s">
        <v>3742</v>
      </c>
      <c r="B13219" t="s">
        <v>2777</v>
      </c>
    </row>
    <row r="13220" spans="1:2" x14ac:dyDescent="0.25">
      <c r="A13220" t="s">
        <v>5610</v>
      </c>
      <c r="B13220" t="s">
        <v>2777</v>
      </c>
    </row>
    <row r="13221" spans="1:2" x14ac:dyDescent="0.25">
      <c r="A13221" t="s">
        <v>3743</v>
      </c>
      <c r="B13221" t="s">
        <v>2777</v>
      </c>
    </row>
    <row r="13222" spans="1:2" x14ac:dyDescent="0.25">
      <c r="A13222" t="s">
        <v>3020</v>
      </c>
      <c r="B13222" t="s">
        <v>2777</v>
      </c>
    </row>
    <row r="13223" spans="1:2" x14ac:dyDescent="0.25">
      <c r="A13223" t="s">
        <v>3960</v>
      </c>
      <c r="B13223" t="s">
        <v>2777</v>
      </c>
    </row>
    <row r="13224" spans="1:2" x14ac:dyDescent="0.25">
      <c r="A13224" t="s">
        <v>5177</v>
      </c>
      <c r="B13224" t="s">
        <v>2348</v>
      </c>
    </row>
    <row r="13225" spans="1:2" x14ac:dyDescent="0.25">
      <c r="A13225" t="s">
        <v>2778</v>
      </c>
      <c r="B13225" t="s">
        <v>5177</v>
      </c>
    </row>
    <row r="13226" spans="1:2" x14ac:dyDescent="0.25">
      <c r="A13226" t="s">
        <v>2779</v>
      </c>
      <c r="B13226" t="s">
        <v>5177</v>
      </c>
    </row>
    <row r="13227" spans="1:2" x14ac:dyDescent="0.25">
      <c r="A13227" t="s">
        <v>5611</v>
      </c>
      <c r="B13227" t="s">
        <v>5177</v>
      </c>
    </row>
    <row r="13228" spans="1:2" x14ac:dyDescent="0.25">
      <c r="A13228" t="s">
        <v>2780</v>
      </c>
      <c r="B13228" t="s">
        <v>5177</v>
      </c>
    </row>
    <row r="13229" spans="1:2" x14ac:dyDescent="0.25">
      <c r="A13229" t="s">
        <v>308</v>
      </c>
      <c r="B13229" t="s">
        <v>5177</v>
      </c>
    </row>
    <row r="13230" spans="1:2" x14ac:dyDescent="0.25">
      <c r="A13230" t="s">
        <v>2791</v>
      </c>
      <c r="B13230" t="s">
        <v>5177</v>
      </c>
    </row>
    <row r="13231" spans="1:2" x14ac:dyDescent="0.25">
      <c r="A13231" t="s">
        <v>584</v>
      </c>
      <c r="B13231" t="s">
        <v>5177</v>
      </c>
    </row>
    <row r="13232" spans="1:2" x14ac:dyDescent="0.25">
      <c r="A13232" t="s">
        <v>585</v>
      </c>
      <c r="B13232" t="s">
        <v>5177</v>
      </c>
    </row>
    <row r="13233" spans="1:2" x14ac:dyDescent="0.25">
      <c r="A13233" t="s">
        <v>586</v>
      </c>
      <c r="B13233" t="s">
        <v>5177</v>
      </c>
    </row>
    <row r="13234" spans="1:2" x14ac:dyDescent="0.25">
      <c r="A13234" t="s">
        <v>587</v>
      </c>
      <c r="B13234" t="s">
        <v>5177</v>
      </c>
    </row>
    <row r="13235" spans="1:2" x14ac:dyDescent="0.25">
      <c r="A13235" t="s">
        <v>1782</v>
      </c>
      <c r="B13235" t="s">
        <v>5177</v>
      </c>
    </row>
    <row r="13236" spans="1:2" x14ac:dyDescent="0.25">
      <c r="A13236" t="s">
        <v>588</v>
      </c>
      <c r="B13236" t="s">
        <v>5177</v>
      </c>
    </row>
    <row r="13237" spans="1:2" x14ac:dyDescent="0.25">
      <c r="A13237" t="s">
        <v>589</v>
      </c>
      <c r="B13237" t="s">
        <v>5177</v>
      </c>
    </row>
    <row r="13238" spans="1:2" x14ac:dyDescent="0.25">
      <c r="A13238" t="s">
        <v>590</v>
      </c>
      <c r="B13238" t="s">
        <v>5177</v>
      </c>
    </row>
    <row r="13239" spans="1:2" x14ac:dyDescent="0.25">
      <c r="A13239" t="s">
        <v>5764</v>
      </c>
      <c r="B13239" t="s">
        <v>5177</v>
      </c>
    </row>
    <row r="13240" spans="1:2" x14ac:dyDescent="0.25">
      <c r="A13240" t="s">
        <v>2359</v>
      </c>
      <c r="B13240" t="s">
        <v>2348</v>
      </c>
    </row>
    <row r="13241" spans="1:2" x14ac:dyDescent="0.25">
      <c r="A13241" t="s">
        <v>8702</v>
      </c>
      <c r="B13241" t="s">
        <v>5609</v>
      </c>
    </row>
    <row r="13242" spans="1:2" x14ac:dyDescent="0.25">
      <c r="A13242" t="s">
        <v>7645</v>
      </c>
      <c r="B13242" t="s">
        <v>8702</v>
      </c>
    </row>
    <row r="13243" spans="1:2" x14ac:dyDescent="0.25">
      <c r="A13243" t="s">
        <v>6014</v>
      </c>
      <c r="B13243" t="s">
        <v>8702</v>
      </c>
    </row>
    <row r="13244" spans="1:2" x14ac:dyDescent="0.25">
      <c r="A13244" t="s">
        <v>6953</v>
      </c>
      <c r="B13244" t="s">
        <v>8702</v>
      </c>
    </row>
    <row r="13245" spans="1:2" x14ac:dyDescent="0.25">
      <c r="A13245" t="s">
        <v>6015</v>
      </c>
      <c r="B13245" t="s">
        <v>8702</v>
      </c>
    </row>
    <row r="13246" spans="1:2" x14ac:dyDescent="0.25">
      <c r="A13246" t="s">
        <v>9085</v>
      </c>
      <c r="B13246" t="s">
        <v>8702</v>
      </c>
    </row>
    <row r="13247" spans="1:2" x14ac:dyDescent="0.25">
      <c r="A13247" t="s">
        <v>6016</v>
      </c>
      <c r="B13247" t="s">
        <v>8702</v>
      </c>
    </row>
    <row r="13248" spans="1:2" x14ac:dyDescent="0.25">
      <c r="A13248" t="s">
        <v>3021</v>
      </c>
      <c r="B13248" t="s">
        <v>8702</v>
      </c>
    </row>
    <row r="13249" spans="1:2" x14ac:dyDescent="0.25">
      <c r="A13249" t="s">
        <v>3744</v>
      </c>
      <c r="B13249" t="s">
        <v>5609</v>
      </c>
    </row>
    <row r="13250" spans="1:2" x14ac:dyDescent="0.25">
      <c r="A13250" t="s">
        <v>4245</v>
      </c>
      <c r="B13250" t="s">
        <v>3744</v>
      </c>
    </row>
    <row r="13251" spans="1:2" x14ac:dyDescent="0.25">
      <c r="A13251" t="s">
        <v>578</v>
      </c>
      <c r="B13251" t="s">
        <v>3744</v>
      </c>
    </row>
    <row r="13252" spans="1:2" x14ac:dyDescent="0.25">
      <c r="A13252" t="s">
        <v>5178</v>
      </c>
      <c r="B13252" t="s">
        <v>5609</v>
      </c>
    </row>
    <row r="13253" spans="1:2" x14ac:dyDescent="0.25">
      <c r="A13253" t="s">
        <v>5179</v>
      </c>
      <c r="B13253" t="s">
        <v>5178</v>
      </c>
    </row>
    <row r="13254" spans="1:2" x14ac:dyDescent="0.25">
      <c r="A13254" t="s">
        <v>3244</v>
      </c>
      <c r="B13254" t="s">
        <v>5178</v>
      </c>
    </row>
    <row r="13255" spans="1:2" x14ac:dyDescent="0.25">
      <c r="A13255" t="s">
        <v>7646</v>
      </c>
      <c r="B13255" t="s">
        <v>5609</v>
      </c>
    </row>
    <row r="13256" spans="1:2" x14ac:dyDescent="0.25">
      <c r="A13256" t="s">
        <v>5180</v>
      </c>
      <c r="B13256" t="s">
        <v>7646</v>
      </c>
    </row>
    <row r="13257" spans="1:2" x14ac:dyDescent="0.25">
      <c r="A13257" t="s">
        <v>8266</v>
      </c>
      <c r="B13257" t="s">
        <v>7646</v>
      </c>
    </row>
    <row r="13258" spans="1:2" x14ac:dyDescent="0.25">
      <c r="A13258" t="s">
        <v>5181</v>
      </c>
      <c r="B13258" t="s">
        <v>7646</v>
      </c>
    </row>
    <row r="13259" spans="1:2" x14ac:dyDescent="0.25">
      <c r="A13259" t="s">
        <v>5182</v>
      </c>
      <c r="B13259" t="s">
        <v>7646</v>
      </c>
    </row>
    <row r="13260" spans="1:2" x14ac:dyDescent="0.25">
      <c r="A13260" t="s">
        <v>6017</v>
      </c>
      <c r="B13260" t="s">
        <v>7646</v>
      </c>
    </row>
    <row r="13261" spans="1:2" x14ac:dyDescent="0.25">
      <c r="A13261" t="s">
        <v>5183</v>
      </c>
      <c r="B13261" t="s">
        <v>7646</v>
      </c>
    </row>
    <row r="13262" spans="1:2" x14ac:dyDescent="0.25">
      <c r="A13262" t="s">
        <v>7647</v>
      </c>
      <c r="B13262" t="s">
        <v>5609</v>
      </c>
    </row>
    <row r="13263" spans="1:2" x14ac:dyDescent="0.25">
      <c r="A13263" t="s">
        <v>5184</v>
      </c>
      <c r="B13263" t="s">
        <v>7647</v>
      </c>
    </row>
    <row r="13264" spans="1:2" x14ac:dyDescent="0.25">
      <c r="A13264" t="s">
        <v>5185</v>
      </c>
      <c r="B13264" t="s">
        <v>7647</v>
      </c>
    </row>
    <row r="13265" spans="1:2" x14ac:dyDescent="0.25">
      <c r="A13265" t="s">
        <v>5186</v>
      </c>
      <c r="B13265" t="s">
        <v>7647</v>
      </c>
    </row>
    <row r="13266" spans="1:2" x14ac:dyDescent="0.25">
      <c r="A13266" t="s">
        <v>3019</v>
      </c>
      <c r="B13266" t="s">
        <v>7647</v>
      </c>
    </row>
    <row r="13267" spans="1:2" x14ac:dyDescent="0.25">
      <c r="A13267" t="s">
        <v>8267</v>
      </c>
      <c r="B13267" t="s">
        <v>5609</v>
      </c>
    </row>
    <row r="13268" spans="1:2" x14ac:dyDescent="0.25">
      <c r="A13268" t="s">
        <v>5612</v>
      </c>
      <c r="B13268" t="s">
        <v>8267</v>
      </c>
    </row>
    <row r="13269" spans="1:2" x14ac:dyDescent="0.25">
      <c r="A13269" t="s">
        <v>8703</v>
      </c>
      <c r="B13269" t="s">
        <v>8267</v>
      </c>
    </row>
    <row r="13270" spans="1:2" x14ac:dyDescent="0.25">
      <c r="A13270" t="s">
        <v>6500</v>
      </c>
      <c r="B13270" t="s">
        <v>8267</v>
      </c>
    </row>
    <row r="13271" spans="1:2" x14ac:dyDescent="0.25">
      <c r="A13271" t="s">
        <v>5344</v>
      </c>
      <c r="B13271" t="s">
        <v>5609</v>
      </c>
    </row>
    <row r="13272" spans="1:2" x14ac:dyDescent="0.25">
      <c r="A13272" t="s">
        <v>10513</v>
      </c>
      <c r="B13272" t="s">
        <v>11226</v>
      </c>
    </row>
    <row r="13273" spans="1:2" x14ac:dyDescent="0.25">
      <c r="A13273" t="s">
        <v>6489</v>
      </c>
      <c r="B13273" t="s">
        <v>10513</v>
      </c>
    </row>
    <row r="13274" spans="1:2" x14ac:dyDescent="0.25">
      <c r="A13274" t="s">
        <v>6948</v>
      </c>
      <c r="B13274" t="s">
        <v>10513</v>
      </c>
    </row>
    <row r="13275" spans="1:2" x14ac:dyDescent="0.25">
      <c r="A13275" t="s">
        <v>6949</v>
      </c>
      <c r="B13275" t="s">
        <v>6948</v>
      </c>
    </row>
    <row r="13276" spans="1:2" x14ac:dyDescent="0.25">
      <c r="A13276" t="s">
        <v>9079</v>
      </c>
      <c r="B13276" t="s">
        <v>6948</v>
      </c>
    </row>
    <row r="13277" spans="1:2" x14ac:dyDescent="0.25">
      <c r="A13277" t="s">
        <v>9887</v>
      </c>
      <c r="B13277" t="s">
        <v>10513</v>
      </c>
    </row>
    <row r="13278" spans="1:2" x14ac:dyDescent="0.25">
      <c r="A13278" t="s">
        <v>11906</v>
      </c>
      <c r="B13278" t="s">
        <v>9887</v>
      </c>
    </row>
    <row r="13279" spans="1:2" x14ac:dyDescent="0.25">
      <c r="A13279" t="s">
        <v>6159</v>
      </c>
      <c r="B13279" t="s">
        <v>10513</v>
      </c>
    </row>
    <row r="13280" spans="1:2" x14ac:dyDescent="0.25">
      <c r="A13280" t="s">
        <v>9086</v>
      </c>
      <c r="B13280" t="s">
        <v>6159</v>
      </c>
    </row>
    <row r="13281" spans="1:2" x14ac:dyDescent="0.25">
      <c r="A13281" t="s">
        <v>9534</v>
      </c>
      <c r="B13281" t="s">
        <v>6159</v>
      </c>
    </row>
    <row r="13282" spans="1:2" x14ac:dyDescent="0.25">
      <c r="A13282" t="s">
        <v>9087</v>
      </c>
      <c r="B13282" t="s">
        <v>6159</v>
      </c>
    </row>
    <row r="13283" spans="1:2" x14ac:dyDescent="0.25">
      <c r="A13283" t="s">
        <v>7874</v>
      </c>
      <c r="B13283" t="s">
        <v>10513</v>
      </c>
    </row>
    <row r="13284" spans="1:2" x14ac:dyDescent="0.25">
      <c r="A13284" t="s">
        <v>9628</v>
      </c>
      <c r="B13284" t="s">
        <v>10513</v>
      </c>
    </row>
    <row r="13285" spans="1:2" x14ac:dyDescent="0.25">
      <c r="A13285" t="s">
        <v>7916</v>
      </c>
      <c r="B13285" t="s">
        <v>9628</v>
      </c>
    </row>
    <row r="13286" spans="1:2" x14ac:dyDescent="0.25">
      <c r="A13286" t="s">
        <v>7305</v>
      </c>
      <c r="B13286" t="s">
        <v>9628</v>
      </c>
    </row>
    <row r="13287" spans="1:2" x14ac:dyDescent="0.25">
      <c r="A13287" t="s">
        <v>3994</v>
      </c>
      <c r="B13287" t="s">
        <v>9628</v>
      </c>
    </row>
    <row r="13288" spans="1:2" x14ac:dyDescent="0.25">
      <c r="A13288" t="s">
        <v>3995</v>
      </c>
      <c r="B13288" t="s">
        <v>9628</v>
      </c>
    </row>
    <row r="13289" spans="1:2" x14ac:dyDescent="0.25">
      <c r="A13289" t="s">
        <v>6190</v>
      </c>
      <c r="B13289" t="s">
        <v>9628</v>
      </c>
    </row>
    <row r="13290" spans="1:2" x14ac:dyDescent="0.25">
      <c r="A13290" t="s">
        <v>6191</v>
      </c>
      <c r="B13290" t="s">
        <v>9628</v>
      </c>
    </row>
    <row r="13291" spans="1:2" x14ac:dyDescent="0.25">
      <c r="A13291" t="s">
        <v>7306</v>
      </c>
      <c r="B13291" t="s">
        <v>9628</v>
      </c>
    </row>
    <row r="13292" spans="1:2" x14ac:dyDescent="0.25">
      <c r="A13292" t="s">
        <v>2781</v>
      </c>
      <c r="B13292" t="s">
        <v>11226</v>
      </c>
    </row>
    <row r="13293" spans="1:2" x14ac:dyDescent="0.25">
      <c r="A13293" t="s">
        <v>4727</v>
      </c>
      <c r="B13293" t="s">
        <v>2781</v>
      </c>
    </row>
    <row r="13294" spans="1:2" x14ac:dyDescent="0.25">
      <c r="A13294" t="s">
        <v>8259</v>
      </c>
      <c r="B13294" t="s">
        <v>4727</v>
      </c>
    </row>
    <row r="13295" spans="1:2" x14ac:dyDescent="0.25">
      <c r="A13295" t="s">
        <v>6490</v>
      </c>
      <c r="B13295" t="s">
        <v>4727</v>
      </c>
    </row>
    <row r="13296" spans="1:2" x14ac:dyDescent="0.25">
      <c r="A13296" t="s">
        <v>2606</v>
      </c>
      <c r="B13296" t="s">
        <v>4727</v>
      </c>
    </row>
    <row r="13297" spans="1:2" x14ac:dyDescent="0.25">
      <c r="A13297" t="s">
        <v>7902</v>
      </c>
      <c r="B13297" t="s">
        <v>4727</v>
      </c>
    </row>
    <row r="13298" spans="1:2" x14ac:dyDescent="0.25">
      <c r="A13298" t="s">
        <v>3745</v>
      </c>
      <c r="B13298" t="s">
        <v>2781</v>
      </c>
    </row>
    <row r="13299" spans="1:2" x14ac:dyDescent="0.25">
      <c r="A13299" t="s">
        <v>3245</v>
      </c>
      <c r="B13299" t="s">
        <v>2781</v>
      </c>
    </row>
    <row r="13300" spans="1:2" x14ac:dyDescent="0.25">
      <c r="A13300" t="s">
        <v>5604</v>
      </c>
      <c r="B13300" t="s">
        <v>3245</v>
      </c>
    </row>
    <row r="13301" spans="1:2" x14ac:dyDescent="0.25">
      <c r="A13301" t="s">
        <v>5613</v>
      </c>
      <c r="B13301" t="s">
        <v>3245</v>
      </c>
    </row>
    <row r="13302" spans="1:2" x14ac:dyDescent="0.25">
      <c r="A13302" t="s">
        <v>6501</v>
      </c>
      <c r="B13302" t="s">
        <v>3245</v>
      </c>
    </row>
    <row r="13303" spans="1:2" x14ac:dyDescent="0.25">
      <c r="A13303" t="s">
        <v>3746</v>
      </c>
      <c r="B13303" t="s">
        <v>3245</v>
      </c>
    </row>
    <row r="13304" spans="1:2" x14ac:dyDescent="0.25">
      <c r="A13304" t="s">
        <v>7648</v>
      </c>
      <c r="B13304" t="s">
        <v>3245</v>
      </c>
    </row>
    <row r="13305" spans="1:2" x14ac:dyDescent="0.25">
      <c r="A13305" t="s">
        <v>4468</v>
      </c>
      <c r="B13305" t="s">
        <v>3245</v>
      </c>
    </row>
    <row r="13306" spans="1:2" x14ac:dyDescent="0.25">
      <c r="A13306" t="s">
        <v>6629</v>
      </c>
      <c r="B13306" t="s">
        <v>3245</v>
      </c>
    </row>
    <row r="13307" spans="1:2" x14ac:dyDescent="0.25">
      <c r="A13307" t="s">
        <v>2782</v>
      </c>
      <c r="B13307" t="s">
        <v>3245</v>
      </c>
    </row>
    <row r="13308" spans="1:2" x14ac:dyDescent="0.25">
      <c r="A13308" t="s">
        <v>305</v>
      </c>
      <c r="B13308" t="s">
        <v>2781</v>
      </c>
    </row>
    <row r="13309" spans="1:2" x14ac:dyDescent="0.25">
      <c r="A13309" t="s">
        <v>6954</v>
      </c>
      <c r="B13309" t="s">
        <v>305</v>
      </c>
    </row>
    <row r="13310" spans="1:2" x14ac:dyDescent="0.25">
      <c r="A13310" t="s">
        <v>3747</v>
      </c>
      <c r="B13310" t="s">
        <v>305</v>
      </c>
    </row>
    <row r="13311" spans="1:2" x14ac:dyDescent="0.25">
      <c r="A13311" t="s">
        <v>1767</v>
      </c>
      <c r="B13311" t="s">
        <v>305</v>
      </c>
    </row>
    <row r="13312" spans="1:2" x14ac:dyDescent="0.25">
      <c r="A13312" t="s">
        <v>579</v>
      </c>
      <c r="B13312" t="s">
        <v>305</v>
      </c>
    </row>
    <row r="13313" spans="1:2" x14ac:dyDescent="0.25">
      <c r="A13313" t="s">
        <v>6018</v>
      </c>
      <c r="B13313" t="s">
        <v>305</v>
      </c>
    </row>
    <row r="13314" spans="1:2" x14ac:dyDescent="0.25">
      <c r="A13314" t="s">
        <v>1491</v>
      </c>
      <c r="B13314" t="s">
        <v>305</v>
      </c>
    </row>
    <row r="13315" spans="1:2" x14ac:dyDescent="0.25">
      <c r="A13315" t="s">
        <v>4896</v>
      </c>
      <c r="B13315" t="s">
        <v>305</v>
      </c>
    </row>
    <row r="13316" spans="1:2" x14ac:dyDescent="0.25">
      <c r="A13316" t="s">
        <v>2605</v>
      </c>
      <c r="B13316" t="s">
        <v>305</v>
      </c>
    </row>
    <row r="13317" spans="1:2" x14ac:dyDescent="0.25">
      <c r="A13317" t="s">
        <v>3472</v>
      </c>
      <c r="B13317" t="s">
        <v>2781</v>
      </c>
    </row>
    <row r="13318" spans="1:2" x14ac:dyDescent="0.25">
      <c r="A13318" t="s">
        <v>10509</v>
      </c>
      <c r="B13318" t="s">
        <v>2781</v>
      </c>
    </row>
    <row r="13319" spans="1:2" x14ac:dyDescent="0.25">
      <c r="A13319" t="s">
        <v>9528</v>
      </c>
      <c r="B13319" t="s">
        <v>10509</v>
      </c>
    </row>
    <row r="13320" spans="1:2" x14ac:dyDescent="0.25">
      <c r="A13320" t="s">
        <v>6938</v>
      </c>
      <c r="B13320" t="s">
        <v>10509</v>
      </c>
    </row>
    <row r="13321" spans="1:2" x14ac:dyDescent="0.25">
      <c r="A13321" t="s">
        <v>8256</v>
      </c>
      <c r="B13321" t="s">
        <v>10509</v>
      </c>
    </row>
    <row r="13322" spans="1:2" x14ac:dyDescent="0.25">
      <c r="A13322" t="s">
        <v>2761</v>
      </c>
      <c r="B13322" t="s">
        <v>10509</v>
      </c>
    </row>
    <row r="13323" spans="1:2" x14ac:dyDescent="0.25">
      <c r="A13323" t="s">
        <v>8690</v>
      </c>
      <c r="B13323" t="s">
        <v>10509</v>
      </c>
    </row>
    <row r="13324" spans="1:2" x14ac:dyDescent="0.25">
      <c r="A13324" t="s">
        <v>9527</v>
      </c>
      <c r="B13324" t="s">
        <v>10509</v>
      </c>
    </row>
    <row r="13325" spans="1:2" x14ac:dyDescent="0.25">
      <c r="A13325" t="s">
        <v>9645</v>
      </c>
      <c r="B13325" t="s">
        <v>10509</v>
      </c>
    </row>
    <row r="13326" spans="1:2" x14ac:dyDescent="0.25">
      <c r="A13326" t="s">
        <v>5603</v>
      </c>
      <c r="B13326" t="s">
        <v>10509</v>
      </c>
    </row>
    <row r="13327" spans="1:2" x14ac:dyDescent="0.25">
      <c r="A13327" t="s">
        <v>1763</v>
      </c>
      <c r="B13327" t="s">
        <v>10509</v>
      </c>
    </row>
    <row r="13328" spans="1:2" x14ac:dyDescent="0.25">
      <c r="A13328" t="s">
        <v>6007</v>
      </c>
      <c r="B13328" t="s">
        <v>10509</v>
      </c>
    </row>
    <row r="13329" spans="1:2" x14ac:dyDescent="0.25">
      <c r="A13329" t="s">
        <v>2769</v>
      </c>
      <c r="B13329" t="s">
        <v>10509</v>
      </c>
    </row>
    <row r="13330" spans="1:2" x14ac:dyDescent="0.25">
      <c r="A13330" t="s">
        <v>13370</v>
      </c>
      <c r="B13330" t="s">
        <v>2781</v>
      </c>
    </row>
    <row r="13331" spans="1:2" x14ac:dyDescent="0.25">
      <c r="A13331" t="s">
        <v>9081</v>
      </c>
      <c r="B13331" t="s">
        <v>2781</v>
      </c>
    </row>
    <row r="13332" spans="1:2" x14ac:dyDescent="0.25">
      <c r="A13332" t="s">
        <v>10160</v>
      </c>
      <c r="B13332" t="s">
        <v>11226</v>
      </c>
    </row>
    <row r="13333" spans="1:2" x14ac:dyDescent="0.25">
      <c r="A13333" t="s">
        <v>6660</v>
      </c>
      <c r="B13333" t="s">
        <v>11226</v>
      </c>
    </row>
    <row r="13334" spans="1:2" x14ac:dyDescent="0.25">
      <c r="A13334" t="s">
        <v>13371</v>
      </c>
      <c r="B13334" t="s">
        <v>6660</v>
      </c>
    </row>
    <row r="13335" spans="1:2" x14ac:dyDescent="0.25">
      <c r="A13335" t="s">
        <v>13372</v>
      </c>
      <c r="B13335" t="s">
        <v>6660</v>
      </c>
    </row>
    <row r="13336" spans="1:2" x14ac:dyDescent="0.25">
      <c r="A13336" t="s">
        <v>11014</v>
      </c>
      <c r="B13336" t="s">
        <v>11226</v>
      </c>
    </row>
    <row r="13337" spans="1:2" x14ac:dyDescent="0.25">
      <c r="A13337" t="s">
        <v>5590</v>
      </c>
      <c r="B13337" t="s">
        <v>11014</v>
      </c>
    </row>
    <row r="13338" spans="1:2" x14ac:dyDescent="0.25">
      <c r="A13338" t="s">
        <v>12264</v>
      </c>
      <c r="B13338" t="s">
        <v>7922</v>
      </c>
    </row>
    <row r="13339" spans="1:2" x14ac:dyDescent="0.25">
      <c r="A13339" t="s">
        <v>10521</v>
      </c>
      <c r="B13339" t="s">
        <v>12264</v>
      </c>
    </row>
    <row r="13340" spans="1:2" x14ac:dyDescent="0.25">
      <c r="A13340" t="s">
        <v>6025</v>
      </c>
      <c r="B13340" t="s">
        <v>10521</v>
      </c>
    </row>
    <row r="13341" spans="1:2" x14ac:dyDescent="0.25">
      <c r="A13341" t="s">
        <v>6514</v>
      </c>
      <c r="B13341" t="s">
        <v>10521</v>
      </c>
    </row>
    <row r="13342" spans="1:2" x14ac:dyDescent="0.25">
      <c r="A13342" t="s">
        <v>6515</v>
      </c>
      <c r="B13342" t="s">
        <v>10521</v>
      </c>
    </row>
    <row r="13343" spans="1:2" x14ac:dyDescent="0.25">
      <c r="A13343" t="s">
        <v>9627</v>
      </c>
      <c r="B13343" t="s">
        <v>10521</v>
      </c>
    </row>
    <row r="13344" spans="1:2" x14ac:dyDescent="0.25">
      <c r="A13344" t="s">
        <v>2232</v>
      </c>
      <c r="B13344" t="s">
        <v>9627</v>
      </c>
    </row>
    <row r="13345" spans="1:2" x14ac:dyDescent="0.25">
      <c r="A13345" t="s">
        <v>8412</v>
      </c>
      <c r="B13345" t="s">
        <v>9627</v>
      </c>
    </row>
    <row r="13346" spans="1:2" x14ac:dyDescent="0.25">
      <c r="A13346" t="s">
        <v>4505</v>
      </c>
      <c r="B13346" t="s">
        <v>9627</v>
      </c>
    </row>
    <row r="13347" spans="1:2" x14ac:dyDescent="0.25">
      <c r="A13347" t="s">
        <v>4506</v>
      </c>
      <c r="B13347" t="s">
        <v>9627</v>
      </c>
    </row>
    <row r="13348" spans="1:2" x14ac:dyDescent="0.25">
      <c r="A13348" t="s">
        <v>6656</v>
      </c>
      <c r="B13348" t="s">
        <v>9627</v>
      </c>
    </row>
    <row r="13349" spans="1:2" x14ac:dyDescent="0.25">
      <c r="A13349" t="s">
        <v>6657</v>
      </c>
      <c r="B13349" t="s">
        <v>9627</v>
      </c>
    </row>
    <row r="13350" spans="1:2" x14ac:dyDescent="0.25">
      <c r="A13350" t="s">
        <v>7915</v>
      </c>
      <c r="B13350" t="s">
        <v>9627</v>
      </c>
    </row>
    <row r="13351" spans="1:2" x14ac:dyDescent="0.25">
      <c r="A13351" t="s">
        <v>12472</v>
      </c>
      <c r="B13351" t="s">
        <v>12264</v>
      </c>
    </row>
    <row r="13352" spans="1:2" x14ac:dyDescent="0.25">
      <c r="A13352" t="s">
        <v>9546</v>
      </c>
      <c r="B13352" t="s">
        <v>12472</v>
      </c>
    </row>
    <row r="13353" spans="1:2" x14ac:dyDescent="0.25">
      <c r="A13353" t="s">
        <v>13616</v>
      </c>
      <c r="B13353" t="s">
        <v>12472</v>
      </c>
    </row>
    <row r="13354" spans="1:2" x14ac:dyDescent="0.25">
      <c r="A13354" t="s">
        <v>1793</v>
      </c>
      <c r="B13354" t="s">
        <v>13616</v>
      </c>
    </row>
    <row r="13355" spans="1:2" x14ac:dyDescent="0.25">
      <c r="A13355" t="s">
        <v>3758</v>
      </c>
      <c r="B13355" t="s">
        <v>13616</v>
      </c>
    </row>
    <row r="13356" spans="1:2" x14ac:dyDescent="0.25">
      <c r="A13356" t="s">
        <v>611</v>
      </c>
      <c r="B13356" t="s">
        <v>13616</v>
      </c>
    </row>
    <row r="13357" spans="1:2" x14ac:dyDescent="0.25">
      <c r="A13357" t="s">
        <v>3256</v>
      </c>
      <c r="B13357" t="s">
        <v>13616</v>
      </c>
    </row>
    <row r="13358" spans="1:2" x14ac:dyDescent="0.25">
      <c r="A13358" t="s">
        <v>4745</v>
      </c>
      <c r="B13358" t="s">
        <v>13616</v>
      </c>
    </row>
    <row r="13359" spans="1:2" x14ac:dyDescent="0.25">
      <c r="A13359" t="s">
        <v>4746</v>
      </c>
      <c r="B13359" t="s">
        <v>13616</v>
      </c>
    </row>
    <row r="13360" spans="1:2" x14ac:dyDescent="0.25">
      <c r="A13360" t="s">
        <v>4252</v>
      </c>
      <c r="B13360" t="s">
        <v>12472</v>
      </c>
    </row>
    <row r="13361" spans="1:2" x14ac:dyDescent="0.25">
      <c r="A13361" t="s">
        <v>12300</v>
      </c>
      <c r="B13361" t="s">
        <v>12264</v>
      </c>
    </row>
    <row r="13362" spans="1:2" x14ac:dyDescent="0.25">
      <c r="A13362" t="s">
        <v>5617</v>
      </c>
      <c r="B13362" t="s">
        <v>12300</v>
      </c>
    </row>
    <row r="13363" spans="1:2" x14ac:dyDescent="0.25">
      <c r="A13363" t="s">
        <v>6158</v>
      </c>
      <c r="B13363" t="s">
        <v>12300</v>
      </c>
    </row>
    <row r="13364" spans="1:2" x14ac:dyDescent="0.25">
      <c r="A13364" t="s">
        <v>11015</v>
      </c>
      <c r="B13364" t="s">
        <v>12300</v>
      </c>
    </row>
    <row r="13365" spans="1:2" x14ac:dyDescent="0.25">
      <c r="A13365" t="s">
        <v>5591</v>
      </c>
      <c r="B13365" t="s">
        <v>11015</v>
      </c>
    </row>
    <row r="13366" spans="1:2" x14ac:dyDescent="0.25">
      <c r="A13366" t="s">
        <v>6661</v>
      </c>
      <c r="B13366" t="s">
        <v>12264</v>
      </c>
    </row>
    <row r="13367" spans="1:2" x14ac:dyDescent="0.25">
      <c r="A13367" t="s">
        <v>13888</v>
      </c>
      <c r="B13367" t="s">
        <v>6661</v>
      </c>
    </row>
    <row r="13368" spans="1:2" x14ac:dyDescent="0.25">
      <c r="A13368" t="s">
        <v>13893</v>
      </c>
      <c r="B13368" t="s">
        <v>6661</v>
      </c>
    </row>
    <row r="13369" spans="1:2" x14ac:dyDescent="0.25">
      <c r="A13369" t="s">
        <v>13922</v>
      </c>
      <c r="B13369" t="s">
        <v>6661</v>
      </c>
    </row>
    <row r="13370" spans="1:2" x14ac:dyDescent="0.25">
      <c r="A13370" t="s">
        <v>13894</v>
      </c>
      <c r="B13370" t="s">
        <v>6661</v>
      </c>
    </row>
    <row r="13371" spans="1:2" x14ac:dyDescent="0.25">
      <c r="A13371" t="s">
        <v>11805</v>
      </c>
      <c r="B13371" t="s">
        <v>13894</v>
      </c>
    </row>
    <row r="13372" spans="1:2" x14ac:dyDescent="0.25">
      <c r="A13372" t="s">
        <v>9883</v>
      </c>
      <c r="B13372" t="s">
        <v>11805</v>
      </c>
    </row>
    <row r="13373" spans="1:2" x14ac:dyDescent="0.25">
      <c r="A13373" t="s">
        <v>8697</v>
      </c>
      <c r="B13373" t="s">
        <v>11805</v>
      </c>
    </row>
    <row r="13374" spans="1:2" x14ac:dyDescent="0.25">
      <c r="A13374" t="s">
        <v>9073</v>
      </c>
      <c r="B13374" t="s">
        <v>11805</v>
      </c>
    </row>
    <row r="13375" spans="1:2" x14ac:dyDescent="0.25">
      <c r="A13375" t="s">
        <v>6000</v>
      </c>
      <c r="B13375" t="s">
        <v>11805</v>
      </c>
    </row>
    <row r="13376" spans="1:2" x14ac:dyDescent="0.25">
      <c r="A13376" t="s">
        <v>9074</v>
      </c>
      <c r="B13376" t="s">
        <v>11805</v>
      </c>
    </row>
    <row r="13377" spans="1:2" x14ac:dyDescent="0.25">
      <c r="A13377" t="s">
        <v>7896</v>
      </c>
      <c r="B13377" t="s">
        <v>11805</v>
      </c>
    </row>
    <row r="13378" spans="1:2" x14ac:dyDescent="0.25">
      <c r="A13378" t="s">
        <v>9072</v>
      </c>
      <c r="B13378" t="s">
        <v>11805</v>
      </c>
    </row>
    <row r="13379" spans="1:2" x14ac:dyDescent="0.25">
      <c r="A13379" t="s">
        <v>8695</v>
      </c>
      <c r="B13379" t="s">
        <v>11805</v>
      </c>
    </row>
    <row r="13380" spans="1:2" x14ac:dyDescent="0.25">
      <c r="A13380" t="s">
        <v>9529</v>
      </c>
      <c r="B13380" t="s">
        <v>11805</v>
      </c>
    </row>
    <row r="13381" spans="1:2" x14ac:dyDescent="0.25">
      <c r="A13381" t="s">
        <v>8696</v>
      </c>
      <c r="B13381" t="s">
        <v>11805</v>
      </c>
    </row>
    <row r="13382" spans="1:2" x14ac:dyDescent="0.25">
      <c r="A13382" t="s">
        <v>10647</v>
      </c>
      <c r="B13382" t="s">
        <v>11805</v>
      </c>
    </row>
    <row r="13383" spans="1:2" x14ac:dyDescent="0.25">
      <c r="A13383" t="s">
        <v>10929</v>
      </c>
      <c r="B13383" t="s">
        <v>6661</v>
      </c>
    </row>
    <row r="13384" spans="1:2" x14ac:dyDescent="0.25">
      <c r="A13384" t="s">
        <v>4743</v>
      </c>
      <c r="B13384" t="s">
        <v>6661</v>
      </c>
    </row>
    <row r="13385" spans="1:2" x14ac:dyDescent="0.25">
      <c r="A13385" t="s">
        <v>13500</v>
      </c>
      <c r="B13385" t="s">
        <v>12264</v>
      </c>
    </row>
    <row r="13386" spans="1:2" x14ac:dyDescent="0.25">
      <c r="A13386" t="s">
        <v>13502</v>
      </c>
      <c r="B13386" t="s">
        <v>13500</v>
      </c>
    </row>
    <row r="13387" spans="1:2" x14ac:dyDescent="0.25">
      <c r="A13387" t="s">
        <v>13501</v>
      </c>
      <c r="B13387" t="s">
        <v>13502</v>
      </c>
    </row>
    <row r="13388" spans="1:2" x14ac:dyDescent="0.25">
      <c r="A13388" t="s">
        <v>1781</v>
      </c>
      <c r="B13388" t="s">
        <v>13501</v>
      </c>
    </row>
    <row r="13389" spans="1:2" x14ac:dyDescent="0.25">
      <c r="A13389" t="s">
        <v>2794</v>
      </c>
      <c r="B13389" t="s">
        <v>13501</v>
      </c>
    </row>
    <row r="13390" spans="1:2" x14ac:dyDescent="0.25">
      <c r="A13390" t="s">
        <v>3253</v>
      </c>
      <c r="B13390" t="s">
        <v>13501</v>
      </c>
    </row>
    <row r="13391" spans="1:2" x14ac:dyDescent="0.25">
      <c r="A13391" t="s">
        <v>5192</v>
      </c>
      <c r="B13391" t="s">
        <v>13501</v>
      </c>
    </row>
    <row r="13392" spans="1:2" x14ac:dyDescent="0.25">
      <c r="A13392" t="s">
        <v>3756</v>
      </c>
      <c r="B13392" t="s">
        <v>13501</v>
      </c>
    </row>
    <row r="13393" spans="1:2" x14ac:dyDescent="0.25">
      <c r="A13393" t="s">
        <v>3757</v>
      </c>
      <c r="B13393" t="s">
        <v>13501</v>
      </c>
    </row>
    <row r="13394" spans="1:2" x14ac:dyDescent="0.25">
      <c r="A13394" t="s">
        <v>2796</v>
      </c>
      <c r="B13394" t="s">
        <v>13501</v>
      </c>
    </row>
    <row r="13395" spans="1:2" x14ac:dyDescent="0.25">
      <c r="A13395" t="s">
        <v>5194</v>
      </c>
      <c r="B13395" t="s">
        <v>13501</v>
      </c>
    </row>
    <row r="13396" spans="1:2" x14ac:dyDescent="0.25">
      <c r="A13396" t="s">
        <v>11229</v>
      </c>
      <c r="B13396" t="s">
        <v>13501</v>
      </c>
    </row>
    <row r="13397" spans="1:2" x14ac:dyDescent="0.25">
      <c r="A13397" t="s">
        <v>6962</v>
      </c>
      <c r="B13397" t="s">
        <v>13502</v>
      </c>
    </row>
    <row r="13398" spans="1:2" x14ac:dyDescent="0.25">
      <c r="A13398" t="s">
        <v>1780</v>
      </c>
      <c r="B13398" t="s">
        <v>6962</v>
      </c>
    </row>
    <row r="13399" spans="1:2" x14ac:dyDescent="0.25">
      <c r="A13399" t="s">
        <v>2792</v>
      </c>
      <c r="B13399" t="s">
        <v>6962</v>
      </c>
    </row>
    <row r="13400" spans="1:2" x14ac:dyDescent="0.25">
      <c r="A13400" t="s">
        <v>591</v>
      </c>
      <c r="B13400" t="s">
        <v>2792</v>
      </c>
    </row>
    <row r="13401" spans="1:2" x14ac:dyDescent="0.25">
      <c r="A13401" t="s">
        <v>592</v>
      </c>
      <c r="B13401" t="s">
        <v>2792</v>
      </c>
    </row>
    <row r="13402" spans="1:2" x14ac:dyDescent="0.25">
      <c r="A13402" t="s">
        <v>593</v>
      </c>
      <c r="B13402" t="s">
        <v>2792</v>
      </c>
    </row>
    <row r="13403" spans="1:2" x14ac:dyDescent="0.25">
      <c r="A13403" t="s">
        <v>1783</v>
      </c>
      <c r="B13403" t="s">
        <v>2792</v>
      </c>
    </row>
    <row r="13404" spans="1:2" x14ac:dyDescent="0.25">
      <c r="A13404" t="s">
        <v>594</v>
      </c>
      <c r="B13404" t="s">
        <v>2792</v>
      </c>
    </row>
    <row r="13405" spans="1:2" x14ac:dyDescent="0.25">
      <c r="A13405" t="s">
        <v>2793</v>
      </c>
      <c r="B13405" t="s">
        <v>2792</v>
      </c>
    </row>
    <row r="13406" spans="1:2" x14ac:dyDescent="0.25">
      <c r="A13406" t="s">
        <v>595</v>
      </c>
      <c r="B13406" t="s">
        <v>6962</v>
      </c>
    </row>
    <row r="13407" spans="1:2" x14ac:dyDescent="0.25">
      <c r="A13407" t="s">
        <v>1784</v>
      </c>
      <c r="B13407" t="s">
        <v>595</v>
      </c>
    </row>
    <row r="13408" spans="1:2" x14ac:dyDescent="0.25">
      <c r="A13408" t="s">
        <v>4249</v>
      </c>
      <c r="B13408" t="s">
        <v>595</v>
      </c>
    </row>
    <row r="13409" spans="1:2" x14ac:dyDescent="0.25">
      <c r="A13409" t="s">
        <v>4742</v>
      </c>
      <c r="B13409" t="s">
        <v>595</v>
      </c>
    </row>
    <row r="13410" spans="1:2" x14ac:dyDescent="0.25">
      <c r="A13410" t="s">
        <v>3754</v>
      </c>
      <c r="B13410" t="s">
        <v>6962</v>
      </c>
    </row>
    <row r="13411" spans="1:2" x14ac:dyDescent="0.25">
      <c r="A13411" t="s">
        <v>596</v>
      </c>
      <c r="B13411" t="s">
        <v>3754</v>
      </c>
    </row>
    <row r="13412" spans="1:2" x14ac:dyDescent="0.25">
      <c r="A13412" t="s">
        <v>597</v>
      </c>
      <c r="B13412" t="s">
        <v>3754</v>
      </c>
    </row>
    <row r="13413" spans="1:2" x14ac:dyDescent="0.25">
      <c r="A13413" t="s">
        <v>598</v>
      </c>
      <c r="B13413" t="s">
        <v>3754</v>
      </c>
    </row>
    <row r="13414" spans="1:2" x14ac:dyDescent="0.25">
      <c r="A13414" t="s">
        <v>599</v>
      </c>
      <c r="B13414" t="s">
        <v>3754</v>
      </c>
    </row>
    <row r="13415" spans="1:2" x14ac:dyDescent="0.25">
      <c r="A13415" t="s">
        <v>600</v>
      </c>
      <c r="B13415" t="s">
        <v>3754</v>
      </c>
    </row>
    <row r="13416" spans="1:2" x14ac:dyDescent="0.25">
      <c r="A13416" t="s">
        <v>601</v>
      </c>
      <c r="B13416" t="s">
        <v>3754</v>
      </c>
    </row>
    <row r="13417" spans="1:2" x14ac:dyDescent="0.25">
      <c r="A13417" t="s">
        <v>602</v>
      </c>
      <c r="B13417" t="s">
        <v>3754</v>
      </c>
    </row>
    <row r="13418" spans="1:2" x14ac:dyDescent="0.25">
      <c r="A13418" t="s">
        <v>1785</v>
      </c>
      <c r="B13418" t="s">
        <v>3754</v>
      </c>
    </row>
    <row r="13419" spans="1:2" x14ac:dyDescent="0.25">
      <c r="A13419" t="s">
        <v>1786</v>
      </c>
      <c r="B13419" t="s">
        <v>3754</v>
      </c>
    </row>
    <row r="13420" spans="1:2" x14ac:dyDescent="0.25">
      <c r="A13420" t="s">
        <v>603</v>
      </c>
      <c r="B13420" t="s">
        <v>3754</v>
      </c>
    </row>
    <row r="13421" spans="1:2" x14ac:dyDescent="0.25">
      <c r="A13421" t="s">
        <v>1787</v>
      </c>
      <c r="B13421" t="s">
        <v>3754</v>
      </c>
    </row>
    <row r="13422" spans="1:2" x14ac:dyDescent="0.25">
      <c r="A13422" t="s">
        <v>3254</v>
      </c>
      <c r="B13422" t="s">
        <v>3754</v>
      </c>
    </row>
    <row r="13423" spans="1:2" x14ac:dyDescent="0.25">
      <c r="A13423" t="s">
        <v>5193</v>
      </c>
      <c r="B13423" t="s">
        <v>6962</v>
      </c>
    </row>
    <row r="13424" spans="1:2" x14ac:dyDescent="0.25">
      <c r="A13424" t="s">
        <v>3755</v>
      </c>
      <c r="B13424" t="s">
        <v>6962</v>
      </c>
    </row>
    <row r="13425" spans="1:2" x14ac:dyDescent="0.25">
      <c r="A13425" t="s">
        <v>604</v>
      </c>
      <c r="B13425" t="s">
        <v>3755</v>
      </c>
    </row>
    <row r="13426" spans="1:2" x14ac:dyDescent="0.25">
      <c r="A13426" t="s">
        <v>605</v>
      </c>
      <c r="B13426" t="s">
        <v>3755</v>
      </c>
    </row>
    <row r="13427" spans="1:2" x14ac:dyDescent="0.25">
      <c r="A13427" t="s">
        <v>2360</v>
      </c>
      <c r="B13427" t="s">
        <v>3755</v>
      </c>
    </row>
    <row r="13428" spans="1:2" x14ac:dyDescent="0.25">
      <c r="A13428" t="s">
        <v>1788</v>
      </c>
      <c r="B13428" t="s">
        <v>3755</v>
      </c>
    </row>
    <row r="13429" spans="1:2" x14ac:dyDescent="0.25">
      <c r="A13429" t="s">
        <v>2361</v>
      </c>
      <c r="B13429" t="s">
        <v>3755</v>
      </c>
    </row>
    <row r="13430" spans="1:2" x14ac:dyDescent="0.25">
      <c r="A13430" t="s">
        <v>1789</v>
      </c>
      <c r="B13430" t="s">
        <v>3755</v>
      </c>
    </row>
    <row r="13431" spans="1:2" x14ac:dyDescent="0.25">
      <c r="A13431" t="s">
        <v>1790</v>
      </c>
      <c r="B13431" t="s">
        <v>3755</v>
      </c>
    </row>
    <row r="13432" spans="1:2" x14ac:dyDescent="0.25">
      <c r="A13432" t="s">
        <v>1613</v>
      </c>
      <c r="B13432" t="s">
        <v>3755</v>
      </c>
    </row>
    <row r="13433" spans="1:2" x14ac:dyDescent="0.25">
      <c r="A13433" t="s">
        <v>4250</v>
      </c>
      <c r="B13433" t="s">
        <v>6962</v>
      </c>
    </row>
    <row r="13434" spans="1:2" x14ac:dyDescent="0.25">
      <c r="A13434" t="s">
        <v>606</v>
      </c>
      <c r="B13434" t="s">
        <v>4250</v>
      </c>
    </row>
    <row r="13435" spans="1:2" x14ac:dyDescent="0.25">
      <c r="A13435" t="s">
        <v>2795</v>
      </c>
      <c r="B13435" t="s">
        <v>4250</v>
      </c>
    </row>
    <row r="13436" spans="1:2" x14ac:dyDescent="0.25">
      <c r="A13436" t="s">
        <v>1791</v>
      </c>
      <c r="B13436" t="s">
        <v>4250</v>
      </c>
    </row>
    <row r="13437" spans="1:2" x14ac:dyDescent="0.25">
      <c r="A13437" t="s">
        <v>3255</v>
      </c>
      <c r="B13437" t="s">
        <v>4250</v>
      </c>
    </row>
    <row r="13438" spans="1:2" x14ac:dyDescent="0.25">
      <c r="A13438" t="s">
        <v>607</v>
      </c>
      <c r="B13438" t="s">
        <v>4250</v>
      </c>
    </row>
    <row r="13439" spans="1:2" x14ac:dyDescent="0.25">
      <c r="A13439" t="s">
        <v>9545</v>
      </c>
      <c r="B13439" t="s">
        <v>6962</v>
      </c>
    </row>
    <row r="13440" spans="1:2" x14ac:dyDescent="0.25">
      <c r="A13440" t="s">
        <v>10931</v>
      </c>
      <c r="B13440" t="s">
        <v>13502</v>
      </c>
    </row>
    <row r="13441" spans="1:2" x14ac:dyDescent="0.25">
      <c r="A13441" t="s">
        <v>10525</v>
      </c>
      <c r="B13441" t="s">
        <v>10931</v>
      </c>
    </row>
    <row r="13442" spans="1:2" x14ac:dyDescent="0.25">
      <c r="A13442" t="s">
        <v>6029</v>
      </c>
      <c r="B13442" t="s">
        <v>10931</v>
      </c>
    </row>
    <row r="13443" spans="1:2" x14ac:dyDescent="0.25">
      <c r="A13443" t="s">
        <v>6525</v>
      </c>
      <c r="B13443" t="s">
        <v>10931</v>
      </c>
    </row>
    <row r="13444" spans="1:2" x14ac:dyDescent="0.25">
      <c r="A13444" t="s">
        <v>3258</v>
      </c>
      <c r="B13444" t="s">
        <v>6525</v>
      </c>
    </row>
    <row r="13445" spans="1:2" x14ac:dyDescent="0.25">
      <c r="A13445" t="s">
        <v>615</v>
      </c>
      <c r="B13445" t="s">
        <v>6525</v>
      </c>
    </row>
    <row r="13446" spans="1:2" x14ac:dyDescent="0.25">
      <c r="A13446" t="s">
        <v>3259</v>
      </c>
      <c r="B13446" t="s">
        <v>6525</v>
      </c>
    </row>
    <row r="13447" spans="1:2" x14ac:dyDescent="0.25">
      <c r="A13447" t="s">
        <v>2805</v>
      </c>
      <c r="B13447" t="s">
        <v>10931</v>
      </c>
    </row>
    <row r="13448" spans="1:2" x14ac:dyDescent="0.25">
      <c r="A13448" t="s">
        <v>2364</v>
      </c>
      <c r="B13448" t="s">
        <v>2805</v>
      </c>
    </row>
    <row r="13449" spans="1:2" x14ac:dyDescent="0.25">
      <c r="A13449" t="s">
        <v>2365</v>
      </c>
      <c r="B13449" t="s">
        <v>2805</v>
      </c>
    </row>
    <row r="13450" spans="1:2" x14ac:dyDescent="0.25">
      <c r="A13450" t="s">
        <v>2366</v>
      </c>
      <c r="B13450" t="s">
        <v>2805</v>
      </c>
    </row>
    <row r="13451" spans="1:2" x14ac:dyDescent="0.25">
      <c r="A13451" t="s">
        <v>5199</v>
      </c>
      <c r="B13451" t="s">
        <v>10931</v>
      </c>
    </row>
    <row r="13452" spans="1:2" x14ac:dyDescent="0.25">
      <c r="A13452" t="s">
        <v>4256</v>
      </c>
      <c r="B13452" t="s">
        <v>5199</v>
      </c>
    </row>
    <row r="13453" spans="1:2" x14ac:dyDescent="0.25">
      <c r="A13453" t="s">
        <v>7654</v>
      </c>
      <c r="B13453" t="s">
        <v>10931</v>
      </c>
    </row>
    <row r="13454" spans="1:2" x14ac:dyDescent="0.25">
      <c r="A13454" t="s">
        <v>5625</v>
      </c>
      <c r="B13454" t="s">
        <v>7654</v>
      </c>
    </row>
    <row r="13455" spans="1:2" x14ac:dyDescent="0.25">
      <c r="A13455" t="s">
        <v>3260</v>
      </c>
      <c r="B13455" t="s">
        <v>7654</v>
      </c>
    </row>
    <row r="13456" spans="1:2" x14ac:dyDescent="0.25">
      <c r="A13456" t="s">
        <v>3261</v>
      </c>
      <c r="B13456" t="s">
        <v>7654</v>
      </c>
    </row>
    <row r="13457" spans="1:2" x14ac:dyDescent="0.25">
      <c r="A13457" t="s">
        <v>3766</v>
      </c>
      <c r="B13457" t="s">
        <v>7654</v>
      </c>
    </row>
    <row r="13458" spans="1:2" x14ac:dyDescent="0.25">
      <c r="A13458" t="s">
        <v>3767</v>
      </c>
      <c r="B13458" t="s">
        <v>7654</v>
      </c>
    </row>
    <row r="13459" spans="1:2" x14ac:dyDescent="0.25">
      <c r="A13459" t="s">
        <v>5626</v>
      </c>
      <c r="B13459" t="s">
        <v>7654</v>
      </c>
    </row>
    <row r="13460" spans="1:2" x14ac:dyDescent="0.25">
      <c r="A13460" t="s">
        <v>310</v>
      </c>
      <c r="B13460" t="s">
        <v>10931</v>
      </c>
    </row>
    <row r="13461" spans="1:2" x14ac:dyDescent="0.25">
      <c r="A13461" t="s">
        <v>616</v>
      </c>
      <c r="B13461" t="s">
        <v>310</v>
      </c>
    </row>
    <row r="13462" spans="1:2" x14ac:dyDescent="0.25">
      <c r="A13462" t="s">
        <v>1608</v>
      </c>
      <c r="B13462" t="s">
        <v>310</v>
      </c>
    </row>
    <row r="13463" spans="1:2" x14ac:dyDescent="0.25">
      <c r="A13463" t="s">
        <v>7655</v>
      </c>
      <c r="B13463" t="s">
        <v>10931</v>
      </c>
    </row>
    <row r="13464" spans="1:2" x14ac:dyDescent="0.25">
      <c r="A13464" t="s">
        <v>617</v>
      </c>
      <c r="B13464" t="s">
        <v>7655</v>
      </c>
    </row>
    <row r="13465" spans="1:2" x14ac:dyDescent="0.25">
      <c r="A13465" t="s">
        <v>4257</v>
      </c>
      <c r="B13465" t="s">
        <v>7655</v>
      </c>
    </row>
    <row r="13466" spans="1:2" x14ac:dyDescent="0.25">
      <c r="A13466" t="s">
        <v>4258</v>
      </c>
      <c r="B13466" t="s">
        <v>7655</v>
      </c>
    </row>
    <row r="13467" spans="1:2" x14ac:dyDescent="0.25">
      <c r="A13467" t="s">
        <v>2806</v>
      </c>
      <c r="B13467" t="s">
        <v>7655</v>
      </c>
    </row>
    <row r="13468" spans="1:2" x14ac:dyDescent="0.25">
      <c r="A13468" t="s">
        <v>5627</v>
      </c>
      <c r="B13468" t="s">
        <v>10931</v>
      </c>
    </row>
    <row r="13469" spans="1:2" x14ac:dyDescent="0.25">
      <c r="A13469" t="s">
        <v>618</v>
      </c>
      <c r="B13469" t="s">
        <v>5627</v>
      </c>
    </row>
    <row r="13470" spans="1:2" x14ac:dyDescent="0.25">
      <c r="A13470" t="s">
        <v>2367</v>
      </c>
      <c r="B13470" t="s">
        <v>5627</v>
      </c>
    </row>
    <row r="13471" spans="1:2" x14ac:dyDescent="0.25">
      <c r="A13471" t="s">
        <v>3768</v>
      </c>
      <c r="B13471" t="s">
        <v>5627</v>
      </c>
    </row>
    <row r="13472" spans="1:2" x14ac:dyDescent="0.25">
      <c r="A13472" t="s">
        <v>2368</v>
      </c>
      <c r="B13472" t="s">
        <v>5627</v>
      </c>
    </row>
    <row r="13473" spans="1:2" x14ac:dyDescent="0.25">
      <c r="A13473" t="s">
        <v>619</v>
      </c>
      <c r="B13473" t="s">
        <v>5627</v>
      </c>
    </row>
    <row r="13474" spans="1:2" x14ac:dyDescent="0.25">
      <c r="A13474" t="s">
        <v>1794</v>
      </c>
      <c r="B13474" t="s">
        <v>5627</v>
      </c>
    </row>
    <row r="13475" spans="1:2" x14ac:dyDescent="0.25">
      <c r="A13475" t="s">
        <v>3769</v>
      </c>
      <c r="B13475" t="s">
        <v>5627</v>
      </c>
    </row>
    <row r="13476" spans="1:2" x14ac:dyDescent="0.25">
      <c r="A13476" t="s">
        <v>1506</v>
      </c>
      <c r="B13476" t="s">
        <v>5627</v>
      </c>
    </row>
    <row r="13477" spans="1:2" x14ac:dyDescent="0.25">
      <c r="A13477" t="s">
        <v>1607</v>
      </c>
      <c r="B13477" t="s">
        <v>5627</v>
      </c>
    </row>
    <row r="13478" spans="1:2" x14ac:dyDescent="0.25">
      <c r="A13478" t="s">
        <v>8273</v>
      </c>
      <c r="B13478" t="s">
        <v>10931</v>
      </c>
    </row>
    <row r="13479" spans="1:2" x14ac:dyDescent="0.25">
      <c r="A13479" t="s">
        <v>3262</v>
      </c>
      <c r="B13479" t="s">
        <v>8273</v>
      </c>
    </row>
    <row r="13480" spans="1:2" x14ac:dyDescent="0.25">
      <c r="A13480" t="s">
        <v>5628</v>
      </c>
      <c r="B13480" t="s">
        <v>8273</v>
      </c>
    </row>
    <row r="13481" spans="1:2" x14ac:dyDescent="0.25">
      <c r="A13481" t="s">
        <v>620</v>
      </c>
      <c r="B13481" t="s">
        <v>8273</v>
      </c>
    </row>
    <row r="13482" spans="1:2" x14ac:dyDescent="0.25">
      <c r="A13482" t="s">
        <v>3252</v>
      </c>
      <c r="B13482" t="s">
        <v>13502</v>
      </c>
    </row>
    <row r="13483" spans="1:2" x14ac:dyDescent="0.25">
      <c r="A13483" t="s">
        <v>13503</v>
      </c>
      <c r="B13483" t="s">
        <v>12264</v>
      </c>
    </row>
    <row r="13484" spans="1:2" x14ac:dyDescent="0.25">
      <c r="A13484" t="s">
        <v>11313</v>
      </c>
      <c r="B13484" t="s">
        <v>13503</v>
      </c>
    </row>
    <row r="13485" spans="1:2" x14ac:dyDescent="0.25">
      <c r="A13485" t="s">
        <v>11937</v>
      </c>
      <c r="B13485" t="s">
        <v>13503</v>
      </c>
    </row>
    <row r="13486" spans="1:2" x14ac:dyDescent="0.25">
      <c r="A13486" t="s">
        <v>4253</v>
      </c>
      <c r="B13486" t="s">
        <v>13503</v>
      </c>
    </row>
    <row r="13487" spans="1:2" x14ac:dyDescent="0.25">
      <c r="A13487" t="s">
        <v>12634</v>
      </c>
      <c r="B13487" t="s">
        <v>4253</v>
      </c>
    </row>
    <row r="13488" spans="1:2" x14ac:dyDescent="0.25">
      <c r="A13488" t="s">
        <v>442</v>
      </c>
      <c r="B13488" t="s">
        <v>12634</v>
      </c>
    </row>
    <row r="13489" spans="1:2" x14ac:dyDescent="0.25">
      <c r="A13489" t="s">
        <v>4748</v>
      </c>
      <c r="B13489" t="s">
        <v>12634</v>
      </c>
    </row>
    <row r="13490" spans="1:2" x14ac:dyDescent="0.25">
      <c r="A13490" t="s">
        <v>1951</v>
      </c>
      <c r="B13490" t="s">
        <v>12634</v>
      </c>
    </row>
    <row r="13491" spans="1:2" x14ac:dyDescent="0.25">
      <c r="A13491" t="s">
        <v>1956</v>
      </c>
      <c r="B13491" t="s">
        <v>12634</v>
      </c>
    </row>
    <row r="13492" spans="1:2" x14ac:dyDescent="0.25">
      <c r="A13492" t="s">
        <v>2900</v>
      </c>
      <c r="B13492" t="s">
        <v>12634</v>
      </c>
    </row>
    <row r="13493" spans="1:2" x14ac:dyDescent="0.25">
      <c r="A13493" t="s">
        <v>2901</v>
      </c>
      <c r="B13493" t="s">
        <v>12634</v>
      </c>
    </row>
    <row r="13494" spans="1:2" x14ac:dyDescent="0.25">
      <c r="A13494" t="s">
        <v>1137</v>
      </c>
      <c r="B13494" t="s">
        <v>12634</v>
      </c>
    </row>
    <row r="13495" spans="1:2" x14ac:dyDescent="0.25">
      <c r="A13495" t="s">
        <v>2904</v>
      </c>
      <c r="B13495" t="s">
        <v>12634</v>
      </c>
    </row>
    <row r="13496" spans="1:2" x14ac:dyDescent="0.25">
      <c r="A13496" t="s">
        <v>12829</v>
      </c>
      <c r="B13496" t="s">
        <v>12634</v>
      </c>
    </row>
    <row r="13497" spans="1:2" x14ac:dyDescent="0.25">
      <c r="A13497" t="s">
        <v>13504</v>
      </c>
      <c r="B13497" t="s">
        <v>4253</v>
      </c>
    </row>
    <row r="13498" spans="1:2" x14ac:dyDescent="0.25">
      <c r="A13498" t="s">
        <v>4749</v>
      </c>
      <c r="B13498" t="s">
        <v>13504</v>
      </c>
    </row>
    <row r="13499" spans="1:2" x14ac:dyDescent="0.25">
      <c r="A13499" t="s">
        <v>3762</v>
      </c>
      <c r="B13499" t="s">
        <v>13504</v>
      </c>
    </row>
    <row r="13500" spans="1:2" x14ac:dyDescent="0.25">
      <c r="A13500" t="s">
        <v>8713</v>
      </c>
      <c r="B13500" t="s">
        <v>13504</v>
      </c>
    </row>
    <row r="13501" spans="1:2" x14ac:dyDescent="0.25">
      <c r="A13501" t="s">
        <v>4254</v>
      </c>
      <c r="B13501" t="s">
        <v>13503</v>
      </c>
    </row>
    <row r="13502" spans="1:2" x14ac:dyDescent="0.25">
      <c r="A13502" t="s">
        <v>13505</v>
      </c>
      <c r="B13502" t="s">
        <v>4254</v>
      </c>
    </row>
    <row r="13503" spans="1:2" x14ac:dyDescent="0.25">
      <c r="A13503" t="s">
        <v>8707</v>
      </c>
      <c r="B13503" t="s">
        <v>13505</v>
      </c>
    </row>
    <row r="13504" spans="1:2" x14ac:dyDescent="0.25">
      <c r="A13504" t="s">
        <v>12265</v>
      </c>
      <c r="B13504" t="s">
        <v>13505</v>
      </c>
    </row>
    <row r="13505" spans="1:2" x14ac:dyDescent="0.25">
      <c r="A13505" t="s">
        <v>6520</v>
      </c>
      <c r="B13505" t="s">
        <v>13505</v>
      </c>
    </row>
    <row r="13506" spans="1:2" x14ac:dyDescent="0.25">
      <c r="A13506" t="s">
        <v>10523</v>
      </c>
      <c r="B13506" t="s">
        <v>13505</v>
      </c>
    </row>
    <row r="13507" spans="1:2" x14ac:dyDescent="0.25">
      <c r="A13507" t="s">
        <v>8710</v>
      </c>
      <c r="B13507" t="s">
        <v>13505</v>
      </c>
    </row>
    <row r="13508" spans="1:2" x14ac:dyDescent="0.25">
      <c r="A13508" t="s">
        <v>5620</v>
      </c>
      <c r="B13508" t="s">
        <v>13505</v>
      </c>
    </row>
    <row r="13509" spans="1:2" x14ac:dyDescent="0.25">
      <c r="A13509" t="s">
        <v>7652</v>
      </c>
      <c r="B13509" t="s">
        <v>13505</v>
      </c>
    </row>
    <row r="13510" spans="1:2" x14ac:dyDescent="0.25">
      <c r="A13510" t="s">
        <v>5196</v>
      </c>
      <c r="B13510" t="s">
        <v>13505</v>
      </c>
    </row>
    <row r="13511" spans="1:2" x14ac:dyDescent="0.25">
      <c r="A13511" t="s">
        <v>6519</v>
      </c>
      <c r="B13511" t="s">
        <v>13505</v>
      </c>
    </row>
    <row r="13512" spans="1:2" x14ac:dyDescent="0.25">
      <c r="A13512" t="s">
        <v>10522</v>
      </c>
      <c r="B13512" t="s">
        <v>13505</v>
      </c>
    </row>
    <row r="13513" spans="1:2" x14ac:dyDescent="0.25">
      <c r="A13513" t="s">
        <v>8708</v>
      </c>
      <c r="B13513" t="s">
        <v>13505</v>
      </c>
    </row>
    <row r="13514" spans="1:2" x14ac:dyDescent="0.25">
      <c r="A13514" t="s">
        <v>8709</v>
      </c>
      <c r="B13514" t="s">
        <v>13505</v>
      </c>
    </row>
    <row r="13515" spans="1:2" x14ac:dyDescent="0.25">
      <c r="A13515" t="s">
        <v>6521</v>
      </c>
      <c r="B13515" t="s">
        <v>13505</v>
      </c>
    </row>
    <row r="13516" spans="1:2" x14ac:dyDescent="0.25">
      <c r="A13516" t="s">
        <v>10524</v>
      </c>
      <c r="B13516" t="s">
        <v>13505</v>
      </c>
    </row>
    <row r="13517" spans="1:2" x14ac:dyDescent="0.25">
      <c r="A13517" t="s">
        <v>8711</v>
      </c>
      <c r="B13517" t="s">
        <v>13505</v>
      </c>
    </row>
    <row r="13518" spans="1:2" x14ac:dyDescent="0.25">
      <c r="A13518" t="s">
        <v>5621</v>
      </c>
      <c r="B13518" t="s">
        <v>13505</v>
      </c>
    </row>
    <row r="13519" spans="1:2" x14ac:dyDescent="0.25">
      <c r="A13519" t="s">
        <v>309</v>
      </c>
      <c r="B13519" t="s">
        <v>13505</v>
      </c>
    </row>
    <row r="13520" spans="1:2" x14ac:dyDescent="0.25">
      <c r="A13520" t="s">
        <v>8712</v>
      </c>
      <c r="B13520" t="s">
        <v>13505</v>
      </c>
    </row>
    <row r="13521" spans="1:2" x14ac:dyDescent="0.25">
      <c r="A13521" t="s">
        <v>3761</v>
      </c>
      <c r="B13521" t="s">
        <v>13505</v>
      </c>
    </row>
    <row r="13522" spans="1:2" x14ac:dyDescent="0.25">
      <c r="A13522" t="s">
        <v>2803</v>
      </c>
      <c r="B13522" t="s">
        <v>13505</v>
      </c>
    </row>
    <row r="13523" spans="1:2" x14ac:dyDescent="0.25">
      <c r="A13523" t="s">
        <v>5197</v>
      </c>
      <c r="B13523" t="s">
        <v>13505</v>
      </c>
    </row>
    <row r="13524" spans="1:2" x14ac:dyDescent="0.25">
      <c r="A13524" t="s">
        <v>3763</v>
      </c>
      <c r="B13524" t="s">
        <v>13505</v>
      </c>
    </row>
    <row r="13525" spans="1:2" x14ac:dyDescent="0.25">
      <c r="A13525" t="s">
        <v>5619</v>
      </c>
      <c r="B13525" t="s">
        <v>13505</v>
      </c>
    </row>
    <row r="13526" spans="1:2" x14ac:dyDescent="0.25">
      <c r="A13526" t="s">
        <v>7653</v>
      </c>
      <c r="B13526" t="s">
        <v>13505</v>
      </c>
    </row>
    <row r="13527" spans="1:2" x14ac:dyDescent="0.25">
      <c r="A13527" t="s">
        <v>6027</v>
      </c>
      <c r="B13527" t="s">
        <v>13505</v>
      </c>
    </row>
    <row r="13528" spans="1:2" x14ac:dyDescent="0.25">
      <c r="A13528" t="s">
        <v>8271</v>
      </c>
      <c r="B13528" t="s">
        <v>13505</v>
      </c>
    </row>
    <row r="13529" spans="1:2" x14ac:dyDescent="0.25">
      <c r="A13529" t="s">
        <v>9891</v>
      </c>
      <c r="B13529" t="s">
        <v>13505</v>
      </c>
    </row>
    <row r="13530" spans="1:2" x14ac:dyDescent="0.25">
      <c r="A13530" t="s">
        <v>4482</v>
      </c>
      <c r="B13530" t="s">
        <v>13505</v>
      </c>
    </row>
    <row r="13531" spans="1:2" x14ac:dyDescent="0.25">
      <c r="A13531" t="s">
        <v>5195</v>
      </c>
      <c r="B13531" t="s">
        <v>13505</v>
      </c>
    </row>
    <row r="13532" spans="1:2" x14ac:dyDescent="0.25">
      <c r="A13532" t="s">
        <v>3257</v>
      </c>
      <c r="B13532" t="s">
        <v>13505</v>
      </c>
    </row>
    <row r="13533" spans="1:2" x14ac:dyDescent="0.25">
      <c r="A13533" t="s">
        <v>13506</v>
      </c>
      <c r="B13533" t="s">
        <v>4254</v>
      </c>
    </row>
    <row r="13534" spans="1:2" x14ac:dyDescent="0.25">
      <c r="A13534" t="s">
        <v>3759</v>
      </c>
      <c r="B13534" t="s">
        <v>13506</v>
      </c>
    </row>
    <row r="13535" spans="1:2" x14ac:dyDescent="0.25">
      <c r="A13535" t="s">
        <v>4747</v>
      </c>
      <c r="B13535" t="s">
        <v>13506</v>
      </c>
    </row>
    <row r="13536" spans="1:2" x14ac:dyDescent="0.25">
      <c r="A13536" t="s">
        <v>2801</v>
      </c>
      <c r="B13536" t="s">
        <v>13506</v>
      </c>
    </row>
    <row r="13537" spans="1:2" x14ac:dyDescent="0.25">
      <c r="A13537" t="s">
        <v>6517</v>
      </c>
      <c r="B13537" t="s">
        <v>13506</v>
      </c>
    </row>
    <row r="13538" spans="1:2" x14ac:dyDescent="0.25">
      <c r="A13538" t="s">
        <v>612</v>
      </c>
      <c r="B13538" t="s">
        <v>13506</v>
      </c>
    </row>
    <row r="13539" spans="1:2" x14ac:dyDescent="0.25">
      <c r="A13539" t="s">
        <v>2800</v>
      </c>
      <c r="B13539" t="s">
        <v>13506</v>
      </c>
    </row>
    <row r="13540" spans="1:2" x14ac:dyDescent="0.25">
      <c r="A13540" t="s">
        <v>6516</v>
      </c>
      <c r="B13540" t="s">
        <v>13506</v>
      </c>
    </row>
    <row r="13541" spans="1:2" x14ac:dyDescent="0.25">
      <c r="A13541" t="s">
        <v>2802</v>
      </c>
      <c r="B13541" t="s">
        <v>13506</v>
      </c>
    </row>
    <row r="13542" spans="1:2" x14ac:dyDescent="0.25">
      <c r="A13542" t="s">
        <v>6518</v>
      </c>
      <c r="B13542" t="s">
        <v>13506</v>
      </c>
    </row>
    <row r="13543" spans="1:2" x14ac:dyDescent="0.25">
      <c r="A13543" t="s">
        <v>105</v>
      </c>
      <c r="B13543" t="s">
        <v>13506</v>
      </c>
    </row>
    <row r="13544" spans="1:2" x14ac:dyDescent="0.25">
      <c r="A13544" t="s">
        <v>3760</v>
      </c>
      <c r="B13544" t="s">
        <v>13506</v>
      </c>
    </row>
    <row r="13545" spans="1:2" x14ac:dyDescent="0.25">
      <c r="A13545" t="s">
        <v>2362</v>
      </c>
      <c r="B13545" t="s">
        <v>13506</v>
      </c>
    </row>
    <row r="13546" spans="1:2" x14ac:dyDescent="0.25">
      <c r="A13546" t="s">
        <v>6026</v>
      </c>
      <c r="B13546" t="s">
        <v>13506</v>
      </c>
    </row>
    <row r="13547" spans="1:2" x14ac:dyDescent="0.25">
      <c r="A13547" t="s">
        <v>13507</v>
      </c>
      <c r="B13547" t="s">
        <v>12264</v>
      </c>
    </row>
    <row r="13548" spans="1:2" x14ac:dyDescent="0.25">
      <c r="A13548" t="s">
        <v>6522</v>
      </c>
      <c r="B13548" t="s">
        <v>13507</v>
      </c>
    </row>
    <row r="13549" spans="1:2" x14ac:dyDescent="0.25">
      <c r="A13549" t="s">
        <v>6961</v>
      </c>
      <c r="B13549" t="s">
        <v>6522</v>
      </c>
    </row>
    <row r="13550" spans="1:2" x14ac:dyDescent="0.25">
      <c r="A13550" t="s">
        <v>2355</v>
      </c>
      <c r="B13550" t="s">
        <v>6961</v>
      </c>
    </row>
    <row r="13551" spans="1:2" x14ac:dyDescent="0.25">
      <c r="A13551" t="s">
        <v>439</v>
      </c>
      <c r="B13551" t="s">
        <v>6961</v>
      </c>
    </row>
    <row r="13552" spans="1:2" x14ac:dyDescent="0.25">
      <c r="A13552" t="s">
        <v>1777</v>
      </c>
      <c r="B13552" t="s">
        <v>439</v>
      </c>
    </row>
    <row r="13553" spans="1:2" x14ac:dyDescent="0.25">
      <c r="A13553" t="s">
        <v>2786</v>
      </c>
      <c r="B13553" t="s">
        <v>439</v>
      </c>
    </row>
    <row r="13554" spans="1:2" x14ac:dyDescent="0.25">
      <c r="A13554" t="s">
        <v>2787</v>
      </c>
      <c r="B13554" t="s">
        <v>6961</v>
      </c>
    </row>
    <row r="13555" spans="1:2" x14ac:dyDescent="0.25">
      <c r="A13555" t="s">
        <v>4247</v>
      </c>
      <c r="B13555" t="s">
        <v>2787</v>
      </c>
    </row>
    <row r="13556" spans="1:2" x14ac:dyDescent="0.25">
      <c r="A13556" t="s">
        <v>2356</v>
      </c>
      <c r="B13556" t="s">
        <v>2787</v>
      </c>
    </row>
    <row r="13557" spans="1:2" x14ac:dyDescent="0.25">
      <c r="A13557" t="s">
        <v>4739</v>
      </c>
      <c r="B13557" t="s">
        <v>6961</v>
      </c>
    </row>
    <row r="13558" spans="1:2" x14ac:dyDescent="0.25">
      <c r="A13558" t="s">
        <v>9890</v>
      </c>
      <c r="B13558" t="s">
        <v>4739</v>
      </c>
    </row>
    <row r="13559" spans="1:2" x14ac:dyDescent="0.25">
      <c r="A13559" t="s">
        <v>583</v>
      </c>
      <c r="B13559" t="s">
        <v>6961</v>
      </c>
    </row>
    <row r="13560" spans="1:2" x14ac:dyDescent="0.25">
      <c r="A13560" t="s">
        <v>1778</v>
      </c>
      <c r="B13560" t="s">
        <v>583</v>
      </c>
    </row>
    <row r="13561" spans="1:2" x14ac:dyDescent="0.25">
      <c r="A13561" t="s">
        <v>2357</v>
      </c>
      <c r="B13561" t="s">
        <v>6961</v>
      </c>
    </row>
    <row r="13562" spans="1:2" x14ac:dyDescent="0.25">
      <c r="A13562" t="s">
        <v>1779</v>
      </c>
      <c r="B13562" t="s">
        <v>2357</v>
      </c>
    </row>
    <row r="13563" spans="1:2" x14ac:dyDescent="0.25">
      <c r="A13563" t="s">
        <v>10930</v>
      </c>
      <c r="B13563" t="s">
        <v>6522</v>
      </c>
    </row>
    <row r="13564" spans="1:2" x14ac:dyDescent="0.25">
      <c r="A13564" t="s">
        <v>6028</v>
      </c>
      <c r="B13564" t="s">
        <v>10930</v>
      </c>
    </row>
    <row r="13565" spans="1:2" x14ac:dyDescent="0.25">
      <c r="A13565" t="s">
        <v>613</v>
      </c>
      <c r="B13565" t="s">
        <v>10930</v>
      </c>
    </row>
    <row r="13566" spans="1:2" x14ac:dyDescent="0.25">
      <c r="A13566" t="s">
        <v>5622</v>
      </c>
      <c r="B13566" t="s">
        <v>613</v>
      </c>
    </row>
    <row r="13567" spans="1:2" x14ac:dyDescent="0.25">
      <c r="A13567" t="s">
        <v>2363</v>
      </c>
      <c r="B13567" t="s">
        <v>613</v>
      </c>
    </row>
    <row r="13568" spans="1:2" x14ac:dyDescent="0.25">
      <c r="A13568" t="s">
        <v>2804</v>
      </c>
      <c r="B13568" t="s">
        <v>10930</v>
      </c>
    </row>
    <row r="13569" spans="1:2" x14ac:dyDescent="0.25">
      <c r="A13569" t="s">
        <v>6523</v>
      </c>
      <c r="B13569" t="s">
        <v>2804</v>
      </c>
    </row>
    <row r="13570" spans="1:2" x14ac:dyDescent="0.25">
      <c r="A13570" t="s">
        <v>614</v>
      </c>
      <c r="B13570" t="s">
        <v>10930</v>
      </c>
    </row>
    <row r="13571" spans="1:2" x14ac:dyDescent="0.25">
      <c r="A13571" t="s">
        <v>11748</v>
      </c>
      <c r="B13571" t="s">
        <v>614</v>
      </c>
    </row>
    <row r="13572" spans="1:2" x14ac:dyDescent="0.25">
      <c r="A13572" t="s">
        <v>3764</v>
      </c>
      <c r="B13572" t="s">
        <v>614</v>
      </c>
    </row>
    <row r="13573" spans="1:2" x14ac:dyDescent="0.25">
      <c r="A13573" t="s">
        <v>4255</v>
      </c>
      <c r="B13573" t="s">
        <v>10930</v>
      </c>
    </row>
    <row r="13574" spans="1:2" x14ac:dyDescent="0.25">
      <c r="A13574" t="s">
        <v>5198</v>
      </c>
      <c r="B13574" t="s">
        <v>4255</v>
      </c>
    </row>
    <row r="13575" spans="1:2" x14ac:dyDescent="0.25">
      <c r="A13575" t="s">
        <v>5624</v>
      </c>
      <c r="B13575" t="s">
        <v>10930</v>
      </c>
    </row>
    <row r="13576" spans="1:2" x14ac:dyDescent="0.25">
      <c r="A13576" t="s">
        <v>3765</v>
      </c>
      <c r="B13576" t="s">
        <v>5624</v>
      </c>
    </row>
    <row r="13577" spans="1:2" x14ac:dyDescent="0.25">
      <c r="A13577" t="s">
        <v>8272</v>
      </c>
      <c r="B13577" t="s">
        <v>10930</v>
      </c>
    </row>
    <row r="13578" spans="1:2" x14ac:dyDescent="0.25">
      <c r="A13578" t="s">
        <v>6524</v>
      </c>
      <c r="B13578" t="s">
        <v>8272</v>
      </c>
    </row>
    <row r="13579" spans="1:2" x14ac:dyDescent="0.25">
      <c r="A13579" t="s">
        <v>3980</v>
      </c>
      <c r="B13579" t="s">
        <v>10930</v>
      </c>
    </row>
    <row r="13580" spans="1:2" x14ac:dyDescent="0.25">
      <c r="A13580" t="s">
        <v>2604</v>
      </c>
      <c r="B13580" t="s">
        <v>3980</v>
      </c>
    </row>
    <row r="13581" spans="1:2" x14ac:dyDescent="0.25">
      <c r="A13581" t="s">
        <v>7892</v>
      </c>
      <c r="B13581" t="s">
        <v>10930</v>
      </c>
    </row>
    <row r="13582" spans="1:2" x14ac:dyDescent="0.25">
      <c r="A13582" t="s">
        <v>5623</v>
      </c>
      <c r="B13582" t="s">
        <v>7892</v>
      </c>
    </row>
    <row r="13583" spans="1:2" x14ac:dyDescent="0.25">
      <c r="A13583" t="s">
        <v>13508</v>
      </c>
      <c r="B13583" t="s">
        <v>6522</v>
      </c>
    </row>
    <row r="13584" spans="1:2" x14ac:dyDescent="0.25">
      <c r="A13584" t="s">
        <v>440</v>
      </c>
      <c r="B13584" t="s">
        <v>13508</v>
      </c>
    </row>
    <row r="13585" spans="1:2" x14ac:dyDescent="0.25">
      <c r="A13585" t="s">
        <v>2788</v>
      </c>
      <c r="B13585" t="s">
        <v>13508</v>
      </c>
    </row>
    <row r="13586" spans="1:2" x14ac:dyDescent="0.25">
      <c r="A13586" t="s">
        <v>13509</v>
      </c>
      <c r="B13586" t="s">
        <v>12264</v>
      </c>
    </row>
    <row r="13587" spans="1:2" x14ac:dyDescent="0.25">
      <c r="A13587" t="s">
        <v>13617</v>
      </c>
      <c r="B13587" t="s">
        <v>13509</v>
      </c>
    </row>
    <row r="13588" spans="1:2" x14ac:dyDescent="0.25">
      <c r="A13588" t="s">
        <v>2798</v>
      </c>
      <c r="B13588" t="s">
        <v>13617</v>
      </c>
    </row>
    <row r="13589" spans="1:2" x14ac:dyDescent="0.25">
      <c r="A13589" t="s">
        <v>2797</v>
      </c>
      <c r="B13589" t="s">
        <v>13617</v>
      </c>
    </row>
    <row r="13590" spans="1:2" x14ac:dyDescent="0.25">
      <c r="A13590" t="s">
        <v>2224</v>
      </c>
      <c r="B13590" t="s">
        <v>13617</v>
      </c>
    </row>
    <row r="13591" spans="1:2" x14ac:dyDescent="0.25">
      <c r="A13591" t="s">
        <v>1614</v>
      </c>
      <c r="B13591" t="s">
        <v>13617</v>
      </c>
    </row>
    <row r="13592" spans="1:2" x14ac:dyDescent="0.25">
      <c r="A13592" t="s">
        <v>9249</v>
      </c>
      <c r="B13592" t="s">
        <v>13509</v>
      </c>
    </row>
    <row r="13593" spans="1:2" x14ac:dyDescent="0.25">
      <c r="A13593" t="s">
        <v>608</v>
      </c>
      <c r="B13593" t="s">
        <v>9249</v>
      </c>
    </row>
    <row r="13594" spans="1:2" x14ac:dyDescent="0.25">
      <c r="A13594" t="s">
        <v>609</v>
      </c>
      <c r="B13594" t="s">
        <v>9249</v>
      </c>
    </row>
    <row r="13595" spans="1:2" x14ac:dyDescent="0.25">
      <c r="A13595" t="s">
        <v>4251</v>
      </c>
      <c r="B13595" t="s">
        <v>9249</v>
      </c>
    </row>
    <row r="13596" spans="1:2" x14ac:dyDescent="0.25">
      <c r="A13596" t="s">
        <v>610</v>
      </c>
      <c r="B13596" t="s">
        <v>9249</v>
      </c>
    </row>
    <row r="13597" spans="1:2" x14ac:dyDescent="0.25">
      <c r="A13597" t="s">
        <v>1792</v>
      </c>
      <c r="B13597" t="s">
        <v>9249</v>
      </c>
    </row>
    <row r="13598" spans="1:2" x14ac:dyDescent="0.25">
      <c r="A13598" t="s">
        <v>14218</v>
      </c>
      <c r="B13598" t="s">
        <v>12264</v>
      </c>
    </row>
    <row r="13599" spans="1:2" x14ac:dyDescent="0.25">
      <c r="A13599" t="s">
        <v>2369</v>
      </c>
      <c r="B13599" t="s">
        <v>14218</v>
      </c>
    </row>
    <row r="13600" spans="1:2" x14ac:dyDescent="0.25">
      <c r="A13600" t="s">
        <v>4744</v>
      </c>
      <c r="B13600" t="s">
        <v>2369</v>
      </c>
    </row>
    <row r="13601" spans="1:2" x14ac:dyDescent="0.25">
      <c r="A13601" t="s">
        <v>1795</v>
      </c>
      <c r="B13601" t="s">
        <v>2369</v>
      </c>
    </row>
    <row r="13602" spans="1:2" x14ac:dyDescent="0.25">
      <c r="A13602" t="s">
        <v>3263</v>
      </c>
      <c r="B13602" t="s">
        <v>2369</v>
      </c>
    </row>
    <row r="13603" spans="1:2" x14ac:dyDescent="0.25">
      <c r="A13603" t="s">
        <v>13510</v>
      </c>
      <c r="B13603" t="s">
        <v>2369</v>
      </c>
    </row>
    <row r="13604" spans="1:2" x14ac:dyDescent="0.25">
      <c r="A13604" t="s">
        <v>14255</v>
      </c>
      <c r="B13604" t="s">
        <v>12264</v>
      </c>
    </row>
    <row r="13605" spans="1:2" x14ac:dyDescent="0.25">
      <c r="A13605" t="s">
        <v>6170</v>
      </c>
      <c r="B13605" t="s">
        <v>14255</v>
      </c>
    </row>
    <row r="13606" spans="1:2" x14ac:dyDescent="0.25">
      <c r="A13606" t="s">
        <v>5618</v>
      </c>
      <c r="B13606" t="s">
        <v>6170</v>
      </c>
    </row>
    <row r="13607" spans="1:2" x14ac:dyDescent="0.25">
      <c r="A13607" t="s">
        <v>2784</v>
      </c>
      <c r="B13607" t="s">
        <v>5618</v>
      </c>
    </row>
    <row r="13608" spans="1:2" x14ac:dyDescent="0.25">
      <c r="A13608" t="s">
        <v>3753</v>
      </c>
      <c r="B13608" t="s">
        <v>5618</v>
      </c>
    </row>
    <row r="13609" spans="1:2" x14ac:dyDescent="0.25">
      <c r="A13609" t="s">
        <v>580</v>
      </c>
      <c r="B13609" t="s">
        <v>3753</v>
      </c>
    </row>
    <row r="13610" spans="1:2" x14ac:dyDescent="0.25">
      <c r="A13610" t="s">
        <v>1775</v>
      </c>
      <c r="B13610" t="s">
        <v>3753</v>
      </c>
    </row>
    <row r="13611" spans="1:2" x14ac:dyDescent="0.25">
      <c r="A13611" t="s">
        <v>581</v>
      </c>
      <c r="B13611" t="s">
        <v>3753</v>
      </c>
    </row>
    <row r="13612" spans="1:2" x14ac:dyDescent="0.25">
      <c r="A13612" t="s">
        <v>582</v>
      </c>
      <c r="B13612" t="s">
        <v>3753</v>
      </c>
    </row>
    <row r="13613" spans="1:2" x14ac:dyDescent="0.25">
      <c r="A13613" t="s">
        <v>2785</v>
      </c>
      <c r="B13613" t="s">
        <v>3753</v>
      </c>
    </row>
    <row r="13614" spans="1:2" x14ac:dyDescent="0.25">
      <c r="A13614" t="s">
        <v>2354</v>
      </c>
      <c r="B13614" t="s">
        <v>5618</v>
      </c>
    </row>
    <row r="13615" spans="1:2" x14ac:dyDescent="0.25">
      <c r="A13615" t="s">
        <v>1776</v>
      </c>
      <c r="B13615" t="s">
        <v>2354</v>
      </c>
    </row>
    <row r="13616" spans="1:2" x14ac:dyDescent="0.25">
      <c r="A13616" t="s">
        <v>2185</v>
      </c>
      <c r="B13616" t="s">
        <v>5618</v>
      </c>
    </row>
    <row r="13617" spans="1:2" x14ac:dyDescent="0.25">
      <c r="A13617" t="s">
        <v>100</v>
      </c>
      <c r="B13617" t="s">
        <v>2185</v>
      </c>
    </row>
    <row r="13618" spans="1:2" x14ac:dyDescent="0.25">
      <c r="A13618" t="s">
        <v>101</v>
      </c>
      <c r="B13618" t="s">
        <v>2185</v>
      </c>
    </row>
    <row r="13619" spans="1:2" x14ac:dyDescent="0.25">
      <c r="A13619" t="s">
        <v>102</v>
      </c>
      <c r="B13619" t="s">
        <v>2185</v>
      </c>
    </row>
    <row r="13620" spans="1:2" x14ac:dyDescent="0.25">
      <c r="A13620" t="s">
        <v>306</v>
      </c>
      <c r="B13620" t="s">
        <v>2185</v>
      </c>
    </row>
    <row r="13621" spans="1:2" x14ac:dyDescent="0.25">
      <c r="A13621" t="s">
        <v>2186</v>
      </c>
      <c r="B13621" t="s">
        <v>5618</v>
      </c>
    </row>
    <row r="13622" spans="1:2" x14ac:dyDescent="0.25">
      <c r="A13622" t="s">
        <v>103</v>
      </c>
      <c r="B13622" t="s">
        <v>2186</v>
      </c>
    </row>
    <row r="13623" spans="1:2" x14ac:dyDescent="0.25">
      <c r="A13623" t="s">
        <v>9544</v>
      </c>
      <c r="B13623" t="s">
        <v>6170</v>
      </c>
    </row>
    <row r="13624" spans="1:2" x14ac:dyDescent="0.25">
      <c r="A13624" t="s">
        <v>4740</v>
      </c>
      <c r="B13624" t="s">
        <v>9544</v>
      </c>
    </row>
    <row r="13625" spans="1:2" x14ac:dyDescent="0.25">
      <c r="A13625" t="s">
        <v>7651</v>
      </c>
      <c r="B13625" t="s">
        <v>9544</v>
      </c>
    </row>
    <row r="13626" spans="1:2" x14ac:dyDescent="0.25">
      <c r="A13626" t="s">
        <v>2358</v>
      </c>
      <c r="B13626" t="s">
        <v>7651</v>
      </c>
    </row>
    <row r="13627" spans="1:2" x14ac:dyDescent="0.25">
      <c r="A13627" t="s">
        <v>4248</v>
      </c>
      <c r="B13627" t="s">
        <v>7651</v>
      </c>
    </row>
    <row r="13628" spans="1:2" x14ac:dyDescent="0.25">
      <c r="A13628" t="s">
        <v>12471</v>
      </c>
      <c r="B13628" t="s">
        <v>7651</v>
      </c>
    </row>
    <row r="13629" spans="1:2" x14ac:dyDescent="0.25">
      <c r="A13629" t="s">
        <v>2790</v>
      </c>
      <c r="B13629" t="s">
        <v>7651</v>
      </c>
    </row>
    <row r="13630" spans="1:2" x14ac:dyDescent="0.25">
      <c r="A13630" t="s">
        <v>4741</v>
      </c>
      <c r="B13630" t="s">
        <v>7651</v>
      </c>
    </row>
    <row r="13631" spans="1:2" x14ac:dyDescent="0.25">
      <c r="A13631" t="s">
        <v>4485</v>
      </c>
      <c r="B13631" t="s">
        <v>7651</v>
      </c>
    </row>
    <row r="13632" spans="1:2" x14ac:dyDescent="0.25">
      <c r="A13632" t="s">
        <v>6157</v>
      </c>
      <c r="B13632" t="s">
        <v>9544</v>
      </c>
    </row>
    <row r="13633" spans="1:2" x14ac:dyDescent="0.25">
      <c r="A13633" t="s">
        <v>5750</v>
      </c>
      <c r="B13633" t="s">
        <v>9544</v>
      </c>
    </row>
    <row r="13634" spans="1:2" x14ac:dyDescent="0.25">
      <c r="A13634" t="s">
        <v>3250</v>
      </c>
      <c r="B13634" t="s">
        <v>5750</v>
      </c>
    </row>
    <row r="13635" spans="1:2" x14ac:dyDescent="0.25">
      <c r="A13635" t="s">
        <v>2789</v>
      </c>
      <c r="B13635" t="s">
        <v>5750</v>
      </c>
    </row>
    <row r="13636" spans="1:2" x14ac:dyDescent="0.25">
      <c r="A13636" t="s">
        <v>307</v>
      </c>
      <c r="B13636" t="s">
        <v>5750</v>
      </c>
    </row>
    <row r="13637" spans="1:2" x14ac:dyDescent="0.25">
      <c r="A13637" t="s">
        <v>5751</v>
      </c>
      <c r="B13637" t="s">
        <v>9544</v>
      </c>
    </row>
    <row r="13638" spans="1:2" x14ac:dyDescent="0.25">
      <c r="A13638" t="s">
        <v>3251</v>
      </c>
      <c r="B13638" t="s">
        <v>5751</v>
      </c>
    </row>
    <row r="13639" spans="1:2" x14ac:dyDescent="0.25">
      <c r="A13639" t="s">
        <v>14256</v>
      </c>
      <c r="B13639" t="s">
        <v>12264</v>
      </c>
    </row>
    <row r="13640" spans="1:2" x14ac:dyDescent="0.25">
      <c r="A13640" t="s">
        <v>5376</v>
      </c>
      <c r="B13640" t="s">
        <v>14256</v>
      </c>
    </row>
    <row r="13641" spans="1:2" x14ac:dyDescent="0.25">
      <c r="A13641" t="s">
        <v>5771</v>
      </c>
      <c r="B13641" t="s">
        <v>5376</v>
      </c>
    </row>
    <row r="13642" spans="1:2" x14ac:dyDescent="0.25">
      <c r="A13642" t="s">
        <v>10538</v>
      </c>
      <c r="B13642" t="s">
        <v>5771</v>
      </c>
    </row>
    <row r="13643" spans="1:2" x14ac:dyDescent="0.25">
      <c r="A13643" t="s">
        <v>8311</v>
      </c>
      <c r="B13643" t="s">
        <v>5771</v>
      </c>
    </row>
    <row r="13644" spans="1:2" x14ac:dyDescent="0.25">
      <c r="A13644" t="s">
        <v>8312</v>
      </c>
      <c r="B13644" t="s">
        <v>5771</v>
      </c>
    </row>
    <row r="13645" spans="1:2" x14ac:dyDescent="0.25">
      <c r="A13645" t="s">
        <v>8740</v>
      </c>
      <c r="B13645" t="s">
        <v>5771</v>
      </c>
    </row>
    <row r="13646" spans="1:2" x14ac:dyDescent="0.25">
      <c r="A13646" t="s">
        <v>3329</v>
      </c>
      <c r="B13646" t="s">
        <v>5771</v>
      </c>
    </row>
    <row r="13647" spans="1:2" x14ac:dyDescent="0.25">
      <c r="A13647" t="s">
        <v>9665</v>
      </c>
      <c r="B13647" t="s">
        <v>5376</v>
      </c>
    </row>
    <row r="13648" spans="1:2" x14ac:dyDescent="0.25">
      <c r="A13648" t="s">
        <v>4309</v>
      </c>
      <c r="B13648" t="s">
        <v>9665</v>
      </c>
    </row>
    <row r="13649" spans="1:2" x14ac:dyDescent="0.25">
      <c r="A13649" t="s">
        <v>7223</v>
      </c>
      <c r="B13649" t="s">
        <v>9665</v>
      </c>
    </row>
    <row r="13650" spans="1:2" x14ac:dyDescent="0.25">
      <c r="A13650" t="s">
        <v>10615</v>
      </c>
      <c r="B13650" t="s">
        <v>9665</v>
      </c>
    </row>
    <row r="13651" spans="1:2" x14ac:dyDescent="0.25">
      <c r="A13651" t="s">
        <v>441</v>
      </c>
      <c r="B13651" t="s">
        <v>9665</v>
      </c>
    </row>
    <row r="13652" spans="1:2" x14ac:dyDescent="0.25">
      <c r="A13652" t="s">
        <v>1768</v>
      </c>
      <c r="B13652" t="s">
        <v>7922</v>
      </c>
    </row>
    <row r="13653" spans="1:2" x14ac:dyDescent="0.25">
      <c r="A13653" t="s">
        <v>9539</v>
      </c>
      <c r="B13653" t="s">
        <v>1768</v>
      </c>
    </row>
    <row r="13654" spans="1:2" x14ac:dyDescent="0.25">
      <c r="A13654" t="s">
        <v>5615</v>
      </c>
      <c r="B13654" t="s">
        <v>9539</v>
      </c>
    </row>
    <row r="13655" spans="1:2" x14ac:dyDescent="0.25">
      <c r="A13655" t="s">
        <v>9091</v>
      </c>
      <c r="B13655" t="s">
        <v>9539</v>
      </c>
    </row>
    <row r="13656" spans="1:2" x14ac:dyDescent="0.25">
      <c r="A13656" t="s">
        <v>9226</v>
      </c>
      <c r="B13656" t="s">
        <v>9539</v>
      </c>
    </row>
    <row r="13657" spans="1:2" x14ac:dyDescent="0.25">
      <c r="A13657" t="s">
        <v>7917</v>
      </c>
      <c r="B13657" t="s">
        <v>9226</v>
      </c>
    </row>
    <row r="13658" spans="1:2" x14ac:dyDescent="0.25">
      <c r="A13658" t="s">
        <v>7918</v>
      </c>
      <c r="B13658" t="s">
        <v>9226</v>
      </c>
    </row>
    <row r="13659" spans="1:2" x14ac:dyDescent="0.25">
      <c r="A13659" t="s">
        <v>3996</v>
      </c>
      <c r="B13659" t="s">
        <v>9226</v>
      </c>
    </row>
    <row r="13660" spans="1:2" x14ac:dyDescent="0.25">
      <c r="A13660" t="s">
        <v>3997</v>
      </c>
      <c r="B13660" t="s">
        <v>9226</v>
      </c>
    </row>
    <row r="13661" spans="1:2" x14ac:dyDescent="0.25">
      <c r="A13661" t="s">
        <v>6192</v>
      </c>
      <c r="B13661" t="s">
        <v>9226</v>
      </c>
    </row>
    <row r="13662" spans="1:2" x14ac:dyDescent="0.25">
      <c r="A13662" t="s">
        <v>6193</v>
      </c>
      <c r="B13662" t="s">
        <v>9226</v>
      </c>
    </row>
    <row r="13663" spans="1:2" x14ac:dyDescent="0.25">
      <c r="A13663" t="s">
        <v>7307</v>
      </c>
      <c r="B13663" t="s">
        <v>9226</v>
      </c>
    </row>
    <row r="13664" spans="1:2" x14ac:dyDescent="0.25">
      <c r="A13664" t="s">
        <v>9254</v>
      </c>
      <c r="B13664" t="s">
        <v>9539</v>
      </c>
    </row>
    <row r="13665" spans="1:2" x14ac:dyDescent="0.25">
      <c r="A13665" t="s">
        <v>5187</v>
      </c>
      <c r="B13665" t="s">
        <v>1768</v>
      </c>
    </row>
    <row r="13666" spans="1:2" x14ac:dyDescent="0.25">
      <c r="A13666" t="s">
        <v>5188</v>
      </c>
      <c r="B13666" t="s">
        <v>5187</v>
      </c>
    </row>
    <row r="13667" spans="1:2" x14ac:dyDescent="0.25">
      <c r="A13667" t="s">
        <v>6959</v>
      </c>
      <c r="B13667" t="s">
        <v>5188</v>
      </c>
    </row>
    <row r="13668" spans="1:2" x14ac:dyDescent="0.25">
      <c r="A13668" t="s">
        <v>2353</v>
      </c>
      <c r="B13668" t="s">
        <v>5188</v>
      </c>
    </row>
    <row r="13669" spans="1:2" x14ac:dyDescent="0.25">
      <c r="A13669" t="s">
        <v>4738</v>
      </c>
      <c r="B13669" t="s">
        <v>5188</v>
      </c>
    </row>
    <row r="13670" spans="1:2" x14ac:dyDescent="0.25">
      <c r="A13670" t="s">
        <v>9542</v>
      </c>
      <c r="B13670" t="s">
        <v>5187</v>
      </c>
    </row>
    <row r="13671" spans="1:2" x14ac:dyDescent="0.25">
      <c r="A13671" t="s">
        <v>10520</v>
      </c>
      <c r="B13671" t="s">
        <v>9542</v>
      </c>
    </row>
    <row r="13672" spans="1:2" x14ac:dyDescent="0.25">
      <c r="A13672" t="s">
        <v>5616</v>
      </c>
      <c r="B13672" t="s">
        <v>5187</v>
      </c>
    </row>
    <row r="13673" spans="1:2" x14ac:dyDescent="0.25">
      <c r="A13673" t="s">
        <v>7649</v>
      </c>
      <c r="B13673" t="s">
        <v>5616</v>
      </c>
    </row>
    <row r="13674" spans="1:2" x14ac:dyDescent="0.25">
      <c r="A13674" t="s">
        <v>9096</v>
      </c>
      <c r="B13674" t="s">
        <v>5616</v>
      </c>
    </row>
    <row r="13675" spans="1:2" x14ac:dyDescent="0.25">
      <c r="A13675" t="s">
        <v>6511</v>
      </c>
      <c r="B13675" t="s">
        <v>5616</v>
      </c>
    </row>
    <row r="13676" spans="1:2" x14ac:dyDescent="0.25">
      <c r="A13676" t="s">
        <v>1772</v>
      </c>
      <c r="B13676" t="s">
        <v>5616</v>
      </c>
    </row>
    <row r="13677" spans="1:2" x14ac:dyDescent="0.25">
      <c r="A13677" t="s">
        <v>6512</v>
      </c>
      <c r="B13677" t="s">
        <v>5616</v>
      </c>
    </row>
    <row r="13678" spans="1:2" x14ac:dyDescent="0.25">
      <c r="A13678" t="s">
        <v>5189</v>
      </c>
      <c r="B13678" t="s">
        <v>5616</v>
      </c>
    </row>
    <row r="13679" spans="1:2" x14ac:dyDescent="0.25">
      <c r="A13679" t="s">
        <v>9097</v>
      </c>
      <c r="B13679" t="s">
        <v>5616</v>
      </c>
    </row>
    <row r="13680" spans="1:2" x14ac:dyDescent="0.25">
      <c r="A13680" t="s">
        <v>99</v>
      </c>
      <c r="B13680" t="s">
        <v>5187</v>
      </c>
    </row>
    <row r="13681" spans="1:2" x14ac:dyDescent="0.25">
      <c r="A13681" t="s">
        <v>7650</v>
      </c>
      <c r="B13681" t="s">
        <v>99</v>
      </c>
    </row>
    <row r="13682" spans="1:2" x14ac:dyDescent="0.25">
      <c r="A13682" t="s">
        <v>3752</v>
      </c>
      <c r="B13682" t="s">
        <v>99</v>
      </c>
    </row>
    <row r="13683" spans="1:2" x14ac:dyDescent="0.25">
      <c r="A13683" t="s">
        <v>3249</v>
      </c>
      <c r="B13683" t="s">
        <v>99</v>
      </c>
    </row>
    <row r="13684" spans="1:2" x14ac:dyDescent="0.25">
      <c r="A13684" t="s">
        <v>1773</v>
      </c>
      <c r="B13684" t="s">
        <v>99</v>
      </c>
    </row>
    <row r="13685" spans="1:2" x14ac:dyDescent="0.25">
      <c r="A13685" t="s">
        <v>9543</v>
      </c>
      <c r="B13685" t="s">
        <v>5187</v>
      </c>
    </row>
    <row r="13686" spans="1:2" x14ac:dyDescent="0.25">
      <c r="A13686" t="s">
        <v>1774</v>
      </c>
      <c r="B13686" t="s">
        <v>5187</v>
      </c>
    </row>
    <row r="13687" spans="1:2" x14ac:dyDescent="0.25">
      <c r="A13687" t="s">
        <v>9927</v>
      </c>
      <c r="B13687" t="s">
        <v>5187</v>
      </c>
    </row>
    <row r="13688" spans="1:2" x14ac:dyDescent="0.25">
      <c r="A13688" t="s">
        <v>6060</v>
      </c>
      <c r="B13688" t="s">
        <v>5187</v>
      </c>
    </row>
    <row r="13689" spans="1:2" x14ac:dyDescent="0.25">
      <c r="A13689" t="s">
        <v>111</v>
      </c>
      <c r="B13689" t="s">
        <v>1768</v>
      </c>
    </row>
    <row r="13690" spans="1:2" x14ac:dyDescent="0.25">
      <c r="A13690" t="s">
        <v>7688</v>
      </c>
      <c r="B13690" t="s">
        <v>111</v>
      </c>
    </row>
    <row r="13691" spans="1:2" x14ac:dyDescent="0.25">
      <c r="A13691" t="s">
        <v>7035</v>
      </c>
      <c r="B13691" t="s">
        <v>111</v>
      </c>
    </row>
    <row r="13692" spans="1:2" x14ac:dyDescent="0.25">
      <c r="A13692" t="s">
        <v>7036</v>
      </c>
      <c r="B13692" t="s">
        <v>111</v>
      </c>
    </row>
    <row r="13693" spans="1:2" x14ac:dyDescent="0.25">
      <c r="A13693" t="s">
        <v>10162</v>
      </c>
      <c r="B13693" t="s">
        <v>1768</v>
      </c>
    </row>
    <row r="13694" spans="1:2" x14ac:dyDescent="0.25">
      <c r="A13694" t="s">
        <v>5160</v>
      </c>
      <c r="B13694" t="s">
        <v>10162</v>
      </c>
    </row>
    <row r="13695" spans="1:2" x14ac:dyDescent="0.25">
      <c r="A13695" t="s">
        <v>13189</v>
      </c>
      <c r="B13695" t="s">
        <v>1768</v>
      </c>
    </row>
    <row r="13696" spans="1:2" x14ac:dyDescent="0.25">
      <c r="A13696" t="s">
        <v>6958</v>
      </c>
      <c r="B13696" t="s">
        <v>13189</v>
      </c>
    </row>
    <row r="13697" spans="1:2" x14ac:dyDescent="0.25">
      <c r="A13697" t="s">
        <v>9095</v>
      </c>
      <c r="B13697" t="s">
        <v>13189</v>
      </c>
    </row>
    <row r="13698" spans="1:2" x14ac:dyDescent="0.25">
      <c r="A13698" t="s">
        <v>6960</v>
      </c>
      <c r="B13698" t="s">
        <v>13189</v>
      </c>
    </row>
    <row r="13699" spans="1:2" x14ac:dyDescent="0.25">
      <c r="A13699" t="s">
        <v>6513</v>
      </c>
      <c r="B13699" t="s">
        <v>13189</v>
      </c>
    </row>
    <row r="13700" spans="1:2" x14ac:dyDescent="0.25">
      <c r="A13700" t="s">
        <v>13374</v>
      </c>
      <c r="B13700" t="s">
        <v>1768</v>
      </c>
    </row>
    <row r="13701" spans="1:2" x14ac:dyDescent="0.25">
      <c r="A13701" t="s">
        <v>15033</v>
      </c>
      <c r="B13701" t="s">
        <v>1768</v>
      </c>
    </row>
    <row r="13702" spans="1:2" x14ac:dyDescent="0.25">
      <c r="A13702" t="s">
        <v>5614</v>
      </c>
      <c r="B13702" t="s">
        <v>15033</v>
      </c>
    </row>
    <row r="13703" spans="1:2" x14ac:dyDescent="0.25">
      <c r="A13703" t="s">
        <v>3246</v>
      </c>
      <c r="B13703" t="s">
        <v>5614</v>
      </c>
    </row>
    <row r="13704" spans="1:2" x14ac:dyDescent="0.25">
      <c r="A13704" t="s">
        <v>1769</v>
      </c>
      <c r="B13704" t="s">
        <v>5614</v>
      </c>
    </row>
    <row r="13705" spans="1:2" x14ac:dyDescent="0.25">
      <c r="A13705" t="s">
        <v>4469</v>
      </c>
      <c r="B13705" t="s">
        <v>5614</v>
      </c>
    </row>
    <row r="13706" spans="1:2" x14ac:dyDescent="0.25">
      <c r="A13706" t="s">
        <v>5345</v>
      </c>
      <c r="B13706" t="s">
        <v>5614</v>
      </c>
    </row>
    <row r="13707" spans="1:2" x14ac:dyDescent="0.25">
      <c r="A13707" t="s">
        <v>4487</v>
      </c>
      <c r="B13707" t="s">
        <v>5614</v>
      </c>
    </row>
    <row r="13708" spans="1:2" x14ac:dyDescent="0.25">
      <c r="A13708" t="s">
        <v>5754</v>
      </c>
      <c r="B13708" t="s">
        <v>5614</v>
      </c>
    </row>
    <row r="13709" spans="1:2" x14ac:dyDescent="0.25">
      <c r="A13709" t="s">
        <v>1635</v>
      </c>
      <c r="B13709" t="s">
        <v>5614</v>
      </c>
    </row>
    <row r="13710" spans="1:2" x14ac:dyDescent="0.25">
      <c r="A13710" t="s">
        <v>2630</v>
      </c>
      <c r="B13710" t="s">
        <v>5614</v>
      </c>
    </row>
    <row r="13711" spans="1:2" x14ac:dyDescent="0.25">
      <c r="A13711" t="s">
        <v>471</v>
      </c>
      <c r="B13711" t="s">
        <v>5614</v>
      </c>
    </row>
    <row r="13712" spans="1:2" x14ac:dyDescent="0.25">
      <c r="A13712" t="s">
        <v>6510</v>
      </c>
      <c r="B13712" t="s">
        <v>15033</v>
      </c>
    </row>
    <row r="13713" spans="1:2" x14ac:dyDescent="0.25">
      <c r="A13713" t="s">
        <v>4737</v>
      </c>
      <c r="B13713" t="s">
        <v>6510</v>
      </c>
    </row>
    <row r="13714" spans="1:2" x14ac:dyDescent="0.25">
      <c r="A13714" t="s">
        <v>3751</v>
      </c>
      <c r="B13714" t="s">
        <v>6510</v>
      </c>
    </row>
    <row r="13715" spans="1:2" x14ac:dyDescent="0.25">
      <c r="A13715" t="s">
        <v>9094</v>
      </c>
      <c r="B13715" t="s">
        <v>6510</v>
      </c>
    </row>
    <row r="13716" spans="1:2" x14ac:dyDescent="0.25">
      <c r="A13716" t="s">
        <v>2783</v>
      </c>
      <c r="B13716" t="s">
        <v>6510</v>
      </c>
    </row>
    <row r="13717" spans="1:2" x14ac:dyDescent="0.25">
      <c r="A13717" t="s">
        <v>6957</v>
      </c>
      <c r="B13717" t="s">
        <v>6510</v>
      </c>
    </row>
    <row r="13718" spans="1:2" x14ac:dyDescent="0.25">
      <c r="A13718" t="s">
        <v>8269</v>
      </c>
      <c r="B13718" t="s">
        <v>6510</v>
      </c>
    </row>
    <row r="13719" spans="1:2" x14ac:dyDescent="0.25">
      <c r="A13719" t="s">
        <v>8270</v>
      </c>
      <c r="B13719" t="s">
        <v>6510</v>
      </c>
    </row>
    <row r="13720" spans="1:2" x14ac:dyDescent="0.25">
      <c r="A13720" t="s">
        <v>2240</v>
      </c>
      <c r="B13720" t="s">
        <v>6510</v>
      </c>
    </row>
    <row r="13721" spans="1:2" x14ac:dyDescent="0.25">
      <c r="A13721" t="s">
        <v>13191</v>
      </c>
      <c r="B13721" t="s">
        <v>1768</v>
      </c>
    </row>
    <row r="13722" spans="1:2" x14ac:dyDescent="0.25">
      <c r="A13722" t="s">
        <v>438</v>
      </c>
      <c r="B13722" t="s">
        <v>13191</v>
      </c>
    </row>
    <row r="13723" spans="1:2" x14ac:dyDescent="0.25">
      <c r="A13723" t="s">
        <v>8706</v>
      </c>
      <c r="B13723" t="s">
        <v>438</v>
      </c>
    </row>
    <row r="13724" spans="1:2" x14ac:dyDescent="0.25">
      <c r="A13724" t="s">
        <v>10515</v>
      </c>
      <c r="B13724" t="s">
        <v>438</v>
      </c>
    </row>
    <row r="13725" spans="1:2" x14ac:dyDescent="0.25">
      <c r="A13725" t="s">
        <v>10517</v>
      </c>
      <c r="B13725" t="s">
        <v>438</v>
      </c>
    </row>
    <row r="13726" spans="1:2" x14ac:dyDescent="0.25">
      <c r="A13726" t="s">
        <v>8395</v>
      </c>
      <c r="B13726" t="s">
        <v>438</v>
      </c>
    </row>
    <row r="13727" spans="1:2" x14ac:dyDescent="0.25">
      <c r="A13727" t="s">
        <v>12311</v>
      </c>
      <c r="B13727" t="s">
        <v>13191</v>
      </c>
    </row>
    <row r="13728" spans="1:2" x14ac:dyDescent="0.25">
      <c r="A13728" t="s">
        <v>8832</v>
      </c>
      <c r="B13728" t="s">
        <v>12311</v>
      </c>
    </row>
    <row r="13729" spans="1:2" x14ac:dyDescent="0.25">
      <c r="A13729" t="s">
        <v>9234</v>
      </c>
      <c r="B13729" t="s">
        <v>12311</v>
      </c>
    </row>
    <row r="13730" spans="1:2" x14ac:dyDescent="0.25">
      <c r="A13730" t="s">
        <v>9235</v>
      </c>
      <c r="B13730" t="s">
        <v>12311</v>
      </c>
    </row>
    <row r="13731" spans="1:2" x14ac:dyDescent="0.25">
      <c r="A13731" t="s">
        <v>8405</v>
      </c>
      <c r="B13731" t="s">
        <v>12311</v>
      </c>
    </row>
    <row r="13732" spans="1:2" x14ac:dyDescent="0.25">
      <c r="A13732" t="s">
        <v>8833</v>
      </c>
      <c r="B13732" t="s">
        <v>12311</v>
      </c>
    </row>
    <row r="13733" spans="1:2" x14ac:dyDescent="0.25">
      <c r="A13733" t="s">
        <v>8406</v>
      </c>
      <c r="B13733" t="s">
        <v>12311</v>
      </c>
    </row>
    <row r="13734" spans="1:2" x14ac:dyDescent="0.25">
      <c r="A13734" t="s">
        <v>8834</v>
      </c>
      <c r="B13734" t="s">
        <v>12311</v>
      </c>
    </row>
    <row r="13735" spans="1:2" x14ac:dyDescent="0.25">
      <c r="A13735" t="s">
        <v>3750</v>
      </c>
      <c r="B13735" t="s">
        <v>13191</v>
      </c>
    </row>
    <row r="13736" spans="1:2" x14ac:dyDescent="0.25">
      <c r="A13736" t="s">
        <v>10516</v>
      </c>
      <c r="B13736" t="s">
        <v>3750</v>
      </c>
    </row>
    <row r="13737" spans="1:2" x14ac:dyDescent="0.25">
      <c r="A13737" t="s">
        <v>8268</v>
      </c>
      <c r="B13737" t="s">
        <v>3750</v>
      </c>
    </row>
    <row r="13738" spans="1:2" x14ac:dyDescent="0.25">
      <c r="A13738" t="s">
        <v>9092</v>
      </c>
      <c r="B13738" t="s">
        <v>3750</v>
      </c>
    </row>
    <row r="13739" spans="1:2" x14ac:dyDescent="0.25">
      <c r="A13739" t="s">
        <v>10518</v>
      </c>
      <c r="B13739" t="s">
        <v>3750</v>
      </c>
    </row>
    <row r="13740" spans="1:2" x14ac:dyDescent="0.25">
      <c r="A13740" t="s">
        <v>10519</v>
      </c>
      <c r="B13740" t="s">
        <v>3750</v>
      </c>
    </row>
    <row r="13741" spans="1:2" x14ac:dyDescent="0.25">
      <c r="A13741" t="s">
        <v>9540</v>
      </c>
      <c r="B13741" t="s">
        <v>3750</v>
      </c>
    </row>
    <row r="13742" spans="1:2" x14ac:dyDescent="0.25">
      <c r="A13742" t="s">
        <v>7280</v>
      </c>
      <c r="B13742" t="s">
        <v>3750</v>
      </c>
    </row>
    <row r="13743" spans="1:2" x14ac:dyDescent="0.25">
      <c r="A13743" t="s">
        <v>15034</v>
      </c>
      <c r="B13743" t="s">
        <v>1768</v>
      </c>
    </row>
    <row r="13744" spans="1:2" x14ac:dyDescent="0.25">
      <c r="A13744" t="s">
        <v>1632</v>
      </c>
      <c r="B13744" t="s">
        <v>15034</v>
      </c>
    </row>
    <row r="13745" spans="1:2" x14ac:dyDescent="0.25">
      <c r="A13745" t="s">
        <v>4246</v>
      </c>
      <c r="B13745" t="s">
        <v>1632</v>
      </c>
    </row>
    <row r="13746" spans="1:2" x14ac:dyDescent="0.25">
      <c r="A13746" t="s">
        <v>2352</v>
      </c>
      <c r="B13746" t="s">
        <v>1632</v>
      </c>
    </row>
    <row r="13747" spans="1:2" x14ac:dyDescent="0.25">
      <c r="A13747" t="s">
        <v>4736</v>
      </c>
      <c r="B13747" t="s">
        <v>1632</v>
      </c>
    </row>
    <row r="13748" spans="1:2" x14ac:dyDescent="0.25">
      <c r="A13748" t="s">
        <v>8705</v>
      </c>
      <c r="B13748" t="s">
        <v>1632</v>
      </c>
    </row>
    <row r="13749" spans="1:2" x14ac:dyDescent="0.25">
      <c r="A13749" t="s">
        <v>3043</v>
      </c>
      <c r="B13749" t="s">
        <v>1632</v>
      </c>
    </row>
    <row r="13750" spans="1:2" x14ac:dyDescent="0.25">
      <c r="A13750" t="s">
        <v>13190</v>
      </c>
      <c r="B13750" t="s">
        <v>15034</v>
      </c>
    </row>
    <row r="13751" spans="1:2" x14ac:dyDescent="0.25">
      <c r="A13751" t="s">
        <v>6509</v>
      </c>
      <c r="B13751" t="s">
        <v>13190</v>
      </c>
    </row>
    <row r="13752" spans="1:2" x14ac:dyDescent="0.25">
      <c r="A13752" t="s">
        <v>1636</v>
      </c>
      <c r="B13752" t="s">
        <v>6509</v>
      </c>
    </row>
    <row r="13753" spans="1:2" x14ac:dyDescent="0.25">
      <c r="A13753" t="s">
        <v>6477</v>
      </c>
      <c r="B13753" t="s">
        <v>1636</v>
      </c>
    </row>
    <row r="13754" spans="1:2" x14ac:dyDescent="0.25">
      <c r="A13754" t="s">
        <v>8693</v>
      </c>
      <c r="B13754" t="s">
        <v>1636</v>
      </c>
    </row>
    <row r="13755" spans="1:2" x14ac:dyDescent="0.25">
      <c r="A13755" t="s">
        <v>8694</v>
      </c>
      <c r="B13755" t="s">
        <v>1636</v>
      </c>
    </row>
    <row r="13756" spans="1:2" x14ac:dyDescent="0.25">
      <c r="A13756" t="s">
        <v>1755</v>
      </c>
      <c r="B13756" t="s">
        <v>1636</v>
      </c>
    </row>
    <row r="13757" spans="1:2" x14ac:dyDescent="0.25">
      <c r="A13757" t="s">
        <v>8691</v>
      </c>
      <c r="B13757" t="s">
        <v>1636</v>
      </c>
    </row>
    <row r="13758" spans="1:2" x14ac:dyDescent="0.25">
      <c r="A13758" t="s">
        <v>4227</v>
      </c>
      <c r="B13758" t="s">
        <v>8691</v>
      </c>
    </row>
    <row r="13759" spans="1:2" x14ac:dyDescent="0.25">
      <c r="A13759" t="s">
        <v>8692</v>
      </c>
      <c r="B13759" t="s">
        <v>8691</v>
      </c>
    </row>
    <row r="13760" spans="1:2" x14ac:dyDescent="0.25">
      <c r="A13760" t="s">
        <v>2339</v>
      </c>
      <c r="B13760" t="s">
        <v>8691</v>
      </c>
    </row>
    <row r="13761" spans="1:2" x14ac:dyDescent="0.25">
      <c r="A13761" t="s">
        <v>6939</v>
      </c>
      <c r="B13761" t="s">
        <v>8691</v>
      </c>
    </row>
    <row r="13762" spans="1:2" x14ac:dyDescent="0.25">
      <c r="A13762" t="s">
        <v>2238</v>
      </c>
      <c r="B13762" t="s">
        <v>13190</v>
      </c>
    </row>
    <row r="13763" spans="1:2" x14ac:dyDescent="0.25">
      <c r="A13763" t="s">
        <v>4006</v>
      </c>
      <c r="B13763" t="s">
        <v>2238</v>
      </c>
    </row>
    <row r="13764" spans="1:2" x14ac:dyDescent="0.25">
      <c r="A13764" t="s">
        <v>146</v>
      </c>
      <c r="B13764" t="s">
        <v>2238</v>
      </c>
    </row>
    <row r="13765" spans="1:2" x14ac:dyDescent="0.25">
      <c r="A13765" t="s">
        <v>5776</v>
      </c>
      <c r="B13765" t="s">
        <v>2238</v>
      </c>
    </row>
    <row r="13766" spans="1:2" x14ac:dyDescent="0.25">
      <c r="A13766" t="s">
        <v>15035</v>
      </c>
      <c r="B13766" t="s">
        <v>1768</v>
      </c>
    </row>
    <row r="13767" spans="1:2" x14ac:dyDescent="0.25">
      <c r="A13767" t="s">
        <v>15036</v>
      </c>
      <c r="B13767" t="s">
        <v>15035</v>
      </c>
    </row>
    <row r="13768" spans="1:2" x14ac:dyDescent="0.25">
      <c r="A13768" t="s">
        <v>15037</v>
      </c>
      <c r="B13768" t="s">
        <v>15035</v>
      </c>
    </row>
    <row r="13769" spans="1:2" x14ac:dyDescent="0.25">
      <c r="A13769" t="s">
        <v>15038</v>
      </c>
      <c r="B13769" t="s">
        <v>15035</v>
      </c>
    </row>
    <row r="13770" spans="1:2" x14ac:dyDescent="0.25">
      <c r="A13770" t="s">
        <v>15039</v>
      </c>
      <c r="B13770" t="s">
        <v>15035</v>
      </c>
    </row>
    <row r="13771" spans="1:2" x14ac:dyDescent="0.25">
      <c r="A13771" t="s">
        <v>15040</v>
      </c>
      <c r="B13771" t="s">
        <v>15035</v>
      </c>
    </row>
    <row r="13772" spans="1:2" x14ac:dyDescent="0.25">
      <c r="A13772" t="s">
        <v>15041</v>
      </c>
      <c r="B13772" t="s">
        <v>15035</v>
      </c>
    </row>
    <row r="13773" spans="1:2" x14ac:dyDescent="0.25">
      <c r="A13773" t="s">
        <v>15042</v>
      </c>
      <c r="B13773" t="s">
        <v>1768</v>
      </c>
    </row>
    <row r="13774" spans="1:2" x14ac:dyDescent="0.25">
      <c r="A13774" t="s">
        <v>15043</v>
      </c>
      <c r="B13774" t="s">
        <v>1768</v>
      </c>
    </row>
    <row r="13775" spans="1:2" x14ac:dyDescent="0.25">
      <c r="A13775" t="s">
        <v>13373</v>
      </c>
      <c r="B13775" t="s">
        <v>15043</v>
      </c>
    </row>
    <row r="13776" spans="1:2" x14ac:dyDescent="0.25">
      <c r="A13776" t="s">
        <v>15044</v>
      </c>
      <c r="B13776" t="s">
        <v>1768</v>
      </c>
    </row>
    <row r="13777" spans="1:2" x14ac:dyDescent="0.25">
      <c r="A13777" t="s">
        <v>10667</v>
      </c>
      <c r="B13777" t="s">
        <v>1768</v>
      </c>
    </row>
    <row r="13778" spans="1:2" x14ac:dyDescent="0.25">
      <c r="A13778" t="s">
        <v>13210</v>
      </c>
      <c r="B13778" t="s">
        <v>11746</v>
      </c>
    </row>
    <row r="13779" spans="1:2" x14ac:dyDescent="0.25">
      <c r="A13779" t="s">
        <v>9200</v>
      </c>
      <c r="B13779" t="s">
        <v>13210</v>
      </c>
    </row>
    <row r="13780" spans="1:2" x14ac:dyDescent="0.25">
      <c r="A13780" t="s">
        <v>7214</v>
      </c>
      <c r="B13780" t="s">
        <v>9200</v>
      </c>
    </row>
    <row r="13781" spans="1:2" x14ac:dyDescent="0.25">
      <c r="A13781" t="s">
        <v>8416</v>
      </c>
      <c r="B13781" t="s">
        <v>9200</v>
      </c>
    </row>
    <row r="13782" spans="1:2" x14ac:dyDescent="0.25">
      <c r="A13782" t="s">
        <v>10599</v>
      </c>
      <c r="B13782" t="s">
        <v>8416</v>
      </c>
    </row>
    <row r="13783" spans="1:2" x14ac:dyDescent="0.25">
      <c r="A13783" t="s">
        <v>4520</v>
      </c>
      <c r="B13783" t="s">
        <v>9200</v>
      </c>
    </row>
    <row r="13784" spans="1:2" x14ac:dyDescent="0.25">
      <c r="A13784" t="s">
        <v>10972</v>
      </c>
      <c r="B13784" t="s">
        <v>13210</v>
      </c>
    </row>
    <row r="13785" spans="1:2" x14ac:dyDescent="0.25">
      <c r="A13785" t="s">
        <v>10129</v>
      </c>
      <c r="B13785" t="s">
        <v>10972</v>
      </c>
    </row>
    <row r="13786" spans="1:2" x14ac:dyDescent="0.25">
      <c r="A13786" t="s">
        <v>1389</v>
      </c>
      <c r="B13786" t="s">
        <v>13210</v>
      </c>
    </row>
    <row r="13787" spans="1:2" x14ac:dyDescent="0.25">
      <c r="A13787" t="s">
        <v>6619</v>
      </c>
      <c r="B13787" t="s">
        <v>1389</v>
      </c>
    </row>
    <row r="13788" spans="1:2" x14ac:dyDescent="0.25">
      <c r="A13788" t="s">
        <v>15045</v>
      </c>
      <c r="B13788" t="s">
        <v>6619</v>
      </c>
    </row>
    <row r="13789" spans="1:2" x14ac:dyDescent="0.25">
      <c r="A13789" t="s">
        <v>15046</v>
      </c>
      <c r="B13789" t="s">
        <v>6619</v>
      </c>
    </row>
    <row r="13790" spans="1:2" x14ac:dyDescent="0.25">
      <c r="A13790" t="s">
        <v>15047</v>
      </c>
      <c r="B13790" t="s">
        <v>6619</v>
      </c>
    </row>
    <row r="13791" spans="1:2" x14ac:dyDescent="0.25">
      <c r="A13791" t="s">
        <v>15048</v>
      </c>
      <c r="B13791" t="s">
        <v>6619</v>
      </c>
    </row>
    <row r="13792" spans="1:2" x14ac:dyDescent="0.25">
      <c r="A13792" t="s">
        <v>15049</v>
      </c>
      <c r="B13792" t="s">
        <v>6619</v>
      </c>
    </row>
    <row r="13793" spans="1:2" x14ac:dyDescent="0.25">
      <c r="A13793" t="s">
        <v>15050</v>
      </c>
      <c r="B13793" t="s">
        <v>6619</v>
      </c>
    </row>
    <row r="13794" spans="1:2" x14ac:dyDescent="0.25">
      <c r="A13794" t="s">
        <v>15051</v>
      </c>
      <c r="B13794" t="s">
        <v>6619</v>
      </c>
    </row>
    <row r="13795" spans="1:2" x14ac:dyDescent="0.25">
      <c r="A13795" t="s">
        <v>15052</v>
      </c>
      <c r="B13795" t="s">
        <v>6619</v>
      </c>
    </row>
    <row r="13796" spans="1:2" x14ac:dyDescent="0.25">
      <c r="A13796" t="s">
        <v>13188</v>
      </c>
      <c r="B13796" t="s">
        <v>6619</v>
      </c>
    </row>
    <row r="13797" spans="1:2" x14ac:dyDescent="0.25">
      <c r="A13797" t="s">
        <v>7759</v>
      </c>
      <c r="B13797" t="s">
        <v>13188</v>
      </c>
    </row>
    <row r="13798" spans="1:2" x14ac:dyDescent="0.25">
      <c r="A13798" t="s">
        <v>10134</v>
      </c>
      <c r="B13798" t="s">
        <v>1389</v>
      </c>
    </row>
    <row r="13799" spans="1:2" x14ac:dyDescent="0.25">
      <c r="A13799" t="s">
        <v>11774</v>
      </c>
      <c r="B13799" t="s">
        <v>1389</v>
      </c>
    </row>
    <row r="13800" spans="1:2" x14ac:dyDescent="0.25">
      <c r="A13800" t="s">
        <v>5723</v>
      </c>
      <c r="B13800" t="s">
        <v>11774</v>
      </c>
    </row>
    <row r="13801" spans="1:2" x14ac:dyDescent="0.25">
      <c r="A13801" t="s">
        <v>3946</v>
      </c>
      <c r="B13801" t="s">
        <v>5723</v>
      </c>
    </row>
    <row r="13802" spans="1:2" x14ac:dyDescent="0.25">
      <c r="A13802" t="s">
        <v>10135</v>
      </c>
      <c r="B13802" t="s">
        <v>11774</v>
      </c>
    </row>
    <row r="13803" spans="1:2" x14ac:dyDescent="0.25">
      <c r="A13803" t="s">
        <v>8373</v>
      </c>
      <c r="B13803" t="s">
        <v>10135</v>
      </c>
    </row>
    <row r="13804" spans="1:2" x14ac:dyDescent="0.25">
      <c r="A13804" t="s">
        <v>125</v>
      </c>
      <c r="B13804" t="s">
        <v>1389</v>
      </c>
    </row>
    <row r="13805" spans="1:2" x14ac:dyDescent="0.25">
      <c r="A13805" t="s">
        <v>2127</v>
      </c>
      <c r="B13805" t="s">
        <v>125</v>
      </c>
    </row>
    <row r="13806" spans="1:2" x14ac:dyDescent="0.25">
      <c r="A13806" t="s">
        <v>4881</v>
      </c>
      <c r="B13806" t="s">
        <v>125</v>
      </c>
    </row>
    <row r="13807" spans="1:2" x14ac:dyDescent="0.25">
      <c r="A13807" t="s">
        <v>8411</v>
      </c>
      <c r="B13807" t="s">
        <v>1389</v>
      </c>
    </row>
    <row r="13808" spans="1:2" x14ac:dyDescent="0.25">
      <c r="A13808" t="s">
        <v>7027</v>
      </c>
      <c r="B13808" t="s">
        <v>1389</v>
      </c>
    </row>
    <row r="13809" spans="1:2" x14ac:dyDescent="0.25">
      <c r="A13809" t="s">
        <v>13401</v>
      </c>
      <c r="B13809" t="s">
        <v>1389</v>
      </c>
    </row>
    <row r="13810" spans="1:2" x14ac:dyDescent="0.25">
      <c r="A13810" t="s">
        <v>13545</v>
      </c>
      <c r="B13810" t="s">
        <v>13401</v>
      </c>
    </row>
    <row r="13811" spans="1:2" x14ac:dyDescent="0.25">
      <c r="A13811" t="s">
        <v>6197</v>
      </c>
      <c r="B13811" t="s">
        <v>13401</v>
      </c>
    </row>
    <row r="13812" spans="1:2" x14ac:dyDescent="0.25">
      <c r="A13812" t="s">
        <v>7221</v>
      </c>
      <c r="B13812" t="s">
        <v>6197</v>
      </c>
    </row>
    <row r="13813" spans="1:2" x14ac:dyDescent="0.25">
      <c r="A13813" t="s">
        <v>9668</v>
      </c>
      <c r="B13813" t="s">
        <v>13210</v>
      </c>
    </row>
    <row r="13814" spans="1:2" x14ac:dyDescent="0.25">
      <c r="A13814" t="s">
        <v>4519</v>
      </c>
      <c r="B13814" t="s">
        <v>9668</v>
      </c>
    </row>
    <row r="13815" spans="1:2" x14ac:dyDescent="0.25">
      <c r="A13815" t="s">
        <v>7932</v>
      </c>
      <c r="B13815" t="s">
        <v>9668</v>
      </c>
    </row>
    <row r="13816" spans="1:2" x14ac:dyDescent="0.25">
      <c r="A13816" t="s">
        <v>3451</v>
      </c>
      <c r="B13816" t="s">
        <v>9668</v>
      </c>
    </row>
    <row r="13817" spans="1:2" x14ac:dyDescent="0.25">
      <c r="A13817" t="s">
        <v>7318</v>
      </c>
      <c r="B13817" t="s">
        <v>9668</v>
      </c>
    </row>
    <row r="13818" spans="1:2" x14ac:dyDescent="0.25">
      <c r="A13818" t="s">
        <v>5379</v>
      </c>
      <c r="B13818" t="s">
        <v>7318</v>
      </c>
    </row>
    <row r="13819" spans="1:2" x14ac:dyDescent="0.25">
      <c r="A13819" t="s">
        <v>3067</v>
      </c>
      <c r="B13819" t="s">
        <v>7318</v>
      </c>
    </row>
    <row r="13820" spans="1:2" x14ac:dyDescent="0.25">
      <c r="A13820" t="s">
        <v>7947</v>
      </c>
      <c r="B13820" t="s">
        <v>7318</v>
      </c>
    </row>
    <row r="13821" spans="1:2" x14ac:dyDescent="0.25">
      <c r="A13821" t="s">
        <v>13405</v>
      </c>
      <c r="B13821" t="s">
        <v>7318</v>
      </c>
    </row>
    <row r="13822" spans="1:2" x14ac:dyDescent="0.25">
      <c r="A13822" t="s">
        <v>13406</v>
      </c>
      <c r="B13822" t="s">
        <v>7318</v>
      </c>
    </row>
    <row r="13823" spans="1:2" x14ac:dyDescent="0.25">
      <c r="A13823" t="s">
        <v>13755</v>
      </c>
      <c r="B13823" t="s">
        <v>7318</v>
      </c>
    </row>
    <row r="13824" spans="1:2" x14ac:dyDescent="0.25">
      <c r="A13824" t="s">
        <v>14198</v>
      </c>
      <c r="B13824" t="s">
        <v>7318</v>
      </c>
    </row>
    <row r="13825" spans="1:2" x14ac:dyDescent="0.25">
      <c r="A13825" t="s">
        <v>14763</v>
      </c>
      <c r="B13825" t="s">
        <v>7318</v>
      </c>
    </row>
    <row r="13826" spans="1:2" x14ac:dyDescent="0.25">
      <c r="A13826" t="s">
        <v>14764</v>
      </c>
      <c r="B13826" t="s">
        <v>7318</v>
      </c>
    </row>
    <row r="13827" spans="1:2" x14ac:dyDescent="0.25">
      <c r="A13827" t="s">
        <v>10678</v>
      </c>
      <c r="B13827" t="s">
        <v>9668</v>
      </c>
    </row>
    <row r="13828" spans="1:2" x14ac:dyDescent="0.25">
      <c r="A13828" t="s">
        <v>2242</v>
      </c>
      <c r="B13828" t="s">
        <v>10678</v>
      </c>
    </row>
    <row r="13829" spans="1:2" x14ac:dyDescent="0.25">
      <c r="A13829" t="s">
        <v>3068</v>
      </c>
      <c r="B13829" t="s">
        <v>10678</v>
      </c>
    </row>
    <row r="13830" spans="1:2" x14ac:dyDescent="0.25">
      <c r="A13830" t="s">
        <v>3069</v>
      </c>
      <c r="B13830" t="s">
        <v>10678</v>
      </c>
    </row>
    <row r="13831" spans="1:2" x14ac:dyDescent="0.25">
      <c r="A13831" t="s">
        <v>6211</v>
      </c>
      <c r="B13831" t="s">
        <v>3069</v>
      </c>
    </row>
    <row r="13832" spans="1:2" x14ac:dyDescent="0.25">
      <c r="A13832" t="s">
        <v>13402</v>
      </c>
      <c r="B13832" t="s">
        <v>3069</v>
      </c>
    </row>
    <row r="13833" spans="1:2" x14ac:dyDescent="0.25">
      <c r="A13833" t="s">
        <v>13403</v>
      </c>
      <c r="B13833" t="s">
        <v>3069</v>
      </c>
    </row>
    <row r="13834" spans="1:2" x14ac:dyDescent="0.25">
      <c r="A13834" t="s">
        <v>13404</v>
      </c>
      <c r="B13834" t="s">
        <v>3069</v>
      </c>
    </row>
    <row r="13835" spans="1:2" x14ac:dyDescent="0.25">
      <c r="A13835" t="s">
        <v>12511</v>
      </c>
      <c r="B13835" t="s">
        <v>10678</v>
      </c>
    </row>
    <row r="13836" spans="1:2" x14ac:dyDescent="0.25">
      <c r="A13836" t="s">
        <v>7323</v>
      </c>
      <c r="B13836" t="s">
        <v>10678</v>
      </c>
    </row>
    <row r="13837" spans="1:2" x14ac:dyDescent="0.25">
      <c r="A13837" t="s">
        <v>13045</v>
      </c>
      <c r="B13837" t="s">
        <v>10678</v>
      </c>
    </row>
    <row r="13838" spans="1:2" x14ac:dyDescent="0.25">
      <c r="A13838" t="s">
        <v>7273</v>
      </c>
      <c r="B13838" t="s">
        <v>9668</v>
      </c>
    </row>
    <row r="13839" spans="1:2" x14ac:dyDescent="0.25">
      <c r="A13839" t="s">
        <v>12637</v>
      </c>
      <c r="B13839" t="s">
        <v>9668</v>
      </c>
    </row>
    <row r="13840" spans="1:2" x14ac:dyDescent="0.25">
      <c r="A13840" t="s">
        <v>10600</v>
      </c>
      <c r="B13840" t="s">
        <v>9668</v>
      </c>
    </row>
    <row r="13841" spans="1:2" x14ac:dyDescent="0.25">
      <c r="A13841" t="s">
        <v>14211</v>
      </c>
      <c r="B13841" t="s">
        <v>9668</v>
      </c>
    </row>
    <row r="13842" spans="1:2" x14ac:dyDescent="0.25">
      <c r="A13842" t="s">
        <v>14235</v>
      </c>
      <c r="B13842" t="s">
        <v>9668</v>
      </c>
    </row>
    <row r="13843" spans="1:2" x14ac:dyDescent="0.25">
      <c r="A13843" t="s">
        <v>9669</v>
      </c>
      <c r="B13843" t="s">
        <v>14235</v>
      </c>
    </row>
    <row r="13844" spans="1:2" x14ac:dyDescent="0.25">
      <c r="A13844" t="s">
        <v>16335</v>
      </c>
      <c r="B13844" t="s">
        <v>14235</v>
      </c>
    </row>
    <row r="13845" spans="1:2" x14ac:dyDescent="0.25">
      <c r="A13845" t="s">
        <v>1623</v>
      </c>
      <c r="B13845" t="s">
        <v>9668</v>
      </c>
    </row>
    <row r="13846" spans="1:2" x14ac:dyDescent="0.25">
      <c r="A13846" t="s">
        <v>8842</v>
      </c>
      <c r="B13846" t="s">
        <v>1623</v>
      </c>
    </row>
    <row r="13847" spans="1:2" x14ac:dyDescent="0.25">
      <c r="A13847" t="s">
        <v>1368</v>
      </c>
      <c r="B13847" t="s">
        <v>8842</v>
      </c>
    </row>
    <row r="13848" spans="1:2" x14ac:dyDescent="0.25">
      <c r="A13848" t="s">
        <v>4871</v>
      </c>
      <c r="B13848" t="s">
        <v>8842</v>
      </c>
    </row>
    <row r="13849" spans="1:2" x14ac:dyDescent="0.25">
      <c r="A13849" t="s">
        <v>4436</v>
      </c>
      <c r="B13849" t="s">
        <v>8842</v>
      </c>
    </row>
    <row r="13850" spans="1:2" x14ac:dyDescent="0.25">
      <c r="A13850" t="s">
        <v>1369</v>
      </c>
      <c r="B13850" t="s">
        <v>8842</v>
      </c>
    </row>
    <row r="13851" spans="1:2" x14ac:dyDescent="0.25">
      <c r="A13851" t="s">
        <v>3442</v>
      </c>
      <c r="B13851" t="s">
        <v>8842</v>
      </c>
    </row>
    <row r="13852" spans="1:2" x14ac:dyDescent="0.25">
      <c r="A13852" t="s">
        <v>3443</v>
      </c>
      <c r="B13852" t="s">
        <v>8842</v>
      </c>
    </row>
    <row r="13853" spans="1:2" x14ac:dyDescent="0.25">
      <c r="A13853" t="s">
        <v>328</v>
      </c>
      <c r="B13853" t="s">
        <v>8842</v>
      </c>
    </row>
    <row r="13854" spans="1:2" x14ac:dyDescent="0.25">
      <c r="A13854" t="s">
        <v>5712</v>
      </c>
      <c r="B13854" t="s">
        <v>8842</v>
      </c>
    </row>
    <row r="13855" spans="1:2" x14ac:dyDescent="0.25">
      <c r="A13855" t="s">
        <v>4872</v>
      </c>
      <c r="B13855" t="s">
        <v>8842</v>
      </c>
    </row>
    <row r="13856" spans="1:2" x14ac:dyDescent="0.25">
      <c r="A13856" t="s">
        <v>123</v>
      </c>
      <c r="B13856" t="s">
        <v>8842</v>
      </c>
    </row>
    <row r="13857" spans="1:2" x14ac:dyDescent="0.25">
      <c r="A13857" t="s">
        <v>3970</v>
      </c>
      <c r="B13857" t="s">
        <v>8842</v>
      </c>
    </row>
    <row r="13858" spans="1:2" x14ac:dyDescent="0.25">
      <c r="A13858" t="s">
        <v>12309</v>
      </c>
      <c r="B13858" t="s">
        <v>8842</v>
      </c>
    </row>
    <row r="13859" spans="1:2" x14ac:dyDescent="0.25">
      <c r="A13859" t="s">
        <v>11950</v>
      </c>
      <c r="B13859" t="s">
        <v>8842</v>
      </c>
    </row>
    <row r="13860" spans="1:2" x14ac:dyDescent="0.25">
      <c r="A13860" t="s">
        <v>11951</v>
      </c>
      <c r="B13860" t="s">
        <v>8842</v>
      </c>
    </row>
    <row r="13861" spans="1:2" x14ac:dyDescent="0.25">
      <c r="A13861" t="s">
        <v>7312</v>
      </c>
      <c r="B13861" t="s">
        <v>1623</v>
      </c>
    </row>
    <row r="13862" spans="1:2" x14ac:dyDescent="0.25">
      <c r="A13862" t="s">
        <v>9245</v>
      </c>
      <c r="B13862" t="s">
        <v>7312</v>
      </c>
    </row>
    <row r="13863" spans="1:2" x14ac:dyDescent="0.25">
      <c r="A13863" t="s">
        <v>13407</v>
      </c>
      <c r="B13863" t="s">
        <v>13210</v>
      </c>
    </row>
    <row r="13864" spans="1:2" x14ac:dyDescent="0.25">
      <c r="A13864" t="s">
        <v>3452</v>
      </c>
      <c r="B13864" t="s">
        <v>13407</v>
      </c>
    </row>
    <row r="13865" spans="1:2" x14ac:dyDescent="0.25">
      <c r="A13865" t="s">
        <v>339</v>
      </c>
      <c r="B13865" t="s">
        <v>13407</v>
      </c>
    </row>
    <row r="13866" spans="1:2" x14ac:dyDescent="0.25">
      <c r="A13866" t="s">
        <v>331</v>
      </c>
      <c r="B13866" t="s">
        <v>13407</v>
      </c>
    </row>
    <row r="13867" spans="1:2" x14ac:dyDescent="0.25">
      <c r="A13867" t="s">
        <v>9202</v>
      </c>
      <c r="B13867" t="s">
        <v>13407</v>
      </c>
    </row>
    <row r="13868" spans="1:2" x14ac:dyDescent="0.25">
      <c r="A13868" t="s">
        <v>11320</v>
      </c>
      <c r="B13868" t="s">
        <v>13407</v>
      </c>
    </row>
    <row r="13869" spans="1:2" x14ac:dyDescent="0.25">
      <c r="A13869" t="s">
        <v>11321</v>
      </c>
      <c r="B13869" t="s">
        <v>13407</v>
      </c>
    </row>
    <row r="13870" spans="1:2" x14ac:dyDescent="0.25">
      <c r="A13870" t="s">
        <v>8407</v>
      </c>
      <c r="B13870" t="s">
        <v>13407</v>
      </c>
    </row>
    <row r="13871" spans="1:2" x14ac:dyDescent="0.25">
      <c r="A13871" t="s">
        <v>11322</v>
      </c>
      <c r="B13871" t="s">
        <v>13407</v>
      </c>
    </row>
    <row r="13872" spans="1:2" x14ac:dyDescent="0.25">
      <c r="A13872" t="s">
        <v>6179</v>
      </c>
      <c r="B13872" t="s">
        <v>13407</v>
      </c>
    </row>
    <row r="13873" spans="1:2" x14ac:dyDescent="0.25">
      <c r="A13873" t="s">
        <v>10153</v>
      </c>
      <c r="B13873" t="s">
        <v>13407</v>
      </c>
    </row>
    <row r="13874" spans="1:2" x14ac:dyDescent="0.25">
      <c r="A13874" t="s">
        <v>9237</v>
      </c>
      <c r="B13874" t="s">
        <v>13407</v>
      </c>
    </row>
    <row r="13875" spans="1:2" x14ac:dyDescent="0.25">
      <c r="A13875" t="s">
        <v>4500</v>
      </c>
      <c r="B13875" t="s">
        <v>13407</v>
      </c>
    </row>
    <row r="13876" spans="1:2" x14ac:dyDescent="0.25">
      <c r="A13876" t="s">
        <v>4501</v>
      </c>
      <c r="B13876" t="s">
        <v>13407</v>
      </c>
    </row>
    <row r="13877" spans="1:2" x14ac:dyDescent="0.25">
      <c r="A13877" t="s">
        <v>5763</v>
      </c>
      <c r="B13877" t="s">
        <v>13407</v>
      </c>
    </row>
    <row r="13878" spans="1:2" x14ac:dyDescent="0.25">
      <c r="A13878" t="s">
        <v>9246</v>
      </c>
      <c r="B13878" t="s">
        <v>13407</v>
      </c>
    </row>
    <row r="13879" spans="1:2" x14ac:dyDescent="0.25">
      <c r="A13879" t="s">
        <v>9247</v>
      </c>
      <c r="B13879" t="s">
        <v>13407</v>
      </c>
    </row>
    <row r="13880" spans="1:2" x14ac:dyDescent="0.25">
      <c r="A13880" t="s">
        <v>10158</v>
      </c>
      <c r="B13880" t="s">
        <v>13407</v>
      </c>
    </row>
    <row r="13881" spans="1:2" x14ac:dyDescent="0.25">
      <c r="A13881" t="s">
        <v>5370</v>
      </c>
      <c r="B13881" t="s">
        <v>13407</v>
      </c>
    </row>
    <row r="13882" spans="1:2" x14ac:dyDescent="0.25">
      <c r="A13882" t="s">
        <v>6195</v>
      </c>
      <c r="B13882" t="s">
        <v>13407</v>
      </c>
    </row>
    <row r="13883" spans="1:2" x14ac:dyDescent="0.25">
      <c r="A13883" t="s">
        <v>10114</v>
      </c>
      <c r="B13883" t="s">
        <v>13407</v>
      </c>
    </row>
    <row r="13884" spans="1:2" x14ac:dyDescent="0.25">
      <c r="A13884" t="s">
        <v>10115</v>
      </c>
      <c r="B13884" t="s">
        <v>13407</v>
      </c>
    </row>
    <row r="13885" spans="1:2" x14ac:dyDescent="0.25">
      <c r="A13885" t="s">
        <v>10116</v>
      </c>
      <c r="B13885" t="s">
        <v>13407</v>
      </c>
    </row>
    <row r="13886" spans="1:2" x14ac:dyDescent="0.25">
      <c r="A13886" t="s">
        <v>10117</v>
      </c>
      <c r="B13886" t="s">
        <v>13407</v>
      </c>
    </row>
    <row r="13887" spans="1:2" x14ac:dyDescent="0.25">
      <c r="A13887" t="s">
        <v>10118</v>
      </c>
      <c r="B13887" t="s">
        <v>13407</v>
      </c>
    </row>
    <row r="13888" spans="1:2" x14ac:dyDescent="0.25">
      <c r="A13888" t="s">
        <v>10119</v>
      </c>
      <c r="B13888" t="s">
        <v>13407</v>
      </c>
    </row>
    <row r="13889" spans="1:2" x14ac:dyDescent="0.25">
      <c r="A13889" t="s">
        <v>10120</v>
      </c>
      <c r="B13889" t="s">
        <v>13407</v>
      </c>
    </row>
    <row r="13890" spans="1:2" x14ac:dyDescent="0.25">
      <c r="A13890" t="s">
        <v>10121</v>
      </c>
      <c r="B13890" t="s">
        <v>13407</v>
      </c>
    </row>
    <row r="13891" spans="1:2" x14ac:dyDescent="0.25">
      <c r="A13891" t="s">
        <v>10122</v>
      </c>
      <c r="B13891" t="s">
        <v>13407</v>
      </c>
    </row>
    <row r="13892" spans="1:2" x14ac:dyDescent="0.25">
      <c r="A13892" t="s">
        <v>10123</v>
      </c>
      <c r="B13892" t="s">
        <v>13407</v>
      </c>
    </row>
    <row r="13893" spans="1:2" x14ac:dyDescent="0.25">
      <c r="A13893" t="s">
        <v>10124</v>
      </c>
      <c r="B13893" t="s">
        <v>13407</v>
      </c>
    </row>
    <row r="13894" spans="1:2" x14ac:dyDescent="0.25">
      <c r="A13894" t="s">
        <v>10125</v>
      </c>
      <c r="B13894" t="s">
        <v>13407</v>
      </c>
    </row>
    <row r="13895" spans="1:2" x14ac:dyDescent="0.25">
      <c r="A13895" t="s">
        <v>10126</v>
      </c>
      <c r="B13895" t="s">
        <v>13407</v>
      </c>
    </row>
    <row r="13896" spans="1:2" x14ac:dyDescent="0.25">
      <c r="A13896" t="s">
        <v>10127</v>
      </c>
      <c r="B13896" t="s">
        <v>13407</v>
      </c>
    </row>
    <row r="13897" spans="1:2" x14ac:dyDescent="0.25">
      <c r="A13897" t="s">
        <v>10128</v>
      </c>
      <c r="B13897" t="s">
        <v>13407</v>
      </c>
    </row>
    <row r="13898" spans="1:2" x14ac:dyDescent="0.25">
      <c r="A13898" t="s">
        <v>10652</v>
      </c>
      <c r="B13898" t="s">
        <v>13407</v>
      </c>
    </row>
    <row r="13899" spans="1:2" x14ac:dyDescent="0.25">
      <c r="A13899" t="s">
        <v>13547</v>
      </c>
      <c r="B13899" t="s">
        <v>13407</v>
      </c>
    </row>
    <row r="13900" spans="1:2" x14ac:dyDescent="0.25">
      <c r="A13900" t="s">
        <v>13548</v>
      </c>
      <c r="B13900" t="s">
        <v>13407</v>
      </c>
    </row>
    <row r="13901" spans="1:2" x14ac:dyDescent="0.25">
      <c r="A13901" t="s">
        <v>13549</v>
      </c>
      <c r="B13901" t="s">
        <v>13407</v>
      </c>
    </row>
    <row r="13902" spans="1:2" x14ac:dyDescent="0.25">
      <c r="A13902" t="s">
        <v>13550</v>
      </c>
      <c r="B13902" t="s">
        <v>13407</v>
      </c>
    </row>
    <row r="13903" spans="1:2" x14ac:dyDescent="0.25">
      <c r="A13903" t="s">
        <v>13551</v>
      </c>
      <c r="B13903" t="s">
        <v>13407</v>
      </c>
    </row>
    <row r="13904" spans="1:2" x14ac:dyDescent="0.25">
      <c r="A13904" t="s">
        <v>13552</v>
      </c>
      <c r="B13904" t="s">
        <v>13407</v>
      </c>
    </row>
    <row r="13905" spans="1:2" x14ac:dyDescent="0.25">
      <c r="A13905" t="s">
        <v>13553</v>
      </c>
      <c r="B13905" t="s">
        <v>13407</v>
      </c>
    </row>
    <row r="13906" spans="1:2" x14ac:dyDescent="0.25">
      <c r="A13906" t="s">
        <v>13554</v>
      </c>
      <c r="B13906" t="s">
        <v>13407</v>
      </c>
    </row>
    <row r="13907" spans="1:2" x14ac:dyDescent="0.25">
      <c r="A13907" t="s">
        <v>13555</v>
      </c>
      <c r="B13907" t="s">
        <v>13407</v>
      </c>
    </row>
    <row r="13908" spans="1:2" x14ac:dyDescent="0.25">
      <c r="A13908" t="s">
        <v>13556</v>
      </c>
      <c r="B13908" t="s">
        <v>13407</v>
      </c>
    </row>
    <row r="13909" spans="1:2" x14ac:dyDescent="0.25">
      <c r="A13909" t="s">
        <v>13557</v>
      </c>
      <c r="B13909" t="s">
        <v>13407</v>
      </c>
    </row>
    <row r="13910" spans="1:2" x14ac:dyDescent="0.25">
      <c r="A13910" t="s">
        <v>13558</v>
      </c>
      <c r="B13910" t="s">
        <v>13407</v>
      </c>
    </row>
    <row r="13911" spans="1:2" x14ac:dyDescent="0.25">
      <c r="A13911" t="s">
        <v>13559</v>
      </c>
      <c r="B13911" t="s">
        <v>13407</v>
      </c>
    </row>
    <row r="13912" spans="1:2" x14ac:dyDescent="0.25">
      <c r="A13912" t="s">
        <v>13561</v>
      </c>
      <c r="B13912" t="s">
        <v>13407</v>
      </c>
    </row>
    <row r="13913" spans="1:2" x14ac:dyDescent="0.25">
      <c r="A13913" t="s">
        <v>13563</v>
      </c>
      <c r="B13913" t="s">
        <v>13407</v>
      </c>
    </row>
    <row r="13914" spans="1:2" x14ac:dyDescent="0.25">
      <c r="A13914" t="s">
        <v>13564</v>
      </c>
      <c r="B13914" t="s">
        <v>13407</v>
      </c>
    </row>
    <row r="13915" spans="1:2" x14ac:dyDescent="0.25">
      <c r="A13915" t="s">
        <v>13565</v>
      </c>
      <c r="B13915" t="s">
        <v>13407</v>
      </c>
    </row>
    <row r="13916" spans="1:2" x14ac:dyDescent="0.25">
      <c r="A13916" t="s">
        <v>13566</v>
      </c>
      <c r="B13916" t="s">
        <v>13407</v>
      </c>
    </row>
    <row r="13917" spans="1:2" x14ac:dyDescent="0.25">
      <c r="A13917" t="s">
        <v>13629</v>
      </c>
      <c r="B13917" t="s">
        <v>13407</v>
      </c>
    </row>
    <row r="13918" spans="1:2" x14ac:dyDescent="0.25">
      <c r="A13918" t="s">
        <v>13630</v>
      </c>
      <c r="B13918" t="s">
        <v>13407</v>
      </c>
    </row>
    <row r="13919" spans="1:2" x14ac:dyDescent="0.25">
      <c r="A13919" t="s">
        <v>13631</v>
      </c>
      <c r="B13919" t="s">
        <v>13407</v>
      </c>
    </row>
    <row r="13920" spans="1:2" x14ac:dyDescent="0.25">
      <c r="A13920" t="s">
        <v>13567</v>
      </c>
      <c r="B13920" t="s">
        <v>13407</v>
      </c>
    </row>
    <row r="13921" spans="1:2" x14ac:dyDescent="0.25">
      <c r="A13921" t="s">
        <v>1371</v>
      </c>
      <c r="B13921" t="s">
        <v>13407</v>
      </c>
    </row>
    <row r="13922" spans="1:2" x14ac:dyDescent="0.25">
      <c r="A13922" t="s">
        <v>8374</v>
      </c>
      <c r="B13922" t="s">
        <v>13407</v>
      </c>
    </row>
    <row r="13923" spans="1:2" x14ac:dyDescent="0.25">
      <c r="A13923" t="s">
        <v>13568</v>
      </c>
      <c r="B13923" t="s">
        <v>13407</v>
      </c>
    </row>
    <row r="13924" spans="1:2" x14ac:dyDescent="0.25">
      <c r="A13924" t="s">
        <v>13569</v>
      </c>
      <c r="B13924" t="s">
        <v>13407</v>
      </c>
    </row>
    <row r="13925" spans="1:2" x14ac:dyDescent="0.25">
      <c r="A13925" t="s">
        <v>13570</v>
      </c>
      <c r="B13925" t="s">
        <v>13407</v>
      </c>
    </row>
    <row r="13926" spans="1:2" x14ac:dyDescent="0.25">
      <c r="A13926" t="s">
        <v>13571</v>
      </c>
      <c r="B13926" t="s">
        <v>13407</v>
      </c>
    </row>
    <row r="13927" spans="1:2" x14ac:dyDescent="0.25">
      <c r="A13927" t="s">
        <v>13572</v>
      </c>
      <c r="B13927" t="s">
        <v>13407</v>
      </c>
    </row>
    <row r="13928" spans="1:2" x14ac:dyDescent="0.25">
      <c r="A13928" t="s">
        <v>13573</v>
      </c>
      <c r="B13928" t="s">
        <v>13407</v>
      </c>
    </row>
    <row r="13929" spans="1:2" x14ac:dyDescent="0.25">
      <c r="A13929" t="s">
        <v>13574</v>
      </c>
      <c r="B13929" t="s">
        <v>13407</v>
      </c>
    </row>
    <row r="13930" spans="1:2" x14ac:dyDescent="0.25">
      <c r="A13930" t="s">
        <v>13575</v>
      </c>
      <c r="B13930" t="s">
        <v>13407</v>
      </c>
    </row>
    <row r="13931" spans="1:2" x14ac:dyDescent="0.25">
      <c r="A13931" t="s">
        <v>13546</v>
      </c>
      <c r="B13931" t="s">
        <v>13407</v>
      </c>
    </row>
    <row r="13932" spans="1:2" x14ac:dyDescent="0.25">
      <c r="A13932" t="s">
        <v>13560</v>
      </c>
      <c r="B13932" t="s">
        <v>13407</v>
      </c>
    </row>
    <row r="13933" spans="1:2" x14ac:dyDescent="0.25">
      <c r="A13933" t="s">
        <v>13562</v>
      </c>
      <c r="B13933" t="s">
        <v>13407</v>
      </c>
    </row>
    <row r="13934" spans="1:2" x14ac:dyDescent="0.25">
      <c r="A13934" t="s">
        <v>3969</v>
      </c>
      <c r="B13934" t="s">
        <v>13407</v>
      </c>
    </row>
    <row r="13935" spans="1:2" x14ac:dyDescent="0.25">
      <c r="A13935" t="s">
        <v>11327</v>
      </c>
      <c r="B13935" t="s">
        <v>13407</v>
      </c>
    </row>
    <row r="13936" spans="1:2" x14ac:dyDescent="0.25">
      <c r="A13936" t="s">
        <v>11564</v>
      </c>
      <c r="B13936" t="s">
        <v>13407</v>
      </c>
    </row>
    <row r="13937" spans="1:2" x14ac:dyDescent="0.25">
      <c r="A13937" t="s">
        <v>11794</v>
      </c>
      <c r="B13937" t="s">
        <v>13407</v>
      </c>
    </row>
    <row r="13938" spans="1:2" x14ac:dyDescent="0.25">
      <c r="A13938" t="s">
        <v>8840</v>
      </c>
      <c r="B13938" t="s">
        <v>13407</v>
      </c>
    </row>
    <row r="13939" spans="1:2" x14ac:dyDescent="0.25">
      <c r="A13939" t="s">
        <v>8800</v>
      </c>
      <c r="B13939" t="s">
        <v>13407</v>
      </c>
    </row>
    <row r="13940" spans="1:2" x14ac:dyDescent="0.25">
      <c r="A13940" t="s">
        <v>8417</v>
      </c>
      <c r="B13940" t="s">
        <v>13407</v>
      </c>
    </row>
    <row r="13941" spans="1:2" x14ac:dyDescent="0.25">
      <c r="A13941" t="s">
        <v>6614</v>
      </c>
      <c r="B13941" t="s">
        <v>13407</v>
      </c>
    </row>
    <row r="13942" spans="1:2" x14ac:dyDescent="0.25">
      <c r="A13942" t="s">
        <v>9609</v>
      </c>
      <c r="B13942" t="s">
        <v>13407</v>
      </c>
    </row>
    <row r="13943" spans="1:2" x14ac:dyDescent="0.25">
      <c r="A13943" t="s">
        <v>13208</v>
      </c>
      <c r="B13943" t="s">
        <v>13407</v>
      </c>
    </row>
    <row r="13944" spans="1:2" x14ac:dyDescent="0.25">
      <c r="A13944" t="s">
        <v>13400</v>
      </c>
      <c r="B13944" t="s">
        <v>13407</v>
      </c>
    </row>
    <row r="13945" spans="1:2" x14ac:dyDescent="0.25">
      <c r="A13945" t="s">
        <v>8429</v>
      </c>
      <c r="B13945" t="s">
        <v>13407</v>
      </c>
    </row>
    <row r="13946" spans="1:2" x14ac:dyDescent="0.25">
      <c r="A13946" t="s">
        <v>10157</v>
      </c>
      <c r="B13946" t="s">
        <v>13407</v>
      </c>
    </row>
    <row r="13947" spans="1:2" x14ac:dyDescent="0.25">
      <c r="A13947" t="s">
        <v>13541</v>
      </c>
      <c r="B13947" t="s">
        <v>13407</v>
      </c>
    </row>
    <row r="13948" spans="1:2" x14ac:dyDescent="0.25">
      <c r="A13948" t="s">
        <v>13542</v>
      </c>
      <c r="B13948" t="s">
        <v>13407</v>
      </c>
    </row>
    <row r="13949" spans="1:2" x14ac:dyDescent="0.25">
      <c r="A13949" t="s">
        <v>10507</v>
      </c>
      <c r="B13949" t="s">
        <v>13407</v>
      </c>
    </row>
    <row r="13950" spans="1:2" x14ac:dyDescent="0.25">
      <c r="A13950" t="s">
        <v>436</v>
      </c>
      <c r="B13950" t="s">
        <v>13407</v>
      </c>
    </row>
    <row r="13951" spans="1:2" x14ac:dyDescent="0.25">
      <c r="A13951" t="s">
        <v>564</v>
      </c>
      <c r="B13951" t="s">
        <v>13407</v>
      </c>
    </row>
    <row r="13952" spans="1:2" x14ac:dyDescent="0.25">
      <c r="A13952" t="s">
        <v>1754</v>
      </c>
      <c r="B13952" t="s">
        <v>13407</v>
      </c>
    </row>
    <row r="13953" spans="1:2" x14ac:dyDescent="0.25">
      <c r="A13953" t="s">
        <v>565</v>
      </c>
      <c r="B13953" t="s">
        <v>13407</v>
      </c>
    </row>
    <row r="13954" spans="1:2" x14ac:dyDescent="0.25">
      <c r="A13954" t="s">
        <v>566</v>
      </c>
      <c r="B13954" t="s">
        <v>13407</v>
      </c>
    </row>
    <row r="13955" spans="1:2" x14ac:dyDescent="0.25">
      <c r="A13955" t="s">
        <v>567</v>
      </c>
      <c r="B13955" t="s">
        <v>13407</v>
      </c>
    </row>
    <row r="13956" spans="1:2" x14ac:dyDescent="0.25">
      <c r="A13956" t="s">
        <v>8318</v>
      </c>
      <c r="B13956" t="s">
        <v>13407</v>
      </c>
    </row>
    <row r="13957" spans="1:2" x14ac:dyDescent="0.25">
      <c r="A13957" t="s">
        <v>7760</v>
      </c>
      <c r="B13957" t="s">
        <v>13407</v>
      </c>
    </row>
    <row r="13958" spans="1:2" x14ac:dyDescent="0.25">
      <c r="A13958" t="s">
        <v>7761</v>
      </c>
      <c r="B13958" t="s">
        <v>13407</v>
      </c>
    </row>
    <row r="13959" spans="1:2" x14ac:dyDescent="0.25">
      <c r="A13959" t="s">
        <v>9928</v>
      </c>
      <c r="B13959" t="s">
        <v>13407</v>
      </c>
    </row>
    <row r="13960" spans="1:2" x14ac:dyDescent="0.25">
      <c r="A13960" t="s">
        <v>13543</v>
      </c>
      <c r="B13960" t="s">
        <v>13407</v>
      </c>
    </row>
    <row r="13961" spans="1:2" x14ac:dyDescent="0.25">
      <c r="A13961" t="s">
        <v>13544</v>
      </c>
      <c r="B13961" t="s">
        <v>13407</v>
      </c>
    </row>
    <row r="13962" spans="1:2" x14ac:dyDescent="0.25">
      <c r="A13962" t="s">
        <v>4878</v>
      </c>
      <c r="B13962" t="s">
        <v>13407</v>
      </c>
    </row>
    <row r="13963" spans="1:2" x14ac:dyDescent="0.25">
      <c r="A13963" t="s">
        <v>4879</v>
      </c>
      <c r="B13963" t="s">
        <v>13407</v>
      </c>
    </row>
    <row r="13964" spans="1:2" x14ac:dyDescent="0.25">
      <c r="A13964" t="s">
        <v>4459</v>
      </c>
      <c r="B13964" t="s">
        <v>13407</v>
      </c>
    </row>
    <row r="13965" spans="1:2" x14ac:dyDescent="0.25">
      <c r="A13965" t="s">
        <v>5323</v>
      </c>
      <c r="B13965" t="s">
        <v>13407</v>
      </c>
    </row>
    <row r="13966" spans="1:2" x14ac:dyDescent="0.25">
      <c r="A13966" t="s">
        <v>3935</v>
      </c>
      <c r="B13966" t="s">
        <v>13407</v>
      </c>
    </row>
    <row r="13967" spans="1:2" x14ac:dyDescent="0.25">
      <c r="A13967" t="s">
        <v>2565</v>
      </c>
      <c r="B13967" t="s">
        <v>3935</v>
      </c>
    </row>
    <row r="13968" spans="1:2" x14ac:dyDescent="0.25">
      <c r="A13968" t="s">
        <v>2593</v>
      </c>
      <c r="B13968" t="s">
        <v>3935</v>
      </c>
    </row>
    <row r="13969" spans="1:2" x14ac:dyDescent="0.25">
      <c r="A13969" t="s">
        <v>2180</v>
      </c>
      <c r="B13969" t="s">
        <v>3935</v>
      </c>
    </row>
    <row r="13970" spans="1:2" x14ac:dyDescent="0.25">
      <c r="A13970" t="s">
        <v>6186</v>
      </c>
      <c r="B13970" t="s">
        <v>3935</v>
      </c>
    </row>
    <row r="13971" spans="1:2" x14ac:dyDescent="0.25">
      <c r="A13971" t="s">
        <v>15053</v>
      </c>
      <c r="B13971" t="s">
        <v>13407</v>
      </c>
    </row>
    <row r="13972" spans="1:2" x14ac:dyDescent="0.25">
      <c r="A13972" t="s">
        <v>14766</v>
      </c>
      <c r="B13972" t="s">
        <v>13407</v>
      </c>
    </row>
    <row r="13973" spans="1:2" x14ac:dyDescent="0.25">
      <c r="A13973" t="s">
        <v>13540</v>
      </c>
      <c r="B13973" t="s">
        <v>13210</v>
      </c>
    </row>
    <row r="13974" spans="1:2" x14ac:dyDescent="0.25">
      <c r="A13974" t="s">
        <v>473</v>
      </c>
      <c r="B13974" t="s">
        <v>13540</v>
      </c>
    </row>
    <row r="13975" spans="1:2" x14ac:dyDescent="0.25">
      <c r="A13975" t="s">
        <v>6119</v>
      </c>
      <c r="B13975" t="s">
        <v>473</v>
      </c>
    </row>
    <row r="13976" spans="1:2" x14ac:dyDescent="0.25">
      <c r="A13976" t="s">
        <v>7213</v>
      </c>
      <c r="B13976" t="s">
        <v>6119</v>
      </c>
    </row>
    <row r="13977" spans="1:2" x14ac:dyDescent="0.25">
      <c r="A13977" t="s">
        <v>7218</v>
      </c>
      <c r="B13977" t="s">
        <v>13540</v>
      </c>
    </row>
    <row r="13978" spans="1:2" x14ac:dyDescent="0.25">
      <c r="A13978" t="s">
        <v>11928</v>
      </c>
      <c r="B13978" t="s">
        <v>7218</v>
      </c>
    </row>
    <row r="13979" spans="1:2" x14ac:dyDescent="0.25">
      <c r="A13979" t="s">
        <v>8372</v>
      </c>
      <c r="B13979" t="s">
        <v>11928</v>
      </c>
    </row>
    <row r="13980" spans="1:2" x14ac:dyDescent="0.25">
      <c r="A13980" t="s">
        <v>4880</v>
      </c>
      <c r="B13980" t="s">
        <v>11928</v>
      </c>
    </row>
    <row r="13981" spans="1:2" x14ac:dyDescent="0.25">
      <c r="A13981" t="s">
        <v>10605</v>
      </c>
      <c r="B13981" t="s">
        <v>7218</v>
      </c>
    </row>
    <row r="13982" spans="1:2" x14ac:dyDescent="0.25">
      <c r="A13982" t="s">
        <v>2996</v>
      </c>
      <c r="B13982" t="s">
        <v>10605</v>
      </c>
    </row>
    <row r="13983" spans="1:2" x14ac:dyDescent="0.25">
      <c r="A13983" t="s">
        <v>5595</v>
      </c>
      <c r="B13983" t="s">
        <v>13540</v>
      </c>
    </row>
    <row r="13984" spans="1:2" x14ac:dyDescent="0.25">
      <c r="A13984" t="s">
        <v>1757</v>
      </c>
      <c r="B13984" t="s">
        <v>5595</v>
      </c>
    </row>
    <row r="13985" spans="1:2" x14ac:dyDescent="0.25">
      <c r="A13985" t="s">
        <v>16336</v>
      </c>
      <c r="B13985" t="s">
        <v>5595</v>
      </c>
    </row>
    <row r="13986" spans="1:2" x14ac:dyDescent="0.25">
      <c r="A13986" t="s">
        <v>16337</v>
      </c>
      <c r="B13986" t="s">
        <v>5595</v>
      </c>
    </row>
    <row r="13987" spans="1:2" x14ac:dyDescent="0.25">
      <c r="A13987" t="s">
        <v>16338</v>
      </c>
      <c r="B13987" t="s">
        <v>5595</v>
      </c>
    </row>
    <row r="13988" spans="1:2" x14ac:dyDescent="0.25">
      <c r="A13988" t="s">
        <v>16339</v>
      </c>
      <c r="B13988" t="s">
        <v>5595</v>
      </c>
    </row>
    <row r="13989" spans="1:2" x14ac:dyDescent="0.25">
      <c r="A13989" t="s">
        <v>16340</v>
      </c>
      <c r="B13989" t="s">
        <v>13540</v>
      </c>
    </row>
    <row r="13990" spans="1:2" x14ac:dyDescent="0.25">
      <c r="A13990" t="s">
        <v>10598</v>
      </c>
      <c r="B13990" t="s">
        <v>16340</v>
      </c>
    </row>
    <row r="13991" spans="1:2" x14ac:dyDescent="0.25">
      <c r="A13991" t="s">
        <v>8352</v>
      </c>
      <c r="B13991" t="s">
        <v>16340</v>
      </c>
    </row>
    <row r="13992" spans="1:2" x14ac:dyDescent="0.25">
      <c r="A13992" t="s">
        <v>1370</v>
      </c>
      <c r="B13992" t="s">
        <v>8352</v>
      </c>
    </row>
    <row r="13993" spans="1:2" x14ac:dyDescent="0.25">
      <c r="A13993" t="s">
        <v>459</v>
      </c>
      <c r="B13993" t="s">
        <v>8352</v>
      </c>
    </row>
    <row r="13994" spans="1:2" x14ac:dyDescent="0.25">
      <c r="A13994" t="s">
        <v>124</v>
      </c>
      <c r="B13994" t="s">
        <v>8352</v>
      </c>
    </row>
    <row r="13995" spans="1:2" x14ac:dyDescent="0.25">
      <c r="A13995" t="s">
        <v>2992</v>
      </c>
      <c r="B13995" t="s">
        <v>8352</v>
      </c>
    </row>
    <row r="13996" spans="1:2" x14ac:dyDescent="0.25">
      <c r="A13996" t="s">
        <v>3444</v>
      </c>
      <c r="B13996" t="s">
        <v>8352</v>
      </c>
    </row>
    <row r="13997" spans="1:2" x14ac:dyDescent="0.25">
      <c r="A13997" t="s">
        <v>329</v>
      </c>
      <c r="B13997" t="s">
        <v>8352</v>
      </c>
    </row>
    <row r="13998" spans="1:2" x14ac:dyDescent="0.25">
      <c r="A13998" t="s">
        <v>5351</v>
      </c>
      <c r="B13998" t="s">
        <v>8352</v>
      </c>
    </row>
    <row r="13999" spans="1:2" x14ac:dyDescent="0.25">
      <c r="A13999" t="s">
        <v>5366</v>
      </c>
      <c r="B13999" t="s">
        <v>8352</v>
      </c>
    </row>
    <row r="14000" spans="1:2" x14ac:dyDescent="0.25">
      <c r="A14000" t="s">
        <v>8839</v>
      </c>
      <c r="B14000" t="s">
        <v>8352</v>
      </c>
    </row>
    <row r="14001" spans="1:2" x14ac:dyDescent="0.25">
      <c r="A14001" t="s">
        <v>7907</v>
      </c>
      <c r="B14001" t="s">
        <v>8352</v>
      </c>
    </row>
    <row r="14002" spans="1:2" x14ac:dyDescent="0.25">
      <c r="A14002" t="s">
        <v>8409</v>
      </c>
      <c r="B14002" t="s">
        <v>8352</v>
      </c>
    </row>
    <row r="14003" spans="1:2" x14ac:dyDescent="0.25">
      <c r="A14003" t="s">
        <v>7908</v>
      </c>
      <c r="B14003" t="s">
        <v>8352</v>
      </c>
    </row>
    <row r="14004" spans="1:2" x14ac:dyDescent="0.25">
      <c r="A14004" t="s">
        <v>6653</v>
      </c>
      <c r="B14004" t="s">
        <v>8352</v>
      </c>
    </row>
    <row r="14005" spans="1:2" x14ac:dyDescent="0.25">
      <c r="A14005" t="s">
        <v>6642</v>
      </c>
      <c r="B14005" t="s">
        <v>16340</v>
      </c>
    </row>
    <row r="14006" spans="1:2" x14ac:dyDescent="0.25">
      <c r="A14006" t="s">
        <v>4900</v>
      </c>
      <c r="B14006" t="s">
        <v>6642</v>
      </c>
    </row>
    <row r="14007" spans="1:2" x14ac:dyDescent="0.25">
      <c r="A14007" t="s">
        <v>4475</v>
      </c>
      <c r="B14007" t="s">
        <v>6642</v>
      </c>
    </row>
    <row r="14008" spans="1:2" x14ac:dyDescent="0.25">
      <c r="A14008" t="s">
        <v>3505</v>
      </c>
      <c r="B14008" t="s">
        <v>6642</v>
      </c>
    </row>
    <row r="14009" spans="1:2" x14ac:dyDescent="0.25">
      <c r="A14009" t="s">
        <v>5765</v>
      </c>
      <c r="B14009" t="s">
        <v>6642</v>
      </c>
    </row>
    <row r="14010" spans="1:2" x14ac:dyDescent="0.25">
      <c r="A14010" t="s">
        <v>3506</v>
      </c>
      <c r="B14010" t="s">
        <v>6642</v>
      </c>
    </row>
    <row r="14011" spans="1:2" x14ac:dyDescent="0.25">
      <c r="A14011" t="s">
        <v>3993</v>
      </c>
      <c r="B14011" t="s">
        <v>6642</v>
      </c>
    </row>
    <row r="14012" spans="1:2" x14ac:dyDescent="0.25">
      <c r="A14012" t="s">
        <v>4503</v>
      </c>
      <c r="B14012" t="s">
        <v>6642</v>
      </c>
    </row>
    <row r="14013" spans="1:2" x14ac:dyDescent="0.25">
      <c r="A14013" t="s">
        <v>15054</v>
      </c>
      <c r="B14013" t="s">
        <v>16340</v>
      </c>
    </row>
    <row r="14014" spans="1:2" x14ac:dyDescent="0.25">
      <c r="A14014" t="s">
        <v>15055</v>
      </c>
      <c r="B14014" t="s">
        <v>16340</v>
      </c>
    </row>
    <row r="14015" spans="1:2" x14ac:dyDescent="0.25">
      <c r="A14015" t="s">
        <v>15056</v>
      </c>
      <c r="B14015" t="s">
        <v>16340</v>
      </c>
    </row>
    <row r="14016" spans="1:2" x14ac:dyDescent="0.25">
      <c r="A14016" t="s">
        <v>15057</v>
      </c>
      <c r="B14016" t="s">
        <v>16340</v>
      </c>
    </row>
    <row r="14017" spans="1:2" x14ac:dyDescent="0.25">
      <c r="A14017" t="s">
        <v>15058</v>
      </c>
      <c r="B14017" t="s">
        <v>15057</v>
      </c>
    </row>
    <row r="14018" spans="1:2" x14ac:dyDescent="0.25">
      <c r="A14018" t="s">
        <v>15059</v>
      </c>
      <c r="B14018" t="s">
        <v>15057</v>
      </c>
    </row>
    <row r="14019" spans="1:2" x14ac:dyDescent="0.25">
      <c r="A14019" t="s">
        <v>13499</v>
      </c>
      <c r="B14019" t="s">
        <v>15057</v>
      </c>
    </row>
    <row r="14020" spans="1:2" x14ac:dyDescent="0.25">
      <c r="A14020" t="s">
        <v>126</v>
      </c>
      <c r="B14020" t="s">
        <v>13210</v>
      </c>
    </row>
    <row r="14021" spans="1:2" x14ac:dyDescent="0.25">
      <c r="A14021" t="s">
        <v>10979</v>
      </c>
      <c r="B14021" t="s">
        <v>126</v>
      </c>
    </row>
    <row r="14022" spans="1:2" x14ac:dyDescent="0.25">
      <c r="A14022" t="s">
        <v>2128</v>
      </c>
      <c r="B14022" t="s">
        <v>126</v>
      </c>
    </row>
    <row r="14023" spans="1:2" x14ac:dyDescent="0.25">
      <c r="A14023" t="s">
        <v>4821</v>
      </c>
      <c r="B14023" t="s">
        <v>2128</v>
      </c>
    </row>
    <row r="14024" spans="1:2" x14ac:dyDescent="0.25">
      <c r="A14024" t="s">
        <v>6132</v>
      </c>
      <c r="B14024" t="s">
        <v>2128</v>
      </c>
    </row>
    <row r="14025" spans="1:2" x14ac:dyDescent="0.25">
      <c r="A14025" t="s">
        <v>1391</v>
      </c>
      <c r="B14025" t="s">
        <v>2128</v>
      </c>
    </row>
    <row r="14026" spans="1:2" x14ac:dyDescent="0.25">
      <c r="A14026" t="s">
        <v>7847</v>
      </c>
      <c r="B14026" t="s">
        <v>2128</v>
      </c>
    </row>
    <row r="14027" spans="1:2" x14ac:dyDescent="0.25">
      <c r="A14027" t="s">
        <v>7848</v>
      </c>
      <c r="B14027" t="s">
        <v>2128</v>
      </c>
    </row>
    <row r="14028" spans="1:2" x14ac:dyDescent="0.25">
      <c r="A14028" t="s">
        <v>7849</v>
      </c>
      <c r="B14028" t="s">
        <v>2128</v>
      </c>
    </row>
    <row r="14029" spans="1:2" x14ac:dyDescent="0.25">
      <c r="A14029" t="s">
        <v>7850</v>
      </c>
      <c r="B14029" t="s">
        <v>2128</v>
      </c>
    </row>
    <row r="14030" spans="1:2" x14ac:dyDescent="0.25">
      <c r="A14030" t="s">
        <v>10980</v>
      </c>
      <c r="B14030" t="s">
        <v>2128</v>
      </c>
    </row>
    <row r="14031" spans="1:2" x14ac:dyDescent="0.25">
      <c r="A14031" t="s">
        <v>10992</v>
      </c>
      <c r="B14031" t="s">
        <v>2128</v>
      </c>
    </row>
    <row r="14032" spans="1:2" x14ac:dyDescent="0.25">
      <c r="A14032" t="s">
        <v>2178</v>
      </c>
      <c r="B14032" t="s">
        <v>2128</v>
      </c>
    </row>
    <row r="14033" spans="1:2" x14ac:dyDescent="0.25">
      <c r="A14033" t="s">
        <v>13895</v>
      </c>
      <c r="B14033" t="s">
        <v>2128</v>
      </c>
    </row>
    <row r="14034" spans="1:2" x14ac:dyDescent="0.25">
      <c r="A14034" t="s">
        <v>1392</v>
      </c>
      <c r="B14034" t="s">
        <v>126</v>
      </c>
    </row>
    <row r="14035" spans="1:2" x14ac:dyDescent="0.25">
      <c r="A14035" t="s">
        <v>8801</v>
      </c>
      <c r="B14035" t="s">
        <v>1392</v>
      </c>
    </row>
    <row r="14036" spans="1:2" x14ac:dyDescent="0.25">
      <c r="A14036" t="s">
        <v>10981</v>
      </c>
      <c r="B14036" t="s">
        <v>1392</v>
      </c>
    </row>
    <row r="14037" spans="1:2" x14ac:dyDescent="0.25">
      <c r="A14037" t="s">
        <v>6133</v>
      </c>
      <c r="B14037" t="s">
        <v>1392</v>
      </c>
    </row>
    <row r="14038" spans="1:2" x14ac:dyDescent="0.25">
      <c r="A14038" t="s">
        <v>9203</v>
      </c>
      <c r="B14038" t="s">
        <v>1392</v>
      </c>
    </row>
    <row r="14039" spans="1:2" x14ac:dyDescent="0.25">
      <c r="A14039" t="s">
        <v>9204</v>
      </c>
      <c r="B14039" t="s">
        <v>1392</v>
      </c>
    </row>
    <row r="14040" spans="1:2" x14ac:dyDescent="0.25">
      <c r="A14040" t="s">
        <v>8375</v>
      </c>
      <c r="B14040" t="s">
        <v>126</v>
      </c>
    </row>
    <row r="14041" spans="1:2" x14ac:dyDescent="0.25">
      <c r="A14041" t="s">
        <v>10606</v>
      </c>
      <c r="B14041" t="s">
        <v>126</v>
      </c>
    </row>
    <row r="14042" spans="1:2" x14ac:dyDescent="0.25">
      <c r="A14042" t="s">
        <v>9205</v>
      </c>
      <c r="B14042" t="s">
        <v>126</v>
      </c>
    </row>
    <row r="14043" spans="1:2" x14ac:dyDescent="0.25">
      <c r="A14043" t="s">
        <v>2569</v>
      </c>
      <c r="B14043" t="s">
        <v>126</v>
      </c>
    </row>
    <row r="14044" spans="1:2" x14ac:dyDescent="0.25">
      <c r="A14044" t="s">
        <v>12295</v>
      </c>
      <c r="B14044" t="s">
        <v>2569</v>
      </c>
    </row>
    <row r="14045" spans="1:2" x14ac:dyDescent="0.25">
      <c r="A14045" t="s">
        <v>12629</v>
      </c>
      <c r="B14045" t="s">
        <v>2569</v>
      </c>
    </row>
    <row r="14046" spans="1:2" x14ac:dyDescent="0.25">
      <c r="A14046" t="s">
        <v>11929</v>
      </c>
      <c r="B14046" t="s">
        <v>2569</v>
      </c>
    </row>
    <row r="14047" spans="1:2" x14ac:dyDescent="0.25">
      <c r="A14047" t="s">
        <v>12630</v>
      </c>
      <c r="B14047" t="s">
        <v>2569</v>
      </c>
    </row>
    <row r="14048" spans="1:2" x14ac:dyDescent="0.25">
      <c r="A14048" t="s">
        <v>6134</v>
      </c>
      <c r="B14048" t="s">
        <v>126</v>
      </c>
    </row>
    <row r="14049" spans="1:2" x14ac:dyDescent="0.25">
      <c r="A14049" t="s">
        <v>12296</v>
      </c>
      <c r="B14049" t="s">
        <v>6134</v>
      </c>
    </row>
    <row r="14050" spans="1:2" x14ac:dyDescent="0.25">
      <c r="A14050" t="s">
        <v>12631</v>
      </c>
      <c r="B14050" t="s">
        <v>6134</v>
      </c>
    </row>
    <row r="14051" spans="1:2" x14ac:dyDescent="0.25">
      <c r="A14051" t="s">
        <v>12632</v>
      </c>
      <c r="B14051" t="s">
        <v>6134</v>
      </c>
    </row>
    <row r="14052" spans="1:2" x14ac:dyDescent="0.25">
      <c r="A14052" t="s">
        <v>7219</v>
      </c>
      <c r="B14052" t="s">
        <v>126</v>
      </c>
    </row>
    <row r="14053" spans="1:2" x14ac:dyDescent="0.25">
      <c r="A14053" t="s">
        <v>8376</v>
      </c>
      <c r="B14053" t="s">
        <v>7219</v>
      </c>
    </row>
    <row r="14054" spans="1:2" x14ac:dyDescent="0.25">
      <c r="A14054" t="s">
        <v>9613</v>
      </c>
      <c r="B14054" t="s">
        <v>7219</v>
      </c>
    </row>
    <row r="14055" spans="1:2" x14ac:dyDescent="0.25">
      <c r="A14055" t="s">
        <v>4882</v>
      </c>
      <c r="B14055" t="s">
        <v>7219</v>
      </c>
    </row>
    <row r="14056" spans="1:2" x14ac:dyDescent="0.25">
      <c r="A14056" t="s">
        <v>6135</v>
      </c>
      <c r="B14056" t="s">
        <v>7219</v>
      </c>
    </row>
    <row r="14057" spans="1:2" x14ac:dyDescent="0.25">
      <c r="A14057" t="s">
        <v>9614</v>
      </c>
      <c r="B14057" t="s">
        <v>7219</v>
      </c>
    </row>
    <row r="14058" spans="1:2" x14ac:dyDescent="0.25">
      <c r="A14058" t="s">
        <v>2129</v>
      </c>
      <c r="B14058" t="s">
        <v>7219</v>
      </c>
    </row>
    <row r="14059" spans="1:2" x14ac:dyDescent="0.25">
      <c r="A14059" t="s">
        <v>10993</v>
      </c>
      <c r="B14059" t="s">
        <v>7219</v>
      </c>
    </row>
    <row r="14060" spans="1:2" x14ac:dyDescent="0.25">
      <c r="A14060" t="s">
        <v>4883</v>
      </c>
      <c r="B14060" t="s">
        <v>126</v>
      </c>
    </row>
    <row r="14061" spans="1:2" x14ac:dyDescent="0.25">
      <c r="A14061" t="s">
        <v>11297</v>
      </c>
      <c r="B14061" t="s">
        <v>4883</v>
      </c>
    </row>
    <row r="14062" spans="1:2" x14ac:dyDescent="0.25">
      <c r="A14062" t="s">
        <v>11930</v>
      </c>
      <c r="B14062" t="s">
        <v>4883</v>
      </c>
    </row>
    <row r="14063" spans="1:2" x14ac:dyDescent="0.25">
      <c r="A14063" t="s">
        <v>11298</v>
      </c>
      <c r="B14063" t="s">
        <v>4883</v>
      </c>
    </row>
    <row r="14064" spans="1:2" x14ac:dyDescent="0.25">
      <c r="A14064" t="s">
        <v>11775</v>
      </c>
      <c r="B14064" t="s">
        <v>4883</v>
      </c>
    </row>
    <row r="14065" spans="1:2" x14ac:dyDescent="0.25">
      <c r="A14065" t="s">
        <v>11776</v>
      </c>
      <c r="B14065" t="s">
        <v>4883</v>
      </c>
    </row>
    <row r="14066" spans="1:2" x14ac:dyDescent="0.25">
      <c r="A14066" t="s">
        <v>6620</v>
      </c>
      <c r="B14066" t="s">
        <v>4883</v>
      </c>
    </row>
    <row r="14067" spans="1:2" x14ac:dyDescent="0.25">
      <c r="A14067" t="s">
        <v>10994</v>
      </c>
      <c r="B14067" t="s">
        <v>4883</v>
      </c>
    </row>
    <row r="14068" spans="1:2" x14ac:dyDescent="0.25">
      <c r="A14068" t="s">
        <v>1501</v>
      </c>
      <c r="B14068" t="s">
        <v>4883</v>
      </c>
    </row>
    <row r="14069" spans="1:2" x14ac:dyDescent="0.25">
      <c r="A14069" t="s">
        <v>8377</v>
      </c>
      <c r="B14069" t="s">
        <v>1501</v>
      </c>
    </row>
    <row r="14070" spans="1:2" x14ac:dyDescent="0.25">
      <c r="A14070" t="s">
        <v>7267</v>
      </c>
      <c r="B14070" t="s">
        <v>1501</v>
      </c>
    </row>
    <row r="14071" spans="1:2" x14ac:dyDescent="0.25">
      <c r="A14071" t="s">
        <v>13882</v>
      </c>
      <c r="B14071" t="s">
        <v>4883</v>
      </c>
    </row>
    <row r="14072" spans="1:2" x14ac:dyDescent="0.25">
      <c r="A14072" t="s">
        <v>13909</v>
      </c>
      <c r="B14072" t="s">
        <v>4883</v>
      </c>
    </row>
    <row r="14073" spans="1:2" x14ac:dyDescent="0.25">
      <c r="A14073" t="s">
        <v>6638</v>
      </c>
      <c r="B14073" t="s">
        <v>126</v>
      </c>
    </row>
    <row r="14074" spans="1:2" x14ac:dyDescent="0.25">
      <c r="A14074" t="s">
        <v>8836</v>
      </c>
      <c r="B14074" t="s">
        <v>6638</v>
      </c>
    </row>
    <row r="14075" spans="1:2" x14ac:dyDescent="0.25">
      <c r="A14075" t="s">
        <v>8823</v>
      </c>
      <c r="B14075" t="s">
        <v>126</v>
      </c>
    </row>
    <row r="14076" spans="1:2" x14ac:dyDescent="0.25">
      <c r="A14076" t="s">
        <v>10657</v>
      </c>
      <c r="B14076" t="s">
        <v>126</v>
      </c>
    </row>
    <row r="14077" spans="1:2" x14ac:dyDescent="0.25">
      <c r="A14077" t="s">
        <v>10658</v>
      </c>
      <c r="B14077" t="s">
        <v>126</v>
      </c>
    </row>
    <row r="14078" spans="1:2" x14ac:dyDescent="0.25">
      <c r="A14078" t="s">
        <v>13395</v>
      </c>
      <c r="B14078" t="s">
        <v>126</v>
      </c>
    </row>
    <row r="14079" spans="1:2" x14ac:dyDescent="0.25">
      <c r="A14079" t="s">
        <v>13632</v>
      </c>
      <c r="B14079" t="s">
        <v>126</v>
      </c>
    </row>
    <row r="14080" spans="1:2" x14ac:dyDescent="0.25">
      <c r="A14080" t="s">
        <v>13633</v>
      </c>
      <c r="B14080" t="s">
        <v>126</v>
      </c>
    </row>
    <row r="14081" spans="1:2" x14ac:dyDescent="0.25">
      <c r="A14081" t="s">
        <v>4925</v>
      </c>
      <c r="B14081" t="s">
        <v>13210</v>
      </c>
    </row>
    <row r="14082" spans="1:2" x14ac:dyDescent="0.25">
      <c r="A14082" t="s">
        <v>15060</v>
      </c>
      <c r="B14082" t="s">
        <v>4925</v>
      </c>
    </row>
    <row r="14083" spans="1:2" x14ac:dyDescent="0.25">
      <c r="A14083" t="s">
        <v>15061</v>
      </c>
      <c r="B14083" t="s">
        <v>4925</v>
      </c>
    </row>
    <row r="14084" spans="1:2" x14ac:dyDescent="0.25">
      <c r="A14084" t="s">
        <v>15062</v>
      </c>
      <c r="B14084" t="s">
        <v>4925</v>
      </c>
    </row>
    <row r="14085" spans="1:2" x14ac:dyDescent="0.25">
      <c r="A14085" t="s">
        <v>15063</v>
      </c>
      <c r="B14085" t="s">
        <v>4925</v>
      </c>
    </row>
    <row r="14086" spans="1:2" x14ac:dyDescent="0.25">
      <c r="A14086" t="s">
        <v>15064</v>
      </c>
      <c r="B14086" t="s">
        <v>4925</v>
      </c>
    </row>
    <row r="14087" spans="1:2" x14ac:dyDescent="0.25">
      <c r="A14087" t="s">
        <v>15065</v>
      </c>
      <c r="B14087" t="s">
        <v>4925</v>
      </c>
    </row>
    <row r="14088" spans="1:2" x14ac:dyDescent="0.25">
      <c r="A14088" t="s">
        <v>11023</v>
      </c>
      <c r="B14088" t="s">
        <v>13210</v>
      </c>
    </row>
    <row r="14089" spans="1:2" x14ac:dyDescent="0.25">
      <c r="A14089" t="s">
        <v>138</v>
      </c>
      <c r="B14089" t="s">
        <v>11023</v>
      </c>
    </row>
    <row r="14090" spans="1:2" x14ac:dyDescent="0.25">
      <c r="A14090" t="s">
        <v>8431</v>
      </c>
      <c r="B14090" t="s">
        <v>138</v>
      </c>
    </row>
    <row r="14091" spans="1:2" x14ac:dyDescent="0.25">
      <c r="A14091" t="s">
        <v>5709</v>
      </c>
      <c r="B14091" t="s">
        <v>11023</v>
      </c>
    </row>
    <row r="14092" spans="1:2" x14ac:dyDescent="0.25">
      <c r="A14092" t="s">
        <v>12827</v>
      </c>
      <c r="B14092" t="s">
        <v>5709</v>
      </c>
    </row>
    <row r="14093" spans="1:2" x14ac:dyDescent="0.25">
      <c r="A14093" t="s">
        <v>2594</v>
      </c>
      <c r="B14093" t="s">
        <v>12827</v>
      </c>
    </row>
    <row r="14094" spans="1:2" x14ac:dyDescent="0.25">
      <c r="A14094" t="s">
        <v>2181</v>
      </c>
      <c r="B14094" t="s">
        <v>12827</v>
      </c>
    </row>
    <row r="14095" spans="1:2" x14ac:dyDescent="0.25">
      <c r="A14095" t="s">
        <v>3972</v>
      </c>
      <c r="B14095" t="s">
        <v>12827</v>
      </c>
    </row>
    <row r="14096" spans="1:2" x14ac:dyDescent="0.25">
      <c r="A14096" t="s">
        <v>3032</v>
      </c>
      <c r="B14096" t="s">
        <v>12827</v>
      </c>
    </row>
    <row r="14097" spans="1:2" x14ac:dyDescent="0.25">
      <c r="A14097" t="s">
        <v>11772</v>
      </c>
      <c r="B14097" t="s">
        <v>5709</v>
      </c>
    </row>
    <row r="14098" spans="1:2" x14ac:dyDescent="0.25">
      <c r="A14098" t="s">
        <v>2977</v>
      </c>
      <c r="B14098" t="s">
        <v>11772</v>
      </c>
    </row>
    <row r="14099" spans="1:2" x14ac:dyDescent="0.25">
      <c r="A14099" t="s">
        <v>2554</v>
      </c>
      <c r="B14099" t="s">
        <v>2977</v>
      </c>
    </row>
    <row r="14100" spans="1:2" x14ac:dyDescent="0.25">
      <c r="A14100" t="s">
        <v>4867</v>
      </c>
      <c r="B14100" t="s">
        <v>2977</v>
      </c>
    </row>
    <row r="14101" spans="1:2" x14ac:dyDescent="0.25">
      <c r="A14101" t="s">
        <v>3436</v>
      </c>
      <c r="B14101" t="s">
        <v>11772</v>
      </c>
    </row>
    <row r="14102" spans="1:2" x14ac:dyDescent="0.25">
      <c r="A14102" t="s">
        <v>2555</v>
      </c>
      <c r="B14102" t="s">
        <v>11772</v>
      </c>
    </row>
    <row r="14103" spans="1:2" x14ac:dyDescent="0.25">
      <c r="A14103" t="s">
        <v>2556</v>
      </c>
      <c r="B14103" t="s">
        <v>11772</v>
      </c>
    </row>
    <row r="14104" spans="1:2" x14ac:dyDescent="0.25">
      <c r="A14104" t="s">
        <v>7887</v>
      </c>
      <c r="B14104" t="s">
        <v>11772</v>
      </c>
    </row>
    <row r="14105" spans="1:2" x14ac:dyDescent="0.25">
      <c r="A14105" t="s">
        <v>15066</v>
      </c>
      <c r="B14105" t="s">
        <v>11772</v>
      </c>
    </row>
    <row r="14106" spans="1:2" x14ac:dyDescent="0.25">
      <c r="A14106" t="s">
        <v>15067</v>
      </c>
      <c r="B14106" t="s">
        <v>11772</v>
      </c>
    </row>
    <row r="14107" spans="1:2" x14ac:dyDescent="0.25">
      <c r="A14107" t="s">
        <v>15068</v>
      </c>
      <c r="B14107" t="s">
        <v>11772</v>
      </c>
    </row>
    <row r="14108" spans="1:2" x14ac:dyDescent="0.25">
      <c r="A14108" t="s">
        <v>15069</v>
      </c>
      <c r="B14108" t="s">
        <v>11772</v>
      </c>
    </row>
    <row r="14109" spans="1:2" x14ac:dyDescent="0.25">
      <c r="A14109" t="s">
        <v>9976</v>
      </c>
      <c r="B14109" t="s">
        <v>5709</v>
      </c>
    </row>
    <row r="14110" spans="1:2" x14ac:dyDescent="0.25">
      <c r="A14110" t="s">
        <v>12494</v>
      </c>
      <c r="B14110" t="s">
        <v>9976</v>
      </c>
    </row>
    <row r="14111" spans="1:2" x14ac:dyDescent="0.25">
      <c r="A14111" t="s">
        <v>2109</v>
      </c>
      <c r="B14111" t="s">
        <v>12494</v>
      </c>
    </row>
    <row r="14112" spans="1:2" x14ac:dyDescent="0.25">
      <c r="A14112" t="s">
        <v>2557</v>
      </c>
      <c r="B14112" t="s">
        <v>12494</v>
      </c>
    </row>
    <row r="14113" spans="1:2" x14ac:dyDescent="0.25">
      <c r="A14113" t="s">
        <v>2558</v>
      </c>
      <c r="B14113" t="s">
        <v>12494</v>
      </c>
    </row>
    <row r="14114" spans="1:2" x14ac:dyDescent="0.25">
      <c r="A14114" t="s">
        <v>2978</v>
      </c>
      <c r="B14114" t="s">
        <v>12494</v>
      </c>
    </row>
    <row r="14115" spans="1:2" x14ac:dyDescent="0.25">
      <c r="A14115" t="s">
        <v>2559</v>
      </c>
      <c r="B14115" t="s">
        <v>12494</v>
      </c>
    </row>
    <row r="14116" spans="1:2" x14ac:dyDescent="0.25">
      <c r="A14116" t="s">
        <v>2979</v>
      </c>
      <c r="B14116" t="s">
        <v>12494</v>
      </c>
    </row>
    <row r="14117" spans="1:2" x14ac:dyDescent="0.25">
      <c r="A14117" t="s">
        <v>3437</v>
      </c>
      <c r="B14117" t="s">
        <v>12494</v>
      </c>
    </row>
    <row r="14118" spans="1:2" x14ac:dyDescent="0.25">
      <c r="A14118" t="s">
        <v>2560</v>
      </c>
      <c r="B14118" t="s">
        <v>12494</v>
      </c>
    </row>
    <row r="14119" spans="1:2" x14ac:dyDescent="0.25">
      <c r="A14119" t="s">
        <v>2980</v>
      </c>
      <c r="B14119" t="s">
        <v>12494</v>
      </c>
    </row>
    <row r="14120" spans="1:2" x14ac:dyDescent="0.25">
      <c r="A14120" t="s">
        <v>3438</v>
      </c>
      <c r="B14120" t="s">
        <v>12494</v>
      </c>
    </row>
    <row r="14121" spans="1:2" x14ac:dyDescent="0.25">
      <c r="A14121" t="s">
        <v>12893</v>
      </c>
      <c r="B14121" t="s">
        <v>9976</v>
      </c>
    </row>
    <row r="14122" spans="1:2" x14ac:dyDescent="0.25">
      <c r="A14122" t="s">
        <v>2561</v>
      </c>
      <c r="B14122" t="s">
        <v>12893</v>
      </c>
    </row>
    <row r="14123" spans="1:2" x14ac:dyDescent="0.25">
      <c r="A14123" t="s">
        <v>12882</v>
      </c>
      <c r="B14123" t="s">
        <v>9976</v>
      </c>
    </row>
    <row r="14124" spans="1:2" x14ac:dyDescent="0.25">
      <c r="A14124" t="s">
        <v>6605</v>
      </c>
      <c r="B14124" t="s">
        <v>12882</v>
      </c>
    </row>
    <row r="14125" spans="1:2" x14ac:dyDescent="0.25">
      <c r="A14125" t="s">
        <v>3439</v>
      </c>
      <c r="B14125" t="s">
        <v>12882</v>
      </c>
    </row>
    <row r="14126" spans="1:2" x14ac:dyDescent="0.25">
      <c r="A14126" t="s">
        <v>4434</v>
      </c>
      <c r="B14126" t="s">
        <v>12882</v>
      </c>
    </row>
    <row r="14127" spans="1:2" x14ac:dyDescent="0.25">
      <c r="A14127" t="s">
        <v>6114</v>
      </c>
      <c r="B14127" t="s">
        <v>12882</v>
      </c>
    </row>
    <row r="14128" spans="1:2" x14ac:dyDescent="0.25">
      <c r="A14128" t="s">
        <v>6115</v>
      </c>
      <c r="B14128" t="s">
        <v>12882</v>
      </c>
    </row>
    <row r="14129" spans="1:2" x14ac:dyDescent="0.25">
      <c r="A14129" t="s">
        <v>6116</v>
      </c>
      <c r="B14129" t="s">
        <v>12882</v>
      </c>
    </row>
    <row r="14130" spans="1:2" x14ac:dyDescent="0.25">
      <c r="A14130" t="s">
        <v>13398</v>
      </c>
      <c r="B14130" t="s">
        <v>5709</v>
      </c>
    </row>
    <row r="14131" spans="1:2" x14ac:dyDescent="0.25">
      <c r="A14131" t="s">
        <v>13634</v>
      </c>
      <c r="B14131" t="s">
        <v>11023</v>
      </c>
    </row>
    <row r="14132" spans="1:2" x14ac:dyDescent="0.25">
      <c r="A14132" t="s">
        <v>10167</v>
      </c>
      <c r="B14132" t="s">
        <v>13634</v>
      </c>
    </row>
    <row r="14133" spans="1:2" x14ac:dyDescent="0.25">
      <c r="A14133" t="s">
        <v>10919</v>
      </c>
      <c r="B14133" t="s">
        <v>10167</v>
      </c>
    </row>
    <row r="14134" spans="1:2" x14ac:dyDescent="0.25">
      <c r="A14134" t="s">
        <v>4011</v>
      </c>
      <c r="B14134" t="s">
        <v>13634</v>
      </c>
    </row>
    <row r="14135" spans="1:2" x14ac:dyDescent="0.25">
      <c r="A14135" t="s">
        <v>3716</v>
      </c>
      <c r="B14135" t="s">
        <v>4011</v>
      </c>
    </row>
    <row r="14136" spans="1:2" x14ac:dyDescent="0.25">
      <c r="A14136" t="s">
        <v>2632</v>
      </c>
      <c r="B14136" t="s">
        <v>13634</v>
      </c>
    </row>
    <row r="14137" spans="1:2" x14ac:dyDescent="0.25">
      <c r="A14137" t="s">
        <v>12715</v>
      </c>
      <c r="B14137" t="s">
        <v>2632</v>
      </c>
    </row>
    <row r="14138" spans="1:2" x14ac:dyDescent="0.25">
      <c r="A14138" t="s">
        <v>8855</v>
      </c>
      <c r="B14138" t="s">
        <v>13634</v>
      </c>
    </row>
    <row r="14139" spans="1:2" x14ac:dyDescent="0.25">
      <c r="A14139" t="s">
        <v>8677</v>
      </c>
      <c r="B14139" t="s">
        <v>8855</v>
      </c>
    </row>
    <row r="14140" spans="1:2" x14ac:dyDescent="0.25">
      <c r="A14140" t="s">
        <v>10168</v>
      </c>
      <c r="B14140" t="s">
        <v>13634</v>
      </c>
    </row>
    <row r="14141" spans="1:2" x14ac:dyDescent="0.25">
      <c r="A14141" t="s">
        <v>9871</v>
      </c>
      <c r="B14141" t="s">
        <v>10168</v>
      </c>
    </row>
    <row r="14142" spans="1:2" x14ac:dyDescent="0.25">
      <c r="A14142" t="s">
        <v>5777</v>
      </c>
      <c r="B14142" t="s">
        <v>13634</v>
      </c>
    </row>
    <row r="14143" spans="1:2" x14ac:dyDescent="0.25">
      <c r="A14143" t="s">
        <v>5574</v>
      </c>
      <c r="B14143" t="s">
        <v>5777</v>
      </c>
    </row>
    <row r="14144" spans="1:2" x14ac:dyDescent="0.25">
      <c r="A14144" t="s">
        <v>3066</v>
      </c>
      <c r="B14144" t="s">
        <v>13634</v>
      </c>
    </row>
    <row r="14145" spans="1:2" x14ac:dyDescent="0.25">
      <c r="A14145" t="s">
        <v>2729</v>
      </c>
      <c r="B14145" t="s">
        <v>3066</v>
      </c>
    </row>
    <row r="14146" spans="1:2" x14ac:dyDescent="0.25">
      <c r="A14146" t="s">
        <v>4926</v>
      </c>
      <c r="B14146" t="s">
        <v>13634</v>
      </c>
    </row>
    <row r="14147" spans="1:2" x14ac:dyDescent="0.25">
      <c r="A14147" t="s">
        <v>4713</v>
      </c>
      <c r="B14147" t="s">
        <v>4926</v>
      </c>
    </row>
    <row r="14148" spans="1:2" x14ac:dyDescent="0.25">
      <c r="A14148" t="s">
        <v>8430</v>
      </c>
      <c r="B14148" t="s">
        <v>13634</v>
      </c>
    </row>
    <row r="14149" spans="1:2" x14ac:dyDescent="0.25">
      <c r="A14149" t="s">
        <v>8244</v>
      </c>
      <c r="B14149" t="s">
        <v>8430</v>
      </c>
    </row>
    <row r="14150" spans="1:2" x14ac:dyDescent="0.25">
      <c r="A14150" t="s">
        <v>13209</v>
      </c>
      <c r="B14150" t="s">
        <v>13634</v>
      </c>
    </row>
    <row r="14151" spans="1:2" x14ac:dyDescent="0.25">
      <c r="A14151" t="s">
        <v>13399</v>
      </c>
      <c r="B14151" t="s">
        <v>13209</v>
      </c>
    </row>
    <row r="14152" spans="1:2" x14ac:dyDescent="0.25">
      <c r="A14152" t="s">
        <v>13750</v>
      </c>
      <c r="B14152" t="s">
        <v>13634</v>
      </c>
    </row>
    <row r="14153" spans="1:2" x14ac:dyDescent="0.25">
      <c r="A14153" t="s">
        <v>14244</v>
      </c>
      <c r="B14153" t="s">
        <v>13750</v>
      </c>
    </row>
    <row r="14154" spans="1:2" x14ac:dyDescent="0.25">
      <c r="A14154" t="s">
        <v>14136</v>
      </c>
      <c r="B14154" t="s">
        <v>13634</v>
      </c>
    </row>
    <row r="14155" spans="1:2" x14ac:dyDescent="0.25">
      <c r="A14155" t="s">
        <v>14125</v>
      </c>
      <c r="B14155" t="s">
        <v>14136</v>
      </c>
    </row>
    <row r="14156" spans="1:2" x14ac:dyDescent="0.25">
      <c r="A14156" t="s">
        <v>330</v>
      </c>
      <c r="B14156" t="s">
        <v>11023</v>
      </c>
    </row>
    <row r="14157" spans="1:2" x14ac:dyDescent="0.25">
      <c r="A14157" t="s">
        <v>343</v>
      </c>
      <c r="B14157" t="s">
        <v>330</v>
      </c>
    </row>
    <row r="14158" spans="1:2" x14ac:dyDescent="0.25">
      <c r="A14158" t="s">
        <v>148</v>
      </c>
      <c r="B14158" t="s">
        <v>330</v>
      </c>
    </row>
    <row r="14159" spans="1:2" x14ac:dyDescent="0.25">
      <c r="A14159" t="s">
        <v>13044</v>
      </c>
      <c r="B14159" t="s">
        <v>330</v>
      </c>
    </row>
    <row r="14160" spans="1:2" x14ac:dyDescent="0.25">
      <c r="A14160" t="s">
        <v>5220</v>
      </c>
      <c r="B14160" t="s">
        <v>11023</v>
      </c>
    </row>
    <row r="14161" spans="1:2" x14ac:dyDescent="0.25">
      <c r="A14161" t="s">
        <v>7670</v>
      </c>
      <c r="B14161" t="s">
        <v>5220</v>
      </c>
    </row>
    <row r="14162" spans="1:2" x14ac:dyDescent="0.25">
      <c r="A14162" t="s">
        <v>7671</v>
      </c>
      <c r="B14162" t="s">
        <v>5220</v>
      </c>
    </row>
    <row r="14163" spans="1:2" x14ac:dyDescent="0.25">
      <c r="A14163" t="s">
        <v>7672</v>
      </c>
      <c r="B14163" t="s">
        <v>5220</v>
      </c>
    </row>
    <row r="14164" spans="1:2" x14ac:dyDescent="0.25">
      <c r="A14164" t="s">
        <v>6972</v>
      </c>
      <c r="B14164" t="s">
        <v>5220</v>
      </c>
    </row>
    <row r="14165" spans="1:2" x14ac:dyDescent="0.25">
      <c r="A14165" t="s">
        <v>6973</v>
      </c>
      <c r="B14165" t="s">
        <v>5220</v>
      </c>
    </row>
    <row r="14166" spans="1:2" x14ac:dyDescent="0.25">
      <c r="A14166" t="s">
        <v>6974</v>
      </c>
      <c r="B14166" t="s">
        <v>5220</v>
      </c>
    </row>
    <row r="14167" spans="1:2" x14ac:dyDescent="0.25">
      <c r="A14167" t="s">
        <v>6975</v>
      </c>
      <c r="B14167" t="s">
        <v>5220</v>
      </c>
    </row>
    <row r="14168" spans="1:2" x14ac:dyDescent="0.25">
      <c r="A14168" t="s">
        <v>6976</v>
      </c>
      <c r="B14168" t="s">
        <v>5220</v>
      </c>
    </row>
    <row r="14169" spans="1:2" x14ac:dyDescent="0.25">
      <c r="A14169" t="s">
        <v>6978</v>
      </c>
      <c r="B14169" t="s">
        <v>5220</v>
      </c>
    </row>
    <row r="14170" spans="1:2" x14ac:dyDescent="0.25">
      <c r="A14170" t="s">
        <v>6979</v>
      </c>
      <c r="B14170" t="s">
        <v>5220</v>
      </c>
    </row>
    <row r="14171" spans="1:2" x14ac:dyDescent="0.25">
      <c r="A14171" t="s">
        <v>6980</v>
      </c>
      <c r="B14171" t="s">
        <v>5220</v>
      </c>
    </row>
    <row r="14172" spans="1:2" x14ac:dyDescent="0.25">
      <c r="A14172" t="s">
        <v>7241</v>
      </c>
      <c r="B14172" t="s">
        <v>5220</v>
      </c>
    </row>
    <row r="14173" spans="1:2" x14ac:dyDescent="0.25">
      <c r="A14173" t="s">
        <v>7242</v>
      </c>
      <c r="B14173" t="s">
        <v>5220</v>
      </c>
    </row>
    <row r="14174" spans="1:2" x14ac:dyDescent="0.25">
      <c r="A14174" t="s">
        <v>7243</v>
      </c>
      <c r="B14174" t="s">
        <v>5220</v>
      </c>
    </row>
    <row r="14175" spans="1:2" x14ac:dyDescent="0.25">
      <c r="A14175" t="s">
        <v>7869</v>
      </c>
      <c r="B14175" t="s">
        <v>5220</v>
      </c>
    </row>
    <row r="14176" spans="1:2" x14ac:dyDescent="0.25">
      <c r="A14176" t="s">
        <v>12503</v>
      </c>
      <c r="B14176" t="s">
        <v>5220</v>
      </c>
    </row>
    <row r="14177" spans="1:2" x14ac:dyDescent="0.25">
      <c r="A14177" t="s">
        <v>6977</v>
      </c>
      <c r="B14177" t="s">
        <v>12503</v>
      </c>
    </row>
    <row r="14178" spans="1:2" x14ac:dyDescent="0.25">
      <c r="A14178" t="s">
        <v>11568</v>
      </c>
      <c r="B14178" t="s">
        <v>5220</v>
      </c>
    </row>
    <row r="14179" spans="1:2" x14ac:dyDescent="0.25">
      <c r="A14179" t="s">
        <v>11324</v>
      </c>
      <c r="B14179" t="s">
        <v>11568</v>
      </c>
    </row>
    <row r="14180" spans="1:2" x14ac:dyDescent="0.25">
      <c r="A14180" t="s">
        <v>9657</v>
      </c>
      <c r="B14180" t="s">
        <v>11568</v>
      </c>
    </row>
    <row r="14181" spans="1:2" x14ac:dyDescent="0.25">
      <c r="A14181" t="s">
        <v>3513</v>
      </c>
      <c r="B14181" t="s">
        <v>13210</v>
      </c>
    </row>
    <row r="14182" spans="1:2" x14ac:dyDescent="0.25">
      <c r="A14182" t="s">
        <v>10677</v>
      </c>
      <c r="B14182" t="s">
        <v>3513</v>
      </c>
    </row>
    <row r="14183" spans="1:2" x14ac:dyDescent="0.25">
      <c r="A14183" t="s">
        <v>10166</v>
      </c>
      <c r="B14183" t="s">
        <v>10677</v>
      </c>
    </row>
    <row r="14184" spans="1:2" x14ac:dyDescent="0.25">
      <c r="A14184" t="s">
        <v>4009</v>
      </c>
      <c r="B14184" t="s">
        <v>10677</v>
      </c>
    </row>
    <row r="14185" spans="1:2" x14ac:dyDescent="0.25">
      <c r="A14185" t="s">
        <v>4010</v>
      </c>
      <c r="B14185" t="s">
        <v>10677</v>
      </c>
    </row>
    <row r="14186" spans="1:2" x14ac:dyDescent="0.25">
      <c r="A14186" t="s">
        <v>11336</v>
      </c>
      <c r="B14186" t="s">
        <v>10677</v>
      </c>
    </row>
    <row r="14187" spans="1:2" x14ac:dyDescent="0.25">
      <c r="A14187" t="s">
        <v>8854</v>
      </c>
      <c r="B14187" t="s">
        <v>3513</v>
      </c>
    </row>
    <row r="14188" spans="1:2" x14ac:dyDescent="0.25">
      <c r="A14188" t="s">
        <v>5381</v>
      </c>
      <c r="B14188" t="s">
        <v>8854</v>
      </c>
    </row>
    <row r="14189" spans="1:2" x14ac:dyDescent="0.25">
      <c r="A14189" t="s">
        <v>9256</v>
      </c>
      <c r="B14189" t="s">
        <v>8854</v>
      </c>
    </row>
    <row r="14190" spans="1:2" x14ac:dyDescent="0.25">
      <c r="A14190" t="s">
        <v>3514</v>
      </c>
      <c r="B14190" t="s">
        <v>8854</v>
      </c>
    </row>
    <row r="14191" spans="1:2" x14ac:dyDescent="0.25">
      <c r="A14191" t="s">
        <v>4521</v>
      </c>
      <c r="B14191" t="s">
        <v>13210</v>
      </c>
    </row>
    <row r="14192" spans="1:2" x14ac:dyDescent="0.25">
      <c r="A14192" t="s">
        <v>11544</v>
      </c>
      <c r="B14192" t="s">
        <v>4521</v>
      </c>
    </row>
    <row r="14193" spans="1:2" x14ac:dyDescent="0.25">
      <c r="A14193" t="s">
        <v>8353</v>
      </c>
      <c r="B14193" t="s">
        <v>11544</v>
      </c>
    </row>
    <row r="14194" spans="1:2" x14ac:dyDescent="0.25">
      <c r="A14194" t="s">
        <v>13740</v>
      </c>
      <c r="B14194" t="s">
        <v>13210</v>
      </c>
    </row>
    <row r="14195" spans="1:2" x14ac:dyDescent="0.25">
      <c r="A14195" t="s">
        <v>13741</v>
      </c>
      <c r="B14195" t="s">
        <v>13740</v>
      </c>
    </row>
    <row r="14196" spans="1:2" x14ac:dyDescent="0.25">
      <c r="A14196" t="s">
        <v>13742</v>
      </c>
      <c r="B14196" t="s">
        <v>13741</v>
      </c>
    </row>
    <row r="14197" spans="1:2" x14ac:dyDescent="0.25">
      <c r="A14197" t="s">
        <v>13743</v>
      </c>
      <c r="B14197" t="s">
        <v>13741</v>
      </c>
    </row>
    <row r="14198" spans="1:2" x14ac:dyDescent="0.25">
      <c r="A14198" t="s">
        <v>13744</v>
      </c>
      <c r="B14198" t="s">
        <v>13741</v>
      </c>
    </row>
    <row r="14199" spans="1:2" x14ac:dyDescent="0.25">
      <c r="A14199" t="s">
        <v>13745</v>
      </c>
      <c r="B14199" t="s">
        <v>13741</v>
      </c>
    </row>
    <row r="14200" spans="1:2" x14ac:dyDescent="0.25">
      <c r="A14200" t="s">
        <v>13746</v>
      </c>
      <c r="B14200" t="s">
        <v>13741</v>
      </c>
    </row>
    <row r="14201" spans="1:2" x14ac:dyDescent="0.25">
      <c r="A14201" t="s">
        <v>13747</v>
      </c>
      <c r="B14201" t="s">
        <v>13741</v>
      </c>
    </row>
    <row r="14202" spans="1:2" x14ac:dyDescent="0.25">
      <c r="A14202" t="s">
        <v>13748</v>
      </c>
      <c r="B14202" t="s">
        <v>13741</v>
      </c>
    </row>
    <row r="14203" spans="1:2" x14ac:dyDescent="0.25">
      <c r="A14203" t="s">
        <v>13962</v>
      </c>
      <c r="B14203" t="s">
        <v>13741</v>
      </c>
    </row>
    <row r="14204" spans="1:2" x14ac:dyDescent="0.25">
      <c r="A14204" t="s">
        <v>13749</v>
      </c>
      <c r="B14204" t="s">
        <v>13740</v>
      </c>
    </row>
    <row r="14205" spans="1:2" x14ac:dyDescent="0.25">
      <c r="A14205" t="s">
        <v>13751</v>
      </c>
      <c r="B14205" t="s">
        <v>13749</v>
      </c>
    </row>
    <row r="14206" spans="1:2" x14ac:dyDescent="0.25">
      <c r="A14206" t="s">
        <v>13752</v>
      </c>
      <c r="B14206" t="s">
        <v>13749</v>
      </c>
    </row>
    <row r="14207" spans="1:2" x14ac:dyDescent="0.25">
      <c r="A14207" t="s">
        <v>13753</v>
      </c>
      <c r="B14207" t="s">
        <v>13749</v>
      </c>
    </row>
    <row r="14208" spans="1:2" x14ac:dyDescent="0.25">
      <c r="A14208" t="s">
        <v>13754</v>
      </c>
      <c r="B14208" t="s">
        <v>13740</v>
      </c>
    </row>
    <row r="14209" spans="1:2" x14ac:dyDescent="0.25">
      <c r="A14209" t="s">
        <v>14765</v>
      </c>
      <c r="B14209" t="s">
        <v>13210</v>
      </c>
    </row>
    <row r="14210" spans="1:2" x14ac:dyDescent="0.25">
      <c r="A14210" t="s">
        <v>14767</v>
      </c>
      <c r="B14210" t="s">
        <v>13210</v>
      </c>
    </row>
    <row r="14211" spans="1:2" x14ac:dyDescent="0.25">
      <c r="A14211" t="s">
        <v>15070</v>
      </c>
      <c r="B14211" t="s">
        <v>13210</v>
      </c>
    </row>
    <row r="14212" spans="1:2" x14ac:dyDescent="0.25">
      <c r="A14212" t="s">
        <v>14762</v>
      </c>
      <c r="B14212" t="s">
        <v>15070</v>
      </c>
    </row>
    <row r="14213" spans="1:2" x14ac:dyDescent="0.25">
      <c r="A14213" t="s">
        <v>13211</v>
      </c>
      <c r="B14213" t="s">
        <v>11746</v>
      </c>
    </row>
    <row r="14214" spans="1:2" x14ac:dyDescent="0.25">
      <c r="A14214" t="s">
        <v>9535</v>
      </c>
      <c r="B14214" t="s">
        <v>13211</v>
      </c>
    </row>
    <row r="14215" spans="1:2" x14ac:dyDescent="0.25">
      <c r="A14215" t="s">
        <v>6508</v>
      </c>
      <c r="B14215" t="s">
        <v>13211</v>
      </c>
    </row>
    <row r="14216" spans="1:2" x14ac:dyDescent="0.25">
      <c r="A14216" t="s">
        <v>4922</v>
      </c>
      <c r="B14216" t="s">
        <v>13211</v>
      </c>
    </row>
    <row r="14217" spans="1:2" x14ac:dyDescent="0.25">
      <c r="A14217" t="s">
        <v>4923</v>
      </c>
      <c r="B14217" t="s">
        <v>13211</v>
      </c>
    </row>
    <row r="14218" spans="1:2" x14ac:dyDescent="0.25">
      <c r="A14218" t="s">
        <v>1770</v>
      </c>
      <c r="B14218" t="s">
        <v>13211</v>
      </c>
    </row>
    <row r="14219" spans="1:2" x14ac:dyDescent="0.25">
      <c r="A14219" t="s">
        <v>142</v>
      </c>
      <c r="B14219" t="s">
        <v>13211</v>
      </c>
    </row>
    <row r="14220" spans="1:2" x14ac:dyDescent="0.25">
      <c r="A14220" t="s">
        <v>4005</v>
      </c>
      <c r="B14220" t="s">
        <v>13211</v>
      </c>
    </row>
    <row r="14221" spans="1:2" x14ac:dyDescent="0.25">
      <c r="A14221" t="s">
        <v>9541</v>
      </c>
      <c r="B14221" t="s">
        <v>13211</v>
      </c>
    </row>
    <row r="14222" spans="1:2" x14ac:dyDescent="0.25">
      <c r="A14222" t="s">
        <v>1637</v>
      </c>
      <c r="B14222" t="s">
        <v>13211</v>
      </c>
    </row>
    <row r="14223" spans="1:2" x14ac:dyDescent="0.25">
      <c r="A14223" t="s">
        <v>143</v>
      </c>
      <c r="B14223" t="s">
        <v>13211</v>
      </c>
    </row>
    <row r="14224" spans="1:2" x14ac:dyDescent="0.25">
      <c r="A14224" t="s">
        <v>144</v>
      </c>
      <c r="B14224" t="s">
        <v>13211</v>
      </c>
    </row>
    <row r="14225" spans="1:2" x14ac:dyDescent="0.25">
      <c r="A14225" t="s">
        <v>145</v>
      </c>
      <c r="B14225" t="s">
        <v>13211</v>
      </c>
    </row>
    <row r="14226" spans="1:2" x14ac:dyDescent="0.25">
      <c r="A14226" t="s">
        <v>7226</v>
      </c>
      <c r="B14226" t="s">
        <v>13211</v>
      </c>
    </row>
    <row r="14227" spans="1:2" x14ac:dyDescent="0.25">
      <c r="A14227" t="s">
        <v>9093</v>
      </c>
      <c r="B14227" t="s">
        <v>13211</v>
      </c>
    </row>
    <row r="14228" spans="1:2" x14ac:dyDescent="0.25">
      <c r="A14228" t="s">
        <v>3749</v>
      </c>
      <c r="B14228" t="s">
        <v>13211</v>
      </c>
    </row>
    <row r="14229" spans="1:2" x14ac:dyDescent="0.25">
      <c r="A14229" t="s">
        <v>6024</v>
      </c>
      <c r="B14229" t="s">
        <v>13211</v>
      </c>
    </row>
    <row r="14230" spans="1:2" x14ac:dyDescent="0.25">
      <c r="A14230" t="s">
        <v>2351</v>
      </c>
      <c r="B14230" t="s">
        <v>13211</v>
      </c>
    </row>
    <row r="14231" spans="1:2" x14ac:dyDescent="0.25">
      <c r="A14231" t="s">
        <v>147</v>
      </c>
      <c r="B14231" t="s">
        <v>13211</v>
      </c>
    </row>
    <row r="14232" spans="1:2" x14ac:dyDescent="0.25">
      <c r="A14232" t="s">
        <v>472</v>
      </c>
      <c r="B14232" t="s">
        <v>13211</v>
      </c>
    </row>
    <row r="14233" spans="1:2" x14ac:dyDescent="0.25">
      <c r="A14233" t="s">
        <v>7171</v>
      </c>
      <c r="B14233" t="s">
        <v>13211</v>
      </c>
    </row>
    <row r="14234" spans="1:2" x14ac:dyDescent="0.25">
      <c r="A14234" t="s">
        <v>7829</v>
      </c>
      <c r="B14234" t="s">
        <v>13211</v>
      </c>
    </row>
    <row r="14235" spans="1:2" x14ac:dyDescent="0.25">
      <c r="A14235" t="s">
        <v>8789</v>
      </c>
      <c r="B14235" t="s">
        <v>13211</v>
      </c>
    </row>
    <row r="14236" spans="1:2" x14ac:dyDescent="0.25">
      <c r="A14236" t="s">
        <v>7830</v>
      </c>
      <c r="B14236" t="s">
        <v>13211</v>
      </c>
    </row>
    <row r="14237" spans="1:2" x14ac:dyDescent="0.25">
      <c r="A14237" t="s">
        <v>8790</v>
      </c>
      <c r="B14237" t="s">
        <v>13211</v>
      </c>
    </row>
    <row r="14238" spans="1:2" x14ac:dyDescent="0.25">
      <c r="A14238" t="s">
        <v>2108</v>
      </c>
      <c r="B14238" t="s">
        <v>13211</v>
      </c>
    </row>
    <row r="14239" spans="1:2" x14ac:dyDescent="0.25">
      <c r="A14239" t="s">
        <v>8791</v>
      </c>
      <c r="B14239" t="s">
        <v>13211</v>
      </c>
    </row>
    <row r="14240" spans="1:2" x14ac:dyDescent="0.25">
      <c r="A14240" t="s">
        <v>8348</v>
      </c>
      <c r="B14240" t="s">
        <v>13211</v>
      </c>
    </row>
    <row r="14241" spans="1:2" x14ac:dyDescent="0.25">
      <c r="A14241" t="s">
        <v>8792</v>
      </c>
      <c r="B14241" t="s">
        <v>13211</v>
      </c>
    </row>
    <row r="14242" spans="1:2" x14ac:dyDescent="0.25">
      <c r="A14242" t="s">
        <v>8349</v>
      </c>
      <c r="B14242" t="s">
        <v>13211</v>
      </c>
    </row>
    <row r="14243" spans="1:2" x14ac:dyDescent="0.25">
      <c r="A14243" t="s">
        <v>8793</v>
      </c>
      <c r="B14243" t="s">
        <v>13211</v>
      </c>
    </row>
    <row r="14244" spans="1:2" x14ac:dyDescent="0.25">
      <c r="A14244" t="s">
        <v>8794</v>
      </c>
      <c r="B14244" t="s">
        <v>13211</v>
      </c>
    </row>
    <row r="14245" spans="1:2" x14ac:dyDescent="0.25">
      <c r="A14245" t="s">
        <v>8822</v>
      </c>
      <c r="B14245" t="s">
        <v>13211</v>
      </c>
    </row>
    <row r="14246" spans="1:2" x14ac:dyDescent="0.25">
      <c r="A14246" t="s">
        <v>5308</v>
      </c>
      <c r="B14246" t="s">
        <v>13211</v>
      </c>
    </row>
    <row r="14247" spans="1:2" x14ac:dyDescent="0.25">
      <c r="A14247" t="s">
        <v>6607</v>
      </c>
      <c r="B14247" t="s">
        <v>13211</v>
      </c>
    </row>
    <row r="14248" spans="1:2" x14ac:dyDescent="0.25">
      <c r="A14248" t="s">
        <v>10567</v>
      </c>
      <c r="B14248" t="s">
        <v>13211</v>
      </c>
    </row>
    <row r="14249" spans="1:2" x14ac:dyDescent="0.25">
      <c r="A14249" t="s">
        <v>9198</v>
      </c>
      <c r="B14249" t="s">
        <v>13211</v>
      </c>
    </row>
    <row r="14250" spans="1:2" x14ac:dyDescent="0.25">
      <c r="A14250" t="s">
        <v>10568</v>
      </c>
      <c r="B14250" t="s">
        <v>13211</v>
      </c>
    </row>
    <row r="14251" spans="1:2" x14ac:dyDescent="0.25">
      <c r="A14251" t="s">
        <v>10569</v>
      </c>
      <c r="B14251" t="s">
        <v>13211</v>
      </c>
    </row>
    <row r="14252" spans="1:2" x14ac:dyDescent="0.25">
      <c r="A14252" t="s">
        <v>8350</v>
      </c>
      <c r="B14252" t="s">
        <v>13211</v>
      </c>
    </row>
    <row r="14253" spans="1:2" x14ac:dyDescent="0.25">
      <c r="A14253" t="s">
        <v>3441</v>
      </c>
      <c r="B14253" t="s">
        <v>13211</v>
      </c>
    </row>
    <row r="14254" spans="1:2" x14ac:dyDescent="0.25">
      <c r="A14254" t="s">
        <v>8795</v>
      </c>
      <c r="B14254" t="s">
        <v>13211</v>
      </c>
    </row>
    <row r="14255" spans="1:2" x14ac:dyDescent="0.25">
      <c r="A14255" t="s">
        <v>6609</v>
      </c>
      <c r="B14255" t="s">
        <v>13211</v>
      </c>
    </row>
    <row r="14256" spans="1:2" x14ac:dyDescent="0.25">
      <c r="A14256" t="s">
        <v>10971</v>
      </c>
      <c r="B14256" t="s">
        <v>13211</v>
      </c>
    </row>
    <row r="14257" spans="1:2" x14ac:dyDescent="0.25">
      <c r="A14257" t="s">
        <v>4868</v>
      </c>
      <c r="B14257" t="s">
        <v>13211</v>
      </c>
    </row>
    <row r="14258" spans="1:2" x14ac:dyDescent="0.25">
      <c r="A14258" t="s">
        <v>8796</v>
      </c>
      <c r="B14258" t="s">
        <v>13211</v>
      </c>
    </row>
    <row r="14259" spans="1:2" x14ac:dyDescent="0.25">
      <c r="A14259" t="s">
        <v>11927</v>
      </c>
      <c r="B14259" t="s">
        <v>13211</v>
      </c>
    </row>
    <row r="14260" spans="1:2" x14ac:dyDescent="0.25">
      <c r="A14260" t="s">
        <v>7832</v>
      </c>
      <c r="B14260" t="s">
        <v>13211</v>
      </c>
    </row>
    <row r="14261" spans="1:2" x14ac:dyDescent="0.25">
      <c r="A14261" t="s">
        <v>7833</v>
      </c>
      <c r="B14261" t="s">
        <v>13211</v>
      </c>
    </row>
    <row r="14262" spans="1:2" x14ac:dyDescent="0.25">
      <c r="A14262" t="s">
        <v>7834</v>
      </c>
      <c r="B14262" t="s">
        <v>13211</v>
      </c>
    </row>
    <row r="14263" spans="1:2" x14ac:dyDescent="0.25">
      <c r="A14263" t="s">
        <v>7835</v>
      </c>
      <c r="B14263" t="s">
        <v>13211</v>
      </c>
    </row>
    <row r="14264" spans="1:2" x14ac:dyDescent="0.25">
      <c r="A14264" t="s">
        <v>7836</v>
      </c>
      <c r="B14264" t="s">
        <v>13211</v>
      </c>
    </row>
    <row r="14265" spans="1:2" x14ac:dyDescent="0.25">
      <c r="A14265" t="s">
        <v>7837</v>
      </c>
      <c r="B14265" t="s">
        <v>13211</v>
      </c>
    </row>
    <row r="14266" spans="1:2" x14ac:dyDescent="0.25">
      <c r="A14266" t="s">
        <v>7838</v>
      </c>
      <c r="B14266" t="s">
        <v>13211</v>
      </c>
    </row>
    <row r="14267" spans="1:2" x14ac:dyDescent="0.25">
      <c r="A14267" t="s">
        <v>7839</v>
      </c>
      <c r="B14267" t="s">
        <v>13211</v>
      </c>
    </row>
    <row r="14268" spans="1:2" x14ac:dyDescent="0.25">
      <c r="A14268" t="s">
        <v>7885</v>
      </c>
      <c r="B14268" t="s">
        <v>13211</v>
      </c>
    </row>
    <row r="14269" spans="1:2" x14ac:dyDescent="0.25">
      <c r="A14269" t="s">
        <v>7886</v>
      </c>
      <c r="B14269" t="s">
        <v>13211</v>
      </c>
    </row>
    <row r="14270" spans="1:2" x14ac:dyDescent="0.25">
      <c r="A14270" t="s">
        <v>10630</v>
      </c>
      <c r="B14270" t="s">
        <v>13211</v>
      </c>
    </row>
    <row r="14271" spans="1:2" x14ac:dyDescent="0.25">
      <c r="A14271" t="s">
        <v>10631</v>
      </c>
      <c r="B14271" t="s">
        <v>13211</v>
      </c>
    </row>
    <row r="14272" spans="1:2" x14ac:dyDescent="0.25">
      <c r="A14272" t="s">
        <v>10632</v>
      </c>
      <c r="B14272" t="s">
        <v>13211</v>
      </c>
    </row>
    <row r="14273" spans="1:2" x14ac:dyDescent="0.25">
      <c r="A14273" t="s">
        <v>10575</v>
      </c>
      <c r="B14273" t="s">
        <v>13211</v>
      </c>
    </row>
    <row r="14274" spans="1:2" x14ac:dyDescent="0.25">
      <c r="A14274" t="s">
        <v>10576</v>
      </c>
      <c r="B14274" t="s">
        <v>13211</v>
      </c>
    </row>
    <row r="14275" spans="1:2" x14ac:dyDescent="0.25">
      <c r="A14275" t="s">
        <v>10577</v>
      </c>
      <c r="B14275" t="s">
        <v>13211</v>
      </c>
    </row>
    <row r="14276" spans="1:2" x14ac:dyDescent="0.25">
      <c r="A14276" t="s">
        <v>10578</v>
      </c>
      <c r="B14276" t="s">
        <v>13211</v>
      </c>
    </row>
    <row r="14277" spans="1:2" x14ac:dyDescent="0.25">
      <c r="A14277" t="s">
        <v>10579</v>
      </c>
      <c r="B14277" t="s">
        <v>13211</v>
      </c>
    </row>
    <row r="14278" spans="1:2" x14ac:dyDescent="0.25">
      <c r="A14278" t="s">
        <v>10580</v>
      </c>
      <c r="B14278" t="s">
        <v>13211</v>
      </c>
    </row>
    <row r="14279" spans="1:2" x14ac:dyDescent="0.25">
      <c r="A14279" t="s">
        <v>10581</v>
      </c>
      <c r="B14279" t="s">
        <v>13211</v>
      </c>
    </row>
    <row r="14280" spans="1:2" x14ac:dyDescent="0.25">
      <c r="A14280" t="s">
        <v>10582</v>
      </c>
      <c r="B14280" t="s">
        <v>13211</v>
      </c>
    </row>
    <row r="14281" spans="1:2" x14ac:dyDescent="0.25">
      <c r="A14281" t="s">
        <v>10583</v>
      </c>
      <c r="B14281" t="s">
        <v>13211</v>
      </c>
    </row>
    <row r="14282" spans="1:2" x14ac:dyDescent="0.25">
      <c r="A14282" t="s">
        <v>10584</v>
      </c>
      <c r="B14282" t="s">
        <v>13211</v>
      </c>
    </row>
    <row r="14283" spans="1:2" x14ac:dyDescent="0.25">
      <c r="A14283" t="s">
        <v>10585</v>
      </c>
      <c r="B14283" t="s">
        <v>13211</v>
      </c>
    </row>
    <row r="14284" spans="1:2" x14ac:dyDescent="0.25">
      <c r="A14284" t="s">
        <v>10586</v>
      </c>
      <c r="B14284" t="s">
        <v>13211</v>
      </c>
    </row>
    <row r="14285" spans="1:2" x14ac:dyDescent="0.25">
      <c r="A14285" t="s">
        <v>10587</v>
      </c>
      <c r="B14285" t="s">
        <v>13211</v>
      </c>
    </row>
    <row r="14286" spans="1:2" x14ac:dyDescent="0.25">
      <c r="A14286" t="s">
        <v>10588</v>
      </c>
      <c r="B14286" t="s">
        <v>13211</v>
      </c>
    </row>
    <row r="14287" spans="1:2" x14ac:dyDescent="0.25">
      <c r="A14287" t="s">
        <v>4869</v>
      </c>
      <c r="B14287" t="s">
        <v>13211</v>
      </c>
    </row>
    <row r="14288" spans="1:2" x14ac:dyDescent="0.25">
      <c r="A14288" t="s">
        <v>10589</v>
      </c>
      <c r="B14288" t="s">
        <v>13211</v>
      </c>
    </row>
    <row r="14289" spans="1:2" x14ac:dyDescent="0.25">
      <c r="A14289" t="s">
        <v>10590</v>
      </c>
      <c r="B14289" t="s">
        <v>13211</v>
      </c>
    </row>
    <row r="14290" spans="1:2" x14ac:dyDescent="0.25">
      <c r="A14290" t="s">
        <v>10591</v>
      </c>
      <c r="B14290" t="s">
        <v>13211</v>
      </c>
    </row>
    <row r="14291" spans="1:2" x14ac:dyDescent="0.25">
      <c r="A14291" t="s">
        <v>10592</v>
      </c>
      <c r="B14291" t="s">
        <v>13211</v>
      </c>
    </row>
    <row r="14292" spans="1:2" x14ac:dyDescent="0.25">
      <c r="A14292" t="s">
        <v>10593</v>
      </c>
      <c r="B14292" t="s">
        <v>13211</v>
      </c>
    </row>
    <row r="14293" spans="1:2" x14ac:dyDescent="0.25">
      <c r="A14293" t="s">
        <v>10594</v>
      </c>
      <c r="B14293" t="s">
        <v>13211</v>
      </c>
    </row>
    <row r="14294" spans="1:2" x14ac:dyDescent="0.25">
      <c r="A14294" t="s">
        <v>10595</v>
      </c>
      <c r="B14294" t="s">
        <v>13211</v>
      </c>
    </row>
    <row r="14295" spans="1:2" x14ac:dyDescent="0.25">
      <c r="A14295" t="s">
        <v>10596</v>
      </c>
      <c r="B14295" t="s">
        <v>13211</v>
      </c>
    </row>
    <row r="14296" spans="1:2" x14ac:dyDescent="0.25">
      <c r="A14296" t="s">
        <v>10597</v>
      </c>
      <c r="B14296" t="s">
        <v>13211</v>
      </c>
    </row>
    <row r="14297" spans="1:2" x14ac:dyDescent="0.25">
      <c r="A14297" t="s">
        <v>10633</v>
      </c>
      <c r="B14297" t="s">
        <v>13211</v>
      </c>
    </row>
    <row r="14298" spans="1:2" x14ac:dyDescent="0.25">
      <c r="A14298" t="s">
        <v>3933</v>
      </c>
      <c r="B14298" t="s">
        <v>13211</v>
      </c>
    </row>
    <row r="14299" spans="1:2" x14ac:dyDescent="0.25">
      <c r="A14299" t="s">
        <v>7840</v>
      </c>
      <c r="B14299" t="s">
        <v>13211</v>
      </c>
    </row>
    <row r="14300" spans="1:2" x14ac:dyDescent="0.25">
      <c r="A14300" t="s">
        <v>7841</v>
      </c>
      <c r="B14300" t="s">
        <v>13211</v>
      </c>
    </row>
    <row r="14301" spans="1:2" x14ac:dyDescent="0.25">
      <c r="A14301" t="s">
        <v>7842</v>
      </c>
      <c r="B14301" t="s">
        <v>13211</v>
      </c>
    </row>
    <row r="14302" spans="1:2" x14ac:dyDescent="0.25">
      <c r="A14302" t="s">
        <v>7843</v>
      </c>
      <c r="B14302" t="s">
        <v>13211</v>
      </c>
    </row>
    <row r="14303" spans="1:2" x14ac:dyDescent="0.25">
      <c r="A14303" t="s">
        <v>458</v>
      </c>
      <c r="B14303" t="s">
        <v>13211</v>
      </c>
    </row>
    <row r="14304" spans="1:2" x14ac:dyDescent="0.25">
      <c r="A14304" t="s">
        <v>2110</v>
      </c>
      <c r="B14304" t="s">
        <v>13211</v>
      </c>
    </row>
    <row r="14305" spans="1:2" x14ac:dyDescent="0.25">
      <c r="A14305" t="s">
        <v>4870</v>
      </c>
      <c r="B14305" t="s">
        <v>13211</v>
      </c>
    </row>
    <row r="14306" spans="1:2" x14ac:dyDescent="0.25">
      <c r="A14306" t="s">
        <v>5747</v>
      </c>
      <c r="B14306" t="s">
        <v>13211</v>
      </c>
    </row>
    <row r="14307" spans="1:2" x14ac:dyDescent="0.25">
      <c r="A14307" t="s">
        <v>5748</v>
      </c>
      <c r="B14307" t="s">
        <v>13211</v>
      </c>
    </row>
    <row r="14308" spans="1:2" x14ac:dyDescent="0.25">
      <c r="A14308" t="s">
        <v>11535</v>
      </c>
      <c r="B14308" t="s">
        <v>13211</v>
      </c>
    </row>
    <row r="14309" spans="1:2" x14ac:dyDescent="0.25">
      <c r="A14309" t="s">
        <v>8351</v>
      </c>
      <c r="B14309" t="s">
        <v>13211</v>
      </c>
    </row>
    <row r="14310" spans="1:2" x14ac:dyDescent="0.25">
      <c r="A14310" t="s">
        <v>11268</v>
      </c>
      <c r="B14310" t="s">
        <v>13211</v>
      </c>
    </row>
    <row r="14311" spans="1:2" x14ac:dyDescent="0.25">
      <c r="A14311" t="s">
        <v>11536</v>
      </c>
      <c r="B14311" t="s">
        <v>13211</v>
      </c>
    </row>
    <row r="14312" spans="1:2" x14ac:dyDescent="0.25">
      <c r="A14312" t="s">
        <v>11537</v>
      </c>
      <c r="B14312" t="s">
        <v>13211</v>
      </c>
    </row>
    <row r="14313" spans="1:2" x14ac:dyDescent="0.25">
      <c r="A14313" t="s">
        <v>11538</v>
      </c>
      <c r="B14313" t="s">
        <v>13211</v>
      </c>
    </row>
    <row r="14314" spans="1:2" x14ac:dyDescent="0.25">
      <c r="A14314" t="s">
        <v>11539</v>
      </c>
      <c r="B14314" t="s">
        <v>13211</v>
      </c>
    </row>
    <row r="14315" spans="1:2" x14ac:dyDescent="0.25">
      <c r="A14315" t="s">
        <v>11540</v>
      </c>
      <c r="B14315" t="s">
        <v>13211</v>
      </c>
    </row>
    <row r="14316" spans="1:2" x14ac:dyDescent="0.25">
      <c r="A14316" t="s">
        <v>11541</v>
      </c>
      <c r="B14316" t="s">
        <v>13211</v>
      </c>
    </row>
    <row r="14317" spans="1:2" x14ac:dyDescent="0.25">
      <c r="A14317" t="s">
        <v>11542</v>
      </c>
      <c r="B14317" t="s">
        <v>13211</v>
      </c>
    </row>
    <row r="14318" spans="1:2" x14ac:dyDescent="0.25">
      <c r="A14318" t="s">
        <v>11543</v>
      </c>
      <c r="B14318" t="s">
        <v>13211</v>
      </c>
    </row>
    <row r="14319" spans="1:2" x14ac:dyDescent="0.25">
      <c r="A14319" t="s">
        <v>11565</v>
      </c>
      <c r="B14319" t="s">
        <v>13211</v>
      </c>
    </row>
    <row r="14320" spans="1:2" x14ac:dyDescent="0.25">
      <c r="A14320" t="s">
        <v>11566</v>
      </c>
      <c r="B14320" t="s">
        <v>13211</v>
      </c>
    </row>
    <row r="14321" spans="1:2" x14ac:dyDescent="0.25">
      <c r="A14321" t="s">
        <v>2563</v>
      </c>
      <c r="B14321" t="s">
        <v>13211</v>
      </c>
    </row>
    <row r="14322" spans="1:2" x14ac:dyDescent="0.25">
      <c r="A14322" t="s">
        <v>2991</v>
      </c>
      <c r="B14322" t="s">
        <v>13211</v>
      </c>
    </row>
    <row r="14323" spans="1:2" x14ac:dyDescent="0.25">
      <c r="A14323" t="s">
        <v>12495</v>
      </c>
      <c r="B14323" t="s">
        <v>13211</v>
      </c>
    </row>
    <row r="14324" spans="1:2" x14ac:dyDescent="0.25">
      <c r="A14324" t="s">
        <v>12725</v>
      </c>
      <c r="B14324" t="s">
        <v>13211</v>
      </c>
    </row>
    <row r="14325" spans="1:2" x14ac:dyDescent="0.25">
      <c r="A14325" t="s">
        <v>12628</v>
      </c>
      <c r="B14325" t="s">
        <v>13211</v>
      </c>
    </row>
    <row r="14326" spans="1:2" x14ac:dyDescent="0.25">
      <c r="A14326" t="s">
        <v>12726</v>
      </c>
      <c r="B14326" t="s">
        <v>13211</v>
      </c>
    </row>
    <row r="14327" spans="1:2" x14ac:dyDescent="0.25">
      <c r="A14327" t="s">
        <v>2125</v>
      </c>
      <c r="B14327" t="s">
        <v>13211</v>
      </c>
    </row>
    <row r="14328" spans="1:2" x14ac:dyDescent="0.25">
      <c r="A14328" t="s">
        <v>2126</v>
      </c>
      <c r="B14328" t="s">
        <v>13211</v>
      </c>
    </row>
    <row r="14329" spans="1:2" x14ac:dyDescent="0.25">
      <c r="A14329" t="s">
        <v>1390</v>
      </c>
      <c r="B14329" t="s">
        <v>13211</v>
      </c>
    </row>
    <row r="14330" spans="1:2" x14ac:dyDescent="0.25">
      <c r="A14330" t="s">
        <v>12305</v>
      </c>
      <c r="B14330" t="s">
        <v>13211</v>
      </c>
    </row>
    <row r="14331" spans="1:2" x14ac:dyDescent="0.25">
      <c r="A14331" t="s">
        <v>12306</v>
      </c>
      <c r="B14331" t="s">
        <v>13211</v>
      </c>
    </row>
    <row r="14332" spans="1:2" x14ac:dyDescent="0.25">
      <c r="A14332" t="s">
        <v>11941</v>
      </c>
      <c r="B14332" t="s">
        <v>13211</v>
      </c>
    </row>
    <row r="14333" spans="1:2" x14ac:dyDescent="0.25">
      <c r="A14333" t="s">
        <v>11561</v>
      </c>
      <c r="B14333" t="s">
        <v>13211</v>
      </c>
    </row>
    <row r="14334" spans="1:2" x14ac:dyDescent="0.25">
      <c r="A14334" t="s">
        <v>10995</v>
      </c>
      <c r="B14334" t="s">
        <v>13211</v>
      </c>
    </row>
    <row r="14335" spans="1:2" x14ac:dyDescent="0.25">
      <c r="A14335" t="s">
        <v>10629</v>
      </c>
      <c r="B14335" t="s">
        <v>13211</v>
      </c>
    </row>
    <row r="14336" spans="1:2" x14ac:dyDescent="0.25">
      <c r="A14336" t="s">
        <v>11949</v>
      </c>
      <c r="B14336" t="s">
        <v>13211</v>
      </c>
    </row>
    <row r="14337" spans="1:2" x14ac:dyDescent="0.25">
      <c r="A14337" t="s">
        <v>11008</v>
      </c>
      <c r="B14337" t="s">
        <v>13211</v>
      </c>
    </row>
    <row r="14338" spans="1:2" x14ac:dyDescent="0.25">
      <c r="A14338" t="s">
        <v>11572</v>
      </c>
      <c r="B14338" t="s">
        <v>13211</v>
      </c>
    </row>
    <row r="14339" spans="1:2" x14ac:dyDescent="0.25">
      <c r="A14339" t="s">
        <v>5372</v>
      </c>
      <c r="B14339" t="s">
        <v>13211</v>
      </c>
    </row>
    <row r="14340" spans="1:2" x14ac:dyDescent="0.25">
      <c r="A14340" t="s">
        <v>5769</v>
      </c>
      <c r="B14340" t="s">
        <v>13211</v>
      </c>
    </row>
    <row r="14341" spans="1:2" x14ac:dyDescent="0.25">
      <c r="A14341" t="s">
        <v>3509</v>
      </c>
      <c r="B14341" t="s">
        <v>13211</v>
      </c>
    </row>
    <row r="14342" spans="1:2" x14ac:dyDescent="0.25">
      <c r="A14342" t="s">
        <v>7942</v>
      </c>
      <c r="B14342" t="s">
        <v>13211</v>
      </c>
    </row>
    <row r="14343" spans="1:2" x14ac:dyDescent="0.25">
      <c r="A14343" t="s">
        <v>6207</v>
      </c>
      <c r="B14343" t="s">
        <v>13211</v>
      </c>
    </row>
    <row r="14344" spans="1:2" x14ac:dyDescent="0.25">
      <c r="A14344" t="s">
        <v>474</v>
      </c>
      <c r="B14344" t="s">
        <v>13211</v>
      </c>
    </row>
    <row r="14345" spans="1:2" x14ac:dyDescent="0.25">
      <c r="A14345" t="s">
        <v>3116</v>
      </c>
      <c r="B14345" t="s">
        <v>13211</v>
      </c>
    </row>
    <row r="14346" spans="1:2" x14ac:dyDescent="0.25">
      <c r="A14346" t="s">
        <v>6635</v>
      </c>
      <c r="B14346" t="s">
        <v>13211</v>
      </c>
    </row>
    <row r="14347" spans="1:2" x14ac:dyDescent="0.25">
      <c r="A14347" t="s">
        <v>6674</v>
      </c>
      <c r="B14347" t="s">
        <v>13211</v>
      </c>
    </row>
    <row r="14348" spans="1:2" x14ac:dyDescent="0.25">
      <c r="A14348" t="s">
        <v>15071</v>
      </c>
      <c r="B14348" t="s">
        <v>11746</v>
      </c>
    </row>
    <row r="14349" spans="1:2" x14ac:dyDescent="0.25">
      <c r="A14349" t="s">
        <v>15072</v>
      </c>
      <c r="B14349" t="s">
        <v>15071</v>
      </c>
    </row>
    <row r="14350" spans="1:2" x14ac:dyDescent="0.25">
      <c r="A14350" t="s">
        <v>7727</v>
      </c>
      <c r="B14350" t="s">
        <v>15072</v>
      </c>
    </row>
    <row r="14351" spans="1:2" x14ac:dyDescent="0.25">
      <c r="A14351" t="s">
        <v>1112</v>
      </c>
      <c r="B14351" t="s">
        <v>7727</v>
      </c>
    </row>
    <row r="14352" spans="1:2" x14ac:dyDescent="0.25">
      <c r="A14352" t="s">
        <v>4297</v>
      </c>
      <c r="B14352" t="s">
        <v>7727</v>
      </c>
    </row>
    <row r="14353" spans="1:2" x14ac:dyDescent="0.25">
      <c r="A14353" t="s">
        <v>12272</v>
      </c>
      <c r="B14353" t="s">
        <v>7727</v>
      </c>
    </row>
    <row r="14354" spans="1:2" x14ac:dyDescent="0.25">
      <c r="A14354" t="s">
        <v>15073</v>
      </c>
      <c r="B14354" t="s">
        <v>15071</v>
      </c>
    </row>
    <row r="14355" spans="1:2" x14ac:dyDescent="0.25">
      <c r="A14355" t="s">
        <v>15074</v>
      </c>
      <c r="B14355" t="s">
        <v>15073</v>
      </c>
    </row>
    <row r="14356" spans="1:2" x14ac:dyDescent="0.25">
      <c r="A14356" t="s">
        <v>815</v>
      </c>
      <c r="B14356" t="s">
        <v>15074</v>
      </c>
    </row>
    <row r="14357" spans="1:2" x14ac:dyDescent="0.25">
      <c r="A14357" t="s">
        <v>5649</v>
      </c>
      <c r="B14357" t="s">
        <v>15073</v>
      </c>
    </row>
    <row r="14358" spans="1:2" x14ac:dyDescent="0.25">
      <c r="A14358" t="s">
        <v>1938</v>
      </c>
      <c r="B14358" t="s">
        <v>5649</v>
      </c>
    </row>
    <row r="14359" spans="1:2" x14ac:dyDescent="0.25">
      <c r="A14359" t="s">
        <v>1939</v>
      </c>
      <c r="B14359" t="s">
        <v>5649</v>
      </c>
    </row>
    <row r="14360" spans="1:2" x14ac:dyDescent="0.25">
      <c r="A14360" t="s">
        <v>6553</v>
      </c>
      <c r="B14360" t="s">
        <v>5649</v>
      </c>
    </row>
    <row r="14361" spans="1:2" x14ac:dyDescent="0.25">
      <c r="A14361" t="s">
        <v>4795</v>
      </c>
      <c r="B14361" t="s">
        <v>5649</v>
      </c>
    </row>
    <row r="14362" spans="1:2" x14ac:dyDescent="0.25">
      <c r="A14362" t="s">
        <v>15075</v>
      </c>
      <c r="B14362" t="s">
        <v>15071</v>
      </c>
    </row>
    <row r="14363" spans="1:2" x14ac:dyDescent="0.25">
      <c r="A14363" t="s">
        <v>15076</v>
      </c>
      <c r="B14363" t="s">
        <v>15075</v>
      </c>
    </row>
    <row r="14364" spans="1:2" x14ac:dyDescent="0.25">
      <c r="A14364" t="s">
        <v>6945</v>
      </c>
      <c r="B14364" t="s">
        <v>15076</v>
      </c>
    </row>
    <row r="14365" spans="1:2" x14ac:dyDescent="0.25">
      <c r="A14365" t="s">
        <v>5167</v>
      </c>
      <c r="B14365" t="s">
        <v>6945</v>
      </c>
    </row>
    <row r="14366" spans="1:2" x14ac:dyDescent="0.25">
      <c r="A14366" t="s">
        <v>3237</v>
      </c>
      <c r="B14366" t="s">
        <v>6945</v>
      </c>
    </row>
    <row r="14367" spans="1:2" x14ac:dyDescent="0.25">
      <c r="A14367" t="s">
        <v>2766</v>
      </c>
      <c r="B14367" t="s">
        <v>6945</v>
      </c>
    </row>
    <row r="14368" spans="1:2" x14ac:dyDescent="0.25">
      <c r="A14368" t="s">
        <v>9532</v>
      </c>
      <c r="B14368" t="s">
        <v>6945</v>
      </c>
    </row>
    <row r="14369" spans="1:2" x14ac:dyDescent="0.25">
      <c r="A14369" t="s">
        <v>15077</v>
      </c>
      <c r="B14369" t="s">
        <v>15075</v>
      </c>
    </row>
    <row r="14370" spans="1:2" x14ac:dyDescent="0.25">
      <c r="A14370" t="s">
        <v>15078</v>
      </c>
      <c r="B14370" t="s">
        <v>15075</v>
      </c>
    </row>
    <row r="14371" spans="1:2" x14ac:dyDescent="0.25">
      <c r="A14371" t="s">
        <v>15079</v>
      </c>
      <c r="B14371" t="s">
        <v>15075</v>
      </c>
    </row>
    <row r="14372" spans="1:2" x14ac:dyDescent="0.25">
      <c r="A14372" t="s">
        <v>15080</v>
      </c>
      <c r="B14372" t="s">
        <v>15075</v>
      </c>
    </row>
    <row r="14373" spans="1:2" x14ac:dyDescent="0.25">
      <c r="A14373" t="s">
        <v>1431</v>
      </c>
      <c r="B14373" t="s">
        <v>15080</v>
      </c>
    </row>
    <row r="14374" spans="1:2" x14ac:dyDescent="0.25">
      <c r="A14374" t="s">
        <v>14234</v>
      </c>
      <c r="B14374" t="s">
        <v>15071</v>
      </c>
    </row>
    <row r="14375" spans="1:2" x14ac:dyDescent="0.25">
      <c r="A14375" t="s">
        <v>15081</v>
      </c>
      <c r="B14375" t="s">
        <v>14234</v>
      </c>
    </row>
    <row r="14376" spans="1:2" x14ac:dyDescent="0.25">
      <c r="A14376" t="s">
        <v>11931</v>
      </c>
      <c r="B14376" t="s">
        <v>15081</v>
      </c>
    </row>
    <row r="14377" spans="1:2" x14ac:dyDescent="0.25">
      <c r="A14377" t="s">
        <v>816</v>
      </c>
      <c r="B14377" t="s">
        <v>11931</v>
      </c>
    </row>
    <row r="14378" spans="1:2" x14ac:dyDescent="0.25">
      <c r="A14378" t="s">
        <v>2383</v>
      </c>
      <c r="B14378" t="s">
        <v>11931</v>
      </c>
    </row>
    <row r="14379" spans="1:2" x14ac:dyDescent="0.25">
      <c r="A14379" t="s">
        <v>2828</v>
      </c>
      <c r="B14379" t="s">
        <v>11931</v>
      </c>
    </row>
    <row r="14380" spans="1:2" x14ac:dyDescent="0.25">
      <c r="A14380" t="s">
        <v>828</v>
      </c>
      <c r="B14380" t="s">
        <v>11931</v>
      </c>
    </row>
    <row r="14381" spans="1:2" x14ac:dyDescent="0.25">
      <c r="A14381" t="s">
        <v>829</v>
      </c>
      <c r="B14381" t="s">
        <v>11931</v>
      </c>
    </row>
    <row r="14382" spans="1:2" x14ac:dyDescent="0.25">
      <c r="A14382" t="s">
        <v>1849</v>
      </c>
      <c r="B14382" t="s">
        <v>11931</v>
      </c>
    </row>
    <row r="14383" spans="1:2" x14ac:dyDescent="0.25">
      <c r="A14383" t="s">
        <v>830</v>
      </c>
      <c r="B14383" t="s">
        <v>11931</v>
      </c>
    </row>
    <row r="14384" spans="1:2" x14ac:dyDescent="0.25">
      <c r="A14384" t="s">
        <v>831</v>
      </c>
      <c r="B14384" t="s">
        <v>11931</v>
      </c>
    </row>
    <row r="14385" spans="1:2" x14ac:dyDescent="0.25">
      <c r="A14385" t="s">
        <v>832</v>
      </c>
      <c r="B14385" t="s">
        <v>11931</v>
      </c>
    </row>
    <row r="14386" spans="1:2" x14ac:dyDescent="0.25">
      <c r="A14386" t="s">
        <v>4270</v>
      </c>
      <c r="B14386" t="s">
        <v>11931</v>
      </c>
    </row>
    <row r="14387" spans="1:2" x14ac:dyDescent="0.25">
      <c r="A14387" t="s">
        <v>2829</v>
      </c>
      <c r="B14387" t="s">
        <v>11931</v>
      </c>
    </row>
    <row r="14388" spans="1:2" x14ac:dyDescent="0.25">
      <c r="A14388" t="s">
        <v>833</v>
      </c>
      <c r="B14388" t="s">
        <v>11931</v>
      </c>
    </row>
    <row r="14389" spans="1:2" x14ac:dyDescent="0.25">
      <c r="A14389" t="s">
        <v>834</v>
      </c>
      <c r="B14389" t="s">
        <v>11931</v>
      </c>
    </row>
    <row r="14390" spans="1:2" x14ac:dyDescent="0.25">
      <c r="A14390" t="s">
        <v>841</v>
      </c>
      <c r="B14390" t="s">
        <v>11931</v>
      </c>
    </row>
    <row r="14391" spans="1:2" x14ac:dyDescent="0.25">
      <c r="A14391" t="s">
        <v>843</v>
      </c>
      <c r="B14391" t="s">
        <v>11931</v>
      </c>
    </row>
    <row r="14392" spans="1:2" x14ac:dyDescent="0.25">
      <c r="A14392" t="s">
        <v>844</v>
      </c>
      <c r="B14392" t="s">
        <v>11931</v>
      </c>
    </row>
    <row r="14393" spans="1:2" x14ac:dyDescent="0.25">
      <c r="A14393" t="s">
        <v>1465</v>
      </c>
      <c r="B14393" t="s">
        <v>11931</v>
      </c>
    </row>
    <row r="14394" spans="1:2" x14ac:dyDescent="0.25">
      <c r="A14394" t="s">
        <v>3007</v>
      </c>
      <c r="B14394" t="s">
        <v>11931</v>
      </c>
    </row>
    <row r="14395" spans="1:2" x14ac:dyDescent="0.25">
      <c r="A14395" t="s">
        <v>1466</v>
      </c>
      <c r="B14395" t="s">
        <v>11931</v>
      </c>
    </row>
    <row r="14396" spans="1:2" x14ac:dyDescent="0.25">
      <c r="A14396" t="s">
        <v>3045</v>
      </c>
      <c r="B14396" t="s">
        <v>11931</v>
      </c>
    </row>
    <row r="14397" spans="1:2" x14ac:dyDescent="0.25">
      <c r="A14397" t="s">
        <v>3497</v>
      </c>
      <c r="B14397" t="s">
        <v>11931</v>
      </c>
    </row>
    <row r="14398" spans="1:2" x14ac:dyDescent="0.25">
      <c r="A14398" t="s">
        <v>12954</v>
      </c>
      <c r="B14398" t="s">
        <v>15081</v>
      </c>
    </row>
    <row r="14399" spans="1:2" x14ac:dyDescent="0.25">
      <c r="A14399" t="s">
        <v>630</v>
      </c>
      <c r="B14399" t="s">
        <v>12954</v>
      </c>
    </row>
    <row r="14400" spans="1:2" x14ac:dyDescent="0.25">
      <c r="A14400" t="s">
        <v>647</v>
      </c>
      <c r="B14400" t="s">
        <v>12954</v>
      </c>
    </row>
    <row r="14401" spans="1:2" x14ac:dyDescent="0.25">
      <c r="A14401" t="s">
        <v>648</v>
      </c>
      <c r="B14401" t="s">
        <v>12954</v>
      </c>
    </row>
    <row r="14402" spans="1:2" x14ac:dyDescent="0.25">
      <c r="A14402" t="s">
        <v>697</v>
      </c>
      <c r="B14402" t="s">
        <v>12954</v>
      </c>
    </row>
    <row r="14403" spans="1:2" x14ac:dyDescent="0.25">
      <c r="A14403" t="s">
        <v>698</v>
      </c>
      <c r="B14403" t="s">
        <v>12954</v>
      </c>
    </row>
    <row r="14404" spans="1:2" x14ac:dyDescent="0.25">
      <c r="A14404" t="s">
        <v>15082</v>
      </c>
      <c r="B14404" t="s">
        <v>14234</v>
      </c>
    </row>
    <row r="14405" spans="1:2" x14ac:dyDescent="0.25">
      <c r="A14405" t="s">
        <v>15083</v>
      </c>
      <c r="B14405" t="s">
        <v>14234</v>
      </c>
    </row>
    <row r="14406" spans="1:2" x14ac:dyDescent="0.25">
      <c r="A14406" t="s">
        <v>15084</v>
      </c>
      <c r="B14406" t="s">
        <v>14234</v>
      </c>
    </row>
    <row r="14407" spans="1:2" x14ac:dyDescent="0.25">
      <c r="A14407" t="s">
        <v>4269</v>
      </c>
      <c r="B14407" t="s">
        <v>15084</v>
      </c>
    </row>
    <row r="14408" spans="1:2" x14ac:dyDescent="0.25">
      <c r="A14408" t="s">
        <v>15085</v>
      </c>
      <c r="B14408" t="s">
        <v>14234</v>
      </c>
    </row>
    <row r="14409" spans="1:2" x14ac:dyDescent="0.25">
      <c r="A14409" t="s">
        <v>15086</v>
      </c>
      <c r="B14409" t="s">
        <v>14234</v>
      </c>
    </row>
    <row r="14410" spans="1:2" x14ac:dyDescent="0.25">
      <c r="A14410" t="s">
        <v>15087</v>
      </c>
      <c r="B14410" t="s">
        <v>14234</v>
      </c>
    </row>
    <row r="14411" spans="1:2" x14ac:dyDescent="0.25">
      <c r="A14411" t="s">
        <v>8294</v>
      </c>
      <c r="B14411" t="s">
        <v>15071</v>
      </c>
    </row>
    <row r="14412" spans="1:2" x14ac:dyDescent="0.25">
      <c r="A14412" t="s">
        <v>5232</v>
      </c>
      <c r="B14412" t="s">
        <v>8294</v>
      </c>
    </row>
    <row r="14413" spans="1:2" x14ac:dyDescent="0.25">
      <c r="A14413" t="s">
        <v>5233</v>
      </c>
      <c r="B14413" t="s">
        <v>5232</v>
      </c>
    </row>
    <row r="14414" spans="1:2" x14ac:dyDescent="0.25">
      <c r="A14414" t="s">
        <v>15088</v>
      </c>
      <c r="B14414" t="s">
        <v>8294</v>
      </c>
    </row>
    <row r="14415" spans="1:2" x14ac:dyDescent="0.25">
      <c r="A14415" t="s">
        <v>10531</v>
      </c>
      <c r="B14415" t="s">
        <v>15088</v>
      </c>
    </row>
    <row r="14416" spans="1:2" x14ac:dyDescent="0.25">
      <c r="A14416" t="s">
        <v>8381</v>
      </c>
      <c r="B14416" t="s">
        <v>10531</v>
      </c>
    </row>
    <row r="14417" spans="1:2" x14ac:dyDescent="0.25">
      <c r="A14417" t="s">
        <v>8728</v>
      </c>
      <c r="B14417" t="s">
        <v>15088</v>
      </c>
    </row>
    <row r="14418" spans="1:2" x14ac:dyDescent="0.25">
      <c r="A14418" t="s">
        <v>8295</v>
      </c>
      <c r="B14418" t="s">
        <v>15088</v>
      </c>
    </row>
    <row r="14419" spans="1:2" x14ac:dyDescent="0.25">
      <c r="A14419" t="s">
        <v>5231</v>
      </c>
      <c r="B14419" t="s">
        <v>15088</v>
      </c>
    </row>
    <row r="14420" spans="1:2" x14ac:dyDescent="0.25">
      <c r="A14420" t="s">
        <v>6554</v>
      </c>
      <c r="B14420" t="s">
        <v>15088</v>
      </c>
    </row>
    <row r="14421" spans="1:2" x14ac:dyDescent="0.25">
      <c r="A14421" t="s">
        <v>12261</v>
      </c>
      <c r="B14421" t="s">
        <v>6554</v>
      </c>
    </row>
    <row r="14422" spans="1:2" x14ac:dyDescent="0.25">
      <c r="A14422" t="s">
        <v>11496</v>
      </c>
      <c r="B14422" t="s">
        <v>6554</v>
      </c>
    </row>
    <row r="14423" spans="1:2" x14ac:dyDescent="0.25">
      <c r="A14423" t="s">
        <v>1489</v>
      </c>
      <c r="B14423" t="s">
        <v>11496</v>
      </c>
    </row>
    <row r="14424" spans="1:2" x14ac:dyDescent="0.25">
      <c r="A14424" t="s">
        <v>3502</v>
      </c>
      <c r="B14424" t="s">
        <v>11496</v>
      </c>
    </row>
    <row r="14425" spans="1:2" x14ac:dyDescent="0.25">
      <c r="A14425" t="s">
        <v>7125</v>
      </c>
      <c r="B14425" t="s">
        <v>6554</v>
      </c>
    </row>
    <row r="14426" spans="1:2" x14ac:dyDescent="0.25">
      <c r="A14426" t="s">
        <v>7224</v>
      </c>
      <c r="B14426" t="s">
        <v>7125</v>
      </c>
    </row>
    <row r="14427" spans="1:2" x14ac:dyDescent="0.25">
      <c r="A14427" t="s">
        <v>9116</v>
      </c>
      <c r="B14427" t="s">
        <v>6554</v>
      </c>
    </row>
    <row r="14428" spans="1:2" x14ac:dyDescent="0.25">
      <c r="A14428" t="s">
        <v>9207</v>
      </c>
      <c r="B14428" t="s">
        <v>9116</v>
      </c>
    </row>
    <row r="14429" spans="1:2" x14ac:dyDescent="0.25">
      <c r="A14429" t="s">
        <v>3823</v>
      </c>
      <c r="B14429" t="s">
        <v>6554</v>
      </c>
    </row>
    <row r="14430" spans="1:2" x14ac:dyDescent="0.25">
      <c r="A14430" t="s">
        <v>3824</v>
      </c>
      <c r="B14430" t="s">
        <v>3823</v>
      </c>
    </row>
    <row r="14431" spans="1:2" x14ac:dyDescent="0.25">
      <c r="A14431" t="s">
        <v>3958</v>
      </c>
      <c r="B14431" t="s">
        <v>3823</v>
      </c>
    </row>
    <row r="14432" spans="1:2" x14ac:dyDescent="0.25">
      <c r="A14432" t="s">
        <v>3016</v>
      </c>
      <c r="B14432" t="s">
        <v>6554</v>
      </c>
    </row>
    <row r="14433" spans="1:2" x14ac:dyDescent="0.25">
      <c r="A14433" t="s">
        <v>3017</v>
      </c>
      <c r="B14433" t="s">
        <v>3016</v>
      </c>
    </row>
    <row r="14434" spans="1:2" x14ac:dyDescent="0.25">
      <c r="A14434" t="s">
        <v>5335</v>
      </c>
      <c r="B14434" t="s">
        <v>6554</v>
      </c>
    </row>
    <row r="14435" spans="1:2" x14ac:dyDescent="0.25">
      <c r="A14435" t="s">
        <v>5731</v>
      </c>
      <c r="B14435" t="s">
        <v>5335</v>
      </c>
    </row>
    <row r="14436" spans="1:2" x14ac:dyDescent="0.25">
      <c r="A14436" t="s">
        <v>5336</v>
      </c>
      <c r="B14436" t="s">
        <v>6554</v>
      </c>
    </row>
    <row r="14437" spans="1:2" x14ac:dyDescent="0.25">
      <c r="A14437" t="s">
        <v>5732</v>
      </c>
      <c r="B14437" t="s">
        <v>5336</v>
      </c>
    </row>
    <row r="14438" spans="1:2" x14ac:dyDescent="0.25">
      <c r="A14438" t="s">
        <v>11510</v>
      </c>
      <c r="B14438" t="s">
        <v>6554</v>
      </c>
    </row>
    <row r="14439" spans="1:2" x14ac:dyDescent="0.25">
      <c r="A14439" t="s">
        <v>5234</v>
      </c>
      <c r="B14439" t="s">
        <v>6554</v>
      </c>
    </row>
    <row r="14440" spans="1:2" x14ac:dyDescent="0.25">
      <c r="A14440" t="s">
        <v>3825</v>
      </c>
      <c r="B14440" t="s">
        <v>15088</v>
      </c>
    </row>
    <row r="14441" spans="1:2" x14ac:dyDescent="0.25">
      <c r="A14441" t="s">
        <v>447</v>
      </c>
      <c r="B14441" t="s">
        <v>15088</v>
      </c>
    </row>
    <row r="14442" spans="1:2" x14ac:dyDescent="0.25">
      <c r="A14442" t="s">
        <v>1113</v>
      </c>
      <c r="B14442" t="s">
        <v>447</v>
      </c>
    </row>
    <row r="14443" spans="1:2" x14ac:dyDescent="0.25">
      <c r="A14443" t="s">
        <v>11511</v>
      </c>
      <c r="B14443" t="s">
        <v>15088</v>
      </c>
    </row>
    <row r="14444" spans="1:2" x14ac:dyDescent="0.25">
      <c r="A14444" t="s">
        <v>15089</v>
      </c>
      <c r="B14444" t="s">
        <v>8294</v>
      </c>
    </row>
    <row r="14445" spans="1:2" x14ac:dyDescent="0.25">
      <c r="A14445" t="s">
        <v>15090</v>
      </c>
      <c r="B14445" t="s">
        <v>8294</v>
      </c>
    </row>
    <row r="14446" spans="1:2" x14ac:dyDescent="0.25">
      <c r="A14446" t="s">
        <v>15091</v>
      </c>
      <c r="B14446" t="s">
        <v>8294</v>
      </c>
    </row>
    <row r="14447" spans="1:2" x14ac:dyDescent="0.25">
      <c r="A14447" t="s">
        <v>5650</v>
      </c>
      <c r="B14447" t="s">
        <v>15091</v>
      </c>
    </row>
    <row r="14448" spans="1:2" x14ac:dyDescent="0.25">
      <c r="A14448" t="s">
        <v>7124</v>
      </c>
      <c r="B14448" t="s">
        <v>15091</v>
      </c>
    </row>
    <row r="14449" spans="1:2" x14ac:dyDescent="0.25">
      <c r="A14449" t="s">
        <v>15092</v>
      </c>
      <c r="B14449" t="s">
        <v>8294</v>
      </c>
    </row>
    <row r="14450" spans="1:2" x14ac:dyDescent="0.25">
      <c r="A14450" t="s">
        <v>15093</v>
      </c>
      <c r="B14450" t="s">
        <v>8294</v>
      </c>
    </row>
    <row r="14451" spans="1:2" x14ac:dyDescent="0.25">
      <c r="A14451" t="s">
        <v>15094</v>
      </c>
      <c r="B14451" t="s">
        <v>8294</v>
      </c>
    </row>
    <row r="14452" spans="1:2" x14ac:dyDescent="0.25">
      <c r="A14452" t="s">
        <v>13212</v>
      </c>
      <c r="B14452" t="s">
        <v>12512</v>
      </c>
    </row>
    <row r="14453" spans="1:2" x14ac:dyDescent="0.25">
      <c r="A14453" t="s">
        <v>12645</v>
      </c>
      <c r="B14453" t="s">
        <v>13212</v>
      </c>
    </row>
    <row r="14454" spans="1:2" x14ac:dyDescent="0.25">
      <c r="A14454" t="s">
        <v>9271</v>
      </c>
      <c r="B14454" t="s">
        <v>12645</v>
      </c>
    </row>
    <row r="14455" spans="1:2" x14ac:dyDescent="0.25">
      <c r="A14455" t="s">
        <v>11813</v>
      </c>
      <c r="B14455" t="s">
        <v>12645</v>
      </c>
    </row>
    <row r="14456" spans="1:2" x14ac:dyDescent="0.25">
      <c r="A14456" t="s">
        <v>11373</v>
      </c>
      <c r="B14456" t="s">
        <v>11813</v>
      </c>
    </row>
    <row r="14457" spans="1:2" x14ac:dyDescent="0.25">
      <c r="A14457" t="s">
        <v>9694</v>
      </c>
      <c r="B14457" t="s">
        <v>11813</v>
      </c>
    </row>
    <row r="14458" spans="1:2" x14ac:dyDescent="0.25">
      <c r="A14458" t="s">
        <v>11967</v>
      </c>
      <c r="B14458" t="s">
        <v>11813</v>
      </c>
    </row>
    <row r="14459" spans="1:2" x14ac:dyDescent="0.25">
      <c r="A14459" t="s">
        <v>15095</v>
      </c>
      <c r="B14459" t="s">
        <v>11813</v>
      </c>
    </row>
    <row r="14460" spans="1:2" x14ac:dyDescent="0.25">
      <c r="A14460" t="s">
        <v>13410</v>
      </c>
      <c r="B14460" t="s">
        <v>12645</v>
      </c>
    </row>
    <row r="14461" spans="1:2" x14ac:dyDescent="0.25">
      <c r="A14461" t="s">
        <v>15096</v>
      </c>
      <c r="B14461" t="s">
        <v>13410</v>
      </c>
    </row>
    <row r="14462" spans="1:2" x14ac:dyDescent="0.25">
      <c r="A14462" t="s">
        <v>15097</v>
      </c>
      <c r="B14462" t="s">
        <v>13410</v>
      </c>
    </row>
    <row r="14463" spans="1:2" x14ac:dyDescent="0.25">
      <c r="A14463" t="s">
        <v>15098</v>
      </c>
      <c r="B14463" t="s">
        <v>13410</v>
      </c>
    </row>
    <row r="14464" spans="1:2" x14ac:dyDescent="0.25">
      <c r="A14464" t="s">
        <v>15099</v>
      </c>
      <c r="B14464" t="s">
        <v>13410</v>
      </c>
    </row>
    <row r="14465" spans="1:2" x14ac:dyDescent="0.25">
      <c r="A14465" t="s">
        <v>15100</v>
      </c>
      <c r="B14465" t="s">
        <v>13410</v>
      </c>
    </row>
    <row r="14466" spans="1:2" x14ac:dyDescent="0.25">
      <c r="A14466" t="s">
        <v>15101</v>
      </c>
      <c r="B14466" t="s">
        <v>13410</v>
      </c>
    </row>
    <row r="14467" spans="1:2" x14ac:dyDescent="0.25">
      <c r="A14467" t="s">
        <v>15102</v>
      </c>
      <c r="B14467" t="s">
        <v>13410</v>
      </c>
    </row>
    <row r="14468" spans="1:2" x14ac:dyDescent="0.25">
      <c r="A14468" t="s">
        <v>15103</v>
      </c>
      <c r="B14468" t="s">
        <v>15102</v>
      </c>
    </row>
    <row r="14469" spans="1:2" x14ac:dyDescent="0.25">
      <c r="A14469" t="s">
        <v>15104</v>
      </c>
      <c r="B14469" t="s">
        <v>15102</v>
      </c>
    </row>
    <row r="14470" spans="1:2" x14ac:dyDescent="0.25">
      <c r="A14470" t="s">
        <v>15105</v>
      </c>
      <c r="B14470" t="s">
        <v>15102</v>
      </c>
    </row>
    <row r="14471" spans="1:2" x14ac:dyDescent="0.25">
      <c r="A14471" t="s">
        <v>15106</v>
      </c>
      <c r="B14471" t="s">
        <v>15102</v>
      </c>
    </row>
    <row r="14472" spans="1:2" x14ac:dyDescent="0.25">
      <c r="A14472" t="s">
        <v>6719</v>
      </c>
      <c r="B14472" t="s">
        <v>13410</v>
      </c>
    </row>
    <row r="14473" spans="1:2" x14ac:dyDescent="0.25">
      <c r="A14473" t="s">
        <v>4041</v>
      </c>
      <c r="B14473" t="s">
        <v>6719</v>
      </c>
    </row>
    <row r="14474" spans="1:2" x14ac:dyDescent="0.25">
      <c r="A14474" t="s">
        <v>6720</v>
      </c>
      <c r="B14474" t="s">
        <v>4041</v>
      </c>
    </row>
    <row r="14475" spans="1:2" x14ac:dyDescent="0.25">
      <c r="A14475" t="s">
        <v>6721</v>
      </c>
      <c r="B14475" t="s">
        <v>4041</v>
      </c>
    </row>
    <row r="14476" spans="1:2" x14ac:dyDescent="0.25">
      <c r="A14476" t="s">
        <v>375</v>
      </c>
      <c r="B14476" t="s">
        <v>4041</v>
      </c>
    </row>
    <row r="14477" spans="1:2" x14ac:dyDescent="0.25">
      <c r="A14477" t="s">
        <v>3080</v>
      </c>
      <c r="B14477" t="s">
        <v>4041</v>
      </c>
    </row>
    <row r="14478" spans="1:2" x14ac:dyDescent="0.25">
      <c r="A14478" t="s">
        <v>211</v>
      </c>
      <c r="B14478" t="s">
        <v>4041</v>
      </c>
    </row>
    <row r="14479" spans="1:2" x14ac:dyDescent="0.25">
      <c r="A14479" t="s">
        <v>212</v>
      </c>
      <c r="B14479" t="s">
        <v>4041</v>
      </c>
    </row>
    <row r="14480" spans="1:2" x14ac:dyDescent="0.25">
      <c r="A14480" t="s">
        <v>376</v>
      </c>
      <c r="B14480" t="s">
        <v>4041</v>
      </c>
    </row>
    <row r="14481" spans="1:2" x14ac:dyDescent="0.25">
      <c r="A14481" t="s">
        <v>213</v>
      </c>
      <c r="B14481" t="s">
        <v>4041</v>
      </c>
    </row>
    <row r="14482" spans="1:2" x14ac:dyDescent="0.25">
      <c r="A14482" t="s">
        <v>11364</v>
      </c>
      <c r="B14482" t="s">
        <v>4041</v>
      </c>
    </row>
    <row r="14483" spans="1:2" x14ac:dyDescent="0.25">
      <c r="A14483" t="s">
        <v>4014</v>
      </c>
      <c r="B14483" t="s">
        <v>4041</v>
      </c>
    </row>
    <row r="14484" spans="1:2" x14ac:dyDescent="0.25">
      <c r="A14484" t="s">
        <v>8447</v>
      </c>
      <c r="B14484" t="s">
        <v>4014</v>
      </c>
    </row>
    <row r="14485" spans="1:2" x14ac:dyDescent="0.25">
      <c r="A14485" t="s">
        <v>2255</v>
      </c>
      <c r="B14485" t="s">
        <v>6719</v>
      </c>
    </row>
    <row r="14486" spans="1:2" x14ac:dyDescent="0.25">
      <c r="A14486" t="s">
        <v>8479</v>
      </c>
      <c r="B14486" t="s">
        <v>2255</v>
      </c>
    </row>
    <row r="14487" spans="1:2" x14ac:dyDescent="0.25">
      <c r="A14487" t="s">
        <v>8863</v>
      </c>
      <c r="B14487" t="s">
        <v>13410</v>
      </c>
    </row>
    <row r="14488" spans="1:2" x14ac:dyDescent="0.25">
      <c r="A14488" t="s">
        <v>5800</v>
      </c>
      <c r="B14488" t="s">
        <v>8863</v>
      </c>
    </row>
    <row r="14489" spans="1:2" x14ac:dyDescent="0.25">
      <c r="A14489" t="s">
        <v>6717</v>
      </c>
      <c r="B14489" t="s">
        <v>5800</v>
      </c>
    </row>
    <row r="14490" spans="1:2" x14ac:dyDescent="0.25">
      <c r="A14490" t="s">
        <v>6718</v>
      </c>
      <c r="B14490" t="s">
        <v>5800</v>
      </c>
    </row>
    <row r="14491" spans="1:2" x14ac:dyDescent="0.25">
      <c r="A14491" t="s">
        <v>373</v>
      </c>
      <c r="B14491" t="s">
        <v>5800</v>
      </c>
    </row>
    <row r="14492" spans="1:2" x14ac:dyDescent="0.25">
      <c r="A14492" t="s">
        <v>3079</v>
      </c>
      <c r="B14492" t="s">
        <v>5800</v>
      </c>
    </row>
    <row r="14493" spans="1:2" x14ac:dyDescent="0.25">
      <c r="A14493" t="s">
        <v>208</v>
      </c>
      <c r="B14493" t="s">
        <v>5800</v>
      </c>
    </row>
    <row r="14494" spans="1:2" x14ac:dyDescent="0.25">
      <c r="A14494" t="s">
        <v>209</v>
      </c>
      <c r="B14494" t="s">
        <v>5800</v>
      </c>
    </row>
    <row r="14495" spans="1:2" x14ac:dyDescent="0.25">
      <c r="A14495" t="s">
        <v>374</v>
      </c>
      <c r="B14495" t="s">
        <v>5800</v>
      </c>
    </row>
    <row r="14496" spans="1:2" x14ac:dyDescent="0.25">
      <c r="A14496" t="s">
        <v>210</v>
      </c>
      <c r="B14496" t="s">
        <v>5800</v>
      </c>
    </row>
    <row r="14497" spans="1:2" x14ac:dyDescent="0.25">
      <c r="A14497" t="s">
        <v>11363</v>
      </c>
      <c r="B14497" t="s">
        <v>5800</v>
      </c>
    </row>
    <row r="14498" spans="1:2" x14ac:dyDescent="0.25">
      <c r="A14498" t="s">
        <v>4015</v>
      </c>
      <c r="B14498" t="s">
        <v>5800</v>
      </c>
    </row>
    <row r="14499" spans="1:2" x14ac:dyDescent="0.25">
      <c r="A14499" t="s">
        <v>8449</v>
      </c>
      <c r="B14499" t="s">
        <v>4015</v>
      </c>
    </row>
    <row r="14500" spans="1:2" x14ac:dyDescent="0.25">
      <c r="A14500" t="s">
        <v>4040</v>
      </c>
      <c r="B14500" t="s">
        <v>8863</v>
      </c>
    </row>
    <row r="14501" spans="1:2" x14ac:dyDescent="0.25">
      <c r="A14501" t="s">
        <v>3550</v>
      </c>
      <c r="B14501" t="s">
        <v>4040</v>
      </c>
    </row>
    <row r="14502" spans="1:2" x14ac:dyDescent="0.25">
      <c r="A14502" t="s">
        <v>8474</v>
      </c>
      <c r="B14502" t="s">
        <v>12645</v>
      </c>
    </row>
    <row r="14503" spans="1:2" x14ac:dyDescent="0.25">
      <c r="A14503" t="s">
        <v>7344</v>
      </c>
      <c r="B14503" t="s">
        <v>12645</v>
      </c>
    </row>
    <row r="14504" spans="1:2" x14ac:dyDescent="0.25">
      <c r="A14504" t="s">
        <v>9278</v>
      </c>
      <c r="B14504" t="s">
        <v>7344</v>
      </c>
    </row>
    <row r="14505" spans="1:2" x14ac:dyDescent="0.25">
      <c r="A14505" t="s">
        <v>11591</v>
      </c>
      <c r="B14505" t="s">
        <v>7344</v>
      </c>
    </row>
    <row r="14506" spans="1:2" x14ac:dyDescent="0.25">
      <c r="A14506" t="s">
        <v>4039</v>
      </c>
      <c r="B14506" t="s">
        <v>7344</v>
      </c>
    </row>
    <row r="14507" spans="1:2" x14ac:dyDescent="0.25">
      <c r="A14507" t="s">
        <v>4038</v>
      </c>
      <c r="B14507" t="s">
        <v>12645</v>
      </c>
    </row>
    <row r="14508" spans="1:2" x14ac:dyDescent="0.25">
      <c r="A14508" t="s">
        <v>12898</v>
      </c>
      <c r="B14508" t="s">
        <v>4038</v>
      </c>
    </row>
    <row r="14509" spans="1:2" x14ac:dyDescent="0.25">
      <c r="A14509" t="s">
        <v>386</v>
      </c>
      <c r="B14509" t="s">
        <v>12645</v>
      </c>
    </row>
    <row r="14510" spans="1:2" x14ac:dyDescent="0.25">
      <c r="A14510" t="s">
        <v>15107</v>
      </c>
      <c r="B14510" t="s">
        <v>386</v>
      </c>
    </row>
    <row r="14511" spans="1:2" x14ac:dyDescent="0.25">
      <c r="A14511" t="s">
        <v>3106</v>
      </c>
      <c r="B14511" t="s">
        <v>12645</v>
      </c>
    </row>
    <row r="14512" spans="1:2" x14ac:dyDescent="0.25">
      <c r="A14512" t="s">
        <v>4539</v>
      </c>
      <c r="B14512" t="s">
        <v>3106</v>
      </c>
    </row>
    <row r="14513" spans="1:2" x14ac:dyDescent="0.25">
      <c r="A14513" t="s">
        <v>9692</v>
      </c>
      <c r="B14513" t="s">
        <v>3106</v>
      </c>
    </row>
    <row r="14514" spans="1:2" x14ac:dyDescent="0.25">
      <c r="A14514" t="s">
        <v>6739</v>
      </c>
      <c r="B14514" t="s">
        <v>9692</v>
      </c>
    </row>
    <row r="14515" spans="1:2" x14ac:dyDescent="0.25">
      <c r="A14515" t="s">
        <v>2652</v>
      </c>
      <c r="B14515" t="s">
        <v>9692</v>
      </c>
    </row>
    <row r="14516" spans="1:2" x14ac:dyDescent="0.25">
      <c r="A14516" t="s">
        <v>487</v>
      </c>
      <c r="B14516" t="s">
        <v>2652</v>
      </c>
    </row>
    <row r="14517" spans="1:2" x14ac:dyDescent="0.25">
      <c r="A14517" t="s">
        <v>5408</v>
      </c>
      <c r="B14517" t="s">
        <v>2652</v>
      </c>
    </row>
    <row r="14518" spans="1:2" x14ac:dyDescent="0.25">
      <c r="A14518" t="s">
        <v>3107</v>
      </c>
      <c r="B14518" t="s">
        <v>9692</v>
      </c>
    </row>
    <row r="14519" spans="1:2" x14ac:dyDescent="0.25">
      <c r="A14519" t="s">
        <v>5799</v>
      </c>
      <c r="B14519" t="s">
        <v>9692</v>
      </c>
    </row>
    <row r="14520" spans="1:2" x14ac:dyDescent="0.25">
      <c r="A14520" t="s">
        <v>13408</v>
      </c>
      <c r="B14520" t="s">
        <v>3106</v>
      </c>
    </row>
    <row r="14521" spans="1:2" x14ac:dyDescent="0.25">
      <c r="A14521" t="s">
        <v>13409</v>
      </c>
      <c r="B14521" t="s">
        <v>3106</v>
      </c>
    </row>
    <row r="14522" spans="1:2" x14ac:dyDescent="0.25">
      <c r="A14522" t="s">
        <v>15108</v>
      </c>
      <c r="B14522" t="s">
        <v>3106</v>
      </c>
    </row>
    <row r="14523" spans="1:2" x14ac:dyDescent="0.25">
      <c r="A14523" t="s">
        <v>16341</v>
      </c>
      <c r="B14523" t="s">
        <v>12645</v>
      </c>
    </row>
    <row r="14524" spans="1:2" x14ac:dyDescent="0.25">
      <c r="A14524" t="s">
        <v>16342</v>
      </c>
      <c r="B14524" t="s">
        <v>16341</v>
      </c>
    </row>
    <row r="14525" spans="1:2" x14ac:dyDescent="0.25">
      <c r="A14525" t="s">
        <v>16343</v>
      </c>
      <c r="B14525" t="s">
        <v>16341</v>
      </c>
    </row>
    <row r="14526" spans="1:2" x14ac:dyDescent="0.25">
      <c r="A14526" t="s">
        <v>16344</v>
      </c>
      <c r="B14526" t="s">
        <v>16341</v>
      </c>
    </row>
    <row r="14527" spans="1:2" x14ac:dyDescent="0.25">
      <c r="A14527" t="s">
        <v>16345</v>
      </c>
      <c r="B14527" t="s">
        <v>16341</v>
      </c>
    </row>
    <row r="14528" spans="1:2" x14ac:dyDescent="0.25">
      <c r="A14528" t="s">
        <v>16346</v>
      </c>
      <c r="B14528" t="s">
        <v>16341</v>
      </c>
    </row>
    <row r="14529" spans="1:2" x14ac:dyDescent="0.25">
      <c r="A14529" t="s">
        <v>11960</v>
      </c>
      <c r="B14529" t="s">
        <v>13212</v>
      </c>
    </row>
    <row r="14530" spans="1:2" x14ac:dyDescent="0.25">
      <c r="A14530" t="s">
        <v>7962</v>
      </c>
      <c r="B14530" t="s">
        <v>11960</v>
      </c>
    </row>
    <row r="14531" spans="1:2" x14ac:dyDescent="0.25">
      <c r="A14531" t="s">
        <v>11027</v>
      </c>
      <c r="B14531" t="s">
        <v>11960</v>
      </c>
    </row>
    <row r="14532" spans="1:2" x14ac:dyDescent="0.25">
      <c r="A14532" t="s">
        <v>11374</v>
      </c>
      <c r="B14532" t="s">
        <v>11027</v>
      </c>
    </row>
    <row r="14533" spans="1:2" x14ac:dyDescent="0.25">
      <c r="A14533" t="s">
        <v>9695</v>
      </c>
      <c r="B14533" t="s">
        <v>11027</v>
      </c>
    </row>
    <row r="14534" spans="1:2" x14ac:dyDescent="0.25">
      <c r="A14534" t="s">
        <v>11968</v>
      </c>
      <c r="B14534" t="s">
        <v>11027</v>
      </c>
    </row>
    <row r="14535" spans="1:2" x14ac:dyDescent="0.25">
      <c r="A14535" t="s">
        <v>15109</v>
      </c>
      <c r="B14535" t="s">
        <v>11027</v>
      </c>
    </row>
    <row r="14536" spans="1:2" x14ac:dyDescent="0.25">
      <c r="A14536" t="s">
        <v>387</v>
      </c>
      <c r="B14536" t="s">
        <v>11960</v>
      </c>
    </row>
    <row r="14537" spans="1:2" x14ac:dyDescent="0.25">
      <c r="A14537" t="s">
        <v>388</v>
      </c>
      <c r="B14537" t="s">
        <v>387</v>
      </c>
    </row>
    <row r="14538" spans="1:2" x14ac:dyDescent="0.25">
      <c r="A14538" t="s">
        <v>2254</v>
      </c>
      <c r="B14538" t="s">
        <v>387</v>
      </c>
    </row>
    <row r="14539" spans="1:2" x14ac:dyDescent="0.25">
      <c r="A14539" t="s">
        <v>4540</v>
      </c>
      <c r="B14539" t="s">
        <v>387</v>
      </c>
    </row>
    <row r="14540" spans="1:2" x14ac:dyDescent="0.25">
      <c r="A14540" t="s">
        <v>229</v>
      </c>
      <c r="B14540" t="s">
        <v>387</v>
      </c>
    </row>
    <row r="14541" spans="1:2" x14ac:dyDescent="0.25">
      <c r="A14541" t="s">
        <v>15110</v>
      </c>
      <c r="B14541" t="s">
        <v>11960</v>
      </c>
    </row>
    <row r="14542" spans="1:2" x14ac:dyDescent="0.25">
      <c r="A14542" t="s">
        <v>7345</v>
      </c>
      <c r="B14542" t="s">
        <v>11960</v>
      </c>
    </row>
    <row r="14543" spans="1:2" x14ac:dyDescent="0.25">
      <c r="A14543" t="s">
        <v>488</v>
      </c>
      <c r="B14543" t="s">
        <v>11960</v>
      </c>
    </row>
    <row r="14544" spans="1:2" x14ac:dyDescent="0.25">
      <c r="A14544" t="s">
        <v>3108</v>
      </c>
      <c r="B14544" t="s">
        <v>11960</v>
      </c>
    </row>
    <row r="14545" spans="1:2" x14ac:dyDescent="0.25">
      <c r="A14545" t="s">
        <v>16347</v>
      </c>
      <c r="B14545" t="s">
        <v>11960</v>
      </c>
    </row>
    <row r="14546" spans="1:2" x14ac:dyDescent="0.25">
      <c r="A14546" t="s">
        <v>16348</v>
      </c>
      <c r="B14546" t="s">
        <v>16347</v>
      </c>
    </row>
    <row r="14547" spans="1:2" x14ac:dyDescent="0.25">
      <c r="A14547" t="s">
        <v>16349</v>
      </c>
      <c r="B14547" t="s">
        <v>16347</v>
      </c>
    </row>
    <row r="14548" spans="1:2" x14ac:dyDescent="0.25">
      <c r="A14548" t="s">
        <v>16350</v>
      </c>
      <c r="B14548" t="s">
        <v>16347</v>
      </c>
    </row>
    <row r="14549" spans="1:2" x14ac:dyDescent="0.25">
      <c r="A14549" t="s">
        <v>16351</v>
      </c>
      <c r="B14549" t="s">
        <v>16347</v>
      </c>
    </row>
    <row r="14550" spans="1:2" x14ac:dyDescent="0.25">
      <c r="A14550" t="s">
        <v>16352</v>
      </c>
      <c r="B14550" t="s">
        <v>16347</v>
      </c>
    </row>
    <row r="14551" spans="1:2" x14ac:dyDescent="0.25">
      <c r="A14551" t="s">
        <v>15111</v>
      </c>
      <c r="B14551" t="s">
        <v>13212</v>
      </c>
    </row>
    <row r="14552" spans="1:2" x14ac:dyDescent="0.25">
      <c r="A14552" t="s">
        <v>8859</v>
      </c>
      <c r="B14552" t="s">
        <v>12512</v>
      </c>
    </row>
    <row r="14553" spans="1:2" x14ac:dyDescent="0.25">
      <c r="A14553" t="s">
        <v>9676</v>
      </c>
      <c r="B14553" t="s">
        <v>8859</v>
      </c>
    </row>
    <row r="14554" spans="1:2" x14ac:dyDescent="0.25">
      <c r="A14554" t="s">
        <v>6733</v>
      </c>
      <c r="B14554" t="s">
        <v>9676</v>
      </c>
    </row>
    <row r="14555" spans="1:2" x14ac:dyDescent="0.25">
      <c r="A14555" t="s">
        <v>8871</v>
      </c>
      <c r="B14555" t="s">
        <v>9676</v>
      </c>
    </row>
    <row r="14556" spans="1:2" x14ac:dyDescent="0.25">
      <c r="A14556" t="s">
        <v>12646</v>
      </c>
      <c r="B14556" t="s">
        <v>9676</v>
      </c>
    </row>
    <row r="14557" spans="1:2" x14ac:dyDescent="0.25">
      <c r="A14557" t="s">
        <v>16353</v>
      </c>
      <c r="B14557" t="s">
        <v>9676</v>
      </c>
    </row>
    <row r="14558" spans="1:2" x14ac:dyDescent="0.25">
      <c r="A14558" t="s">
        <v>16354</v>
      </c>
      <c r="B14558" t="s">
        <v>9676</v>
      </c>
    </row>
    <row r="14559" spans="1:2" x14ac:dyDescent="0.25">
      <c r="A14559" t="s">
        <v>16355</v>
      </c>
      <c r="B14559" t="s">
        <v>9676</v>
      </c>
    </row>
    <row r="14560" spans="1:2" x14ac:dyDescent="0.25">
      <c r="A14560" t="s">
        <v>16356</v>
      </c>
      <c r="B14560" t="s">
        <v>9676</v>
      </c>
    </row>
    <row r="14561" spans="1:2" x14ac:dyDescent="0.25">
      <c r="A14561" t="s">
        <v>10173</v>
      </c>
      <c r="B14561" t="s">
        <v>8859</v>
      </c>
    </row>
    <row r="14562" spans="1:2" x14ac:dyDescent="0.25">
      <c r="A14562" t="s">
        <v>11811</v>
      </c>
      <c r="B14562" t="s">
        <v>10173</v>
      </c>
    </row>
    <row r="14563" spans="1:2" x14ac:dyDescent="0.25">
      <c r="A14563" t="s">
        <v>6724</v>
      </c>
      <c r="B14563" t="s">
        <v>10173</v>
      </c>
    </row>
    <row r="14564" spans="1:2" x14ac:dyDescent="0.25">
      <c r="A14564" t="s">
        <v>9267</v>
      </c>
      <c r="B14564" t="s">
        <v>10173</v>
      </c>
    </row>
    <row r="14565" spans="1:2" x14ac:dyDescent="0.25">
      <c r="A14565" t="s">
        <v>9688</v>
      </c>
      <c r="B14565" t="s">
        <v>9267</v>
      </c>
    </row>
    <row r="14566" spans="1:2" x14ac:dyDescent="0.25">
      <c r="A14566" t="s">
        <v>8472</v>
      </c>
      <c r="B14566" t="s">
        <v>9267</v>
      </c>
    </row>
    <row r="14567" spans="1:2" x14ac:dyDescent="0.25">
      <c r="A14567" t="s">
        <v>11961</v>
      </c>
      <c r="B14567" t="s">
        <v>9267</v>
      </c>
    </row>
    <row r="14568" spans="1:2" x14ac:dyDescent="0.25">
      <c r="A14568" t="s">
        <v>12735</v>
      </c>
      <c r="B14568" t="s">
        <v>10173</v>
      </c>
    </row>
    <row r="14569" spans="1:2" x14ac:dyDescent="0.25">
      <c r="A14569" t="s">
        <v>15112</v>
      </c>
      <c r="B14569" t="s">
        <v>10173</v>
      </c>
    </row>
    <row r="14570" spans="1:2" x14ac:dyDescent="0.25">
      <c r="A14570" t="s">
        <v>6683</v>
      </c>
      <c r="B14570" t="s">
        <v>8859</v>
      </c>
    </row>
    <row r="14571" spans="1:2" x14ac:dyDescent="0.25">
      <c r="A14571" t="s">
        <v>13412</v>
      </c>
      <c r="B14571" t="s">
        <v>6683</v>
      </c>
    </row>
    <row r="14572" spans="1:2" x14ac:dyDescent="0.25">
      <c r="A14572" t="s">
        <v>7956</v>
      </c>
      <c r="B14572" t="s">
        <v>6683</v>
      </c>
    </row>
    <row r="14573" spans="1:2" x14ac:dyDescent="0.25">
      <c r="A14573" t="s">
        <v>13213</v>
      </c>
      <c r="B14573" t="s">
        <v>8859</v>
      </c>
    </row>
    <row r="14574" spans="1:2" x14ac:dyDescent="0.25">
      <c r="A14574" t="s">
        <v>13414</v>
      </c>
      <c r="B14574" t="s">
        <v>13213</v>
      </c>
    </row>
    <row r="14575" spans="1:2" x14ac:dyDescent="0.25">
      <c r="A14575" t="s">
        <v>13415</v>
      </c>
      <c r="B14575" t="s">
        <v>13213</v>
      </c>
    </row>
    <row r="14576" spans="1:2" x14ac:dyDescent="0.25">
      <c r="A14576" t="s">
        <v>13214</v>
      </c>
      <c r="B14576" t="s">
        <v>13213</v>
      </c>
    </row>
    <row r="14577" spans="1:2" x14ac:dyDescent="0.25">
      <c r="A14577" t="s">
        <v>13416</v>
      </c>
      <c r="B14577" t="s">
        <v>13214</v>
      </c>
    </row>
    <row r="14578" spans="1:2" x14ac:dyDescent="0.25">
      <c r="A14578" t="s">
        <v>13417</v>
      </c>
      <c r="B14578" t="s">
        <v>13214</v>
      </c>
    </row>
    <row r="14579" spans="1:2" x14ac:dyDescent="0.25">
      <c r="A14579" t="s">
        <v>13418</v>
      </c>
      <c r="B14579" t="s">
        <v>13214</v>
      </c>
    </row>
    <row r="14580" spans="1:2" x14ac:dyDescent="0.25">
      <c r="A14580" t="s">
        <v>13419</v>
      </c>
      <c r="B14580" t="s">
        <v>13214</v>
      </c>
    </row>
    <row r="14581" spans="1:2" x14ac:dyDescent="0.25">
      <c r="A14581" t="s">
        <v>13420</v>
      </c>
      <c r="B14581" t="s">
        <v>13213</v>
      </c>
    </row>
    <row r="14582" spans="1:2" x14ac:dyDescent="0.25">
      <c r="A14582" t="s">
        <v>12513</v>
      </c>
      <c r="B14582" t="s">
        <v>13420</v>
      </c>
    </row>
    <row r="14583" spans="1:2" x14ac:dyDescent="0.25">
      <c r="A14583" t="s">
        <v>13772</v>
      </c>
      <c r="B14583" t="s">
        <v>12513</v>
      </c>
    </row>
    <row r="14584" spans="1:2" x14ac:dyDescent="0.25">
      <c r="A14584" t="s">
        <v>13773</v>
      </c>
      <c r="B14584" t="s">
        <v>13772</v>
      </c>
    </row>
    <row r="14585" spans="1:2" x14ac:dyDescent="0.25">
      <c r="A14585" t="s">
        <v>13774</v>
      </c>
      <c r="B14585" t="s">
        <v>13772</v>
      </c>
    </row>
    <row r="14586" spans="1:2" x14ac:dyDescent="0.25">
      <c r="A14586" t="s">
        <v>13775</v>
      </c>
      <c r="B14586" t="s">
        <v>13772</v>
      </c>
    </row>
    <row r="14587" spans="1:2" x14ac:dyDescent="0.25">
      <c r="A14587" t="s">
        <v>13776</v>
      </c>
      <c r="B14587" t="s">
        <v>13772</v>
      </c>
    </row>
    <row r="14588" spans="1:2" x14ac:dyDescent="0.25">
      <c r="A14588" t="s">
        <v>13777</v>
      </c>
      <c r="B14588" t="s">
        <v>12513</v>
      </c>
    </row>
    <row r="14589" spans="1:2" x14ac:dyDescent="0.25">
      <c r="A14589" t="s">
        <v>13778</v>
      </c>
      <c r="B14589" t="s">
        <v>13777</v>
      </c>
    </row>
    <row r="14590" spans="1:2" x14ac:dyDescent="0.25">
      <c r="A14590" t="s">
        <v>13779</v>
      </c>
      <c r="B14590" t="s">
        <v>13777</v>
      </c>
    </row>
    <row r="14591" spans="1:2" x14ac:dyDescent="0.25">
      <c r="A14591" t="s">
        <v>13827</v>
      </c>
      <c r="B14591" t="s">
        <v>12513</v>
      </c>
    </row>
    <row r="14592" spans="1:2" x14ac:dyDescent="0.25">
      <c r="A14592" t="s">
        <v>12319</v>
      </c>
      <c r="B14592" t="s">
        <v>13420</v>
      </c>
    </row>
    <row r="14593" spans="1:2" x14ac:dyDescent="0.25">
      <c r="A14593" t="s">
        <v>13768</v>
      </c>
      <c r="B14593" t="s">
        <v>13420</v>
      </c>
    </row>
    <row r="14594" spans="1:2" x14ac:dyDescent="0.25">
      <c r="A14594" t="s">
        <v>13769</v>
      </c>
      <c r="B14594" t="s">
        <v>13768</v>
      </c>
    </row>
    <row r="14595" spans="1:2" x14ac:dyDescent="0.25">
      <c r="A14595" t="s">
        <v>13771</v>
      </c>
      <c r="B14595" t="s">
        <v>13768</v>
      </c>
    </row>
    <row r="14596" spans="1:2" x14ac:dyDescent="0.25">
      <c r="A14596" t="s">
        <v>13828</v>
      </c>
      <c r="B14596" t="s">
        <v>13768</v>
      </c>
    </row>
    <row r="14597" spans="1:2" x14ac:dyDescent="0.25">
      <c r="A14597" t="s">
        <v>15113</v>
      </c>
      <c r="B14597" t="s">
        <v>13420</v>
      </c>
    </row>
    <row r="14598" spans="1:2" x14ac:dyDescent="0.25">
      <c r="A14598" t="s">
        <v>13770</v>
      </c>
      <c r="B14598" t="s">
        <v>13420</v>
      </c>
    </row>
    <row r="14599" spans="1:2" x14ac:dyDescent="0.25">
      <c r="A14599" t="s">
        <v>15114</v>
      </c>
      <c r="B14599" t="s">
        <v>13213</v>
      </c>
    </row>
    <row r="14600" spans="1:2" x14ac:dyDescent="0.25">
      <c r="A14600" t="s">
        <v>13215</v>
      </c>
      <c r="B14600" t="s">
        <v>8859</v>
      </c>
    </row>
    <row r="14601" spans="1:2" x14ac:dyDescent="0.25">
      <c r="A14601" t="s">
        <v>13421</v>
      </c>
      <c r="B14601" t="s">
        <v>13215</v>
      </c>
    </row>
    <row r="14602" spans="1:2" x14ac:dyDescent="0.25">
      <c r="A14602" t="s">
        <v>13422</v>
      </c>
      <c r="B14602" t="s">
        <v>13215</v>
      </c>
    </row>
    <row r="14603" spans="1:2" x14ac:dyDescent="0.25">
      <c r="A14603" t="s">
        <v>13216</v>
      </c>
      <c r="B14603" t="s">
        <v>13215</v>
      </c>
    </row>
    <row r="14604" spans="1:2" x14ac:dyDescent="0.25">
      <c r="A14604" t="s">
        <v>13423</v>
      </c>
      <c r="B14604" t="s">
        <v>13216</v>
      </c>
    </row>
    <row r="14605" spans="1:2" x14ac:dyDescent="0.25">
      <c r="A14605" t="s">
        <v>13424</v>
      </c>
      <c r="B14605" t="s">
        <v>13216</v>
      </c>
    </row>
    <row r="14606" spans="1:2" x14ac:dyDescent="0.25">
      <c r="A14606" t="s">
        <v>13425</v>
      </c>
      <c r="B14606" t="s">
        <v>13216</v>
      </c>
    </row>
    <row r="14607" spans="1:2" x14ac:dyDescent="0.25">
      <c r="A14607" t="s">
        <v>13426</v>
      </c>
      <c r="B14607" t="s">
        <v>13216</v>
      </c>
    </row>
    <row r="14608" spans="1:2" x14ac:dyDescent="0.25">
      <c r="A14608" t="s">
        <v>8870</v>
      </c>
      <c r="B14608" t="s">
        <v>13216</v>
      </c>
    </row>
    <row r="14609" spans="1:2" x14ac:dyDescent="0.25">
      <c r="A14609" t="s">
        <v>13427</v>
      </c>
      <c r="B14609" t="s">
        <v>13215</v>
      </c>
    </row>
    <row r="14610" spans="1:2" x14ac:dyDescent="0.25">
      <c r="A14610" t="s">
        <v>11959</v>
      </c>
      <c r="B14610" t="s">
        <v>13427</v>
      </c>
    </row>
    <row r="14611" spans="1:2" x14ac:dyDescent="0.25">
      <c r="A14611" t="s">
        <v>13785</v>
      </c>
      <c r="B14611" t="s">
        <v>11959</v>
      </c>
    </row>
    <row r="14612" spans="1:2" x14ac:dyDescent="0.25">
      <c r="A14612" t="s">
        <v>13786</v>
      </c>
      <c r="B14612" t="s">
        <v>13785</v>
      </c>
    </row>
    <row r="14613" spans="1:2" x14ac:dyDescent="0.25">
      <c r="A14613" t="s">
        <v>13787</v>
      </c>
      <c r="B14613" t="s">
        <v>13785</v>
      </c>
    </row>
    <row r="14614" spans="1:2" x14ac:dyDescent="0.25">
      <c r="A14614" t="s">
        <v>13788</v>
      </c>
      <c r="B14614" t="s">
        <v>13785</v>
      </c>
    </row>
    <row r="14615" spans="1:2" x14ac:dyDescent="0.25">
      <c r="A14615" t="s">
        <v>13789</v>
      </c>
      <c r="B14615" t="s">
        <v>13785</v>
      </c>
    </row>
    <row r="14616" spans="1:2" x14ac:dyDescent="0.25">
      <c r="A14616" t="s">
        <v>13790</v>
      </c>
      <c r="B14616" t="s">
        <v>13785</v>
      </c>
    </row>
    <row r="14617" spans="1:2" x14ac:dyDescent="0.25">
      <c r="A14617" t="s">
        <v>13791</v>
      </c>
      <c r="B14617" t="s">
        <v>13785</v>
      </c>
    </row>
    <row r="14618" spans="1:2" x14ac:dyDescent="0.25">
      <c r="A14618" t="s">
        <v>13792</v>
      </c>
      <c r="B14618" t="s">
        <v>13785</v>
      </c>
    </row>
    <row r="14619" spans="1:2" x14ac:dyDescent="0.25">
      <c r="A14619" t="s">
        <v>13793</v>
      </c>
      <c r="B14619" t="s">
        <v>11959</v>
      </c>
    </row>
    <row r="14620" spans="1:2" x14ac:dyDescent="0.25">
      <c r="A14620" t="s">
        <v>13794</v>
      </c>
      <c r="B14620" t="s">
        <v>13793</v>
      </c>
    </row>
    <row r="14621" spans="1:2" x14ac:dyDescent="0.25">
      <c r="A14621" t="s">
        <v>13795</v>
      </c>
      <c r="B14621" t="s">
        <v>13793</v>
      </c>
    </row>
    <row r="14622" spans="1:2" x14ac:dyDescent="0.25">
      <c r="A14622" t="s">
        <v>13796</v>
      </c>
      <c r="B14622" t="s">
        <v>13793</v>
      </c>
    </row>
    <row r="14623" spans="1:2" x14ac:dyDescent="0.25">
      <c r="A14623" t="s">
        <v>13797</v>
      </c>
      <c r="B14623" t="s">
        <v>13793</v>
      </c>
    </row>
    <row r="14624" spans="1:2" x14ac:dyDescent="0.25">
      <c r="A14624" t="s">
        <v>13798</v>
      </c>
      <c r="B14624" t="s">
        <v>13793</v>
      </c>
    </row>
    <row r="14625" spans="1:2" x14ac:dyDescent="0.25">
      <c r="A14625" t="s">
        <v>13799</v>
      </c>
      <c r="B14625" t="s">
        <v>13793</v>
      </c>
    </row>
    <row r="14626" spans="1:2" x14ac:dyDescent="0.25">
      <c r="A14626" t="s">
        <v>13800</v>
      </c>
      <c r="B14626" t="s">
        <v>13793</v>
      </c>
    </row>
    <row r="14627" spans="1:2" x14ac:dyDescent="0.25">
      <c r="A14627" t="s">
        <v>13801</v>
      </c>
      <c r="B14627" t="s">
        <v>13793</v>
      </c>
    </row>
    <row r="14628" spans="1:2" x14ac:dyDescent="0.25">
      <c r="A14628" t="s">
        <v>13780</v>
      </c>
      <c r="B14628" t="s">
        <v>13427</v>
      </c>
    </row>
    <row r="14629" spans="1:2" x14ac:dyDescent="0.25">
      <c r="A14629" t="s">
        <v>13781</v>
      </c>
      <c r="B14629" t="s">
        <v>13780</v>
      </c>
    </row>
    <row r="14630" spans="1:2" x14ac:dyDescent="0.25">
      <c r="A14630" t="s">
        <v>13782</v>
      </c>
      <c r="B14630" t="s">
        <v>13780</v>
      </c>
    </row>
    <row r="14631" spans="1:2" x14ac:dyDescent="0.25">
      <c r="A14631" t="s">
        <v>13784</v>
      </c>
      <c r="B14631" t="s">
        <v>13780</v>
      </c>
    </row>
    <row r="14632" spans="1:2" x14ac:dyDescent="0.25">
      <c r="A14632" t="s">
        <v>12869</v>
      </c>
      <c r="B14632" t="s">
        <v>13427</v>
      </c>
    </row>
    <row r="14633" spans="1:2" x14ac:dyDescent="0.25">
      <c r="A14633" t="s">
        <v>13783</v>
      </c>
      <c r="B14633" t="s">
        <v>13427</v>
      </c>
    </row>
    <row r="14634" spans="1:2" x14ac:dyDescent="0.25">
      <c r="A14634" t="s">
        <v>15115</v>
      </c>
      <c r="B14634" t="s">
        <v>13215</v>
      </c>
    </row>
    <row r="14635" spans="1:2" x14ac:dyDescent="0.25">
      <c r="A14635" t="s">
        <v>13217</v>
      </c>
      <c r="B14635" t="s">
        <v>8859</v>
      </c>
    </row>
    <row r="14636" spans="1:2" x14ac:dyDescent="0.25">
      <c r="A14636" t="s">
        <v>13218</v>
      </c>
      <c r="B14636" t="s">
        <v>13217</v>
      </c>
    </row>
    <row r="14637" spans="1:2" x14ac:dyDescent="0.25">
      <c r="A14637" t="s">
        <v>13428</v>
      </c>
      <c r="B14637" t="s">
        <v>13218</v>
      </c>
    </row>
    <row r="14638" spans="1:2" x14ac:dyDescent="0.25">
      <c r="A14638" t="s">
        <v>13429</v>
      </c>
      <c r="B14638" t="s">
        <v>13218</v>
      </c>
    </row>
    <row r="14639" spans="1:2" x14ac:dyDescent="0.25">
      <c r="A14639" t="s">
        <v>12514</v>
      </c>
      <c r="B14639" t="s">
        <v>13429</v>
      </c>
    </row>
    <row r="14640" spans="1:2" x14ac:dyDescent="0.25">
      <c r="A14640" t="s">
        <v>13804</v>
      </c>
      <c r="B14640" t="s">
        <v>12514</v>
      </c>
    </row>
    <row r="14641" spans="1:2" x14ac:dyDescent="0.25">
      <c r="A14641" t="s">
        <v>13805</v>
      </c>
      <c r="B14641" t="s">
        <v>12514</v>
      </c>
    </row>
    <row r="14642" spans="1:2" x14ac:dyDescent="0.25">
      <c r="A14642" t="s">
        <v>13806</v>
      </c>
      <c r="B14642" t="s">
        <v>13805</v>
      </c>
    </row>
    <row r="14643" spans="1:2" x14ac:dyDescent="0.25">
      <c r="A14643" t="s">
        <v>13807</v>
      </c>
      <c r="B14643" t="s">
        <v>13805</v>
      </c>
    </row>
    <row r="14644" spans="1:2" x14ac:dyDescent="0.25">
      <c r="A14644" t="s">
        <v>13808</v>
      </c>
      <c r="B14644" t="s">
        <v>13805</v>
      </c>
    </row>
    <row r="14645" spans="1:2" x14ac:dyDescent="0.25">
      <c r="A14645" t="s">
        <v>13809</v>
      </c>
      <c r="B14645" t="s">
        <v>13805</v>
      </c>
    </row>
    <row r="14646" spans="1:2" x14ac:dyDescent="0.25">
      <c r="A14646" t="s">
        <v>13810</v>
      </c>
      <c r="B14646" t="s">
        <v>12514</v>
      </c>
    </row>
    <row r="14647" spans="1:2" x14ac:dyDescent="0.25">
      <c r="A14647" t="s">
        <v>13811</v>
      </c>
      <c r="B14647" t="s">
        <v>12514</v>
      </c>
    </row>
    <row r="14648" spans="1:2" x14ac:dyDescent="0.25">
      <c r="A14648" t="s">
        <v>16357</v>
      </c>
      <c r="B14648" t="s">
        <v>13811</v>
      </c>
    </row>
    <row r="14649" spans="1:2" x14ac:dyDescent="0.25">
      <c r="A14649" t="s">
        <v>16358</v>
      </c>
      <c r="B14649" t="s">
        <v>13811</v>
      </c>
    </row>
    <row r="14650" spans="1:2" x14ac:dyDescent="0.25">
      <c r="A14650" t="s">
        <v>16359</v>
      </c>
      <c r="B14650" t="s">
        <v>13811</v>
      </c>
    </row>
    <row r="14651" spans="1:2" x14ac:dyDescent="0.25">
      <c r="A14651" t="s">
        <v>13812</v>
      </c>
      <c r="B14651" t="s">
        <v>12514</v>
      </c>
    </row>
    <row r="14652" spans="1:2" x14ac:dyDescent="0.25">
      <c r="A14652" t="s">
        <v>16360</v>
      </c>
      <c r="B14652" t="s">
        <v>12514</v>
      </c>
    </row>
    <row r="14653" spans="1:2" x14ac:dyDescent="0.25">
      <c r="A14653" t="s">
        <v>16361</v>
      </c>
      <c r="B14653" t="s">
        <v>16360</v>
      </c>
    </row>
    <row r="14654" spans="1:2" x14ac:dyDescent="0.25">
      <c r="A14654" t="s">
        <v>16362</v>
      </c>
      <c r="B14654" t="s">
        <v>16360</v>
      </c>
    </row>
    <row r="14655" spans="1:2" x14ac:dyDescent="0.25">
      <c r="A14655" t="s">
        <v>16363</v>
      </c>
      <c r="B14655" t="s">
        <v>16360</v>
      </c>
    </row>
    <row r="14656" spans="1:2" x14ac:dyDescent="0.25">
      <c r="A14656" t="s">
        <v>13802</v>
      </c>
      <c r="B14656" t="s">
        <v>13429</v>
      </c>
    </row>
    <row r="14657" spans="1:2" x14ac:dyDescent="0.25">
      <c r="A14657" t="s">
        <v>13829</v>
      </c>
      <c r="B14657" t="s">
        <v>13802</v>
      </c>
    </row>
    <row r="14658" spans="1:2" x14ac:dyDescent="0.25">
      <c r="A14658" t="s">
        <v>15116</v>
      </c>
      <c r="B14658" t="s">
        <v>13429</v>
      </c>
    </row>
    <row r="14659" spans="1:2" x14ac:dyDescent="0.25">
      <c r="A14659" t="s">
        <v>13803</v>
      </c>
      <c r="B14659" t="s">
        <v>13429</v>
      </c>
    </row>
    <row r="14660" spans="1:2" x14ac:dyDescent="0.25">
      <c r="A14660" t="s">
        <v>13430</v>
      </c>
      <c r="B14660" t="s">
        <v>13218</v>
      </c>
    </row>
    <row r="14661" spans="1:2" x14ac:dyDescent="0.25">
      <c r="A14661" t="s">
        <v>13431</v>
      </c>
      <c r="B14661" t="s">
        <v>13218</v>
      </c>
    </row>
    <row r="14662" spans="1:2" x14ac:dyDescent="0.25">
      <c r="A14662" t="s">
        <v>13432</v>
      </c>
      <c r="B14662" t="s">
        <v>13218</v>
      </c>
    </row>
    <row r="14663" spans="1:2" x14ac:dyDescent="0.25">
      <c r="A14663" t="s">
        <v>13433</v>
      </c>
      <c r="B14663" t="s">
        <v>13217</v>
      </c>
    </row>
    <row r="14664" spans="1:2" x14ac:dyDescent="0.25">
      <c r="A14664" t="s">
        <v>13434</v>
      </c>
      <c r="B14664" t="s">
        <v>13217</v>
      </c>
    </row>
    <row r="14665" spans="1:2" x14ac:dyDescent="0.25">
      <c r="A14665" t="s">
        <v>13435</v>
      </c>
      <c r="B14665" t="s">
        <v>13217</v>
      </c>
    </row>
    <row r="14666" spans="1:2" x14ac:dyDescent="0.25">
      <c r="A14666" t="s">
        <v>13436</v>
      </c>
      <c r="B14666" t="s">
        <v>13217</v>
      </c>
    </row>
    <row r="14667" spans="1:2" x14ac:dyDescent="0.25">
      <c r="A14667" t="s">
        <v>13635</v>
      </c>
      <c r="B14667" t="s">
        <v>8859</v>
      </c>
    </row>
    <row r="14668" spans="1:2" x14ac:dyDescent="0.25">
      <c r="A14668" t="s">
        <v>13830</v>
      </c>
      <c r="B14668" t="s">
        <v>8859</v>
      </c>
    </row>
    <row r="14669" spans="1:2" x14ac:dyDescent="0.25">
      <c r="A14669" t="s">
        <v>13831</v>
      </c>
      <c r="B14669" t="s">
        <v>13830</v>
      </c>
    </row>
    <row r="14670" spans="1:2" x14ac:dyDescent="0.25">
      <c r="A14670" t="s">
        <v>13832</v>
      </c>
      <c r="B14670" t="s">
        <v>13830</v>
      </c>
    </row>
    <row r="14671" spans="1:2" x14ac:dyDescent="0.25">
      <c r="A14671" t="s">
        <v>13833</v>
      </c>
      <c r="B14671" t="s">
        <v>13830</v>
      </c>
    </row>
    <row r="14672" spans="1:2" x14ac:dyDescent="0.25">
      <c r="A14672" t="s">
        <v>13834</v>
      </c>
      <c r="B14672" t="s">
        <v>13830</v>
      </c>
    </row>
    <row r="14673" spans="1:2" x14ac:dyDescent="0.25">
      <c r="A14673" t="s">
        <v>15117</v>
      </c>
      <c r="B14673" t="s">
        <v>13830</v>
      </c>
    </row>
    <row r="14674" spans="1:2" x14ac:dyDescent="0.25">
      <c r="A14674" t="s">
        <v>15118</v>
      </c>
      <c r="B14674" t="s">
        <v>8859</v>
      </c>
    </row>
    <row r="14675" spans="1:2" x14ac:dyDescent="0.25">
      <c r="A14675" t="s">
        <v>7339</v>
      </c>
      <c r="B14675" t="s">
        <v>8859</v>
      </c>
    </row>
    <row r="14676" spans="1:2" x14ac:dyDescent="0.25">
      <c r="A14676" t="s">
        <v>8860</v>
      </c>
      <c r="B14676" t="s">
        <v>12512</v>
      </c>
    </row>
    <row r="14677" spans="1:2" x14ac:dyDescent="0.25">
      <c r="A14677" t="s">
        <v>12318</v>
      </c>
      <c r="B14677" t="s">
        <v>8860</v>
      </c>
    </row>
    <row r="14678" spans="1:2" x14ac:dyDescent="0.25">
      <c r="A14678" t="s">
        <v>149</v>
      </c>
      <c r="B14678" t="s">
        <v>8860</v>
      </c>
    </row>
    <row r="14679" spans="1:2" x14ac:dyDescent="0.25">
      <c r="A14679" t="s">
        <v>4957</v>
      </c>
      <c r="B14679" t="s">
        <v>149</v>
      </c>
    </row>
    <row r="14680" spans="1:2" x14ac:dyDescent="0.25">
      <c r="A14680" t="s">
        <v>6681</v>
      </c>
      <c r="B14680" t="s">
        <v>149</v>
      </c>
    </row>
    <row r="14681" spans="1:2" x14ac:dyDescent="0.25">
      <c r="A14681" t="s">
        <v>13636</v>
      </c>
      <c r="B14681" t="s">
        <v>6681</v>
      </c>
    </row>
    <row r="14682" spans="1:2" x14ac:dyDescent="0.25">
      <c r="A14682" t="s">
        <v>4032</v>
      </c>
      <c r="B14682" t="s">
        <v>6681</v>
      </c>
    </row>
    <row r="14683" spans="1:2" x14ac:dyDescent="0.25">
      <c r="A14683" t="s">
        <v>13437</v>
      </c>
      <c r="B14683" t="s">
        <v>6681</v>
      </c>
    </row>
    <row r="14684" spans="1:2" x14ac:dyDescent="0.25">
      <c r="A14684" t="s">
        <v>5781</v>
      </c>
      <c r="B14684" t="s">
        <v>149</v>
      </c>
    </row>
    <row r="14685" spans="1:2" x14ac:dyDescent="0.25">
      <c r="A14685" t="s">
        <v>4929</v>
      </c>
      <c r="B14685" t="s">
        <v>8860</v>
      </c>
    </row>
    <row r="14686" spans="1:2" x14ac:dyDescent="0.25">
      <c r="A14686" t="s">
        <v>2634</v>
      </c>
      <c r="B14686" t="s">
        <v>4929</v>
      </c>
    </row>
    <row r="14687" spans="1:2" x14ac:dyDescent="0.25">
      <c r="A14687" t="s">
        <v>10685</v>
      </c>
      <c r="B14687" t="s">
        <v>2634</v>
      </c>
    </row>
    <row r="14688" spans="1:2" x14ac:dyDescent="0.25">
      <c r="A14688" t="s">
        <v>11816</v>
      </c>
      <c r="B14688" t="s">
        <v>2634</v>
      </c>
    </row>
    <row r="14689" spans="1:2" x14ac:dyDescent="0.25">
      <c r="A14689" t="s">
        <v>475</v>
      </c>
      <c r="B14689" t="s">
        <v>4929</v>
      </c>
    </row>
    <row r="14690" spans="1:2" x14ac:dyDescent="0.25">
      <c r="A14690" t="s">
        <v>10187</v>
      </c>
      <c r="B14690" t="s">
        <v>475</v>
      </c>
    </row>
    <row r="14691" spans="1:2" x14ac:dyDescent="0.25">
      <c r="A14691" t="s">
        <v>11599</v>
      </c>
      <c r="B14691" t="s">
        <v>475</v>
      </c>
    </row>
    <row r="14692" spans="1:2" x14ac:dyDescent="0.25">
      <c r="A14692" t="s">
        <v>1642</v>
      </c>
      <c r="B14692" t="s">
        <v>4929</v>
      </c>
    </row>
    <row r="14693" spans="1:2" x14ac:dyDescent="0.25">
      <c r="A14693" t="s">
        <v>10179</v>
      </c>
      <c r="B14693" t="s">
        <v>1642</v>
      </c>
    </row>
    <row r="14694" spans="1:2" x14ac:dyDescent="0.25">
      <c r="A14694" t="s">
        <v>11592</v>
      </c>
      <c r="B14694" t="s">
        <v>1642</v>
      </c>
    </row>
    <row r="14695" spans="1:2" x14ac:dyDescent="0.25">
      <c r="A14695" t="s">
        <v>2243</v>
      </c>
      <c r="B14695" t="s">
        <v>4929</v>
      </c>
    </row>
    <row r="14696" spans="1:2" x14ac:dyDescent="0.25">
      <c r="A14696" t="s">
        <v>10180</v>
      </c>
      <c r="B14696" t="s">
        <v>2243</v>
      </c>
    </row>
    <row r="14697" spans="1:2" x14ac:dyDescent="0.25">
      <c r="A14697" t="s">
        <v>11593</v>
      </c>
      <c r="B14697" t="s">
        <v>2243</v>
      </c>
    </row>
    <row r="14698" spans="1:2" x14ac:dyDescent="0.25">
      <c r="A14698" t="s">
        <v>6679</v>
      </c>
      <c r="B14698" t="s">
        <v>4929</v>
      </c>
    </row>
    <row r="14699" spans="1:2" x14ac:dyDescent="0.25">
      <c r="A14699" t="s">
        <v>10181</v>
      </c>
      <c r="B14699" t="s">
        <v>6679</v>
      </c>
    </row>
    <row r="14700" spans="1:2" x14ac:dyDescent="0.25">
      <c r="A14700" t="s">
        <v>11594</v>
      </c>
      <c r="B14700" t="s">
        <v>6679</v>
      </c>
    </row>
    <row r="14701" spans="1:2" x14ac:dyDescent="0.25">
      <c r="A14701" t="s">
        <v>6218</v>
      </c>
      <c r="B14701" t="s">
        <v>4929</v>
      </c>
    </row>
    <row r="14702" spans="1:2" x14ac:dyDescent="0.25">
      <c r="A14702" t="s">
        <v>10182</v>
      </c>
      <c r="B14702" t="s">
        <v>6218</v>
      </c>
    </row>
    <row r="14703" spans="1:2" x14ac:dyDescent="0.25">
      <c r="A14703" t="s">
        <v>11595</v>
      </c>
      <c r="B14703" t="s">
        <v>6218</v>
      </c>
    </row>
    <row r="14704" spans="1:2" x14ac:dyDescent="0.25">
      <c r="A14704" t="s">
        <v>10185</v>
      </c>
      <c r="B14704" t="s">
        <v>6218</v>
      </c>
    </row>
    <row r="14705" spans="1:2" x14ac:dyDescent="0.25">
      <c r="A14705" t="s">
        <v>6680</v>
      </c>
      <c r="B14705" t="s">
        <v>4929</v>
      </c>
    </row>
    <row r="14706" spans="1:2" x14ac:dyDescent="0.25">
      <c r="A14706" t="s">
        <v>10183</v>
      </c>
      <c r="B14706" t="s">
        <v>6680</v>
      </c>
    </row>
    <row r="14707" spans="1:2" x14ac:dyDescent="0.25">
      <c r="A14707" t="s">
        <v>11596</v>
      </c>
      <c r="B14707" t="s">
        <v>6680</v>
      </c>
    </row>
    <row r="14708" spans="1:2" x14ac:dyDescent="0.25">
      <c r="A14708" t="s">
        <v>150</v>
      </c>
      <c r="B14708" t="s">
        <v>4929</v>
      </c>
    </row>
    <row r="14709" spans="1:2" x14ac:dyDescent="0.25">
      <c r="A14709" t="s">
        <v>10184</v>
      </c>
      <c r="B14709" t="s">
        <v>150</v>
      </c>
    </row>
    <row r="14710" spans="1:2" x14ac:dyDescent="0.25">
      <c r="A14710" t="s">
        <v>4930</v>
      </c>
      <c r="B14710" t="s">
        <v>4929</v>
      </c>
    </row>
    <row r="14711" spans="1:2" x14ac:dyDescent="0.25">
      <c r="A14711" t="s">
        <v>4936</v>
      </c>
      <c r="B14711" t="s">
        <v>4930</v>
      </c>
    </row>
    <row r="14712" spans="1:2" x14ac:dyDescent="0.25">
      <c r="A14712" t="s">
        <v>7338</v>
      </c>
      <c r="B14712" t="s">
        <v>4930</v>
      </c>
    </row>
    <row r="14713" spans="1:2" x14ac:dyDescent="0.25">
      <c r="A14713" t="s">
        <v>12867</v>
      </c>
      <c r="B14713" t="s">
        <v>4929</v>
      </c>
    </row>
    <row r="14714" spans="1:2" x14ac:dyDescent="0.25">
      <c r="A14714" t="s">
        <v>12643</v>
      </c>
      <c r="B14714" t="s">
        <v>8860</v>
      </c>
    </row>
    <row r="14715" spans="1:2" x14ac:dyDescent="0.25">
      <c r="A14715" t="s">
        <v>12516</v>
      </c>
      <c r="B14715" t="s">
        <v>12643</v>
      </c>
    </row>
    <row r="14716" spans="1:2" x14ac:dyDescent="0.25">
      <c r="A14716" t="s">
        <v>11368</v>
      </c>
      <c r="B14716" t="s">
        <v>12643</v>
      </c>
    </row>
    <row r="14717" spans="1:2" x14ac:dyDescent="0.25">
      <c r="A14717" t="s">
        <v>16364</v>
      </c>
      <c r="B14717" t="s">
        <v>12643</v>
      </c>
    </row>
    <row r="14718" spans="1:2" x14ac:dyDescent="0.25">
      <c r="A14718" t="s">
        <v>16365</v>
      </c>
      <c r="B14718" t="s">
        <v>12643</v>
      </c>
    </row>
    <row r="14719" spans="1:2" x14ac:dyDescent="0.25">
      <c r="A14719" t="s">
        <v>16366</v>
      </c>
      <c r="B14719" t="s">
        <v>12643</v>
      </c>
    </row>
    <row r="14720" spans="1:2" x14ac:dyDescent="0.25">
      <c r="A14720" t="s">
        <v>16367</v>
      </c>
      <c r="B14720" t="s">
        <v>12643</v>
      </c>
    </row>
    <row r="14721" spans="1:2" x14ac:dyDescent="0.25">
      <c r="A14721" t="s">
        <v>8433</v>
      </c>
      <c r="B14721" t="s">
        <v>8860</v>
      </c>
    </row>
    <row r="14722" spans="1:2" x14ac:dyDescent="0.25">
      <c r="A14722" t="s">
        <v>5780</v>
      </c>
      <c r="B14722" t="s">
        <v>8433</v>
      </c>
    </row>
    <row r="14723" spans="1:2" x14ac:dyDescent="0.25">
      <c r="A14723" t="s">
        <v>3515</v>
      </c>
      <c r="B14723" t="s">
        <v>8433</v>
      </c>
    </row>
    <row r="14724" spans="1:2" x14ac:dyDescent="0.25">
      <c r="A14724" t="s">
        <v>6228</v>
      </c>
      <c r="B14724" t="s">
        <v>3515</v>
      </c>
    </row>
    <row r="14725" spans="1:2" x14ac:dyDescent="0.25">
      <c r="A14725" t="s">
        <v>7967</v>
      </c>
      <c r="B14725" t="s">
        <v>6228</v>
      </c>
    </row>
    <row r="14726" spans="1:2" x14ac:dyDescent="0.25">
      <c r="A14726" t="s">
        <v>5396</v>
      </c>
      <c r="B14726" t="s">
        <v>3515</v>
      </c>
    </row>
    <row r="14727" spans="1:2" x14ac:dyDescent="0.25">
      <c r="A14727" t="s">
        <v>4527</v>
      </c>
      <c r="B14727" t="s">
        <v>3515</v>
      </c>
    </row>
    <row r="14728" spans="1:2" x14ac:dyDescent="0.25">
      <c r="A14728" t="s">
        <v>3521</v>
      </c>
      <c r="B14728" t="s">
        <v>3515</v>
      </c>
    </row>
    <row r="14729" spans="1:2" x14ac:dyDescent="0.25">
      <c r="A14729" t="s">
        <v>5397</v>
      </c>
      <c r="B14729" t="s">
        <v>3515</v>
      </c>
    </row>
    <row r="14730" spans="1:2" x14ac:dyDescent="0.25">
      <c r="A14730" t="s">
        <v>479</v>
      </c>
      <c r="B14730" t="s">
        <v>3515</v>
      </c>
    </row>
    <row r="14731" spans="1:2" x14ac:dyDescent="0.25">
      <c r="A14731" t="s">
        <v>5385</v>
      </c>
      <c r="B14731" t="s">
        <v>8433</v>
      </c>
    </row>
    <row r="14732" spans="1:2" x14ac:dyDescent="0.25">
      <c r="A14732" t="s">
        <v>6725</v>
      </c>
      <c r="B14732" t="s">
        <v>5385</v>
      </c>
    </row>
    <row r="14733" spans="1:2" x14ac:dyDescent="0.25">
      <c r="A14733" t="s">
        <v>7330</v>
      </c>
      <c r="B14733" t="s">
        <v>5385</v>
      </c>
    </row>
    <row r="14734" spans="1:2" x14ac:dyDescent="0.25">
      <c r="A14734" t="s">
        <v>7954</v>
      </c>
      <c r="B14734" t="s">
        <v>5385</v>
      </c>
    </row>
    <row r="14735" spans="1:2" x14ac:dyDescent="0.25">
      <c r="A14735" t="s">
        <v>9682</v>
      </c>
      <c r="B14735" t="s">
        <v>5385</v>
      </c>
    </row>
    <row r="14736" spans="1:2" x14ac:dyDescent="0.25">
      <c r="A14736" t="s">
        <v>7331</v>
      </c>
      <c r="B14736" t="s">
        <v>5385</v>
      </c>
    </row>
    <row r="14737" spans="1:2" x14ac:dyDescent="0.25">
      <c r="A14737" t="s">
        <v>3092</v>
      </c>
      <c r="B14737" t="s">
        <v>5385</v>
      </c>
    </row>
    <row r="14738" spans="1:2" x14ac:dyDescent="0.25">
      <c r="A14738" t="s">
        <v>4025</v>
      </c>
      <c r="B14738" t="s">
        <v>5385</v>
      </c>
    </row>
    <row r="14739" spans="1:2" x14ac:dyDescent="0.25">
      <c r="A14739" t="s">
        <v>9689</v>
      </c>
      <c r="B14739" t="s">
        <v>4025</v>
      </c>
    </row>
    <row r="14740" spans="1:2" x14ac:dyDescent="0.25">
      <c r="A14740" t="s">
        <v>5793</v>
      </c>
      <c r="B14740" t="s">
        <v>5385</v>
      </c>
    </row>
    <row r="14741" spans="1:2" x14ac:dyDescent="0.25">
      <c r="A14741" t="s">
        <v>5404</v>
      </c>
      <c r="B14741" t="s">
        <v>8433</v>
      </c>
    </row>
    <row r="14742" spans="1:2" x14ac:dyDescent="0.25">
      <c r="A14742" t="s">
        <v>6219</v>
      </c>
      <c r="B14742" t="s">
        <v>5404</v>
      </c>
    </row>
    <row r="14743" spans="1:2" x14ac:dyDescent="0.25">
      <c r="A14743" t="s">
        <v>7949</v>
      </c>
      <c r="B14743" t="s">
        <v>5404</v>
      </c>
    </row>
    <row r="14744" spans="1:2" x14ac:dyDescent="0.25">
      <c r="A14744" t="s">
        <v>7329</v>
      </c>
      <c r="B14744" t="s">
        <v>7949</v>
      </c>
    </row>
    <row r="14745" spans="1:2" x14ac:dyDescent="0.25">
      <c r="A14745" t="s">
        <v>6730</v>
      </c>
      <c r="B14745" t="s">
        <v>7949</v>
      </c>
    </row>
    <row r="14746" spans="1:2" x14ac:dyDescent="0.25">
      <c r="A14746" t="s">
        <v>219</v>
      </c>
      <c r="B14746" t="s">
        <v>6730</v>
      </c>
    </row>
    <row r="14747" spans="1:2" x14ac:dyDescent="0.25">
      <c r="A14747" t="s">
        <v>2641</v>
      </c>
      <c r="B14747" t="s">
        <v>6730</v>
      </c>
    </row>
    <row r="14748" spans="1:2" x14ac:dyDescent="0.25">
      <c r="A14748" t="s">
        <v>3093</v>
      </c>
      <c r="B14748" t="s">
        <v>5404</v>
      </c>
    </row>
    <row r="14749" spans="1:2" x14ac:dyDescent="0.25">
      <c r="A14749" t="s">
        <v>4026</v>
      </c>
      <c r="B14749" t="s">
        <v>5404</v>
      </c>
    </row>
    <row r="14750" spans="1:2" x14ac:dyDescent="0.25">
      <c r="A14750" t="s">
        <v>9690</v>
      </c>
      <c r="B14750" t="s">
        <v>4026</v>
      </c>
    </row>
    <row r="14751" spans="1:2" x14ac:dyDescent="0.25">
      <c r="A14751" t="s">
        <v>3525</v>
      </c>
      <c r="B14751" t="s">
        <v>5404</v>
      </c>
    </row>
    <row r="14752" spans="1:2" x14ac:dyDescent="0.25">
      <c r="A14752" t="s">
        <v>11030</v>
      </c>
      <c r="B14752" t="s">
        <v>5404</v>
      </c>
    </row>
    <row r="14753" spans="1:2" x14ac:dyDescent="0.25">
      <c r="A14753" t="s">
        <v>8868</v>
      </c>
      <c r="B14753" t="s">
        <v>5404</v>
      </c>
    </row>
    <row r="14754" spans="1:2" x14ac:dyDescent="0.25">
      <c r="A14754" t="s">
        <v>175</v>
      </c>
      <c r="B14754" t="s">
        <v>8860</v>
      </c>
    </row>
    <row r="14755" spans="1:2" x14ac:dyDescent="0.25">
      <c r="A14755" t="s">
        <v>176</v>
      </c>
      <c r="B14755" t="s">
        <v>175</v>
      </c>
    </row>
    <row r="14756" spans="1:2" x14ac:dyDescent="0.25">
      <c r="A14756" t="s">
        <v>5394</v>
      </c>
      <c r="B14756" t="s">
        <v>175</v>
      </c>
    </row>
    <row r="14757" spans="1:2" x14ac:dyDescent="0.25">
      <c r="A14757" t="s">
        <v>7957</v>
      </c>
      <c r="B14757" t="s">
        <v>175</v>
      </c>
    </row>
    <row r="14758" spans="1:2" x14ac:dyDescent="0.25">
      <c r="A14758" t="s">
        <v>7968</v>
      </c>
      <c r="B14758" t="s">
        <v>175</v>
      </c>
    </row>
    <row r="14759" spans="1:2" x14ac:dyDescent="0.25">
      <c r="A14759" t="s">
        <v>7952</v>
      </c>
      <c r="B14759" t="s">
        <v>7968</v>
      </c>
    </row>
    <row r="14760" spans="1:2" x14ac:dyDescent="0.25">
      <c r="A14760" t="s">
        <v>4940</v>
      </c>
      <c r="B14760" t="s">
        <v>7952</v>
      </c>
    </row>
    <row r="14761" spans="1:2" x14ac:dyDescent="0.25">
      <c r="A14761" t="s">
        <v>6701</v>
      </c>
      <c r="B14761" t="s">
        <v>4940</v>
      </c>
    </row>
    <row r="14762" spans="1:2" x14ac:dyDescent="0.25">
      <c r="A14762" t="s">
        <v>6702</v>
      </c>
      <c r="B14762" t="s">
        <v>4940</v>
      </c>
    </row>
    <row r="14763" spans="1:2" x14ac:dyDescent="0.25">
      <c r="A14763" t="s">
        <v>358</v>
      </c>
      <c r="B14763" t="s">
        <v>4940</v>
      </c>
    </row>
    <row r="14764" spans="1:2" x14ac:dyDescent="0.25">
      <c r="A14764" t="s">
        <v>3075</v>
      </c>
      <c r="B14764" t="s">
        <v>4940</v>
      </c>
    </row>
    <row r="14765" spans="1:2" x14ac:dyDescent="0.25">
      <c r="A14765" t="s">
        <v>181</v>
      </c>
      <c r="B14765" t="s">
        <v>4940</v>
      </c>
    </row>
    <row r="14766" spans="1:2" x14ac:dyDescent="0.25">
      <c r="A14766" t="s">
        <v>182</v>
      </c>
      <c r="B14766" t="s">
        <v>4940</v>
      </c>
    </row>
    <row r="14767" spans="1:2" x14ac:dyDescent="0.25">
      <c r="A14767" t="s">
        <v>359</v>
      </c>
      <c r="B14767" t="s">
        <v>4940</v>
      </c>
    </row>
    <row r="14768" spans="1:2" x14ac:dyDescent="0.25">
      <c r="A14768" t="s">
        <v>183</v>
      </c>
      <c r="B14768" t="s">
        <v>4940</v>
      </c>
    </row>
    <row r="14769" spans="1:2" x14ac:dyDescent="0.25">
      <c r="A14769" t="s">
        <v>11354</v>
      </c>
      <c r="B14769" t="s">
        <v>4940</v>
      </c>
    </row>
    <row r="14770" spans="1:2" x14ac:dyDescent="0.25">
      <c r="A14770" t="s">
        <v>3519</v>
      </c>
      <c r="B14770" t="s">
        <v>4940</v>
      </c>
    </row>
    <row r="14771" spans="1:2" x14ac:dyDescent="0.25">
      <c r="A14771" t="s">
        <v>8452</v>
      </c>
      <c r="B14771" t="s">
        <v>3519</v>
      </c>
    </row>
    <row r="14772" spans="1:2" x14ac:dyDescent="0.25">
      <c r="A14772" t="s">
        <v>3099</v>
      </c>
      <c r="B14772" t="s">
        <v>7952</v>
      </c>
    </row>
    <row r="14773" spans="1:2" x14ac:dyDescent="0.25">
      <c r="A14773" t="s">
        <v>9280</v>
      </c>
      <c r="B14773" t="s">
        <v>3099</v>
      </c>
    </row>
    <row r="14774" spans="1:2" x14ac:dyDescent="0.25">
      <c r="A14774" t="s">
        <v>7326</v>
      </c>
      <c r="B14774" t="s">
        <v>7968</v>
      </c>
    </row>
    <row r="14775" spans="1:2" x14ac:dyDescent="0.25">
      <c r="A14775" t="s">
        <v>4534</v>
      </c>
      <c r="B14775" t="s">
        <v>7326</v>
      </c>
    </row>
    <row r="14776" spans="1:2" x14ac:dyDescent="0.25">
      <c r="A14776" t="s">
        <v>6703</v>
      </c>
      <c r="B14776" t="s">
        <v>4534</v>
      </c>
    </row>
    <row r="14777" spans="1:2" x14ac:dyDescent="0.25">
      <c r="A14777" t="s">
        <v>6704</v>
      </c>
      <c r="B14777" t="s">
        <v>4534</v>
      </c>
    </row>
    <row r="14778" spans="1:2" x14ac:dyDescent="0.25">
      <c r="A14778" t="s">
        <v>360</v>
      </c>
      <c r="B14778" t="s">
        <v>4534</v>
      </c>
    </row>
    <row r="14779" spans="1:2" x14ac:dyDescent="0.25">
      <c r="A14779" t="s">
        <v>3076</v>
      </c>
      <c r="B14779" t="s">
        <v>4534</v>
      </c>
    </row>
    <row r="14780" spans="1:2" x14ac:dyDescent="0.25">
      <c r="A14780" t="s">
        <v>184</v>
      </c>
      <c r="B14780" t="s">
        <v>4534</v>
      </c>
    </row>
    <row r="14781" spans="1:2" x14ac:dyDescent="0.25">
      <c r="A14781" t="s">
        <v>185</v>
      </c>
      <c r="B14781" t="s">
        <v>4534</v>
      </c>
    </row>
    <row r="14782" spans="1:2" x14ac:dyDescent="0.25">
      <c r="A14782" t="s">
        <v>361</v>
      </c>
      <c r="B14782" t="s">
        <v>4534</v>
      </c>
    </row>
    <row r="14783" spans="1:2" x14ac:dyDescent="0.25">
      <c r="A14783" t="s">
        <v>186</v>
      </c>
      <c r="B14783" t="s">
        <v>4534</v>
      </c>
    </row>
    <row r="14784" spans="1:2" x14ac:dyDescent="0.25">
      <c r="A14784" t="s">
        <v>11355</v>
      </c>
      <c r="B14784" t="s">
        <v>4534</v>
      </c>
    </row>
    <row r="14785" spans="1:2" x14ac:dyDescent="0.25">
      <c r="A14785" t="s">
        <v>4016</v>
      </c>
      <c r="B14785" t="s">
        <v>4534</v>
      </c>
    </row>
    <row r="14786" spans="1:2" x14ac:dyDescent="0.25">
      <c r="A14786" t="s">
        <v>8451</v>
      </c>
      <c r="B14786" t="s">
        <v>4016</v>
      </c>
    </row>
    <row r="14787" spans="1:2" x14ac:dyDescent="0.25">
      <c r="A14787" t="s">
        <v>2646</v>
      </c>
      <c r="B14787" t="s">
        <v>7326</v>
      </c>
    </row>
    <row r="14788" spans="1:2" x14ac:dyDescent="0.25">
      <c r="A14788" t="s">
        <v>4558</v>
      </c>
      <c r="B14788" t="s">
        <v>2646</v>
      </c>
    </row>
    <row r="14789" spans="1:2" x14ac:dyDescent="0.25">
      <c r="A14789" t="s">
        <v>8861</v>
      </c>
      <c r="B14789" t="s">
        <v>7968</v>
      </c>
    </row>
    <row r="14790" spans="1:2" x14ac:dyDescent="0.25">
      <c r="A14790" t="s">
        <v>13438</v>
      </c>
      <c r="B14790" t="s">
        <v>8861</v>
      </c>
    </row>
    <row r="14791" spans="1:2" x14ac:dyDescent="0.25">
      <c r="A14791" t="s">
        <v>5783</v>
      </c>
      <c r="B14791" t="s">
        <v>8861</v>
      </c>
    </row>
    <row r="14792" spans="1:2" x14ac:dyDescent="0.25">
      <c r="A14792" t="s">
        <v>8440</v>
      </c>
      <c r="B14792" t="s">
        <v>5783</v>
      </c>
    </row>
    <row r="14793" spans="1:2" x14ac:dyDescent="0.25">
      <c r="A14793" t="s">
        <v>4931</v>
      </c>
      <c r="B14793" t="s">
        <v>5783</v>
      </c>
    </row>
    <row r="14794" spans="1:2" x14ac:dyDescent="0.25">
      <c r="A14794" t="s">
        <v>9680</v>
      </c>
      <c r="B14794" t="s">
        <v>5783</v>
      </c>
    </row>
    <row r="14795" spans="1:2" x14ac:dyDescent="0.25">
      <c r="A14795" t="s">
        <v>11957</v>
      </c>
      <c r="B14795" t="s">
        <v>5783</v>
      </c>
    </row>
    <row r="14796" spans="1:2" x14ac:dyDescent="0.25">
      <c r="A14796" t="s">
        <v>9263</v>
      </c>
      <c r="B14796" t="s">
        <v>5783</v>
      </c>
    </row>
    <row r="14797" spans="1:2" x14ac:dyDescent="0.25">
      <c r="A14797" t="s">
        <v>8862</v>
      </c>
      <c r="B14797" t="s">
        <v>5783</v>
      </c>
    </row>
    <row r="14798" spans="1:2" x14ac:dyDescent="0.25">
      <c r="A14798" t="s">
        <v>1643</v>
      </c>
      <c r="B14798" t="s">
        <v>5783</v>
      </c>
    </row>
    <row r="14799" spans="1:2" x14ac:dyDescent="0.25">
      <c r="A14799" t="s">
        <v>4020</v>
      </c>
      <c r="B14799" t="s">
        <v>8861</v>
      </c>
    </row>
    <row r="14800" spans="1:2" x14ac:dyDescent="0.25">
      <c r="A14800" t="s">
        <v>11818</v>
      </c>
      <c r="B14800" t="s">
        <v>4020</v>
      </c>
    </row>
    <row r="14801" spans="1:2" x14ac:dyDescent="0.25">
      <c r="A14801" t="s">
        <v>232</v>
      </c>
      <c r="B14801" t="s">
        <v>8861</v>
      </c>
    </row>
    <row r="14802" spans="1:2" x14ac:dyDescent="0.25">
      <c r="A14802" t="s">
        <v>5391</v>
      </c>
      <c r="B14802" t="s">
        <v>7968</v>
      </c>
    </row>
    <row r="14803" spans="1:2" x14ac:dyDescent="0.25">
      <c r="A14803" t="s">
        <v>2647</v>
      </c>
      <c r="B14803" t="s">
        <v>5391</v>
      </c>
    </row>
    <row r="14804" spans="1:2" x14ac:dyDescent="0.25">
      <c r="A14804" t="s">
        <v>6705</v>
      </c>
      <c r="B14804" t="s">
        <v>2647</v>
      </c>
    </row>
    <row r="14805" spans="1:2" x14ac:dyDescent="0.25">
      <c r="A14805" t="s">
        <v>5784</v>
      </c>
      <c r="B14805" t="s">
        <v>6705</v>
      </c>
    </row>
    <row r="14806" spans="1:2" x14ac:dyDescent="0.25">
      <c r="A14806" t="s">
        <v>362</v>
      </c>
      <c r="B14806" t="s">
        <v>6705</v>
      </c>
    </row>
    <row r="14807" spans="1:2" x14ac:dyDescent="0.25">
      <c r="A14807" t="s">
        <v>8441</v>
      </c>
      <c r="B14807" t="s">
        <v>362</v>
      </c>
    </row>
    <row r="14808" spans="1:2" x14ac:dyDescent="0.25">
      <c r="A14808" t="s">
        <v>8442</v>
      </c>
      <c r="B14808" t="s">
        <v>362</v>
      </c>
    </row>
    <row r="14809" spans="1:2" x14ac:dyDescent="0.25">
      <c r="A14809" t="s">
        <v>3516</v>
      </c>
      <c r="B14809" t="s">
        <v>6705</v>
      </c>
    </row>
    <row r="14810" spans="1:2" x14ac:dyDescent="0.25">
      <c r="A14810" t="s">
        <v>8443</v>
      </c>
      <c r="B14810" t="s">
        <v>3516</v>
      </c>
    </row>
    <row r="14811" spans="1:2" x14ac:dyDescent="0.25">
      <c r="A14811" t="s">
        <v>8444</v>
      </c>
      <c r="B14811" t="s">
        <v>3516</v>
      </c>
    </row>
    <row r="14812" spans="1:2" x14ac:dyDescent="0.25">
      <c r="A14812" t="s">
        <v>8445</v>
      </c>
      <c r="B14812" t="s">
        <v>3516</v>
      </c>
    </row>
    <row r="14813" spans="1:2" x14ac:dyDescent="0.25">
      <c r="A14813" t="s">
        <v>6706</v>
      </c>
      <c r="B14813" t="s">
        <v>2647</v>
      </c>
    </row>
    <row r="14814" spans="1:2" x14ac:dyDescent="0.25">
      <c r="A14814" t="s">
        <v>363</v>
      </c>
      <c r="B14814" t="s">
        <v>2647</v>
      </c>
    </row>
    <row r="14815" spans="1:2" x14ac:dyDescent="0.25">
      <c r="A14815" t="s">
        <v>3077</v>
      </c>
      <c r="B14815" t="s">
        <v>2647</v>
      </c>
    </row>
    <row r="14816" spans="1:2" x14ac:dyDescent="0.25">
      <c r="A14816" t="s">
        <v>187</v>
      </c>
      <c r="B14816" t="s">
        <v>2647</v>
      </c>
    </row>
    <row r="14817" spans="1:2" x14ac:dyDescent="0.25">
      <c r="A14817" t="s">
        <v>188</v>
      </c>
      <c r="B14817" t="s">
        <v>2647</v>
      </c>
    </row>
    <row r="14818" spans="1:2" x14ac:dyDescent="0.25">
      <c r="A14818" t="s">
        <v>364</v>
      </c>
      <c r="B14818" t="s">
        <v>2647</v>
      </c>
    </row>
    <row r="14819" spans="1:2" x14ac:dyDescent="0.25">
      <c r="A14819" t="s">
        <v>189</v>
      </c>
      <c r="B14819" t="s">
        <v>2647</v>
      </c>
    </row>
    <row r="14820" spans="1:2" x14ac:dyDescent="0.25">
      <c r="A14820" t="s">
        <v>11357</v>
      </c>
      <c r="B14820" t="s">
        <v>2647</v>
      </c>
    </row>
    <row r="14821" spans="1:2" x14ac:dyDescent="0.25">
      <c r="A14821" t="s">
        <v>5392</v>
      </c>
      <c r="B14821" t="s">
        <v>11357</v>
      </c>
    </row>
    <row r="14822" spans="1:2" x14ac:dyDescent="0.25">
      <c r="A14822" t="s">
        <v>3085</v>
      </c>
      <c r="B14822" t="s">
        <v>2647</v>
      </c>
    </row>
    <row r="14823" spans="1:2" x14ac:dyDescent="0.25">
      <c r="A14823" t="s">
        <v>8458</v>
      </c>
      <c r="B14823" t="s">
        <v>3085</v>
      </c>
    </row>
    <row r="14824" spans="1:2" x14ac:dyDescent="0.25">
      <c r="A14824" t="s">
        <v>383</v>
      </c>
      <c r="B14824" t="s">
        <v>5391</v>
      </c>
    </row>
    <row r="14825" spans="1:2" x14ac:dyDescent="0.25">
      <c r="A14825" t="s">
        <v>11033</v>
      </c>
      <c r="B14825" t="s">
        <v>383</v>
      </c>
    </row>
    <row r="14826" spans="1:2" x14ac:dyDescent="0.25">
      <c r="A14826" t="s">
        <v>4562</v>
      </c>
      <c r="B14826" t="s">
        <v>383</v>
      </c>
    </row>
    <row r="14827" spans="1:2" x14ac:dyDescent="0.25">
      <c r="A14827" t="s">
        <v>16368</v>
      </c>
      <c r="B14827" t="s">
        <v>5391</v>
      </c>
    </row>
    <row r="14828" spans="1:2" x14ac:dyDescent="0.25">
      <c r="A14828" t="s">
        <v>2246</v>
      </c>
      <c r="B14828" t="s">
        <v>8860</v>
      </c>
    </row>
    <row r="14829" spans="1:2" x14ac:dyDescent="0.25">
      <c r="A14829" t="s">
        <v>8864</v>
      </c>
      <c r="B14829" t="s">
        <v>2246</v>
      </c>
    </row>
    <row r="14830" spans="1:2" x14ac:dyDescent="0.25">
      <c r="A14830" t="s">
        <v>223</v>
      </c>
      <c r="B14830" t="s">
        <v>2246</v>
      </c>
    </row>
    <row r="14831" spans="1:2" x14ac:dyDescent="0.25">
      <c r="A14831" t="s">
        <v>7964</v>
      </c>
      <c r="B14831" t="s">
        <v>2246</v>
      </c>
    </row>
    <row r="14832" spans="1:2" x14ac:dyDescent="0.25">
      <c r="A14832" t="s">
        <v>13589</v>
      </c>
      <c r="B14832" t="s">
        <v>7964</v>
      </c>
    </row>
    <row r="14833" spans="1:2" x14ac:dyDescent="0.25">
      <c r="A14833" t="s">
        <v>1645</v>
      </c>
      <c r="B14833" t="s">
        <v>2246</v>
      </c>
    </row>
    <row r="14834" spans="1:2" x14ac:dyDescent="0.25">
      <c r="A14834" t="s">
        <v>5795</v>
      </c>
      <c r="B14834" t="s">
        <v>2246</v>
      </c>
    </row>
    <row r="14835" spans="1:2" x14ac:dyDescent="0.25">
      <c r="A14835" t="s">
        <v>5790</v>
      </c>
      <c r="B14835" t="s">
        <v>5795</v>
      </c>
    </row>
    <row r="14836" spans="1:2" x14ac:dyDescent="0.25">
      <c r="A14836" t="s">
        <v>13590</v>
      </c>
      <c r="B14836" t="s">
        <v>5795</v>
      </c>
    </row>
    <row r="14837" spans="1:2" x14ac:dyDescent="0.25">
      <c r="A14837" t="s">
        <v>7955</v>
      </c>
      <c r="B14837" t="s">
        <v>2246</v>
      </c>
    </row>
    <row r="14838" spans="1:2" x14ac:dyDescent="0.25">
      <c r="A14838" t="s">
        <v>13586</v>
      </c>
      <c r="B14838" t="s">
        <v>7955</v>
      </c>
    </row>
    <row r="14839" spans="1:2" x14ac:dyDescent="0.25">
      <c r="A14839" t="s">
        <v>4530</v>
      </c>
      <c r="B14839" t="s">
        <v>7955</v>
      </c>
    </row>
    <row r="14840" spans="1:2" x14ac:dyDescent="0.25">
      <c r="A14840" t="s">
        <v>7336</v>
      </c>
      <c r="B14840" t="s">
        <v>7955</v>
      </c>
    </row>
    <row r="14841" spans="1:2" x14ac:dyDescent="0.25">
      <c r="A14841" t="s">
        <v>3523</v>
      </c>
      <c r="B14841" t="s">
        <v>7955</v>
      </c>
    </row>
    <row r="14842" spans="1:2" x14ac:dyDescent="0.25">
      <c r="A14842" t="s">
        <v>7334</v>
      </c>
      <c r="B14842" t="s">
        <v>7955</v>
      </c>
    </row>
    <row r="14843" spans="1:2" x14ac:dyDescent="0.25">
      <c r="A14843" t="s">
        <v>13588</v>
      </c>
      <c r="B14843" t="s">
        <v>7955</v>
      </c>
    </row>
    <row r="14844" spans="1:2" x14ac:dyDescent="0.25">
      <c r="A14844" t="s">
        <v>13439</v>
      </c>
      <c r="B14844" t="s">
        <v>2246</v>
      </c>
    </row>
    <row r="14845" spans="1:2" x14ac:dyDescent="0.25">
      <c r="A14845" t="s">
        <v>13587</v>
      </c>
      <c r="B14845" t="s">
        <v>2246</v>
      </c>
    </row>
    <row r="14846" spans="1:2" x14ac:dyDescent="0.25">
      <c r="A14846" t="s">
        <v>8872</v>
      </c>
      <c r="B14846" t="s">
        <v>13587</v>
      </c>
    </row>
    <row r="14847" spans="1:2" x14ac:dyDescent="0.25">
      <c r="A14847" t="s">
        <v>11366</v>
      </c>
      <c r="B14847" t="s">
        <v>8860</v>
      </c>
    </row>
    <row r="14848" spans="1:2" x14ac:dyDescent="0.25">
      <c r="A14848" t="s">
        <v>6217</v>
      </c>
      <c r="B14848" t="s">
        <v>11366</v>
      </c>
    </row>
    <row r="14849" spans="1:2" x14ac:dyDescent="0.25">
      <c r="A14849" t="s">
        <v>6682</v>
      </c>
      <c r="B14849" t="s">
        <v>11366</v>
      </c>
    </row>
    <row r="14850" spans="1:2" x14ac:dyDescent="0.25">
      <c r="A14850" t="s">
        <v>6220</v>
      </c>
      <c r="B14850" t="s">
        <v>11366</v>
      </c>
    </row>
    <row r="14851" spans="1:2" x14ac:dyDescent="0.25">
      <c r="A14851" t="s">
        <v>7332</v>
      </c>
      <c r="B14851" t="s">
        <v>6220</v>
      </c>
    </row>
    <row r="14852" spans="1:2" x14ac:dyDescent="0.25">
      <c r="A14852" t="s">
        <v>9268</v>
      </c>
      <c r="B14852" t="s">
        <v>11366</v>
      </c>
    </row>
    <row r="14853" spans="1:2" x14ac:dyDescent="0.25">
      <c r="A14853" t="s">
        <v>7963</v>
      </c>
      <c r="B14853" t="s">
        <v>8860</v>
      </c>
    </row>
    <row r="14854" spans="1:2" x14ac:dyDescent="0.25">
      <c r="A14854" t="s">
        <v>6734</v>
      </c>
      <c r="B14854" t="s">
        <v>7963</v>
      </c>
    </row>
    <row r="14855" spans="1:2" x14ac:dyDescent="0.25">
      <c r="A14855" t="s">
        <v>3524</v>
      </c>
      <c r="B14855" t="s">
        <v>8860</v>
      </c>
    </row>
    <row r="14856" spans="1:2" x14ac:dyDescent="0.25">
      <c r="A14856" t="s">
        <v>7337</v>
      </c>
      <c r="B14856" t="s">
        <v>3524</v>
      </c>
    </row>
    <row r="14857" spans="1:2" x14ac:dyDescent="0.25">
      <c r="A14857" t="s">
        <v>12515</v>
      </c>
      <c r="B14857" t="s">
        <v>3524</v>
      </c>
    </row>
    <row r="14858" spans="1:2" x14ac:dyDescent="0.25">
      <c r="A14858" t="s">
        <v>4532</v>
      </c>
      <c r="B14858" t="s">
        <v>3524</v>
      </c>
    </row>
    <row r="14859" spans="1:2" x14ac:dyDescent="0.25">
      <c r="A14859" t="s">
        <v>10692</v>
      </c>
      <c r="B14859" t="s">
        <v>3524</v>
      </c>
    </row>
    <row r="14860" spans="1:2" x14ac:dyDescent="0.25">
      <c r="A14860" t="s">
        <v>8465</v>
      </c>
      <c r="B14860" t="s">
        <v>10692</v>
      </c>
    </row>
    <row r="14861" spans="1:2" x14ac:dyDescent="0.25">
      <c r="A14861" t="s">
        <v>5796</v>
      </c>
      <c r="B14861" t="s">
        <v>8465</v>
      </c>
    </row>
    <row r="14862" spans="1:2" x14ac:dyDescent="0.25">
      <c r="A14862" t="s">
        <v>2248</v>
      </c>
      <c r="B14862" t="s">
        <v>8465</v>
      </c>
    </row>
    <row r="14863" spans="1:2" x14ac:dyDescent="0.25">
      <c r="A14863" t="s">
        <v>1646</v>
      </c>
      <c r="B14863" t="s">
        <v>10692</v>
      </c>
    </row>
    <row r="14864" spans="1:2" x14ac:dyDescent="0.25">
      <c r="A14864" t="s">
        <v>13835</v>
      </c>
      <c r="B14864" t="s">
        <v>8860</v>
      </c>
    </row>
    <row r="14865" spans="1:2" x14ac:dyDescent="0.25">
      <c r="A14865" t="s">
        <v>13836</v>
      </c>
      <c r="B14865" t="s">
        <v>13835</v>
      </c>
    </row>
    <row r="14866" spans="1:2" x14ac:dyDescent="0.25">
      <c r="A14866" t="s">
        <v>13837</v>
      </c>
      <c r="B14866" t="s">
        <v>13835</v>
      </c>
    </row>
    <row r="14867" spans="1:2" x14ac:dyDescent="0.25">
      <c r="A14867" t="s">
        <v>13838</v>
      </c>
      <c r="B14867" t="s">
        <v>13835</v>
      </c>
    </row>
    <row r="14868" spans="1:2" x14ac:dyDescent="0.25">
      <c r="A14868" t="s">
        <v>13839</v>
      </c>
      <c r="B14868" t="s">
        <v>13835</v>
      </c>
    </row>
    <row r="14869" spans="1:2" x14ac:dyDescent="0.25">
      <c r="A14869" t="s">
        <v>13840</v>
      </c>
      <c r="B14869" t="s">
        <v>13835</v>
      </c>
    </row>
    <row r="14870" spans="1:2" x14ac:dyDescent="0.25">
      <c r="A14870" t="s">
        <v>16369</v>
      </c>
      <c r="B14870" t="s">
        <v>8860</v>
      </c>
    </row>
    <row r="14871" spans="1:2" x14ac:dyDescent="0.25">
      <c r="A14871" t="s">
        <v>5395</v>
      </c>
      <c r="B14871" t="s">
        <v>12512</v>
      </c>
    </row>
    <row r="14872" spans="1:2" x14ac:dyDescent="0.25">
      <c r="A14872" t="s">
        <v>5794</v>
      </c>
      <c r="B14872" t="s">
        <v>5395</v>
      </c>
    </row>
    <row r="14873" spans="1:2" x14ac:dyDescent="0.25">
      <c r="A14873" t="s">
        <v>4934</v>
      </c>
      <c r="B14873" t="s">
        <v>5794</v>
      </c>
    </row>
    <row r="14874" spans="1:2" x14ac:dyDescent="0.25">
      <c r="A14874" t="s">
        <v>4935</v>
      </c>
      <c r="B14874" t="s">
        <v>5794</v>
      </c>
    </row>
    <row r="14875" spans="1:2" x14ac:dyDescent="0.25">
      <c r="A14875" t="s">
        <v>6731</v>
      </c>
      <c r="B14875" t="s">
        <v>5794</v>
      </c>
    </row>
    <row r="14876" spans="1:2" x14ac:dyDescent="0.25">
      <c r="A14876" t="s">
        <v>14768</v>
      </c>
      <c r="B14876" t="s">
        <v>5794</v>
      </c>
    </row>
    <row r="14877" spans="1:2" x14ac:dyDescent="0.25">
      <c r="A14877" t="s">
        <v>15119</v>
      </c>
      <c r="B14877" t="s">
        <v>5794</v>
      </c>
    </row>
    <row r="14878" spans="1:2" x14ac:dyDescent="0.25">
      <c r="A14878" t="s">
        <v>15120</v>
      </c>
      <c r="B14878" t="s">
        <v>5794</v>
      </c>
    </row>
    <row r="14879" spans="1:2" x14ac:dyDescent="0.25">
      <c r="A14879" t="s">
        <v>15121</v>
      </c>
      <c r="B14879" t="s">
        <v>5794</v>
      </c>
    </row>
    <row r="14880" spans="1:2" x14ac:dyDescent="0.25">
      <c r="A14880" t="s">
        <v>15122</v>
      </c>
      <c r="B14880" t="s">
        <v>5794</v>
      </c>
    </row>
    <row r="14881" spans="1:2" x14ac:dyDescent="0.25">
      <c r="A14881" t="s">
        <v>15123</v>
      </c>
      <c r="B14881" t="s">
        <v>5794</v>
      </c>
    </row>
    <row r="14882" spans="1:2" x14ac:dyDescent="0.25">
      <c r="A14882" t="s">
        <v>10178</v>
      </c>
      <c r="B14882" t="s">
        <v>12512</v>
      </c>
    </row>
    <row r="14883" spans="1:2" x14ac:dyDescent="0.25">
      <c r="A14883" t="s">
        <v>4531</v>
      </c>
      <c r="B14883" t="s">
        <v>10178</v>
      </c>
    </row>
    <row r="14884" spans="1:2" x14ac:dyDescent="0.25">
      <c r="A14884" t="s">
        <v>11963</v>
      </c>
      <c r="B14884" t="s">
        <v>4531</v>
      </c>
    </row>
    <row r="14885" spans="1:2" x14ac:dyDescent="0.25">
      <c r="A14885" t="s">
        <v>13445</v>
      </c>
      <c r="B14885" t="s">
        <v>11963</v>
      </c>
    </row>
    <row r="14886" spans="1:2" x14ac:dyDescent="0.25">
      <c r="A14886" t="s">
        <v>13446</v>
      </c>
      <c r="B14886" t="s">
        <v>11963</v>
      </c>
    </row>
    <row r="14887" spans="1:2" x14ac:dyDescent="0.25">
      <c r="A14887" t="s">
        <v>13448</v>
      </c>
      <c r="B14887" t="s">
        <v>11963</v>
      </c>
    </row>
    <row r="14888" spans="1:2" x14ac:dyDescent="0.25">
      <c r="A14888" t="s">
        <v>4027</v>
      </c>
      <c r="B14888" t="s">
        <v>4531</v>
      </c>
    </row>
    <row r="14889" spans="1:2" x14ac:dyDescent="0.25">
      <c r="A14889" t="s">
        <v>4028</v>
      </c>
      <c r="B14889" t="s">
        <v>4531</v>
      </c>
    </row>
    <row r="14890" spans="1:2" x14ac:dyDescent="0.25">
      <c r="A14890" t="s">
        <v>4029</v>
      </c>
      <c r="B14890" t="s">
        <v>4531</v>
      </c>
    </row>
    <row r="14891" spans="1:2" x14ac:dyDescent="0.25">
      <c r="A14891" t="s">
        <v>5416</v>
      </c>
      <c r="B14891" t="s">
        <v>4531</v>
      </c>
    </row>
    <row r="14892" spans="1:2" x14ac:dyDescent="0.25">
      <c r="A14892" t="s">
        <v>6743</v>
      </c>
      <c r="B14892" t="s">
        <v>4531</v>
      </c>
    </row>
    <row r="14893" spans="1:2" x14ac:dyDescent="0.25">
      <c r="A14893" t="s">
        <v>490</v>
      </c>
      <c r="B14893" t="s">
        <v>4531</v>
      </c>
    </row>
    <row r="14894" spans="1:2" x14ac:dyDescent="0.25">
      <c r="A14894" t="s">
        <v>13449</v>
      </c>
      <c r="B14894" t="s">
        <v>4531</v>
      </c>
    </row>
    <row r="14895" spans="1:2" x14ac:dyDescent="0.25">
      <c r="A14895" t="s">
        <v>225</v>
      </c>
      <c r="B14895" t="s">
        <v>10178</v>
      </c>
    </row>
    <row r="14896" spans="1:2" x14ac:dyDescent="0.25">
      <c r="A14896" t="s">
        <v>11964</v>
      </c>
      <c r="B14896" t="s">
        <v>225</v>
      </c>
    </row>
    <row r="14897" spans="1:2" x14ac:dyDescent="0.25">
      <c r="A14897" t="s">
        <v>13450</v>
      </c>
      <c r="B14897" t="s">
        <v>11964</v>
      </c>
    </row>
    <row r="14898" spans="1:2" x14ac:dyDescent="0.25">
      <c r="A14898" t="s">
        <v>13451</v>
      </c>
      <c r="B14898" t="s">
        <v>11964</v>
      </c>
    </row>
    <row r="14899" spans="1:2" x14ac:dyDescent="0.25">
      <c r="A14899" t="s">
        <v>13453</v>
      </c>
      <c r="B14899" t="s">
        <v>11964</v>
      </c>
    </row>
    <row r="14900" spans="1:2" x14ac:dyDescent="0.25">
      <c r="A14900" t="s">
        <v>481</v>
      </c>
      <c r="B14900" t="s">
        <v>225</v>
      </c>
    </row>
    <row r="14901" spans="1:2" x14ac:dyDescent="0.25">
      <c r="A14901" t="s">
        <v>4030</v>
      </c>
      <c r="B14901" t="s">
        <v>225</v>
      </c>
    </row>
    <row r="14902" spans="1:2" x14ac:dyDescent="0.25">
      <c r="A14902" t="s">
        <v>4031</v>
      </c>
      <c r="B14902" t="s">
        <v>225</v>
      </c>
    </row>
    <row r="14903" spans="1:2" x14ac:dyDescent="0.25">
      <c r="A14903" t="s">
        <v>5797</v>
      </c>
      <c r="B14903" t="s">
        <v>225</v>
      </c>
    </row>
    <row r="14904" spans="1:2" x14ac:dyDescent="0.25">
      <c r="A14904" t="s">
        <v>5417</v>
      </c>
      <c r="B14904" t="s">
        <v>225</v>
      </c>
    </row>
    <row r="14905" spans="1:2" x14ac:dyDescent="0.25">
      <c r="A14905" t="s">
        <v>6745</v>
      </c>
      <c r="B14905" t="s">
        <v>225</v>
      </c>
    </row>
    <row r="14906" spans="1:2" x14ac:dyDescent="0.25">
      <c r="A14906" t="s">
        <v>13454</v>
      </c>
      <c r="B14906" t="s">
        <v>225</v>
      </c>
    </row>
    <row r="14907" spans="1:2" x14ac:dyDescent="0.25">
      <c r="A14907" t="s">
        <v>13916</v>
      </c>
      <c r="B14907" t="s">
        <v>10178</v>
      </c>
    </row>
    <row r="14908" spans="1:2" x14ac:dyDescent="0.25">
      <c r="A14908" t="s">
        <v>13917</v>
      </c>
      <c r="B14908" t="s">
        <v>10178</v>
      </c>
    </row>
    <row r="14909" spans="1:2" x14ac:dyDescent="0.25">
      <c r="A14909" t="s">
        <v>14193</v>
      </c>
      <c r="B14909" t="s">
        <v>13917</v>
      </c>
    </row>
    <row r="14910" spans="1:2" x14ac:dyDescent="0.25">
      <c r="A14910" t="s">
        <v>14179</v>
      </c>
      <c r="B14910" t="s">
        <v>13917</v>
      </c>
    </row>
    <row r="14911" spans="1:2" x14ac:dyDescent="0.25">
      <c r="A14911" t="s">
        <v>14208</v>
      </c>
      <c r="B14911" t="s">
        <v>13917</v>
      </c>
    </row>
    <row r="14912" spans="1:2" x14ac:dyDescent="0.25">
      <c r="A14912" t="s">
        <v>14165</v>
      </c>
      <c r="B14912" t="s">
        <v>13917</v>
      </c>
    </row>
    <row r="14913" spans="1:2" x14ac:dyDescent="0.25">
      <c r="A14913" t="s">
        <v>13934</v>
      </c>
      <c r="B14913" t="s">
        <v>13917</v>
      </c>
    </row>
    <row r="14914" spans="1:2" x14ac:dyDescent="0.25">
      <c r="A14914" t="s">
        <v>13904</v>
      </c>
      <c r="B14914" t="s">
        <v>13917</v>
      </c>
    </row>
    <row r="14915" spans="1:2" x14ac:dyDescent="0.25">
      <c r="A14915" t="s">
        <v>13842</v>
      </c>
      <c r="B14915" t="s">
        <v>10178</v>
      </c>
    </row>
    <row r="14916" spans="1:2" x14ac:dyDescent="0.25">
      <c r="A14916" t="s">
        <v>13060</v>
      </c>
      <c r="B14916" t="s">
        <v>13842</v>
      </c>
    </row>
    <row r="14917" spans="1:2" x14ac:dyDescent="0.25">
      <c r="A14917" t="s">
        <v>13902</v>
      </c>
      <c r="B14917" t="s">
        <v>10178</v>
      </c>
    </row>
    <row r="14918" spans="1:2" x14ac:dyDescent="0.25">
      <c r="A14918" t="s">
        <v>13921</v>
      </c>
      <c r="B14918" t="s">
        <v>13902</v>
      </c>
    </row>
    <row r="14919" spans="1:2" x14ac:dyDescent="0.25">
      <c r="A14919" t="s">
        <v>13896</v>
      </c>
      <c r="B14919" t="s">
        <v>13902</v>
      </c>
    </row>
    <row r="14920" spans="1:2" x14ac:dyDescent="0.25">
      <c r="A14920" t="s">
        <v>13946</v>
      </c>
      <c r="B14920" t="s">
        <v>13902</v>
      </c>
    </row>
    <row r="14921" spans="1:2" x14ac:dyDescent="0.25">
      <c r="A14921" t="s">
        <v>13867</v>
      </c>
      <c r="B14921" t="s">
        <v>10178</v>
      </c>
    </row>
    <row r="14922" spans="1:2" x14ac:dyDescent="0.25">
      <c r="A14922" t="s">
        <v>13861</v>
      </c>
      <c r="B14922" t="s">
        <v>13867</v>
      </c>
    </row>
    <row r="14923" spans="1:2" x14ac:dyDescent="0.25">
      <c r="A14923" t="s">
        <v>13855</v>
      </c>
      <c r="B14923" t="s">
        <v>13867</v>
      </c>
    </row>
    <row r="14924" spans="1:2" x14ac:dyDescent="0.25">
      <c r="A14924" t="s">
        <v>13844</v>
      </c>
      <c r="B14924" t="s">
        <v>13867</v>
      </c>
    </row>
    <row r="14925" spans="1:2" x14ac:dyDescent="0.25">
      <c r="A14925" t="s">
        <v>13919</v>
      </c>
      <c r="B14925" t="s">
        <v>10178</v>
      </c>
    </row>
    <row r="14926" spans="1:2" x14ac:dyDescent="0.25">
      <c r="A14926" t="s">
        <v>13939</v>
      </c>
      <c r="B14926" t="s">
        <v>10178</v>
      </c>
    </row>
    <row r="14927" spans="1:2" x14ac:dyDescent="0.25">
      <c r="A14927" t="s">
        <v>13871</v>
      </c>
      <c r="B14927" t="s">
        <v>13939</v>
      </c>
    </row>
    <row r="14928" spans="1:2" x14ac:dyDescent="0.25">
      <c r="A14928" t="s">
        <v>13878</v>
      </c>
      <c r="B14928" t="s">
        <v>13939</v>
      </c>
    </row>
    <row r="14929" spans="1:2" x14ac:dyDescent="0.25">
      <c r="A14929" t="s">
        <v>13862</v>
      </c>
      <c r="B14929" t="s">
        <v>10178</v>
      </c>
    </row>
    <row r="14930" spans="1:2" x14ac:dyDescent="0.25">
      <c r="A14930" t="s">
        <v>16370</v>
      </c>
      <c r="B14930" t="s">
        <v>10178</v>
      </c>
    </row>
    <row r="14931" spans="1:2" x14ac:dyDescent="0.25">
      <c r="A14931" t="s">
        <v>16371</v>
      </c>
      <c r="B14931" t="s">
        <v>16370</v>
      </c>
    </row>
    <row r="14932" spans="1:2" x14ac:dyDescent="0.25">
      <c r="A14932" t="s">
        <v>16372</v>
      </c>
      <c r="B14932" t="s">
        <v>16370</v>
      </c>
    </row>
    <row r="14933" spans="1:2" x14ac:dyDescent="0.25">
      <c r="A14933" t="s">
        <v>16373</v>
      </c>
      <c r="B14933" t="s">
        <v>16370</v>
      </c>
    </row>
    <row r="14934" spans="1:2" x14ac:dyDescent="0.25">
      <c r="A14934" t="s">
        <v>16374</v>
      </c>
      <c r="B14934" t="s">
        <v>16370</v>
      </c>
    </row>
    <row r="14935" spans="1:2" x14ac:dyDescent="0.25">
      <c r="A14935" t="s">
        <v>16375</v>
      </c>
      <c r="B14935" t="s">
        <v>16370</v>
      </c>
    </row>
    <row r="14936" spans="1:2" x14ac:dyDescent="0.25">
      <c r="A14936" t="s">
        <v>12832</v>
      </c>
      <c r="B14936" t="s">
        <v>12512</v>
      </c>
    </row>
    <row r="14937" spans="1:2" x14ac:dyDescent="0.25">
      <c r="A14937" t="s">
        <v>10684</v>
      </c>
      <c r="B14937" t="s">
        <v>12832</v>
      </c>
    </row>
    <row r="14938" spans="1:2" x14ac:dyDescent="0.25">
      <c r="A14938" t="s">
        <v>7328</v>
      </c>
      <c r="B14938" t="s">
        <v>10684</v>
      </c>
    </row>
    <row r="14939" spans="1:2" x14ac:dyDescent="0.25">
      <c r="A14939" t="s">
        <v>5788</v>
      </c>
      <c r="B14939" t="s">
        <v>10684</v>
      </c>
    </row>
    <row r="14940" spans="1:2" x14ac:dyDescent="0.25">
      <c r="A14940" t="s">
        <v>12644</v>
      </c>
      <c r="B14940" t="s">
        <v>10684</v>
      </c>
    </row>
    <row r="14941" spans="1:2" x14ac:dyDescent="0.25">
      <c r="A14941" t="s">
        <v>9681</v>
      </c>
      <c r="B14941" t="s">
        <v>10684</v>
      </c>
    </row>
    <row r="14942" spans="1:2" x14ac:dyDescent="0.25">
      <c r="A14942" t="s">
        <v>9265</v>
      </c>
      <c r="B14942" t="s">
        <v>10684</v>
      </c>
    </row>
    <row r="14943" spans="1:2" x14ac:dyDescent="0.25">
      <c r="A14943" t="s">
        <v>5789</v>
      </c>
      <c r="B14943" t="s">
        <v>10684</v>
      </c>
    </row>
    <row r="14944" spans="1:2" x14ac:dyDescent="0.25">
      <c r="A14944" t="s">
        <v>12830</v>
      </c>
      <c r="B14944" t="s">
        <v>5789</v>
      </c>
    </row>
    <row r="14945" spans="1:2" x14ac:dyDescent="0.25">
      <c r="A14945" t="s">
        <v>11810</v>
      </c>
      <c r="B14945" t="s">
        <v>12832</v>
      </c>
    </row>
    <row r="14946" spans="1:2" x14ac:dyDescent="0.25">
      <c r="A14946" t="s">
        <v>12732</v>
      </c>
      <c r="B14946" t="s">
        <v>12832</v>
      </c>
    </row>
    <row r="14947" spans="1:2" x14ac:dyDescent="0.25">
      <c r="A14947" t="s">
        <v>11812</v>
      </c>
      <c r="B14947" t="s">
        <v>12732</v>
      </c>
    </row>
    <row r="14948" spans="1:2" x14ac:dyDescent="0.25">
      <c r="A14948" t="s">
        <v>10689</v>
      </c>
      <c r="B14948" t="s">
        <v>12732</v>
      </c>
    </row>
    <row r="14949" spans="1:2" x14ac:dyDescent="0.25">
      <c r="A14949" t="s">
        <v>9686</v>
      </c>
      <c r="B14949" t="s">
        <v>10689</v>
      </c>
    </row>
    <row r="14950" spans="1:2" x14ac:dyDescent="0.25">
      <c r="A14950" t="s">
        <v>12321</v>
      </c>
      <c r="B14950" t="s">
        <v>10689</v>
      </c>
    </row>
    <row r="14951" spans="1:2" x14ac:dyDescent="0.25">
      <c r="A14951" t="s">
        <v>12914</v>
      </c>
      <c r="B14951" t="s">
        <v>10689</v>
      </c>
    </row>
    <row r="14952" spans="1:2" x14ac:dyDescent="0.25">
      <c r="A14952" t="s">
        <v>4937</v>
      </c>
      <c r="B14952" t="s">
        <v>10689</v>
      </c>
    </row>
    <row r="14953" spans="1:2" x14ac:dyDescent="0.25">
      <c r="A14953" t="s">
        <v>9687</v>
      </c>
      <c r="B14953" t="s">
        <v>10689</v>
      </c>
    </row>
    <row r="14954" spans="1:2" x14ac:dyDescent="0.25">
      <c r="A14954" t="s">
        <v>12886</v>
      </c>
      <c r="B14954" t="s">
        <v>10689</v>
      </c>
    </row>
    <row r="14955" spans="1:2" x14ac:dyDescent="0.25">
      <c r="A14955" t="s">
        <v>11031</v>
      </c>
      <c r="B14955" t="s">
        <v>10689</v>
      </c>
    </row>
    <row r="14956" spans="1:2" x14ac:dyDescent="0.25">
      <c r="A14956" t="s">
        <v>8869</v>
      </c>
      <c r="B14956" t="s">
        <v>10689</v>
      </c>
    </row>
    <row r="14957" spans="1:2" x14ac:dyDescent="0.25">
      <c r="A14957" t="s">
        <v>11371</v>
      </c>
      <c r="B14957" t="s">
        <v>10689</v>
      </c>
    </row>
    <row r="14958" spans="1:2" x14ac:dyDescent="0.25">
      <c r="A14958" t="s">
        <v>7965</v>
      </c>
      <c r="B14958" t="s">
        <v>10689</v>
      </c>
    </row>
    <row r="14959" spans="1:2" x14ac:dyDescent="0.25">
      <c r="A14959" t="s">
        <v>7966</v>
      </c>
      <c r="B14959" t="s">
        <v>10689</v>
      </c>
    </row>
    <row r="14960" spans="1:2" x14ac:dyDescent="0.25">
      <c r="A14960" t="s">
        <v>9272</v>
      </c>
      <c r="B14960" t="s">
        <v>10689</v>
      </c>
    </row>
    <row r="14961" spans="1:2" x14ac:dyDescent="0.25">
      <c r="A14961" t="s">
        <v>12887</v>
      </c>
      <c r="B14961" t="s">
        <v>10689</v>
      </c>
    </row>
    <row r="14962" spans="1:2" x14ac:dyDescent="0.25">
      <c r="A14962" t="s">
        <v>12906</v>
      </c>
      <c r="B14962" t="s">
        <v>10689</v>
      </c>
    </row>
    <row r="14963" spans="1:2" x14ac:dyDescent="0.25">
      <c r="A14963" t="s">
        <v>11602</v>
      </c>
      <c r="B14963" t="s">
        <v>10689</v>
      </c>
    </row>
    <row r="14964" spans="1:2" x14ac:dyDescent="0.25">
      <c r="A14964" t="s">
        <v>12324</v>
      </c>
      <c r="B14964" t="s">
        <v>10689</v>
      </c>
    </row>
    <row r="14965" spans="1:2" x14ac:dyDescent="0.25">
      <c r="A14965" t="s">
        <v>12325</v>
      </c>
      <c r="B14965" t="s">
        <v>10689</v>
      </c>
    </row>
    <row r="14966" spans="1:2" x14ac:dyDescent="0.25">
      <c r="A14966" t="s">
        <v>11821</v>
      </c>
      <c r="B14966" t="s">
        <v>10689</v>
      </c>
    </row>
    <row r="14967" spans="1:2" x14ac:dyDescent="0.25">
      <c r="A14967" t="s">
        <v>12736</v>
      </c>
      <c r="B14967" t="s">
        <v>10689</v>
      </c>
    </row>
    <row r="14968" spans="1:2" x14ac:dyDescent="0.25">
      <c r="A14968" t="s">
        <v>11603</v>
      </c>
      <c r="B14968" t="s">
        <v>10689</v>
      </c>
    </row>
    <row r="14969" spans="1:2" x14ac:dyDescent="0.25">
      <c r="A14969" t="s">
        <v>12888</v>
      </c>
      <c r="B14969" t="s">
        <v>10689</v>
      </c>
    </row>
    <row r="14970" spans="1:2" x14ac:dyDescent="0.25">
      <c r="A14970" t="s">
        <v>12871</v>
      </c>
      <c r="B14970" t="s">
        <v>10689</v>
      </c>
    </row>
    <row r="14971" spans="1:2" x14ac:dyDescent="0.25">
      <c r="A14971" t="s">
        <v>13061</v>
      </c>
      <c r="B14971" t="s">
        <v>10689</v>
      </c>
    </row>
    <row r="14972" spans="1:2" x14ac:dyDescent="0.25">
      <c r="A14972" t="s">
        <v>13455</v>
      </c>
      <c r="B14972" t="s">
        <v>10689</v>
      </c>
    </row>
    <row r="14973" spans="1:2" x14ac:dyDescent="0.25">
      <c r="A14973" t="s">
        <v>13456</v>
      </c>
      <c r="B14973" t="s">
        <v>10689</v>
      </c>
    </row>
    <row r="14974" spans="1:2" x14ac:dyDescent="0.25">
      <c r="A14974" t="s">
        <v>16376</v>
      </c>
      <c r="B14974" t="s">
        <v>10689</v>
      </c>
    </row>
    <row r="14975" spans="1:2" x14ac:dyDescent="0.25">
      <c r="A14975" t="s">
        <v>16377</v>
      </c>
      <c r="B14975" t="s">
        <v>10689</v>
      </c>
    </row>
    <row r="14976" spans="1:2" x14ac:dyDescent="0.25">
      <c r="A14976" t="s">
        <v>16378</v>
      </c>
      <c r="B14976" t="s">
        <v>10689</v>
      </c>
    </row>
    <row r="14977" spans="1:2" x14ac:dyDescent="0.25">
      <c r="A14977" t="s">
        <v>16379</v>
      </c>
      <c r="B14977" t="s">
        <v>10689</v>
      </c>
    </row>
    <row r="14978" spans="1:2" x14ac:dyDescent="0.25">
      <c r="A14978" t="s">
        <v>16380</v>
      </c>
      <c r="B14978" t="s">
        <v>10689</v>
      </c>
    </row>
    <row r="14979" spans="1:2" x14ac:dyDescent="0.25">
      <c r="A14979" t="s">
        <v>16381</v>
      </c>
      <c r="B14979" t="s">
        <v>10689</v>
      </c>
    </row>
    <row r="14980" spans="1:2" x14ac:dyDescent="0.25">
      <c r="A14980" t="s">
        <v>16382</v>
      </c>
      <c r="B14980" t="s">
        <v>10689</v>
      </c>
    </row>
    <row r="14981" spans="1:2" x14ac:dyDescent="0.25">
      <c r="A14981" t="s">
        <v>12831</v>
      </c>
      <c r="B14981" t="s">
        <v>12732</v>
      </c>
    </row>
    <row r="14982" spans="1:2" x14ac:dyDescent="0.25">
      <c r="A14982" t="s">
        <v>11369</v>
      </c>
      <c r="B14982" t="s">
        <v>12831</v>
      </c>
    </row>
    <row r="14983" spans="1:2" x14ac:dyDescent="0.25">
      <c r="A14983" t="s">
        <v>12734</v>
      </c>
      <c r="B14983" t="s">
        <v>12831</v>
      </c>
    </row>
    <row r="14984" spans="1:2" x14ac:dyDescent="0.25">
      <c r="A14984" t="s">
        <v>12320</v>
      </c>
      <c r="B14984" t="s">
        <v>12831</v>
      </c>
    </row>
    <row r="14985" spans="1:2" x14ac:dyDescent="0.25">
      <c r="A14985" t="s">
        <v>12870</v>
      </c>
      <c r="B14985" t="s">
        <v>12831</v>
      </c>
    </row>
    <row r="14986" spans="1:2" x14ac:dyDescent="0.25">
      <c r="A14986" t="s">
        <v>11029</v>
      </c>
      <c r="B14986" t="s">
        <v>12831</v>
      </c>
    </row>
    <row r="14987" spans="1:2" x14ac:dyDescent="0.25">
      <c r="A14987" t="s">
        <v>13069</v>
      </c>
      <c r="B14987" t="s">
        <v>12831</v>
      </c>
    </row>
    <row r="14988" spans="1:2" x14ac:dyDescent="0.25">
      <c r="A14988" t="s">
        <v>13070</v>
      </c>
      <c r="B14988" t="s">
        <v>12732</v>
      </c>
    </row>
    <row r="14989" spans="1:2" x14ac:dyDescent="0.25">
      <c r="A14989" t="s">
        <v>6230</v>
      </c>
      <c r="B14989" t="s">
        <v>12732</v>
      </c>
    </row>
    <row r="14990" spans="1:2" x14ac:dyDescent="0.25">
      <c r="A14990" t="s">
        <v>3522</v>
      </c>
      <c r="B14990" t="s">
        <v>6230</v>
      </c>
    </row>
    <row r="14991" spans="1:2" x14ac:dyDescent="0.25">
      <c r="A14991" t="s">
        <v>13071</v>
      </c>
      <c r="B14991" t="s">
        <v>3522</v>
      </c>
    </row>
    <row r="14992" spans="1:2" x14ac:dyDescent="0.25">
      <c r="A14992" t="s">
        <v>13072</v>
      </c>
      <c r="B14992" t="s">
        <v>3522</v>
      </c>
    </row>
    <row r="14993" spans="1:2" x14ac:dyDescent="0.25">
      <c r="A14993" t="s">
        <v>13577</v>
      </c>
      <c r="B14993" t="s">
        <v>3522</v>
      </c>
    </row>
    <row r="14994" spans="1:2" x14ac:dyDescent="0.25">
      <c r="A14994" t="s">
        <v>15124</v>
      </c>
      <c r="B14994" t="s">
        <v>3522</v>
      </c>
    </row>
    <row r="14995" spans="1:2" x14ac:dyDescent="0.25">
      <c r="A14995" t="s">
        <v>15125</v>
      </c>
      <c r="B14995" t="s">
        <v>3522</v>
      </c>
    </row>
    <row r="14996" spans="1:2" x14ac:dyDescent="0.25">
      <c r="A14996" t="s">
        <v>3091</v>
      </c>
      <c r="B14996" t="s">
        <v>6230</v>
      </c>
    </row>
    <row r="14997" spans="1:2" x14ac:dyDescent="0.25">
      <c r="A14997" t="s">
        <v>13073</v>
      </c>
      <c r="B14997" t="s">
        <v>3091</v>
      </c>
    </row>
    <row r="14998" spans="1:2" x14ac:dyDescent="0.25">
      <c r="A14998" t="s">
        <v>13074</v>
      </c>
      <c r="B14998" t="s">
        <v>3091</v>
      </c>
    </row>
    <row r="14999" spans="1:2" x14ac:dyDescent="0.25">
      <c r="A14999" t="s">
        <v>13578</v>
      </c>
      <c r="B14999" t="s">
        <v>3091</v>
      </c>
    </row>
    <row r="15000" spans="1:2" x14ac:dyDescent="0.25">
      <c r="A15000" t="s">
        <v>15126</v>
      </c>
      <c r="B15000" t="s">
        <v>3091</v>
      </c>
    </row>
    <row r="15001" spans="1:2" x14ac:dyDescent="0.25">
      <c r="A15001" t="s">
        <v>15127</v>
      </c>
      <c r="B15001" t="s">
        <v>3091</v>
      </c>
    </row>
    <row r="15002" spans="1:2" x14ac:dyDescent="0.25">
      <c r="A15002" t="s">
        <v>477</v>
      </c>
      <c r="B15002" t="s">
        <v>6230</v>
      </c>
    </row>
    <row r="15003" spans="1:2" x14ac:dyDescent="0.25">
      <c r="A15003" t="s">
        <v>13075</v>
      </c>
      <c r="B15003" t="s">
        <v>477</v>
      </c>
    </row>
    <row r="15004" spans="1:2" x14ac:dyDescent="0.25">
      <c r="A15004" t="s">
        <v>13076</v>
      </c>
      <c r="B15004" t="s">
        <v>477</v>
      </c>
    </row>
    <row r="15005" spans="1:2" x14ac:dyDescent="0.25">
      <c r="A15005" t="s">
        <v>13579</v>
      </c>
      <c r="B15005" t="s">
        <v>477</v>
      </c>
    </row>
    <row r="15006" spans="1:2" x14ac:dyDescent="0.25">
      <c r="A15006" t="s">
        <v>15128</v>
      </c>
      <c r="B15006" t="s">
        <v>477</v>
      </c>
    </row>
    <row r="15007" spans="1:2" x14ac:dyDescent="0.25">
      <c r="A15007" t="s">
        <v>15129</v>
      </c>
      <c r="B15007" t="s">
        <v>477</v>
      </c>
    </row>
    <row r="15008" spans="1:2" x14ac:dyDescent="0.25">
      <c r="A15008" t="s">
        <v>7333</v>
      </c>
      <c r="B15008" t="s">
        <v>6230</v>
      </c>
    </row>
    <row r="15009" spans="1:2" x14ac:dyDescent="0.25">
      <c r="A15009" t="s">
        <v>13077</v>
      </c>
      <c r="B15009" t="s">
        <v>7333</v>
      </c>
    </row>
    <row r="15010" spans="1:2" x14ac:dyDescent="0.25">
      <c r="A15010" t="s">
        <v>13078</v>
      </c>
      <c r="B15010" t="s">
        <v>7333</v>
      </c>
    </row>
    <row r="15011" spans="1:2" x14ac:dyDescent="0.25">
      <c r="A15011" t="s">
        <v>13580</v>
      </c>
      <c r="B15011" t="s">
        <v>7333</v>
      </c>
    </row>
    <row r="15012" spans="1:2" x14ac:dyDescent="0.25">
      <c r="A15012" t="s">
        <v>15130</v>
      </c>
      <c r="B15012" t="s">
        <v>7333</v>
      </c>
    </row>
    <row r="15013" spans="1:2" x14ac:dyDescent="0.25">
      <c r="A15013" t="s">
        <v>15131</v>
      </c>
      <c r="B15013" t="s">
        <v>7333</v>
      </c>
    </row>
    <row r="15014" spans="1:2" x14ac:dyDescent="0.25">
      <c r="A15014" t="s">
        <v>221</v>
      </c>
      <c r="B15014" t="s">
        <v>6230</v>
      </c>
    </row>
    <row r="15015" spans="1:2" x14ac:dyDescent="0.25">
      <c r="A15015" t="s">
        <v>13079</v>
      </c>
      <c r="B15015" t="s">
        <v>221</v>
      </c>
    </row>
    <row r="15016" spans="1:2" x14ac:dyDescent="0.25">
      <c r="A15016" t="s">
        <v>13080</v>
      </c>
      <c r="B15016" t="s">
        <v>221</v>
      </c>
    </row>
    <row r="15017" spans="1:2" x14ac:dyDescent="0.25">
      <c r="A15017" t="s">
        <v>13581</v>
      </c>
      <c r="B15017" t="s">
        <v>221</v>
      </c>
    </row>
    <row r="15018" spans="1:2" x14ac:dyDescent="0.25">
      <c r="A15018" t="s">
        <v>15132</v>
      </c>
      <c r="B15018" t="s">
        <v>221</v>
      </c>
    </row>
    <row r="15019" spans="1:2" x14ac:dyDescent="0.25">
      <c r="A15019" t="s">
        <v>15133</v>
      </c>
      <c r="B15019" t="s">
        <v>221</v>
      </c>
    </row>
    <row r="15020" spans="1:2" x14ac:dyDescent="0.25">
      <c r="A15020" t="s">
        <v>222</v>
      </c>
      <c r="B15020" t="s">
        <v>6230</v>
      </c>
    </row>
    <row r="15021" spans="1:2" x14ac:dyDescent="0.25">
      <c r="A15021" t="s">
        <v>13081</v>
      </c>
      <c r="B15021" t="s">
        <v>222</v>
      </c>
    </row>
    <row r="15022" spans="1:2" x14ac:dyDescent="0.25">
      <c r="A15022" t="s">
        <v>13082</v>
      </c>
      <c r="B15022" t="s">
        <v>222</v>
      </c>
    </row>
    <row r="15023" spans="1:2" x14ac:dyDescent="0.25">
      <c r="A15023" t="s">
        <v>381</v>
      </c>
      <c r="B15023" t="s">
        <v>6230</v>
      </c>
    </row>
    <row r="15024" spans="1:2" x14ac:dyDescent="0.25">
      <c r="A15024" t="s">
        <v>13083</v>
      </c>
      <c r="B15024" t="s">
        <v>381</v>
      </c>
    </row>
    <row r="15025" spans="1:2" x14ac:dyDescent="0.25">
      <c r="A15025" t="s">
        <v>13084</v>
      </c>
      <c r="B15025" t="s">
        <v>381</v>
      </c>
    </row>
    <row r="15026" spans="1:2" x14ac:dyDescent="0.25">
      <c r="A15026" t="s">
        <v>13583</v>
      </c>
      <c r="B15026" t="s">
        <v>381</v>
      </c>
    </row>
    <row r="15027" spans="1:2" x14ac:dyDescent="0.25">
      <c r="A15027" t="s">
        <v>15134</v>
      </c>
      <c r="B15027" t="s">
        <v>381</v>
      </c>
    </row>
    <row r="15028" spans="1:2" x14ac:dyDescent="0.25">
      <c r="A15028" t="s">
        <v>15135</v>
      </c>
      <c r="B15028" t="s">
        <v>381</v>
      </c>
    </row>
    <row r="15029" spans="1:2" x14ac:dyDescent="0.25">
      <c r="A15029" t="s">
        <v>2245</v>
      </c>
      <c r="B15029" t="s">
        <v>6230</v>
      </c>
    </row>
    <row r="15030" spans="1:2" x14ac:dyDescent="0.25">
      <c r="A15030" t="s">
        <v>13085</v>
      </c>
      <c r="B15030" t="s">
        <v>2245</v>
      </c>
    </row>
    <row r="15031" spans="1:2" x14ac:dyDescent="0.25">
      <c r="A15031" t="s">
        <v>13086</v>
      </c>
      <c r="B15031" t="s">
        <v>2245</v>
      </c>
    </row>
    <row r="15032" spans="1:2" x14ac:dyDescent="0.25">
      <c r="A15032" t="s">
        <v>13584</v>
      </c>
      <c r="B15032" t="s">
        <v>2245</v>
      </c>
    </row>
    <row r="15033" spans="1:2" x14ac:dyDescent="0.25">
      <c r="A15033" t="s">
        <v>15136</v>
      </c>
      <c r="B15033" t="s">
        <v>2245</v>
      </c>
    </row>
    <row r="15034" spans="1:2" x14ac:dyDescent="0.25">
      <c r="A15034" t="s">
        <v>15137</v>
      </c>
      <c r="B15034" t="s">
        <v>2245</v>
      </c>
    </row>
    <row r="15035" spans="1:2" x14ac:dyDescent="0.25">
      <c r="A15035" t="s">
        <v>478</v>
      </c>
      <c r="B15035" t="s">
        <v>6230</v>
      </c>
    </row>
    <row r="15036" spans="1:2" x14ac:dyDescent="0.25">
      <c r="A15036" t="s">
        <v>13087</v>
      </c>
      <c r="B15036" t="s">
        <v>478</v>
      </c>
    </row>
    <row r="15037" spans="1:2" x14ac:dyDescent="0.25">
      <c r="A15037" t="s">
        <v>13088</v>
      </c>
      <c r="B15037" t="s">
        <v>478</v>
      </c>
    </row>
    <row r="15038" spans="1:2" x14ac:dyDescent="0.25">
      <c r="A15038" t="s">
        <v>13585</v>
      </c>
      <c r="B15038" t="s">
        <v>478</v>
      </c>
    </row>
    <row r="15039" spans="1:2" x14ac:dyDescent="0.25">
      <c r="A15039" t="s">
        <v>15138</v>
      </c>
      <c r="B15039" t="s">
        <v>478</v>
      </c>
    </row>
    <row r="15040" spans="1:2" x14ac:dyDescent="0.25">
      <c r="A15040" t="s">
        <v>15139</v>
      </c>
      <c r="B15040" t="s">
        <v>478</v>
      </c>
    </row>
    <row r="15041" spans="1:2" x14ac:dyDescent="0.25">
      <c r="A15041" t="s">
        <v>14812</v>
      </c>
      <c r="B15041" t="s">
        <v>6230</v>
      </c>
    </row>
    <row r="15042" spans="1:2" x14ac:dyDescent="0.25">
      <c r="A15042" t="s">
        <v>15140</v>
      </c>
      <c r="B15042" t="s">
        <v>14812</v>
      </c>
    </row>
    <row r="15043" spans="1:2" x14ac:dyDescent="0.25">
      <c r="A15043" t="s">
        <v>15141</v>
      </c>
      <c r="B15043" t="s">
        <v>14812</v>
      </c>
    </row>
    <row r="15044" spans="1:2" x14ac:dyDescent="0.25">
      <c r="A15044" t="s">
        <v>15142</v>
      </c>
      <c r="B15044" t="s">
        <v>14812</v>
      </c>
    </row>
    <row r="15045" spans="1:2" x14ac:dyDescent="0.25">
      <c r="A15045" t="s">
        <v>14813</v>
      </c>
      <c r="B15045" t="s">
        <v>6230</v>
      </c>
    </row>
    <row r="15046" spans="1:2" x14ac:dyDescent="0.25">
      <c r="A15046" t="s">
        <v>15143</v>
      </c>
      <c r="B15046" t="s">
        <v>14813</v>
      </c>
    </row>
    <row r="15047" spans="1:2" x14ac:dyDescent="0.25">
      <c r="A15047" t="s">
        <v>15144</v>
      </c>
      <c r="B15047" t="s">
        <v>14813</v>
      </c>
    </row>
    <row r="15048" spans="1:2" x14ac:dyDescent="0.25">
      <c r="A15048" t="s">
        <v>15145</v>
      </c>
      <c r="B15048" t="s">
        <v>14813</v>
      </c>
    </row>
    <row r="15049" spans="1:2" x14ac:dyDescent="0.25">
      <c r="A15049" t="s">
        <v>13582</v>
      </c>
      <c r="B15049" t="s">
        <v>6230</v>
      </c>
    </row>
    <row r="15050" spans="1:2" x14ac:dyDescent="0.25">
      <c r="A15050" t="s">
        <v>15146</v>
      </c>
      <c r="B15050" t="s">
        <v>13582</v>
      </c>
    </row>
    <row r="15051" spans="1:2" x14ac:dyDescent="0.25">
      <c r="A15051" t="s">
        <v>15147</v>
      </c>
      <c r="B15051" t="s">
        <v>13582</v>
      </c>
    </row>
    <row r="15052" spans="1:2" x14ac:dyDescent="0.25">
      <c r="A15052" t="s">
        <v>15148</v>
      </c>
      <c r="B15052" t="s">
        <v>13582</v>
      </c>
    </row>
    <row r="15053" spans="1:2" x14ac:dyDescent="0.25">
      <c r="A15053" t="s">
        <v>16383</v>
      </c>
      <c r="B15053" t="s">
        <v>12732</v>
      </c>
    </row>
    <row r="15054" spans="1:2" x14ac:dyDescent="0.25">
      <c r="A15054" t="s">
        <v>16384</v>
      </c>
      <c r="B15054" t="s">
        <v>12732</v>
      </c>
    </row>
    <row r="15055" spans="1:2" x14ac:dyDescent="0.25">
      <c r="A15055" t="s">
        <v>3526</v>
      </c>
      <c r="B15055" t="s">
        <v>12832</v>
      </c>
    </row>
    <row r="15056" spans="1:2" x14ac:dyDescent="0.25">
      <c r="A15056" t="s">
        <v>3095</v>
      </c>
      <c r="B15056" t="s">
        <v>3526</v>
      </c>
    </row>
    <row r="15057" spans="1:2" x14ac:dyDescent="0.25">
      <c r="A15057" t="s">
        <v>3527</v>
      </c>
      <c r="B15057" t="s">
        <v>3526</v>
      </c>
    </row>
    <row r="15058" spans="1:2" x14ac:dyDescent="0.25">
      <c r="A15058" t="s">
        <v>14782</v>
      </c>
      <c r="B15058" t="s">
        <v>3527</v>
      </c>
    </row>
    <row r="15059" spans="1:2" x14ac:dyDescent="0.25">
      <c r="A15059" t="s">
        <v>13459</v>
      </c>
      <c r="B15059" t="s">
        <v>3527</v>
      </c>
    </row>
    <row r="15060" spans="1:2" x14ac:dyDescent="0.25">
      <c r="A15060" t="s">
        <v>8874</v>
      </c>
      <c r="B15060" t="s">
        <v>3526</v>
      </c>
    </row>
    <row r="15061" spans="1:2" x14ac:dyDescent="0.25">
      <c r="A15061" t="s">
        <v>9275</v>
      </c>
      <c r="B15061" t="s">
        <v>8874</v>
      </c>
    </row>
    <row r="15062" spans="1:2" x14ac:dyDescent="0.25">
      <c r="A15062" t="s">
        <v>6736</v>
      </c>
      <c r="B15062" t="s">
        <v>8874</v>
      </c>
    </row>
    <row r="15063" spans="1:2" x14ac:dyDescent="0.25">
      <c r="A15063" t="s">
        <v>6461</v>
      </c>
      <c r="B15063" t="s">
        <v>6736</v>
      </c>
    </row>
    <row r="15064" spans="1:2" x14ac:dyDescent="0.25">
      <c r="A15064" t="s">
        <v>6235</v>
      </c>
      <c r="B15064" t="s">
        <v>8874</v>
      </c>
    </row>
    <row r="15065" spans="1:2" x14ac:dyDescent="0.25">
      <c r="A15065" t="s">
        <v>13968</v>
      </c>
      <c r="B15065" t="s">
        <v>8874</v>
      </c>
    </row>
    <row r="15066" spans="1:2" x14ac:dyDescent="0.25">
      <c r="A15066" t="s">
        <v>14784</v>
      </c>
      <c r="B15066" t="s">
        <v>13968</v>
      </c>
    </row>
    <row r="15067" spans="1:2" x14ac:dyDescent="0.25">
      <c r="A15067" t="s">
        <v>9062</v>
      </c>
      <c r="B15067" t="s">
        <v>14784</v>
      </c>
    </row>
    <row r="15068" spans="1:2" x14ac:dyDescent="0.25">
      <c r="A15068" t="s">
        <v>10691</v>
      </c>
      <c r="B15068" t="s">
        <v>13968</v>
      </c>
    </row>
    <row r="15069" spans="1:2" x14ac:dyDescent="0.25">
      <c r="A15069" t="s">
        <v>11220</v>
      </c>
      <c r="B15069" t="s">
        <v>10691</v>
      </c>
    </row>
    <row r="15070" spans="1:2" x14ac:dyDescent="0.25">
      <c r="A15070" t="s">
        <v>8875</v>
      </c>
      <c r="B15070" t="s">
        <v>13968</v>
      </c>
    </row>
    <row r="15071" spans="1:2" x14ac:dyDescent="0.25">
      <c r="A15071" t="s">
        <v>8678</v>
      </c>
      <c r="B15071" t="s">
        <v>8875</v>
      </c>
    </row>
    <row r="15072" spans="1:2" x14ac:dyDescent="0.25">
      <c r="A15072" t="s">
        <v>11965</v>
      </c>
      <c r="B15072" t="s">
        <v>13968</v>
      </c>
    </row>
    <row r="15073" spans="1:2" x14ac:dyDescent="0.25">
      <c r="A15073" t="s">
        <v>11899</v>
      </c>
      <c r="B15073" t="s">
        <v>11965</v>
      </c>
    </row>
    <row r="15074" spans="1:2" x14ac:dyDescent="0.25">
      <c r="A15074" t="s">
        <v>11372</v>
      </c>
      <c r="B15074" t="s">
        <v>13968</v>
      </c>
    </row>
    <row r="15075" spans="1:2" x14ac:dyDescent="0.25">
      <c r="A15075" t="s">
        <v>11221</v>
      </c>
      <c r="B15075" t="s">
        <v>11372</v>
      </c>
    </row>
    <row r="15076" spans="1:2" x14ac:dyDescent="0.25">
      <c r="A15076" t="s">
        <v>6735</v>
      </c>
      <c r="B15076" t="s">
        <v>13968</v>
      </c>
    </row>
    <row r="15077" spans="1:2" x14ac:dyDescent="0.25">
      <c r="A15077" t="s">
        <v>6460</v>
      </c>
      <c r="B15077" t="s">
        <v>6735</v>
      </c>
    </row>
    <row r="15078" spans="1:2" x14ac:dyDescent="0.25">
      <c r="A15078" t="s">
        <v>7340</v>
      </c>
      <c r="B15078" t="s">
        <v>13968</v>
      </c>
    </row>
    <row r="15079" spans="1:2" x14ac:dyDescent="0.25">
      <c r="A15079" t="s">
        <v>6926</v>
      </c>
      <c r="B15079" t="s">
        <v>7340</v>
      </c>
    </row>
    <row r="15080" spans="1:2" x14ac:dyDescent="0.25">
      <c r="A15080" t="s">
        <v>9276</v>
      </c>
      <c r="B15080" t="s">
        <v>13968</v>
      </c>
    </row>
    <row r="15081" spans="1:2" x14ac:dyDescent="0.25">
      <c r="A15081" t="s">
        <v>13967</v>
      </c>
      <c r="B15081" t="s">
        <v>8874</v>
      </c>
    </row>
    <row r="15082" spans="1:2" x14ac:dyDescent="0.25">
      <c r="A15082" t="s">
        <v>13960</v>
      </c>
      <c r="B15082" t="s">
        <v>8874</v>
      </c>
    </row>
    <row r="15083" spans="1:2" x14ac:dyDescent="0.25">
      <c r="A15083" t="s">
        <v>13849</v>
      </c>
      <c r="B15083" t="s">
        <v>8874</v>
      </c>
    </row>
    <row r="15084" spans="1:2" x14ac:dyDescent="0.25">
      <c r="A15084" t="s">
        <v>13947</v>
      </c>
      <c r="B15084" t="s">
        <v>8874</v>
      </c>
    </row>
    <row r="15085" spans="1:2" x14ac:dyDescent="0.25">
      <c r="A15085" t="s">
        <v>14785</v>
      </c>
      <c r="B15085" t="s">
        <v>8874</v>
      </c>
    </row>
    <row r="15086" spans="1:2" x14ac:dyDescent="0.25">
      <c r="A15086" t="s">
        <v>9063</v>
      </c>
      <c r="B15086" t="s">
        <v>14785</v>
      </c>
    </row>
    <row r="15087" spans="1:2" x14ac:dyDescent="0.25">
      <c r="A15087" t="s">
        <v>5986</v>
      </c>
      <c r="B15087" t="s">
        <v>14785</v>
      </c>
    </row>
    <row r="15088" spans="1:2" x14ac:dyDescent="0.25">
      <c r="A15088" t="s">
        <v>14786</v>
      </c>
      <c r="B15088" t="s">
        <v>8874</v>
      </c>
    </row>
    <row r="15089" spans="1:2" x14ac:dyDescent="0.25">
      <c r="A15089" t="s">
        <v>16385</v>
      </c>
      <c r="B15089" t="s">
        <v>8874</v>
      </c>
    </row>
    <row r="15090" spans="1:2" x14ac:dyDescent="0.25">
      <c r="A15090" t="s">
        <v>16386</v>
      </c>
      <c r="B15090" t="s">
        <v>8874</v>
      </c>
    </row>
    <row r="15091" spans="1:2" x14ac:dyDescent="0.25">
      <c r="A15091" t="s">
        <v>14783</v>
      </c>
      <c r="B15091" t="s">
        <v>8874</v>
      </c>
    </row>
    <row r="15092" spans="1:2" x14ac:dyDescent="0.25">
      <c r="A15092" t="s">
        <v>13857</v>
      </c>
      <c r="B15092" t="s">
        <v>3526</v>
      </c>
    </row>
    <row r="15093" spans="1:2" x14ac:dyDescent="0.25">
      <c r="A15093" t="s">
        <v>2643</v>
      </c>
      <c r="B15093" t="s">
        <v>12832</v>
      </c>
    </row>
    <row r="15094" spans="1:2" x14ac:dyDescent="0.25">
      <c r="A15094" t="s">
        <v>10690</v>
      </c>
      <c r="B15094" t="s">
        <v>2643</v>
      </c>
    </row>
    <row r="15095" spans="1:2" x14ac:dyDescent="0.25">
      <c r="A15095" t="s">
        <v>1647</v>
      </c>
      <c r="B15095" t="s">
        <v>10690</v>
      </c>
    </row>
    <row r="15096" spans="1:2" x14ac:dyDescent="0.25">
      <c r="A15096" t="s">
        <v>8873</v>
      </c>
      <c r="B15096" t="s">
        <v>2643</v>
      </c>
    </row>
    <row r="15097" spans="1:2" x14ac:dyDescent="0.25">
      <c r="A15097" t="s">
        <v>5405</v>
      </c>
      <c r="B15097" t="s">
        <v>8873</v>
      </c>
    </row>
    <row r="15098" spans="1:2" x14ac:dyDescent="0.25">
      <c r="A15098" t="s">
        <v>9274</v>
      </c>
      <c r="B15098" t="s">
        <v>8873</v>
      </c>
    </row>
    <row r="15099" spans="1:2" x14ac:dyDescent="0.25">
      <c r="A15099" t="s">
        <v>482</v>
      </c>
      <c r="B15099" t="s">
        <v>12832</v>
      </c>
    </row>
    <row r="15100" spans="1:2" x14ac:dyDescent="0.25">
      <c r="A15100" t="s">
        <v>10683</v>
      </c>
      <c r="B15100" t="s">
        <v>482</v>
      </c>
    </row>
    <row r="15101" spans="1:2" x14ac:dyDescent="0.25">
      <c r="A15101" t="s">
        <v>1644</v>
      </c>
      <c r="B15101" t="s">
        <v>482</v>
      </c>
    </row>
    <row r="15102" spans="1:2" x14ac:dyDescent="0.25">
      <c r="A15102" t="s">
        <v>13219</v>
      </c>
      <c r="B15102" t="s">
        <v>12832</v>
      </c>
    </row>
    <row r="15103" spans="1:2" x14ac:dyDescent="0.25">
      <c r="A15103" t="s">
        <v>9693</v>
      </c>
      <c r="B15103" t="s">
        <v>13219</v>
      </c>
    </row>
    <row r="15104" spans="1:2" x14ac:dyDescent="0.25">
      <c r="A15104" t="s">
        <v>4047</v>
      </c>
      <c r="B15104" t="s">
        <v>13219</v>
      </c>
    </row>
    <row r="15105" spans="1:2" x14ac:dyDescent="0.25">
      <c r="A15105" t="s">
        <v>5414</v>
      </c>
      <c r="B15105" t="s">
        <v>13219</v>
      </c>
    </row>
    <row r="15106" spans="1:2" x14ac:dyDescent="0.25">
      <c r="A15106" t="s">
        <v>13051</v>
      </c>
      <c r="B15106" t="s">
        <v>5414</v>
      </c>
    </row>
    <row r="15107" spans="1:2" x14ac:dyDescent="0.25">
      <c r="A15107" t="s">
        <v>13052</v>
      </c>
      <c r="B15107" t="s">
        <v>5414</v>
      </c>
    </row>
    <row r="15108" spans="1:2" x14ac:dyDescent="0.25">
      <c r="A15108" t="s">
        <v>13053</v>
      </c>
      <c r="B15108" t="s">
        <v>5414</v>
      </c>
    </row>
    <row r="15109" spans="1:2" x14ac:dyDescent="0.25">
      <c r="A15109" t="s">
        <v>13054</v>
      </c>
      <c r="B15109" t="s">
        <v>5414</v>
      </c>
    </row>
    <row r="15110" spans="1:2" x14ac:dyDescent="0.25">
      <c r="A15110" t="s">
        <v>13055</v>
      </c>
      <c r="B15110" t="s">
        <v>5414</v>
      </c>
    </row>
    <row r="15111" spans="1:2" x14ac:dyDescent="0.25">
      <c r="A15111" t="s">
        <v>6729</v>
      </c>
      <c r="B15111" t="s">
        <v>13219</v>
      </c>
    </row>
    <row r="15112" spans="1:2" x14ac:dyDescent="0.25">
      <c r="A15112" t="s">
        <v>14787</v>
      </c>
      <c r="B15112" t="s">
        <v>12832</v>
      </c>
    </row>
    <row r="15113" spans="1:2" x14ac:dyDescent="0.25">
      <c r="A15113" t="s">
        <v>14788</v>
      </c>
      <c r="B15113" t="s">
        <v>12832</v>
      </c>
    </row>
    <row r="15114" spans="1:2" x14ac:dyDescent="0.25">
      <c r="A15114" t="s">
        <v>217</v>
      </c>
      <c r="B15114" t="s">
        <v>12832</v>
      </c>
    </row>
    <row r="15115" spans="1:2" x14ac:dyDescent="0.25">
      <c r="A15115" t="s">
        <v>9264</v>
      </c>
      <c r="B15115" t="s">
        <v>217</v>
      </c>
    </row>
    <row r="15116" spans="1:2" x14ac:dyDescent="0.25">
      <c r="A15116" t="s">
        <v>218</v>
      </c>
      <c r="B15116" t="s">
        <v>217</v>
      </c>
    </row>
    <row r="15117" spans="1:2" x14ac:dyDescent="0.25">
      <c r="A15117" t="s">
        <v>16387</v>
      </c>
      <c r="B15117" t="s">
        <v>12832</v>
      </c>
    </row>
    <row r="15118" spans="1:2" x14ac:dyDescent="0.25">
      <c r="A15118" t="s">
        <v>16388</v>
      </c>
      <c r="B15118" t="s">
        <v>12832</v>
      </c>
    </row>
    <row r="15119" spans="1:2" x14ac:dyDescent="0.25">
      <c r="A15119" t="s">
        <v>16389</v>
      </c>
      <c r="B15119" t="s">
        <v>12832</v>
      </c>
    </row>
    <row r="15120" spans="1:2" x14ac:dyDescent="0.25">
      <c r="A15120" t="s">
        <v>16390</v>
      </c>
      <c r="B15120" t="s">
        <v>16389</v>
      </c>
    </row>
    <row r="15121" spans="1:2" x14ac:dyDescent="0.25">
      <c r="A15121" t="s">
        <v>16391</v>
      </c>
      <c r="B15121" t="s">
        <v>16389</v>
      </c>
    </row>
    <row r="15122" spans="1:2" x14ac:dyDescent="0.25">
      <c r="A15122" t="s">
        <v>16392</v>
      </c>
      <c r="B15122" t="s">
        <v>16389</v>
      </c>
    </row>
    <row r="15123" spans="1:2" x14ac:dyDescent="0.25">
      <c r="A15123" t="s">
        <v>16393</v>
      </c>
      <c r="B15123" t="s">
        <v>16389</v>
      </c>
    </row>
    <row r="15124" spans="1:2" x14ac:dyDescent="0.25">
      <c r="A15124" t="s">
        <v>16394</v>
      </c>
      <c r="B15124" t="s">
        <v>16389</v>
      </c>
    </row>
    <row r="15125" spans="1:2" x14ac:dyDescent="0.25">
      <c r="A15125" t="s">
        <v>16395</v>
      </c>
      <c r="B15125" t="s">
        <v>16389</v>
      </c>
    </row>
    <row r="15126" spans="1:2" x14ac:dyDescent="0.25">
      <c r="A15126" t="s">
        <v>16396</v>
      </c>
      <c r="B15126" t="s">
        <v>16389</v>
      </c>
    </row>
    <row r="15127" spans="1:2" x14ac:dyDescent="0.25">
      <c r="A15127" t="s">
        <v>11588</v>
      </c>
      <c r="B15127" t="s">
        <v>12832</v>
      </c>
    </row>
    <row r="15128" spans="1:2" x14ac:dyDescent="0.25">
      <c r="A15128" t="s">
        <v>10686</v>
      </c>
      <c r="B15128" t="s">
        <v>11588</v>
      </c>
    </row>
    <row r="15129" spans="1:2" x14ac:dyDescent="0.25">
      <c r="A15129" t="s">
        <v>10186</v>
      </c>
      <c r="B15129" t="s">
        <v>11588</v>
      </c>
    </row>
    <row r="15130" spans="1:2" x14ac:dyDescent="0.25">
      <c r="A15130" t="s">
        <v>10687</v>
      </c>
      <c r="B15130" t="s">
        <v>11588</v>
      </c>
    </row>
    <row r="15131" spans="1:2" x14ac:dyDescent="0.25">
      <c r="A15131" t="s">
        <v>10688</v>
      </c>
      <c r="B15131" t="s">
        <v>11588</v>
      </c>
    </row>
    <row r="15132" spans="1:2" x14ac:dyDescent="0.25">
      <c r="A15132" t="s">
        <v>8867</v>
      </c>
      <c r="B15132" t="s">
        <v>11588</v>
      </c>
    </row>
    <row r="15133" spans="1:2" x14ac:dyDescent="0.25">
      <c r="A15133" t="s">
        <v>11598</v>
      </c>
      <c r="B15133" t="s">
        <v>11588</v>
      </c>
    </row>
    <row r="15134" spans="1:2" x14ac:dyDescent="0.25">
      <c r="A15134" t="s">
        <v>11820</v>
      </c>
      <c r="B15134" t="s">
        <v>12512</v>
      </c>
    </row>
    <row r="15135" spans="1:2" x14ac:dyDescent="0.25">
      <c r="A15135" t="s">
        <v>8471</v>
      </c>
      <c r="B15135" t="s">
        <v>11820</v>
      </c>
    </row>
    <row r="15136" spans="1:2" x14ac:dyDescent="0.25">
      <c r="A15136" t="s">
        <v>9683</v>
      </c>
      <c r="B15136" t="s">
        <v>11820</v>
      </c>
    </row>
    <row r="15137" spans="1:2" x14ac:dyDescent="0.25">
      <c r="A15137" t="s">
        <v>11589</v>
      </c>
      <c r="B15137" t="s">
        <v>11820</v>
      </c>
    </row>
    <row r="15138" spans="1:2" x14ac:dyDescent="0.25">
      <c r="A15138" t="s">
        <v>8469</v>
      </c>
      <c r="B15138" t="s">
        <v>11589</v>
      </c>
    </row>
    <row r="15139" spans="1:2" x14ac:dyDescent="0.25">
      <c r="A15139" t="s">
        <v>5402</v>
      </c>
      <c r="B15139" t="s">
        <v>11589</v>
      </c>
    </row>
    <row r="15140" spans="1:2" x14ac:dyDescent="0.25">
      <c r="A15140" t="s">
        <v>5403</v>
      </c>
      <c r="B15140" t="s">
        <v>11589</v>
      </c>
    </row>
    <row r="15141" spans="1:2" x14ac:dyDescent="0.25">
      <c r="A15141" t="s">
        <v>4529</v>
      </c>
      <c r="B15141" t="s">
        <v>11589</v>
      </c>
    </row>
    <row r="15142" spans="1:2" x14ac:dyDescent="0.25">
      <c r="A15142" t="s">
        <v>8470</v>
      </c>
      <c r="B15142" t="s">
        <v>11589</v>
      </c>
    </row>
    <row r="15143" spans="1:2" x14ac:dyDescent="0.25">
      <c r="A15143" t="s">
        <v>2642</v>
      </c>
      <c r="B15143" t="s">
        <v>11589</v>
      </c>
    </row>
    <row r="15144" spans="1:2" x14ac:dyDescent="0.25">
      <c r="A15144" t="s">
        <v>13637</v>
      </c>
      <c r="B15144" t="s">
        <v>2642</v>
      </c>
    </row>
    <row r="15145" spans="1:2" x14ac:dyDescent="0.25">
      <c r="A15145" t="s">
        <v>13759</v>
      </c>
      <c r="B15145" t="s">
        <v>13637</v>
      </c>
    </row>
    <row r="15146" spans="1:2" x14ac:dyDescent="0.25">
      <c r="A15146" t="s">
        <v>13760</v>
      </c>
      <c r="B15146" t="s">
        <v>13759</v>
      </c>
    </row>
    <row r="15147" spans="1:2" x14ac:dyDescent="0.25">
      <c r="A15147" t="s">
        <v>13761</v>
      </c>
      <c r="B15147" t="s">
        <v>13759</v>
      </c>
    </row>
    <row r="15148" spans="1:2" x14ac:dyDescent="0.25">
      <c r="A15148" t="s">
        <v>13762</v>
      </c>
      <c r="B15148" t="s">
        <v>13759</v>
      </c>
    </row>
    <row r="15149" spans="1:2" x14ac:dyDescent="0.25">
      <c r="A15149" t="s">
        <v>13763</v>
      </c>
      <c r="B15149" t="s">
        <v>13759</v>
      </c>
    </row>
    <row r="15150" spans="1:2" x14ac:dyDescent="0.25">
      <c r="A15150" t="s">
        <v>13764</v>
      </c>
      <c r="B15150" t="s">
        <v>13759</v>
      </c>
    </row>
    <row r="15151" spans="1:2" x14ac:dyDescent="0.25">
      <c r="A15151" t="s">
        <v>13765</v>
      </c>
      <c r="B15151" t="s">
        <v>13764</v>
      </c>
    </row>
    <row r="15152" spans="1:2" x14ac:dyDescent="0.25">
      <c r="A15152" t="s">
        <v>13766</v>
      </c>
      <c r="B15152" t="s">
        <v>13764</v>
      </c>
    </row>
    <row r="15153" spans="1:2" x14ac:dyDescent="0.25">
      <c r="A15153" t="s">
        <v>13944</v>
      </c>
      <c r="B15153" t="s">
        <v>13759</v>
      </c>
    </row>
    <row r="15154" spans="1:2" x14ac:dyDescent="0.25">
      <c r="A15154" t="s">
        <v>13957</v>
      </c>
      <c r="B15154" t="s">
        <v>13759</v>
      </c>
    </row>
    <row r="15155" spans="1:2" x14ac:dyDescent="0.25">
      <c r="A15155" t="s">
        <v>13926</v>
      </c>
      <c r="B15155" t="s">
        <v>13759</v>
      </c>
    </row>
    <row r="15156" spans="1:2" x14ac:dyDescent="0.25">
      <c r="A15156" t="s">
        <v>13767</v>
      </c>
      <c r="B15156" t="s">
        <v>13637</v>
      </c>
    </row>
    <row r="15157" spans="1:2" x14ac:dyDescent="0.25">
      <c r="A15157" t="s">
        <v>13971</v>
      </c>
      <c r="B15157" t="s">
        <v>13767</v>
      </c>
    </row>
    <row r="15158" spans="1:2" x14ac:dyDescent="0.25">
      <c r="A15158" t="s">
        <v>13901</v>
      </c>
      <c r="B15158" t="s">
        <v>13767</v>
      </c>
    </row>
    <row r="15159" spans="1:2" x14ac:dyDescent="0.25">
      <c r="A15159" t="s">
        <v>14789</v>
      </c>
      <c r="B15159" t="s">
        <v>13637</v>
      </c>
    </row>
    <row r="15160" spans="1:2" x14ac:dyDescent="0.25">
      <c r="A15160" t="s">
        <v>2247</v>
      </c>
      <c r="B15160" t="s">
        <v>11589</v>
      </c>
    </row>
    <row r="15161" spans="1:2" x14ac:dyDescent="0.25">
      <c r="A15161" t="s">
        <v>11367</v>
      </c>
      <c r="B15161" t="s">
        <v>11589</v>
      </c>
    </row>
    <row r="15162" spans="1:2" x14ac:dyDescent="0.25">
      <c r="A15162" t="s">
        <v>15149</v>
      </c>
      <c r="B15162" t="s">
        <v>11589</v>
      </c>
    </row>
    <row r="15163" spans="1:2" x14ac:dyDescent="0.25">
      <c r="A15163" t="s">
        <v>11590</v>
      </c>
      <c r="B15163" t="s">
        <v>11820</v>
      </c>
    </row>
    <row r="15164" spans="1:2" x14ac:dyDescent="0.25">
      <c r="A15164" t="s">
        <v>9266</v>
      </c>
      <c r="B15164" t="s">
        <v>11820</v>
      </c>
    </row>
    <row r="15165" spans="1:2" x14ac:dyDescent="0.25">
      <c r="A15165" t="s">
        <v>11966</v>
      </c>
      <c r="B15165" t="s">
        <v>9266</v>
      </c>
    </row>
    <row r="15166" spans="1:2" x14ac:dyDescent="0.25">
      <c r="A15166" t="s">
        <v>10188</v>
      </c>
      <c r="B15166" t="s">
        <v>9266</v>
      </c>
    </row>
    <row r="15167" spans="1:2" x14ac:dyDescent="0.25">
      <c r="A15167" t="s">
        <v>11375</v>
      </c>
      <c r="B15167" t="s">
        <v>9266</v>
      </c>
    </row>
    <row r="15168" spans="1:2" x14ac:dyDescent="0.25">
      <c r="A15168" t="s">
        <v>12517</v>
      </c>
      <c r="B15168" t="s">
        <v>9266</v>
      </c>
    </row>
    <row r="15169" spans="1:2" x14ac:dyDescent="0.25">
      <c r="A15169" t="s">
        <v>8879</v>
      </c>
      <c r="B15169" t="s">
        <v>9266</v>
      </c>
    </row>
    <row r="15170" spans="1:2" x14ac:dyDescent="0.25">
      <c r="A15170" t="s">
        <v>12518</v>
      </c>
      <c r="B15170" t="s">
        <v>9266</v>
      </c>
    </row>
    <row r="15171" spans="1:2" x14ac:dyDescent="0.25">
      <c r="A15171" t="s">
        <v>12519</v>
      </c>
      <c r="B15171" t="s">
        <v>9266</v>
      </c>
    </row>
    <row r="15172" spans="1:2" x14ac:dyDescent="0.25">
      <c r="A15172" t="s">
        <v>12647</v>
      </c>
      <c r="B15172" t="s">
        <v>9266</v>
      </c>
    </row>
    <row r="15173" spans="1:2" x14ac:dyDescent="0.25">
      <c r="A15173" t="s">
        <v>16397</v>
      </c>
      <c r="B15173" t="s">
        <v>11820</v>
      </c>
    </row>
    <row r="15174" spans="1:2" x14ac:dyDescent="0.25">
      <c r="A15174" t="s">
        <v>16398</v>
      </c>
      <c r="B15174" t="s">
        <v>11820</v>
      </c>
    </row>
    <row r="15175" spans="1:2" x14ac:dyDescent="0.25">
      <c r="A15175" t="s">
        <v>12733</v>
      </c>
      <c r="B15175" t="s">
        <v>12512</v>
      </c>
    </row>
    <row r="15176" spans="1:2" x14ac:dyDescent="0.25">
      <c r="A15176" t="s">
        <v>11958</v>
      </c>
      <c r="B15176" t="s">
        <v>12733</v>
      </c>
    </row>
    <row r="15177" spans="1:2" x14ac:dyDescent="0.25">
      <c r="A15177" t="s">
        <v>11600</v>
      </c>
      <c r="B15177" t="s">
        <v>11958</v>
      </c>
    </row>
    <row r="15178" spans="1:2" x14ac:dyDescent="0.25">
      <c r="A15178" t="s">
        <v>10189</v>
      </c>
      <c r="B15178" t="s">
        <v>11958</v>
      </c>
    </row>
    <row r="15179" spans="1:2" x14ac:dyDescent="0.25">
      <c r="A15179" t="s">
        <v>12322</v>
      </c>
      <c r="B15179" t="s">
        <v>11958</v>
      </c>
    </row>
    <row r="15180" spans="1:2" x14ac:dyDescent="0.25">
      <c r="A15180" t="s">
        <v>15150</v>
      </c>
      <c r="B15180" t="s">
        <v>11958</v>
      </c>
    </row>
    <row r="15181" spans="1:2" x14ac:dyDescent="0.25">
      <c r="A15181" t="s">
        <v>227</v>
      </c>
      <c r="B15181" t="s">
        <v>12733</v>
      </c>
    </row>
    <row r="15182" spans="1:2" x14ac:dyDescent="0.25">
      <c r="A15182" t="s">
        <v>4538</v>
      </c>
      <c r="B15182" t="s">
        <v>227</v>
      </c>
    </row>
    <row r="15183" spans="1:2" x14ac:dyDescent="0.25">
      <c r="A15183" t="s">
        <v>1648</v>
      </c>
      <c r="B15183" t="s">
        <v>227</v>
      </c>
    </row>
    <row r="15184" spans="1:2" x14ac:dyDescent="0.25">
      <c r="A15184" t="s">
        <v>3103</v>
      </c>
      <c r="B15184" t="s">
        <v>227</v>
      </c>
    </row>
    <row r="15185" spans="1:2" x14ac:dyDescent="0.25">
      <c r="A15185" t="s">
        <v>7343</v>
      </c>
      <c r="B15185" t="s">
        <v>227</v>
      </c>
    </row>
    <row r="15186" spans="1:2" x14ac:dyDescent="0.25">
      <c r="A15186" t="s">
        <v>15151</v>
      </c>
      <c r="B15186" t="s">
        <v>227</v>
      </c>
    </row>
    <row r="15187" spans="1:2" x14ac:dyDescent="0.25">
      <c r="A15187" t="s">
        <v>228</v>
      </c>
      <c r="B15187" t="s">
        <v>12733</v>
      </c>
    </row>
    <row r="15188" spans="1:2" x14ac:dyDescent="0.25">
      <c r="A15188" t="s">
        <v>13461</v>
      </c>
      <c r="B15188" t="s">
        <v>228</v>
      </c>
    </row>
    <row r="15189" spans="1:2" x14ac:dyDescent="0.25">
      <c r="A15189" t="s">
        <v>13462</v>
      </c>
      <c r="B15189" t="s">
        <v>228</v>
      </c>
    </row>
    <row r="15190" spans="1:2" x14ac:dyDescent="0.25">
      <c r="A15190" t="s">
        <v>3531</v>
      </c>
      <c r="B15190" t="s">
        <v>228</v>
      </c>
    </row>
    <row r="15191" spans="1:2" x14ac:dyDescent="0.25">
      <c r="A15191" t="s">
        <v>15152</v>
      </c>
      <c r="B15191" t="s">
        <v>228</v>
      </c>
    </row>
    <row r="15192" spans="1:2" x14ac:dyDescent="0.25">
      <c r="A15192" t="s">
        <v>15153</v>
      </c>
      <c r="B15192" t="s">
        <v>12733</v>
      </c>
    </row>
    <row r="15193" spans="1:2" x14ac:dyDescent="0.25">
      <c r="A15193" t="s">
        <v>15154</v>
      </c>
      <c r="B15193" t="s">
        <v>12733</v>
      </c>
    </row>
    <row r="15194" spans="1:2" x14ac:dyDescent="0.25">
      <c r="A15194" t="s">
        <v>15155</v>
      </c>
      <c r="B15194" t="s">
        <v>12733</v>
      </c>
    </row>
    <row r="15195" spans="1:2" x14ac:dyDescent="0.25">
      <c r="A15195" t="s">
        <v>15156</v>
      </c>
      <c r="B15195" t="s">
        <v>15155</v>
      </c>
    </row>
    <row r="15196" spans="1:2" x14ac:dyDescent="0.25">
      <c r="A15196" t="s">
        <v>15157</v>
      </c>
      <c r="B15196" t="s">
        <v>12733</v>
      </c>
    </row>
    <row r="15197" spans="1:2" x14ac:dyDescent="0.25">
      <c r="A15197" t="s">
        <v>7969</v>
      </c>
      <c r="B15197" t="s">
        <v>12733</v>
      </c>
    </row>
    <row r="15198" spans="1:2" x14ac:dyDescent="0.25">
      <c r="A15198" t="s">
        <v>10175</v>
      </c>
      <c r="B15198" t="s">
        <v>7969</v>
      </c>
    </row>
    <row r="15199" spans="1:2" x14ac:dyDescent="0.25">
      <c r="A15199" t="s">
        <v>16399</v>
      </c>
      <c r="B15199" t="s">
        <v>12733</v>
      </c>
    </row>
    <row r="15200" spans="1:2" x14ac:dyDescent="0.25">
      <c r="A15200" t="s">
        <v>16400</v>
      </c>
      <c r="B15200" t="s">
        <v>16399</v>
      </c>
    </row>
    <row r="15201" spans="1:2" x14ac:dyDescent="0.25">
      <c r="A15201" t="s">
        <v>16401</v>
      </c>
      <c r="B15201" t="s">
        <v>16399</v>
      </c>
    </row>
    <row r="15202" spans="1:2" x14ac:dyDescent="0.25">
      <c r="A15202" t="s">
        <v>16402</v>
      </c>
      <c r="B15202" t="s">
        <v>16399</v>
      </c>
    </row>
    <row r="15203" spans="1:2" x14ac:dyDescent="0.25">
      <c r="A15203" t="s">
        <v>16403</v>
      </c>
      <c r="B15203" t="s">
        <v>16399</v>
      </c>
    </row>
    <row r="15204" spans="1:2" x14ac:dyDescent="0.25">
      <c r="A15204" t="s">
        <v>16404</v>
      </c>
      <c r="B15204" t="s">
        <v>16399</v>
      </c>
    </row>
    <row r="15205" spans="1:2" x14ac:dyDescent="0.25">
      <c r="A15205" t="s">
        <v>11597</v>
      </c>
      <c r="B15205" t="s">
        <v>12512</v>
      </c>
    </row>
    <row r="15206" spans="1:2" x14ac:dyDescent="0.25">
      <c r="A15206" t="s">
        <v>6728</v>
      </c>
      <c r="B15206" t="s">
        <v>11597</v>
      </c>
    </row>
    <row r="15207" spans="1:2" x14ac:dyDescent="0.25">
      <c r="A15207" t="s">
        <v>7970</v>
      </c>
      <c r="B15207" t="s">
        <v>6728</v>
      </c>
    </row>
    <row r="15208" spans="1:2" x14ac:dyDescent="0.25">
      <c r="A15208" t="s">
        <v>4550</v>
      </c>
      <c r="B15208" t="s">
        <v>6728</v>
      </c>
    </row>
    <row r="15209" spans="1:2" x14ac:dyDescent="0.25">
      <c r="A15209" t="s">
        <v>5804</v>
      </c>
      <c r="B15209" t="s">
        <v>6728</v>
      </c>
    </row>
    <row r="15210" spans="1:2" x14ac:dyDescent="0.25">
      <c r="A15210" t="s">
        <v>15158</v>
      </c>
      <c r="B15210" t="s">
        <v>6728</v>
      </c>
    </row>
    <row r="15211" spans="1:2" x14ac:dyDescent="0.25">
      <c r="A15211" t="s">
        <v>10177</v>
      </c>
      <c r="B15211" t="s">
        <v>11597</v>
      </c>
    </row>
    <row r="15212" spans="1:2" x14ac:dyDescent="0.25">
      <c r="A15212" t="s">
        <v>11601</v>
      </c>
      <c r="B15212" t="s">
        <v>10177</v>
      </c>
    </row>
    <row r="15213" spans="1:2" x14ac:dyDescent="0.25">
      <c r="A15213" t="s">
        <v>10190</v>
      </c>
      <c r="B15213" t="s">
        <v>10177</v>
      </c>
    </row>
    <row r="15214" spans="1:2" x14ac:dyDescent="0.25">
      <c r="A15214" t="s">
        <v>12323</v>
      </c>
      <c r="B15214" t="s">
        <v>10177</v>
      </c>
    </row>
    <row r="15215" spans="1:2" x14ac:dyDescent="0.25">
      <c r="A15215" t="s">
        <v>15159</v>
      </c>
      <c r="B15215" t="s">
        <v>10177</v>
      </c>
    </row>
    <row r="15216" spans="1:2" x14ac:dyDescent="0.25">
      <c r="A15216" t="s">
        <v>15160</v>
      </c>
      <c r="B15216" t="s">
        <v>11597</v>
      </c>
    </row>
    <row r="15217" spans="1:2" x14ac:dyDescent="0.25">
      <c r="A15217" t="s">
        <v>15161</v>
      </c>
      <c r="B15217" t="s">
        <v>11597</v>
      </c>
    </row>
    <row r="15218" spans="1:2" x14ac:dyDescent="0.25">
      <c r="A15218" t="s">
        <v>16405</v>
      </c>
      <c r="B15218" t="s">
        <v>11597</v>
      </c>
    </row>
    <row r="15219" spans="1:2" x14ac:dyDescent="0.25">
      <c r="A15219" t="s">
        <v>16406</v>
      </c>
      <c r="B15219" t="s">
        <v>16405</v>
      </c>
    </row>
    <row r="15220" spans="1:2" x14ac:dyDescent="0.25">
      <c r="A15220" t="s">
        <v>16407</v>
      </c>
      <c r="B15220" t="s">
        <v>16405</v>
      </c>
    </row>
    <row r="15221" spans="1:2" x14ac:dyDescent="0.25">
      <c r="A15221" t="s">
        <v>16408</v>
      </c>
      <c r="B15221" t="s">
        <v>16405</v>
      </c>
    </row>
    <row r="15222" spans="1:2" x14ac:dyDescent="0.25">
      <c r="A15222" t="s">
        <v>16409</v>
      </c>
      <c r="B15222" t="s">
        <v>16405</v>
      </c>
    </row>
    <row r="15223" spans="1:2" x14ac:dyDescent="0.25">
      <c r="A15223" t="s">
        <v>16410</v>
      </c>
      <c r="B15223" t="s">
        <v>16405</v>
      </c>
    </row>
    <row r="15224" spans="1:2" x14ac:dyDescent="0.25">
      <c r="A15224" t="s">
        <v>5398</v>
      </c>
      <c r="B15224" t="s">
        <v>12512</v>
      </c>
    </row>
    <row r="15225" spans="1:2" x14ac:dyDescent="0.25">
      <c r="A15225" t="s">
        <v>5791</v>
      </c>
      <c r="B15225" t="s">
        <v>5398</v>
      </c>
    </row>
    <row r="15226" spans="1:2" x14ac:dyDescent="0.25">
      <c r="A15226" t="s">
        <v>3087</v>
      </c>
      <c r="B15226" t="s">
        <v>5791</v>
      </c>
    </row>
    <row r="15227" spans="1:2" x14ac:dyDescent="0.25">
      <c r="A15227" t="s">
        <v>4023</v>
      </c>
      <c r="B15227" t="s">
        <v>3087</v>
      </c>
    </row>
    <row r="15228" spans="1:2" x14ac:dyDescent="0.25">
      <c r="A15228" t="s">
        <v>476</v>
      </c>
      <c r="B15228" t="s">
        <v>3087</v>
      </c>
    </row>
    <row r="15229" spans="1:2" x14ac:dyDescent="0.25">
      <c r="A15229" t="s">
        <v>4024</v>
      </c>
      <c r="B15229" t="s">
        <v>3087</v>
      </c>
    </row>
    <row r="15230" spans="1:2" x14ac:dyDescent="0.25">
      <c r="A15230" t="s">
        <v>4933</v>
      </c>
      <c r="B15230" t="s">
        <v>3087</v>
      </c>
    </row>
    <row r="15231" spans="1:2" x14ac:dyDescent="0.25">
      <c r="A15231" t="s">
        <v>16411</v>
      </c>
      <c r="B15231" t="s">
        <v>3087</v>
      </c>
    </row>
    <row r="15232" spans="1:2" x14ac:dyDescent="0.25">
      <c r="A15232" t="s">
        <v>3088</v>
      </c>
      <c r="B15232" t="s">
        <v>5791</v>
      </c>
    </row>
    <row r="15233" spans="1:2" x14ac:dyDescent="0.25">
      <c r="A15233" t="s">
        <v>14790</v>
      </c>
      <c r="B15233" t="s">
        <v>3088</v>
      </c>
    </row>
    <row r="15234" spans="1:2" x14ac:dyDescent="0.25">
      <c r="A15234" t="s">
        <v>14791</v>
      </c>
      <c r="B15234" t="s">
        <v>3088</v>
      </c>
    </row>
    <row r="15235" spans="1:2" x14ac:dyDescent="0.25">
      <c r="A15235" t="s">
        <v>14792</v>
      </c>
      <c r="B15235" t="s">
        <v>14791</v>
      </c>
    </row>
    <row r="15236" spans="1:2" x14ac:dyDescent="0.25">
      <c r="A15236" t="s">
        <v>14793</v>
      </c>
      <c r="B15236" t="s">
        <v>14791</v>
      </c>
    </row>
    <row r="15237" spans="1:2" x14ac:dyDescent="0.25">
      <c r="A15237" t="s">
        <v>14794</v>
      </c>
      <c r="B15237" t="s">
        <v>3088</v>
      </c>
    </row>
    <row r="15238" spans="1:2" x14ac:dyDescent="0.25">
      <c r="A15238" t="s">
        <v>14795</v>
      </c>
      <c r="B15238" t="s">
        <v>3088</v>
      </c>
    </row>
    <row r="15239" spans="1:2" x14ac:dyDescent="0.25">
      <c r="A15239" t="s">
        <v>14796</v>
      </c>
      <c r="B15239" t="s">
        <v>3088</v>
      </c>
    </row>
    <row r="15240" spans="1:2" x14ac:dyDescent="0.25">
      <c r="A15240" t="s">
        <v>3089</v>
      </c>
      <c r="B15240" t="s">
        <v>5791</v>
      </c>
    </row>
    <row r="15241" spans="1:2" x14ac:dyDescent="0.25">
      <c r="A15241" t="s">
        <v>14797</v>
      </c>
      <c r="B15241" t="s">
        <v>3089</v>
      </c>
    </row>
    <row r="15242" spans="1:2" x14ac:dyDescent="0.25">
      <c r="A15242" t="s">
        <v>14798</v>
      </c>
      <c r="B15242" t="s">
        <v>3089</v>
      </c>
    </row>
    <row r="15243" spans="1:2" x14ac:dyDescent="0.25">
      <c r="A15243" t="s">
        <v>14799</v>
      </c>
      <c r="B15243" t="s">
        <v>14798</v>
      </c>
    </row>
    <row r="15244" spans="1:2" x14ac:dyDescent="0.25">
      <c r="A15244" t="s">
        <v>14800</v>
      </c>
      <c r="B15244" t="s">
        <v>14798</v>
      </c>
    </row>
    <row r="15245" spans="1:2" x14ac:dyDescent="0.25">
      <c r="A15245" t="s">
        <v>14801</v>
      </c>
      <c r="B15245" t="s">
        <v>3089</v>
      </c>
    </row>
    <row r="15246" spans="1:2" x14ac:dyDescent="0.25">
      <c r="A15246" t="s">
        <v>14802</v>
      </c>
      <c r="B15246" t="s">
        <v>3089</v>
      </c>
    </row>
    <row r="15247" spans="1:2" x14ac:dyDescent="0.25">
      <c r="A15247" t="s">
        <v>14803</v>
      </c>
      <c r="B15247" t="s">
        <v>3089</v>
      </c>
    </row>
    <row r="15248" spans="1:2" x14ac:dyDescent="0.25">
      <c r="A15248" t="s">
        <v>3090</v>
      </c>
      <c r="B15248" t="s">
        <v>5791</v>
      </c>
    </row>
    <row r="15249" spans="1:2" x14ac:dyDescent="0.25">
      <c r="A15249" t="s">
        <v>5371</v>
      </c>
      <c r="B15249" t="s">
        <v>3090</v>
      </c>
    </row>
    <row r="15250" spans="1:2" x14ac:dyDescent="0.25">
      <c r="A15250" t="s">
        <v>14252</v>
      </c>
      <c r="B15250" t="s">
        <v>3090</v>
      </c>
    </row>
    <row r="15251" spans="1:2" x14ac:dyDescent="0.25">
      <c r="A15251" t="s">
        <v>14199</v>
      </c>
      <c r="B15251" t="s">
        <v>3090</v>
      </c>
    </row>
    <row r="15252" spans="1:2" x14ac:dyDescent="0.25">
      <c r="A15252" t="s">
        <v>14245</v>
      </c>
      <c r="B15252" t="s">
        <v>14199</v>
      </c>
    </row>
    <row r="15253" spans="1:2" x14ac:dyDescent="0.25">
      <c r="A15253" t="s">
        <v>14233</v>
      </c>
      <c r="B15253" t="s">
        <v>14199</v>
      </c>
    </row>
    <row r="15254" spans="1:2" x14ac:dyDescent="0.25">
      <c r="A15254" t="s">
        <v>14232</v>
      </c>
      <c r="B15254" t="s">
        <v>3090</v>
      </c>
    </row>
    <row r="15255" spans="1:2" x14ac:dyDescent="0.25">
      <c r="A15255" t="s">
        <v>14156</v>
      </c>
      <c r="B15255" t="s">
        <v>3090</v>
      </c>
    </row>
    <row r="15256" spans="1:2" x14ac:dyDescent="0.25">
      <c r="A15256" t="s">
        <v>14804</v>
      </c>
      <c r="B15256" t="s">
        <v>3090</v>
      </c>
    </row>
    <row r="15257" spans="1:2" x14ac:dyDescent="0.25">
      <c r="A15257" t="s">
        <v>4932</v>
      </c>
      <c r="B15257" t="s">
        <v>5791</v>
      </c>
    </row>
    <row r="15258" spans="1:2" x14ac:dyDescent="0.25">
      <c r="A15258" t="s">
        <v>14805</v>
      </c>
      <c r="B15258" t="s">
        <v>4932</v>
      </c>
    </row>
    <row r="15259" spans="1:2" x14ac:dyDescent="0.25">
      <c r="A15259" t="s">
        <v>14806</v>
      </c>
      <c r="B15259" t="s">
        <v>4932</v>
      </c>
    </row>
    <row r="15260" spans="1:2" x14ac:dyDescent="0.25">
      <c r="A15260" t="s">
        <v>14807</v>
      </c>
      <c r="B15260" t="s">
        <v>14806</v>
      </c>
    </row>
    <row r="15261" spans="1:2" x14ac:dyDescent="0.25">
      <c r="A15261" t="s">
        <v>14808</v>
      </c>
      <c r="B15261" t="s">
        <v>14806</v>
      </c>
    </row>
    <row r="15262" spans="1:2" x14ac:dyDescent="0.25">
      <c r="A15262" t="s">
        <v>14809</v>
      </c>
      <c r="B15262" t="s">
        <v>4932</v>
      </c>
    </row>
    <row r="15263" spans="1:2" x14ac:dyDescent="0.25">
      <c r="A15263" t="s">
        <v>14810</v>
      </c>
      <c r="B15263" t="s">
        <v>4932</v>
      </c>
    </row>
    <row r="15264" spans="1:2" x14ac:dyDescent="0.25">
      <c r="A15264" t="s">
        <v>14811</v>
      </c>
      <c r="B15264" t="s">
        <v>4932</v>
      </c>
    </row>
    <row r="15265" spans="1:2" x14ac:dyDescent="0.25">
      <c r="A15265" t="s">
        <v>14863</v>
      </c>
      <c r="B15265" t="s">
        <v>5791</v>
      </c>
    </row>
    <row r="15266" spans="1:2" x14ac:dyDescent="0.25">
      <c r="A15266" t="s">
        <v>14864</v>
      </c>
      <c r="B15266" t="s">
        <v>5791</v>
      </c>
    </row>
    <row r="15267" spans="1:2" x14ac:dyDescent="0.25">
      <c r="A15267" t="s">
        <v>14865</v>
      </c>
      <c r="B15267" t="s">
        <v>5791</v>
      </c>
    </row>
    <row r="15268" spans="1:2" x14ac:dyDescent="0.25">
      <c r="A15268" t="s">
        <v>14866</v>
      </c>
      <c r="B15268" t="s">
        <v>5791</v>
      </c>
    </row>
    <row r="15269" spans="1:2" x14ac:dyDescent="0.25">
      <c r="A15269" t="s">
        <v>14867</v>
      </c>
      <c r="B15269" t="s">
        <v>5791</v>
      </c>
    </row>
    <row r="15270" spans="1:2" x14ac:dyDescent="0.25">
      <c r="A15270" t="s">
        <v>14868</v>
      </c>
      <c r="B15270" t="s">
        <v>5791</v>
      </c>
    </row>
    <row r="15271" spans="1:2" x14ac:dyDescent="0.25">
      <c r="A15271" t="s">
        <v>14869</v>
      </c>
      <c r="B15271" t="s">
        <v>5791</v>
      </c>
    </row>
    <row r="15272" spans="1:2" x14ac:dyDescent="0.25">
      <c r="A15272" t="s">
        <v>14870</v>
      </c>
      <c r="B15272" t="s">
        <v>5791</v>
      </c>
    </row>
    <row r="15273" spans="1:2" x14ac:dyDescent="0.25">
      <c r="A15273" t="s">
        <v>13891</v>
      </c>
      <c r="B15273" t="s">
        <v>5791</v>
      </c>
    </row>
    <row r="15274" spans="1:2" x14ac:dyDescent="0.25">
      <c r="A15274" t="s">
        <v>13965</v>
      </c>
      <c r="B15274" t="s">
        <v>13891</v>
      </c>
    </row>
    <row r="15275" spans="1:2" x14ac:dyDescent="0.25">
      <c r="A15275" t="s">
        <v>13949</v>
      </c>
      <c r="B15275" t="s">
        <v>13891</v>
      </c>
    </row>
    <row r="15276" spans="1:2" x14ac:dyDescent="0.25">
      <c r="A15276" t="s">
        <v>13969</v>
      </c>
      <c r="B15276" t="s">
        <v>13891</v>
      </c>
    </row>
    <row r="15277" spans="1:2" x14ac:dyDescent="0.25">
      <c r="A15277" t="s">
        <v>13442</v>
      </c>
      <c r="B15277" t="s">
        <v>13891</v>
      </c>
    </row>
    <row r="15278" spans="1:2" x14ac:dyDescent="0.25">
      <c r="A15278" t="s">
        <v>13447</v>
      </c>
      <c r="B15278" t="s">
        <v>13891</v>
      </c>
    </row>
    <row r="15279" spans="1:2" x14ac:dyDescent="0.25">
      <c r="A15279" t="s">
        <v>13452</v>
      </c>
      <c r="B15279" t="s">
        <v>13891</v>
      </c>
    </row>
    <row r="15280" spans="1:2" x14ac:dyDescent="0.25">
      <c r="A15280" t="s">
        <v>379</v>
      </c>
      <c r="B15280" t="s">
        <v>5398</v>
      </c>
    </row>
    <row r="15281" spans="1:2" x14ac:dyDescent="0.25">
      <c r="A15281" t="s">
        <v>380</v>
      </c>
      <c r="B15281" t="s">
        <v>379</v>
      </c>
    </row>
    <row r="15282" spans="1:2" x14ac:dyDescent="0.25">
      <c r="A15282" t="s">
        <v>2244</v>
      </c>
      <c r="B15282" t="s">
        <v>379</v>
      </c>
    </row>
    <row r="15283" spans="1:2" x14ac:dyDescent="0.25">
      <c r="A15283" t="s">
        <v>5792</v>
      </c>
      <c r="B15283" t="s">
        <v>379</v>
      </c>
    </row>
    <row r="15284" spans="1:2" x14ac:dyDescent="0.25">
      <c r="A15284" t="s">
        <v>9269</v>
      </c>
      <c r="B15284" t="s">
        <v>379</v>
      </c>
    </row>
    <row r="15285" spans="1:2" x14ac:dyDescent="0.25">
      <c r="A15285" t="s">
        <v>6229</v>
      </c>
      <c r="B15285" t="s">
        <v>379</v>
      </c>
    </row>
    <row r="15286" spans="1:2" x14ac:dyDescent="0.25">
      <c r="A15286" t="s">
        <v>220</v>
      </c>
      <c r="B15286" t="s">
        <v>379</v>
      </c>
    </row>
    <row r="15287" spans="1:2" x14ac:dyDescent="0.25">
      <c r="A15287" t="s">
        <v>5400</v>
      </c>
      <c r="B15287" t="s">
        <v>379</v>
      </c>
    </row>
    <row r="15288" spans="1:2" x14ac:dyDescent="0.25">
      <c r="A15288" t="s">
        <v>14821</v>
      </c>
      <c r="B15288" t="s">
        <v>379</v>
      </c>
    </row>
    <row r="15289" spans="1:2" x14ac:dyDescent="0.25">
      <c r="A15289" t="s">
        <v>3528</v>
      </c>
      <c r="B15289" t="s">
        <v>14821</v>
      </c>
    </row>
    <row r="15290" spans="1:2" x14ac:dyDescent="0.25">
      <c r="A15290" t="s">
        <v>3109</v>
      </c>
      <c r="B15290" t="s">
        <v>14821</v>
      </c>
    </row>
    <row r="15291" spans="1:2" x14ac:dyDescent="0.25">
      <c r="A15291" t="s">
        <v>14822</v>
      </c>
      <c r="B15291" t="s">
        <v>379</v>
      </c>
    </row>
    <row r="15292" spans="1:2" x14ac:dyDescent="0.25">
      <c r="A15292" t="s">
        <v>1649</v>
      </c>
      <c r="B15292" t="s">
        <v>14822</v>
      </c>
    </row>
    <row r="15293" spans="1:2" x14ac:dyDescent="0.25">
      <c r="A15293" t="s">
        <v>3104</v>
      </c>
      <c r="B15293" t="s">
        <v>14822</v>
      </c>
    </row>
    <row r="15294" spans="1:2" x14ac:dyDescent="0.25">
      <c r="A15294" t="s">
        <v>11026</v>
      </c>
      <c r="B15294" t="s">
        <v>14822</v>
      </c>
    </row>
    <row r="15295" spans="1:2" x14ac:dyDescent="0.25">
      <c r="A15295" t="s">
        <v>14871</v>
      </c>
      <c r="B15295" t="s">
        <v>379</v>
      </c>
    </row>
    <row r="15296" spans="1:2" x14ac:dyDescent="0.25">
      <c r="A15296" t="s">
        <v>14872</v>
      </c>
      <c r="B15296" t="s">
        <v>379</v>
      </c>
    </row>
    <row r="15297" spans="1:2" x14ac:dyDescent="0.25">
      <c r="A15297" t="s">
        <v>13937</v>
      </c>
      <c r="B15297" t="s">
        <v>379</v>
      </c>
    </row>
    <row r="15298" spans="1:2" x14ac:dyDescent="0.25">
      <c r="A15298" t="s">
        <v>13950</v>
      </c>
      <c r="B15298" t="s">
        <v>13937</v>
      </c>
    </row>
    <row r="15299" spans="1:2" x14ac:dyDescent="0.25">
      <c r="A15299" t="s">
        <v>13933</v>
      </c>
      <c r="B15299" t="s">
        <v>13937</v>
      </c>
    </row>
    <row r="15300" spans="1:2" x14ac:dyDescent="0.25">
      <c r="A15300" t="s">
        <v>13966</v>
      </c>
      <c r="B15300" t="s">
        <v>13937</v>
      </c>
    </row>
    <row r="15301" spans="1:2" x14ac:dyDescent="0.25">
      <c r="A15301" t="s">
        <v>11028</v>
      </c>
      <c r="B15301" t="s">
        <v>5398</v>
      </c>
    </row>
    <row r="15302" spans="1:2" x14ac:dyDescent="0.25">
      <c r="A15302" t="s">
        <v>14823</v>
      </c>
      <c r="B15302" t="s">
        <v>11028</v>
      </c>
    </row>
    <row r="15303" spans="1:2" x14ac:dyDescent="0.25">
      <c r="A15303" t="s">
        <v>7950</v>
      </c>
      <c r="B15303" t="s">
        <v>14823</v>
      </c>
    </row>
    <row r="15304" spans="1:2" x14ac:dyDescent="0.25">
      <c r="A15304" t="s">
        <v>3096</v>
      </c>
      <c r="B15304" t="s">
        <v>7950</v>
      </c>
    </row>
    <row r="15305" spans="1:2" x14ac:dyDescent="0.25">
      <c r="A15305" t="s">
        <v>8480</v>
      </c>
      <c r="B15305" t="s">
        <v>3096</v>
      </c>
    </row>
    <row r="15306" spans="1:2" x14ac:dyDescent="0.25">
      <c r="A15306" t="s">
        <v>8882</v>
      </c>
      <c r="B15306" t="s">
        <v>3096</v>
      </c>
    </row>
    <row r="15307" spans="1:2" x14ac:dyDescent="0.25">
      <c r="A15307" t="s">
        <v>7327</v>
      </c>
      <c r="B15307" t="s">
        <v>14823</v>
      </c>
    </row>
    <row r="15308" spans="1:2" x14ac:dyDescent="0.25">
      <c r="A15308" t="s">
        <v>4535</v>
      </c>
      <c r="B15308" t="s">
        <v>7327</v>
      </c>
    </row>
    <row r="15309" spans="1:2" x14ac:dyDescent="0.25">
      <c r="A15309" t="s">
        <v>3086</v>
      </c>
      <c r="B15309" t="s">
        <v>4535</v>
      </c>
    </row>
    <row r="15310" spans="1:2" x14ac:dyDescent="0.25">
      <c r="A15310" t="s">
        <v>8464</v>
      </c>
      <c r="B15310" t="s">
        <v>3086</v>
      </c>
    </row>
    <row r="15311" spans="1:2" x14ac:dyDescent="0.25">
      <c r="A15311" t="s">
        <v>2649</v>
      </c>
      <c r="B15311" t="s">
        <v>7327</v>
      </c>
    </row>
    <row r="15312" spans="1:2" x14ac:dyDescent="0.25">
      <c r="A15312" t="s">
        <v>4962</v>
      </c>
      <c r="B15312" t="s">
        <v>2649</v>
      </c>
    </row>
    <row r="15313" spans="1:2" x14ac:dyDescent="0.25">
      <c r="A15313" t="s">
        <v>8467</v>
      </c>
      <c r="B15313" t="s">
        <v>11028</v>
      </c>
    </row>
    <row r="15314" spans="1:2" x14ac:dyDescent="0.25">
      <c r="A15314" t="s">
        <v>9684</v>
      </c>
      <c r="B15314" t="s">
        <v>8467</v>
      </c>
    </row>
    <row r="15315" spans="1:2" x14ac:dyDescent="0.25">
      <c r="A15315" t="s">
        <v>8877</v>
      </c>
      <c r="B15315" t="s">
        <v>8467</v>
      </c>
    </row>
    <row r="15316" spans="1:2" x14ac:dyDescent="0.25">
      <c r="A15316" t="s">
        <v>9277</v>
      </c>
      <c r="B15316" t="s">
        <v>8877</v>
      </c>
    </row>
    <row r="15317" spans="1:2" x14ac:dyDescent="0.25">
      <c r="A15317" t="s">
        <v>3100</v>
      </c>
      <c r="B15317" t="s">
        <v>8877</v>
      </c>
    </row>
    <row r="15318" spans="1:2" x14ac:dyDescent="0.25">
      <c r="A15318" t="s">
        <v>6737</v>
      </c>
      <c r="B15318" t="s">
        <v>8877</v>
      </c>
    </row>
    <row r="15319" spans="1:2" x14ac:dyDescent="0.25">
      <c r="A15319" t="s">
        <v>5401</v>
      </c>
      <c r="B15319" t="s">
        <v>11028</v>
      </c>
    </row>
    <row r="15320" spans="1:2" x14ac:dyDescent="0.25">
      <c r="A15320" t="s">
        <v>6233</v>
      </c>
      <c r="B15320" t="s">
        <v>5401</v>
      </c>
    </row>
    <row r="15321" spans="1:2" x14ac:dyDescent="0.25">
      <c r="A15321" t="s">
        <v>8475</v>
      </c>
      <c r="B15321" t="s">
        <v>5401</v>
      </c>
    </row>
    <row r="15322" spans="1:2" x14ac:dyDescent="0.25">
      <c r="A15322" t="s">
        <v>9279</v>
      </c>
      <c r="B15322" t="s">
        <v>8475</v>
      </c>
    </row>
    <row r="15323" spans="1:2" x14ac:dyDescent="0.25">
      <c r="A15323" t="s">
        <v>3110</v>
      </c>
      <c r="B15323" t="s">
        <v>8475</v>
      </c>
    </row>
    <row r="15324" spans="1:2" x14ac:dyDescent="0.25">
      <c r="A15324" t="s">
        <v>6239</v>
      </c>
      <c r="B15324" t="s">
        <v>8475</v>
      </c>
    </row>
    <row r="15325" spans="1:2" x14ac:dyDescent="0.25">
      <c r="A15325" t="s">
        <v>7960</v>
      </c>
      <c r="B15325" t="s">
        <v>11028</v>
      </c>
    </row>
    <row r="15326" spans="1:2" x14ac:dyDescent="0.25">
      <c r="A15326" t="s">
        <v>8866</v>
      </c>
      <c r="B15326" t="s">
        <v>7960</v>
      </c>
    </row>
    <row r="15327" spans="1:2" x14ac:dyDescent="0.25">
      <c r="A15327" t="s">
        <v>8473</v>
      </c>
      <c r="B15327" t="s">
        <v>7960</v>
      </c>
    </row>
    <row r="15328" spans="1:2" x14ac:dyDescent="0.25">
      <c r="A15328" t="s">
        <v>8878</v>
      </c>
      <c r="B15328" t="s">
        <v>8473</v>
      </c>
    </row>
    <row r="15329" spans="1:2" x14ac:dyDescent="0.25">
      <c r="A15329" t="s">
        <v>2650</v>
      </c>
      <c r="B15329" t="s">
        <v>8473</v>
      </c>
    </row>
    <row r="15330" spans="1:2" x14ac:dyDescent="0.25">
      <c r="A15330" t="s">
        <v>6231</v>
      </c>
      <c r="B15330" t="s">
        <v>11028</v>
      </c>
    </row>
    <row r="15331" spans="1:2" x14ac:dyDescent="0.25">
      <c r="A15331" t="s">
        <v>7335</v>
      </c>
      <c r="B15331" t="s">
        <v>6231</v>
      </c>
    </row>
    <row r="15332" spans="1:2" x14ac:dyDescent="0.25">
      <c r="A15332" t="s">
        <v>6740</v>
      </c>
      <c r="B15332" t="s">
        <v>6231</v>
      </c>
    </row>
    <row r="15333" spans="1:2" x14ac:dyDescent="0.25">
      <c r="A15333" t="s">
        <v>2653</v>
      </c>
      <c r="B15333" t="s">
        <v>6740</v>
      </c>
    </row>
    <row r="15334" spans="1:2" x14ac:dyDescent="0.25">
      <c r="A15334" t="s">
        <v>4944</v>
      </c>
      <c r="B15334" t="s">
        <v>6740</v>
      </c>
    </row>
    <row r="15335" spans="1:2" x14ac:dyDescent="0.25">
      <c r="A15335" t="s">
        <v>13411</v>
      </c>
      <c r="B15335" t="s">
        <v>6231</v>
      </c>
    </row>
    <row r="15336" spans="1:2" x14ac:dyDescent="0.25">
      <c r="A15336" t="s">
        <v>16412</v>
      </c>
      <c r="B15336" t="s">
        <v>11028</v>
      </c>
    </row>
    <row r="15337" spans="1:2" x14ac:dyDescent="0.25">
      <c r="A15337" t="s">
        <v>16413</v>
      </c>
      <c r="B15337" t="s">
        <v>11028</v>
      </c>
    </row>
    <row r="15338" spans="1:2" x14ac:dyDescent="0.25">
      <c r="A15338" t="s">
        <v>16414</v>
      </c>
      <c r="B15338" t="s">
        <v>11028</v>
      </c>
    </row>
    <row r="15339" spans="1:2" x14ac:dyDescent="0.25">
      <c r="A15339" t="s">
        <v>16415</v>
      </c>
      <c r="B15339" t="s">
        <v>11028</v>
      </c>
    </row>
    <row r="15340" spans="1:2" x14ac:dyDescent="0.25">
      <c r="A15340" t="s">
        <v>6732</v>
      </c>
      <c r="B15340" t="s">
        <v>5398</v>
      </c>
    </row>
    <row r="15341" spans="1:2" x14ac:dyDescent="0.25">
      <c r="A15341" t="s">
        <v>13638</v>
      </c>
      <c r="B15341" t="s">
        <v>6732</v>
      </c>
    </row>
    <row r="15342" spans="1:2" x14ac:dyDescent="0.25">
      <c r="A15342" t="s">
        <v>13639</v>
      </c>
      <c r="B15342" t="s">
        <v>6732</v>
      </c>
    </row>
    <row r="15343" spans="1:2" x14ac:dyDescent="0.25">
      <c r="A15343" t="s">
        <v>13640</v>
      </c>
      <c r="B15343" t="s">
        <v>6732</v>
      </c>
    </row>
    <row r="15344" spans="1:2" x14ac:dyDescent="0.25">
      <c r="A15344" t="s">
        <v>13641</v>
      </c>
      <c r="B15344" t="s">
        <v>6732</v>
      </c>
    </row>
    <row r="15345" spans="1:2" x14ac:dyDescent="0.25">
      <c r="A15345" t="s">
        <v>13642</v>
      </c>
      <c r="B15345" t="s">
        <v>6732</v>
      </c>
    </row>
    <row r="15346" spans="1:2" x14ac:dyDescent="0.25">
      <c r="A15346" t="s">
        <v>13644</v>
      </c>
      <c r="B15346" t="s">
        <v>6732</v>
      </c>
    </row>
    <row r="15347" spans="1:2" x14ac:dyDescent="0.25">
      <c r="A15347" t="s">
        <v>13645</v>
      </c>
      <c r="B15347" t="s">
        <v>6732</v>
      </c>
    </row>
    <row r="15348" spans="1:2" x14ac:dyDescent="0.25">
      <c r="A15348" t="s">
        <v>13646</v>
      </c>
      <c r="B15348" t="s">
        <v>6732</v>
      </c>
    </row>
    <row r="15349" spans="1:2" x14ac:dyDescent="0.25">
      <c r="A15349" t="s">
        <v>13647</v>
      </c>
      <c r="B15349" t="s">
        <v>6732</v>
      </c>
    </row>
    <row r="15350" spans="1:2" x14ac:dyDescent="0.25">
      <c r="A15350" t="s">
        <v>13643</v>
      </c>
      <c r="B15350" t="s">
        <v>6732</v>
      </c>
    </row>
    <row r="15351" spans="1:2" x14ac:dyDescent="0.25">
      <c r="A15351" t="s">
        <v>13963</v>
      </c>
      <c r="B15351" t="s">
        <v>6732</v>
      </c>
    </row>
    <row r="15352" spans="1:2" x14ac:dyDescent="0.25">
      <c r="A15352" t="s">
        <v>13460</v>
      </c>
      <c r="B15352" t="s">
        <v>5398</v>
      </c>
    </row>
    <row r="15353" spans="1:2" x14ac:dyDescent="0.25">
      <c r="A15353" t="s">
        <v>14824</v>
      </c>
      <c r="B15353" t="s">
        <v>5398</v>
      </c>
    </row>
    <row r="15354" spans="1:2" x14ac:dyDescent="0.25">
      <c r="A15354" t="s">
        <v>14873</v>
      </c>
      <c r="B15354" t="s">
        <v>14824</v>
      </c>
    </row>
    <row r="15355" spans="1:2" x14ac:dyDescent="0.25">
      <c r="A15355" t="s">
        <v>14874</v>
      </c>
      <c r="B15355" t="s">
        <v>14824</v>
      </c>
    </row>
    <row r="15356" spans="1:2" x14ac:dyDescent="0.25">
      <c r="A15356" t="s">
        <v>14875</v>
      </c>
      <c r="B15356" t="s">
        <v>14824</v>
      </c>
    </row>
    <row r="15357" spans="1:2" x14ac:dyDescent="0.25">
      <c r="A15357" t="s">
        <v>14876</v>
      </c>
      <c r="B15357" t="s">
        <v>14824</v>
      </c>
    </row>
    <row r="15358" spans="1:2" x14ac:dyDescent="0.25">
      <c r="A15358" t="s">
        <v>9685</v>
      </c>
      <c r="B15358" t="s">
        <v>14824</v>
      </c>
    </row>
    <row r="15359" spans="1:2" x14ac:dyDescent="0.25">
      <c r="A15359" t="s">
        <v>14825</v>
      </c>
      <c r="B15359" t="s">
        <v>5398</v>
      </c>
    </row>
    <row r="15360" spans="1:2" x14ac:dyDescent="0.25">
      <c r="A15360" t="s">
        <v>14826</v>
      </c>
      <c r="B15360" t="s">
        <v>14825</v>
      </c>
    </row>
    <row r="15361" spans="1:2" x14ac:dyDescent="0.25">
      <c r="A15361" t="s">
        <v>14877</v>
      </c>
      <c r="B15361" t="s">
        <v>14826</v>
      </c>
    </row>
    <row r="15362" spans="1:2" x14ac:dyDescent="0.25">
      <c r="A15362" t="s">
        <v>7951</v>
      </c>
      <c r="B15362" t="s">
        <v>14826</v>
      </c>
    </row>
    <row r="15363" spans="1:2" x14ac:dyDescent="0.25">
      <c r="A15363" t="s">
        <v>4939</v>
      </c>
      <c r="B15363" t="s">
        <v>7951</v>
      </c>
    </row>
    <row r="15364" spans="1:2" x14ac:dyDescent="0.25">
      <c r="A15364" t="s">
        <v>6688</v>
      </c>
      <c r="B15364" t="s">
        <v>4939</v>
      </c>
    </row>
    <row r="15365" spans="1:2" x14ac:dyDescent="0.25">
      <c r="A15365" t="s">
        <v>6224</v>
      </c>
      <c r="B15365" t="s">
        <v>4939</v>
      </c>
    </row>
    <row r="15366" spans="1:2" x14ac:dyDescent="0.25">
      <c r="A15366" t="s">
        <v>159</v>
      </c>
      <c r="B15366" t="s">
        <v>4939</v>
      </c>
    </row>
    <row r="15367" spans="1:2" x14ac:dyDescent="0.25">
      <c r="A15367" t="s">
        <v>2636</v>
      </c>
      <c r="B15367" t="s">
        <v>4939</v>
      </c>
    </row>
    <row r="15368" spans="1:2" x14ac:dyDescent="0.25">
      <c r="A15368" t="s">
        <v>160</v>
      </c>
      <c r="B15368" t="s">
        <v>4939</v>
      </c>
    </row>
    <row r="15369" spans="1:2" x14ac:dyDescent="0.25">
      <c r="A15369" t="s">
        <v>161</v>
      </c>
      <c r="B15369" t="s">
        <v>4939</v>
      </c>
    </row>
    <row r="15370" spans="1:2" x14ac:dyDescent="0.25">
      <c r="A15370" t="s">
        <v>348</v>
      </c>
      <c r="B15370" t="s">
        <v>4939</v>
      </c>
    </row>
    <row r="15371" spans="1:2" x14ac:dyDescent="0.25">
      <c r="A15371" t="s">
        <v>162</v>
      </c>
      <c r="B15371" t="s">
        <v>4939</v>
      </c>
    </row>
    <row r="15372" spans="1:2" x14ac:dyDescent="0.25">
      <c r="A15372" t="s">
        <v>11348</v>
      </c>
      <c r="B15372" t="s">
        <v>4939</v>
      </c>
    </row>
    <row r="15373" spans="1:2" x14ac:dyDescent="0.25">
      <c r="A15373" t="s">
        <v>4017</v>
      </c>
      <c r="B15373" t="s">
        <v>4939</v>
      </c>
    </row>
    <row r="15374" spans="1:2" x14ac:dyDescent="0.25">
      <c r="A15374" t="s">
        <v>8453</v>
      </c>
      <c r="B15374" t="s">
        <v>4017</v>
      </c>
    </row>
    <row r="15375" spans="1:2" x14ac:dyDescent="0.25">
      <c r="A15375" t="s">
        <v>3097</v>
      </c>
      <c r="B15375" t="s">
        <v>7951</v>
      </c>
    </row>
    <row r="15376" spans="1:2" x14ac:dyDescent="0.25">
      <c r="A15376" t="s">
        <v>231</v>
      </c>
      <c r="B15376" t="s">
        <v>3097</v>
      </c>
    </row>
    <row r="15377" spans="1:2" x14ac:dyDescent="0.25">
      <c r="A15377" t="s">
        <v>6697</v>
      </c>
      <c r="B15377" t="s">
        <v>14826</v>
      </c>
    </row>
    <row r="15378" spans="1:2" x14ac:dyDescent="0.25">
      <c r="A15378" t="s">
        <v>4035</v>
      </c>
      <c r="B15378" t="s">
        <v>6697</v>
      </c>
    </row>
    <row r="15379" spans="1:2" x14ac:dyDescent="0.25">
      <c r="A15379" t="s">
        <v>6698</v>
      </c>
      <c r="B15379" t="s">
        <v>4035</v>
      </c>
    </row>
    <row r="15380" spans="1:2" x14ac:dyDescent="0.25">
      <c r="A15380" t="s">
        <v>6699</v>
      </c>
      <c r="B15380" t="s">
        <v>4035</v>
      </c>
    </row>
    <row r="15381" spans="1:2" x14ac:dyDescent="0.25">
      <c r="A15381" t="s">
        <v>355</v>
      </c>
      <c r="B15381" t="s">
        <v>4035</v>
      </c>
    </row>
    <row r="15382" spans="1:2" x14ac:dyDescent="0.25">
      <c r="A15382" t="s">
        <v>3074</v>
      </c>
      <c r="B15382" t="s">
        <v>4035</v>
      </c>
    </row>
    <row r="15383" spans="1:2" x14ac:dyDescent="0.25">
      <c r="A15383" t="s">
        <v>172</v>
      </c>
      <c r="B15383" t="s">
        <v>4035</v>
      </c>
    </row>
    <row r="15384" spans="1:2" x14ac:dyDescent="0.25">
      <c r="A15384" t="s">
        <v>173</v>
      </c>
      <c r="B15384" t="s">
        <v>4035</v>
      </c>
    </row>
    <row r="15385" spans="1:2" x14ac:dyDescent="0.25">
      <c r="A15385" t="s">
        <v>356</v>
      </c>
      <c r="B15385" t="s">
        <v>4035</v>
      </c>
    </row>
    <row r="15386" spans="1:2" x14ac:dyDescent="0.25">
      <c r="A15386" t="s">
        <v>174</v>
      </c>
      <c r="B15386" t="s">
        <v>4035</v>
      </c>
    </row>
    <row r="15387" spans="1:2" x14ac:dyDescent="0.25">
      <c r="A15387" t="s">
        <v>11352</v>
      </c>
      <c r="B15387" t="s">
        <v>4035</v>
      </c>
    </row>
    <row r="15388" spans="1:2" x14ac:dyDescent="0.25">
      <c r="A15388" t="s">
        <v>3518</v>
      </c>
      <c r="B15388" t="s">
        <v>4035</v>
      </c>
    </row>
    <row r="15389" spans="1:2" x14ac:dyDescent="0.25">
      <c r="A15389" t="s">
        <v>8448</v>
      </c>
      <c r="B15389" t="s">
        <v>3518</v>
      </c>
    </row>
    <row r="15390" spans="1:2" x14ac:dyDescent="0.25">
      <c r="A15390" t="s">
        <v>2251</v>
      </c>
      <c r="B15390" t="s">
        <v>6697</v>
      </c>
    </row>
    <row r="15391" spans="1:2" x14ac:dyDescent="0.25">
      <c r="A15391" t="s">
        <v>3547</v>
      </c>
      <c r="B15391" t="s">
        <v>2251</v>
      </c>
    </row>
    <row r="15392" spans="1:2" x14ac:dyDescent="0.25">
      <c r="A15392" t="s">
        <v>4557</v>
      </c>
      <c r="B15392" t="s">
        <v>2251</v>
      </c>
    </row>
    <row r="15393" spans="1:2" x14ac:dyDescent="0.25">
      <c r="A15393" t="s">
        <v>14827</v>
      </c>
      <c r="B15393" t="s">
        <v>14825</v>
      </c>
    </row>
    <row r="15394" spans="1:2" x14ac:dyDescent="0.25">
      <c r="A15394" t="s">
        <v>6689</v>
      </c>
      <c r="B15394" t="s">
        <v>14827</v>
      </c>
    </row>
    <row r="15395" spans="1:2" x14ac:dyDescent="0.25">
      <c r="A15395" t="s">
        <v>4033</v>
      </c>
      <c r="B15395" t="s">
        <v>6689</v>
      </c>
    </row>
    <row r="15396" spans="1:2" x14ac:dyDescent="0.25">
      <c r="A15396" t="s">
        <v>6690</v>
      </c>
      <c r="B15396" t="s">
        <v>4033</v>
      </c>
    </row>
    <row r="15397" spans="1:2" x14ac:dyDescent="0.25">
      <c r="A15397" t="s">
        <v>6691</v>
      </c>
      <c r="B15397" t="s">
        <v>4033</v>
      </c>
    </row>
    <row r="15398" spans="1:2" x14ac:dyDescent="0.25">
      <c r="A15398" t="s">
        <v>349</v>
      </c>
      <c r="B15398" t="s">
        <v>4033</v>
      </c>
    </row>
    <row r="15399" spans="1:2" x14ac:dyDescent="0.25">
      <c r="A15399" t="s">
        <v>3071</v>
      </c>
      <c r="B15399" t="s">
        <v>4033</v>
      </c>
    </row>
    <row r="15400" spans="1:2" x14ac:dyDescent="0.25">
      <c r="A15400" t="s">
        <v>163</v>
      </c>
      <c r="B15400" t="s">
        <v>4033</v>
      </c>
    </row>
    <row r="15401" spans="1:2" x14ac:dyDescent="0.25">
      <c r="A15401" t="s">
        <v>164</v>
      </c>
      <c r="B15401" t="s">
        <v>4033</v>
      </c>
    </row>
    <row r="15402" spans="1:2" x14ac:dyDescent="0.25">
      <c r="A15402" t="s">
        <v>350</v>
      </c>
      <c r="B15402" t="s">
        <v>4033</v>
      </c>
    </row>
    <row r="15403" spans="1:2" x14ac:dyDescent="0.25">
      <c r="A15403" t="s">
        <v>165</v>
      </c>
      <c r="B15403" t="s">
        <v>4033</v>
      </c>
    </row>
    <row r="15404" spans="1:2" x14ac:dyDescent="0.25">
      <c r="A15404" t="s">
        <v>11349</v>
      </c>
      <c r="B15404" t="s">
        <v>4033</v>
      </c>
    </row>
    <row r="15405" spans="1:2" x14ac:dyDescent="0.25">
      <c r="A15405" t="s">
        <v>4021</v>
      </c>
      <c r="B15405" t="s">
        <v>4033</v>
      </c>
    </row>
    <row r="15406" spans="1:2" x14ac:dyDescent="0.25">
      <c r="A15406" t="s">
        <v>8460</v>
      </c>
      <c r="B15406" t="s">
        <v>4021</v>
      </c>
    </row>
    <row r="15407" spans="1:2" x14ac:dyDescent="0.25">
      <c r="A15407" t="s">
        <v>2249</v>
      </c>
      <c r="B15407" t="s">
        <v>6689</v>
      </c>
    </row>
    <row r="15408" spans="1:2" x14ac:dyDescent="0.25">
      <c r="A15408" t="s">
        <v>5419</v>
      </c>
      <c r="B15408" t="s">
        <v>2249</v>
      </c>
    </row>
    <row r="15409" spans="1:2" x14ac:dyDescent="0.25">
      <c r="A15409" t="s">
        <v>6692</v>
      </c>
      <c r="B15409" t="s">
        <v>14827</v>
      </c>
    </row>
    <row r="15410" spans="1:2" x14ac:dyDescent="0.25">
      <c r="A15410" t="s">
        <v>4034</v>
      </c>
      <c r="B15410" t="s">
        <v>6692</v>
      </c>
    </row>
    <row r="15411" spans="1:2" x14ac:dyDescent="0.25">
      <c r="A15411" t="s">
        <v>6693</v>
      </c>
      <c r="B15411" t="s">
        <v>4034</v>
      </c>
    </row>
    <row r="15412" spans="1:2" x14ac:dyDescent="0.25">
      <c r="A15412" t="s">
        <v>6694</v>
      </c>
      <c r="B15412" t="s">
        <v>4034</v>
      </c>
    </row>
    <row r="15413" spans="1:2" x14ac:dyDescent="0.25">
      <c r="A15413" t="s">
        <v>351</v>
      </c>
      <c r="B15413" t="s">
        <v>4034</v>
      </c>
    </row>
    <row r="15414" spans="1:2" x14ac:dyDescent="0.25">
      <c r="A15414" t="s">
        <v>3072</v>
      </c>
      <c r="B15414" t="s">
        <v>4034</v>
      </c>
    </row>
    <row r="15415" spans="1:2" x14ac:dyDescent="0.25">
      <c r="A15415" t="s">
        <v>166</v>
      </c>
      <c r="B15415" t="s">
        <v>4034</v>
      </c>
    </row>
    <row r="15416" spans="1:2" x14ac:dyDescent="0.25">
      <c r="A15416" t="s">
        <v>167</v>
      </c>
      <c r="B15416" t="s">
        <v>4034</v>
      </c>
    </row>
    <row r="15417" spans="1:2" x14ac:dyDescent="0.25">
      <c r="A15417" t="s">
        <v>352</v>
      </c>
      <c r="B15417" t="s">
        <v>4034</v>
      </c>
    </row>
    <row r="15418" spans="1:2" x14ac:dyDescent="0.25">
      <c r="A15418" t="s">
        <v>168</v>
      </c>
      <c r="B15418" t="s">
        <v>4034</v>
      </c>
    </row>
    <row r="15419" spans="1:2" x14ac:dyDescent="0.25">
      <c r="A15419" t="s">
        <v>11350</v>
      </c>
      <c r="B15419" t="s">
        <v>4034</v>
      </c>
    </row>
    <row r="15420" spans="1:2" x14ac:dyDescent="0.25">
      <c r="A15420" t="s">
        <v>4018</v>
      </c>
      <c r="B15420" t="s">
        <v>4034</v>
      </c>
    </row>
    <row r="15421" spans="1:2" x14ac:dyDescent="0.25">
      <c r="A15421" t="s">
        <v>8454</v>
      </c>
      <c r="B15421" t="s">
        <v>4018</v>
      </c>
    </row>
    <row r="15422" spans="1:2" x14ac:dyDescent="0.25">
      <c r="A15422" t="s">
        <v>2250</v>
      </c>
      <c r="B15422" t="s">
        <v>6692</v>
      </c>
    </row>
    <row r="15423" spans="1:2" x14ac:dyDescent="0.25">
      <c r="A15423" t="s">
        <v>5418</v>
      </c>
      <c r="B15423" t="s">
        <v>2250</v>
      </c>
    </row>
    <row r="15424" spans="1:2" x14ac:dyDescent="0.25">
      <c r="A15424" t="s">
        <v>6241</v>
      </c>
      <c r="B15424" t="s">
        <v>2250</v>
      </c>
    </row>
    <row r="15425" spans="1:2" x14ac:dyDescent="0.25">
      <c r="A15425" t="s">
        <v>14878</v>
      </c>
      <c r="B15425" t="s">
        <v>14827</v>
      </c>
    </row>
    <row r="15426" spans="1:2" x14ac:dyDescent="0.25">
      <c r="A15426" t="s">
        <v>14828</v>
      </c>
      <c r="B15426" t="s">
        <v>14825</v>
      </c>
    </row>
    <row r="15427" spans="1:2" x14ac:dyDescent="0.25">
      <c r="A15427" t="s">
        <v>6711</v>
      </c>
      <c r="B15427" t="s">
        <v>14828</v>
      </c>
    </row>
    <row r="15428" spans="1:2" x14ac:dyDescent="0.25">
      <c r="A15428" t="s">
        <v>4037</v>
      </c>
      <c r="B15428" t="s">
        <v>6711</v>
      </c>
    </row>
    <row r="15429" spans="1:2" x14ac:dyDescent="0.25">
      <c r="A15429" t="s">
        <v>6712</v>
      </c>
      <c r="B15429" t="s">
        <v>4037</v>
      </c>
    </row>
    <row r="15430" spans="1:2" x14ac:dyDescent="0.25">
      <c r="A15430" t="s">
        <v>6713</v>
      </c>
      <c r="B15430" t="s">
        <v>4037</v>
      </c>
    </row>
    <row r="15431" spans="1:2" x14ac:dyDescent="0.25">
      <c r="A15431" t="s">
        <v>368</v>
      </c>
      <c r="B15431" t="s">
        <v>4037</v>
      </c>
    </row>
    <row r="15432" spans="1:2" x14ac:dyDescent="0.25">
      <c r="A15432" t="s">
        <v>3078</v>
      </c>
      <c r="B15432" t="s">
        <v>4037</v>
      </c>
    </row>
    <row r="15433" spans="1:2" x14ac:dyDescent="0.25">
      <c r="A15433" t="s">
        <v>198</v>
      </c>
      <c r="B15433" t="s">
        <v>4037</v>
      </c>
    </row>
    <row r="15434" spans="1:2" x14ac:dyDescent="0.25">
      <c r="A15434" t="s">
        <v>199</v>
      </c>
      <c r="B15434" t="s">
        <v>4037</v>
      </c>
    </row>
    <row r="15435" spans="1:2" x14ac:dyDescent="0.25">
      <c r="A15435" t="s">
        <v>369</v>
      </c>
      <c r="B15435" t="s">
        <v>4037</v>
      </c>
    </row>
    <row r="15436" spans="1:2" x14ac:dyDescent="0.25">
      <c r="A15436" t="s">
        <v>200</v>
      </c>
      <c r="B15436" t="s">
        <v>4037</v>
      </c>
    </row>
    <row r="15437" spans="1:2" x14ac:dyDescent="0.25">
      <c r="A15437" t="s">
        <v>11360</v>
      </c>
      <c r="B15437" t="s">
        <v>4037</v>
      </c>
    </row>
    <row r="15438" spans="1:2" x14ac:dyDescent="0.25">
      <c r="A15438" t="s">
        <v>3517</v>
      </c>
      <c r="B15438" t="s">
        <v>4037</v>
      </c>
    </row>
    <row r="15439" spans="1:2" x14ac:dyDescent="0.25">
      <c r="A15439" t="s">
        <v>7953</v>
      </c>
      <c r="B15439" t="s">
        <v>3517</v>
      </c>
    </row>
    <row r="15440" spans="1:2" x14ac:dyDescent="0.25">
      <c r="A15440" t="s">
        <v>2253</v>
      </c>
      <c r="B15440" t="s">
        <v>6711</v>
      </c>
    </row>
    <row r="15441" spans="1:2" x14ac:dyDescent="0.25">
      <c r="A15441" t="s">
        <v>4959</v>
      </c>
      <c r="B15441" t="s">
        <v>2253</v>
      </c>
    </row>
    <row r="15442" spans="1:2" x14ac:dyDescent="0.25">
      <c r="A15442" t="s">
        <v>6746</v>
      </c>
      <c r="B15442" t="s">
        <v>2253</v>
      </c>
    </row>
    <row r="15443" spans="1:2" x14ac:dyDescent="0.25">
      <c r="A15443" t="s">
        <v>4960</v>
      </c>
      <c r="B15443" t="s">
        <v>2253</v>
      </c>
    </row>
    <row r="15444" spans="1:2" x14ac:dyDescent="0.25">
      <c r="A15444" t="s">
        <v>6747</v>
      </c>
      <c r="B15444" t="s">
        <v>2253</v>
      </c>
    </row>
    <row r="15445" spans="1:2" x14ac:dyDescent="0.25">
      <c r="A15445" t="s">
        <v>12868</v>
      </c>
      <c r="B15445" t="s">
        <v>14828</v>
      </c>
    </row>
    <row r="15446" spans="1:2" x14ac:dyDescent="0.25">
      <c r="A15446" t="s">
        <v>14829</v>
      </c>
      <c r="B15446" t="s">
        <v>14825</v>
      </c>
    </row>
    <row r="15447" spans="1:2" x14ac:dyDescent="0.25">
      <c r="A15447" t="s">
        <v>14879</v>
      </c>
      <c r="B15447" t="s">
        <v>14829</v>
      </c>
    </row>
    <row r="15448" spans="1:2" x14ac:dyDescent="0.25">
      <c r="A15448" t="s">
        <v>5386</v>
      </c>
      <c r="B15448" t="s">
        <v>14829</v>
      </c>
    </row>
    <row r="15449" spans="1:2" x14ac:dyDescent="0.25">
      <c r="A15449" t="s">
        <v>2644</v>
      </c>
      <c r="B15449" t="s">
        <v>5386</v>
      </c>
    </row>
    <row r="15450" spans="1:2" x14ac:dyDescent="0.25">
      <c r="A15450" t="s">
        <v>6684</v>
      </c>
      <c r="B15450" t="s">
        <v>2644</v>
      </c>
    </row>
    <row r="15451" spans="1:2" x14ac:dyDescent="0.25">
      <c r="A15451" t="s">
        <v>8434</v>
      </c>
      <c r="B15451" t="s">
        <v>6684</v>
      </c>
    </row>
    <row r="15452" spans="1:2" x14ac:dyDescent="0.25">
      <c r="A15452" t="s">
        <v>6685</v>
      </c>
      <c r="B15452" t="s">
        <v>8434</v>
      </c>
    </row>
    <row r="15453" spans="1:2" x14ac:dyDescent="0.25">
      <c r="A15453" t="s">
        <v>9677</v>
      </c>
      <c r="B15453" t="s">
        <v>8434</v>
      </c>
    </row>
    <row r="15454" spans="1:2" x14ac:dyDescent="0.25">
      <c r="A15454" t="s">
        <v>10174</v>
      </c>
      <c r="B15454" t="s">
        <v>8434</v>
      </c>
    </row>
    <row r="15455" spans="1:2" x14ac:dyDescent="0.25">
      <c r="A15455" t="s">
        <v>8435</v>
      </c>
      <c r="B15455" t="s">
        <v>6684</v>
      </c>
    </row>
    <row r="15456" spans="1:2" x14ac:dyDescent="0.25">
      <c r="A15456" t="s">
        <v>8436</v>
      </c>
      <c r="B15456" t="s">
        <v>8435</v>
      </c>
    </row>
    <row r="15457" spans="1:2" x14ac:dyDescent="0.25">
      <c r="A15457" t="s">
        <v>5388</v>
      </c>
      <c r="B15457" t="s">
        <v>8435</v>
      </c>
    </row>
    <row r="15458" spans="1:2" x14ac:dyDescent="0.25">
      <c r="A15458" t="s">
        <v>8437</v>
      </c>
      <c r="B15458" t="s">
        <v>6684</v>
      </c>
    </row>
    <row r="15459" spans="1:2" x14ac:dyDescent="0.25">
      <c r="A15459" t="s">
        <v>6222</v>
      </c>
      <c r="B15459" t="s">
        <v>8437</v>
      </c>
    </row>
    <row r="15460" spans="1:2" x14ac:dyDescent="0.25">
      <c r="A15460" t="s">
        <v>8438</v>
      </c>
      <c r="B15460" t="s">
        <v>6684</v>
      </c>
    </row>
    <row r="15461" spans="1:2" x14ac:dyDescent="0.25">
      <c r="A15461" t="s">
        <v>4524</v>
      </c>
      <c r="B15461" t="s">
        <v>8438</v>
      </c>
    </row>
    <row r="15462" spans="1:2" x14ac:dyDescent="0.25">
      <c r="A15462" t="s">
        <v>6221</v>
      </c>
      <c r="B15462" t="s">
        <v>8438</v>
      </c>
    </row>
    <row r="15463" spans="1:2" x14ac:dyDescent="0.25">
      <c r="A15463" t="s">
        <v>5389</v>
      </c>
      <c r="B15463" t="s">
        <v>8438</v>
      </c>
    </row>
    <row r="15464" spans="1:2" x14ac:dyDescent="0.25">
      <c r="A15464" t="s">
        <v>9679</v>
      </c>
      <c r="B15464" t="s">
        <v>8438</v>
      </c>
    </row>
    <row r="15465" spans="1:2" x14ac:dyDescent="0.25">
      <c r="A15465" t="s">
        <v>9262</v>
      </c>
      <c r="B15465" t="s">
        <v>8438</v>
      </c>
    </row>
    <row r="15466" spans="1:2" x14ac:dyDescent="0.25">
      <c r="A15466" t="s">
        <v>8439</v>
      </c>
      <c r="B15466" t="s">
        <v>6684</v>
      </c>
    </row>
    <row r="15467" spans="1:2" x14ac:dyDescent="0.25">
      <c r="A15467" t="s">
        <v>151</v>
      </c>
      <c r="B15467" t="s">
        <v>6684</v>
      </c>
    </row>
    <row r="15468" spans="1:2" x14ac:dyDescent="0.25">
      <c r="A15468" t="s">
        <v>13576</v>
      </c>
      <c r="B15468" t="s">
        <v>6684</v>
      </c>
    </row>
    <row r="15469" spans="1:2" x14ac:dyDescent="0.25">
      <c r="A15469" t="s">
        <v>5387</v>
      </c>
      <c r="B15469" t="s">
        <v>6684</v>
      </c>
    </row>
    <row r="15470" spans="1:2" x14ac:dyDescent="0.25">
      <c r="A15470" t="s">
        <v>9678</v>
      </c>
      <c r="B15470" t="s">
        <v>5387</v>
      </c>
    </row>
    <row r="15471" spans="1:2" x14ac:dyDescent="0.25">
      <c r="A15471" t="s">
        <v>15162</v>
      </c>
      <c r="B15471" t="s">
        <v>5387</v>
      </c>
    </row>
    <row r="15472" spans="1:2" x14ac:dyDescent="0.25">
      <c r="A15472" t="s">
        <v>16416</v>
      </c>
      <c r="B15472" t="s">
        <v>6684</v>
      </c>
    </row>
    <row r="15473" spans="1:2" x14ac:dyDescent="0.25">
      <c r="A15473" t="s">
        <v>6223</v>
      </c>
      <c r="B15473" t="s">
        <v>2644</v>
      </c>
    </row>
    <row r="15474" spans="1:2" x14ac:dyDescent="0.25">
      <c r="A15474" t="s">
        <v>152</v>
      </c>
      <c r="B15474" t="s">
        <v>2644</v>
      </c>
    </row>
    <row r="15475" spans="1:2" x14ac:dyDescent="0.25">
      <c r="A15475" t="s">
        <v>2635</v>
      </c>
      <c r="B15475" t="s">
        <v>2644</v>
      </c>
    </row>
    <row r="15476" spans="1:2" x14ac:dyDescent="0.25">
      <c r="A15476" t="s">
        <v>153</v>
      </c>
      <c r="B15476" t="s">
        <v>2644</v>
      </c>
    </row>
    <row r="15477" spans="1:2" x14ac:dyDescent="0.25">
      <c r="A15477" t="s">
        <v>154</v>
      </c>
      <c r="B15477" t="s">
        <v>2644</v>
      </c>
    </row>
    <row r="15478" spans="1:2" x14ac:dyDescent="0.25">
      <c r="A15478" t="s">
        <v>345</v>
      </c>
      <c r="B15478" t="s">
        <v>2644</v>
      </c>
    </row>
    <row r="15479" spans="1:2" x14ac:dyDescent="0.25">
      <c r="A15479" t="s">
        <v>155</v>
      </c>
      <c r="B15479" t="s">
        <v>2644</v>
      </c>
    </row>
    <row r="15480" spans="1:2" x14ac:dyDescent="0.25">
      <c r="A15480" t="s">
        <v>11346</v>
      </c>
      <c r="B15480" t="s">
        <v>2644</v>
      </c>
    </row>
    <row r="15481" spans="1:2" x14ac:dyDescent="0.25">
      <c r="A15481" t="s">
        <v>10682</v>
      </c>
      <c r="B15481" t="s">
        <v>11346</v>
      </c>
    </row>
    <row r="15482" spans="1:2" x14ac:dyDescent="0.25">
      <c r="A15482" t="s">
        <v>3084</v>
      </c>
      <c r="B15482" t="s">
        <v>2644</v>
      </c>
    </row>
    <row r="15483" spans="1:2" x14ac:dyDescent="0.25">
      <c r="A15483" t="s">
        <v>8457</v>
      </c>
      <c r="B15483" t="s">
        <v>2644</v>
      </c>
    </row>
    <row r="15484" spans="1:2" x14ac:dyDescent="0.25">
      <c r="A15484" t="s">
        <v>382</v>
      </c>
      <c r="B15484" t="s">
        <v>5386</v>
      </c>
    </row>
    <row r="15485" spans="1:2" x14ac:dyDescent="0.25">
      <c r="A15485" t="s">
        <v>3117</v>
      </c>
      <c r="B15485" t="s">
        <v>382</v>
      </c>
    </row>
    <row r="15486" spans="1:2" x14ac:dyDescent="0.25">
      <c r="A15486" t="s">
        <v>9697</v>
      </c>
      <c r="B15486" t="s">
        <v>382</v>
      </c>
    </row>
    <row r="15487" spans="1:2" x14ac:dyDescent="0.25">
      <c r="A15487" t="s">
        <v>16417</v>
      </c>
      <c r="B15487" t="s">
        <v>382</v>
      </c>
    </row>
    <row r="15488" spans="1:2" x14ac:dyDescent="0.25">
      <c r="A15488" t="s">
        <v>5017</v>
      </c>
      <c r="B15488" t="s">
        <v>382</v>
      </c>
    </row>
    <row r="15489" spans="1:2" x14ac:dyDescent="0.25">
      <c r="A15489" t="s">
        <v>4580</v>
      </c>
      <c r="B15489" t="s">
        <v>382</v>
      </c>
    </row>
    <row r="15490" spans="1:2" x14ac:dyDescent="0.25">
      <c r="A15490" t="s">
        <v>5390</v>
      </c>
      <c r="B15490" t="s">
        <v>382</v>
      </c>
    </row>
    <row r="15491" spans="1:2" x14ac:dyDescent="0.25">
      <c r="A15491" t="s">
        <v>13413</v>
      </c>
      <c r="B15491" t="s">
        <v>382</v>
      </c>
    </row>
    <row r="15492" spans="1:2" x14ac:dyDescent="0.25">
      <c r="A15492" t="s">
        <v>14880</v>
      </c>
      <c r="B15492" t="s">
        <v>382</v>
      </c>
    </row>
    <row r="15493" spans="1:2" x14ac:dyDescent="0.25">
      <c r="A15493" t="s">
        <v>5393</v>
      </c>
      <c r="B15493" t="s">
        <v>14829</v>
      </c>
    </row>
    <row r="15494" spans="1:2" x14ac:dyDescent="0.25">
      <c r="A15494" t="s">
        <v>2651</v>
      </c>
      <c r="B15494" t="s">
        <v>5393</v>
      </c>
    </row>
    <row r="15495" spans="1:2" x14ac:dyDescent="0.25">
      <c r="A15495" t="s">
        <v>6714</v>
      </c>
      <c r="B15495" t="s">
        <v>2651</v>
      </c>
    </row>
    <row r="15496" spans="1:2" x14ac:dyDescent="0.25">
      <c r="A15496" t="s">
        <v>6227</v>
      </c>
      <c r="B15496" t="s">
        <v>2651</v>
      </c>
    </row>
    <row r="15497" spans="1:2" x14ac:dyDescent="0.25">
      <c r="A15497" t="s">
        <v>201</v>
      </c>
      <c r="B15497" t="s">
        <v>2651</v>
      </c>
    </row>
    <row r="15498" spans="1:2" x14ac:dyDescent="0.25">
      <c r="A15498" t="s">
        <v>2639</v>
      </c>
      <c r="B15498" t="s">
        <v>2651</v>
      </c>
    </row>
    <row r="15499" spans="1:2" x14ac:dyDescent="0.25">
      <c r="A15499" t="s">
        <v>202</v>
      </c>
      <c r="B15499" t="s">
        <v>2651</v>
      </c>
    </row>
    <row r="15500" spans="1:2" x14ac:dyDescent="0.25">
      <c r="A15500" t="s">
        <v>203</v>
      </c>
      <c r="B15500" t="s">
        <v>2651</v>
      </c>
    </row>
    <row r="15501" spans="1:2" x14ac:dyDescent="0.25">
      <c r="A15501" t="s">
        <v>370</v>
      </c>
      <c r="B15501" t="s">
        <v>2651</v>
      </c>
    </row>
    <row r="15502" spans="1:2" x14ac:dyDescent="0.25">
      <c r="A15502" t="s">
        <v>4525</v>
      </c>
      <c r="B15502" t="s">
        <v>2651</v>
      </c>
    </row>
    <row r="15503" spans="1:2" x14ac:dyDescent="0.25">
      <c r="A15503" t="s">
        <v>11361</v>
      </c>
      <c r="B15503" t="s">
        <v>2651</v>
      </c>
    </row>
    <row r="15504" spans="1:2" x14ac:dyDescent="0.25">
      <c r="A15504" t="s">
        <v>3083</v>
      </c>
      <c r="B15504" t="s">
        <v>2651</v>
      </c>
    </row>
    <row r="15505" spans="1:2" x14ac:dyDescent="0.25">
      <c r="A15505" t="s">
        <v>8456</v>
      </c>
      <c r="B15505" t="s">
        <v>3083</v>
      </c>
    </row>
    <row r="15506" spans="1:2" x14ac:dyDescent="0.25">
      <c r="A15506" t="s">
        <v>385</v>
      </c>
      <c r="B15506" t="s">
        <v>5393</v>
      </c>
    </row>
    <row r="15507" spans="1:2" x14ac:dyDescent="0.25">
      <c r="A15507" t="s">
        <v>7350</v>
      </c>
      <c r="B15507" t="s">
        <v>385</v>
      </c>
    </row>
    <row r="15508" spans="1:2" x14ac:dyDescent="0.25">
      <c r="A15508" t="s">
        <v>14830</v>
      </c>
      <c r="B15508" t="s">
        <v>14825</v>
      </c>
    </row>
    <row r="15509" spans="1:2" x14ac:dyDescent="0.25">
      <c r="A15509" t="s">
        <v>5786</v>
      </c>
      <c r="B15509" t="s">
        <v>14830</v>
      </c>
    </row>
    <row r="15510" spans="1:2" x14ac:dyDescent="0.25">
      <c r="A15510" t="s">
        <v>3105</v>
      </c>
      <c r="B15510" t="s">
        <v>5786</v>
      </c>
    </row>
    <row r="15511" spans="1:2" x14ac:dyDescent="0.25">
      <c r="A15511" t="s">
        <v>6722</v>
      </c>
      <c r="B15511" t="s">
        <v>3105</v>
      </c>
    </row>
    <row r="15512" spans="1:2" x14ac:dyDescent="0.25">
      <c r="A15512" t="s">
        <v>6723</v>
      </c>
      <c r="B15512" t="s">
        <v>3105</v>
      </c>
    </row>
    <row r="15513" spans="1:2" x14ac:dyDescent="0.25">
      <c r="A15513" t="s">
        <v>377</v>
      </c>
      <c r="B15513" t="s">
        <v>3105</v>
      </c>
    </row>
    <row r="15514" spans="1:2" x14ac:dyDescent="0.25">
      <c r="A15514" t="s">
        <v>3081</v>
      </c>
      <c r="B15514" t="s">
        <v>3105</v>
      </c>
    </row>
    <row r="15515" spans="1:2" x14ac:dyDescent="0.25">
      <c r="A15515" t="s">
        <v>214</v>
      </c>
      <c r="B15515" t="s">
        <v>3105</v>
      </c>
    </row>
    <row r="15516" spans="1:2" x14ac:dyDescent="0.25">
      <c r="A15516" t="s">
        <v>215</v>
      </c>
      <c r="B15516" t="s">
        <v>3105</v>
      </c>
    </row>
    <row r="15517" spans="1:2" x14ac:dyDescent="0.25">
      <c r="A15517" t="s">
        <v>378</v>
      </c>
      <c r="B15517" t="s">
        <v>3105</v>
      </c>
    </row>
    <row r="15518" spans="1:2" x14ac:dyDescent="0.25">
      <c r="A15518" t="s">
        <v>216</v>
      </c>
      <c r="B15518" t="s">
        <v>3105</v>
      </c>
    </row>
    <row r="15519" spans="1:2" x14ac:dyDescent="0.25">
      <c r="A15519" t="s">
        <v>11365</v>
      </c>
      <c r="B15519" t="s">
        <v>3105</v>
      </c>
    </row>
    <row r="15520" spans="1:2" x14ac:dyDescent="0.25">
      <c r="A15520" t="s">
        <v>3520</v>
      </c>
      <c r="B15520" t="s">
        <v>3105</v>
      </c>
    </row>
    <row r="15521" spans="1:2" x14ac:dyDescent="0.25">
      <c r="A15521" t="s">
        <v>8462</v>
      </c>
      <c r="B15521" t="s">
        <v>3520</v>
      </c>
    </row>
    <row r="15522" spans="1:2" x14ac:dyDescent="0.25">
      <c r="A15522" t="s">
        <v>486</v>
      </c>
      <c r="B15522" t="s">
        <v>5786</v>
      </c>
    </row>
    <row r="15523" spans="1:2" x14ac:dyDescent="0.25">
      <c r="A15523" t="s">
        <v>3548</v>
      </c>
      <c r="B15523" t="s">
        <v>486</v>
      </c>
    </row>
    <row r="15524" spans="1:2" x14ac:dyDescent="0.25">
      <c r="A15524" t="s">
        <v>4528</v>
      </c>
      <c r="B15524" t="s">
        <v>14830</v>
      </c>
    </row>
    <row r="15525" spans="1:2" x14ac:dyDescent="0.25">
      <c r="A15525" t="s">
        <v>1650</v>
      </c>
      <c r="B15525" t="s">
        <v>4528</v>
      </c>
    </row>
    <row r="15526" spans="1:2" x14ac:dyDescent="0.25">
      <c r="A15526" t="s">
        <v>4544</v>
      </c>
      <c r="B15526" t="s">
        <v>1650</v>
      </c>
    </row>
    <row r="15527" spans="1:2" x14ac:dyDescent="0.25">
      <c r="A15527" t="s">
        <v>12942</v>
      </c>
      <c r="B15527" t="s">
        <v>4544</v>
      </c>
    </row>
    <row r="15528" spans="1:2" x14ac:dyDescent="0.25">
      <c r="A15528" t="s">
        <v>12943</v>
      </c>
      <c r="B15528" t="s">
        <v>4544</v>
      </c>
    </row>
    <row r="15529" spans="1:2" x14ac:dyDescent="0.25">
      <c r="A15529" t="s">
        <v>3534</v>
      </c>
      <c r="B15529" t="s">
        <v>1650</v>
      </c>
    </row>
    <row r="15530" spans="1:2" x14ac:dyDescent="0.25">
      <c r="A15530" t="s">
        <v>12944</v>
      </c>
      <c r="B15530" t="s">
        <v>3534</v>
      </c>
    </row>
    <row r="15531" spans="1:2" x14ac:dyDescent="0.25">
      <c r="A15531" t="s">
        <v>12945</v>
      </c>
      <c r="B15531" t="s">
        <v>3534</v>
      </c>
    </row>
    <row r="15532" spans="1:2" x14ac:dyDescent="0.25">
      <c r="A15532" t="s">
        <v>230</v>
      </c>
      <c r="B15532" t="s">
        <v>4528</v>
      </c>
    </row>
    <row r="15533" spans="1:2" x14ac:dyDescent="0.25">
      <c r="A15533" t="s">
        <v>11037</v>
      </c>
      <c r="B15533" t="s">
        <v>230</v>
      </c>
    </row>
    <row r="15534" spans="1:2" x14ac:dyDescent="0.25">
      <c r="A15534" t="s">
        <v>5782</v>
      </c>
      <c r="B15534" t="s">
        <v>14830</v>
      </c>
    </row>
    <row r="15535" spans="1:2" x14ac:dyDescent="0.25">
      <c r="A15535" t="s">
        <v>3098</v>
      </c>
      <c r="B15535" t="s">
        <v>5782</v>
      </c>
    </row>
    <row r="15536" spans="1:2" x14ac:dyDescent="0.25">
      <c r="A15536" t="s">
        <v>6695</v>
      </c>
      <c r="B15536" t="s">
        <v>3098</v>
      </c>
    </row>
    <row r="15537" spans="1:2" x14ac:dyDescent="0.25">
      <c r="A15537" t="s">
        <v>6696</v>
      </c>
      <c r="B15537" t="s">
        <v>3098</v>
      </c>
    </row>
    <row r="15538" spans="1:2" x14ac:dyDescent="0.25">
      <c r="A15538" t="s">
        <v>353</v>
      </c>
      <c r="B15538" t="s">
        <v>3098</v>
      </c>
    </row>
    <row r="15539" spans="1:2" x14ac:dyDescent="0.25">
      <c r="A15539" t="s">
        <v>3073</v>
      </c>
      <c r="B15539" t="s">
        <v>3098</v>
      </c>
    </row>
    <row r="15540" spans="1:2" x14ac:dyDescent="0.25">
      <c r="A15540" t="s">
        <v>169</v>
      </c>
      <c r="B15540" t="s">
        <v>3098</v>
      </c>
    </row>
    <row r="15541" spans="1:2" x14ac:dyDescent="0.25">
      <c r="A15541" t="s">
        <v>170</v>
      </c>
      <c r="B15541" t="s">
        <v>3098</v>
      </c>
    </row>
    <row r="15542" spans="1:2" x14ac:dyDescent="0.25">
      <c r="A15542" t="s">
        <v>354</v>
      </c>
      <c r="B15542" t="s">
        <v>3098</v>
      </c>
    </row>
    <row r="15543" spans="1:2" x14ac:dyDescent="0.25">
      <c r="A15543" t="s">
        <v>171</v>
      </c>
      <c r="B15543" t="s">
        <v>3098</v>
      </c>
    </row>
    <row r="15544" spans="1:2" x14ac:dyDescent="0.25">
      <c r="A15544" t="s">
        <v>11351</v>
      </c>
      <c r="B15544" t="s">
        <v>3098</v>
      </c>
    </row>
    <row r="15545" spans="1:2" x14ac:dyDescent="0.25">
      <c r="A15545" t="s">
        <v>4019</v>
      </c>
      <c r="B15545" t="s">
        <v>3098</v>
      </c>
    </row>
    <row r="15546" spans="1:2" x14ac:dyDescent="0.25">
      <c r="A15546" t="s">
        <v>8455</v>
      </c>
      <c r="B15546" t="s">
        <v>4019</v>
      </c>
    </row>
    <row r="15547" spans="1:2" x14ac:dyDescent="0.25">
      <c r="A15547" t="s">
        <v>483</v>
      </c>
      <c r="B15547" t="s">
        <v>5782</v>
      </c>
    </row>
    <row r="15548" spans="1:2" x14ac:dyDescent="0.25">
      <c r="A15548" t="s">
        <v>3549</v>
      </c>
      <c r="B15548" t="s">
        <v>483</v>
      </c>
    </row>
    <row r="15549" spans="1:2" x14ac:dyDescent="0.25">
      <c r="A15549" t="s">
        <v>14831</v>
      </c>
      <c r="B15549" t="s">
        <v>14825</v>
      </c>
    </row>
    <row r="15550" spans="1:2" x14ac:dyDescent="0.25">
      <c r="A15550" t="s">
        <v>14881</v>
      </c>
      <c r="B15550" t="s">
        <v>14831</v>
      </c>
    </row>
    <row r="15551" spans="1:2" x14ac:dyDescent="0.25">
      <c r="A15551" t="s">
        <v>9270</v>
      </c>
      <c r="B15551" t="s">
        <v>14831</v>
      </c>
    </row>
    <row r="15552" spans="1:2" x14ac:dyDescent="0.25">
      <c r="A15552" t="s">
        <v>6238</v>
      </c>
      <c r="B15552" t="s">
        <v>9270</v>
      </c>
    </row>
    <row r="15553" spans="1:2" x14ac:dyDescent="0.25">
      <c r="A15553" t="s">
        <v>4542</v>
      </c>
      <c r="B15553" t="s">
        <v>6238</v>
      </c>
    </row>
    <row r="15554" spans="1:2" x14ac:dyDescent="0.25">
      <c r="A15554" t="s">
        <v>3533</v>
      </c>
      <c r="B15554" t="s">
        <v>6238</v>
      </c>
    </row>
    <row r="15555" spans="1:2" x14ac:dyDescent="0.25">
      <c r="A15555" t="s">
        <v>12946</v>
      </c>
      <c r="B15555" t="s">
        <v>3533</v>
      </c>
    </row>
    <row r="15556" spans="1:2" x14ac:dyDescent="0.25">
      <c r="A15556" t="s">
        <v>12947</v>
      </c>
      <c r="B15556" t="s">
        <v>3533</v>
      </c>
    </row>
    <row r="15557" spans="1:2" x14ac:dyDescent="0.25">
      <c r="A15557" t="s">
        <v>4543</v>
      </c>
      <c r="B15557" t="s">
        <v>9270</v>
      </c>
    </row>
    <row r="15558" spans="1:2" x14ac:dyDescent="0.25">
      <c r="A15558" t="s">
        <v>11048</v>
      </c>
      <c r="B15558" t="s">
        <v>4543</v>
      </c>
    </row>
    <row r="15559" spans="1:2" x14ac:dyDescent="0.25">
      <c r="A15559" t="s">
        <v>8865</v>
      </c>
      <c r="B15559" t="s">
        <v>14831</v>
      </c>
    </row>
    <row r="15560" spans="1:2" x14ac:dyDescent="0.25">
      <c r="A15560" t="s">
        <v>5801</v>
      </c>
      <c r="B15560" t="s">
        <v>8865</v>
      </c>
    </row>
    <row r="15561" spans="1:2" x14ac:dyDescent="0.25">
      <c r="A15561" t="s">
        <v>4541</v>
      </c>
      <c r="B15561" t="s">
        <v>5801</v>
      </c>
    </row>
    <row r="15562" spans="1:2" x14ac:dyDescent="0.25">
      <c r="A15562" t="s">
        <v>12948</v>
      </c>
      <c r="B15562" t="s">
        <v>4541</v>
      </c>
    </row>
    <row r="15563" spans="1:2" x14ac:dyDescent="0.25">
      <c r="A15563" t="s">
        <v>12949</v>
      </c>
      <c r="B15563" t="s">
        <v>4541</v>
      </c>
    </row>
    <row r="15564" spans="1:2" x14ac:dyDescent="0.25">
      <c r="A15564" t="s">
        <v>3532</v>
      </c>
      <c r="B15564" t="s">
        <v>5801</v>
      </c>
    </row>
    <row r="15565" spans="1:2" x14ac:dyDescent="0.25">
      <c r="A15565" t="s">
        <v>12950</v>
      </c>
      <c r="B15565" t="s">
        <v>3532</v>
      </c>
    </row>
    <row r="15566" spans="1:2" x14ac:dyDescent="0.25">
      <c r="A15566" t="s">
        <v>12951</v>
      </c>
      <c r="B15566" t="s">
        <v>3532</v>
      </c>
    </row>
    <row r="15567" spans="1:2" x14ac:dyDescent="0.25">
      <c r="A15567" t="s">
        <v>4042</v>
      </c>
      <c r="B15567" t="s">
        <v>8865</v>
      </c>
    </row>
    <row r="15568" spans="1:2" x14ac:dyDescent="0.25">
      <c r="A15568" t="s">
        <v>11049</v>
      </c>
      <c r="B15568" t="s">
        <v>4042</v>
      </c>
    </row>
    <row r="15569" spans="1:2" x14ac:dyDescent="0.25">
      <c r="A15569" t="s">
        <v>6707</v>
      </c>
      <c r="B15569" t="s">
        <v>14831</v>
      </c>
    </row>
    <row r="15570" spans="1:2" x14ac:dyDescent="0.25">
      <c r="A15570" t="s">
        <v>4036</v>
      </c>
      <c r="B15570" t="s">
        <v>6707</v>
      </c>
    </row>
    <row r="15571" spans="1:2" x14ac:dyDescent="0.25">
      <c r="A15571" t="s">
        <v>6708</v>
      </c>
      <c r="B15571" t="s">
        <v>4036</v>
      </c>
    </row>
    <row r="15572" spans="1:2" x14ac:dyDescent="0.25">
      <c r="A15572" t="s">
        <v>6226</v>
      </c>
      <c r="B15572" t="s">
        <v>4036</v>
      </c>
    </row>
    <row r="15573" spans="1:2" x14ac:dyDescent="0.25">
      <c r="A15573" t="s">
        <v>190</v>
      </c>
      <c r="B15573" t="s">
        <v>4036</v>
      </c>
    </row>
    <row r="15574" spans="1:2" x14ac:dyDescent="0.25">
      <c r="A15574" t="s">
        <v>2638</v>
      </c>
      <c r="B15574" t="s">
        <v>4036</v>
      </c>
    </row>
    <row r="15575" spans="1:2" x14ac:dyDescent="0.25">
      <c r="A15575" t="s">
        <v>191</v>
      </c>
      <c r="B15575" t="s">
        <v>4036</v>
      </c>
    </row>
    <row r="15576" spans="1:2" x14ac:dyDescent="0.25">
      <c r="A15576" t="s">
        <v>192</v>
      </c>
      <c r="B15576" t="s">
        <v>4036</v>
      </c>
    </row>
    <row r="15577" spans="1:2" x14ac:dyDescent="0.25">
      <c r="A15577" t="s">
        <v>365</v>
      </c>
      <c r="B15577" t="s">
        <v>4036</v>
      </c>
    </row>
    <row r="15578" spans="1:2" x14ac:dyDescent="0.25">
      <c r="A15578" t="s">
        <v>193</v>
      </c>
      <c r="B15578" t="s">
        <v>4036</v>
      </c>
    </row>
    <row r="15579" spans="1:2" x14ac:dyDescent="0.25">
      <c r="A15579" t="s">
        <v>11358</v>
      </c>
      <c r="B15579" t="s">
        <v>4036</v>
      </c>
    </row>
    <row r="15580" spans="1:2" x14ac:dyDescent="0.25">
      <c r="A15580" t="s">
        <v>3082</v>
      </c>
      <c r="B15580" t="s">
        <v>4036</v>
      </c>
    </row>
    <row r="15581" spans="1:2" x14ac:dyDescent="0.25">
      <c r="A15581" t="s">
        <v>8450</v>
      </c>
      <c r="B15581" t="s">
        <v>3082</v>
      </c>
    </row>
    <row r="15582" spans="1:2" x14ac:dyDescent="0.25">
      <c r="A15582" t="s">
        <v>2252</v>
      </c>
      <c r="B15582" t="s">
        <v>6707</v>
      </c>
    </row>
    <row r="15583" spans="1:2" x14ac:dyDescent="0.25">
      <c r="A15583" t="s">
        <v>3551</v>
      </c>
      <c r="B15583" t="s">
        <v>2252</v>
      </c>
    </row>
    <row r="15584" spans="1:2" x14ac:dyDescent="0.25">
      <c r="A15584" t="s">
        <v>16418</v>
      </c>
      <c r="B15584" t="s">
        <v>14831</v>
      </c>
    </row>
    <row r="15585" spans="1:2" x14ac:dyDescent="0.25">
      <c r="A15585" t="s">
        <v>15163</v>
      </c>
      <c r="B15585" t="s">
        <v>14825</v>
      </c>
    </row>
    <row r="15586" spans="1:2" x14ac:dyDescent="0.25">
      <c r="A15586" t="s">
        <v>14832</v>
      </c>
      <c r="B15586" t="s">
        <v>5398</v>
      </c>
    </row>
    <row r="15587" spans="1:2" x14ac:dyDescent="0.25">
      <c r="A15587" t="s">
        <v>13883</v>
      </c>
      <c r="B15587" t="s">
        <v>14832</v>
      </c>
    </row>
    <row r="15588" spans="1:2" x14ac:dyDescent="0.25">
      <c r="A15588" t="s">
        <v>13887</v>
      </c>
      <c r="B15588" t="s">
        <v>13883</v>
      </c>
    </row>
    <row r="15589" spans="1:2" x14ac:dyDescent="0.25">
      <c r="A15589" t="s">
        <v>13876</v>
      </c>
      <c r="B15589" t="s">
        <v>13883</v>
      </c>
    </row>
    <row r="15590" spans="1:2" x14ac:dyDescent="0.25">
      <c r="A15590" t="s">
        <v>13911</v>
      </c>
      <c r="B15590" t="s">
        <v>13883</v>
      </c>
    </row>
    <row r="15591" spans="1:2" x14ac:dyDescent="0.25">
      <c r="A15591" t="s">
        <v>15164</v>
      </c>
      <c r="B15591" t="s">
        <v>14832</v>
      </c>
    </row>
    <row r="15592" spans="1:2" x14ac:dyDescent="0.25">
      <c r="A15592" t="s">
        <v>7349</v>
      </c>
      <c r="B15592" t="s">
        <v>14832</v>
      </c>
    </row>
    <row r="15593" spans="1:2" x14ac:dyDescent="0.25">
      <c r="A15593" t="s">
        <v>4551</v>
      </c>
      <c r="B15593" t="s">
        <v>7349</v>
      </c>
    </row>
    <row r="15594" spans="1:2" x14ac:dyDescent="0.25">
      <c r="A15594" t="s">
        <v>4552</v>
      </c>
      <c r="B15594" t="s">
        <v>4551</v>
      </c>
    </row>
    <row r="15595" spans="1:2" x14ac:dyDescent="0.25">
      <c r="A15595" t="s">
        <v>3541</v>
      </c>
      <c r="B15595" t="s">
        <v>4551</v>
      </c>
    </row>
    <row r="15596" spans="1:2" x14ac:dyDescent="0.25">
      <c r="A15596" t="s">
        <v>2654</v>
      </c>
      <c r="B15596" t="s">
        <v>7349</v>
      </c>
    </row>
    <row r="15597" spans="1:2" x14ac:dyDescent="0.25">
      <c r="A15597" t="s">
        <v>235</v>
      </c>
      <c r="B15597" t="s">
        <v>2654</v>
      </c>
    </row>
    <row r="15598" spans="1:2" x14ac:dyDescent="0.25">
      <c r="A15598" t="s">
        <v>7971</v>
      </c>
      <c r="B15598" t="s">
        <v>14832</v>
      </c>
    </row>
    <row r="15599" spans="1:2" x14ac:dyDescent="0.25">
      <c r="A15599" t="s">
        <v>4956</v>
      </c>
      <c r="B15599" t="s">
        <v>7971</v>
      </c>
    </row>
    <row r="15600" spans="1:2" x14ac:dyDescent="0.25">
      <c r="A15600" t="s">
        <v>4553</v>
      </c>
      <c r="B15600" t="s">
        <v>4956</v>
      </c>
    </row>
    <row r="15601" spans="1:2" x14ac:dyDescent="0.25">
      <c r="A15601" t="s">
        <v>3542</v>
      </c>
      <c r="B15601" t="s">
        <v>4956</v>
      </c>
    </row>
    <row r="15602" spans="1:2" x14ac:dyDescent="0.25">
      <c r="A15602" t="s">
        <v>3113</v>
      </c>
      <c r="B15602" t="s">
        <v>7971</v>
      </c>
    </row>
    <row r="15603" spans="1:2" x14ac:dyDescent="0.25">
      <c r="A15603" t="s">
        <v>16419</v>
      </c>
      <c r="B15603" t="s">
        <v>3113</v>
      </c>
    </row>
    <row r="15604" spans="1:2" x14ac:dyDescent="0.25">
      <c r="A15604" t="s">
        <v>16420</v>
      </c>
      <c r="B15604" t="s">
        <v>3113</v>
      </c>
    </row>
    <row r="15605" spans="1:2" x14ac:dyDescent="0.25">
      <c r="A15605" t="s">
        <v>6744</v>
      </c>
      <c r="B15605" t="s">
        <v>14832</v>
      </c>
    </row>
    <row r="15606" spans="1:2" x14ac:dyDescent="0.25">
      <c r="A15606" t="s">
        <v>4051</v>
      </c>
      <c r="B15606" t="s">
        <v>6744</v>
      </c>
    </row>
    <row r="15607" spans="1:2" x14ac:dyDescent="0.25">
      <c r="A15607" t="s">
        <v>4556</v>
      </c>
      <c r="B15607" t="s">
        <v>4051</v>
      </c>
    </row>
    <row r="15608" spans="1:2" x14ac:dyDescent="0.25">
      <c r="A15608" t="s">
        <v>3545</v>
      </c>
      <c r="B15608" t="s">
        <v>4051</v>
      </c>
    </row>
    <row r="15609" spans="1:2" x14ac:dyDescent="0.25">
      <c r="A15609" t="s">
        <v>2259</v>
      </c>
      <c r="B15609" t="s">
        <v>6744</v>
      </c>
    </row>
    <row r="15610" spans="1:2" x14ac:dyDescent="0.25">
      <c r="A15610" t="s">
        <v>492</v>
      </c>
      <c r="B15610" t="s">
        <v>2259</v>
      </c>
    </row>
    <row r="15611" spans="1:2" x14ac:dyDescent="0.25">
      <c r="A15611" t="s">
        <v>6742</v>
      </c>
      <c r="B15611" t="s">
        <v>14832</v>
      </c>
    </row>
    <row r="15612" spans="1:2" x14ac:dyDescent="0.25">
      <c r="A15612" t="s">
        <v>4050</v>
      </c>
      <c r="B15612" t="s">
        <v>6742</v>
      </c>
    </row>
    <row r="15613" spans="1:2" x14ac:dyDescent="0.25">
      <c r="A15613" t="s">
        <v>4554</v>
      </c>
      <c r="B15613" t="s">
        <v>4050</v>
      </c>
    </row>
    <row r="15614" spans="1:2" x14ac:dyDescent="0.25">
      <c r="A15614" t="s">
        <v>3543</v>
      </c>
      <c r="B15614" t="s">
        <v>4050</v>
      </c>
    </row>
    <row r="15615" spans="1:2" x14ac:dyDescent="0.25">
      <c r="A15615" t="s">
        <v>2258</v>
      </c>
      <c r="B15615" t="s">
        <v>6742</v>
      </c>
    </row>
    <row r="15616" spans="1:2" x14ac:dyDescent="0.25">
      <c r="A15616" t="s">
        <v>1651</v>
      </c>
      <c r="B15616" t="s">
        <v>2258</v>
      </c>
    </row>
    <row r="15617" spans="1:2" x14ac:dyDescent="0.25">
      <c r="A15617" t="s">
        <v>5805</v>
      </c>
      <c r="B15617" t="s">
        <v>14832</v>
      </c>
    </row>
    <row r="15618" spans="1:2" x14ac:dyDescent="0.25">
      <c r="A15618" t="s">
        <v>3114</v>
      </c>
      <c r="B15618" t="s">
        <v>5805</v>
      </c>
    </row>
    <row r="15619" spans="1:2" x14ac:dyDescent="0.25">
      <c r="A15619" t="s">
        <v>4555</v>
      </c>
      <c r="B15619" t="s">
        <v>3114</v>
      </c>
    </row>
    <row r="15620" spans="1:2" x14ac:dyDescent="0.25">
      <c r="A15620" t="s">
        <v>3544</v>
      </c>
      <c r="B15620" t="s">
        <v>3114</v>
      </c>
    </row>
    <row r="15621" spans="1:2" x14ac:dyDescent="0.25">
      <c r="A15621" t="s">
        <v>489</v>
      </c>
      <c r="B15621" t="s">
        <v>5805</v>
      </c>
    </row>
    <row r="15622" spans="1:2" x14ac:dyDescent="0.25">
      <c r="A15622" t="s">
        <v>16421</v>
      </c>
      <c r="B15622" t="s">
        <v>489</v>
      </c>
    </row>
    <row r="15623" spans="1:2" x14ac:dyDescent="0.25">
      <c r="A15623" t="s">
        <v>16422</v>
      </c>
      <c r="B15623" t="s">
        <v>489</v>
      </c>
    </row>
    <row r="15624" spans="1:2" x14ac:dyDescent="0.25">
      <c r="A15624" t="s">
        <v>14833</v>
      </c>
      <c r="B15624" t="s">
        <v>5398</v>
      </c>
    </row>
    <row r="15625" spans="1:2" x14ac:dyDescent="0.25">
      <c r="A15625" t="s">
        <v>14834</v>
      </c>
      <c r="B15625" t="s">
        <v>14833</v>
      </c>
    </row>
    <row r="15626" spans="1:2" x14ac:dyDescent="0.25">
      <c r="A15626" t="s">
        <v>7959</v>
      </c>
      <c r="B15626" t="s">
        <v>14834</v>
      </c>
    </row>
    <row r="15627" spans="1:2" x14ac:dyDescent="0.25">
      <c r="A15627" t="s">
        <v>4951</v>
      </c>
      <c r="B15627" t="s">
        <v>7959</v>
      </c>
    </row>
    <row r="15628" spans="1:2" x14ac:dyDescent="0.25">
      <c r="A15628" t="s">
        <v>4548</v>
      </c>
      <c r="B15628" t="s">
        <v>4951</v>
      </c>
    </row>
    <row r="15629" spans="1:2" x14ac:dyDescent="0.25">
      <c r="A15629" t="s">
        <v>4952</v>
      </c>
      <c r="B15629" t="s">
        <v>4548</v>
      </c>
    </row>
    <row r="15630" spans="1:2" x14ac:dyDescent="0.25">
      <c r="A15630" t="s">
        <v>4953</v>
      </c>
      <c r="B15630" t="s">
        <v>4548</v>
      </c>
    </row>
    <row r="15631" spans="1:2" x14ac:dyDescent="0.25">
      <c r="A15631" t="s">
        <v>3538</v>
      </c>
      <c r="B15631" t="s">
        <v>4951</v>
      </c>
    </row>
    <row r="15632" spans="1:2" x14ac:dyDescent="0.25">
      <c r="A15632" t="s">
        <v>5411</v>
      </c>
      <c r="B15632" t="s">
        <v>3538</v>
      </c>
    </row>
    <row r="15633" spans="1:2" x14ac:dyDescent="0.25">
      <c r="A15633" t="s">
        <v>7348</v>
      </c>
      <c r="B15633" t="s">
        <v>3538</v>
      </c>
    </row>
    <row r="15634" spans="1:2" x14ac:dyDescent="0.25">
      <c r="A15634" t="s">
        <v>10698</v>
      </c>
      <c r="B15634" t="s">
        <v>3538</v>
      </c>
    </row>
    <row r="15635" spans="1:2" x14ac:dyDescent="0.25">
      <c r="A15635" t="s">
        <v>3112</v>
      </c>
      <c r="B15635" t="s">
        <v>7959</v>
      </c>
    </row>
    <row r="15636" spans="1:2" x14ac:dyDescent="0.25">
      <c r="A15636" t="s">
        <v>11041</v>
      </c>
      <c r="B15636" t="s">
        <v>3112</v>
      </c>
    </row>
    <row r="15637" spans="1:2" x14ac:dyDescent="0.25">
      <c r="A15637" t="s">
        <v>11042</v>
      </c>
      <c r="B15637" t="s">
        <v>3112</v>
      </c>
    </row>
    <row r="15638" spans="1:2" x14ac:dyDescent="0.25">
      <c r="A15638" t="s">
        <v>5785</v>
      </c>
      <c r="B15638" t="s">
        <v>14834</v>
      </c>
    </row>
    <row r="15639" spans="1:2" x14ac:dyDescent="0.25">
      <c r="A15639" t="s">
        <v>3101</v>
      </c>
      <c r="B15639" t="s">
        <v>5785</v>
      </c>
    </row>
    <row r="15640" spans="1:2" x14ac:dyDescent="0.25">
      <c r="A15640" t="s">
        <v>6715</v>
      </c>
      <c r="B15640" t="s">
        <v>3101</v>
      </c>
    </row>
    <row r="15641" spans="1:2" x14ac:dyDescent="0.25">
      <c r="A15641" t="s">
        <v>6716</v>
      </c>
      <c r="B15641" t="s">
        <v>3101</v>
      </c>
    </row>
    <row r="15642" spans="1:2" x14ac:dyDescent="0.25">
      <c r="A15642" t="s">
        <v>371</v>
      </c>
      <c r="B15642" t="s">
        <v>3101</v>
      </c>
    </row>
    <row r="15643" spans="1:2" x14ac:dyDescent="0.25">
      <c r="A15643" t="s">
        <v>204</v>
      </c>
      <c r="B15643" t="s">
        <v>3101</v>
      </c>
    </row>
    <row r="15644" spans="1:2" x14ac:dyDescent="0.25">
      <c r="A15644" t="s">
        <v>205</v>
      </c>
      <c r="B15644" t="s">
        <v>3101</v>
      </c>
    </row>
    <row r="15645" spans="1:2" x14ac:dyDescent="0.25">
      <c r="A15645" t="s">
        <v>206</v>
      </c>
      <c r="B15645" t="s">
        <v>3101</v>
      </c>
    </row>
    <row r="15646" spans="1:2" x14ac:dyDescent="0.25">
      <c r="A15646" t="s">
        <v>372</v>
      </c>
      <c r="B15646" t="s">
        <v>3101</v>
      </c>
    </row>
    <row r="15647" spans="1:2" x14ac:dyDescent="0.25">
      <c r="A15647" t="s">
        <v>207</v>
      </c>
      <c r="B15647" t="s">
        <v>3101</v>
      </c>
    </row>
    <row r="15648" spans="1:2" x14ac:dyDescent="0.25">
      <c r="A15648" t="s">
        <v>11362</v>
      </c>
      <c r="B15648" t="s">
        <v>3101</v>
      </c>
    </row>
    <row r="15649" spans="1:2" x14ac:dyDescent="0.25">
      <c r="A15649" t="s">
        <v>2640</v>
      </c>
      <c r="B15649" t="s">
        <v>3101</v>
      </c>
    </row>
    <row r="15650" spans="1:2" x14ac:dyDescent="0.25">
      <c r="A15650" t="s">
        <v>8463</v>
      </c>
      <c r="B15650" t="s">
        <v>2640</v>
      </c>
    </row>
    <row r="15651" spans="1:2" x14ac:dyDescent="0.25">
      <c r="A15651" t="s">
        <v>484</v>
      </c>
      <c r="B15651" t="s">
        <v>5785</v>
      </c>
    </row>
    <row r="15652" spans="1:2" x14ac:dyDescent="0.25">
      <c r="A15652" t="s">
        <v>4961</v>
      </c>
      <c r="B15652" t="s">
        <v>484</v>
      </c>
    </row>
    <row r="15653" spans="1:2" x14ac:dyDescent="0.25">
      <c r="A15653" t="s">
        <v>11043</v>
      </c>
      <c r="B15653" t="s">
        <v>484</v>
      </c>
    </row>
    <row r="15654" spans="1:2" x14ac:dyDescent="0.25">
      <c r="A15654" t="s">
        <v>11044</v>
      </c>
      <c r="B15654" t="s">
        <v>484</v>
      </c>
    </row>
    <row r="15655" spans="1:2" x14ac:dyDescent="0.25">
      <c r="A15655" t="s">
        <v>5798</v>
      </c>
      <c r="B15655" t="s">
        <v>14834</v>
      </c>
    </row>
    <row r="15656" spans="1:2" x14ac:dyDescent="0.25">
      <c r="A15656" t="s">
        <v>14769</v>
      </c>
      <c r="B15656" t="s">
        <v>5798</v>
      </c>
    </row>
    <row r="15657" spans="1:2" x14ac:dyDescent="0.25">
      <c r="A15657" t="s">
        <v>14770</v>
      </c>
      <c r="B15657" t="s">
        <v>5798</v>
      </c>
    </row>
    <row r="15658" spans="1:2" x14ac:dyDescent="0.25">
      <c r="A15658" t="s">
        <v>14771</v>
      </c>
      <c r="B15658" t="s">
        <v>5798</v>
      </c>
    </row>
    <row r="15659" spans="1:2" x14ac:dyDescent="0.25">
      <c r="A15659" t="s">
        <v>14772</v>
      </c>
      <c r="B15659" t="s">
        <v>5798</v>
      </c>
    </row>
    <row r="15660" spans="1:2" x14ac:dyDescent="0.25">
      <c r="A15660" t="s">
        <v>14773</v>
      </c>
      <c r="B15660" t="s">
        <v>5798</v>
      </c>
    </row>
    <row r="15661" spans="1:2" x14ac:dyDescent="0.25">
      <c r="A15661" t="s">
        <v>14774</v>
      </c>
      <c r="B15661" t="s">
        <v>5798</v>
      </c>
    </row>
    <row r="15662" spans="1:2" x14ac:dyDescent="0.25">
      <c r="A15662" t="s">
        <v>14775</v>
      </c>
      <c r="B15662" t="s">
        <v>5798</v>
      </c>
    </row>
    <row r="15663" spans="1:2" x14ac:dyDescent="0.25">
      <c r="A15663" t="s">
        <v>14776</v>
      </c>
      <c r="B15663" t="s">
        <v>5798</v>
      </c>
    </row>
    <row r="15664" spans="1:2" x14ac:dyDescent="0.25">
      <c r="A15664" t="s">
        <v>14777</v>
      </c>
      <c r="B15664" t="s">
        <v>5798</v>
      </c>
    </row>
    <row r="15665" spans="1:2" x14ac:dyDescent="0.25">
      <c r="A15665" t="s">
        <v>14778</v>
      </c>
      <c r="B15665" t="s">
        <v>5798</v>
      </c>
    </row>
    <row r="15666" spans="1:2" x14ac:dyDescent="0.25">
      <c r="A15666" t="s">
        <v>14779</v>
      </c>
      <c r="B15666" t="s">
        <v>5798</v>
      </c>
    </row>
    <row r="15667" spans="1:2" x14ac:dyDescent="0.25">
      <c r="A15667" t="s">
        <v>14780</v>
      </c>
      <c r="B15667" t="s">
        <v>5798</v>
      </c>
    </row>
    <row r="15668" spans="1:2" x14ac:dyDescent="0.25">
      <c r="A15668" t="s">
        <v>14781</v>
      </c>
      <c r="B15668" t="s">
        <v>5798</v>
      </c>
    </row>
    <row r="15669" spans="1:2" x14ac:dyDescent="0.25">
      <c r="A15669" t="s">
        <v>4945</v>
      </c>
      <c r="B15669" t="s">
        <v>14834</v>
      </c>
    </row>
    <row r="15670" spans="1:2" x14ac:dyDescent="0.25">
      <c r="A15670" t="s">
        <v>16423</v>
      </c>
      <c r="B15670" t="s">
        <v>4945</v>
      </c>
    </row>
    <row r="15671" spans="1:2" x14ac:dyDescent="0.25">
      <c r="A15671" t="s">
        <v>16424</v>
      </c>
      <c r="B15671" t="s">
        <v>16423</v>
      </c>
    </row>
    <row r="15672" spans="1:2" x14ac:dyDescent="0.25">
      <c r="A15672" t="s">
        <v>16425</v>
      </c>
      <c r="B15672" t="s">
        <v>16424</v>
      </c>
    </row>
    <row r="15673" spans="1:2" x14ac:dyDescent="0.25">
      <c r="A15673" t="s">
        <v>16426</v>
      </c>
      <c r="B15673" t="s">
        <v>16424</v>
      </c>
    </row>
    <row r="15674" spans="1:2" x14ac:dyDescent="0.25">
      <c r="A15674" t="s">
        <v>16427</v>
      </c>
      <c r="B15674" t="s">
        <v>16424</v>
      </c>
    </row>
    <row r="15675" spans="1:2" x14ac:dyDescent="0.25">
      <c r="A15675" t="s">
        <v>16428</v>
      </c>
      <c r="B15675" t="s">
        <v>16423</v>
      </c>
    </row>
    <row r="15676" spans="1:2" x14ac:dyDescent="0.25">
      <c r="A15676" t="s">
        <v>16429</v>
      </c>
      <c r="B15676" t="s">
        <v>16428</v>
      </c>
    </row>
    <row r="15677" spans="1:2" x14ac:dyDescent="0.25">
      <c r="A15677" t="s">
        <v>16430</v>
      </c>
      <c r="B15677" t="s">
        <v>16428</v>
      </c>
    </row>
    <row r="15678" spans="1:2" x14ac:dyDescent="0.25">
      <c r="A15678" t="s">
        <v>16431</v>
      </c>
      <c r="B15678" t="s">
        <v>4945</v>
      </c>
    </row>
    <row r="15679" spans="1:2" x14ac:dyDescent="0.25">
      <c r="A15679" t="s">
        <v>16432</v>
      </c>
      <c r="B15679" t="s">
        <v>16431</v>
      </c>
    </row>
    <row r="15680" spans="1:2" x14ac:dyDescent="0.25">
      <c r="A15680" t="s">
        <v>16433</v>
      </c>
      <c r="B15680" t="s">
        <v>16431</v>
      </c>
    </row>
    <row r="15681" spans="1:2" x14ac:dyDescent="0.25">
      <c r="A15681" t="s">
        <v>16434</v>
      </c>
      <c r="B15681" t="s">
        <v>16431</v>
      </c>
    </row>
    <row r="15682" spans="1:2" x14ac:dyDescent="0.25">
      <c r="A15682" t="s">
        <v>16435</v>
      </c>
      <c r="B15682" t="s">
        <v>16431</v>
      </c>
    </row>
    <row r="15683" spans="1:2" x14ac:dyDescent="0.25">
      <c r="A15683" t="s">
        <v>14835</v>
      </c>
      <c r="B15683" t="s">
        <v>14833</v>
      </c>
    </row>
    <row r="15684" spans="1:2" x14ac:dyDescent="0.25">
      <c r="A15684" t="s">
        <v>6232</v>
      </c>
      <c r="B15684" t="s">
        <v>14835</v>
      </c>
    </row>
    <row r="15685" spans="1:2" x14ac:dyDescent="0.25">
      <c r="A15685" t="s">
        <v>485</v>
      </c>
      <c r="B15685" t="s">
        <v>6232</v>
      </c>
    </row>
    <row r="15686" spans="1:2" x14ac:dyDescent="0.25">
      <c r="A15686" t="s">
        <v>4537</v>
      </c>
      <c r="B15686" t="s">
        <v>485</v>
      </c>
    </row>
    <row r="15687" spans="1:2" x14ac:dyDescent="0.25">
      <c r="A15687" t="s">
        <v>4942</v>
      </c>
      <c r="B15687" t="s">
        <v>4537</v>
      </c>
    </row>
    <row r="15688" spans="1:2" x14ac:dyDescent="0.25">
      <c r="A15688" t="s">
        <v>4943</v>
      </c>
      <c r="B15688" t="s">
        <v>4537</v>
      </c>
    </row>
    <row r="15689" spans="1:2" x14ac:dyDescent="0.25">
      <c r="A15689" t="s">
        <v>3530</v>
      </c>
      <c r="B15689" t="s">
        <v>485</v>
      </c>
    </row>
    <row r="15690" spans="1:2" x14ac:dyDescent="0.25">
      <c r="A15690" t="s">
        <v>5407</v>
      </c>
      <c r="B15690" t="s">
        <v>3530</v>
      </c>
    </row>
    <row r="15691" spans="1:2" x14ac:dyDescent="0.25">
      <c r="A15691" t="s">
        <v>7342</v>
      </c>
      <c r="B15691" t="s">
        <v>3530</v>
      </c>
    </row>
    <row r="15692" spans="1:2" x14ac:dyDescent="0.25">
      <c r="A15692" t="s">
        <v>10694</v>
      </c>
      <c r="B15692" t="s">
        <v>3530</v>
      </c>
    </row>
    <row r="15693" spans="1:2" x14ac:dyDescent="0.25">
      <c r="A15693" t="s">
        <v>226</v>
      </c>
      <c r="B15693" t="s">
        <v>6232</v>
      </c>
    </row>
    <row r="15694" spans="1:2" x14ac:dyDescent="0.25">
      <c r="A15694" t="s">
        <v>11036</v>
      </c>
      <c r="B15694" t="s">
        <v>226</v>
      </c>
    </row>
    <row r="15695" spans="1:2" x14ac:dyDescent="0.25">
      <c r="A15695" t="s">
        <v>11039</v>
      </c>
      <c r="B15695" t="s">
        <v>226</v>
      </c>
    </row>
    <row r="15696" spans="1:2" x14ac:dyDescent="0.25">
      <c r="A15696" t="s">
        <v>5406</v>
      </c>
      <c r="B15696" t="s">
        <v>14835</v>
      </c>
    </row>
    <row r="15697" spans="1:2" x14ac:dyDescent="0.25">
      <c r="A15697" t="s">
        <v>2648</v>
      </c>
      <c r="B15697" t="s">
        <v>5406</v>
      </c>
    </row>
    <row r="15698" spans="1:2" x14ac:dyDescent="0.25">
      <c r="A15698" t="s">
        <v>384</v>
      </c>
      <c r="B15698" t="s">
        <v>5406</v>
      </c>
    </row>
    <row r="15699" spans="1:2" x14ac:dyDescent="0.25">
      <c r="A15699" t="s">
        <v>16436</v>
      </c>
      <c r="B15699" t="s">
        <v>384</v>
      </c>
    </row>
    <row r="15700" spans="1:2" x14ac:dyDescent="0.25">
      <c r="A15700" t="s">
        <v>16437</v>
      </c>
      <c r="B15700" t="s">
        <v>384</v>
      </c>
    </row>
    <row r="15701" spans="1:2" x14ac:dyDescent="0.25">
      <c r="A15701" t="s">
        <v>6727</v>
      </c>
      <c r="B15701" t="s">
        <v>14835</v>
      </c>
    </row>
    <row r="15702" spans="1:2" x14ac:dyDescent="0.25">
      <c r="A15702" t="s">
        <v>4044</v>
      </c>
      <c r="B15702" t="s">
        <v>6727</v>
      </c>
    </row>
    <row r="15703" spans="1:2" x14ac:dyDescent="0.25">
      <c r="A15703" t="s">
        <v>4546</v>
      </c>
      <c r="B15703" t="s">
        <v>4044</v>
      </c>
    </row>
    <row r="15704" spans="1:2" x14ac:dyDescent="0.25">
      <c r="A15704" t="s">
        <v>4946</v>
      </c>
      <c r="B15704" t="s">
        <v>4546</v>
      </c>
    </row>
    <row r="15705" spans="1:2" x14ac:dyDescent="0.25">
      <c r="A15705" t="s">
        <v>4947</v>
      </c>
      <c r="B15705" t="s">
        <v>4546</v>
      </c>
    </row>
    <row r="15706" spans="1:2" x14ac:dyDescent="0.25">
      <c r="A15706" t="s">
        <v>3536</v>
      </c>
      <c r="B15706" t="s">
        <v>4044</v>
      </c>
    </row>
    <row r="15707" spans="1:2" x14ac:dyDescent="0.25">
      <c r="A15707" t="s">
        <v>5410</v>
      </c>
      <c r="B15707" t="s">
        <v>3536</v>
      </c>
    </row>
    <row r="15708" spans="1:2" x14ac:dyDescent="0.25">
      <c r="A15708" t="s">
        <v>7347</v>
      </c>
      <c r="B15708" t="s">
        <v>3536</v>
      </c>
    </row>
    <row r="15709" spans="1:2" x14ac:dyDescent="0.25">
      <c r="A15709" t="s">
        <v>10696</v>
      </c>
      <c r="B15709" t="s">
        <v>3536</v>
      </c>
    </row>
    <row r="15710" spans="1:2" x14ac:dyDescent="0.25">
      <c r="A15710" t="s">
        <v>2257</v>
      </c>
      <c r="B15710" t="s">
        <v>6727</v>
      </c>
    </row>
    <row r="15711" spans="1:2" x14ac:dyDescent="0.25">
      <c r="A15711" t="s">
        <v>11035</v>
      </c>
      <c r="B15711" t="s">
        <v>2257</v>
      </c>
    </row>
    <row r="15712" spans="1:2" x14ac:dyDescent="0.25">
      <c r="A15712" t="s">
        <v>11040</v>
      </c>
      <c r="B15712" t="s">
        <v>2257</v>
      </c>
    </row>
    <row r="15713" spans="1:2" x14ac:dyDescent="0.25">
      <c r="A15713" t="s">
        <v>6726</v>
      </c>
      <c r="B15713" t="s">
        <v>14835</v>
      </c>
    </row>
    <row r="15714" spans="1:2" x14ac:dyDescent="0.25">
      <c r="A15714" t="s">
        <v>4043</v>
      </c>
      <c r="B15714" t="s">
        <v>6726</v>
      </c>
    </row>
    <row r="15715" spans="1:2" x14ac:dyDescent="0.25">
      <c r="A15715" t="s">
        <v>4545</v>
      </c>
      <c r="B15715" t="s">
        <v>4043</v>
      </c>
    </row>
    <row r="15716" spans="1:2" x14ac:dyDescent="0.25">
      <c r="A15716" t="s">
        <v>3535</v>
      </c>
      <c r="B15716" t="s">
        <v>4043</v>
      </c>
    </row>
    <row r="15717" spans="1:2" x14ac:dyDescent="0.25">
      <c r="A15717" t="s">
        <v>5409</v>
      </c>
      <c r="B15717" t="s">
        <v>3535</v>
      </c>
    </row>
    <row r="15718" spans="1:2" x14ac:dyDescent="0.25">
      <c r="A15718" t="s">
        <v>7346</v>
      </c>
      <c r="B15718" t="s">
        <v>3535</v>
      </c>
    </row>
    <row r="15719" spans="1:2" x14ac:dyDescent="0.25">
      <c r="A15719" t="s">
        <v>10695</v>
      </c>
      <c r="B15719" t="s">
        <v>3535</v>
      </c>
    </row>
    <row r="15720" spans="1:2" x14ac:dyDescent="0.25">
      <c r="A15720" t="s">
        <v>2256</v>
      </c>
      <c r="B15720" t="s">
        <v>6726</v>
      </c>
    </row>
    <row r="15721" spans="1:2" x14ac:dyDescent="0.25">
      <c r="A15721" t="s">
        <v>11038</v>
      </c>
      <c r="B15721" t="s">
        <v>2256</v>
      </c>
    </row>
    <row r="15722" spans="1:2" x14ac:dyDescent="0.25">
      <c r="A15722" t="s">
        <v>14836</v>
      </c>
      <c r="B15722" t="s">
        <v>14833</v>
      </c>
    </row>
    <row r="15723" spans="1:2" x14ac:dyDescent="0.25">
      <c r="A15723" t="s">
        <v>7961</v>
      </c>
      <c r="B15723" t="s">
        <v>14836</v>
      </c>
    </row>
    <row r="15724" spans="1:2" x14ac:dyDescent="0.25">
      <c r="A15724" t="s">
        <v>4941</v>
      </c>
      <c r="B15724" t="s">
        <v>7961</v>
      </c>
    </row>
    <row r="15725" spans="1:2" x14ac:dyDescent="0.25">
      <c r="A15725" t="s">
        <v>4536</v>
      </c>
      <c r="B15725" t="s">
        <v>4941</v>
      </c>
    </row>
    <row r="15726" spans="1:2" x14ac:dyDescent="0.25">
      <c r="A15726" t="s">
        <v>3529</v>
      </c>
      <c r="B15726" t="s">
        <v>4941</v>
      </c>
    </row>
    <row r="15727" spans="1:2" x14ac:dyDescent="0.25">
      <c r="A15727" t="s">
        <v>6738</v>
      </c>
      <c r="B15727" t="s">
        <v>3529</v>
      </c>
    </row>
    <row r="15728" spans="1:2" x14ac:dyDescent="0.25">
      <c r="A15728" t="s">
        <v>10693</v>
      </c>
      <c r="B15728" t="s">
        <v>3529</v>
      </c>
    </row>
    <row r="15729" spans="1:2" x14ac:dyDescent="0.25">
      <c r="A15729" t="s">
        <v>7341</v>
      </c>
      <c r="B15729" t="s">
        <v>3529</v>
      </c>
    </row>
    <row r="15730" spans="1:2" x14ac:dyDescent="0.25">
      <c r="A15730" t="s">
        <v>3102</v>
      </c>
      <c r="B15730" t="s">
        <v>7961</v>
      </c>
    </row>
    <row r="15731" spans="1:2" x14ac:dyDescent="0.25">
      <c r="A15731" t="s">
        <v>11047</v>
      </c>
      <c r="B15731" t="s">
        <v>3102</v>
      </c>
    </row>
    <row r="15732" spans="1:2" x14ac:dyDescent="0.25">
      <c r="A15732" t="s">
        <v>8466</v>
      </c>
      <c r="B15732" t="s">
        <v>14836</v>
      </c>
    </row>
    <row r="15733" spans="1:2" x14ac:dyDescent="0.25">
      <c r="A15733" t="s">
        <v>5412</v>
      </c>
      <c r="B15733" t="s">
        <v>8466</v>
      </c>
    </row>
    <row r="15734" spans="1:2" x14ac:dyDescent="0.25">
      <c r="A15734" t="s">
        <v>4549</v>
      </c>
      <c r="B15734" t="s">
        <v>5412</v>
      </c>
    </row>
    <row r="15735" spans="1:2" x14ac:dyDescent="0.25">
      <c r="A15735" t="s">
        <v>4954</v>
      </c>
      <c r="B15735" t="s">
        <v>4549</v>
      </c>
    </row>
    <row r="15736" spans="1:2" x14ac:dyDescent="0.25">
      <c r="A15736" t="s">
        <v>4955</v>
      </c>
      <c r="B15736" t="s">
        <v>4549</v>
      </c>
    </row>
    <row r="15737" spans="1:2" x14ac:dyDescent="0.25">
      <c r="A15737" t="s">
        <v>3539</v>
      </c>
      <c r="B15737" t="s">
        <v>5412</v>
      </c>
    </row>
    <row r="15738" spans="1:2" x14ac:dyDescent="0.25">
      <c r="A15738" t="s">
        <v>5413</v>
      </c>
      <c r="B15738" t="s">
        <v>3539</v>
      </c>
    </row>
    <row r="15739" spans="1:2" x14ac:dyDescent="0.25">
      <c r="A15739" t="s">
        <v>10699</v>
      </c>
      <c r="B15739" t="s">
        <v>3539</v>
      </c>
    </row>
    <row r="15740" spans="1:2" x14ac:dyDescent="0.25">
      <c r="A15740" t="s">
        <v>3540</v>
      </c>
      <c r="B15740" t="s">
        <v>8466</v>
      </c>
    </row>
    <row r="15741" spans="1:2" x14ac:dyDescent="0.25">
      <c r="A15741" t="s">
        <v>11046</v>
      </c>
      <c r="B15741" t="s">
        <v>3540</v>
      </c>
    </row>
    <row r="15742" spans="1:2" x14ac:dyDescent="0.25">
      <c r="A15742" t="s">
        <v>7958</v>
      </c>
      <c r="B15742" t="s">
        <v>14836</v>
      </c>
    </row>
    <row r="15743" spans="1:2" x14ac:dyDescent="0.25">
      <c r="A15743" t="s">
        <v>4948</v>
      </c>
      <c r="B15743" t="s">
        <v>7958</v>
      </c>
    </row>
    <row r="15744" spans="1:2" x14ac:dyDescent="0.25">
      <c r="A15744" t="s">
        <v>4547</v>
      </c>
      <c r="B15744" t="s">
        <v>4948</v>
      </c>
    </row>
    <row r="15745" spans="1:2" x14ac:dyDescent="0.25">
      <c r="A15745" t="s">
        <v>4949</v>
      </c>
      <c r="B15745" t="s">
        <v>4547</v>
      </c>
    </row>
    <row r="15746" spans="1:2" x14ac:dyDescent="0.25">
      <c r="A15746" t="s">
        <v>4950</v>
      </c>
      <c r="B15746" t="s">
        <v>4547</v>
      </c>
    </row>
    <row r="15747" spans="1:2" x14ac:dyDescent="0.25">
      <c r="A15747" t="s">
        <v>3537</v>
      </c>
      <c r="B15747" t="s">
        <v>4948</v>
      </c>
    </row>
    <row r="15748" spans="1:2" x14ac:dyDescent="0.25">
      <c r="A15748" t="s">
        <v>4045</v>
      </c>
      <c r="B15748" t="s">
        <v>3537</v>
      </c>
    </row>
    <row r="15749" spans="1:2" x14ac:dyDescent="0.25">
      <c r="A15749" t="s">
        <v>5802</v>
      </c>
      <c r="B15749" t="s">
        <v>3537</v>
      </c>
    </row>
    <row r="15750" spans="1:2" x14ac:dyDescent="0.25">
      <c r="A15750" t="s">
        <v>4046</v>
      </c>
      <c r="B15750" t="s">
        <v>3537</v>
      </c>
    </row>
    <row r="15751" spans="1:2" x14ac:dyDescent="0.25">
      <c r="A15751" t="s">
        <v>5803</v>
      </c>
      <c r="B15751" t="s">
        <v>3537</v>
      </c>
    </row>
    <row r="15752" spans="1:2" x14ac:dyDescent="0.25">
      <c r="A15752" t="s">
        <v>10697</v>
      </c>
      <c r="B15752" t="s">
        <v>3537</v>
      </c>
    </row>
    <row r="15753" spans="1:2" x14ac:dyDescent="0.25">
      <c r="A15753" t="s">
        <v>3111</v>
      </c>
      <c r="B15753" t="s">
        <v>7958</v>
      </c>
    </row>
    <row r="15754" spans="1:2" x14ac:dyDescent="0.25">
      <c r="A15754" t="s">
        <v>11045</v>
      </c>
      <c r="B15754" t="s">
        <v>3111</v>
      </c>
    </row>
    <row r="15755" spans="1:2" x14ac:dyDescent="0.25">
      <c r="A15755" t="s">
        <v>15165</v>
      </c>
      <c r="B15755" t="s">
        <v>14836</v>
      </c>
    </row>
    <row r="15756" spans="1:2" x14ac:dyDescent="0.25">
      <c r="A15756" t="s">
        <v>16438</v>
      </c>
      <c r="B15756" t="s">
        <v>14836</v>
      </c>
    </row>
    <row r="15757" spans="1:2" x14ac:dyDescent="0.25">
      <c r="A15757" t="s">
        <v>16439</v>
      </c>
      <c r="B15757" t="s">
        <v>16438</v>
      </c>
    </row>
    <row r="15758" spans="1:2" x14ac:dyDescent="0.25">
      <c r="A15758" t="s">
        <v>16440</v>
      </c>
      <c r="B15758" t="s">
        <v>14836</v>
      </c>
    </row>
    <row r="15759" spans="1:2" x14ac:dyDescent="0.25">
      <c r="A15759" t="s">
        <v>7325</v>
      </c>
      <c r="B15759" t="s">
        <v>14833</v>
      </c>
    </row>
    <row r="15760" spans="1:2" x14ac:dyDescent="0.25">
      <c r="A15760" t="s">
        <v>4533</v>
      </c>
      <c r="B15760" t="s">
        <v>7325</v>
      </c>
    </row>
    <row r="15761" spans="1:2" x14ac:dyDescent="0.25">
      <c r="A15761" t="s">
        <v>6700</v>
      </c>
      <c r="B15761" t="s">
        <v>4533</v>
      </c>
    </row>
    <row r="15762" spans="1:2" x14ac:dyDescent="0.25">
      <c r="A15762" t="s">
        <v>6225</v>
      </c>
      <c r="B15762" t="s">
        <v>4533</v>
      </c>
    </row>
    <row r="15763" spans="1:2" x14ac:dyDescent="0.25">
      <c r="A15763" t="s">
        <v>177</v>
      </c>
      <c r="B15763" t="s">
        <v>4533</v>
      </c>
    </row>
    <row r="15764" spans="1:2" x14ac:dyDescent="0.25">
      <c r="A15764" t="s">
        <v>2637</v>
      </c>
      <c r="B15764" t="s">
        <v>4533</v>
      </c>
    </row>
    <row r="15765" spans="1:2" x14ac:dyDescent="0.25">
      <c r="A15765" t="s">
        <v>178</v>
      </c>
      <c r="B15765" t="s">
        <v>4533</v>
      </c>
    </row>
    <row r="15766" spans="1:2" x14ac:dyDescent="0.25">
      <c r="A15766" t="s">
        <v>179</v>
      </c>
      <c r="B15766" t="s">
        <v>4533</v>
      </c>
    </row>
    <row r="15767" spans="1:2" x14ac:dyDescent="0.25">
      <c r="A15767" t="s">
        <v>357</v>
      </c>
      <c r="B15767" t="s">
        <v>4533</v>
      </c>
    </row>
    <row r="15768" spans="1:2" x14ac:dyDescent="0.25">
      <c r="A15768" t="s">
        <v>180</v>
      </c>
      <c r="B15768" t="s">
        <v>4533</v>
      </c>
    </row>
    <row r="15769" spans="1:2" x14ac:dyDescent="0.25">
      <c r="A15769" t="s">
        <v>11353</v>
      </c>
      <c r="B15769" t="s">
        <v>4533</v>
      </c>
    </row>
    <row r="15770" spans="1:2" x14ac:dyDescent="0.25">
      <c r="A15770" t="s">
        <v>4022</v>
      </c>
      <c r="B15770" t="s">
        <v>4533</v>
      </c>
    </row>
    <row r="15771" spans="1:2" x14ac:dyDescent="0.25">
      <c r="A15771" t="s">
        <v>8461</v>
      </c>
      <c r="B15771" t="s">
        <v>4022</v>
      </c>
    </row>
    <row r="15772" spans="1:2" x14ac:dyDescent="0.25">
      <c r="A15772" t="s">
        <v>2645</v>
      </c>
      <c r="B15772" t="s">
        <v>7325</v>
      </c>
    </row>
    <row r="15773" spans="1:2" x14ac:dyDescent="0.25">
      <c r="A15773" t="s">
        <v>6240</v>
      </c>
      <c r="B15773" t="s">
        <v>2645</v>
      </c>
    </row>
    <row r="15774" spans="1:2" x14ac:dyDescent="0.25">
      <c r="A15774" t="s">
        <v>16441</v>
      </c>
      <c r="B15774" t="s">
        <v>14833</v>
      </c>
    </row>
    <row r="15775" spans="1:2" x14ac:dyDescent="0.25">
      <c r="A15775" t="s">
        <v>5384</v>
      </c>
      <c r="B15775" t="s">
        <v>12897</v>
      </c>
    </row>
    <row r="15776" spans="1:2" x14ac:dyDescent="0.25">
      <c r="A15776" t="s">
        <v>10680</v>
      </c>
      <c r="B15776" t="s">
        <v>12897</v>
      </c>
    </row>
    <row r="15777" spans="1:2" x14ac:dyDescent="0.25">
      <c r="A15777" t="s">
        <v>6216</v>
      </c>
      <c r="B15777" t="s">
        <v>12897</v>
      </c>
    </row>
    <row r="15778" spans="1:2" x14ac:dyDescent="0.25">
      <c r="A15778" t="s">
        <v>9675</v>
      </c>
      <c r="B15778" t="s">
        <v>12897</v>
      </c>
    </row>
    <row r="15779" spans="1:2" x14ac:dyDescent="0.25">
      <c r="A15779" t="s">
        <v>13648</v>
      </c>
      <c r="B15779" t="s">
        <v>9675</v>
      </c>
    </row>
    <row r="15780" spans="1:2" x14ac:dyDescent="0.25">
      <c r="A15780" t="s">
        <v>15166</v>
      </c>
      <c r="B15780" t="s">
        <v>13648</v>
      </c>
    </row>
    <row r="15781" spans="1:2" x14ac:dyDescent="0.25">
      <c r="A15781" t="s">
        <v>15167</v>
      </c>
      <c r="B15781" t="s">
        <v>13648</v>
      </c>
    </row>
    <row r="15782" spans="1:2" x14ac:dyDescent="0.25">
      <c r="A15782" t="s">
        <v>15168</v>
      </c>
      <c r="B15782" t="s">
        <v>13648</v>
      </c>
    </row>
    <row r="15783" spans="1:2" x14ac:dyDescent="0.25">
      <c r="A15783" t="s">
        <v>8857</v>
      </c>
      <c r="B15783" t="s">
        <v>12897</v>
      </c>
    </row>
    <row r="15784" spans="1:2" x14ac:dyDescent="0.25">
      <c r="A15784" t="s">
        <v>10172</v>
      </c>
      <c r="B15784" t="s">
        <v>12897</v>
      </c>
    </row>
    <row r="15785" spans="1:2" x14ac:dyDescent="0.25">
      <c r="A15785" t="s">
        <v>8858</v>
      </c>
      <c r="B15785" t="s">
        <v>12897</v>
      </c>
    </row>
    <row r="15786" spans="1:2" x14ac:dyDescent="0.25">
      <c r="A15786" t="s">
        <v>10681</v>
      </c>
      <c r="B15786" t="s">
        <v>12897</v>
      </c>
    </row>
    <row r="15787" spans="1:2" x14ac:dyDescent="0.25">
      <c r="A15787" t="s">
        <v>14725</v>
      </c>
      <c r="B15787" t="s">
        <v>10681</v>
      </c>
    </row>
    <row r="15788" spans="1:2" x14ac:dyDescent="0.25">
      <c r="A15788" t="s">
        <v>5787</v>
      </c>
      <c r="B15788" t="s">
        <v>10681</v>
      </c>
    </row>
    <row r="15789" spans="1:2" x14ac:dyDescent="0.25">
      <c r="A15789" t="s">
        <v>8876</v>
      </c>
      <c r="B15789" t="s">
        <v>10681</v>
      </c>
    </row>
    <row r="15790" spans="1:2" x14ac:dyDescent="0.25">
      <c r="A15790" t="s">
        <v>10176</v>
      </c>
      <c r="B15790" t="s">
        <v>10681</v>
      </c>
    </row>
    <row r="15791" spans="1:2" x14ac:dyDescent="0.25">
      <c r="A15791" t="s">
        <v>8468</v>
      </c>
      <c r="B15791" t="s">
        <v>10681</v>
      </c>
    </row>
    <row r="15792" spans="1:2" x14ac:dyDescent="0.25">
      <c r="A15792" t="s">
        <v>6236</v>
      </c>
      <c r="B15792" t="s">
        <v>10681</v>
      </c>
    </row>
    <row r="15793" spans="1:2" x14ac:dyDescent="0.25">
      <c r="A15793" t="s">
        <v>9691</v>
      </c>
      <c r="B15793" t="s">
        <v>10681</v>
      </c>
    </row>
    <row r="15794" spans="1:2" x14ac:dyDescent="0.25">
      <c r="A15794" t="s">
        <v>11819</v>
      </c>
      <c r="B15794" t="s">
        <v>10681</v>
      </c>
    </row>
    <row r="15795" spans="1:2" x14ac:dyDescent="0.25">
      <c r="A15795" t="s">
        <v>13062</v>
      </c>
      <c r="B15795" t="s">
        <v>10681</v>
      </c>
    </row>
    <row r="15796" spans="1:2" x14ac:dyDescent="0.25">
      <c r="A15796" t="s">
        <v>13063</v>
      </c>
      <c r="B15796" t="s">
        <v>10681</v>
      </c>
    </row>
    <row r="15797" spans="1:2" x14ac:dyDescent="0.25">
      <c r="A15797" t="s">
        <v>13064</v>
      </c>
      <c r="B15797" t="s">
        <v>10681</v>
      </c>
    </row>
    <row r="15798" spans="1:2" x14ac:dyDescent="0.25">
      <c r="A15798" t="s">
        <v>13065</v>
      </c>
      <c r="B15798" t="s">
        <v>10681</v>
      </c>
    </row>
    <row r="15799" spans="1:2" x14ac:dyDescent="0.25">
      <c r="A15799" t="s">
        <v>13066</v>
      </c>
      <c r="B15799" t="s">
        <v>10681</v>
      </c>
    </row>
    <row r="15800" spans="1:2" x14ac:dyDescent="0.25">
      <c r="A15800" t="s">
        <v>13067</v>
      </c>
      <c r="B15800" t="s">
        <v>10681</v>
      </c>
    </row>
    <row r="15801" spans="1:2" x14ac:dyDescent="0.25">
      <c r="A15801" t="s">
        <v>13068</v>
      </c>
      <c r="B15801" t="s">
        <v>10681</v>
      </c>
    </row>
    <row r="15802" spans="1:2" x14ac:dyDescent="0.25">
      <c r="A15802" t="s">
        <v>13457</v>
      </c>
      <c r="B15802" t="s">
        <v>10681</v>
      </c>
    </row>
    <row r="15803" spans="1:2" x14ac:dyDescent="0.25">
      <c r="A15803" t="s">
        <v>13458</v>
      </c>
      <c r="B15803" t="s">
        <v>10681</v>
      </c>
    </row>
    <row r="15804" spans="1:2" x14ac:dyDescent="0.25">
      <c r="A15804" t="s">
        <v>11613</v>
      </c>
      <c r="B15804" t="s">
        <v>10681</v>
      </c>
    </row>
    <row r="15805" spans="1:2" x14ac:dyDescent="0.25">
      <c r="A15805" t="s">
        <v>13935</v>
      </c>
      <c r="B15805" t="s">
        <v>10681</v>
      </c>
    </row>
    <row r="15806" spans="1:2" x14ac:dyDescent="0.25">
      <c r="A15806" t="s">
        <v>13907</v>
      </c>
      <c r="B15806" t="s">
        <v>10681</v>
      </c>
    </row>
    <row r="15807" spans="1:2" x14ac:dyDescent="0.25">
      <c r="A15807" t="s">
        <v>13872</v>
      </c>
      <c r="B15807" t="s">
        <v>13907</v>
      </c>
    </row>
    <row r="15808" spans="1:2" x14ac:dyDescent="0.25">
      <c r="A15808" t="s">
        <v>13913</v>
      </c>
      <c r="B15808" t="s">
        <v>13907</v>
      </c>
    </row>
    <row r="15809" spans="1:2" x14ac:dyDescent="0.25">
      <c r="A15809" t="s">
        <v>14724</v>
      </c>
      <c r="B15809" t="s">
        <v>10681</v>
      </c>
    </row>
    <row r="15810" spans="1:2" x14ac:dyDescent="0.25">
      <c r="A15810" t="s">
        <v>4068</v>
      </c>
      <c r="B15810" t="s">
        <v>10681</v>
      </c>
    </row>
    <row r="15811" spans="1:2" x14ac:dyDescent="0.25">
      <c r="A15811" t="s">
        <v>2669</v>
      </c>
      <c r="B15811" t="s">
        <v>10681</v>
      </c>
    </row>
    <row r="15812" spans="1:2" x14ac:dyDescent="0.25">
      <c r="A15812" t="s">
        <v>13171</v>
      </c>
      <c r="B15812" t="s">
        <v>10681</v>
      </c>
    </row>
    <row r="15813" spans="1:2" x14ac:dyDescent="0.25">
      <c r="A15813" t="s">
        <v>13172</v>
      </c>
      <c r="B15813" t="s">
        <v>10681</v>
      </c>
    </row>
    <row r="15814" spans="1:2" x14ac:dyDescent="0.25">
      <c r="A15814" t="s">
        <v>13316</v>
      </c>
      <c r="B15814" t="s">
        <v>10681</v>
      </c>
    </row>
    <row r="15815" spans="1:2" x14ac:dyDescent="0.25">
      <c r="A15815" t="s">
        <v>13487</v>
      </c>
      <c r="B15815" t="s">
        <v>10681</v>
      </c>
    </row>
    <row r="15816" spans="1:2" x14ac:dyDescent="0.25">
      <c r="A15816" t="s">
        <v>13488</v>
      </c>
      <c r="B15816" t="s">
        <v>10681</v>
      </c>
    </row>
    <row r="15817" spans="1:2" x14ac:dyDescent="0.25">
      <c r="A15817" t="s">
        <v>10204</v>
      </c>
      <c r="B15817" t="s">
        <v>10681</v>
      </c>
    </row>
    <row r="15818" spans="1:2" x14ac:dyDescent="0.25">
      <c r="A15818" t="s">
        <v>11370</v>
      </c>
      <c r="B15818" t="s">
        <v>10681</v>
      </c>
    </row>
    <row r="15819" spans="1:2" x14ac:dyDescent="0.25">
      <c r="A15819" t="s">
        <v>11817</v>
      </c>
      <c r="B15819" t="s">
        <v>10681</v>
      </c>
    </row>
    <row r="15820" spans="1:2" x14ac:dyDescent="0.25">
      <c r="A15820" t="s">
        <v>15169</v>
      </c>
      <c r="B15820" t="s">
        <v>10681</v>
      </c>
    </row>
    <row r="15821" spans="1:2" x14ac:dyDescent="0.25">
      <c r="A15821" t="s">
        <v>14861</v>
      </c>
      <c r="B15821" t="s">
        <v>10681</v>
      </c>
    </row>
    <row r="15822" spans="1:2" x14ac:dyDescent="0.25">
      <c r="A15822" t="s">
        <v>15170</v>
      </c>
      <c r="B15822" t="s">
        <v>10681</v>
      </c>
    </row>
    <row r="15823" spans="1:2" x14ac:dyDescent="0.25">
      <c r="A15823" t="s">
        <v>6237</v>
      </c>
      <c r="B15823" t="s">
        <v>10681</v>
      </c>
    </row>
    <row r="15824" spans="1:2" x14ac:dyDescent="0.25">
      <c r="A15824" t="s">
        <v>4938</v>
      </c>
      <c r="B15824" t="s">
        <v>10681</v>
      </c>
    </row>
    <row r="15825" spans="1:2" x14ac:dyDescent="0.25">
      <c r="A15825" t="s">
        <v>6686</v>
      </c>
      <c r="B15825" t="s">
        <v>10681</v>
      </c>
    </row>
    <row r="15826" spans="1:2" x14ac:dyDescent="0.25">
      <c r="A15826" t="s">
        <v>6687</v>
      </c>
      <c r="B15826" t="s">
        <v>10681</v>
      </c>
    </row>
    <row r="15827" spans="1:2" x14ac:dyDescent="0.25">
      <c r="A15827" t="s">
        <v>346</v>
      </c>
      <c r="B15827" t="s">
        <v>10681</v>
      </c>
    </row>
    <row r="15828" spans="1:2" x14ac:dyDescent="0.25">
      <c r="A15828" t="s">
        <v>3070</v>
      </c>
      <c r="B15828" t="s">
        <v>10681</v>
      </c>
    </row>
    <row r="15829" spans="1:2" x14ac:dyDescent="0.25">
      <c r="A15829" t="s">
        <v>156</v>
      </c>
      <c r="B15829" t="s">
        <v>10681</v>
      </c>
    </row>
    <row r="15830" spans="1:2" x14ac:dyDescent="0.25">
      <c r="A15830" t="s">
        <v>157</v>
      </c>
      <c r="B15830" t="s">
        <v>10681</v>
      </c>
    </row>
    <row r="15831" spans="1:2" x14ac:dyDescent="0.25">
      <c r="A15831" t="s">
        <v>347</v>
      </c>
      <c r="B15831" t="s">
        <v>10681</v>
      </c>
    </row>
    <row r="15832" spans="1:2" x14ac:dyDescent="0.25">
      <c r="A15832" t="s">
        <v>158</v>
      </c>
      <c r="B15832" t="s">
        <v>10681</v>
      </c>
    </row>
    <row r="15833" spans="1:2" x14ac:dyDescent="0.25">
      <c r="A15833" t="s">
        <v>11347</v>
      </c>
      <c r="B15833" t="s">
        <v>10681</v>
      </c>
    </row>
    <row r="15834" spans="1:2" x14ac:dyDescent="0.25">
      <c r="A15834" t="s">
        <v>4526</v>
      </c>
      <c r="B15834" t="s">
        <v>10681</v>
      </c>
    </row>
    <row r="15835" spans="1:2" x14ac:dyDescent="0.25">
      <c r="A15835" t="s">
        <v>8446</v>
      </c>
      <c r="B15835" t="s">
        <v>10681</v>
      </c>
    </row>
    <row r="15836" spans="1:2" x14ac:dyDescent="0.25">
      <c r="A15836" t="s">
        <v>6709</v>
      </c>
      <c r="B15836" t="s">
        <v>10681</v>
      </c>
    </row>
    <row r="15837" spans="1:2" x14ac:dyDescent="0.25">
      <c r="A15837" t="s">
        <v>6710</v>
      </c>
      <c r="B15837" t="s">
        <v>10681</v>
      </c>
    </row>
    <row r="15838" spans="1:2" x14ac:dyDescent="0.25">
      <c r="A15838" t="s">
        <v>366</v>
      </c>
      <c r="B15838" t="s">
        <v>10681</v>
      </c>
    </row>
    <row r="15839" spans="1:2" x14ac:dyDescent="0.25">
      <c r="A15839" t="s">
        <v>194</v>
      </c>
      <c r="B15839" t="s">
        <v>10681</v>
      </c>
    </row>
    <row r="15840" spans="1:2" x14ac:dyDescent="0.25">
      <c r="A15840" t="s">
        <v>195</v>
      </c>
      <c r="B15840" t="s">
        <v>10681</v>
      </c>
    </row>
    <row r="15841" spans="1:2" x14ac:dyDescent="0.25">
      <c r="A15841" t="s">
        <v>196</v>
      </c>
      <c r="B15841" t="s">
        <v>10681</v>
      </c>
    </row>
    <row r="15842" spans="1:2" x14ac:dyDescent="0.25">
      <c r="A15842" t="s">
        <v>367</v>
      </c>
      <c r="B15842" t="s">
        <v>10681</v>
      </c>
    </row>
    <row r="15843" spans="1:2" x14ac:dyDescent="0.25">
      <c r="A15843" t="s">
        <v>197</v>
      </c>
      <c r="B15843" t="s">
        <v>10681</v>
      </c>
    </row>
    <row r="15844" spans="1:2" x14ac:dyDescent="0.25">
      <c r="A15844" t="s">
        <v>11359</v>
      </c>
      <c r="B15844" t="s">
        <v>10681</v>
      </c>
    </row>
    <row r="15845" spans="1:2" x14ac:dyDescent="0.25">
      <c r="A15845" t="s">
        <v>14157</v>
      </c>
      <c r="B15845" t="s">
        <v>10681</v>
      </c>
    </row>
    <row r="15846" spans="1:2" x14ac:dyDescent="0.25">
      <c r="A15846" t="s">
        <v>6234</v>
      </c>
      <c r="B15846" t="s">
        <v>10681</v>
      </c>
    </row>
    <row r="15847" spans="1:2" x14ac:dyDescent="0.25">
      <c r="A15847" t="s">
        <v>13056</v>
      </c>
      <c r="B15847" t="s">
        <v>10681</v>
      </c>
    </row>
    <row r="15848" spans="1:2" x14ac:dyDescent="0.25">
      <c r="A15848" t="s">
        <v>9273</v>
      </c>
      <c r="B15848" t="s">
        <v>10681</v>
      </c>
    </row>
    <row r="15849" spans="1:2" x14ac:dyDescent="0.25">
      <c r="A15849" t="s">
        <v>13057</v>
      </c>
      <c r="B15849" t="s">
        <v>10681</v>
      </c>
    </row>
    <row r="15850" spans="1:2" x14ac:dyDescent="0.25">
      <c r="A15850" t="s">
        <v>13058</v>
      </c>
      <c r="B15850" t="s">
        <v>10681</v>
      </c>
    </row>
    <row r="15851" spans="1:2" x14ac:dyDescent="0.25">
      <c r="A15851" t="s">
        <v>13059</v>
      </c>
      <c r="B15851" t="s">
        <v>10681</v>
      </c>
    </row>
    <row r="15852" spans="1:2" x14ac:dyDescent="0.25">
      <c r="A15852" t="s">
        <v>13884</v>
      </c>
      <c r="B15852" t="s">
        <v>10681</v>
      </c>
    </row>
    <row r="15853" spans="1:2" x14ac:dyDescent="0.25">
      <c r="A15853" t="s">
        <v>13959</v>
      </c>
      <c r="B15853" t="s">
        <v>10681</v>
      </c>
    </row>
    <row r="15854" spans="1:2" x14ac:dyDescent="0.25">
      <c r="A15854" t="s">
        <v>319</v>
      </c>
      <c r="B15854" t="s">
        <v>10681</v>
      </c>
    </row>
    <row r="15855" spans="1:2" x14ac:dyDescent="0.25">
      <c r="A15855" t="s">
        <v>13918</v>
      </c>
      <c r="B15855" t="s">
        <v>10681</v>
      </c>
    </row>
    <row r="15856" spans="1:2" x14ac:dyDescent="0.25">
      <c r="A15856" t="s">
        <v>13932</v>
      </c>
      <c r="B15856" t="s">
        <v>10681</v>
      </c>
    </row>
    <row r="15857" spans="1:2" x14ac:dyDescent="0.25">
      <c r="A15857" t="s">
        <v>13920</v>
      </c>
      <c r="B15857" t="s">
        <v>10681</v>
      </c>
    </row>
    <row r="15858" spans="1:2" x14ac:dyDescent="0.25">
      <c r="A15858" t="s">
        <v>13938</v>
      </c>
      <c r="B15858" t="s">
        <v>10681</v>
      </c>
    </row>
    <row r="15859" spans="1:2" x14ac:dyDescent="0.25">
      <c r="A15859" t="s">
        <v>13910</v>
      </c>
      <c r="B15859" t="s">
        <v>10681</v>
      </c>
    </row>
    <row r="15860" spans="1:2" x14ac:dyDescent="0.25">
      <c r="A15860" t="s">
        <v>13903</v>
      </c>
      <c r="B15860" t="s">
        <v>10681</v>
      </c>
    </row>
    <row r="15861" spans="1:2" x14ac:dyDescent="0.25">
      <c r="A15861" t="s">
        <v>5415</v>
      </c>
      <c r="B15861" t="s">
        <v>10681</v>
      </c>
    </row>
    <row r="15862" spans="1:2" x14ac:dyDescent="0.25">
      <c r="A15862" t="s">
        <v>15171</v>
      </c>
      <c r="B15862" t="s">
        <v>10681</v>
      </c>
    </row>
    <row r="15863" spans="1:2" x14ac:dyDescent="0.25">
      <c r="A15863" t="s">
        <v>5429</v>
      </c>
      <c r="B15863" t="s">
        <v>10681</v>
      </c>
    </row>
    <row r="15864" spans="1:2" x14ac:dyDescent="0.25">
      <c r="A15864" t="s">
        <v>10258</v>
      </c>
      <c r="B15864" t="s">
        <v>10681</v>
      </c>
    </row>
    <row r="15865" spans="1:2" x14ac:dyDescent="0.25">
      <c r="A15865" t="s">
        <v>10259</v>
      </c>
      <c r="B15865" t="s">
        <v>10681</v>
      </c>
    </row>
    <row r="15866" spans="1:2" x14ac:dyDescent="0.25">
      <c r="A15866" t="s">
        <v>7398</v>
      </c>
      <c r="B15866" t="s">
        <v>10681</v>
      </c>
    </row>
    <row r="15867" spans="1:2" x14ac:dyDescent="0.25">
      <c r="A15867" t="s">
        <v>13864</v>
      </c>
      <c r="B15867" t="s">
        <v>10681</v>
      </c>
    </row>
    <row r="15868" spans="1:2" x14ac:dyDescent="0.25">
      <c r="A15868" t="s">
        <v>12917</v>
      </c>
      <c r="B15868" t="s">
        <v>10681</v>
      </c>
    </row>
    <row r="15869" spans="1:2" x14ac:dyDescent="0.25">
      <c r="A15869" t="s">
        <v>12577</v>
      </c>
      <c r="B15869" t="s">
        <v>10681</v>
      </c>
    </row>
    <row r="15870" spans="1:2" x14ac:dyDescent="0.25">
      <c r="A15870" t="s">
        <v>14278</v>
      </c>
      <c r="B15870" t="s">
        <v>10681</v>
      </c>
    </row>
    <row r="15871" spans="1:2" x14ac:dyDescent="0.25">
      <c r="A15871" t="s">
        <v>14279</v>
      </c>
      <c r="B15871" t="s">
        <v>10681</v>
      </c>
    </row>
    <row r="15872" spans="1:2" x14ac:dyDescent="0.25">
      <c r="A15872" t="s">
        <v>14286</v>
      </c>
      <c r="B15872" t="s">
        <v>10681</v>
      </c>
    </row>
    <row r="15873" spans="1:2" x14ac:dyDescent="0.25">
      <c r="A15873" t="s">
        <v>14287</v>
      </c>
      <c r="B15873" t="s">
        <v>10681</v>
      </c>
    </row>
    <row r="15874" spans="1:2" x14ac:dyDescent="0.25">
      <c r="A15874" t="s">
        <v>14288</v>
      </c>
      <c r="B15874" t="s">
        <v>10681</v>
      </c>
    </row>
    <row r="15875" spans="1:2" x14ac:dyDescent="0.25">
      <c r="A15875" t="s">
        <v>14289</v>
      </c>
      <c r="B15875" t="s">
        <v>10681</v>
      </c>
    </row>
    <row r="15876" spans="1:2" x14ac:dyDescent="0.25">
      <c r="A15876" t="s">
        <v>14290</v>
      </c>
      <c r="B15876" t="s">
        <v>10681</v>
      </c>
    </row>
    <row r="15877" spans="1:2" x14ac:dyDescent="0.25">
      <c r="A15877" t="s">
        <v>14291</v>
      </c>
      <c r="B15877" t="s">
        <v>10681</v>
      </c>
    </row>
    <row r="15878" spans="1:2" x14ac:dyDescent="0.25">
      <c r="A15878" t="s">
        <v>14298</v>
      </c>
      <c r="B15878" t="s">
        <v>10681</v>
      </c>
    </row>
    <row r="15879" spans="1:2" x14ac:dyDescent="0.25">
      <c r="A15879" t="s">
        <v>14299</v>
      </c>
      <c r="B15879" t="s">
        <v>10681</v>
      </c>
    </row>
    <row r="15880" spans="1:2" x14ac:dyDescent="0.25">
      <c r="A15880" t="s">
        <v>14300</v>
      </c>
      <c r="B15880" t="s">
        <v>10681</v>
      </c>
    </row>
    <row r="15881" spans="1:2" x14ac:dyDescent="0.25">
      <c r="A15881" t="s">
        <v>14301</v>
      </c>
      <c r="B15881" t="s">
        <v>10681</v>
      </c>
    </row>
    <row r="15882" spans="1:2" x14ac:dyDescent="0.25">
      <c r="A15882" t="s">
        <v>14302</v>
      </c>
      <c r="B15882" t="s">
        <v>10681</v>
      </c>
    </row>
    <row r="15883" spans="1:2" x14ac:dyDescent="0.25">
      <c r="A15883" t="s">
        <v>14303</v>
      </c>
      <c r="B15883" t="s">
        <v>10681</v>
      </c>
    </row>
    <row r="15884" spans="1:2" x14ac:dyDescent="0.25">
      <c r="A15884" t="s">
        <v>14310</v>
      </c>
      <c r="B15884" t="s">
        <v>10681</v>
      </c>
    </row>
    <row r="15885" spans="1:2" x14ac:dyDescent="0.25">
      <c r="A15885" t="s">
        <v>14311</v>
      </c>
      <c r="B15885" t="s">
        <v>10681</v>
      </c>
    </row>
    <row r="15886" spans="1:2" x14ac:dyDescent="0.25">
      <c r="A15886" t="s">
        <v>14312</v>
      </c>
      <c r="B15886" t="s">
        <v>10681</v>
      </c>
    </row>
    <row r="15887" spans="1:2" x14ac:dyDescent="0.25">
      <c r="A15887" t="s">
        <v>14313</v>
      </c>
      <c r="B15887" t="s">
        <v>10681</v>
      </c>
    </row>
    <row r="15888" spans="1:2" x14ac:dyDescent="0.25">
      <c r="A15888" t="s">
        <v>14314</v>
      </c>
      <c r="B15888" t="s">
        <v>10681</v>
      </c>
    </row>
    <row r="15889" spans="1:2" x14ac:dyDescent="0.25">
      <c r="A15889" t="s">
        <v>14315</v>
      </c>
      <c r="B15889" t="s">
        <v>10681</v>
      </c>
    </row>
    <row r="15890" spans="1:2" x14ac:dyDescent="0.25">
      <c r="A15890" t="s">
        <v>14322</v>
      </c>
      <c r="B15890" t="s">
        <v>10681</v>
      </c>
    </row>
    <row r="15891" spans="1:2" x14ac:dyDescent="0.25">
      <c r="A15891" t="s">
        <v>14323</v>
      </c>
      <c r="B15891" t="s">
        <v>10681</v>
      </c>
    </row>
    <row r="15892" spans="1:2" x14ac:dyDescent="0.25">
      <c r="A15892" t="s">
        <v>14324</v>
      </c>
      <c r="B15892" t="s">
        <v>10681</v>
      </c>
    </row>
    <row r="15893" spans="1:2" x14ac:dyDescent="0.25">
      <c r="A15893" t="s">
        <v>14325</v>
      </c>
      <c r="B15893" t="s">
        <v>10681</v>
      </c>
    </row>
    <row r="15894" spans="1:2" x14ac:dyDescent="0.25">
      <c r="A15894" t="s">
        <v>14326</v>
      </c>
      <c r="B15894" t="s">
        <v>10681</v>
      </c>
    </row>
    <row r="15895" spans="1:2" x14ac:dyDescent="0.25">
      <c r="A15895" t="s">
        <v>14327</v>
      </c>
      <c r="B15895" t="s">
        <v>10681</v>
      </c>
    </row>
    <row r="15896" spans="1:2" x14ac:dyDescent="0.25">
      <c r="A15896" t="s">
        <v>14334</v>
      </c>
      <c r="B15896" t="s">
        <v>10681</v>
      </c>
    </row>
    <row r="15897" spans="1:2" x14ac:dyDescent="0.25">
      <c r="A15897" t="s">
        <v>14335</v>
      </c>
      <c r="B15897" t="s">
        <v>10681</v>
      </c>
    </row>
    <row r="15898" spans="1:2" x14ac:dyDescent="0.25">
      <c r="A15898" t="s">
        <v>14336</v>
      </c>
      <c r="B15898" t="s">
        <v>10681</v>
      </c>
    </row>
    <row r="15899" spans="1:2" x14ac:dyDescent="0.25">
      <c r="A15899" t="s">
        <v>14337</v>
      </c>
      <c r="B15899" t="s">
        <v>10681</v>
      </c>
    </row>
    <row r="15900" spans="1:2" x14ac:dyDescent="0.25">
      <c r="A15900" t="s">
        <v>14338</v>
      </c>
      <c r="B15900" t="s">
        <v>10681</v>
      </c>
    </row>
    <row r="15901" spans="1:2" x14ac:dyDescent="0.25">
      <c r="A15901" t="s">
        <v>14339</v>
      </c>
      <c r="B15901" t="s">
        <v>10681</v>
      </c>
    </row>
    <row r="15902" spans="1:2" x14ac:dyDescent="0.25">
      <c r="A15902" t="s">
        <v>14346</v>
      </c>
      <c r="B15902" t="s">
        <v>10681</v>
      </c>
    </row>
    <row r="15903" spans="1:2" x14ac:dyDescent="0.25">
      <c r="A15903" t="s">
        <v>14347</v>
      </c>
      <c r="B15903" t="s">
        <v>10681</v>
      </c>
    </row>
    <row r="15904" spans="1:2" x14ac:dyDescent="0.25">
      <c r="A15904" t="s">
        <v>14348</v>
      </c>
      <c r="B15904" t="s">
        <v>10681</v>
      </c>
    </row>
    <row r="15905" spans="1:2" x14ac:dyDescent="0.25">
      <c r="A15905" t="s">
        <v>14349</v>
      </c>
      <c r="B15905" t="s">
        <v>10681</v>
      </c>
    </row>
    <row r="15906" spans="1:2" x14ac:dyDescent="0.25">
      <c r="A15906" t="s">
        <v>14350</v>
      </c>
      <c r="B15906" t="s">
        <v>10681</v>
      </c>
    </row>
    <row r="15907" spans="1:2" x14ac:dyDescent="0.25">
      <c r="A15907" t="s">
        <v>14351</v>
      </c>
      <c r="B15907" t="s">
        <v>10681</v>
      </c>
    </row>
    <row r="15908" spans="1:2" x14ac:dyDescent="0.25">
      <c r="A15908" t="s">
        <v>14358</v>
      </c>
      <c r="B15908" t="s">
        <v>10681</v>
      </c>
    </row>
    <row r="15909" spans="1:2" x14ac:dyDescent="0.25">
      <c r="A15909" t="s">
        <v>14359</v>
      </c>
      <c r="B15909" t="s">
        <v>10681</v>
      </c>
    </row>
    <row r="15910" spans="1:2" x14ac:dyDescent="0.25">
      <c r="A15910" t="s">
        <v>14360</v>
      </c>
      <c r="B15910" t="s">
        <v>10681</v>
      </c>
    </row>
    <row r="15911" spans="1:2" x14ac:dyDescent="0.25">
      <c r="A15911" t="s">
        <v>14361</v>
      </c>
      <c r="B15911" t="s">
        <v>10681</v>
      </c>
    </row>
    <row r="15912" spans="1:2" x14ac:dyDescent="0.25">
      <c r="A15912" t="s">
        <v>14362</v>
      </c>
      <c r="B15912" t="s">
        <v>10681</v>
      </c>
    </row>
    <row r="15913" spans="1:2" x14ac:dyDescent="0.25">
      <c r="A15913" t="s">
        <v>14363</v>
      </c>
      <c r="B15913" t="s">
        <v>10681</v>
      </c>
    </row>
    <row r="15914" spans="1:2" x14ac:dyDescent="0.25">
      <c r="A15914" t="s">
        <v>14370</v>
      </c>
      <c r="B15914" t="s">
        <v>10681</v>
      </c>
    </row>
    <row r="15915" spans="1:2" x14ac:dyDescent="0.25">
      <c r="A15915" t="s">
        <v>14371</v>
      </c>
      <c r="B15915" t="s">
        <v>10681</v>
      </c>
    </row>
    <row r="15916" spans="1:2" x14ac:dyDescent="0.25">
      <c r="A15916" t="s">
        <v>14372</v>
      </c>
      <c r="B15916" t="s">
        <v>10681</v>
      </c>
    </row>
    <row r="15917" spans="1:2" x14ac:dyDescent="0.25">
      <c r="A15917" t="s">
        <v>14373</v>
      </c>
      <c r="B15917" t="s">
        <v>10681</v>
      </c>
    </row>
    <row r="15918" spans="1:2" x14ac:dyDescent="0.25">
      <c r="A15918" t="s">
        <v>14374</v>
      </c>
      <c r="B15918" t="s">
        <v>10681</v>
      </c>
    </row>
    <row r="15919" spans="1:2" x14ac:dyDescent="0.25">
      <c r="A15919" t="s">
        <v>14375</v>
      </c>
      <c r="B15919" t="s">
        <v>10681</v>
      </c>
    </row>
    <row r="15920" spans="1:2" x14ac:dyDescent="0.25">
      <c r="A15920" t="s">
        <v>14382</v>
      </c>
      <c r="B15920" t="s">
        <v>10681</v>
      </c>
    </row>
    <row r="15921" spans="1:2" x14ac:dyDescent="0.25">
      <c r="A15921" t="s">
        <v>14383</v>
      </c>
      <c r="B15921" t="s">
        <v>10681</v>
      </c>
    </row>
    <row r="15922" spans="1:2" x14ac:dyDescent="0.25">
      <c r="A15922" t="s">
        <v>14384</v>
      </c>
      <c r="B15922" t="s">
        <v>10681</v>
      </c>
    </row>
    <row r="15923" spans="1:2" x14ac:dyDescent="0.25">
      <c r="A15923" t="s">
        <v>14385</v>
      </c>
      <c r="B15923" t="s">
        <v>10681</v>
      </c>
    </row>
    <row r="15924" spans="1:2" x14ac:dyDescent="0.25">
      <c r="A15924" t="s">
        <v>14386</v>
      </c>
      <c r="B15924" t="s">
        <v>10681</v>
      </c>
    </row>
    <row r="15925" spans="1:2" x14ac:dyDescent="0.25">
      <c r="A15925" t="s">
        <v>14387</v>
      </c>
      <c r="B15925" t="s">
        <v>10681</v>
      </c>
    </row>
    <row r="15926" spans="1:2" x14ac:dyDescent="0.25">
      <c r="A15926" t="s">
        <v>14394</v>
      </c>
      <c r="B15926" t="s">
        <v>10681</v>
      </c>
    </row>
    <row r="15927" spans="1:2" x14ac:dyDescent="0.25">
      <c r="A15927" t="s">
        <v>14395</v>
      </c>
      <c r="B15927" t="s">
        <v>10681</v>
      </c>
    </row>
    <row r="15928" spans="1:2" x14ac:dyDescent="0.25">
      <c r="A15928" t="s">
        <v>14396</v>
      </c>
      <c r="B15928" t="s">
        <v>10681</v>
      </c>
    </row>
    <row r="15929" spans="1:2" x14ac:dyDescent="0.25">
      <c r="A15929" t="s">
        <v>14397</v>
      </c>
      <c r="B15929" t="s">
        <v>10681</v>
      </c>
    </row>
    <row r="15930" spans="1:2" x14ac:dyDescent="0.25">
      <c r="A15930" t="s">
        <v>14398</v>
      </c>
      <c r="B15930" t="s">
        <v>10681</v>
      </c>
    </row>
    <row r="15931" spans="1:2" x14ac:dyDescent="0.25">
      <c r="A15931" t="s">
        <v>14399</v>
      </c>
      <c r="B15931" t="s">
        <v>10681</v>
      </c>
    </row>
    <row r="15932" spans="1:2" x14ac:dyDescent="0.25">
      <c r="A15932" t="s">
        <v>14406</v>
      </c>
      <c r="B15932" t="s">
        <v>10681</v>
      </c>
    </row>
    <row r="15933" spans="1:2" x14ac:dyDescent="0.25">
      <c r="A15933" t="s">
        <v>14407</v>
      </c>
      <c r="B15933" t="s">
        <v>10681</v>
      </c>
    </row>
    <row r="15934" spans="1:2" x14ac:dyDescent="0.25">
      <c r="A15934" t="s">
        <v>14408</v>
      </c>
      <c r="B15934" t="s">
        <v>10681</v>
      </c>
    </row>
    <row r="15935" spans="1:2" x14ac:dyDescent="0.25">
      <c r="A15935" t="s">
        <v>14409</v>
      </c>
      <c r="B15935" t="s">
        <v>10681</v>
      </c>
    </row>
    <row r="15936" spans="1:2" x14ac:dyDescent="0.25">
      <c r="A15936" t="s">
        <v>14410</v>
      </c>
      <c r="B15936" t="s">
        <v>10681</v>
      </c>
    </row>
    <row r="15937" spans="1:2" x14ac:dyDescent="0.25">
      <c r="A15937" t="s">
        <v>14411</v>
      </c>
      <c r="B15937" t="s">
        <v>10681</v>
      </c>
    </row>
    <row r="15938" spans="1:2" x14ac:dyDescent="0.25">
      <c r="A15938" t="s">
        <v>14418</v>
      </c>
      <c r="B15938" t="s">
        <v>10681</v>
      </c>
    </row>
    <row r="15939" spans="1:2" x14ac:dyDescent="0.25">
      <c r="A15939" t="s">
        <v>14419</v>
      </c>
      <c r="B15939" t="s">
        <v>10681</v>
      </c>
    </row>
    <row r="15940" spans="1:2" x14ac:dyDescent="0.25">
      <c r="A15940" t="s">
        <v>14420</v>
      </c>
      <c r="B15940" t="s">
        <v>10681</v>
      </c>
    </row>
    <row r="15941" spans="1:2" x14ac:dyDescent="0.25">
      <c r="A15941" t="s">
        <v>14421</v>
      </c>
      <c r="B15941" t="s">
        <v>10681</v>
      </c>
    </row>
    <row r="15942" spans="1:2" x14ac:dyDescent="0.25">
      <c r="A15942" t="s">
        <v>14422</v>
      </c>
      <c r="B15942" t="s">
        <v>10681</v>
      </c>
    </row>
    <row r="15943" spans="1:2" x14ac:dyDescent="0.25">
      <c r="A15943" t="s">
        <v>14423</v>
      </c>
      <c r="B15943" t="s">
        <v>10681</v>
      </c>
    </row>
    <row r="15944" spans="1:2" x14ac:dyDescent="0.25">
      <c r="A15944" t="s">
        <v>14430</v>
      </c>
      <c r="B15944" t="s">
        <v>10681</v>
      </c>
    </row>
    <row r="15945" spans="1:2" x14ac:dyDescent="0.25">
      <c r="A15945" t="s">
        <v>14431</v>
      </c>
      <c r="B15945" t="s">
        <v>10681</v>
      </c>
    </row>
    <row r="15946" spans="1:2" x14ac:dyDescent="0.25">
      <c r="A15946" t="s">
        <v>14432</v>
      </c>
      <c r="B15946" t="s">
        <v>10681</v>
      </c>
    </row>
    <row r="15947" spans="1:2" x14ac:dyDescent="0.25">
      <c r="A15947" t="s">
        <v>14433</v>
      </c>
      <c r="B15947" t="s">
        <v>10681</v>
      </c>
    </row>
    <row r="15948" spans="1:2" x14ac:dyDescent="0.25">
      <c r="A15948" t="s">
        <v>14434</v>
      </c>
      <c r="B15948" t="s">
        <v>10681</v>
      </c>
    </row>
    <row r="15949" spans="1:2" x14ac:dyDescent="0.25">
      <c r="A15949" t="s">
        <v>14435</v>
      </c>
      <c r="B15949" t="s">
        <v>10681</v>
      </c>
    </row>
    <row r="15950" spans="1:2" x14ac:dyDescent="0.25">
      <c r="A15950" t="s">
        <v>14442</v>
      </c>
      <c r="B15950" t="s">
        <v>10681</v>
      </c>
    </row>
    <row r="15951" spans="1:2" x14ac:dyDescent="0.25">
      <c r="A15951" t="s">
        <v>14443</v>
      </c>
      <c r="B15951" t="s">
        <v>10681</v>
      </c>
    </row>
    <row r="15952" spans="1:2" x14ac:dyDescent="0.25">
      <c r="A15952" t="s">
        <v>14444</v>
      </c>
      <c r="B15952" t="s">
        <v>10681</v>
      </c>
    </row>
    <row r="15953" spans="1:2" x14ac:dyDescent="0.25">
      <c r="A15953" t="s">
        <v>14445</v>
      </c>
      <c r="B15953" t="s">
        <v>10681</v>
      </c>
    </row>
    <row r="15954" spans="1:2" x14ac:dyDescent="0.25">
      <c r="A15954" t="s">
        <v>14446</v>
      </c>
      <c r="B15954" t="s">
        <v>10681</v>
      </c>
    </row>
    <row r="15955" spans="1:2" x14ac:dyDescent="0.25">
      <c r="A15955" t="s">
        <v>14447</v>
      </c>
      <c r="B15955" t="s">
        <v>10681</v>
      </c>
    </row>
    <row r="15956" spans="1:2" x14ac:dyDescent="0.25">
      <c r="A15956" t="s">
        <v>14454</v>
      </c>
      <c r="B15956" t="s">
        <v>10681</v>
      </c>
    </row>
    <row r="15957" spans="1:2" x14ac:dyDescent="0.25">
      <c r="A15957" t="s">
        <v>14455</v>
      </c>
      <c r="B15957" t="s">
        <v>10681</v>
      </c>
    </row>
    <row r="15958" spans="1:2" x14ac:dyDescent="0.25">
      <c r="A15958" t="s">
        <v>14456</v>
      </c>
      <c r="B15958" t="s">
        <v>10681</v>
      </c>
    </row>
    <row r="15959" spans="1:2" x14ac:dyDescent="0.25">
      <c r="A15959" t="s">
        <v>14457</v>
      </c>
      <c r="B15959" t="s">
        <v>10681</v>
      </c>
    </row>
    <row r="15960" spans="1:2" x14ac:dyDescent="0.25">
      <c r="A15960" t="s">
        <v>14458</v>
      </c>
      <c r="B15960" t="s">
        <v>10681</v>
      </c>
    </row>
    <row r="15961" spans="1:2" x14ac:dyDescent="0.25">
      <c r="A15961" t="s">
        <v>14459</v>
      </c>
      <c r="B15961" t="s">
        <v>10681</v>
      </c>
    </row>
    <row r="15962" spans="1:2" x14ac:dyDescent="0.25">
      <c r="A15962" t="s">
        <v>14466</v>
      </c>
      <c r="B15962" t="s">
        <v>10681</v>
      </c>
    </row>
    <row r="15963" spans="1:2" x14ac:dyDescent="0.25">
      <c r="A15963" t="s">
        <v>14467</v>
      </c>
      <c r="B15963" t="s">
        <v>10681</v>
      </c>
    </row>
    <row r="15964" spans="1:2" x14ac:dyDescent="0.25">
      <c r="A15964" t="s">
        <v>14468</v>
      </c>
      <c r="B15964" t="s">
        <v>10681</v>
      </c>
    </row>
    <row r="15965" spans="1:2" x14ac:dyDescent="0.25">
      <c r="A15965" t="s">
        <v>14469</v>
      </c>
      <c r="B15965" t="s">
        <v>10681</v>
      </c>
    </row>
    <row r="15966" spans="1:2" x14ac:dyDescent="0.25">
      <c r="A15966" t="s">
        <v>14470</v>
      </c>
      <c r="B15966" t="s">
        <v>10681</v>
      </c>
    </row>
    <row r="15967" spans="1:2" x14ac:dyDescent="0.25">
      <c r="A15967" t="s">
        <v>14471</v>
      </c>
      <c r="B15967" t="s">
        <v>10681</v>
      </c>
    </row>
    <row r="15968" spans="1:2" x14ac:dyDescent="0.25">
      <c r="A15968" t="s">
        <v>14478</v>
      </c>
      <c r="B15968" t="s">
        <v>10681</v>
      </c>
    </row>
    <row r="15969" spans="1:2" x14ac:dyDescent="0.25">
      <c r="A15969" t="s">
        <v>14479</v>
      </c>
      <c r="B15969" t="s">
        <v>10681</v>
      </c>
    </row>
    <row r="15970" spans="1:2" x14ac:dyDescent="0.25">
      <c r="A15970" t="s">
        <v>14480</v>
      </c>
      <c r="B15970" t="s">
        <v>10681</v>
      </c>
    </row>
    <row r="15971" spans="1:2" x14ac:dyDescent="0.25">
      <c r="A15971" t="s">
        <v>14481</v>
      </c>
      <c r="B15971" t="s">
        <v>10681</v>
      </c>
    </row>
    <row r="15972" spans="1:2" x14ac:dyDescent="0.25">
      <c r="A15972" t="s">
        <v>14482</v>
      </c>
      <c r="B15972" t="s">
        <v>10681</v>
      </c>
    </row>
    <row r="15973" spans="1:2" x14ac:dyDescent="0.25">
      <c r="A15973" t="s">
        <v>14483</v>
      </c>
      <c r="B15973" t="s">
        <v>10681</v>
      </c>
    </row>
    <row r="15974" spans="1:2" x14ac:dyDescent="0.25">
      <c r="A15974" t="s">
        <v>14490</v>
      </c>
      <c r="B15974" t="s">
        <v>10681</v>
      </c>
    </row>
    <row r="15975" spans="1:2" x14ac:dyDescent="0.25">
      <c r="A15975" t="s">
        <v>14491</v>
      </c>
      <c r="B15975" t="s">
        <v>10681</v>
      </c>
    </row>
    <row r="15976" spans="1:2" x14ac:dyDescent="0.25">
      <c r="A15976" t="s">
        <v>14492</v>
      </c>
      <c r="B15976" t="s">
        <v>10681</v>
      </c>
    </row>
    <row r="15977" spans="1:2" x14ac:dyDescent="0.25">
      <c r="A15977" t="s">
        <v>14493</v>
      </c>
      <c r="B15977" t="s">
        <v>10681</v>
      </c>
    </row>
    <row r="15978" spans="1:2" x14ac:dyDescent="0.25">
      <c r="A15978" t="s">
        <v>14494</v>
      </c>
      <c r="B15978" t="s">
        <v>10681</v>
      </c>
    </row>
    <row r="15979" spans="1:2" x14ac:dyDescent="0.25">
      <c r="A15979" t="s">
        <v>14495</v>
      </c>
      <c r="B15979" t="s">
        <v>10681</v>
      </c>
    </row>
    <row r="15980" spans="1:2" x14ac:dyDescent="0.25">
      <c r="A15980" t="s">
        <v>14502</v>
      </c>
      <c r="B15980" t="s">
        <v>10681</v>
      </c>
    </row>
    <row r="15981" spans="1:2" x14ac:dyDescent="0.25">
      <c r="A15981" t="s">
        <v>14503</v>
      </c>
      <c r="B15981" t="s">
        <v>10681</v>
      </c>
    </row>
    <row r="15982" spans="1:2" x14ac:dyDescent="0.25">
      <c r="A15982" t="s">
        <v>14504</v>
      </c>
      <c r="B15982" t="s">
        <v>10681</v>
      </c>
    </row>
    <row r="15983" spans="1:2" x14ac:dyDescent="0.25">
      <c r="A15983" t="s">
        <v>14505</v>
      </c>
      <c r="B15983" t="s">
        <v>10681</v>
      </c>
    </row>
    <row r="15984" spans="1:2" x14ac:dyDescent="0.25">
      <c r="A15984" t="s">
        <v>14506</v>
      </c>
      <c r="B15984" t="s">
        <v>10681</v>
      </c>
    </row>
    <row r="15985" spans="1:2" x14ac:dyDescent="0.25">
      <c r="A15985" t="s">
        <v>14507</v>
      </c>
      <c r="B15985" t="s">
        <v>10681</v>
      </c>
    </row>
    <row r="15986" spans="1:2" x14ac:dyDescent="0.25">
      <c r="A15986" t="s">
        <v>14514</v>
      </c>
      <c r="B15986" t="s">
        <v>10681</v>
      </c>
    </row>
    <row r="15987" spans="1:2" x14ac:dyDescent="0.25">
      <c r="A15987" t="s">
        <v>14515</v>
      </c>
      <c r="B15987" t="s">
        <v>10681</v>
      </c>
    </row>
    <row r="15988" spans="1:2" x14ac:dyDescent="0.25">
      <c r="A15988" t="s">
        <v>14516</v>
      </c>
      <c r="B15988" t="s">
        <v>10681</v>
      </c>
    </row>
    <row r="15989" spans="1:2" x14ac:dyDescent="0.25">
      <c r="A15989" t="s">
        <v>14517</v>
      </c>
      <c r="B15989" t="s">
        <v>10681</v>
      </c>
    </row>
    <row r="15990" spans="1:2" x14ac:dyDescent="0.25">
      <c r="A15990" t="s">
        <v>14518</v>
      </c>
      <c r="B15990" t="s">
        <v>10681</v>
      </c>
    </row>
    <row r="15991" spans="1:2" x14ac:dyDescent="0.25">
      <c r="A15991" t="s">
        <v>14519</v>
      </c>
      <c r="B15991" t="s">
        <v>10681</v>
      </c>
    </row>
    <row r="15992" spans="1:2" x14ac:dyDescent="0.25">
      <c r="A15992" t="s">
        <v>14526</v>
      </c>
      <c r="B15992" t="s">
        <v>10681</v>
      </c>
    </row>
    <row r="15993" spans="1:2" x14ac:dyDescent="0.25">
      <c r="A15993" t="s">
        <v>14527</v>
      </c>
      <c r="B15993" t="s">
        <v>10681</v>
      </c>
    </row>
    <row r="15994" spans="1:2" x14ac:dyDescent="0.25">
      <c r="A15994" t="s">
        <v>14528</v>
      </c>
      <c r="B15994" t="s">
        <v>10681</v>
      </c>
    </row>
    <row r="15995" spans="1:2" x14ac:dyDescent="0.25">
      <c r="A15995" t="s">
        <v>14529</v>
      </c>
      <c r="B15995" t="s">
        <v>10681</v>
      </c>
    </row>
    <row r="15996" spans="1:2" x14ac:dyDescent="0.25">
      <c r="A15996" t="s">
        <v>14530</v>
      </c>
      <c r="B15996" t="s">
        <v>10681</v>
      </c>
    </row>
    <row r="15997" spans="1:2" x14ac:dyDescent="0.25">
      <c r="A15997" t="s">
        <v>14531</v>
      </c>
      <c r="B15997" t="s">
        <v>10681</v>
      </c>
    </row>
    <row r="15998" spans="1:2" x14ac:dyDescent="0.25">
      <c r="A15998" t="s">
        <v>14538</v>
      </c>
      <c r="B15998" t="s">
        <v>10681</v>
      </c>
    </row>
    <row r="15999" spans="1:2" x14ac:dyDescent="0.25">
      <c r="A15999" t="s">
        <v>14539</v>
      </c>
      <c r="B15999" t="s">
        <v>10681</v>
      </c>
    </row>
    <row r="16000" spans="1:2" x14ac:dyDescent="0.25">
      <c r="A16000" t="s">
        <v>14540</v>
      </c>
      <c r="B16000" t="s">
        <v>10681</v>
      </c>
    </row>
    <row r="16001" spans="1:2" x14ac:dyDescent="0.25">
      <c r="A16001" t="s">
        <v>14541</v>
      </c>
      <c r="B16001" t="s">
        <v>10681</v>
      </c>
    </row>
    <row r="16002" spans="1:2" x14ac:dyDescent="0.25">
      <c r="A16002" t="s">
        <v>14542</v>
      </c>
      <c r="B16002" t="s">
        <v>10681</v>
      </c>
    </row>
    <row r="16003" spans="1:2" x14ac:dyDescent="0.25">
      <c r="A16003" t="s">
        <v>14543</v>
      </c>
      <c r="B16003" t="s">
        <v>10681</v>
      </c>
    </row>
    <row r="16004" spans="1:2" x14ac:dyDescent="0.25">
      <c r="A16004" t="s">
        <v>14544</v>
      </c>
      <c r="B16004" t="s">
        <v>10681</v>
      </c>
    </row>
    <row r="16005" spans="1:2" x14ac:dyDescent="0.25">
      <c r="A16005" t="s">
        <v>14545</v>
      </c>
      <c r="B16005" t="s">
        <v>10681</v>
      </c>
    </row>
    <row r="16006" spans="1:2" x14ac:dyDescent="0.25">
      <c r="A16006" t="s">
        <v>3141</v>
      </c>
      <c r="B16006" t="s">
        <v>10681</v>
      </c>
    </row>
    <row r="16007" spans="1:2" x14ac:dyDescent="0.25">
      <c r="A16007" t="s">
        <v>9341</v>
      </c>
      <c r="B16007" t="s">
        <v>10681</v>
      </c>
    </row>
    <row r="16008" spans="1:2" x14ac:dyDescent="0.25">
      <c r="A16008" t="s">
        <v>8934</v>
      </c>
      <c r="B16008" t="s">
        <v>10681</v>
      </c>
    </row>
    <row r="16009" spans="1:2" x14ac:dyDescent="0.25">
      <c r="A16009" t="s">
        <v>13655</v>
      </c>
      <c r="B16009" t="s">
        <v>10681</v>
      </c>
    </row>
    <row r="16010" spans="1:2" x14ac:dyDescent="0.25">
      <c r="A16010" t="s">
        <v>4065</v>
      </c>
      <c r="B16010" t="s">
        <v>10681</v>
      </c>
    </row>
    <row r="16011" spans="1:2" x14ac:dyDescent="0.25">
      <c r="A16011" t="s">
        <v>16442</v>
      </c>
      <c r="B16011" t="s">
        <v>10681</v>
      </c>
    </row>
    <row r="16012" spans="1:2" x14ac:dyDescent="0.25">
      <c r="A16012" t="s">
        <v>16443</v>
      </c>
      <c r="B16012" t="s">
        <v>10681</v>
      </c>
    </row>
    <row r="16013" spans="1:2" x14ac:dyDescent="0.25">
      <c r="A16013" t="s">
        <v>224</v>
      </c>
      <c r="B16013" t="s">
        <v>10681</v>
      </c>
    </row>
    <row r="16014" spans="1:2" x14ac:dyDescent="0.25">
      <c r="A16014" t="s">
        <v>11962</v>
      </c>
      <c r="B16014" t="s">
        <v>10681</v>
      </c>
    </row>
    <row r="16015" spans="1:2" x14ac:dyDescent="0.25">
      <c r="A16015" t="s">
        <v>13440</v>
      </c>
      <c r="B16015" t="s">
        <v>10681</v>
      </c>
    </row>
    <row r="16016" spans="1:2" x14ac:dyDescent="0.25">
      <c r="A16016" t="s">
        <v>13441</v>
      </c>
      <c r="B16016" t="s">
        <v>10681</v>
      </c>
    </row>
    <row r="16017" spans="1:2" x14ac:dyDescent="0.25">
      <c r="A16017" t="s">
        <v>13443</v>
      </c>
      <c r="B16017" t="s">
        <v>10681</v>
      </c>
    </row>
    <row r="16018" spans="1:2" x14ac:dyDescent="0.25">
      <c r="A16018" t="s">
        <v>480</v>
      </c>
      <c r="B16018" t="s">
        <v>10681</v>
      </c>
    </row>
    <row r="16019" spans="1:2" x14ac:dyDescent="0.25">
      <c r="A16019" t="s">
        <v>3094</v>
      </c>
      <c r="B16019" t="s">
        <v>10681</v>
      </c>
    </row>
    <row r="16020" spans="1:2" x14ac:dyDescent="0.25">
      <c r="A16020" t="s">
        <v>6741</v>
      </c>
      <c r="B16020" t="s">
        <v>10681</v>
      </c>
    </row>
    <row r="16021" spans="1:2" x14ac:dyDescent="0.25">
      <c r="A16021" t="s">
        <v>4048</v>
      </c>
      <c r="B16021" t="s">
        <v>10681</v>
      </c>
    </row>
    <row r="16022" spans="1:2" x14ac:dyDescent="0.25">
      <c r="A16022" t="s">
        <v>4049</v>
      </c>
      <c r="B16022" t="s">
        <v>10681</v>
      </c>
    </row>
    <row r="16023" spans="1:2" x14ac:dyDescent="0.25">
      <c r="A16023" t="s">
        <v>13444</v>
      </c>
      <c r="B16023" t="s">
        <v>10681</v>
      </c>
    </row>
    <row r="16024" spans="1:2" x14ac:dyDescent="0.25">
      <c r="A16024" t="s">
        <v>13927</v>
      </c>
      <c r="B16024" t="s">
        <v>10681</v>
      </c>
    </row>
    <row r="16025" spans="1:2" x14ac:dyDescent="0.25">
      <c r="A16025" t="s">
        <v>13931</v>
      </c>
      <c r="B16025" t="s">
        <v>10681</v>
      </c>
    </row>
    <row r="16026" spans="1:2" x14ac:dyDescent="0.25">
      <c r="A16026" t="s">
        <v>13945</v>
      </c>
      <c r="B16026" t="s">
        <v>10681</v>
      </c>
    </row>
    <row r="16027" spans="1:2" x14ac:dyDescent="0.25">
      <c r="A16027" t="s">
        <v>13928</v>
      </c>
      <c r="B16027" t="s">
        <v>10681</v>
      </c>
    </row>
    <row r="16028" spans="1:2" x14ac:dyDescent="0.25">
      <c r="A16028" t="s">
        <v>13964</v>
      </c>
      <c r="B16028" t="s">
        <v>10681</v>
      </c>
    </row>
    <row r="16029" spans="1:2" x14ac:dyDescent="0.25">
      <c r="A16029" t="s">
        <v>13951</v>
      </c>
      <c r="B16029" t="s">
        <v>10681</v>
      </c>
    </row>
    <row r="16030" spans="1:2" x14ac:dyDescent="0.25">
      <c r="A16030" t="s">
        <v>11127</v>
      </c>
      <c r="B16030" t="s">
        <v>10681</v>
      </c>
    </row>
    <row r="16031" spans="1:2" x14ac:dyDescent="0.25">
      <c r="A16031" t="s">
        <v>6843</v>
      </c>
      <c r="B16031" t="s">
        <v>10681</v>
      </c>
    </row>
    <row r="16032" spans="1:2" x14ac:dyDescent="0.25">
      <c r="A16032" t="s">
        <v>8099</v>
      </c>
      <c r="B16032" t="s">
        <v>10681</v>
      </c>
    </row>
    <row r="16033" spans="1:2" x14ac:dyDescent="0.25">
      <c r="A16033" t="s">
        <v>4151</v>
      </c>
      <c r="B16033" t="s">
        <v>10681</v>
      </c>
    </row>
    <row r="16034" spans="1:2" x14ac:dyDescent="0.25">
      <c r="A16034" t="s">
        <v>12400</v>
      </c>
      <c r="B16034" t="s">
        <v>10681</v>
      </c>
    </row>
    <row r="16035" spans="1:2" x14ac:dyDescent="0.25">
      <c r="A16035" t="s">
        <v>9418</v>
      </c>
      <c r="B16035" t="s">
        <v>10681</v>
      </c>
    </row>
    <row r="16036" spans="1:2" x14ac:dyDescent="0.25">
      <c r="A16036" t="s">
        <v>10337</v>
      </c>
      <c r="B16036" t="s">
        <v>10681</v>
      </c>
    </row>
    <row r="16037" spans="1:2" x14ac:dyDescent="0.25">
      <c r="A16037" t="s">
        <v>4152</v>
      </c>
      <c r="B16037" t="s">
        <v>10681</v>
      </c>
    </row>
    <row r="16038" spans="1:2" x14ac:dyDescent="0.25">
      <c r="A16038" t="s">
        <v>8100</v>
      </c>
      <c r="B16038" t="s">
        <v>10681</v>
      </c>
    </row>
    <row r="16039" spans="1:2" x14ac:dyDescent="0.25">
      <c r="A16039" t="s">
        <v>3612</v>
      </c>
      <c r="B16039" t="s">
        <v>10681</v>
      </c>
    </row>
    <row r="16040" spans="1:2" x14ac:dyDescent="0.25">
      <c r="A16040" t="s">
        <v>4654</v>
      </c>
      <c r="B16040" t="s">
        <v>10681</v>
      </c>
    </row>
    <row r="16041" spans="1:2" x14ac:dyDescent="0.25">
      <c r="A16041" t="s">
        <v>4153</v>
      </c>
      <c r="B16041" t="s">
        <v>10681</v>
      </c>
    </row>
    <row r="16042" spans="1:2" x14ac:dyDescent="0.25">
      <c r="A16042" t="s">
        <v>14439</v>
      </c>
      <c r="B16042" t="s">
        <v>10681</v>
      </c>
    </row>
    <row r="16043" spans="1:2" x14ac:dyDescent="0.25">
      <c r="A16043" t="s">
        <v>14440</v>
      </c>
      <c r="B16043" t="s">
        <v>10681</v>
      </c>
    </row>
    <row r="16044" spans="1:2" x14ac:dyDescent="0.25">
      <c r="A16044" t="s">
        <v>14441</v>
      </c>
      <c r="B16044" t="s">
        <v>10681</v>
      </c>
    </row>
    <row r="16045" spans="1:2" x14ac:dyDescent="0.25">
      <c r="A16045" t="s">
        <v>7497</v>
      </c>
      <c r="B16045" t="s">
        <v>10681</v>
      </c>
    </row>
    <row r="16046" spans="1:2" x14ac:dyDescent="0.25">
      <c r="A16046" t="s">
        <v>6350</v>
      </c>
      <c r="B16046" t="s">
        <v>10681</v>
      </c>
    </row>
    <row r="16047" spans="1:2" x14ac:dyDescent="0.25">
      <c r="A16047" t="s">
        <v>3613</v>
      </c>
      <c r="B16047" t="s">
        <v>10681</v>
      </c>
    </row>
    <row r="16048" spans="1:2" x14ac:dyDescent="0.25">
      <c r="A16048" t="s">
        <v>5886</v>
      </c>
      <c r="B16048" t="s">
        <v>10681</v>
      </c>
    </row>
    <row r="16049" spans="1:2" x14ac:dyDescent="0.25">
      <c r="A16049" t="s">
        <v>9805</v>
      </c>
      <c r="B16049" t="s">
        <v>10681</v>
      </c>
    </row>
    <row r="16050" spans="1:2" x14ac:dyDescent="0.25">
      <c r="A16050" t="s">
        <v>8990</v>
      </c>
      <c r="B16050" t="s">
        <v>10681</v>
      </c>
    </row>
    <row r="16051" spans="1:2" x14ac:dyDescent="0.25">
      <c r="A16051" t="s">
        <v>5887</v>
      </c>
      <c r="B16051" t="s">
        <v>10681</v>
      </c>
    </row>
    <row r="16052" spans="1:2" x14ac:dyDescent="0.25">
      <c r="A16052" t="s">
        <v>8598</v>
      </c>
      <c r="B16052" t="s">
        <v>10681</v>
      </c>
    </row>
    <row r="16053" spans="1:2" x14ac:dyDescent="0.25">
      <c r="A16053" t="s">
        <v>4154</v>
      </c>
      <c r="B16053" t="s">
        <v>10681</v>
      </c>
    </row>
    <row r="16054" spans="1:2" x14ac:dyDescent="0.25">
      <c r="A16054" t="s">
        <v>3169</v>
      </c>
      <c r="B16054" t="s">
        <v>10681</v>
      </c>
    </row>
    <row r="16055" spans="1:2" x14ac:dyDescent="0.25">
      <c r="A16055" t="s">
        <v>283</v>
      </c>
      <c r="B16055" t="s">
        <v>10681</v>
      </c>
    </row>
    <row r="16056" spans="1:2" x14ac:dyDescent="0.25">
      <c r="A16056" t="s">
        <v>14650</v>
      </c>
      <c r="B16056" t="s">
        <v>10681</v>
      </c>
    </row>
    <row r="16057" spans="1:2" x14ac:dyDescent="0.25">
      <c r="A16057" t="s">
        <v>14651</v>
      </c>
      <c r="B16057" t="s">
        <v>14650</v>
      </c>
    </row>
    <row r="16058" spans="1:2" x14ac:dyDescent="0.25">
      <c r="A16058" t="s">
        <v>14652</v>
      </c>
      <c r="B16058" t="s">
        <v>10681</v>
      </c>
    </row>
    <row r="16059" spans="1:2" x14ac:dyDescent="0.25">
      <c r="A16059" t="s">
        <v>14653</v>
      </c>
      <c r="B16059" t="s">
        <v>10681</v>
      </c>
    </row>
    <row r="16060" spans="1:2" x14ac:dyDescent="0.25">
      <c r="A16060" t="s">
        <v>14654</v>
      </c>
      <c r="B16060" t="s">
        <v>10681</v>
      </c>
    </row>
    <row r="16061" spans="1:2" x14ac:dyDescent="0.25">
      <c r="A16061" t="s">
        <v>14655</v>
      </c>
      <c r="B16061" t="s">
        <v>10681</v>
      </c>
    </row>
    <row r="16062" spans="1:2" x14ac:dyDescent="0.25">
      <c r="A16062" t="s">
        <v>14656</v>
      </c>
      <c r="B16062" t="s">
        <v>10681</v>
      </c>
    </row>
    <row r="16063" spans="1:2" x14ac:dyDescent="0.25">
      <c r="A16063" t="s">
        <v>14657</v>
      </c>
      <c r="B16063" t="s">
        <v>10681</v>
      </c>
    </row>
    <row r="16064" spans="1:2" x14ac:dyDescent="0.25">
      <c r="A16064" t="s">
        <v>6351</v>
      </c>
      <c r="B16064" t="s">
        <v>10681</v>
      </c>
    </row>
    <row r="16065" spans="1:2" x14ac:dyDescent="0.25">
      <c r="A16065" t="s">
        <v>5522</v>
      </c>
      <c r="B16065" t="s">
        <v>10681</v>
      </c>
    </row>
    <row r="16066" spans="1:2" x14ac:dyDescent="0.25">
      <c r="A16066" t="s">
        <v>8102</v>
      </c>
      <c r="B16066" t="s">
        <v>10681</v>
      </c>
    </row>
    <row r="16067" spans="1:2" x14ac:dyDescent="0.25">
      <c r="A16067" t="s">
        <v>10338</v>
      </c>
      <c r="B16067" t="s">
        <v>10681</v>
      </c>
    </row>
    <row r="16068" spans="1:2" x14ac:dyDescent="0.25">
      <c r="A16068" t="s">
        <v>3614</v>
      </c>
      <c r="B16068" t="s">
        <v>10681</v>
      </c>
    </row>
    <row r="16069" spans="1:2" x14ac:dyDescent="0.25">
      <c r="A16069" t="s">
        <v>8599</v>
      </c>
      <c r="B16069" t="s">
        <v>10681</v>
      </c>
    </row>
    <row r="16070" spans="1:2" x14ac:dyDescent="0.25">
      <c r="A16070" t="s">
        <v>6844</v>
      </c>
      <c r="B16070" t="s">
        <v>10681</v>
      </c>
    </row>
    <row r="16071" spans="1:2" x14ac:dyDescent="0.25">
      <c r="A16071" t="s">
        <v>8600</v>
      </c>
      <c r="B16071" t="s">
        <v>10681</v>
      </c>
    </row>
    <row r="16072" spans="1:2" x14ac:dyDescent="0.25">
      <c r="A16072" t="s">
        <v>11129</v>
      </c>
      <c r="B16072" t="s">
        <v>10681</v>
      </c>
    </row>
    <row r="16073" spans="1:2" x14ac:dyDescent="0.25">
      <c r="A16073" t="s">
        <v>6847</v>
      </c>
      <c r="B16073" t="s">
        <v>10681</v>
      </c>
    </row>
    <row r="16074" spans="1:2" x14ac:dyDescent="0.25">
      <c r="A16074" t="s">
        <v>8107</v>
      </c>
      <c r="B16074" t="s">
        <v>10681</v>
      </c>
    </row>
    <row r="16075" spans="1:2" x14ac:dyDescent="0.25">
      <c r="A16075" t="s">
        <v>4159</v>
      </c>
      <c r="B16075" t="s">
        <v>10681</v>
      </c>
    </row>
    <row r="16076" spans="1:2" x14ac:dyDescent="0.25">
      <c r="A16076" t="s">
        <v>9420</v>
      </c>
      <c r="B16076" t="s">
        <v>10681</v>
      </c>
    </row>
    <row r="16077" spans="1:2" x14ac:dyDescent="0.25">
      <c r="A16077" t="s">
        <v>4160</v>
      </c>
      <c r="B16077" t="s">
        <v>10681</v>
      </c>
    </row>
    <row r="16078" spans="1:2" x14ac:dyDescent="0.25">
      <c r="A16078" t="s">
        <v>3618</v>
      </c>
      <c r="B16078" t="s">
        <v>10681</v>
      </c>
    </row>
    <row r="16079" spans="1:2" x14ac:dyDescent="0.25">
      <c r="A16079" t="s">
        <v>4161</v>
      </c>
      <c r="B16079" t="s">
        <v>10681</v>
      </c>
    </row>
    <row r="16080" spans="1:2" x14ac:dyDescent="0.25">
      <c r="A16080" t="s">
        <v>14463</v>
      </c>
      <c r="B16080" t="s">
        <v>10681</v>
      </c>
    </row>
    <row r="16081" spans="1:2" x14ac:dyDescent="0.25">
      <c r="A16081" t="s">
        <v>14464</v>
      </c>
      <c r="B16081" t="s">
        <v>10681</v>
      </c>
    </row>
    <row r="16082" spans="1:2" x14ac:dyDescent="0.25">
      <c r="A16082" t="s">
        <v>14465</v>
      </c>
      <c r="B16082" t="s">
        <v>10681</v>
      </c>
    </row>
    <row r="16083" spans="1:2" x14ac:dyDescent="0.25">
      <c r="A16083" t="s">
        <v>6354</v>
      </c>
      <c r="B16083" t="s">
        <v>10681</v>
      </c>
    </row>
    <row r="16084" spans="1:2" x14ac:dyDescent="0.25">
      <c r="A16084" t="s">
        <v>5890</v>
      </c>
      <c r="B16084" t="s">
        <v>10681</v>
      </c>
    </row>
    <row r="16085" spans="1:2" x14ac:dyDescent="0.25">
      <c r="A16085" t="s">
        <v>5891</v>
      </c>
      <c r="B16085" t="s">
        <v>10681</v>
      </c>
    </row>
    <row r="16086" spans="1:2" x14ac:dyDescent="0.25">
      <c r="A16086" t="s">
        <v>8604</v>
      </c>
      <c r="B16086" t="s">
        <v>10681</v>
      </c>
    </row>
    <row r="16087" spans="1:2" x14ac:dyDescent="0.25">
      <c r="A16087" t="s">
        <v>285</v>
      </c>
      <c r="B16087" t="s">
        <v>10681</v>
      </c>
    </row>
    <row r="16088" spans="1:2" x14ac:dyDescent="0.25">
      <c r="A16088" t="s">
        <v>14666</v>
      </c>
      <c r="B16088" t="s">
        <v>10681</v>
      </c>
    </row>
    <row r="16089" spans="1:2" x14ac:dyDescent="0.25">
      <c r="A16089" t="s">
        <v>14667</v>
      </c>
      <c r="B16089" t="s">
        <v>14666</v>
      </c>
    </row>
    <row r="16090" spans="1:2" x14ac:dyDescent="0.25">
      <c r="A16090" t="s">
        <v>14668</v>
      </c>
      <c r="B16090" t="s">
        <v>10681</v>
      </c>
    </row>
    <row r="16091" spans="1:2" x14ac:dyDescent="0.25">
      <c r="A16091" t="s">
        <v>14669</v>
      </c>
      <c r="B16091" t="s">
        <v>10681</v>
      </c>
    </row>
    <row r="16092" spans="1:2" x14ac:dyDescent="0.25">
      <c r="A16092" t="s">
        <v>14670</v>
      </c>
      <c r="B16092" t="s">
        <v>10681</v>
      </c>
    </row>
    <row r="16093" spans="1:2" x14ac:dyDescent="0.25">
      <c r="A16093" t="s">
        <v>14671</v>
      </c>
      <c r="B16093" t="s">
        <v>10681</v>
      </c>
    </row>
    <row r="16094" spans="1:2" x14ac:dyDescent="0.25">
      <c r="A16094" t="s">
        <v>14672</v>
      </c>
      <c r="B16094" t="s">
        <v>10681</v>
      </c>
    </row>
    <row r="16095" spans="1:2" x14ac:dyDescent="0.25">
      <c r="A16095" t="s">
        <v>14673</v>
      </c>
      <c r="B16095" t="s">
        <v>10681</v>
      </c>
    </row>
    <row r="16096" spans="1:2" x14ac:dyDescent="0.25">
      <c r="A16096" t="s">
        <v>8109</v>
      </c>
      <c r="B16096" t="s">
        <v>10681</v>
      </c>
    </row>
    <row r="16097" spans="1:2" x14ac:dyDescent="0.25">
      <c r="A16097" t="s">
        <v>6355</v>
      </c>
      <c r="B16097" t="s">
        <v>10681</v>
      </c>
    </row>
    <row r="16098" spans="1:2" x14ac:dyDescent="0.25">
      <c r="A16098" t="s">
        <v>5524</v>
      </c>
      <c r="B16098" t="s">
        <v>10681</v>
      </c>
    </row>
    <row r="16099" spans="1:2" x14ac:dyDescent="0.25">
      <c r="A16099" t="s">
        <v>8110</v>
      </c>
      <c r="B16099" t="s">
        <v>10681</v>
      </c>
    </row>
    <row r="16100" spans="1:2" x14ac:dyDescent="0.25">
      <c r="A16100" t="s">
        <v>10344</v>
      </c>
      <c r="B16100" t="s">
        <v>10681</v>
      </c>
    </row>
    <row r="16101" spans="1:2" x14ac:dyDescent="0.25">
      <c r="A16101" t="s">
        <v>3620</v>
      </c>
      <c r="B16101" t="s">
        <v>10681</v>
      </c>
    </row>
    <row r="16102" spans="1:2" x14ac:dyDescent="0.25">
      <c r="A16102" t="s">
        <v>8605</v>
      </c>
      <c r="B16102" t="s">
        <v>10681</v>
      </c>
    </row>
    <row r="16103" spans="1:2" x14ac:dyDescent="0.25">
      <c r="A16103" t="s">
        <v>6848</v>
      </c>
      <c r="B16103" t="s">
        <v>10681</v>
      </c>
    </row>
    <row r="16104" spans="1:2" x14ac:dyDescent="0.25">
      <c r="A16104" t="s">
        <v>11133</v>
      </c>
      <c r="B16104" t="s">
        <v>10681</v>
      </c>
    </row>
    <row r="16105" spans="1:2" x14ac:dyDescent="0.25">
      <c r="A16105" t="s">
        <v>6855</v>
      </c>
      <c r="B16105" t="s">
        <v>10681</v>
      </c>
    </row>
    <row r="16106" spans="1:2" x14ac:dyDescent="0.25">
      <c r="A16106" t="s">
        <v>8123</v>
      </c>
      <c r="B16106" t="s">
        <v>10681</v>
      </c>
    </row>
    <row r="16107" spans="1:2" x14ac:dyDescent="0.25">
      <c r="A16107" t="s">
        <v>4175</v>
      </c>
      <c r="B16107" t="s">
        <v>10681</v>
      </c>
    </row>
    <row r="16108" spans="1:2" x14ac:dyDescent="0.25">
      <c r="A16108" t="s">
        <v>12407</v>
      </c>
      <c r="B16108" t="s">
        <v>10681</v>
      </c>
    </row>
    <row r="16109" spans="1:2" x14ac:dyDescent="0.25">
      <c r="A16109" t="s">
        <v>9424</v>
      </c>
      <c r="B16109" t="s">
        <v>10681</v>
      </c>
    </row>
    <row r="16110" spans="1:2" x14ac:dyDescent="0.25">
      <c r="A16110" t="s">
        <v>10355</v>
      </c>
      <c r="B16110" t="s">
        <v>10681</v>
      </c>
    </row>
    <row r="16111" spans="1:2" x14ac:dyDescent="0.25">
      <c r="A16111" t="s">
        <v>4176</v>
      </c>
      <c r="B16111" t="s">
        <v>10681</v>
      </c>
    </row>
    <row r="16112" spans="1:2" x14ac:dyDescent="0.25">
      <c r="A16112" t="s">
        <v>8124</v>
      </c>
      <c r="B16112" t="s">
        <v>10681</v>
      </c>
    </row>
    <row r="16113" spans="1:2" x14ac:dyDescent="0.25">
      <c r="A16113" t="s">
        <v>3630</v>
      </c>
      <c r="B16113" t="s">
        <v>10681</v>
      </c>
    </row>
    <row r="16114" spans="1:2" x14ac:dyDescent="0.25">
      <c r="A16114" t="s">
        <v>4660</v>
      </c>
      <c r="B16114" t="s">
        <v>10681</v>
      </c>
    </row>
    <row r="16115" spans="1:2" x14ac:dyDescent="0.25">
      <c r="A16115" t="s">
        <v>4177</v>
      </c>
      <c r="B16115" t="s">
        <v>10681</v>
      </c>
    </row>
    <row r="16116" spans="1:2" x14ac:dyDescent="0.25">
      <c r="A16116" t="s">
        <v>14475</v>
      </c>
      <c r="B16116" t="s">
        <v>10681</v>
      </c>
    </row>
    <row r="16117" spans="1:2" x14ac:dyDescent="0.25">
      <c r="A16117" t="s">
        <v>14476</v>
      </c>
      <c r="B16117" t="s">
        <v>10681</v>
      </c>
    </row>
    <row r="16118" spans="1:2" x14ac:dyDescent="0.25">
      <c r="A16118" t="s">
        <v>14477</v>
      </c>
      <c r="B16118" t="s">
        <v>10681</v>
      </c>
    </row>
    <row r="16119" spans="1:2" x14ac:dyDescent="0.25">
      <c r="A16119" t="s">
        <v>7509</v>
      </c>
      <c r="B16119" t="s">
        <v>10681</v>
      </c>
    </row>
    <row r="16120" spans="1:2" x14ac:dyDescent="0.25">
      <c r="A16120" t="s">
        <v>6361</v>
      </c>
      <c r="B16120" t="s">
        <v>10681</v>
      </c>
    </row>
    <row r="16121" spans="1:2" x14ac:dyDescent="0.25">
      <c r="A16121" t="s">
        <v>3631</v>
      </c>
      <c r="B16121" t="s">
        <v>10681</v>
      </c>
    </row>
    <row r="16122" spans="1:2" x14ac:dyDescent="0.25">
      <c r="A16122" t="s">
        <v>5898</v>
      </c>
      <c r="B16122" t="s">
        <v>10681</v>
      </c>
    </row>
    <row r="16123" spans="1:2" x14ac:dyDescent="0.25">
      <c r="A16123" t="s">
        <v>9811</v>
      </c>
      <c r="B16123" t="s">
        <v>10681</v>
      </c>
    </row>
    <row r="16124" spans="1:2" x14ac:dyDescent="0.25">
      <c r="A16124" t="s">
        <v>8995</v>
      </c>
      <c r="B16124" t="s">
        <v>10681</v>
      </c>
    </row>
    <row r="16125" spans="1:2" x14ac:dyDescent="0.25">
      <c r="A16125" t="s">
        <v>5899</v>
      </c>
      <c r="B16125" t="s">
        <v>10681</v>
      </c>
    </row>
    <row r="16126" spans="1:2" x14ac:dyDescent="0.25">
      <c r="A16126" t="s">
        <v>8616</v>
      </c>
      <c r="B16126" t="s">
        <v>10681</v>
      </c>
    </row>
    <row r="16127" spans="1:2" x14ac:dyDescent="0.25">
      <c r="A16127" t="s">
        <v>289</v>
      </c>
      <c r="B16127" t="s">
        <v>10681</v>
      </c>
    </row>
    <row r="16128" spans="1:2" x14ac:dyDescent="0.25">
      <c r="A16128" t="s">
        <v>14674</v>
      </c>
      <c r="B16128" t="s">
        <v>10681</v>
      </c>
    </row>
    <row r="16129" spans="1:2" x14ac:dyDescent="0.25">
      <c r="A16129" t="s">
        <v>14675</v>
      </c>
      <c r="B16129" t="s">
        <v>14674</v>
      </c>
    </row>
    <row r="16130" spans="1:2" x14ac:dyDescent="0.25">
      <c r="A16130" t="s">
        <v>14676</v>
      </c>
      <c r="B16130" t="s">
        <v>10681</v>
      </c>
    </row>
    <row r="16131" spans="1:2" x14ac:dyDescent="0.25">
      <c r="A16131" t="s">
        <v>14677</v>
      </c>
      <c r="B16131" t="s">
        <v>10681</v>
      </c>
    </row>
    <row r="16132" spans="1:2" x14ac:dyDescent="0.25">
      <c r="A16132" t="s">
        <v>14678</v>
      </c>
      <c r="B16132" t="s">
        <v>10681</v>
      </c>
    </row>
    <row r="16133" spans="1:2" x14ac:dyDescent="0.25">
      <c r="A16133" t="s">
        <v>14679</v>
      </c>
      <c r="B16133" t="s">
        <v>10681</v>
      </c>
    </row>
    <row r="16134" spans="1:2" x14ac:dyDescent="0.25">
      <c r="A16134" t="s">
        <v>14680</v>
      </c>
      <c r="B16134" t="s">
        <v>10681</v>
      </c>
    </row>
    <row r="16135" spans="1:2" x14ac:dyDescent="0.25">
      <c r="A16135" t="s">
        <v>14681</v>
      </c>
      <c r="B16135" t="s">
        <v>10681</v>
      </c>
    </row>
    <row r="16136" spans="1:2" x14ac:dyDescent="0.25">
      <c r="A16136" t="s">
        <v>8125</v>
      </c>
      <c r="B16136" t="s">
        <v>10681</v>
      </c>
    </row>
    <row r="16137" spans="1:2" x14ac:dyDescent="0.25">
      <c r="A16137" t="s">
        <v>6362</v>
      </c>
      <c r="B16137" t="s">
        <v>10681</v>
      </c>
    </row>
    <row r="16138" spans="1:2" x14ac:dyDescent="0.25">
      <c r="A16138" t="s">
        <v>5528</v>
      </c>
      <c r="B16138" t="s">
        <v>10681</v>
      </c>
    </row>
    <row r="16139" spans="1:2" x14ac:dyDescent="0.25">
      <c r="A16139" t="s">
        <v>8126</v>
      </c>
      <c r="B16139" t="s">
        <v>10681</v>
      </c>
    </row>
    <row r="16140" spans="1:2" x14ac:dyDescent="0.25">
      <c r="A16140" t="s">
        <v>10356</v>
      </c>
      <c r="B16140" t="s">
        <v>10681</v>
      </c>
    </row>
    <row r="16141" spans="1:2" x14ac:dyDescent="0.25">
      <c r="A16141" t="s">
        <v>3632</v>
      </c>
      <c r="B16141" t="s">
        <v>10681</v>
      </c>
    </row>
    <row r="16142" spans="1:2" x14ac:dyDescent="0.25">
      <c r="A16142" t="s">
        <v>8617</v>
      </c>
      <c r="B16142" t="s">
        <v>10681</v>
      </c>
    </row>
    <row r="16143" spans="1:2" x14ac:dyDescent="0.25">
      <c r="A16143" t="s">
        <v>6856</v>
      </c>
      <c r="B16143" t="s">
        <v>10681</v>
      </c>
    </row>
    <row r="16144" spans="1:2" x14ac:dyDescent="0.25">
      <c r="A16144" t="s">
        <v>11134</v>
      </c>
      <c r="B16144" t="s">
        <v>10681</v>
      </c>
    </row>
    <row r="16145" spans="1:2" x14ac:dyDescent="0.25">
      <c r="A16145" t="s">
        <v>6857</v>
      </c>
      <c r="B16145" t="s">
        <v>10681</v>
      </c>
    </row>
    <row r="16146" spans="1:2" x14ac:dyDescent="0.25">
      <c r="A16146" t="s">
        <v>8127</v>
      </c>
      <c r="B16146" t="s">
        <v>10681</v>
      </c>
    </row>
    <row r="16147" spans="1:2" x14ac:dyDescent="0.25">
      <c r="A16147" t="s">
        <v>4179</v>
      </c>
      <c r="B16147" t="s">
        <v>10681</v>
      </c>
    </row>
    <row r="16148" spans="1:2" x14ac:dyDescent="0.25">
      <c r="A16148" t="s">
        <v>10358</v>
      </c>
      <c r="B16148" t="s">
        <v>10681</v>
      </c>
    </row>
    <row r="16149" spans="1:2" x14ac:dyDescent="0.25">
      <c r="A16149" t="s">
        <v>4180</v>
      </c>
      <c r="B16149" t="s">
        <v>10681</v>
      </c>
    </row>
    <row r="16150" spans="1:2" x14ac:dyDescent="0.25">
      <c r="A16150" t="s">
        <v>4661</v>
      </c>
      <c r="B16150" t="s">
        <v>10681</v>
      </c>
    </row>
    <row r="16151" spans="1:2" x14ac:dyDescent="0.25">
      <c r="A16151" t="s">
        <v>4181</v>
      </c>
      <c r="B16151" t="s">
        <v>10681</v>
      </c>
    </row>
    <row r="16152" spans="1:2" x14ac:dyDescent="0.25">
      <c r="A16152" t="s">
        <v>14451</v>
      </c>
      <c r="B16152" t="s">
        <v>10681</v>
      </c>
    </row>
    <row r="16153" spans="1:2" x14ac:dyDescent="0.25">
      <c r="A16153" t="s">
        <v>14452</v>
      </c>
      <c r="B16153" t="s">
        <v>10681</v>
      </c>
    </row>
    <row r="16154" spans="1:2" x14ac:dyDescent="0.25">
      <c r="A16154" t="s">
        <v>14453</v>
      </c>
      <c r="B16154" t="s">
        <v>10681</v>
      </c>
    </row>
    <row r="16155" spans="1:2" x14ac:dyDescent="0.25">
      <c r="A16155" t="s">
        <v>3634</v>
      </c>
      <c r="B16155" t="s">
        <v>10681</v>
      </c>
    </row>
    <row r="16156" spans="1:2" x14ac:dyDescent="0.25">
      <c r="A16156" t="s">
        <v>5900</v>
      </c>
      <c r="B16156" t="s">
        <v>10681</v>
      </c>
    </row>
    <row r="16157" spans="1:2" x14ac:dyDescent="0.25">
      <c r="A16157" t="s">
        <v>5901</v>
      </c>
      <c r="B16157" t="s">
        <v>10681</v>
      </c>
    </row>
    <row r="16158" spans="1:2" x14ac:dyDescent="0.25">
      <c r="A16158" t="s">
        <v>8619</v>
      </c>
      <c r="B16158" t="s">
        <v>10681</v>
      </c>
    </row>
    <row r="16159" spans="1:2" x14ac:dyDescent="0.25">
      <c r="A16159" t="s">
        <v>290</v>
      </c>
      <c r="B16159" t="s">
        <v>10681</v>
      </c>
    </row>
    <row r="16160" spans="1:2" x14ac:dyDescent="0.25">
      <c r="A16160" t="s">
        <v>14658</v>
      </c>
      <c r="B16160" t="s">
        <v>10681</v>
      </c>
    </row>
    <row r="16161" spans="1:2" x14ac:dyDescent="0.25">
      <c r="A16161" t="s">
        <v>14659</v>
      </c>
      <c r="B16161" t="s">
        <v>14658</v>
      </c>
    </row>
    <row r="16162" spans="1:2" x14ac:dyDescent="0.25">
      <c r="A16162" t="s">
        <v>14660</v>
      </c>
      <c r="B16162" t="s">
        <v>10681</v>
      </c>
    </row>
    <row r="16163" spans="1:2" x14ac:dyDescent="0.25">
      <c r="A16163" t="s">
        <v>14661</v>
      </c>
      <c r="B16163" t="s">
        <v>10681</v>
      </c>
    </row>
    <row r="16164" spans="1:2" x14ac:dyDescent="0.25">
      <c r="A16164" t="s">
        <v>14662</v>
      </c>
      <c r="B16164" t="s">
        <v>10681</v>
      </c>
    </row>
    <row r="16165" spans="1:2" x14ac:dyDescent="0.25">
      <c r="A16165" t="s">
        <v>14663</v>
      </c>
      <c r="B16165" t="s">
        <v>10681</v>
      </c>
    </row>
    <row r="16166" spans="1:2" x14ac:dyDescent="0.25">
      <c r="A16166" t="s">
        <v>14664</v>
      </c>
      <c r="B16166" t="s">
        <v>10681</v>
      </c>
    </row>
    <row r="16167" spans="1:2" x14ac:dyDescent="0.25">
      <c r="A16167" t="s">
        <v>14665</v>
      </c>
      <c r="B16167" t="s">
        <v>10681</v>
      </c>
    </row>
    <row r="16168" spans="1:2" x14ac:dyDescent="0.25">
      <c r="A16168" t="s">
        <v>6364</v>
      </c>
      <c r="B16168" t="s">
        <v>10681</v>
      </c>
    </row>
    <row r="16169" spans="1:2" x14ac:dyDescent="0.25">
      <c r="A16169" t="s">
        <v>8130</v>
      </c>
      <c r="B16169" t="s">
        <v>10681</v>
      </c>
    </row>
    <row r="16170" spans="1:2" x14ac:dyDescent="0.25">
      <c r="A16170" t="s">
        <v>10359</v>
      </c>
      <c r="B16170" t="s">
        <v>10681</v>
      </c>
    </row>
    <row r="16171" spans="1:2" x14ac:dyDescent="0.25">
      <c r="A16171" t="s">
        <v>3635</v>
      </c>
      <c r="B16171" t="s">
        <v>10681</v>
      </c>
    </row>
    <row r="16172" spans="1:2" x14ac:dyDescent="0.25">
      <c r="A16172" t="s">
        <v>8620</v>
      </c>
      <c r="B16172" t="s">
        <v>10681</v>
      </c>
    </row>
    <row r="16173" spans="1:2" x14ac:dyDescent="0.25">
      <c r="A16173" t="s">
        <v>6858</v>
      </c>
      <c r="B16173" t="s">
        <v>10681</v>
      </c>
    </row>
    <row r="16174" spans="1:2" x14ac:dyDescent="0.25">
      <c r="A16174" t="s">
        <v>8621</v>
      </c>
      <c r="B16174" t="s">
        <v>10681</v>
      </c>
    </row>
    <row r="16175" spans="1:2" x14ac:dyDescent="0.25">
      <c r="A16175" t="s">
        <v>10339</v>
      </c>
      <c r="B16175" t="s">
        <v>10681</v>
      </c>
    </row>
    <row r="16176" spans="1:2" x14ac:dyDescent="0.25">
      <c r="A16176" t="s">
        <v>11128</v>
      </c>
      <c r="B16176" t="s">
        <v>10681</v>
      </c>
    </row>
    <row r="16177" spans="1:2" x14ac:dyDescent="0.25">
      <c r="A16177" t="s">
        <v>6845</v>
      </c>
      <c r="B16177" t="s">
        <v>10681</v>
      </c>
    </row>
    <row r="16178" spans="1:2" x14ac:dyDescent="0.25">
      <c r="A16178" t="s">
        <v>8103</v>
      </c>
      <c r="B16178" t="s">
        <v>10681</v>
      </c>
    </row>
    <row r="16179" spans="1:2" x14ac:dyDescent="0.25">
      <c r="A16179" t="s">
        <v>4155</v>
      </c>
      <c r="B16179" t="s">
        <v>10681</v>
      </c>
    </row>
    <row r="16180" spans="1:2" x14ac:dyDescent="0.25">
      <c r="A16180" t="s">
        <v>12401</v>
      </c>
      <c r="B16180" t="s">
        <v>10681</v>
      </c>
    </row>
    <row r="16181" spans="1:2" x14ac:dyDescent="0.25">
      <c r="A16181" t="s">
        <v>9419</v>
      </c>
      <c r="B16181" t="s">
        <v>10681</v>
      </c>
    </row>
    <row r="16182" spans="1:2" x14ac:dyDescent="0.25">
      <c r="A16182" t="s">
        <v>10340</v>
      </c>
      <c r="B16182" t="s">
        <v>10681</v>
      </c>
    </row>
    <row r="16183" spans="1:2" x14ac:dyDescent="0.25">
      <c r="A16183" t="s">
        <v>4156</v>
      </c>
      <c r="B16183" t="s">
        <v>10681</v>
      </c>
    </row>
    <row r="16184" spans="1:2" x14ac:dyDescent="0.25">
      <c r="A16184" t="s">
        <v>8104</v>
      </c>
      <c r="B16184" t="s">
        <v>10681</v>
      </c>
    </row>
    <row r="16185" spans="1:2" x14ac:dyDescent="0.25">
      <c r="A16185" t="s">
        <v>3615</v>
      </c>
      <c r="B16185" t="s">
        <v>10681</v>
      </c>
    </row>
    <row r="16186" spans="1:2" x14ac:dyDescent="0.25">
      <c r="A16186" t="s">
        <v>4655</v>
      </c>
      <c r="B16186" t="s">
        <v>10681</v>
      </c>
    </row>
    <row r="16187" spans="1:2" x14ac:dyDescent="0.25">
      <c r="A16187" t="s">
        <v>4157</v>
      </c>
      <c r="B16187" t="s">
        <v>10681</v>
      </c>
    </row>
    <row r="16188" spans="1:2" x14ac:dyDescent="0.25">
      <c r="A16188" t="s">
        <v>7498</v>
      </c>
      <c r="B16188" t="s">
        <v>10681</v>
      </c>
    </row>
    <row r="16189" spans="1:2" x14ac:dyDescent="0.25">
      <c r="A16189" t="s">
        <v>7499</v>
      </c>
      <c r="B16189" t="s">
        <v>10681</v>
      </c>
    </row>
    <row r="16190" spans="1:2" x14ac:dyDescent="0.25">
      <c r="A16190" t="s">
        <v>6352</v>
      </c>
      <c r="B16190" t="s">
        <v>10681</v>
      </c>
    </row>
    <row r="16191" spans="1:2" x14ac:dyDescent="0.25">
      <c r="A16191" t="s">
        <v>3616</v>
      </c>
      <c r="B16191" t="s">
        <v>10681</v>
      </c>
    </row>
    <row r="16192" spans="1:2" x14ac:dyDescent="0.25">
      <c r="A16192" t="s">
        <v>5888</v>
      </c>
      <c r="B16192" t="s">
        <v>10681</v>
      </c>
    </row>
    <row r="16193" spans="1:2" x14ac:dyDescent="0.25">
      <c r="A16193" t="s">
        <v>9806</v>
      </c>
      <c r="B16193" t="s">
        <v>10681</v>
      </c>
    </row>
    <row r="16194" spans="1:2" x14ac:dyDescent="0.25">
      <c r="A16194" t="s">
        <v>8991</v>
      </c>
      <c r="B16194" t="s">
        <v>10681</v>
      </c>
    </row>
    <row r="16195" spans="1:2" x14ac:dyDescent="0.25">
      <c r="A16195" t="s">
        <v>5889</v>
      </c>
      <c r="B16195" t="s">
        <v>10681</v>
      </c>
    </row>
    <row r="16196" spans="1:2" x14ac:dyDescent="0.25">
      <c r="A16196" t="s">
        <v>8601</v>
      </c>
      <c r="B16196" t="s">
        <v>10681</v>
      </c>
    </row>
    <row r="16197" spans="1:2" x14ac:dyDescent="0.25">
      <c r="A16197" t="s">
        <v>4158</v>
      </c>
      <c r="B16197" t="s">
        <v>10681</v>
      </c>
    </row>
    <row r="16198" spans="1:2" x14ac:dyDescent="0.25">
      <c r="A16198" t="s">
        <v>3170</v>
      </c>
      <c r="B16198" t="s">
        <v>10681</v>
      </c>
    </row>
    <row r="16199" spans="1:2" x14ac:dyDescent="0.25">
      <c r="A16199" t="s">
        <v>284</v>
      </c>
      <c r="B16199" t="s">
        <v>10681</v>
      </c>
    </row>
    <row r="16200" spans="1:2" x14ac:dyDescent="0.25">
      <c r="A16200" t="s">
        <v>12113</v>
      </c>
      <c r="B16200" t="s">
        <v>10681</v>
      </c>
    </row>
    <row r="16201" spans="1:2" x14ac:dyDescent="0.25">
      <c r="A16201" t="s">
        <v>8105</v>
      </c>
      <c r="B16201" t="s">
        <v>10681</v>
      </c>
    </row>
    <row r="16202" spans="1:2" x14ac:dyDescent="0.25">
      <c r="A16202" t="s">
        <v>6353</v>
      </c>
      <c r="B16202" t="s">
        <v>10681</v>
      </c>
    </row>
    <row r="16203" spans="1:2" x14ac:dyDescent="0.25">
      <c r="A16203" t="s">
        <v>5523</v>
      </c>
      <c r="B16203" t="s">
        <v>10681</v>
      </c>
    </row>
    <row r="16204" spans="1:2" x14ac:dyDescent="0.25">
      <c r="A16204" t="s">
        <v>8106</v>
      </c>
      <c r="B16204" t="s">
        <v>10681</v>
      </c>
    </row>
    <row r="16205" spans="1:2" x14ac:dyDescent="0.25">
      <c r="A16205" t="s">
        <v>10341</v>
      </c>
      <c r="B16205" t="s">
        <v>10681</v>
      </c>
    </row>
    <row r="16206" spans="1:2" x14ac:dyDescent="0.25">
      <c r="A16206" t="s">
        <v>3617</v>
      </c>
      <c r="B16206" t="s">
        <v>10681</v>
      </c>
    </row>
    <row r="16207" spans="1:2" x14ac:dyDescent="0.25">
      <c r="A16207" t="s">
        <v>8602</v>
      </c>
      <c r="B16207" t="s">
        <v>10681</v>
      </c>
    </row>
    <row r="16208" spans="1:2" x14ac:dyDescent="0.25">
      <c r="A16208" t="s">
        <v>6846</v>
      </c>
      <c r="B16208" t="s">
        <v>10681</v>
      </c>
    </row>
    <row r="16209" spans="1:2" x14ac:dyDescent="0.25">
      <c r="A16209" t="s">
        <v>8603</v>
      </c>
      <c r="B16209" t="s">
        <v>10681</v>
      </c>
    </row>
    <row r="16210" spans="1:2" x14ac:dyDescent="0.25">
      <c r="A16210" t="s">
        <v>11132</v>
      </c>
      <c r="B16210" t="s">
        <v>10681</v>
      </c>
    </row>
    <row r="16211" spans="1:2" x14ac:dyDescent="0.25">
      <c r="A16211" t="s">
        <v>6853</v>
      </c>
      <c r="B16211" t="s">
        <v>10681</v>
      </c>
    </row>
    <row r="16212" spans="1:2" x14ac:dyDescent="0.25">
      <c r="A16212" t="s">
        <v>8119</v>
      </c>
      <c r="B16212" t="s">
        <v>10681</v>
      </c>
    </row>
    <row r="16213" spans="1:2" x14ac:dyDescent="0.25">
      <c r="A16213" t="s">
        <v>4171</v>
      </c>
      <c r="B16213" t="s">
        <v>10681</v>
      </c>
    </row>
    <row r="16214" spans="1:2" x14ac:dyDescent="0.25">
      <c r="A16214" t="s">
        <v>10352</v>
      </c>
      <c r="B16214" t="s">
        <v>10681</v>
      </c>
    </row>
    <row r="16215" spans="1:2" x14ac:dyDescent="0.25">
      <c r="A16215" t="s">
        <v>4172</v>
      </c>
      <c r="B16215" t="s">
        <v>10681</v>
      </c>
    </row>
    <row r="16216" spans="1:2" x14ac:dyDescent="0.25">
      <c r="A16216" t="s">
        <v>8120</v>
      </c>
      <c r="B16216" t="s">
        <v>10681</v>
      </c>
    </row>
    <row r="16217" spans="1:2" x14ac:dyDescent="0.25">
      <c r="A16217" t="s">
        <v>3627</v>
      </c>
      <c r="B16217" t="s">
        <v>10681</v>
      </c>
    </row>
    <row r="16218" spans="1:2" x14ac:dyDescent="0.25">
      <c r="A16218" t="s">
        <v>4659</v>
      </c>
      <c r="B16218" t="s">
        <v>10681</v>
      </c>
    </row>
    <row r="16219" spans="1:2" x14ac:dyDescent="0.25">
      <c r="A16219" t="s">
        <v>4173</v>
      </c>
      <c r="B16219" t="s">
        <v>10681</v>
      </c>
    </row>
    <row r="16220" spans="1:2" x14ac:dyDescent="0.25">
      <c r="A16220" t="s">
        <v>7507</v>
      </c>
      <c r="B16220" t="s">
        <v>10681</v>
      </c>
    </row>
    <row r="16221" spans="1:2" x14ac:dyDescent="0.25">
      <c r="A16221" t="s">
        <v>6359</v>
      </c>
      <c r="B16221" t="s">
        <v>10681</v>
      </c>
    </row>
    <row r="16222" spans="1:2" x14ac:dyDescent="0.25">
      <c r="A16222" t="s">
        <v>3628</v>
      </c>
      <c r="B16222" t="s">
        <v>10681</v>
      </c>
    </row>
    <row r="16223" spans="1:2" x14ac:dyDescent="0.25">
      <c r="A16223" t="s">
        <v>5896</v>
      </c>
      <c r="B16223" t="s">
        <v>10681</v>
      </c>
    </row>
    <row r="16224" spans="1:2" x14ac:dyDescent="0.25">
      <c r="A16224" t="s">
        <v>9810</v>
      </c>
      <c r="B16224" t="s">
        <v>10681</v>
      </c>
    </row>
    <row r="16225" spans="1:2" x14ac:dyDescent="0.25">
      <c r="A16225" t="s">
        <v>8994</v>
      </c>
      <c r="B16225" t="s">
        <v>10681</v>
      </c>
    </row>
    <row r="16226" spans="1:2" x14ac:dyDescent="0.25">
      <c r="A16226" t="s">
        <v>5897</v>
      </c>
      <c r="B16226" t="s">
        <v>10681</v>
      </c>
    </row>
    <row r="16227" spans="1:2" x14ac:dyDescent="0.25">
      <c r="A16227" t="s">
        <v>8613</v>
      </c>
      <c r="B16227" t="s">
        <v>10681</v>
      </c>
    </row>
    <row r="16228" spans="1:2" x14ac:dyDescent="0.25">
      <c r="A16228" t="s">
        <v>4174</v>
      </c>
      <c r="B16228" t="s">
        <v>10681</v>
      </c>
    </row>
    <row r="16229" spans="1:2" x14ac:dyDescent="0.25">
      <c r="A16229" t="s">
        <v>3173</v>
      </c>
      <c r="B16229" t="s">
        <v>10681</v>
      </c>
    </row>
    <row r="16230" spans="1:2" x14ac:dyDescent="0.25">
      <c r="A16230" t="s">
        <v>288</v>
      </c>
      <c r="B16230" t="s">
        <v>10681</v>
      </c>
    </row>
    <row r="16231" spans="1:2" x14ac:dyDescent="0.25">
      <c r="A16231" t="s">
        <v>6360</v>
      </c>
      <c r="B16231" t="s">
        <v>10681</v>
      </c>
    </row>
    <row r="16232" spans="1:2" x14ac:dyDescent="0.25">
      <c r="A16232" t="s">
        <v>5527</v>
      </c>
      <c r="B16232" t="s">
        <v>10681</v>
      </c>
    </row>
    <row r="16233" spans="1:2" x14ac:dyDescent="0.25">
      <c r="A16233" t="s">
        <v>8122</v>
      </c>
      <c r="B16233" t="s">
        <v>10681</v>
      </c>
    </row>
    <row r="16234" spans="1:2" x14ac:dyDescent="0.25">
      <c r="A16234" t="s">
        <v>10353</v>
      </c>
      <c r="B16234" t="s">
        <v>10681</v>
      </c>
    </row>
    <row r="16235" spans="1:2" x14ac:dyDescent="0.25">
      <c r="A16235" t="s">
        <v>3629</v>
      </c>
      <c r="B16235" t="s">
        <v>10681</v>
      </c>
    </row>
    <row r="16236" spans="1:2" x14ac:dyDescent="0.25">
      <c r="A16236" t="s">
        <v>8614</v>
      </c>
      <c r="B16236" t="s">
        <v>10681</v>
      </c>
    </row>
    <row r="16237" spans="1:2" x14ac:dyDescent="0.25">
      <c r="A16237" t="s">
        <v>6854</v>
      </c>
      <c r="B16237" t="s">
        <v>10681</v>
      </c>
    </row>
    <row r="16238" spans="1:2" x14ac:dyDescent="0.25">
      <c r="A16238" t="s">
        <v>11131</v>
      </c>
      <c r="B16238" t="s">
        <v>10681</v>
      </c>
    </row>
    <row r="16239" spans="1:2" x14ac:dyDescent="0.25">
      <c r="A16239" t="s">
        <v>6851</v>
      </c>
      <c r="B16239" t="s">
        <v>10681</v>
      </c>
    </row>
    <row r="16240" spans="1:2" x14ac:dyDescent="0.25">
      <c r="A16240" t="s">
        <v>8115</v>
      </c>
      <c r="B16240" t="s">
        <v>10681</v>
      </c>
    </row>
    <row r="16241" spans="1:2" x14ac:dyDescent="0.25">
      <c r="A16241" t="s">
        <v>4167</v>
      </c>
      <c r="B16241" t="s">
        <v>10681</v>
      </c>
    </row>
    <row r="16242" spans="1:2" x14ac:dyDescent="0.25">
      <c r="A16242" t="s">
        <v>10349</v>
      </c>
      <c r="B16242" t="s">
        <v>10681</v>
      </c>
    </row>
    <row r="16243" spans="1:2" x14ac:dyDescent="0.25">
      <c r="A16243" t="s">
        <v>4168</v>
      </c>
      <c r="B16243" t="s">
        <v>10681</v>
      </c>
    </row>
    <row r="16244" spans="1:2" x14ac:dyDescent="0.25">
      <c r="A16244" t="s">
        <v>4658</v>
      </c>
      <c r="B16244" t="s">
        <v>10681</v>
      </c>
    </row>
    <row r="16245" spans="1:2" x14ac:dyDescent="0.25">
      <c r="A16245" t="s">
        <v>4169</v>
      </c>
      <c r="B16245" t="s">
        <v>10681</v>
      </c>
    </row>
    <row r="16246" spans="1:2" x14ac:dyDescent="0.25">
      <c r="A16246" t="s">
        <v>7505</v>
      </c>
      <c r="B16246" t="s">
        <v>10681</v>
      </c>
    </row>
    <row r="16247" spans="1:2" x14ac:dyDescent="0.25">
      <c r="A16247" t="s">
        <v>6357</v>
      </c>
      <c r="B16247" t="s">
        <v>10681</v>
      </c>
    </row>
    <row r="16248" spans="1:2" x14ac:dyDescent="0.25">
      <c r="A16248" t="s">
        <v>3625</v>
      </c>
      <c r="B16248" t="s">
        <v>10681</v>
      </c>
    </row>
    <row r="16249" spans="1:2" x14ac:dyDescent="0.25">
      <c r="A16249" t="s">
        <v>5894</v>
      </c>
      <c r="B16249" t="s">
        <v>10681</v>
      </c>
    </row>
    <row r="16250" spans="1:2" x14ac:dyDescent="0.25">
      <c r="A16250" t="s">
        <v>9809</v>
      </c>
      <c r="B16250" t="s">
        <v>10681</v>
      </c>
    </row>
    <row r="16251" spans="1:2" x14ac:dyDescent="0.25">
      <c r="A16251" t="s">
        <v>8993</v>
      </c>
      <c r="B16251" t="s">
        <v>10681</v>
      </c>
    </row>
    <row r="16252" spans="1:2" x14ac:dyDescent="0.25">
      <c r="A16252" t="s">
        <v>5895</v>
      </c>
      <c r="B16252" t="s">
        <v>10681</v>
      </c>
    </row>
    <row r="16253" spans="1:2" x14ac:dyDescent="0.25">
      <c r="A16253" t="s">
        <v>8610</v>
      </c>
      <c r="B16253" t="s">
        <v>10681</v>
      </c>
    </row>
    <row r="16254" spans="1:2" x14ac:dyDescent="0.25">
      <c r="A16254" t="s">
        <v>4170</v>
      </c>
      <c r="B16254" t="s">
        <v>10681</v>
      </c>
    </row>
    <row r="16255" spans="1:2" x14ac:dyDescent="0.25">
      <c r="A16255" t="s">
        <v>3172</v>
      </c>
      <c r="B16255" t="s">
        <v>10681</v>
      </c>
    </row>
    <row r="16256" spans="1:2" x14ac:dyDescent="0.25">
      <c r="A16256" t="s">
        <v>287</v>
      </c>
      <c r="B16256" t="s">
        <v>10681</v>
      </c>
    </row>
    <row r="16257" spans="1:2" x14ac:dyDescent="0.25">
      <c r="A16257" t="s">
        <v>6358</v>
      </c>
      <c r="B16257" t="s">
        <v>10681</v>
      </c>
    </row>
    <row r="16258" spans="1:2" x14ac:dyDescent="0.25">
      <c r="A16258" t="s">
        <v>5526</v>
      </c>
      <c r="B16258" t="s">
        <v>10681</v>
      </c>
    </row>
    <row r="16259" spans="1:2" x14ac:dyDescent="0.25">
      <c r="A16259" t="s">
        <v>8118</v>
      </c>
      <c r="B16259" t="s">
        <v>10681</v>
      </c>
    </row>
    <row r="16260" spans="1:2" x14ac:dyDescent="0.25">
      <c r="A16260" t="s">
        <v>10350</v>
      </c>
      <c r="B16260" t="s">
        <v>10681</v>
      </c>
    </row>
    <row r="16261" spans="1:2" x14ac:dyDescent="0.25">
      <c r="A16261" t="s">
        <v>3626</v>
      </c>
      <c r="B16261" t="s">
        <v>10681</v>
      </c>
    </row>
    <row r="16262" spans="1:2" x14ac:dyDescent="0.25">
      <c r="A16262" t="s">
        <v>8611</v>
      </c>
      <c r="B16262" t="s">
        <v>10681</v>
      </c>
    </row>
    <row r="16263" spans="1:2" x14ac:dyDescent="0.25">
      <c r="A16263" t="s">
        <v>6852</v>
      </c>
      <c r="B16263" t="s">
        <v>10681</v>
      </c>
    </row>
    <row r="16264" spans="1:2" x14ac:dyDescent="0.25">
      <c r="A16264" t="s">
        <v>9401</v>
      </c>
      <c r="B16264" t="s">
        <v>10681</v>
      </c>
    </row>
    <row r="16265" spans="1:2" x14ac:dyDescent="0.25">
      <c r="A16265" t="s">
        <v>7469</v>
      </c>
      <c r="B16265" t="s">
        <v>10681</v>
      </c>
    </row>
    <row r="16266" spans="1:2" x14ac:dyDescent="0.25">
      <c r="A16266" t="s">
        <v>6827</v>
      </c>
      <c r="B16266" t="s">
        <v>10681</v>
      </c>
    </row>
    <row r="16267" spans="1:2" x14ac:dyDescent="0.25">
      <c r="A16267" t="s">
        <v>6828</v>
      </c>
      <c r="B16267" t="s">
        <v>10681</v>
      </c>
    </row>
    <row r="16268" spans="1:2" x14ac:dyDescent="0.25">
      <c r="A16268" t="s">
        <v>12085</v>
      </c>
      <c r="B16268" t="s">
        <v>10681</v>
      </c>
    </row>
    <row r="16269" spans="1:2" x14ac:dyDescent="0.25">
      <c r="A16269" t="s">
        <v>11115</v>
      </c>
      <c r="B16269" t="s">
        <v>10681</v>
      </c>
    </row>
    <row r="16270" spans="1:2" x14ac:dyDescent="0.25">
      <c r="A16270" t="s">
        <v>10806</v>
      </c>
      <c r="B16270" t="s">
        <v>10681</v>
      </c>
    </row>
    <row r="16271" spans="1:2" x14ac:dyDescent="0.25">
      <c r="A16271" t="s">
        <v>10807</v>
      </c>
      <c r="B16271" t="s">
        <v>10681</v>
      </c>
    </row>
    <row r="16272" spans="1:2" x14ac:dyDescent="0.25">
      <c r="A16272" t="s">
        <v>9798</v>
      </c>
      <c r="B16272" t="s">
        <v>10681</v>
      </c>
    </row>
    <row r="16273" spans="1:2" x14ac:dyDescent="0.25">
      <c r="A16273" t="s">
        <v>8584</v>
      </c>
      <c r="B16273" t="s">
        <v>10681</v>
      </c>
    </row>
    <row r="16274" spans="1:2" x14ac:dyDescent="0.25">
      <c r="A16274" t="s">
        <v>6334</v>
      </c>
      <c r="B16274" t="s">
        <v>10681</v>
      </c>
    </row>
    <row r="16275" spans="1:2" x14ac:dyDescent="0.25">
      <c r="A16275" t="s">
        <v>9402</v>
      </c>
      <c r="B16275" t="s">
        <v>10681</v>
      </c>
    </row>
    <row r="16276" spans="1:2" x14ac:dyDescent="0.25">
      <c r="A16276" t="s">
        <v>12086</v>
      </c>
      <c r="B16276" t="s">
        <v>10681</v>
      </c>
    </row>
    <row r="16277" spans="1:2" x14ac:dyDescent="0.25">
      <c r="A16277" t="s">
        <v>11653</v>
      </c>
      <c r="B16277" t="s">
        <v>10681</v>
      </c>
    </row>
    <row r="16278" spans="1:2" x14ac:dyDescent="0.25">
      <c r="A16278" t="s">
        <v>10316</v>
      </c>
      <c r="B16278" t="s">
        <v>10681</v>
      </c>
    </row>
    <row r="16279" spans="1:2" x14ac:dyDescent="0.25">
      <c r="A16279" t="s">
        <v>12087</v>
      </c>
      <c r="B16279" t="s">
        <v>10681</v>
      </c>
    </row>
    <row r="16280" spans="1:2" x14ac:dyDescent="0.25">
      <c r="A16280" t="s">
        <v>8585</v>
      </c>
      <c r="B16280" t="s">
        <v>10681</v>
      </c>
    </row>
    <row r="16281" spans="1:2" x14ac:dyDescent="0.25">
      <c r="A16281" t="s">
        <v>6335</v>
      </c>
      <c r="B16281" t="s">
        <v>10681</v>
      </c>
    </row>
    <row r="16282" spans="1:2" x14ac:dyDescent="0.25">
      <c r="A16282" t="s">
        <v>8586</v>
      </c>
      <c r="B16282" t="s">
        <v>10681</v>
      </c>
    </row>
    <row r="16283" spans="1:2" x14ac:dyDescent="0.25">
      <c r="A16283" t="s">
        <v>11654</v>
      </c>
      <c r="B16283" t="s">
        <v>10681</v>
      </c>
    </row>
    <row r="16284" spans="1:2" x14ac:dyDescent="0.25">
      <c r="A16284" t="s">
        <v>8985</v>
      </c>
      <c r="B16284" t="s">
        <v>10681</v>
      </c>
    </row>
    <row r="16285" spans="1:2" x14ac:dyDescent="0.25">
      <c r="A16285" t="s">
        <v>11866</v>
      </c>
      <c r="B16285" t="s">
        <v>10681</v>
      </c>
    </row>
    <row r="16286" spans="1:2" x14ac:dyDescent="0.25">
      <c r="A16286" t="s">
        <v>8986</v>
      </c>
      <c r="B16286" t="s">
        <v>10681</v>
      </c>
    </row>
    <row r="16287" spans="1:2" x14ac:dyDescent="0.25">
      <c r="A16287" t="s">
        <v>8085</v>
      </c>
      <c r="B16287" t="s">
        <v>10681</v>
      </c>
    </row>
    <row r="16288" spans="1:2" x14ac:dyDescent="0.25">
      <c r="A16288" t="s">
        <v>6832</v>
      </c>
      <c r="B16288" t="s">
        <v>10681</v>
      </c>
    </row>
    <row r="16289" spans="1:2" x14ac:dyDescent="0.25">
      <c r="A16289" t="s">
        <v>11867</v>
      </c>
      <c r="B16289" t="s">
        <v>10681</v>
      </c>
    </row>
    <row r="16290" spans="1:2" x14ac:dyDescent="0.25">
      <c r="A16290" t="s">
        <v>11443</v>
      </c>
      <c r="B16290" t="s">
        <v>10681</v>
      </c>
    </row>
    <row r="16291" spans="1:2" x14ac:dyDescent="0.25">
      <c r="A16291" t="s">
        <v>10809</v>
      </c>
      <c r="B16291" t="s">
        <v>10681</v>
      </c>
    </row>
    <row r="16292" spans="1:2" x14ac:dyDescent="0.25">
      <c r="A16292" t="s">
        <v>4145</v>
      </c>
      <c r="B16292" t="s">
        <v>10681</v>
      </c>
    </row>
    <row r="16293" spans="1:2" x14ac:dyDescent="0.25">
      <c r="A16293" t="s">
        <v>4146</v>
      </c>
      <c r="B16293" t="s">
        <v>10681</v>
      </c>
    </row>
    <row r="16294" spans="1:2" x14ac:dyDescent="0.25">
      <c r="A16294" t="s">
        <v>3166</v>
      </c>
      <c r="B16294" t="s">
        <v>10681</v>
      </c>
    </row>
    <row r="16295" spans="1:2" x14ac:dyDescent="0.25">
      <c r="A16295" t="s">
        <v>3607</v>
      </c>
      <c r="B16295" t="s">
        <v>10681</v>
      </c>
    </row>
    <row r="16296" spans="1:2" x14ac:dyDescent="0.25">
      <c r="A16296" t="s">
        <v>3608</v>
      </c>
      <c r="B16296" t="s">
        <v>10681</v>
      </c>
    </row>
    <row r="16297" spans="1:2" x14ac:dyDescent="0.25">
      <c r="A16297" t="s">
        <v>8088</v>
      </c>
      <c r="B16297" t="s">
        <v>10681</v>
      </c>
    </row>
    <row r="16298" spans="1:2" x14ac:dyDescent="0.25">
      <c r="A16298" t="s">
        <v>14572</v>
      </c>
      <c r="B16298" t="s">
        <v>10681</v>
      </c>
    </row>
    <row r="16299" spans="1:2" x14ac:dyDescent="0.25">
      <c r="A16299" t="s">
        <v>14573</v>
      </c>
      <c r="B16299" t="s">
        <v>10681</v>
      </c>
    </row>
    <row r="16300" spans="1:2" x14ac:dyDescent="0.25">
      <c r="A16300" t="s">
        <v>14574</v>
      </c>
      <c r="B16300" t="s">
        <v>10681</v>
      </c>
    </row>
    <row r="16301" spans="1:2" x14ac:dyDescent="0.25">
      <c r="A16301" t="s">
        <v>14575</v>
      </c>
      <c r="B16301" t="s">
        <v>10681</v>
      </c>
    </row>
    <row r="16302" spans="1:2" x14ac:dyDescent="0.25">
      <c r="A16302" t="s">
        <v>14577</v>
      </c>
      <c r="B16302" t="s">
        <v>14575</v>
      </c>
    </row>
    <row r="16303" spans="1:2" x14ac:dyDescent="0.25">
      <c r="A16303" t="s">
        <v>14576</v>
      </c>
      <c r="B16303" t="s">
        <v>10681</v>
      </c>
    </row>
    <row r="16304" spans="1:2" x14ac:dyDescent="0.25">
      <c r="A16304" t="s">
        <v>8477</v>
      </c>
      <c r="B16304" t="s">
        <v>10681</v>
      </c>
    </row>
    <row r="16305" spans="1:2" x14ac:dyDescent="0.25">
      <c r="A16305" t="s">
        <v>12899</v>
      </c>
      <c r="B16305" t="s">
        <v>10681</v>
      </c>
    </row>
    <row r="16306" spans="1:2" x14ac:dyDescent="0.25">
      <c r="A16306" t="s">
        <v>13936</v>
      </c>
      <c r="B16306" t="s">
        <v>10681</v>
      </c>
    </row>
    <row r="16307" spans="1:2" x14ac:dyDescent="0.25">
      <c r="A16307" t="s">
        <v>2260</v>
      </c>
      <c r="B16307" t="s">
        <v>10681</v>
      </c>
    </row>
    <row r="16308" spans="1:2" x14ac:dyDescent="0.25">
      <c r="A16308" t="s">
        <v>11814</v>
      </c>
      <c r="B16308" t="s">
        <v>10681</v>
      </c>
    </row>
    <row r="16309" spans="1:2" x14ac:dyDescent="0.25">
      <c r="A16309" t="s">
        <v>8476</v>
      </c>
      <c r="B16309" t="s">
        <v>10681</v>
      </c>
    </row>
    <row r="16310" spans="1:2" x14ac:dyDescent="0.25">
      <c r="A16310" t="s">
        <v>11815</v>
      </c>
      <c r="B16310" t="s">
        <v>10681</v>
      </c>
    </row>
    <row r="16311" spans="1:2" x14ac:dyDescent="0.25">
      <c r="A16311" t="s">
        <v>5399</v>
      </c>
      <c r="B16311" t="s">
        <v>10681</v>
      </c>
    </row>
    <row r="16312" spans="1:2" x14ac:dyDescent="0.25">
      <c r="A16312" t="s">
        <v>12911</v>
      </c>
      <c r="B16312" t="s">
        <v>10681</v>
      </c>
    </row>
    <row r="16313" spans="1:2" x14ac:dyDescent="0.25">
      <c r="A16313" t="s">
        <v>5806</v>
      </c>
      <c r="B16313" t="s">
        <v>10681</v>
      </c>
    </row>
    <row r="16314" spans="1:2" x14ac:dyDescent="0.25">
      <c r="A16314" t="s">
        <v>16444</v>
      </c>
      <c r="B16314" t="s">
        <v>10681</v>
      </c>
    </row>
    <row r="16315" spans="1:2" x14ac:dyDescent="0.25">
      <c r="A16315" t="s">
        <v>14944</v>
      </c>
      <c r="B16315" t="s">
        <v>10681</v>
      </c>
    </row>
    <row r="16316" spans="1:2" x14ac:dyDescent="0.25">
      <c r="A16316" t="s">
        <v>14945</v>
      </c>
      <c r="B16316" t="s">
        <v>10681</v>
      </c>
    </row>
    <row r="16317" spans="1:2" x14ac:dyDescent="0.25">
      <c r="A16317" t="s">
        <v>14114</v>
      </c>
      <c r="B16317" t="s">
        <v>12897</v>
      </c>
    </row>
    <row r="16318" spans="1:2" x14ac:dyDescent="0.25">
      <c r="A16318" t="s">
        <v>14723</v>
      </c>
      <c r="B16318" t="s">
        <v>14114</v>
      </c>
    </row>
    <row r="16319" spans="1:2" x14ac:dyDescent="0.25">
      <c r="A16319" t="s">
        <v>13975</v>
      </c>
      <c r="B16319" t="s">
        <v>14114</v>
      </c>
    </row>
    <row r="16320" spans="1:2" x14ac:dyDescent="0.25">
      <c r="A16320" t="s">
        <v>13976</v>
      </c>
      <c r="B16320" t="s">
        <v>14114</v>
      </c>
    </row>
    <row r="16321" spans="1:2" x14ac:dyDescent="0.25">
      <c r="A16321" t="s">
        <v>13991</v>
      </c>
      <c r="B16321" t="s">
        <v>13976</v>
      </c>
    </row>
    <row r="16322" spans="1:2" x14ac:dyDescent="0.25">
      <c r="A16322" t="s">
        <v>13992</v>
      </c>
      <c r="B16322" t="s">
        <v>13976</v>
      </c>
    </row>
    <row r="16323" spans="1:2" x14ac:dyDescent="0.25">
      <c r="A16323" t="s">
        <v>13993</v>
      </c>
      <c r="B16323" t="s">
        <v>13976</v>
      </c>
    </row>
    <row r="16324" spans="1:2" x14ac:dyDescent="0.25">
      <c r="A16324" t="s">
        <v>13977</v>
      </c>
      <c r="B16324" t="s">
        <v>14114</v>
      </c>
    </row>
    <row r="16325" spans="1:2" x14ac:dyDescent="0.25">
      <c r="A16325" t="s">
        <v>13994</v>
      </c>
      <c r="B16325" t="s">
        <v>13977</v>
      </c>
    </row>
    <row r="16326" spans="1:2" x14ac:dyDescent="0.25">
      <c r="A16326" t="s">
        <v>14042</v>
      </c>
      <c r="B16326" t="s">
        <v>13994</v>
      </c>
    </row>
    <row r="16327" spans="1:2" x14ac:dyDescent="0.25">
      <c r="A16327" t="s">
        <v>14043</v>
      </c>
      <c r="B16327" t="s">
        <v>13994</v>
      </c>
    </row>
    <row r="16328" spans="1:2" x14ac:dyDescent="0.25">
      <c r="A16328" t="s">
        <v>13995</v>
      </c>
      <c r="B16328" t="s">
        <v>13977</v>
      </c>
    </row>
    <row r="16329" spans="1:2" x14ac:dyDescent="0.25">
      <c r="A16329" t="s">
        <v>14044</v>
      </c>
      <c r="B16329" t="s">
        <v>13995</v>
      </c>
    </row>
    <row r="16330" spans="1:2" x14ac:dyDescent="0.25">
      <c r="A16330" t="s">
        <v>14045</v>
      </c>
      <c r="B16330" t="s">
        <v>13995</v>
      </c>
    </row>
    <row r="16331" spans="1:2" x14ac:dyDescent="0.25">
      <c r="A16331" t="s">
        <v>13996</v>
      </c>
      <c r="B16331" t="s">
        <v>13977</v>
      </c>
    </row>
    <row r="16332" spans="1:2" x14ac:dyDescent="0.25">
      <c r="A16332" t="s">
        <v>14046</v>
      </c>
      <c r="B16332" t="s">
        <v>13996</v>
      </c>
    </row>
    <row r="16333" spans="1:2" x14ac:dyDescent="0.25">
      <c r="A16333" t="s">
        <v>14047</v>
      </c>
      <c r="B16333" t="s">
        <v>13996</v>
      </c>
    </row>
    <row r="16334" spans="1:2" x14ac:dyDescent="0.25">
      <c r="A16334" t="s">
        <v>13997</v>
      </c>
      <c r="B16334" t="s">
        <v>13977</v>
      </c>
    </row>
    <row r="16335" spans="1:2" x14ac:dyDescent="0.25">
      <c r="A16335" t="s">
        <v>14048</v>
      </c>
      <c r="B16335" t="s">
        <v>13997</v>
      </c>
    </row>
    <row r="16336" spans="1:2" x14ac:dyDescent="0.25">
      <c r="A16336" t="s">
        <v>14049</v>
      </c>
      <c r="B16336" t="s">
        <v>13997</v>
      </c>
    </row>
    <row r="16337" spans="1:2" x14ac:dyDescent="0.25">
      <c r="A16337" t="s">
        <v>13998</v>
      </c>
      <c r="B16337" t="s">
        <v>13977</v>
      </c>
    </row>
    <row r="16338" spans="1:2" x14ac:dyDescent="0.25">
      <c r="A16338" t="s">
        <v>14050</v>
      </c>
      <c r="B16338" t="s">
        <v>13998</v>
      </c>
    </row>
    <row r="16339" spans="1:2" x14ac:dyDescent="0.25">
      <c r="A16339" t="s">
        <v>14051</v>
      </c>
      <c r="B16339" t="s">
        <v>13998</v>
      </c>
    </row>
    <row r="16340" spans="1:2" x14ac:dyDescent="0.25">
      <c r="A16340" t="s">
        <v>13999</v>
      </c>
      <c r="B16340" t="s">
        <v>13977</v>
      </c>
    </row>
    <row r="16341" spans="1:2" x14ac:dyDescent="0.25">
      <c r="A16341" t="s">
        <v>14052</v>
      </c>
      <c r="B16341" t="s">
        <v>13999</v>
      </c>
    </row>
    <row r="16342" spans="1:2" x14ac:dyDescent="0.25">
      <c r="A16342" t="s">
        <v>14053</v>
      </c>
      <c r="B16342" t="s">
        <v>13999</v>
      </c>
    </row>
    <row r="16343" spans="1:2" x14ac:dyDescent="0.25">
      <c r="A16343" t="s">
        <v>14000</v>
      </c>
      <c r="B16343" t="s">
        <v>13977</v>
      </c>
    </row>
    <row r="16344" spans="1:2" x14ac:dyDescent="0.25">
      <c r="A16344" t="s">
        <v>14054</v>
      </c>
      <c r="B16344" t="s">
        <v>14000</v>
      </c>
    </row>
    <row r="16345" spans="1:2" x14ac:dyDescent="0.25">
      <c r="A16345" t="s">
        <v>14055</v>
      </c>
      <c r="B16345" t="s">
        <v>14000</v>
      </c>
    </row>
    <row r="16346" spans="1:2" x14ac:dyDescent="0.25">
      <c r="A16346" t="s">
        <v>14001</v>
      </c>
      <c r="B16346" t="s">
        <v>13977</v>
      </c>
    </row>
    <row r="16347" spans="1:2" x14ac:dyDescent="0.25">
      <c r="A16347" t="s">
        <v>14056</v>
      </c>
      <c r="B16347" t="s">
        <v>14001</v>
      </c>
    </row>
    <row r="16348" spans="1:2" x14ac:dyDescent="0.25">
      <c r="A16348" t="s">
        <v>14057</v>
      </c>
      <c r="B16348" t="s">
        <v>14001</v>
      </c>
    </row>
    <row r="16349" spans="1:2" x14ac:dyDescent="0.25">
      <c r="A16349" t="s">
        <v>14058</v>
      </c>
      <c r="B16349" t="s">
        <v>14001</v>
      </c>
    </row>
    <row r="16350" spans="1:2" x14ac:dyDescent="0.25">
      <c r="A16350" t="s">
        <v>14002</v>
      </c>
      <c r="B16350" t="s">
        <v>13977</v>
      </c>
    </row>
    <row r="16351" spans="1:2" x14ac:dyDescent="0.25">
      <c r="A16351" t="s">
        <v>14059</v>
      </c>
      <c r="B16351" t="s">
        <v>14002</v>
      </c>
    </row>
    <row r="16352" spans="1:2" x14ac:dyDescent="0.25">
      <c r="A16352" t="s">
        <v>14060</v>
      </c>
      <c r="B16352" t="s">
        <v>14002</v>
      </c>
    </row>
    <row r="16353" spans="1:2" x14ac:dyDescent="0.25">
      <c r="A16353" t="s">
        <v>14003</v>
      </c>
      <c r="B16353" t="s">
        <v>13977</v>
      </c>
    </row>
    <row r="16354" spans="1:2" x14ac:dyDescent="0.25">
      <c r="A16354" t="s">
        <v>13978</v>
      </c>
      <c r="B16354" t="s">
        <v>14114</v>
      </c>
    </row>
    <row r="16355" spans="1:2" x14ac:dyDescent="0.25">
      <c r="A16355" t="s">
        <v>14004</v>
      </c>
      <c r="B16355" t="s">
        <v>13978</v>
      </c>
    </row>
    <row r="16356" spans="1:2" x14ac:dyDescent="0.25">
      <c r="A16356" t="s">
        <v>14005</v>
      </c>
      <c r="B16356" t="s">
        <v>13978</v>
      </c>
    </row>
    <row r="16357" spans="1:2" x14ac:dyDescent="0.25">
      <c r="A16357" t="s">
        <v>14061</v>
      </c>
      <c r="B16357" t="s">
        <v>14005</v>
      </c>
    </row>
    <row r="16358" spans="1:2" x14ac:dyDescent="0.25">
      <c r="A16358" t="s">
        <v>14062</v>
      </c>
      <c r="B16358" t="s">
        <v>14005</v>
      </c>
    </row>
    <row r="16359" spans="1:2" x14ac:dyDescent="0.25">
      <c r="A16359" t="s">
        <v>14006</v>
      </c>
      <c r="B16359" t="s">
        <v>13978</v>
      </c>
    </row>
    <row r="16360" spans="1:2" x14ac:dyDescent="0.25">
      <c r="A16360" t="s">
        <v>14007</v>
      </c>
      <c r="B16360" t="s">
        <v>13978</v>
      </c>
    </row>
    <row r="16361" spans="1:2" x14ac:dyDescent="0.25">
      <c r="A16361" t="s">
        <v>14008</v>
      </c>
      <c r="B16361" t="s">
        <v>13978</v>
      </c>
    </row>
    <row r="16362" spans="1:2" x14ac:dyDescent="0.25">
      <c r="A16362" t="s">
        <v>14009</v>
      </c>
      <c r="B16362" t="s">
        <v>13978</v>
      </c>
    </row>
    <row r="16363" spans="1:2" x14ac:dyDescent="0.25">
      <c r="A16363" t="s">
        <v>13981</v>
      </c>
      <c r="B16363" t="s">
        <v>14114</v>
      </c>
    </row>
    <row r="16364" spans="1:2" x14ac:dyDescent="0.25">
      <c r="A16364" t="s">
        <v>14026</v>
      </c>
      <c r="B16364" t="s">
        <v>13981</v>
      </c>
    </row>
    <row r="16365" spans="1:2" x14ac:dyDescent="0.25">
      <c r="A16365" t="s">
        <v>14027</v>
      </c>
      <c r="B16365" t="s">
        <v>13981</v>
      </c>
    </row>
    <row r="16366" spans="1:2" x14ac:dyDescent="0.25">
      <c r="A16366" t="s">
        <v>14028</v>
      </c>
      <c r="B16366" t="s">
        <v>13981</v>
      </c>
    </row>
    <row r="16367" spans="1:2" x14ac:dyDescent="0.25">
      <c r="A16367" t="s">
        <v>14029</v>
      </c>
      <c r="B16367" t="s">
        <v>13981</v>
      </c>
    </row>
    <row r="16368" spans="1:2" x14ac:dyDescent="0.25">
      <c r="A16368" t="s">
        <v>14069</v>
      </c>
      <c r="B16368" t="s">
        <v>14029</v>
      </c>
    </row>
    <row r="16369" spans="1:2" x14ac:dyDescent="0.25">
      <c r="A16369" t="s">
        <v>14081</v>
      </c>
      <c r="B16369" t="s">
        <v>14069</v>
      </c>
    </row>
    <row r="16370" spans="1:2" x14ac:dyDescent="0.25">
      <c r="A16370" t="s">
        <v>14082</v>
      </c>
      <c r="B16370" t="s">
        <v>14069</v>
      </c>
    </row>
    <row r="16371" spans="1:2" x14ac:dyDescent="0.25">
      <c r="A16371" t="s">
        <v>14083</v>
      </c>
      <c r="B16371" t="s">
        <v>14069</v>
      </c>
    </row>
    <row r="16372" spans="1:2" x14ac:dyDescent="0.25">
      <c r="A16372" t="s">
        <v>14084</v>
      </c>
      <c r="B16372" t="s">
        <v>14069</v>
      </c>
    </row>
    <row r="16373" spans="1:2" x14ac:dyDescent="0.25">
      <c r="A16373" t="s">
        <v>14085</v>
      </c>
      <c r="B16373" t="s">
        <v>14069</v>
      </c>
    </row>
    <row r="16374" spans="1:2" x14ac:dyDescent="0.25">
      <c r="A16374" t="s">
        <v>14086</v>
      </c>
      <c r="B16374" t="s">
        <v>14069</v>
      </c>
    </row>
    <row r="16375" spans="1:2" x14ac:dyDescent="0.25">
      <c r="A16375" t="s">
        <v>14087</v>
      </c>
      <c r="B16375" t="s">
        <v>14069</v>
      </c>
    </row>
    <row r="16376" spans="1:2" x14ac:dyDescent="0.25">
      <c r="A16376" t="s">
        <v>14088</v>
      </c>
      <c r="B16376" t="s">
        <v>14069</v>
      </c>
    </row>
    <row r="16377" spans="1:2" x14ac:dyDescent="0.25">
      <c r="A16377" t="s">
        <v>14089</v>
      </c>
      <c r="B16377" t="s">
        <v>14069</v>
      </c>
    </row>
    <row r="16378" spans="1:2" x14ac:dyDescent="0.25">
      <c r="A16378" t="s">
        <v>14090</v>
      </c>
      <c r="B16378" t="s">
        <v>14069</v>
      </c>
    </row>
    <row r="16379" spans="1:2" x14ac:dyDescent="0.25">
      <c r="A16379" t="s">
        <v>14091</v>
      </c>
      <c r="B16379" t="s">
        <v>14069</v>
      </c>
    </row>
    <row r="16380" spans="1:2" x14ac:dyDescent="0.25">
      <c r="A16380" t="s">
        <v>14070</v>
      </c>
      <c r="B16380" t="s">
        <v>14029</v>
      </c>
    </row>
    <row r="16381" spans="1:2" x14ac:dyDescent="0.25">
      <c r="A16381" t="s">
        <v>14092</v>
      </c>
      <c r="B16381" t="s">
        <v>14070</v>
      </c>
    </row>
    <row r="16382" spans="1:2" x14ac:dyDescent="0.25">
      <c r="A16382" t="s">
        <v>14093</v>
      </c>
      <c r="B16382" t="s">
        <v>14070</v>
      </c>
    </row>
    <row r="16383" spans="1:2" x14ac:dyDescent="0.25">
      <c r="A16383" t="s">
        <v>14094</v>
      </c>
      <c r="B16383" t="s">
        <v>14070</v>
      </c>
    </row>
    <row r="16384" spans="1:2" x14ac:dyDescent="0.25">
      <c r="A16384" t="s">
        <v>14095</v>
      </c>
      <c r="B16384" t="s">
        <v>14070</v>
      </c>
    </row>
    <row r="16385" spans="1:2" x14ac:dyDescent="0.25">
      <c r="A16385" t="s">
        <v>14096</v>
      </c>
      <c r="B16385" t="s">
        <v>14070</v>
      </c>
    </row>
    <row r="16386" spans="1:2" x14ac:dyDescent="0.25">
      <c r="A16386" t="s">
        <v>14097</v>
      </c>
      <c r="B16386" t="s">
        <v>14070</v>
      </c>
    </row>
    <row r="16387" spans="1:2" x14ac:dyDescent="0.25">
      <c r="A16387" t="s">
        <v>14098</v>
      </c>
      <c r="B16387" t="s">
        <v>14070</v>
      </c>
    </row>
    <row r="16388" spans="1:2" x14ac:dyDescent="0.25">
      <c r="A16388" t="s">
        <v>14099</v>
      </c>
      <c r="B16388" t="s">
        <v>14070</v>
      </c>
    </row>
    <row r="16389" spans="1:2" x14ac:dyDescent="0.25">
      <c r="A16389" t="s">
        <v>14100</v>
      </c>
      <c r="B16389" t="s">
        <v>14070</v>
      </c>
    </row>
    <row r="16390" spans="1:2" x14ac:dyDescent="0.25">
      <c r="A16390" t="s">
        <v>14101</v>
      </c>
      <c r="B16390" t="s">
        <v>14070</v>
      </c>
    </row>
    <row r="16391" spans="1:2" x14ac:dyDescent="0.25">
      <c r="A16391" t="s">
        <v>14102</v>
      </c>
      <c r="B16391" t="s">
        <v>14070</v>
      </c>
    </row>
    <row r="16392" spans="1:2" x14ac:dyDescent="0.25">
      <c r="A16392" t="s">
        <v>14071</v>
      </c>
      <c r="B16392" t="s">
        <v>14029</v>
      </c>
    </row>
    <row r="16393" spans="1:2" x14ac:dyDescent="0.25">
      <c r="A16393" t="s">
        <v>14103</v>
      </c>
      <c r="B16393" t="s">
        <v>14071</v>
      </c>
    </row>
    <row r="16394" spans="1:2" x14ac:dyDescent="0.25">
      <c r="A16394" t="s">
        <v>14104</v>
      </c>
      <c r="B16394" t="s">
        <v>14071</v>
      </c>
    </row>
    <row r="16395" spans="1:2" x14ac:dyDescent="0.25">
      <c r="A16395" t="s">
        <v>14105</v>
      </c>
      <c r="B16395" t="s">
        <v>14071</v>
      </c>
    </row>
    <row r="16396" spans="1:2" x14ac:dyDescent="0.25">
      <c r="A16396" t="s">
        <v>14106</v>
      </c>
      <c r="B16396" t="s">
        <v>14071</v>
      </c>
    </row>
    <row r="16397" spans="1:2" x14ac:dyDescent="0.25">
      <c r="A16397" t="s">
        <v>14107</v>
      </c>
      <c r="B16397" t="s">
        <v>14071</v>
      </c>
    </row>
    <row r="16398" spans="1:2" x14ac:dyDescent="0.25">
      <c r="A16398" t="s">
        <v>14108</v>
      </c>
      <c r="B16398" t="s">
        <v>14071</v>
      </c>
    </row>
    <row r="16399" spans="1:2" x14ac:dyDescent="0.25">
      <c r="A16399" t="s">
        <v>14109</v>
      </c>
      <c r="B16399" t="s">
        <v>14071</v>
      </c>
    </row>
    <row r="16400" spans="1:2" x14ac:dyDescent="0.25">
      <c r="A16400" t="s">
        <v>14110</v>
      </c>
      <c r="B16400" t="s">
        <v>14071</v>
      </c>
    </row>
    <row r="16401" spans="1:2" x14ac:dyDescent="0.25">
      <c r="A16401" t="s">
        <v>14111</v>
      </c>
      <c r="B16401" t="s">
        <v>14071</v>
      </c>
    </row>
    <row r="16402" spans="1:2" x14ac:dyDescent="0.25">
      <c r="A16402" t="s">
        <v>14112</v>
      </c>
      <c r="B16402" t="s">
        <v>14071</v>
      </c>
    </row>
    <row r="16403" spans="1:2" x14ac:dyDescent="0.25">
      <c r="A16403" t="s">
        <v>14113</v>
      </c>
      <c r="B16403" t="s">
        <v>14071</v>
      </c>
    </row>
    <row r="16404" spans="1:2" x14ac:dyDescent="0.25">
      <c r="A16404" t="s">
        <v>13982</v>
      </c>
      <c r="B16404" t="s">
        <v>14114</v>
      </c>
    </row>
    <row r="16405" spans="1:2" x14ac:dyDescent="0.25">
      <c r="A16405" t="s">
        <v>14030</v>
      </c>
      <c r="B16405" t="s">
        <v>13982</v>
      </c>
    </row>
    <row r="16406" spans="1:2" x14ac:dyDescent="0.25">
      <c r="A16406" t="s">
        <v>14031</v>
      </c>
      <c r="B16406" t="s">
        <v>13982</v>
      </c>
    </row>
    <row r="16407" spans="1:2" x14ac:dyDescent="0.25">
      <c r="A16407" t="s">
        <v>14072</v>
      </c>
      <c r="B16407" t="s">
        <v>14031</v>
      </c>
    </row>
    <row r="16408" spans="1:2" x14ac:dyDescent="0.25">
      <c r="A16408" t="s">
        <v>14073</v>
      </c>
      <c r="B16408" t="s">
        <v>14031</v>
      </c>
    </row>
    <row r="16409" spans="1:2" x14ac:dyDescent="0.25">
      <c r="A16409" t="s">
        <v>14074</v>
      </c>
      <c r="B16409" t="s">
        <v>14031</v>
      </c>
    </row>
    <row r="16410" spans="1:2" x14ac:dyDescent="0.25">
      <c r="A16410" t="s">
        <v>14032</v>
      </c>
      <c r="B16410" t="s">
        <v>13982</v>
      </c>
    </row>
    <row r="16411" spans="1:2" x14ac:dyDescent="0.25">
      <c r="A16411" t="s">
        <v>14075</v>
      </c>
      <c r="B16411" t="s">
        <v>14032</v>
      </c>
    </row>
    <row r="16412" spans="1:2" x14ac:dyDescent="0.25">
      <c r="A16412" t="s">
        <v>14076</v>
      </c>
      <c r="B16412" t="s">
        <v>14032</v>
      </c>
    </row>
    <row r="16413" spans="1:2" x14ac:dyDescent="0.25">
      <c r="A16413" t="s">
        <v>14077</v>
      </c>
      <c r="B16413" t="s">
        <v>14032</v>
      </c>
    </row>
    <row r="16414" spans="1:2" x14ac:dyDescent="0.25">
      <c r="A16414" t="s">
        <v>14033</v>
      </c>
      <c r="B16414" t="s">
        <v>13982</v>
      </c>
    </row>
    <row r="16415" spans="1:2" x14ac:dyDescent="0.25">
      <c r="A16415" t="s">
        <v>14078</v>
      </c>
      <c r="B16415" t="s">
        <v>14033</v>
      </c>
    </row>
    <row r="16416" spans="1:2" x14ac:dyDescent="0.25">
      <c r="A16416" t="s">
        <v>14079</v>
      </c>
      <c r="B16416" t="s">
        <v>14033</v>
      </c>
    </row>
    <row r="16417" spans="1:2" x14ac:dyDescent="0.25">
      <c r="A16417" t="s">
        <v>14080</v>
      </c>
      <c r="B16417" t="s">
        <v>14033</v>
      </c>
    </row>
    <row r="16418" spans="1:2" x14ac:dyDescent="0.25">
      <c r="A16418" t="s">
        <v>14034</v>
      </c>
      <c r="B16418" t="s">
        <v>13982</v>
      </c>
    </row>
    <row r="16419" spans="1:2" x14ac:dyDescent="0.25">
      <c r="A16419" t="s">
        <v>14035</v>
      </c>
      <c r="B16419" t="s">
        <v>13982</v>
      </c>
    </row>
    <row r="16420" spans="1:2" x14ac:dyDescent="0.25">
      <c r="A16420" t="s">
        <v>14036</v>
      </c>
      <c r="B16420" t="s">
        <v>13982</v>
      </c>
    </row>
    <row r="16421" spans="1:2" x14ac:dyDescent="0.25">
      <c r="A16421" t="s">
        <v>14037</v>
      </c>
      <c r="B16421" t="s">
        <v>13982</v>
      </c>
    </row>
    <row r="16422" spans="1:2" x14ac:dyDescent="0.25">
      <c r="A16422" t="s">
        <v>13983</v>
      </c>
      <c r="B16422" t="s">
        <v>14114</v>
      </c>
    </row>
    <row r="16423" spans="1:2" x14ac:dyDescent="0.25">
      <c r="A16423" t="s">
        <v>14038</v>
      </c>
      <c r="B16423" t="s">
        <v>13983</v>
      </c>
    </row>
    <row r="16424" spans="1:2" x14ac:dyDescent="0.25">
      <c r="A16424" t="s">
        <v>14039</v>
      </c>
      <c r="B16424" t="s">
        <v>13983</v>
      </c>
    </row>
    <row r="16425" spans="1:2" x14ac:dyDescent="0.25">
      <c r="A16425" t="s">
        <v>14040</v>
      </c>
      <c r="B16425" t="s">
        <v>13983</v>
      </c>
    </row>
    <row r="16426" spans="1:2" x14ac:dyDescent="0.25">
      <c r="A16426" t="s">
        <v>14041</v>
      </c>
      <c r="B16426" t="s">
        <v>13983</v>
      </c>
    </row>
    <row r="16427" spans="1:2" x14ac:dyDescent="0.25">
      <c r="A16427" t="s">
        <v>13984</v>
      </c>
      <c r="B16427" t="s">
        <v>14114</v>
      </c>
    </row>
    <row r="16428" spans="1:2" x14ac:dyDescent="0.25">
      <c r="A16428" t="s">
        <v>13985</v>
      </c>
      <c r="B16428" t="s">
        <v>14114</v>
      </c>
    </row>
    <row r="16429" spans="1:2" x14ac:dyDescent="0.25">
      <c r="A16429" t="s">
        <v>13986</v>
      </c>
      <c r="B16429" t="s">
        <v>14114</v>
      </c>
    </row>
    <row r="16430" spans="1:2" x14ac:dyDescent="0.25">
      <c r="A16430" t="s">
        <v>13987</v>
      </c>
      <c r="B16430" t="s">
        <v>14114</v>
      </c>
    </row>
    <row r="16431" spans="1:2" x14ac:dyDescent="0.25">
      <c r="A16431" t="s">
        <v>13988</v>
      </c>
      <c r="B16431" t="s">
        <v>14114</v>
      </c>
    </row>
    <row r="16432" spans="1:2" x14ac:dyDescent="0.25">
      <c r="A16432" t="s">
        <v>13989</v>
      </c>
      <c r="B16432" t="s">
        <v>14114</v>
      </c>
    </row>
    <row r="16433" spans="1:2" x14ac:dyDescent="0.25">
      <c r="A16433" t="s">
        <v>13990</v>
      </c>
      <c r="B16433" t="s">
        <v>14114</v>
      </c>
    </row>
    <row r="16434" spans="1:2" x14ac:dyDescent="0.25">
      <c r="A16434" t="s">
        <v>13979</v>
      </c>
      <c r="B16434" t="s">
        <v>14114</v>
      </c>
    </row>
    <row r="16435" spans="1:2" x14ac:dyDescent="0.25">
      <c r="A16435" t="s">
        <v>14010</v>
      </c>
      <c r="B16435" t="s">
        <v>13979</v>
      </c>
    </row>
    <row r="16436" spans="1:2" x14ac:dyDescent="0.25">
      <c r="A16436" t="s">
        <v>14011</v>
      </c>
      <c r="B16436" t="s">
        <v>13979</v>
      </c>
    </row>
    <row r="16437" spans="1:2" x14ac:dyDescent="0.25">
      <c r="A16437" t="s">
        <v>14012</v>
      </c>
      <c r="B16437" t="s">
        <v>13979</v>
      </c>
    </row>
    <row r="16438" spans="1:2" x14ac:dyDescent="0.25">
      <c r="A16438" t="s">
        <v>14063</v>
      </c>
      <c r="B16438" t="s">
        <v>14012</v>
      </c>
    </row>
    <row r="16439" spans="1:2" x14ac:dyDescent="0.25">
      <c r="A16439" t="s">
        <v>14064</v>
      </c>
      <c r="B16439" t="s">
        <v>14012</v>
      </c>
    </row>
    <row r="16440" spans="1:2" x14ac:dyDescent="0.25">
      <c r="A16440" t="s">
        <v>14013</v>
      </c>
      <c r="B16440" t="s">
        <v>13979</v>
      </c>
    </row>
    <row r="16441" spans="1:2" x14ac:dyDescent="0.25">
      <c r="A16441" t="s">
        <v>14065</v>
      </c>
      <c r="B16441" t="s">
        <v>14013</v>
      </c>
    </row>
    <row r="16442" spans="1:2" x14ac:dyDescent="0.25">
      <c r="A16442" t="s">
        <v>14066</v>
      </c>
      <c r="B16442" t="s">
        <v>14013</v>
      </c>
    </row>
    <row r="16443" spans="1:2" x14ac:dyDescent="0.25">
      <c r="A16443" t="s">
        <v>14014</v>
      </c>
      <c r="B16443" t="s">
        <v>13979</v>
      </c>
    </row>
    <row r="16444" spans="1:2" x14ac:dyDescent="0.25">
      <c r="A16444" t="s">
        <v>14015</v>
      </c>
      <c r="B16444" t="s">
        <v>13979</v>
      </c>
    </row>
    <row r="16445" spans="1:2" x14ac:dyDescent="0.25">
      <c r="A16445" t="s">
        <v>14016</v>
      </c>
      <c r="B16445" t="s">
        <v>13979</v>
      </c>
    </row>
    <row r="16446" spans="1:2" x14ac:dyDescent="0.25">
      <c r="A16446" t="s">
        <v>14017</v>
      </c>
      <c r="B16446" t="s">
        <v>13979</v>
      </c>
    </row>
    <row r="16447" spans="1:2" x14ac:dyDescent="0.25">
      <c r="A16447" t="s">
        <v>13980</v>
      </c>
      <c r="B16447" t="s">
        <v>14114</v>
      </c>
    </row>
    <row r="16448" spans="1:2" x14ac:dyDescent="0.25">
      <c r="A16448" t="s">
        <v>14018</v>
      </c>
      <c r="B16448" t="s">
        <v>13980</v>
      </c>
    </row>
    <row r="16449" spans="1:2" x14ac:dyDescent="0.25">
      <c r="A16449" t="s">
        <v>14019</v>
      </c>
      <c r="B16449" t="s">
        <v>13980</v>
      </c>
    </row>
    <row r="16450" spans="1:2" x14ac:dyDescent="0.25">
      <c r="A16450" t="s">
        <v>14020</v>
      </c>
      <c r="B16450" t="s">
        <v>13980</v>
      </c>
    </row>
    <row r="16451" spans="1:2" x14ac:dyDescent="0.25">
      <c r="A16451" t="s">
        <v>14021</v>
      </c>
      <c r="B16451" t="s">
        <v>13980</v>
      </c>
    </row>
    <row r="16452" spans="1:2" x14ac:dyDescent="0.25">
      <c r="A16452" t="s">
        <v>14022</v>
      </c>
      <c r="B16452" t="s">
        <v>13980</v>
      </c>
    </row>
    <row r="16453" spans="1:2" x14ac:dyDescent="0.25">
      <c r="A16453" t="s">
        <v>14023</v>
      </c>
      <c r="B16453" t="s">
        <v>13980</v>
      </c>
    </row>
    <row r="16454" spans="1:2" x14ac:dyDescent="0.25">
      <c r="A16454" t="s">
        <v>14024</v>
      </c>
      <c r="B16454" t="s">
        <v>13980</v>
      </c>
    </row>
    <row r="16455" spans="1:2" x14ac:dyDescent="0.25">
      <c r="A16455" t="s">
        <v>14025</v>
      </c>
      <c r="B16455" t="s">
        <v>13980</v>
      </c>
    </row>
    <row r="16456" spans="1:2" x14ac:dyDescent="0.25">
      <c r="A16456" t="s">
        <v>14067</v>
      </c>
      <c r="B16456" t="s">
        <v>14025</v>
      </c>
    </row>
    <row r="16457" spans="1:2" x14ac:dyDescent="0.25">
      <c r="A16457" t="s">
        <v>14068</v>
      </c>
      <c r="B16457" t="s">
        <v>14025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CC15A-DB6C-4C73-8D16-926C16C7DB62}">
  <sheetPr codeName="Sheet2"/>
  <dimension ref="A1:A69"/>
  <sheetViews>
    <sheetView topLeftCell="A43" workbookViewId="0">
      <selection activeCell="O56" sqref="O56"/>
    </sheetView>
  </sheetViews>
  <sheetFormatPr defaultRowHeight="15" x14ac:dyDescent="0.25"/>
  <sheetData>
    <row r="1" spans="1:1" x14ac:dyDescent="0.25">
      <c r="A1" t="s">
        <v>12919</v>
      </c>
    </row>
    <row r="14" spans="1:1" x14ac:dyDescent="0.25">
      <c r="A14" t="s">
        <v>12920</v>
      </c>
    </row>
    <row r="23" spans="1:1" x14ac:dyDescent="0.25">
      <c r="A23" t="s">
        <v>12921</v>
      </c>
    </row>
    <row r="36" spans="1:1" x14ac:dyDescent="0.25">
      <c r="A36" t="s">
        <v>12922</v>
      </c>
    </row>
    <row r="37" spans="1:1" x14ac:dyDescent="0.25">
      <c r="A37" t="s">
        <v>12923</v>
      </c>
    </row>
    <row r="39" spans="1:1" x14ac:dyDescent="0.25">
      <c r="A39" t="s">
        <v>12924</v>
      </c>
    </row>
    <row r="40" spans="1:1" x14ac:dyDescent="0.25">
      <c r="A40" t="s">
        <v>12925</v>
      </c>
    </row>
    <row r="41" spans="1:1" x14ac:dyDescent="0.25">
      <c r="A41" t="s">
        <v>12926</v>
      </c>
    </row>
    <row r="42" spans="1:1" x14ac:dyDescent="0.25">
      <c r="A42" t="s">
        <v>12927</v>
      </c>
    </row>
    <row r="52" spans="1:1" x14ac:dyDescent="0.25">
      <c r="A52" t="s">
        <v>12928</v>
      </c>
    </row>
    <row r="54" spans="1:1" x14ac:dyDescent="0.25">
      <c r="A54" t="s">
        <v>12929</v>
      </c>
    </row>
    <row r="68" spans="1:1" x14ac:dyDescent="0.25">
      <c r="A68" t="s">
        <v>12930</v>
      </c>
    </row>
    <row r="69" spans="1:1" x14ac:dyDescent="0.25">
      <c r="A69" t="s">
        <v>12931</v>
      </c>
    </row>
  </sheetData>
  <pageMargins left="0.7" right="0.7" top="0.75" bottom="0.75" header="0.3" footer="0.3"/>
  <pageSetup paperSize="9" orientation="portrait" horizontalDpi="90" verticalDpi="90"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52325B53968B04AAE7A08E5694C3369" ma:contentTypeVersion="8" ma:contentTypeDescription="Utwórz nowy dokument." ma:contentTypeScope="" ma:versionID="5b6f52ceda8f5926c2995cbf3c44ee63">
  <xsd:schema xmlns:xsd="http://www.w3.org/2001/XMLSchema" xmlns:xs="http://www.w3.org/2001/XMLSchema" xmlns:p="http://schemas.microsoft.com/office/2006/metadata/properties" xmlns:ns2="d2f2714f-8304-48f0-98a8-fdb2bed8ae21" xmlns:ns3="87676b84-6f06-4975-b03f-91bd3127f2d0" targetNamespace="http://schemas.microsoft.com/office/2006/metadata/properties" ma:root="true" ma:fieldsID="8d036d822392f5b943cf6ac9278982f5" ns2:_="" ns3:_="">
    <xsd:import namespace="d2f2714f-8304-48f0-98a8-fdb2bed8ae21"/>
    <xsd:import namespace="87676b84-6f06-4975-b03f-91bd3127f2d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f2714f-8304-48f0-98a8-fdb2bed8ae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7676b84-6f06-4975-b03f-91bd3127f2d0" elementFormDefault="qualified">
    <xsd:import namespace="http://schemas.microsoft.com/office/2006/documentManagement/types"/>
    <xsd:import namespace="http://schemas.microsoft.com/office/infopath/2007/PartnerControls"/>
    <xsd:element name="SharedWithUsers" ma:index="14" nillable="true" ma:displayName="Udostępniani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Udostępnione dla — szczegóły"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34207B-0BA3-43FD-B078-826684BB3F6E}">
  <ds:schemaRefs>
    <ds:schemaRef ds:uri="http://schemas.microsoft.com/sharepoint/v3/contenttype/forms"/>
  </ds:schemaRefs>
</ds:datastoreItem>
</file>

<file path=customXml/itemProps2.xml><?xml version="1.0" encoding="utf-8"?>
<ds:datastoreItem xmlns:ds="http://schemas.openxmlformats.org/officeDocument/2006/customXml" ds:itemID="{B81616C0-F270-47F9-AB8A-BAE44A25B3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f2714f-8304-48f0-98a8-fdb2bed8ae21"/>
    <ds:schemaRef ds:uri="87676b84-6f06-4975-b03f-91bd3127f2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BE66AFA-266A-49C4-8907-B00361D8E56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GCOH</vt:lpstr>
      <vt:lpstr>Sheet1</vt:lpstr>
      <vt:lpstr>Sheet2</vt:lpstr>
      <vt:lpstr>Names</vt:lpstr>
      <vt:lpstr>Parent</vt:lpstr>
      <vt:lpstr>Instructions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Ronald Pierre Collado</dc:creator>
  <cp:keywords/>
  <dc:description/>
  <cp:lastModifiedBy>Pierre Collado</cp:lastModifiedBy>
  <cp:revision/>
  <dcterms:created xsi:type="dcterms:W3CDTF">2020-09-15T07:49:02Z</dcterms:created>
  <dcterms:modified xsi:type="dcterms:W3CDTF">2026-09-15T12:43:55Z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0x010100852325B53968B04AAE7A08E5694C3369</vt:lpwstr>
  </property>
</Properties>
</file>