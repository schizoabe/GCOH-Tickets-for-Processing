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ustomProperty2.bin" ContentType="application/vnd.openxmlformats-officedocument.spreadsheetml.customProperty"/>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rre\Documents\WORK\GCOH\GCOH-Tickets-for-Processing\HierarchyFiles\"/>
    </mc:Choice>
  </mc:AlternateContent>
  <xr:revisionPtr revIDLastSave="0" documentId="13_ncr:1_{0501F7B4-601B-473C-908E-987A4ED7AF46}" xr6:coauthVersionLast="47" xr6:coauthVersionMax="47" xr10:uidLastSave="{00000000-0000-0000-0000-000000000000}"/>
  <bookViews>
    <workbookView xWindow="-120" yWindow="-120" windowWidth="38640" windowHeight="21120" xr2:uid="{F2F3FDAA-515F-425B-8E75-D86885F2C4BB}"/>
  </bookViews>
  <sheets>
    <sheet name="GCOH" sheetId="1" r:id="rId1"/>
    <sheet name="Names" sheetId="3" r:id="rId2"/>
    <sheet name="Parent" sheetId="4" r:id="rId3"/>
    <sheet name="Instructions" sheetId="2" r:id="rId4"/>
  </sheets>
  <functionGroups builtInGroupCount="19"/>
  <definedNames>
    <definedName name="_xlnm._FilterDatabase" localSheetId="0" hidden="1">GCOH!$X$1:$AG$5</definedName>
    <definedName name="_xlnm._FilterDatabase" localSheetId="1" hidden="1">Names!$A$1:$C$1</definedName>
    <definedName name="_xlnm._FilterDatabase" localSheetId="2" hidden="1">Parent!$A$1:$B$2</definedName>
  </definedNames>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U9" i="1" l="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8" i="1"/>
  <c r="U6" i="1"/>
  <c r="U7" i="1"/>
  <c r="X7" i="1"/>
  <c r="AA7" i="1" s="1"/>
  <c r="X6" i="1"/>
  <c r="AA6" i="1" s="1"/>
  <c r="AD6" i="1"/>
  <c r="Y6" i="1" l="1"/>
</calcChain>
</file>

<file path=xl/sharedStrings.xml><?xml version="1.0" encoding="utf-8"?>
<sst xmlns="http://schemas.openxmlformats.org/spreadsheetml/2006/main" count="6297" uniqueCount="771">
  <si>
    <t>Move &amp; Rename</t>
  </si>
  <si>
    <t>delete</t>
  </si>
  <si>
    <t>new</t>
  </si>
  <si>
    <t>MDG-F Hierarchy</t>
  </si>
  <si>
    <r>
      <rPr>
        <sz val="11"/>
        <rFont val="Calibri"/>
        <family val="2"/>
        <scheme val="minor"/>
      </rPr>
      <t>relevant if</t>
    </r>
    <r>
      <rPr>
        <b/>
        <sz val="11"/>
        <color rgb="FFFF0000"/>
        <rFont val="Calibri"/>
        <family val="2"/>
        <scheme val="minor"/>
      </rPr>
      <t xml:space="preserve"> "move"</t>
    </r>
  </si>
  <si>
    <r>
      <rPr>
        <sz val="11"/>
        <rFont val="Calibri"/>
        <family val="2"/>
        <scheme val="minor"/>
      </rPr>
      <t>relevant if</t>
    </r>
    <r>
      <rPr>
        <b/>
        <sz val="11"/>
        <color rgb="FFFF0000"/>
        <rFont val="Calibri"/>
        <family val="2"/>
        <scheme val="minor"/>
      </rPr>
      <t xml:space="preserve"> "move" or "new"</t>
    </r>
  </si>
  <si>
    <r>
      <rPr>
        <sz val="11"/>
        <rFont val="Calibri"/>
        <family val="2"/>
        <scheme val="minor"/>
      </rPr>
      <t xml:space="preserve">relevant if </t>
    </r>
    <r>
      <rPr>
        <b/>
        <sz val="11"/>
        <color rgb="FFFF0000"/>
        <rFont val="Calibri"/>
        <family val="2"/>
        <scheme val="minor"/>
      </rPr>
      <t xml:space="preserve">"rename"
</t>
    </r>
    <r>
      <rPr>
        <b/>
        <sz val="11"/>
        <rFont val="Calibri"/>
        <family val="2"/>
        <scheme val="minor"/>
      </rPr>
      <t>! Naming limited to 40 digits !</t>
    </r>
  </si>
  <si>
    <t>move</t>
  </si>
  <si>
    <t>Responsible person</t>
  </si>
  <si>
    <t>Node</t>
  </si>
  <si>
    <t>Object Name</t>
  </si>
  <si>
    <t>Immediate Parent Node</t>
  </si>
  <si>
    <t>Level_0</t>
  </si>
  <si>
    <t>Level_1</t>
  </si>
  <si>
    <t>Level_2</t>
  </si>
  <si>
    <t>Level_3</t>
  </si>
  <si>
    <t>Level_4</t>
  </si>
  <si>
    <t>Level_5</t>
  </si>
  <si>
    <t>Level_6</t>
  </si>
  <si>
    <t>Level_7</t>
  </si>
  <si>
    <t>Level_8</t>
  </si>
  <si>
    <t>Level_9</t>
  </si>
  <si>
    <t>Level_10</t>
  </si>
  <si>
    <t>Level_11</t>
  </si>
  <si>
    <t>Level 12</t>
  </si>
  <si>
    <t>Level 13</t>
  </si>
  <si>
    <t>Level 14</t>
  </si>
  <si>
    <t>Level 15</t>
  </si>
  <si>
    <t xml:space="preserve">Node </t>
  </si>
  <si>
    <t>Technical Hierarchy Nodes</t>
  </si>
  <si>
    <t>Parent Node</t>
  </si>
  <si>
    <t>Type of change</t>
  </si>
  <si>
    <t>Previous parent node</t>
  </si>
  <si>
    <t>New parent node</t>
  </si>
  <si>
    <t>New
Naming</t>
  </si>
  <si>
    <t>Length</t>
  </si>
  <si>
    <t>rename</t>
  </si>
  <si>
    <t>Name</t>
  </si>
  <si>
    <t>MUID</t>
  </si>
  <si>
    <t>Parent</t>
  </si>
  <si>
    <t>How do I use this tool?</t>
  </si>
  <si>
    <t>1. Click on the magnifying glass</t>
  </si>
  <si>
    <t>2. Type on the textbox below the word "Node" words that would be in the node name of the node you'd like to focus on, i.e. Buildings etc.</t>
  </si>
  <si>
    <t>Clicking on Go! Would fill up the listbox on the right with the possible matches for the word you entered. Select the node that you wish to focus on. If you can't find it there, that means</t>
  </si>
  <si>
    <t>it is using another name. Try another word.</t>
  </si>
  <si>
    <t>3. Once you select a node on the listbox, the tool will automatically filter the table to focus on that specific node, giving you info such as:</t>
  </si>
  <si>
    <t>1. Immediate parent</t>
  </si>
  <si>
    <t>2. Members (Children, grandchildren)</t>
  </si>
  <si>
    <t>3. Level</t>
  </si>
  <si>
    <t>Use these information to plan the hierarchy changes you would desire to request.</t>
  </si>
  <si>
    <t>The process will be the same, input your changes per line on the right part of the worksheet</t>
  </si>
  <si>
    <t>If you are to add a new node, just add in an aditional row in between the new node and its parent.</t>
  </si>
  <si>
    <t>4. Once you're done with the changes, send the file back to MBS CO - Ronald Pierre Collado so we can communicate it to ZBB.</t>
  </si>
  <si>
    <t>*CCTRG</t>
  </si>
  <si>
    <t>TXTMI</t>
  </si>
  <si>
    <t>index</t>
  </si>
  <si>
    <t/>
  </si>
  <si>
    <t>Dividends</t>
  </si>
  <si>
    <t>Root</t>
  </si>
  <si>
    <t>Custom</t>
  </si>
  <si>
    <t>3020530000 - [Capitalized variances]</t>
  </si>
  <si>
    <t>3020533200 - [Capitalized production order variances IC input material]</t>
  </si>
  <si>
    <t>3020533100 - [Capitalized production order variances 3rd party material]</t>
  </si>
  <si>
    <t>3020532000 - [Capitalized cost center variances]</t>
  </si>
  <si>
    <t>3020531200 - [Capitalized material price variances IC]</t>
  </si>
  <si>
    <t>3020531100 - [Capitalized material price variances 3rd party]</t>
  </si>
  <si>
    <t>3020500000 - [Inventory revaluations]</t>
  </si>
  <si>
    <t>3020520000 - [Inventory revaluation IC]</t>
  </si>
  <si>
    <t>3020510000 - [Inventory revaluation 3rd parties]</t>
  </si>
  <si>
    <t>3020440000 - [Valuation adjustments IC]</t>
  </si>
  <si>
    <t>3020430000 - [Valuation adjustments 3rd parties]</t>
  </si>
  <si>
    <t>3020401000 - [Destroyed / disposed materials]</t>
  </si>
  <si>
    <t>3020420000 - [Destroyed / disposed material IC]</t>
  </si>
  <si>
    <t>3020410000 - [Destroyed / disposed material 3rd parties]</t>
  </si>
  <si>
    <t>3020900000 - [Other Production cost (MGF alloc.)]</t>
  </si>
  <si>
    <t>3020710000 - [Idle capacity cost]</t>
  </si>
  <si>
    <t>3020700000 - [Start-up costs production]</t>
  </si>
  <si>
    <t>3020600000 - [Global technical operations]</t>
  </si>
  <si>
    <t>3020300000 - [Adjustments Sales/COGs]</t>
  </si>
  <si>
    <t>3020320000 - [Adjustments COGs]</t>
  </si>
  <si>
    <t>3020310000 - [Adjustments sales]</t>
  </si>
  <si>
    <t>3020200000 - [COGs variances]</t>
  </si>
  <si>
    <t>3020230000 - [Production order variances]</t>
  </si>
  <si>
    <t>3020232000 - [Other production order variances]</t>
  </si>
  <si>
    <t>3020231000 - [Production order variances IC input material]</t>
  </si>
  <si>
    <t>3020220000 - [Cost center variances]</t>
  </si>
  <si>
    <t>3020210000 - [Material price variances]</t>
  </si>
  <si>
    <t>3020212000 - [Price variances IC]</t>
  </si>
  <si>
    <t>3020211000 - [Price variances 3rd party]</t>
  </si>
  <si>
    <t>3010000000 - [Net Sales]</t>
  </si>
  <si>
    <t>3012000000 - [Royalty, license and commission income]</t>
  </si>
  <si>
    <t>3012220000 - [Profit share income]</t>
  </si>
  <si>
    <t>3012210000 - [Commission income]</t>
  </si>
  <si>
    <t>3012200000 - [Commission and profit share income]</t>
  </si>
  <si>
    <t>3011000000 - [Sales]</t>
  </si>
  <si>
    <t>3011200000 - [Intercompany sales]</t>
  </si>
  <si>
    <t>3011100000 - [Net sales 3rd parties]</t>
  </si>
  <si>
    <t>3011160000 - [Net sales 3rd parties from Sh.+Hd.ling]</t>
  </si>
  <si>
    <t>3011139000 - [IFRS9/15 impact to N.S w/o HW/Dev]</t>
  </si>
  <si>
    <t>3011120000 - [Net sales non-commercial 3rd parties]</t>
  </si>
  <si>
    <t>3011110000 - [Net sales commercial 3rd parties]</t>
  </si>
  <si>
    <t>3215000000 - [Amortization intangibles (R&amp;D)]</t>
  </si>
  <si>
    <t>3110800000 - [Amortization intangibles (M&amp;S)]</t>
  </si>
  <si>
    <t>3020810000 - [Amortization intangibles (COGs)]</t>
  </si>
  <si>
    <t>3020502000 - [Capitalized amortization intangibles (COGs)]</t>
  </si>
  <si>
    <t>3020450000 - [Valuation adjustments on amortized Intangibles]</t>
  </si>
  <si>
    <t>3212600000 - [Application technology global]</t>
  </si>
  <si>
    <t>3212400000 - [R&amp;D reimbursements global 3rd parties]</t>
  </si>
  <si>
    <t>3212300000 - [R&amp;D expenses global - Samples]</t>
  </si>
  <si>
    <t>3212100000 - [R&amp;D expenses global]</t>
  </si>
  <si>
    <t>3211400000 - [R&amp;D Reimbursment Local 3rd parties]</t>
  </si>
  <si>
    <t>3211300000 - [R&amp;D Expenses Local - Samples]</t>
  </si>
  <si>
    <t>3211100000 - [R&amp;D Expenses Local]</t>
  </si>
  <si>
    <t>3214000000 - [R&amp;D expenses local from global]</t>
  </si>
  <si>
    <t>3213000000 - [R&amp;D Accruals for Group-IPR-Holder]</t>
  </si>
  <si>
    <t>3212700000 - [Royalty and license expenses (global R&amp;D)]</t>
  </si>
  <si>
    <t>3211600000 - [Royalty and license expenses (local R&amp;D)]</t>
  </si>
  <si>
    <t>3122119000 - [Profit Share expenses]</t>
  </si>
  <si>
    <t>3113200000 - [Commission expenses]</t>
  </si>
  <si>
    <t>3113100000 - [Royalty and license expenses (M&amp;S)]</t>
  </si>
  <si>
    <t>31111299LA - [LA-Elimination of IC Royalty/License/Commission/Profit share]</t>
  </si>
  <si>
    <t>31111199IC - [IC Adjustment-Royalty / License / Commission / Profit share]</t>
  </si>
  <si>
    <t>3111110000 - [IC Commission income reclassification]</t>
  </si>
  <si>
    <t>3020820000 - [Royalty and license expenses (COGs)]</t>
  </si>
  <si>
    <t>3110700000 - [Other marketing &amp; selling]</t>
  </si>
  <si>
    <t>3110600000 - [IC income other marketing &amp; selling]</t>
  </si>
  <si>
    <t>3110500000 - [Special expenses of selling]</t>
  </si>
  <si>
    <t>3110550000 - [Medical activities (non-R&amp;D)]</t>
  </si>
  <si>
    <t>3110554000 - [Other medical non R&amp;D]</t>
  </si>
  <si>
    <t>3110553000 - [Medical consultants]</t>
  </si>
  <si>
    <t>3110552000 - [Medical donations]</t>
  </si>
  <si>
    <t>3110551000 - [Medical education]</t>
  </si>
  <si>
    <t>3110400000 - [Logistics]</t>
  </si>
  <si>
    <t>3110470000 - [IC income logistics]</t>
  </si>
  <si>
    <t>3110440000 - [Freight (outbound)]</t>
  </si>
  <si>
    <t>3110442000 - [Freight to Merck subsidiaries]</t>
  </si>
  <si>
    <t>3110442200 - [Freight to Merck subsidiaries – reimbursement]</t>
  </si>
  <si>
    <t>3110442100 - [Freight to Merck subsidiaries – expenses]</t>
  </si>
  <si>
    <t>3110441000 - [Freight to customer]</t>
  </si>
  <si>
    <t>3110441200 - [Freight to customer – reimbursement]</t>
  </si>
  <si>
    <t>3110441100 - [Freight to customer – expenses]</t>
  </si>
  <si>
    <t>3110410000 - [Freight (outbound)]</t>
  </si>
  <si>
    <t>3110430000 - [Global Demand Planning and Replenishment / OrdF(Chem centr)]</t>
  </si>
  <si>
    <t>3110420000 - [Warehousing and Distribution]</t>
  </si>
  <si>
    <t>3110300000 - [Sales promotion]</t>
  </si>
  <si>
    <t>3110360000 - [IC income sales promotion]</t>
  </si>
  <si>
    <t>3110350000 - [Other promotion costs]</t>
  </si>
  <si>
    <t>3110340000 - [Congresses and events]</t>
  </si>
  <si>
    <t>3110330000 - [Marketing samples]</t>
  </si>
  <si>
    <t>3110320000 - [Advertising]</t>
  </si>
  <si>
    <t>3110310000 - [Promotion material]</t>
  </si>
  <si>
    <t>3110200000 - [Internal sales service (ISS)]</t>
  </si>
  <si>
    <t>3110250000 - [Internal sales service expenses]</t>
  </si>
  <si>
    <t>3110240000 - [IC income internal sales service]</t>
  </si>
  <si>
    <t>3110230000 - [Other ISS expenses]</t>
  </si>
  <si>
    <t>3110220000 - [Medical &amp; technical support]</t>
  </si>
  <si>
    <t>3110210000 - [Marketing department]</t>
  </si>
  <si>
    <t>3110100000 - [Field force]</t>
  </si>
  <si>
    <t>3110170000 - [Field force expenses]</t>
  </si>
  <si>
    <t>3110160000 - [IC income field force]</t>
  </si>
  <si>
    <t>3110150000 - [Merchandising and sales support]</t>
  </si>
  <si>
    <t>3110140000 - [Retail]</t>
  </si>
  <si>
    <t>3110130000 - [Secondary care]</t>
  </si>
  <si>
    <t>3110120000 - [Primary care]</t>
  </si>
  <si>
    <t>3110110000 - [Field force general]</t>
  </si>
  <si>
    <t>3122121000 - [Remaining other expenses IC - Sigma-Aldrich only]</t>
  </si>
  <si>
    <t>3122117000 - [Non income related taxes]</t>
  </si>
  <si>
    <t>3122116000 - [Expenses for services performed and ancillary business]</t>
  </si>
  <si>
    <t>3122114100 - [Mark-up Expense IC]</t>
  </si>
  <si>
    <t>3122114000 - [Remaining other expenses IC]</t>
  </si>
  <si>
    <t>3122112000 - [Remaining other expenses 3rd parties]</t>
  </si>
  <si>
    <t>3122111000 - [Special reimbursements - expenses]</t>
  </si>
  <si>
    <t>3122110100 - [Special integration costs Millipore]</t>
  </si>
  <si>
    <t>3122109000 - [Litigation expenses]</t>
  </si>
  <si>
    <t>3122108000 - [Restructuring expenses]</t>
  </si>
  <si>
    <t>3122107000 - [Environmental expenses]</t>
  </si>
  <si>
    <t>3122106000 - [Non-allocable personnel expenses]</t>
  </si>
  <si>
    <t>3122106500 - [Non-allocable personnel expenses (investing related)]</t>
  </si>
  <si>
    <t>3122106400 - [Non-allocable personnel expenses (research &amp; development related)]</t>
  </si>
  <si>
    <t>3122106300 - [Non-allocable personnel expenses (administration related)]</t>
  </si>
  <si>
    <t>3122106200 - [Non-allocable personnel expenses (marketing &amp; selling related)]</t>
  </si>
  <si>
    <t>3122106100 - [Non-allocable personnel expenses (production related)]</t>
  </si>
  <si>
    <t>3122105000 - [Premium/contribution/fees]</t>
  </si>
  <si>
    <t>3122104000 - [Special projects]</t>
  </si>
  <si>
    <t>3122103000 - [Receivable allowances]</t>
  </si>
  <si>
    <t>3122102000 - [Asset impairment]</t>
  </si>
  <si>
    <t>3122101200 - [Capital losses from disposal of property,plant and equipment]</t>
  </si>
  <si>
    <t>3122101250 - [Capital losses from disposal of property,plant and equipment (investing related)]</t>
  </si>
  <si>
    <t>3122101240 - [Capital losses from disposal of property,plant and equipment (research &amp; development related)]</t>
  </si>
  <si>
    <t>3122101230 - [Capital losses from disposal of property,plant and equipment (administration related)]</t>
  </si>
  <si>
    <t>3122101220 - [Capital losses from disposal of property,plant and equipment (marketing &amp; selling related)]</t>
  </si>
  <si>
    <t>3122101210 - [Capital losses from disposal of property,plant and equipment (production related)]</t>
  </si>
  <si>
    <t>3122101100 - [Capital losses from disposal of intangible assets]</t>
  </si>
  <si>
    <t>3122101150 - [Capital losses from disposal of intangible assets (investing related)]</t>
  </si>
  <si>
    <t>3122101140 - [Capital losses from disposal of intangible assets (research &amp; development related)]</t>
  </si>
  <si>
    <t>3122101130 - [Capital losses from disposal of intangible assets (administration related)]</t>
  </si>
  <si>
    <t>3122101120 - [Capital losses from disposal of intangible assets (marketing &amp; selling related)]</t>
  </si>
  <si>
    <t>3122101110 - [Capital losses from disposal of intangible assets (production related)]</t>
  </si>
  <si>
    <t>3123000000 - [Operative currency differences]</t>
  </si>
  <si>
    <t>3123210000 - [Currency differences cash flow hedges]</t>
  </si>
  <si>
    <t>3123211000 - [Currency differences cash flow hedges, unrealized]</t>
  </si>
  <si>
    <t>3123200000 - [Currency differences cash flow hedges realized]</t>
  </si>
  <si>
    <t>3123100000 - [Currency differences operating activities]</t>
  </si>
  <si>
    <t>3123120000 - [Currency differences operating - derivatives]</t>
  </si>
  <si>
    <t>3123122000 - [Currency diff operating - derivatives, unrealized]</t>
  </si>
  <si>
    <t>3123121000 - [Currency diff operating - derivatives, realized]</t>
  </si>
  <si>
    <t>3123110000 - [Currency differences operating - transactions]</t>
  </si>
  <si>
    <t>3123112000 - [Currency diff operating - transactions, unrealized]</t>
  </si>
  <si>
    <t>3123111000 - [Currency diff operating - transactions, realized]</t>
  </si>
  <si>
    <t>3122300000 - [One time items]</t>
  </si>
  <si>
    <t>3122208000 - [One time income]</t>
  </si>
  <si>
    <t>3122118000 - [One time expenses]</t>
  </si>
  <si>
    <t>3122200000 - [Other operating income]</t>
  </si>
  <si>
    <t>3122209000 - [Remaining other income IC - Sigma-Aldrich only]</t>
  </si>
  <si>
    <t>3122207000 - [Income for services performed and ancillary business]</t>
  </si>
  <si>
    <t>3122206000 - [Income from allowance reversals]</t>
  </si>
  <si>
    <t>3122205100 - [Mark-up Income IC]</t>
  </si>
  <si>
    <t>3122205000 - [Remaining other income IC]</t>
  </si>
  <si>
    <t>3122204000 - [Remaining other income 3rd parties]</t>
  </si>
  <si>
    <t>3122203000 - [Special reimbursements - income]</t>
  </si>
  <si>
    <t>3122202000 - [Impairment reversals]</t>
  </si>
  <si>
    <t>3122201500 - [Consolidation gain on disposal of subsidiary]</t>
  </si>
  <si>
    <t>3122201400 - [Capital gains from divestments]</t>
  </si>
  <si>
    <t>3122201300 - [Capital gains from disposal of financial assets]</t>
  </si>
  <si>
    <t>3122201200 - [Capital gains from disposal of property, plant and equipment]</t>
  </si>
  <si>
    <t>3122201100 - [Capital gains from disposal of intangible assets]</t>
  </si>
  <si>
    <t>3122201000 - [Capital gains]</t>
  </si>
  <si>
    <t>3012100000 - [Royalty and license income]</t>
  </si>
  <si>
    <t>3121000000 - [Administration]</t>
  </si>
  <si>
    <t>3121080000 - [Group Procurement]</t>
  </si>
  <si>
    <t>3121070000 - [Environm., Health, Safety, Security, Quality]</t>
  </si>
  <si>
    <t>3121060000 - [Group Information Service]</t>
  </si>
  <si>
    <t>3121050000 - [Other administration costs]</t>
  </si>
  <si>
    <t>3121040000 - [Communications]</t>
  </si>
  <si>
    <t>3121030000 - [Legal]</t>
  </si>
  <si>
    <t>3121020000 - [Human resources]</t>
  </si>
  <si>
    <t>3121010000 - [Finance]</t>
  </si>
  <si>
    <t>3410000000 - [Non-operating TP compensations]</t>
  </si>
  <si>
    <t>34139999LA - [LA - Non-operating TP compensations]</t>
  </si>
  <si>
    <t>3412000000 - [Non-operating TP compensations - expense]</t>
  </si>
  <si>
    <t>3411000000 - [Non-operating TP compensations - income]</t>
  </si>
  <si>
    <t>No RPP</t>
  </si>
  <si>
    <t>Rejects</t>
  </si>
  <si>
    <t>3900000000 - [NET PROFIT AFTER NON-CONTROLLING INTEREST]</t>
  </si>
  <si>
    <t>3810000000 - [Non-controlling interest]</t>
  </si>
  <si>
    <t>3800000000 - [PROFIT AFTER TAX]</t>
  </si>
  <si>
    <t>3710000000 - [Profit after tax discontinued operations]</t>
  </si>
  <si>
    <t>3712000000 - [Profit after tax disc. op. - gain on disposal]</t>
  </si>
  <si>
    <t>3711000000 - [Profit after tax disc. op. - operating activities]</t>
  </si>
  <si>
    <t>3700000000 - [PROFIT AFTER TAX FROM CONTINUING OPERATIONS]</t>
  </si>
  <si>
    <t>3610000000 - [Income tax]</t>
  </si>
  <si>
    <t>3617000000 - [Deferred taxes - adjustments]</t>
  </si>
  <si>
    <t>3616000000 - [Income tax - adjustments]</t>
  </si>
  <si>
    <t>3615000000 - [Deferred taxes - exceptional items]</t>
  </si>
  <si>
    <t>3614000000 - [Income tax - exceptional items]</t>
  </si>
  <si>
    <t>3613000000 - [Deferred taxes]</t>
  </si>
  <si>
    <t>3612000000 - [Income taxes - previous periods]</t>
  </si>
  <si>
    <t>3611000000 - [Income tax - actual period]</t>
  </si>
  <si>
    <t>3600000000 - [PROFIT BEFORE TAX]</t>
  </si>
  <si>
    <t>3520000000 - [Financial result]</t>
  </si>
  <si>
    <t>3525000000 - [Valuation interest derivat./underlying rec./liab.]</t>
  </si>
  <si>
    <t>3525200000 - [Valuation of underlying receivable/liability]</t>
  </si>
  <si>
    <t>3525100000 - [Valuation of interest derivatives]</t>
  </si>
  <si>
    <t>3524000000 - [Interest quota - pensions and other provisions]</t>
  </si>
  <si>
    <t>3524300000 - [Time value of share based LTIP provision]</t>
  </si>
  <si>
    <t>3524200000 - [Interest quota - long-term provisions]</t>
  </si>
  <si>
    <t>3524100000 - [Interest quota - pensions]</t>
  </si>
  <si>
    <t>3523000000 - [Currency difference - financing]</t>
  </si>
  <si>
    <t>3523700000 - [Time value of options]</t>
  </si>
  <si>
    <t>3523600000 - [Currency difference derivative - financing, unrealized]</t>
  </si>
  <si>
    <t>3523500000 - [Currency difference derivative - financing, realized]</t>
  </si>
  <si>
    <t>3523400000 - [Currency difference underlying - financing, unrealized]</t>
  </si>
  <si>
    <t>3523420000 - [Curr.diff.underly.unreal.inc.]</t>
  </si>
  <si>
    <t>3523300000 - [Currency difference underlying - financing, realized]</t>
  </si>
  <si>
    <t>3523200000 - [Currency difference - financing, unrealized]</t>
  </si>
  <si>
    <t>3523100000 - [Currency difference - financing, realized]</t>
  </si>
  <si>
    <t>3523320000 - [Curr.diff.underlying real inc]</t>
  </si>
  <si>
    <t>3523310000 - [Curr.diff.underlying real exp]</t>
  </si>
  <si>
    <t>3522000000 - [Results from financial investments]</t>
  </si>
  <si>
    <t>3522920000 - [Result from financial investments loans and receivables, realized]</t>
  </si>
  <si>
    <t>3522910000 - [Result from financial investments loans and receivables, unrealized]</t>
  </si>
  <si>
    <t>3522800000 - [Result from financial investments held to maturity, unrealized]</t>
  </si>
  <si>
    <t>3522700000 - [Result from financial investments held to maturity, realized]</t>
  </si>
  <si>
    <t>3522600000 - [Result from financial investments available for sale, unrealized]</t>
  </si>
  <si>
    <t>3522500000 - [Result from financial investments available for sale, realized]</t>
  </si>
  <si>
    <t>3522400000 - [Result from financial investments securities trading, unrealized]</t>
  </si>
  <si>
    <t>3522300000 - [Result from financial investments securities trading, realized]</t>
  </si>
  <si>
    <t>3522200000 - [Results from financial investments, unrealized]</t>
  </si>
  <si>
    <t>3522100000 - [Results from financial investments, realized]</t>
  </si>
  <si>
    <t>3521000000 - [Interest result]</t>
  </si>
  <si>
    <t>3521400000 - [Interest contribution FX hedging]</t>
  </si>
  <si>
    <t>3521300000 - [Interest derivatives]</t>
  </si>
  <si>
    <t>3521200000 - [Interest expenses]</t>
  </si>
  <si>
    <t>3521250000 - [Capitalized borrowing costs qualified assets]</t>
  </si>
  <si>
    <t>3521240000 - [Other interest expense 3rd parties]</t>
  </si>
  <si>
    <t>3521230000 - [Other interest expenses]</t>
  </si>
  <si>
    <t>3521220000 - [Expenses from financial and other liabilities IC]</t>
  </si>
  <si>
    <t>3521210000 - [Expenses from financial liabilities 3rd parties]</t>
  </si>
  <si>
    <t>3521100000 - [Interest income]</t>
  </si>
  <si>
    <t>3521140000 - [Other interest income 3rd parties]</t>
  </si>
  <si>
    <t>3521130000 - [Other interest income]</t>
  </si>
  <si>
    <t>3521120000 - [Income from financial and other receivables IC]</t>
  </si>
  <si>
    <t>3521110000 - [Income from financial receivables 3rd parties]</t>
  </si>
  <si>
    <t>3500000000 - [EBIT]</t>
  </si>
  <si>
    <t>3420000000 - [Exceptional items]</t>
  </si>
  <si>
    <t>3422000000 - [Exceptional income]</t>
  </si>
  <si>
    <t>3422200000 - [Exceptional income others]</t>
  </si>
  <si>
    <t>3422100000 - [Exceptional capital gains]</t>
  </si>
  <si>
    <t>3421000000 - [Exceptional expenses]</t>
  </si>
  <si>
    <t>3421200000 - [Exceptional expenses others]</t>
  </si>
  <si>
    <t>3421100000 - [Exceptional capital losses]</t>
  </si>
  <si>
    <t>3400000000 - [OPERATING RESULT]</t>
  </si>
  <si>
    <t>3320000000 - [Investment result]</t>
  </si>
  <si>
    <t>3323000000 - [Investment result at equity]</t>
  </si>
  <si>
    <t>3321000000 - [Dividends]</t>
  </si>
  <si>
    <t>3310000000 - [Amortization intangible assets (without software) (decomm)]</t>
  </si>
  <si>
    <t>3300000000 - [RESULT AFTER R&amp;D]</t>
  </si>
  <si>
    <t>3210000000 - [Research and development]</t>
  </si>
  <si>
    <t>3212000000 - [R&amp;D - global]</t>
  </si>
  <si>
    <t>3212799999 - [Consolidation R&amp;D global]</t>
  </si>
  <si>
    <t>32127999LA - [LA - elimination of IC R&amp;D global]</t>
  </si>
  <si>
    <t>32127998IC - [IC adjustment - R&amp;D global]</t>
  </si>
  <si>
    <t>3212500000 - [R&amp;D reimbursment global IC]</t>
  </si>
  <si>
    <t>3212200000 - [R&amp;D expenses global IC]</t>
  </si>
  <si>
    <t>3211000000 - [R&amp;D - Local]</t>
  </si>
  <si>
    <t>3211699999 - [Consolidation R&amp;D local]</t>
  </si>
  <si>
    <t>32116999LA - [LA - elimination of IC R&amp;D Local]</t>
  </si>
  <si>
    <t>32116998IC - [IC adjustment - R&amp;D local]</t>
  </si>
  <si>
    <t>3211500000 - [R&amp;D Reimbursment Local IC]</t>
  </si>
  <si>
    <t>3211200000 - [R&amp;D Expenses Local IC]</t>
  </si>
  <si>
    <t>3200000000 - [RESULT BEFORE R&amp;D]</t>
  </si>
  <si>
    <t>3100100000 - [Selling/general/administration]</t>
  </si>
  <si>
    <t>3120000000 - [General and Administration]</t>
  </si>
  <si>
    <t>3122000000 - [Other operating expenses/income]</t>
  </si>
  <si>
    <t>3122100000 - [Other operating expenses]</t>
  </si>
  <si>
    <t>3124999999 - [Consolidation Mark-up IC]</t>
  </si>
  <si>
    <t>31227999IC - [LA - elimination of  Mark-up IC]</t>
  </si>
  <si>
    <t>31226999LA - [IC-Adjustments Mark-up]</t>
  </si>
  <si>
    <t>3123999999 - [Consolidation special reimbursements]</t>
  </si>
  <si>
    <t>31226999IC - [LA - elimination of IC special reimbursements]</t>
  </si>
  <si>
    <t>31225999LA - [IC adjustment - special reimbursements]</t>
  </si>
  <si>
    <t>3122999999 - [Consolidation other operating items]</t>
  </si>
  <si>
    <t>33229999LA - [LA - dividends elimination]</t>
  </si>
  <si>
    <t>31224999LA - [LA - elimination of IC operating items]</t>
  </si>
  <si>
    <t>31223999IC - [IC adjustment - other operating expenses/income]</t>
  </si>
  <si>
    <t>3122115000 - [Internal allocation remaining other expense]</t>
  </si>
  <si>
    <t>3122113000 - [Transfer remaining other expenses]</t>
  </si>
  <si>
    <t>3122110000 - [Special integration costs Serono (only 2008)]</t>
  </si>
  <si>
    <t>3122101000 - [Capital losses]</t>
  </si>
  <si>
    <t>3112000000 - [Royalty, license and commission expenses]</t>
  </si>
  <si>
    <t>3110000000 - [Marketing and selling]</t>
  </si>
  <si>
    <t>3113000000 - [Royalty, license and commission expenses (M&amp;S)]</t>
  </si>
  <si>
    <t>3111000000 - [Commission and profit share expenses]</t>
  </si>
  <si>
    <t>3110900000 - [Royalty and license expenses]</t>
  </si>
  <si>
    <t>3100000000 - [GROSS MARGIN]</t>
  </si>
  <si>
    <t>3020000000 - [Production cost]</t>
  </si>
  <si>
    <t>3020501000 - [Inventory revaluations and capitalizations]</t>
  </si>
  <si>
    <t>3020400000 - [Inventory adjustments]</t>
  </si>
  <si>
    <t>3020402000 - [Valuation adjustments]</t>
  </si>
  <si>
    <t>3020100000 - [Cost of goods sold (COGs)]</t>
  </si>
  <si>
    <t>3020130000 - [IC Sales/COGS and IC profit elimination]</t>
  </si>
  <si>
    <t>3020132000 - [IC Profit elimination in inventory]</t>
  </si>
  <si>
    <t>3020131000 - [IC Sales/COGS elimination]</t>
  </si>
  <si>
    <t>3020120000 - [Local COGs 3rd parties]</t>
  </si>
  <si>
    <t>3020110000 - [Local COGs IC]</t>
  </si>
  <si>
    <t>Level 16</t>
  </si>
  <si>
    <t>31223999IC</t>
  </si>
  <si>
    <t>31224999LA</t>
  </si>
  <si>
    <t>33229999LA</t>
  </si>
  <si>
    <t>31225999LA</t>
  </si>
  <si>
    <t>31226999IC</t>
  </si>
  <si>
    <t>31226999LA</t>
  </si>
  <si>
    <t>31227999IC</t>
  </si>
  <si>
    <t>32116998IC</t>
  </si>
  <si>
    <t>32116999LA</t>
  </si>
  <si>
    <t>32127998IC</t>
  </si>
  <si>
    <t>32127999LA</t>
  </si>
  <si>
    <t>34139999LA</t>
  </si>
  <si>
    <t>5891410000_i</t>
  </si>
  <si>
    <t>31111199IC</t>
  </si>
  <si>
    <t>31111299LA</t>
  </si>
  <si>
    <t>5891500000_i</t>
  </si>
  <si>
    <t>5891510000_i</t>
  </si>
  <si>
    <t>5891520000_i</t>
  </si>
  <si>
    <t>5891700000_i</t>
  </si>
  <si>
    <t>FF and ISS</t>
  </si>
  <si>
    <t>Management View</t>
  </si>
  <si>
    <t>5820100000_i</t>
  </si>
  <si>
    <t>5820134000_i</t>
  </si>
  <si>
    <t>5890010000_i</t>
  </si>
  <si>
    <t>5891310000_i</t>
  </si>
  <si>
    <t>5891330000_i</t>
  </si>
  <si>
    <t>5814300000_i</t>
  </si>
  <si>
    <t>5891600000_i</t>
  </si>
  <si>
    <t>Mgt-Checksum: Mgt - EBIT Contribution w/o Adjustment postings</t>
  </si>
  <si>
    <t>Mgt-Checksum: Mgt - GROSS MARGIN w/o Adjustment postings</t>
  </si>
  <si>
    <t>Mgt-Checksum: Mgt - Production costs w/o Adjustment postings</t>
  </si>
  <si>
    <t>NET PROFIT AFTER NON-CONTROLLING INTEREST</t>
  </si>
  <si>
    <t>PROFIT AFTER TAX</t>
  </si>
  <si>
    <t>PROFIT AFTER TAX FROM CONTINUING OPERATIONS</t>
  </si>
  <si>
    <t>PROFIT BEFORE TAX</t>
  </si>
  <si>
    <t>EBIT</t>
  </si>
  <si>
    <t>OPERATING RESULT</t>
  </si>
  <si>
    <t>RESULT AFTER R&amp;D</t>
  </si>
  <si>
    <t>RESULT BEFORE R&amp;D</t>
  </si>
  <si>
    <t>GROSS MARGIN</t>
  </si>
  <si>
    <t>Net Sales</t>
  </si>
  <si>
    <t>Sales</t>
  </si>
  <si>
    <t>Net sales 3rd parties</t>
  </si>
  <si>
    <t>Net sales commercial 3rd parties</t>
  </si>
  <si>
    <t>Net sales non-commercial 3rd parties</t>
  </si>
  <si>
    <t>IFRS9/15 impact to N.S w/o HW/Dev</t>
  </si>
  <si>
    <t>Net sales 3rd parties from Sh.+Hd.ling</t>
  </si>
  <si>
    <t>Intercompany sales</t>
  </si>
  <si>
    <t>Royalty, license and commission income</t>
  </si>
  <si>
    <t>Commission and profit share income</t>
  </si>
  <si>
    <t>Commission income</t>
  </si>
  <si>
    <t>Profit share income</t>
  </si>
  <si>
    <t>Production cost</t>
  </si>
  <si>
    <t>Cost of goods sold (COGs)</t>
  </si>
  <si>
    <t>Local COGs IC</t>
  </si>
  <si>
    <t>Local COGs 3rd parties</t>
  </si>
  <si>
    <t>IC Sales/COGS and IC profit elimination</t>
  </si>
  <si>
    <t>IC Sales/COGS elimination</t>
  </si>
  <si>
    <t>IC Profit elimination in inventory</t>
  </si>
  <si>
    <t>COGs variances</t>
  </si>
  <si>
    <t>Material price variances</t>
  </si>
  <si>
    <t>Price variances 3rd party</t>
  </si>
  <si>
    <t>Price variances IC</t>
  </si>
  <si>
    <t>Cost center variances</t>
  </si>
  <si>
    <t>Production order variances</t>
  </si>
  <si>
    <t>Production order variances IC input material</t>
  </si>
  <si>
    <t>Other production order variances</t>
  </si>
  <si>
    <t>Adjustments Sales/COGs</t>
  </si>
  <si>
    <t>Adjustments sales</t>
  </si>
  <si>
    <t>Adjustments COGs</t>
  </si>
  <si>
    <t>Inventory adjustments</t>
  </si>
  <si>
    <t>Destroyed / disposed materials</t>
  </si>
  <si>
    <t>Destroyed / disposed material 3rd parties</t>
  </si>
  <si>
    <t>Destroyed / disposed material IC</t>
  </si>
  <si>
    <t>Valuation adjustments</t>
  </si>
  <si>
    <t>Valuation adjustments 3rd parties</t>
  </si>
  <si>
    <t>Valuation adjustments IC</t>
  </si>
  <si>
    <t>Valuation adjustments on amortized Intangibles</t>
  </si>
  <si>
    <t>Inventory revaluations and capitalizations</t>
  </si>
  <si>
    <t>Inventory revaluations</t>
  </si>
  <si>
    <t>Inventory revaluation 3rd parties</t>
  </si>
  <si>
    <t>Inventory revaluation IC</t>
  </si>
  <si>
    <t>Capitalized amortization intangibles (COGs)</t>
  </si>
  <si>
    <t>Capitalized variances</t>
  </si>
  <si>
    <t>Capitalized material price variances 3rd party</t>
  </si>
  <si>
    <t>Capitalized material price variances IC</t>
  </si>
  <si>
    <t>Capitalized cost center variances</t>
  </si>
  <si>
    <t>Capitalized production order variances 3rd party material</t>
  </si>
  <si>
    <t>Capitalized production order variances IC input material</t>
  </si>
  <si>
    <t>Start-up costs production</t>
  </si>
  <si>
    <t>Idle capacity cost</t>
  </si>
  <si>
    <t>Amortization intangibles (COGs)</t>
  </si>
  <si>
    <t>Royalty and license expenses (COGs)</t>
  </si>
  <si>
    <t>I have no idea what this is</t>
  </si>
  <si>
    <t>Global technical operations</t>
  </si>
  <si>
    <t>Other Production cost (MGF alloc.)</t>
  </si>
  <si>
    <t>Selling/general/administration</t>
  </si>
  <si>
    <t>Marketing and selling</t>
  </si>
  <si>
    <t>Field force</t>
  </si>
  <si>
    <t>Field force general</t>
  </si>
  <si>
    <t>Primary care</t>
  </si>
  <si>
    <t>Secondary care</t>
  </si>
  <si>
    <t>Retail</t>
  </si>
  <si>
    <t>Merchandising and sales support</t>
  </si>
  <si>
    <t>IC income field force</t>
  </si>
  <si>
    <t>Field force expenses</t>
  </si>
  <si>
    <t>Internal sales service (ISS)</t>
  </si>
  <si>
    <t>Marketing department</t>
  </si>
  <si>
    <t>Medical &amp; technical support</t>
  </si>
  <si>
    <t>Other ISS expenses</t>
  </si>
  <si>
    <t>IC income internal sales service</t>
  </si>
  <si>
    <t>Internal sales service expenses</t>
  </si>
  <si>
    <t>Sales promotion</t>
  </si>
  <si>
    <t>Promotion material</t>
  </si>
  <si>
    <t>Advertising</t>
  </si>
  <si>
    <t>Marketing samples</t>
  </si>
  <si>
    <t>Congresses and events</t>
  </si>
  <si>
    <t>Other promotion costs</t>
  </si>
  <si>
    <t>IC income sales promotion</t>
  </si>
  <si>
    <t>Logistics</t>
  </si>
  <si>
    <t>Warehousing and Distribution</t>
  </si>
  <si>
    <t>Global Demand Planning and Replenishment / OrdF(Chem centr)</t>
  </si>
  <si>
    <t>Freight (outbound)</t>
  </si>
  <si>
    <t>Freight to customer</t>
  </si>
  <si>
    <t>Freight to customer – expenses</t>
  </si>
  <si>
    <t>Freight to customer – reimbursement</t>
  </si>
  <si>
    <t>Freight to Merck subsidiaries</t>
  </si>
  <si>
    <t>Freight to Merck subsidiaries – expenses</t>
  </si>
  <si>
    <t>Freight to Merck subsidiaries – reimbursement</t>
  </si>
  <si>
    <t>IC income logistics</t>
  </si>
  <si>
    <t>Medical activities (non-R&amp;D)</t>
  </si>
  <si>
    <t>Medical education</t>
  </si>
  <si>
    <t>Medical donations</t>
  </si>
  <si>
    <t>Medical consultants</t>
  </si>
  <si>
    <t>Other medical non R&amp;D</t>
  </si>
  <si>
    <t>Other marketing &amp; selling</t>
  </si>
  <si>
    <t>Special expenses of selling</t>
  </si>
  <si>
    <t>IC income other marketing &amp; selling</t>
  </si>
  <si>
    <t>Amortization intangibles (M&amp;S)</t>
  </si>
  <si>
    <t>Royalty, license and commission expenses (M&amp;S)</t>
  </si>
  <si>
    <t>Royalty and license expenses</t>
  </si>
  <si>
    <t>Commission and profit share expenses</t>
  </si>
  <si>
    <t>Royalty and license expenses (M&amp;S)</t>
  </si>
  <si>
    <t>Commission expenses</t>
  </si>
  <si>
    <t>Royalty, license and commission expenses</t>
  </si>
  <si>
    <t>General and Administration</t>
  </si>
  <si>
    <t>Administration</t>
  </si>
  <si>
    <t>Finance</t>
  </si>
  <si>
    <t>Human resources</t>
  </si>
  <si>
    <t>Legal</t>
  </si>
  <si>
    <t>Communications</t>
  </si>
  <si>
    <t>Other administration costs</t>
  </si>
  <si>
    <t>Group Information Service</t>
  </si>
  <si>
    <t>Environm., Health, Safety, Security, Quality</t>
  </si>
  <si>
    <t>Group Procurement</t>
  </si>
  <si>
    <t>Other operating expenses/income</t>
  </si>
  <si>
    <t>Other operating expenses</t>
  </si>
  <si>
    <t>Capital losses</t>
  </si>
  <si>
    <t>Capital losses from disposal of intangible assets</t>
  </si>
  <si>
    <t>Capital losses from disposal of intangible assets (production related)</t>
  </si>
  <si>
    <t>Capital losses from disposal of intangible assets (marketing &amp; selling related)</t>
  </si>
  <si>
    <t>Capital losses from disposal of intangible assets (administration related)</t>
  </si>
  <si>
    <t>Capital losses from disposal of intangible assets (research &amp; development related)</t>
  </si>
  <si>
    <t>Capital losses from disposal of intangible assets (investing related)</t>
  </si>
  <si>
    <t>Capital losses from disposal of property,plant and equipment</t>
  </si>
  <si>
    <t>Capital losses from disposal of property,plant and equipment (production related)</t>
  </si>
  <si>
    <t>Capital losses from disposal of property,plant and equipment (marketing &amp; selling related)</t>
  </si>
  <si>
    <t>Capital losses from disposal of property,plant and equipment (administration related)</t>
  </si>
  <si>
    <t>Capital losses from disposal of property,plant and equipment (research &amp; development related)</t>
  </si>
  <si>
    <t>Capital losses from disposal of property,plant and equipment (investing related)</t>
  </si>
  <si>
    <t>Asset impairment</t>
  </si>
  <si>
    <t>Receivable allowances</t>
  </si>
  <si>
    <t>Special projects</t>
  </si>
  <si>
    <t>Premium/contribution/fees</t>
  </si>
  <si>
    <t>Non-allocable personnel expenses</t>
  </si>
  <si>
    <t>Non-allocable personnel expenses (production related)</t>
  </si>
  <si>
    <t>Non-allocable personnel expenses (marketing &amp; selling related)</t>
  </si>
  <si>
    <t>Non-allocable personnel expenses (administration related)</t>
  </si>
  <si>
    <t>Non-allocable personnel expenses (research &amp; development related)</t>
  </si>
  <si>
    <t>Non-allocable personnel expenses (investing related)</t>
  </si>
  <si>
    <t>Environmental expenses</t>
  </si>
  <si>
    <t>Restructuring expenses</t>
  </si>
  <si>
    <t>Litigation expenses</t>
  </si>
  <si>
    <t>Special integration costs Serono (only 2008)</t>
  </si>
  <si>
    <t>Special integration costs Millipore</t>
  </si>
  <si>
    <t>Special reimbursements - expenses</t>
  </si>
  <si>
    <t>Remaining other expenses 3rd parties</t>
  </si>
  <si>
    <t>Transfer remaining other expenses</t>
  </si>
  <si>
    <t>Remaining other expenses IC</t>
  </si>
  <si>
    <t>Mark-up Expense IC</t>
  </si>
  <si>
    <t>Internal allocation remaining other expense</t>
  </si>
  <si>
    <t>Expenses for services performed and ancillary business</t>
  </si>
  <si>
    <t>Non income related taxes</t>
  </si>
  <si>
    <t>Profit Share expenses</t>
  </si>
  <si>
    <t>Remaining other expenses IC - Sigma-Aldrich only</t>
  </si>
  <si>
    <t>Consolidation other operating items</t>
  </si>
  <si>
    <t>IC adjustment - other operating expenses/income</t>
  </si>
  <si>
    <t>LA - elimination of IC operating items</t>
  </si>
  <si>
    <t>LA - dividends elimination</t>
  </si>
  <si>
    <t>Consolidation special reimbursements</t>
  </si>
  <si>
    <t>IC adjustment - special reimbursements</t>
  </si>
  <si>
    <t>LA - elimination of IC special reimbursements</t>
  </si>
  <si>
    <t>Consolidation Mark-up IC</t>
  </si>
  <si>
    <t>IC-Adjustments Mark-up</t>
  </si>
  <si>
    <t>LA - elimination of  Mark-up IC</t>
  </si>
  <si>
    <t>Other operating income</t>
  </si>
  <si>
    <t>Royalty and license income</t>
  </si>
  <si>
    <t>Royalty and license income recognized at a point in time</t>
  </si>
  <si>
    <t>Capital gains</t>
  </si>
  <si>
    <t>Capital gains from disposal of intangible assets</t>
  </si>
  <si>
    <t>Capital gains from disposal of property, plant and equipment</t>
  </si>
  <si>
    <t>Capital gains from disposal of financial assets</t>
  </si>
  <si>
    <t>Capital gains from divestments</t>
  </si>
  <si>
    <t>Consolidation gain on disposal of subsidiary</t>
  </si>
  <si>
    <t>Impairment reversals</t>
  </si>
  <si>
    <t>Special reimbursements - income</t>
  </si>
  <si>
    <t>Remaining other income 3rd parties</t>
  </si>
  <si>
    <t>Remaining other income IC</t>
  </si>
  <si>
    <t>Mark-up Income IC</t>
  </si>
  <si>
    <t>Income from allowance reversals</t>
  </si>
  <si>
    <t>Last used in 2018, no longer active</t>
  </si>
  <si>
    <t>Income for services performed and ancillary business</t>
  </si>
  <si>
    <t>Remaining other income IC - Sigma-Aldrich only</t>
  </si>
  <si>
    <t>One time items</t>
  </si>
  <si>
    <t>One time expenses</t>
  </si>
  <si>
    <t>One time income</t>
  </si>
  <si>
    <t>Operative currency differences</t>
  </si>
  <si>
    <t>Currency differences operating activities</t>
  </si>
  <si>
    <t>Currency differences operating - transactions</t>
  </si>
  <si>
    <t>Currency diff operating - transactions, realized</t>
  </si>
  <si>
    <t>Currency diff operating - transactions, unrealized</t>
  </si>
  <si>
    <t>Currency diff transactions - operating, realized - expense</t>
  </si>
  <si>
    <t>Currency diff transactions - operating, unrealized - expense</t>
  </si>
  <si>
    <t>Currency diff transactions - operating, realized - income</t>
  </si>
  <si>
    <t>Currency diff transactions - operating, unrealized - income</t>
  </si>
  <si>
    <t>Currency differences operating - derivatives</t>
  </si>
  <si>
    <t>Currency diff operating - derivatives, realized</t>
  </si>
  <si>
    <t>Currency diff operating - derivatives, unrealized</t>
  </si>
  <si>
    <t>Currency differences cash flow hedges</t>
  </si>
  <si>
    <t>Currency differences cash flow hedges realized</t>
  </si>
  <si>
    <t>Currency differences cash flow hedges, unrealized</t>
  </si>
  <si>
    <t>Research and development</t>
  </si>
  <si>
    <t>R&amp;D - Local</t>
  </si>
  <si>
    <t>R&amp;D Expenses Local</t>
  </si>
  <si>
    <t>R&amp;D Expenses Local IC</t>
  </si>
  <si>
    <t>R&amp;D Expenses Local - Samples</t>
  </si>
  <si>
    <t>R&amp;D Reimbursment Local 3rd parties</t>
  </si>
  <si>
    <t>R&amp;D Reimbursment Local IC</t>
  </si>
  <si>
    <t>Royalty and license expenses (local R&amp;D)</t>
  </si>
  <si>
    <t>Consolidation R&amp;D local</t>
  </si>
  <si>
    <t>IC adjustment - R&amp;D local</t>
  </si>
  <si>
    <t>LA - elimination of IC R&amp;D Local</t>
  </si>
  <si>
    <t>R&amp;D - global</t>
  </si>
  <si>
    <t>R&amp;D expenses global</t>
  </si>
  <si>
    <t>R&amp;D expenses global IC</t>
  </si>
  <si>
    <t>R&amp;D expenses global - Samples</t>
  </si>
  <si>
    <t>R&amp;D reimbursements global 3rd parties</t>
  </si>
  <si>
    <t>R&amp;D reimbursment global IC</t>
  </si>
  <si>
    <t>Application technology global</t>
  </si>
  <si>
    <t>Royalty and license expenses (global R&amp;D)</t>
  </si>
  <si>
    <t>Consolidation R&amp;D global</t>
  </si>
  <si>
    <t>IC adjustment - R&amp;D global</t>
  </si>
  <si>
    <t>LA - elimination of IC R&amp;D global</t>
  </si>
  <si>
    <t>R&amp;D Accruals for Group-IPR-Holder</t>
  </si>
  <si>
    <t>R&amp;D expenses local from global</t>
  </si>
  <si>
    <t>Amortization intangibles (R&amp;D)</t>
  </si>
  <si>
    <t>Amortization intangible assets (without software) (decomm)</t>
  </si>
  <si>
    <t>Investment result</t>
  </si>
  <si>
    <t>Investment result at equity</t>
  </si>
  <si>
    <t>Non-operating TP compensations</t>
  </si>
  <si>
    <t>Non-operating TP compensations - income</t>
  </si>
  <si>
    <t>Non-operating TP compensations - expense</t>
  </si>
  <si>
    <t>LA - Non-operating TP compensations</t>
  </si>
  <si>
    <t>Exceptional items</t>
  </si>
  <si>
    <t>Exceptional expenses</t>
  </si>
  <si>
    <t>Exceptional capital losses</t>
  </si>
  <si>
    <t>Exceptional expenses others</t>
  </si>
  <si>
    <t>Exceptional income</t>
  </si>
  <si>
    <t>Exceptional capital gains</t>
  </si>
  <si>
    <t>Exceptional income others</t>
  </si>
  <si>
    <t>Financial result</t>
  </si>
  <si>
    <t>Interest result</t>
  </si>
  <si>
    <t>Interest income</t>
  </si>
  <si>
    <t>Income from financial receivables 3rd parties</t>
  </si>
  <si>
    <t>Income from financial and other receivables IC</t>
  </si>
  <si>
    <t>Other interest income</t>
  </si>
  <si>
    <t>Other interest income 3rd parties</t>
  </si>
  <si>
    <t>Interest expenses</t>
  </si>
  <si>
    <t>Expenses from financial liabilities 3rd parties</t>
  </si>
  <si>
    <t>Expenses from financial and other liabilities IC</t>
  </si>
  <si>
    <t>Other interest expenses</t>
  </si>
  <si>
    <t>Other interest expense 3rd parties</t>
  </si>
  <si>
    <t>Capitalized borrowing costs qualified assets</t>
  </si>
  <si>
    <t>Interest derivatives</t>
  </si>
  <si>
    <t>Interest contribution FX hedging</t>
  </si>
  <si>
    <t>Results from financial investments</t>
  </si>
  <si>
    <t>Results from financial investments, realized</t>
  </si>
  <si>
    <t>Results from financial investments, unrealized</t>
  </si>
  <si>
    <t>Result from financial investments securities trading, realized</t>
  </si>
  <si>
    <t>Result from financial investments securities trading, unrealized</t>
  </si>
  <si>
    <t>Result from financial investments available for sale, realized</t>
  </si>
  <si>
    <t>Result from financial investments available for sale, unrealized</t>
  </si>
  <si>
    <t>Result from financial investments held to maturity, realized</t>
  </si>
  <si>
    <t>Result from financial investments held to maturity, unrealized</t>
  </si>
  <si>
    <t>Result from financial investments loans and receivables, unrealized</t>
  </si>
  <si>
    <t>Result from financial investments loans and receivables, realized</t>
  </si>
  <si>
    <t>Currency difference - financing</t>
  </si>
  <si>
    <t>Currency difference - financing, realized</t>
  </si>
  <si>
    <t>Curr.diff.underlying real exp</t>
  </si>
  <si>
    <t>Curr.diff.underlying real inc</t>
  </si>
  <si>
    <t>Currency difference - financing, unrealized</t>
  </si>
  <si>
    <t>Currency difference underlying - financing, realized</t>
  </si>
  <si>
    <t>Currency difference underlying - financing, unrealized</t>
  </si>
  <si>
    <t>Currency difference underlying - financing, unrealized - expense</t>
  </si>
  <si>
    <t>Curr.diff.underly.unreal.inc.</t>
  </si>
  <si>
    <t>Currency difference derivative - financing, realized</t>
  </si>
  <si>
    <t>Currency difference derivative - financing, unrealized</t>
  </si>
  <si>
    <t>Time value of options</t>
  </si>
  <si>
    <t>Interest quota - pensions and other provisions</t>
  </si>
  <si>
    <t>Interest quota - pensions</t>
  </si>
  <si>
    <t>Interest quota - long-term provisions</t>
  </si>
  <si>
    <t>Time value of share based LTIP provision</t>
  </si>
  <si>
    <t>Valuation interest derivat./underlying rec./liab.</t>
  </si>
  <si>
    <t>Valuation of interest derivatives</t>
  </si>
  <si>
    <t>Valuation of underlying receivable/liability</t>
  </si>
  <si>
    <t>Income tax</t>
  </si>
  <si>
    <t>Income tax - actual period</t>
  </si>
  <si>
    <t>Income taxes - previous periods</t>
  </si>
  <si>
    <t>Deferred taxes</t>
  </si>
  <si>
    <t>Income tax - exceptional items</t>
  </si>
  <si>
    <t>Deferred taxes - exceptional items</t>
  </si>
  <si>
    <t>Income tax - adjustments</t>
  </si>
  <si>
    <t>Deferred taxes - adjustments</t>
  </si>
  <si>
    <t>Profit after tax discontinued operations</t>
  </si>
  <si>
    <t>Profit after tax disc. op. - operating activities</t>
  </si>
  <si>
    <t>Profit after tax disc. op. - gain on disposal</t>
  </si>
  <si>
    <t>Non-controlling interest</t>
  </si>
  <si>
    <t>Net sales from sales of goods</t>
  </si>
  <si>
    <t>Investment Income (Merck KGaAor pta only)</t>
  </si>
  <si>
    <t>Mgt - OPEX</t>
  </si>
  <si>
    <t>Mgt - Other operating expenses</t>
  </si>
  <si>
    <t>Capital losses from divestments</t>
  </si>
  <si>
    <t>Mgt - Marketing and selling expenses</t>
  </si>
  <si>
    <t>Mgt - Marketing and selling expenses (direct Input)</t>
  </si>
  <si>
    <t>Mgt - Royalty, license and commission expenses</t>
  </si>
  <si>
    <t>Consolidation Royalty / License / Commission / Profit share</t>
  </si>
  <si>
    <t>IC Commission income reclassification</t>
  </si>
  <si>
    <t>IC Adjustment-Royalty / License / Commission / Profit share</t>
  </si>
  <si>
    <t>LA-Elimination of IC Royalty/License/Commission/Profit share</t>
  </si>
  <si>
    <t>Mgt - Research and development</t>
  </si>
  <si>
    <t>Mgt - Research and development (direct Input)</t>
  </si>
  <si>
    <t>Mgt - R&amp;D - local</t>
  </si>
  <si>
    <t>Mgt - R&amp;D - local (direct Input)</t>
  </si>
  <si>
    <t>Mgt - R&amp;D - global</t>
  </si>
  <si>
    <t>Mgt - R&amp;D - global (direct Input)</t>
  </si>
  <si>
    <t>Mgt - OPEX (direct Input)</t>
  </si>
  <si>
    <t>M&amp;S w/o logistics + Local R&amp;D</t>
  </si>
  <si>
    <t>Mgt - EBIT Contribution</t>
  </si>
  <si>
    <t>Mgt - RESULT AFTER R&amp;D</t>
  </si>
  <si>
    <t>Mgt - RESULT BEFORE R&amp;D</t>
  </si>
  <si>
    <t>Mgt - GROSS PROFIT</t>
  </si>
  <si>
    <t>Mgt - Production costs</t>
  </si>
  <si>
    <t>World cost of goods sold</t>
  </si>
  <si>
    <t>World cost of goods sold (direct Input)</t>
  </si>
  <si>
    <t>World COGs 3rd parties commercial</t>
  </si>
  <si>
    <t>Material costs 3rd parties commercial</t>
  </si>
  <si>
    <t>3rd parties material commercial</t>
  </si>
  <si>
    <t>Landed costs commercial</t>
  </si>
  <si>
    <t>Manufacturing costs 3rd parties commercial</t>
  </si>
  <si>
    <t>Other world COGs 3rd parties commercial</t>
  </si>
  <si>
    <t>World COGs 3rd parties non-commercial</t>
  </si>
  <si>
    <t>Material costs 3rd parties non-commercial</t>
  </si>
  <si>
    <t>3rd parties material non-commercial</t>
  </si>
  <si>
    <t>Landed costs non-commercial</t>
  </si>
  <si>
    <t>Manufacturing costs 3rd parties non-commercial</t>
  </si>
  <si>
    <t>Other world COGs 3rd parties non commercial</t>
  </si>
  <si>
    <t>OP SBU Adjustments World COGs (LS)</t>
  </si>
  <si>
    <t>Adjustment postings Mgt reporting</t>
  </si>
  <si>
    <t>Adjustments World COGS</t>
  </si>
  <si>
    <t>Adjustments Mgt view according to World COGS changes</t>
  </si>
  <si>
    <t>Adjustment postings Mgt reporting (direct Input)</t>
  </si>
  <si>
    <t>Mgt adjustments IC profit elimination</t>
  </si>
  <si>
    <t>Mgt - Production costs (direct Input)</t>
  </si>
  <si>
    <t>Mgt - Inventory adjustments</t>
  </si>
  <si>
    <t>Mgt - Inventory adjustments (direct Input)</t>
  </si>
  <si>
    <t>Mgt - Valuation adjustments</t>
  </si>
  <si>
    <t>Mgt - Inventory revaluations and capitalizations</t>
  </si>
  <si>
    <t>Mgt - Inventory revaluations and capitalizations (direct Input)</t>
  </si>
  <si>
    <t>Mgt - Selling/general/administration</t>
  </si>
  <si>
    <t>Mgt - Other operating expenses and income</t>
  </si>
  <si>
    <t>Mgt - Other operating expenses and income (direct Input)</t>
  </si>
  <si>
    <t>Mgt - Amortization intangibles &amp; other assets</t>
  </si>
  <si>
    <t>Amort. of capital. costs to fulfill a long-term contr (COGS)</t>
  </si>
  <si>
    <t>Amort. of capital. costs to obtain a long-term contr (M&amp;S)</t>
  </si>
  <si>
    <t>Mgt - Amortization intangibles (direct Input)</t>
  </si>
  <si>
    <t>3020531300 - [Pierre - No Name maintained]</t>
  </si>
  <si>
    <t>3020990000 - [Pierre - No Name maintained]</t>
  </si>
  <si>
    <t>3012110000 - [Pierre - No Name maintained]</t>
  </si>
  <si>
    <t>3122206100 - [Pierre - No Name maintained]</t>
  </si>
  <si>
    <t>3123114000 - [Pierre - No Name maintained]</t>
  </si>
  <si>
    <t>3123115000 - [Pierre - No Name maintained]</t>
  </si>
  <si>
    <t>3123117000 - [Pierre - No Name maintained]</t>
  </si>
  <si>
    <t>3123118000 - [Pierre - No Name maintained]</t>
  </si>
  <si>
    <t>3523410000 - [Pierre - No Name maintained]</t>
  </si>
  <si>
    <t>3111100000 - [Custom RPP]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</si>
</sst>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1"/>
      <name val="Calibri"/>
      <family val="2"/>
      <scheme val="minor"/>
    </font>
    <font>
      <b/>
      <sz val="11"/>
      <name val="Calibri"/>
      <family val="2"/>
      <scheme val="minor"/>
    </font>
    <font>
      <b/>
      <sz val="12"/>
      <color theme="0"/>
      <name val="Calibri"/>
      <family val="2"/>
      <scheme val="minor"/>
    </font>
    <font>
      <sz val="8"/>
      <name val="Calibri"/>
      <family val="2"/>
      <scheme val="minor"/>
    </font>
    <font>
      <sz val="8"/>
      <color rgb="FF000000"/>
      <name val="Segoe UI"/>
      <family val="2"/>
    </font>
    <font>
      <b/>
      <sz val="11"/>
      <name val="Calibri"/>
      <family val="2"/>
    </font>
  </fonts>
  <fills count="8">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rgb="FF7030A0"/>
        <bgColor indexed="64"/>
      </patternFill>
    </fill>
    <fill>
      <patternFill patternType="solid">
        <fgColor theme="9"/>
        <bgColor theme="9"/>
      </patternFill>
    </fill>
  </fills>
  <borders count="15">
    <border>
      <left/>
      <right/>
      <top/>
      <bottom/>
      <diagonal/>
    </border>
    <border>
      <left/>
      <right/>
      <top style="thin">
        <color theme="9"/>
      </top>
      <bottom/>
      <diagonal/>
    </border>
    <border>
      <left style="medium">
        <color indexed="64"/>
      </left>
      <right style="medium">
        <color indexed="64"/>
      </right>
      <top style="medium">
        <color indexed="64"/>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theme="9"/>
      </left>
      <right/>
      <top style="thin">
        <color theme="9"/>
      </top>
      <bottom/>
      <diagonal/>
    </border>
  </borders>
  <cellStyleXfs count="2">
    <xf numFmtId="0" fontId="0" fillId="0" borderId="0"/>
    <xf numFmtId="0" fontId="2" fillId="0" borderId="0"/>
  </cellStyleXfs>
  <cellXfs count="33">
    <xf numFmtId="0" fontId="0" fillId="0" borderId="0" xfId="0"/>
    <xf numFmtId="0" fontId="0" fillId="0" borderId="0" xfId="0" applyAlignment="1">
      <alignment wrapText="1"/>
    </xf>
    <xf numFmtId="2" fontId="5" fillId="2" borderId="2" xfId="1" applyNumberFormat="1" applyFont="1" applyFill="1" applyBorder="1" applyAlignment="1">
      <alignment horizontal="center" vertical="center" wrapText="1"/>
    </xf>
    <xf numFmtId="2" fontId="5" fillId="2" borderId="3" xfId="1" applyNumberFormat="1" applyFont="1" applyFill="1" applyBorder="1" applyAlignment="1">
      <alignment horizontal="center" vertical="center" wrapText="1"/>
    </xf>
    <xf numFmtId="2" fontId="6" fillId="3" borderId="4" xfId="1" applyNumberFormat="1" applyFont="1" applyFill="1" applyBorder="1" applyAlignment="1">
      <alignment horizontal="center" vertical="center" wrapText="1"/>
    </xf>
    <xf numFmtId="2" fontId="6" fillId="4" borderId="5" xfId="1" applyNumberFormat="1" applyFont="1" applyFill="1" applyBorder="1" applyAlignment="1">
      <alignment horizontal="center" vertical="center" wrapText="1"/>
    </xf>
    <xf numFmtId="2" fontId="3" fillId="2" borderId="9" xfId="1" applyNumberFormat="1" applyFont="1" applyFill="1" applyBorder="1" applyAlignment="1">
      <alignment horizontal="center" wrapText="1"/>
    </xf>
    <xf numFmtId="2" fontId="3" fillId="2" borderId="3" xfId="1" applyNumberFormat="1" applyFont="1" applyFill="1" applyBorder="1" applyAlignment="1">
      <alignment horizontal="center"/>
    </xf>
    <xf numFmtId="2" fontId="1" fillId="3" borderId="10" xfId="1" applyNumberFormat="1" applyFont="1" applyFill="1" applyBorder="1" applyAlignment="1">
      <alignment horizontal="center" wrapText="1"/>
    </xf>
    <xf numFmtId="2" fontId="1" fillId="4" borderId="11" xfId="1" applyNumberFormat="1" applyFont="1" applyFill="1" applyBorder="1" applyAlignment="1">
      <alignment horizontal="center" wrapText="1"/>
    </xf>
    <xf numFmtId="2" fontId="1" fillId="5" borderId="12" xfId="1" applyNumberFormat="1" applyFont="1" applyFill="1" applyBorder="1" applyAlignment="1">
      <alignment horizontal="center"/>
    </xf>
    <xf numFmtId="2" fontId="1" fillId="5" borderId="13" xfId="1" applyNumberFormat="1" applyFont="1" applyFill="1" applyBorder="1" applyAlignment="1">
      <alignment horizontal="center"/>
    </xf>
    <xf numFmtId="2" fontId="3" fillId="6" borderId="8" xfId="1" applyNumberFormat="1" applyFont="1" applyFill="1" applyBorder="1"/>
    <xf numFmtId="0" fontId="1" fillId="0" borderId="1" xfId="0" applyFont="1" applyBorder="1"/>
    <xf numFmtId="0" fontId="4" fillId="0" borderId="0" xfId="0" applyFont="1" applyAlignment="1" applyProtection="1">
      <alignment wrapText="1"/>
      <protection locked="0"/>
    </xf>
    <xf numFmtId="0" fontId="3" fillId="7" borderId="0" xfId="0" applyFont="1" applyFill="1" applyAlignment="1">
      <alignment wrapText="1"/>
    </xf>
    <xf numFmtId="0" fontId="1" fillId="0" borderId="1" xfId="0" applyNumberFormat="1" applyFont="1" applyBorder="1"/>
    <xf numFmtId="0" fontId="0" fillId="0" borderId="1" xfId="0" applyBorder="1"/>
    <xf numFmtId="0" fontId="0" fillId="0" borderId="1" xfId="0" applyFont="1" applyBorder="1"/>
    <xf numFmtId="0" fontId="0" fillId="0" borderId="0" xfId="0" applyNumberFormat="1" applyFont="1" applyBorder="1"/>
    <xf numFmtId="0" fontId="1" fillId="0" borderId="14" xfId="0" applyFont="1" applyBorder="1"/>
    <xf numFmtId="0" fontId="0" fillId="0" borderId="0" xfId="0" applyNumberFormat="1" applyFont="1"/>
    <xf numFmtId="0" fontId="12" fillId="0" borderId="1" xfId="0" applyFont="1" applyBorder="1" applyAlignment="1">
      <alignment horizontal="left" vertical="top"/>
    </xf>
    <xf numFmtId="0" fontId="3" fillId="7" borderId="0" xfId="0" applyFont="1" applyFill="1" applyAlignment="1">
      <alignment horizontal="center" wrapText="1"/>
    </xf>
    <xf numFmtId="0" fontId="12" fillId="0" borderId="0" xfId="0" applyFont="1" applyBorder="1" applyAlignment="1">
      <alignment horizontal="center" vertical="top"/>
    </xf>
    <xf numFmtId="0" fontId="12" fillId="0" borderId="0" xfId="0" applyFont="1" applyBorder="1" applyAlignment="1">
      <alignment horizontal="left" vertical="top"/>
    </xf>
    <xf numFmtId="0" fontId="0" fillId="0" borderId="0" xfId="0" applyFont="1"/>
    <xf numFmtId="0" fontId="1" fillId="0" borderId="0" xfId="0" applyNumberFormat="1" applyFont="1" applyBorder="1"/>
    <xf numFmtId="0" fontId="12" fillId="0" borderId="1" xfId="0" applyFont="1" applyBorder="1" applyAlignment="1">
      <alignment horizontal="center" vertical="top"/>
    </xf>
    <xf numFmtId="2" fontId="6" fillId="5" borderId="6" xfId="1" applyNumberFormat="1" applyFont="1" applyFill="1" applyBorder="1" applyAlignment="1">
      <alignment horizontal="center" vertical="center" wrapText="1"/>
    </xf>
    <xf numFmtId="2" fontId="6" fillId="5" borderId="7" xfId="1" applyNumberFormat="1" applyFont="1" applyFill="1" applyBorder="1" applyAlignment="1">
      <alignment horizontal="center" vertical="center" wrapText="1"/>
    </xf>
    <xf numFmtId="2" fontId="9" fillId="6" borderId="8" xfId="1" applyNumberFormat="1" applyFont="1" applyFill="1" applyBorder="1" applyAlignment="1">
      <alignment horizontal="center"/>
    </xf>
    <xf numFmtId="0" fontId="0" fillId="0" borderId="0" xfId="0" applyAlignment="1">
      <alignment horizontal="center"/>
    </xf>
  </cellXfs>
  <cellStyles count="2">
    <cellStyle name="Normal" xfId="0" builtinId="0"/>
    <cellStyle name="Normal 4 15" xfId="1" xr:uid="{AFCCE299-5D10-430E-B91F-0A80C02F290F}"/>
  </cellStyles>
  <dxfs count="18">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none"/>
      </font>
      <alignment horizontal="left" vertical="top" textRotation="0" wrapText="0" indent="0" justifyLastLine="0" shrinkToFit="0" readingOrder="0"/>
      <border diagonalUp="0" diagonalDown="0">
        <left/>
        <right/>
        <top style="thin">
          <color theme="9"/>
        </top>
        <bottom/>
        <vertical/>
        <horizontal/>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right/>
        <top style="thin">
          <color theme="9"/>
        </top>
        <bottom/>
        <vertical/>
        <horizontal/>
      </border>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general" vertical="bottom" textRotation="0" wrapText="1" indent="0" justifyLastLine="0" shrinkToFit="0" readingOrder="0"/>
    </dxf>
  </dxfs>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324971</xdr:colOff>
      <xdr:row>3</xdr:row>
      <xdr:rowOff>47492</xdr:rowOff>
    </xdr:from>
    <xdr:to>
      <xdr:col>4</xdr:col>
      <xdr:colOff>1238464</xdr:colOff>
      <xdr:row>3</xdr:row>
      <xdr:rowOff>1013467</xdr:rowOff>
    </xdr:to>
    <xdr:pic macro="[0]!opensesame">
      <xdr:nvPicPr>
        <xdr:cNvPr id="3" name="Graphic 2" descr="Magnifying glass">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08530" y="630198"/>
          <a:ext cx="913493" cy="9659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1181100</xdr:colOff>
          <xdr:row>3</xdr:row>
          <xdr:rowOff>228600</xdr:rowOff>
        </xdr:from>
        <xdr:to>
          <xdr:col>4</xdr:col>
          <xdr:colOff>4238625</xdr:colOff>
          <xdr:row>3</xdr:row>
          <xdr:rowOff>647700</xdr:rowOff>
        </xdr:to>
        <xdr:sp macro="" textlink="">
          <xdr:nvSpPr>
            <xdr:cNvPr id="1026" name="Label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PH" sz="800" b="0" i="0" u="none" strike="noStrike" baseline="0">
                  <a:solidFill>
                    <a:srgbClr val="000000"/>
                  </a:solidFill>
                  <a:latin typeface="Segoe UI"/>
                  <a:cs typeface="Segoe UI"/>
                </a:rPr>
                <a:t>sdClick on the magnifiying glass to use embedded hierarchy assistant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7</xdr:col>
      <xdr:colOff>400051</xdr:colOff>
      <xdr:row>11</xdr:row>
      <xdr:rowOff>152187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 y="368300"/>
          <a:ext cx="4667250" cy="1809537"/>
        </a:xfrm>
        <a:prstGeom prst="rect">
          <a:avLst/>
        </a:prstGeom>
      </xdr:spPr>
    </xdr:pic>
    <xdr:clientData/>
  </xdr:twoCellAnchor>
  <xdr:twoCellAnchor editAs="oneCell">
    <xdr:from>
      <xdr:col>0</xdr:col>
      <xdr:colOff>0</xdr:colOff>
      <xdr:row>14</xdr:row>
      <xdr:rowOff>89816</xdr:rowOff>
    </xdr:from>
    <xdr:to>
      <xdr:col>8</xdr:col>
      <xdr:colOff>190500</xdr:colOff>
      <xdr:row>21</xdr:row>
      <xdr:rowOff>117119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2667916"/>
          <a:ext cx="5067300" cy="1316353"/>
        </a:xfrm>
        <a:prstGeom prst="rect">
          <a:avLst/>
        </a:prstGeom>
      </xdr:spPr>
    </xdr:pic>
    <xdr:clientData/>
  </xdr:twoCellAnchor>
  <xdr:twoCellAnchor editAs="oneCell">
    <xdr:from>
      <xdr:col>0</xdr:col>
      <xdr:colOff>0</xdr:colOff>
      <xdr:row>23</xdr:row>
      <xdr:rowOff>57150</xdr:rowOff>
    </xdr:from>
    <xdr:to>
      <xdr:col>11</xdr:col>
      <xdr:colOff>397178</xdr:colOff>
      <xdr:row>34</xdr:row>
      <xdr:rowOff>28190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0" y="4292600"/>
          <a:ext cx="7102778" cy="1996690"/>
        </a:xfrm>
        <a:prstGeom prst="rect">
          <a:avLst/>
        </a:prstGeom>
      </xdr:spPr>
    </xdr:pic>
    <xdr:clientData/>
  </xdr:twoCellAnchor>
  <xdr:twoCellAnchor editAs="oneCell">
    <xdr:from>
      <xdr:col>0</xdr:col>
      <xdr:colOff>0</xdr:colOff>
      <xdr:row>42</xdr:row>
      <xdr:rowOff>32482</xdr:rowOff>
    </xdr:from>
    <xdr:to>
      <xdr:col>14</xdr:col>
      <xdr:colOff>528614</xdr:colOff>
      <xdr:row>50</xdr:row>
      <xdr:rowOff>126721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0" y="7766782"/>
          <a:ext cx="9063014" cy="1567439"/>
        </a:xfrm>
        <a:prstGeom prst="rect">
          <a:avLst/>
        </a:prstGeom>
      </xdr:spPr>
    </xdr:pic>
    <xdr:clientData/>
  </xdr:twoCellAnchor>
  <xdr:twoCellAnchor editAs="oneCell">
    <xdr:from>
      <xdr:col>0</xdr:col>
      <xdr:colOff>0</xdr:colOff>
      <xdr:row>54</xdr:row>
      <xdr:rowOff>1</xdr:rowOff>
    </xdr:from>
    <xdr:to>
      <xdr:col>10</xdr:col>
      <xdr:colOff>603250</xdr:colOff>
      <xdr:row>66</xdr:row>
      <xdr:rowOff>116849</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0" y="9944101"/>
          <a:ext cx="6699250" cy="232664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F807B-3B40-43BE-A5E5-4902D6AAAF9E}" name="Table1" displayName="Table1" ref="A5:V319" totalsRowShown="0" headerRowDxfId="17" dataDxfId="16" tableBorderDxfId="15">
  <autoFilter ref="A5:V319" xr:uid="{AEAF807B-3B40-43BE-A5E5-4902D6AAAF9E}">
    <filterColumn colId="3">
      <customFilters>
        <customFilter val="Root*"/>
        <customFilter val=""/>
      </customFilters>
    </filterColumn>
    <filterColumn colId="4">
      <customFilters>
        <customFilter val="3900000000 - [NET PROFIT AFTER NON-CONTROLLING INTEREST]*"/>
        <customFilter val=""/>
      </customFilters>
    </filterColumn>
    <filterColumn colId="5">
      <customFilters>
        <customFilter val="3800000000 - [PROFIT AFTER TAX]*"/>
        <customFilter val=""/>
      </customFilters>
    </filterColumn>
    <filterColumn colId="6">
      <customFilters>
        <customFilter val="3700000000 - [PROFIT AFTER TAX FROM CONTINUING OPERATIONS]*"/>
        <customFilter val=""/>
      </customFilters>
    </filterColumn>
    <filterColumn colId="7">
      <customFilters>
        <customFilter val="3600000000 - [PROFIT BEFORE TAX]*"/>
        <customFilter val=""/>
      </customFilters>
    </filterColumn>
    <filterColumn colId="8">
      <customFilters>
        <customFilter val="3500000000 - [EBIT]*"/>
        <customFilter val=""/>
      </customFilters>
    </filterColumn>
    <filterColumn colId="9">
      <customFilters>
        <customFilter val="3400000000 - [OPERATING RESULT]*"/>
        <customFilter val=""/>
      </customFilters>
    </filterColumn>
    <filterColumn colId="10">
      <customFilters>
        <customFilter val="3300000000 - [RESULT AFTER R&amp;D]*"/>
        <customFilter val=""/>
      </customFilters>
    </filterColumn>
    <filterColumn colId="11">
      <customFilters>
        <customFilter val="3200000000 - [RESULT BEFORE R&amp;D]*"/>
        <customFilter val=""/>
      </customFilters>
    </filterColumn>
    <filterColumn colId="12">
      <customFilters>
        <customFilter val="3100100000 - [Selling/general/administration]*"/>
        <customFilter val=""/>
      </customFilters>
    </filterColumn>
    <filterColumn colId="13">
      <customFilters>
        <customFilter val="3110000000 - [Marketing and selling]*"/>
        <customFilter val=""/>
      </customFilters>
    </filterColumn>
    <filterColumn colId="14">
      <customFilters>
        <customFilter val="3110100000 - [Field force]*"/>
        <customFilter val=""/>
      </customFilters>
    </filterColumn>
  </autoFilter>
  <sortState xmlns:xlrd2="http://schemas.microsoft.com/office/spreadsheetml/2017/richdata2" ref="A6:V6">
    <sortCondition ref="V5:V6"/>
  </sortState>
  <tableColumns count="22">
    <tableColumn id="1" xr3:uid="{C03F8907-8ED0-4CF2-8787-230B783682C0}" name="Node" dataDxfId="14"/>
    <tableColumn id="2" xr3:uid="{5E04FBC2-E44F-4900-B193-88831398EE4B}" name="Object Name" dataDxfId="13"/>
    <tableColumn id="3" xr3:uid="{BD4999E9-1BDC-4283-81D0-38092652FCA8}" name="Immediate Parent Node" dataDxfId="12">
      <calculatedColumnFormula>VLOOKUP(Table1[[#This Row],[Node]],Parent!A:B,2,0)</calculatedColumnFormula>
    </tableColumn>
    <tableColumn id="4" xr3:uid="{DDA2AEF6-5A61-4C6D-96C7-BF178FE96C37}" name="Level_0" dataDxfId="11"/>
    <tableColumn id="5" xr3:uid="{A29FB56F-5577-40E5-84E8-5F46B30D0D93}" name="Level_1" dataDxfId="10"/>
    <tableColumn id="6" xr3:uid="{89784B53-8D5C-4E79-A61F-9BF9532D67DB}" name="Level_2" dataDxfId="9"/>
    <tableColumn id="7" xr3:uid="{B7E581DE-F1F9-44DF-8882-6610906C2AF7}" name="Level_3" dataDxfId="8"/>
    <tableColumn id="8" xr3:uid="{C22523E3-0776-468B-AED8-C8E780B3C421}" name="Level_4" dataDxfId="7"/>
    <tableColumn id="9" xr3:uid="{D0DB34AD-B7AE-4E78-822B-0B0E3B75CB79}" name="Level_5" dataDxfId="6"/>
    <tableColumn id="10" xr3:uid="{F51449BF-03B8-4BFD-BCB7-15F599EA99D0}" name="Level_6" dataDxfId="5"/>
    <tableColumn id="11" xr3:uid="{F06CFF7A-8B90-420C-B0C1-60CAFD44EF67}" name="Level_7" dataDxfId="4"/>
    <tableColumn id="12" xr3:uid="{92AFC61A-1DD9-44BE-ADAC-C39D2664D6D8}" name="Level_8" dataDxfId="3"/>
    <tableColumn id="17" xr3:uid="{8D0B5B2A-485A-48E3-8FE1-67BA06DEBE9A}" name="Level_9"/>
    <tableColumn id="13" xr3:uid="{0A931303-2659-4BDE-8889-3CFEE64C18BC}" name="Level_10" dataDxfId="2"/>
    <tableColumn id="19" xr3:uid="{25CD8D42-75E5-4CD5-95C7-FB4BF55C0E0C}" name="Level_11"/>
    <tableColumn id="18" xr3:uid="{4A88F738-309C-44F0-BC1A-B2CBBA466514}" name="Level 12"/>
    <tableColumn id="14" xr3:uid="{F9DA0CA5-21F7-4385-B4A0-1E797D6018C0}" name="Level 13"/>
    <tableColumn id="15" xr3:uid="{70AADA98-DD28-487F-9BB9-4F26567EC20C}" name="Level 14"/>
    <tableColumn id="20" xr3:uid="{F5B16193-5278-48D9-9B1B-64EC3C7721EC}" name="Level 15"/>
    <tableColumn id="22" xr3:uid="{8B2628E3-F7DA-4CD6-A95C-7475299EC52E}" name="Level 16"/>
    <tableColumn id="16" xr3:uid="{D5FE4529-56AB-4275-83F5-0D3934835F98}" name="Node " dataDxfId="1">
      <calculatedColumnFormula>LOOKUP(1,1/(Table1[[#This Row],[Level_0]:[Level 15]]&gt;0),(Table1[[#This Row],[Level_0]:[Level 15]]))</calculatedColumnFormula>
    </tableColumn>
    <tableColumn id="21" xr3:uid="{FB0E345A-2A64-4A7D-B78E-6D8395E41886}" name="index" dataDxfId="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E039F-ED38-460C-AACF-0FC66DAB0C2B}">
  <sheetPr codeName="Sheet1"/>
  <dimension ref="A1:AG319"/>
  <sheetViews>
    <sheetView showGridLines="0" tabSelected="1" topLeftCell="E5" zoomScale="70" zoomScaleNormal="70" workbookViewId="0">
      <selection activeCell="H324" sqref="H324"/>
    </sheetView>
  </sheetViews>
  <sheetFormatPr defaultRowHeight="15" outlineLevelCol="2" x14ac:dyDescent="0.25"/>
  <cols>
    <col min="1" max="1" width="20.28515625" hidden="1" customWidth="1" outlineLevel="2"/>
    <col min="2" max="2" width="81" hidden="1" customWidth="1" outlineLevel="2"/>
    <col min="3" max="3" width="21.7109375" hidden="1" customWidth="1" outlineLevel="2"/>
    <col min="4" max="4" width="38.7109375" hidden="1" customWidth="1" outlineLevel="2"/>
    <col min="5" max="5" width="80.28515625" bestFit="1" customWidth="1" outlineLevel="1" collapsed="1"/>
    <col min="6" max="6" width="44" customWidth="1"/>
    <col min="7" max="7" width="52.85546875" customWidth="1"/>
    <col min="8" max="8" width="58.28515625" bestFit="1" customWidth="1"/>
    <col min="9" max="9" width="66" bestFit="1" customWidth="1"/>
    <col min="10" max="10" width="68.85546875" customWidth="1" outlineLevel="1"/>
    <col min="11" max="11" width="64.5703125" customWidth="1" outlineLevel="1"/>
    <col min="12" max="12" width="63.140625" customWidth="1" outlineLevel="1"/>
    <col min="13" max="13" width="60.5703125" customWidth="1" outlineLevel="1"/>
    <col min="14" max="14" width="61.5703125" customWidth="1" outlineLevel="1"/>
    <col min="15" max="15" width="52.85546875" customWidth="1" outlineLevel="1"/>
    <col min="16" max="16" width="65.7109375" customWidth="1" outlineLevel="1"/>
    <col min="17" max="17" width="57.140625" customWidth="1" outlineLevel="1"/>
    <col min="18" max="18" width="55.85546875" customWidth="1" outlineLevel="1"/>
    <col min="19" max="20" width="22" customWidth="1" outlineLevel="1"/>
    <col min="21" max="21" width="87.42578125" customWidth="1"/>
    <col min="22" max="22" width="11.140625" bestFit="1" customWidth="1"/>
    <col min="23" max="23" width="5.85546875" customWidth="1"/>
    <col min="24" max="24" width="18.7109375" customWidth="1"/>
    <col min="25" max="25" width="15.85546875" bestFit="1" customWidth="1"/>
    <col min="26" max="26" width="15.42578125" customWidth="1"/>
    <col min="27" max="27" width="20.85546875" customWidth="1" outlineLevel="1"/>
    <col min="28" max="28" width="17.42578125" customWidth="1" outlineLevel="1"/>
    <col min="29" max="29" width="30.28515625" customWidth="1"/>
    <col min="30" max="30" width="8.42578125" customWidth="1"/>
    <col min="31" max="31" width="28.85546875" customWidth="1"/>
  </cols>
  <sheetData>
    <row r="1" spans="1:33" x14ac:dyDescent="0.25">
      <c r="AE1" s="14" t="s">
        <v>0</v>
      </c>
    </row>
    <row r="2" spans="1:33" x14ac:dyDescent="0.25">
      <c r="AE2" s="14" t="s">
        <v>1</v>
      </c>
    </row>
    <row r="3" spans="1:33" ht="15.75" thickBot="1" x14ac:dyDescent="0.3">
      <c r="AE3" s="14" t="s">
        <v>2</v>
      </c>
    </row>
    <row r="4" spans="1:33" ht="101.1" customHeight="1" thickBot="1" x14ac:dyDescent="0.3">
      <c r="D4" s="32"/>
      <c r="E4" s="32"/>
      <c r="X4" s="2" t="s">
        <v>3</v>
      </c>
      <c r="Y4" s="3" t="s">
        <v>3</v>
      </c>
      <c r="Z4" s="4"/>
      <c r="AA4" s="5" t="s">
        <v>4</v>
      </c>
      <c r="AB4" s="5" t="s">
        <v>5</v>
      </c>
      <c r="AC4" s="29" t="s">
        <v>6</v>
      </c>
      <c r="AD4" s="30"/>
      <c r="AE4" s="14" t="s">
        <v>7</v>
      </c>
      <c r="AF4" s="31" t="s">
        <v>8</v>
      </c>
      <c r="AG4" s="31"/>
    </row>
    <row r="5" spans="1:33" s="1" customFormat="1" ht="38.1" customHeight="1" thickBot="1" x14ac:dyDescent="0.3">
      <c r="A5" s="15" t="s">
        <v>9</v>
      </c>
      <c r="B5" s="15" t="s">
        <v>10</v>
      </c>
      <c r="C5" s="15" t="s">
        <v>11</v>
      </c>
      <c r="D5" s="23" t="s">
        <v>12</v>
      </c>
      <c r="E5" s="23" t="s">
        <v>13</v>
      </c>
      <c r="F5" s="23" t="s">
        <v>14</v>
      </c>
      <c r="G5" s="23" t="s">
        <v>15</v>
      </c>
      <c r="H5" s="23" t="s">
        <v>16</v>
      </c>
      <c r="I5" s="23" t="s">
        <v>17</v>
      </c>
      <c r="J5" s="23" t="s">
        <v>18</v>
      </c>
      <c r="K5" s="23" t="s">
        <v>19</v>
      </c>
      <c r="L5" s="23" t="s">
        <v>20</v>
      </c>
      <c r="M5" s="23" t="s">
        <v>21</v>
      </c>
      <c r="N5" s="23" t="s">
        <v>22</v>
      </c>
      <c r="O5" s="23" t="s">
        <v>23</v>
      </c>
      <c r="P5" s="23" t="s">
        <v>24</v>
      </c>
      <c r="Q5" s="23" t="s">
        <v>25</v>
      </c>
      <c r="R5" s="23" t="s">
        <v>26</v>
      </c>
      <c r="S5" s="23" t="s">
        <v>27</v>
      </c>
      <c r="T5" s="23" t="s">
        <v>365</v>
      </c>
      <c r="U5" s="15" t="s">
        <v>28</v>
      </c>
      <c r="V5" s="15" t="s">
        <v>55</v>
      </c>
      <c r="X5" s="6" t="s">
        <v>29</v>
      </c>
      <c r="Y5" s="7" t="s">
        <v>30</v>
      </c>
      <c r="Z5" s="8" t="s">
        <v>31</v>
      </c>
      <c r="AA5" s="9" t="s">
        <v>32</v>
      </c>
      <c r="AB5" s="9" t="s">
        <v>33</v>
      </c>
      <c r="AC5" s="10" t="s">
        <v>34</v>
      </c>
      <c r="AD5" s="11" t="s">
        <v>35</v>
      </c>
      <c r="AE5" s="14" t="s">
        <v>36</v>
      </c>
      <c r="AF5" s="12" t="s">
        <v>37</v>
      </c>
      <c r="AG5" s="12" t="s">
        <v>38</v>
      </c>
    </row>
    <row r="6" spans="1:33" x14ac:dyDescent="0.25">
      <c r="A6" s="13" t="s">
        <v>58</v>
      </c>
      <c r="B6" s="16"/>
      <c r="C6" s="16"/>
      <c r="D6" s="24" t="s">
        <v>58</v>
      </c>
      <c r="E6" s="25"/>
      <c r="F6" s="26"/>
      <c r="G6" s="26"/>
      <c r="H6" s="26"/>
      <c r="I6" s="26"/>
      <c r="J6" s="26"/>
      <c r="K6" s="26"/>
      <c r="L6" s="26"/>
      <c r="N6" s="26"/>
      <c r="U6" s="13" t="str">
        <f>LOOKUP(1,1/(Table1[[#This Row],[Level_0]:[Level 15]]&gt;0),(Table1[[#This Row],[Level_0]:[Level 15]]))</f>
        <v>Root</v>
      </c>
      <c r="V6" s="19">
        <v>1</v>
      </c>
      <c r="X6" s="13" t="str">
        <f>LOOKUP(1,1/(Table1[[#This Row],[Level_0]:[Level 15]]&gt;0),(Table1[[#This Row],[Level_0]:[Level 15]]))</f>
        <v>Root</v>
      </c>
      <c r="Y6">
        <f>Table1[[#This Row],[Immediate Parent Node]]</f>
        <v>0</v>
      </c>
      <c r="AA6">
        <f>LEN(X6)</f>
        <v>4</v>
      </c>
      <c r="AD6">
        <f t="shared" ref="AD6" si="0">LEN(AC6)</f>
        <v>0</v>
      </c>
    </row>
    <row r="7" spans="1:33" x14ac:dyDescent="0.25">
      <c r="A7" s="16">
        <v>3900000000</v>
      </c>
      <c r="B7" s="16" t="s">
        <v>397</v>
      </c>
      <c r="C7" s="16">
        <v>3900000000</v>
      </c>
      <c r="D7" s="24" t="s">
        <v>58</v>
      </c>
      <c r="E7" s="22" t="s">
        <v>243</v>
      </c>
      <c r="F7" s="18"/>
      <c r="G7" s="18"/>
      <c r="H7" s="18"/>
      <c r="I7" s="18"/>
      <c r="J7" s="18"/>
      <c r="K7" s="18"/>
      <c r="L7" s="18"/>
      <c r="M7" s="18"/>
      <c r="N7" s="18"/>
      <c r="O7" s="18"/>
      <c r="P7" s="17"/>
      <c r="Q7" s="17"/>
      <c r="R7" s="17"/>
      <c r="S7" s="17"/>
      <c r="T7" s="17"/>
      <c r="U7" s="13" t="str">
        <f>LOOKUP(1,1/(Table1[[#This Row],[Level_0]:[Level 15]]&gt;0),(Table1[[#This Row],[Level_0]:[Level 15]]))</f>
        <v>3900000000 - [NET PROFIT AFTER NON-CONTROLLING INTEREST]</v>
      </c>
      <c r="V7" s="21">
        <v>2</v>
      </c>
      <c r="X7" s="13" t="str">
        <f>LOOKUP(1,1/(Table1[[#This Row],[Level_0]:[Level 15]]&gt;0),(Table1[[#This Row],[Level_0]:[Level 15]]))</f>
        <v>3900000000 - [NET PROFIT AFTER NON-CONTROLLING INTEREST]</v>
      </c>
      <c r="AA7">
        <f t="shared" ref="AA7" si="1">LEN(X7)</f>
        <v>56</v>
      </c>
    </row>
    <row r="8" spans="1:33" x14ac:dyDescent="0.25">
      <c r="A8" s="16">
        <v>3800000000</v>
      </c>
      <c r="B8" s="16" t="s">
        <v>398</v>
      </c>
      <c r="C8" s="16">
        <v>3800000000</v>
      </c>
      <c r="D8" s="28" t="s">
        <v>58</v>
      </c>
      <c r="E8" s="22" t="s">
        <v>243</v>
      </c>
      <c r="F8" s="26" t="s">
        <v>245</v>
      </c>
      <c r="G8" s="26"/>
      <c r="H8" s="26"/>
      <c r="I8" s="26"/>
      <c r="J8" s="26"/>
      <c r="K8" s="26"/>
      <c r="L8" s="26"/>
      <c r="N8" s="26"/>
      <c r="U8" s="16" t="str">
        <f>LOOKUP(1,1/(Table1[[#This Row],[Level_0]:[Level 15]]&gt;0),(Table1[[#This Row],[Level_0]:[Level 15]]))</f>
        <v>3800000000 - [PROFIT AFTER TAX]</v>
      </c>
      <c r="V8" s="21"/>
    </row>
    <row r="9" spans="1:33" x14ac:dyDescent="0.25">
      <c r="A9" s="16">
        <v>3700000000</v>
      </c>
      <c r="B9" s="16" t="s">
        <v>399</v>
      </c>
      <c r="C9" s="16">
        <v>3800000000</v>
      </c>
      <c r="D9" s="28" t="s">
        <v>58</v>
      </c>
      <c r="E9" s="22" t="s">
        <v>243</v>
      </c>
      <c r="F9" s="26" t="s">
        <v>245</v>
      </c>
      <c r="G9" s="26" t="s">
        <v>249</v>
      </c>
      <c r="H9" s="26"/>
      <c r="I9" s="26" t="s">
        <v>56</v>
      </c>
      <c r="J9" s="26" t="s">
        <v>56</v>
      </c>
      <c r="K9" s="26"/>
      <c r="L9" s="26"/>
      <c r="N9" s="26"/>
      <c r="U9" s="16" t="str">
        <f>LOOKUP(1,1/(Table1[[#This Row],[Level_0]:[Level 15]]&gt;0),(Table1[[#This Row],[Level_0]:[Level 15]]))</f>
        <v>3700000000 - [PROFIT AFTER TAX FROM CONTINUING OPERATIONS]</v>
      </c>
      <c r="V9" s="21"/>
    </row>
    <row r="10" spans="1:33" x14ac:dyDescent="0.25">
      <c r="A10" s="16">
        <v>3600000000</v>
      </c>
      <c r="B10" s="16" t="s">
        <v>400</v>
      </c>
      <c r="C10" s="27">
        <v>3700000000</v>
      </c>
      <c r="D10" s="28" t="s">
        <v>58</v>
      </c>
      <c r="E10" s="25" t="s">
        <v>243</v>
      </c>
      <c r="F10" s="26" t="s">
        <v>245</v>
      </c>
      <c r="G10" s="26" t="s">
        <v>249</v>
      </c>
      <c r="H10" s="26" t="s">
        <v>258</v>
      </c>
      <c r="I10" s="26"/>
      <c r="J10" s="26" t="s">
        <v>56</v>
      </c>
      <c r="K10" s="26"/>
      <c r="L10" s="26"/>
      <c r="N10" s="26"/>
      <c r="U10" s="27" t="str">
        <f>LOOKUP(1,1/(Table1[[#This Row],[Level_0]:[Level 15]]&gt;0),(Table1[[#This Row],[Level_0]:[Level 15]]))</f>
        <v>3600000000 - [PROFIT BEFORE TAX]</v>
      </c>
      <c r="V10" s="21"/>
    </row>
    <row r="11" spans="1:33" x14ac:dyDescent="0.25">
      <c r="A11" s="16">
        <v>3500000000</v>
      </c>
      <c r="B11" s="16" t="s">
        <v>401</v>
      </c>
      <c r="C11" s="27">
        <v>3600000000</v>
      </c>
      <c r="D11" s="28" t="s">
        <v>58</v>
      </c>
      <c r="E11" s="25" t="s">
        <v>243</v>
      </c>
      <c r="F11" s="26" t="s">
        <v>245</v>
      </c>
      <c r="G11" s="26" t="s">
        <v>249</v>
      </c>
      <c r="H11" s="26" t="s">
        <v>258</v>
      </c>
      <c r="I11" s="26" t="s">
        <v>303</v>
      </c>
      <c r="J11" s="26"/>
      <c r="K11" s="26"/>
      <c r="L11" s="26"/>
      <c r="N11" s="26"/>
      <c r="U11" s="27" t="str">
        <f>LOOKUP(1,1/(Table1[[#This Row],[Level_0]:[Level 15]]&gt;0),(Table1[[#This Row],[Level_0]:[Level 15]]))</f>
        <v>3500000000 - [EBIT]</v>
      </c>
      <c r="V11" s="21"/>
    </row>
    <row r="12" spans="1:33" x14ac:dyDescent="0.25">
      <c r="A12" s="16">
        <v>3400000000</v>
      </c>
      <c r="B12" s="16" t="s">
        <v>402</v>
      </c>
      <c r="C12" s="27">
        <v>3500000000</v>
      </c>
      <c r="D12" s="28" t="s">
        <v>58</v>
      </c>
      <c r="E12" s="25" t="s">
        <v>243</v>
      </c>
      <c r="F12" s="26" t="s">
        <v>245</v>
      </c>
      <c r="G12" s="26" t="s">
        <v>249</v>
      </c>
      <c r="H12" s="26" t="s">
        <v>258</v>
      </c>
      <c r="I12" s="26" t="s">
        <v>303</v>
      </c>
      <c r="J12" s="26" t="s">
        <v>311</v>
      </c>
      <c r="K12" s="26"/>
      <c r="L12" s="26"/>
      <c r="N12" s="26"/>
      <c r="U12" s="27" t="str">
        <f>LOOKUP(1,1/(Table1[[#This Row],[Level_0]:[Level 15]]&gt;0),(Table1[[#This Row],[Level_0]:[Level 15]]))</f>
        <v>3400000000 - [OPERATING RESULT]</v>
      </c>
      <c r="V12" s="21"/>
    </row>
    <row r="13" spans="1:33" x14ac:dyDescent="0.25">
      <c r="A13" s="16">
        <v>3300000000</v>
      </c>
      <c r="B13" s="16" t="s">
        <v>403</v>
      </c>
      <c r="C13" s="27">
        <v>3400000000</v>
      </c>
      <c r="D13" s="28" t="s">
        <v>58</v>
      </c>
      <c r="E13" s="25" t="s">
        <v>243</v>
      </c>
      <c r="F13" s="26" t="s">
        <v>245</v>
      </c>
      <c r="G13" s="26" t="s">
        <v>249</v>
      </c>
      <c r="H13" s="26" t="s">
        <v>258</v>
      </c>
      <c r="I13" s="26" t="s">
        <v>303</v>
      </c>
      <c r="J13" s="26" t="s">
        <v>311</v>
      </c>
      <c r="K13" s="26" t="s">
        <v>316</v>
      </c>
      <c r="L13" s="26"/>
      <c r="M13" t="s">
        <v>56</v>
      </c>
      <c r="N13" s="26" t="s">
        <v>56</v>
      </c>
      <c r="O13" t="s">
        <v>56</v>
      </c>
      <c r="P13" t="s">
        <v>56</v>
      </c>
      <c r="Q13" t="s">
        <v>56</v>
      </c>
      <c r="R13" t="s">
        <v>56</v>
      </c>
      <c r="S13" t="s">
        <v>56</v>
      </c>
      <c r="T13" t="s">
        <v>56</v>
      </c>
      <c r="U13" s="27" t="str">
        <f>LOOKUP(1,1/(Table1[[#This Row],[Level_0]:[Level 15]]&gt;0),(Table1[[#This Row],[Level_0]:[Level 15]]))</f>
        <v>3300000000 - [RESULT AFTER R&amp;D]</v>
      </c>
      <c r="V13" s="21"/>
    </row>
    <row r="14" spans="1:33" x14ac:dyDescent="0.25">
      <c r="A14" s="16">
        <v>3200000000</v>
      </c>
      <c r="B14" s="16" t="s">
        <v>404</v>
      </c>
      <c r="C14" s="27">
        <v>3300000000</v>
      </c>
      <c r="D14" s="28" t="s">
        <v>58</v>
      </c>
      <c r="E14" s="25" t="s">
        <v>243</v>
      </c>
      <c r="F14" s="26" t="s">
        <v>245</v>
      </c>
      <c r="G14" s="26" t="s">
        <v>249</v>
      </c>
      <c r="H14" s="26" t="s">
        <v>258</v>
      </c>
      <c r="I14" s="26" t="s">
        <v>303</v>
      </c>
      <c r="J14" s="26" t="s">
        <v>311</v>
      </c>
      <c r="K14" s="26" t="s">
        <v>316</v>
      </c>
      <c r="L14" s="26" t="s">
        <v>330</v>
      </c>
      <c r="N14" s="26" t="s">
        <v>56</v>
      </c>
      <c r="O14" t="s">
        <v>56</v>
      </c>
      <c r="P14" t="s">
        <v>56</v>
      </c>
      <c r="Q14" t="s">
        <v>56</v>
      </c>
      <c r="R14" t="s">
        <v>56</v>
      </c>
      <c r="S14" t="s">
        <v>56</v>
      </c>
      <c r="T14" t="s">
        <v>56</v>
      </c>
      <c r="U14" s="27" t="str">
        <f>LOOKUP(1,1/(Table1[[#This Row],[Level_0]:[Level 15]]&gt;0),(Table1[[#This Row],[Level_0]:[Level 15]]))</f>
        <v>3200000000 - [RESULT BEFORE R&amp;D]</v>
      </c>
      <c r="V14" s="21"/>
    </row>
    <row r="15" spans="1:33" hidden="1" x14ac:dyDescent="0.25">
      <c r="A15" s="16">
        <v>3100000000</v>
      </c>
      <c r="B15" s="16" t="s">
        <v>405</v>
      </c>
      <c r="C15" s="27">
        <v>3200000000</v>
      </c>
      <c r="D15" s="28" t="s">
        <v>58</v>
      </c>
      <c r="E15" s="25" t="s">
        <v>243</v>
      </c>
      <c r="F15" s="26" t="s">
        <v>245</v>
      </c>
      <c r="G15" s="26" t="s">
        <v>249</v>
      </c>
      <c r="H15" s="26" t="s">
        <v>258</v>
      </c>
      <c r="I15" s="26" t="s">
        <v>303</v>
      </c>
      <c r="J15" s="26" t="s">
        <v>311</v>
      </c>
      <c r="K15" s="26" t="s">
        <v>316</v>
      </c>
      <c r="L15" s="26" t="s">
        <v>330</v>
      </c>
      <c r="M15" t="s">
        <v>354</v>
      </c>
      <c r="N15" s="26"/>
      <c r="O15" t="s">
        <v>56</v>
      </c>
      <c r="P15" t="s">
        <v>56</v>
      </c>
      <c r="Q15" t="s">
        <v>56</v>
      </c>
      <c r="R15" t="s">
        <v>56</v>
      </c>
      <c r="S15" t="s">
        <v>56</v>
      </c>
      <c r="T15" t="s">
        <v>56</v>
      </c>
      <c r="U15" s="27" t="str">
        <f>LOOKUP(1,1/(Table1[[#This Row],[Level_0]:[Level 15]]&gt;0),(Table1[[#This Row],[Level_0]:[Level 15]]))</f>
        <v>3100000000 - [GROSS MARGIN]</v>
      </c>
      <c r="V15" s="21"/>
    </row>
    <row r="16" spans="1:33" hidden="1" x14ac:dyDescent="0.25">
      <c r="A16" s="16">
        <v>3010000000</v>
      </c>
      <c r="B16" s="16" t="s">
        <v>406</v>
      </c>
      <c r="C16" s="27">
        <v>3100000000</v>
      </c>
      <c r="D16" s="28" t="s">
        <v>58</v>
      </c>
      <c r="E16" s="25" t="s">
        <v>243</v>
      </c>
      <c r="F16" s="26" t="s">
        <v>245</v>
      </c>
      <c r="G16" s="26" t="s">
        <v>249</v>
      </c>
      <c r="H16" s="26" t="s">
        <v>258</v>
      </c>
      <c r="I16" s="26" t="s">
        <v>303</v>
      </c>
      <c r="J16" s="26" t="s">
        <v>311</v>
      </c>
      <c r="K16" s="26" t="s">
        <v>316</v>
      </c>
      <c r="L16" s="26" t="s">
        <v>330</v>
      </c>
      <c r="M16" t="s">
        <v>354</v>
      </c>
      <c r="N16" s="26" t="s">
        <v>89</v>
      </c>
      <c r="P16" t="s">
        <v>56</v>
      </c>
      <c r="Q16" t="s">
        <v>56</v>
      </c>
      <c r="R16" t="s">
        <v>56</v>
      </c>
      <c r="S16" t="s">
        <v>56</v>
      </c>
      <c r="T16" t="s">
        <v>56</v>
      </c>
      <c r="U16" s="27" t="str">
        <f>LOOKUP(1,1/(Table1[[#This Row],[Level_0]:[Level 15]]&gt;0),(Table1[[#This Row],[Level_0]:[Level 15]]))</f>
        <v>3010000000 - [Net Sales]</v>
      </c>
      <c r="V16" s="21"/>
    </row>
    <row r="17" spans="1:22" hidden="1" x14ac:dyDescent="0.25">
      <c r="A17" s="16">
        <v>3011000000</v>
      </c>
      <c r="B17" s="16" t="s">
        <v>407</v>
      </c>
      <c r="C17" s="27">
        <v>3010000000</v>
      </c>
      <c r="D17" s="28" t="s">
        <v>58</v>
      </c>
      <c r="E17" s="25" t="s">
        <v>243</v>
      </c>
      <c r="F17" s="26" t="s">
        <v>245</v>
      </c>
      <c r="G17" s="26" t="s">
        <v>249</v>
      </c>
      <c r="H17" s="26" t="s">
        <v>258</v>
      </c>
      <c r="I17" s="26" t="s">
        <v>303</v>
      </c>
      <c r="J17" s="26" t="s">
        <v>311</v>
      </c>
      <c r="K17" s="26" t="s">
        <v>316</v>
      </c>
      <c r="L17" s="26" t="s">
        <v>330</v>
      </c>
      <c r="M17" t="s">
        <v>354</v>
      </c>
      <c r="N17" s="26" t="s">
        <v>89</v>
      </c>
      <c r="O17" t="s">
        <v>94</v>
      </c>
      <c r="Q17" t="s">
        <v>56</v>
      </c>
      <c r="R17" t="s">
        <v>56</v>
      </c>
      <c r="S17" t="s">
        <v>56</v>
      </c>
      <c r="T17" t="s">
        <v>56</v>
      </c>
      <c r="U17" s="27" t="str">
        <f>LOOKUP(1,1/(Table1[[#This Row],[Level_0]:[Level 15]]&gt;0),(Table1[[#This Row],[Level_0]:[Level 15]]))</f>
        <v>3011000000 - [Sales]</v>
      </c>
      <c r="V17" s="21"/>
    </row>
    <row r="18" spans="1:22" hidden="1" x14ac:dyDescent="0.25">
      <c r="A18" s="16">
        <v>3011100000</v>
      </c>
      <c r="B18" s="16" t="s">
        <v>408</v>
      </c>
      <c r="C18" s="27">
        <v>3011000000</v>
      </c>
      <c r="D18" s="28" t="s">
        <v>58</v>
      </c>
      <c r="E18" s="25" t="s">
        <v>243</v>
      </c>
      <c r="F18" s="26" t="s">
        <v>245</v>
      </c>
      <c r="G18" s="26" t="s">
        <v>249</v>
      </c>
      <c r="H18" s="26" t="s">
        <v>258</v>
      </c>
      <c r="I18" s="26" t="s">
        <v>303</v>
      </c>
      <c r="J18" s="26" t="s">
        <v>311</v>
      </c>
      <c r="K18" s="26" t="s">
        <v>316</v>
      </c>
      <c r="L18" s="26" t="s">
        <v>330</v>
      </c>
      <c r="M18" t="s">
        <v>354</v>
      </c>
      <c r="N18" s="26" t="s">
        <v>89</v>
      </c>
      <c r="O18" t="s">
        <v>94</v>
      </c>
      <c r="P18" t="s">
        <v>96</v>
      </c>
      <c r="R18" t="s">
        <v>56</v>
      </c>
      <c r="S18" t="s">
        <v>56</v>
      </c>
      <c r="T18" t="s">
        <v>56</v>
      </c>
      <c r="U18" s="27" t="str">
        <f>LOOKUP(1,1/(Table1[[#This Row],[Level_0]:[Level 15]]&gt;0),(Table1[[#This Row],[Level_0]:[Level 15]]))</f>
        <v>3011100000 - [Net sales 3rd parties]</v>
      </c>
      <c r="V18" s="21"/>
    </row>
    <row r="19" spans="1:22" hidden="1" x14ac:dyDescent="0.25">
      <c r="A19" s="16">
        <v>3011110000</v>
      </c>
      <c r="B19" s="16" t="s">
        <v>409</v>
      </c>
      <c r="C19" s="27">
        <v>3011100000</v>
      </c>
      <c r="D19" s="28" t="s">
        <v>58</v>
      </c>
      <c r="E19" s="25" t="s">
        <v>243</v>
      </c>
      <c r="F19" s="26" t="s">
        <v>245</v>
      </c>
      <c r="G19" s="26" t="s">
        <v>249</v>
      </c>
      <c r="H19" s="26" t="s">
        <v>258</v>
      </c>
      <c r="I19" s="26" t="s">
        <v>303</v>
      </c>
      <c r="J19" s="26" t="s">
        <v>311</v>
      </c>
      <c r="K19" s="26" t="s">
        <v>316</v>
      </c>
      <c r="L19" s="26" t="s">
        <v>330</v>
      </c>
      <c r="M19" t="s">
        <v>354</v>
      </c>
      <c r="N19" s="26" t="s">
        <v>89</v>
      </c>
      <c r="O19" t="s">
        <v>94</v>
      </c>
      <c r="P19" t="s">
        <v>96</v>
      </c>
      <c r="Q19" t="s">
        <v>100</v>
      </c>
      <c r="S19" t="s">
        <v>56</v>
      </c>
      <c r="T19" t="s">
        <v>56</v>
      </c>
      <c r="U19" s="27" t="str">
        <f>LOOKUP(1,1/(Table1[[#This Row],[Level_0]:[Level 15]]&gt;0),(Table1[[#This Row],[Level_0]:[Level 15]]))</f>
        <v>3011110000 - [Net sales commercial 3rd parties]</v>
      </c>
      <c r="V19" s="21"/>
    </row>
    <row r="20" spans="1:22" hidden="1" x14ac:dyDescent="0.25">
      <c r="A20" s="16">
        <v>3011120000</v>
      </c>
      <c r="B20" s="16" t="s">
        <v>410</v>
      </c>
      <c r="C20" s="27">
        <v>3011100000</v>
      </c>
      <c r="D20" s="28" t="s">
        <v>58</v>
      </c>
      <c r="E20" s="25" t="s">
        <v>243</v>
      </c>
      <c r="F20" s="26" t="s">
        <v>245</v>
      </c>
      <c r="G20" s="26" t="s">
        <v>249</v>
      </c>
      <c r="H20" s="26" t="s">
        <v>258</v>
      </c>
      <c r="I20" s="26" t="s">
        <v>303</v>
      </c>
      <c r="J20" s="26" t="s">
        <v>311</v>
      </c>
      <c r="K20" s="26" t="s">
        <v>316</v>
      </c>
      <c r="L20" s="26" t="s">
        <v>330</v>
      </c>
      <c r="M20" t="s">
        <v>354</v>
      </c>
      <c r="N20" s="26" t="s">
        <v>89</v>
      </c>
      <c r="O20" t="s">
        <v>94</v>
      </c>
      <c r="P20" t="s">
        <v>96</v>
      </c>
      <c r="Q20" t="s">
        <v>99</v>
      </c>
      <c r="S20" t="s">
        <v>56</v>
      </c>
      <c r="T20" t="s">
        <v>56</v>
      </c>
      <c r="U20" s="27" t="str">
        <f>LOOKUP(1,1/(Table1[[#This Row],[Level_0]:[Level 15]]&gt;0),(Table1[[#This Row],[Level_0]:[Level 15]]))</f>
        <v>3011120000 - [Net sales non-commercial 3rd parties]</v>
      </c>
      <c r="V20" s="21"/>
    </row>
    <row r="21" spans="1:22" hidden="1" x14ac:dyDescent="0.25">
      <c r="A21" s="16">
        <v>3011139000</v>
      </c>
      <c r="B21" s="16" t="s">
        <v>411</v>
      </c>
      <c r="C21" s="27">
        <v>3011100000</v>
      </c>
      <c r="D21" s="28" t="s">
        <v>58</v>
      </c>
      <c r="E21" s="25" t="s">
        <v>243</v>
      </c>
      <c r="F21" s="26" t="s">
        <v>245</v>
      </c>
      <c r="G21" s="26" t="s">
        <v>249</v>
      </c>
      <c r="H21" s="26" t="s">
        <v>258</v>
      </c>
      <c r="I21" s="26" t="s">
        <v>303</v>
      </c>
      <c r="J21" s="26" t="s">
        <v>311</v>
      </c>
      <c r="K21" s="26" t="s">
        <v>316</v>
      </c>
      <c r="L21" s="26" t="s">
        <v>330</v>
      </c>
      <c r="M21" t="s">
        <v>354</v>
      </c>
      <c r="N21" s="26" t="s">
        <v>89</v>
      </c>
      <c r="O21" t="s">
        <v>94</v>
      </c>
      <c r="P21" t="s">
        <v>96</v>
      </c>
      <c r="Q21" t="s">
        <v>98</v>
      </c>
      <c r="S21" t="s">
        <v>56</v>
      </c>
      <c r="T21" t="s">
        <v>56</v>
      </c>
      <c r="U21" s="27" t="str">
        <f>LOOKUP(1,1/(Table1[[#This Row],[Level_0]:[Level 15]]&gt;0),(Table1[[#This Row],[Level_0]:[Level 15]]))</f>
        <v>3011139000 - [IFRS9/15 impact to N.S w/o HW/Dev]</v>
      </c>
      <c r="V21" s="21"/>
    </row>
    <row r="22" spans="1:22" hidden="1" x14ac:dyDescent="0.25">
      <c r="A22" s="16">
        <v>3011160000</v>
      </c>
      <c r="B22" s="16" t="s">
        <v>412</v>
      </c>
      <c r="C22" s="27">
        <v>3011100000</v>
      </c>
      <c r="D22" s="28" t="s">
        <v>58</v>
      </c>
      <c r="E22" s="25" t="s">
        <v>243</v>
      </c>
      <c r="F22" s="26" t="s">
        <v>245</v>
      </c>
      <c r="G22" s="26" t="s">
        <v>249</v>
      </c>
      <c r="H22" s="26" t="s">
        <v>258</v>
      </c>
      <c r="I22" s="26" t="s">
        <v>303</v>
      </c>
      <c r="J22" s="26" t="s">
        <v>311</v>
      </c>
      <c r="K22" s="26" t="s">
        <v>316</v>
      </c>
      <c r="L22" s="26" t="s">
        <v>330</v>
      </c>
      <c r="M22" t="s">
        <v>354</v>
      </c>
      <c r="N22" s="26" t="s">
        <v>89</v>
      </c>
      <c r="O22" t="s">
        <v>94</v>
      </c>
      <c r="P22" t="s">
        <v>96</v>
      </c>
      <c r="Q22" t="s">
        <v>97</v>
      </c>
      <c r="S22" t="s">
        <v>56</v>
      </c>
      <c r="T22" t="s">
        <v>56</v>
      </c>
      <c r="U22" s="27" t="str">
        <f>LOOKUP(1,1/(Table1[[#This Row],[Level_0]:[Level 15]]&gt;0),(Table1[[#This Row],[Level_0]:[Level 15]]))</f>
        <v>3011160000 - [Net sales 3rd parties from Sh.+Hd.ling]</v>
      </c>
      <c r="V22" s="21"/>
    </row>
    <row r="23" spans="1:22" hidden="1" x14ac:dyDescent="0.25">
      <c r="A23" s="16">
        <v>3011200000</v>
      </c>
      <c r="B23" s="16" t="s">
        <v>413</v>
      </c>
      <c r="C23" s="27">
        <v>3011000000</v>
      </c>
      <c r="D23" s="28" t="s">
        <v>58</v>
      </c>
      <c r="E23" s="25" t="s">
        <v>243</v>
      </c>
      <c r="F23" s="26" t="s">
        <v>245</v>
      </c>
      <c r="G23" s="26" t="s">
        <v>249</v>
      </c>
      <c r="H23" s="26" t="s">
        <v>258</v>
      </c>
      <c r="I23" s="26" t="s">
        <v>303</v>
      </c>
      <c r="J23" s="26" t="s">
        <v>311</v>
      </c>
      <c r="K23" s="26" t="s">
        <v>316</v>
      </c>
      <c r="L23" s="26" t="s">
        <v>330</v>
      </c>
      <c r="M23" t="s">
        <v>354</v>
      </c>
      <c r="N23" s="26" t="s">
        <v>89</v>
      </c>
      <c r="O23" t="s">
        <v>94</v>
      </c>
      <c r="P23" t="s">
        <v>95</v>
      </c>
      <c r="R23" t="s">
        <v>56</v>
      </c>
      <c r="S23" t="s">
        <v>56</v>
      </c>
      <c r="T23" t="s">
        <v>56</v>
      </c>
      <c r="U23" s="27" t="str">
        <f>LOOKUP(1,1/(Table1[[#This Row],[Level_0]:[Level 15]]&gt;0),(Table1[[#This Row],[Level_0]:[Level 15]]))</f>
        <v>3011200000 - [Intercompany sales]</v>
      </c>
      <c r="V23" s="21"/>
    </row>
    <row r="24" spans="1:22" hidden="1" x14ac:dyDescent="0.25">
      <c r="A24" s="16">
        <v>3012000000</v>
      </c>
      <c r="B24" s="16" t="s">
        <v>414</v>
      </c>
      <c r="C24" s="27">
        <v>3010000000</v>
      </c>
      <c r="D24" s="28" t="s">
        <v>58</v>
      </c>
      <c r="E24" s="25" t="s">
        <v>243</v>
      </c>
      <c r="F24" s="26" t="s">
        <v>245</v>
      </c>
      <c r="G24" s="26" t="s">
        <v>249</v>
      </c>
      <c r="H24" s="26" t="s">
        <v>258</v>
      </c>
      <c r="I24" s="26" t="s">
        <v>303</v>
      </c>
      <c r="J24" s="26" t="s">
        <v>311</v>
      </c>
      <c r="K24" s="26" t="s">
        <v>316</v>
      </c>
      <c r="L24" s="26" t="s">
        <v>330</v>
      </c>
      <c r="M24" t="s">
        <v>354</v>
      </c>
      <c r="N24" s="26" t="s">
        <v>89</v>
      </c>
      <c r="O24" t="s">
        <v>90</v>
      </c>
      <c r="Q24" t="s">
        <v>56</v>
      </c>
      <c r="R24" t="s">
        <v>56</v>
      </c>
      <c r="S24" t="s">
        <v>56</v>
      </c>
      <c r="T24" t="s">
        <v>56</v>
      </c>
      <c r="U24" s="27" t="str">
        <f>LOOKUP(1,1/(Table1[[#This Row],[Level_0]:[Level 15]]&gt;0),(Table1[[#This Row],[Level_0]:[Level 15]]))</f>
        <v>3012000000 - [Royalty, license and commission income]</v>
      </c>
      <c r="V24" s="21"/>
    </row>
    <row r="25" spans="1:22" hidden="1" x14ac:dyDescent="0.25">
      <c r="A25" s="16">
        <v>3012200000</v>
      </c>
      <c r="B25" s="16" t="s">
        <v>415</v>
      </c>
      <c r="C25" s="27">
        <v>3012000000</v>
      </c>
      <c r="D25" s="28" t="s">
        <v>58</v>
      </c>
      <c r="E25" s="25" t="s">
        <v>243</v>
      </c>
      <c r="F25" s="26" t="s">
        <v>245</v>
      </c>
      <c r="G25" s="26" t="s">
        <v>249</v>
      </c>
      <c r="H25" s="26" t="s">
        <v>258</v>
      </c>
      <c r="I25" s="26" t="s">
        <v>303</v>
      </c>
      <c r="J25" s="26" t="s">
        <v>311</v>
      </c>
      <c r="K25" s="26" t="s">
        <v>316</v>
      </c>
      <c r="L25" s="26" t="s">
        <v>330</v>
      </c>
      <c r="M25" t="s">
        <v>354</v>
      </c>
      <c r="N25" s="26" t="s">
        <v>89</v>
      </c>
      <c r="O25" t="s">
        <v>90</v>
      </c>
      <c r="P25" t="s">
        <v>93</v>
      </c>
      <c r="R25" t="s">
        <v>56</v>
      </c>
      <c r="S25" t="s">
        <v>56</v>
      </c>
      <c r="T25" t="s">
        <v>56</v>
      </c>
      <c r="U25" s="27" t="str">
        <f>LOOKUP(1,1/(Table1[[#This Row],[Level_0]:[Level 15]]&gt;0),(Table1[[#This Row],[Level_0]:[Level 15]]))</f>
        <v>3012200000 - [Commission and profit share income]</v>
      </c>
      <c r="V25" s="21"/>
    </row>
    <row r="26" spans="1:22" hidden="1" x14ac:dyDescent="0.25">
      <c r="A26" s="16">
        <v>3012210000</v>
      </c>
      <c r="B26" s="16" t="s">
        <v>416</v>
      </c>
      <c r="C26" s="27">
        <v>3012000000</v>
      </c>
      <c r="D26" s="28" t="s">
        <v>58</v>
      </c>
      <c r="E26" s="25" t="s">
        <v>243</v>
      </c>
      <c r="F26" s="26" t="s">
        <v>245</v>
      </c>
      <c r="G26" s="26" t="s">
        <v>249</v>
      </c>
      <c r="H26" s="26" t="s">
        <v>258</v>
      </c>
      <c r="I26" s="26" t="s">
        <v>303</v>
      </c>
      <c r="J26" s="26" t="s">
        <v>311</v>
      </c>
      <c r="K26" s="26" t="s">
        <v>316</v>
      </c>
      <c r="L26" s="26" t="s">
        <v>330</v>
      </c>
      <c r="M26" t="s">
        <v>354</v>
      </c>
      <c r="N26" s="26" t="s">
        <v>89</v>
      </c>
      <c r="O26" t="s">
        <v>90</v>
      </c>
      <c r="P26" t="s">
        <v>92</v>
      </c>
      <c r="R26" t="s">
        <v>56</v>
      </c>
      <c r="S26" t="s">
        <v>56</v>
      </c>
      <c r="T26" t="s">
        <v>56</v>
      </c>
      <c r="U26" s="27" t="str">
        <f>LOOKUP(1,1/(Table1[[#This Row],[Level_0]:[Level 15]]&gt;0),(Table1[[#This Row],[Level_0]:[Level 15]]))</f>
        <v>3012210000 - [Commission income]</v>
      </c>
      <c r="V26" s="21"/>
    </row>
    <row r="27" spans="1:22" hidden="1" x14ac:dyDescent="0.25">
      <c r="A27" s="16">
        <v>3012220000</v>
      </c>
      <c r="B27" s="16" t="s">
        <v>417</v>
      </c>
      <c r="C27" s="27">
        <v>3012000000</v>
      </c>
      <c r="D27" s="28" t="s">
        <v>58</v>
      </c>
      <c r="E27" s="25" t="s">
        <v>243</v>
      </c>
      <c r="F27" s="26" t="s">
        <v>245</v>
      </c>
      <c r="G27" s="26" t="s">
        <v>249</v>
      </c>
      <c r="H27" s="26" t="s">
        <v>258</v>
      </c>
      <c r="I27" s="26" t="s">
        <v>303</v>
      </c>
      <c r="J27" s="26" t="s">
        <v>311</v>
      </c>
      <c r="K27" s="26" t="s">
        <v>316</v>
      </c>
      <c r="L27" s="26" t="s">
        <v>330</v>
      </c>
      <c r="M27" t="s">
        <v>354</v>
      </c>
      <c r="N27" s="26" t="s">
        <v>89</v>
      </c>
      <c r="O27" t="s">
        <v>90</v>
      </c>
      <c r="P27" t="s">
        <v>91</v>
      </c>
      <c r="R27" t="s">
        <v>56</v>
      </c>
      <c r="S27" t="s">
        <v>56</v>
      </c>
      <c r="T27" t="s">
        <v>56</v>
      </c>
      <c r="U27" s="27" t="str">
        <f>LOOKUP(1,1/(Table1[[#This Row],[Level_0]:[Level 15]]&gt;0),(Table1[[#This Row],[Level_0]:[Level 15]]))</f>
        <v>3012220000 - [Profit share income]</v>
      </c>
      <c r="V27" s="21"/>
    </row>
    <row r="28" spans="1:22" hidden="1" x14ac:dyDescent="0.25">
      <c r="A28" s="16">
        <v>3020000000</v>
      </c>
      <c r="B28" s="16" t="s">
        <v>418</v>
      </c>
      <c r="C28" s="27">
        <v>3100000000</v>
      </c>
      <c r="D28" s="28" t="s">
        <v>58</v>
      </c>
      <c r="E28" s="25" t="s">
        <v>243</v>
      </c>
      <c r="F28" s="26" t="s">
        <v>245</v>
      </c>
      <c r="G28" s="26" t="s">
        <v>249</v>
      </c>
      <c r="H28" s="26" t="s">
        <v>258</v>
      </c>
      <c r="I28" s="26" t="s">
        <v>303</v>
      </c>
      <c r="J28" s="26" t="s">
        <v>311</v>
      </c>
      <c r="K28" s="26" t="s">
        <v>316</v>
      </c>
      <c r="L28" s="26" t="s">
        <v>330</v>
      </c>
      <c r="M28" t="s">
        <v>354</v>
      </c>
      <c r="N28" s="26" t="s">
        <v>355</v>
      </c>
      <c r="P28" t="s">
        <v>56</v>
      </c>
      <c r="Q28" t="s">
        <v>56</v>
      </c>
      <c r="R28" t="s">
        <v>56</v>
      </c>
      <c r="S28" t="s">
        <v>56</v>
      </c>
      <c r="T28" t="s">
        <v>56</v>
      </c>
      <c r="U28" s="27" t="str">
        <f>LOOKUP(1,1/(Table1[[#This Row],[Level_0]:[Level 15]]&gt;0),(Table1[[#This Row],[Level_0]:[Level 15]]))</f>
        <v>3020000000 - [Production cost]</v>
      </c>
      <c r="V28" s="21"/>
    </row>
    <row r="29" spans="1:22" hidden="1" x14ac:dyDescent="0.25">
      <c r="A29" s="16">
        <v>3020100000</v>
      </c>
      <c r="B29" s="16" t="s">
        <v>419</v>
      </c>
      <c r="C29" s="27">
        <v>3020000000</v>
      </c>
      <c r="D29" s="28" t="s">
        <v>58</v>
      </c>
      <c r="E29" s="25" t="s">
        <v>243</v>
      </c>
      <c r="F29" s="26" t="s">
        <v>245</v>
      </c>
      <c r="G29" s="26" t="s">
        <v>249</v>
      </c>
      <c r="H29" s="26" t="s">
        <v>258</v>
      </c>
      <c r="I29" s="26" t="s">
        <v>303</v>
      </c>
      <c r="J29" s="26" t="s">
        <v>311</v>
      </c>
      <c r="K29" s="26" t="s">
        <v>316</v>
      </c>
      <c r="L29" s="26" t="s">
        <v>330</v>
      </c>
      <c r="M29" t="s">
        <v>354</v>
      </c>
      <c r="N29" s="26" t="s">
        <v>355</v>
      </c>
      <c r="O29" t="s">
        <v>359</v>
      </c>
      <c r="Q29" t="s">
        <v>56</v>
      </c>
      <c r="R29" t="s">
        <v>56</v>
      </c>
      <c r="S29" t="s">
        <v>56</v>
      </c>
      <c r="T29" t="s">
        <v>56</v>
      </c>
      <c r="U29" s="27" t="str">
        <f>LOOKUP(1,1/(Table1[[#This Row],[Level_0]:[Level 15]]&gt;0),(Table1[[#This Row],[Level_0]:[Level 15]]))</f>
        <v>3020100000 - [Cost of goods sold (COGs)]</v>
      </c>
      <c r="V29" s="21"/>
    </row>
    <row r="30" spans="1:22" hidden="1" x14ac:dyDescent="0.25">
      <c r="A30" s="16">
        <v>3020110000</v>
      </c>
      <c r="B30" s="16" t="s">
        <v>420</v>
      </c>
      <c r="C30" s="27">
        <v>3020100000</v>
      </c>
      <c r="D30" s="28" t="s">
        <v>58</v>
      </c>
      <c r="E30" s="25" t="s">
        <v>243</v>
      </c>
      <c r="F30" s="26" t="s">
        <v>245</v>
      </c>
      <c r="G30" s="26" t="s">
        <v>249</v>
      </c>
      <c r="H30" s="26" t="s">
        <v>258</v>
      </c>
      <c r="I30" s="26" t="s">
        <v>303</v>
      </c>
      <c r="J30" s="26" t="s">
        <v>311</v>
      </c>
      <c r="K30" s="26" t="s">
        <v>316</v>
      </c>
      <c r="L30" s="26" t="s">
        <v>330</v>
      </c>
      <c r="M30" t="s">
        <v>354</v>
      </c>
      <c r="N30" s="26" t="s">
        <v>355</v>
      </c>
      <c r="O30" t="s">
        <v>359</v>
      </c>
      <c r="P30" t="s">
        <v>364</v>
      </c>
      <c r="R30" t="s">
        <v>56</v>
      </c>
      <c r="S30" t="s">
        <v>56</v>
      </c>
      <c r="T30" t="s">
        <v>56</v>
      </c>
      <c r="U30" s="27" t="str">
        <f>LOOKUP(1,1/(Table1[[#This Row],[Level_0]:[Level 15]]&gt;0),(Table1[[#This Row],[Level_0]:[Level 15]]))</f>
        <v>3020110000 - [Local COGs IC]</v>
      </c>
      <c r="V30" s="21"/>
    </row>
    <row r="31" spans="1:22" hidden="1" x14ac:dyDescent="0.25">
      <c r="A31" s="16">
        <v>3020120000</v>
      </c>
      <c r="B31" s="16" t="s">
        <v>421</v>
      </c>
      <c r="C31" s="27">
        <v>3020100000</v>
      </c>
      <c r="D31" s="28" t="s">
        <v>58</v>
      </c>
      <c r="E31" s="25" t="s">
        <v>243</v>
      </c>
      <c r="F31" s="26" t="s">
        <v>245</v>
      </c>
      <c r="G31" s="26" t="s">
        <v>249</v>
      </c>
      <c r="H31" s="26" t="s">
        <v>258</v>
      </c>
      <c r="I31" s="26" t="s">
        <v>303</v>
      </c>
      <c r="J31" s="26" t="s">
        <v>311</v>
      </c>
      <c r="K31" s="26" t="s">
        <v>316</v>
      </c>
      <c r="L31" s="26" t="s">
        <v>330</v>
      </c>
      <c r="M31" t="s">
        <v>354</v>
      </c>
      <c r="N31" s="26" t="s">
        <v>355</v>
      </c>
      <c r="O31" t="s">
        <v>359</v>
      </c>
      <c r="P31" t="s">
        <v>363</v>
      </c>
      <c r="R31" t="s">
        <v>56</v>
      </c>
      <c r="S31" t="s">
        <v>56</v>
      </c>
      <c r="T31" t="s">
        <v>56</v>
      </c>
      <c r="U31" s="27" t="str">
        <f>LOOKUP(1,1/(Table1[[#This Row],[Level_0]:[Level 15]]&gt;0),(Table1[[#This Row],[Level_0]:[Level 15]]))</f>
        <v>3020120000 - [Local COGs 3rd parties]</v>
      </c>
      <c r="V31" s="21"/>
    </row>
    <row r="32" spans="1:22" hidden="1" x14ac:dyDescent="0.25">
      <c r="A32" s="16">
        <v>3020130000</v>
      </c>
      <c r="B32" s="16" t="s">
        <v>422</v>
      </c>
      <c r="C32" s="27">
        <v>3020100000</v>
      </c>
      <c r="D32" s="28" t="s">
        <v>58</v>
      </c>
      <c r="E32" s="25" t="s">
        <v>243</v>
      </c>
      <c r="F32" s="26" t="s">
        <v>245</v>
      </c>
      <c r="G32" s="26" t="s">
        <v>249</v>
      </c>
      <c r="H32" s="26" t="s">
        <v>258</v>
      </c>
      <c r="I32" s="26" t="s">
        <v>303</v>
      </c>
      <c r="J32" s="26" t="s">
        <v>311</v>
      </c>
      <c r="K32" s="26" t="s">
        <v>316</v>
      </c>
      <c r="L32" s="26" t="s">
        <v>330</v>
      </c>
      <c r="M32" t="s">
        <v>354</v>
      </c>
      <c r="N32" s="26" t="s">
        <v>355</v>
      </c>
      <c r="O32" t="s">
        <v>359</v>
      </c>
      <c r="P32" t="s">
        <v>360</v>
      </c>
      <c r="R32" t="s">
        <v>56</v>
      </c>
      <c r="S32" t="s">
        <v>56</v>
      </c>
      <c r="T32" t="s">
        <v>56</v>
      </c>
      <c r="U32" s="27" t="str">
        <f>LOOKUP(1,1/(Table1[[#This Row],[Level_0]:[Level 15]]&gt;0),(Table1[[#This Row],[Level_0]:[Level 15]]))</f>
        <v>3020130000 - [IC Sales/COGS and IC profit elimination]</v>
      </c>
      <c r="V32" s="21"/>
    </row>
    <row r="33" spans="1:22" hidden="1" x14ac:dyDescent="0.25">
      <c r="A33" s="16">
        <v>3020131000</v>
      </c>
      <c r="B33" s="16" t="s">
        <v>423</v>
      </c>
      <c r="C33" s="27">
        <v>3020130000</v>
      </c>
      <c r="D33" s="28" t="s">
        <v>58</v>
      </c>
      <c r="E33" s="25" t="s">
        <v>243</v>
      </c>
      <c r="F33" s="26" t="s">
        <v>245</v>
      </c>
      <c r="G33" s="26" t="s">
        <v>249</v>
      </c>
      <c r="H33" s="26" t="s">
        <v>258</v>
      </c>
      <c r="I33" s="26" t="s">
        <v>303</v>
      </c>
      <c r="J33" s="26" t="s">
        <v>311</v>
      </c>
      <c r="K33" s="26" t="s">
        <v>316</v>
      </c>
      <c r="L33" s="26" t="s">
        <v>330</v>
      </c>
      <c r="M33" t="s">
        <v>354</v>
      </c>
      <c r="N33" s="26" t="s">
        <v>355</v>
      </c>
      <c r="O33" t="s">
        <v>359</v>
      </c>
      <c r="P33" t="s">
        <v>360</v>
      </c>
      <c r="Q33" t="s">
        <v>362</v>
      </c>
      <c r="S33" t="s">
        <v>56</v>
      </c>
      <c r="T33" t="s">
        <v>56</v>
      </c>
      <c r="U33" s="27" t="str">
        <f>LOOKUP(1,1/(Table1[[#This Row],[Level_0]:[Level 15]]&gt;0),(Table1[[#This Row],[Level_0]:[Level 15]]))</f>
        <v>3020131000 - [IC Sales/COGS elimination]</v>
      </c>
      <c r="V33" s="21"/>
    </row>
    <row r="34" spans="1:22" hidden="1" x14ac:dyDescent="0.25">
      <c r="A34" s="16">
        <v>3020132000</v>
      </c>
      <c r="B34" s="16" t="s">
        <v>424</v>
      </c>
      <c r="C34" s="27">
        <v>3020130000</v>
      </c>
      <c r="D34" s="28" t="s">
        <v>58</v>
      </c>
      <c r="E34" s="25" t="s">
        <v>243</v>
      </c>
      <c r="F34" s="26" t="s">
        <v>245</v>
      </c>
      <c r="G34" s="26" t="s">
        <v>249</v>
      </c>
      <c r="H34" s="26" t="s">
        <v>258</v>
      </c>
      <c r="I34" s="26" t="s">
        <v>303</v>
      </c>
      <c r="J34" s="26" t="s">
        <v>311</v>
      </c>
      <c r="K34" s="26" t="s">
        <v>316</v>
      </c>
      <c r="L34" s="26" t="s">
        <v>330</v>
      </c>
      <c r="M34" t="s">
        <v>354</v>
      </c>
      <c r="N34" s="26" t="s">
        <v>355</v>
      </c>
      <c r="O34" t="s">
        <v>359</v>
      </c>
      <c r="P34" t="s">
        <v>360</v>
      </c>
      <c r="Q34" t="s">
        <v>361</v>
      </c>
      <c r="S34" t="s">
        <v>56</v>
      </c>
      <c r="T34" t="s">
        <v>56</v>
      </c>
      <c r="U34" s="27" t="str">
        <f>LOOKUP(1,1/(Table1[[#This Row],[Level_0]:[Level 15]]&gt;0),(Table1[[#This Row],[Level_0]:[Level 15]]))</f>
        <v>3020132000 - [IC Profit elimination in inventory]</v>
      </c>
      <c r="V34" s="21"/>
    </row>
    <row r="35" spans="1:22" hidden="1" x14ac:dyDescent="0.25">
      <c r="A35" s="16">
        <v>3020200000</v>
      </c>
      <c r="B35" s="16" t="s">
        <v>425</v>
      </c>
      <c r="C35" s="27">
        <v>3020000000</v>
      </c>
      <c r="D35" s="28" t="s">
        <v>58</v>
      </c>
      <c r="E35" s="25" t="s">
        <v>243</v>
      </c>
      <c r="F35" s="26" t="s">
        <v>245</v>
      </c>
      <c r="G35" s="26" t="s">
        <v>249</v>
      </c>
      <c r="H35" s="26" t="s">
        <v>258</v>
      </c>
      <c r="I35" s="26" t="s">
        <v>303</v>
      </c>
      <c r="J35" s="26" t="s">
        <v>311</v>
      </c>
      <c r="K35" s="26" t="s">
        <v>316</v>
      </c>
      <c r="L35" s="26" t="s">
        <v>330</v>
      </c>
      <c r="M35" t="s">
        <v>354</v>
      </c>
      <c r="N35" s="26" t="s">
        <v>355</v>
      </c>
      <c r="O35" t="s">
        <v>81</v>
      </c>
      <c r="Q35" t="s">
        <v>56</v>
      </c>
      <c r="R35" t="s">
        <v>56</v>
      </c>
      <c r="S35" t="s">
        <v>56</v>
      </c>
      <c r="T35" t="s">
        <v>56</v>
      </c>
      <c r="U35" s="27" t="str">
        <f>LOOKUP(1,1/(Table1[[#This Row],[Level_0]:[Level 15]]&gt;0),(Table1[[#This Row],[Level_0]:[Level 15]]))</f>
        <v>3020200000 - [COGs variances]</v>
      </c>
      <c r="V35" s="21"/>
    </row>
    <row r="36" spans="1:22" hidden="1" x14ac:dyDescent="0.25">
      <c r="A36" s="16">
        <v>3020210000</v>
      </c>
      <c r="B36" s="16" t="s">
        <v>426</v>
      </c>
      <c r="C36" s="27">
        <v>3020200000</v>
      </c>
      <c r="D36" s="28" t="s">
        <v>58</v>
      </c>
      <c r="E36" s="25" t="s">
        <v>243</v>
      </c>
      <c r="F36" s="26" t="s">
        <v>245</v>
      </c>
      <c r="G36" s="26" t="s">
        <v>249</v>
      </c>
      <c r="H36" s="26" t="s">
        <v>258</v>
      </c>
      <c r="I36" s="26" t="s">
        <v>303</v>
      </c>
      <c r="J36" s="26" t="s">
        <v>311</v>
      </c>
      <c r="K36" s="26" t="s">
        <v>316</v>
      </c>
      <c r="L36" s="26" t="s">
        <v>330</v>
      </c>
      <c r="M36" t="s">
        <v>354</v>
      </c>
      <c r="N36" s="26" t="s">
        <v>355</v>
      </c>
      <c r="O36" t="s">
        <v>81</v>
      </c>
      <c r="P36" t="s">
        <v>86</v>
      </c>
      <c r="R36" t="s">
        <v>56</v>
      </c>
      <c r="S36" t="s">
        <v>56</v>
      </c>
      <c r="T36" t="s">
        <v>56</v>
      </c>
      <c r="U36" s="27" t="str">
        <f>LOOKUP(1,1/(Table1[[#This Row],[Level_0]:[Level 15]]&gt;0),(Table1[[#This Row],[Level_0]:[Level 15]]))</f>
        <v>3020210000 - [Material price variances]</v>
      </c>
      <c r="V36" s="21"/>
    </row>
    <row r="37" spans="1:22" hidden="1" x14ac:dyDescent="0.25">
      <c r="A37" s="16">
        <v>3020211000</v>
      </c>
      <c r="B37" s="16" t="s">
        <v>427</v>
      </c>
      <c r="C37" s="27">
        <v>3020210000</v>
      </c>
      <c r="D37" s="28" t="s">
        <v>58</v>
      </c>
      <c r="E37" s="25" t="s">
        <v>243</v>
      </c>
      <c r="F37" s="26" t="s">
        <v>245</v>
      </c>
      <c r="G37" s="26" t="s">
        <v>249</v>
      </c>
      <c r="H37" s="26" t="s">
        <v>258</v>
      </c>
      <c r="I37" s="26" t="s">
        <v>303</v>
      </c>
      <c r="J37" s="26" t="s">
        <v>311</v>
      </c>
      <c r="K37" s="26" t="s">
        <v>316</v>
      </c>
      <c r="L37" s="26" t="s">
        <v>330</v>
      </c>
      <c r="M37" t="s">
        <v>354</v>
      </c>
      <c r="N37" s="26" t="s">
        <v>355</v>
      </c>
      <c r="O37" t="s">
        <v>81</v>
      </c>
      <c r="P37" t="s">
        <v>86</v>
      </c>
      <c r="Q37" t="s">
        <v>88</v>
      </c>
      <c r="S37" t="s">
        <v>56</v>
      </c>
      <c r="T37" t="s">
        <v>56</v>
      </c>
      <c r="U37" s="27" t="str">
        <f>LOOKUP(1,1/(Table1[[#This Row],[Level_0]:[Level 15]]&gt;0),(Table1[[#This Row],[Level_0]:[Level 15]]))</f>
        <v>3020211000 - [Price variances 3rd party]</v>
      </c>
      <c r="V37" s="21"/>
    </row>
    <row r="38" spans="1:22" hidden="1" x14ac:dyDescent="0.25">
      <c r="A38" s="16">
        <v>3020212000</v>
      </c>
      <c r="B38" s="16" t="s">
        <v>428</v>
      </c>
      <c r="C38" s="27">
        <v>3020210000</v>
      </c>
      <c r="D38" s="28" t="s">
        <v>58</v>
      </c>
      <c r="E38" s="25" t="s">
        <v>243</v>
      </c>
      <c r="F38" s="26" t="s">
        <v>245</v>
      </c>
      <c r="G38" s="26" t="s">
        <v>249</v>
      </c>
      <c r="H38" s="26" t="s">
        <v>258</v>
      </c>
      <c r="I38" s="26" t="s">
        <v>303</v>
      </c>
      <c r="J38" s="26" t="s">
        <v>311</v>
      </c>
      <c r="K38" s="26" t="s">
        <v>316</v>
      </c>
      <c r="L38" s="26" t="s">
        <v>330</v>
      </c>
      <c r="M38" t="s">
        <v>354</v>
      </c>
      <c r="N38" s="26" t="s">
        <v>355</v>
      </c>
      <c r="O38" t="s">
        <v>81</v>
      </c>
      <c r="P38" t="s">
        <v>86</v>
      </c>
      <c r="Q38" t="s">
        <v>87</v>
      </c>
      <c r="S38" t="s">
        <v>56</v>
      </c>
      <c r="T38" t="s">
        <v>56</v>
      </c>
      <c r="U38" s="27" t="str">
        <f>LOOKUP(1,1/(Table1[[#This Row],[Level_0]:[Level 15]]&gt;0),(Table1[[#This Row],[Level_0]:[Level 15]]))</f>
        <v>3020212000 - [Price variances IC]</v>
      </c>
      <c r="V38" s="21"/>
    </row>
    <row r="39" spans="1:22" hidden="1" x14ac:dyDescent="0.25">
      <c r="A39" s="16">
        <v>3020220000</v>
      </c>
      <c r="B39" s="16" t="s">
        <v>429</v>
      </c>
      <c r="C39" s="27">
        <v>3020200000</v>
      </c>
      <c r="D39" s="28" t="s">
        <v>58</v>
      </c>
      <c r="E39" s="25" t="s">
        <v>243</v>
      </c>
      <c r="F39" s="26" t="s">
        <v>245</v>
      </c>
      <c r="G39" s="26" t="s">
        <v>249</v>
      </c>
      <c r="H39" s="26" t="s">
        <v>258</v>
      </c>
      <c r="I39" s="26" t="s">
        <v>303</v>
      </c>
      <c r="J39" s="26" t="s">
        <v>311</v>
      </c>
      <c r="K39" s="26" t="s">
        <v>316</v>
      </c>
      <c r="L39" s="26" t="s">
        <v>330</v>
      </c>
      <c r="M39" t="s">
        <v>354</v>
      </c>
      <c r="N39" s="26" t="s">
        <v>355</v>
      </c>
      <c r="O39" t="s">
        <v>81</v>
      </c>
      <c r="P39" t="s">
        <v>85</v>
      </c>
      <c r="R39" t="s">
        <v>56</v>
      </c>
      <c r="S39" t="s">
        <v>56</v>
      </c>
      <c r="T39" t="s">
        <v>56</v>
      </c>
      <c r="U39" s="27" t="str">
        <f>LOOKUP(1,1/(Table1[[#This Row],[Level_0]:[Level 15]]&gt;0),(Table1[[#This Row],[Level_0]:[Level 15]]))</f>
        <v>3020220000 - [Cost center variances]</v>
      </c>
      <c r="V39" s="21"/>
    </row>
    <row r="40" spans="1:22" hidden="1" x14ac:dyDescent="0.25">
      <c r="A40" s="16">
        <v>3020230000</v>
      </c>
      <c r="B40" s="16" t="s">
        <v>430</v>
      </c>
      <c r="C40" s="27">
        <v>3020200000</v>
      </c>
      <c r="D40" s="28" t="s">
        <v>58</v>
      </c>
      <c r="E40" s="25" t="s">
        <v>243</v>
      </c>
      <c r="F40" s="26" t="s">
        <v>245</v>
      </c>
      <c r="G40" s="26" t="s">
        <v>249</v>
      </c>
      <c r="H40" s="26" t="s">
        <v>258</v>
      </c>
      <c r="I40" s="26" t="s">
        <v>303</v>
      </c>
      <c r="J40" s="26" t="s">
        <v>311</v>
      </c>
      <c r="K40" s="26" t="s">
        <v>316</v>
      </c>
      <c r="L40" s="26" t="s">
        <v>330</v>
      </c>
      <c r="M40" t="s">
        <v>354</v>
      </c>
      <c r="N40" s="26" t="s">
        <v>355</v>
      </c>
      <c r="O40" t="s">
        <v>81</v>
      </c>
      <c r="P40" t="s">
        <v>82</v>
      </c>
      <c r="R40" t="s">
        <v>56</v>
      </c>
      <c r="S40" t="s">
        <v>56</v>
      </c>
      <c r="T40" t="s">
        <v>56</v>
      </c>
      <c r="U40" s="27" t="str">
        <f>LOOKUP(1,1/(Table1[[#This Row],[Level_0]:[Level 15]]&gt;0),(Table1[[#This Row],[Level_0]:[Level 15]]))</f>
        <v>3020230000 - [Production order variances]</v>
      </c>
      <c r="V40" s="21"/>
    </row>
    <row r="41" spans="1:22" hidden="1" x14ac:dyDescent="0.25">
      <c r="A41" s="16">
        <v>3020231000</v>
      </c>
      <c r="B41" s="16" t="s">
        <v>431</v>
      </c>
      <c r="C41" s="27">
        <v>3020230000</v>
      </c>
      <c r="D41" s="28" t="s">
        <v>58</v>
      </c>
      <c r="E41" s="25" t="s">
        <v>243</v>
      </c>
      <c r="F41" s="26" t="s">
        <v>245</v>
      </c>
      <c r="G41" s="26" t="s">
        <v>249</v>
      </c>
      <c r="H41" s="26" t="s">
        <v>258</v>
      </c>
      <c r="I41" s="26" t="s">
        <v>303</v>
      </c>
      <c r="J41" s="26" t="s">
        <v>311</v>
      </c>
      <c r="K41" s="26" t="s">
        <v>316</v>
      </c>
      <c r="L41" s="26" t="s">
        <v>330</v>
      </c>
      <c r="M41" t="s">
        <v>354</v>
      </c>
      <c r="N41" s="26" t="s">
        <v>355</v>
      </c>
      <c r="O41" t="s">
        <v>81</v>
      </c>
      <c r="P41" t="s">
        <v>82</v>
      </c>
      <c r="Q41" t="s">
        <v>84</v>
      </c>
      <c r="S41" t="s">
        <v>56</v>
      </c>
      <c r="T41" t="s">
        <v>56</v>
      </c>
      <c r="U41" s="27" t="str">
        <f>LOOKUP(1,1/(Table1[[#This Row],[Level_0]:[Level 15]]&gt;0),(Table1[[#This Row],[Level_0]:[Level 15]]))</f>
        <v>3020231000 - [Production order variances IC input material]</v>
      </c>
      <c r="V41" s="21"/>
    </row>
    <row r="42" spans="1:22" hidden="1" x14ac:dyDescent="0.25">
      <c r="A42" s="16">
        <v>3020232000</v>
      </c>
      <c r="B42" s="16" t="s">
        <v>432</v>
      </c>
      <c r="C42" s="27">
        <v>3020230000</v>
      </c>
      <c r="D42" s="28" t="s">
        <v>58</v>
      </c>
      <c r="E42" s="25" t="s">
        <v>243</v>
      </c>
      <c r="F42" s="26" t="s">
        <v>245</v>
      </c>
      <c r="G42" s="26" t="s">
        <v>249</v>
      </c>
      <c r="H42" s="26" t="s">
        <v>258</v>
      </c>
      <c r="I42" s="26" t="s">
        <v>303</v>
      </c>
      <c r="J42" s="26" t="s">
        <v>311</v>
      </c>
      <c r="K42" s="26" t="s">
        <v>316</v>
      </c>
      <c r="L42" s="26" t="s">
        <v>330</v>
      </c>
      <c r="M42" t="s">
        <v>354</v>
      </c>
      <c r="N42" s="26" t="s">
        <v>355</v>
      </c>
      <c r="O42" t="s">
        <v>81</v>
      </c>
      <c r="P42" t="s">
        <v>82</v>
      </c>
      <c r="Q42" t="s">
        <v>83</v>
      </c>
      <c r="S42" t="s">
        <v>56</v>
      </c>
      <c r="T42" t="s">
        <v>56</v>
      </c>
      <c r="U42" s="27" t="str">
        <f>LOOKUP(1,1/(Table1[[#This Row],[Level_0]:[Level 15]]&gt;0),(Table1[[#This Row],[Level_0]:[Level 15]]))</f>
        <v>3020232000 - [Other production order variances]</v>
      </c>
      <c r="V42" s="21"/>
    </row>
    <row r="43" spans="1:22" hidden="1" x14ac:dyDescent="0.25">
      <c r="A43" s="16">
        <v>3020300000</v>
      </c>
      <c r="B43" s="16" t="s">
        <v>433</v>
      </c>
      <c r="C43" s="27">
        <v>3020000000</v>
      </c>
      <c r="D43" s="28" t="s">
        <v>58</v>
      </c>
      <c r="E43" s="25" t="s">
        <v>243</v>
      </c>
      <c r="F43" s="26" t="s">
        <v>245</v>
      </c>
      <c r="G43" s="26" t="s">
        <v>249</v>
      </c>
      <c r="H43" s="26" t="s">
        <v>258</v>
      </c>
      <c r="I43" s="26" t="s">
        <v>303</v>
      </c>
      <c r="J43" s="26" t="s">
        <v>311</v>
      </c>
      <c r="K43" s="26" t="s">
        <v>316</v>
      </c>
      <c r="L43" s="26" t="s">
        <v>330</v>
      </c>
      <c r="M43" t="s">
        <v>354</v>
      </c>
      <c r="N43" s="26" t="s">
        <v>355</v>
      </c>
      <c r="O43" t="s">
        <v>78</v>
      </c>
      <c r="Q43" t="s">
        <v>56</v>
      </c>
      <c r="R43" t="s">
        <v>56</v>
      </c>
      <c r="S43" t="s">
        <v>56</v>
      </c>
      <c r="T43" t="s">
        <v>56</v>
      </c>
      <c r="U43" s="27" t="str">
        <f>LOOKUP(1,1/(Table1[[#This Row],[Level_0]:[Level 15]]&gt;0),(Table1[[#This Row],[Level_0]:[Level 15]]))</f>
        <v>3020300000 - [Adjustments Sales/COGs]</v>
      </c>
      <c r="V43" s="21"/>
    </row>
    <row r="44" spans="1:22" hidden="1" x14ac:dyDescent="0.25">
      <c r="A44" s="16">
        <v>3020310000</v>
      </c>
      <c r="B44" s="16" t="s">
        <v>434</v>
      </c>
      <c r="C44" s="27">
        <v>3020300000</v>
      </c>
      <c r="D44" s="28" t="s">
        <v>58</v>
      </c>
      <c r="E44" s="25" t="s">
        <v>243</v>
      </c>
      <c r="F44" s="26" t="s">
        <v>245</v>
      </c>
      <c r="G44" s="26" t="s">
        <v>249</v>
      </c>
      <c r="H44" s="26" t="s">
        <v>258</v>
      </c>
      <c r="I44" s="26" t="s">
        <v>303</v>
      </c>
      <c r="J44" s="26" t="s">
        <v>311</v>
      </c>
      <c r="K44" s="26" t="s">
        <v>316</v>
      </c>
      <c r="L44" s="26" t="s">
        <v>330</v>
      </c>
      <c r="M44" t="s">
        <v>354</v>
      </c>
      <c r="N44" s="26" t="s">
        <v>355</v>
      </c>
      <c r="O44" t="s">
        <v>78</v>
      </c>
      <c r="P44" t="s">
        <v>80</v>
      </c>
      <c r="R44" t="s">
        <v>56</v>
      </c>
      <c r="S44" t="s">
        <v>56</v>
      </c>
      <c r="T44" t="s">
        <v>56</v>
      </c>
      <c r="U44" s="27" t="str">
        <f>LOOKUP(1,1/(Table1[[#This Row],[Level_0]:[Level 15]]&gt;0),(Table1[[#This Row],[Level_0]:[Level 15]]))</f>
        <v>3020310000 - [Adjustments sales]</v>
      </c>
      <c r="V44" s="21"/>
    </row>
    <row r="45" spans="1:22" hidden="1" x14ac:dyDescent="0.25">
      <c r="A45" s="16">
        <v>3020320000</v>
      </c>
      <c r="B45" s="16" t="s">
        <v>435</v>
      </c>
      <c r="C45" s="27">
        <v>3020300000</v>
      </c>
      <c r="D45" s="28" t="s">
        <v>58</v>
      </c>
      <c r="E45" s="25" t="s">
        <v>243</v>
      </c>
      <c r="F45" s="26" t="s">
        <v>245</v>
      </c>
      <c r="G45" s="26" t="s">
        <v>249</v>
      </c>
      <c r="H45" s="26" t="s">
        <v>258</v>
      </c>
      <c r="I45" s="26" t="s">
        <v>303</v>
      </c>
      <c r="J45" s="26" t="s">
        <v>311</v>
      </c>
      <c r="K45" s="26" t="s">
        <v>316</v>
      </c>
      <c r="L45" s="26" t="s">
        <v>330</v>
      </c>
      <c r="M45" t="s">
        <v>354</v>
      </c>
      <c r="N45" s="26" t="s">
        <v>355</v>
      </c>
      <c r="O45" t="s">
        <v>78</v>
      </c>
      <c r="P45" t="s">
        <v>79</v>
      </c>
      <c r="R45" t="s">
        <v>56</v>
      </c>
      <c r="S45" t="s">
        <v>56</v>
      </c>
      <c r="T45" t="s">
        <v>56</v>
      </c>
      <c r="U45" s="27" t="str">
        <f>LOOKUP(1,1/(Table1[[#This Row],[Level_0]:[Level 15]]&gt;0),(Table1[[#This Row],[Level_0]:[Level 15]]))</f>
        <v>3020320000 - [Adjustments COGs]</v>
      </c>
      <c r="V45" s="21"/>
    </row>
    <row r="46" spans="1:22" hidden="1" x14ac:dyDescent="0.25">
      <c r="A46" s="16">
        <v>3020400000</v>
      </c>
      <c r="B46" s="16" t="s">
        <v>436</v>
      </c>
      <c r="C46" s="27">
        <v>3020000000</v>
      </c>
      <c r="D46" s="28" t="s">
        <v>58</v>
      </c>
      <c r="E46" s="25" t="s">
        <v>243</v>
      </c>
      <c r="F46" s="26" t="s">
        <v>245</v>
      </c>
      <c r="G46" s="26" t="s">
        <v>249</v>
      </c>
      <c r="H46" s="26" t="s">
        <v>258</v>
      </c>
      <c r="I46" s="26" t="s">
        <v>303</v>
      </c>
      <c r="J46" s="26" t="s">
        <v>311</v>
      </c>
      <c r="K46" s="26" t="s">
        <v>316</v>
      </c>
      <c r="L46" s="26" t="s">
        <v>330</v>
      </c>
      <c r="M46" t="s">
        <v>354</v>
      </c>
      <c r="N46" s="26" t="s">
        <v>355</v>
      </c>
      <c r="O46" t="s">
        <v>357</v>
      </c>
      <c r="Q46" t="s">
        <v>56</v>
      </c>
      <c r="R46" t="s">
        <v>56</v>
      </c>
      <c r="S46" t="s">
        <v>56</v>
      </c>
      <c r="T46" t="s">
        <v>56</v>
      </c>
      <c r="U46" s="27" t="str">
        <f>LOOKUP(1,1/(Table1[[#This Row],[Level_0]:[Level 15]]&gt;0),(Table1[[#This Row],[Level_0]:[Level 15]]))</f>
        <v>3020400000 - [Inventory adjustments]</v>
      </c>
      <c r="V46" s="21"/>
    </row>
    <row r="47" spans="1:22" hidden="1" x14ac:dyDescent="0.25">
      <c r="A47" s="16">
        <v>3020401000</v>
      </c>
      <c r="B47" s="16" t="s">
        <v>437</v>
      </c>
      <c r="C47" s="27">
        <v>3020400000</v>
      </c>
      <c r="D47" s="28" t="s">
        <v>58</v>
      </c>
      <c r="E47" s="25" t="s">
        <v>243</v>
      </c>
      <c r="F47" s="26" t="s">
        <v>245</v>
      </c>
      <c r="G47" s="26" t="s">
        <v>249</v>
      </c>
      <c r="H47" s="26" t="s">
        <v>258</v>
      </c>
      <c r="I47" s="26" t="s">
        <v>303</v>
      </c>
      <c r="J47" s="26" t="s">
        <v>311</v>
      </c>
      <c r="K47" s="26" t="s">
        <v>316</v>
      </c>
      <c r="L47" s="26" t="s">
        <v>330</v>
      </c>
      <c r="M47" t="s">
        <v>354</v>
      </c>
      <c r="N47" s="26" t="s">
        <v>355</v>
      </c>
      <c r="O47" t="s">
        <v>357</v>
      </c>
      <c r="P47" t="s">
        <v>71</v>
      </c>
      <c r="R47" t="s">
        <v>56</v>
      </c>
      <c r="S47" t="s">
        <v>56</v>
      </c>
      <c r="T47" t="s">
        <v>56</v>
      </c>
      <c r="U47" s="27" t="str">
        <f>LOOKUP(1,1/(Table1[[#This Row],[Level_0]:[Level 15]]&gt;0),(Table1[[#This Row],[Level_0]:[Level 15]]))</f>
        <v>3020401000 - [Destroyed / disposed materials]</v>
      </c>
      <c r="V47" s="21"/>
    </row>
    <row r="48" spans="1:22" hidden="1" x14ac:dyDescent="0.25">
      <c r="A48" s="16">
        <v>3020410000</v>
      </c>
      <c r="B48" s="16" t="s">
        <v>438</v>
      </c>
      <c r="C48" s="27">
        <v>3020401000</v>
      </c>
      <c r="D48" s="28" t="s">
        <v>58</v>
      </c>
      <c r="E48" s="25" t="s">
        <v>243</v>
      </c>
      <c r="F48" s="26" t="s">
        <v>245</v>
      </c>
      <c r="G48" s="26" t="s">
        <v>249</v>
      </c>
      <c r="H48" s="26" t="s">
        <v>258</v>
      </c>
      <c r="I48" s="26" t="s">
        <v>303</v>
      </c>
      <c r="J48" s="26" t="s">
        <v>311</v>
      </c>
      <c r="K48" s="26" t="s">
        <v>316</v>
      </c>
      <c r="L48" s="26" t="s">
        <v>330</v>
      </c>
      <c r="M48" t="s">
        <v>354</v>
      </c>
      <c r="N48" s="26" t="s">
        <v>355</v>
      </c>
      <c r="O48" t="s">
        <v>357</v>
      </c>
      <c r="P48" t="s">
        <v>71</v>
      </c>
      <c r="Q48" t="s">
        <v>73</v>
      </c>
      <c r="S48" t="s">
        <v>56</v>
      </c>
      <c r="T48" t="s">
        <v>56</v>
      </c>
      <c r="U48" s="27" t="str">
        <f>LOOKUP(1,1/(Table1[[#This Row],[Level_0]:[Level 15]]&gt;0),(Table1[[#This Row],[Level_0]:[Level 15]]))</f>
        <v>3020410000 - [Destroyed / disposed material 3rd parties]</v>
      </c>
      <c r="V48" s="21"/>
    </row>
    <row r="49" spans="1:22" hidden="1" x14ac:dyDescent="0.25">
      <c r="A49" s="16">
        <v>3020420000</v>
      </c>
      <c r="B49" s="16" t="s">
        <v>439</v>
      </c>
      <c r="C49" s="27">
        <v>3020401000</v>
      </c>
      <c r="D49" s="28" t="s">
        <v>58</v>
      </c>
      <c r="E49" s="25" t="s">
        <v>243</v>
      </c>
      <c r="F49" s="26" t="s">
        <v>245</v>
      </c>
      <c r="G49" s="26" t="s">
        <v>249</v>
      </c>
      <c r="H49" s="26" t="s">
        <v>258</v>
      </c>
      <c r="I49" s="26" t="s">
        <v>303</v>
      </c>
      <c r="J49" s="26" t="s">
        <v>311</v>
      </c>
      <c r="K49" s="26" t="s">
        <v>316</v>
      </c>
      <c r="L49" s="26" t="s">
        <v>330</v>
      </c>
      <c r="M49" t="s">
        <v>354</v>
      </c>
      <c r="N49" s="26" t="s">
        <v>355</v>
      </c>
      <c r="O49" t="s">
        <v>357</v>
      </c>
      <c r="P49" t="s">
        <v>71</v>
      </c>
      <c r="Q49" t="s">
        <v>72</v>
      </c>
      <c r="S49" t="s">
        <v>56</v>
      </c>
      <c r="T49" t="s">
        <v>56</v>
      </c>
      <c r="U49" s="27" t="str">
        <f>LOOKUP(1,1/(Table1[[#This Row],[Level_0]:[Level 15]]&gt;0),(Table1[[#This Row],[Level_0]:[Level 15]]))</f>
        <v>3020420000 - [Destroyed / disposed material IC]</v>
      </c>
      <c r="V49" s="21"/>
    </row>
    <row r="50" spans="1:22" hidden="1" x14ac:dyDescent="0.25">
      <c r="A50" s="16">
        <v>3020402000</v>
      </c>
      <c r="B50" s="16" t="s">
        <v>440</v>
      </c>
      <c r="C50" s="27">
        <v>3020400000</v>
      </c>
      <c r="D50" s="28" t="s">
        <v>58</v>
      </c>
      <c r="E50" s="25" t="s">
        <v>243</v>
      </c>
      <c r="F50" s="26" t="s">
        <v>245</v>
      </c>
      <c r="G50" s="26" t="s">
        <v>249</v>
      </c>
      <c r="H50" s="26" t="s">
        <v>258</v>
      </c>
      <c r="I50" s="26" t="s">
        <v>303</v>
      </c>
      <c r="J50" s="26" t="s">
        <v>311</v>
      </c>
      <c r="K50" s="26" t="s">
        <v>316</v>
      </c>
      <c r="L50" s="26" t="s">
        <v>330</v>
      </c>
      <c r="M50" t="s">
        <v>354</v>
      </c>
      <c r="N50" s="26" t="s">
        <v>355</v>
      </c>
      <c r="O50" t="s">
        <v>357</v>
      </c>
      <c r="P50" t="s">
        <v>358</v>
      </c>
      <c r="R50" t="s">
        <v>56</v>
      </c>
      <c r="S50" t="s">
        <v>56</v>
      </c>
      <c r="T50" t="s">
        <v>56</v>
      </c>
      <c r="U50" s="27" t="str">
        <f>LOOKUP(1,1/(Table1[[#This Row],[Level_0]:[Level 15]]&gt;0),(Table1[[#This Row],[Level_0]:[Level 15]]))</f>
        <v>3020402000 - [Valuation adjustments]</v>
      </c>
      <c r="V50" s="21"/>
    </row>
    <row r="51" spans="1:22" hidden="1" x14ac:dyDescent="0.25">
      <c r="A51" s="16">
        <v>3020430000</v>
      </c>
      <c r="B51" s="16" t="s">
        <v>441</v>
      </c>
      <c r="C51" s="27">
        <v>3020402000</v>
      </c>
      <c r="D51" s="28" t="s">
        <v>58</v>
      </c>
      <c r="E51" s="25" t="s">
        <v>243</v>
      </c>
      <c r="F51" s="26" t="s">
        <v>245</v>
      </c>
      <c r="G51" s="26" t="s">
        <v>249</v>
      </c>
      <c r="H51" s="26" t="s">
        <v>258</v>
      </c>
      <c r="I51" s="26" t="s">
        <v>303</v>
      </c>
      <c r="J51" s="26" t="s">
        <v>311</v>
      </c>
      <c r="K51" s="26" t="s">
        <v>316</v>
      </c>
      <c r="L51" s="26" t="s">
        <v>330</v>
      </c>
      <c r="M51" t="s">
        <v>354</v>
      </c>
      <c r="N51" s="26" t="s">
        <v>355</v>
      </c>
      <c r="O51" t="s">
        <v>357</v>
      </c>
      <c r="P51" t="s">
        <v>358</v>
      </c>
      <c r="Q51" t="s">
        <v>70</v>
      </c>
      <c r="S51" t="s">
        <v>56</v>
      </c>
      <c r="T51" t="s">
        <v>56</v>
      </c>
      <c r="U51" s="27" t="str">
        <f>LOOKUP(1,1/(Table1[[#This Row],[Level_0]:[Level 15]]&gt;0),(Table1[[#This Row],[Level_0]:[Level 15]]))</f>
        <v>3020430000 - [Valuation adjustments 3rd parties]</v>
      </c>
      <c r="V51" s="21"/>
    </row>
    <row r="52" spans="1:22" hidden="1" x14ac:dyDescent="0.25">
      <c r="A52" s="16">
        <v>3020440000</v>
      </c>
      <c r="B52" s="16" t="s">
        <v>442</v>
      </c>
      <c r="C52" s="27">
        <v>3020402000</v>
      </c>
      <c r="D52" s="28" t="s">
        <v>58</v>
      </c>
      <c r="E52" s="25" t="s">
        <v>243</v>
      </c>
      <c r="F52" s="26" t="s">
        <v>245</v>
      </c>
      <c r="G52" s="26" t="s">
        <v>249</v>
      </c>
      <c r="H52" s="26" t="s">
        <v>258</v>
      </c>
      <c r="I52" s="26" t="s">
        <v>303</v>
      </c>
      <c r="J52" s="26" t="s">
        <v>311</v>
      </c>
      <c r="K52" s="26" t="s">
        <v>316</v>
      </c>
      <c r="L52" s="26" t="s">
        <v>330</v>
      </c>
      <c r="M52" t="s">
        <v>354</v>
      </c>
      <c r="N52" s="26" t="s">
        <v>355</v>
      </c>
      <c r="O52" t="s">
        <v>357</v>
      </c>
      <c r="P52" t="s">
        <v>358</v>
      </c>
      <c r="Q52" t="s">
        <v>69</v>
      </c>
      <c r="S52" t="s">
        <v>56</v>
      </c>
      <c r="T52" t="s">
        <v>56</v>
      </c>
      <c r="U52" s="27" t="str">
        <f>LOOKUP(1,1/(Table1[[#This Row],[Level_0]:[Level 15]]&gt;0),(Table1[[#This Row],[Level_0]:[Level 15]]))</f>
        <v>3020440000 - [Valuation adjustments IC]</v>
      </c>
      <c r="V52" s="21"/>
    </row>
    <row r="53" spans="1:22" hidden="1" x14ac:dyDescent="0.25">
      <c r="A53" s="16">
        <v>3020450000</v>
      </c>
      <c r="B53" s="16" t="s">
        <v>443</v>
      </c>
      <c r="C53" s="27">
        <v>3020402000</v>
      </c>
      <c r="D53" s="28" t="s">
        <v>58</v>
      </c>
      <c r="E53" s="25" t="s">
        <v>243</v>
      </c>
      <c r="F53" s="26" t="s">
        <v>245</v>
      </c>
      <c r="G53" s="26" t="s">
        <v>249</v>
      </c>
      <c r="H53" s="26" t="s">
        <v>258</v>
      </c>
      <c r="I53" s="26" t="s">
        <v>303</v>
      </c>
      <c r="J53" s="26" t="s">
        <v>311</v>
      </c>
      <c r="K53" s="26" t="s">
        <v>316</v>
      </c>
      <c r="L53" s="26" t="s">
        <v>330</v>
      </c>
      <c r="M53" t="s">
        <v>354</v>
      </c>
      <c r="N53" s="26" t="s">
        <v>355</v>
      </c>
      <c r="O53" t="s">
        <v>357</v>
      </c>
      <c r="P53" t="s">
        <v>358</v>
      </c>
      <c r="Q53" t="s">
        <v>105</v>
      </c>
      <c r="S53" t="s">
        <v>56</v>
      </c>
      <c r="T53" t="s">
        <v>56</v>
      </c>
      <c r="U53" s="27" t="str">
        <f>LOOKUP(1,1/(Table1[[#This Row],[Level_0]:[Level 15]]&gt;0),(Table1[[#This Row],[Level_0]:[Level 15]]))</f>
        <v>3020450000 - [Valuation adjustments on amortized Intangibles]</v>
      </c>
      <c r="V53" s="21"/>
    </row>
    <row r="54" spans="1:22" hidden="1" x14ac:dyDescent="0.25">
      <c r="A54" s="16">
        <v>3020501000</v>
      </c>
      <c r="B54" s="16" t="s">
        <v>444</v>
      </c>
      <c r="C54" s="27">
        <v>3020000000</v>
      </c>
      <c r="D54" s="28" t="s">
        <v>58</v>
      </c>
      <c r="E54" s="25" t="s">
        <v>243</v>
      </c>
      <c r="F54" s="26" t="s">
        <v>245</v>
      </c>
      <c r="G54" s="26" t="s">
        <v>249</v>
      </c>
      <c r="H54" s="26" t="s">
        <v>258</v>
      </c>
      <c r="I54" s="26" t="s">
        <v>303</v>
      </c>
      <c r="J54" s="26" t="s">
        <v>311</v>
      </c>
      <c r="K54" s="26" t="s">
        <v>316</v>
      </c>
      <c r="L54" s="26" t="s">
        <v>330</v>
      </c>
      <c r="M54" t="s">
        <v>354</v>
      </c>
      <c r="N54" s="26" t="s">
        <v>355</v>
      </c>
      <c r="O54" t="s">
        <v>356</v>
      </c>
      <c r="Q54" t="s">
        <v>56</v>
      </c>
      <c r="R54" t="s">
        <v>56</v>
      </c>
      <c r="S54" t="s">
        <v>56</v>
      </c>
      <c r="T54" t="s">
        <v>56</v>
      </c>
      <c r="U54" s="27" t="str">
        <f>LOOKUP(1,1/(Table1[[#This Row],[Level_0]:[Level 15]]&gt;0),(Table1[[#This Row],[Level_0]:[Level 15]]))</f>
        <v>3020501000 - [Inventory revaluations and capitalizations]</v>
      </c>
      <c r="V54" s="21"/>
    </row>
    <row r="55" spans="1:22" hidden="1" x14ac:dyDescent="0.25">
      <c r="A55" s="16">
        <v>3020500000</v>
      </c>
      <c r="B55" s="16" t="s">
        <v>445</v>
      </c>
      <c r="C55" s="27">
        <v>3020501000</v>
      </c>
      <c r="D55" s="28" t="s">
        <v>58</v>
      </c>
      <c r="E55" s="25" t="s">
        <v>243</v>
      </c>
      <c r="F55" s="26" t="s">
        <v>245</v>
      </c>
      <c r="G55" s="26" t="s">
        <v>249</v>
      </c>
      <c r="H55" s="26" t="s">
        <v>258</v>
      </c>
      <c r="I55" s="26" t="s">
        <v>303</v>
      </c>
      <c r="J55" s="26" t="s">
        <v>311</v>
      </c>
      <c r="K55" s="26" t="s">
        <v>316</v>
      </c>
      <c r="L55" s="26" t="s">
        <v>330</v>
      </c>
      <c r="M55" t="s">
        <v>354</v>
      </c>
      <c r="N55" s="26" t="s">
        <v>355</v>
      </c>
      <c r="O55" t="s">
        <v>356</v>
      </c>
      <c r="P55" t="s">
        <v>66</v>
      </c>
      <c r="R55" t="s">
        <v>56</v>
      </c>
      <c r="S55" t="s">
        <v>56</v>
      </c>
      <c r="T55" t="s">
        <v>56</v>
      </c>
      <c r="U55" s="27" t="str">
        <f>LOOKUP(1,1/(Table1[[#This Row],[Level_0]:[Level 15]]&gt;0),(Table1[[#This Row],[Level_0]:[Level 15]]))</f>
        <v>3020500000 - [Inventory revaluations]</v>
      </c>
      <c r="V55" s="21"/>
    </row>
    <row r="56" spans="1:22" hidden="1" x14ac:dyDescent="0.25">
      <c r="A56" s="16">
        <v>3020510000</v>
      </c>
      <c r="B56" s="16" t="s">
        <v>446</v>
      </c>
      <c r="C56" s="27">
        <v>3020500000</v>
      </c>
      <c r="D56" s="28" t="s">
        <v>58</v>
      </c>
      <c r="E56" s="25" t="s">
        <v>243</v>
      </c>
      <c r="F56" s="26" t="s">
        <v>245</v>
      </c>
      <c r="G56" s="26" t="s">
        <v>249</v>
      </c>
      <c r="H56" s="26" t="s">
        <v>258</v>
      </c>
      <c r="I56" s="26" t="s">
        <v>303</v>
      </c>
      <c r="J56" s="26" t="s">
        <v>311</v>
      </c>
      <c r="K56" s="26" t="s">
        <v>316</v>
      </c>
      <c r="L56" s="26" t="s">
        <v>330</v>
      </c>
      <c r="M56" t="s">
        <v>354</v>
      </c>
      <c r="N56" s="26" t="s">
        <v>355</v>
      </c>
      <c r="O56" t="s">
        <v>356</v>
      </c>
      <c r="P56" t="s">
        <v>66</v>
      </c>
      <c r="Q56" t="s">
        <v>68</v>
      </c>
      <c r="S56" t="s">
        <v>56</v>
      </c>
      <c r="T56" t="s">
        <v>56</v>
      </c>
      <c r="U56" s="27" t="str">
        <f>LOOKUP(1,1/(Table1[[#This Row],[Level_0]:[Level 15]]&gt;0),(Table1[[#This Row],[Level_0]:[Level 15]]))</f>
        <v>3020510000 - [Inventory revaluation 3rd parties]</v>
      </c>
      <c r="V56" s="21"/>
    </row>
    <row r="57" spans="1:22" hidden="1" x14ac:dyDescent="0.25">
      <c r="A57" s="16">
        <v>3020520000</v>
      </c>
      <c r="B57" s="16" t="s">
        <v>447</v>
      </c>
      <c r="C57" s="27">
        <v>3020500000</v>
      </c>
      <c r="D57" s="28" t="s">
        <v>58</v>
      </c>
      <c r="E57" s="25" t="s">
        <v>243</v>
      </c>
      <c r="F57" s="26" t="s">
        <v>245</v>
      </c>
      <c r="G57" s="26" t="s">
        <v>249</v>
      </c>
      <c r="H57" s="26" t="s">
        <v>258</v>
      </c>
      <c r="I57" s="26" t="s">
        <v>303</v>
      </c>
      <c r="J57" s="26" t="s">
        <v>311</v>
      </c>
      <c r="K57" s="26" t="s">
        <v>316</v>
      </c>
      <c r="L57" s="26" t="s">
        <v>330</v>
      </c>
      <c r="M57" t="s">
        <v>354</v>
      </c>
      <c r="N57" s="26" t="s">
        <v>355</v>
      </c>
      <c r="O57" t="s">
        <v>356</v>
      </c>
      <c r="P57" t="s">
        <v>66</v>
      </c>
      <c r="Q57" t="s">
        <v>67</v>
      </c>
      <c r="S57" t="s">
        <v>56</v>
      </c>
      <c r="T57" t="s">
        <v>56</v>
      </c>
      <c r="U57" s="27" t="str">
        <f>LOOKUP(1,1/(Table1[[#This Row],[Level_0]:[Level 15]]&gt;0),(Table1[[#This Row],[Level_0]:[Level 15]]))</f>
        <v>3020520000 - [Inventory revaluation IC]</v>
      </c>
      <c r="V57" s="21"/>
    </row>
    <row r="58" spans="1:22" hidden="1" x14ac:dyDescent="0.25">
      <c r="A58" s="16">
        <v>3020502000</v>
      </c>
      <c r="B58" s="16" t="s">
        <v>448</v>
      </c>
      <c r="C58" s="27">
        <v>3020501000</v>
      </c>
      <c r="D58" s="28" t="s">
        <v>58</v>
      </c>
      <c r="E58" s="25" t="s">
        <v>243</v>
      </c>
      <c r="F58" s="26" t="s">
        <v>245</v>
      </c>
      <c r="G58" s="26" t="s">
        <v>249</v>
      </c>
      <c r="H58" s="26" t="s">
        <v>258</v>
      </c>
      <c r="I58" s="26" t="s">
        <v>303</v>
      </c>
      <c r="J58" s="26" t="s">
        <v>311</v>
      </c>
      <c r="K58" s="26" t="s">
        <v>316</v>
      </c>
      <c r="L58" s="26" t="s">
        <v>330</v>
      </c>
      <c r="M58" t="s">
        <v>354</v>
      </c>
      <c r="N58" s="26" t="s">
        <v>355</v>
      </c>
      <c r="O58" t="s">
        <v>356</v>
      </c>
      <c r="P58" t="s">
        <v>104</v>
      </c>
      <c r="R58" t="s">
        <v>56</v>
      </c>
      <c r="S58" t="s">
        <v>56</v>
      </c>
      <c r="T58" t="s">
        <v>56</v>
      </c>
      <c r="U58" s="27" t="str">
        <f>LOOKUP(1,1/(Table1[[#This Row],[Level_0]:[Level 15]]&gt;0),(Table1[[#This Row],[Level_0]:[Level 15]]))</f>
        <v>3020502000 - [Capitalized amortization intangibles (COGs)]</v>
      </c>
      <c r="V58" s="21"/>
    </row>
    <row r="59" spans="1:22" hidden="1" x14ac:dyDescent="0.25">
      <c r="A59" s="16">
        <v>3020530000</v>
      </c>
      <c r="B59" s="16" t="s">
        <v>449</v>
      </c>
      <c r="C59" s="27">
        <v>3020501000</v>
      </c>
      <c r="D59" s="28" t="s">
        <v>58</v>
      </c>
      <c r="E59" s="25" t="s">
        <v>243</v>
      </c>
      <c r="F59" s="26" t="s">
        <v>245</v>
      </c>
      <c r="G59" s="26" t="s">
        <v>249</v>
      </c>
      <c r="H59" s="26" t="s">
        <v>258</v>
      </c>
      <c r="I59" s="26" t="s">
        <v>303</v>
      </c>
      <c r="J59" s="26" t="s">
        <v>311</v>
      </c>
      <c r="K59" s="26" t="s">
        <v>316</v>
      </c>
      <c r="L59" s="26" t="s">
        <v>330</v>
      </c>
      <c r="M59" t="s">
        <v>354</v>
      </c>
      <c r="N59" s="26" t="s">
        <v>355</v>
      </c>
      <c r="O59" t="s">
        <v>356</v>
      </c>
      <c r="P59" t="s">
        <v>60</v>
      </c>
      <c r="R59" t="s">
        <v>56</v>
      </c>
      <c r="S59" t="s">
        <v>56</v>
      </c>
      <c r="T59" t="s">
        <v>56</v>
      </c>
      <c r="U59" s="27" t="str">
        <f>LOOKUP(1,1/(Table1[[#This Row],[Level_0]:[Level 15]]&gt;0),(Table1[[#This Row],[Level_0]:[Level 15]]))</f>
        <v>3020530000 - [Capitalized variances]</v>
      </c>
      <c r="V59" s="21"/>
    </row>
    <row r="60" spans="1:22" hidden="1" x14ac:dyDescent="0.25">
      <c r="A60" s="16">
        <v>3020531100</v>
      </c>
      <c r="B60" s="16" t="s">
        <v>450</v>
      </c>
      <c r="C60" s="27">
        <v>3020530000</v>
      </c>
      <c r="D60" s="28" t="s">
        <v>58</v>
      </c>
      <c r="E60" s="25" t="s">
        <v>243</v>
      </c>
      <c r="F60" s="26" t="s">
        <v>245</v>
      </c>
      <c r="G60" s="26" t="s">
        <v>249</v>
      </c>
      <c r="H60" s="26" t="s">
        <v>258</v>
      </c>
      <c r="I60" s="26" t="s">
        <v>303</v>
      </c>
      <c r="J60" s="26" t="s">
        <v>311</v>
      </c>
      <c r="K60" s="26" t="s">
        <v>316</v>
      </c>
      <c r="L60" s="26" t="s">
        <v>330</v>
      </c>
      <c r="M60" t="s">
        <v>354</v>
      </c>
      <c r="N60" s="26" t="s">
        <v>355</v>
      </c>
      <c r="O60" t="s">
        <v>356</v>
      </c>
      <c r="P60" t="s">
        <v>60</v>
      </c>
      <c r="Q60" t="s">
        <v>65</v>
      </c>
      <c r="S60" t="s">
        <v>56</v>
      </c>
      <c r="T60" t="s">
        <v>56</v>
      </c>
      <c r="U60" s="27" t="str">
        <f>LOOKUP(1,1/(Table1[[#This Row],[Level_0]:[Level 15]]&gt;0),(Table1[[#This Row],[Level_0]:[Level 15]]))</f>
        <v>3020531100 - [Capitalized material price variances 3rd party]</v>
      </c>
      <c r="V60" s="21"/>
    </row>
    <row r="61" spans="1:22" hidden="1" x14ac:dyDescent="0.25">
      <c r="A61" s="16">
        <v>3020531200</v>
      </c>
      <c r="B61" s="16" t="s">
        <v>451</v>
      </c>
      <c r="C61" s="27">
        <v>3020530000</v>
      </c>
      <c r="D61" s="28" t="s">
        <v>58</v>
      </c>
      <c r="E61" s="25" t="s">
        <v>243</v>
      </c>
      <c r="F61" s="26" t="s">
        <v>245</v>
      </c>
      <c r="G61" s="26" t="s">
        <v>249</v>
      </c>
      <c r="H61" s="26" t="s">
        <v>258</v>
      </c>
      <c r="I61" s="26" t="s">
        <v>303</v>
      </c>
      <c r="J61" s="26" t="s">
        <v>311</v>
      </c>
      <c r="K61" s="26" t="s">
        <v>316</v>
      </c>
      <c r="L61" s="26" t="s">
        <v>330</v>
      </c>
      <c r="M61" t="s">
        <v>354</v>
      </c>
      <c r="N61" s="26" t="s">
        <v>355</v>
      </c>
      <c r="O61" t="s">
        <v>356</v>
      </c>
      <c r="P61" t="s">
        <v>60</v>
      </c>
      <c r="Q61" t="s">
        <v>64</v>
      </c>
      <c r="S61" t="s">
        <v>56</v>
      </c>
      <c r="T61" t="s">
        <v>56</v>
      </c>
      <c r="U61" s="27" t="str">
        <f>LOOKUP(1,1/(Table1[[#This Row],[Level_0]:[Level 15]]&gt;0),(Table1[[#This Row],[Level_0]:[Level 15]]))</f>
        <v>3020531200 - [Capitalized material price variances IC]</v>
      </c>
      <c r="V61" s="21"/>
    </row>
    <row r="62" spans="1:22" hidden="1" x14ac:dyDescent="0.25">
      <c r="A62" s="16">
        <v>3020531300</v>
      </c>
      <c r="B62" s="16" t="s">
        <v>451</v>
      </c>
      <c r="C62" s="27">
        <v>3020530000</v>
      </c>
      <c r="D62" s="28" t="s">
        <v>58</v>
      </c>
      <c r="E62" s="25" t="s">
        <v>243</v>
      </c>
      <c r="F62" s="26" t="s">
        <v>245</v>
      </c>
      <c r="G62" s="26" t="s">
        <v>249</v>
      </c>
      <c r="H62" s="26" t="s">
        <v>258</v>
      </c>
      <c r="I62" s="26" t="s">
        <v>303</v>
      </c>
      <c r="J62" s="26" t="s">
        <v>311</v>
      </c>
      <c r="K62" s="26" t="s">
        <v>316</v>
      </c>
      <c r="L62" s="26" t="s">
        <v>330</v>
      </c>
      <c r="M62" t="s">
        <v>354</v>
      </c>
      <c r="N62" s="26" t="s">
        <v>355</v>
      </c>
      <c r="O62" t="s">
        <v>356</v>
      </c>
      <c r="P62" t="s">
        <v>60</v>
      </c>
      <c r="Q62" t="s">
        <v>761</v>
      </c>
      <c r="S62" t="s">
        <v>56</v>
      </c>
      <c r="T62" t="s">
        <v>56</v>
      </c>
      <c r="U62" s="27" t="str">
        <f>LOOKUP(1,1/(Table1[[#This Row],[Level_0]:[Level 15]]&gt;0),(Table1[[#This Row],[Level_0]:[Level 15]]))</f>
        <v>3020531300 - [Pierre - No Name maintained]</v>
      </c>
      <c r="V62" s="21"/>
    </row>
    <row r="63" spans="1:22" hidden="1" x14ac:dyDescent="0.25">
      <c r="A63" s="16">
        <v>3020532000</v>
      </c>
      <c r="B63" s="16" t="s">
        <v>452</v>
      </c>
      <c r="C63" s="27">
        <v>3020530000</v>
      </c>
      <c r="D63" s="28" t="s">
        <v>58</v>
      </c>
      <c r="E63" s="25" t="s">
        <v>243</v>
      </c>
      <c r="F63" s="26" t="s">
        <v>245</v>
      </c>
      <c r="G63" s="26" t="s">
        <v>249</v>
      </c>
      <c r="H63" s="26" t="s">
        <v>258</v>
      </c>
      <c r="I63" s="26" t="s">
        <v>303</v>
      </c>
      <c r="J63" s="26" t="s">
        <v>311</v>
      </c>
      <c r="K63" s="26" t="s">
        <v>316</v>
      </c>
      <c r="L63" s="26" t="s">
        <v>330</v>
      </c>
      <c r="M63" t="s">
        <v>354</v>
      </c>
      <c r="N63" s="26" t="s">
        <v>355</v>
      </c>
      <c r="O63" t="s">
        <v>356</v>
      </c>
      <c r="P63" t="s">
        <v>60</v>
      </c>
      <c r="Q63" t="s">
        <v>63</v>
      </c>
      <c r="S63" t="s">
        <v>56</v>
      </c>
      <c r="T63" t="s">
        <v>56</v>
      </c>
      <c r="U63" s="27" t="str">
        <f>LOOKUP(1,1/(Table1[[#This Row],[Level_0]:[Level 15]]&gt;0),(Table1[[#This Row],[Level_0]:[Level 15]]))</f>
        <v>3020532000 - [Capitalized cost center variances]</v>
      </c>
      <c r="V63" s="21"/>
    </row>
    <row r="64" spans="1:22" hidden="1" x14ac:dyDescent="0.25">
      <c r="A64" s="16">
        <v>3020533100</v>
      </c>
      <c r="B64" s="16" t="s">
        <v>453</v>
      </c>
      <c r="C64" s="27">
        <v>3020530000</v>
      </c>
      <c r="D64" s="28" t="s">
        <v>58</v>
      </c>
      <c r="E64" s="25" t="s">
        <v>243</v>
      </c>
      <c r="F64" s="26" t="s">
        <v>245</v>
      </c>
      <c r="G64" s="26" t="s">
        <v>249</v>
      </c>
      <c r="H64" s="26" t="s">
        <v>258</v>
      </c>
      <c r="I64" s="26" t="s">
        <v>303</v>
      </c>
      <c r="J64" s="26" t="s">
        <v>311</v>
      </c>
      <c r="K64" s="26" t="s">
        <v>316</v>
      </c>
      <c r="L64" s="26" t="s">
        <v>330</v>
      </c>
      <c r="M64" t="s">
        <v>354</v>
      </c>
      <c r="N64" s="26" t="s">
        <v>355</v>
      </c>
      <c r="O64" t="s">
        <v>356</v>
      </c>
      <c r="P64" t="s">
        <v>60</v>
      </c>
      <c r="Q64" t="s">
        <v>62</v>
      </c>
      <c r="S64" t="s">
        <v>56</v>
      </c>
      <c r="T64" t="s">
        <v>56</v>
      </c>
      <c r="U64" s="27" t="str">
        <f>LOOKUP(1,1/(Table1[[#This Row],[Level_0]:[Level 15]]&gt;0),(Table1[[#This Row],[Level_0]:[Level 15]]))</f>
        <v>3020533100 - [Capitalized production order variances 3rd party material]</v>
      </c>
      <c r="V64" s="21"/>
    </row>
    <row r="65" spans="1:22" hidden="1" x14ac:dyDescent="0.25">
      <c r="A65" s="16">
        <v>3020533200</v>
      </c>
      <c r="B65" s="16" t="s">
        <v>454</v>
      </c>
      <c r="C65" s="27">
        <v>3020530000</v>
      </c>
      <c r="D65" s="28" t="s">
        <v>58</v>
      </c>
      <c r="E65" s="25" t="s">
        <v>243</v>
      </c>
      <c r="F65" s="26" t="s">
        <v>245</v>
      </c>
      <c r="G65" s="26" t="s">
        <v>249</v>
      </c>
      <c r="H65" s="26" t="s">
        <v>258</v>
      </c>
      <c r="I65" s="26" t="s">
        <v>303</v>
      </c>
      <c r="J65" s="26" t="s">
        <v>311</v>
      </c>
      <c r="K65" s="26" t="s">
        <v>316</v>
      </c>
      <c r="L65" s="26" t="s">
        <v>330</v>
      </c>
      <c r="M65" t="s">
        <v>354</v>
      </c>
      <c r="N65" s="26" t="s">
        <v>355</v>
      </c>
      <c r="O65" t="s">
        <v>356</v>
      </c>
      <c r="P65" t="s">
        <v>60</v>
      </c>
      <c r="Q65" t="s">
        <v>61</v>
      </c>
      <c r="S65" t="s">
        <v>56</v>
      </c>
      <c r="T65" t="s">
        <v>56</v>
      </c>
      <c r="U65" s="27" t="str">
        <f>LOOKUP(1,1/(Table1[[#This Row],[Level_0]:[Level 15]]&gt;0),(Table1[[#This Row],[Level_0]:[Level 15]]))</f>
        <v>3020533200 - [Capitalized production order variances IC input material]</v>
      </c>
      <c r="V65" s="21"/>
    </row>
    <row r="66" spans="1:22" hidden="1" x14ac:dyDescent="0.25">
      <c r="A66" s="16">
        <v>3020700000</v>
      </c>
      <c r="B66" s="16" t="s">
        <v>455</v>
      </c>
      <c r="C66" s="27">
        <v>3020000000</v>
      </c>
      <c r="D66" s="28" t="s">
        <v>58</v>
      </c>
      <c r="E66" s="25" t="s">
        <v>243</v>
      </c>
      <c r="F66" s="26" t="s">
        <v>245</v>
      </c>
      <c r="G66" s="26" t="s">
        <v>249</v>
      </c>
      <c r="H66" s="26" t="s">
        <v>258</v>
      </c>
      <c r="I66" s="26" t="s">
        <v>303</v>
      </c>
      <c r="J66" s="26" t="s">
        <v>311</v>
      </c>
      <c r="K66" s="26" t="s">
        <v>316</v>
      </c>
      <c r="L66" s="26" t="s">
        <v>330</v>
      </c>
      <c r="M66" t="s">
        <v>354</v>
      </c>
      <c r="N66" s="26" t="s">
        <v>355</v>
      </c>
      <c r="O66" t="s">
        <v>76</v>
      </c>
      <c r="Q66" t="s">
        <v>56</v>
      </c>
      <c r="R66" t="s">
        <v>56</v>
      </c>
      <c r="S66" t="s">
        <v>56</v>
      </c>
      <c r="T66" t="s">
        <v>56</v>
      </c>
      <c r="U66" s="27" t="str">
        <f>LOOKUP(1,1/(Table1[[#This Row],[Level_0]:[Level 15]]&gt;0),(Table1[[#This Row],[Level_0]:[Level 15]]))</f>
        <v>3020700000 - [Start-up costs production]</v>
      </c>
      <c r="V66" s="21"/>
    </row>
    <row r="67" spans="1:22" hidden="1" x14ac:dyDescent="0.25">
      <c r="A67" s="16">
        <v>3020710000</v>
      </c>
      <c r="B67" s="16" t="s">
        <v>456</v>
      </c>
      <c r="C67" s="27">
        <v>3020000000</v>
      </c>
      <c r="D67" s="28" t="s">
        <v>58</v>
      </c>
      <c r="E67" s="25" t="s">
        <v>243</v>
      </c>
      <c r="F67" s="26" t="s">
        <v>245</v>
      </c>
      <c r="G67" s="26" t="s">
        <v>249</v>
      </c>
      <c r="H67" s="26" t="s">
        <v>258</v>
      </c>
      <c r="I67" s="26" t="s">
        <v>303</v>
      </c>
      <c r="J67" s="26" t="s">
        <v>311</v>
      </c>
      <c r="K67" s="26" t="s">
        <v>316</v>
      </c>
      <c r="L67" s="26" t="s">
        <v>330</v>
      </c>
      <c r="M67" t="s">
        <v>354</v>
      </c>
      <c r="N67" s="26" t="s">
        <v>355</v>
      </c>
      <c r="O67" t="s">
        <v>75</v>
      </c>
      <c r="Q67" t="s">
        <v>56</v>
      </c>
      <c r="R67" t="s">
        <v>56</v>
      </c>
      <c r="S67" t="s">
        <v>56</v>
      </c>
      <c r="T67" t="s">
        <v>56</v>
      </c>
      <c r="U67" s="27" t="str">
        <f>LOOKUP(1,1/(Table1[[#This Row],[Level_0]:[Level 15]]&gt;0),(Table1[[#This Row],[Level_0]:[Level 15]]))</f>
        <v>3020710000 - [Idle capacity cost]</v>
      </c>
      <c r="V67" s="21"/>
    </row>
    <row r="68" spans="1:22" hidden="1" x14ac:dyDescent="0.25">
      <c r="A68" s="16">
        <v>3020810000</v>
      </c>
      <c r="B68" s="16" t="s">
        <v>457</v>
      </c>
      <c r="C68" s="27">
        <v>3020000000</v>
      </c>
      <c r="D68" s="28" t="s">
        <v>58</v>
      </c>
      <c r="E68" s="25" t="s">
        <v>243</v>
      </c>
      <c r="F68" s="26" t="s">
        <v>245</v>
      </c>
      <c r="G68" s="26" t="s">
        <v>249</v>
      </c>
      <c r="H68" s="26" t="s">
        <v>258</v>
      </c>
      <c r="I68" s="26" t="s">
        <v>303</v>
      </c>
      <c r="J68" s="26" t="s">
        <v>311</v>
      </c>
      <c r="K68" s="26" t="s">
        <v>316</v>
      </c>
      <c r="L68" s="26" t="s">
        <v>330</v>
      </c>
      <c r="M68" t="s">
        <v>354</v>
      </c>
      <c r="N68" s="26" t="s">
        <v>355</v>
      </c>
      <c r="O68" t="s">
        <v>103</v>
      </c>
      <c r="Q68" t="s">
        <v>56</v>
      </c>
      <c r="R68" t="s">
        <v>56</v>
      </c>
      <c r="S68" t="s">
        <v>56</v>
      </c>
      <c r="T68" t="s">
        <v>56</v>
      </c>
      <c r="U68" s="27" t="str">
        <f>LOOKUP(1,1/(Table1[[#This Row],[Level_0]:[Level 15]]&gt;0),(Table1[[#This Row],[Level_0]:[Level 15]]))</f>
        <v>3020810000 - [Amortization intangibles (COGs)]</v>
      </c>
      <c r="V68" s="21"/>
    </row>
    <row r="69" spans="1:22" hidden="1" x14ac:dyDescent="0.25">
      <c r="A69" s="16">
        <v>3020820000</v>
      </c>
      <c r="B69" s="16" t="s">
        <v>458</v>
      </c>
      <c r="C69" s="27">
        <v>3020000000</v>
      </c>
      <c r="D69" s="28" t="s">
        <v>58</v>
      </c>
      <c r="E69" s="25" t="s">
        <v>243</v>
      </c>
      <c r="F69" s="26" t="s">
        <v>245</v>
      </c>
      <c r="G69" s="26" t="s">
        <v>249</v>
      </c>
      <c r="H69" s="26" t="s">
        <v>258</v>
      </c>
      <c r="I69" s="26" t="s">
        <v>303</v>
      </c>
      <c r="J69" s="26" t="s">
        <v>311</v>
      </c>
      <c r="K69" s="26" t="s">
        <v>316</v>
      </c>
      <c r="L69" s="26" t="s">
        <v>330</v>
      </c>
      <c r="M69" t="s">
        <v>354</v>
      </c>
      <c r="N69" s="26" t="s">
        <v>355</v>
      </c>
      <c r="O69" t="s">
        <v>123</v>
      </c>
      <c r="Q69" t="s">
        <v>56</v>
      </c>
      <c r="R69" t="s">
        <v>56</v>
      </c>
      <c r="S69" t="s">
        <v>56</v>
      </c>
      <c r="T69" t="s">
        <v>56</v>
      </c>
      <c r="U69" s="27" t="str">
        <f>LOOKUP(1,1/(Table1[[#This Row],[Level_0]:[Level 15]]&gt;0),(Table1[[#This Row],[Level_0]:[Level 15]]))</f>
        <v>3020820000 - [Royalty and license expenses (COGs)]</v>
      </c>
      <c r="V69" s="21"/>
    </row>
    <row r="70" spans="1:22" hidden="1" x14ac:dyDescent="0.25">
      <c r="A70" s="16">
        <v>3020990000</v>
      </c>
      <c r="B70" s="16" t="s">
        <v>459</v>
      </c>
      <c r="C70" s="27">
        <v>3020000000</v>
      </c>
      <c r="D70" s="28" t="s">
        <v>58</v>
      </c>
      <c r="E70" s="25" t="s">
        <v>243</v>
      </c>
      <c r="F70" s="26" t="s">
        <v>245</v>
      </c>
      <c r="G70" s="26" t="s">
        <v>249</v>
      </c>
      <c r="H70" s="26" t="s">
        <v>258</v>
      </c>
      <c r="I70" s="26" t="s">
        <v>303</v>
      </c>
      <c r="J70" s="26" t="s">
        <v>311</v>
      </c>
      <c r="K70" s="26" t="s">
        <v>316</v>
      </c>
      <c r="L70" s="26" t="s">
        <v>330</v>
      </c>
      <c r="M70" t="s">
        <v>354</v>
      </c>
      <c r="N70" s="26" t="s">
        <v>355</v>
      </c>
      <c r="O70" t="s">
        <v>762</v>
      </c>
      <c r="Q70" t="s">
        <v>56</v>
      </c>
      <c r="R70" t="s">
        <v>56</v>
      </c>
      <c r="S70" t="s">
        <v>56</v>
      </c>
      <c r="T70" t="s">
        <v>56</v>
      </c>
      <c r="U70" s="27" t="str">
        <f>LOOKUP(1,1/(Table1[[#This Row],[Level_0]:[Level 15]]&gt;0),(Table1[[#This Row],[Level_0]:[Level 15]]))</f>
        <v>3020990000 - [Pierre - No Name maintained]</v>
      </c>
      <c r="V70" s="21"/>
    </row>
    <row r="71" spans="1:22" hidden="1" x14ac:dyDescent="0.25">
      <c r="A71" s="16">
        <v>3020600000</v>
      </c>
      <c r="B71" s="16" t="s">
        <v>460</v>
      </c>
      <c r="C71" s="27">
        <v>3020990000</v>
      </c>
      <c r="D71" s="28" t="s">
        <v>58</v>
      </c>
      <c r="E71" s="25" t="s">
        <v>243</v>
      </c>
      <c r="F71" s="26" t="s">
        <v>245</v>
      </c>
      <c r="G71" s="26" t="s">
        <v>249</v>
      </c>
      <c r="H71" s="26" t="s">
        <v>258</v>
      </c>
      <c r="I71" s="26" t="s">
        <v>303</v>
      </c>
      <c r="J71" s="26" t="s">
        <v>311</v>
      </c>
      <c r="K71" s="26" t="s">
        <v>316</v>
      </c>
      <c r="L71" s="26" t="s">
        <v>330</v>
      </c>
      <c r="M71" t="s">
        <v>354</v>
      </c>
      <c r="N71" s="26" t="s">
        <v>355</v>
      </c>
      <c r="O71" t="s">
        <v>762</v>
      </c>
      <c r="P71" t="s">
        <v>77</v>
      </c>
      <c r="R71" t="s">
        <v>56</v>
      </c>
      <c r="S71" t="s">
        <v>56</v>
      </c>
      <c r="T71" t="s">
        <v>56</v>
      </c>
      <c r="U71" s="27" t="str">
        <f>LOOKUP(1,1/(Table1[[#This Row],[Level_0]:[Level 15]]&gt;0),(Table1[[#This Row],[Level_0]:[Level 15]]))</f>
        <v>3020600000 - [Global technical operations]</v>
      </c>
      <c r="V71" s="21"/>
    </row>
    <row r="72" spans="1:22" hidden="1" x14ac:dyDescent="0.25">
      <c r="A72" s="16">
        <v>3020900000</v>
      </c>
      <c r="B72" s="16" t="s">
        <v>461</v>
      </c>
      <c r="C72" s="27">
        <v>3020990000</v>
      </c>
      <c r="D72" s="28" t="s">
        <v>58</v>
      </c>
      <c r="E72" s="25" t="s">
        <v>243</v>
      </c>
      <c r="F72" s="26" t="s">
        <v>245</v>
      </c>
      <c r="G72" s="26" t="s">
        <v>249</v>
      </c>
      <c r="H72" s="26" t="s">
        <v>258</v>
      </c>
      <c r="I72" s="26" t="s">
        <v>303</v>
      </c>
      <c r="J72" s="26" t="s">
        <v>311</v>
      </c>
      <c r="K72" s="26" t="s">
        <v>316</v>
      </c>
      <c r="L72" s="26" t="s">
        <v>330</v>
      </c>
      <c r="M72" t="s">
        <v>354</v>
      </c>
      <c r="N72" s="26" t="s">
        <v>355</v>
      </c>
      <c r="O72" t="s">
        <v>762</v>
      </c>
      <c r="P72" t="s">
        <v>74</v>
      </c>
      <c r="R72" t="s">
        <v>56</v>
      </c>
      <c r="S72" t="s">
        <v>56</v>
      </c>
      <c r="T72" t="s">
        <v>56</v>
      </c>
      <c r="U72" s="27" t="str">
        <f>LOOKUP(1,1/(Table1[[#This Row],[Level_0]:[Level 15]]&gt;0),(Table1[[#This Row],[Level_0]:[Level 15]]))</f>
        <v>3020900000 - [Other Production cost (MGF alloc.)]</v>
      </c>
      <c r="V72" s="21"/>
    </row>
    <row r="73" spans="1:22" x14ac:dyDescent="0.25">
      <c r="A73" s="16">
        <v>3100100000</v>
      </c>
      <c r="B73" s="16" t="s">
        <v>462</v>
      </c>
      <c r="C73" s="27">
        <v>3200000000</v>
      </c>
      <c r="D73" s="28" t="s">
        <v>58</v>
      </c>
      <c r="E73" s="25" t="s">
        <v>243</v>
      </c>
      <c r="F73" s="26" t="s">
        <v>245</v>
      </c>
      <c r="G73" s="26" t="s">
        <v>249</v>
      </c>
      <c r="H73" s="26" t="s">
        <v>258</v>
      </c>
      <c r="I73" s="26" t="s">
        <v>303</v>
      </c>
      <c r="J73" s="26" t="s">
        <v>311</v>
      </c>
      <c r="K73" s="26" t="s">
        <v>316</v>
      </c>
      <c r="L73" s="26" t="s">
        <v>330</v>
      </c>
      <c r="M73" t="s">
        <v>331</v>
      </c>
      <c r="N73" s="26"/>
      <c r="O73" t="s">
        <v>56</v>
      </c>
      <c r="P73" t="s">
        <v>56</v>
      </c>
      <c r="Q73" t="s">
        <v>56</v>
      </c>
      <c r="R73" t="s">
        <v>56</v>
      </c>
      <c r="S73" t="s">
        <v>56</v>
      </c>
      <c r="T73" t="s">
        <v>56</v>
      </c>
      <c r="U73" s="27" t="str">
        <f>LOOKUP(1,1/(Table1[[#This Row],[Level_0]:[Level 15]]&gt;0),(Table1[[#This Row],[Level_0]:[Level 15]]))</f>
        <v>3100100000 - [Selling/general/administration]</v>
      </c>
      <c r="V73" s="21"/>
    </row>
    <row r="74" spans="1:22" x14ac:dyDescent="0.25">
      <c r="A74" s="16">
        <v>3110000000</v>
      </c>
      <c r="B74" s="16" t="s">
        <v>463</v>
      </c>
      <c r="C74" s="27">
        <v>3100100000</v>
      </c>
      <c r="D74" s="28" t="s">
        <v>58</v>
      </c>
      <c r="E74" s="25" t="s">
        <v>243</v>
      </c>
      <c r="F74" s="26" t="s">
        <v>245</v>
      </c>
      <c r="G74" s="26" t="s">
        <v>249</v>
      </c>
      <c r="H74" s="26" t="s">
        <v>258</v>
      </c>
      <c r="I74" s="26" t="s">
        <v>303</v>
      </c>
      <c r="J74" s="26" t="s">
        <v>311</v>
      </c>
      <c r="K74" s="26" t="s">
        <v>316</v>
      </c>
      <c r="L74" s="26" t="s">
        <v>330</v>
      </c>
      <c r="M74" t="s">
        <v>331</v>
      </c>
      <c r="N74" s="26" t="s">
        <v>350</v>
      </c>
      <c r="P74" t="s">
        <v>56</v>
      </c>
      <c r="Q74" t="s">
        <v>56</v>
      </c>
      <c r="R74" t="s">
        <v>56</v>
      </c>
      <c r="S74" t="s">
        <v>56</v>
      </c>
      <c r="T74" t="s">
        <v>56</v>
      </c>
      <c r="U74" s="27" t="str">
        <f>LOOKUP(1,1/(Table1[[#This Row],[Level_0]:[Level 15]]&gt;0),(Table1[[#This Row],[Level_0]:[Level 15]]))</f>
        <v>3110000000 - [Marketing and selling]</v>
      </c>
      <c r="V74" s="21"/>
    </row>
    <row r="75" spans="1:22" x14ac:dyDescent="0.25">
      <c r="A75" s="16">
        <v>3110100000</v>
      </c>
      <c r="B75" s="16" t="s">
        <v>464</v>
      </c>
      <c r="C75" s="27">
        <v>3110000000</v>
      </c>
      <c r="D75" s="28" t="s">
        <v>58</v>
      </c>
      <c r="E75" s="25" t="s">
        <v>243</v>
      </c>
      <c r="F75" s="26" t="s">
        <v>245</v>
      </c>
      <c r="G75" s="26" t="s">
        <v>249</v>
      </c>
      <c r="H75" s="26" t="s">
        <v>258</v>
      </c>
      <c r="I75" s="26" t="s">
        <v>303</v>
      </c>
      <c r="J75" s="26" t="s">
        <v>311</v>
      </c>
      <c r="K75" s="26" t="s">
        <v>316</v>
      </c>
      <c r="L75" s="26" t="s">
        <v>330</v>
      </c>
      <c r="M75" t="s">
        <v>331</v>
      </c>
      <c r="N75" s="26" t="s">
        <v>350</v>
      </c>
      <c r="O75" t="s">
        <v>157</v>
      </c>
      <c r="Q75" t="s">
        <v>56</v>
      </c>
      <c r="R75" t="s">
        <v>56</v>
      </c>
      <c r="S75" t="s">
        <v>56</v>
      </c>
      <c r="T75" t="s">
        <v>56</v>
      </c>
      <c r="U75" s="27" t="str">
        <f>LOOKUP(1,1/(Table1[[#This Row],[Level_0]:[Level 15]]&gt;0),(Table1[[#This Row],[Level_0]:[Level 15]]))</f>
        <v>3110100000 - [Field force]</v>
      </c>
      <c r="V75" s="21"/>
    </row>
    <row r="76" spans="1:22" x14ac:dyDescent="0.25">
      <c r="A76" s="16">
        <v>3110110000</v>
      </c>
      <c r="B76" s="16" t="s">
        <v>465</v>
      </c>
      <c r="C76" s="27">
        <v>3110100000</v>
      </c>
      <c r="D76" s="28" t="s">
        <v>58</v>
      </c>
      <c r="E76" s="25" t="s">
        <v>243</v>
      </c>
      <c r="F76" s="26" t="s">
        <v>245</v>
      </c>
      <c r="G76" s="26" t="s">
        <v>249</v>
      </c>
      <c r="H76" s="26" t="s">
        <v>258</v>
      </c>
      <c r="I76" s="26" t="s">
        <v>303</v>
      </c>
      <c r="J76" s="26" t="s">
        <v>311</v>
      </c>
      <c r="K76" s="26" t="s">
        <v>316</v>
      </c>
      <c r="L76" s="26" t="s">
        <v>330</v>
      </c>
      <c r="M76" t="s">
        <v>331</v>
      </c>
      <c r="N76" s="26" t="s">
        <v>350</v>
      </c>
      <c r="O76" t="s">
        <v>157</v>
      </c>
      <c r="P76" t="s">
        <v>164</v>
      </c>
      <c r="R76" t="s">
        <v>56</v>
      </c>
      <c r="S76" t="s">
        <v>56</v>
      </c>
      <c r="T76" t="s">
        <v>56</v>
      </c>
      <c r="U76" s="27" t="str">
        <f>LOOKUP(1,1/(Table1[[#This Row],[Level_0]:[Level 15]]&gt;0),(Table1[[#This Row],[Level_0]:[Level 15]]))</f>
        <v>3110110000 - [Field force general]</v>
      </c>
      <c r="V76" s="21"/>
    </row>
    <row r="77" spans="1:22" x14ac:dyDescent="0.25">
      <c r="A77" s="16">
        <v>3110120000</v>
      </c>
      <c r="B77" s="16" t="s">
        <v>466</v>
      </c>
      <c r="C77" s="27">
        <v>3110100000</v>
      </c>
      <c r="D77" s="28" t="s">
        <v>58</v>
      </c>
      <c r="E77" s="25" t="s">
        <v>243</v>
      </c>
      <c r="F77" s="26" t="s">
        <v>245</v>
      </c>
      <c r="G77" s="26" t="s">
        <v>249</v>
      </c>
      <c r="H77" s="26" t="s">
        <v>258</v>
      </c>
      <c r="I77" s="26" t="s">
        <v>303</v>
      </c>
      <c r="J77" s="26" t="s">
        <v>311</v>
      </c>
      <c r="K77" s="26" t="s">
        <v>316</v>
      </c>
      <c r="L77" s="26" t="s">
        <v>330</v>
      </c>
      <c r="M77" t="s">
        <v>331</v>
      </c>
      <c r="N77" s="26" t="s">
        <v>350</v>
      </c>
      <c r="O77" t="s">
        <v>157</v>
      </c>
      <c r="P77" t="s">
        <v>163</v>
      </c>
      <c r="R77" t="s">
        <v>56</v>
      </c>
      <c r="S77" t="s">
        <v>56</v>
      </c>
      <c r="T77" t="s">
        <v>56</v>
      </c>
      <c r="U77" s="27" t="str">
        <f>LOOKUP(1,1/(Table1[[#This Row],[Level_0]:[Level 15]]&gt;0),(Table1[[#This Row],[Level_0]:[Level 15]]))</f>
        <v>3110120000 - [Primary care]</v>
      </c>
      <c r="V77" s="21"/>
    </row>
    <row r="78" spans="1:22" x14ac:dyDescent="0.25">
      <c r="A78" s="16">
        <v>3110130000</v>
      </c>
      <c r="B78" s="16" t="s">
        <v>467</v>
      </c>
      <c r="C78" s="27">
        <v>3110100000</v>
      </c>
      <c r="D78" s="28" t="s">
        <v>58</v>
      </c>
      <c r="E78" s="25" t="s">
        <v>243</v>
      </c>
      <c r="F78" s="26" t="s">
        <v>245</v>
      </c>
      <c r="G78" s="26" t="s">
        <v>249</v>
      </c>
      <c r="H78" s="26" t="s">
        <v>258</v>
      </c>
      <c r="I78" s="26" t="s">
        <v>303</v>
      </c>
      <c r="J78" s="26" t="s">
        <v>311</v>
      </c>
      <c r="K78" s="26" t="s">
        <v>316</v>
      </c>
      <c r="L78" s="26" t="s">
        <v>330</v>
      </c>
      <c r="M78" t="s">
        <v>331</v>
      </c>
      <c r="N78" s="26" t="s">
        <v>350</v>
      </c>
      <c r="O78" t="s">
        <v>157</v>
      </c>
      <c r="P78" t="s">
        <v>162</v>
      </c>
      <c r="R78" t="s">
        <v>56</v>
      </c>
      <c r="S78" t="s">
        <v>56</v>
      </c>
      <c r="T78" t="s">
        <v>56</v>
      </c>
      <c r="U78" s="27" t="str">
        <f>LOOKUP(1,1/(Table1[[#This Row],[Level_0]:[Level 15]]&gt;0),(Table1[[#This Row],[Level_0]:[Level 15]]))</f>
        <v>3110130000 - [Secondary care]</v>
      </c>
      <c r="V78" s="21"/>
    </row>
    <row r="79" spans="1:22" x14ac:dyDescent="0.25">
      <c r="A79" s="16">
        <v>3110140000</v>
      </c>
      <c r="B79" s="16" t="s">
        <v>468</v>
      </c>
      <c r="C79" s="27">
        <v>3110100000</v>
      </c>
      <c r="D79" s="28" t="s">
        <v>58</v>
      </c>
      <c r="E79" s="25" t="s">
        <v>243</v>
      </c>
      <c r="F79" s="26" t="s">
        <v>245</v>
      </c>
      <c r="G79" s="26" t="s">
        <v>249</v>
      </c>
      <c r="H79" s="26" t="s">
        <v>258</v>
      </c>
      <c r="I79" s="26" t="s">
        <v>303</v>
      </c>
      <c r="J79" s="26" t="s">
        <v>311</v>
      </c>
      <c r="K79" s="26" t="s">
        <v>316</v>
      </c>
      <c r="L79" s="26" t="s">
        <v>330</v>
      </c>
      <c r="M79" t="s">
        <v>331</v>
      </c>
      <c r="N79" s="26" t="s">
        <v>350</v>
      </c>
      <c r="O79" t="s">
        <v>157</v>
      </c>
      <c r="P79" t="s">
        <v>161</v>
      </c>
      <c r="R79" t="s">
        <v>56</v>
      </c>
      <c r="S79" t="s">
        <v>56</v>
      </c>
      <c r="T79" t="s">
        <v>56</v>
      </c>
      <c r="U79" s="27" t="str">
        <f>LOOKUP(1,1/(Table1[[#This Row],[Level_0]:[Level 15]]&gt;0),(Table1[[#This Row],[Level_0]:[Level 15]]))</f>
        <v>3110140000 - [Retail]</v>
      </c>
      <c r="V79" s="21"/>
    </row>
    <row r="80" spans="1:22" x14ac:dyDescent="0.25">
      <c r="A80" s="16">
        <v>3110150000</v>
      </c>
      <c r="B80" s="16" t="s">
        <v>469</v>
      </c>
      <c r="C80" s="27">
        <v>3110100000</v>
      </c>
      <c r="D80" s="28" t="s">
        <v>58</v>
      </c>
      <c r="E80" s="25" t="s">
        <v>243</v>
      </c>
      <c r="F80" s="26" t="s">
        <v>245</v>
      </c>
      <c r="G80" s="26" t="s">
        <v>249</v>
      </c>
      <c r="H80" s="26" t="s">
        <v>258</v>
      </c>
      <c r="I80" s="26" t="s">
        <v>303</v>
      </c>
      <c r="J80" s="26" t="s">
        <v>311</v>
      </c>
      <c r="K80" s="26" t="s">
        <v>316</v>
      </c>
      <c r="L80" s="26" t="s">
        <v>330</v>
      </c>
      <c r="M80" t="s">
        <v>331</v>
      </c>
      <c r="N80" s="26" t="s">
        <v>350</v>
      </c>
      <c r="O80" t="s">
        <v>157</v>
      </c>
      <c r="P80" t="s">
        <v>160</v>
      </c>
      <c r="R80" t="s">
        <v>56</v>
      </c>
      <c r="S80" t="s">
        <v>56</v>
      </c>
      <c r="T80" t="s">
        <v>56</v>
      </c>
      <c r="U80" s="27" t="str">
        <f>LOOKUP(1,1/(Table1[[#This Row],[Level_0]:[Level 15]]&gt;0),(Table1[[#This Row],[Level_0]:[Level 15]]))</f>
        <v>3110150000 - [Merchandising and sales support]</v>
      </c>
      <c r="V80" s="21"/>
    </row>
    <row r="81" spans="1:22" x14ac:dyDescent="0.25">
      <c r="A81" s="16">
        <v>3110160000</v>
      </c>
      <c r="B81" s="16" t="s">
        <v>470</v>
      </c>
      <c r="C81" s="27">
        <v>3110100000</v>
      </c>
      <c r="D81" s="28" t="s">
        <v>58</v>
      </c>
      <c r="E81" s="25" t="s">
        <v>243</v>
      </c>
      <c r="F81" s="26" t="s">
        <v>245</v>
      </c>
      <c r="G81" s="26" t="s">
        <v>249</v>
      </c>
      <c r="H81" s="26" t="s">
        <v>258</v>
      </c>
      <c r="I81" s="26" t="s">
        <v>303</v>
      </c>
      <c r="J81" s="26" t="s">
        <v>311</v>
      </c>
      <c r="K81" s="26" t="s">
        <v>316</v>
      </c>
      <c r="L81" s="26" t="s">
        <v>330</v>
      </c>
      <c r="M81" t="s">
        <v>331</v>
      </c>
      <c r="N81" s="26" t="s">
        <v>350</v>
      </c>
      <c r="O81" t="s">
        <v>157</v>
      </c>
      <c r="P81" t="s">
        <v>159</v>
      </c>
      <c r="R81" t="s">
        <v>56</v>
      </c>
      <c r="S81" t="s">
        <v>56</v>
      </c>
      <c r="T81" t="s">
        <v>56</v>
      </c>
      <c r="U81" s="27" t="str">
        <f>LOOKUP(1,1/(Table1[[#This Row],[Level_0]:[Level 15]]&gt;0),(Table1[[#This Row],[Level_0]:[Level 15]]))</f>
        <v>3110160000 - [IC income field force]</v>
      </c>
      <c r="V81" s="21"/>
    </row>
    <row r="82" spans="1:22" x14ac:dyDescent="0.25">
      <c r="A82" s="16">
        <v>3110170000</v>
      </c>
      <c r="B82" s="16" t="s">
        <v>471</v>
      </c>
      <c r="C82" s="27">
        <v>3110100000</v>
      </c>
      <c r="D82" s="28" t="s">
        <v>58</v>
      </c>
      <c r="E82" s="25" t="s">
        <v>243</v>
      </c>
      <c r="F82" s="26" t="s">
        <v>245</v>
      </c>
      <c r="G82" s="26" t="s">
        <v>249</v>
      </c>
      <c r="H82" s="26" t="s">
        <v>258</v>
      </c>
      <c r="I82" s="26" t="s">
        <v>303</v>
      </c>
      <c r="J82" s="26" t="s">
        <v>311</v>
      </c>
      <c r="K82" s="26" t="s">
        <v>316</v>
      </c>
      <c r="L82" s="26" t="s">
        <v>330</v>
      </c>
      <c r="M82" t="s">
        <v>331</v>
      </c>
      <c r="N82" s="26" t="s">
        <v>350</v>
      </c>
      <c r="O82" t="s">
        <v>157</v>
      </c>
      <c r="P82" t="s">
        <v>158</v>
      </c>
      <c r="R82" t="s">
        <v>56</v>
      </c>
      <c r="S82" t="s">
        <v>56</v>
      </c>
      <c r="T82" t="s">
        <v>56</v>
      </c>
      <c r="U82" s="27" t="str">
        <f>LOOKUP(1,1/(Table1[[#This Row],[Level_0]:[Level 15]]&gt;0),(Table1[[#This Row],[Level_0]:[Level 15]]))</f>
        <v>3110170000 - [Field force expenses]</v>
      </c>
      <c r="V82" s="21"/>
    </row>
    <row r="83" spans="1:22" hidden="1" x14ac:dyDescent="0.25">
      <c r="A83" s="16">
        <v>3110200000</v>
      </c>
      <c r="B83" s="16" t="s">
        <v>472</v>
      </c>
      <c r="C83" s="27">
        <v>3110000000</v>
      </c>
      <c r="D83" s="28" t="s">
        <v>58</v>
      </c>
      <c r="E83" s="25" t="s">
        <v>243</v>
      </c>
      <c r="F83" s="26" t="s">
        <v>245</v>
      </c>
      <c r="G83" s="26" t="s">
        <v>249</v>
      </c>
      <c r="H83" s="26" t="s">
        <v>258</v>
      </c>
      <c r="I83" s="26" t="s">
        <v>303</v>
      </c>
      <c r="J83" s="26" t="s">
        <v>311</v>
      </c>
      <c r="K83" s="26" t="s">
        <v>316</v>
      </c>
      <c r="L83" s="26" t="s">
        <v>330</v>
      </c>
      <c r="M83" t="s">
        <v>331</v>
      </c>
      <c r="N83" s="26" t="s">
        <v>350</v>
      </c>
      <c r="O83" t="s">
        <v>151</v>
      </c>
      <c r="Q83" t="s">
        <v>56</v>
      </c>
      <c r="R83" t="s">
        <v>56</v>
      </c>
      <c r="S83" t="s">
        <v>56</v>
      </c>
      <c r="T83" t="s">
        <v>56</v>
      </c>
      <c r="U83" s="27" t="str">
        <f>LOOKUP(1,1/(Table1[[#This Row],[Level_0]:[Level 15]]&gt;0),(Table1[[#This Row],[Level_0]:[Level 15]]))</f>
        <v>3110200000 - [Internal sales service (ISS)]</v>
      </c>
      <c r="V83" s="21"/>
    </row>
    <row r="84" spans="1:22" hidden="1" x14ac:dyDescent="0.25">
      <c r="A84" s="16">
        <v>3110210000</v>
      </c>
      <c r="B84" s="16" t="s">
        <v>473</v>
      </c>
      <c r="C84" s="27">
        <v>3110200000</v>
      </c>
      <c r="D84" s="28" t="s">
        <v>58</v>
      </c>
      <c r="E84" s="25" t="s">
        <v>243</v>
      </c>
      <c r="F84" s="26" t="s">
        <v>245</v>
      </c>
      <c r="G84" s="26" t="s">
        <v>249</v>
      </c>
      <c r="H84" s="26" t="s">
        <v>258</v>
      </c>
      <c r="I84" s="26" t="s">
        <v>303</v>
      </c>
      <c r="J84" s="26" t="s">
        <v>311</v>
      </c>
      <c r="K84" s="26" t="s">
        <v>316</v>
      </c>
      <c r="L84" s="26" t="s">
        <v>330</v>
      </c>
      <c r="M84" t="s">
        <v>331</v>
      </c>
      <c r="N84" s="26" t="s">
        <v>350</v>
      </c>
      <c r="O84" t="s">
        <v>151</v>
      </c>
      <c r="P84" t="s">
        <v>156</v>
      </c>
      <c r="R84" t="s">
        <v>56</v>
      </c>
      <c r="S84" t="s">
        <v>56</v>
      </c>
      <c r="T84" t="s">
        <v>56</v>
      </c>
      <c r="U84" s="27" t="str">
        <f>LOOKUP(1,1/(Table1[[#This Row],[Level_0]:[Level 15]]&gt;0),(Table1[[#This Row],[Level_0]:[Level 15]]))</f>
        <v>3110210000 - [Marketing department]</v>
      </c>
      <c r="V84" s="21"/>
    </row>
    <row r="85" spans="1:22" hidden="1" x14ac:dyDescent="0.25">
      <c r="A85" s="16">
        <v>3110220000</v>
      </c>
      <c r="B85" s="16" t="s">
        <v>474</v>
      </c>
      <c r="C85" s="27">
        <v>3110200000</v>
      </c>
      <c r="D85" s="28" t="s">
        <v>58</v>
      </c>
      <c r="E85" s="25" t="s">
        <v>243</v>
      </c>
      <c r="F85" s="26" t="s">
        <v>245</v>
      </c>
      <c r="G85" s="26" t="s">
        <v>249</v>
      </c>
      <c r="H85" s="26" t="s">
        <v>258</v>
      </c>
      <c r="I85" s="26" t="s">
        <v>303</v>
      </c>
      <c r="J85" s="26" t="s">
        <v>311</v>
      </c>
      <c r="K85" s="26" t="s">
        <v>316</v>
      </c>
      <c r="L85" s="26" t="s">
        <v>330</v>
      </c>
      <c r="M85" t="s">
        <v>331</v>
      </c>
      <c r="N85" s="26" t="s">
        <v>350</v>
      </c>
      <c r="O85" t="s">
        <v>151</v>
      </c>
      <c r="P85" t="s">
        <v>155</v>
      </c>
      <c r="R85" t="s">
        <v>56</v>
      </c>
      <c r="S85" t="s">
        <v>56</v>
      </c>
      <c r="T85" t="s">
        <v>56</v>
      </c>
      <c r="U85" s="27" t="str">
        <f>LOOKUP(1,1/(Table1[[#This Row],[Level_0]:[Level 15]]&gt;0),(Table1[[#This Row],[Level_0]:[Level 15]]))</f>
        <v>3110220000 - [Medical &amp; technical support]</v>
      </c>
      <c r="V85" s="21"/>
    </row>
    <row r="86" spans="1:22" hidden="1" x14ac:dyDescent="0.25">
      <c r="A86" s="16">
        <v>3110230000</v>
      </c>
      <c r="B86" s="16" t="s">
        <v>475</v>
      </c>
      <c r="C86" s="27">
        <v>3110200000</v>
      </c>
      <c r="D86" s="28" t="s">
        <v>58</v>
      </c>
      <c r="E86" s="25" t="s">
        <v>243</v>
      </c>
      <c r="F86" s="26" t="s">
        <v>245</v>
      </c>
      <c r="G86" s="26" t="s">
        <v>249</v>
      </c>
      <c r="H86" s="26" t="s">
        <v>258</v>
      </c>
      <c r="I86" s="26" t="s">
        <v>303</v>
      </c>
      <c r="J86" s="26" t="s">
        <v>311</v>
      </c>
      <c r="K86" s="26" t="s">
        <v>316</v>
      </c>
      <c r="L86" s="26" t="s">
        <v>330</v>
      </c>
      <c r="M86" t="s">
        <v>331</v>
      </c>
      <c r="N86" s="26" t="s">
        <v>350</v>
      </c>
      <c r="O86" t="s">
        <v>151</v>
      </c>
      <c r="P86" t="s">
        <v>154</v>
      </c>
      <c r="R86" t="s">
        <v>56</v>
      </c>
      <c r="S86" t="s">
        <v>56</v>
      </c>
      <c r="T86" t="s">
        <v>56</v>
      </c>
      <c r="U86" s="27" t="str">
        <f>LOOKUP(1,1/(Table1[[#This Row],[Level_0]:[Level 15]]&gt;0),(Table1[[#This Row],[Level_0]:[Level 15]]))</f>
        <v>3110230000 - [Other ISS expenses]</v>
      </c>
      <c r="V86" s="21"/>
    </row>
    <row r="87" spans="1:22" hidden="1" x14ac:dyDescent="0.25">
      <c r="A87" s="16">
        <v>3110240000</v>
      </c>
      <c r="B87" s="16" t="s">
        <v>476</v>
      </c>
      <c r="C87" s="27">
        <v>3110200000</v>
      </c>
      <c r="D87" s="28" t="s">
        <v>58</v>
      </c>
      <c r="E87" s="25" t="s">
        <v>243</v>
      </c>
      <c r="F87" s="26" t="s">
        <v>245</v>
      </c>
      <c r="G87" s="26" t="s">
        <v>249</v>
      </c>
      <c r="H87" s="26" t="s">
        <v>258</v>
      </c>
      <c r="I87" s="26" t="s">
        <v>303</v>
      </c>
      <c r="J87" s="26" t="s">
        <v>311</v>
      </c>
      <c r="K87" s="26" t="s">
        <v>316</v>
      </c>
      <c r="L87" s="26" t="s">
        <v>330</v>
      </c>
      <c r="M87" t="s">
        <v>331</v>
      </c>
      <c r="N87" s="26" t="s">
        <v>350</v>
      </c>
      <c r="O87" t="s">
        <v>151</v>
      </c>
      <c r="P87" t="s">
        <v>153</v>
      </c>
      <c r="R87" t="s">
        <v>56</v>
      </c>
      <c r="S87" t="s">
        <v>56</v>
      </c>
      <c r="T87" t="s">
        <v>56</v>
      </c>
      <c r="U87" s="27" t="str">
        <f>LOOKUP(1,1/(Table1[[#This Row],[Level_0]:[Level 15]]&gt;0),(Table1[[#This Row],[Level_0]:[Level 15]]))</f>
        <v>3110240000 - [IC income internal sales service]</v>
      </c>
      <c r="V87" s="21"/>
    </row>
    <row r="88" spans="1:22" hidden="1" x14ac:dyDescent="0.25">
      <c r="A88" s="16">
        <v>3110250000</v>
      </c>
      <c r="B88" s="16" t="s">
        <v>477</v>
      </c>
      <c r="C88" s="27">
        <v>3110200000</v>
      </c>
      <c r="D88" s="28" t="s">
        <v>58</v>
      </c>
      <c r="E88" s="25" t="s">
        <v>243</v>
      </c>
      <c r="F88" s="26" t="s">
        <v>245</v>
      </c>
      <c r="G88" s="26" t="s">
        <v>249</v>
      </c>
      <c r="H88" s="26" t="s">
        <v>258</v>
      </c>
      <c r="I88" s="26" t="s">
        <v>303</v>
      </c>
      <c r="J88" s="26" t="s">
        <v>311</v>
      </c>
      <c r="K88" s="26" t="s">
        <v>316</v>
      </c>
      <c r="L88" s="26" t="s">
        <v>330</v>
      </c>
      <c r="M88" t="s">
        <v>331</v>
      </c>
      <c r="N88" s="26" t="s">
        <v>350</v>
      </c>
      <c r="O88" t="s">
        <v>151</v>
      </c>
      <c r="P88" t="s">
        <v>152</v>
      </c>
      <c r="R88" t="s">
        <v>56</v>
      </c>
      <c r="S88" t="s">
        <v>56</v>
      </c>
      <c r="T88" t="s">
        <v>56</v>
      </c>
      <c r="U88" s="27" t="str">
        <f>LOOKUP(1,1/(Table1[[#This Row],[Level_0]:[Level 15]]&gt;0),(Table1[[#This Row],[Level_0]:[Level 15]]))</f>
        <v>3110250000 - [Internal sales service expenses]</v>
      </c>
      <c r="V88" s="21"/>
    </row>
    <row r="89" spans="1:22" hidden="1" x14ac:dyDescent="0.25">
      <c r="A89" s="16">
        <v>3110300000</v>
      </c>
      <c r="B89" s="16" t="s">
        <v>478</v>
      </c>
      <c r="C89" s="27">
        <v>3110000000</v>
      </c>
      <c r="D89" s="28" t="s">
        <v>58</v>
      </c>
      <c r="E89" s="25" t="s">
        <v>243</v>
      </c>
      <c r="F89" s="26" t="s">
        <v>245</v>
      </c>
      <c r="G89" s="26" t="s">
        <v>249</v>
      </c>
      <c r="H89" s="26" t="s">
        <v>258</v>
      </c>
      <c r="I89" s="26" t="s">
        <v>303</v>
      </c>
      <c r="J89" s="26" t="s">
        <v>311</v>
      </c>
      <c r="K89" s="26" t="s">
        <v>316</v>
      </c>
      <c r="L89" s="26" t="s">
        <v>330</v>
      </c>
      <c r="M89" t="s">
        <v>331</v>
      </c>
      <c r="N89" s="26" t="s">
        <v>350</v>
      </c>
      <c r="O89" t="s">
        <v>144</v>
      </c>
      <c r="Q89" t="s">
        <v>56</v>
      </c>
      <c r="R89" t="s">
        <v>56</v>
      </c>
      <c r="S89" t="s">
        <v>56</v>
      </c>
      <c r="T89" t="s">
        <v>56</v>
      </c>
      <c r="U89" s="27" t="str">
        <f>LOOKUP(1,1/(Table1[[#This Row],[Level_0]:[Level 15]]&gt;0),(Table1[[#This Row],[Level_0]:[Level 15]]))</f>
        <v>3110300000 - [Sales promotion]</v>
      </c>
      <c r="V89" s="21"/>
    </row>
    <row r="90" spans="1:22" hidden="1" x14ac:dyDescent="0.25">
      <c r="A90" s="16">
        <v>3110310000</v>
      </c>
      <c r="B90" s="16" t="s">
        <v>479</v>
      </c>
      <c r="C90" s="27">
        <v>3110300000</v>
      </c>
      <c r="D90" s="28" t="s">
        <v>58</v>
      </c>
      <c r="E90" s="25" t="s">
        <v>243</v>
      </c>
      <c r="F90" s="26" t="s">
        <v>245</v>
      </c>
      <c r="G90" s="26" t="s">
        <v>249</v>
      </c>
      <c r="H90" s="26" t="s">
        <v>258</v>
      </c>
      <c r="I90" s="26" t="s">
        <v>303</v>
      </c>
      <c r="J90" s="26" t="s">
        <v>311</v>
      </c>
      <c r="K90" s="26" t="s">
        <v>316</v>
      </c>
      <c r="L90" s="26" t="s">
        <v>330</v>
      </c>
      <c r="M90" t="s">
        <v>331</v>
      </c>
      <c r="N90" s="26" t="s">
        <v>350</v>
      </c>
      <c r="O90" t="s">
        <v>144</v>
      </c>
      <c r="P90" t="s">
        <v>150</v>
      </c>
      <c r="R90" t="s">
        <v>56</v>
      </c>
      <c r="S90" t="s">
        <v>56</v>
      </c>
      <c r="T90" t="s">
        <v>56</v>
      </c>
      <c r="U90" s="27" t="str">
        <f>LOOKUP(1,1/(Table1[[#This Row],[Level_0]:[Level 15]]&gt;0),(Table1[[#This Row],[Level_0]:[Level 15]]))</f>
        <v>3110310000 - [Promotion material]</v>
      </c>
      <c r="V90" s="21"/>
    </row>
    <row r="91" spans="1:22" hidden="1" x14ac:dyDescent="0.25">
      <c r="A91" s="16">
        <v>3110320000</v>
      </c>
      <c r="B91" s="16" t="s">
        <v>480</v>
      </c>
      <c r="C91" s="27">
        <v>3110300000</v>
      </c>
      <c r="D91" s="28" t="s">
        <v>58</v>
      </c>
      <c r="E91" s="25" t="s">
        <v>243</v>
      </c>
      <c r="F91" s="26" t="s">
        <v>245</v>
      </c>
      <c r="G91" s="26" t="s">
        <v>249</v>
      </c>
      <c r="H91" s="26" t="s">
        <v>258</v>
      </c>
      <c r="I91" s="26" t="s">
        <v>303</v>
      </c>
      <c r="J91" s="26" t="s">
        <v>311</v>
      </c>
      <c r="K91" s="26" t="s">
        <v>316</v>
      </c>
      <c r="L91" s="26" t="s">
        <v>330</v>
      </c>
      <c r="M91" t="s">
        <v>331</v>
      </c>
      <c r="N91" s="26" t="s">
        <v>350</v>
      </c>
      <c r="O91" t="s">
        <v>144</v>
      </c>
      <c r="P91" t="s">
        <v>149</v>
      </c>
      <c r="R91" t="s">
        <v>56</v>
      </c>
      <c r="S91" t="s">
        <v>56</v>
      </c>
      <c r="T91" t="s">
        <v>56</v>
      </c>
      <c r="U91" s="27" t="str">
        <f>LOOKUP(1,1/(Table1[[#This Row],[Level_0]:[Level 15]]&gt;0),(Table1[[#This Row],[Level_0]:[Level 15]]))</f>
        <v>3110320000 - [Advertising]</v>
      </c>
      <c r="V91" s="21"/>
    </row>
    <row r="92" spans="1:22" hidden="1" x14ac:dyDescent="0.25">
      <c r="A92" s="16">
        <v>3110330000</v>
      </c>
      <c r="B92" s="16" t="s">
        <v>481</v>
      </c>
      <c r="C92" s="27">
        <v>3110300000</v>
      </c>
      <c r="D92" s="28" t="s">
        <v>58</v>
      </c>
      <c r="E92" s="25" t="s">
        <v>243</v>
      </c>
      <c r="F92" s="26" t="s">
        <v>245</v>
      </c>
      <c r="G92" s="26" t="s">
        <v>249</v>
      </c>
      <c r="H92" s="26" t="s">
        <v>258</v>
      </c>
      <c r="I92" s="26" t="s">
        <v>303</v>
      </c>
      <c r="J92" s="26" t="s">
        <v>311</v>
      </c>
      <c r="K92" s="26" t="s">
        <v>316</v>
      </c>
      <c r="L92" s="26" t="s">
        <v>330</v>
      </c>
      <c r="M92" t="s">
        <v>331</v>
      </c>
      <c r="N92" s="26" t="s">
        <v>350</v>
      </c>
      <c r="O92" t="s">
        <v>144</v>
      </c>
      <c r="P92" t="s">
        <v>148</v>
      </c>
      <c r="R92" t="s">
        <v>56</v>
      </c>
      <c r="S92" t="s">
        <v>56</v>
      </c>
      <c r="T92" t="s">
        <v>56</v>
      </c>
      <c r="U92" s="27" t="str">
        <f>LOOKUP(1,1/(Table1[[#This Row],[Level_0]:[Level 15]]&gt;0),(Table1[[#This Row],[Level_0]:[Level 15]]))</f>
        <v>3110330000 - [Marketing samples]</v>
      </c>
      <c r="V92" s="21"/>
    </row>
    <row r="93" spans="1:22" hidden="1" x14ac:dyDescent="0.25">
      <c r="A93" s="16">
        <v>3110340000</v>
      </c>
      <c r="B93" s="16" t="s">
        <v>482</v>
      </c>
      <c r="C93" s="27">
        <v>3110300000</v>
      </c>
      <c r="D93" s="28" t="s">
        <v>58</v>
      </c>
      <c r="E93" s="25" t="s">
        <v>243</v>
      </c>
      <c r="F93" s="26" t="s">
        <v>245</v>
      </c>
      <c r="G93" s="26" t="s">
        <v>249</v>
      </c>
      <c r="H93" s="26" t="s">
        <v>258</v>
      </c>
      <c r="I93" s="26" t="s">
        <v>303</v>
      </c>
      <c r="J93" s="26" t="s">
        <v>311</v>
      </c>
      <c r="K93" s="26" t="s">
        <v>316</v>
      </c>
      <c r="L93" s="26" t="s">
        <v>330</v>
      </c>
      <c r="M93" t="s">
        <v>331</v>
      </c>
      <c r="N93" s="26" t="s">
        <v>350</v>
      </c>
      <c r="O93" t="s">
        <v>144</v>
      </c>
      <c r="P93" t="s">
        <v>147</v>
      </c>
      <c r="R93" t="s">
        <v>56</v>
      </c>
      <c r="S93" t="s">
        <v>56</v>
      </c>
      <c r="T93" t="s">
        <v>56</v>
      </c>
      <c r="U93" s="27" t="str">
        <f>LOOKUP(1,1/(Table1[[#This Row],[Level_0]:[Level 15]]&gt;0),(Table1[[#This Row],[Level_0]:[Level 15]]))</f>
        <v>3110340000 - [Congresses and events]</v>
      </c>
      <c r="V93" s="21"/>
    </row>
    <row r="94" spans="1:22" hidden="1" x14ac:dyDescent="0.25">
      <c r="A94" s="16">
        <v>3110350000</v>
      </c>
      <c r="B94" s="16" t="s">
        <v>483</v>
      </c>
      <c r="C94" s="27">
        <v>3110300000</v>
      </c>
      <c r="D94" s="28" t="s">
        <v>58</v>
      </c>
      <c r="E94" s="25" t="s">
        <v>243</v>
      </c>
      <c r="F94" s="26" t="s">
        <v>245</v>
      </c>
      <c r="G94" s="26" t="s">
        <v>249</v>
      </c>
      <c r="H94" s="26" t="s">
        <v>258</v>
      </c>
      <c r="I94" s="26" t="s">
        <v>303</v>
      </c>
      <c r="J94" s="26" t="s">
        <v>311</v>
      </c>
      <c r="K94" s="26" t="s">
        <v>316</v>
      </c>
      <c r="L94" s="26" t="s">
        <v>330</v>
      </c>
      <c r="M94" t="s">
        <v>331</v>
      </c>
      <c r="N94" s="26" t="s">
        <v>350</v>
      </c>
      <c r="O94" t="s">
        <v>144</v>
      </c>
      <c r="P94" t="s">
        <v>146</v>
      </c>
      <c r="R94" t="s">
        <v>56</v>
      </c>
      <c r="S94" t="s">
        <v>56</v>
      </c>
      <c r="T94" t="s">
        <v>56</v>
      </c>
      <c r="U94" s="27" t="str">
        <f>LOOKUP(1,1/(Table1[[#This Row],[Level_0]:[Level 15]]&gt;0),(Table1[[#This Row],[Level_0]:[Level 15]]))</f>
        <v>3110350000 - [Other promotion costs]</v>
      </c>
      <c r="V94" s="21"/>
    </row>
    <row r="95" spans="1:22" hidden="1" x14ac:dyDescent="0.25">
      <c r="A95" s="16">
        <v>3110360000</v>
      </c>
      <c r="B95" s="16" t="s">
        <v>484</v>
      </c>
      <c r="C95" s="27">
        <v>3110300000</v>
      </c>
      <c r="D95" s="28" t="s">
        <v>58</v>
      </c>
      <c r="E95" s="25" t="s">
        <v>243</v>
      </c>
      <c r="F95" s="26" t="s">
        <v>245</v>
      </c>
      <c r="G95" s="26" t="s">
        <v>249</v>
      </c>
      <c r="H95" s="26" t="s">
        <v>258</v>
      </c>
      <c r="I95" s="26" t="s">
        <v>303</v>
      </c>
      <c r="J95" s="26" t="s">
        <v>311</v>
      </c>
      <c r="K95" s="26" t="s">
        <v>316</v>
      </c>
      <c r="L95" s="26" t="s">
        <v>330</v>
      </c>
      <c r="M95" t="s">
        <v>331</v>
      </c>
      <c r="N95" s="26" t="s">
        <v>350</v>
      </c>
      <c r="O95" t="s">
        <v>144</v>
      </c>
      <c r="P95" t="s">
        <v>145</v>
      </c>
      <c r="R95" t="s">
        <v>56</v>
      </c>
      <c r="S95" t="s">
        <v>56</v>
      </c>
      <c r="T95" t="s">
        <v>56</v>
      </c>
      <c r="U95" s="27" t="str">
        <f>LOOKUP(1,1/(Table1[[#This Row],[Level_0]:[Level 15]]&gt;0),(Table1[[#This Row],[Level_0]:[Level 15]]))</f>
        <v>3110360000 - [IC income sales promotion]</v>
      </c>
      <c r="V95" s="21"/>
    </row>
    <row r="96" spans="1:22" hidden="1" x14ac:dyDescent="0.25">
      <c r="A96" s="16">
        <v>3110400000</v>
      </c>
      <c r="B96" s="16" t="s">
        <v>485</v>
      </c>
      <c r="C96" s="27">
        <v>3110000000</v>
      </c>
      <c r="D96" s="28" t="s">
        <v>58</v>
      </c>
      <c r="E96" s="25" t="s">
        <v>243</v>
      </c>
      <c r="F96" s="26" t="s">
        <v>245</v>
      </c>
      <c r="G96" s="26" t="s">
        <v>249</v>
      </c>
      <c r="H96" s="26" t="s">
        <v>258</v>
      </c>
      <c r="I96" s="26" t="s">
        <v>303</v>
      </c>
      <c r="J96" s="26" t="s">
        <v>311</v>
      </c>
      <c r="K96" s="26" t="s">
        <v>316</v>
      </c>
      <c r="L96" s="26" t="s">
        <v>330</v>
      </c>
      <c r="M96" t="s">
        <v>331</v>
      </c>
      <c r="N96" s="26" t="s">
        <v>350</v>
      </c>
      <c r="O96" t="s">
        <v>132</v>
      </c>
      <c r="Q96" t="s">
        <v>56</v>
      </c>
      <c r="R96" t="s">
        <v>56</v>
      </c>
      <c r="S96" t="s">
        <v>56</v>
      </c>
      <c r="T96" t="s">
        <v>56</v>
      </c>
      <c r="U96" s="27" t="str">
        <f>LOOKUP(1,1/(Table1[[#This Row],[Level_0]:[Level 15]]&gt;0),(Table1[[#This Row],[Level_0]:[Level 15]]))</f>
        <v>3110400000 - [Logistics]</v>
      </c>
      <c r="V96" s="21"/>
    </row>
    <row r="97" spans="1:22" hidden="1" x14ac:dyDescent="0.25">
      <c r="A97" s="16">
        <v>3110420000</v>
      </c>
      <c r="B97" s="16" t="s">
        <v>486</v>
      </c>
      <c r="C97" s="27">
        <v>3110400000</v>
      </c>
      <c r="D97" s="28" t="s">
        <v>58</v>
      </c>
      <c r="E97" s="25" t="s">
        <v>243</v>
      </c>
      <c r="F97" s="26" t="s">
        <v>245</v>
      </c>
      <c r="G97" s="26" t="s">
        <v>249</v>
      </c>
      <c r="H97" s="26" t="s">
        <v>258</v>
      </c>
      <c r="I97" s="26" t="s">
        <v>303</v>
      </c>
      <c r="J97" s="26" t="s">
        <v>311</v>
      </c>
      <c r="K97" s="26" t="s">
        <v>316</v>
      </c>
      <c r="L97" s="26" t="s">
        <v>330</v>
      </c>
      <c r="M97" t="s">
        <v>331</v>
      </c>
      <c r="N97" s="26" t="s">
        <v>350</v>
      </c>
      <c r="O97" t="s">
        <v>132</v>
      </c>
      <c r="P97" t="s">
        <v>143</v>
      </c>
      <c r="R97" t="s">
        <v>56</v>
      </c>
      <c r="S97" t="s">
        <v>56</v>
      </c>
      <c r="T97" t="s">
        <v>56</v>
      </c>
      <c r="U97" s="27" t="str">
        <f>LOOKUP(1,1/(Table1[[#This Row],[Level_0]:[Level 15]]&gt;0),(Table1[[#This Row],[Level_0]:[Level 15]]))</f>
        <v>3110420000 - [Warehousing and Distribution]</v>
      </c>
      <c r="V97" s="21"/>
    </row>
    <row r="98" spans="1:22" hidden="1" x14ac:dyDescent="0.25">
      <c r="A98" s="16">
        <v>3110430000</v>
      </c>
      <c r="B98" s="16" t="s">
        <v>487</v>
      </c>
      <c r="C98" s="27">
        <v>3110400000</v>
      </c>
      <c r="D98" s="28" t="s">
        <v>58</v>
      </c>
      <c r="E98" s="25" t="s">
        <v>243</v>
      </c>
      <c r="F98" s="26" t="s">
        <v>245</v>
      </c>
      <c r="G98" s="26" t="s">
        <v>249</v>
      </c>
      <c r="H98" s="26" t="s">
        <v>258</v>
      </c>
      <c r="I98" s="26" t="s">
        <v>303</v>
      </c>
      <c r="J98" s="26" t="s">
        <v>311</v>
      </c>
      <c r="K98" s="26" t="s">
        <v>316</v>
      </c>
      <c r="L98" s="26" t="s">
        <v>330</v>
      </c>
      <c r="M98" t="s">
        <v>331</v>
      </c>
      <c r="N98" s="26" t="s">
        <v>350</v>
      </c>
      <c r="O98" t="s">
        <v>132</v>
      </c>
      <c r="P98" t="s">
        <v>142</v>
      </c>
      <c r="R98" t="s">
        <v>56</v>
      </c>
      <c r="S98" t="s">
        <v>56</v>
      </c>
      <c r="T98" t="s">
        <v>56</v>
      </c>
      <c r="U98" s="27" t="str">
        <f>LOOKUP(1,1/(Table1[[#This Row],[Level_0]:[Level 15]]&gt;0),(Table1[[#This Row],[Level_0]:[Level 15]]))</f>
        <v>3110430000 - [Global Demand Planning and Replenishment / OrdF(Chem centr)]</v>
      </c>
      <c r="V98" s="21"/>
    </row>
    <row r="99" spans="1:22" hidden="1" x14ac:dyDescent="0.25">
      <c r="A99" s="16">
        <v>3110440000</v>
      </c>
      <c r="B99" s="16" t="s">
        <v>488</v>
      </c>
      <c r="C99" s="27">
        <v>3110400000</v>
      </c>
      <c r="D99" s="28" t="s">
        <v>58</v>
      </c>
      <c r="E99" s="25" t="s">
        <v>243</v>
      </c>
      <c r="F99" s="26" t="s">
        <v>245</v>
      </c>
      <c r="G99" s="26" t="s">
        <v>249</v>
      </c>
      <c r="H99" s="26" t="s">
        <v>258</v>
      </c>
      <c r="I99" s="26" t="s">
        <v>303</v>
      </c>
      <c r="J99" s="26" t="s">
        <v>311</v>
      </c>
      <c r="K99" s="26" t="s">
        <v>316</v>
      </c>
      <c r="L99" s="26" t="s">
        <v>330</v>
      </c>
      <c r="M99" t="s">
        <v>331</v>
      </c>
      <c r="N99" s="26" t="s">
        <v>350</v>
      </c>
      <c r="O99" t="s">
        <v>132</v>
      </c>
      <c r="P99" t="s">
        <v>134</v>
      </c>
      <c r="R99" t="s">
        <v>56</v>
      </c>
      <c r="S99" t="s">
        <v>56</v>
      </c>
      <c r="T99" t="s">
        <v>56</v>
      </c>
      <c r="U99" s="27" t="str">
        <f>LOOKUP(1,1/(Table1[[#This Row],[Level_0]:[Level 15]]&gt;0),(Table1[[#This Row],[Level_0]:[Level 15]]))</f>
        <v>3110440000 - [Freight (outbound)]</v>
      </c>
      <c r="V99" s="21"/>
    </row>
    <row r="100" spans="1:22" hidden="1" x14ac:dyDescent="0.25">
      <c r="A100" s="16">
        <v>3110410000</v>
      </c>
      <c r="B100" s="16" t="s">
        <v>488</v>
      </c>
      <c r="C100" s="27">
        <v>3110440000</v>
      </c>
      <c r="D100" s="28" t="s">
        <v>58</v>
      </c>
      <c r="E100" s="25" t="s">
        <v>243</v>
      </c>
      <c r="F100" s="26" t="s">
        <v>245</v>
      </c>
      <c r="G100" s="26" t="s">
        <v>249</v>
      </c>
      <c r="H100" s="26" t="s">
        <v>258</v>
      </c>
      <c r="I100" s="26" t="s">
        <v>303</v>
      </c>
      <c r="J100" s="26" t="s">
        <v>311</v>
      </c>
      <c r="K100" s="26" t="s">
        <v>316</v>
      </c>
      <c r="L100" s="26" t="s">
        <v>330</v>
      </c>
      <c r="M100" t="s">
        <v>331</v>
      </c>
      <c r="N100" s="26" t="s">
        <v>350</v>
      </c>
      <c r="O100" t="s">
        <v>132</v>
      </c>
      <c r="P100" t="s">
        <v>134</v>
      </c>
      <c r="Q100" t="s">
        <v>141</v>
      </c>
      <c r="S100" t="s">
        <v>56</v>
      </c>
      <c r="T100" t="s">
        <v>56</v>
      </c>
      <c r="U100" s="27" t="str">
        <f>LOOKUP(1,1/(Table1[[#This Row],[Level_0]:[Level 15]]&gt;0),(Table1[[#This Row],[Level_0]:[Level 15]]))</f>
        <v>3110410000 - [Freight (outbound)]</v>
      </c>
      <c r="V100" s="21"/>
    </row>
    <row r="101" spans="1:22" hidden="1" x14ac:dyDescent="0.25">
      <c r="A101" s="16">
        <v>3110441000</v>
      </c>
      <c r="B101" s="16" t="s">
        <v>489</v>
      </c>
      <c r="C101" s="27">
        <v>3110440000</v>
      </c>
      <c r="D101" s="28" t="s">
        <v>58</v>
      </c>
      <c r="E101" s="25" t="s">
        <v>243</v>
      </c>
      <c r="F101" s="26" t="s">
        <v>245</v>
      </c>
      <c r="G101" s="26" t="s">
        <v>249</v>
      </c>
      <c r="H101" s="26" t="s">
        <v>258</v>
      </c>
      <c r="I101" s="26" t="s">
        <v>303</v>
      </c>
      <c r="J101" s="26" t="s">
        <v>311</v>
      </c>
      <c r="K101" s="26" t="s">
        <v>316</v>
      </c>
      <c r="L101" s="26" t="s">
        <v>330</v>
      </c>
      <c r="M101" t="s">
        <v>331</v>
      </c>
      <c r="N101" s="26" t="s">
        <v>350</v>
      </c>
      <c r="O101" t="s">
        <v>132</v>
      </c>
      <c r="P101" t="s">
        <v>134</v>
      </c>
      <c r="Q101" t="s">
        <v>138</v>
      </c>
      <c r="S101" t="s">
        <v>56</v>
      </c>
      <c r="T101" t="s">
        <v>56</v>
      </c>
      <c r="U101" s="27" t="str">
        <f>LOOKUP(1,1/(Table1[[#This Row],[Level_0]:[Level 15]]&gt;0),(Table1[[#This Row],[Level_0]:[Level 15]]))</f>
        <v>3110441000 - [Freight to customer]</v>
      </c>
      <c r="V101" s="21"/>
    </row>
    <row r="102" spans="1:22" hidden="1" x14ac:dyDescent="0.25">
      <c r="A102" s="16">
        <v>3110441100</v>
      </c>
      <c r="B102" s="16" t="s">
        <v>490</v>
      </c>
      <c r="C102" s="27">
        <v>3110441000</v>
      </c>
      <c r="D102" s="28" t="s">
        <v>58</v>
      </c>
      <c r="E102" s="25" t="s">
        <v>243</v>
      </c>
      <c r="F102" s="26" t="s">
        <v>245</v>
      </c>
      <c r="G102" s="26" t="s">
        <v>249</v>
      </c>
      <c r="H102" s="26" t="s">
        <v>258</v>
      </c>
      <c r="I102" s="26" t="s">
        <v>303</v>
      </c>
      <c r="J102" s="26" t="s">
        <v>311</v>
      </c>
      <c r="K102" s="26" t="s">
        <v>316</v>
      </c>
      <c r="L102" s="26" t="s">
        <v>330</v>
      </c>
      <c r="M102" t="s">
        <v>331</v>
      </c>
      <c r="N102" s="26" t="s">
        <v>350</v>
      </c>
      <c r="O102" t="s">
        <v>132</v>
      </c>
      <c r="P102" t="s">
        <v>134</v>
      </c>
      <c r="Q102" t="s">
        <v>138</v>
      </c>
      <c r="R102" t="s">
        <v>140</v>
      </c>
      <c r="T102" t="s">
        <v>56</v>
      </c>
      <c r="U102" s="27" t="str">
        <f>LOOKUP(1,1/(Table1[[#This Row],[Level_0]:[Level 15]]&gt;0),(Table1[[#This Row],[Level_0]:[Level 15]]))</f>
        <v>3110441100 - [Freight to customer – expenses]</v>
      </c>
      <c r="V102" s="21"/>
    </row>
    <row r="103" spans="1:22" hidden="1" x14ac:dyDescent="0.25">
      <c r="A103" s="16">
        <v>3110441200</v>
      </c>
      <c r="B103" s="16" t="s">
        <v>491</v>
      </c>
      <c r="C103" s="27">
        <v>3110441000</v>
      </c>
      <c r="D103" s="28" t="s">
        <v>58</v>
      </c>
      <c r="E103" s="25" t="s">
        <v>243</v>
      </c>
      <c r="F103" s="26" t="s">
        <v>245</v>
      </c>
      <c r="G103" s="26" t="s">
        <v>249</v>
      </c>
      <c r="H103" s="26" t="s">
        <v>258</v>
      </c>
      <c r="I103" s="26" t="s">
        <v>303</v>
      </c>
      <c r="J103" s="26" t="s">
        <v>311</v>
      </c>
      <c r="K103" s="26" t="s">
        <v>316</v>
      </c>
      <c r="L103" s="26" t="s">
        <v>330</v>
      </c>
      <c r="M103" t="s">
        <v>331</v>
      </c>
      <c r="N103" s="26" t="s">
        <v>350</v>
      </c>
      <c r="O103" t="s">
        <v>132</v>
      </c>
      <c r="P103" t="s">
        <v>134</v>
      </c>
      <c r="Q103" t="s">
        <v>138</v>
      </c>
      <c r="R103" t="s">
        <v>139</v>
      </c>
      <c r="T103" t="s">
        <v>56</v>
      </c>
      <c r="U103" s="27" t="str">
        <f>LOOKUP(1,1/(Table1[[#This Row],[Level_0]:[Level 15]]&gt;0),(Table1[[#This Row],[Level_0]:[Level 15]]))</f>
        <v>3110441200 - [Freight to customer – reimbursement]</v>
      </c>
      <c r="V103" s="21"/>
    </row>
    <row r="104" spans="1:22" hidden="1" x14ac:dyDescent="0.25">
      <c r="A104" s="16">
        <v>3110442000</v>
      </c>
      <c r="B104" s="16" t="s">
        <v>492</v>
      </c>
      <c r="C104" s="27">
        <v>3110440000</v>
      </c>
      <c r="D104" s="28" t="s">
        <v>58</v>
      </c>
      <c r="E104" s="25" t="s">
        <v>243</v>
      </c>
      <c r="F104" s="26" t="s">
        <v>245</v>
      </c>
      <c r="G104" s="26" t="s">
        <v>249</v>
      </c>
      <c r="H104" s="26" t="s">
        <v>258</v>
      </c>
      <c r="I104" s="26" t="s">
        <v>303</v>
      </c>
      <c r="J104" s="26" t="s">
        <v>311</v>
      </c>
      <c r="K104" s="26" t="s">
        <v>316</v>
      </c>
      <c r="L104" s="26" t="s">
        <v>330</v>
      </c>
      <c r="M104" t="s">
        <v>331</v>
      </c>
      <c r="N104" s="26" t="s">
        <v>350</v>
      </c>
      <c r="O104" t="s">
        <v>132</v>
      </c>
      <c r="P104" t="s">
        <v>134</v>
      </c>
      <c r="Q104" t="s">
        <v>135</v>
      </c>
      <c r="S104" t="s">
        <v>56</v>
      </c>
      <c r="T104" t="s">
        <v>56</v>
      </c>
      <c r="U104" s="27" t="str">
        <f>LOOKUP(1,1/(Table1[[#This Row],[Level_0]:[Level 15]]&gt;0),(Table1[[#This Row],[Level_0]:[Level 15]]))</f>
        <v>3110442000 - [Freight to Merck subsidiaries]</v>
      </c>
      <c r="V104" s="21"/>
    </row>
    <row r="105" spans="1:22" hidden="1" x14ac:dyDescent="0.25">
      <c r="A105" s="16">
        <v>3110442100</v>
      </c>
      <c r="B105" s="16" t="s">
        <v>493</v>
      </c>
      <c r="C105" s="27">
        <v>3110442000</v>
      </c>
      <c r="D105" s="28" t="s">
        <v>58</v>
      </c>
      <c r="E105" s="25" t="s">
        <v>243</v>
      </c>
      <c r="F105" s="26" t="s">
        <v>245</v>
      </c>
      <c r="G105" s="26" t="s">
        <v>249</v>
      </c>
      <c r="H105" s="26" t="s">
        <v>258</v>
      </c>
      <c r="I105" s="26" t="s">
        <v>303</v>
      </c>
      <c r="J105" s="26" t="s">
        <v>311</v>
      </c>
      <c r="K105" s="26" t="s">
        <v>316</v>
      </c>
      <c r="L105" s="26" t="s">
        <v>330</v>
      </c>
      <c r="M105" t="s">
        <v>331</v>
      </c>
      <c r="N105" s="26" t="s">
        <v>350</v>
      </c>
      <c r="O105" t="s">
        <v>132</v>
      </c>
      <c r="P105" t="s">
        <v>134</v>
      </c>
      <c r="Q105" t="s">
        <v>135</v>
      </c>
      <c r="R105" t="s">
        <v>137</v>
      </c>
      <c r="T105" t="s">
        <v>56</v>
      </c>
      <c r="U105" s="27" t="str">
        <f>LOOKUP(1,1/(Table1[[#This Row],[Level_0]:[Level 15]]&gt;0),(Table1[[#This Row],[Level_0]:[Level 15]]))</f>
        <v>3110442100 - [Freight to Merck subsidiaries – expenses]</v>
      </c>
      <c r="V105" s="21"/>
    </row>
    <row r="106" spans="1:22" hidden="1" x14ac:dyDescent="0.25">
      <c r="A106" s="16">
        <v>3110442200</v>
      </c>
      <c r="B106" s="16" t="s">
        <v>494</v>
      </c>
      <c r="C106" s="27">
        <v>3110442000</v>
      </c>
      <c r="D106" s="28" t="s">
        <v>58</v>
      </c>
      <c r="E106" s="25" t="s">
        <v>243</v>
      </c>
      <c r="F106" s="26" t="s">
        <v>245</v>
      </c>
      <c r="G106" s="26" t="s">
        <v>249</v>
      </c>
      <c r="H106" s="26" t="s">
        <v>258</v>
      </c>
      <c r="I106" s="26" t="s">
        <v>303</v>
      </c>
      <c r="J106" s="26" t="s">
        <v>311</v>
      </c>
      <c r="K106" s="26" t="s">
        <v>316</v>
      </c>
      <c r="L106" s="26" t="s">
        <v>330</v>
      </c>
      <c r="M106" t="s">
        <v>331</v>
      </c>
      <c r="N106" s="26" t="s">
        <v>350</v>
      </c>
      <c r="O106" t="s">
        <v>132</v>
      </c>
      <c r="P106" t="s">
        <v>134</v>
      </c>
      <c r="Q106" t="s">
        <v>135</v>
      </c>
      <c r="R106" t="s">
        <v>136</v>
      </c>
      <c r="T106" t="s">
        <v>56</v>
      </c>
      <c r="U106" s="27" t="str">
        <f>LOOKUP(1,1/(Table1[[#This Row],[Level_0]:[Level 15]]&gt;0),(Table1[[#This Row],[Level_0]:[Level 15]]))</f>
        <v>3110442200 - [Freight to Merck subsidiaries – reimbursement]</v>
      </c>
      <c r="V106" s="21"/>
    </row>
    <row r="107" spans="1:22" hidden="1" x14ac:dyDescent="0.25">
      <c r="A107" s="16">
        <v>3110470000</v>
      </c>
      <c r="B107" s="16" t="s">
        <v>495</v>
      </c>
      <c r="C107" s="27">
        <v>3110400000</v>
      </c>
      <c r="D107" s="28" t="s">
        <v>58</v>
      </c>
      <c r="E107" s="25" t="s">
        <v>243</v>
      </c>
      <c r="F107" s="26" t="s">
        <v>245</v>
      </c>
      <c r="G107" s="26" t="s">
        <v>249</v>
      </c>
      <c r="H107" s="26" t="s">
        <v>258</v>
      </c>
      <c r="I107" s="26" t="s">
        <v>303</v>
      </c>
      <c r="J107" s="26" t="s">
        <v>311</v>
      </c>
      <c r="K107" s="26" t="s">
        <v>316</v>
      </c>
      <c r="L107" s="26" t="s">
        <v>330</v>
      </c>
      <c r="M107" t="s">
        <v>331</v>
      </c>
      <c r="N107" s="26" t="s">
        <v>350</v>
      </c>
      <c r="O107" t="s">
        <v>132</v>
      </c>
      <c r="P107" t="s">
        <v>133</v>
      </c>
      <c r="R107" t="s">
        <v>56</v>
      </c>
      <c r="S107" t="s">
        <v>56</v>
      </c>
      <c r="T107" t="s">
        <v>56</v>
      </c>
      <c r="U107" s="27" t="str">
        <f>LOOKUP(1,1/(Table1[[#This Row],[Level_0]:[Level 15]]&gt;0),(Table1[[#This Row],[Level_0]:[Level 15]]))</f>
        <v>3110470000 - [IC income logistics]</v>
      </c>
      <c r="V107" s="21"/>
    </row>
    <row r="108" spans="1:22" hidden="1" x14ac:dyDescent="0.25">
      <c r="A108" s="16">
        <v>3110550000</v>
      </c>
      <c r="B108" s="16" t="s">
        <v>496</v>
      </c>
      <c r="C108" s="27">
        <v>3110000000</v>
      </c>
      <c r="D108" s="28" t="s">
        <v>58</v>
      </c>
      <c r="E108" s="25" t="s">
        <v>243</v>
      </c>
      <c r="F108" s="26" t="s">
        <v>245</v>
      </c>
      <c r="G108" s="26" t="s">
        <v>249</v>
      </c>
      <c r="H108" s="26" t="s">
        <v>258</v>
      </c>
      <c r="I108" s="26" t="s">
        <v>303</v>
      </c>
      <c r="J108" s="26" t="s">
        <v>311</v>
      </c>
      <c r="K108" s="26" t="s">
        <v>316</v>
      </c>
      <c r="L108" s="26" t="s">
        <v>330</v>
      </c>
      <c r="M108" t="s">
        <v>331</v>
      </c>
      <c r="N108" s="26" t="s">
        <v>350</v>
      </c>
      <c r="O108" t="s">
        <v>127</v>
      </c>
      <c r="Q108" t="s">
        <v>56</v>
      </c>
      <c r="R108" t="s">
        <v>56</v>
      </c>
      <c r="S108" t="s">
        <v>56</v>
      </c>
      <c r="T108" t="s">
        <v>56</v>
      </c>
      <c r="U108" s="27" t="str">
        <f>LOOKUP(1,1/(Table1[[#This Row],[Level_0]:[Level 15]]&gt;0),(Table1[[#This Row],[Level_0]:[Level 15]]))</f>
        <v>3110550000 - [Medical activities (non-R&amp;D)]</v>
      </c>
      <c r="V108" s="21"/>
    </row>
    <row r="109" spans="1:22" hidden="1" x14ac:dyDescent="0.25">
      <c r="A109" s="16">
        <v>3110551000</v>
      </c>
      <c r="B109" s="16" t="s">
        <v>497</v>
      </c>
      <c r="C109" s="27">
        <v>3110550000</v>
      </c>
      <c r="D109" s="28" t="s">
        <v>58</v>
      </c>
      <c r="E109" s="25" t="s">
        <v>243</v>
      </c>
      <c r="F109" s="26" t="s">
        <v>245</v>
      </c>
      <c r="G109" s="26" t="s">
        <v>249</v>
      </c>
      <c r="H109" s="26" t="s">
        <v>258</v>
      </c>
      <c r="I109" s="26" t="s">
        <v>303</v>
      </c>
      <c r="J109" s="26" t="s">
        <v>311</v>
      </c>
      <c r="K109" s="26" t="s">
        <v>316</v>
      </c>
      <c r="L109" s="26" t="s">
        <v>330</v>
      </c>
      <c r="M109" t="s">
        <v>331</v>
      </c>
      <c r="N109" s="26" t="s">
        <v>350</v>
      </c>
      <c r="O109" t="s">
        <v>127</v>
      </c>
      <c r="P109" t="s">
        <v>131</v>
      </c>
      <c r="R109" t="s">
        <v>56</v>
      </c>
      <c r="S109" t="s">
        <v>56</v>
      </c>
      <c r="T109" t="s">
        <v>56</v>
      </c>
      <c r="U109" s="27" t="str">
        <f>LOOKUP(1,1/(Table1[[#This Row],[Level_0]:[Level 15]]&gt;0),(Table1[[#This Row],[Level_0]:[Level 15]]))</f>
        <v>3110551000 - [Medical education]</v>
      </c>
      <c r="V109" s="21"/>
    </row>
    <row r="110" spans="1:22" hidden="1" x14ac:dyDescent="0.25">
      <c r="A110" s="16">
        <v>3110552000</v>
      </c>
      <c r="B110" s="16" t="s">
        <v>498</v>
      </c>
      <c r="C110" s="27">
        <v>3110550000</v>
      </c>
      <c r="D110" s="28" t="s">
        <v>58</v>
      </c>
      <c r="E110" s="25" t="s">
        <v>243</v>
      </c>
      <c r="F110" s="26" t="s">
        <v>245</v>
      </c>
      <c r="G110" s="26" t="s">
        <v>249</v>
      </c>
      <c r="H110" s="26" t="s">
        <v>258</v>
      </c>
      <c r="I110" s="26" t="s">
        <v>303</v>
      </c>
      <c r="J110" s="26" t="s">
        <v>311</v>
      </c>
      <c r="K110" s="26" t="s">
        <v>316</v>
      </c>
      <c r="L110" s="26" t="s">
        <v>330</v>
      </c>
      <c r="M110" t="s">
        <v>331</v>
      </c>
      <c r="N110" s="26" t="s">
        <v>350</v>
      </c>
      <c r="O110" t="s">
        <v>127</v>
      </c>
      <c r="P110" t="s">
        <v>130</v>
      </c>
      <c r="R110" t="s">
        <v>56</v>
      </c>
      <c r="S110" t="s">
        <v>56</v>
      </c>
      <c r="T110" t="s">
        <v>56</v>
      </c>
      <c r="U110" s="27" t="str">
        <f>LOOKUP(1,1/(Table1[[#This Row],[Level_0]:[Level 15]]&gt;0),(Table1[[#This Row],[Level_0]:[Level 15]]))</f>
        <v>3110552000 - [Medical donations]</v>
      </c>
      <c r="V110" s="21"/>
    </row>
    <row r="111" spans="1:22" hidden="1" x14ac:dyDescent="0.25">
      <c r="A111" s="16">
        <v>3110553000</v>
      </c>
      <c r="B111" s="16" t="s">
        <v>499</v>
      </c>
      <c r="C111" s="27">
        <v>3110550000</v>
      </c>
      <c r="D111" s="28" t="s">
        <v>58</v>
      </c>
      <c r="E111" s="25" t="s">
        <v>243</v>
      </c>
      <c r="F111" s="26" t="s">
        <v>245</v>
      </c>
      <c r="G111" s="26" t="s">
        <v>249</v>
      </c>
      <c r="H111" s="26" t="s">
        <v>258</v>
      </c>
      <c r="I111" s="26" t="s">
        <v>303</v>
      </c>
      <c r="J111" s="26" t="s">
        <v>311</v>
      </c>
      <c r="K111" s="26" t="s">
        <v>316</v>
      </c>
      <c r="L111" s="26" t="s">
        <v>330</v>
      </c>
      <c r="M111" t="s">
        <v>331</v>
      </c>
      <c r="N111" s="26" t="s">
        <v>350</v>
      </c>
      <c r="O111" t="s">
        <v>127</v>
      </c>
      <c r="P111" t="s">
        <v>129</v>
      </c>
      <c r="R111" t="s">
        <v>56</v>
      </c>
      <c r="S111" t="s">
        <v>56</v>
      </c>
      <c r="T111" t="s">
        <v>56</v>
      </c>
      <c r="U111" s="27" t="str">
        <f>LOOKUP(1,1/(Table1[[#This Row],[Level_0]:[Level 15]]&gt;0),(Table1[[#This Row],[Level_0]:[Level 15]]))</f>
        <v>3110553000 - [Medical consultants]</v>
      </c>
      <c r="V111" s="21"/>
    </row>
    <row r="112" spans="1:22" hidden="1" x14ac:dyDescent="0.25">
      <c r="A112" s="16">
        <v>3110554000</v>
      </c>
      <c r="B112" s="16" t="s">
        <v>500</v>
      </c>
      <c r="C112" s="27">
        <v>3110550000</v>
      </c>
      <c r="D112" s="28" t="s">
        <v>58</v>
      </c>
      <c r="E112" s="25" t="s">
        <v>243</v>
      </c>
      <c r="F112" s="26" t="s">
        <v>245</v>
      </c>
      <c r="G112" s="26" t="s">
        <v>249</v>
      </c>
      <c r="H112" s="26" t="s">
        <v>258</v>
      </c>
      <c r="I112" s="26" t="s">
        <v>303</v>
      </c>
      <c r="J112" s="26" t="s">
        <v>311</v>
      </c>
      <c r="K112" s="26" t="s">
        <v>316</v>
      </c>
      <c r="L112" s="26" t="s">
        <v>330</v>
      </c>
      <c r="M112" t="s">
        <v>331</v>
      </c>
      <c r="N112" s="26" t="s">
        <v>350</v>
      </c>
      <c r="O112" t="s">
        <v>127</v>
      </c>
      <c r="P112" t="s">
        <v>128</v>
      </c>
      <c r="R112" t="s">
        <v>56</v>
      </c>
      <c r="S112" t="s">
        <v>56</v>
      </c>
      <c r="T112" t="s">
        <v>56</v>
      </c>
      <c r="U112" s="27" t="str">
        <f>LOOKUP(1,1/(Table1[[#This Row],[Level_0]:[Level 15]]&gt;0),(Table1[[#This Row],[Level_0]:[Level 15]]))</f>
        <v>3110554000 - [Other medical non R&amp;D]</v>
      </c>
      <c r="V112" s="21"/>
    </row>
    <row r="113" spans="1:22" hidden="1" x14ac:dyDescent="0.25">
      <c r="A113" s="16">
        <v>3110700000</v>
      </c>
      <c r="B113" s="16" t="s">
        <v>501</v>
      </c>
      <c r="C113" s="27">
        <v>3110000000</v>
      </c>
      <c r="D113" s="28" t="s">
        <v>58</v>
      </c>
      <c r="E113" s="25" t="s">
        <v>243</v>
      </c>
      <c r="F113" s="26" t="s">
        <v>245</v>
      </c>
      <c r="G113" s="26" t="s">
        <v>249</v>
      </c>
      <c r="H113" s="26" t="s">
        <v>258</v>
      </c>
      <c r="I113" s="26" t="s">
        <v>303</v>
      </c>
      <c r="J113" s="26" t="s">
        <v>311</v>
      </c>
      <c r="K113" s="26" t="s">
        <v>316</v>
      </c>
      <c r="L113" s="26" t="s">
        <v>330</v>
      </c>
      <c r="M113" t="s">
        <v>331</v>
      </c>
      <c r="N113" s="26" t="s">
        <v>350</v>
      </c>
      <c r="O113" t="s">
        <v>124</v>
      </c>
      <c r="Q113" t="s">
        <v>56</v>
      </c>
      <c r="R113" t="s">
        <v>56</v>
      </c>
      <c r="S113" t="s">
        <v>56</v>
      </c>
      <c r="T113" t="s">
        <v>56</v>
      </c>
      <c r="U113" s="27" t="str">
        <f>LOOKUP(1,1/(Table1[[#This Row],[Level_0]:[Level 15]]&gt;0),(Table1[[#This Row],[Level_0]:[Level 15]]))</f>
        <v>3110700000 - [Other marketing &amp; selling]</v>
      </c>
      <c r="V113" s="21"/>
    </row>
    <row r="114" spans="1:22" hidden="1" x14ac:dyDescent="0.25">
      <c r="A114" s="16">
        <v>3110500000</v>
      </c>
      <c r="B114" s="16" t="s">
        <v>502</v>
      </c>
      <c r="C114" s="27">
        <v>3110700000</v>
      </c>
      <c r="D114" s="28" t="s">
        <v>58</v>
      </c>
      <c r="E114" s="25" t="s">
        <v>243</v>
      </c>
      <c r="F114" s="26" t="s">
        <v>245</v>
      </c>
      <c r="G114" s="26" t="s">
        <v>249</v>
      </c>
      <c r="H114" s="26" t="s">
        <v>258</v>
      </c>
      <c r="I114" s="26" t="s">
        <v>303</v>
      </c>
      <c r="J114" s="26" t="s">
        <v>311</v>
      </c>
      <c r="K114" s="26" t="s">
        <v>316</v>
      </c>
      <c r="L114" s="26" t="s">
        <v>330</v>
      </c>
      <c r="M114" t="s">
        <v>331</v>
      </c>
      <c r="N114" s="26" t="s">
        <v>350</v>
      </c>
      <c r="O114" t="s">
        <v>124</v>
      </c>
      <c r="P114" t="s">
        <v>126</v>
      </c>
      <c r="R114" t="s">
        <v>56</v>
      </c>
      <c r="S114" t="s">
        <v>56</v>
      </c>
      <c r="T114" t="s">
        <v>56</v>
      </c>
      <c r="U114" s="27" t="str">
        <f>LOOKUP(1,1/(Table1[[#This Row],[Level_0]:[Level 15]]&gt;0),(Table1[[#This Row],[Level_0]:[Level 15]]))</f>
        <v>3110500000 - [Special expenses of selling]</v>
      </c>
      <c r="V114" s="21"/>
    </row>
    <row r="115" spans="1:22" hidden="1" x14ac:dyDescent="0.25">
      <c r="A115" s="16">
        <v>3110600000</v>
      </c>
      <c r="B115" s="16" t="s">
        <v>503</v>
      </c>
      <c r="C115" s="27">
        <v>3110700000</v>
      </c>
      <c r="D115" s="28" t="s">
        <v>58</v>
      </c>
      <c r="E115" s="25" t="s">
        <v>243</v>
      </c>
      <c r="F115" s="26" t="s">
        <v>245</v>
      </c>
      <c r="G115" s="26" t="s">
        <v>249</v>
      </c>
      <c r="H115" s="26" t="s">
        <v>258</v>
      </c>
      <c r="I115" s="26" t="s">
        <v>303</v>
      </c>
      <c r="J115" s="26" t="s">
        <v>311</v>
      </c>
      <c r="K115" s="26" t="s">
        <v>316</v>
      </c>
      <c r="L115" s="26" t="s">
        <v>330</v>
      </c>
      <c r="M115" t="s">
        <v>331</v>
      </c>
      <c r="N115" s="26" t="s">
        <v>350</v>
      </c>
      <c r="O115" t="s">
        <v>124</v>
      </c>
      <c r="P115" t="s">
        <v>125</v>
      </c>
      <c r="R115" t="s">
        <v>56</v>
      </c>
      <c r="S115" t="s">
        <v>56</v>
      </c>
      <c r="T115" t="s">
        <v>56</v>
      </c>
      <c r="U115" s="27" t="str">
        <f>LOOKUP(1,1/(Table1[[#This Row],[Level_0]:[Level 15]]&gt;0),(Table1[[#This Row],[Level_0]:[Level 15]]))</f>
        <v>3110600000 - [IC income other marketing &amp; selling]</v>
      </c>
      <c r="V115" s="21"/>
    </row>
    <row r="116" spans="1:22" hidden="1" x14ac:dyDescent="0.25">
      <c r="A116" s="16">
        <v>3110800000</v>
      </c>
      <c r="B116" s="16" t="s">
        <v>504</v>
      </c>
      <c r="C116" s="27">
        <v>3110000000</v>
      </c>
      <c r="D116" s="28" t="s">
        <v>58</v>
      </c>
      <c r="E116" s="25" t="s">
        <v>243</v>
      </c>
      <c r="F116" s="26" t="s">
        <v>245</v>
      </c>
      <c r="G116" s="26" t="s">
        <v>249</v>
      </c>
      <c r="H116" s="26" t="s">
        <v>258</v>
      </c>
      <c r="I116" s="26" t="s">
        <v>303</v>
      </c>
      <c r="J116" s="26" t="s">
        <v>311</v>
      </c>
      <c r="K116" s="26" t="s">
        <v>316</v>
      </c>
      <c r="L116" s="26" t="s">
        <v>330</v>
      </c>
      <c r="M116" t="s">
        <v>331</v>
      </c>
      <c r="N116" s="26" t="s">
        <v>350</v>
      </c>
      <c r="O116" t="s">
        <v>102</v>
      </c>
      <c r="Q116" t="s">
        <v>56</v>
      </c>
      <c r="R116" t="s">
        <v>56</v>
      </c>
      <c r="S116" t="s">
        <v>56</v>
      </c>
      <c r="T116" t="s">
        <v>56</v>
      </c>
      <c r="U116" s="27" t="str">
        <f>LOOKUP(1,1/(Table1[[#This Row],[Level_0]:[Level 15]]&gt;0),(Table1[[#This Row],[Level_0]:[Level 15]]))</f>
        <v>3110800000 - [Amortization intangibles (M&amp;S)]</v>
      </c>
      <c r="V116" s="21"/>
    </row>
    <row r="117" spans="1:22" hidden="1" x14ac:dyDescent="0.25">
      <c r="A117" s="16">
        <v>3113000000</v>
      </c>
      <c r="B117" s="16" t="s">
        <v>505</v>
      </c>
      <c r="C117" s="27">
        <v>3110000000</v>
      </c>
      <c r="D117" s="28" t="s">
        <v>58</v>
      </c>
      <c r="E117" s="25" t="s">
        <v>243</v>
      </c>
      <c r="F117" s="26" t="s">
        <v>245</v>
      </c>
      <c r="G117" s="26" t="s">
        <v>249</v>
      </c>
      <c r="H117" s="26" t="s">
        <v>258</v>
      </c>
      <c r="I117" s="26" t="s">
        <v>303</v>
      </c>
      <c r="J117" s="26" t="s">
        <v>311</v>
      </c>
      <c r="K117" s="26" t="s">
        <v>316</v>
      </c>
      <c r="L117" s="26" t="s">
        <v>330</v>
      </c>
      <c r="M117" t="s">
        <v>331</v>
      </c>
      <c r="N117" s="26" t="s">
        <v>350</v>
      </c>
      <c r="O117" t="s">
        <v>351</v>
      </c>
      <c r="Q117" t="s">
        <v>56</v>
      </c>
      <c r="R117" t="s">
        <v>56</v>
      </c>
      <c r="S117" t="s">
        <v>56</v>
      </c>
      <c r="T117" t="s">
        <v>56</v>
      </c>
      <c r="U117" s="27" t="str">
        <f>LOOKUP(1,1/(Table1[[#This Row],[Level_0]:[Level 15]]&gt;0),(Table1[[#This Row],[Level_0]:[Level 15]]))</f>
        <v>3113000000 - [Royalty, license and commission expenses (M&amp;S)]</v>
      </c>
      <c r="V117" s="21"/>
    </row>
    <row r="118" spans="1:22" hidden="1" x14ac:dyDescent="0.25">
      <c r="A118" s="16">
        <v>3110900000</v>
      </c>
      <c r="B118" s="16" t="s">
        <v>506</v>
      </c>
      <c r="C118" s="27">
        <v>3113000000</v>
      </c>
      <c r="D118" s="28" t="s">
        <v>58</v>
      </c>
      <c r="E118" s="25" t="s">
        <v>243</v>
      </c>
      <c r="F118" s="26" t="s">
        <v>245</v>
      </c>
      <c r="G118" s="26" t="s">
        <v>249</v>
      </c>
      <c r="H118" s="26" t="s">
        <v>258</v>
      </c>
      <c r="I118" s="26" t="s">
        <v>303</v>
      </c>
      <c r="J118" s="26" t="s">
        <v>311</v>
      </c>
      <c r="K118" s="26" t="s">
        <v>316</v>
      </c>
      <c r="L118" s="26" t="s">
        <v>330</v>
      </c>
      <c r="M118" t="s">
        <v>331</v>
      </c>
      <c r="N118" s="26" t="s">
        <v>350</v>
      </c>
      <c r="O118" t="s">
        <v>351</v>
      </c>
      <c r="P118" t="s">
        <v>353</v>
      </c>
      <c r="R118" t="s">
        <v>56</v>
      </c>
      <c r="S118" t="s">
        <v>56</v>
      </c>
      <c r="T118" t="s">
        <v>56</v>
      </c>
      <c r="U118" s="27" t="str">
        <f>LOOKUP(1,1/(Table1[[#This Row],[Level_0]:[Level 15]]&gt;0),(Table1[[#This Row],[Level_0]:[Level 15]]))</f>
        <v>3110900000 - [Royalty and license expenses]</v>
      </c>
      <c r="V118" s="21"/>
    </row>
    <row r="119" spans="1:22" hidden="1" x14ac:dyDescent="0.25">
      <c r="A119" s="16">
        <v>3111000000</v>
      </c>
      <c r="B119" s="16" t="s">
        <v>507</v>
      </c>
      <c r="C119" s="27">
        <v>3113000000</v>
      </c>
      <c r="D119" s="28" t="s">
        <v>58</v>
      </c>
      <c r="E119" s="25" t="s">
        <v>243</v>
      </c>
      <c r="F119" s="26" t="s">
        <v>245</v>
      </c>
      <c r="G119" s="26" t="s">
        <v>249</v>
      </c>
      <c r="H119" s="26" t="s">
        <v>258</v>
      </c>
      <c r="I119" s="26" t="s">
        <v>303</v>
      </c>
      <c r="J119" s="26" t="s">
        <v>311</v>
      </c>
      <c r="K119" s="26" t="s">
        <v>316</v>
      </c>
      <c r="L119" s="26" t="s">
        <v>330</v>
      </c>
      <c r="M119" t="s">
        <v>331</v>
      </c>
      <c r="N119" s="26" t="s">
        <v>350</v>
      </c>
      <c r="O119" t="s">
        <v>351</v>
      </c>
      <c r="P119" t="s">
        <v>352</v>
      </c>
      <c r="R119" t="s">
        <v>56</v>
      </c>
      <c r="S119" t="s">
        <v>56</v>
      </c>
      <c r="T119" t="s">
        <v>56</v>
      </c>
      <c r="U119" s="27" t="str">
        <f>LOOKUP(1,1/(Table1[[#This Row],[Level_0]:[Level 15]]&gt;0),(Table1[[#This Row],[Level_0]:[Level 15]]))</f>
        <v>3111000000 - [Commission and profit share expenses]</v>
      </c>
      <c r="V119" s="21"/>
    </row>
    <row r="120" spans="1:22" hidden="1" x14ac:dyDescent="0.25">
      <c r="A120" s="16">
        <v>3113100000</v>
      </c>
      <c r="B120" s="16" t="s">
        <v>508</v>
      </c>
      <c r="C120" s="27">
        <v>3113000000</v>
      </c>
      <c r="D120" s="28" t="s">
        <v>58</v>
      </c>
      <c r="E120" s="25" t="s">
        <v>243</v>
      </c>
      <c r="F120" s="26" t="s">
        <v>245</v>
      </c>
      <c r="G120" s="26" t="s">
        <v>249</v>
      </c>
      <c r="H120" s="26" t="s">
        <v>258</v>
      </c>
      <c r="I120" s="26" t="s">
        <v>303</v>
      </c>
      <c r="J120" s="26" t="s">
        <v>311</v>
      </c>
      <c r="K120" s="26" t="s">
        <v>316</v>
      </c>
      <c r="L120" s="26" t="s">
        <v>330</v>
      </c>
      <c r="M120" t="s">
        <v>331</v>
      </c>
      <c r="N120" s="26" t="s">
        <v>350</v>
      </c>
      <c r="O120" t="s">
        <v>351</v>
      </c>
      <c r="P120" t="s">
        <v>119</v>
      </c>
      <c r="R120" t="s">
        <v>56</v>
      </c>
      <c r="S120" t="s">
        <v>56</v>
      </c>
      <c r="T120" t="s">
        <v>56</v>
      </c>
      <c r="U120" s="27" t="str">
        <f>LOOKUP(1,1/(Table1[[#This Row],[Level_0]:[Level 15]]&gt;0),(Table1[[#This Row],[Level_0]:[Level 15]]))</f>
        <v>3113100000 - [Royalty and license expenses (M&amp;S)]</v>
      </c>
      <c r="V120" s="21"/>
    </row>
    <row r="121" spans="1:22" hidden="1" x14ac:dyDescent="0.25">
      <c r="A121" s="16">
        <v>3113200000</v>
      </c>
      <c r="B121" s="16" t="s">
        <v>509</v>
      </c>
      <c r="C121" s="27">
        <v>3113000000</v>
      </c>
      <c r="D121" s="28" t="s">
        <v>58</v>
      </c>
      <c r="E121" s="25" t="s">
        <v>243</v>
      </c>
      <c r="F121" s="26" t="s">
        <v>245</v>
      </c>
      <c r="G121" s="26" t="s">
        <v>249</v>
      </c>
      <c r="H121" s="26" t="s">
        <v>258</v>
      </c>
      <c r="I121" s="26" t="s">
        <v>303</v>
      </c>
      <c r="J121" s="26" t="s">
        <v>311</v>
      </c>
      <c r="K121" s="26" t="s">
        <v>316</v>
      </c>
      <c r="L121" s="26" t="s">
        <v>330</v>
      </c>
      <c r="M121" t="s">
        <v>331</v>
      </c>
      <c r="N121" s="26" t="s">
        <v>350</v>
      </c>
      <c r="O121" t="s">
        <v>351</v>
      </c>
      <c r="P121" t="s">
        <v>118</v>
      </c>
      <c r="R121" t="s">
        <v>56</v>
      </c>
      <c r="S121" t="s">
        <v>56</v>
      </c>
      <c r="T121" t="s">
        <v>56</v>
      </c>
      <c r="U121" s="27" t="str">
        <f>LOOKUP(1,1/(Table1[[#This Row],[Level_0]:[Level 15]]&gt;0),(Table1[[#This Row],[Level_0]:[Level 15]]))</f>
        <v>3113200000 - [Commission expenses]</v>
      </c>
      <c r="V121" s="21"/>
    </row>
    <row r="122" spans="1:22" hidden="1" x14ac:dyDescent="0.25">
      <c r="A122" s="16">
        <v>3112000000</v>
      </c>
      <c r="B122" s="16" t="s">
        <v>510</v>
      </c>
      <c r="C122" s="27">
        <v>3100100000</v>
      </c>
      <c r="D122" s="28" t="s">
        <v>58</v>
      </c>
      <c r="E122" s="25" t="s">
        <v>243</v>
      </c>
      <c r="F122" s="26" t="s">
        <v>245</v>
      </c>
      <c r="G122" s="26" t="s">
        <v>249</v>
      </c>
      <c r="H122" s="26" t="s">
        <v>258</v>
      </c>
      <c r="I122" s="26" t="s">
        <v>303</v>
      </c>
      <c r="J122" s="26" t="s">
        <v>311</v>
      </c>
      <c r="K122" s="26" t="s">
        <v>316</v>
      </c>
      <c r="L122" s="26" t="s">
        <v>330</v>
      </c>
      <c r="M122" t="s">
        <v>331</v>
      </c>
      <c r="N122" s="26" t="s">
        <v>349</v>
      </c>
      <c r="P122" t="s">
        <v>56</v>
      </c>
      <c r="Q122" t="s">
        <v>56</v>
      </c>
      <c r="R122" t="s">
        <v>56</v>
      </c>
      <c r="S122" t="s">
        <v>56</v>
      </c>
      <c r="T122" t="s">
        <v>56</v>
      </c>
      <c r="U122" s="27" t="str">
        <f>LOOKUP(1,1/(Table1[[#This Row],[Level_0]:[Level 15]]&gt;0),(Table1[[#This Row],[Level_0]:[Level 15]]))</f>
        <v>3112000000 - [Royalty, license and commission expenses]</v>
      </c>
      <c r="V122" s="21"/>
    </row>
    <row r="123" spans="1:22" hidden="1" x14ac:dyDescent="0.25">
      <c r="A123" s="16">
        <v>3120000000</v>
      </c>
      <c r="B123" s="16" t="s">
        <v>511</v>
      </c>
      <c r="C123" s="27">
        <v>3100100000</v>
      </c>
      <c r="D123" s="28" t="s">
        <v>58</v>
      </c>
      <c r="E123" s="25" t="s">
        <v>243</v>
      </c>
      <c r="F123" s="26" t="s">
        <v>245</v>
      </c>
      <c r="G123" s="26" t="s">
        <v>249</v>
      </c>
      <c r="H123" s="26" t="s">
        <v>258</v>
      </c>
      <c r="I123" s="26" t="s">
        <v>303</v>
      </c>
      <c r="J123" s="26" t="s">
        <v>311</v>
      </c>
      <c r="K123" s="26" t="s">
        <v>316</v>
      </c>
      <c r="L123" s="26" t="s">
        <v>330</v>
      </c>
      <c r="M123" t="s">
        <v>331</v>
      </c>
      <c r="N123" s="26" t="s">
        <v>332</v>
      </c>
      <c r="P123" t="s">
        <v>56</v>
      </c>
      <c r="Q123" t="s">
        <v>56</v>
      </c>
      <c r="R123" t="s">
        <v>56</v>
      </c>
      <c r="S123" t="s">
        <v>56</v>
      </c>
      <c r="T123" t="s">
        <v>56</v>
      </c>
      <c r="U123" s="27" t="str">
        <f>LOOKUP(1,1/(Table1[[#This Row],[Level_0]:[Level 15]]&gt;0),(Table1[[#This Row],[Level_0]:[Level 15]]))</f>
        <v>3120000000 - [General and Administration]</v>
      </c>
      <c r="V123" s="21"/>
    </row>
    <row r="124" spans="1:22" hidden="1" x14ac:dyDescent="0.25">
      <c r="A124" s="16">
        <v>3121000000</v>
      </c>
      <c r="B124" s="16" t="s">
        <v>512</v>
      </c>
      <c r="C124" s="27">
        <v>3120000000</v>
      </c>
      <c r="D124" s="28" t="s">
        <v>58</v>
      </c>
      <c r="E124" s="25" t="s">
        <v>243</v>
      </c>
      <c r="F124" s="26" t="s">
        <v>245</v>
      </c>
      <c r="G124" s="26" t="s">
        <v>249</v>
      </c>
      <c r="H124" s="26" t="s">
        <v>258</v>
      </c>
      <c r="I124" s="26" t="s">
        <v>303</v>
      </c>
      <c r="J124" s="26" t="s">
        <v>311</v>
      </c>
      <c r="K124" s="26" t="s">
        <v>316</v>
      </c>
      <c r="L124" s="26" t="s">
        <v>330</v>
      </c>
      <c r="M124" t="s">
        <v>331</v>
      </c>
      <c r="N124" s="26" t="s">
        <v>332</v>
      </c>
      <c r="O124" t="s">
        <v>228</v>
      </c>
      <c r="Q124" t="s">
        <v>56</v>
      </c>
      <c r="R124" t="s">
        <v>56</v>
      </c>
      <c r="S124" t="s">
        <v>56</v>
      </c>
      <c r="T124" t="s">
        <v>56</v>
      </c>
      <c r="U124" s="27" t="str">
        <f>LOOKUP(1,1/(Table1[[#This Row],[Level_0]:[Level 15]]&gt;0),(Table1[[#This Row],[Level_0]:[Level 15]]))</f>
        <v>3121000000 - [Administration]</v>
      </c>
      <c r="V124" s="21"/>
    </row>
    <row r="125" spans="1:22" hidden="1" x14ac:dyDescent="0.25">
      <c r="A125" s="16">
        <v>3121010000</v>
      </c>
      <c r="B125" s="16" t="s">
        <v>513</v>
      </c>
      <c r="C125" s="27">
        <v>3121000000</v>
      </c>
      <c r="D125" s="28" t="s">
        <v>58</v>
      </c>
      <c r="E125" s="25" t="s">
        <v>243</v>
      </c>
      <c r="F125" s="26" t="s">
        <v>245</v>
      </c>
      <c r="G125" s="26" t="s">
        <v>249</v>
      </c>
      <c r="H125" s="26" t="s">
        <v>258</v>
      </c>
      <c r="I125" s="26" t="s">
        <v>303</v>
      </c>
      <c r="J125" s="26" t="s">
        <v>311</v>
      </c>
      <c r="K125" s="26" t="s">
        <v>316</v>
      </c>
      <c r="L125" s="26" t="s">
        <v>330</v>
      </c>
      <c r="M125" t="s">
        <v>331</v>
      </c>
      <c r="N125" s="26" t="s">
        <v>332</v>
      </c>
      <c r="O125" t="s">
        <v>228</v>
      </c>
      <c r="P125" t="s">
        <v>236</v>
      </c>
      <c r="R125" t="s">
        <v>56</v>
      </c>
      <c r="S125" t="s">
        <v>56</v>
      </c>
      <c r="T125" t="s">
        <v>56</v>
      </c>
      <c r="U125" s="27" t="str">
        <f>LOOKUP(1,1/(Table1[[#This Row],[Level_0]:[Level 15]]&gt;0),(Table1[[#This Row],[Level_0]:[Level 15]]))</f>
        <v>3121010000 - [Finance]</v>
      </c>
      <c r="V125" s="21"/>
    </row>
    <row r="126" spans="1:22" hidden="1" x14ac:dyDescent="0.25">
      <c r="A126" s="16">
        <v>3121020000</v>
      </c>
      <c r="B126" s="16" t="s">
        <v>514</v>
      </c>
      <c r="C126" s="27">
        <v>3121000000</v>
      </c>
      <c r="D126" s="28" t="s">
        <v>58</v>
      </c>
      <c r="E126" s="25" t="s">
        <v>243</v>
      </c>
      <c r="F126" s="26" t="s">
        <v>245</v>
      </c>
      <c r="G126" s="26" t="s">
        <v>249</v>
      </c>
      <c r="H126" s="26" t="s">
        <v>258</v>
      </c>
      <c r="I126" s="26" t="s">
        <v>303</v>
      </c>
      <c r="J126" s="26" t="s">
        <v>311</v>
      </c>
      <c r="K126" s="26" t="s">
        <v>316</v>
      </c>
      <c r="L126" s="26" t="s">
        <v>330</v>
      </c>
      <c r="M126" t="s">
        <v>331</v>
      </c>
      <c r="N126" s="26" t="s">
        <v>332</v>
      </c>
      <c r="O126" t="s">
        <v>228</v>
      </c>
      <c r="P126" t="s">
        <v>235</v>
      </c>
      <c r="R126" t="s">
        <v>56</v>
      </c>
      <c r="S126" t="s">
        <v>56</v>
      </c>
      <c r="T126" t="s">
        <v>56</v>
      </c>
      <c r="U126" s="27" t="str">
        <f>LOOKUP(1,1/(Table1[[#This Row],[Level_0]:[Level 15]]&gt;0),(Table1[[#This Row],[Level_0]:[Level 15]]))</f>
        <v>3121020000 - [Human resources]</v>
      </c>
      <c r="V126" s="21"/>
    </row>
    <row r="127" spans="1:22" hidden="1" x14ac:dyDescent="0.25">
      <c r="A127" s="16">
        <v>3121030000</v>
      </c>
      <c r="B127" s="16" t="s">
        <v>515</v>
      </c>
      <c r="C127" s="27">
        <v>3121000000</v>
      </c>
      <c r="D127" s="28" t="s">
        <v>58</v>
      </c>
      <c r="E127" s="25" t="s">
        <v>243</v>
      </c>
      <c r="F127" s="26" t="s">
        <v>245</v>
      </c>
      <c r="G127" s="26" t="s">
        <v>249</v>
      </c>
      <c r="H127" s="26" t="s">
        <v>258</v>
      </c>
      <c r="I127" s="26" t="s">
        <v>303</v>
      </c>
      <c r="J127" s="26" t="s">
        <v>311</v>
      </c>
      <c r="K127" s="26" t="s">
        <v>316</v>
      </c>
      <c r="L127" s="26" t="s">
        <v>330</v>
      </c>
      <c r="M127" t="s">
        <v>331</v>
      </c>
      <c r="N127" s="26" t="s">
        <v>332</v>
      </c>
      <c r="O127" t="s">
        <v>228</v>
      </c>
      <c r="P127" t="s">
        <v>234</v>
      </c>
      <c r="R127" t="s">
        <v>56</v>
      </c>
      <c r="S127" t="s">
        <v>56</v>
      </c>
      <c r="T127" t="s">
        <v>56</v>
      </c>
      <c r="U127" s="27" t="str">
        <f>LOOKUP(1,1/(Table1[[#This Row],[Level_0]:[Level 15]]&gt;0),(Table1[[#This Row],[Level_0]:[Level 15]]))</f>
        <v>3121030000 - [Legal]</v>
      </c>
      <c r="V127" s="21"/>
    </row>
    <row r="128" spans="1:22" hidden="1" x14ac:dyDescent="0.25">
      <c r="A128" s="16">
        <v>3121040000</v>
      </c>
      <c r="B128" s="16" t="s">
        <v>516</v>
      </c>
      <c r="C128" s="27">
        <v>3121000000</v>
      </c>
      <c r="D128" s="28" t="s">
        <v>58</v>
      </c>
      <c r="E128" s="25" t="s">
        <v>243</v>
      </c>
      <c r="F128" s="26" t="s">
        <v>245</v>
      </c>
      <c r="G128" s="26" t="s">
        <v>249</v>
      </c>
      <c r="H128" s="26" t="s">
        <v>258</v>
      </c>
      <c r="I128" s="26" t="s">
        <v>303</v>
      </c>
      <c r="J128" s="26" t="s">
        <v>311</v>
      </c>
      <c r="K128" s="26" t="s">
        <v>316</v>
      </c>
      <c r="L128" s="26" t="s">
        <v>330</v>
      </c>
      <c r="M128" t="s">
        <v>331</v>
      </c>
      <c r="N128" s="26" t="s">
        <v>332</v>
      </c>
      <c r="O128" t="s">
        <v>228</v>
      </c>
      <c r="P128" t="s">
        <v>233</v>
      </c>
      <c r="R128" t="s">
        <v>56</v>
      </c>
      <c r="S128" t="s">
        <v>56</v>
      </c>
      <c r="T128" t="s">
        <v>56</v>
      </c>
      <c r="U128" s="27" t="str">
        <f>LOOKUP(1,1/(Table1[[#This Row],[Level_0]:[Level 15]]&gt;0),(Table1[[#This Row],[Level_0]:[Level 15]]))</f>
        <v>3121040000 - [Communications]</v>
      </c>
      <c r="V128" s="21"/>
    </row>
    <row r="129" spans="1:22" hidden="1" x14ac:dyDescent="0.25">
      <c r="A129" s="16">
        <v>3121050000</v>
      </c>
      <c r="B129" s="16" t="s">
        <v>517</v>
      </c>
      <c r="C129" s="27">
        <v>3121000000</v>
      </c>
      <c r="D129" s="28" t="s">
        <v>58</v>
      </c>
      <c r="E129" s="25" t="s">
        <v>243</v>
      </c>
      <c r="F129" s="26" t="s">
        <v>245</v>
      </c>
      <c r="G129" s="26" t="s">
        <v>249</v>
      </c>
      <c r="H129" s="26" t="s">
        <v>258</v>
      </c>
      <c r="I129" s="26" t="s">
        <v>303</v>
      </c>
      <c r="J129" s="26" t="s">
        <v>311</v>
      </c>
      <c r="K129" s="26" t="s">
        <v>316</v>
      </c>
      <c r="L129" s="26" t="s">
        <v>330</v>
      </c>
      <c r="M129" t="s">
        <v>331</v>
      </c>
      <c r="N129" s="26" t="s">
        <v>332</v>
      </c>
      <c r="O129" t="s">
        <v>228</v>
      </c>
      <c r="P129" t="s">
        <v>232</v>
      </c>
      <c r="R129" t="s">
        <v>56</v>
      </c>
      <c r="S129" t="s">
        <v>56</v>
      </c>
      <c r="T129" t="s">
        <v>56</v>
      </c>
      <c r="U129" s="27" t="str">
        <f>LOOKUP(1,1/(Table1[[#This Row],[Level_0]:[Level 15]]&gt;0),(Table1[[#This Row],[Level_0]:[Level 15]]))</f>
        <v>3121050000 - [Other administration costs]</v>
      </c>
      <c r="V129" s="21"/>
    </row>
    <row r="130" spans="1:22" hidden="1" x14ac:dyDescent="0.25">
      <c r="A130" s="16">
        <v>3121060000</v>
      </c>
      <c r="B130" s="16" t="s">
        <v>518</v>
      </c>
      <c r="C130" s="27">
        <v>3121000000</v>
      </c>
      <c r="D130" s="28" t="s">
        <v>58</v>
      </c>
      <c r="E130" s="25" t="s">
        <v>243</v>
      </c>
      <c r="F130" s="26" t="s">
        <v>245</v>
      </c>
      <c r="G130" s="26" t="s">
        <v>249</v>
      </c>
      <c r="H130" s="26" t="s">
        <v>258</v>
      </c>
      <c r="I130" s="26" t="s">
        <v>303</v>
      </c>
      <c r="J130" s="26" t="s">
        <v>311</v>
      </c>
      <c r="K130" s="26" t="s">
        <v>316</v>
      </c>
      <c r="L130" s="26" t="s">
        <v>330</v>
      </c>
      <c r="M130" t="s">
        <v>331</v>
      </c>
      <c r="N130" s="26" t="s">
        <v>332</v>
      </c>
      <c r="O130" t="s">
        <v>228</v>
      </c>
      <c r="P130" t="s">
        <v>231</v>
      </c>
      <c r="R130" t="s">
        <v>56</v>
      </c>
      <c r="S130" t="s">
        <v>56</v>
      </c>
      <c r="T130" t="s">
        <v>56</v>
      </c>
      <c r="U130" s="27" t="str">
        <f>LOOKUP(1,1/(Table1[[#This Row],[Level_0]:[Level 15]]&gt;0),(Table1[[#This Row],[Level_0]:[Level 15]]))</f>
        <v>3121060000 - [Group Information Service]</v>
      </c>
      <c r="V130" s="21"/>
    </row>
    <row r="131" spans="1:22" hidden="1" x14ac:dyDescent="0.25">
      <c r="A131" s="16">
        <v>3121070000</v>
      </c>
      <c r="B131" s="16" t="s">
        <v>519</v>
      </c>
      <c r="C131" s="27">
        <v>3121000000</v>
      </c>
      <c r="D131" s="28" t="s">
        <v>58</v>
      </c>
      <c r="E131" s="25" t="s">
        <v>243</v>
      </c>
      <c r="F131" s="26" t="s">
        <v>245</v>
      </c>
      <c r="G131" s="26" t="s">
        <v>249</v>
      </c>
      <c r="H131" s="26" t="s">
        <v>258</v>
      </c>
      <c r="I131" s="26" t="s">
        <v>303</v>
      </c>
      <c r="J131" s="26" t="s">
        <v>311</v>
      </c>
      <c r="K131" s="26" t="s">
        <v>316</v>
      </c>
      <c r="L131" s="26" t="s">
        <v>330</v>
      </c>
      <c r="M131" t="s">
        <v>331</v>
      </c>
      <c r="N131" s="26" t="s">
        <v>332</v>
      </c>
      <c r="O131" t="s">
        <v>228</v>
      </c>
      <c r="P131" t="s">
        <v>230</v>
      </c>
      <c r="R131" t="s">
        <v>56</v>
      </c>
      <c r="S131" t="s">
        <v>56</v>
      </c>
      <c r="T131" t="s">
        <v>56</v>
      </c>
      <c r="U131" s="27" t="str">
        <f>LOOKUP(1,1/(Table1[[#This Row],[Level_0]:[Level 15]]&gt;0),(Table1[[#This Row],[Level_0]:[Level 15]]))</f>
        <v>3121070000 - [Environm., Health, Safety, Security, Quality]</v>
      </c>
      <c r="V131" s="21"/>
    </row>
    <row r="132" spans="1:22" hidden="1" x14ac:dyDescent="0.25">
      <c r="A132" s="16">
        <v>3121080000</v>
      </c>
      <c r="B132" s="16" t="s">
        <v>520</v>
      </c>
      <c r="C132" s="27">
        <v>3121000000</v>
      </c>
      <c r="D132" s="28" t="s">
        <v>58</v>
      </c>
      <c r="E132" s="25" t="s">
        <v>243</v>
      </c>
      <c r="F132" s="26" t="s">
        <v>245</v>
      </c>
      <c r="G132" s="26" t="s">
        <v>249</v>
      </c>
      <c r="H132" s="26" t="s">
        <v>258</v>
      </c>
      <c r="I132" s="26" t="s">
        <v>303</v>
      </c>
      <c r="J132" s="26" t="s">
        <v>311</v>
      </c>
      <c r="K132" s="26" t="s">
        <v>316</v>
      </c>
      <c r="L132" s="26" t="s">
        <v>330</v>
      </c>
      <c r="M132" t="s">
        <v>331</v>
      </c>
      <c r="N132" s="26" t="s">
        <v>332</v>
      </c>
      <c r="O132" t="s">
        <v>228</v>
      </c>
      <c r="P132" t="s">
        <v>229</v>
      </c>
      <c r="R132" t="s">
        <v>56</v>
      </c>
      <c r="S132" t="s">
        <v>56</v>
      </c>
      <c r="T132" t="s">
        <v>56</v>
      </c>
      <c r="U132" s="27" t="str">
        <f>LOOKUP(1,1/(Table1[[#This Row],[Level_0]:[Level 15]]&gt;0),(Table1[[#This Row],[Level_0]:[Level 15]]))</f>
        <v>3121080000 - [Group Procurement]</v>
      </c>
      <c r="V132" s="21"/>
    </row>
    <row r="133" spans="1:22" hidden="1" x14ac:dyDescent="0.25">
      <c r="A133" s="16">
        <v>3122000000</v>
      </c>
      <c r="B133" s="16" t="s">
        <v>521</v>
      </c>
      <c r="C133" s="27">
        <v>3120000000</v>
      </c>
      <c r="D133" s="28" t="s">
        <v>58</v>
      </c>
      <c r="E133" s="25" t="s">
        <v>243</v>
      </c>
      <c r="F133" s="26" t="s">
        <v>245</v>
      </c>
      <c r="G133" s="26" t="s">
        <v>249</v>
      </c>
      <c r="H133" s="26" t="s">
        <v>258</v>
      </c>
      <c r="I133" s="26" t="s">
        <v>303</v>
      </c>
      <c r="J133" s="26" t="s">
        <v>311</v>
      </c>
      <c r="K133" s="26" t="s">
        <v>316</v>
      </c>
      <c r="L133" s="26" t="s">
        <v>330</v>
      </c>
      <c r="M133" t="s">
        <v>331</v>
      </c>
      <c r="N133" s="26" t="s">
        <v>332</v>
      </c>
      <c r="O133" t="s">
        <v>333</v>
      </c>
      <c r="Q133" t="s">
        <v>56</v>
      </c>
      <c r="R133" t="s">
        <v>56</v>
      </c>
      <c r="S133" t="s">
        <v>56</v>
      </c>
      <c r="T133" t="s">
        <v>56</v>
      </c>
      <c r="U133" s="27" t="str">
        <f>LOOKUP(1,1/(Table1[[#This Row],[Level_0]:[Level 15]]&gt;0),(Table1[[#This Row],[Level_0]:[Level 15]]))</f>
        <v>3122000000 - [Other operating expenses/income]</v>
      </c>
      <c r="V133" s="21"/>
    </row>
    <row r="134" spans="1:22" hidden="1" x14ac:dyDescent="0.25">
      <c r="A134" s="16">
        <v>3122100000</v>
      </c>
      <c r="B134" s="16" t="s">
        <v>522</v>
      </c>
      <c r="C134" s="27">
        <v>3122000000</v>
      </c>
      <c r="D134" s="28" t="s">
        <v>58</v>
      </c>
      <c r="E134" s="25" t="s">
        <v>243</v>
      </c>
      <c r="F134" s="26" t="s">
        <v>245</v>
      </c>
      <c r="G134" s="26" t="s">
        <v>249</v>
      </c>
      <c r="H134" s="26" t="s">
        <v>258</v>
      </c>
      <c r="I134" s="26" t="s">
        <v>303</v>
      </c>
      <c r="J134" s="26" t="s">
        <v>311</v>
      </c>
      <c r="K134" s="26" t="s">
        <v>316</v>
      </c>
      <c r="L134" s="26" t="s">
        <v>330</v>
      </c>
      <c r="M134" t="s">
        <v>331</v>
      </c>
      <c r="N134" s="26" t="s">
        <v>332</v>
      </c>
      <c r="O134" t="s">
        <v>333</v>
      </c>
      <c r="P134" t="s">
        <v>334</v>
      </c>
      <c r="R134" t="s">
        <v>56</v>
      </c>
      <c r="S134" t="s">
        <v>56</v>
      </c>
      <c r="T134" t="s">
        <v>56</v>
      </c>
      <c r="U134" s="27" t="str">
        <f>LOOKUP(1,1/(Table1[[#This Row],[Level_0]:[Level 15]]&gt;0),(Table1[[#This Row],[Level_0]:[Level 15]]))</f>
        <v>3122100000 - [Other operating expenses]</v>
      </c>
      <c r="V134" s="21"/>
    </row>
    <row r="135" spans="1:22" hidden="1" x14ac:dyDescent="0.25">
      <c r="A135" s="16">
        <v>3122101000</v>
      </c>
      <c r="B135" s="16" t="s">
        <v>523</v>
      </c>
      <c r="C135" s="27">
        <v>3122100000</v>
      </c>
      <c r="D135" s="28" t="s">
        <v>58</v>
      </c>
      <c r="E135" s="25" t="s">
        <v>243</v>
      </c>
      <c r="F135" s="26" t="s">
        <v>245</v>
      </c>
      <c r="G135" s="26" t="s">
        <v>249</v>
      </c>
      <c r="H135" s="26" t="s">
        <v>258</v>
      </c>
      <c r="I135" s="26" t="s">
        <v>303</v>
      </c>
      <c r="J135" s="26" t="s">
        <v>311</v>
      </c>
      <c r="K135" s="26" t="s">
        <v>316</v>
      </c>
      <c r="L135" s="26" t="s">
        <v>330</v>
      </c>
      <c r="M135" t="s">
        <v>331</v>
      </c>
      <c r="N135" s="26" t="s">
        <v>332</v>
      </c>
      <c r="O135" t="s">
        <v>333</v>
      </c>
      <c r="P135" t="s">
        <v>334</v>
      </c>
      <c r="Q135" t="s">
        <v>348</v>
      </c>
      <c r="S135" t="s">
        <v>56</v>
      </c>
      <c r="T135" t="s">
        <v>56</v>
      </c>
      <c r="U135" s="27" t="str">
        <f>LOOKUP(1,1/(Table1[[#This Row],[Level_0]:[Level 15]]&gt;0),(Table1[[#This Row],[Level_0]:[Level 15]]))</f>
        <v>3122101000 - [Capital losses]</v>
      </c>
      <c r="V135" s="21"/>
    </row>
    <row r="136" spans="1:22" hidden="1" x14ac:dyDescent="0.25">
      <c r="A136" s="16">
        <v>3122101100</v>
      </c>
      <c r="B136" s="16" t="s">
        <v>524</v>
      </c>
      <c r="C136" s="27">
        <v>3122100000</v>
      </c>
      <c r="D136" s="28" t="s">
        <v>58</v>
      </c>
      <c r="E136" s="25" t="s">
        <v>243</v>
      </c>
      <c r="F136" s="26" t="s">
        <v>245</v>
      </c>
      <c r="G136" s="26" t="s">
        <v>249</v>
      </c>
      <c r="H136" s="26" t="s">
        <v>258</v>
      </c>
      <c r="I136" s="26" t="s">
        <v>303</v>
      </c>
      <c r="J136" s="26" t="s">
        <v>311</v>
      </c>
      <c r="K136" s="26" t="s">
        <v>316</v>
      </c>
      <c r="L136" s="26" t="s">
        <v>330</v>
      </c>
      <c r="M136" t="s">
        <v>331</v>
      </c>
      <c r="N136" s="26" t="s">
        <v>332</v>
      </c>
      <c r="O136" t="s">
        <v>333</v>
      </c>
      <c r="P136" t="s">
        <v>334</v>
      </c>
      <c r="Q136" t="s">
        <v>192</v>
      </c>
      <c r="S136" t="s">
        <v>56</v>
      </c>
      <c r="T136" t="s">
        <v>56</v>
      </c>
      <c r="U136" s="27" t="str">
        <f>LOOKUP(1,1/(Table1[[#This Row],[Level_0]:[Level 15]]&gt;0),(Table1[[#This Row],[Level_0]:[Level 15]]))</f>
        <v>3122101100 - [Capital losses from disposal of intangible assets]</v>
      </c>
      <c r="V136" s="21"/>
    </row>
    <row r="137" spans="1:22" hidden="1" x14ac:dyDescent="0.25">
      <c r="A137" s="16">
        <v>3122101110</v>
      </c>
      <c r="B137" s="16" t="s">
        <v>525</v>
      </c>
      <c r="C137" s="27">
        <v>3122101100</v>
      </c>
      <c r="D137" s="28" t="s">
        <v>58</v>
      </c>
      <c r="E137" s="25" t="s">
        <v>243</v>
      </c>
      <c r="F137" s="26" t="s">
        <v>245</v>
      </c>
      <c r="G137" s="26" t="s">
        <v>249</v>
      </c>
      <c r="H137" s="26" t="s">
        <v>258</v>
      </c>
      <c r="I137" s="26" t="s">
        <v>303</v>
      </c>
      <c r="J137" s="26" t="s">
        <v>311</v>
      </c>
      <c r="K137" s="26" t="s">
        <v>316</v>
      </c>
      <c r="L137" s="26" t="s">
        <v>330</v>
      </c>
      <c r="M137" t="s">
        <v>331</v>
      </c>
      <c r="N137" s="26" t="s">
        <v>332</v>
      </c>
      <c r="O137" t="s">
        <v>333</v>
      </c>
      <c r="P137" t="s">
        <v>334</v>
      </c>
      <c r="Q137" t="s">
        <v>192</v>
      </c>
      <c r="R137" t="s">
        <v>197</v>
      </c>
      <c r="T137" t="s">
        <v>56</v>
      </c>
      <c r="U137" s="27" t="str">
        <f>LOOKUP(1,1/(Table1[[#This Row],[Level_0]:[Level 15]]&gt;0),(Table1[[#This Row],[Level_0]:[Level 15]]))</f>
        <v>3122101110 - [Capital losses from disposal of intangible assets (production related)]</v>
      </c>
      <c r="V137" s="21"/>
    </row>
    <row r="138" spans="1:22" hidden="1" x14ac:dyDescent="0.25">
      <c r="A138" s="16">
        <v>3122101120</v>
      </c>
      <c r="B138" s="16" t="s">
        <v>526</v>
      </c>
      <c r="C138" s="27">
        <v>3122101100</v>
      </c>
      <c r="D138" s="28" t="s">
        <v>58</v>
      </c>
      <c r="E138" s="25" t="s">
        <v>243</v>
      </c>
      <c r="F138" s="26" t="s">
        <v>245</v>
      </c>
      <c r="G138" s="26" t="s">
        <v>249</v>
      </c>
      <c r="H138" s="26" t="s">
        <v>258</v>
      </c>
      <c r="I138" s="26" t="s">
        <v>303</v>
      </c>
      <c r="J138" s="26" t="s">
        <v>311</v>
      </c>
      <c r="K138" s="26" t="s">
        <v>316</v>
      </c>
      <c r="L138" s="26" t="s">
        <v>330</v>
      </c>
      <c r="M138" t="s">
        <v>331</v>
      </c>
      <c r="N138" s="26" t="s">
        <v>332</v>
      </c>
      <c r="O138" t="s">
        <v>333</v>
      </c>
      <c r="P138" t="s">
        <v>334</v>
      </c>
      <c r="Q138" t="s">
        <v>192</v>
      </c>
      <c r="R138" t="s">
        <v>196</v>
      </c>
      <c r="T138" t="s">
        <v>56</v>
      </c>
      <c r="U138" s="27" t="str">
        <f>LOOKUP(1,1/(Table1[[#This Row],[Level_0]:[Level 15]]&gt;0),(Table1[[#This Row],[Level_0]:[Level 15]]))</f>
        <v>3122101120 - [Capital losses from disposal of intangible assets (marketing &amp; selling related)]</v>
      </c>
      <c r="V138" s="21"/>
    </row>
    <row r="139" spans="1:22" hidden="1" x14ac:dyDescent="0.25">
      <c r="A139" s="16">
        <v>3122101130</v>
      </c>
      <c r="B139" s="16" t="s">
        <v>527</v>
      </c>
      <c r="C139" s="27">
        <v>3122101100</v>
      </c>
      <c r="D139" s="28" t="s">
        <v>58</v>
      </c>
      <c r="E139" s="25" t="s">
        <v>243</v>
      </c>
      <c r="F139" s="26" t="s">
        <v>245</v>
      </c>
      <c r="G139" s="26" t="s">
        <v>249</v>
      </c>
      <c r="H139" s="26" t="s">
        <v>258</v>
      </c>
      <c r="I139" s="26" t="s">
        <v>303</v>
      </c>
      <c r="J139" s="26" t="s">
        <v>311</v>
      </c>
      <c r="K139" s="26" t="s">
        <v>316</v>
      </c>
      <c r="L139" s="26" t="s">
        <v>330</v>
      </c>
      <c r="M139" t="s">
        <v>331</v>
      </c>
      <c r="N139" s="26" t="s">
        <v>332</v>
      </c>
      <c r="O139" t="s">
        <v>333</v>
      </c>
      <c r="P139" t="s">
        <v>334</v>
      </c>
      <c r="Q139" t="s">
        <v>192</v>
      </c>
      <c r="R139" t="s">
        <v>195</v>
      </c>
      <c r="T139" t="s">
        <v>56</v>
      </c>
      <c r="U139" s="27" t="str">
        <f>LOOKUP(1,1/(Table1[[#This Row],[Level_0]:[Level 15]]&gt;0),(Table1[[#This Row],[Level_0]:[Level 15]]))</f>
        <v>3122101130 - [Capital losses from disposal of intangible assets (administration related)]</v>
      </c>
      <c r="V139" s="21"/>
    </row>
    <row r="140" spans="1:22" hidden="1" x14ac:dyDescent="0.25">
      <c r="A140" s="16">
        <v>3122101140</v>
      </c>
      <c r="B140" s="16" t="s">
        <v>528</v>
      </c>
      <c r="C140" s="27">
        <v>3122101100</v>
      </c>
      <c r="D140" s="28" t="s">
        <v>58</v>
      </c>
      <c r="E140" s="25" t="s">
        <v>243</v>
      </c>
      <c r="F140" s="26" t="s">
        <v>245</v>
      </c>
      <c r="G140" s="26" t="s">
        <v>249</v>
      </c>
      <c r="H140" s="26" t="s">
        <v>258</v>
      </c>
      <c r="I140" s="26" t="s">
        <v>303</v>
      </c>
      <c r="J140" s="26" t="s">
        <v>311</v>
      </c>
      <c r="K140" s="26" t="s">
        <v>316</v>
      </c>
      <c r="L140" s="26" t="s">
        <v>330</v>
      </c>
      <c r="M140" t="s">
        <v>331</v>
      </c>
      <c r="N140" s="26" t="s">
        <v>332</v>
      </c>
      <c r="O140" t="s">
        <v>333</v>
      </c>
      <c r="P140" t="s">
        <v>334</v>
      </c>
      <c r="Q140" t="s">
        <v>192</v>
      </c>
      <c r="R140" t="s">
        <v>194</v>
      </c>
      <c r="T140" t="s">
        <v>56</v>
      </c>
      <c r="U140" s="27" t="str">
        <f>LOOKUP(1,1/(Table1[[#This Row],[Level_0]:[Level 15]]&gt;0),(Table1[[#This Row],[Level_0]:[Level 15]]))</f>
        <v>3122101140 - [Capital losses from disposal of intangible assets (research &amp; development related)]</v>
      </c>
      <c r="V140" s="21"/>
    </row>
    <row r="141" spans="1:22" hidden="1" x14ac:dyDescent="0.25">
      <c r="A141" s="16">
        <v>3122101150</v>
      </c>
      <c r="B141" s="16" t="s">
        <v>529</v>
      </c>
      <c r="C141" s="27">
        <v>3122101100</v>
      </c>
      <c r="D141" s="28" t="s">
        <v>58</v>
      </c>
      <c r="E141" s="25" t="s">
        <v>243</v>
      </c>
      <c r="F141" s="26" t="s">
        <v>245</v>
      </c>
      <c r="G141" s="26" t="s">
        <v>249</v>
      </c>
      <c r="H141" s="26" t="s">
        <v>258</v>
      </c>
      <c r="I141" s="26" t="s">
        <v>303</v>
      </c>
      <c r="J141" s="26" t="s">
        <v>311</v>
      </c>
      <c r="K141" s="26" t="s">
        <v>316</v>
      </c>
      <c r="L141" s="26" t="s">
        <v>330</v>
      </c>
      <c r="M141" t="s">
        <v>331</v>
      </c>
      <c r="N141" s="26" t="s">
        <v>332</v>
      </c>
      <c r="O141" t="s">
        <v>333</v>
      </c>
      <c r="P141" t="s">
        <v>334</v>
      </c>
      <c r="Q141" t="s">
        <v>192</v>
      </c>
      <c r="R141" t="s">
        <v>193</v>
      </c>
      <c r="T141" t="s">
        <v>56</v>
      </c>
      <c r="U141" s="27" t="str">
        <f>LOOKUP(1,1/(Table1[[#This Row],[Level_0]:[Level 15]]&gt;0),(Table1[[#This Row],[Level_0]:[Level 15]]))</f>
        <v>3122101150 - [Capital losses from disposal of intangible assets (investing related)]</v>
      </c>
      <c r="V141" s="21"/>
    </row>
    <row r="142" spans="1:22" hidden="1" x14ac:dyDescent="0.25">
      <c r="A142" s="16">
        <v>3122101200</v>
      </c>
      <c r="B142" s="16" t="s">
        <v>530</v>
      </c>
      <c r="C142" s="27">
        <v>3122100000</v>
      </c>
      <c r="D142" s="28" t="s">
        <v>58</v>
      </c>
      <c r="E142" s="25" t="s">
        <v>243</v>
      </c>
      <c r="F142" s="26" t="s">
        <v>245</v>
      </c>
      <c r="G142" s="26" t="s">
        <v>249</v>
      </c>
      <c r="H142" s="26" t="s">
        <v>258</v>
      </c>
      <c r="I142" s="26" t="s">
        <v>303</v>
      </c>
      <c r="J142" s="26" t="s">
        <v>311</v>
      </c>
      <c r="K142" s="26" t="s">
        <v>316</v>
      </c>
      <c r="L142" s="26" t="s">
        <v>330</v>
      </c>
      <c r="M142" t="s">
        <v>331</v>
      </c>
      <c r="N142" s="26" t="s">
        <v>332</v>
      </c>
      <c r="O142" t="s">
        <v>333</v>
      </c>
      <c r="P142" t="s">
        <v>334</v>
      </c>
      <c r="Q142" t="s">
        <v>186</v>
      </c>
      <c r="S142" t="s">
        <v>56</v>
      </c>
      <c r="T142" t="s">
        <v>56</v>
      </c>
      <c r="U142" s="27" t="str">
        <f>LOOKUP(1,1/(Table1[[#This Row],[Level_0]:[Level 15]]&gt;0),(Table1[[#This Row],[Level_0]:[Level 15]]))</f>
        <v>3122101200 - [Capital losses from disposal of property,plant and equipment]</v>
      </c>
      <c r="V142" s="21"/>
    </row>
    <row r="143" spans="1:22" hidden="1" x14ac:dyDescent="0.25">
      <c r="A143" s="16">
        <v>3122101210</v>
      </c>
      <c r="B143" s="16" t="s">
        <v>531</v>
      </c>
      <c r="C143" s="27">
        <v>3122101200</v>
      </c>
      <c r="D143" s="28" t="s">
        <v>58</v>
      </c>
      <c r="E143" s="25" t="s">
        <v>243</v>
      </c>
      <c r="F143" s="26" t="s">
        <v>245</v>
      </c>
      <c r="G143" s="26" t="s">
        <v>249</v>
      </c>
      <c r="H143" s="26" t="s">
        <v>258</v>
      </c>
      <c r="I143" s="26" t="s">
        <v>303</v>
      </c>
      <c r="J143" s="26" t="s">
        <v>311</v>
      </c>
      <c r="K143" s="26" t="s">
        <v>316</v>
      </c>
      <c r="L143" s="26" t="s">
        <v>330</v>
      </c>
      <c r="M143" t="s">
        <v>331</v>
      </c>
      <c r="N143" s="26" t="s">
        <v>332</v>
      </c>
      <c r="O143" t="s">
        <v>333</v>
      </c>
      <c r="P143" t="s">
        <v>334</v>
      </c>
      <c r="Q143" t="s">
        <v>186</v>
      </c>
      <c r="R143" t="s">
        <v>191</v>
      </c>
      <c r="T143" t="s">
        <v>56</v>
      </c>
      <c r="U143" s="27" t="str">
        <f>LOOKUP(1,1/(Table1[[#This Row],[Level_0]:[Level 15]]&gt;0),(Table1[[#This Row],[Level_0]:[Level 15]]))</f>
        <v>3122101210 - [Capital losses from disposal of property,plant and equipment (production related)]</v>
      </c>
      <c r="V143" s="21"/>
    </row>
    <row r="144" spans="1:22" hidden="1" x14ac:dyDescent="0.25">
      <c r="A144" s="16">
        <v>3122101220</v>
      </c>
      <c r="B144" s="16" t="s">
        <v>532</v>
      </c>
      <c r="C144" s="27">
        <v>3122101200</v>
      </c>
      <c r="D144" s="28" t="s">
        <v>58</v>
      </c>
      <c r="E144" s="25" t="s">
        <v>243</v>
      </c>
      <c r="F144" s="26" t="s">
        <v>245</v>
      </c>
      <c r="G144" s="26" t="s">
        <v>249</v>
      </c>
      <c r="H144" s="26" t="s">
        <v>258</v>
      </c>
      <c r="I144" s="26" t="s">
        <v>303</v>
      </c>
      <c r="J144" s="26" t="s">
        <v>311</v>
      </c>
      <c r="K144" s="26" t="s">
        <v>316</v>
      </c>
      <c r="L144" s="26" t="s">
        <v>330</v>
      </c>
      <c r="M144" t="s">
        <v>331</v>
      </c>
      <c r="N144" s="26" t="s">
        <v>332</v>
      </c>
      <c r="O144" t="s">
        <v>333</v>
      </c>
      <c r="P144" t="s">
        <v>334</v>
      </c>
      <c r="Q144" t="s">
        <v>186</v>
      </c>
      <c r="R144" t="s">
        <v>190</v>
      </c>
      <c r="T144" t="s">
        <v>56</v>
      </c>
      <c r="U144" s="27" t="str">
        <f>LOOKUP(1,1/(Table1[[#This Row],[Level_0]:[Level 15]]&gt;0),(Table1[[#This Row],[Level_0]:[Level 15]]))</f>
        <v>3122101220 - [Capital losses from disposal of property,plant and equipment (marketing &amp; selling related)]</v>
      </c>
      <c r="V144" s="21"/>
    </row>
    <row r="145" spans="1:22" hidden="1" x14ac:dyDescent="0.25">
      <c r="A145" s="16">
        <v>3122101230</v>
      </c>
      <c r="B145" s="16" t="s">
        <v>533</v>
      </c>
      <c r="C145" s="27">
        <v>3122101200</v>
      </c>
      <c r="D145" s="28" t="s">
        <v>58</v>
      </c>
      <c r="E145" s="25" t="s">
        <v>243</v>
      </c>
      <c r="F145" s="26" t="s">
        <v>245</v>
      </c>
      <c r="G145" s="26" t="s">
        <v>249</v>
      </c>
      <c r="H145" s="26" t="s">
        <v>258</v>
      </c>
      <c r="I145" s="26" t="s">
        <v>303</v>
      </c>
      <c r="J145" s="26" t="s">
        <v>311</v>
      </c>
      <c r="K145" s="26" t="s">
        <v>316</v>
      </c>
      <c r="L145" s="26" t="s">
        <v>330</v>
      </c>
      <c r="M145" t="s">
        <v>331</v>
      </c>
      <c r="N145" s="26" t="s">
        <v>332</v>
      </c>
      <c r="O145" t="s">
        <v>333</v>
      </c>
      <c r="P145" t="s">
        <v>334</v>
      </c>
      <c r="Q145" t="s">
        <v>186</v>
      </c>
      <c r="R145" t="s">
        <v>189</v>
      </c>
      <c r="T145" t="s">
        <v>56</v>
      </c>
      <c r="U145" s="27" t="str">
        <f>LOOKUP(1,1/(Table1[[#This Row],[Level_0]:[Level 15]]&gt;0),(Table1[[#This Row],[Level_0]:[Level 15]]))</f>
        <v>3122101230 - [Capital losses from disposal of property,plant and equipment (administration related)]</v>
      </c>
      <c r="V145" s="21"/>
    </row>
    <row r="146" spans="1:22" hidden="1" x14ac:dyDescent="0.25">
      <c r="A146" s="16">
        <v>3122101240</v>
      </c>
      <c r="B146" s="16" t="s">
        <v>534</v>
      </c>
      <c r="C146" s="27">
        <v>3122101200</v>
      </c>
      <c r="D146" s="28" t="s">
        <v>58</v>
      </c>
      <c r="E146" s="25" t="s">
        <v>243</v>
      </c>
      <c r="F146" s="26" t="s">
        <v>245</v>
      </c>
      <c r="G146" s="26" t="s">
        <v>249</v>
      </c>
      <c r="H146" s="26" t="s">
        <v>258</v>
      </c>
      <c r="I146" s="26" t="s">
        <v>303</v>
      </c>
      <c r="J146" s="26" t="s">
        <v>311</v>
      </c>
      <c r="K146" s="26" t="s">
        <v>316</v>
      </c>
      <c r="L146" s="26" t="s">
        <v>330</v>
      </c>
      <c r="M146" t="s">
        <v>331</v>
      </c>
      <c r="N146" s="26" t="s">
        <v>332</v>
      </c>
      <c r="O146" t="s">
        <v>333</v>
      </c>
      <c r="P146" t="s">
        <v>334</v>
      </c>
      <c r="Q146" t="s">
        <v>186</v>
      </c>
      <c r="R146" t="s">
        <v>188</v>
      </c>
      <c r="T146" t="s">
        <v>56</v>
      </c>
      <c r="U146" s="27" t="str">
        <f>LOOKUP(1,1/(Table1[[#This Row],[Level_0]:[Level 15]]&gt;0),(Table1[[#This Row],[Level_0]:[Level 15]]))</f>
        <v>3122101240 - [Capital losses from disposal of property,plant and equipment (research &amp; development related)]</v>
      </c>
      <c r="V146" s="21"/>
    </row>
    <row r="147" spans="1:22" hidden="1" x14ac:dyDescent="0.25">
      <c r="A147" s="16">
        <v>3122101250</v>
      </c>
      <c r="B147" s="16" t="s">
        <v>535</v>
      </c>
      <c r="C147" s="27">
        <v>3122101200</v>
      </c>
      <c r="D147" s="28" t="s">
        <v>58</v>
      </c>
      <c r="E147" s="25" t="s">
        <v>243</v>
      </c>
      <c r="F147" s="26" t="s">
        <v>245</v>
      </c>
      <c r="G147" s="26" t="s">
        <v>249</v>
      </c>
      <c r="H147" s="26" t="s">
        <v>258</v>
      </c>
      <c r="I147" s="26" t="s">
        <v>303</v>
      </c>
      <c r="J147" s="26" t="s">
        <v>311</v>
      </c>
      <c r="K147" s="26" t="s">
        <v>316</v>
      </c>
      <c r="L147" s="26" t="s">
        <v>330</v>
      </c>
      <c r="M147" t="s">
        <v>331</v>
      </c>
      <c r="N147" s="26" t="s">
        <v>332</v>
      </c>
      <c r="O147" t="s">
        <v>333</v>
      </c>
      <c r="P147" t="s">
        <v>334</v>
      </c>
      <c r="Q147" t="s">
        <v>186</v>
      </c>
      <c r="R147" t="s">
        <v>187</v>
      </c>
      <c r="T147" t="s">
        <v>56</v>
      </c>
      <c r="U147" s="27" t="str">
        <f>LOOKUP(1,1/(Table1[[#This Row],[Level_0]:[Level 15]]&gt;0),(Table1[[#This Row],[Level_0]:[Level 15]]))</f>
        <v>3122101250 - [Capital losses from disposal of property,plant and equipment (investing related)]</v>
      </c>
      <c r="V147" s="21"/>
    </row>
    <row r="148" spans="1:22" hidden="1" x14ac:dyDescent="0.25">
      <c r="A148" s="16">
        <v>3122102000</v>
      </c>
      <c r="B148" s="16" t="s">
        <v>536</v>
      </c>
      <c r="C148" s="27">
        <v>3122100000</v>
      </c>
      <c r="D148" s="28" t="s">
        <v>58</v>
      </c>
      <c r="E148" s="25" t="s">
        <v>243</v>
      </c>
      <c r="F148" s="26" t="s">
        <v>245</v>
      </c>
      <c r="G148" s="26" t="s">
        <v>249</v>
      </c>
      <c r="H148" s="26" t="s">
        <v>258</v>
      </c>
      <c r="I148" s="26" t="s">
        <v>303</v>
      </c>
      <c r="J148" s="26" t="s">
        <v>311</v>
      </c>
      <c r="K148" s="26" t="s">
        <v>316</v>
      </c>
      <c r="L148" s="26" t="s">
        <v>330</v>
      </c>
      <c r="M148" t="s">
        <v>331</v>
      </c>
      <c r="N148" s="26" t="s">
        <v>332</v>
      </c>
      <c r="O148" t="s">
        <v>333</v>
      </c>
      <c r="P148" t="s">
        <v>334</v>
      </c>
      <c r="Q148" t="s">
        <v>185</v>
      </c>
      <c r="S148" t="s">
        <v>56</v>
      </c>
      <c r="T148" t="s">
        <v>56</v>
      </c>
      <c r="U148" s="27" t="str">
        <f>LOOKUP(1,1/(Table1[[#This Row],[Level_0]:[Level 15]]&gt;0),(Table1[[#This Row],[Level_0]:[Level 15]]))</f>
        <v>3122102000 - [Asset impairment]</v>
      </c>
      <c r="V148" s="21"/>
    </row>
    <row r="149" spans="1:22" hidden="1" x14ac:dyDescent="0.25">
      <c r="A149" s="16">
        <v>3122103000</v>
      </c>
      <c r="B149" s="16" t="s">
        <v>537</v>
      </c>
      <c r="C149" s="27">
        <v>3122100000</v>
      </c>
      <c r="D149" s="28" t="s">
        <v>58</v>
      </c>
      <c r="E149" s="25" t="s">
        <v>243</v>
      </c>
      <c r="F149" s="26" t="s">
        <v>245</v>
      </c>
      <c r="G149" s="26" t="s">
        <v>249</v>
      </c>
      <c r="H149" s="26" t="s">
        <v>258</v>
      </c>
      <c r="I149" s="26" t="s">
        <v>303</v>
      </c>
      <c r="J149" s="26" t="s">
        <v>311</v>
      </c>
      <c r="K149" s="26" t="s">
        <v>316</v>
      </c>
      <c r="L149" s="26" t="s">
        <v>330</v>
      </c>
      <c r="M149" t="s">
        <v>331</v>
      </c>
      <c r="N149" s="26" t="s">
        <v>332</v>
      </c>
      <c r="O149" t="s">
        <v>333</v>
      </c>
      <c r="P149" t="s">
        <v>334</v>
      </c>
      <c r="Q149" t="s">
        <v>184</v>
      </c>
      <c r="S149" t="s">
        <v>56</v>
      </c>
      <c r="T149" t="s">
        <v>56</v>
      </c>
      <c r="U149" s="27" t="str">
        <f>LOOKUP(1,1/(Table1[[#This Row],[Level_0]:[Level 15]]&gt;0),(Table1[[#This Row],[Level_0]:[Level 15]]))</f>
        <v>3122103000 - [Receivable allowances]</v>
      </c>
      <c r="V149" s="21"/>
    </row>
    <row r="150" spans="1:22" hidden="1" x14ac:dyDescent="0.25">
      <c r="A150" s="16">
        <v>3122104000</v>
      </c>
      <c r="B150" s="16" t="s">
        <v>538</v>
      </c>
      <c r="C150" s="27">
        <v>3122100000</v>
      </c>
      <c r="D150" s="28" t="s">
        <v>58</v>
      </c>
      <c r="E150" s="25" t="s">
        <v>243</v>
      </c>
      <c r="F150" s="26" t="s">
        <v>245</v>
      </c>
      <c r="G150" s="26" t="s">
        <v>249</v>
      </c>
      <c r="H150" s="26" t="s">
        <v>258</v>
      </c>
      <c r="I150" s="26" t="s">
        <v>303</v>
      </c>
      <c r="J150" s="26" t="s">
        <v>311</v>
      </c>
      <c r="K150" s="26" t="s">
        <v>316</v>
      </c>
      <c r="L150" s="26" t="s">
        <v>330</v>
      </c>
      <c r="M150" t="s">
        <v>331</v>
      </c>
      <c r="N150" s="26" t="s">
        <v>332</v>
      </c>
      <c r="O150" t="s">
        <v>333</v>
      </c>
      <c r="P150" t="s">
        <v>334</v>
      </c>
      <c r="Q150" t="s">
        <v>183</v>
      </c>
      <c r="S150" t="s">
        <v>56</v>
      </c>
      <c r="T150" t="s">
        <v>56</v>
      </c>
      <c r="U150" s="27" t="str">
        <f>LOOKUP(1,1/(Table1[[#This Row],[Level_0]:[Level 15]]&gt;0),(Table1[[#This Row],[Level_0]:[Level 15]]))</f>
        <v>3122104000 - [Special projects]</v>
      </c>
      <c r="V150" s="21"/>
    </row>
    <row r="151" spans="1:22" hidden="1" x14ac:dyDescent="0.25">
      <c r="A151" s="16">
        <v>3122105000</v>
      </c>
      <c r="B151" s="16" t="s">
        <v>539</v>
      </c>
      <c r="C151" s="27">
        <v>3122100000</v>
      </c>
      <c r="D151" s="28" t="s">
        <v>58</v>
      </c>
      <c r="E151" s="25" t="s">
        <v>243</v>
      </c>
      <c r="F151" s="26" t="s">
        <v>245</v>
      </c>
      <c r="G151" s="26" t="s">
        <v>249</v>
      </c>
      <c r="H151" s="26" t="s">
        <v>258</v>
      </c>
      <c r="I151" s="26" t="s">
        <v>303</v>
      </c>
      <c r="J151" s="26" t="s">
        <v>311</v>
      </c>
      <c r="K151" s="26" t="s">
        <v>316</v>
      </c>
      <c r="L151" s="26" t="s">
        <v>330</v>
      </c>
      <c r="M151" t="s">
        <v>331</v>
      </c>
      <c r="N151" s="26" t="s">
        <v>332</v>
      </c>
      <c r="O151" t="s">
        <v>333</v>
      </c>
      <c r="P151" t="s">
        <v>334</v>
      </c>
      <c r="Q151" t="s">
        <v>182</v>
      </c>
      <c r="S151" t="s">
        <v>56</v>
      </c>
      <c r="T151" t="s">
        <v>56</v>
      </c>
      <c r="U151" s="27" t="str">
        <f>LOOKUP(1,1/(Table1[[#This Row],[Level_0]:[Level 15]]&gt;0),(Table1[[#This Row],[Level_0]:[Level 15]]))</f>
        <v>3122105000 - [Premium/contribution/fees]</v>
      </c>
      <c r="V151" s="21"/>
    </row>
    <row r="152" spans="1:22" hidden="1" x14ac:dyDescent="0.25">
      <c r="A152" s="16">
        <v>3122106000</v>
      </c>
      <c r="B152" s="16" t="s">
        <v>540</v>
      </c>
      <c r="C152" s="27">
        <v>3122100000</v>
      </c>
      <c r="D152" s="28" t="s">
        <v>58</v>
      </c>
      <c r="E152" s="25" t="s">
        <v>243</v>
      </c>
      <c r="F152" s="26" t="s">
        <v>245</v>
      </c>
      <c r="G152" s="26" t="s">
        <v>249</v>
      </c>
      <c r="H152" s="26" t="s">
        <v>258</v>
      </c>
      <c r="I152" s="26" t="s">
        <v>303</v>
      </c>
      <c r="J152" s="26" t="s">
        <v>311</v>
      </c>
      <c r="K152" s="26" t="s">
        <v>316</v>
      </c>
      <c r="L152" s="26" t="s">
        <v>330</v>
      </c>
      <c r="M152" t="s">
        <v>331</v>
      </c>
      <c r="N152" s="26" t="s">
        <v>332</v>
      </c>
      <c r="O152" t="s">
        <v>333</v>
      </c>
      <c r="P152" t="s">
        <v>334</v>
      </c>
      <c r="Q152" t="s">
        <v>176</v>
      </c>
      <c r="S152" t="s">
        <v>56</v>
      </c>
      <c r="T152" t="s">
        <v>56</v>
      </c>
      <c r="U152" s="27" t="str">
        <f>LOOKUP(1,1/(Table1[[#This Row],[Level_0]:[Level 15]]&gt;0),(Table1[[#This Row],[Level_0]:[Level 15]]))</f>
        <v>3122106000 - [Non-allocable personnel expenses]</v>
      </c>
      <c r="V152" s="21"/>
    </row>
    <row r="153" spans="1:22" hidden="1" x14ac:dyDescent="0.25">
      <c r="A153" s="16">
        <v>3122106100</v>
      </c>
      <c r="B153" s="16" t="s">
        <v>541</v>
      </c>
      <c r="C153" s="27">
        <v>3122106000</v>
      </c>
      <c r="D153" s="28" t="s">
        <v>58</v>
      </c>
      <c r="E153" s="25" t="s">
        <v>243</v>
      </c>
      <c r="F153" s="26" t="s">
        <v>245</v>
      </c>
      <c r="G153" s="26" t="s">
        <v>249</v>
      </c>
      <c r="H153" s="26" t="s">
        <v>258</v>
      </c>
      <c r="I153" s="26" t="s">
        <v>303</v>
      </c>
      <c r="J153" s="26" t="s">
        <v>311</v>
      </c>
      <c r="K153" s="26" t="s">
        <v>316</v>
      </c>
      <c r="L153" s="26" t="s">
        <v>330</v>
      </c>
      <c r="M153" t="s">
        <v>331</v>
      </c>
      <c r="N153" s="26" t="s">
        <v>332</v>
      </c>
      <c r="O153" t="s">
        <v>333</v>
      </c>
      <c r="P153" t="s">
        <v>334</v>
      </c>
      <c r="Q153" t="s">
        <v>176</v>
      </c>
      <c r="R153" t="s">
        <v>181</v>
      </c>
      <c r="T153" t="s">
        <v>56</v>
      </c>
      <c r="U153" s="27" t="str">
        <f>LOOKUP(1,1/(Table1[[#This Row],[Level_0]:[Level 15]]&gt;0),(Table1[[#This Row],[Level_0]:[Level 15]]))</f>
        <v>3122106100 - [Non-allocable personnel expenses (production related)]</v>
      </c>
      <c r="V153" s="21"/>
    </row>
    <row r="154" spans="1:22" hidden="1" x14ac:dyDescent="0.25">
      <c r="A154" s="16">
        <v>3122106200</v>
      </c>
      <c r="B154" s="16" t="s">
        <v>542</v>
      </c>
      <c r="C154" s="27">
        <v>3122106000</v>
      </c>
      <c r="D154" s="28" t="s">
        <v>58</v>
      </c>
      <c r="E154" s="25" t="s">
        <v>243</v>
      </c>
      <c r="F154" s="26" t="s">
        <v>245</v>
      </c>
      <c r="G154" s="26" t="s">
        <v>249</v>
      </c>
      <c r="H154" s="26" t="s">
        <v>258</v>
      </c>
      <c r="I154" s="26" t="s">
        <v>303</v>
      </c>
      <c r="J154" s="26" t="s">
        <v>311</v>
      </c>
      <c r="K154" s="26" t="s">
        <v>316</v>
      </c>
      <c r="L154" s="26" t="s">
        <v>330</v>
      </c>
      <c r="M154" t="s">
        <v>331</v>
      </c>
      <c r="N154" s="26" t="s">
        <v>332</v>
      </c>
      <c r="O154" t="s">
        <v>333</v>
      </c>
      <c r="P154" t="s">
        <v>334</v>
      </c>
      <c r="Q154" t="s">
        <v>176</v>
      </c>
      <c r="R154" t="s">
        <v>180</v>
      </c>
      <c r="T154" t="s">
        <v>56</v>
      </c>
      <c r="U154" s="27" t="str">
        <f>LOOKUP(1,1/(Table1[[#This Row],[Level_0]:[Level 15]]&gt;0),(Table1[[#This Row],[Level_0]:[Level 15]]))</f>
        <v>3122106200 - [Non-allocable personnel expenses (marketing &amp; selling related)]</v>
      </c>
      <c r="V154" s="21"/>
    </row>
    <row r="155" spans="1:22" hidden="1" x14ac:dyDescent="0.25">
      <c r="A155" s="16">
        <v>3122106300</v>
      </c>
      <c r="B155" s="16" t="s">
        <v>543</v>
      </c>
      <c r="C155" s="27">
        <v>3122106000</v>
      </c>
      <c r="D155" s="28" t="s">
        <v>58</v>
      </c>
      <c r="E155" s="25" t="s">
        <v>243</v>
      </c>
      <c r="F155" s="26" t="s">
        <v>245</v>
      </c>
      <c r="G155" s="26" t="s">
        <v>249</v>
      </c>
      <c r="H155" s="26" t="s">
        <v>258</v>
      </c>
      <c r="I155" s="26" t="s">
        <v>303</v>
      </c>
      <c r="J155" s="26" t="s">
        <v>311</v>
      </c>
      <c r="K155" s="26" t="s">
        <v>316</v>
      </c>
      <c r="L155" s="26" t="s">
        <v>330</v>
      </c>
      <c r="M155" t="s">
        <v>331</v>
      </c>
      <c r="N155" s="26" t="s">
        <v>332</v>
      </c>
      <c r="O155" t="s">
        <v>333</v>
      </c>
      <c r="P155" t="s">
        <v>334</v>
      </c>
      <c r="Q155" t="s">
        <v>176</v>
      </c>
      <c r="R155" t="s">
        <v>179</v>
      </c>
      <c r="T155" t="s">
        <v>56</v>
      </c>
      <c r="U155" s="27" t="str">
        <f>LOOKUP(1,1/(Table1[[#This Row],[Level_0]:[Level 15]]&gt;0),(Table1[[#This Row],[Level_0]:[Level 15]]))</f>
        <v>3122106300 - [Non-allocable personnel expenses (administration related)]</v>
      </c>
      <c r="V155" s="21"/>
    </row>
    <row r="156" spans="1:22" hidden="1" x14ac:dyDescent="0.25">
      <c r="A156" s="16">
        <v>3122106400</v>
      </c>
      <c r="B156" s="16" t="s">
        <v>544</v>
      </c>
      <c r="C156" s="27">
        <v>3122106000</v>
      </c>
      <c r="D156" s="28" t="s">
        <v>58</v>
      </c>
      <c r="E156" s="25" t="s">
        <v>243</v>
      </c>
      <c r="F156" s="26" t="s">
        <v>245</v>
      </c>
      <c r="G156" s="26" t="s">
        <v>249</v>
      </c>
      <c r="H156" s="26" t="s">
        <v>258</v>
      </c>
      <c r="I156" s="26" t="s">
        <v>303</v>
      </c>
      <c r="J156" s="26" t="s">
        <v>311</v>
      </c>
      <c r="K156" s="26" t="s">
        <v>316</v>
      </c>
      <c r="L156" s="26" t="s">
        <v>330</v>
      </c>
      <c r="M156" t="s">
        <v>331</v>
      </c>
      <c r="N156" s="26" t="s">
        <v>332</v>
      </c>
      <c r="O156" t="s">
        <v>333</v>
      </c>
      <c r="P156" t="s">
        <v>334</v>
      </c>
      <c r="Q156" t="s">
        <v>176</v>
      </c>
      <c r="R156" t="s">
        <v>178</v>
      </c>
      <c r="T156" t="s">
        <v>56</v>
      </c>
      <c r="U156" s="27" t="str">
        <f>LOOKUP(1,1/(Table1[[#This Row],[Level_0]:[Level 15]]&gt;0),(Table1[[#This Row],[Level_0]:[Level 15]]))</f>
        <v>3122106400 - [Non-allocable personnel expenses (research &amp; development related)]</v>
      </c>
      <c r="V156" s="21"/>
    </row>
    <row r="157" spans="1:22" hidden="1" x14ac:dyDescent="0.25">
      <c r="A157" s="16">
        <v>3122106500</v>
      </c>
      <c r="B157" s="16" t="s">
        <v>545</v>
      </c>
      <c r="C157" s="27">
        <v>3122106000</v>
      </c>
      <c r="D157" s="28" t="s">
        <v>58</v>
      </c>
      <c r="E157" s="25" t="s">
        <v>243</v>
      </c>
      <c r="F157" s="26" t="s">
        <v>245</v>
      </c>
      <c r="G157" s="26" t="s">
        <v>249</v>
      </c>
      <c r="H157" s="26" t="s">
        <v>258</v>
      </c>
      <c r="I157" s="26" t="s">
        <v>303</v>
      </c>
      <c r="J157" s="26" t="s">
        <v>311</v>
      </c>
      <c r="K157" s="26" t="s">
        <v>316</v>
      </c>
      <c r="L157" s="26" t="s">
        <v>330</v>
      </c>
      <c r="M157" t="s">
        <v>331</v>
      </c>
      <c r="N157" s="26" t="s">
        <v>332</v>
      </c>
      <c r="O157" t="s">
        <v>333</v>
      </c>
      <c r="P157" t="s">
        <v>334</v>
      </c>
      <c r="Q157" t="s">
        <v>176</v>
      </c>
      <c r="R157" t="s">
        <v>177</v>
      </c>
      <c r="T157" t="s">
        <v>56</v>
      </c>
      <c r="U157" s="27" t="str">
        <f>LOOKUP(1,1/(Table1[[#This Row],[Level_0]:[Level 15]]&gt;0),(Table1[[#This Row],[Level_0]:[Level 15]]))</f>
        <v>3122106500 - [Non-allocable personnel expenses (investing related)]</v>
      </c>
      <c r="V157" s="21"/>
    </row>
    <row r="158" spans="1:22" hidden="1" x14ac:dyDescent="0.25">
      <c r="A158" s="16">
        <v>3122107000</v>
      </c>
      <c r="B158" s="16" t="s">
        <v>546</v>
      </c>
      <c r="C158" s="27">
        <v>3122100000</v>
      </c>
      <c r="D158" s="28" t="s">
        <v>58</v>
      </c>
      <c r="E158" s="25" t="s">
        <v>243</v>
      </c>
      <c r="F158" s="26" t="s">
        <v>245</v>
      </c>
      <c r="G158" s="26" t="s">
        <v>249</v>
      </c>
      <c r="H158" s="26" t="s">
        <v>258</v>
      </c>
      <c r="I158" s="26" t="s">
        <v>303</v>
      </c>
      <c r="J158" s="26" t="s">
        <v>311</v>
      </c>
      <c r="K158" s="26" t="s">
        <v>316</v>
      </c>
      <c r="L158" s="26" t="s">
        <v>330</v>
      </c>
      <c r="M158" t="s">
        <v>331</v>
      </c>
      <c r="N158" s="26" t="s">
        <v>332</v>
      </c>
      <c r="O158" t="s">
        <v>333</v>
      </c>
      <c r="P158" t="s">
        <v>334</v>
      </c>
      <c r="Q158" t="s">
        <v>175</v>
      </c>
      <c r="S158" t="s">
        <v>56</v>
      </c>
      <c r="T158" t="s">
        <v>56</v>
      </c>
      <c r="U158" s="27" t="str">
        <f>LOOKUP(1,1/(Table1[[#This Row],[Level_0]:[Level 15]]&gt;0),(Table1[[#This Row],[Level_0]:[Level 15]]))</f>
        <v>3122107000 - [Environmental expenses]</v>
      </c>
      <c r="V158" s="21"/>
    </row>
    <row r="159" spans="1:22" hidden="1" x14ac:dyDescent="0.25">
      <c r="A159" s="16">
        <v>3122108000</v>
      </c>
      <c r="B159" s="16" t="s">
        <v>547</v>
      </c>
      <c r="C159" s="27">
        <v>3122100000</v>
      </c>
      <c r="D159" s="28" t="s">
        <v>58</v>
      </c>
      <c r="E159" s="25" t="s">
        <v>243</v>
      </c>
      <c r="F159" s="26" t="s">
        <v>245</v>
      </c>
      <c r="G159" s="26" t="s">
        <v>249</v>
      </c>
      <c r="H159" s="26" t="s">
        <v>258</v>
      </c>
      <c r="I159" s="26" t="s">
        <v>303</v>
      </c>
      <c r="J159" s="26" t="s">
        <v>311</v>
      </c>
      <c r="K159" s="26" t="s">
        <v>316</v>
      </c>
      <c r="L159" s="26" t="s">
        <v>330</v>
      </c>
      <c r="M159" t="s">
        <v>331</v>
      </c>
      <c r="N159" s="26" t="s">
        <v>332</v>
      </c>
      <c r="O159" t="s">
        <v>333</v>
      </c>
      <c r="P159" t="s">
        <v>334</v>
      </c>
      <c r="Q159" t="s">
        <v>174</v>
      </c>
      <c r="S159" t="s">
        <v>56</v>
      </c>
      <c r="T159" t="s">
        <v>56</v>
      </c>
      <c r="U159" s="27" t="str">
        <f>LOOKUP(1,1/(Table1[[#This Row],[Level_0]:[Level 15]]&gt;0),(Table1[[#This Row],[Level_0]:[Level 15]]))</f>
        <v>3122108000 - [Restructuring expenses]</v>
      </c>
      <c r="V159" s="21"/>
    </row>
    <row r="160" spans="1:22" hidden="1" x14ac:dyDescent="0.25">
      <c r="A160" s="16">
        <v>3122109000</v>
      </c>
      <c r="B160" s="16" t="s">
        <v>548</v>
      </c>
      <c r="C160" s="27">
        <v>3122100000</v>
      </c>
      <c r="D160" s="28" t="s">
        <v>58</v>
      </c>
      <c r="E160" s="25" t="s">
        <v>243</v>
      </c>
      <c r="F160" s="26" t="s">
        <v>245</v>
      </c>
      <c r="G160" s="26" t="s">
        <v>249</v>
      </c>
      <c r="H160" s="26" t="s">
        <v>258</v>
      </c>
      <c r="I160" s="26" t="s">
        <v>303</v>
      </c>
      <c r="J160" s="26" t="s">
        <v>311</v>
      </c>
      <c r="K160" s="26" t="s">
        <v>316</v>
      </c>
      <c r="L160" s="26" t="s">
        <v>330</v>
      </c>
      <c r="M160" t="s">
        <v>331</v>
      </c>
      <c r="N160" s="26" t="s">
        <v>332</v>
      </c>
      <c r="O160" t="s">
        <v>333</v>
      </c>
      <c r="P160" t="s">
        <v>334</v>
      </c>
      <c r="Q160" t="s">
        <v>173</v>
      </c>
      <c r="S160" t="s">
        <v>56</v>
      </c>
      <c r="T160" t="s">
        <v>56</v>
      </c>
      <c r="U160" s="27" t="str">
        <f>LOOKUP(1,1/(Table1[[#This Row],[Level_0]:[Level 15]]&gt;0),(Table1[[#This Row],[Level_0]:[Level 15]]))</f>
        <v>3122109000 - [Litigation expenses]</v>
      </c>
      <c r="V160" s="21"/>
    </row>
    <row r="161" spans="1:22" hidden="1" x14ac:dyDescent="0.25">
      <c r="A161" s="16">
        <v>3122110000</v>
      </c>
      <c r="B161" s="16" t="s">
        <v>549</v>
      </c>
      <c r="C161" s="27">
        <v>3122100000</v>
      </c>
      <c r="D161" s="28" t="s">
        <v>58</v>
      </c>
      <c r="E161" s="25" t="s">
        <v>243</v>
      </c>
      <c r="F161" s="26" t="s">
        <v>245</v>
      </c>
      <c r="G161" s="26" t="s">
        <v>249</v>
      </c>
      <c r="H161" s="26" t="s">
        <v>258</v>
      </c>
      <c r="I161" s="26" t="s">
        <v>303</v>
      </c>
      <c r="J161" s="26" t="s">
        <v>311</v>
      </c>
      <c r="K161" s="26" t="s">
        <v>316</v>
      </c>
      <c r="L161" s="26" t="s">
        <v>330</v>
      </c>
      <c r="M161" t="s">
        <v>331</v>
      </c>
      <c r="N161" s="26" t="s">
        <v>332</v>
      </c>
      <c r="O161" t="s">
        <v>333</v>
      </c>
      <c r="P161" t="s">
        <v>334</v>
      </c>
      <c r="Q161" t="s">
        <v>347</v>
      </c>
      <c r="S161" t="s">
        <v>56</v>
      </c>
      <c r="T161" t="s">
        <v>56</v>
      </c>
      <c r="U161" s="27" t="str">
        <f>LOOKUP(1,1/(Table1[[#This Row],[Level_0]:[Level 15]]&gt;0),(Table1[[#This Row],[Level_0]:[Level 15]]))</f>
        <v>3122110000 - [Special integration costs Serono (only 2008)]</v>
      </c>
      <c r="V161" s="21"/>
    </row>
    <row r="162" spans="1:22" hidden="1" x14ac:dyDescent="0.25">
      <c r="A162" s="16">
        <v>3122110100</v>
      </c>
      <c r="B162" s="16" t="s">
        <v>550</v>
      </c>
      <c r="C162" s="27">
        <v>3122100000</v>
      </c>
      <c r="D162" s="28" t="s">
        <v>58</v>
      </c>
      <c r="E162" s="25" t="s">
        <v>243</v>
      </c>
      <c r="F162" s="26" t="s">
        <v>245</v>
      </c>
      <c r="G162" s="26" t="s">
        <v>249</v>
      </c>
      <c r="H162" s="26" t="s">
        <v>258</v>
      </c>
      <c r="I162" s="26" t="s">
        <v>303</v>
      </c>
      <c r="J162" s="26" t="s">
        <v>311</v>
      </c>
      <c r="K162" s="26" t="s">
        <v>316</v>
      </c>
      <c r="L162" s="26" t="s">
        <v>330</v>
      </c>
      <c r="M162" t="s">
        <v>331</v>
      </c>
      <c r="N162" s="26" t="s">
        <v>332</v>
      </c>
      <c r="O162" t="s">
        <v>333</v>
      </c>
      <c r="P162" t="s">
        <v>334</v>
      </c>
      <c r="Q162" t="s">
        <v>172</v>
      </c>
      <c r="S162" t="s">
        <v>56</v>
      </c>
      <c r="T162" t="s">
        <v>56</v>
      </c>
      <c r="U162" s="27" t="str">
        <f>LOOKUP(1,1/(Table1[[#This Row],[Level_0]:[Level 15]]&gt;0),(Table1[[#This Row],[Level_0]:[Level 15]]))</f>
        <v>3122110100 - [Special integration costs Millipore]</v>
      </c>
      <c r="V162" s="21"/>
    </row>
    <row r="163" spans="1:22" hidden="1" x14ac:dyDescent="0.25">
      <c r="A163" s="16">
        <v>3122111000</v>
      </c>
      <c r="B163" s="16" t="s">
        <v>551</v>
      </c>
      <c r="C163" s="27">
        <v>3122100000</v>
      </c>
      <c r="D163" s="28" t="s">
        <v>58</v>
      </c>
      <c r="E163" s="25" t="s">
        <v>243</v>
      </c>
      <c r="F163" s="26" t="s">
        <v>245</v>
      </c>
      <c r="G163" s="26" t="s">
        <v>249</v>
      </c>
      <c r="H163" s="26" t="s">
        <v>258</v>
      </c>
      <c r="I163" s="26" t="s">
        <v>303</v>
      </c>
      <c r="J163" s="26" t="s">
        <v>311</v>
      </c>
      <c r="K163" s="26" t="s">
        <v>316</v>
      </c>
      <c r="L163" s="26" t="s">
        <v>330</v>
      </c>
      <c r="M163" t="s">
        <v>331</v>
      </c>
      <c r="N163" s="26" t="s">
        <v>332</v>
      </c>
      <c r="O163" t="s">
        <v>333</v>
      </c>
      <c r="P163" t="s">
        <v>334</v>
      </c>
      <c r="Q163" t="s">
        <v>171</v>
      </c>
      <c r="S163" t="s">
        <v>56</v>
      </c>
      <c r="T163" t="s">
        <v>56</v>
      </c>
      <c r="U163" s="27" t="str">
        <f>LOOKUP(1,1/(Table1[[#This Row],[Level_0]:[Level 15]]&gt;0),(Table1[[#This Row],[Level_0]:[Level 15]]))</f>
        <v>3122111000 - [Special reimbursements - expenses]</v>
      </c>
      <c r="V163" s="21"/>
    </row>
    <row r="164" spans="1:22" hidden="1" x14ac:dyDescent="0.25">
      <c r="A164" s="16">
        <v>3122112000</v>
      </c>
      <c r="B164" s="16" t="s">
        <v>552</v>
      </c>
      <c r="C164" s="27">
        <v>3122100000</v>
      </c>
      <c r="D164" s="28" t="s">
        <v>58</v>
      </c>
      <c r="E164" s="25" t="s">
        <v>243</v>
      </c>
      <c r="F164" s="26" t="s">
        <v>245</v>
      </c>
      <c r="G164" s="26" t="s">
        <v>249</v>
      </c>
      <c r="H164" s="26" t="s">
        <v>258</v>
      </c>
      <c r="I164" s="26" t="s">
        <v>303</v>
      </c>
      <c r="J164" s="26" t="s">
        <v>311</v>
      </c>
      <c r="K164" s="26" t="s">
        <v>316</v>
      </c>
      <c r="L164" s="26" t="s">
        <v>330</v>
      </c>
      <c r="M164" t="s">
        <v>331</v>
      </c>
      <c r="N164" s="26" t="s">
        <v>332</v>
      </c>
      <c r="O164" t="s">
        <v>333</v>
      </c>
      <c r="P164" t="s">
        <v>334</v>
      </c>
      <c r="Q164" t="s">
        <v>170</v>
      </c>
      <c r="S164" t="s">
        <v>56</v>
      </c>
      <c r="T164" t="s">
        <v>56</v>
      </c>
      <c r="U164" s="27" t="str">
        <f>LOOKUP(1,1/(Table1[[#This Row],[Level_0]:[Level 15]]&gt;0),(Table1[[#This Row],[Level_0]:[Level 15]]))</f>
        <v>3122112000 - [Remaining other expenses 3rd parties]</v>
      </c>
      <c r="V164" s="21"/>
    </row>
    <row r="165" spans="1:22" hidden="1" x14ac:dyDescent="0.25">
      <c r="A165" s="16">
        <v>3122113000</v>
      </c>
      <c r="B165" s="16" t="s">
        <v>553</v>
      </c>
      <c r="C165" s="27">
        <v>3122100000</v>
      </c>
      <c r="D165" s="28" t="s">
        <v>58</v>
      </c>
      <c r="E165" s="25" t="s">
        <v>243</v>
      </c>
      <c r="F165" s="26" t="s">
        <v>245</v>
      </c>
      <c r="G165" s="26" t="s">
        <v>249</v>
      </c>
      <c r="H165" s="26" t="s">
        <v>258</v>
      </c>
      <c r="I165" s="26" t="s">
        <v>303</v>
      </c>
      <c r="J165" s="26" t="s">
        <v>311</v>
      </c>
      <c r="K165" s="26" t="s">
        <v>316</v>
      </c>
      <c r="L165" s="26" t="s">
        <v>330</v>
      </c>
      <c r="M165" t="s">
        <v>331</v>
      </c>
      <c r="N165" s="26" t="s">
        <v>332</v>
      </c>
      <c r="O165" t="s">
        <v>333</v>
      </c>
      <c r="P165" t="s">
        <v>334</v>
      </c>
      <c r="Q165" t="s">
        <v>346</v>
      </c>
      <c r="S165" t="s">
        <v>56</v>
      </c>
      <c r="T165" t="s">
        <v>56</v>
      </c>
      <c r="U165" s="27" t="str">
        <f>LOOKUP(1,1/(Table1[[#This Row],[Level_0]:[Level 15]]&gt;0),(Table1[[#This Row],[Level_0]:[Level 15]]))</f>
        <v>3122113000 - [Transfer remaining other expenses]</v>
      </c>
      <c r="V165" s="21"/>
    </row>
    <row r="166" spans="1:22" hidden="1" x14ac:dyDescent="0.25">
      <c r="A166" s="16">
        <v>3122114000</v>
      </c>
      <c r="B166" s="16" t="s">
        <v>554</v>
      </c>
      <c r="C166" s="27">
        <v>3122100000</v>
      </c>
      <c r="D166" s="28" t="s">
        <v>58</v>
      </c>
      <c r="E166" s="25" t="s">
        <v>243</v>
      </c>
      <c r="F166" s="26" t="s">
        <v>245</v>
      </c>
      <c r="G166" s="26" t="s">
        <v>249</v>
      </c>
      <c r="H166" s="26" t="s">
        <v>258</v>
      </c>
      <c r="I166" s="26" t="s">
        <v>303</v>
      </c>
      <c r="J166" s="26" t="s">
        <v>311</v>
      </c>
      <c r="K166" s="26" t="s">
        <v>316</v>
      </c>
      <c r="L166" s="26" t="s">
        <v>330</v>
      </c>
      <c r="M166" t="s">
        <v>331</v>
      </c>
      <c r="N166" s="26" t="s">
        <v>332</v>
      </c>
      <c r="O166" t="s">
        <v>333</v>
      </c>
      <c r="P166" t="s">
        <v>334</v>
      </c>
      <c r="Q166" t="s">
        <v>169</v>
      </c>
      <c r="S166" t="s">
        <v>56</v>
      </c>
      <c r="T166" t="s">
        <v>56</v>
      </c>
      <c r="U166" s="27" t="str">
        <f>LOOKUP(1,1/(Table1[[#This Row],[Level_0]:[Level 15]]&gt;0),(Table1[[#This Row],[Level_0]:[Level 15]]))</f>
        <v>3122114000 - [Remaining other expenses IC]</v>
      </c>
      <c r="V166" s="21"/>
    </row>
    <row r="167" spans="1:22" hidden="1" x14ac:dyDescent="0.25">
      <c r="A167" s="16">
        <v>3122114100</v>
      </c>
      <c r="B167" s="16" t="s">
        <v>555</v>
      </c>
      <c r="C167" s="27">
        <v>3122100000</v>
      </c>
      <c r="D167" s="28" t="s">
        <v>58</v>
      </c>
      <c r="E167" s="25" t="s">
        <v>243</v>
      </c>
      <c r="F167" s="26" t="s">
        <v>245</v>
      </c>
      <c r="G167" s="26" t="s">
        <v>249</v>
      </c>
      <c r="H167" s="26" t="s">
        <v>258</v>
      </c>
      <c r="I167" s="26" t="s">
        <v>303</v>
      </c>
      <c r="J167" s="26" t="s">
        <v>311</v>
      </c>
      <c r="K167" s="26" t="s">
        <v>316</v>
      </c>
      <c r="L167" s="26" t="s">
        <v>330</v>
      </c>
      <c r="M167" t="s">
        <v>331</v>
      </c>
      <c r="N167" s="26" t="s">
        <v>332</v>
      </c>
      <c r="O167" t="s">
        <v>333</v>
      </c>
      <c r="P167" t="s">
        <v>334</v>
      </c>
      <c r="Q167" t="s">
        <v>168</v>
      </c>
      <c r="S167" t="s">
        <v>56</v>
      </c>
      <c r="T167" t="s">
        <v>56</v>
      </c>
      <c r="U167" s="27" t="str">
        <f>LOOKUP(1,1/(Table1[[#This Row],[Level_0]:[Level 15]]&gt;0),(Table1[[#This Row],[Level_0]:[Level 15]]))</f>
        <v>3122114100 - [Mark-up Expense IC]</v>
      </c>
      <c r="V167" s="21"/>
    </row>
    <row r="168" spans="1:22" hidden="1" x14ac:dyDescent="0.25">
      <c r="A168" s="16">
        <v>3122115000</v>
      </c>
      <c r="B168" s="16" t="s">
        <v>556</v>
      </c>
      <c r="C168" s="27">
        <v>3122100000</v>
      </c>
      <c r="D168" s="28" t="s">
        <v>58</v>
      </c>
      <c r="E168" s="25" t="s">
        <v>243</v>
      </c>
      <c r="F168" s="26" t="s">
        <v>245</v>
      </c>
      <c r="G168" s="26" t="s">
        <v>249</v>
      </c>
      <c r="H168" s="26" t="s">
        <v>258</v>
      </c>
      <c r="I168" s="26" t="s">
        <v>303</v>
      </c>
      <c r="J168" s="26" t="s">
        <v>311</v>
      </c>
      <c r="K168" s="26" t="s">
        <v>316</v>
      </c>
      <c r="L168" s="26" t="s">
        <v>330</v>
      </c>
      <c r="M168" t="s">
        <v>331</v>
      </c>
      <c r="N168" s="26" t="s">
        <v>332</v>
      </c>
      <c r="O168" t="s">
        <v>333</v>
      </c>
      <c r="P168" t="s">
        <v>334</v>
      </c>
      <c r="Q168" t="s">
        <v>345</v>
      </c>
      <c r="S168" t="s">
        <v>56</v>
      </c>
      <c r="T168" t="s">
        <v>56</v>
      </c>
      <c r="U168" s="27" t="str">
        <f>LOOKUP(1,1/(Table1[[#This Row],[Level_0]:[Level 15]]&gt;0),(Table1[[#This Row],[Level_0]:[Level 15]]))</f>
        <v>3122115000 - [Internal allocation remaining other expense]</v>
      </c>
      <c r="V168" s="21"/>
    </row>
    <row r="169" spans="1:22" hidden="1" x14ac:dyDescent="0.25">
      <c r="A169" s="16">
        <v>3122116000</v>
      </c>
      <c r="B169" s="16" t="s">
        <v>557</v>
      </c>
      <c r="C169" s="27">
        <v>3122100000</v>
      </c>
      <c r="D169" s="28" t="s">
        <v>58</v>
      </c>
      <c r="E169" s="25" t="s">
        <v>243</v>
      </c>
      <c r="F169" s="26" t="s">
        <v>245</v>
      </c>
      <c r="G169" s="26" t="s">
        <v>249</v>
      </c>
      <c r="H169" s="26" t="s">
        <v>258</v>
      </c>
      <c r="I169" s="26" t="s">
        <v>303</v>
      </c>
      <c r="J169" s="26" t="s">
        <v>311</v>
      </c>
      <c r="K169" s="26" t="s">
        <v>316</v>
      </c>
      <c r="L169" s="26" t="s">
        <v>330</v>
      </c>
      <c r="M169" t="s">
        <v>331</v>
      </c>
      <c r="N169" s="26" t="s">
        <v>332</v>
      </c>
      <c r="O169" t="s">
        <v>333</v>
      </c>
      <c r="P169" t="s">
        <v>334</v>
      </c>
      <c r="Q169" t="s">
        <v>167</v>
      </c>
      <c r="S169" t="s">
        <v>56</v>
      </c>
      <c r="T169" t="s">
        <v>56</v>
      </c>
      <c r="U169" s="27" t="str">
        <f>LOOKUP(1,1/(Table1[[#This Row],[Level_0]:[Level 15]]&gt;0),(Table1[[#This Row],[Level_0]:[Level 15]]))</f>
        <v>3122116000 - [Expenses for services performed and ancillary business]</v>
      </c>
      <c r="V169" s="21"/>
    </row>
    <row r="170" spans="1:22" hidden="1" x14ac:dyDescent="0.25">
      <c r="A170" s="16">
        <v>3122117000</v>
      </c>
      <c r="B170" s="16" t="s">
        <v>558</v>
      </c>
      <c r="C170" s="27">
        <v>3122100000</v>
      </c>
      <c r="D170" s="28" t="s">
        <v>58</v>
      </c>
      <c r="E170" s="25" t="s">
        <v>243</v>
      </c>
      <c r="F170" s="26" t="s">
        <v>245</v>
      </c>
      <c r="G170" s="26" t="s">
        <v>249</v>
      </c>
      <c r="H170" s="26" t="s">
        <v>258</v>
      </c>
      <c r="I170" s="26" t="s">
        <v>303</v>
      </c>
      <c r="J170" s="26" t="s">
        <v>311</v>
      </c>
      <c r="K170" s="26" t="s">
        <v>316</v>
      </c>
      <c r="L170" s="26" t="s">
        <v>330</v>
      </c>
      <c r="M170" t="s">
        <v>331</v>
      </c>
      <c r="N170" s="26" t="s">
        <v>332</v>
      </c>
      <c r="O170" t="s">
        <v>333</v>
      </c>
      <c r="P170" t="s">
        <v>334</v>
      </c>
      <c r="Q170" t="s">
        <v>166</v>
      </c>
      <c r="S170" t="s">
        <v>56</v>
      </c>
      <c r="T170" t="s">
        <v>56</v>
      </c>
      <c r="U170" s="27" t="str">
        <f>LOOKUP(1,1/(Table1[[#This Row],[Level_0]:[Level 15]]&gt;0),(Table1[[#This Row],[Level_0]:[Level 15]]))</f>
        <v>3122117000 - [Non income related taxes]</v>
      </c>
      <c r="V170" s="21"/>
    </row>
    <row r="171" spans="1:22" hidden="1" x14ac:dyDescent="0.25">
      <c r="A171" s="16">
        <v>3122119000</v>
      </c>
      <c r="B171" s="16" t="s">
        <v>559</v>
      </c>
      <c r="C171" s="27">
        <v>3122100000</v>
      </c>
      <c r="D171" s="28" t="s">
        <v>58</v>
      </c>
      <c r="E171" s="25" t="s">
        <v>243</v>
      </c>
      <c r="F171" s="26" t="s">
        <v>245</v>
      </c>
      <c r="G171" s="26" t="s">
        <v>249</v>
      </c>
      <c r="H171" s="26" t="s">
        <v>258</v>
      </c>
      <c r="I171" s="26" t="s">
        <v>303</v>
      </c>
      <c r="J171" s="26" t="s">
        <v>311</v>
      </c>
      <c r="K171" s="26" t="s">
        <v>316</v>
      </c>
      <c r="L171" s="26" t="s">
        <v>330</v>
      </c>
      <c r="M171" t="s">
        <v>331</v>
      </c>
      <c r="N171" s="26" t="s">
        <v>332</v>
      </c>
      <c r="O171" t="s">
        <v>333</v>
      </c>
      <c r="P171" t="s">
        <v>334</v>
      </c>
      <c r="Q171" t="s">
        <v>117</v>
      </c>
      <c r="S171" t="s">
        <v>56</v>
      </c>
      <c r="T171" t="s">
        <v>56</v>
      </c>
      <c r="U171" s="27" t="str">
        <f>LOOKUP(1,1/(Table1[[#This Row],[Level_0]:[Level 15]]&gt;0),(Table1[[#This Row],[Level_0]:[Level 15]]))</f>
        <v>3122119000 - [Profit Share expenses]</v>
      </c>
      <c r="V171" s="21"/>
    </row>
    <row r="172" spans="1:22" hidden="1" x14ac:dyDescent="0.25">
      <c r="A172" s="16">
        <v>3122121000</v>
      </c>
      <c r="B172" s="16" t="s">
        <v>560</v>
      </c>
      <c r="C172" s="27">
        <v>3122100000</v>
      </c>
      <c r="D172" s="28" t="s">
        <v>58</v>
      </c>
      <c r="E172" s="25" t="s">
        <v>243</v>
      </c>
      <c r="F172" s="26" t="s">
        <v>245</v>
      </c>
      <c r="G172" s="26" t="s">
        <v>249</v>
      </c>
      <c r="H172" s="26" t="s">
        <v>258</v>
      </c>
      <c r="I172" s="26" t="s">
        <v>303</v>
      </c>
      <c r="J172" s="26" t="s">
        <v>311</v>
      </c>
      <c r="K172" s="26" t="s">
        <v>316</v>
      </c>
      <c r="L172" s="26" t="s">
        <v>330</v>
      </c>
      <c r="M172" t="s">
        <v>331</v>
      </c>
      <c r="N172" s="26" t="s">
        <v>332</v>
      </c>
      <c r="O172" t="s">
        <v>333</v>
      </c>
      <c r="P172" t="s">
        <v>334</v>
      </c>
      <c r="Q172" t="s">
        <v>165</v>
      </c>
      <c r="S172" t="s">
        <v>56</v>
      </c>
      <c r="T172" t="s">
        <v>56</v>
      </c>
      <c r="U172" s="27" t="str">
        <f>LOOKUP(1,1/(Table1[[#This Row],[Level_0]:[Level 15]]&gt;0),(Table1[[#This Row],[Level_0]:[Level 15]]))</f>
        <v>3122121000 - [Remaining other expenses IC - Sigma-Aldrich only]</v>
      </c>
      <c r="V172" s="21"/>
    </row>
    <row r="173" spans="1:22" hidden="1" x14ac:dyDescent="0.25">
      <c r="A173" s="16">
        <v>3122999999</v>
      </c>
      <c r="B173" s="16" t="s">
        <v>561</v>
      </c>
      <c r="C173" s="27">
        <v>3122100000</v>
      </c>
      <c r="D173" s="28" t="s">
        <v>58</v>
      </c>
      <c r="E173" s="25" t="s">
        <v>243</v>
      </c>
      <c r="F173" s="26" t="s">
        <v>245</v>
      </c>
      <c r="G173" s="26" t="s">
        <v>249</v>
      </c>
      <c r="H173" s="26" t="s">
        <v>258</v>
      </c>
      <c r="I173" s="26" t="s">
        <v>303</v>
      </c>
      <c r="J173" s="26" t="s">
        <v>311</v>
      </c>
      <c r="K173" s="26" t="s">
        <v>316</v>
      </c>
      <c r="L173" s="26" t="s">
        <v>330</v>
      </c>
      <c r="M173" t="s">
        <v>331</v>
      </c>
      <c r="N173" s="26" t="s">
        <v>332</v>
      </c>
      <c r="O173" t="s">
        <v>333</v>
      </c>
      <c r="P173" t="s">
        <v>334</v>
      </c>
      <c r="Q173" t="s">
        <v>341</v>
      </c>
      <c r="S173" t="s">
        <v>56</v>
      </c>
      <c r="T173" t="s">
        <v>56</v>
      </c>
      <c r="U173" s="27" t="str">
        <f>LOOKUP(1,1/(Table1[[#This Row],[Level_0]:[Level 15]]&gt;0),(Table1[[#This Row],[Level_0]:[Level 15]]))</f>
        <v>3122999999 - [Consolidation other operating items]</v>
      </c>
      <c r="V173" s="21"/>
    </row>
    <row r="174" spans="1:22" hidden="1" x14ac:dyDescent="0.25">
      <c r="A174" s="13" t="s">
        <v>366</v>
      </c>
      <c r="B174" s="16" t="s">
        <v>562</v>
      </c>
      <c r="C174" s="27">
        <v>3122999999</v>
      </c>
      <c r="D174" s="28" t="s">
        <v>58</v>
      </c>
      <c r="E174" s="25" t="s">
        <v>243</v>
      </c>
      <c r="F174" s="26" t="s">
        <v>245</v>
      </c>
      <c r="G174" s="26" t="s">
        <v>249</v>
      </c>
      <c r="H174" s="26" t="s">
        <v>258</v>
      </c>
      <c r="I174" s="26" t="s">
        <v>303</v>
      </c>
      <c r="J174" s="26" t="s">
        <v>311</v>
      </c>
      <c r="K174" s="26" t="s">
        <v>316</v>
      </c>
      <c r="L174" s="26" t="s">
        <v>330</v>
      </c>
      <c r="M174" t="s">
        <v>331</v>
      </c>
      <c r="N174" s="26" t="s">
        <v>332</v>
      </c>
      <c r="O174" t="s">
        <v>333</v>
      </c>
      <c r="P174" t="s">
        <v>334</v>
      </c>
      <c r="Q174" t="s">
        <v>341</v>
      </c>
      <c r="R174" t="s">
        <v>344</v>
      </c>
      <c r="T174" t="s">
        <v>56</v>
      </c>
      <c r="U174" s="27" t="str">
        <f>LOOKUP(1,1/(Table1[[#This Row],[Level_0]:[Level 15]]&gt;0),(Table1[[#This Row],[Level_0]:[Level 15]]))</f>
        <v>31223999IC - [IC adjustment - other operating expenses/income]</v>
      </c>
      <c r="V174" s="21"/>
    </row>
    <row r="175" spans="1:22" hidden="1" x14ac:dyDescent="0.25">
      <c r="A175" s="13" t="s">
        <v>367</v>
      </c>
      <c r="B175" s="16" t="s">
        <v>563</v>
      </c>
      <c r="C175" s="27">
        <v>3122999999</v>
      </c>
      <c r="D175" s="28" t="s">
        <v>58</v>
      </c>
      <c r="E175" s="25" t="s">
        <v>243</v>
      </c>
      <c r="F175" s="26" t="s">
        <v>245</v>
      </c>
      <c r="G175" s="26" t="s">
        <v>249</v>
      </c>
      <c r="H175" s="26" t="s">
        <v>258</v>
      </c>
      <c r="I175" s="26" t="s">
        <v>303</v>
      </c>
      <c r="J175" s="26" t="s">
        <v>311</v>
      </c>
      <c r="K175" s="26" t="s">
        <v>316</v>
      </c>
      <c r="L175" s="26" t="s">
        <v>330</v>
      </c>
      <c r="M175" t="s">
        <v>331</v>
      </c>
      <c r="N175" s="26" t="s">
        <v>332</v>
      </c>
      <c r="O175" t="s">
        <v>333</v>
      </c>
      <c r="P175" t="s">
        <v>334</v>
      </c>
      <c r="Q175" t="s">
        <v>341</v>
      </c>
      <c r="R175" t="s">
        <v>343</v>
      </c>
      <c r="T175" t="s">
        <v>56</v>
      </c>
      <c r="U175" s="27" t="str">
        <f>LOOKUP(1,1/(Table1[[#This Row],[Level_0]:[Level 15]]&gt;0),(Table1[[#This Row],[Level_0]:[Level 15]]))</f>
        <v>31224999LA - [LA - elimination of IC operating items]</v>
      </c>
      <c r="V175" s="21"/>
    </row>
    <row r="176" spans="1:22" hidden="1" x14ac:dyDescent="0.25">
      <c r="A176" s="13" t="s">
        <v>368</v>
      </c>
      <c r="B176" s="16" t="s">
        <v>564</v>
      </c>
      <c r="C176" s="27">
        <v>3122999999</v>
      </c>
      <c r="D176" s="28" t="s">
        <v>58</v>
      </c>
      <c r="E176" s="25" t="s">
        <v>243</v>
      </c>
      <c r="F176" s="26" t="s">
        <v>245</v>
      </c>
      <c r="G176" s="26" t="s">
        <v>249</v>
      </c>
      <c r="H176" s="26" t="s">
        <v>258</v>
      </c>
      <c r="I176" s="26" t="s">
        <v>303</v>
      </c>
      <c r="J176" s="26" t="s">
        <v>311</v>
      </c>
      <c r="K176" s="26" t="s">
        <v>316</v>
      </c>
      <c r="L176" s="26" t="s">
        <v>330</v>
      </c>
      <c r="M176" t="s">
        <v>331</v>
      </c>
      <c r="N176" s="26" t="s">
        <v>332</v>
      </c>
      <c r="O176" t="s">
        <v>333</v>
      </c>
      <c r="P176" t="s">
        <v>334</v>
      </c>
      <c r="Q176" t="s">
        <v>341</v>
      </c>
      <c r="R176" t="s">
        <v>342</v>
      </c>
      <c r="T176" t="s">
        <v>56</v>
      </c>
      <c r="U176" s="27" t="str">
        <f>LOOKUP(1,1/(Table1[[#This Row],[Level_0]:[Level 15]]&gt;0),(Table1[[#This Row],[Level_0]:[Level 15]]))</f>
        <v>33229999LA - [LA - dividends elimination]</v>
      </c>
      <c r="V176" s="21"/>
    </row>
    <row r="177" spans="1:22" hidden="1" x14ac:dyDescent="0.25">
      <c r="A177" s="16">
        <v>3123999999</v>
      </c>
      <c r="B177" s="16" t="s">
        <v>565</v>
      </c>
      <c r="C177" s="27">
        <v>3122100000</v>
      </c>
      <c r="D177" s="28" t="s">
        <v>58</v>
      </c>
      <c r="E177" s="25" t="s">
        <v>243</v>
      </c>
      <c r="F177" s="26" t="s">
        <v>245</v>
      </c>
      <c r="G177" s="26" t="s">
        <v>249</v>
      </c>
      <c r="H177" s="26" t="s">
        <v>258</v>
      </c>
      <c r="I177" s="26" t="s">
        <v>303</v>
      </c>
      <c r="J177" s="26" t="s">
        <v>311</v>
      </c>
      <c r="K177" s="26" t="s">
        <v>316</v>
      </c>
      <c r="L177" s="26" t="s">
        <v>330</v>
      </c>
      <c r="M177" t="s">
        <v>331</v>
      </c>
      <c r="N177" s="26" t="s">
        <v>332</v>
      </c>
      <c r="O177" t="s">
        <v>333</v>
      </c>
      <c r="P177" t="s">
        <v>334</v>
      </c>
      <c r="Q177" t="s">
        <v>338</v>
      </c>
      <c r="S177" t="s">
        <v>56</v>
      </c>
      <c r="T177" t="s">
        <v>56</v>
      </c>
      <c r="U177" s="27" t="str">
        <f>LOOKUP(1,1/(Table1[[#This Row],[Level_0]:[Level 15]]&gt;0),(Table1[[#This Row],[Level_0]:[Level 15]]))</f>
        <v>3123999999 - [Consolidation special reimbursements]</v>
      </c>
      <c r="V177" s="21"/>
    </row>
    <row r="178" spans="1:22" hidden="1" x14ac:dyDescent="0.25">
      <c r="A178" s="13" t="s">
        <v>369</v>
      </c>
      <c r="B178" s="16" t="s">
        <v>566</v>
      </c>
      <c r="C178" s="27">
        <v>3123999999</v>
      </c>
      <c r="D178" s="28" t="s">
        <v>58</v>
      </c>
      <c r="E178" s="25" t="s">
        <v>243</v>
      </c>
      <c r="F178" s="26" t="s">
        <v>245</v>
      </c>
      <c r="G178" s="26" t="s">
        <v>249</v>
      </c>
      <c r="H178" s="26" t="s">
        <v>258</v>
      </c>
      <c r="I178" s="26" t="s">
        <v>303</v>
      </c>
      <c r="J178" s="26" t="s">
        <v>311</v>
      </c>
      <c r="K178" s="26" t="s">
        <v>316</v>
      </c>
      <c r="L178" s="26" t="s">
        <v>330</v>
      </c>
      <c r="M178" t="s">
        <v>331</v>
      </c>
      <c r="N178" s="26" t="s">
        <v>332</v>
      </c>
      <c r="O178" t="s">
        <v>333</v>
      </c>
      <c r="P178" t="s">
        <v>334</v>
      </c>
      <c r="Q178" t="s">
        <v>338</v>
      </c>
      <c r="R178" t="s">
        <v>340</v>
      </c>
      <c r="T178" t="s">
        <v>56</v>
      </c>
      <c r="U178" s="27" t="str">
        <f>LOOKUP(1,1/(Table1[[#This Row],[Level_0]:[Level 15]]&gt;0),(Table1[[#This Row],[Level_0]:[Level 15]]))</f>
        <v>31225999LA - [IC adjustment - special reimbursements]</v>
      </c>
      <c r="V178" s="21"/>
    </row>
    <row r="179" spans="1:22" hidden="1" x14ac:dyDescent="0.25">
      <c r="A179" s="13" t="s">
        <v>370</v>
      </c>
      <c r="B179" s="16" t="s">
        <v>567</v>
      </c>
      <c r="C179" s="27">
        <v>3123999999</v>
      </c>
      <c r="D179" s="28" t="s">
        <v>58</v>
      </c>
      <c r="E179" s="25" t="s">
        <v>243</v>
      </c>
      <c r="F179" s="26" t="s">
        <v>245</v>
      </c>
      <c r="G179" s="26" t="s">
        <v>249</v>
      </c>
      <c r="H179" s="26" t="s">
        <v>258</v>
      </c>
      <c r="I179" s="26" t="s">
        <v>303</v>
      </c>
      <c r="J179" s="26" t="s">
        <v>311</v>
      </c>
      <c r="K179" s="26" t="s">
        <v>316</v>
      </c>
      <c r="L179" s="26" t="s">
        <v>330</v>
      </c>
      <c r="M179" t="s">
        <v>331</v>
      </c>
      <c r="N179" s="26" t="s">
        <v>332</v>
      </c>
      <c r="O179" t="s">
        <v>333</v>
      </c>
      <c r="P179" t="s">
        <v>334</v>
      </c>
      <c r="Q179" t="s">
        <v>338</v>
      </c>
      <c r="R179" t="s">
        <v>339</v>
      </c>
      <c r="T179" t="s">
        <v>56</v>
      </c>
      <c r="U179" s="27" t="str">
        <f>LOOKUP(1,1/(Table1[[#This Row],[Level_0]:[Level 15]]&gt;0),(Table1[[#This Row],[Level_0]:[Level 15]]))</f>
        <v>31226999IC - [LA - elimination of IC special reimbursements]</v>
      </c>
      <c r="V179" s="21"/>
    </row>
    <row r="180" spans="1:22" hidden="1" x14ac:dyDescent="0.25">
      <c r="A180" s="16">
        <v>3124999999</v>
      </c>
      <c r="B180" s="16" t="s">
        <v>568</v>
      </c>
      <c r="C180" s="27">
        <v>3122100000</v>
      </c>
      <c r="D180" s="28" t="s">
        <v>58</v>
      </c>
      <c r="E180" s="25" t="s">
        <v>243</v>
      </c>
      <c r="F180" s="26" t="s">
        <v>245</v>
      </c>
      <c r="G180" s="26" t="s">
        <v>249</v>
      </c>
      <c r="H180" s="26" t="s">
        <v>258</v>
      </c>
      <c r="I180" s="26" t="s">
        <v>303</v>
      </c>
      <c r="J180" s="26" t="s">
        <v>311</v>
      </c>
      <c r="K180" s="26" t="s">
        <v>316</v>
      </c>
      <c r="L180" s="26" t="s">
        <v>330</v>
      </c>
      <c r="M180" t="s">
        <v>331</v>
      </c>
      <c r="N180" s="26" t="s">
        <v>332</v>
      </c>
      <c r="O180" t="s">
        <v>333</v>
      </c>
      <c r="P180" t="s">
        <v>334</v>
      </c>
      <c r="Q180" t="s">
        <v>335</v>
      </c>
      <c r="S180" t="s">
        <v>56</v>
      </c>
      <c r="T180" t="s">
        <v>56</v>
      </c>
      <c r="U180" s="27" t="str">
        <f>LOOKUP(1,1/(Table1[[#This Row],[Level_0]:[Level 15]]&gt;0),(Table1[[#This Row],[Level_0]:[Level 15]]))</f>
        <v>3124999999 - [Consolidation Mark-up IC]</v>
      </c>
      <c r="V180" s="21"/>
    </row>
    <row r="181" spans="1:22" hidden="1" x14ac:dyDescent="0.25">
      <c r="A181" s="13" t="s">
        <v>371</v>
      </c>
      <c r="B181" s="16" t="s">
        <v>569</v>
      </c>
      <c r="C181" s="27">
        <v>3124999999</v>
      </c>
      <c r="D181" s="28" t="s">
        <v>58</v>
      </c>
      <c r="E181" s="25" t="s">
        <v>243</v>
      </c>
      <c r="F181" s="26" t="s">
        <v>245</v>
      </c>
      <c r="G181" s="26" t="s">
        <v>249</v>
      </c>
      <c r="H181" s="26" t="s">
        <v>258</v>
      </c>
      <c r="I181" s="26" t="s">
        <v>303</v>
      </c>
      <c r="J181" s="26" t="s">
        <v>311</v>
      </c>
      <c r="K181" s="26" t="s">
        <v>316</v>
      </c>
      <c r="L181" s="26" t="s">
        <v>330</v>
      </c>
      <c r="M181" t="s">
        <v>331</v>
      </c>
      <c r="N181" s="26" t="s">
        <v>332</v>
      </c>
      <c r="O181" t="s">
        <v>333</v>
      </c>
      <c r="P181" t="s">
        <v>334</v>
      </c>
      <c r="Q181" t="s">
        <v>335</v>
      </c>
      <c r="R181" t="s">
        <v>337</v>
      </c>
      <c r="T181" t="s">
        <v>56</v>
      </c>
      <c r="U181" s="27" t="str">
        <f>LOOKUP(1,1/(Table1[[#This Row],[Level_0]:[Level 15]]&gt;0),(Table1[[#This Row],[Level_0]:[Level 15]]))</f>
        <v>31226999LA - [IC-Adjustments Mark-up]</v>
      </c>
      <c r="V181" s="21"/>
    </row>
    <row r="182" spans="1:22" hidden="1" x14ac:dyDescent="0.25">
      <c r="A182" s="13" t="s">
        <v>372</v>
      </c>
      <c r="B182" s="16" t="s">
        <v>570</v>
      </c>
      <c r="C182" s="27">
        <v>3124999999</v>
      </c>
      <c r="D182" s="28" t="s">
        <v>58</v>
      </c>
      <c r="E182" s="25" t="s">
        <v>243</v>
      </c>
      <c r="F182" s="26" t="s">
        <v>245</v>
      </c>
      <c r="G182" s="26" t="s">
        <v>249</v>
      </c>
      <c r="H182" s="26" t="s">
        <v>258</v>
      </c>
      <c r="I182" s="26" t="s">
        <v>303</v>
      </c>
      <c r="J182" s="26" t="s">
        <v>311</v>
      </c>
      <c r="K182" s="26" t="s">
        <v>316</v>
      </c>
      <c r="L182" s="26" t="s">
        <v>330</v>
      </c>
      <c r="M182" t="s">
        <v>331</v>
      </c>
      <c r="N182" s="26" t="s">
        <v>332</v>
      </c>
      <c r="O182" t="s">
        <v>333</v>
      </c>
      <c r="P182" t="s">
        <v>334</v>
      </c>
      <c r="Q182" t="s">
        <v>335</v>
      </c>
      <c r="R182" t="s">
        <v>336</v>
      </c>
      <c r="T182" t="s">
        <v>56</v>
      </c>
      <c r="U182" s="27" t="str">
        <f>LOOKUP(1,1/(Table1[[#This Row],[Level_0]:[Level 15]]&gt;0),(Table1[[#This Row],[Level_0]:[Level 15]]))</f>
        <v>31227999IC - [LA - elimination of  Mark-up IC]</v>
      </c>
      <c r="V182" s="21"/>
    </row>
    <row r="183" spans="1:22" hidden="1" x14ac:dyDescent="0.25">
      <c r="A183" s="16">
        <v>3122200000</v>
      </c>
      <c r="B183" s="16" t="s">
        <v>571</v>
      </c>
      <c r="C183" s="27">
        <v>3122000000</v>
      </c>
      <c r="D183" s="28" t="s">
        <v>58</v>
      </c>
      <c r="E183" s="25" t="s">
        <v>243</v>
      </c>
      <c r="F183" s="26" t="s">
        <v>245</v>
      </c>
      <c r="G183" s="26" t="s">
        <v>249</v>
      </c>
      <c r="H183" s="26" t="s">
        <v>258</v>
      </c>
      <c r="I183" s="26" t="s">
        <v>303</v>
      </c>
      <c r="J183" s="26" t="s">
        <v>311</v>
      </c>
      <c r="K183" s="26" t="s">
        <v>316</v>
      </c>
      <c r="L183" s="26" t="s">
        <v>330</v>
      </c>
      <c r="M183" t="s">
        <v>331</v>
      </c>
      <c r="N183" s="26" t="s">
        <v>332</v>
      </c>
      <c r="O183" t="s">
        <v>333</v>
      </c>
      <c r="P183" t="s">
        <v>212</v>
      </c>
      <c r="R183" t="s">
        <v>56</v>
      </c>
      <c r="S183" t="s">
        <v>56</v>
      </c>
      <c r="T183" t="s">
        <v>56</v>
      </c>
      <c r="U183" s="27" t="str">
        <f>LOOKUP(1,1/(Table1[[#This Row],[Level_0]:[Level 15]]&gt;0),(Table1[[#This Row],[Level_0]:[Level 15]]))</f>
        <v>3122200000 - [Other operating income]</v>
      </c>
      <c r="V183" s="21"/>
    </row>
    <row r="184" spans="1:22" hidden="1" x14ac:dyDescent="0.25">
      <c r="A184" s="16">
        <v>3012100000</v>
      </c>
      <c r="B184" s="16" t="s">
        <v>572</v>
      </c>
      <c r="C184" s="27">
        <v>3122200000</v>
      </c>
      <c r="D184" s="28" t="s">
        <v>58</v>
      </c>
      <c r="E184" s="25" t="s">
        <v>243</v>
      </c>
      <c r="F184" s="26" t="s">
        <v>245</v>
      </c>
      <c r="G184" s="26" t="s">
        <v>249</v>
      </c>
      <c r="H184" s="26" t="s">
        <v>258</v>
      </c>
      <c r="I184" s="26" t="s">
        <v>303</v>
      </c>
      <c r="J184" s="26" t="s">
        <v>311</v>
      </c>
      <c r="K184" s="26" t="s">
        <v>316</v>
      </c>
      <c r="L184" s="26" t="s">
        <v>330</v>
      </c>
      <c r="M184" t="s">
        <v>331</v>
      </c>
      <c r="N184" s="26" t="s">
        <v>332</v>
      </c>
      <c r="O184" t="s">
        <v>333</v>
      </c>
      <c r="P184" t="s">
        <v>212</v>
      </c>
      <c r="Q184" t="s">
        <v>227</v>
      </c>
      <c r="S184" t="s">
        <v>56</v>
      </c>
      <c r="T184" t="s">
        <v>56</v>
      </c>
      <c r="U184" s="27" t="str">
        <f>LOOKUP(1,1/(Table1[[#This Row],[Level_0]:[Level 15]]&gt;0),(Table1[[#This Row],[Level_0]:[Level 15]]))</f>
        <v>3012100000 - [Royalty and license income]</v>
      </c>
      <c r="V184" s="21"/>
    </row>
    <row r="185" spans="1:22" hidden="1" x14ac:dyDescent="0.25">
      <c r="A185" s="16">
        <v>3012110000</v>
      </c>
      <c r="B185" s="16" t="s">
        <v>573</v>
      </c>
      <c r="C185" s="27">
        <v>3122200000</v>
      </c>
      <c r="D185" s="28" t="s">
        <v>58</v>
      </c>
      <c r="E185" s="25" t="s">
        <v>243</v>
      </c>
      <c r="F185" s="26" t="s">
        <v>245</v>
      </c>
      <c r="G185" s="26" t="s">
        <v>249</v>
      </c>
      <c r="H185" s="26" t="s">
        <v>258</v>
      </c>
      <c r="I185" s="26" t="s">
        <v>303</v>
      </c>
      <c r="J185" s="26" t="s">
        <v>311</v>
      </c>
      <c r="K185" s="26" t="s">
        <v>316</v>
      </c>
      <c r="L185" s="26" t="s">
        <v>330</v>
      </c>
      <c r="M185" t="s">
        <v>331</v>
      </c>
      <c r="N185" s="26" t="s">
        <v>332</v>
      </c>
      <c r="O185" t="s">
        <v>333</v>
      </c>
      <c r="P185" t="s">
        <v>212</v>
      </c>
      <c r="Q185" t="s">
        <v>763</v>
      </c>
      <c r="S185" t="s">
        <v>56</v>
      </c>
      <c r="T185" t="s">
        <v>56</v>
      </c>
      <c r="U185" s="27" t="str">
        <f>LOOKUP(1,1/(Table1[[#This Row],[Level_0]:[Level 15]]&gt;0),(Table1[[#This Row],[Level_0]:[Level 15]]))</f>
        <v>3012110000 - [Pierre - No Name maintained]</v>
      </c>
      <c r="V185" s="21"/>
    </row>
    <row r="186" spans="1:22" hidden="1" x14ac:dyDescent="0.25">
      <c r="A186" s="16">
        <v>3122201000</v>
      </c>
      <c r="B186" s="16" t="s">
        <v>574</v>
      </c>
      <c r="C186" s="27">
        <v>3122200000</v>
      </c>
      <c r="D186" s="28" t="s">
        <v>58</v>
      </c>
      <c r="E186" s="25" t="s">
        <v>243</v>
      </c>
      <c r="F186" s="26" t="s">
        <v>245</v>
      </c>
      <c r="G186" s="26" t="s">
        <v>249</v>
      </c>
      <c r="H186" s="26" t="s">
        <v>258</v>
      </c>
      <c r="I186" s="26" t="s">
        <v>303</v>
      </c>
      <c r="J186" s="26" t="s">
        <v>311</v>
      </c>
      <c r="K186" s="26" t="s">
        <v>316</v>
      </c>
      <c r="L186" s="26" t="s">
        <v>330</v>
      </c>
      <c r="M186" t="s">
        <v>331</v>
      </c>
      <c r="N186" s="26" t="s">
        <v>332</v>
      </c>
      <c r="O186" t="s">
        <v>333</v>
      </c>
      <c r="P186" t="s">
        <v>212</v>
      </c>
      <c r="Q186" t="s">
        <v>226</v>
      </c>
      <c r="S186" t="s">
        <v>56</v>
      </c>
      <c r="T186" t="s">
        <v>56</v>
      </c>
      <c r="U186" s="27" t="str">
        <f>LOOKUP(1,1/(Table1[[#This Row],[Level_0]:[Level 15]]&gt;0),(Table1[[#This Row],[Level_0]:[Level 15]]))</f>
        <v>3122201000 - [Capital gains]</v>
      </c>
      <c r="V186" s="21"/>
    </row>
    <row r="187" spans="1:22" hidden="1" x14ac:dyDescent="0.25">
      <c r="A187" s="16">
        <v>3122201100</v>
      </c>
      <c r="B187" s="16" t="s">
        <v>575</v>
      </c>
      <c r="C187" s="27">
        <v>3122200000</v>
      </c>
      <c r="D187" s="28" t="s">
        <v>58</v>
      </c>
      <c r="E187" s="25" t="s">
        <v>243</v>
      </c>
      <c r="F187" s="26" t="s">
        <v>245</v>
      </c>
      <c r="G187" s="26" t="s">
        <v>249</v>
      </c>
      <c r="H187" s="26" t="s">
        <v>258</v>
      </c>
      <c r="I187" s="26" t="s">
        <v>303</v>
      </c>
      <c r="J187" s="26" t="s">
        <v>311</v>
      </c>
      <c r="K187" s="26" t="s">
        <v>316</v>
      </c>
      <c r="L187" s="26" t="s">
        <v>330</v>
      </c>
      <c r="M187" t="s">
        <v>331</v>
      </c>
      <c r="N187" s="26" t="s">
        <v>332</v>
      </c>
      <c r="O187" t="s">
        <v>333</v>
      </c>
      <c r="P187" t="s">
        <v>212</v>
      </c>
      <c r="Q187" t="s">
        <v>225</v>
      </c>
      <c r="S187" t="s">
        <v>56</v>
      </c>
      <c r="T187" t="s">
        <v>56</v>
      </c>
      <c r="U187" s="27" t="str">
        <f>LOOKUP(1,1/(Table1[[#This Row],[Level_0]:[Level 15]]&gt;0),(Table1[[#This Row],[Level_0]:[Level 15]]))</f>
        <v>3122201100 - [Capital gains from disposal of intangible assets]</v>
      </c>
      <c r="V187" s="21"/>
    </row>
    <row r="188" spans="1:22" hidden="1" x14ac:dyDescent="0.25">
      <c r="A188" s="16">
        <v>3122201200</v>
      </c>
      <c r="B188" s="16" t="s">
        <v>576</v>
      </c>
      <c r="C188" s="27">
        <v>3122200000</v>
      </c>
      <c r="D188" s="28" t="s">
        <v>58</v>
      </c>
      <c r="E188" s="25" t="s">
        <v>243</v>
      </c>
      <c r="F188" s="26" t="s">
        <v>245</v>
      </c>
      <c r="G188" s="26" t="s">
        <v>249</v>
      </c>
      <c r="H188" s="26" t="s">
        <v>258</v>
      </c>
      <c r="I188" s="26" t="s">
        <v>303</v>
      </c>
      <c r="J188" s="26" t="s">
        <v>311</v>
      </c>
      <c r="K188" s="26" t="s">
        <v>316</v>
      </c>
      <c r="L188" s="26" t="s">
        <v>330</v>
      </c>
      <c r="M188" t="s">
        <v>331</v>
      </c>
      <c r="N188" s="26" t="s">
        <v>332</v>
      </c>
      <c r="O188" t="s">
        <v>333</v>
      </c>
      <c r="P188" t="s">
        <v>212</v>
      </c>
      <c r="Q188" t="s">
        <v>224</v>
      </c>
      <c r="S188" t="s">
        <v>56</v>
      </c>
      <c r="T188" t="s">
        <v>56</v>
      </c>
      <c r="U188" s="27" t="str">
        <f>LOOKUP(1,1/(Table1[[#This Row],[Level_0]:[Level 15]]&gt;0),(Table1[[#This Row],[Level_0]:[Level 15]]))</f>
        <v>3122201200 - [Capital gains from disposal of property, plant and equipment]</v>
      </c>
      <c r="V188" s="21"/>
    </row>
    <row r="189" spans="1:22" hidden="1" x14ac:dyDescent="0.25">
      <c r="A189" s="16">
        <v>3122201300</v>
      </c>
      <c r="B189" s="16" t="s">
        <v>577</v>
      </c>
      <c r="C189" s="27">
        <v>3122200000</v>
      </c>
      <c r="D189" s="28" t="s">
        <v>58</v>
      </c>
      <c r="E189" s="25" t="s">
        <v>243</v>
      </c>
      <c r="F189" s="26" t="s">
        <v>245</v>
      </c>
      <c r="G189" s="26" t="s">
        <v>249</v>
      </c>
      <c r="H189" s="26" t="s">
        <v>258</v>
      </c>
      <c r="I189" s="26" t="s">
        <v>303</v>
      </c>
      <c r="J189" s="26" t="s">
        <v>311</v>
      </c>
      <c r="K189" s="26" t="s">
        <v>316</v>
      </c>
      <c r="L189" s="26" t="s">
        <v>330</v>
      </c>
      <c r="M189" t="s">
        <v>331</v>
      </c>
      <c r="N189" s="26" t="s">
        <v>332</v>
      </c>
      <c r="O189" t="s">
        <v>333</v>
      </c>
      <c r="P189" t="s">
        <v>212</v>
      </c>
      <c r="Q189" t="s">
        <v>223</v>
      </c>
      <c r="S189" t="s">
        <v>56</v>
      </c>
      <c r="T189" t="s">
        <v>56</v>
      </c>
      <c r="U189" s="27" t="str">
        <f>LOOKUP(1,1/(Table1[[#This Row],[Level_0]:[Level 15]]&gt;0),(Table1[[#This Row],[Level_0]:[Level 15]]))</f>
        <v>3122201300 - [Capital gains from disposal of financial assets]</v>
      </c>
      <c r="V189" s="21"/>
    </row>
    <row r="190" spans="1:22" hidden="1" x14ac:dyDescent="0.25">
      <c r="A190" s="16">
        <v>3122201400</v>
      </c>
      <c r="B190" s="16" t="s">
        <v>578</v>
      </c>
      <c r="C190" s="27">
        <v>3122200000</v>
      </c>
      <c r="D190" s="28" t="s">
        <v>58</v>
      </c>
      <c r="E190" s="25" t="s">
        <v>243</v>
      </c>
      <c r="F190" s="26" t="s">
        <v>245</v>
      </c>
      <c r="G190" s="26" t="s">
        <v>249</v>
      </c>
      <c r="H190" s="26" t="s">
        <v>258</v>
      </c>
      <c r="I190" s="26" t="s">
        <v>303</v>
      </c>
      <c r="J190" s="26" t="s">
        <v>311</v>
      </c>
      <c r="K190" s="26" t="s">
        <v>316</v>
      </c>
      <c r="L190" s="26" t="s">
        <v>330</v>
      </c>
      <c r="M190" t="s">
        <v>331</v>
      </c>
      <c r="N190" s="26" t="s">
        <v>332</v>
      </c>
      <c r="O190" t="s">
        <v>333</v>
      </c>
      <c r="P190" t="s">
        <v>212</v>
      </c>
      <c r="Q190" t="s">
        <v>222</v>
      </c>
      <c r="S190" t="s">
        <v>56</v>
      </c>
      <c r="T190" t="s">
        <v>56</v>
      </c>
      <c r="U190" s="27" t="str">
        <f>LOOKUP(1,1/(Table1[[#This Row],[Level_0]:[Level 15]]&gt;0),(Table1[[#This Row],[Level_0]:[Level 15]]))</f>
        <v>3122201400 - [Capital gains from divestments]</v>
      </c>
      <c r="V190" s="21"/>
    </row>
    <row r="191" spans="1:22" hidden="1" x14ac:dyDescent="0.25">
      <c r="A191" s="16">
        <v>3122201500</v>
      </c>
      <c r="B191" s="16" t="s">
        <v>579</v>
      </c>
      <c r="C191" s="27">
        <v>3122200000</v>
      </c>
      <c r="D191" s="28" t="s">
        <v>58</v>
      </c>
      <c r="E191" s="25" t="s">
        <v>243</v>
      </c>
      <c r="F191" s="26" t="s">
        <v>245</v>
      </c>
      <c r="G191" s="26" t="s">
        <v>249</v>
      </c>
      <c r="H191" s="26" t="s">
        <v>258</v>
      </c>
      <c r="I191" s="26" t="s">
        <v>303</v>
      </c>
      <c r="J191" s="26" t="s">
        <v>311</v>
      </c>
      <c r="K191" s="26" t="s">
        <v>316</v>
      </c>
      <c r="L191" s="26" t="s">
        <v>330</v>
      </c>
      <c r="M191" t="s">
        <v>331</v>
      </c>
      <c r="N191" s="26" t="s">
        <v>332</v>
      </c>
      <c r="O191" t="s">
        <v>333</v>
      </c>
      <c r="P191" t="s">
        <v>212</v>
      </c>
      <c r="Q191" t="s">
        <v>221</v>
      </c>
      <c r="S191" t="s">
        <v>56</v>
      </c>
      <c r="T191" t="s">
        <v>56</v>
      </c>
      <c r="U191" s="27" t="str">
        <f>LOOKUP(1,1/(Table1[[#This Row],[Level_0]:[Level 15]]&gt;0),(Table1[[#This Row],[Level_0]:[Level 15]]))</f>
        <v>3122201500 - [Consolidation gain on disposal of subsidiary]</v>
      </c>
      <c r="V191" s="21"/>
    </row>
    <row r="192" spans="1:22" hidden="1" x14ac:dyDescent="0.25">
      <c r="A192" s="16">
        <v>3122202000</v>
      </c>
      <c r="B192" s="16" t="s">
        <v>580</v>
      </c>
      <c r="C192" s="27">
        <v>3122200000</v>
      </c>
      <c r="D192" s="28" t="s">
        <v>58</v>
      </c>
      <c r="E192" s="25" t="s">
        <v>243</v>
      </c>
      <c r="F192" s="26" t="s">
        <v>245</v>
      </c>
      <c r="G192" s="26" t="s">
        <v>249</v>
      </c>
      <c r="H192" s="26" t="s">
        <v>258</v>
      </c>
      <c r="I192" s="26" t="s">
        <v>303</v>
      </c>
      <c r="J192" s="26" t="s">
        <v>311</v>
      </c>
      <c r="K192" s="26" t="s">
        <v>316</v>
      </c>
      <c r="L192" s="26" t="s">
        <v>330</v>
      </c>
      <c r="M192" t="s">
        <v>331</v>
      </c>
      <c r="N192" s="26" t="s">
        <v>332</v>
      </c>
      <c r="O192" t="s">
        <v>333</v>
      </c>
      <c r="P192" t="s">
        <v>212</v>
      </c>
      <c r="Q192" t="s">
        <v>220</v>
      </c>
      <c r="S192" t="s">
        <v>56</v>
      </c>
      <c r="T192" t="s">
        <v>56</v>
      </c>
      <c r="U192" s="27" t="str">
        <f>LOOKUP(1,1/(Table1[[#This Row],[Level_0]:[Level 15]]&gt;0),(Table1[[#This Row],[Level_0]:[Level 15]]))</f>
        <v>3122202000 - [Impairment reversals]</v>
      </c>
      <c r="V192" s="21"/>
    </row>
    <row r="193" spans="1:22" hidden="1" x14ac:dyDescent="0.25">
      <c r="A193" s="16">
        <v>3122203000</v>
      </c>
      <c r="B193" s="16" t="s">
        <v>581</v>
      </c>
      <c r="C193" s="27">
        <v>3122200000</v>
      </c>
      <c r="D193" s="28" t="s">
        <v>58</v>
      </c>
      <c r="E193" s="25" t="s">
        <v>243</v>
      </c>
      <c r="F193" s="26" t="s">
        <v>245</v>
      </c>
      <c r="G193" s="26" t="s">
        <v>249</v>
      </c>
      <c r="H193" s="26" t="s">
        <v>258</v>
      </c>
      <c r="I193" s="26" t="s">
        <v>303</v>
      </c>
      <c r="J193" s="26" t="s">
        <v>311</v>
      </c>
      <c r="K193" s="26" t="s">
        <v>316</v>
      </c>
      <c r="L193" s="26" t="s">
        <v>330</v>
      </c>
      <c r="M193" t="s">
        <v>331</v>
      </c>
      <c r="N193" s="26" t="s">
        <v>332</v>
      </c>
      <c r="O193" t="s">
        <v>333</v>
      </c>
      <c r="P193" t="s">
        <v>212</v>
      </c>
      <c r="Q193" t="s">
        <v>219</v>
      </c>
      <c r="S193" t="s">
        <v>56</v>
      </c>
      <c r="T193" t="s">
        <v>56</v>
      </c>
      <c r="U193" s="27" t="str">
        <f>LOOKUP(1,1/(Table1[[#This Row],[Level_0]:[Level 15]]&gt;0),(Table1[[#This Row],[Level_0]:[Level 15]]))</f>
        <v>3122203000 - [Special reimbursements - income]</v>
      </c>
      <c r="V193" s="21"/>
    </row>
    <row r="194" spans="1:22" hidden="1" x14ac:dyDescent="0.25">
      <c r="A194" s="16">
        <v>3122204000</v>
      </c>
      <c r="B194" s="16" t="s">
        <v>582</v>
      </c>
      <c r="C194" s="27">
        <v>3122200000</v>
      </c>
      <c r="D194" s="28" t="s">
        <v>58</v>
      </c>
      <c r="E194" s="25" t="s">
        <v>243</v>
      </c>
      <c r="F194" s="26" t="s">
        <v>245</v>
      </c>
      <c r="G194" s="26" t="s">
        <v>249</v>
      </c>
      <c r="H194" s="26" t="s">
        <v>258</v>
      </c>
      <c r="I194" s="26" t="s">
        <v>303</v>
      </c>
      <c r="J194" s="26" t="s">
        <v>311</v>
      </c>
      <c r="K194" s="26" t="s">
        <v>316</v>
      </c>
      <c r="L194" s="26" t="s">
        <v>330</v>
      </c>
      <c r="M194" t="s">
        <v>331</v>
      </c>
      <c r="N194" s="26" t="s">
        <v>332</v>
      </c>
      <c r="O194" t="s">
        <v>333</v>
      </c>
      <c r="P194" t="s">
        <v>212</v>
      </c>
      <c r="Q194" t="s">
        <v>218</v>
      </c>
      <c r="S194" t="s">
        <v>56</v>
      </c>
      <c r="T194" t="s">
        <v>56</v>
      </c>
      <c r="U194" s="27" t="str">
        <f>LOOKUP(1,1/(Table1[[#This Row],[Level_0]:[Level 15]]&gt;0),(Table1[[#This Row],[Level_0]:[Level 15]]))</f>
        <v>3122204000 - [Remaining other income 3rd parties]</v>
      </c>
      <c r="V194" s="21"/>
    </row>
    <row r="195" spans="1:22" hidden="1" x14ac:dyDescent="0.25">
      <c r="A195" s="16">
        <v>3122205000</v>
      </c>
      <c r="B195" s="16" t="s">
        <v>583</v>
      </c>
      <c r="C195" s="27">
        <v>3122200000</v>
      </c>
      <c r="D195" s="28" t="s">
        <v>58</v>
      </c>
      <c r="E195" s="25" t="s">
        <v>243</v>
      </c>
      <c r="F195" s="26" t="s">
        <v>245</v>
      </c>
      <c r="G195" s="26" t="s">
        <v>249</v>
      </c>
      <c r="H195" s="26" t="s">
        <v>258</v>
      </c>
      <c r="I195" s="26" t="s">
        <v>303</v>
      </c>
      <c r="J195" s="26" t="s">
        <v>311</v>
      </c>
      <c r="K195" s="26" t="s">
        <v>316</v>
      </c>
      <c r="L195" s="26" t="s">
        <v>330</v>
      </c>
      <c r="M195" t="s">
        <v>331</v>
      </c>
      <c r="N195" s="26" t="s">
        <v>332</v>
      </c>
      <c r="O195" t="s">
        <v>333</v>
      </c>
      <c r="P195" t="s">
        <v>212</v>
      </c>
      <c r="Q195" t="s">
        <v>217</v>
      </c>
      <c r="S195" t="s">
        <v>56</v>
      </c>
      <c r="T195" t="s">
        <v>56</v>
      </c>
      <c r="U195" s="27" t="str">
        <f>LOOKUP(1,1/(Table1[[#This Row],[Level_0]:[Level 15]]&gt;0),(Table1[[#This Row],[Level_0]:[Level 15]]))</f>
        <v>3122205000 - [Remaining other income IC]</v>
      </c>
      <c r="V195" s="21"/>
    </row>
    <row r="196" spans="1:22" hidden="1" x14ac:dyDescent="0.25">
      <c r="A196" s="16">
        <v>3122205100</v>
      </c>
      <c r="B196" s="16" t="s">
        <v>584</v>
      </c>
      <c r="C196" s="27">
        <v>3122200000</v>
      </c>
      <c r="D196" s="28" t="s">
        <v>58</v>
      </c>
      <c r="E196" s="25" t="s">
        <v>243</v>
      </c>
      <c r="F196" s="26" t="s">
        <v>245</v>
      </c>
      <c r="G196" s="26" t="s">
        <v>249</v>
      </c>
      <c r="H196" s="26" t="s">
        <v>258</v>
      </c>
      <c r="I196" s="26" t="s">
        <v>303</v>
      </c>
      <c r="J196" s="26" t="s">
        <v>311</v>
      </c>
      <c r="K196" s="26" t="s">
        <v>316</v>
      </c>
      <c r="L196" s="26" t="s">
        <v>330</v>
      </c>
      <c r="M196" t="s">
        <v>331</v>
      </c>
      <c r="N196" s="26" t="s">
        <v>332</v>
      </c>
      <c r="O196" t="s">
        <v>333</v>
      </c>
      <c r="P196" t="s">
        <v>212</v>
      </c>
      <c r="Q196" t="s">
        <v>216</v>
      </c>
      <c r="S196" t="s">
        <v>56</v>
      </c>
      <c r="T196" t="s">
        <v>56</v>
      </c>
      <c r="U196" s="27" t="str">
        <f>LOOKUP(1,1/(Table1[[#This Row],[Level_0]:[Level 15]]&gt;0),(Table1[[#This Row],[Level_0]:[Level 15]]))</f>
        <v>3122205100 - [Mark-up Income IC]</v>
      </c>
      <c r="V196" s="21"/>
    </row>
    <row r="197" spans="1:22" hidden="1" x14ac:dyDescent="0.25">
      <c r="A197" s="16">
        <v>3122206000</v>
      </c>
      <c r="B197" s="16" t="s">
        <v>585</v>
      </c>
      <c r="C197" s="27">
        <v>3122200000</v>
      </c>
      <c r="D197" s="28" t="s">
        <v>58</v>
      </c>
      <c r="E197" s="25" t="s">
        <v>243</v>
      </c>
      <c r="F197" s="26" t="s">
        <v>245</v>
      </c>
      <c r="G197" s="26" t="s">
        <v>249</v>
      </c>
      <c r="H197" s="26" t="s">
        <v>258</v>
      </c>
      <c r="I197" s="26" t="s">
        <v>303</v>
      </c>
      <c r="J197" s="26" t="s">
        <v>311</v>
      </c>
      <c r="K197" s="26" t="s">
        <v>316</v>
      </c>
      <c r="L197" s="26" t="s">
        <v>330</v>
      </c>
      <c r="M197" t="s">
        <v>331</v>
      </c>
      <c r="N197" s="26" t="s">
        <v>332</v>
      </c>
      <c r="O197" t="s">
        <v>333</v>
      </c>
      <c r="P197" t="s">
        <v>212</v>
      </c>
      <c r="Q197" t="s">
        <v>215</v>
      </c>
      <c r="S197" t="s">
        <v>56</v>
      </c>
      <c r="T197" t="s">
        <v>56</v>
      </c>
      <c r="U197" s="27" t="str">
        <f>LOOKUP(1,1/(Table1[[#This Row],[Level_0]:[Level 15]]&gt;0),(Table1[[#This Row],[Level_0]:[Level 15]]))</f>
        <v>3122206000 - [Income from allowance reversals]</v>
      </c>
      <c r="V197" s="21"/>
    </row>
    <row r="198" spans="1:22" hidden="1" x14ac:dyDescent="0.25">
      <c r="A198" s="16">
        <v>3122206100</v>
      </c>
      <c r="B198" s="16" t="s">
        <v>586</v>
      </c>
      <c r="C198" s="27">
        <v>3122200000</v>
      </c>
      <c r="D198" s="28" t="s">
        <v>58</v>
      </c>
      <c r="E198" s="25" t="s">
        <v>243</v>
      </c>
      <c r="F198" s="26" t="s">
        <v>245</v>
      </c>
      <c r="G198" s="26" t="s">
        <v>249</v>
      </c>
      <c r="H198" s="26" t="s">
        <v>258</v>
      </c>
      <c r="I198" s="26" t="s">
        <v>303</v>
      </c>
      <c r="J198" s="26" t="s">
        <v>311</v>
      </c>
      <c r="K198" s="26" t="s">
        <v>316</v>
      </c>
      <c r="L198" s="26" t="s">
        <v>330</v>
      </c>
      <c r="M198" t="s">
        <v>331</v>
      </c>
      <c r="N198" s="26" t="s">
        <v>332</v>
      </c>
      <c r="O198" t="s">
        <v>333</v>
      </c>
      <c r="P198" t="s">
        <v>212</v>
      </c>
      <c r="Q198" t="s">
        <v>764</v>
      </c>
      <c r="S198" t="s">
        <v>56</v>
      </c>
      <c r="T198" t="s">
        <v>56</v>
      </c>
      <c r="U198" s="27" t="str">
        <f>LOOKUP(1,1/(Table1[[#This Row],[Level_0]:[Level 15]]&gt;0),(Table1[[#This Row],[Level_0]:[Level 15]]))</f>
        <v>3122206100 - [Pierre - No Name maintained]</v>
      </c>
      <c r="V198" s="21"/>
    </row>
    <row r="199" spans="1:22" hidden="1" x14ac:dyDescent="0.25">
      <c r="A199" s="16">
        <v>3122207000</v>
      </c>
      <c r="B199" s="16" t="s">
        <v>587</v>
      </c>
      <c r="C199" s="27">
        <v>3122200000</v>
      </c>
      <c r="D199" s="28" t="s">
        <v>58</v>
      </c>
      <c r="E199" s="25" t="s">
        <v>243</v>
      </c>
      <c r="F199" s="26" t="s">
        <v>245</v>
      </c>
      <c r="G199" s="26" t="s">
        <v>249</v>
      </c>
      <c r="H199" s="26" t="s">
        <v>258</v>
      </c>
      <c r="I199" s="26" t="s">
        <v>303</v>
      </c>
      <c r="J199" s="26" t="s">
        <v>311</v>
      </c>
      <c r="K199" s="26" t="s">
        <v>316</v>
      </c>
      <c r="L199" s="26" t="s">
        <v>330</v>
      </c>
      <c r="M199" t="s">
        <v>331</v>
      </c>
      <c r="N199" s="26" t="s">
        <v>332</v>
      </c>
      <c r="O199" t="s">
        <v>333</v>
      </c>
      <c r="P199" t="s">
        <v>212</v>
      </c>
      <c r="Q199" t="s">
        <v>214</v>
      </c>
      <c r="S199" t="s">
        <v>56</v>
      </c>
      <c r="T199" t="s">
        <v>56</v>
      </c>
      <c r="U199" s="27" t="str">
        <f>LOOKUP(1,1/(Table1[[#This Row],[Level_0]:[Level 15]]&gt;0),(Table1[[#This Row],[Level_0]:[Level 15]]))</f>
        <v>3122207000 - [Income for services performed and ancillary business]</v>
      </c>
      <c r="V199" s="21"/>
    </row>
    <row r="200" spans="1:22" hidden="1" x14ac:dyDescent="0.25">
      <c r="A200" s="16">
        <v>3122209000</v>
      </c>
      <c r="B200" s="16" t="s">
        <v>588</v>
      </c>
      <c r="C200" s="27">
        <v>3122200000</v>
      </c>
      <c r="D200" s="28" t="s">
        <v>58</v>
      </c>
      <c r="E200" s="25" t="s">
        <v>243</v>
      </c>
      <c r="F200" s="26" t="s">
        <v>245</v>
      </c>
      <c r="G200" s="26" t="s">
        <v>249</v>
      </c>
      <c r="H200" s="26" t="s">
        <v>258</v>
      </c>
      <c r="I200" s="26" t="s">
        <v>303</v>
      </c>
      <c r="J200" s="26" t="s">
        <v>311</v>
      </c>
      <c r="K200" s="26" t="s">
        <v>316</v>
      </c>
      <c r="L200" s="26" t="s">
        <v>330</v>
      </c>
      <c r="M200" t="s">
        <v>331</v>
      </c>
      <c r="N200" s="26" t="s">
        <v>332</v>
      </c>
      <c r="O200" t="s">
        <v>333</v>
      </c>
      <c r="P200" t="s">
        <v>212</v>
      </c>
      <c r="Q200" t="s">
        <v>213</v>
      </c>
      <c r="S200" t="s">
        <v>56</v>
      </c>
      <c r="T200" t="s">
        <v>56</v>
      </c>
      <c r="U200" s="27" t="str">
        <f>LOOKUP(1,1/(Table1[[#This Row],[Level_0]:[Level 15]]&gt;0),(Table1[[#This Row],[Level_0]:[Level 15]]))</f>
        <v>3122209000 - [Remaining other income IC - Sigma-Aldrich only]</v>
      </c>
      <c r="V200" s="21"/>
    </row>
    <row r="201" spans="1:22" hidden="1" x14ac:dyDescent="0.25">
      <c r="A201" s="16">
        <v>3122300000</v>
      </c>
      <c r="B201" s="16" t="s">
        <v>589</v>
      </c>
      <c r="C201" s="27">
        <v>3122000000</v>
      </c>
      <c r="D201" s="28" t="s">
        <v>58</v>
      </c>
      <c r="E201" s="25" t="s">
        <v>243</v>
      </c>
      <c r="F201" s="26" t="s">
        <v>245</v>
      </c>
      <c r="G201" s="26" t="s">
        <v>249</v>
      </c>
      <c r="H201" s="26" t="s">
        <v>258</v>
      </c>
      <c r="I201" s="26" t="s">
        <v>303</v>
      </c>
      <c r="J201" s="26" t="s">
        <v>311</v>
      </c>
      <c r="K201" s="26" t="s">
        <v>316</v>
      </c>
      <c r="L201" s="26" t="s">
        <v>330</v>
      </c>
      <c r="M201" t="s">
        <v>331</v>
      </c>
      <c r="N201" s="26" t="s">
        <v>332</v>
      </c>
      <c r="O201" t="s">
        <v>333</v>
      </c>
      <c r="P201" t="s">
        <v>209</v>
      </c>
      <c r="R201" t="s">
        <v>56</v>
      </c>
      <c r="S201" t="s">
        <v>56</v>
      </c>
      <c r="T201" t="s">
        <v>56</v>
      </c>
      <c r="U201" s="27" t="str">
        <f>LOOKUP(1,1/(Table1[[#This Row],[Level_0]:[Level 15]]&gt;0),(Table1[[#This Row],[Level_0]:[Level 15]]))</f>
        <v>3122300000 - [One time items]</v>
      </c>
      <c r="V201" s="21"/>
    </row>
    <row r="202" spans="1:22" hidden="1" x14ac:dyDescent="0.25">
      <c r="A202" s="16">
        <v>3122118000</v>
      </c>
      <c r="B202" s="16" t="s">
        <v>590</v>
      </c>
      <c r="C202" s="27">
        <v>3122300000</v>
      </c>
      <c r="D202" s="28" t="s">
        <v>58</v>
      </c>
      <c r="E202" s="25" t="s">
        <v>243</v>
      </c>
      <c r="F202" s="26" t="s">
        <v>245</v>
      </c>
      <c r="G202" s="26" t="s">
        <v>249</v>
      </c>
      <c r="H202" s="26" t="s">
        <v>258</v>
      </c>
      <c r="I202" s="26" t="s">
        <v>303</v>
      </c>
      <c r="J202" s="26" t="s">
        <v>311</v>
      </c>
      <c r="K202" s="26" t="s">
        <v>316</v>
      </c>
      <c r="L202" s="26" t="s">
        <v>330</v>
      </c>
      <c r="M202" t="s">
        <v>331</v>
      </c>
      <c r="N202" s="26" t="s">
        <v>332</v>
      </c>
      <c r="O202" t="s">
        <v>333</v>
      </c>
      <c r="P202" t="s">
        <v>209</v>
      </c>
      <c r="Q202" t="s">
        <v>211</v>
      </c>
      <c r="S202" t="s">
        <v>56</v>
      </c>
      <c r="T202" t="s">
        <v>56</v>
      </c>
      <c r="U202" s="27" t="str">
        <f>LOOKUP(1,1/(Table1[[#This Row],[Level_0]:[Level 15]]&gt;0),(Table1[[#This Row],[Level_0]:[Level 15]]))</f>
        <v>3122118000 - [One time expenses]</v>
      </c>
      <c r="V202" s="21"/>
    </row>
    <row r="203" spans="1:22" hidden="1" x14ac:dyDescent="0.25">
      <c r="A203" s="16">
        <v>3122208000</v>
      </c>
      <c r="B203" s="16" t="s">
        <v>591</v>
      </c>
      <c r="C203" s="27">
        <v>3122300000</v>
      </c>
      <c r="D203" s="28" t="s">
        <v>58</v>
      </c>
      <c r="E203" s="25" t="s">
        <v>243</v>
      </c>
      <c r="F203" s="26" t="s">
        <v>245</v>
      </c>
      <c r="G203" s="26" t="s">
        <v>249</v>
      </c>
      <c r="H203" s="26" t="s">
        <v>258</v>
      </c>
      <c r="I203" s="26" t="s">
        <v>303</v>
      </c>
      <c r="J203" s="26" t="s">
        <v>311</v>
      </c>
      <c r="K203" s="26" t="s">
        <v>316</v>
      </c>
      <c r="L203" s="26" t="s">
        <v>330</v>
      </c>
      <c r="M203" t="s">
        <v>331</v>
      </c>
      <c r="N203" s="26" t="s">
        <v>332</v>
      </c>
      <c r="O203" t="s">
        <v>333</v>
      </c>
      <c r="P203" t="s">
        <v>209</v>
      </c>
      <c r="Q203" t="s">
        <v>210</v>
      </c>
      <c r="S203" t="s">
        <v>56</v>
      </c>
      <c r="T203" t="s">
        <v>56</v>
      </c>
      <c r="U203" s="27" t="str">
        <f>LOOKUP(1,1/(Table1[[#This Row],[Level_0]:[Level 15]]&gt;0),(Table1[[#This Row],[Level_0]:[Level 15]]))</f>
        <v>3122208000 - [One time income]</v>
      </c>
      <c r="V203" s="21"/>
    </row>
    <row r="204" spans="1:22" hidden="1" x14ac:dyDescent="0.25">
      <c r="A204" s="16">
        <v>3123000000</v>
      </c>
      <c r="B204" s="16" t="s">
        <v>592</v>
      </c>
      <c r="C204" s="27">
        <v>3122000000</v>
      </c>
      <c r="D204" s="28" t="s">
        <v>58</v>
      </c>
      <c r="E204" s="25" t="s">
        <v>243</v>
      </c>
      <c r="F204" s="26" t="s">
        <v>245</v>
      </c>
      <c r="G204" s="26" t="s">
        <v>249</v>
      </c>
      <c r="H204" s="26" t="s">
        <v>258</v>
      </c>
      <c r="I204" s="26" t="s">
        <v>303</v>
      </c>
      <c r="J204" s="26" t="s">
        <v>311</v>
      </c>
      <c r="K204" s="26" t="s">
        <v>316</v>
      </c>
      <c r="L204" s="26" t="s">
        <v>330</v>
      </c>
      <c r="M204" t="s">
        <v>331</v>
      </c>
      <c r="N204" s="26" t="s">
        <v>332</v>
      </c>
      <c r="O204" t="s">
        <v>333</v>
      </c>
      <c r="P204" t="s">
        <v>198</v>
      </c>
      <c r="R204" t="s">
        <v>56</v>
      </c>
      <c r="S204" t="s">
        <v>56</v>
      </c>
      <c r="T204" t="s">
        <v>56</v>
      </c>
      <c r="U204" s="27" t="str">
        <f>LOOKUP(1,1/(Table1[[#This Row],[Level_0]:[Level 15]]&gt;0),(Table1[[#This Row],[Level_0]:[Level 15]]))</f>
        <v>3123000000 - [Operative currency differences]</v>
      </c>
      <c r="V204" s="21"/>
    </row>
    <row r="205" spans="1:22" hidden="1" x14ac:dyDescent="0.25">
      <c r="A205" s="16">
        <v>3123100000</v>
      </c>
      <c r="B205" s="16" t="s">
        <v>593</v>
      </c>
      <c r="C205" s="27">
        <v>3123000000</v>
      </c>
      <c r="D205" s="28" t="s">
        <v>58</v>
      </c>
      <c r="E205" s="25" t="s">
        <v>243</v>
      </c>
      <c r="F205" s="26" t="s">
        <v>245</v>
      </c>
      <c r="G205" s="26" t="s">
        <v>249</v>
      </c>
      <c r="H205" s="26" t="s">
        <v>258</v>
      </c>
      <c r="I205" s="26" t="s">
        <v>303</v>
      </c>
      <c r="J205" s="26" t="s">
        <v>311</v>
      </c>
      <c r="K205" s="26" t="s">
        <v>316</v>
      </c>
      <c r="L205" s="26" t="s">
        <v>330</v>
      </c>
      <c r="M205" t="s">
        <v>331</v>
      </c>
      <c r="N205" s="26" t="s">
        <v>332</v>
      </c>
      <c r="O205" t="s">
        <v>333</v>
      </c>
      <c r="P205" t="s">
        <v>198</v>
      </c>
      <c r="Q205" t="s">
        <v>202</v>
      </c>
      <c r="S205" t="s">
        <v>56</v>
      </c>
      <c r="T205" t="s">
        <v>56</v>
      </c>
      <c r="U205" s="27" t="str">
        <f>LOOKUP(1,1/(Table1[[#This Row],[Level_0]:[Level 15]]&gt;0),(Table1[[#This Row],[Level_0]:[Level 15]]))</f>
        <v>3123100000 - [Currency differences operating activities]</v>
      </c>
      <c r="V205" s="21"/>
    </row>
    <row r="206" spans="1:22" hidden="1" x14ac:dyDescent="0.25">
      <c r="A206" s="16">
        <v>3123110000</v>
      </c>
      <c r="B206" s="16" t="s">
        <v>594</v>
      </c>
      <c r="C206" s="27">
        <v>3123100000</v>
      </c>
      <c r="D206" s="28" t="s">
        <v>58</v>
      </c>
      <c r="E206" s="25" t="s">
        <v>243</v>
      </c>
      <c r="F206" s="26" t="s">
        <v>245</v>
      </c>
      <c r="G206" s="26" t="s">
        <v>249</v>
      </c>
      <c r="H206" s="26" t="s">
        <v>258</v>
      </c>
      <c r="I206" s="26" t="s">
        <v>303</v>
      </c>
      <c r="J206" s="26" t="s">
        <v>311</v>
      </c>
      <c r="K206" s="26" t="s">
        <v>316</v>
      </c>
      <c r="L206" s="26" t="s">
        <v>330</v>
      </c>
      <c r="M206" t="s">
        <v>331</v>
      </c>
      <c r="N206" s="26" t="s">
        <v>332</v>
      </c>
      <c r="O206" t="s">
        <v>333</v>
      </c>
      <c r="P206" t="s">
        <v>198</v>
      </c>
      <c r="Q206" t="s">
        <v>202</v>
      </c>
      <c r="R206" t="s">
        <v>206</v>
      </c>
      <c r="T206" t="s">
        <v>56</v>
      </c>
      <c r="U206" s="27" t="str">
        <f>LOOKUP(1,1/(Table1[[#This Row],[Level_0]:[Level 15]]&gt;0),(Table1[[#This Row],[Level_0]:[Level 15]]))</f>
        <v>3123110000 - [Currency differences operating - transactions]</v>
      </c>
      <c r="V206" s="21"/>
    </row>
    <row r="207" spans="1:22" hidden="1" x14ac:dyDescent="0.25">
      <c r="A207" s="16">
        <v>3123111000</v>
      </c>
      <c r="B207" s="16" t="s">
        <v>595</v>
      </c>
      <c r="C207" s="27">
        <v>3123110000</v>
      </c>
      <c r="D207" s="28" t="s">
        <v>58</v>
      </c>
      <c r="E207" s="25" t="s">
        <v>243</v>
      </c>
      <c r="F207" s="26" t="s">
        <v>245</v>
      </c>
      <c r="G207" s="26" t="s">
        <v>249</v>
      </c>
      <c r="H207" s="26" t="s">
        <v>258</v>
      </c>
      <c r="I207" s="26" t="s">
        <v>303</v>
      </c>
      <c r="J207" s="26" t="s">
        <v>311</v>
      </c>
      <c r="K207" s="26" t="s">
        <v>316</v>
      </c>
      <c r="L207" s="26" t="s">
        <v>330</v>
      </c>
      <c r="M207" t="s">
        <v>331</v>
      </c>
      <c r="N207" s="26" t="s">
        <v>332</v>
      </c>
      <c r="O207" t="s">
        <v>333</v>
      </c>
      <c r="P207" t="s">
        <v>198</v>
      </c>
      <c r="Q207" t="s">
        <v>202</v>
      </c>
      <c r="R207" t="s">
        <v>206</v>
      </c>
      <c r="S207" t="s">
        <v>208</v>
      </c>
      <c r="U207" s="27" t="str">
        <f>LOOKUP(1,1/(Table1[[#This Row],[Level_0]:[Level 15]]&gt;0),(Table1[[#This Row],[Level_0]:[Level 15]]))</f>
        <v>3123111000 - [Currency diff operating - transactions, realized]</v>
      </c>
      <c r="V207" s="21"/>
    </row>
    <row r="208" spans="1:22" hidden="1" x14ac:dyDescent="0.25">
      <c r="A208" s="16">
        <v>3123112000</v>
      </c>
      <c r="B208" s="16" t="s">
        <v>596</v>
      </c>
      <c r="C208" s="27">
        <v>3123110000</v>
      </c>
      <c r="D208" s="28" t="s">
        <v>58</v>
      </c>
      <c r="E208" s="25" t="s">
        <v>243</v>
      </c>
      <c r="F208" s="26" t="s">
        <v>245</v>
      </c>
      <c r="G208" s="26" t="s">
        <v>249</v>
      </c>
      <c r="H208" s="26" t="s">
        <v>258</v>
      </c>
      <c r="I208" s="26" t="s">
        <v>303</v>
      </c>
      <c r="J208" s="26" t="s">
        <v>311</v>
      </c>
      <c r="K208" s="26" t="s">
        <v>316</v>
      </c>
      <c r="L208" s="26" t="s">
        <v>330</v>
      </c>
      <c r="M208" t="s">
        <v>331</v>
      </c>
      <c r="N208" s="26" t="s">
        <v>332</v>
      </c>
      <c r="O208" t="s">
        <v>333</v>
      </c>
      <c r="P208" t="s">
        <v>198</v>
      </c>
      <c r="Q208" t="s">
        <v>202</v>
      </c>
      <c r="R208" t="s">
        <v>206</v>
      </c>
      <c r="S208" t="s">
        <v>207</v>
      </c>
      <c r="U208" s="27" t="str">
        <f>LOOKUP(1,1/(Table1[[#This Row],[Level_0]:[Level 15]]&gt;0),(Table1[[#This Row],[Level_0]:[Level 15]]))</f>
        <v>3123112000 - [Currency diff operating - transactions, unrealized]</v>
      </c>
      <c r="V208" s="21"/>
    </row>
    <row r="209" spans="1:22" hidden="1" x14ac:dyDescent="0.25">
      <c r="A209" s="16">
        <v>3123114000</v>
      </c>
      <c r="B209" s="16" t="s">
        <v>597</v>
      </c>
      <c r="C209" s="27">
        <v>3123110000</v>
      </c>
      <c r="D209" s="28" t="s">
        <v>58</v>
      </c>
      <c r="E209" s="25" t="s">
        <v>243</v>
      </c>
      <c r="F209" s="26" t="s">
        <v>245</v>
      </c>
      <c r="G209" s="26" t="s">
        <v>249</v>
      </c>
      <c r="H209" s="26" t="s">
        <v>258</v>
      </c>
      <c r="I209" s="26" t="s">
        <v>303</v>
      </c>
      <c r="J209" s="26" t="s">
        <v>311</v>
      </c>
      <c r="K209" s="26" t="s">
        <v>316</v>
      </c>
      <c r="L209" s="26" t="s">
        <v>330</v>
      </c>
      <c r="M209" t="s">
        <v>331</v>
      </c>
      <c r="N209" s="26" t="s">
        <v>332</v>
      </c>
      <c r="O209" t="s">
        <v>333</v>
      </c>
      <c r="P209" t="s">
        <v>198</v>
      </c>
      <c r="Q209" t="s">
        <v>202</v>
      </c>
      <c r="R209" t="s">
        <v>206</v>
      </c>
      <c r="S209" t="s">
        <v>765</v>
      </c>
      <c r="U209" s="27" t="str">
        <f>LOOKUP(1,1/(Table1[[#This Row],[Level_0]:[Level 15]]&gt;0),(Table1[[#This Row],[Level_0]:[Level 15]]))</f>
        <v>3123114000 - [Pierre - No Name maintained]</v>
      </c>
      <c r="V209" s="21"/>
    </row>
    <row r="210" spans="1:22" hidden="1" x14ac:dyDescent="0.25">
      <c r="A210" s="16">
        <v>3123115000</v>
      </c>
      <c r="B210" s="16" t="s">
        <v>598</v>
      </c>
      <c r="C210" s="27">
        <v>3123110000</v>
      </c>
      <c r="D210" s="28" t="s">
        <v>58</v>
      </c>
      <c r="E210" s="25" t="s">
        <v>243</v>
      </c>
      <c r="F210" s="26" t="s">
        <v>245</v>
      </c>
      <c r="G210" s="26" t="s">
        <v>249</v>
      </c>
      <c r="H210" s="26" t="s">
        <v>258</v>
      </c>
      <c r="I210" s="26" t="s">
        <v>303</v>
      </c>
      <c r="J210" s="26" t="s">
        <v>311</v>
      </c>
      <c r="K210" s="26" t="s">
        <v>316</v>
      </c>
      <c r="L210" s="26" t="s">
        <v>330</v>
      </c>
      <c r="M210" t="s">
        <v>331</v>
      </c>
      <c r="N210" s="26" t="s">
        <v>332</v>
      </c>
      <c r="O210" t="s">
        <v>333</v>
      </c>
      <c r="P210" t="s">
        <v>198</v>
      </c>
      <c r="Q210" t="s">
        <v>202</v>
      </c>
      <c r="R210" t="s">
        <v>206</v>
      </c>
      <c r="S210" t="s">
        <v>766</v>
      </c>
      <c r="U210" s="27" t="str">
        <f>LOOKUP(1,1/(Table1[[#This Row],[Level_0]:[Level 15]]&gt;0),(Table1[[#This Row],[Level_0]:[Level 15]]))</f>
        <v>3123115000 - [Pierre - No Name maintained]</v>
      </c>
      <c r="V210" s="21"/>
    </row>
    <row r="211" spans="1:22" hidden="1" x14ac:dyDescent="0.25">
      <c r="A211" s="16">
        <v>3123117000</v>
      </c>
      <c r="B211" s="16" t="s">
        <v>599</v>
      </c>
      <c r="C211" s="27">
        <v>3123110000</v>
      </c>
      <c r="D211" s="28" t="s">
        <v>58</v>
      </c>
      <c r="E211" s="25" t="s">
        <v>243</v>
      </c>
      <c r="F211" s="26" t="s">
        <v>245</v>
      </c>
      <c r="G211" s="26" t="s">
        <v>249</v>
      </c>
      <c r="H211" s="26" t="s">
        <v>258</v>
      </c>
      <c r="I211" s="26" t="s">
        <v>303</v>
      </c>
      <c r="J211" s="26" t="s">
        <v>311</v>
      </c>
      <c r="K211" s="26" t="s">
        <v>316</v>
      </c>
      <c r="L211" s="26" t="s">
        <v>330</v>
      </c>
      <c r="M211" t="s">
        <v>331</v>
      </c>
      <c r="N211" s="26" t="s">
        <v>332</v>
      </c>
      <c r="O211" t="s">
        <v>333</v>
      </c>
      <c r="P211" t="s">
        <v>198</v>
      </c>
      <c r="Q211" t="s">
        <v>202</v>
      </c>
      <c r="R211" t="s">
        <v>206</v>
      </c>
      <c r="S211" t="s">
        <v>767</v>
      </c>
      <c r="U211" s="27" t="str">
        <f>LOOKUP(1,1/(Table1[[#This Row],[Level_0]:[Level 15]]&gt;0),(Table1[[#This Row],[Level_0]:[Level 15]]))</f>
        <v>3123117000 - [Pierre - No Name maintained]</v>
      </c>
      <c r="V211" s="21"/>
    </row>
    <row r="212" spans="1:22" hidden="1" x14ac:dyDescent="0.25">
      <c r="A212" s="16">
        <v>3123118000</v>
      </c>
      <c r="B212" s="16" t="s">
        <v>600</v>
      </c>
      <c r="C212" s="27">
        <v>3123110000</v>
      </c>
      <c r="D212" s="28" t="s">
        <v>58</v>
      </c>
      <c r="E212" s="25" t="s">
        <v>243</v>
      </c>
      <c r="F212" s="26" t="s">
        <v>245</v>
      </c>
      <c r="G212" s="26" t="s">
        <v>249</v>
      </c>
      <c r="H212" s="26" t="s">
        <v>258</v>
      </c>
      <c r="I212" s="26" t="s">
        <v>303</v>
      </c>
      <c r="J212" s="26" t="s">
        <v>311</v>
      </c>
      <c r="K212" s="26" t="s">
        <v>316</v>
      </c>
      <c r="L212" s="26" t="s">
        <v>330</v>
      </c>
      <c r="M212" t="s">
        <v>331</v>
      </c>
      <c r="N212" s="26" t="s">
        <v>332</v>
      </c>
      <c r="O212" t="s">
        <v>333</v>
      </c>
      <c r="P212" t="s">
        <v>198</v>
      </c>
      <c r="Q212" t="s">
        <v>202</v>
      </c>
      <c r="R212" t="s">
        <v>206</v>
      </c>
      <c r="S212" t="s">
        <v>768</v>
      </c>
      <c r="U212" s="27" t="str">
        <f>LOOKUP(1,1/(Table1[[#This Row],[Level_0]:[Level 15]]&gt;0),(Table1[[#This Row],[Level_0]:[Level 15]]))</f>
        <v>3123118000 - [Pierre - No Name maintained]</v>
      </c>
      <c r="V212" s="21"/>
    </row>
    <row r="213" spans="1:22" hidden="1" x14ac:dyDescent="0.25">
      <c r="A213" s="16">
        <v>3123120000</v>
      </c>
      <c r="B213" s="16" t="s">
        <v>601</v>
      </c>
      <c r="C213" s="27">
        <v>3123100000</v>
      </c>
      <c r="D213" s="28" t="s">
        <v>58</v>
      </c>
      <c r="E213" s="25" t="s">
        <v>243</v>
      </c>
      <c r="F213" s="26" t="s">
        <v>245</v>
      </c>
      <c r="G213" s="26" t="s">
        <v>249</v>
      </c>
      <c r="H213" s="26" t="s">
        <v>258</v>
      </c>
      <c r="I213" s="26" t="s">
        <v>303</v>
      </c>
      <c r="J213" s="26" t="s">
        <v>311</v>
      </c>
      <c r="K213" s="26" t="s">
        <v>316</v>
      </c>
      <c r="L213" s="26" t="s">
        <v>330</v>
      </c>
      <c r="M213" t="s">
        <v>331</v>
      </c>
      <c r="N213" s="26" t="s">
        <v>332</v>
      </c>
      <c r="O213" t="s">
        <v>333</v>
      </c>
      <c r="P213" t="s">
        <v>198</v>
      </c>
      <c r="Q213" t="s">
        <v>202</v>
      </c>
      <c r="R213" t="s">
        <v>203</v>
      </c>
      <c r="T213" t="s">
        <v>56</v>
      </c>
      <c r="U213" s="27" t="str">
        <f>LOOKUP(1,1/(Table1[[#This Row],[Level_0]:[Level 15]]&gt;0),(Table1[[#This Row],[Level_0]:[Level 15]]))</f>
        <v>3123120000 - [Currency differences operating - derivatives]</v>
      </c>
      <c r="V213" s="21"/>
    </row>
    <row r="214" spans="1:22" hidden="1" x14ac:dyDescent="0.25">
      <c r="A214" s="16">
        <v>3123121000</v>
      </c>
      <c r="B214" s="16" t="s">
        <v>602</v>
      </c>
      <c r="C214" s="27">
        <v>3123120000</v>
      </c>
      <c r="D214" s="28" t="s">
        <v>58</v>
      </c>
      <c r="E214" s="25" t="s">
        <v>243</v>
      </c>
      <c r="F214" s="26" t="s">
        <v>245</v>
      </c>
      <c r="G214" s="26" t="s">
        <v>249</v>
      </c>
      <c r="H214" s="26" t="s">
        <v>258</v>
      </c>
      <c r="I214" s="26" t="s">
        <v>303</v>
      </c>
      <c r="J214" s="26" t="s">
        <v>311</v>
      </c>
      <c r="K214" s="26" t="s">
        <v>316</v>
      </c>
      <c r="L214" s="26" t="s">
        <v>330</v>
      </c>
      <c r="M214" t="s">
        <v>331</v>
      </c>
      <c r="N214" s="26" t="s">
        <v>332</v>
      </c>
      <c r="O214" t="s">
        <v>333</v>
      </c>
      <c r="P214" t="s">
        <v>198</v>
      </c>
      <c r="Q214" t="s">
        <v>202</v>
      </c>
      <c r="R214" t="s">
        <v>203</v>
      </c>
      <c r="S214" t="s">
        <v>205</v>
      </c>
      <c r="U214" s="27" t="str">
        <f>LOOKUP(1,1/(Table1[[#This Row],[Level_0]:[Level 15]]&gt;0),(Table1[[#This Row],[Level_0]:[Level 15]]))</f>
        <v>3123121000 - [Currency diff operating - derivatives, realized]</v>
      </c>
      <c r="V214" s="21"/>
    </row>
    <row r="215" spans="1:22" hidden="1" x14ac:dyDescent="0.25">
      <c r="A215" s="16">
        <v>3123122000</v>
      </c>
      <c r="B215" s="16" t="s">
        <v>603</v>
      </c>
      <c r="C215" s="27">
        <v>3123120000</v>
      </c>
      <c r="D215" s="28" t="s">
        <v>58</v>
      </c>
      <c r="E215" s="25" t="s">
        <v>243</v>
      </c>
      <c r="F215" s="26" t="s">
        <v>245</v>
      </c>
      <c r="G215" s="26" t="s">
        <v>249</v>
      </c>
      <c r="H215" s="26" t="s">
        <v>258</v>
      </c>
      <c r="I215" s="26" t="s">
        <v>303</v>
      </c>
      <c r="J215" s="26" t="s">
        <v>311</v>
      </c>
      <c r="K215" s="26" t="s">
        <v>316</v>
      </c>
      <c r="L215" s="26" t="s">
        <v>330</v>
      </c>
      <c r="M215" t="s">
        <v>331</v>
      </c>
      <c r="N215" s="26" t="s">
        <v>332</v>
      </c>
      <c r="O215" t="s">
        <v>333</v>
      </c>
      <c r="P215" t="s">
        <v>198</v>
      </c>
      <c r="Q215" t="s">
        <v>202</v>
      </c>
      <c r="R215" t="s">
        <v>203</v>
      </c>
      <c r="S215" t="s">
        <v>204</v>
      </c>
      <c r="U215" s="27" t="str">
        <f>LOOKUP(1,1/(Table1[[#This Row],[Level_0]:[Level 15]]&gt;0),(Table1[[#This Row],[Level_0]:[Level 15]]))</f>
        <v>3123122000 - [Currency diff operating - derivatives, unrealized]</v>
      </c>
      <c r="V215" s="21"/>
    </row>
    <row r="216" spans="1:22" hidden="1" x14ac:dyDescent="0.25">
      <c r="A216" s="16">
        <v>3123210000</v>
      </c>
      <c r="B216" s="16" t="s">
        <v>604</v>
      </c>
      <c r="C216" s="27">
        <v>3123000000</v>
      </c>
      <c r="D216" s="28" t="s">
        <v>58</v>
      </c>
      <c r="E216" s="25" t="s">
        <v>243</v>
      </c>
      <c r="F216" s="26" t="s">
        <v>245</v>
      </c>
      <c r="G216" s="26" t="s">
        <v>249</v>
      </c>
      <c r="H216" s="26" t="s">
        <v>258</v>
      </c>
      <c r="I216" s="26" t="s">
        <v>303</v>
      </c>
      <c r="J216" s="26" t="s">
        <v>311</v>
      </c>
      <c r="K216" s="26" t="s">
        <v>316</v>
      </c>
      <c r="L216" s="26" t="s">
        <v>330</v>
      </c>
      <c r="M216" t="s">
        <v>331</v>
      </c>
      <c r="N216" s="26" t="s">
        <v>332</v>
      </c>
      <c r="O216" t="s">
        <v>333</v>
      </c>
      <c r="P216" t="s">
        <v>198</v>
      </c>
      <c r="Q216" t="s">
        <v>199</v>
      </c>
      <c r="S216" t="s">
        <v>56</v>
      </c>
      <c r="T216" t="s">
        <v>56</v>
      </c>
      <c r="U216" s="27" t="str">
        <f>LOOKUP(1,1/(Table1[[#This Row],[Level_0]:[Level 15]]&gt;0),(Table1[[#This Row],[Level_0]:[Level 15]]))</f>
        <v>3123210000 - [Currency differences cash flow hedges]</v>
      </c>
      <c r="V216" s="21"/>
    </row>
    <row r="217" spans="1:22" hidden="1" x14ac:dyDescent="0.25">
      <c r="A217" s="16">
        <v>3123200000</v>
      </c>
      <c r="B217" s="16" t="s">
        <v>605</v>
      </c>
      <c r="C217" s="27">
        <v>3123210000</v>
      </c>
      <c r="D217" s="28" t="s">
        <v>58</v>
      </c>
      <c r="E217" s="25" t="s">
        <v>243</v>
      </c>
      <c r="F217" s="26" t="s">
        <v>245</v>
      </c>
      <c r="G217" s="26" t="s">
        <v>249</v>
      </c>
      <c r="H217" s="26" t="s">
        <v>258</v>
      </c>
      <c r="I217" s="26" t="s">
        <v>303</v>
      </c>
      <c r="J217" s="26" t="s">
        <v>311</v>
      </c>
      <c r="K217" s="26" t="s">
        <v>316</v>
      </c>
      <c r="L217" s="26" t="s">
        <v>330</v>
      </c>
      <c r="M217" t="s">
        <v>331</v>
      </c>
      <c r="N217" s="26" t="s">
        <v>332</v>
      </c>
      <c r="O217" t="s">
        <v>333</v>
      </c>
      <c r="P217" t="s">
        <v>198</v>
      </c>
      <c r="Q217" t="s">
        <v>199</v>
      </c>
      <c r="R217" t="s">
        <v>201</v>
      </c>
      <c r="T217" t="s">
        <v>56</v>
      </c>
      <c r="U217" s="27" t="str">
        <f>LOOKUP(1,1/(Table1[[#This Row],[Level_0]:[Level 15]]&gt;0),(Table1[[#This Row],[Level_0]:[Level 15]]))</f>
        <v>3123200000 - [Currency differences cash flow hedges realized]</v>
      </c>
      <c r="V217" s="21"/>
    </row>
    <row r="218" spans="1:22" hidden="1" x14ac:dyDescent="0.25">
      <c r="A218" s="16">
        <v>3123211000</v>
      </c>
      <c r="B218" s="16" t="s">
        <v>606</v>
      </c>
      <c r="C218" s="27">
        <v>3123210000</v>
      </c>
      <c r="D218" s="28" t="s">
        <v>58</v>
      </c>
      <c r="E218" s="25" t="s">
        <v>243</v>
      </c>
      <c r="F218" s="26" t="s">
        <v>245</v>
      </c>
      <c r="G218" s="26" t="s">
        <v>249</v>
      </c>
      <c r="H218" s="26" t="s">
        <v>258</v>
      </c>
      <c r="I218" s="26" t="s">
        <v>303</v>
      </c>
      <c r="J218" s="26" t="s">
        <v>311</v>
      </c>
      <c r="K218" s="26" t="s">
        <v>316</v>
      </c>
      <c r="L218" s="26" t="s">
        <v>330</v>
      </c>
      <c r="M218" t="s">
        <v>331</v>
      </c>
      <c r="N218" s="26" t="s">
        <v>332</v>
      </c>
      <c r="O218" t="s">
        <v>333</v>
      </c>
      <c r="P218" t="s">
        <v>198</v>
      </c>
      <c r="Q218" t="s">
        <v>199</v>
      </c>
      <c r="R218" t="s">
        <v>200</v>
      </c>
      <c r="T218" t="s">
        <v>56</v>
      </c>
      <c r="U218" s="27" t="str">
        <f>LOOKUP(1,1/(Table1[[#This Row],[Level_0]:[Level 15]]&gt;0),(Table1[[#This Row],[Level_0]:[Level 15]]))</f>
        <v>3123211000 - [Currency differences cash flow hedges, unrealized]</v>
      </c>
      <c r="V218" s="21"/>
    </row>
    <row r="219" spans="1:22" hidden="1" x14ac:dyDescent="0.25">
      <c r="A219" s="16">
        <v>3210000000</v>
      </c>
      <c r="B219" s="16" t="s">
        <v>607</v>
      </c>
      <c r="C219" s="27">
        <v>3300000000</v>
      </c>
      <c r="D219" s="28" t="s">
        <v>58</v>
      </c>
      <c r="E219" s="25" t="s">
        <v>243</v>
      </c>
      <c r="F219" s="26" t="s">
        <v>245</v>
      </c>
      <c r="G219" s="26" t="s">
        <v>249</v>
      </c>
      <c r="H219" s="26" t="s">
        <v>258</v>
      </c>
      <c r="I219" s="26" t="s">
        <v>303</v>
      </c>
      <c r="J219" s="26" t="s">
        <v>311</v>
      </c>
      <c r="K219" s="26" t="s">
        <v>316</v>
      </c>
      <c r="L219" s="26" t="s">
        <v>317</v>
      </c>
      <c r="N219" s="26" t="s">
        <v>56</v>
      </c>
      <c r="O219" t="s">
        <v>56</v>
      </c>
      <c r="P219" t="s">
        <v>56</v>
      </c>
      <c r="Q219" t="s">
        <v>56</v>
      </c>
      <c r="R219" t="s">
        <v>56</v>
      </c>
      <c r="S219" t="s">
        <v>56</v>
      </c>
      <c r="T219" t="s">
        <v>56</v>
      </c>
      <c r="U219" s="27" t="str">
        <f>LOOKUP(1,1/(Table1[[#This Row],[Level_0]:[Level 15]]&gt;0),(Table1[[#This Row],[Level_0]:[Level 15]]))</f>
        <v>3210000000 - [Research and development]</v>
      </c>
      <c r="V219" s="21"/>
    </row>
    <row r="220" spans="1:22" hidden="1" x14ac:dyDescent="0.25">
      <c r="A220" s="16">
        <v>3211000000</v>
      </c>
      <c r="B220" s="16" t="s">
        <v>608</v>
      </c>
      <c r="C220" s="27">
        <v>3210000000</v>
      </c>
      <c r="D220" s="28" t="s">
        <v>58</v>
      </c>
      <c r="E220" s="25" t="s">
        <v>243</v>
      </c>
      <c r="F220" s="26" t="s">
        <v>245</v>
      </c>
      <c r="G220" s="26" t="s">
        <v>249</v>
      </c>
      <c r="H220" s="26" t="s">
        <v>258</v>
      </c>
      <c r="I220" s="26" t="s">
        <v>303</v>
      </c>
      <c r="J220" s="26" t="s">
        <v>311</v>
      </c>
      <c r="K220" s="26" t="s">
        <v>316</v>
      </c>
      <c r="L220" s="26" t="s">
        <v>317</v>
      </c>
      <c r="M220" t="s">
        <v>324</v>
      </c>
      <c r="N220" s="26"/>
      <c r="O220" t="s">
        <v>56</v>
      </c>
      <c r="P220" t="s">
        <v>56</v>
      </c>
      <c r="Q220" t="s">
        <v>56</v>
      </c>
      <c r="R220" t="s">
        <v>56</v>
      </c>
      <c r="S220" t="s">
        <v>56</v>
      </c>
      <c r="T220" t="s">
        <v>56</v>
      </c>
      <c r="U220" s="27" t="str">
        <f>LOOKUP(1,1/(Table1[[#This Row],[Level_0]:[Level 15]]&gt;0),(Table1[[#This Row],[Level_0]:[Level 15]]))</f>
        <v>3211000000 - [R&amp;D - Local]</v>
      </c>
      <c r="V220" s="21"/>
    </row>
    <row r="221" spans="1:22" hidden="1" x14ac:dyDescent="0.25">
      <c r="A221" s="16">
        <v>3211100000</v>
      </c>
      <c r="B221" s="16" t="s">
        <v>609</v>
      </c>
      <c r="C221" s="27">
        <v>3211000000</v>
      </c>
      <c r="D221" s="28" t="s">
        <v>58</v>
      </c>
      <c r="E221" s="25" t="s">
        <v>243</v>
      </c>
      <c r="F221" s="26" t="s">
        <v>245</v>
      </c>
      <c r="G221" s="26" t="s">
        <v>249</v>
      </c>
      <c r="H221" s="26" t="s">
        <v>258</v>
      </c>
      <c r="I221" s="26" t="s">
        <v>303</v>
      </c>
      <c r="J221" s="26" t="s">
        <v>311</v>
      </c>
      <c r="K221" s="26" t="s">
        <v>316</v>
      </c>
      <c r="L221" s="26" t="s">
        <v>317</v>
      </c>
      <c r="M221" t="s">
        <v>324</v>
      </c>
      <c r="N221" s="26" t="s">
        <v>112</v>
      </c>
      <c r="P221" t="s">
        <v>56</v>
      </c>
      <c r="Q221" t="s">
        <v>56</v>
      </c>
      <c r="R221" t="s">
        <v>56</v>
      </c>
      <c r="S221" t="s">
        <v>56</v>
      </c>
      <c r="T221" t="s">
        <v>56</v>
      </c>
      <c r="U221" s="27" t="str">
        <f>LOOKUP(1,1/(Table1[[#This Row],[Level_0]:[Level 15]]&gt;0),(Table1[[#This Row],[Level_0]:[Level 15]]))</f>
        <v>3211100000 - [R&amp;D Expenses Local]</v>
      </c>
      <c r="V221" s="21"/>
    </row>
    <row r="222" spans="1:22" hidden="1" x14ac:dyDescent="0.25">
      <c r="A222" s="16">
        <v>3211200000</v>
      </c>
      <c r="B222" s="16" t="s">
        <v>610</v>
      </c>
      <c r="C222" s="27">
        <v>3211000000</v>
      </c>
      <c r="D222" s="28" t="s">
        <v>58</v>
      </c>
      <c r="E222" s="25" t="s">
        <v>243</v>
      </c>
      <c r="F222" s="26" t="s">
        <v>245</v>
      </c>
      <c r="G222" s="26" t="s">
        <v>249</v>
      </c>
      <c r="H222" s="26" t="s">
        <v>258</v>
      </c>
      <c r="I222" s="26" t="s">
        <v>303</v>
      </c>
      <c r="J222" s="26" t="s">
        <v>311</v>
      </c>
      <c r="K222" s="26" t="s">
        <v>316</v>
      </c>
      <c r="L222" s="26" t="s">
        <v>317</v>
      </c>
      <c r="M222" t="s">
        <v>324</v>
      </c>
      <c r="N222" s="26" t="s">
        <v>329</v>
      </c>
      <c r="P222" t="s">
        <v>56</v>
      </c>
      <c r="Q222" t="s">
        <v>56</v>
      </c>
      <c r="R222" t="s">
        <v>56</v>
      </c>
      <c r="S222" t="s">
        <v>56</v>
      </c>
      <c r="T222" t="s">
        <v>56</v>
      </c>
      <c r="U222" s="27" t="str">
        <f>LOOKUP(1,1/(Table1[[#This Row],[Level_0]:[Level 15]]&gt;0),(Table1[[#This Row],[Level_0]:[Level 15]]))</f>
        <v>3211200000 - [R&amp;D Expenses Local IC]</v>
      </c>
      <c r="V222" s="21"/>
    </row>
    <row r="223" spans="1:22" hidden="1" x14ac:dyDescent="0.25">
      <c r="A223" s="16">
        <v>3211300000</v>
      </c>
      <c r="B223" s="16" t="s">
        <v>611</v>
      </c>
      <c r="C223" s="27">
        <v>3211000000</v>
      </c>
      <c r="D223" s="28" t="s">
        <v>58</v>
      </c>
      <c r="E223" s="25" t="s">
        <v>243</v>
      </c>
      <c r="F223" s="26" t="s">
        <v>245</v>
      </c>
      <c r="G223" s="26" t="s">
        <v>249</v>
      </c>
      <c r="H223" s="26" t="s">
        <v>258</v>
      </c>
      <c r="I223" s="26" t="s">
        <v>303</v>
      </c>
      <c r="J223" s="26" t="s">
        <v>311</v>
      </c>
      <c r="K223" s="26" t="s">
        <v>316</v>
      </c>
      <c r="L223" s="26" t="s">
        <v>317</v>
      </c>
      <c r="M223" t="s">
        <v>324</v>
      </c>
      <c r="N223" s="26" t="s">
        <v>111</v>
      </c>
      <c r="P223" t="s">
        <v>56</v>
      </c>
      <c r="Q223" t="s">
        <v>56</v>
      </c>
      <c r="R223" t="s">
        <v>56</v>
      </c>
      <c r="S223" t="s">
        <v>56</v>
      </c>
      <c r="T223" t="s">
        <v>56</v>
      </c>
      <c r="U223" s="27" t="str">
        <f>LOOKUP(1,1/(Table1[[#This Row],[Level_0]:[Level 15]]&gt;0),(Table1[[#This Row],[Level_0]:[Level 15]]))</f>
        <v>3211300000 - [R&amp;D Expenses Local - Samples]</v>
      </c>
      <c r="V223" s="21"/>
    </row>
    <row r="224" spans="1:22" hidden="1" x14ac:dyDescent="0.25">
      <c r="A224" s="16">
        <v>3211400000</v>
      </c>
      <c r="B224" s="16" t="s">
        <v>612</v>
      </c>
      <c r="C224" s="27">
        <v>3211000000</v>
      </c>
      <c r="D224" s="28" t="s">
        <v>58</v>
      </c>
      <c r="E224" s="25" t="s">
        <v>243</v>
      </c>
      <c r="F224" s="26" t="s">
        <v>245</v>
      </c>
      <c r="G224" s="26" t="s">
        <v>249</v>
      </c>
      <c r="H224" s="26" t="s">
        <v>258</v>
      </c>
      <c r="I224" s="26" t="s">
        <v>303</v>
      </c>
      <c r="J224" s="26" t="s">
        <v>311</v>
      </c>
      <c r="K224" s="26" t="s">
        <v>316</v>
      </c>
      <c r="L224" s="26" t="s">
        <v>317</v>
      </c>
      <c r="M224" t="s">
        <v>324</v>
      </c>
      <c r="N224" s="26" t="s">
        <v>110</v>
      </c>
      <c r="P224" t="s">
        <v>56</v>
      </c>
      <c r="Q224" t="s">
        <v>56</v>
      </c>
      <c r="R224" t="s">
        <v>56</v>
      </c>
      <c r="S224" t="s">
        <v>56</v>
      </c>
      <c r="T224" t="s">
        <v>56</v>
      </c>
      <c r="U224" s="27" t="str">
        <f>LOOKUP(1,1/(Table1[[#This Row],[Level_0]:[Level 15]]&gt;0),(Table1[[#This Row],[Level_0]:[Level 15]]))</f>
        <v>3211400000 - [R&amp;D Reimbursment Local 3rd parties]</v>
      </c>
      <c r="V224" s="21"/>
    </row>
    <row r="225" spans="1:22" hidden="1" x14ac:dyDescent="0.25">
      <c r="A225" s="16">
        <v>3211500000</v>
      </c>
      <c r="B225" s="16" t="s">
        <v>613</v>
      </c>
      <c r="C225" s="27">
        <v>3211000000</v>
      </c>
      <c r="D225" s="28" t="s">
        <v>58</v>
      </c>
      <c r="E225" s="25" t="s">
        <v>243</v>
      </c>
      <c r="F225" s="26" t="s">
        <v>245</v>
      </c>
      <c r="G225" s="26" t="s">
        <v>249</v>
      </c>
      <c r="H225" s="26" t="s">
        <v>258</v>
      </c>
      <c r="I225" s="26" t="s">
        <v>303</v>
      </c>
      <c r="J225" s="26" t="s">
        <v>311</v>
      </c>
      <c r="K225" s="26" t="s">
        <v>316</v>
      </c>
      <c r="L225" s="26" t="s">
        <v>317</v>
      </c>
      <c r="M225" t="s">
        <v>324</v>
      </c>
      <c r="N225" s="26" t="s">
        <v>328</v>
      </c>
      <c r="P225" t="s">
        <v>56</v>
      </c>
      <c r="Q225" t="s">
        <v>56</v>
      </c>
      <c r="R225" t="s">
        <v>56</v>
      </c>
      <c r="S225" t="s">
        <v>56</v>
      </c>
      <c r="T225" t="s">
        <v>56</v>
      </c>
      <c r="U225" s="27" t="str">
        <f>LOOKUP(1,1/(Table1[[#This Row],[Level_0]:[Level 15]]&gt;0),(Table1[[#This Row],[Level_0]:[Level 15]]))</f>
        <v>3211500000 - [R&amp;D Reimbursment Local IC]</v>
      </c>
      <c r="V225" s="21"/>
    </row>
    <row r="226" spans="1:22" hidden="1" x14ac:dyDescent="0.25">
      <c r="A226" s="16">
        <v>3211600000</v>
      </c>
      <c r="B226" s="16" t="s">
        <v>614</v>
      </c>
      <c r="C226" s="27">
        <v>3211000000</v>
      </c>
      <c r="D226" s="28" t="s">
        <v>58</v>
      </c>
      <c r="E226" s="25" t="s">
        <v>243</v>
      </c>
      <c r="F226" s="26" t="s">
        <v>245</v>
      </c>
      <c r="G226" s="26" t="s">
        <v>249</v>
      </c>
      <c r="H226" s="26" t="s">
        <v>258</v>
      </c>
      <c r="I226" s="26" t="s">
        <v>303</v>
      </c>
      <c r="J226" s="26" t="s">
        <v>311</v>
      </c>
      <c r="K226" s="26" t="s">
        <v>316</v>
      </c>
      <c r="L226" s="26" t="s">
        <v>317</v>
      </c>
      <c r="M226" t="s">
        <v>324</v>
      </c>
      <c r="N226" s="26" t="s">
        <v>116</v>
      </c>
      <c r="P226" t="s">
        <v>56</v>
      </c>
      <c r="Q226" t="s">
        <v>56</v>
      </c>
      <c r="R226" t="s">
        <v>56</v>
      </c>
      <c r="S226" t="s">
        <v>56</v>
      </c>
      <c r="T226" t="s">
        <v>56</v>
      </c>
      <c r="U226" s="27" t="str">
        <f>LOOKUP(1,1/(Table1[[#This Row],[Level_0]:[Level 15]]&gt;0),(Table1[[#This Row],[Level_0]:[Level 15]]))</f>
        <v>3211600000 - [Royalty and license expenses (local R&amp;D)]</v>
      </c>
      <c r="V226" s="21"/>
    </row>
    <row r="227" spans="1:22" hidden="1" x14ac:dyDescent="0.25">
      <c r="A227" s="16">
        <v>3211699999</v>
      </c>
      <c r="B227" s="16" t="s">
        <v>615</v>
      </c>
      <c r="C227" s="27">
        <v>3211000000</v>
      </c>
      <c r="D227" s="28" t="s">
        <v>58</v>
      </c>
      <c r="E227" s="25" t="s">
        <v>243</v>
      </c>
      <c r="F227" s="26" t="s">
        <v>245</v>
      </c>
      <c r="G227" s="26" t="s">
        <v>249</v>
      </c>
      <c r="H227" s="26" t="s">
        <v>258</v>
      </c>
      <c r="I227" s="26" t="s">
        <v>303</v>
      </c>
      <c r="J227" s="26" t="s">
        <v>311</v>
      </c>
      <c r="K227" s="26" t="s">
        <v>316</v>
      </c>
      <c r="L227" s="26" t="s">
        <v>317</v>
      </c>
      <c r="M227" t="s">
        <v>324</v>
      </c>
      <c r="N227" s="26" t="s">
        <v>325</v>
      </c>
      <c r="P227" t="s">
        <v>56</v>
      </c>
      <c r="Q227" t="s">
        <v>56</v>
      </c>
      <c r="R227" t="s">
        <v>56</v>
      </c>
      <c r="S227" t="s">
        <v>56</v>
      </c>
      <c r="T227" t="s">
        <v>56</v>
      </c>
      <c r="U227" s="27" t="str">
        <f>LOOKUP(1,1/(Table1[[#This Row],[Level_0]:[Level 15]]&gt;0),(Table1[[#This Row],[Level_0]:[Level 15]]))</f>
        <v>3211699999 - [Consolidation R&amp;D local]</v>
      </c>
      <c r="V227" s="21"/>
    </row>
    <row r="228" spans="1:22" hidden="1" x14ac:dyDescent="0.25">
      <c r="A228" s="13" t="s">
        <v>373</v>
      </c>
      <c r="B228" s="16" t="s">
        <v>616</v>
      </c>
      <c r="C228" s="27">
        <v>3211699999</v>
      </c>
      <c r="D228" s="28" t="s">
        <v>58</v>
      </c>
      <c r="E228" s="25" t="s">
        <v>243</v>
      </c>
      <c r="F228" s="26" t="s">
        <v>245</v>
      </c>
      <c r="G228" s="26" t="s">
        <v>249</v>
      </c>
      <c r="H228" s="26" t="s">
        <v>258</v>
      </c>
      <c r="I228" s="26" t="s">
        <v>303</v>
      </c>
      <c r="J228" s="26" t="s">
        <v>311</v>
      </c>
      <c r="K228" s="26" t="s">
        <v>316</v>
      </c>
      <c r="L228" s="26" t="s">
        <v>317</v>
      </c>
      <c r="M228" t="s">
        <v>324</v>
      </c>
      <c r="N228" s="26" t="s">
        <v>325</v>
      </c>
      <c r="O228" t="s">
        <v>327</v>
      </c>
      <c r="Q228" t="s">
        <v>56</v>
      </c>
      <c r="R228" t="s">
        <v>56</v>
      </c>
      <c r="S228" t="s">
        <v>56</v>
      </c>
      <c r="T228" t="s">
        <v>56</v>
      </c>
      <c r="U228" s="27" t="str">
        <f>LOOKUP(1,1/(Table1[[#This Row],[Level_0]:[Level 15]]&gt;0),(Table1[[#This Row],[Level_0]:[Level 15]]))</f>
        <v>32116998IC - [IC adjustment - R&amp;D local]</v>
      </c>
      <c r="V228" s="21"/>
    </row>
    <row r="229" spans="1:22" hidden="1" x14ac:dyDescent="0.25">
      <c r="A229" s="13" t="s">
        <v>374</v>
      </c>
      <c r="B229" s="16" t="s">
        <v>617</v>
      </c>
      <c r="C229" s="27">
        <v>3211699999</v>
      </c>
      <c r="D229" s="28" t="s">
        <v>58</v>
      </c>
      <c r="E229" s="25" t="s">
        <v>243</v>
      </c>
      <c r="F229" s="26" t="s">
        <v>245</v>
      </c>
      <c r="G229" s="26" t="s">
        <v>249</v>
      </c>
      <c r="H229" s="26" t="s">
        <v>258</v>
      </c>
      <c r="I229" s="26" t="s">
        <v>303</v>
      </c>
      <c r="J229" s="26" t="s">
        <v>311</v>
      </c>
      <c r="K229" s="26" t="s">
        <v>316</v>
      </c>
      <c r="L229" s="26" t="s">
        <v>317</v>
      </c>
      <c r="M229" t="s">
        <v>324</v>
      </c>
      <c r="N229" s="26" t="s">
        <v>325</v>
      </c>
      <c r="O229" t="s">
        <v>326</v>
      </c>
      <c r="Q229" t="s">
        <v>56</v>
      </c>
      <c r="R229" t="s">
        <v>56</v>
      </c>
      <c r="S229" t="s">
        <v>56</v>
      </c>
      <c r="T229" t="s">
        <v>56</v>
      </c>
      <c r="U229" s="27" t="str">
        <f>LOOKUP(1,1/(Table1[[#This Row],[Level_0]:[Level 15]]&gt;0),(Table1[[#This Row],[Level_0]:[Level 15]]))</f>
        <v>32116999LA - [LA - elimination of IC R&amp;D Local]</v>
      </c>
      <c r="V229" s="21"/>
    </row>
    <row r="230" spans="1:22" hidden="1" x14ac:dyDescent="0.25">
      <c r="A230" s="16">
        <v>3212000000</v>
      </c>
      <c r="B230" s="16" t="s">
        <v>618</v>
      </c>
      <c r="C230" s="27">
        <v>3210000000</v>
      </c>
      <c r="D230" s="28" t="s">
        <v>58</v>
      </c>
      <c r="E230" s="25" t="s">
        <v>243</v>
      </c>
      <c r="F230" s="26" t="s">
        <v>245</v>
      </c>
      <c r="G230" s="26" t="s">
        <v>249</v>
      </c>
      <c r="H230" s="26" t="s">
        <v>258</v>
      </c>
      <c r="I230" s="26" t="s">
        <v>303</v>
      </c>
      <c r="J230" s="26" t="s">
        <v>311</v>
      </c>
      <c r="K230" s="26" t="s">
        <v>316</v>
      </c>
      <c r="L230" s="26" t="s">
        <v>317</v>
      </c>
      <c r="M230" t="s">
        <v>318</v>
      </c>
      <c r="N230" s="26"/>
      <c r="O230" t="s">
        <v>56</v>
      </c>
      <c r="P230" t="s">
        <v>56</v>
      </c>
      <c r="Q230" t="s">
        <v>56</v>
      </c>
      <c r="R230" t="s">
        <v>56</v>
      </c>
      <c r="S230" t="s">
        <v>56</v>
      </c>
      <c r="T230" t="s">
        <v>56</v>
      </c>
      <c r="U230" s="27" t="str">
        <f>LOOKUP(1,1/(Table1[[#This Row],[Level_0]:[Level 15]]&gt;0),(Table1[[#This Row],[Level_0]:[Level 15]]))</f>
        <v>3212000000 - [R&amp;D - global]</v>
      </c>
      <c r="V230" s="21"/>
    </row>
    <row r="231" spans="1:22" hidden="1" x14ac:dyDescent="0.25">
      <c r="A231" s="16">
        <v>3212100000</v>
      </c>
      <c r="B231" s="16" t="s">
        <v>619</v>
      </c>
      <c r="C231" s="27">
        <v>3212000000</v>
      </c>
      <c r="D231" s="28" t="s">
        <v>58</v>
      </c>
      <c r="E231" s="25" t="s">
        <v>243</v>
      </c>
      <c r="F231" s="26" t="s">
        <v>245</v>
      </c>
      <c r="G231" s="26" t="s">
        <v>249</v>
      </c>
      <c r="H231" s="26" t="s">
        <v>258</v>
      </c>
      <c r="I231" s="26" t="s">
        <v>303</v>
      </c>
      <c r="J231" s="26" t="s">
        <v>311</v>
      </c>
      <c r="K231" s="26" t="s">
        <v>316</v>
      </c>
      <c r="L231" s="26" t="s">
        <v>317</v>
      </c>
      <c r="M231" t="s">
        <v>318</v>
      </c>
      <c r="N231" s="26" t="s">
        <v>109</v>
      </c>
      <c r="P231" t="s">
        <v>56</v>
      </c>
      <c r="Q231" t="s">
        <v>56</v>
      </c>
      <c r="R231" t="s">
        <v>56</v>
      </c>
      <c r="S231" t="s">
        <v>56</v>
      </c>
      <c r="T231" t="s">
        <v>56</v>
      </c>
      <c r="U231" s="27" t="str">
        <f>LOOKUP(1,1/(Table1[[#This Row],[Level_0]:[Level 15]]&gt;0),(Table1[[#This Row],[Level_0]:[Level 15]]))</f>
        <v>3212100000 - [R&amp;D expenses global]</v>
      </c>
      <c r="V231" s="21"/>
    </row>
    <row r="232" spans="1:22" hidden="1" x14ac:dyDescent="0.25">
      <c r="A232" s="16">
        <v>3212200000</v>
      </c>
      <c r="B232" s="16" t="s">
        <v>620</v>
      </c>
      <c r="C232" s="27">
        <v>3212000000</v>
      </c>
      <c r="D232" s="28" t="s">
        <v>58</v>
      </c>
      <c r="E232" s="25" t="s">
        <v>243</v>
      </c>
      <c r="F232" s="26" t="s">
        <v>245</v>
      </c>
      <c r="G232" s="26" t="s">
        <v>249</v>
      </c>
      <c r="H232" s="26" t="s">
        <v>258</v>
      </c>
      <c r="I232" s="26" t="s">
        <v>303</v>
      </c>
      <c r="J232" s="26" t="s">
        <v>311</v>
      </c>
      <c r="K232" s="26" t="s">
        <v>316</v>
      </c>
      <c r="L232" s="26" t="s">
        <v>317</v>
      </c>
      <c r="M232" t="s">
        <v>318</v>
      </c>
      <c r="N232" s="26" t="s">
        <v>323</v>
      </c>
      <c r="P232" t="s">
        <v>56</v>
      </c>
      <c r="Q232" t="s">
        <v>56</v>
      </c>
      <c r="R232" t="s">
        <v>56</v>
      </c>
      <c r="S232" t="s">
        <v>56</v>
      </c>
      <c r="T232" t="s">
        <v>56</v>
      </c>
      <c r="U232" s="27" t="str">
        <f>LOOKUP(1,1/(Table1[[#This Row],[Level_0]:[Level 15]]&gt;0),(Table1[[#This Row],[Level_0]:[Level 15]]))</f>
        <v>3212200000 - [R&amp;D expenses global IC]</v>
      </c>
      <c r="V232" s="21"/>
    </row>
    <row r="233" spans="1:22" hidden="1" x14ac:dyDescent="0.25">
      <c r="A233" s="16">
        <v>3212300000</v>
      </c>
      <c r="B233" s="16" t="s">
        <v>621</v>
      </c>
      <c r="C233" s="27">
        <v>3212000000</v>
      </c>
      <c r="D233" s="28" t="s">
        <v>58</v>
      </c>
      <c r="E233" s="25" t="s">
        <v>243</v>
      </c>
      <c r="F233" s="26" t="s">
        <v>245</v>
      </c>
      <c r="G233" s="26" t="s">
        <v>249</v>
      </c>
      <c r="H233" s="26" t="s">
        <v>258</v>
      </c>
      <c r="I233" s="26" t="s">
        <v>303</v>
      </c>
      <c r="J233" s="26" t="s">
        <v>311</v>
      </c>
      <c r="K233" s="26" t="s">
        <v>316</v>
      </c>
      <c r="L233" s="26" t="s">
        <v>317</v>
      </c>
      <c r="M233" t="s">
        <v>318</v>
      </c>
      <c r="N233" s="26" t="s">
        <v>108</v>
      </c>
      <c r="P233" t="s">
        <v>56</v>
      </c>
      <c r="Q233" t="s">
        <v>56</v>
      </c>
      <c r="R233" t="s">
        <v>56</v>
      </c>
      <c r="S233" t="s">
        <v>56</v>
      </c>
      <c r="T233" t="s">
        <v>56</v>
      </c>
      <c r="U233" s="27" t="str">
        <f>LOOKUP(1,1/(Table1[[#This Row],[Level_0]:[Level 15]]&gt;0),(Table1[[#This Row],[Level_0]:[Level 15]]))</f>
        <v>3212300000 - [R&amp;D expenses global - Samples]</v>
      </c>
      <c r="V233" s="21"/>
    </row>
    <row r="234" spans="1:22" hidden="1" x14ac:dyDescent="0.25">
      <c r="A234" s="16">
        <v>3212400000</v>
      </c>
      <c r="B234" s="16" t="s">
        <v>622</v>
      </c>
      <c r="C234" s="27">
        <v>3212000000</v>
      </c>
      <c r="D234" s="28" t="s">
        <v>58</v>
      </c>
      <c r="E234" s="25" t="s">
        <v>243</v>
      </c>
      <c r="F234" s="26" t="s">
        <v>245</v>
      </c>
      <c r="G234" s="26" t="s">
        <v>249</v>
      </c>
      <c r="H234" s="26" t="s">
        <v>258</v>
      </c>
      <c r="I234" s="26" t="s">
        <v>303</v>
      </c>
      <c r="J234" s="26" t="s">
        <v>311</v>
      </c>
      <c r="K234" s="26" t="s">
        <v>316</v>
      </c>
      <c r="L234" s="26" t="s">
        <v>317</v>
      </c>
      <c r="M234" t="s">
        <v>318</v>
      </c>
      <c r="N234" s="26" t="s">
        <v>107</v>
      </c>
      <c r="P234" t="s">
        <v>56</v>
      </c>
      <c r="Q234" t="s">
        <v>56</v>
      </c>
      <c r="R234" t="s">
        <v>56</v>
      </c>
      <c r="S234" t="s">
        <v>56</v>
      </c>
      <c r="T234" t="s">
        <v>56</v>
      </c>
      <c r="U234" s="27" t="str">
        <f>LOOKUP(1,1/(Table1[[#This Row],[Level_0]:[Level 15]]&gt;0),(Table1[[#This Row],[Level_0]:[Level 15]]))</f>
        <v>3212400000 - [R&amp;D reimbursements global 3rd parties]</v>
      </c>
      <c r="V234" s="21"/>
    </row>
    <row r="235" spans="1:22" hidden="1" x14ac:dyDescent="0.25">
      <c r="A235" s="16">
        <v>3212500000</v>
      </c>
      <c r="B235" s="16" t="s">
        <v>623</v>
      </c>
      <c r="C235" s="27">
        <v>3212000000</v>
      </c>
      <c r="D235" s="28" t="s">
        <v>58</v>
      </c>
      <c r="E235" s="25" t="s">
        <v>243</v>
      </c>
      <c r="F235" s="26" t="s">
        <v>245</v>
      </c>
      <c r="G235" s="26" t="s">
        <v>249</v>
      </c>
      <c r="H235" s="26" t="s">
        <v>258</v>
      </c>
      <c r="I235" s="26" t="s">
        <v>303</v>
      </c>
      <c r="J235" s="26" t="s">
        <v>311</v>
      </c>
      <c r="K235" s="26" t="s">
        <v>316</v>
      </c>
      <c r="L235" s="26" t="s">
        <v>317</v>
      </c>
      <c r="M235" t="s">
        <v>318</v>
      </c>
      <c r="N235" s="26" t="s">
        <v>322</v>
      </c>
      <c r="P235" t="s">
        <v>56</v>
      </c>
      <c r="Q235" t="s">
        <v>56</v>
      </c>
      <c r="R235" t="s">
        <v>56</v>
      </c>
      <c r="S235" t="s">
        <v>56</v>
      </c>
      <c r="T235" t="s">
        <v>56</v>
      </c>
      <c r="U235" s="27" t="str">
        <f>LOOKUP(1,1/(Table1[[#This Row],[Level_0]:[Level 15]]&gt;0),(Table1[[#This Row],[Level_0]:[Level 15]]))</f>
        <v>3212500000 - [R&amp;D reimbursment global IC]</v>
      </c>
      <c r="V235" s="21"/>
    </row>
    <row r="236" spans="1:22" hidden="1" x14ac:dyDescent="0.25">
      <c r="A236" s="16">
        <v>3212600000</v>
      </c>
      <c r="B236" s="16" t="s">
        <v>624</v>
      </c>
      <c r="C236" s="27">
        <v>3212000000</v>
      </c>
      <c r="D236" s="28" t="s">
        <v>58</v>
      </c>
      <c r="E236" s="25" t="s">
        <v>243</v>
      </c>
      <c r="F236" s="26" t="s">
        <v>245</v>
      </c>
      <c r="G236" s="26" t="s">
        <v>249</v>
      </c>
      <c r="H236" s="26" t="s">
        <v>258</v>
      </c>
      <c r="I236" s="26" t="s">
        <v>303</v>
      </c>
      <c r="J236" s="26" t="s">
        <v>311</v>
      </c>
      <c r="K236" s="26" t="s">
        <v>316</v>
      </c>
      <c r="L236" s="26" t="s">
        <v>317</v>
      </c>
      <c r="M236" t="s">
        <v>318</v>
      </c>
      <c r="N236" s="26" t="s">
        <v>106</v>
      </c>
      <c r="P236" t="s">
        <v>56</v>
      </c>
      <c r="Q236" t="s">
        <v>56</v>
      </c>
      <c r="R236" t="s">
        <v>56</v>
      </c>
      <c r="S236" t="s">
        <v>56</v>
      </c>
      <c r="T236" t="s">
        <v>56</v>
      </c>
      <c r="U236" s="27" t="str">
        <f>LOOKUP(1,1/(Table1[[#This Row],[Level_0]:[Level 15]]&gt;0),(Table1[[#This Row],[Level_0]:[Level 15]]))</f>
        <v>3212600000 - [Application technology global]</v>
      </c>
      <c r="V236" s="21"/>
    </row>
    <row r="237" spans="1:22" hidden="1" x14ac:dyDescent="0.25">
      <c r="A237" s="16">
        <v>3212700000</v>
      </c>
      <c r="B237" s="16" t="s">
        <v>625</v>
      </c>
      <c r="C237" s="27">
        <v>3212000000</v>
      </c>
      <c r="D237" s="28" t="s">
        <v>58</v>
      </c>
      <c r="E237" s="25" t="s">
        <v>243</v>
      </c>
      <c r="F237" s="26" t="s">
        <v>245</v>
      </c>
      <c r="G237" s="26" t="s">
        <v>249</v>
      </c>
      <c r="H237" s="26" t="s">
        <v>258</v>
      </c>
      <c r="I237" s="26" t="s">
        <v>303</v>
      </c>
      <c r="J237" s="26" t="s">
        <v>311</v>
      </c>
      <c r="K237" s="26" t="s">
        <v>316</v>
      </c>
      <c r="L237" s="26" t="s">
        <v>317</v>
      </c>
      <c r="M237" t="s">
        <v>318</v>
      </c>
      <c r="N237" s="26" t="s">
        <v>115</v>
      </c>
      <c r="P237" t="s">
        <v>56</v>
      </c>
      <c r="Q237" t="s">
        <v>56</v>
      </c>
      <c r="R237" t="s">
        <v>56</v>
      </c>
      <c r="S237" t="s">
        <v>56</v>
      </c>
      <c r="T237" t="s">
        <v>56</v>
      </c>
      <c r="U237" s="27" t="str">
        <f>LOOKUP(1,1/(Table1[[#This Row],[Level_0]:[Level 15]]&gt;0),(Table1[[#This Row],[Level_0]:[Level 15]]))</f>
        <v>3212700000 - [Royalty and license expenses (global R&amp;D)]</v>
      </c>
      <c r="V237" s="21"/>
    </row>
    <row r="238" spans="1:22" hidden="1" x14ac:dyDescent="0.25">
      <c r="A238" s="16">
        <v>3212799999</v>
      </c>
      <c r="B238" s="16" t="s">
        <v>626</v>
      </c>
      <c r="C238" s="27">
        <v>3212000000</v>
      </c>
      <c r="D238" s="28" t="s">
        <v>58</v>
      </c>
      <c r="E238" s="25" t="s">
        <v>243</v>
      </c>
      <c r="F238" s="26" t="s">
        <v>245</v>
      </c>
      <c r="G238" s="26" t="s">
        <v>249</v>
      </c>
      <c r="H238" s="26" t="s">
        <v>258</v>
      </c>
      <c r="I238" s="26" t="s">
        <v>303</v>
      </c>
      <c r="J238" s="26" t="s">
        <v>311</v>
      </c>
      <c r="K238" s="26" t="s">
        <v>316</v>
      </c>
      <c r="L238" s="26" t="s">
        <v>317</v>
      </c>
      <c r="M238" t="s">
        <v>318</v>
      </c>
      <c r="N238" s="26" t="s">
        <v>319</v>
      </c>
      <c r="P238" t="s">
        <v>56</v>
      </c>
      <c r="Q238" t="s">
        <v>56</v>
      </c>
      <c r="R238" t="s">
        <v>56</v>
      </c>
      <c r="S238" t="s">
        <v>56</v>
      </c>
      <c r="T238" t="s">
        <v>56</v>
      </c>
      <c r="U238" s="27" t="str">
        <f>LOOKUP(1,1/(Table1[[#This Row],[Level_0]:[Level 15]]&gt;0),(Table1[[#This Row],[Level_0]:[Level 15]]))</f>
        <v>3212799999 - [Consolidation R&amp;D global]</v>
      </c>
      <c r="V238" s="21"/>
    </row>
    <row r="239" spans="1:22" hidden="1" x14ac:dyDescent="0.25">
      <c r="A239" s="13" t="s">
        <v>375</v>
      </c>
      <c r="B239" s="16" t="s">
        <v>627</v>
      </c>
      <c r="C239" s="27">
        <v>3212799999</v>
      </c>
      <c r="D239" s="28" t="s">
        <v>58</v>
      </c>
      <c r="E239" s="25" t="s">
        <v>243</v>
      </c>
      <c r="F239" s="26" t="s">
        <v>245</v>
      </c>
      <c r="G239" s="26" t="s">
        <v>249</v>
      </c>
      <c r="H239" s="26" t="s">
        <v>258</v>
      </c>
      <c r="I239" s="26" t="s">
        <v>303</v>
      </c>
      <c r="J239" s="26" t="s">
        <v>311</v>
      </c>
      <c r="K239" s="26" t="s">
        <v>316</v>
      </c>
      <c r="L239" s="26" t="s">
        <v>317</v>
      </c>
      <c r="M239" t="s">
        <v>318</v>
      </c>
      <c r="N239" s="26" t="s">
        <v>319</v>
      </c>
      <c r="O239" t="s">
        <v>321</v>
      </c>
      <c r="Q239" t="s">
        <v>56</v>
      </c>
      <c r="R239" t="s">
        <v>56</v>
      </c>
      <c r="S239" t="s">
        <v>56</v>
      </c>
      <c r="T239" t="s">
        <v>56</v>
      </c>
      <c r="U239" s="27" t="str">
        <f>LOOKUP(1,1/(Table1[[#This Row],[Level_0]:[Level 15]]&gt;0),(Table1[[#This Row],[Level_0]:[Level 15]]))</f>
        <v>32127998IC - [IC adjustment - R&amp;D global]</v>
      </c>
      <c r="V239" s="21"/>
    </row>
    <row r="240" spans="1:22" hidden="1" x14ac:dyDescent="0.25">
      <c r="A240" s="13" t="s">
        <v>376</v>
      </c>
      <c r="B240" s="16" t="s">
        <v>628</v>
      </c>
      <c r="C240" s="27">
        <v>3212799999</v>
      </c>
      <c r="D240" s="28" t="s">
        <v>58</v>
      </c>
      <c r="E240" s="25" t="s">
        <v>243</v>
      </c>
      <c r="F240" s="26" t="s">
        <v>245</v>
      </c>
      <c r="G240" s="26" t="s">
        <v>249</v>
      </c>
      <c r="H240" s="26" t="s">
        <v>258</v>
      </c>
      <c r="I240" s="26" t="s">
        <v>303</v>
      </c>
      <c r="J240" s="26" t="s">
        <v>311</v>
      </c>
      <c r="K240" s="26" t="s">
        <v>316</v>
      </c>
      <c r="L240" s="26" t="s">
        <v>317</v>
      </c>
      <c r="M240" t="s">
        <v>318</v>
      </c>
      <c r="N240" s="26" t="s">
        <v>319</v>
      </c>
      <c r="O240" t="s">
        <v>320</v>
      </c>
      <c r="Q240" t="s">
        <v>56</v>
      </c>
      <c r="R240" t="s">
        <v>56</v>
      </c>
      <c r="S240" t="s">
        <v>56</v>
      </c>
      <c r="T240" t="s">
        <v>56</v>
      </c>
      <c r="U240" s="27" t="str">
        <f>LOOKUP(1,1/(Table1[[#This Row],[Level_0]:[Level 15]]&gt;0),(Table1[[#This Row],[Level_0]:[Level 15]]))</f>
        <v>32127999LA - [LA - elimination of IC R&amp;D global]</v>
      </c>
      <c r="V240" s="21"/>
    </row>
    <row r="241" spans="1:22" hidden="1" x14ac:dyDescent="0.25">
      <c r="A241" s="16">
        <v>3213000000</v>
      </c>
      <c r="B241" s="16" t="s">
        <v>629</v>
      </c>
      <c r="C241" s="27">
        <v>3210000000</v>
      </c>
      <c r="D241" s="28" t="s">
        <v>58</v>
      </c>
      <c r="E241" s="25" t="s">
        <v>243</v>
      </c>
      <c r="F241" s="26" t="s">
        <v>245</v>
      </c>
      <c r="G241" s="26" t="s">
        <v>249</v>
      </c>
      <c r="H241" s="26" t="s">
        <v>258</v>
      </c>
      <c r="I241" s="26" t="s">
        <v>303</v>
      </c>
      <c r="J241" s="26" t="s">
        <v>311</v>
      </c>
      <c r="K241" s="26" t="s">
        <v>316</v>
      </c>
      <c r="L241" s="26" t="s">
        <v>317</v>
      </c>
      <c r="M241" t="s">
        <v>114</v>
      </c>
      <c r="N241" s="26"/>
      <c r="O241" t="s">
        <v>56</v>
      </c>
      <c r="P241" t="s">
        <v>56</v>
      </c>
      <c r="Q241" t="s">
        <v>56</v>
      </c>
      <c r="R241" t="s">
        <v>56</v>
      </c>
      <c r="S241" t="s">
        <v>56</v>
      </c>
      <c r="T241" t="s">
        <v>56</v>
      </c>
      <c r="U241" s="27" t="str">
        <f>LOOKUP(1,1/(Table1[[#This Row],[Level_0]:[Level 15]]&gt;0),(Table1[[#This Row],[Level_0]:[Level 15]]))</f>
        <v>3213000000 - [R&amp;D Accruals for Group-IPR-Holder]</v>
      </c>
      <c r="V241" s="21"/>
    </row>
    <row r="242" spans="1:22" hidden="1" x14ac:dyDescent="0.25">
      <c r="A242" s="16">
        <v>3214000000</v>
      </c>
      <c r="B242" s="16" t="s">
        <v>630</v>
      </c>
      <c r="C242" s="27">
        <v>3210000000</v>
      </c>
      <c r="D242" s="28" t="s">
        <v>58</v>
      </c>
      <c r="E242" s="25" t="s">
        <v>243</v>
      </c>
      <c r="F242" s="26" t="s">
        <v>245</v>
      </c>
      <c r="G242" s="26" t="s">
        <v>249</v>
      </c>
      <c r="H242" s="26" t="s">
        <v>258</v>
      </c>
      <c r="I242" s="26" t="s">
        <v>303</v>
      </c>
      <c r="J242" s="26" t="s">
        <v>311</v>
      </c>
      <c r="K242" s="26" t="s">
        <v>316</v>
      </c>
      <c r="L242" s="26" t="s">
        <v>317</v>
      </c>
      <c r="M242" t="s">
        <v>113</v>
      </c>
      <c r="N242" s="26"/>
      <c r="O242" t="s">
        <v>56</v>
      </c>
      <c r="P242" t="s">
        <v>56</v>
      </c>
      <c r="Q242" t="s">
        <v>56</v>
      </c>
      <c r="R242" t="s">
        <v>56</v>
      </c>
      <c r="S242" t="s">
        <v>56</v>
      </c>
      <c r="T242" t="s">
        <v>56</v>
      </c>
      <c r="U242" s="27" t="str">
        <f>LOOKUP(1,1/(Table1[[#This Row],[Level_0]:[Level 15]]&gt;0),(Table1[[#This Row],[Level_0]:[Level 15]]))</f>
        <v>3214000000 - [R&amp;D expenses local from global]</v>
      </c>
      <c r="V242" s="21"/>
    </row>
    <row r="243" spans="1:22" hidden="1" x14ac:dyDescent="0.25">
      <c r="A243" s="16">
        <v>3215000000</v>
      </c>
      <c r="B243" s="16" t="s">
        <v>631</v>
      </c>
      <c r="C243" s="27">
        <v>3210000000</v>
      </c>
      <c r="D243" s="28" t="s">
        <v>58</v>
      </c>
      <c r="E243" s="25" t="s">
        <v>243</v>
      </c>
      <c r="F243" s="26" t="s">
        <v>245</v>
      </c>
      <c r="G243" s="26" t="s">
        <v>249</v>
      </c>
      <c r="H243" s="26" t="s">
        <v>258</v>
      </c>
      <c r="I243" s="26" t="s">
        <v>303</v>
      </c>
      <c r="J243" s="26" t="s">
        <v>311</v>
      </c>
      <c r="K243" s="26" t="s">
        <v>316</v>
      </c>
      <c r="L243" s="26" t="s">
        <v>317</v>
      </c>
      <c r="M243" t="s">
        <v>101</v>
      </c>
      <c r="N243" s="26"/>
      <c r="O243" t="s">
        <v>56</v>
      </c>
      <c r="P243" t="s">
        <v>56</v>
      </c>
      <c r="Q243" t="s">
        <v>56</v>
      </c>
      <c r="R243" t="s">
        <v>56</v>
      </c>
      <c r="S243" t="s">
        <v>56</v>
      </c>
      <c r="T243" t="s">
        <v>56</v>
      </c>
      <c r="U243" s="27" t="str">
        <f>LOOKUP(1,1/(Table1[[#This Row],[Level_0]:[Level 15]]&gt;0),(Table1[[#This Row],[Level_0]:[Level 15]]))</f>
        <v>3215000000 - [Amortization intangibles (R&amp;D)]</v>
      </c>
      <c r="V243" s="21"/>
    </row>
    <row r="244" spans="1:22" hidden="1" x14ac:dyDescent="0.25">
      <c r="A244" s="16">
        <v>3310000000</v>
      </c>
      <c r="B244" s="16" t="s">
        <v>632</v>
      </c>
      <c r="C244" s="27">
        <v>3400000000</v>
      </c>
      <c r="D244" s="28" t="s">
        <v>58</v>
      </c>
      <c r="E244" s="25" t="s">
        <v>243</v>
      </c>
      <c r="F244" s="26" t="s">
        <v>245</v>
      </c>
      <c r="G244" s="26" t="s">
        <v>249</v>
      </c>
      <c r="H244" s="26" t="s">
        <v>258</v>
      </c>
      <c r="I244" s="26" t="s">
        <v>303</v>
      </c>
      <c r="J244" s="26" t="s">
        <v>311</v>
      </c>
      <c r="K244" s="26" t="s">
        <v>315</v>
      </c>
      <c r="L244" s="26"/>
      <c r="M244" t="s">
        <v>56</v>
      </c>
      <c r="N244" s="26" t="s">
        <v>56</v>
      </c>
      <c r="O244" t="s">
        <v>56</v>
      </c>
      <c r="P244" t="s">
        <v>56</v>
      </c>
      <c r="Q244" t="s">
        <v>56</v>
      </c>
      <c r="R244" t="s">
        <v>56</v>
      </c>
      <c r="S244" t="s">
        <v>56</v>
      </c>
      <c r="T244" t="s">
        <v>56</v>
      </c>
      <c r="U244" s="27" t="str">
        <f>LOOKUP(1,1/(Table1[[#This Row],[Level_0]:[Level 15]]&gt;0),(Table1[[#This Row],[Level_0]:[Level 15]]))</f>
        <v>3310000000 - [Amortization intangible assets (without software) (decomm)]</v>
      </c>
      <c r="V244" s="21"/>
    </row>
    <row r="245" spans="1:22" hidden="1" x14ac:dyDescent="0.25">
      <c r="A245" s="16">
        <v>3320000000</v>
      </c>
      <c r="B245" s="16" t="s">
        <v>633</v>
      </c>
      <c r="C245" s="27">
        <v>3400000000</v>
      </c>
      <c r="D245" s="28" t="s">
        <v>58</v>
      </c>
      <c r="E245" s="25" t="s">
        <v>243</v>
      </c>
      <c r="F245" s="26" t="s">
        <v>245</v>
      </c>
      <c r="G245" s="26" t="s">
        <v>249</v>
      </c>
      <c r="H245" s="26" t="s">
        <v>258</v>
      </c>
      <c r="I245" s="26" t="s">
        <v>303</v>
      </c>
      <c r="J245" s="26" t="s">
        <v>311</v>
      </c>
      <c r="K245" s="26" t="s">
        <v>312</v>
      </c>
      <c r="L245" s="26"/>
      <c r="M245" t="s">
        <v>56</v>
      </c>
      <c r="N245" s="26" t="s">
        <v>56</v>
      </c>
      <c r="O245" t="s">
        <v>56</v>
      </c>
      <c r="P245" t="s">
        <v>56</v>
      </c>
      <c r="Q245" t="s">
        <v>56</v>
      </c>
      <c r="R245" t="s">
        <v>56</v>
      </c>
      <c r="S245" t="s">
        <v>56</v>
      </c>
      <c r="T245" t="s">
        <v>56</v>
      </c>
      <c r="U245" s="27" t="str">
        <f>LOOKUP(1,1/(Table1[[#This Row],[Level_0]:[Level 15]]&gt;0),(Table1[[#This Row],[Level_0]:[Level 15]]))</f>
        <v>3320000000 - [Investment result]</v>
      </c>
      <c r="V245" s="21"/>
    </row>
    <row r="246" spans="1:22" hidden="1" x14ac:dyDescent="0.25">
      <c r="A246" s="16">
        <v>3321000000</v>
      </c>
      <c r="B246" s="16" t="s">
        <v>57</v>
      </c>
      <c r="C246" s="27">
        <v>3320000000</v>
      </c>
      <c r="D246" s="28" t="s">
        <v>58</v>
      </c>
      <c r="E246" s="25" t="s">
        <v>243</v>
      </c>
      <c r="F246" s="26" t="s">
        <v>245</v>
      </c>
      <c r="G246" s="26" t="s">
        <v>249</v>
      </c>
      <c r="H246" s="26" t="s">
        <v>258</v>
      </c>
      <c r="I246" s="26" t="s">
        <v>303</v>
      </c>
      <c r="J246" s="26" t="s">
        <v>311</v>
      </c>
      <c r="K246" s="26" t="s">
        <v>312</v>
      </c>
      <c r="L246" s="26" t="s">
        <v>314</v>
      </c>
      <c r="N246" s="26" t="s">
        <v>56</v>
      </c>
      <c r="O246" t="s">
        <v>56</v>
      </c>
      <c r="P246" t="s">
        <v>56</v>
      </c>
      <c r="Q246" t="s">
        <v>56</v>
      </c>
      <c r="R246" t="s">
        <v>56</v>
      </c>
      <c r="S246" t="s">
        <v>56</v>
      </c>
      <c r="T246" t="s">
        <v>56</v>
      </c>
      <c r="U246" s="27" t="str">
        <f>LOOKUP(1,1/(Table1[[#This Row],[Level_0]:[Level 15]]&gt;0),(Table1[[#This Row],[Level_0]:[Level 15]]))</f>
        <v>3321000000 - [Dividends]</v>
      </c>
      <c r="V246" s="21"/>
    </row>
    <row r="247" spans="1:22" hidden="1" x14ac:dyDescent="0.25">
      <c r="A247" s="16">
        <v>3323000000</v>
      </c>
      <c r="B247" s="16" t="s">
        <v>634</v>
      </c>
      <c r="C247" s="27">
        <v>3320000000</v>
      </c>
      <c r="D247" s="28" t="s">
        <v>58</v>
      </c>
      <c r="E247" s="25" t="s">
        <v>243</v>
      </c>
      <c r="F247" s="26" t="s">
        <v>245</v>
      </c>
      <c r="G247" s="26" t="s">
        <v>249</v>
      </c>
      <c r="H247" s="26" t="s">
        <v>258</v>
      </c>
      <c r="I247" s="26" t="s">
        <v>303</v>
      </c>
      <c r="J247" s="26" t="s">
        <v>311</v>
      </c>
      <c r="K247" s="26" t="s">
        <v>312</v>
      </c>
      <c r="L247" s="26" t="s">
        <v>313</v>
      </c>
      <c r="N247" s="26" t="s">
        <v>56</v>
      </c>
      <c r="O247" t="s">
        <v>56</v>
      </c>
      <c r="P247" t="s">
        <v>56</v>
      </c>
      <c r="Q247" t="s">
        <v>56</v>
      </c>
      <c r="R247" t="s">
        <v>56</v>
      </c>
      <c r="S247" t="s">
        <v>56</v>
      </c>
      <c r="T247" t="s">
        <v>56</v>
      </c>
      <c r="U247" s="27" t="str">
        <f>LOOKUP(1,1/(Table1[[#This Row],[Level_0]:[Level 15]]&gt;0),(Table1[[#This Row],[Level_0]:[Level 15]]))</f>
        <v>3323000000 - [Investment result at equity]</v>
      </c>
      <c r="V247" s="21"/>
    </row>
    <row r="248" spans="1:22" hidden="1" x14ac:dyDescent="0.25">
      <c r="A248" s="16">
        <v>3410000000</v>
      </c>
      <c r="B248" s="16" t="s">
        <v>635</v>
      </c>
      <c r="C248" s="27">
        <v>3500000000</v>
      </c>
      <c r="D248" s="28" t="s">
        <v>58</v>
      </c>
      <c r="E248" s="25" t="s">
        <v>243</v>
      </c>
      <c r="F248" s="26" t="s">
        <v>245</v>
      </c>
      <c r="G248" s="26" t="s">
        <v>249</v>
      </c>
      <c r="H248" s="26" t="s">
        <v>258</v>
      </c>
      <c r="I248" s="26" t="s">
        <v>303</v>
      </c>
      <c r="J248" s="26" t="s">
        <v>237</v>
      </c>
      <c r="K248" s="26"/>
      <c r="L248" s="26"/>
      <c r="N248" s="26"/>
      <c r="U248" s="27" t="str">
        <f>LOOKUP(1,1/(Table1[[#This Row],[Level_0]:[Level 15]]&gt;0),(Table1[[#This Row],[Level_0]:[Level 15]]))</f>
        <v>3410000000 - [Non-operating TP compensations]</v>
      </c>
      <c r="V248" s="21"/>
    </row>
    <row r="249" spans="1:22" hidden="1" x14ac:dyDescent="0.25">
      <c r="A249" s="16">
        <v>3411000000</v>
      </c>
      <c r="B249" s="16" t="s">
        <v>636</v>
      </c>
      <c r="C249" s="27">
        <v>3410000000</v>
      </c>
      <c r="D249" s="28" t="s">
        <v>58</v>
      </c>
      <c r="E249" s="25" t="s">
        <v>243</v>
      </c>
      <c r="F249" s="26" t="s">
        <v>245</v>
      </c>
      <c r="G249" s="26" t="s">
        <v>249</v>
      </c>
      <c r="H249" s="26" t="s">
        <v>258</v>
      </c>
      <c r="I249" s="26" t="s">
        <v>303</v>
      </c>
      <c r="J249" s="26" t="s">
        <v>237</v>
      </c>
      <c r="K249" s="26" t="s">
        <v>240</v>
      </c>
      <c r="L249" s="26"/>
      <c r="M249" t="s">
        <v>56</v>
      </c>
      <c r="N249" s="26" t="s">
        <v>56</v>
      </c>
      <c r="O249" t="s">
        <v>56</v>
      </c>
      <c r="P249" t="s">
        <v>56</v>
      </c>
      <c r="Q249" t="s">
        <v>56</v>
      </c>
      <c r="R249" t="s">
        <v>56</v>
      </c>
      <c r="S249" t="s">
        <v>56</v>
      </c>
      <c r="T249" t="s">
        <v>56</v>
      </c>
      <c r="U249" s="27" t="str">
        <f>LOOKUP(1,1/(Table1[[#This Row],[Level_0]:[Level 15]]&gt;0),(Table1[[#This Row],[Level_0]:[Level 15]]))</f>
        <v>3411000000 - [Non-operating TP compensations - income]</v>
      </c>
      <c r="V249" s="21"/>
    </row>
    <row r="250" spans="1:22" hidden="1" x14ac:dyDescent="0.25">
      <c r="A250" s="16">
        <v>3412000000</v>
      </c>
      <c r="B250" s="16" t="s">
        <v>637</v>
      </c>
      <c r="C250" s="27">
        <v>3410000000</v>
      </c>
      <c r="D250" s="28" t="s">
        <v>58</v>
      </c>
      <c r="E250" s="25" t="s">
        <v>243</v>
      </c>
      <c r="F250" s="26" t="s">
        <v>245</v>
      </c>
      <c r="G250" s="26" t="s">
        <v>249</v>
      </c>
      <c r="H250" s="26" t="s">
        <v>258</v>
      </c>
      <c r="I250" s="26" t="s">
        <v>303</v>
      </c>
      <c r="J250" s="26" t="s">
        <v>237</v>
      </c>
      <c r="K250" s="26" t="s">
        <v>239</v>
      </c>
      <c r="L250" s="26"/>
      <c r="M250" t="s">
        <v>56</v>
      </c>
      <c r="N250" s="26" t="s">
        <v>56</v>
      </c>
      <c r="O250" t="s">
        <v>56</v>
      </c>
      <c r="P250" t="s">
        <v>56</v>
      </c>
      <c r="Q250" t="s">
        <v>56</v>
      </c>
      <c r="R250" t="s">
        <v>56</v>
      </c>
      <c r="S250" t="s">
        <v>56</v>
      </c>
      <c r="T250" t="s">
        <v>56</v>
      </c>
      <c r="U250" s="27" t="str">
        <f>LOOKUP(1,1/(Table1[[#This Row],[Level_0]:[Level 15]]&gt;0),(Table1[[#This Row],[Level_0]:[Level 15]]))</f>
        <v>3412000000 - [Non-operating TP compensations - expense]</v>
      </c>
      <c r="V250" s="21"/>
    </row>
    <row r="251" spans="1:22" hidden="1" x14ac:dyDescent="0.25">
      <c r="A251" s="13" t="s">
        <v>377</v>
      </c>
      <c r="B251" s="16" t="s">
        <v>638</v>
      </c>
      <c r="C251" s="27">
        <v>3410000000</v>
      </c>
      <c r="D251" s="28" t="s">
        <v>58</v>
      </c>
      <c r="E251" s="25" t="s">
        <v>243</v>
      </c>
      <c r="F251" s="26" t="s">
        <v>245</v>
      </c>
      <c r="G251" s="26" t="s">
        <v>249</v>
      </c>
      <c r="H251" s="26" t="s">
        <v>258</v>
      </c>
      <c r="I251" s="26" t="s">
        <v>303</v>
      </c>
      <c r="J251" s="26" t="s">
        <v>237</v>
      </c>
      <c r="K251" s="26" t="s">
        <v>238</v>
      </c>
      <c r="L251" s="26"/>
      <c r="M251" t="s">
        <v>56</v>
      </c>
      <c r="N251" s="26" t="s">
        <v>56</v>
      </c>
      <c r="O251" t="s">
        <v>56</v>
      </c>
      <c r="P251" t="s">
        <v>56</v>
      </c>
      <c r="Q251" t="s">
        <v>56</v>
      </c>
      <c r="R251" t="s">
        <v>56</v>
      </c>
      <c r="S251" t="s">
        <v>56</v>
      </c>
      <c r="T251" t="s">
        <v>56</v>
      </c>
      <c r="U251" s="27" t="str">
        <f>LOOKUP(1,1/(Table1[[#This Row],[Level_0]:[Level 15]]&gt;0),(Table1[[#This Row],[Level_0]:[Level 15]]))</f>
        <v>34139999LA - [LA - Non-operating TP compensations]</v>
      </c>
      <c r="V251" s="21"/>
    </row>
    <row r="252" spans="1:22" hidden="1" x14ac:dyDescent="0.25">
      <c r="A252" s="16">
        <v>3420000000</v>
      </c>
      <c r="B252" s="16" t="s">
        <v>639</v>
      </c>
      <c r="C252" s="27">
        <v>3500000000</v>
      </c>
      <c r="D252" s="28" t="s">
        <v>58</v>
      </c>
      <c r="E252" s="25" t="s">
        <v>243</v>
      </c>
      <c r="F252" s="26" t="s">
        <v>245</v>
      </c>
      <c r="G252" s="26" t="s">
        <v>249</v>
      </c>
      <c r="H252" s="26" t="s">
        <v>258</v>
      </c>
      <c r="I252" s="26" t="s">
        <v>303</v>
      </c>
      <c r="J252" s="26" t="s">
        <v>304</v>
      </c>
      <c r="K252" s="26"/>
      <c r="L252" s="26"/>
      <c r="N252" s="26"/>
      <c r="U252" s="27" t="str">
        <f>LOOKUP(1,1/(Table1[[#This Row],[Level_0]:[Level 15]]&gt;0),(Table1[[#This Row],[Level_0]:[Level 15]]))</f>
        <v>3420000000 - [Exceptional items]</v>
      </c>
      <c r="V252" s="21"/>
    </row>
    <row r="253" spans="1:22" hidden="1" x14ac:dyDescent="0.25">
      <c r="A253" s="16">
        <v>3421000000</v>
      </c>
      <c r="B253" s="16" t="s">
        <v>640</v>
      </c>
      <c r="C253" s="27">
        <v>3420000000</v>
      </c>
      <c r="D253" s="28" t="s">
        <v>58</v>
      </c>
      <c r="E253" s="25" t="s">
        <v>243</v>
      </c>
      <c r="F253" s="26" t="s">
        <v>245</v>
      </c>
      <c r="G253" s="26" t="s">
        <v>249</v>
      </c>
      <c r="H253" s="26" t="s">
        <v>258</v>
      </c>
      <c r="I253" s="26" t="s">
        <v>303</v>
      </c>
      <c r="J253" s="26" t="s">
        <v>304</v>
      </c>
      <c r="K253" s="26" t="s">
        <v>308</v>
      </c>
      <c r="L253" s="26"/>
      <c r="M253" t="s">
        <v>56</v>
      </c>
      <c r="N253" s="26" t="s">
        <v>56</v>
      </c>
      <c r="O253" t="s">
        <v>56</v>
      </c>
      <c r="P253" t="s">
        <v>56</v>
      </c>
      <c r="Q253" t="s">
        <v>56</v>
      </c>
      <c r="R253" t="s">
        <v>56</v>
      </c>
      <c r="S253" t="s">
        <v>56</v>
      </c>
      <c r="T253" t="s">
        <v>56</v>
      </c>
      <c r="U253" s="27" t="str">
        <f>LOOKUP(1,1/(Table1[[#This Row],[Level_0]:[Level 15]]&gt;0),(Table1[[#This Row],[Level_0]:[Level 15]]))</f>
        <v>3421000000 - [Exceptional expenses]</v>
      </c>
      <c r="V253" s="21"/>
    </row>
    <row r="254" spans="1:22" hidden="1" x14ac:dyDescent="0.25">
      <c r="A254" s="16">
        <v>3421100000</v>
      </c>
      <c r="B254" s="16" t="s">
        <v>641</v>
      </c>
      <c r="C254" s="27">
        <v>3421000000</v>
      </c>
      <c r="D254" s="28" t="s">
        <v>58</v>
      </c>
      <c r="E254" s="25" t="s">
        <v>243</v>
      </c>
      <c r="F254" s="26" t="s">
        <v>245</v>
      </c>
      <c r="G254" s="26" t="s">
        <v>249</v>
      </c>
      <c r="H254" s="26" t="s">
        <v>258</v>
      </c>
      <c r="I254" s="26" t="s">
        <v>303</v>
      </c>
      <c r="J254" s="26" t="s">
        <v>304</v>
      </c>
      <c r="K254" s="26" t="s">
        <v>308</v>
      </c>
      <c r="L254" s="26" t="s">
        <v>310</v>
      </c>
      <c r="N254" s="26" t="s">
        <v>56</v>
      </c>
      <c r="O254" t="s">
        <v>56</v>
      </c>
      <c r="P254" t="s">
        <v>56</v>
      </c>
      <c r="Q254" t="s">
        <v>56</v>
      </c>
      <c r="R254" t="s">
        <v>56</v>
      </c>
      <c r="S254" t="s">
        <v>56</v>
      </c>
      <c r="T254" t="s">
        <v>56</v>
      </c>
      <c r="U254" s="27" t="str">
        <f>LOOKUP(1,1/(Table1[[#This Row],[Level_0]:[Level 15]]&gt;0),(Table1[[#This Row],[Level_0]:[Level 15]]))</f>
        <v>3421100000 - [Exceptional capital losses]</v>
      </c>
      <c r="V254" s="21"/>
    </row>
    <row r="255" spans="1:22" hidden="1" x14ac:dyDescent="0.25">
      <c r="A255" s="16">
        <v>3421200000</v>
      </c>
      <c r="B255" s="16" t="s">
        <v>642</v>
      </c>
      <c r="C255" s="27">
        <v>3421000000</v>
      </c>
      <c r="D255" s="28" t="s">
        <v>58</v>
      </c>
      <c r="E255" s="25" t="s">
        <v>243</v>
      </c>
      <c r="F255" s="26" t="s">
        <v>245</v>
      </c>
      <c r="G255" s="26" t="s">
        <v>249</v>
      </c>
      <c r="H255" s="26" t="s">
        <v>258</v>
      </c>
      <c r="I255" s="26" t="s">
        <v>303</v>
      </c>
      <c r="J255" s="26" t="s">
        <v>304</v>
      </c>
      <c r="K255" s="26" t="s">
        <v>308</v>
      </c>
      <c r="L255" s="26" t="s">
        <v>309</v>
      </c>
      <c r="N255" s="26" t="s">
        <v>56</v>
      </c>
      <c r="O255" t="s">
        <v>56</v>
      </c>
      <c r="P255" t="s">
        <v>56</v>
      </c>
      <c r="Q255" t="s">
        <v>56</v>
      </c>
      <c r="R255" t="s">
        <v>56</v>
      </c>
      <c r="S255" t="s">
        <v>56</v>
      </c>
      <c r="T255" t="s">
        <v>56</v>
      </c>
      <c r="U255" s="27" t="str">
        <f>LOOKUP(1,1/(Table1[[#This Row],[Level_0]:[Level 15]]&gt;0),(Table1[[#This Row],[Level_0]:[Level 15]]))</f>
        <v>3421200000 - [Exceptional expenses others]</v>
      </c>
      <c r="V255" s="21"/>
    </row>
    <row r="256" spans="1:22" hidden="1" x14ac:dyDescent="0.25">
      <c r="A256" s="16">
        <v>3422000000</v>
      </c>
      <c r="B256" s="16" t="s">
        <v>643</v>
      </c>
      <c r="C256" s="27">
        <v>3420000000</v>
      </c>
      <c r="D256" s="28" t="s">
        <v>58</v>
      </c>
      <c r="E256" s="25" t="s">
        <v>243</v>
      </c>
      <c r="F256" s="26" t="s">
        <v>245</v>
      </c>
      <c r="G256" s="26" t="s">
        <v>249</v>
      </c>
      <c r="H256" s="26" t="s">
        <v>258</v>
      </c>
      <c r="I256" s="26" t="s">
        <v>303</v>
      </c>
      <c r="J256" s="26" t="s">
        <v>304</v>
      </c>
      <c r="K256" s="26" t="s">
        <v>305</v>
      </c>
      <c r="L256" s="26"/>
      <c r="M256" t="s">
        <v>56</v>
      </c>
      <c r="N256" s="26" t="s">
        <v>56</v>
      </c>
      <c r="O256" t="s">
        <v>56</v>
      </c>
      <c r="P256" t="s">
        <v>56</v>
      </c>
      <c r="Q256" t="s">
        <v>56</v>
      </c>
      <c r="R256" t="s">
        <v>56</v>
      </c>
      <c r="S256" t="s">
        <v>56</v>
      </c>
      <c r="T256" t="s">
        <v>56</v>
      </c>
      <c r="U256" s="27" t="str">
        <f>LOOKUP(1,1/(Table1[[#This Row],[Level_0]:[Level 15]]&gt;0),(Table1[[#This Row],[Level_0]:[Level 15]]))</f>
        <v>3422000000 - [Exceptional income]</v>
      </c>
      <c r="V256" s="21"/>
    </row>
    <row r="257" spans="1:22" hidden="1" x14ac:dyDescent="0.25">
      <c r="A257" s="16">
        <v>3422100000</v>
      </c>
      <c r="B257" s="16" t="s">
        <v>644</v>
      </c>
      <c r="C257" s="27">
        <v>3422000000</v>
      </c>
      <c r="D257" s="28" t="s">
        <v>58</v>
      </c>
      <c r="E257" s="25" t="s">
        <v>243</v>
      </c>
      <c r="F257" s="26" t="s">
        <v>245</v>
      </c>
      <c r="G257" s="26" t="s">
        <v>249</v>
      </c>
      <c r="H257" s="26" t="s">
        <v>258</v>
      </c>
      <c r="I257" s="26" t="s">
        <v>303</v>
      </c>
      <c r="J257" s="26" t="s">
        <v>304</v>
      </c>
      <c r="K257" s="26" t="s">
        <v>305</v>
      </c>
      <c r="L257" s="26" t="s">
        <v>307</v>
      </c>
      <c r="N257" s="26" t="s">
        <v>56</v>
      </c>
      <c r="O257" t="s">
        <v>56</v>
      </c>
      <c r="P257" t="s">
        <v>56</v>
      </c>
      <c r="Q257" t="s">
        <v>56</v>
      </c>
      <c r="R257" t="s">
        <v>56</v>
      </c>
      <c r="S257" t="s">
        <v>56</v>
      </c>
      <c r="T257" t="s">
        <v>56</v>
      </c>
      <c r="U257" s="27" t="str">
        <f>LOOKUP(1,1/(Table1[[#This Row],[Level_0]:[Level 15]]&gt;0),(Table1[[#This Row],[Level_0]:[Level 15]]))</f>
        <v>3422100000 - [Exceptional capital gains]</v>
      </c>
      <c r="V257" s="21"/>
    </row>
    <row r="258" spans="1:22" hidden="1" x14ac:dyDescent="0.25">
      <c r="A258" s="16">
        <v>3422200000</v>
      </c>
      <c r="B258" s="16" t="s">
        <v>645</v>
      </c>
      <c r="C258" s="27">
        <v>3422000000</v>
      </c>
      <c r="D258" s="28" t="s">
        <v>58</v>
      </c>
      <c r="E258" s="25" t="s">
        <v>243</v>
      </c>
      <c r="F258" s="26" t="s">
        <v>245</v>
      </c>
      <c r="G258" s="26" t="s">
        <v>249</v>
      </c>
      <c r="H258" s="26" t="s">
        <v>258</v>
      </c>
      <c r="I258" s="26" t="s">
        <v>303</v>
      </c>
      <c r="J258" s="26" t="s">
        <v>304</v>
      </c>
      <c r="K258" s="26" t="s">
        <v>305</v>
      </c>
      <c r="L258" s="26" t="s">
        <v>306</v>
      </c>
      <c r="N258" s="26" t="s">
        <v>56</v>
      </c>
      <c r="O258" t="s">
        <v>56</v>
      </c>
      <c r="P258" t="s">
        <v>56</v>
      </c>
      <c r="Q258" t="s">
        <v>56</v>
      </c>
      <c r="R258" t="s">
        <v>56</v>
      </c>
      <c r="S258" t="s">
        <v>56</v>
      </c>
      <c r="T258" t="s">
        <v>56</v>
      </c>
      <c r="U258" s="27" t="str">
        <f>LOOKUP(1,1/(Table1[[#This Row],[Level_0]:[Level 15]]&gt;0),(Table1[[#This Row],[Level_0]:[Level 15]]))</f>
        <v>3422200000 - [Exceptional income others]</v>
      </c>
      <c r="V258" s="21"/>
    </row>
    <row r="259" spans="1:22" hidden="1" x14ac:dyDescent="0.25">
      <c r="A259" s="16">
        <v>3520000000</v>
      </c>
      <c r="B259" s="16" t="s">
        <v>646</v>
      </c>
      <c r="C259" s="27">
        <v>3600000000</v>
      </c>
      <c r="D259" s="28" t="s">
        <v>58</v>
      </c>
      <c r="E259" s="25" t="s">
        <v>243</v>
      </c>
      <c r="F259" s="26" t="s">
        <v>245</v>
      </c>
      <c r="G259" s="26" t="s">
        <v>249</v>
      </c>
      <c r="H259" s="26" t="s">
        <v>258</v>
      </c>
      <c r="I259" s="26" t="s">
        <v>259</v>
      </c>
      <c r="J259" s="26"/>
      <c r="K259" s="26"/>
      <c r="L259" s="26"/>
      <c r="N259" s="26"/>
      <c r="U259" s="27" t="str">
        <f>LOOKUP(1,1/(Table1[[#This Row],[Level_0]:[Level 15]]&gt;0),(Table1[[#This Row],[Level_0]:[Level 15]]))</f>
        <v>3520000000 - [Financial result]</v>
      </c>
      <c r="V259" s="21"/>
    </row>
    <row r="260" spans="1:22" hidden="1" x14ac:dyDescent="0.25">
      <c r="A260" s="16">
        <v>3521000000</v>
      </c>
      <c r="B260" s="16" t="s">
        <v>647</v>
      </c>
      <c r="C260" s="27">
        <v>3520000000</v>
      </c>
      <c r="D260" s="28" t="s">
        <v>58</v>
      </c>
      <c r="E260" s="25" t="s">
        <v>243</v>
      </c>
      <c r="F260" s="26" t="s">
        <v>245</v>
      </c>
      <c r="G260" s="26" t="s">
        <v>249</v>
      </c>
      <c r="H260" s="26" t="s">
        <v>258</v>
      </c>
      <c r="I260" s="26" t="s">
        <v>259</v>
      </c>
      <c r="J260" s="26" t="s">
        <v>289</v>
      </c>
      <c r="K260" s="26"/>
      <c r="L260" s="26"/>
      <c r="N260" s="26"/>
      <c r="U260" s="27" t="str">
        <f>LOOKUP(1,1/(Table1[[#This Row],[Level_0]:[Level 15]]&gt;0),(Table1[[#This Row],[Level_0]:[Level 15]]))</f>
        <v>3521000000 - [Interest result]</v>
      </c>
      <c r="V260" s="21"/>
    </row>
    <row r="261" spans="1:22" hidden="1" x14ac:dyDescent="0.25">
      <c r="A261" s="16">
        <v>3521100000</v>
      </c>
      <c r="B261" s="16" t="s">
        <v>648</v>
      </c>
      <c r="C261" s="27">
        <v>3521000000</v>
      </c>
      <c r="D261" s="28" t="s">
        <v>58</v>
      </c>
      <c r="E261" s="25" t="s">
        <v>243</v>
      </c>
      <c r="F261" s="26" t="s">
        <v>245</v>
      </c>
      <c r="G261" s="26" t="s">
        <v>249</v>
      </c>
      <c r="H261" s="26" t="s">
        <v>258</v>
      </c>
      <c r="I261" s="26" t="s">
        <v>259</v>
      </c>
      <c r="J261" s="26" t="s">
        <v>289</v>
      </c>
      <c r="K261" s="26" t="s">
        <v>298</v>
      </c>
      <c r="L261" s="26"/>
      <c r="M261" t="s">
        <v>56</v>
      </c>
      <c r="N261" s="26" t="s">
        <v>56</v>
      </c>
      <c r="O261" t="s">
        <v>56</v>
      </c>
      <c r="P261" t="s">
        <v>56</v>
      </c>
      <c r="Q261" t="s">
        <v>56</v>
      </c>
      <c r="R261" t="s">
        <v>56</v>
      </c>
      <c r="S261" t="s">
        <v>56</v>
      </c>
      <c r="T261" t="s">
        <v>56</v>
      </c>
      <c r="U261" s="27" t="str">
        <f>LOOKUP(1,1/(Table1[[#This Row],[Level_0]:[Level 15]]&gt;0),(Table1[[#This Row],[Level_0]:[Level 15]]))</f>
        <v>3521100000 - [Interest income]</v>
      </c>
      <c r="V261" s="21"/>
    </row>
    <row r="262" spans="1:22" hidden="1" x14ac:dyDescent="0.25">
      <c r="A262" s="16">
        <v>3521110000</v>
      </c>
      <c r="B262" s="16" t="s">
        <v>649</v>
      </c>
      <c r="C262" s="27">
        <v>3521100000</v>
      </c>
      <c r="D262" s="28" t="s">
        <v>58</v>
      </c>
      <c r="E262" s="25" t="s">
        <v>243</v>
      </c>
      <c r="F262" s="26" t="s">
        <v>245</v>
      </c>
      <c r="G262" s="26" t="s">
        <v>249</v>
      </c>
      <c r="H262" s="26" t="s">
        <v>258</v>
      </c>
      <c r="I262" s="26" t="s">
        <v>259</v>
      </c>
      <c r="J262" s="26" t="s">
        <v>289</v>
      </c>
      <c r="K262" s="26" t="s">
        <v>298</v>
      </c>
      <c r="L262" s="26" t="s">
        <v>302</v>
      </c>
      <c r="N262" s="26" t="s">
        <v>56</v>
      </c>
      <c r="O262" t="s">
        <v>56</v>
      </c>
      <c r="P262" t="s">
        <v>56</v>
      </c>
      <c r="Q262" t="s">
        <v>56</v>
      </c>
      <c r="R262" t="s">
        <v>56</v>
      </c>
      <c r="S262" t="s">
        <v>56</v>
      </c>
      <c r="T262" t="s">
        <v>56</v>
      </c>
      <c r="U262" s="27" t="str">
        <f>LOOKUP(1,1/(Table1[[#This Row],[Level_0]:[Level 15]]&gt;0),(Table1[[#This Row],[Level_0]:[Level 15]]))</f>
        <v>3521110000 - [Income from financial receivables 3rd parties]</v>
      </c>
      <c r="V262" s="21"/>
    </row>
    <row r="263" spans="1:22" hidden="1" x14ac:dyDescent="0.25">
      <c r="A263" s="16">
        <v>3521120000</v>
      </c>
      <c r="B263" s="16" t="s">
        <v>650</v>
      </c>
      <c r="C263" s="27">
        <v>3521100000</v>
      </c>
      <c r="D263" s="28" t="s">
        <v>58</v>
      </c>
      <c r="E263" s="25" t="s">
        <v>243</v>
      </c>
      <c r="F263" s="26" t="s">
        <v>245</v>
      </c>
      <c r="G263" s="26" t="s">
        <v>249</v>
      </c>
      <c r="H263" s="26" t="s">
        <v>258</v>
      </c>
      <c r="I263" s="26" t="s">
        <v>259</v>
      </c>
      <c r="J263" s="26" t="s">
        <v>289</v>
      </c>
      <c r="K263" s="26" t="s">
        <v>298</v>
      </c>
      <c r="L263" s="26" t="s">
        <v>301</v>
      </c>
      <c r="N263" s="26" t="s">
        <v>56</v>
      </c>
      <c r="O263" t="s">
        <v>56</v>
      </c>
      <c r="P263" t="s">
        <v>56</v>
      </c>
      <c r="Q263" t="s">
        <v>56</v>
      </c>
      <c r="R263" t="s">
        <v>56</v>
      </c>
      <c r="S263" t="s">
        <v>56</v>
      </c>
      <c r="T263" t="s">
        <v>56</v>
      </c>
      <c r="U263" s="27" t="str">
        <f>LOOKUP(1,1/(Table1[[#This Row],[Level_0]:[Level 15]]&gt;0),(Table1[[#This Row],[Level_0]:[Level 15]]))</f>
        <v>3521120000 - [Income from financial and other receivables IC]</v>
      </c>
      <c r="V263" s="21"/>
    </row>
    <row r="264" spans="1:22" hidden="1" x14ac:dyDescent="0.25">
      <c r="A264" s="16">
        <v>3521130000</v>
      </c>
      <c r="B264" s="16" t="s">
        <v>651</v>
      </c>
      <c r="C264" s="27">
        <v>3521100000</v>
      </c>
      <c r="D264" s="28" t="s">
        <v>58</v>
      </c>
      <c r="E264" s="25" t="s">
        <v>243</v>
      </c>
      <c r="F264" s="26" t="s">
        <v>245</v>
      </c>
      <c r="G264" s="26" t="s">
        <v>249</v>
      </c>
      <c r="H264" s="26" t="s">
        <v>258</v>
      </c>
      <c r="I264" s="26" t="s">
        <v>259</v>
      </c>
      <c r="J264" s="26" t="s">
        <v>289</v>
      </c>
      <c r="K264" s="26" t="s">
        <v>298</v>
      </c>
      <c r="L264" s="26" t="s">
        <v>300</v>
      </c>
      <c r="N264" s="26" t="s">
        <v>56</v>
      </c>
      <c r="O264" t="s">
        <v>56</v>
      </c>
      <c r="P264" t="s">
        <v>56</v>
      </c>
      <c r="Q264" t="s">
        <v>56</v>
      </c>
      <c r="R264" t="s">
        <v>56</v>
      </c>
      <c r="S264" t="s">
        <v>56</v>
      </c>
      <c r="T264" t="s">
        <v>56</v>
      </c>
      <c r="U264" s="27" t="str">
        <f>LOOKUP(1,1/(Table1[[#This Row],[Level_0]:[Level 15]]&gt;0),(Table1[[#This Row],[Level_0]:[Level 15]]))</f>
        <v>3521130000 - [Other interest income]</v>
      </c>
      <c r="V264" s="21"/>
    </row>
    <row r="265" spans="1:22" hidden="1" x14ac:dyDescent="0.25">
      <c r="A265" s="16">
        <v>3521140000</v>
      </c>
      <c r="B265" s="16" t="s">
        <v>652</v>
      </c>
      <c r="C265" s="27">
        <v>3521100000</v>
      </c>
      <c r="D265" s="28" t="s">
        <v>58</v>
      </c>
      <c r="E265" s="25" t="s">
        <v>243</v>
      </c>
      <c r="F265" s="26" t="s">
        <v>245</v>
      </c>
      <c r="G265" s="26" t="s">
        <v>249</v>
      </c>
      <c r="H265" s="26" t="s">
        <v>258</v>
      </c>
      <c r="I265" s="26" t="s">
        <v>259</v>
      </c>
      <c r="J265" s="26" t="s">
        <v>289</v>
      </c>
      <c r="K265" s="26" t="s">
        <v>298</v>
      </c>
      <c r="L265" s="26" t="s">
        <v>299</v>
      </c>
      <c r="N265" s="26" t="s">
        <v>56</v>
      </c>
      <c r="O265" t="s">
        <v>56</v>
      </c>
      <c r="P265" t="s">
        <v>56</v>
      </c>
      <c r="Q265" t="s">
        <v>56</v>
      </c>
      <c r="R265" t="s">
        <v>56</v>
      </c>
      <c r="S265" t="s">
        <v>56</v>
      </c>
      <c r="T265" t="s">
        <v>56</v>
      </c>
      <c r="U265" s="27" t="str">
        <f>LOOKUP(1,1/(Table1[[#This Row],[Level_0]:[Level 15]]&gt;0),(Table1[[#This Row],[Level_0]:[Level 15]]))</f>
        <v>3521140000 - [Other interest income 3rd parties]</v>
      </c>
      <c r="V265" s="21"/>
    </row>
    <row r="266" spans="1:22" hidden="1" x14ac:dyDescent="0.25">
      <c r="A266" s="16">
        <v>3521200000</v>
      </c>
      <c r="B266" s="16" t="s">
        <v>653</v>
      </c>
      <c r="C266" s="27">
        <v>3521000000</v>
      </c>
      <c r="D266" s="28" t="s">
        <v>58</v>
      </c>
      <c r="E266" s="25" t="s">
        <v>243</v>
      </c>
      <c r="F266" s="26" t="s">
        <v>245</v>
      </c>
      <c r="G266" s="26" t="s">
        <v>249</v>
      </c>
      <c r="H266" s="26" t="s">
        <v>258</v>
      </c>
      <c r="I266" s="26" t="s">
        <v>259</v>
      </c>
      <c r="J266" s="26" t="s">
        <v>289</v>
      </c>
      <c r="K266" s="26" t="s">
        <v>292</v>
      </c>
      <c r="L266" s="26"/>
      <c r="M266" t="s">
        <v>56</v>
      </c>
      <c r="N266" s="26" t="s">
        <v>56</v>
      </c>
      <c r="O266" t="s">
        <v>56</v>
      </c>
      <c r="P266" t="s">
        <v>56</v>
      </c>
      <c r="Q266" t="s">
        <v>56</v>
      </c>
      <c r="R266" t="s">
        <v>56</v>
      </c>
      <c r="S266" t="s">
        <v>56</v>
      </c>
      <c r="T266" t="s">
        <v>56</v>
      </c>
      <c r="U266" s="27" t="str">
        <f>LOOKUP(1,1/(Table1[[#This Row],[Level_0]:[Level 15]]&gt;0),(Table1[[#This Row],[Level_0]:[Level 15]]))</f>
        <v>3521200000 - [Interest expenses]</v>
      </c>
      <c r="V266" s="21"/>
    </row>
    <row r="267" spans="1:22" hidden="1" x14ac:dyDescent="0.25">
      <c r="A267" s="16">
        <v>3521210000</v>
      </c>
      <c r="B267" s="16" t="s">
        <v>654</v>
      </c>
      <c r="C267" s="27">
        <v>3521200000</v>
      </c>
      <c r="D267" s="28" t="s">
        <v>58</v>
      </c>
      <c r="E267" s="25" t="s">
        <v>243</v>
      </c>
      <c r="F267" s="26" t="s">
        <v>245</v>
      </c>
      <c r="G267" s="26" t="s">
        <v>249</v>
      </c>
      <c r="H267" s="26" t="s">
        <v>258</v>
      </c>
      <c r="I267" s="26" t="s">
        <v>259</v>
      </c>
      <c r="J267" s="26" t="s">
        <v>289</v>
      </c>
      <c r="K267" s="26" t="s">
        <v>292</v>
      </c>
      <c r="L267" s="26" t="s">
        <v>297</v>
      </c>
      <c r="N267" s="26" t="s">
        <v>56</v>
      </c>
      <c r="O267" t="s">
        <v>56</v>
      </c>
      <c r="P267" t="s">
        <v>56</v>
      </c>
      <c r="Q267" t="s">
        <v>56</v>
      </c>
      <c r="R267" t="s">
        <v>56</v>
      </c>
      <c r="S267" t="s">
        <v>56</v>
      </c>
      <c r="T267" t="s">
        <v>56</v>
      </c>
      <c r="U267" s="27" t="str">
        <f>LOOKUP(1,1/(Table1[[#This Row],[Level_0]:[Level 15]]&gt;0),(Table1[[#This Row],[Level_0]:[Level 15]]))</f>
        <v>3521210000 - [Expenses from financial liabilities 3rd parties]</v>
      </c>
      <c r="V267" s="21"/>
    </row>
    <row r="268" spans="1:22" hidden="1" x14ac:dyDescent="0.25">
      <c r="A268" s="16">
        <v>3521220000</v>
      </c>
      <c r="B268" s="16" t="s">
        <v>655</v>
      </c>
      <c r="C268" s="27">
        <v>3521200000</v>
      </c>
      <c r="D268" s="28" t="s">
        <v>58</v>
      </c>
      <c r="E268" s="25" t="s">
        <v>243</v>
      </c>
      <c r="F268" s="26" t="s">
        <v>245</v>
      </c>
      <c r="G268" s="26" t="s">
        <v>249</v>
      </c>
      <c r="H268" s="26" t="s">
        <v>258</v>
      </c>
      <c r="I268" s="26" t="s">
        <v>259</v>
      </c>
      <c r="J268" s="26" t="s">
        <v>289</v>
      </c>
      <c r="K268" s="26" t="s">
        <v>292</v>
      </c>
      <c r="L268" s="26" t="s">
        <v>296</v>
      </c>
      <c r="N268" s="26" t="s">
        <v>56</v>
      </c>
      <c r="O268" t="s">
        <v>56</v>
      </c>
      <c r="P268" t="s">
        <v>56</v>
      </c>
      <c r="Q268" t="s">
        <v>56</v>
      </c>
      <c r="R268" t="s">
        <v>56</v>
      </c>
      <c r="S268" t="s">
        <v>56</v>
      </c>
      <c r="T268" t="s">
        <v>56</v>
      </c>
      <c r="U268" s="27" t="str">
        <f>LOOKUP(1,1/(Table1[[#This Row],[Level_0]:[Level 15]]&gt;0),(Table1[[#This Row],[Level_0]:[Level 15]]))</f>
        <v>3521220000 - [Expenses from financial and other liabilities IC]</v>
      </c>
      <c r="V268" s="21"/>
    </row>
    <row r="269" spans="1:22" hidden="1" x14ac:dyDescent="0.25">
      <c r="A269" s="16">
        <v>3521230000</v>
      </c>
      <c r="B269" s="16" t="s">
        <v>656</v>
      </c>
      <c r="C269" s="27">
        <v>3521200000</v>
      </c>
      <c r="D269" s="28" t="s">
        <v>58</v>
      </c>
      <c r="E269" s="25" t="s">
        <v>243</v>
      </c>
      <c r="F269" s="26" t="s">
        <v>245</v>
      </c>
      <c r="G269" s="26" t="s">
        <v>249</v>
      </c>
      <c r="H269" s="26" t="s">
        <v>258</v>
      </c>
      <c r="I269" s="26" t="s">
        <v>259</v>
      </c>
      <c r="J269" s="26" t="s">
        <v>289</v>
      </c>
      <c r="K269" s="26" t="s">
        <v>292</v>
      </c>
      <c r="L269" s="26" t="s">
        <v>295</v>
      </c>
      <c r="N269" s="26" t="s">
        <v>56</v>
      </c>
      <c r="O269" t="s">
        <v>56</v>
      </c>
      <c r="P269" t="s">
        <v>56</v>
      </c>
      <c r="Q269" t="s">
        <v>56</v>
      </c>
      <c r="R269" t="s">
        <v>56</v>
      </c>
      <c r="S269" t="s">
        <v>56</v>
      </c>
      <c r="T269" t="s">
        <v>56</v>
      </c>
      <c r="U269" s="27" t="str">
        <f>LOOKUP(1,1/(Table1[[#This Row],[Level_0]:[Level 15]]&gt;0),(Table1[[#This Row],[Level_0]:[Level 15]]))</f>
        <v>3521230000 - [Other interest expenses]</v>
      </c>
      <c r="V269" s="21"/>
    </row>
    <row r="270" spans="1:22" hidden="1" x14ac:dyDescent="0.25">
      <c r="A270" s="16">
        <v>3521240000</v>
      </c>
      <c r="B270" s="16" t="s">
        <v>657</v>
      </c>
      <c r="C270" s="27">
        <v>3521200000</v>
      </c>
      <c r="D270" s="28" t="s">
        <v>58</v>
      </c>
      <c r="E270" s="25" t="s">
        <v>243</v>
      </c>
      <c r="F270" s="26" t="s">
        <v>245</v>
      </c>
      <c r="G270" s="26" t="s">
        <v>249</v>
      </c>
      <c r="H270" s="26" t="s">
        <v>258</v>
      </c>
      <c r="I270" s="26" t="s">
        <v>259</v>
      </c>
      <c r="J270" s="26" t="s">
        <v>289</v>
      </c>
      <c r="K270" s="26" t="s">
        <v>292</v>
      </c>
      <c r="L270" s="26" t="s">
        <v>294</v>
      </c>
      <c r="N270" s="26" t="s">
        <v>56</v>
      </c>
      <c r="O270" t="s">
        <v>56</v>
      </c>
      <c r="P270" t="s">
        <v>56</v>
      </c>
      <c r="Q270" t="s">
        <v>56</v>
      </c>
      <c r="R270" t="s">
        <v>56</v>
      </c>
      <c r="S270" t="s">
        <v>56</v>
      </c>
      <c r="T270" t="s">
        <v>56</v>
      </c>
      <c r="U270" s="27" t="str">
        <f>LOOKUP(1,1/(Table1[[#This Row],[Level_0]:[Level 15]]&gt;0),(Table1[[#This Row],[Level_0]:[Level 15]]))</f>
        <v>3521240000 - [Other interest expense 3rd parties]</v>
      </c>
      <c r="V270" s="21"/>
    </row>
    <row r="271" spans="1:22" hidden="1" x14ac:dyDescent="0.25">
      <c r="A271" s="16">
        <v>3521250000</v>
      </c>
      <c r="B271" s="16" t="s">
        <v>658</v>
      </c>
      <c r="C271" s="27">
        <v>3521200000</v>
      </c>
      <c r="D271" s="28" t="s">
        <v>58</v>
      </c>
      <c r="E271" s="25" t="s">
        <v>243</v>
      </c>
      <c r="F271" s="26" t="s">
        <v>245</v>
      </c>
      <c r="G271" s="26" t="s">
        <v>249</v>
      </c>
      <c r="H271" s="26" t="s">
        <v>258</v>
      </c>
      <c r="I271" s="26" t="s">
        <v>259</v>
      </c>
      <c r="J271" s="26" t="s">
        <v>289</v>
      </c>
      <c r="K271" s="26" t="s">
        <v>292</v>
      </c>
      <c r="L271" s="26" t="s">
        <v>293</v>
      </c>
      <c r="N271" s="26" t="s">
        <v>56</v>
      </c>
      <c r="O271" t="s">
        <v>56</v>
      </c>
      <c r="P271" t="s">
        <v>56</v>
      </c>
      <c r="Q271" t="s">
        <v>56</v>
      </c>
      <c r="R271" t="s">
        <v>56</v>
      </c>
      <c r="S271" t="s">
        <v>56</v>
      </c>
      <c r="T271" t="s">
        <v>56</v>
      </c>
      <c r="U271" s="27" t="str">
        <f>LOOKUP(1,1/(Table1[[#This Row],[Level_0]:[Level 15]]&gt;0),(Table1[[#This Row],[Level_0]:[Level 15]]))</f>
        <v>3521250000 - [Capitalized borrowing costs qualified assets]</v>
      </c>
      <c r="V271" s="21"/>
    </row>
    <row r="272" spans="1:22" hidden="1" x14ac:dyDescent="0.25">
      <c r="A272" s="16">
        <v>3521300000</v>
      </c>
      <c r="B272" s="16" t="s">
        <v>659</v>
      </c>
      <c r="C272" s="27">
        <v>3521000000</v>
      </c>
      <c r="D272" s="28" t="s">
        <v>58</v>
      </c>
      <c r="E272" s="25" t="s">
        <v>243</v>
      </c>
      <c r="F272" s="26" t="s">
        <v>245</v>
      </c>
      <c r="G272" s="26" t="s">
        <v>249</v>
      </c>
      <c r="H272" s="26" t="s">
        <v>258</v>
      </c>
      <c r="I272" s="26" t="s">
        <v>259</v>
      </c>
      <c r="J272" s="26" t="s">
        <v>289</v>
      </c>
      <c r="K272" s="26" t="s">
        <v>291</v>
      </c>
      <c r="L272" s="26"/>
      <c r="M272" t="s">
        <v>56</v>
      </c>
      <c r="N272" s="26" t="s">
        <v>56</v>
      </c>
      <c r="O272" t="s">
        <v>56</v>
      </c>
      <c r="P272" t="s">
        <v>56</v>
      </c>
      <c r="Q272" t="s">
        <v>56</v>
      </c>
      <c r="R272" t="s">
        <v>56</v>
      </c>
      <c r="S272" t="s">
        <v>56</v>
      </c>
      <c r="T272" t="s">
        <v>56</v>
      </c>
      <c r="U272" s="27" t="str">
        <f>LOOKUP(1,1/(Table1[[#This Row],[Level_0]:[Level 15]]&gt;0),(Table1[[#This Row],[Level_0]:[Level 15]]))</f>
        <v>3521300000 - [Interest derivatives]</v>
      </c>
      <c r="V272" s="21"/>
    </row>
    <row r="273" spans="1:22" hidden="1" x14ac:dyDescent="0.25">
      <c r="A273" s="16">
        <v>3521400000</v>
      </c>
      <c r="B273" s="16" t="s">
        <v>660</v>
      </c>
      <c r="C273" s="27">
        <v>3521000000</v>
      </c>
      <c r="D273" s="28" t="s">
        <v>58</v>
      </c>
      <c r="E273" s="25" t="s">
        <v>243</v>
      </c>
      <c r="F273" s="26" t="s">
        <v>245</v>
      </c>
      <c r="G273" s="26" t="s">
        <v>249</v>
      </c>
      <c r="H273" s="26" t="s">
        <v>258</v>
      </c>
      <c r="I273" s="26" t="s">
        <v>259</v>
      </c>
      <c r="J273" s="26" t="s">
        <v>289</v>
      </c>
      <c r="K273" s="26" t="s">
        <v>290</v>
      </c>
      <c r="L273" s="26"/>
      <c r="M273" t="s">
        <v>56</v>
      </c>
      <c r="N273" s="26" t="s">
        <v>56</v>
      </c>
      <c r="O273" t="s">
        <v>56</v>
      </c>
      <c r="P273" t="s">
        <v>56</v>
      </c>
      <c r="Q273" t="s">
        <v>56</v>
      </c>
      <c r="R273" t="s">
        <v>56</v>
      </c>
      <c r="S273" t="s">
        <v>56</v>
      </c>
      <c r="T273" t="s">
        <v>56</v>
      </c>
      <c r="U273" s="27" t="str">
        <f>LOOKUP(1,1/(Table1[[#This Row],[Level_0]:[Level 15]]&gt;0),(Table1[[#This Row],[Level_0]:[Level 15]]))</f>
        <v>3521400000 - [Interest contribution FX hedging]</v>
      </c>
      <c r="V273" s="21"/>
    </row>
    <row r="274" spans="1:22" hidden="1" x14ac:dyDescent="0.25">
      <c r="A274" s="16">
        <v>3522000000</v>
      </c>
      <c r="B274" s="16" t="s">
        <v>661</v>
      </c>
      <c r="C274" s="27">
        <v>3520000000</v>
      </c>
      <c r="D274" s="28" t="s">
        <v>58</v>
      </c>
      <c r="E274" s="25" t="s">
        <v>243</v>
      </c>
      <c r="F274" s="26" t="s">
        <v>245</v>
      </c>
      <c r="G274" s="26" t="s">
        <v>249</v>
      </c>
      <c r="H274" s="26" t="s">
        <v>258</v>
      </c>
      <c r="I274" s="26" t="s">
        <v>259</v>
      </c>
      <c r="J274" s="26" t="s">
        <v>278</v>
      </c>
      <c r="K274" s="26"/>
      <c r="L274" s="26"/>
      <c r="N274" s="26"/>
      <c r="U274" s="27" t="str">
        <f>LOOKUP(1,1/(Table1[[#This Row],[Level_0]:[Level 15]]&gt;0),(Table1[[#This Row],[Level_0]:[Level 15]]))</f>
        <v>3522000000 - [Results from financial investments]</v>
      </c>
      <c r="V274" s="21"/>
    </row>
    <row r="275" spans="1:22" hidden="1" x14ac:dyDescent="0.25">
      <c r="A275" s="16">
        <v>3522100000</v>
      </c>
      <c r="B275" s="16" t="s">
        <v>662</v>
      </c>
      <c r="C275" s="27">
        <v>3522000000</v>
      </c>
      <c r="D275" s="28" t="s">
        <v>58</v>
      </c>
      <c r="E275" s="25" t="s">
        <v>243</v>
      </c>
      <c r="F275" s="26" t="s">
        <v>245</v>
      </c>
      <c r="G275" s="26" t="s">
        <v>249</v>
      </c>
      <c r="H275" s="26" t="s">
        <v>258</v>
      </c>
      <c r="I275" s="26" t="s">
        <v>259</v>
      </c>
      <c r="J275" s="26" t="s">
        <v>278</v>
      </c>
      <c r="K275" s="26" t="s">
        <v>288</v>
      </c>
      <c r="L275" s="26"/>
      <c r="M275" t="s">
        <v>56</v>
      </c>
      <c r="N275" s="26" t="s">
        <v>56</v>
      </c>
      <c r="O275" t="s">
        <v>56</v>
      </c>
      <c r="P275" t="s">
        <v>56</v>
      </c>
      <c r="Q275" t="s">
        <v>56</v>
      </c>
      <c r="R275" t="s">
        <v>56</v>
      </c>
      <c r="S275" t="s">
        <v>56</v>
      </c>
      <c r="T275" t="s">
        <v>56</v>
      </c>
      <c r="U275" s="27" t="str">
        <f>LOOKUP(1,1/(Table1[[#This Row],[Level_0]:[Level 15]]&gt;0),(Table1[[#This Row],[Level_0]:[Level 15]]))</f>
        <v>3522100000 - [Results from financial investments, realized]</v>
      </c>
      <c r="V275" s="21"/>
    </row>
    <row r="276" spans="1:22" hidden="1" x14ac:dyDescent="0.25">
      <c r="A276" s="16">
        <v>3522200000</v>
      </c>
      <c r="B276" s="16" t="s">
        <v>663</v>
      </c>
      <c r="C276" s="27">
        <v>3522000000</v>
      </c>
      <c r="D276" s="28" t="s">
        <v>58</v>
      </c>
      <c r="E276" s="25" t="s">
        <v>243</v>
      </c>
      <c r="F276" s="26" t="s">
        <v>245</v>
      </c>
      <c r="G276" s="26" t="s">
        <v>249</v>
      </c>
      <c r="H276" s="26" t="s">
        <v>258</v>
      </c>
      <c r="I276" s="26" t="s">
        <v>259</v>
      </c>
      <c r="J276" s="26" t="s">
        <v>278</v>
      </c>
      <c r="K276" s="26" t="s">
        <v>287</v>
      </c>
      <c r="L276" s="26"/>
      <c r="M276" t="s">
        <v>56</v>
      </c>
      <c r="N276" s="26" t="s">
        <v>56</v>
      </c>
      <c r="O276" t="s">
        <v>56</v>
      </c>
      <c r="P276" t="s">
        <v>56</v>
      </c>
      <c r="Q276" t="s">
        <v>56</v>
      </c>
      <c r="R276" t="s">
        <v>56</v>
      </c>
      <c r="S276" t="s">
        <v>56</v>
      </c>
      <c r="T276" t="s">
        <v>56</v>
      </c>
      <c r="U276" s="27" t="str">
        <f>LOOKUP(1,1/(Table1[[#This Row],[Level_0]:[Level 15]]&gt;0),(Table1[[#This Row],[Level_0]:[Level 15]]))</f>
        <v>3522200000 - [Results from financial investments, unrealized]</v>
      </c>
      <c r="V276" s="21"/>
    </row>
    <row r="277" spans="1:22" hidden="1" x14ac:dyDescent="0.25">
      <c r="A277" s="16">
        <v>3522300000</v>
      </c>
      <c r="B277" s="16" t="s">
        <v>664</v>
      </c>
      <c r="C277" s="27">
        <v>3522000000</v>
      </c>
      <c r="D277" s="28" t="s">
        <v>58</v>
      </c>
      <c r="E277" s="25" t="s">
        <v>243</v>
      </c>
      <c r="F277" s="26" t="s">
        <v>245</v>
      </c>
      <c r="G277" s="26" t="s">
        <v>249</v>
      </c>
      <c r="H277" s="26" t="s">
        <v>258</v>
      </c>
      <c r="I277" s="26" t="s">
        <v>259</v>
      </c>
      <c r="J277" s="26" t="s">
        <v>278</v>
      </c>
      <c r="K277" s="26" t="s">
        <v>286</v>
      </c>
      <c r="L277" s="26"/>
      <c r="M277" t="s">
        <v>56</v>
      </c>
      <c r="N277" s="26" t="s">
        <v>56</v>
      </c>
      <c r="O277" t="s">
        <v>56</v>
      </c>
      <c r="P277" t="s">
        <v>56</v>
      </c>
      <c r="Q277" t="s">
        <v>56</v>
      </c>
      <c r="R277" t="s">
        <v>56</v>
      </c>
      <c r="S277" t="s">
        <v>56</v>
      </c>
      <c r="T277" t="s">
        <v>56</v>
      </c>
      <c r="U277" s="27" t="str">
        <f>LOOKUP(1,1/(Table1[[#This Row],[Level_0]:[Level 15]]&gt;0),(Table1[[#This Row],[Level_0]:[Level 15]]))</f>
        <v>3522300000 - [Result from financial investments securities trading, realized]</v>
      </c>
      <c r="V277" s="21"/>
    </row>
    <row r="278" spans="1:22" hidden="1" x14ac:dyDescent="0.25">
      <c r="A278" s="16">
        <v>3522400000</v>
      </c>
      <c r="B278" s="16" t="s">
        <v>665</v>
      </c>
      <c r="C278" s="27">
        <v>3522000000</v>
      </c>
      <c r="D278" s="28" t="s">
        <v>58</v>
      </c>
      <c r="E278" s="25" t="s">
        <v>243</v>
      </c>
      <c r="F278" s="26" t="s">
        <v>245</v>
      </c>
      <c r="G278" s="26" t="s">
        <v>249</v>
      </c>
      <c r="H278" s="26" t="s">
        <v>258</v>
      </c>
      <c r="I278" s="26" t="s">
        <v>259</v>
      </c>
      <c r="J278" s="26" t="s">
        <v>278</v>
      </c>
      <c r="K278" s="26" t="s">
        <v>285</v>
      </c>
      <c r="L278" s="26"/>
      <c r="M278" t="s">
        <v>56</v>
      </c>
      <c r="N278" s="26" t="s">
        <v>56</v>
      </c>
      <c r="O278" t="s">
        <v>56</v>
      </c>
      <c r="P278" t="s">
        <v>56</v>
      </c>
      <c r="Q278" t="s">
        <v>56</v>
      </c>
      <c r="R278" t="s">
        <v>56</v>
      </c>
      <c r="S278" t="s">
        <v>56</v>
      </c>
      <c r="T278" t="s">
        <v>56</v>
      </c>
      <c r="U278" s="27" t="str">
        <f>LOOKUP(1,1/(Table1[[#This Row],[Level_0]:[Level 15]]&gt;0),(Table1[[#This Row],[Level_0]:[Level 15]]))</f>
        <v>3522400000 - [Result from financial investments securities trading, unrealized]</v>
      </c>
      <c r="V278" s="21"/>
    </row>
    <row r="279" spans="1:22" hidden="1" x14ac:dyDescent="0.25">
      <c r="A279" s="16">
        <v>3522500000</v>
      </c>
      <c r="B279" s="16" t="s">
        <v>666</v>
      </c>
      <c r="C279" s="27">
        <v>3522000000</v>
      </c>
      <c r="D279" s="28" t="s">
        <v>58</v>
      </c>
      <c r="E279" s="25" t="s">
        <v>243</v>
      </c>
      <c r="F279" s="26" t="s">
        <v>245</v>
      </c>
      <c r="G279" s="26" t="s">
        <v>249</v>
      </c>
      <c r="H279" s="26" t="s">
        <v>258</v>
      </c>
      <c r="I279" s="26" t="s">
        <v>259</v>
      </c>
      <c r="J279" s="26" t="s">
        <v>278</v>
      </c>
      <c r="K279" s="26" t="s">
        <v>284</v>
      </c>
      <c r="L279" s="26"/>
      <c r="M279" t="s">
        <v>56</v>
      </c>
      <c r="N279" s="26" t="s">
        <v>56</v>
      </c>
      <c r="O279" t="s">
        <v>56</v>
      </c>
      <c r="P279" t="s">
        <v>56</v>
      </c>
      <c r="Q279" t="s">
        <v>56</v>
      </c>
      <c r="R279" t="s">
        <v>56</v>
      </c>
      <c r="S279" t="s">
        <v>56</v>
      </c>
      <c r="T279" t="s">
        <v>56</v>
      </c>
      <c r="U279" s="27" t="str">
        <f>LOOKUP(1,1/(Table1[[#This Row],[Level_0]:[Level 15]]&gt;0),(Table1[[#This Row],[Level_0]:[Level 15]]))</f>
        <v>3522500000 - [Result from financial investments available for sale, realized]</v>
      </c>
      <c r="V279" s="21"/>
    </row>
    <row r="280" spans="1:22" hidden="1" x14ac:dyDescent="0.25">
      <c r="A280" s="16">
        <v>3522600000</v>
      </c>
      <c r="B280" s="16" t="s">
        <v>667</v>
      </c>
      <c r="C280" s="27">
        <v>3522000000</v>
      </c>
      <c r="D280" s="28" t="s">
        <v>58</v>
      </c>
      <c r="E280" s="25" t="s">
        <v>243</v>
      </c>
      <c r="F280" s="26" t="s">
        <v>245</v>
      </c>
      <c r="G280" s="26" t="s">
        <v>249</v>
      </c>
      <c r="H280" s="26" t="s">
        <v>258</v>
      </c>
      <c r="I280" s="26" t="s">
        <v>259</v>
      </c>
      <c r="J280" s="26" t="s">
        <v>278</v>
      </c>
      <c r="K280" s="26" t="s">
        <v>283</v>
      </c>
      <c r="L280" s="26"/>
      <c r="M280" t="s">
        <v>56</v>
      </c>
      <c r="N280" s="26" t="s">
        <v>56</v>
      </c>
      <c r="O280" t="s">
        <v>56</v>
      </c>
      <c r="P280" t="s">
        <v>56</v>
      </c>
      <c r="Q280" t="s">
        <v>56</v>
      </c>
      <c r="R280" t="s">
        <v>56</v>
      </c>
      <c r="S280" t="s">
        <v>56</v>
      </c>
      <c r="T280" t="s">
        <v>56</v>
      </c>
      <c r="U280" s="27" t="str">
        <f>LOOKUP(1,1/(Table1[[#This Row],[Level_0]:[Level 15]]&gt;0),(Table1[[#This Row],[Level_0]:[Level 15]]))</f>
        <v>3522600000 - [Result from financial investments available for sale, unrealized]</v>
      </c>
      <c r="V280" s="21"/>
    </row>
    <row r="281" spans="1:22" hidden="1" x14ac:dyDescent="0.25">
      <c r="A281" s="16">
        <v>3522700000</v>
      </c>
      <c r="B281" s="16" t="s">
        <v>668</v>
      </c>
      <c r="C281" s="27">
        <v>3522000000</v>
      </c>
      <c r="D281" s="28" t="s">
        <v>58</v>
      </c>
      <c r="E281" s="25" t="s">
        <v>243</v>
      </c>
      <c r="F281" s="26" t="s">
        <v>245</v>
      </c>
      <c r="G281" s="26" t="s">
        <v>249</v>
      </c>
      <c r="H281" s="26" t="s">
        <v>258</v>
      </c>
      <c r="I281" s="26" t="s">
        <v>259</v>
      </c>
      <c r="J281" s="26" t="s">
        <v>278</v>
      </c>
      <c r="K281" s="26" t="s">
        <v>282</v>
      </c>
      <c r="L281" s="26"/>
      <c r="M281" t="s">
        <v>56</v>
      </c>
      <c r="N281" s="26" t="s">
        <v>56</v>
      </c>
      <c r="O281" t="s">
        <v>56</v>
      </c>
      <c r="P281" t="s">
        <v>56</v>
      </c>
      <c r="Q281" t="s">
        <v>56</v>
      </c>
      <c r="R281" t="s">
        <v>56</v>
      </c>
      <c r="S281" t="s">
        <v>56</v>
      </c>
      <c r="T281" t="s">
        <v>56</v>
      </c>
      <c r="U281" s="27" t="str">
        <f>LOOKUP(1,1/(Table1[[#This Row],[Level_0]:[Level 15]]&gt;0),(Table1[[#This Row],[Level_0]:[Level 15]]))</f>
        <v>3522700000 - [Result from financial investments held to maturity, realized]</v>
      </c>
      <c r="V281" s="21"/>
    </row>
    <row r="282" spans="1:22" hidden="1" x14ac:dyDescent="0.25">
      <c r="A282" s="16">
        <v>3522800000</v>
      </c>
      <c r="B282" s="16" t="s">
        <v>669</v>
      </c>
      <c r="C282" s="27">
        <v>3522000000</v>
      </c>
      <c r="D282" s="28" t="s">
        <v>58</v>
      </c>
      <c r="E282" s="25" t="s">
        <v>243</v>
      </c>
      <c r="F282" s="26" t="s">
        <v>245</v>
      </c>
      <c r="G282" s="26" t="s">
        <v>249</v>
      </c>
      <c r="H282" s="26" t="s">
        <v>258</v>
      </c>
      <c r="I282" s="26" t="s">
        <v>259</v>
      </c>
      <c r="J282" s="26" t="s">
        <v>278</v>
      </c>
      <c r="K282" s="26" t="s">
        <v>281</v>
      </c>
      <c r="L282" s="26"/>
      <c r="M282" t="s">
        <v>56</v>
      </c>
      <c r="N282" s="26" t="s">
        <v>56</v>
      </c>
      <c r="O282" t="s">
        <v>56</v>
      </c>
      <c r="P282" t="s">
        <v>56</v>
      </c>
      <c r="Q282" t="s">
        <v>56</v>
      </c>
      <c r="R282" t="s">
        <v>56</v>
      </c>
      <c r="S282" t="s">
        <v>56</v>
      </c>
      <c r="T282" t="s">
        <v>56</v>
      </c>
      <c r="U282" s="27" t="str">
        <f>LOOKUP(1,1/(Table1[[#This Row],[Level_0]:[Level 15]]&gt;0),(Table1[[#This Row],[Level_0]:[Level 15]]))</f>
        <v>3522800000 - [Result from financial investments held to maturity, unrealized]</v>
      </c>
      <c r="V282" s="21"/>
    </row>
    <row r="283" spans="1:22" hidden="1" x14ac:dyDescent="0.25">
      <c r="A283" s="16">
        <v>3522910000</v>
      </c>
      <c r="B283" s="16" t="s">
        <v>670</v>
      </c>
      <c r="C283" s="27">
        <v>3522000000</v>
      </c>
      <c r="D283" s="28" t="s">
        <v>58</v>
      </c>
      <c r="E283" s="25" t="s">
        <v>243</v>
      </c>
      <c r="F283" s="26" t="s">
        <v>245</v>
      </c>
      <c r="G283" s="26" t="s">
        <v>249</v>
      </c>
      <c r="H283" s="26" t="s">
        <v>258</v>
      </c>
      <c r="I283" s="26" t="s">
        <v>259</v>
      </c>
      <c r="J283" s="26" t="s">
        <v>278</v>
      </c>
      <c r="K283" s="26" t="s">
        <v>280</v>
      </c>
      <c r="L283" s="26"/>
      <c r="M283" t="s">
        <v>56</v>
      </c>
      <c r="N283" s="26" t="s">
        <v>56</v>
      </c>
      <c r="O283" t="s">
        <v>56</v>
      </c>
      <c r="P283" t="s">
        <v>56</v>
      </c>
      <c r="Q283" t="s">
        <v>56</v>
      </c>
      <c r="R283" t="s">
        <v>56</v>
      </c>
      <c r="S283" t="s">
        <v>56</v>
      </c>
      <c r="T283" t="s">
        <v>56</v>
      </c>
      <c r="U283" s="27" t="str">
        <f>LOOKUP(1,1/(Table1[[#This Row],[Level_0]:[Level 15]]&gt;0),(Table1[[#This Row],[Level_0]:[Level 15]]))</f>
        <v>3522910000 - [Result from financial investments loans and receivables, unrealized]</v>
      </c>
      <c r="V283" s="21"/>
    </row>
    <row r="284" spans="1:22" hidden="1" x14ac:dyDescent="0.25">
      <c r="A284" s="16">
        <v>3522920000</v>
      </c>
      <c r="B284" s="16" t="s">
        <v>671</v>
      </c>
      <c r="C284" s="27">
        <v>3522000000</v>
      </c>
      <c r="D284" s="28" t="s">
        <v>58</v>
      </c>
      <c r="E284" s="25" t="s">
        <v>243</v>
      </c>
      <c r="F284" s="26" t="s">
        <v>245</v>
      </c>
      <c r="G284" s="26" t="s">
        <v>249</v>
      </c>
      <c r="H284" s="26" t="s">
        <v>258</v>
      </c>
      <c r="I284" s="26" t="s">
        <v>259</v>
      </c>
      <c r="J284" s="26" t="s">
        <v>278</v>
      </c>
      <c r="K284" s="26" t="s">
        <v>279</v>
      </c>
      <c r="L284" s="26"/>
      <c r="M284" t="s">
        <v>56</v>
      </c>
      <c r="N284" s="26" t="s">
        <v>56</v>
      </c>
      <c r="O284" t="s">
        <v>56</v>
      </c>
      <c r="P284" t="s">
        <v>56</v>
      </c>
      <c r="Q284" t="s">
        <v>56</v>
      </c>
      <c r="R284" t="s">
        <v>56</v>
      </c>
      <c r="S284" t="s">
        <v>56</v>
      </c>
      <c r="T284" t="s">
        <v>56</v>
      </c>
      <c r="U284" s="27" t="str">
        <f>LOOKUP(1,1/(Table1[[#This Row],[Level_0]:[Level 15]]&gt;0),(Table1[[#This Row],[Level_0]:[Level 15]]))</f>
        <v>3522920000 - [Result from financial investments loans and receivables, realized]</v>
      </c>
      <c r="V284" s="21"/>
    </row>
    <row r="285" spans="1:22" hidden="1" x14ac:dyDescent="0.25">
      <c r="A285" s="16">
        <v>3523000000</v>
      </c>
      <c r="B285" s="16" t="s">
        <v>672</v>
      </c>
      <c r="C285" s="27">
        <v>3520000000</v>
      </c>
      <c r="D285" s="28" t="s">
        <v>58</v>
      </c>
      <c r="E285" s="25" t="s">
        <v>243</v>
      </c>
      <c r="F285" s="26" t="s">
        <v>245</v>
      </c>
      <c r="G285" s="26" t="s">
        <v>249</v>
      </c>
      <c r="H285" s="26" t="s">
        <v>258</v>
      </c>
      <c r="I285" s="26" t="s">
        <v>259</v>
      </c>
      <c r="J285" s="26" t="s">
        <v>267</v>
      </c>
      <c r="K285" s="26"/>
      <c r="L285" s="26"/>
      <c r="N285" s="26"/>
      <c r="U285" s="27" t="str">
        <f>LOOKUP(1,1/(Table1[[#This Row],[Level_0]:[Level 15]]&gt;0),(Table1[[#This Row],[Level_0]:[Level 15]]))</f>
        <v>3523000000 - [Currency difference - financing]</v>
      </c>
      <c r="V285" s="21"/>
    </row>
    <row r="286" spans="1:22" hidden="1" x14ac:dyDescent="0.25">
      <c r="A286" s="16">
        <v>3523100000</v>
      </c>
      <c r="B286" s="16" t="s">
        <v>673</v>
      </c>
      <c r="C286" s="27">
        <v>3523000000</v>
      </c>
      <c r="D286" s="28" t="s">
        <v>58</v>
      </c>
      <c r="E286" s="25" t="s">
        <v>243</v>
      </c>
      <c r="F286" s="26" t="s">
        <v>245</v>
      </c>
      <c r="G286" s="26" t="s">
        <v>249</v>
      </c>
      <c r="H286" s="26" t="s">
        <v>258</v>
      </c>
      <c r="I286" s="26" t="s">
        <v>259</v>
      </c>
      <c r="J286" s="26" t="s">
        <v>267</v>
      </c>
      <c r="K286" s="26" t="s">
        <v>275</v>
      </c>
      <c r="L286" s="26"/>
      <c r="M286" t="s">
        <v>56</v>
      </c>
      <c r="N286" s="26" t="s">
        <v>56</v>
      </c>
      <c r="O286" t="s">
        <v>56</v>
      </c>
      <c r="P286" t="s">
        <v>56</v>
      </c>
      <c r="Q286" t="s">
        <v>56</v>
      </c>
      <c r="R286" t="s">
        <v>56</v>
      </c>
      <c r="S286" t="s">
        <v>56</v>
      </c>
      <c r="T286" t="s">
        <v>56</v>
      </c>
      <c r="U286" s="27" t="str">
        <f>LOOKUP(1,1/(Table1[[#This Row],[Level_0]:[Level 15]]&gt;0),(Table1[[#This Row],[Level_0]:[Level 15]]))</f>
        <v>3523100000 - [Currency difference - financing, realized]</v>
      </c>
      <c r="V286" s="21"/>
    </row>
    <row r="287" spans="1:22" hidden="1" x14ac:dyDescent="0.25">
      <c r="A287" s="16">
        <v>3523310000</v>
      </c>
      <c r="B287" s="16" t="s">
        <v>674</v>
      </c>
      <c r="C287" s="27">
        <v>3523100000</v>
      </c>
      <c r="D287" s="28" t="s">
        <v>58</v>
      </c>
      <c r="E287" s="25" t="s">
        <v>243</v>
      </c>
      <c r="F287" s="26" t="s">
        <v>245</v>
      </c>
      <c r="G287" s="26" t="s">
        <v>249</v>
      </c>
      <c r="H287" s="26" t="s">
        <v>258</v>
      </c>
      <c r="I287" s="26" t="s">
        <v>259</v>
      </c>
      <c r="J287" s="26" t="s">
        <v>267</v>
      </c>
      <c r="K287" s="26" t="s">
        <v>275</v>
      </c>
      <c r="L287" s="26" t="s">
        <v>277</v>
      </c>
      <c r="N287" s="26" t="s">
        <v>56</v>
      </c>
      <c r="O287" t="s">
        <v>56</v>
      </c>
      <c r="P287" t="s">
        <v>56</v>
      </c>
      <c r="Q287" t="s">
        <v>56</v>
      </c>
      <c r="R287" t="s">
        <v>56</v>
      </c>
      <c r="S287" t="s">
        <v>56</v>
      </c>
      <c r="T287" t="s">
        <v>56</v>
      </c>
      <c r="U287" s="27" t="str">
        <f>LOOKUP(1,1/(Table1[[#This Row],[Level_0]:[Level 15]]&gt;0),(Table1[[#This Row],[Level_0]:[Level 15]]))</f>
        <v>3523310000 - [Curr.diff.underlying real exp]</v>
      </c>
      <c r="V287" s="21"/>
    </row>
    <row r="288" spans="1:22" hidden="1" x14ac:dyDescent="0.25">
      <c r="A288" s="16">
        <v>3523320000</v>
      </c>
      <c r="B288" s="16" t="s">
        <v>675</v>
      </c>
      <c r="C288" s="27">
        <v>3523100000</v>
      </c>
      <c r="D288" s="28" t="s">
        <v>58</v>
      </c>
      <c r="E288" s="25" t="s">
        <v>243</v>
      </c>
      <c r="F288" s="26" t="s">
        <v>245</v>
      </c>
      <c r="G288" s="26" t="s">
        <v>249</v>
      </c>
      <c r="H288" s="26" t="s">
        <v>258</v>
      </c>
      <c r="I288" s="26" t="s">
        <v>259</v>
      </c>
      <c r="J288" s="26" t="s">
        <v>267</v>
      </c>
      <c r="K288" s="26" t="s">
        <v>275</v>
      </c>
      <c r="L288" s="26" t="s">
        <v>276</v>
      </c>
      <c r="N288" s="26" t="s">
        <v>56</v>
      </c>
      <c r="O288" t="s">
        <v>56</v>
      </c>
      <c r="P288" t="s">
        <v>56</v>
      </c>
      <c r="Q288" t="s">
        <v>56</v>
      </c>
      <c r="R288" t="s">
        <v>56</v>
      </c>
      <c r="S288" t="s">
        <v>56</v>
      </c>
      <c r="T288" t="s">
        <v>56</v>
      </c>
      <c r="U288" s="27" t="str">
        <f>LOOKUP(1,1/(Table1[[#This Row],[Level_0]:[Level 15]]&gt;0),(Table1[[#This Row],[Level_0]:[Level 15]]))</f>
        <v>3523320000 - [Curr.diff.underlying real inc]</v>
      </c>
      <c r="V288" s="21"/>
    </row>
    <row r="289" spans="1:22" hidden="1" x14ac:dyDescent="0.25">
      <c r="A289" s="16">
        <v>3523200000</v>
      </c>
      <c r="B289" s="16" t="s">
        <v>676</v>
      </c>
      <c r="C289" s="27">
        <v>3523000000</v>
      </c>
      <c r="D289" s="28" t="s">
        <v>58</v>
      </c>
      <c r="E289" s="25" t="s">
        <v>243</v>
      </c>
      <c r="F289" s="26" t="s">
        <v>245</v>
      </c>
      <c r="G289" s="26" t="s">
        <v>249</v>
      </c>
      <c r="H289" s="26" t="s">
        <v>258</v>
      </c>
      <c r="I289" s="26" t="s">
        <v>259</v>
      </c>
      <c r="J289" s="26" t="s">
        <v>267</v>
      </c>
      <c r="K289" s="26" t="s">
        <v>274</v>
      </c>
      <c r="L289" s="26"/>
      <c r="M289" t="s">
        <v>56</v>
      </c>
      <c r="N289" s="26" t="s">
        <v>56</v>
      </c>
      <c r="O289" t="s">
        <v>56</v>
      </c>
      <c r="P289" t="s">
        <v>56</v>
      </c>
      <c r="Q289" t="s">
        <v>56</v>
      </c>
      <c r="R289" t="s">
        <v>56</v>
      </c>
      <c r="S289" t="s">
        <v>56</v>
      </c>
      <c r="T289" t="s">
        <v>56</v>
      </c>
      <c r="U289" s="27" t="str">
        <f>LOOKUP(1,1/(Table1[[#This Row],[Level_0]:[Level 15]]&gt;0),(Table1[[#This Row],[Level_0]:[Level 15]]))</f>
        <v>3523200000 - [Currency difference - financing, unrealized]</v>
      </c>
      <c r="V289" s="21"/>
    </row>
    <row r="290" spans="1:22" hidden="1" x14ac:dyDescent="0.25">
      <c r="A290" s="16">
        <v>3523300000</v>
      </c>
      <c r="B290" s="16" t="s">
        <v>677</v>
      </c>
      <c r="C290" s="27">
        <v>3523000000</v>
      </c>
      <c r="D290" s="28" t="s">
        <v>58</v>
      </c>
      <c r="E290" s="25" t="s">
        <v>243</v>
      </c>
      <c r="F290" s="26" t="s">
        <v>245</v>
      </c>
      <c r="G290" s="26" t="s">
        <v>249</v>
      </c>
      <c r="H290" s="26" t="s">
        <v>258</v>
      </c>
      <c r="I290" s="26" t="s">
        <v>259</v>
      </c>
      <c r="J290" s="26" t="s">
        <v>267</v>
      </c>
      <c r="K290" s="26" t="s">
        <v>273</v>
      </c>
      <c r="L290" s="26"/>
      <c r="M290" t="s">
        <v>56</v>
      </c>
      <c r="N290" s="26" t="s">
        <v>56</v>
      </c>
      <c r="O290" t="s">
        <v>56</v>
      </c>
      <c r="P290" t="s">
        <v>56</v>
      </c>
      <c r="Q290" t="s">
        <v>56</v>
      </c>
      <c r="R290" t="s">
        <v>56</v>
      </c>
      <c r="S290" t="s">
        <v>56</v>
      </c>
      <c r="T290" t="s">
        <v>56</v>
      </c>
      <c r="U290" s="27" t="str">
        <f>LOOKUP(1,1/(Table1[[#This Row],[Level_0]:[Level 15]]&gt;0),(Table1[[#This Row],[Level_0]:[Level 15]]))</f>
        <v>3523300000 - [Currency difference underlying - financing, realized]</v>
      </c>
      <c r="V290" s="21"/>
    </row>
    <row r="291" spans="1:22" hidden="1" x14ac:dyDescent="0.25">
      <c r="A291" s="16">
        <v>3523400000</v>
      </c>
      <c r="B291" s="16" t="s">
        <v>678</v>
      </c>
      <c r="C291" s="27">
        <v>3523000000</v>
      </c>
      <c r="D291" s="28" t="s">
        <v>58</v>
      </c>
      <c r="E291" s="25" t="s">
        <v>243</v>
      </c>
      <c r="F291" s="26" t="s">
        <v>245</v>
      </c>
      <c r="G291" s="26" t="s">
        <v>249</v>
      </c>
      <c r="H291" s="26" t="s">
        <v>258</v>
      </c>
      <c r="I291" s="26" t="s">
        <v>259</v>
      </c>
      <c r="J291" s="26" t="s">
        <v>267</v>
      </c>
      <c r="K291" s="26" t="s">
        <v>271</v>
      </c>
      <c r="L291" s="26"/>
      <c r="M291" t="s">
        <v>56</v>
      </c>
      <c r="N291" s="26" t="s">
        <v>56</v>
      </c>
      <c r="O291" t="s">
        <v>56</v>
      </c>
      <c r="P291" t="s">
        <v>56</v>
      </c>
      <c r="Q291" t="s">
        <v>56</v>
      </c>
      <c r="R291" t="s">
        <v>56</v>
      </c>
      <c r="S291" t="s">
        <v>56</v>
      </c>
      <c r="T291" t="s">
        <v>56</v>
      </c>
      <c r="U291" s="27" t="str">
        <f>LOOKUP(1,1/(Table1[[#This Row],[Level_0]:[Level 15]]&gt;0),(Table1[[#This Row],[Level_0]:[Level 15]]))</f>
        <v>3523400000 - [Currency difference underlying - financing, unrealized]</v>
      </c>
      <c r="V291" s="21"/>
    </row>
    <row r="292" spans="1:22" hidden="1" x14ac:dyDescent="0.25">
      <c r="A292" s="16">
        <v>3523410000</v>
      </c>
      <c r="B292" s="16" t="s">
        <v>679</v>
      </c>
      <c r="C292" s="27">
        <v>3523400000</v>
      </c>
      <c r="D292" s="28" t="s">
        <v>58</v>
      </c>
      <c r="E292" s="25" t="s">
        <v>243</v>
      </c>
      <c r="F292" s="26" t="s">
        <v>245</v>
      </c>
      <c r="G292" s="26" t="s">
        <v>249</v>
      </c>
      <c r="H292" s="26" t="s">
        <v>258</v>
      </c>
      <c r="I292" s="26" t="s">
        <v>259</v>
      </c>
      <c r="J292" s="26" t="s">
        <v>267</v>
      </c>
      <c r="K292" s="26" t="s">
        <v>271</v>
      </c>
      <c r="L292" s="26" t="s">
        <v>769</v>
      </c>
      <c r="N292" s="26" t="s">
        <v>56</v>
      </c>
      <c r="O292" t="s">
        <v>56</v>
      </c>
      <c r="P292" t="s">
        <v>56</v>
      </c>
      <c r="Q292" t="s">
        <v>56</v>
      </c>
      <c r="R292" t="s">
        <v>56</v>
      </c>
      <c r="S292" t="s">
        <v>56</v>
      </c>
      <c r="T292" t="s">
        <v>56</v>
      </c>
      <c r="U292" s="27" t="str">
        <f>LOOKUP(1,1/(Table1[[#This Row],[Level_0]:[Level 15]]&gt;0),(Table1[[#This Row],[Level_0]:[Level 15]]))</f>
        <v>3523410000 - [Pierre - No Name maintained]</v>
      </c>
      <c r="V292" s="21"/>
    </row>
    <row r="293" spans="1:22" hidden="1" x14ac:dyDescent="0.25">
      <c r="A293" s="16">
        <v>3523420000</v>
      </c>
      <c r="B293" s="16" t="s">
        <v>680</v>
      </c>
      <c r="C293" s="27">
        <v>3523400000</v>
      </c>
      <c r="D293" s="28" t="s">
        <v>58</v>
      </c>
      <c r="E293" s="25" t="s">
        <v>243</v>
      </c>
      <c r="F293" s="26" t="s">
        <v>245</v>
      </c>
      <c r="G293" s="26" t="s">
        <v>249</v>
      </c>
      <c r="H293" s="26" t="s">
        <v>258</v>
      </c>
      <c r="I293" s="26" t="s">
        <v>259</v>
      </c>
      <c r="J293" s="26" t="s">
        <v>267</v>
      </c>
      <c r="K293" s="26" t="s">
        <v>271</v>
      </c>
      <c r="L293" s="26" t="s">
        <v>272</v>
      </c>
      <c r="N293" s="26" t="s">
        <v>56</v>
      </c>
      <c r="O293" t="s">
        <v>56</v>
      </c>
      <c r="P293" t="s">
        <v>56</v>
      </c>
      <c r="Q293" t="s">
        <v>56</v>
      </c>
      <c r="R293" t="s">
        <v>56</v>
      </c>
      <c r="S293" t="s">
        <v>56</v>
      </c>
      <c r="T293" t="s">
        <v>56</v>
      </c>
      <c r="U293" s="27" t="str">
        <f>LOOKUP(1,1/(Table1[[#This Row],[Level_0]:[Level 15]]&gt;0),(Table1[[#This Row],[Level_0]:[Level 15]]))</f>
        <v>3523420000 - [Curr.diff.underly.unreal.inc.]</v>
      </c>
      <c r="V293" s="21"/>
    </row>
    <row r="294" spans="1:22" hidden="1" x14ac:dyDescent="0.25">
      <c r="A294" s="16">
        <v>3523500000</v>
      </c>
      <c r="B294" s="16" t="s">
        <v>681</v>
      </c>
      <c r="C294" s="27">
        <v>3523000000</v>
      </c>
      <c r="D294" s="28" t="s">
        <v>58</v>
      </c>
      <c r="E294" s="25" t="s">
        <v>243</v>
      </c>
      <c r="F294" s="26" t="s">
        <v>245</v>
      </c>
      <c r="G294" s="26" t="s">
        <v>249</v>
      </c>
      <c r="H294" s="26" t="s">
        <v>258</v>
      </c>
      <c r="I294" s="26" t="s">
        <v>259</v>
      </c>
      <c r="J294" s="26" t="s">
        <v>267</v>
      </c>
      <c r="K294" s="26" t="s">
        <v>270</v>
      </c>
      <c r="L294" s="26"/>
      <c r="M294" t="s">
        <v>56</v>
      </c>
      <c r="N294" s="26" t="s">
        <v>56</v>
      </c>
      <c r="O294" t="s">
        <v>56</v>
      </c>
      <c r="P294" t="s">
        <v>56</v>
      </c>
      <c r="Q294" t="s">
        <v>56</v>
      </c>
      <c r="R294" t="s">
        <v>56</v>
      </c>
      <c r="S294" t="s">
        <v>56</v>
      </c>
      <c r="T294" t="s">
        <v>56</v>
      </c>
      <c r="U294" s="27" t="str">
        <f>LOOKUP(1,1/(Table1[[#This Row],[Level_0]:[Level 15]]&gt;0),(Table1[[#This Row],[Level_0]:[Level 15]]))</f>
        <v>3523500000 - [Currency difference derivative - financing, realized]</v>
      </c>
      <c r="V294" s="21"/>
    </row>
    <row r="295" spans="1:22" hidden="1" x14ac:dyDescent="0.25">
      <c r="A295" s="16">
        <v>3523600000</v>
      </c>
      <c r="B295" s="16" t="s">
        <v>682</v>
      </c>
      <c r="C295" s="27">
        <v>3523000000</v>
      </c>
      <c r="D295" s="28" t="s">
        <v>58</v>
      </c>
      <c r="E295" s="25" t="s">
        <v>243</v>
      </c>
      <c r="F295" s="26" t="s">
        <v>245</v>
      </c>
      <c r="G295" s="26" t="s">
        <v>249</v>
      </c>
      <c r="H295" s="26" t="s">
        <v>258</v>
      </c>
      <c r="I295" s="26" t="s">
        <v>259</v>
      </c>
      <c r="J295" s="26" t="s">
        <v>267</v>
      </c>
      <c r="K295" s="26" t="s">
        <v>269</v>
      </c>
      <c r="L295" s="26"/>
      <c r="M295" t="s">
        <v>56</v>
      </c>
      <c r="N295" s="26" t="s">
        <v>56</v>
      </c>
      <c r="O295" t="s">
        <v>56</v>
      </c>
      <c r="P295" t="s">
        <v>56</v>
      </c>
      <c r="Q295" t="s">
        <v>56</v>
      </c>
      <c r="R295" t="s">
        <v>56</v>
      </c>
      <c r="S295" t="s">
        <v>56</v>
      </c>
      <c r="T295" t="s">
        <v>56</v>
      </c>
      <c r="U295" s="27" t="str">
        <f>LOOKUP(1,1/(Table1[[#This Row],[Level_0]:[Level 15]]&gt;0),(Table1[[#This Row],[Level_0]:[Level 15]]))</f>
        <v>3523600000 - [Currency difference derivative - financing, unrealized]</v>
      </c>
      <c r="V295" s="21"/>
    </row>
    <row r="296" spans="1:22" hidden="1" x14ac:dyDescent="0.25">
      <c r="A296" s="16">
        <v>3523700000</v>
      </c>
      <c r="B296" s="16" t="s">
        <v>683</v>
      </c>
      <c r="C296" s="27">
        <v>3523000000</v>
      </c>
      <c r="D296" s="28" t="s">
        <v>58</v>
      </c>
      <c r="E296" s="25" t="s">
        <v>243</v>
      </c>
      <c r="F296" s="26" t="s">
        <v>245</v>
      </c>
      <c r="G296" s="26" t="s">
        <v>249</v>
      </c>
      <c r="H296" s="26" t="s">
        <v>258</v>
      </c>
      <c r="I296" s="26" t="s">
        <v>259</v>
      </c>
      <c r="J296" s="26" t="s">
        <v>267</v>
      </c>
      <c r="K296" s="26" t="s">
        <v>268</v>
      </c>
      <c r="L296" s="26"/>
      <c r="M296" t="s">
        <v>56</v>
      </c>
      <c r="N296" s="26" t="s">
        <v>56</v>
      </c>
      <c r="O296" t="s">
        <v>56</v>
      </c>
      <c r="P296" t="s">
        <v>56</v>
      </c>
      <c r="Q296" t="s">
        <v>56</v>
      </c>
      <c r="R296" t="s">
        <v>56</v>
      </c>
      <c r="S296" t="s">
        <v>56</v>
      </c>
      <c r="T296" t="s">
        <v>56</v>
      </c>
      <c r="U296" s="27" t="str">
        <f>LOOKUP(1,1/(Table1[[#This Row],[Level_0]:[Level 15]]&gt;0),(Table1[[#This Row],[Level_0]:[Level 15]]))</f>
        <v>3523700000 - [Time value of options]</v>
      </c>
      <c r="V296" s="21"/>
    </row>
    <row r="297" spans="1:22" hidden="1" x14ac:dyDescent="0.25">
      <c r="A297" s="16">
        <v>3524000000</v>
      </c>
      <c r="B297" s="16" t="s">
        <v>684</v>
      </c>
      <c r="C297" s="27">
        <v>3520000000</v>
      </c>
      <c r="D297" s="28" t="s">
        <v>58</v>
      </c>
      <c r="E297" s="25" t="s">
        <v>243</v>
      </c>
      <c r="F297" s="26" t="s">
        <v>245</v>
      </c>
      <c r="G297" s="26" t="s">
        <v>249</v>
      </c>
      <c r="H297" s="26" t="s">
        <v>258</v>
      </c>
      <c r="I297" s="26" t="s">
        <v>259</v>
      </c>
      <c r="J297" s="26" t="s">
        <v>263</v>
      </c>
      <c r="K297" s="26"/>
      <c r="L297" s="26"/>
      <c r="N297" s="26"/>
      <c r="U297" s="27" t="str">
        <f>LOOKUP(1,1/(Table1[[#This Row],[Level_0]:[Level 15]]&gt;0),(Table1[[#This Row],[Level_0]:[Level 15]]))</f>
        <v>3524000000 - [Interest quota - pensions and other provisions]</v>
      </c>
      <c r="V297" s="21"/>
    </row>
    <row r="298" spans="1:22" hidden="1" x14ac:dyDescent="0.25">
      <c r="A298" s="16">
        <v>3524100000</v>
      </c>
      <c r="B298" s="16" t="s">
        <v>685</v>
      </c>
      <c r="C298" s="27">
        <v>3524000000</v>
      </c>
      <c r="D298" s="28" t="s">
        <v>58</v>
      </c>
      <c r="E298" s="25" t="s">
        <v>243</v>
      </c>
      <c r="F298" s="26" t="s">
        <v>245</v>
      </c>
      <c r="G298" s="26" t="s">
        <v>249</v>
      </c>
      <c r="H298" s="26" t="s">
        <v>258</v>
      </c>
      <c r="I298" s="26" t="s">
        <v>259</v>
      </c>
      <c r="J298" s="26" t="s">
        <v>263</v>
      </c>
      <c r="K298" s="26" t="s">
        <v>266</v>
      </c>
      <c r="L298" s="26"/>
      <c r="M298" t="s">
        <v>56</v>
      </c>
      <c r="N298" s="26" t="s">
        <v>56</v>
      </c>
      <c r="O298" t="s">
        <v>56</v>
      </c>
      <c r="P298" t="s">
        <v>56</v>
      </c>
      <c r="Q298" t="s">
        <v>56</v>
      </c>
      <c r="R298" t="s">
        <v>56</v>
      </c>
      <c r="S298" t="s">
        <v>56</v>
      </c>
      <c r="T298" t="s">
        <v>56</v>
      </c>
      <c r="U298" s="27" t="str">
        <f>LOOKUP(1,1/(Table1[[#This Row],[Level_0]:[Level 15]]&gt;0),(Table1[[#This Row],[Level_0]:[Level 15]]))</f>
        <v>3524100000 - [Interest quota - pensions]</v>
      </c>
      <c r="V298" s="21"/>
    </row>
    <row r="299" spans="1:22" hidden="1" x14ac:dyDescent="0.25">
      <c r="A299" s="16">
        <v>3524200000</v>
      </c>
      <c r="B299" s="16" t="s">
        <v>686</v>
      </c>
      <c r="C299" s="27">
        <v>3524000000</v>
      </c>
      <c r="D299" s="28" t="s">
        <v>58</v>
      </c>
      <c r="E299" s="25" t="s">
        <v>243</v>
      </c>
      <c r="F299" s="26" t="s">
        <v>245</v>
      </c>
      <c r="G299" s="26" t="s">
        <v>249</v>
      </c>
      <c r="H299" s="26" t="s">
        <v>258</v>
      </c>
      <c r="I299" s="26" t="s">
        <v>259</v>
      </c>
      <c r="J299" s="26" t="s">
        <v>263</v>
      </c>
      <c r="K299" s="26" t="s">
        <v>265</v>
      </c>
      <c r="L299" s="26"/>
      <c r="M299" t="s">
        <v>56</v>
      </c>
      <c r="N299" s="26" t="s">
        <v>56</v>
      </c>
      <c r="O299" t="s">
        <v>56</v>
      </c>
      <c r="P299" t="s">
        <v>56</v>
      </c>
      <c r="Q299" t="s">
        <v>56</v>
      </c>
      <c r="R299" t="s">
        <v>56</v>
      </c>
      <c r="S299" t="s">
        <v>56</v>
      </c>
      <c r="T299" t="s">
        <v>56</v>
      </c>
      <c r="U299" s="27" t="str">
        <f>LOOKUP(1,1/(Table1[[#This Row],[Level_0]:[Level 15]]&gt;0),(Table1[[#This Row],[Level_0]:[Level 15]]))</f>
        <v>3524200000 - [Interest quota - long-term provisions]</v>
      </c>
      <c r="V299" s="21"/>
    </row>
    <row r="300" spans="1:22" hidden="1" x14ac:dyDescent="0.25">
      <c r="A300" s="16">
        <v>3524300000</v>
      </c>
      <c r="B300" s="16" t="s">
        <v>687</v>
      </c>
      <c r="C300" s="27">
        <v>3524000000</v>
      </c>
      <c r="D300" s="28" t="s">
        <v>58</v>
      </c>
      <c r="E300" s="25" t="s">
        <v>243</v>
      </c>
      <c r="F300" s="26" t="s">
        <v>245</v>
      </c>
      <c r="G300" s="26" t="s">
        <v>249</v>
      </c>
      <c r="H300" s="26" t="s">
        <v>258</v>
      </c>
      <c r="I300" s="26" t="s">
        <v>259</v>
      </c>
      <c r="J300" s="26" t="s">
        <v>263</v>
      </c>
      <c r="K300" s="26" t="s">
        <v>264</v>
      </c>
      <c r="L300" s="26"/>
      <c r="M300" t="s">
        <v>56</v>
      </c>
      <c r="N300" s="26" t="s">
        <v>56</v>
      </c>
      <c r="O300" t="s">
        <v>56</v>
      </c>
      <c r="P300" t="s">
        <v>56</v>
      </c>
      <c r="Q300" t="s">
        <v>56</v>
      </c>
      <c r="R300" t="s">
        <v>56</v>
      </c>
      <c r="S300" t="s">
        <v>56</v>
      </c>
      <c r="T300" t="s">
        <v>56</v>
      </c>
      <c r="U300" s="27" t="str">
        <f>LOOKUP(1,1/(Table1[[#This Row],[Level_0]:[Level 15]]&gt;0),(Table1[[#This Row],[Level_0]:[Level 15]]))</f>
        <v>3524300000 - [Time value of share based LTIP provision]</v>
      </c>
      <c r="V300" s="21"/>
    </row>
    <row r="301" spans="1:22" hidden="1" x14ac:dyDescent="0.25">
      <c r="A301" s="16">
        <v>3525000000</v>
      </c>
      <c r="B301" s="16" t="s">
        <v>688</v>
      </c>
      <c r="C301" s="27">
        <v>3520000000</v>
      </c>
      <c r="D301" s="28" t="s">
        <v>58</v>
      </c>
      <c r="E301" s="25" t="s">
        <v>243</v>
      </c>
      <c r="F301" s="26" t="s">
        <v>245</v>
      </c>
      <c r="G301" s="26" t="s">
        <v>249</v>
      </c>
      <c r="H301" s="26" t="s">
        <v>258</v>
      </c>
      <c r="I301" s="26" t="s">
        <v>259</v>
      </c>
      <c r="J301" s="26" t="s">
        <v>260</v>
      </c>
      <c r="K301" s="26"/>
      <c r="L301" s="26"/>
      <c r="N301" s="26"/>
      <c r="U301" s="27" t="str">
        <f>LOOKUP(1,1/(Table1[[#This Row],[Level_0]:[Level 15]]&gt;0),(Table1[[#This Row],[Level_0]:[Level 15]]))</f>
        <v>3525000000 - [Valuation interest derivat./underlying rec./liab.]</v>
      </c>
      <c r="V301" s="21"/>
    </row>
    <row r="302" spans="1:22" hidden="1" x14ac:dyDescent="0.25">
      <c r="A302" s="16">
        <v>3525100000</v>
      </c>
      <c r="B302" s="16" t="s">
        <v>689</v>
      </c>
      <c r="C302" s="27">
        <v>3525000000</v>
      </c>
      <c r="D302" s="28" t="s">
        <v>58</v>
      </c>
      <c r="E302" s="25" t="s">
        <v>243</v>
      </c>
      <c r="F302" s="26" t="s">
        <v>245</v>
      </c>
      <c r="G302" s="26" t="s">
        <v>249</v>
      </c>
      <c r="H302" s="26" t="s">
        <v>258</v>
      </c>
      <c r="I302" s="26" t="s">
        <v>259</v>
      </c>
      <c r="J302" s="26" t="s">
        <v>260</v>
      </c>
      <c r="K302" s="26" t="s">
        <v>262</v>
      </c>
      <c r="L302" s="26"/>
      <c r="M302" t="s">
        <v>56</v>
      </c>
      <c r="N302" s="26" t="s">
        <v>56</v>
      </c>
      <c r="O302" t="s">
        <v>56</v>
      </c>
      <c r="P302" t="s">
        <v>56</v>
      </c>
      <c r="Q302" t="s">
        <v>56</v>
      </c>
      <c r="R302" t="s">
        <v>56</v>
      </c>
      <c r="S302" t="s">
        <v>56</v>
      </c>
      <c r="T302" t="s">
        <v>56</v>
      </c>
      <c r="U302" s="27" t="str">
        <f>LOOKUP(1,1/(Table1[[#This Row],[Level_0]:[Level 15]]&gt;0),(Table1[[#This Row],[Level_0]:[Level 15]]))</f>
        <v>3525100000 - [Valuation of interest derivatives]</v>
      </c>
      <c r="V302" s="21"/>
    </row>
    <row r="303" spans="1:22" hidden="1" x14ac:dyDescent="0.25">
      <c r="A303" s="16">
        <v>3525200000</v>
      </c>
      <c r="B303" s="16" t="s">
        <v>690</v>
      </c>
      <c r="C303" s="27">
        <v>3525000000</v>
      </c>
      <c r="D303" s="28" t="s">
        <v>58</v>
      </c>
      <c r="E303" s="25" t="s">
        <v>243</v>
      </c>
      <c r="F303" s="26" t="s">
        <v>245</v>
      </c>
      <c r="G303" s="26" t="s">
        <v>249</v>
      </c>
      <c r="H303" s="26" t="s">
        <v>258</v>
      </c>
      <c r="I303" s="26" t="s">
        <v>259</v>
      </c>
      <c r="J303" s="26" t="s">
        <v>260</v>
      </c>
      <c r="K303" s="26" t="s">
        <v>261</v>
      </c>
      <c r="L303" s="26"/>
      <c r="M303" t="s">
        <v>56</v>
      </c>
      <c r="N303" s="26" t="s">
        <v>56</v>
      </c>
      <c r="O303" t="s">
        <v>56</v>
      </c>
      <c r="P303" t="s">
        <v>56</v>
      </c>
      <c r="Q303" t="s">
        <v>56</v>
      </c>
      <c r="R303" t="s">
        <v>56</v>
      </c>
      <c r="S303" t="s">
        <v>56</v>
      </c>
      <c r="T303" t="s">
        <v>56</v>
      </c>
      <c r="U303" s="27" t="str">
        <f>LOOKUP(1,1/(Table1[[#This Row],[Level_0]:[Level 15]]&gt;0),(Table1[[#This Row],[Level_0]:[Level 15]]))</f>
        <v>3525200000 - [Valuation of underlying receivable/liability]</v>
      </c>
      <c r="V303" s="21"/>
    </row>
    <row r="304" spans="1:22" hidden="1" x14ac:dyDescent="0.25">
      <c r="A304" s="16">
        <v>3610000000</v>
      </c>
      <c r="B304" s="16" t="s">
        <v>691</v>
      </c>
      <c r="C304" s="27">
        <v>3700000000</v>
      </c>
      <c r="D304" s="28" t="s">
        <v>58</v>
      </c>
      <c r="E304" s="25" t="s">
        <v>243</v>
      </c>
      <c r="F304" s="26" t="s">
        <v>245</v>
      </c>
      <c r="G304" s="26" t="s">
        <v>249</v>
      </c>
      <c r="H304" s="26" t="s">
        <v>250</v>
      </c>
      <c r="I304" s="26"/>
      <c r="J304" s="26" t="s">
        <v>56</v>
      </c>
      <c r="K304" s="26"/>
      <c r="L304" s="26"/>
      <c r="N304" s="26"/>
      <c r="U304" s="27" t="str">
        <f>LOOKUP(1,1/(Table1[[#This Row],[Level_0]:[Level 15]]&gt;0),(Table1[[#This Row],[Level_0]:[Level 15]]))</f>
        <v>3610000000 - [Income tax]</v>
      </c>
      <c r="V304" s="21"/>
    </row>
    <row r="305" spans="1:22" hidden="1" x14ac:dyDescent="0.25">
      <c r="A305" s="16">
        <v>3611000000</v>
      </c>
      <c r="B305" s="16" t="s">
        <v>692</v>
      </c>
      <c r="C305" s="27">
        <v>3610000000</v>
      </c>
      <c r="D305" s="28" t="s">
        <v>58</v>
      </c>
      <c r="E305" s="25" t="s">
        <v>243</v>
      </c>
      <c r="F305" s="26" t="s">
        <v>245</v>
      </c>
      <c r="G305" s="26" t="s">
        <v>249</v>
      </c>
      <c r="H305" s="26" t="s">
        <v>250</v>
      </c>
      <c r="I305" s="26" t="s">
        <v>257</v>
      </c>
      <c r="J305" s="26"/>
      <c r="K305" s="26"/>
      <c r="L305" s="26"/>
      <c r="N305" s="26"/>
      <c r="U305" s="27" t="str">
        <f>LOOKUP(1,1/(Table1[[#This Row],[Level_0]:[Level 15]]&gt;0),(Table1[[#This Row],[Level_0]:[Level 15]]))</f>
        <v>3611000000 - [Income tax - actual period]</v>
      </c>
      <c r="V305" s="21"/>
    </row>
    <row r="306" spans="1:22" hidden="1" x14ac:dyDescent="0.25">
      <c r="A306" s="16">
        <v>3612000000</v>
      </c>
      <c r="B306" s="16" t="s">
        <v>693</v>
      </c>
      <c r="C306" s="27">
        <v>3610000000</v>
      </c>
      <c r="D306" s="28" t="s">
        <v>58</v>
      </c>
      <c r="E306" s="25" t="s">
        <v>243</v>
      </c>
      <c r="F306" s="26" t="s">
        <v>245</v>
      </c>
      <c r="G306" s="26" t="s">
        <v>249</v>
      </c>
      <c r="H306" s="26" t="s">
        <v>250</v>
      </c>
      <c r="I306" s="26" t="s">
        <v>256</v>
      </c>
      <c r="J306" s="26"/>
      <c r="K306" s="26"/>
      <c r="L306" s="26"/>
      <c r="N306" s="26"/>
      <c r="U306" s="27" t="str">
        <f>LOOKUP(1,1/(Table1[[#This Row],[Level_0]:[Level 15]]&gt;0),(Table1[[#This Row],[Level_0]:[Level 15]]))</f>
        <v>3612000000 - [Income taxes - previous periods]</v>
      </c>
      <c r="V306" s="21"/>
    </row>
    <row r="307" spans="1:22" hidden="1" x14ac:dyDescent="0.25">
      <c r="A307" s="16">
        <v>3613000000</v>
      </c>
      <c r="B307" s="16" t="s">
        <v>694</v>
      </c>
      <c r="C307" s="27">
        <v>3610000000</v>
      </c>
      <c r="D307" s="28" t="s">
        <v>58</v>
      </c>
      <c r="E307" s="25" t="s">
        <v>243</v>
      </c>
      <c r="F307" s="26" t="s">
        <v>245</v>
      </c>
      <c r="G307" s="26" t="s">
        <v>249</v>
      </c>
      <c r="H307" s="26" t="s">
        <v>250</v>
      </c>
      <c r="I307" s="26" t="s">
        <v>255</v>
      </c>
      <c r="J307" s="26"/>
      <c r="K307" s="26"/>
      <c r="L307" s="26"/>
      <c r="N307" s="26"/>
      <c r="U307" s="27" t="str">
        <f>LOOKUP(1,1/(Table1[[#This Row],[Level_0]:[Level 15]]&gt;0),(Table1[[#This Row],[Level_0]:[Level 15]]))</f>
        <v>3613000000 - [Deferred taxes]</v>
      </c>
      <c r="V307" s="21"/>
    </row>
    <row r="308" spans="1:22" hidden="1" x14ac:dyDescent="0.25">
      <c r="A308" s="16">
        <v>3614000000</v>
      </c>
      <c r="B308" s="16" t="s">
        <v>695</v>
      </c>
      <c r="C308" s="27">
        <v>3610000000</v>
      </c>
      <c r="D308" s="28" t="s">
        <v>58</v>
      </c>
      <c r="E308" s="25" t="s">
        <v>243</v>
      </c>
      <c r="F308" s="26" t="s">
        <v>245</v>
      </c>
      <c r="G308" s="26" t="s">
        <v>249</v>
      </c>
      <c r="H308" s="26" t="s">
        <v>250</v>
      </c>
      <c r="I308" s="26" t="s">
        <v>254</v>
      </c>
      <c r="J308" s="26"/>
      <c r="K308" s="26"/>
      <c r="L308" s="26"/>
      <c r="N308" s="26"/>
      <c r="U308" s="27" t="str">
        <f>LOOKUP(1,1/(Table1[[#This Row],[Level_0]:[Level 15]]&gt;0),(Table1[[#This Row],[Level_0]:[Level 15]]))</f>
        <v>3614000000 - [Income tax - exceptional items]</v>
      </c>
      <c r="V308" s="21"/>
    </row>
    <row r="309" spans="1:22" hidden="1" x14ac:dyDescent="0.25">
      <c r="A309" s="16">
        <v>3615000000</v>
      </c>
      <c r="B309" s="16" t="s">
        <v>696</v>
      </c>
      <c r="C309" s="27">
        <v>3610000000</v>
      </c>
      <c r="D309" s="28" t="s">
        <v>58</v>
      </c>
      <c r="E309" s="25" t="s">
        <v>243</v>
      </c>
      <c r="F309" s="26" t="s">
        <v>245</v>
      </c>
      <c r="G309" s="26" t="s">
        <v>249</v>
      </c>
      <c r="H309" s="26" t="s">
        <v>250</v>
      </c>
      <c r="I309" s="26" t="s">
        <v>253</v>
      </c>
      <c r="J309" s="26"/>
      <c r="K309" s="26"/>
      <c r="L309" s="26"/>
      <c r="N309" s="26"/>
      <c r="U309" s="27" t="str">
        <f>LOOKUP(1,1/(Table1[[#This Row],[Level_0]:[Level 15]]&gt;0),(Table1[[#This Row],[Level_0]:[Level 15]]))</f>
        <v>3615000000 - [Deferred taxes - exceptional items]</v>
      </c>
      <c r="V309" s="21"/>
    </row>
    <row r="310" spans="1:22" hidden="1" x14ac:dyDescent="0.25">
      <c r="A310" s="16">
        <v>3616000000</v>
      </c>
      <c r="B310" s="16" t="s">
        <v>697</v>
      </c>
      <c r="C310" s="27">
        <v>3610000000</v>
      </c>
      <c r="D310" s="28" t="s">
        <v>58</v>
      </c>
      <c r="E310" s="25" t="s">
        <v>243</v>
      </c>
      <c r="F310" s="26" t="s">
        <v>245</v>
      </c>
      <c r="G310" s="26" t="s">
        <v>249</v>
      </c>
      <c r="H310" s="26" t="s">
        <v>250</v>
      </c>
      <c r="I310" s="26" t="s">
        <v>252</v>
      </c>
      <c r="J310" s="26"/>
      <c r="K310" s="26"/>
      <c r="L310" s="26"/>
      <c r="N310" s="26"/>
      <c r="U310" s="27" t="str">
        <f>LOOKUP(1,1/(Table1[[#This Row],[Level_0]:[Level 15]]&gt;0),(Table1[[#This Row],[Level_0]:[Level 15]]))</f>
        <v>3616000000 - [Income tax - adjustments]</v>
      </c>
      <c r="V310" s="21"/>
    </row>
    <row r="311" spans="1:22" hidden="1" x14ac:dyDescent="0.25">
      <c r="A311" s="16">
        <v>3617000000</v>
      </c>
      <c r="B311" s="16" t="s">
        <v>698</v>
      </c>
      <c r="C311" s="27">
        <v>3610000000</v>
      </c>
      <c r="D311" s="28" t="s">
        <v>58</v>
      </c>
      <c r="E311" s="25" t="s">
        <v>243</v>
      </c>
      <c r="F311" s="26" t="s">
        <v>245</v>
      </c>
      <c r="G311" s="26" t="s">
        <v>249</v>
      </c>
      <c r="H311" s="26" t="s">
        <v>250</v>
      </c>
      <c r="I311" s="26" t="s">
        <v>251</v>
      </c>
      <c r="J311" s="26"/>
      <c r="K311" s="26"/>
      <c r="L311" s="26"/>
      <c r="N311" s="26"/>
      <c r="U311" s="27" t="str">
        <f>LOOKUP(1,1/(Table1[[#This Row],[Level_0]:[Level 15]]&gt;0),(Table1[[#This Row],[Level_0]:[Level 15]]))</f>
        <v>3617000000 - [Deferred taxes - adjustments]</v>
      </c>
      <c r="V311" s="21"/>
    </row>
    <row r="312" spans="1:22" hidden="1" x14ac:dyDescent="0.25">
      <c r="A312" s="16">
        <v>3710000000</v>
      </c>
      <c r="B312" s="16" t="s">
        <v>699</v>
      </c>
      <c r="C312" s="27">
        <v>3800000000</v>
      </c>
      <c r="D312" s="28" t="s">
        <v>58</v>
      </c>
      <c r="E312" s="25" t="s">
        <v>243</v>
      </c>
      <c r="F312" s="26" t="s">
        <v>245</v>
      </c>
      <c r="G312" s="26" t="s">
        <v>246</v>
      </c>
      <c r="H312" s="26"/>
      <c r="I312" s="26" t="s">
        <v>56</v>
      </c>
      <c r="J312" s="26" t="s">
        <v>56</v>
      </c>
      <c r="K312" s="26"/>
      <c r="L312" s="26"/>
      <c r="N312" s="26"/>
      <c r="U312" s="27" t="str">
        <f>LOOKUP(1,1/(Table1[[#This Row],[Level_0]:[Level 15]]&gt;0),(Table1[[#This Row],[Level_0]:[Level 15]]))</f>
        <v>3710000000 - [Profit after tax discontinued operations]</v>
      </c>
      <c r="V312" s="21"/>
    </row>
    <row r="313" spans="1:22" hidden="1" x14ac:dyDescent="0.25">
      <c r="A313" s="16">
        <v>3711000000</v>
      </c>
      <c r="B313" s="16" t="s">
        <v>700</v>
      </c>
      <c r="C313" s="27">
        <v>3710000000</v>
      </c>
      <c r="D313" s="28" t="s">
        <v>58</v>
      </c>
      <c r="E313" s="25" t="s">
        <v>243</v>
      </c>
      <c r="F313" s="26" t="s">
        <v>245</v>
      </c>
      <c r="G313" s="26" t="s">
        <v>246</v>
      </c>
      <c r="H313" s="26" t="s">
        <v>248</v>
      </c>
      <c r="I313" s="26"/>
      <c r="J313" s="26" t="s">
        <v>56</v>
      </c>
      <c r="K313" s="26"/>
      <c r="L313" s="26"/>
      <c r="N313" s="26"/>
      <c r="U313" s="27" t="str">
        <f>LOOKUP(1,1/(Table1[[#This Row],[Level_0]:[Level 15]]&gt;0),(Table1[[#This Row],[Level_0]:[Level 15]]))</f>
        <v>3711000000 - [Profit after tax disc. op. - operating activities]</v>
      </c>
      <c r="V313" s="21"/>
    </row>
    <row r="314" spans="1:22" hidden="1" x14ac:dyDescent="0.25">
      <c r="A314" s="16">
        <v>3712000000</v>
      </c>
      <c r="B314" s="16" t="s">
        <v>701</v>
      </c>
      <c r="C314" s="27">
        <v>3710000000</v>
      </c>
      <c r="D314" s="28" t="s">
        <v>58</v>
      </c>
      <c r="E314" s="25" t="s">
        <v>243</v>
      </c>
      <c r="F314" s="26" t="s">
        <v>245</v>
      </c>
      <c r="G314" s="26" t="s">
        <v>246</v>
      </c>
      <c r="H314" s="26" t="s">
        <v>247</v>
      </c>
      <c r="I314" s="26"/>
      <c r="J314" s="26" t="s">
        <v>56</v>
      </c>
      <c r="K314" s="26"/>
      <c r="L314" s="26"/>
      <c r="N314" s="26"/>
      <c r="U314" s="27" t="str">
        <f>LOOKUP(1,1/(Table1[[#This Row],[Level_0]:[Level 15]]&gt;0),(Table1[[#This Row],[Level_0]:[Level 15]]))</f>
        <v>3712000000 - [Profit after tax disc. op. - gain on disposal]</v>
      </c>
      <c r="V314" s="21"/>
    </row>
    <row r="315" spans="1:22" hidden="1" x14ac:dyDescent="0.25">
      <c r="A315" s="16">
        <v>3810000000</v>
      </c>
      <c r="B315" s="16" t="s">
        <v>702</v>
      </c>
      <c r="C315" s="27">
        <v>3900000000</v>
      </c>
      <c r="D315" s="28" t="s">
        <v>58</v>
      </c>
      <c r="E315" s="25" t="s">
        <v>243</v>
      </c>
      <c r="F315" s="26" t="s">
        <v>244</v>
      </c>
      <c r="G315" s="26"/>
      <c r="H315" s="26"/>
      <c r="I315" s="26"/>
      <c r="J315" s="26"/>
      <c r="K315" s="26"/>
      <c r="L315" s="26"/>
      <c r="N315" s="26"/>
      <c r="U315" s="27" t="str">
        <f>LOOKUP(1,1/(Table1[[#This Row],[Level_0]:[Level 15]]&gt;0),(Table1[[#This Row],[Level_0]:[Level 15]]))</f>
        <v>3810000000 - [Non-controlling interest]</v>
      </c>
      <c r="V315" s="21"/>
    </row>
    <row r="316" spans="1:22" hidden="1" x14ac:dyDescent="0.25">
      <c r="A316" s="16">
        <v>3111100000</v>
      </c>
      <c r="B316" s="16" t="s">
        <v>711</v>
      </c>
      <c r="C316" s="27">
        <v>5891420000</v>
      </c>
      <c r="D316" s="28" t="s">
        <v>58</v>
      </c>
      <c r="E316" s="25" t="s">
        <v>770</v>
      </c>
      <c r="F316" s="26"/>
      <c r="G316" s="26"/>
      <c r="H316" s="26"/>
      <c r="I316" s="26"/>
      <c r="J316" s="26"/>
      <c r="K316" s="26"/>
      <c r="L316" s="26"/>
      <c r="N316" s="26"/>
      <c r="U316" s="27" t="str">
        <f>LOOKUP(1,1/(Table1[[#This Row],[Level_0]:[Level 15]]&gt;0),(Table1[[#This Row],[Level_0]:[Level 15]]))</f>
        <v>3111100000 - [Custom RPP]</v>
      </c>
      <c r="V316" s="21"/>
    </row>
    <row r="317" spans="1:22" hidden="1" x14ac:dyDescent="0.25">
      <c r="A317" s="16">
        <v>3111110000</v>
      </c>
      <c r="B317" s="16" t="s">
        <v>712</v>
      </c>
      <c r="C317" s="27">
        <v>3111100000</v>
      </c>
      <c r="D317" s="28" t="s">
        <v>58</v>
      </c>
      <c r="E317" s="25" t="s">
        <v>770</v>
      </c>
      <c r="F317" s="26" t="s">
        <v>122</v>
      </c>
      <c r="G317" s="26"/>
      <c r="H317" s="26"/>
      <c r="I317" s="26"/>
      <c r="J317" s="26"/>
      <c r="K317" s="26"/>
      <c r="L317" s="26"/>
      <c r="N317" s="26"/>
      <c r="U317" s="27" t="str">
        <f>LOOKUP(1,1/(Table1[[#This Row],[Level_0]:[Level 15]]&gt;0),(Table1[[#This Row],[Level_0]:[Level 15]]))</f>
        <v>3111110000 - [IC Commission income reclassification]</v>
      </c>
      <c r="V317" s="21"/>
    </row>
    <row r="318" spans="1:22" hidden="1" x14ac:dyDescent="0.25">
      <c r="A318" s="13" t="s">
        <v>379</v>
      </c>
      <c r="B318" s="16" t="s">
        <v>713</v>
      </c>
      <c r="C318" s="27">
        <v>3111100000</v>
      </c>
      <c r="D318" s="28" t="s">
        <v>58</v>
      </c>
      <c r="E318" s="25" t="s">
        <v>770</v>
      </c>
      <c r="F318" s="26" t="s">
        <v>121</v>
      </c>
      <c r="G318" s="26"/>
      <c r="H318" s="26"/>
      <c r="I318" s="26"/>
      <c r="J318" s="26"/>
      <c r="K318" s="26"/>
      <c r="L318" s="26"/>
      <c r="N318" s="26"/>
      <c r="U318" s="27" t="str">
        <f>LOOKUP(1,1/(Table1[[#This Row],[Level_0]:[Level 15]]&gt;0),(Table1[[#This Row],[Level_0]:[Level 15]]))</f>
        <v>31111199IC - [IC Adjustment-Royalty / License / Commission / Profit share]</v>
      </c>
      <c r="V318" s="21"/>
    </row>
    <row r="319" spans="1:22" hidden="1" x14ac:dyDescent="0.25">
      <c r="A319" s="13" t="s">
        <v>380</v>
      </c>
      <c r="B319" s="16" t="s">
        <v>714</v>
      </c>
      <c r="C319" s="27">
        <v>3111100000</v>
      </c>
      <c r="D319" s="28" t="s">
        <v>58</v>
      </c>
      <c r="E319" s="25" t="s">
        <v>770</v>
      </c>
      <c r="F319" s="26" t="s">
        <v>120</v>
      </c>
      <c r="G319" s="26"/>
      <c r="H319" s="26"/>
      <c r="I319" s="26"/>
      <c r="J319" s="26"/>
      <c r="K319" s="26"/>
      <c r="L319" s="26"/>
      <c r="N319" s="26"/>
      <c r="U319" s="27" t="str">
        <f>LOOKUP(1,1/(Table1[[#This Row],[Level_0]:[Level 15]]&gt;0),(Table1[[#This Row],[Level_0]:[Level 15]]))</f>
        <v>31111299LA - [LA-Elimination of IC Royalty/License/Commission/Profit share]</v>
      </c>
      <c r="V319" s="21"/>
    </row>
  </sheetData>
  <mergeCells count="3">
    <mergeCell ref="AC4:AD4"/>
    <mergeCell ref="AF4:AG4"/>
    <mergeCell ref="D4:E4"/>
  </mergeCells>
  <phoneticPr fontId="10" type="noConversion"/>
  <pageMargins left="0.7" right="0.7" top="0.75" bottom="0.75" header="0.3" footer="0.3"/>
  <pageSetup paperSize="9" orientation="portrait" horizontalDpi="90" verticalDpi="90" r:id="rId1"/>
  <customProperties>
    <customPr name="_pios_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6" r:id="rId5" name="Label 2">
              <controlPr defaultSize="0" autoFill="0" autoLine="0" autoPict="0">
                <anchor moveWithCells="1">
                  <from>
                    <xdr:col>4</xdr:col>
                    <xdr:colOff>1181100</xdr:colOff>
                    <xdr:row>3</xdr:row>
                    <xdr:rowOff>228600</xdr:rowOff>
                  </from>
                  <to>
                    <xdr:col>4</xdr:col>
                    <xdr:colOff>4238625</xdr:colOff>
                    <xdr:row>3</xdr:row>
                    <xdr:rowOff>647700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4E90F-4D6C-40B1-A5EF-981CC64FCB54}">
  <sheetPr codeName="Sheet3"/>
  <dimension ref="A1:B1103"/>
  <sheetViews>
    <sheetView workbookViewId="0">
      <selection activeCell="A3" sqref="A3"/>
    </sheetView>
  </sheetViews>
  <sheetFormatPr defaultRowHeight="15" x14ac:dyDescent="0.25"/>
  <cols>
    <col min="1" max="1" width="12.7109375" bestFit="1" customWidth="1"/>
    <col min="2" max="2" width="44.42578125" bestFit="1" customWidth="1"/>
  </cols>
  <sheetData>
    <row r="1" spans="1:2" x14ac:dyDescent="0.25">
      <c r="A1" t="s">
        <v>53</v>
      </c>
      <c r="B1" t="s">
        <v>54</v>
      </c>
    </row>
    <row r="2" spans="1:2" x14ac:dyDescent="0.25">
      <c r="A2" t="s">
        <v>58</v>
      </c>
    </row>
    <row r="3" spans="1:2" x14ac:dyDescent="0.25">
      <c r="A3">
        <v>3900000000</v>
      </c>
      <c r="B3" t="s">
        <v>397</v>
      </c>
    </row>
    <row r="4" spans="1:2" x14ac:dyDescent="0.25">
      <c r="A4">
        <v>3800000000</v>
      </c>
      <c r="B4" t="s">
        <v>398</v>
      </c>
    </row>
    <row r="5" spans="1:2" x14ac:dyDescent="0.25">
      <c r="A5">
        <v>3700000000</v>
      </c>
      <c r="B5" t="s">
        <v>399</v>
      </c>
    </row>
    <row r="6" spans="1:2" x14ac:dyDescent="0.25">
      <c r="A6">
        <v>3600000000</v>
      </c>
      <c r="B6" t="s">
        <v>400</v>
      </c>
    </row>
    <row r="7" spans="1:2" x14ac:dyDescent="0.25">
      <c r="A7">
        <v>3500000000</v>
      </c>
      <c r="B7" t="s">
        <v>401</v>
      </c>
    </row>
    <row r="8" spans="1:2" x14ac:dyDescent="0.25">
      <c r="A8">
        <v>3400000000</v>
      </c>
      <c r="B8" t="s">
        <v>402</v>
      </c>
    </row>
    <row r="9" spans="1:2" x14ac:dyDescent="0.25">
      <c r="A9">
        <v>3300000000</v>
      </c>
      <c r="B9" t="s">
        <v>403</v>
      </c>
    </row>
    <row r="10" spans="1:2" x14ac:dyDescent="0.25">
      <c r="A10">
        <v>3200000000</v>
      </c>
      <c r="B10" t="s">
        <v>404</v>
      </c>
    </row>
    <row r="11" spans="1:2" x14ac:dyDescent="0.25">
      <c r="A11">
        <v>3100000000</v>
      </c>
      <c r="B11" t="s">
        <v>405</v>
      </c>
    </row>
    <row r="12" spans="1:2" x14ac:dyDescent="0.25">
      <c r="A12">
        <v>3010000000</v>
      </c>
      <c r="B12" t="s">
        <v>406</v>
      </c>
    </row>
    <row r="13" spans="1:2" x14ac:dyDescent="0.25">
      <c r="A13">
        <v>3011000000</v>
      </c>
      <c r="B13" t="s">
        <v>407</v>
      </c>
    </row>
    <row r="14" spans="1:2" x14ac:dyDescent="0.25">
      <c r="A14">
        <v>3011100000</v>
      </c>
      <c r="B14" t="s">
        <v>408</v>
      </c>
    </row>
    <row r="15" spans="1:2" x14ac:dyDescent="0.25">
      <c r="A15">
        <v>3011110000</v>
      </c>
      <c r="B15" t="s">
        <v>409</v>
      </c>
    </row>
    <row r="16" spans="1:2" x14ac:dyDescent="0.25">
      <c r="A16">
        <v>3011120000</v>
      </c>
      <c r="B16" t="s">
        <v>410</v>
      </c>
    </row>
    <row r="17" spans="1:2" x14ac:dyDescent="0.25">
      <c r="A17">
        <v>3011139000</v>
      </c>
      <c r="B17" t="s">
        <v>411</v>
      </c>
    </row>
    <row r="18" spans="1:2" x14ac:dyDescent="0.25">
      <c r="A18">
        <v>3011160000</v>
      </c>
      <c r="B18" t="s">
        <v>412</v>
      </c>
    </row>
    <row r="19" spans="1:2" x14ac:dyDescent="0.25">
      <c r="A19">
        <v>3011200000</v>
      </c>
      <c r="B19" t="s">
        <v>413</v>
      </c>
    </row>
    <row r="20" spans="1:2" x14ac:dyDescent="0.25">
      <c r="A20">
        <v>3012000000</v>
      </c>
      <c r="B20" t="s">
        <v>414</v>
      </c>
    </row>
    <row r="21" spans="1:2" x14ac:dyDescent="0.25">
      <c r="A21">
        <v>3012200000</v>
      </c>
      <c r="B21" t="s">
        <v>415</v>
      </c>
    </row>
    <row r="22" spans="1:2" x14ac:dyDescent="0.25">
      <c r="A22">
        <v>3012210000</v>
      </c>
      <c r="B22" t="s">
        <v>416</v>
      </c>
    </row>
    <row r="23" spans="1:2" x14ac:dyDescent="0.25">
      <c r="A23">
        <v>3012220000</v>
      </c>
      <c r="B23" t="s">
        <v>417</v>
      </c>
    </row>
    <row r="24" spans="1:2" x14ac:dyDescent="0.25">
      <c r="A24">
        <v>3020000000</v>
      </c>
      <c r="B24" t="s">
        <v>418</v>
      </c>
    </row>
    <row r="25" spans="1:2" x14ac:dyDescent="0.25">
      <c r="A25">
        <v>3020100000</v>
      </c>
      <c r="B25" t="s">
        <v>419</v>
      </c>
    </row>
    <row r="26" spans="1:2" x14ac:dyDescent="0.25">
      <c r="A26">
        <v>3020110000</v>
      </c>
      <c r="B26" t="s">
        <v>420</v>
      </c>
    </row>
    <row r="27" spans="1:2" x14ac:dyDescent="0.25">
      <c r="A27">
        <v>3020120000</v>
      </c>
      <c r="B27" t="s">
        <v>421</v>
      </c>
    </row>
    <row r="28" spans="1:2" x14ac:dyDescent="0.25">
      <c r="A28">
        <v>3020130000</v>
      </c>
      <c r="B28" t="s">
        <v>422</v>
      </c>
    </row>
    <row r="29" spans="1:2" x14ac:dyDescent="0.25">
      <c r="A29">
        <v>3020131000</v>
      </c>
      <c r="B29" t="s">
        <v>423</v>
      </c>
    </row>
    <row r="30" spans="1:2" x14ac:dyDescent="0.25">
      <c r="A30">
        <v>3020132000</v>
      </c>
      <c r="B30" t="s">
        <v>424</v>
      </c>
    </row>
    <row r="31" spans="1:2" x14ac:dyDescent="0.25">
      <c r="A31">
        <v>3020200000</v>
      </c>
      <c r="B31" t="s">
        <v>425</v>
      </c>
    </row>
    <row r="32" spans="1:2" x14ac:dyDescent="0.25">
      <c r="A32">
        <v>3020210000</v>
      </c>
      <c r="B32" t="s">
        <v>426</v>
      </c>
    </row>
    <row r="33" spans="1:2" x14ac:dyDescent="0.25">
      <c r="A33">
        <v>3020211000</v>
      </c>
      <c r="B33" t="s">
        <v>427</v>
      </c>
    </row>
    <row r="34" spans="1:2" x14ac:dyDescent="0.25">
      <c r="A34">
        <v>3020212000</v>
      </c>
      <c r="B34" t="s">
        <v>428</v>
      </c>
    </row>
    <row r="35" spans="1:2" x14ac:dyDescent="0.25">
      <c r="A35">
        <v>3020220000</v>
      </c>
      <c r="B35" t="s">
        <v>429</v>
      </c>
    </row>
    <row r="36" spans="1:2" x14ac:dyDescent="0.25">
      <c r="A36">
        <v>3020230000</v>
      </c>
      <c r="B36" t="s">
        <v>430</v>
      </c>
    </row>
    <row r="37" spans="1:2" x14ac:dyDescent="0.25">
      <c r="A37">
        <v>3020231000</v>
      </c>
      <c r="B37" t="s">
        <v>431</v>
      </c>
    </row>
    <row r="38" spans="1:2" x14ac:dyDescent="0.25">
      <c r="A38">
        <v>3020232000</v>
      </c>
      <c r="B38" t="s">
        <v>432</v>
      </c>
    </row>
    <row r="39" spans="1:2" x14ac:dyDescent="0.25">
      <c r="A39">
        <v>3020300000</v>
      </c>
      <c r="B39" t="s">
        <v>433</v>
      </c>
    </row>
    <row r="40" spans="1:2" x14ac:dyDescent="0.25">
      <c r="A40">
        <v>3020310000</v>
      </c>
      <c r="B40" t="s">
        <v>434</v>
      </c>
    </row>
    <row r="41" spans="1:2" x14ac:dyDescent="0.25">
      <c r="A41">
        <v>3020320000</v>
      </c>
      <c r="B41" t="s">
        <v>435</v>
      </c>
    </row>
    <row r="42" spans="1:2" x14ac:dyDescent="0.25">
      <c r="A42">
        <v>3020400000</v>
      </c>
      <c r="B42" t="s">
        <v>436</v>
      </c>
    </row>
    <row r="43" spans="1:2" x14ac:dyDescent="0.25">
      <c r="A43">
        <v>3020401000</v>
      </c>
      <c r="B43" t="s">
        <v>437</v>
      </c>
    </row>
    <row r="44" spans="1:2" x14ac:dyDescent="0.25">
      <c r="A44">
        <v>3020410000</v>
      </c>
      <c r="B44" t="s">
        <v>438</v>
      </c>
    </row>
    <row r="45" spans="1:2" x14ac:dyDescent="0.25">
      <c r="A45">
        <v>3020420000</v>
      </c>
      <c r="B45" t="s">
        <v>439</v>
      </c>
    </row>
    <row r="46" spans="1:2" x14ac:dyDescent="0.25">
      <c r="A46">
        <v>3020402000</v>
      </c>
      <c r="B46" t="s">
        <v>440</v>
      </c>
    </row>
    <row r="47" spans="1:2" x14ac:dyDescent="0.25">
      <c r="A47">
        <v>3020430000</v>
      </c>
      <c r="B47" t="s">
        <v>441</v>
      </c>
    </row>
    <row r="48" spans="1:2" x14ac:dyDescent="0.25">
      <c r="A48">
        <v>3020440000</v>
      </c>
      <c r="B48" t="s">
        <v>442</v>
      </c>
    </row>
    <row r="49" spans="1:2" x14ac:dyDescent="0.25">
      <c r="A49">
        <v>3020450000</v>
      </c>
      <c r="B49" t="s">
        <v>443</v>
      </c>
    </row>
    <row r="50" spans="1:2" x14ac:dyDescent="0.25">
      <c r="A50">
        <v>3020501000</v>
      </c>
      <c r="B50" t="s">
        <v>444</v>
      </c>
    </row>
    <row r="51" spans="1:2" x14ac:dyDescent="0.25">
      <c r="A51">
        <v>3020500000</v>
      </c>
      <c r="B51" t="s">
        <v>445</v>
      </c>
    </row>
    <row r="52" spans="1:2" x14ac:dyDescent="0.25">
      <c r="A52">
        <v>3020510000</v>
      </c>
      <c r="B52" t="s">
        <v>446</v>
      </c>
    </row>
    <row r="53" spans="1:2" x14ac:dyDescent="0.25">
      <c r="A53">
        <v>3020520000</v>
      </c>
      <c r="B53" t="s">
        <v>447</v>
      </c>
    </row>
    <row r="54" spans="1:2" x14ac:dyDescent="0.25">
      <c r="A54">
        <v>3020502000</v>
      </c>
      <c r="B54" t="s">
        <v>448</v>
      </c>
    </row>
    <row r="55" spans="1:2" x14ac:dyDescent="0.25">
      <c r="A55">
        <v>3020530000</v>
      </c>
      <c r="B55" t="s">
        <v>449</v>
      </c>
    </row>
    <row r="56" spans="1:2" x14ac:dyDescent="0.25">
      <c r="A56">
        <v>3020531100</v>
      </c>
      <c r="B56" t="s">
        <v>450</v>
      </c>
    </row>
    <row r="57" spans="1:2" x14ac:dyDescent="0.25">
      <c r="A57">
        <v>3020531200</v>
      </c>
      <c r="B57" t="s">
        <v>451</v>
      </c>
    </row>
    <row r="58" spans="1:2" x14ac:dyDescent="0.25">
      <c r="A58">
        <v>3020531300</v>
      </c>
      <c r="B58" t="s">
        <v>451</v>
      </c>
    </row>
    <row r="59" spans="1:2" x14ac:dyDescent="0.25">
      <c r="A59">
        <v>3020532000</v>
      </c>
      <c r="B59" t="s">
        <v>452</v>
      </c>
    </row>
    <row r="60" spans="1:2" x14ac:dyDescent="0.25">
      <c r="A60">
        <v>3020533100</v>
      </c>
      <c r="B60" t="s">
        <v>453</v>
      </c>
    </row>
    <row r="61" spans="1:2" x14ac:dyDescent="0.25">
      <c r="A61">
        <v>3020533200</v>
      </c>
      <c r="B61" t="s">
        <v>454</v>
      </c>
    </row>
    <row r="62" spans="1:2" x14ac:dyDescent="0.25">
      <c r="A62">
        <v>3020700000</v>
      </c>
      <c r="B62" t="s">
        <v>455</v>
      </c>
    </row>
    <row r="63" spans="1:2" x14ac:dyDescent="0.25">
      <c r="A63">
        <v>3020710000</v>
      </c>
      <c r="B63" t="s">
        <v>456</v>
      </c>
    </row>
    <row r="64" spans="1:2" x14ac:dyDescent="0.25">
      <c r="A64">
        <v>3020810000</v>
      </c>
      <c r="B64" t="s">
        <v>457</v>
      </c>
    </row>
    <row r="65" spans="1:2" x14ac:dyDescent="0.25">
      <c r="A65">
        <v>3020820000</v>
      </c>
      <c r="B65" t="s">
        <v>458</v>
      </c>
    </row>
    <row r="66" spans="1:2" x14ac:dyDescent="0.25">
      <c r="A66">
        <v>3020990000</v>
      </c>
      <c r="B66" t="s">
        <v>459</v>
      </c>
    </row>
    <row r="67" spans="1:2" x14ac:dyDescent="0.25">
      <c r="A67">
        <v>3020600000</v>
      </c>
      <c r="B67" t="s">
        <v>460</v>
      </c>
    </row>
    <row r="68" spans="1:2" x14ac:dyDescent="0.25">
      <c r="A68">
        <v>3020900000</v>
      </c>
      <c r="B68" t="s">
        <v>461</v>
      </c>
    </row>
    <row r="69" spans="1:2" x14ac:dyDescent="0.25">
      <c r="A69">
        <v>3100100000</v>
      </c>
      <c r="B69" t="s">
        <v>462</v>
      </c>
    </row>
    <row r="70" spans="1:2" x14ac:dyDescent="0.25">
      <c r="A70">
        <v>3110000000</v>
      </c>
      <c r="B70" t="s">
        <v>463</v>
      </c>
    </row>
    <row r="71" spans="1:2" x14ac:dyDescent="0.25">
      <c r="A71">
        <v>3110100000</v>
      </c>
      <c r="B71" t="s">
        <v>464</v>
      </c>
    </row>
    <row r="72" spans="1:2" x14ac:dyDescent="0.25">
      <c r="A72">
        <v>3110110000</v>
      </c>
      <c r="B72" t="s">
        <v>465</v>
      </c>
    </row>
    <row r="73" spans="1:2" x14ac:dyDescent="0.25">
      <c r="A73">
        <v>3110120000</v>
      </c>
      <c r="B73" t="s">
        <v>466</v>
      </c>
    </row>
    <row r="74" spans="1:2" x14ac:dyDescent="0.25">
      <c r="A74">
        <v>3110130000</v>
      </c>
      <c r="B74" t="s">
        <v>467</v>
      </c>
    </row>
    <row r="75" spans="1:2" x14ac:dyDescent="0.25">
      <c r="A75">
        <v>3110140000</v>
      </c>
      <c r="B75" t="s">
        <v>468</v>
      </c>
    </row>
    <row r="76" spans="1:2" x14ac:dyDescent="0.25">
      <c r="A76">
        <v>3110150000</v>
      </c>
      <c r="B76" t="s">
        <v>469</v>
      </c>
    </row>
    <row r="77" spans="1:2" x14ac:dyDescent="0.25">
      <c r="A77">
        <v>3110160000</v>
      </c>
      <c r="B77" t="s">
        <v>470</v>
      </c>
    </row>
    <row r="78" spans="1:2" x14ac:dyDescent="0.25">
      <c r="A78">
        <v>3110170000</v>
      </c>
      <c r="B78" t="s">
        <v>471</v>
      </c>
    </row>
    <row r="79" spans="1:2" x14ac:dyDescent="0.25">
      <c r="A79">
        <v>3110200000</v>
      </c>
      <c r="B79" t="s">
        <v>472</v>
      </c>
    </row>
    <row r="80" spans="1:2" x14ac:dyDescent="0.25">
      <c r="A80">
        <v>3110210000</v>
      </c>
      <c r="B80" t="s">
        <v>473</v>
      </c>
    </row>
    <row r="81" spans="1:2" x14ac:dyDescent="0.25">
      <c r="A81">
        <v>3110220000</v>
      </c>
      <c r="B81" t="s">
        <v>474</v>
      </c>
    </row>
    <row r="82" spans="1:2" x14ac:dyDescent="0.25">
      <c r="A82">
        <v>3110230000</v>
      </c>
      <c r="B82" t="s">
        <v>475</v>
      </c>
    </row>
    <row r="83" spans="1:2" x14ac:dyDescent="0.25">
      <c r="A83">
        <v>3110240000</v>
      </c>
      <c r="B83" t="s">
        <v>476</v>
      </c>
    </row>
    <row r="84" spans="1:2" x14ac:dyDescent="0.25">
      <c r="A84">
        <v>3110250000</v>
      </c>
      <c r="B84" t="s">
        <v>477</v>
      </c>
    </row>
    <row r="85" spans="1:2" x14ac:dyDescent="0.25">
      <c r="A85">
        <v>3110300000</v>
      </c>
      <c r="B85" t="s">
        <v>478</v>
      </c>
    </row>
    <row r="86" spans="1:2" x14ac:dyDescent="0.25">
      <c r="A86">
        <v>3110310000</v>
      </c>
      <c r="B86" t="s">
        <v>479</v>
      </c>
    </row>
    <row r="87" spans="1:2" x14ac:dyDescent="0.25">
      <c r="A87">
        <v>3110320000</v>
      </c>
      <c r="B87" t="s">
        <v>480</v>
      </c>
    </row>
    <row r="88" spans="1:2" x14ac:dyDescent="0.25">
      <c r="A88">
        <v>3110330000</v>
      </c>
      <c r="B88" t="s">
        <v>481</v>
      </c>
    </row>
    <row r="89" spans="1:2" x14ac:dyDescent="0.25">
      <c r="A89">
        <v>3110340000</v>
      </c>
      <c r="B89" t="s">
        <v>482</v>
      </c>
    </row>
    <row r="90" spans="1:2" x14ac:dyDescent="0.25">
      <c r="A90">
        <v>3110350000</v>
      </c>
      <c r="B90" t="s">
        <v>483</v>
      </c>
    </row>
    <row r="91" spans="1:2" x14ac:dyDescent="0.25">
      <c r="A91">
        <v>3110360000</v>
      </c>
      <c r="B91" t="s">
        <v>484</v>
      </c>
    </row>
    <row r="92" spans="1:2" x14ac:dyDescent="0.25">
      <c r="A92">
        <v>3110400000</v>
      </c>
      <c r="B92" t="s">
        <v>485</v>
      </c>
    </row>
    <row r="93" spans="1:2" x14ac:dyDescent="0.25">
      <c r="A93">
        <v>3110420000</v>
      </c>
      <c r="B93" t="s">
        <v>486</v>
      </c>
    </row>
    <row r="94" spans="1:2" x14ac:dyDescent="0.25">
      <c r="A94">
        <v>3110430000</v>
      </c>
      <c r="B94" t="s">
        <v>487</v>
      </c>
    </row>
    <row r="95" spans="1:2" x14ac:dyDescent="0.25">
      <c r="A95">
        <v>3110440000</v>
      </c>
      <c r="B95" t="s">
        <v>488</v>
      </c>
    </row>
    <row r="96" spans="1:2" x14ac:dyDescent="0.25">
      <c r="A96">
        <v>3110410000</v>
      </c>
      <c r="B96" t="s">
        <v>488</v>
      </c>
    </row>
    <row r="97" spans="1:2" x14ac:dyDescent="0.25">
      <c r="A97">
        <v>3110441000</v>
      </c>
      <c r="B97" t="s">
        <v>489</v>
      </c>
    </row>
    <row r="98" spans="1:2" x14ac:dyDescent="0.25">
      <c r="A98">
        <v>3110441100</v>
      </c>
      <c r="B98" t="s">
        <v>490</v>
      </c>
    </row>
    <row r="99" spans="1:2" x14ac:dyDescent="0.25">
      <c r="A99">
        <v>3110441200</v>
      </c>
      <c r="B99" t="s">
        <v>491</v>
      </c>
    </row>
    <row r="100" spans="1:2" x14ac:dyDescent="0.25">
      <c r="A100">
        <v>3110442000</v>
      </c>
      <c r="B100" t="s">
        <v>492</v>
      </c>
    </row>
    <row r="101" spans="1:2" x14ac:dyDescent="0.25">
      <c r="A101">
        <v>3110442100</v>
      </c>
      <c r="B101" t="s">
        <v>493</v>
      </c>
    </row>
    <row r="102" spans="1:2" x14ac:dyDescent="0.25">
      <c r="A102">
        <v>3110442200</v>
      </c>
      <c r="B102" t="s">
        <v>494</v>
      </c>
    </row>
    <row r="103" spans="1:2" x14ac:dyDescent="0.25">
      <c r="A103">
        <v>3110470000</v>
      </c>
      <c r="B103" t="s">
        <v>495</v>
      </c>
    </row>
    <row r="104" spans="1:2" x14ac:dyDescent="0.25">
      <c r="A104">
        <v>3110550000</v>
      </c>
      <c r="B104" t="s">
        <v>496</v>
      </c>
    </row>
    <row r="105" spans="1:2" x14ac:dyDescent="0.25">
      <c r="A105">
        <v>3110551000</v>
      </c>
      <c r="B105" t="s">
        <v>497</v>
      </c>
    </row>
    <row r="106" spans="1:2" x14ac:dyDescent="0.25">
      <c r="A106">
        <v>3110552000</v>
      </c>
      <c r="B106" t="s">
        <v>498</v>
      </c>
    </row>
    <row r="107" spans="1:2" x14ac:dyDescent="0.25">
      <c r="A107">
        <v>3110553000</v>
      </c>
      <c r="B107" t="s">
        <v>499</v>
      </c>
    </row>
    <row r="108" spans="1:2" x14ac:dyDescent="0.25">
      <c r="A108">
        <v>3110554000</v>
      </c>
      <c r="B108" t="s">
        <v>500</v>
      </c>
    </row>
    <row r="109" spans="1:2" x14ac:dyDescent="0.25">
      <c r="A109">
        <v>3110700000</v>
      </c>
      <c r="B109" t="s">
        <v>501</v>
      </c>
    </row>
    <row r="110" spans="1:2" x14ac:dyDescent="0.25">
      <c r="A110">
        <v>3110500000</v>
      </c>
      <c r="B110" t="s">
        <v>502</v>
      </c>
    </row>
    <row r="111" spans="1:2" x14ac:dyDescent="0.25">
      <c r="A111">
        <v>3110600000</v>
      </c>
      <c r="B111" t="s">
        <v>503</v>
      </c>
    </row>
    <row r="112" spans="1:2" x14ac:dyDescent="0.25">
      <c r="A112">
        <v>3110800000</v>
      </c>
      <c r="B112" t="s">
        <v>504</v>
      </c>
    </row>
    <row r="113" spans="1:2" x14ac:dyDescent="0.25">
      <c r="A113">
        <v>3113000000</v>
      </c>
      <c r="B113" t="s">
        <v>505</v>
      </c>
    </row>
    <row r="114" spans="1:2" x14ac:dyDescent="0.25">
      <c r="A114">
        <v>3110900000</v>
      </c>
      <c r="B114" t="s">
        <v>506</v>
      </c>
    </row>
    <row r="115" spans="1:2" x14ac:dyDescent="0.25">
      <c r="A115">
        <v>3111000000</v>
      </c>
      <c r="B115" t="s">
        <v>507</v>
      </c>
    </row>
    <row r="116" spans="1:2" x14ac:dyDescent="0.25">
      <c r="A116">
        <v>3113100000</v>
      </c>
      <c r="B116" t="s">
        <v>508</v>
      </c>
    </row>
    <row r="117" spans="1:2" x14ac:dyDescent="0.25">
      <c r="A117">
        <v>3113200000</v>
      </c>
      <c r="B117" t="s">
        <v>509</v>
      </c>
    </row>
    <row r="118" spans="1:2" x14ac:dyDescent="0.25">
      <c r="A118">
        <v>3112000000</v>
      </c>
      <c r="B118" t="s">
        <v>510</v>
      </c>
    </row>
    <row r="119" spans="1:2" x14ac:dyDescent="0.25">
      <c r="A119">
        <v>3120000000</v>
      </c>
      <c r="B119" t="s">
        <v>511</v>
      </c>
    </row>
    <row r="120" spans="1:2" x14ac:dyDescent="0.25">
      <c r="A120">
        <v>3121000000</v>
      </c>
      <c r="B120" t="s">
        <v>512</v>
      </c>
    </row>
    <row r="121" spans="1:2" x14ac:dyDescent="0.25">
      <c r="A121">
        <v>3121010000</v>
      </c>
      <c r="B121" t="s">
        <v>513</v>
      </c>
    </row>
    <row r="122" spans="1:2" x14ac:dyDescent="0.25">
      <c r="A122">
        <v>3121020000</v>
      </c>
      <c r="B122" t="s">
        <v>514</v>
      </c>
    </row>
    <row r="123" spans="1:2" x14ac:dyDescent="0.25">
      <c r="A123">
        <v>3121030000</v>
      </c>
      <c r="B123" t="s">
        <v>515</v>
      </c>
    </row>
    <row r="124" spans="1:2" x14ac:dyDescent="0.25">
      <c r="A124">
        <v>3121040000</v>
      </c>
      <c r="B124" t="s">
        <v>516</v>
      </c>
    </row>
    <row r="125" spans="1:2" x14ac:dyDescent="0.25">
      <c r="A125">
        <v>3121050000</v>
      </c>
      <c r="B125" t="s">
        <v>517</v>
      </c>
    </row>
    <row r="126" spans="1:2" x14ac:dyDescent="0.25">
      <c r="A126">
        <v>3121060000</v>
      </c>
      <c r="B126" t="s">
        <v>518</v>
      </c>
    </row>
    <row r="127" spans="1:2" x14ac:dyDescent="0.25">
      <c r="A127">
        <v>3121070000</v>
      </c>
      <c r="B127" t="s">
        <v>519</v>
      </c>
    </row>
    <row r="128" spans="1:2" x14ac:dyDescent="0.25">
      <c r="A128">
        <v>3121080000</v>
      </c>
      <c r="B128" t="s">
        <v>520</v>
      </c>
    </row>
    <row r="129" spans="1:2" x14ac:dyDescent="0.25">
      <c r="A129">
        <v>3122000000</v>
      </c>
      <c r="B129" t="s">
        <v>521</v>
      </c>
    </row>
    <row r="130" spans="1:2" x14ac:dyDescent="0.25">
      <c r="A130">
        <v>3122100000</v>
      </c>
      <c r="B130" t="s">
        <v>522</v>
      </c>
    </row>
    <row r="131" spans="1:2" x14ac:dyDescent="0.25">
      <c r="A131">
        <v>3122101000</v>
      </c>
      <c r="B131" t="s">
        <v>523</v>
      </c>
    </row>
    <row r="132" spans="1:2" x14ac:dyDescent="0.25">
      <c r="A132">
        <v>3122101100</v>
      </c>
      <c r="B132" t="s">
        <v>524</v>
      </c>
    </row>
    <row r="133" spans="1:2" x14ac:dyDescent="0.25">
      <c r="A133">
        <v>3122101110</v>
      </c>
      <c r="B133" t="s">
        <v>525</v>
      </c>
    </row>
    <row r="134" spans="1:2" x14ac:dyDescent="0.25">
      <c r="A134">
        <v>3122101120</v>
      </c>
      <c r="B134" t="s">
        <v>526</v>
      </c>
    </row>
    <row r="135" spans="1:2" x14ac:dyDescent="0.25">
      <c r="A135">
        <v>3122101130</v>
      </c>
      <c r="B135" t="s">
        <v>527</v>
      </c>
    </row>
    <row r="136" spans="1:2" x14ac:dyDescent="0.25">
      <c r="A136">
        <v>3122101140</v>
      </c>
      <c r="B136" t="s">
        <v>528</v>
      </c>
    </row>
    <row r="137" spans="1:2" x14ac:dyDescent="0.25">
      <c r="A137">
        <v>3122101150</v>
      </c>
      <c r="B137" t="s">
        <v>529</v>
      </c>
    </row>
    <row r="138" spans="1:2" x14ac:dyDescent="0.25">
      <c r="A138">
        <v>3122101200</v>
      </c>
      <c r="B138" t="s">
        <v>530</v>
      </c>
    </row>
    <row r="139" spans="1:2" x14ac:dyDescent="0.25">
      <c r="A139">
        <v>3122101210</v>
      </c>
      <c r="B139" t="s">
        <v>531</v>
      </c>
    </row>
    <row r="140" spans="1:2" x14ac:dyDescent="0.25">
      <c r="A140">
        <v>3122101220</v>
      </c>
      <c r="B140" t="s">
        <v>532</v>
      </c>
    </row>
    <row r="141" spans="1:2" x14ac:dyDescent="0.25">
      <c r="A141">
        <v>3122101230</v>
      </c>
      <c r="B141" t="s">
        <v>533</v>
      </c>
    </row>
    <row r="142" spans="1:2" x14ac:dyDescent="0.25">
      <c r="A142">
        <v>3122101240</v>
      </c>
      <c r="B142" t="s">
        <v>534</v>
      </c>
    </row>
    <row r="143" spans="1:2" x14ac:dyDescent="0.25">
      <c r="A143">
        <v>3122101250</v>
      </c>
      <c r="B143" t="s">
        <v>535</v>
      </c>
    </row>
    <row r="144" spans="1:2" x14ac:dyDescent="0.25">
      <c r="A144">
        <v>3122102000</v>
      </c>
      <c r="B144" t="s">
        <v>536</v>
      </c>
    </row>
    <row r="145" spans="1:2" x14ac:dyDescent="0.25">
      <c r="A145">
        <v>3122103000</v>
      </c>
      <c r="B145" t="s">
        <v>537</v>
      </c>
    </row>
    <row r="146" spans="1:2" x14ac:dyDescent="0.25">
      <c r="A146">
        <v>3122104000</v>
      </c>
      <c r="B146" t="s">
        <v>538</v>
      </c>
    </row>
    <row r="147" spans="1:2" x14ac:dyDescent="0.25">
      <c r="A147">
        <v>3122105000</v>
      </c>
      <c r="B147" t="s">
        <v>539</v>
      </c>
    </row>
    <row r="148" spans="1:2" x14ac:dyDescent="0.25">
      <c r="A148">
        <v>3122106000</v>
      </c>
      <c r="B148" t="s">
        <v>540</v>
      </c>
    </row>
    <row r="149" spans="1:2" x14ac:dyDescent="0.25">
      <c r="A149">
        <v>3122106100</v>
      </c>
      <c r="B149" t="s">
        <v>541</v>
      </c>
    </row>
    <row r="150" spans="1:2" x14ac:dyDescent="0.25">
      <c r="A150">
        <v>3122106200</v>
      </c>
      <c r="B150" t="s">
        <v>542</v>
      </c>
    </row>
    <row r="151" spans="1:2" x14ac:dyDescent="0.25">
      <c r="A151">
        <v>3122106300</v>
      </c>
      <c r="B151" t="s">
        <v>543</v>
      </c>
    </row>
    <row r="152" spans="1:2" x14ac:dyDescent="0.25">
      <c r="A152">
        <v>3122106400</v>
      </c>
      <c r="B152" t="s">
        <v>544</v>
      </c>
    </row>
    <row r="153" spans="1:2" x14ac:dyDescent="0.25">
      <c r="A153">
        <v>3122106500</v>
      </c>
      <c r="B153" t="s">
        <v>545</v>
      </c>
    </row>
    <row r="154" spans="1:2" x14ac:dyDescent="0.25">
      <c r="A154">
        <v>3122107000</v>
      </c>
      <c r="B154" t="s">
        <v>546</v>
      </c>
    </row>
    <row r="155" spans="1:2" x14ac:dyDescent="0.25">
      <c r="A155">
        <v>3122108000</v>
      </c>
      <c r="B155" t="s">
        <v>547</v>
      </c>
    </row>
    <row r="156" spans="1:2" x14ac:dyDescent="0.25">
      <c r="A156">
        <v>3122109000</v>
      </c>
      <c r="B156" t="s">
        <v>548</v>
      </c>
    </row>
    <row r="157" spans="1:2" x14ac:dyDescent="0.25">
      <c r="A157">
        <v>3122110000</v>
      </c>
      <c r="B157" t="s">
        <v>549</v>
      </c>
    </row>
    <row r="158" spans="1:2" x14ac:dyDescent="0.25">
      <c r="A158">
        <v>3122110100</v>
      </c>
      <c r="B158" t="s">
        <v>550</v>
      </c>
    </row>
    <row r="159" spans="1:2" x14ac:dyDescent="0.25">
      <c r="A159">
        <v>3122111000</v>
      </c>
      <c r="B159" t="s">
        <v>551</v>
      </c>
    </row>
    <row r="160" spans="1:2" x14ac:dyDescent="0.25">
      <c r="A160">
        <v>3122112000</v>
      </c>
      <c r="B160" t="s">
        <v>552</v>
      </c>
    </row>
    <row r="161" spans="1:2" x14ac:dyDescent="0.25">
      <c r="A161">
        <v>3122113000</v>
      </c>
      <c r="B161" t="s">
        <v>553</v>
      </c>
    </row>
    <row r="162" spans="1:2" x14ac:dyDescent="0.25">
      <c r="A162">
        <v>3122114000</v>
      </c>
      <c r="B162" t="s">
        <v>554</v>
      </c>
    </row>
    <row r="163" spans="1:2" x14ac:dyDescent="0.25">
      <c r="A163">
        <v>3122114100</v>
      </c>
      <c r="B163" t="s">
        <v>555</v>
      </c>
    </row>
    <row r="164" spans="1:2" x14ac:dyDescent="0.25">
      <c r="A164">
        <v>3122115000</v>
      </c>
      <c r="B164" t="s">
        <v>556</v>
      </c>
    </row>
    <row r="165" spans="1:2" x14ac:dyDescent="0.25">
      <c r="A165">
        <v>3122116000</v>
      </c>
      <c r="B165" t="s">
        <v>557</v>
      </c>
    </row>
    <row r="166" spans="1:2" x14ac:dyDescent="0.25">
      <c r="A166">
        <v>3122117000</v>
      </c>
      <c r="B166" t="s">
        <v>558</v>
      </c>
    </row>
    <row r="167" spans="1:2" x14ac:dyDescent="0.25">
      <c r="A167">
        <v>3122119000</v>
      </c>
      <c r="B167" t="s">
        <v>559</v>
      </c>
    </row>
    <row r="168" spans="1:2" x14ac:dyDescent="0.25">
      <c r="A168">
        <v>3122121000</v>
      </c>
      <c r="B168" t="s">
        <v>560</v>
      </c>
    </row>
    <row r="169" spans="1:2" x14ac:dyDescent="0.25">
      <c r="A169">
        <v>3122999999</v>
      </c>
      <c r="B169" t="s">
        <v>561</v>
      </c>
    </row>
    <row r="170" spans="1:2" x14ac:dyDescent="0.25">
      <c r="A170" t="s">
        <v>366</v>
      </c>
      <c r="B170" t="s">
        <v>562</v>
      </c>
    </row>
    <row r="171" spans="1:2" x14ac:dyDescent="0.25">
      <c r="A171" t="s">
        <v>367</v>
      </c>
      <c r="B171" t="s">
        <v>563</v>
      </c>
    </row>
    <row r="172" spans="1:2" x14ac:dyDescent="0.25">
      <c r="A172" t="s">
        <v>368</v>
      </c>
      <c r="B172" t="s">
        <v>564</v>
      </c>
    </row>
    <row r="173" spans="1:2" x14ac:dyDescent="0.25">
      <c r="A173">
        <v>3123999999</v>
      </c>
      <c r="B173" t="s">
        <v>565</v>
      </c>
    </row>
    <row r="174" spans="1:2" x14ac:dyDescent="0.25">
      <c r="A174" t="s">
        <v>369</v>
      </c>
      <c r="B174" t="s">
        <v>566</v>
      </c>
    </row>
    <row r="175" spans="1:2" x14ac:dyDescent="0.25">
      <c r="A175" t="s">
        <v>370</v>
      </c>
      <c r="B175" t="s">
        <v>567</v>
      </c>
    </row>
    <row r="176" spans="1:2" x14ac:dyDescent="0.25">
      <c r="A176">
        <v>3124999999</v>
      </c>
      <c r="B176" t="s">
        <v>568</v>
      </c>
    </row>
    <row r="177" spans="1:2" x14ac:dyDescent="0.25">
      <c r="A177" t="s">
        <v>371</v>
      </c>
      <c r="B177" t="s">
        <v>569</v>
      </c>
    </row>
    <row r="178" spans="1:2" x14ac:dyDescent="0.25">
      <c r="A178" t="s">
        <v>372</v>
      </c>
      <c r="B178" t="s">
        <v>570</v>
      </c>
    </row>
    <row r="179" spans="1:2" x14ac:dyDescent="0.25">
      <c r="A179">
        <v>3122200000</v>
      </c>
      <c r="B179" t="s">
        <v>571</v>
      </c>
    </row>
    <row r="180" spans="1:2" x14ac:dyDescent="0.25">
      <c r="A180">
        <v>3012100000</v>
      </c>
      <c r="B180" t="s">
        <v>572</v>
      </c>
    </row>
    <row r="181" spans="1:2" x14ac:dyDescent="0.25">
      <c r="A181">
        <v>3012110000</v>
      </c>
      <c r="B181" t="s">
        <v>573</v>
      </c>
    </row>
    <row r="182" spans="1:2" x14ac:dyDescent="0.25">
      <c r="A182">
        <v>3122201000</v>
      </c>
      <c r="B182" t="s">
        <v>574</v>
      </c>
    </row>
    <row r="183" spans="1:2" x14ac:dyDescent="0.25">
      <c r="A183">
        <v>3122201100</v>
      </c>
      <c r="B183" t="s">
        <v>575</v>
      </c>
    </row>
    <row r="184" spans="1:2" x14ac:dyDescent="0.25">
      <c r="A184">
        <v>3122201200</v>
      </c>
      <c r="B184" t="s">
        <v>576</v>
      </c>
    </row>
    <row r="185" spans="1:2" x14ac:dyDescent="0.25">
      <c r="A185">
        <v>3122201300</v>
      </c>
      <c r="B185" t="s">
        <v>577</v>
      </c>
    </row>
    <row r="186" spans="1:2" x14ac:dyDescent="0.25">
      <c r="A186">
        <v>3122201400</v>
      </c>
      <c r="B186" t="s">
        <v>578</v>
      </c>
    </row>
    <row r="187" spans="1:2" x14ac:dyDescent="0.25">
      <c r="A187">
        <v>3122201500</v>
      </c>
      <c r="B187" t="s">
        <v>579</v>
      </c>
    </row>
    <row r="188" spans="1:2" x14ac:dyDescent="0.25">
      <c r="A188">
        <v>3122202000</v>
      </c>
      <c r="B188" t="s">
        <v>580</v>
      </c>
    </row>
    <row r="189" spans="1:2" x14ac:dyDescent="0.25">
      <c r="A189">
        <v>3122203000</v>
      </c>
      <c r="B189" t="s">
        <v>581</v>
      </c>
    </row>
    <row r="190" spans="1:2" x14ac:dyDescent="0.25">
      <c r="A190">
        <v>3122204000</v>
      </c>
      <c r="B190" t="s">
        <v>582</v>
      </c>
    </row>
    <row r="191" spans="1:2" x14ac:dyDescent="0.25">
      <c r="A191">
        <v>3122205000</v>
      </c>
      <c r="B191" t="s">
        <v>583</v>
      </c>
    </row>
    <row r="192" spans="1:2" x14ac:dyDescent="0.25">
      <c r="A192">
        <v>3122205100</v>
      </c>
      <c r="B192" t="s">
        <v>584</v>
      </c>
    </row>
    <row r="193" spans="1:2" x14ac:dyDescent="0.25">
      <c r="A193">
        <v>3122206000</v>
      </c>
      <c r="B193" t="s">
        <v>585</v>
      </c>
    </row>
    <row r="194" spans="1:2" x14ac:dyDescent="0.25">
      <c r="A194">
        <v>3122206100</v>
      </c>
      <c r="B194" t="s">
        <v>586</v>
      </c>
    </row>
    <row r="195" spans="1:2" x14ac:dyDescent="0.25">
      <c r="A195">
        <v>3122207000</v>
      </c>
      <c r="B195" t="s">
        <v>587</v>
      </c>
    </row>
    <row r="196" spans="1:2" x14ac:dyDescent="0.25">
      <c r="A196">
        <v>3122209000</v>
      </c>
      <c r="B196" t="s">
        <v>588</v>
      </c>
    </row>
    <row r="197" spans="1:2" x14ac:dyDescent="0.25">
      <c r="A197">
        <v>3122300000</v>
      </c>
      <c r="B197" t="s">
        <v>589</v>
      </c>
    </row>
    <row r="198" spans="1:2" x14ac:dyDescent="0.25">
      <c r="A198">
        <v>3122118000</v>
      </c>
      <c r="B198" t="s">
        <v>590</v>
      </c>
    </row>
    <row r="199" spans="1:2" x14ac:dyDescent="0.25">
      <c r="A199">
        <v>3122208000</v>
      </c>
      <c r="B199" t="s">
        <v>591</v>
      </c>
    </row>
    <row r="200" spans="1:2" x14ac:dyDescent="0.25">
      <c r="A200">
        <v>3123000000</v>
      </c>
      <c r="B200" t="s">
        <v>592</v>
      </c>
    </row>
    <row r="201" spans="1:2" x14ac:dyDescent="0.25">
      <c r="A201">
        <v>3123100000</v>
      </c>
      <c r="B201" t="s">
        <v>593</v>
      </c>
    </row>
    <row r="202" spans="1:2" x14ac:dyDescent="0.25">
      <c r="A202">
        <v>3123110000</v>
      </c>
      <c r="B202" t="s">
        <v>594</v>
      </c>
    </row>
    <row r="203" spans="1:2" x14ac:dyDescent="0.25">
      <c r="A203">
        <v>3123111000</v>
      </c>
      <c r="B203" t="s">
        <v>595</v>
      </c>
    </row>
    <row r="204" spans="1:2" x14ac:dyDescent="0.25">
      <c r="A204">
        <v>3123112000</v>
      </c>
      <c r="B204" t="s">
        <v>596</v>
      </c>
    </row>
    <row r="205" spans="1:2" x14ac:dyDescent="0.25">
      <c r="A205">
        <v>3123114000</v>
      </c>
      <c r="B205" t="s">
        <v>597</v>
      </c>
    </row>
    <row r="206" spans="1:2" x14ac:dyDescent="0.25">
      <c r="A206">
        <v>3123115000</v>
      </c>
      <c r="B206" t="s">
        <v>598</v>
      </c>
    </row>
    <row r="207" spans="1:2" x14ac:dyDescent="0.25">
      <c r="A207">
        <v>3123117000</v>
      </c>
      <c r="B207" t="s">
        <v>599</v>
      </c>
    </row>
    <row r="208" spans="1:2" x14ac:dyDescent="0.25">
      <c r="A208">
        <v>3123118000</v>
      </c>
      <c r="B208" t="s">
        <v>600</v>
      </c>
    </row>
    <row r="209" spans="1:2" x14ac:dyDescent="0.25">
      <c r="A209">
        <v>3123120000</v>
      </c>
      <c r="B209" t="s">
        <v>601</v>
      </c>
    </row>
    <row r="210" spans="1:2" x14ac:dyDescent="0.25">
      <c r="A210">
        <v>3123121000</v>
      </c>
      <c r="B210" t="s">
        <v>602</v>
      </c>
    </row>
    <row r="211" spans="1:2" x14ac:dyDescent="0.25">
      <c r="A211">
        <v>3123122000</v>
      </c>
      <c r="B211" t="s">
        <v>603</v>
      </c>
    </row>
    <row r="212" spans="1:2" x14ac:dyDescent="0.25">
      <c r="A212">
        <v>3123210000</v>
      </c>
      <c r="B212" t="s">
        <v>604</v>
      </c>
    </row>
    <row r="213" spans="1:2" x14ac:dyDescent="0.25">
      <c r="A213">
        <v>3123200000</v>
      </c>
      <c r="B213" t="s">
        <v>605</v>
      </c>
    </row>
    <row r="214" spans="1:2" x14ac:dyDescent="0.25">
      <c r="A214">
        <v>3123211000</v>
      </c>
      <c r="B214" t="s">
        <v>606</v>
      </c>
    </row>
    <row r="215" spans="1:2" x14ac:dyDescent="0.25">
      <c r="A215">
        <v>3210000000</v>
      </c>
      <c r="B215" t="s">
        <v>607</v>
      </c>
    </row>
    <row r="216" spans="1:2" x14ac:dyDescent="0.25">
      <c r="A216">
        <v>3211000000</v>
      </c>
      <c r="B216" t="s">
        <v>608</v>
      </c>
    </row>
    <row r="217" spans="1:2" x14ac:dyDescent="0.25">
      <c r="A217">
        <v>3211100000</v>
      </c>
      <c r="B217" t="s">
        <v>609</v>
      </c>
    </row>
    <row r="218" spans="1:2" x14ac:dyDescent="0.25">
      <c r="A218">
        <v>3211200000</v>
      </c>
      <c r="B218" t="s">
        <v>610</v>
      </c>
    </row>
    <row r="219" spans="1:2" x14ac:dyDescent="0.25">
      <c r="A219">
        <v>3211300000</v>
      </c>
      <c r="B219" t="s">
        <v>611</v>
      </c>
    </row>
    <row r="220" spans="1:2" x14ac:dyDescent="0.25">
      <c r="A220">
        <v>3211400000</v>
      </c>
      <c r="B220" t="s">
        <v>612</v>
      </c>
    </row>
    <row r="221" spans="1:2" x14ac:dyDescent="0.25">
      <c r="A221">
        <v>3211500000</v>
      </c>
      <c r="B221" t="s">
        <v>613</v>
      </c>
    </row>
    <row r="222" spans="1:2" x14ac:dyDescent="0.25">
      <c r="A222">
        <v>3211600000</v>
      </c>
      <c r="B222" t="s">
        <v>614</v>
      </c>
    </row>
    <row r="223" spans="1:2" x14ac:dyDescent="0.25">
      <c r="A223">
        <v>3211699999</v>
      </c>
      <c r="B223" t="s">
        <v>615</v>
      </c>
    </row>
    <row r="224" spans="1:2" x14ac:dyDescent="0.25">
      <c r="A224" t="s">
        <v>373</v>
      </c>
      <c r="B224" t="s">
        <v>616</v>
      </c>
    </row>
    <row r="225" spans="1:2" x14ac:dyDescent="0.25">
      <c r="A225" t="s">
        <v>374</v>
      </c>
      <c r="B225" t="s">
        <v>617</v>
      </c>
    </row>
    <row r="226" spans="1:2" x14ac:dyDescent="0.25">
      <c r="A226">
        <v>3212000000</v>
      </c>
      <c r="B226" t="s">
        <v>618</v>
      </c>
    </row>
    <row r="227" spans="1:2" x14ac:dyDescent="0.25">
      <c r="A227">
        <v>3212100000</v>
      </c>
      <c r="B227" t="s">
        <v>619</v>
      </c>
    </row>
    <row r="228" spans="1:2" x14ac:dyDescent="0.25">
      <c r="A228">
        <v>3212200000</v>
      </c>
      <c r="B228" t="s">
        <v>620</v>
      </c>
    </row>
    <row r="229" spans="1:2" x14ac:dyDescent="0.25">
      <c r="A229">
        <v>3212300000</v>
      </c>
      <c r="B229" t="s">
        <v>621</v>
      </c>
    </row>
    <row r="230" spans="1:2" x14ac:dyDescent="0.25">
      <c r="A230">
        <v>3212400000</v>
      </c>
      <c r="B230" t="s">
        <v>622</v>
      </c>
    </row>
    <row r="231" spans="1:2" x14ac:dyDescent="0.25">
      <c r="A231">
        <v>3212500000</v>
      </c>
      <c r="B231" t="s">
        <v>623</v>
      </c>
    </row>
    <row r="232" spans="1:2" x14ac:dyDescent="0.25">
      <c r="A232">
        <v>3212600000</v>
      </c>
      <c r="B232" t="s">
        <v>624</v>
      </c>
    </row>
    <row r="233" spans="1:2" x14ac:dyDescent="0.25">
      <c r="A233">
        <v>3212700000</v>
      </c>
      <c r="B233" t="s">
        <v>625</v>
      </c>
    </row>
    <row r="234" spans="1:2" x14ac:dyDescent="0.25">
      <c r="A234">
        <v>3212799999</v>
      </c>
      <c r="B234" t="s">
        <v>626</v>
      </c>
    </row>
    <row r="235" spans="1:2" x14ac:dyDescent="0.25">
      <c r="A235" t="s">
        <v>375</v>
      </c>
      <c r="B235" t="s">
        <v>627</v>
      </c>
    </row>
    <row r="236" spans="1:2" x14ac:dyDescent="0.25">
      <c r="A236" t="s">
        <v>376</v>
      </c>
      <c r="B236" t="s">
        <v>628</v>
      </c>
    </row>
    <row r="237" spans="1:2" x14ac:dyDescent="0.25">
      <c r="A237">
        <v>3213000000</v>
      </c>
      <c r="B237" t="s">
        <v>629</v>
      </c>
    </row>
    <row r="238" spans="1:2" x14ac:dyDescent="0.25">
      <c r="A238">
        <v>3214000000</v>
      </c>
      <c r="B238" t="s">
        <v>630</v>
      </c>
    </row>
    <row r="239" spans="1:2" x14ac:dyDescent="0.25">
      <c r="A239">
        <v>3215000000</v>
      </c>
      <c r="B239" t="s">
        <v>631</v>
      </c>
    </row>
    <row r="240" spans="1:2" x14ac:dyDescent="0.25">
      <c r="A240">
        <v>3310000000</v>
      </c>
      <c r="B240" t="s">
        <v>632</v>
      </c>
    </row>
    <row r="241" spans="1:2" x14ac:dyDescent="0.25">
      <c r="A241">
        <v>3320000000</v>
      </c>
      <c r="B241" t="s">
        <v>633</v>
      </c>
    </row>
    <row r="242" spans="1:2" x14ac:dyDescent="0.25">
      <c r="A242">
        <v>3321000000</v>
      </c>
      <c r="B242" t="s">
        <v>57</v>
      </c>
    </row>
    <row r="243" spans="1:2" x14ac:dyDescent="0.25">
      <c r="A243">
        <v>3323000000</v>
      </c>
      <c r="B243" t="s">
        <v>634</v>
      </c>
    </row>
    <row r="244" spans="1:2" x14ac:dyDescent="0.25">
      <c r="A244">
        <v>3410000000</v>
      </c>
      <c r="B244" t="s">
        <v>635</v>
      </c>
    </row>
    <row r="245" spans="1:2" x14ac:dyDescent="0.25">
      <c r="A245">
        <v>3411000000</v>
      </c>
      <c r="B245" t="s">
        <v>636</v>
      </c>
    </row>
    <row r="246" spans="1:2" x14ac:dyDescent="0.25">
      <c r="A246">
        <v>3412000000</v>
      </c>
      <c r="B246" t="s">
        <v>637</v>
      </c>
    </row>
    <row r="247" spans="1:2" x14ac:dyDescent="0.25">
      <c r="A247" t="s">
        <v>377</v>
      </c>
      <c r="B247" t="s">
        <v>638</v>
      </c>
    </row>
    <row r="248" spans="1:2" x14ac:dyDescent="0.25">
      <c r="A248">
        <v>3420000000</v>
      </c>
      <c r="B248" t="s">
        <v>639</v>
      </c>
    </row>
    <row r="249" spans="1:2" x14ac:dyDescent="0.25">
      <c r="A249">
        <v>3421000000</v>
      </c>
      <c r="B249" t="s">
        <v>640</v>
      </c>
    </row>
    <row r="250" spans="1:2" x14ac:dyDescent="0.25">
      <c r="A250">
        <v>3421100000</v>
      </c>
      <c r="B250" t="s">
        <v>641</v>
      </c>
    </row>
    <row r="251" spans="1:2" x14ac:dyDescent="0.25">
      <c r="A251">
        <v>3421200000</v>
      </c>
      <c r="B251" t="s">
        <v>642</v>
      </c>
    </row>
    <row r="252" spans="1:2" x14ac:dyDescent="0.25">
      <c r="A252">
        <v>3422000000</v>
      </c>
      <c r="B252" t="s">
        <v>643</v>
      </c>
    </row>
    <row r="253" spans="1:2" x14ac:dyDescent="0.25">
      <c r="A253">
        <v>3422100000</v>
      </c>
      <c r="B253" t="s">
        <v>644</v>
      </c>
    </row>
    <row r="254" spans="1:2" x14ac:dyDescent="0.25">
      <c r="A254">
        <v>3422200000</v>
      </c>
      <c r="B254" t="s">
        <v>645</v>
      </c>
    </row>
    <row r="255" spans="1:2" x14ac:dyDescent="0.25">
      <c r="A255">
        <v>3520000000</v>
      </c>
      <c r="B255" t="s">
        <v>646</v>
      </c>
    </row>
    <row r="256" spans="1:2" x14ac:dyDescent="0.25">
      <c r="A256">
        <v>3521000000</v>
      </c>
      <c r="B256" t="s">
        <v>647</v>
      </c>
    </row>
    <row r="257" spans="1:2" x14ac:dyDescent="0.25">
      <c r="A257">
        <v>3521100000</v>
      </c>
      <c r="B257" t="s">
        <v>648</v>
      </c>
    </row>
    <row r="258" spans="1:2" x14ac:dyDescent="0.25">
      <c r="A258">
        <v>3521110000</v>
      </c>
      <c r="B258" t="s">
        <v>649</v>
      </c>
    </row>
    <row r="259" spans="1:2" x14ac:dyDescent="0.25">
      <c r="A259">
        <v>3521120000</v>
      </c>
      <c r="B259" t="s">
        <v>650</v>
      </c>
    </row>
    <row r="260" spans="1:2" x14ac:dyDescent="0.25">
      <c r="A260">
        <v>3521130000</v>
      </c>
      <c r="B260" t="s">
        <v>651</v>
      </c>
    </row>
    <row r="261" spans="1:2" x14ac:dyDescent="0.25">
      <c r="A261">
        <v>3521140000</v>
      </c>
      <c r="B261" t="s">
        <v>652</v>
      </c>
    </row>
    <row r="262" spans="1:2" x14ac:dyDescent="0.25">
      <c r="A262">
        <v>3521200000</v>
      </c>
      <c r="B262" t="s">
        <v>653</v>
      </c>
    </row>
    <row r="263" spans="1:2" x14ac:dyDescent="0.25">
      <c r="A263">
        <v>3521210000</v>
      </c>
      <c r="B263" t="s">
        <v>654</v>
      </c>
    </row>
    <row r="264" spans="1:2" x14ac:dyDescent="0.25">
      <c r="A264">
        <v>3521220000</v>
      </c>
      <c r="B264" t="s">
        <v>655</v>
      </c>
    </row>
    <row r="265" spans="1:2" x14ac:dyDescent="0.25">
      <c r="A265">
        <v>3521230000</v>
      </c>
      <c r="B265" t="s">
        <v>656</v>
      </c>
    </row>
    <row r="266" spans="1:2" x14ac:dyDescent="0.25">
      <c r="A266">
        <v>3521240000</v>
      </c>
      <c r="B266" t="s">
        <v>657</v>
      </c>
    </row>
    <row r="267" spans="1:2" x14ac:dyDescent="0.25">
      <c r="A267">
        <v>3521250000</v>
      </c>
      <c r="B267" t="s">
        <v>658</v>
      </c>
    </row>
    <row r="268" spans="1:2" x14ac:dyDescent="0.25">
      <c r="A268">
        <v>3521300000</v>
      </c>
      <c r="B268" t="s">
        <v>659</v>
      </c>
    </row>
    <row r="269" spans="1:2" x14ac:dyDescent="0.25">
      <c r="A269">
        <v>3521400000</v>
      </c>
      <c r="B269" t="s">
        <v>660</v>
      </c>
    </row>
    <row r="270" spans="1:2" x14ac:dyDescent="0.25">
      <c r="A270">
        <v>3522000000</v>
      </c>
      <c r="B270" t="s">
        <v>661</v>
      </c>
    </row>
    <row r="271" spans="1:2" x14ac:dyDescent="0.25">
      <c r="A271">
        <v>3522100000</v>
      </c>
      <c r="B271" t="s">
        <v>662</v>
      </c>
    </row>
    <row r="272" spans="1:2" x14ac:dyDescent="0.25">
      <c r="A272">
        <v>3522200000</v>
      </c>
      <c r="B272" t="s">
        <v>663</v>
      </c>
    </row>
    <row r="273" spans="1:2" x14ac:dyDescent="0.25">
      <c r="A273">
        <v>3522300000</v>
      </c>
      <c r="B273" t="s">
        <v>664</v>
      </c>
    </row>
    <row r="274" spans="1:2" x14ac:dyDescent="0.25">
      <c r="A274">
        <v>3522400000</v>
      </c>
      <c r="B274" t="s">
        <v>665</v>
      </c>
    </row>
    <row r="275" spans="1:2" x14ac:dyDescent="0.25">
      <c r="A275">
        <v>3522500000</v>
      </c>
      <c r="B275" t="s">
        <v>666</v>
      </c>
    </row>
    <row r="276" spans="1:2" x14ac:dyDescent="0.25">
      <c r="A276">
        <v>3522600000</v>
      </c>
      <c r="B276" t="s">
        <v>667</v>
      </c>
    </row>
    <row r="277" spans="1:2" x14ac:dyDescent="0.25">
      <c r="A277">
        <v>3522700000</v>
      </c>
      <c r="B277" t="s">
        <v>668</v>
      </c>
    </row>
    <row r="278" spans="1:2" x14ac:dyDescent="0.25">
      <c r="A278">
        <v>3522800000</v>
      </c>
      <c r="B278" t="s">
        <v>669</v>
      </c>
    </row>
    <row r="279" spans="1:2" x14ac:dyDescent="0.25">
      <c r="A279">
        <v>3522910000</v>
      </c>
      <c r="B279" t="s">
        <v>670</v>
      </c>
    </row>
    <row r="280" spans="1:2" x14ac:dyDescent="0.25">
      <c r="A280">
        <v>3522920000</v>
      </c>
      <c r="B280" t="s">
        <v>671</v>
      </c>
    </row>
    <row r="281" spans="1:2" x14ac:dyDescent="0.25">
      <c r="A281">
        <v>3523000000</v>
      </c>
      <c r="B281" t="s">
        <v>672</v>
      </c>
    </row>
    <row r="282" spans="1:2" x14ac:dyDescent="0.25">
      <c r="A282">
        <v>3523100000</v>
      </c>
      <c r="B282" t="s">
        <v>673</v>
      </c>
    </row>
    <row r="283" spans="1:2" x14ac:dyDescent="0.25">
      <c r="A283">
        <v>3523310000</v>
      </c>
      <c r="B283" t="s">
        <v>674</v>
      </c>
    </row>
    <row r="284" spans="1:2" x14ac:dyDescent="0.25">
      <c r="A284">
        <v>3523320000</v>
      </c>
      <c r="B284" t="s">
        <v>675</v>
      </c>
    </row>
    <row r="285" spans="1:2" x14ac:dyDescent="0.25">
      <c r="A285">
        <v>3523200000</v>
      </c>
      <c r="B285" t="s">
        <v>676</v>
      </c>
    </row>
    <row r="286" spans="1:2" x14ac:dyDescent="0.25">
      <c r="A286">
        <v>3523300000</v>
      </c>
      <c r="B286" t="s">
        <v>677</v>
      </c>
    </row>
    <row r="287" spans="1:2" x14ac:dyDescent="0.25">
      <c r="A287">
        <v>3523400000</v>
      </c>
      <c r="B287" t="s">
        <v>678</v>
      </c>
    </row>
    <row r="288" spans="1:2" x14ac:dyDescent="0.25">
      <c r="A288">
        <v>3523410000</v>
      </c>
      <c r="B288" t="s">
        <v>679</v>
      </c>
    </row>
    <row r="289" spans="1:2" x14ac:dyDescent="0.25">
      <c r="A289">
        <v>3523420000</v>
      </c>
      <c r="B289" t="s">
        <v>680</v>
      </c>
    </row>
    <row r="290" spans="1:2" x14ac:dyDescent="0.25">
      <c r="A290">
        <v>3523500000</v>
      </c>
      <c r="B290" t="s">
        <v>681</v>
      </c>
    </row>
    <row r="291" spans="1:2" x14ac:dyDescent="0.25">
      <c r="A291">
        <v>3523600000</v>
      </c>
      <c r="B291" t="s">
        <v>682</v>
      </c>
    </row>
    <row r="292" spans="1:2" x14ac:dyDescent="0.25">
      <c r="A292">
        <v>3523700000</v>
      </c>
      <c r="B292" t="s">
        <v>683</v>
      </c>
    </row>
    <row r="293" spans="1:2" x14ac:dyDescent="0.25">
      <c r="A293">
        <v>3524000000</v>
      </c>
      <c r="B293" t="s">
        <v>684</v>
      </c>
    </row>
    <row r="294" spans="1:2" x14ac:dyDescent="0.25">
      <c r="A294">
        <v>3524100000</v>
      </c>
      <c r="B294" t="s">
        <v>685</v>
      </c>
    </row>
    <row r="295" spans="1:2" x14ac:dyDescent="0.25">
      <c r="A295">
        <v>3524200000</v>
      </c>
      <c r="B295" t="s">
        <v>686</v>
      </c>
    </row>
    <row r="296" spans="1:2" x14ac:dyDescent="0.25">
      <c r="A296">
        <v>3524300000</v>
      </c>
      <c r="B296" t="s">
        <v>687</v>
      </c>
    </row>
    <row r="297" spans="1:2" x14ac:dyDescent="0.25">
      <c r="A297">
        <v>3525000000</v>
      </c>
      <c r="B297" t="s">
        <v>688</v>
      </c>
    </row>
    <row r="298" spans="1:2" x14ac:dyDescent="0.25">
      <c r="A298">
        <v>3525100000</v>
      </c>
      <c r="B298" t="s">
        <v>689</v>
      </c>
    </row>
    <row r="299" spans="1:2" x14ac:dyDescent="0.25">
      <c r="A299">
        <v>3525200000</v>
      </c>
      <c r="B299" t="s">
        <v>690</v>
      </c>
    </row>
    <row r="300" spans="1:2" x14ac:dyDescent="0.25">
      <c r="A300">
        <v>3610000000</v>
      </c>
      <c r="B300" t="s">
        <v>691</v>
      </c>
    </row>
    <row r="301" spans="1:2" x14ac:dyDescent="0.25">
      <c r="A301">
        <v>3611000000</v>
      </c>
      <c r="B301" t="s">
        <v>692</v>
      </c>
    </row>
    <row r="302" spans="1:2" x14ac:dyDescent="0.25">
      <c r="A302">
        <v>3612000000</v>
      </c>
      <c r="B302" t="s">
        <v>693</v>
      </c>
    </row>
    <row r="303" spans="1:2" x14ac:dyDescent="0.25">
      <c r="A303">
        <v>3613000000</v>
      </c>
      <c r="B303" t="s">
        <v>694</v>
      </c>
    </row>
    <row r="304" spans="1:2" x14ac:dyDescent="0.25">
      <c r="A304">
        <v>3614000000</v>
      </c>
      <c r="B304" t="s">
        <v>695</v>
      </c>
    </row>
    <row r="305" spans="1:2" x14ac:dyDescent="0.25">
      <c r="A305">
        <v>3615000000</v>
      </c>
      <c r="B305" t="s">
        <v>696</v>
      </c>
    </row>
    <row r="306" spans="1:2" x14ac:dyDescent="0.25">
      <c r="A306">
        <v>3616000000</v>
      </c>
      <c r="B306" t="s">
        <v>697</v>
      </c>
    </row>
    <row r="307" spans="1:2" x14ac:dyDescent="0.25">
      <c r="A307">
        <v>3617000000</v>
      </c>
      <c r="B307" t="s">
        <v>698</v>
      </c>
    </row>
    <row r="308" spans="1:2" x14ac:dyDescent="0.25">
      <c r="A308">
        <v>3710000000</v>
      </c>
      <c r="B308" t="s">
        <v>699</v>
      </c>
    </row>
    <row r="309" spans="1:2" x14ac:dyDescent="0.25">
      <c r="A309">
        <v>3711000000</v>
      </c>
      <c r="B309" t="s">
        <v>700</v>
      </c>
    </row>
    <row r="310" spans="1:2" x14ac:dyDescent="0.25">
      <c r="A310">
        <v>3712000000</v>
      </c>
      <c r="B310" t="s">
        <v>701</v>
      </c>
    </row>
    <row r="311" spans="1:2" x14ac:dyDescent="0.25">
      <c r="A311">
        <v>3810000000</v>
      </c>
      <c r="B311" t="s">
        <v>702</v>
      </c>
    </row>
    <row r="312" spans="1:2" x14ac:dyDescent="0.25">
      <c r="A312">
        <v>3011130000</v>
      </c>
      <c r="B312" t="s">
        <v>703</v>
      </c>
    </row>
    <row r="313" spans="1:2" x14ac:dyDescent="0.25">
      <c r="A313">
        <v>3510000000</v>
      </c>
      <c r="B313" t="s">
        <v>704</v>
      </c>
    </row>
    <row r="314" spans="1:2" x14ac:dyDescent="0.25">
      <c r="A314" t="s">
        <v>242</v>
      </c>
    </row>
    <row r="315" spans="1:2" x14ac:dyDescent="0.25">
      <c r="A315" t="s">
        <v>241</v>
      </c>
    </row>
    <row r="316" spans="1:2" x14ac:dyDescent="0.25">
      <c r="A316" t="s">
        <v>59</v>
      </c>
    </row>
    <row r="317" spans="1:2" x14ac:dyDescent="0.25">
      <c r="A317">
        <v>5891700000</v>
      </c>
      <c r="B317" t="s">
        <v>705</v>
      </c>
    </row>
    <row r="318" spans="1:2" x14ac:dyDescent="0.25">
      <c r="A318">
        <v>3121000000</v>
      </c>
      <c r="B318" t="s">
        <v>512</v>
      </c>
    </row>
    <row r="319" spans="1:2" x14ac:dyDescent="0.25">
      <c r="A319">
        <v>3121010000</v>
      </c>
      <c r="B319" t="s">
        <v>513</v>
      </c>
    </row>
    <row r="320" spans="1:2" x14ac:dyDescent="0.25">
      <c r="A320">
        <v>3121020000</v>
      </c>
      <c r="B320" t="s">
        <v>514</v>
      </c>
    </row>
    <row r="321" spans="1:2" x14ac:dyDescent="0.25">
      <c r="A321">
        <v>3121030000</v>
      </c>
      <c r="B321" t="s">
        <v>515</v>
      </c>
    </row>
    <row r="322" spans="1:2" x14ac:dyDescent="0.25">
      <c r="A322">
        <v>3121040000</v>
      </c>
      <c r="B322" t="s">
        <v>516</v>
      </c>
    </row>
    <row r="323" spans="1:2" x14ac:dyDescent="0.25">
      <c r="A323">
        <v>3121050000</v>
      </c>
      <c r="B323" t="s">
        <v>517</v>
      </c>
    </row>
    <row r="324" spans="1:2" x14ac:dyDescent="0.25">
      <c r="A324">
        <v>3121060000</v>
      </c>
      <c r="B324" t="s">
        <v>518</v>
      </c>
    </row>
    <row r="325" spans="1:2" x14ac:dyDescent="0.25">
      <c r="A325">
        <v>3121070000</v>
      </c>
      <c r="B325" t="s">
        <v>519</v>
      </c>
    </row>
    <row r="326" spans="1:2" x14ac:dyDescent="0.25">
      <c r="A326">
        <v>3121080000</v>
      </c>
      <c r="B326" t="s">
        <v>520</v>
      </c>
    </row>
    <row r="327" spans="1:2" x14ac:dyDescent="0.25">
      <c r="A327">
        <v>3122200000</v>
      </c>
      <c r="B327" t="s">
        <v>571</v>
      </c>
    </row>
    <row r="328" spans="1:2" x14ac:dyDescent="0.25">
      <c r="A328">
        <v>3012100000</v>
      </c>
      <c r="B328" t="s">
        <v>572</v>
      </c>
    </row>
    <row r="329" spans="1:2" x14ac:dyDescent="0.25">
      <c r="A329">
        <v>3012110000</v>
      </c>
      <c r="B329" t="s">
        <v>573</v>
      </c>
    </row>
    <row r="330" spans="1:2" x14ac:dyDescent="0.25">
      <c r="A330">
        <v>3122201000</v>
      </c>
      <c r="B330" t="s">
        <v>574</v>
      </c>
    </row>
    <row r="331" spans="1:2" x14ac:dyDescent="0.25">
      <c r="A331">
        <v>3122201100</v>
      </c>
      <c r="B331" t="s">
        <v>575</v>
      </c>
    </row>
    <row r="332" spans="1:2" x14ac:dyDescent="0.25">
      <c r="A332">
        <v>3122201200</v>
      </c>
      <c r="B332" t="s">
        <v>576</v>
      </c>
    </row>
    <row r="333" spans="1:2" x14ac:dyDescent="0.25">
      <c r="A333">
        <v>3122201300</v>
      </c>
      <c r="B333" t="s">
        <v>577</v>
      </c>
    </row>
    <row r="334" spans="1:2" x14ac:dyDescent="0.25">
      <c r="A334">
        <v>3122201400</v>
      </c>
      <c r="B334" t="s">
        <v>578</v>
      </c>
    </row>
    <row r="335" spans="1:2" x14ac:dyDescent="0.25">
      <c r="A335">
        <v>3122201500</v>
      </c>
      <c r="B335" t="s">
        <v>579</v>
      </c>
    </row>
    <row r="336" spans="1:2" x14ac:dyDescent="0.25">
      <c r="A336">
        <v>3122202000</v>
      </c>
      <c r="B336" t="s">
        <v>580</v>
      </c>
    </row>
    <row r="337" spans="1:2" x14ac:dyDescent="0.25">
      <c r="A337">
        <v>3122203000</v>
      </c>
      <c r="B337" t="s">
        <v>581</v>
      </c>
    </row>
    <row r="338" spans="1:2" x14ac:dyDescent="0.25">
      <c r="A338">
        <v>3122204000</v>
      </c>
      <c r="B338" t="s">
        <v>582</v>
      </c>
    </row>
    <row r="339" spans="1:2" x14ac:dyDescent="0.25">
      <c r="A339">
        <v>3122205000</v>
      </c>
      <c r="B339" t="s">
        <v>583</v>
      </c>
    </row>
    <row r="340" spans="1:2" x14ac:dyDescent="0.25">
      <c r="A340">
        <v>3122205100</v>
      </c>
      <c r="B340" t="s">
        <v>584</v>
      </c>
    </row>
    <row r="341" spans="1:2" x14ac:dyDescent="0.25">
      <c r="A341">
        <v>3122206000</v>
      </c>
      <c r="B341" t="s">
        <v>585</v>
      </c>
    </row>
    <row r="342" spans="1:2" x14ac:dyDescent="0.25">
      <c r="A342">
        <v>3122206100</v>
      </c>
      <c r="B342" t="s">
        <v>586</v>
      </c>
    </row>
    <row r="343" spans="1:2" x14ac:dyDescent="0.25">
      <c r="A343">
        <v>3122207000</v>
      </c>
      <c r="B343" t="s">
        <v>587</v>
      </c>
    </row>
    <row r="344" spans="1:2" x14ac:dyDescent="0.25">
      <c r="A344">
        <v>3122209000</v>
      </c>
      <c r="B344" t="s">
        <v>588</v>
      </c>
    </row>
    <row r="345" spans="1:2" x14ac:dyDescent="0.25">
      <c r="A345">
        <v>5814310000</v>
      </c>
      <c r="B345" t="s">
        <v>706</v>
      </c>
    </row>
    <row r="346" spans="1:2" x14ac:dyDescent="0.25">
      <c r="A346">
        <v>3122101100</v>
      </c>
      <c r="B346" t="s">
        <v>524</v>
      </c>
    </row>
    <row r="347" spans="1:2" x14ac:dyDescent="0.25">
      <c r="A347">
        <v>3122101110</v>
      </c>
      <c r="B347" t="s">
        <v>525</v>
      </c>
    </row>
    <row r="348" spans="1:2" x14ac:dyDescent="0.25">
      <c r="A348">
        <v>3122101120</v>
      </c>
      <c r="B348" t="s">
        <v>526</v>
      </c>
    </row>
    <row r="349" spans="1:2" x14ac:dyDescent="0.25">
      <c r="A349">
        <v>3122101130</v>
      </c>
      <c r="B349" t="s">
        <v>527</v>
      </c>
    </row>
    <row r="350" spans="1:2" x14ac:dyDescent="0.25">
      <c r="A350">
        <v>3122101140</v>
      </c>
      <c r="B350" t="s">
        <v>528</v>
      </c>
    </row>
    <row r="351" spans="1:2" x14ac:dyDescent="0.25">
      <c r="A351">
        <v>3122101150</v>
      </c>
      <c r="B351" t="s">
        <v>529</v>
      </c>
    </row>
    <row r="352" spans="1:2" x14ac:dyDescent="0.25">
      <c r="A352">
        <v>3122101200</v>
      </c>
      <c r="B352" t="s">
        <v>530</v>
      </c>
    </row>
    <row r="353" spans="1:2" x14ac:dyDescent="0.25">
      <c r="A353">
        <v>3122101210</v>
      </c>
      <c r="B353" t="s">
        <v>531</v>
      </c>
    </row>
    <row r="354" spans="1:2" x14ac:dyDescent="0.25">
      <c r="A354">
        <v>3122101220</v>
      </c>
      <c r="B354" t="s">
        <v>532</v>
      </c>
    </row>
    <row r="355" spans="1:2" x14ac:dyDescent="0.25">
      <c r="A355">
        <v>3122101230</v>
      </c>
      <c r="B355" t="s">
        <v>533</v>
      </c>
    </row>
    <row r="356" spans="1:2" x14ac:dyDescent="0.25">
      <c r="A356">
        <v>3122101240</v>
      </c>
      <c r="B356" t="s">
        <v>534</v>
      </c>
    </row>
    <row r="357" spans="1:2" x14ac:dyDescent="0.25">
      <c r="A357">
        <v>3122101250</v>
      </c>
      <c r="B357" t="s">
        <v>535</v>
      </c>
    </row>
    <row r="358" spans="1:2" x14ac:dyDescent="0.25">
      <c r="A358">
        <v>3122101300</v>
      </c>
      <c r="B358" t="s">
        <v>586</v>
      </c>
    </row>
    <row r="359" spans="1:2" x14ac:dyDescent="0.25">
      <c r="A359">
        <v>3122101400</v>
      </c>
      <c r="B359" t="s">
        <v>707</v>
      </c>
    </row>
    <row r="360" spans="1:2" x14ac:dyDescent="0.25">
      <c r="A360">
        <v>3122101500</v>
      </c>
      <c r="B360" t="s">
        <v>586</v>
      </c>
    </row>
    <row r="361" spans="1:2" x14ac:dyDescent="0.25">
      <c r="A361">
        <v>3122102000</v>
      </c>
      <c r="B361" t="s">
        <v>536</v>
      </c>
    </row>
    <row r="362" spans="1:2" x14ac:dyDescent="0.25">
      <c r="A362">
        <v>3122103000</v>
      </c>
      <c r="B362" t="s">
        <v>537</v>
      </c>
    </row>
    <row r="363" spans="1:2" x14ac:dyDescent="0.25">
      <c r="A363">
        <v>3122104000</v>
      </c>
      <c r="B363" t="s">
        <v>538</v>
      </c>
    </row>
    <row r="364" spans="1:2" x14ac:dyDescent="0.25">
      <c r="A364">
        <v>3122105000</v>
      </c>
      <c r="B364" t="s">
        <v>539</v>
      </c>
    </row>
    <row r="365" spans="1:2" x14ac:dyDescent="0.25">
      <c r="A365">
        <v>3122106000</v>
      </c>
      <c r="B365" t="s">
        <v>540</v>
      </c>
    </row>
    <row r="366" spans="1:2" x14ac:dyDescent="0.25">
      <c r="A366">
        <v>3122106100</v>
      </c>
      <c r="B366" t="s">
        <v>541</v>
      </c>
    </row>
    <row r="367" spans="1:2" x14ac:dyDescent="0.25">
      <c r="A367">
        <v>3122106200</v>
      </c>
      <c r="B367" t="s">
        <v>542</v>
      </c>
    </row>
    <row r="368" spans="1:2" x14ac:dyDescent="0.25">
      <c r="A368">
        <v>3122106300</v>
      </c>
      <c r="B368" t="s">
        <v>543</v>
      </c>
    </row>
    <row r="369" spans="1:2" x14ac:dyDescent="0.25">
      <c r="A369">
        <v>3122106400</v>
      </c>
      <c r="B369" t="s">
        <v>544</v>
      </c>
    </row>
    <row r="370" spans="1:2" x14ac:dyDescent="0.25">
      <c r="A370">
        <v>3122106500</v>
      </c>
      <c r="B370" t="s">
        <v>545</v>
      </c>
    </row>
    <row r="371" spans="1:2" x14ac:dyDescent="0.25">
      <c r="A371">
        <v>3122107000</v>
      </c>
      <c r="B371" t="s">
        <v>546</v>
      </c>
    </row>
    <row r="372" spans="1:2" x14ac:dyDescent="0.25">
      <c r="A372">
        <v>3122108000</v>
      </c>
      <c r="B372" t="s">
        <v>547</v>
      </c>
    </row>
    <row r="373" spans="1:2" x14ac:dyDescent="0.25">
      <c r="A373">
        <v>3122109000</v>
      </c>
      <c r="B373" t="s">
        <v>548</v>
      </c>
    </row>
    <row r="374" spans="1:2" x14ac:dyDescent="0.25">
      <c r="A374">
        <v>3122110100</v>
      </c>
      <c r="B374" t="s">
        <v>550</v>
      </c>
    </row>
    <row r="375" spans="1:2" x14ac:dyDescent="0.25">
      <c r="A375">
        <v>3122111000</v>
      </c>
      <c r="B375" t="s">
        <v>551</v>
      </c>
    </row>
    <row r="376" spans="1:2" x14ac:dyDescent="0.25">
      <c r="A376">
        <v>3122112000</v>
      </c>
      <c r="B376" t="s">
        <v>552</v>
      </c>
    </row>
    <row r="377" spans="1:2" x14ac:dyDescent="0.25">
      <c r="A377">
        <v>3122114000</v>
      </c>
      <c r="B377" t="s">
        <v>554</v>
      </c>
    </row>
    <row r="378" spans="1:2" x14ac:dyDescent="0.25">
      <c r="A378">
        <v>3122114100</v>
      </c>
      <c r="B378" t="s">
        <v>555</v>
      </c>
    </row>
    <row r="379" spans="1:2" x14ac:dyDescent="0.25">
      <c r="A379">
        <v>3122116000</v>
      </c>
      <c r="B379" t="s">
        <v>557</v>
      </c>
    </row>
    <row r="380" spans="1:2" x14ac:dyDescent="0.25">
      <c r="A380">
        <v>3122117000</v>
      </c>
      <c r="B380" t="s">
        <v>558</v>
      </c>
    </row>
    <row r="381" spans="1:2" x14ac:dyDescent="0.25">
      <c r="A381">
        <v>3122121000</v>
      </c>
      <c r="B381" t="s">
        <v>560</v>
      </c>
    </row>
    <row r="382" spans="1:2" x14ac:dyDescent="0.25">
      <c r="A382">
        <v>5891410000</v>
      </c>
      <c r="B382" t="s">
        <v>708</v>
      </c>
    </row>
    <row r="383" spans="1:2" x14ac:dyDescent="0.25">
      <c r="A383">
        <v>3110100000</v>
      </c>
      <c r="B383" t="s">
        <v>464</v>
      </c>
    </row>
    <row r="384" spans="1:2" x14ac:dyDescent="0.25">
      <c r="A384">
        <v>3110110000</v>
      </c>
      <c r="B384" t="s">
        <v>465</v>
      </c>
    </row>
    <row r="385" spans="1:2" x14ac:dyDescent="0.25">
      <c r="A385">
        <v>3110120000</v>
      </c>
      <c r="B385" t="s">
        <v>466</v>
      </c>
    </row>
    <row r="386" spans="1:2" x14ac:dyDescent="0.25">
      <c r="A386">
        <v>3110130000</v>
      </c>
      <c r="B386" t="s">
        <v>467</v>
      </c>
    </row>
    <row r="387" spans="1:2" x14ac:dyDescent="0.25">
      <c r="A387">
        <v>3110140000</v>
      </c>
      <c r="B387" t="s">
        <v>468</v>
      </c>
    </row>
    <row r="388" spans="1:2" x14ac:dyDescent="0.25">
      <c r="A388">
        <v>3110150000</v>
      </c>
      <c r="B388" t="s">
        <v>469</v>
      </c>
    </row>
    <row r="389" spans="1:2" x14ac:dyDescent="0.25">
      <c r="A389">
        <v>3110160000</v>
      </c>
      <c r="B389" t="s">
        <v>470</v>
      </c>
    </row>
    <row r="390" spans="1:2" x14ac:dyDescent="0.25">
      <c r="A390">
        <v>3110170000</v>
      </c>
      <c r="B390" t="s">
        <v>471</v>
      </c>
    </row>
    <row r="391" spans="1:2" x14ac:dyDescent="0.25">
      <c r="A391">
        <v>3110200000</v>
      </c>
      <c r="B391" t="s">
        <v>472</v>
      </c>
    </row>
    <row r="392" spans="1:2" x14ac:dyDescent="0.25">
      <c r="A392">
        <v>3110210000</v>
      </c>
      <c r="B392" t="s">
        <v>473</v>
      </c>
    </row>
    <row r="393" spans="1:2" x14ac:dyDescent="0.25">
      <c r="A393">
        <v>3110220000</v>
      </c>
      <c r="B393" t="s">
        <v>474</v>
      </c>
    </row>
    <row r="394" spans="1:2" x14ac:dyDescent="0.25">
      <c r="A394">
        <v>3110230000</v>
      </c>
      <c r="B394" t="s">
        <v>475</v>
      </c>
    </row>
    <row r="395" spans="1:2" x14ac:dyDescent="0.25">
      <c r="A395">
        <v>3110240000</v>
      </c>
      <c r="B395" t="s">
        <v>476</v>
      </c>
    </row>
    <row r="396" spans="1:2" x14ac:dyDescent="0.25">
      <c r="A396">
        <v>3110250000</v>
      </c>
      <c r="B396" t="s">
        <v>477</v>
      </c>
    </row>
    <row r="397" spans="1:2" x14ac:dyDescent="0.25">
      <c r="A397">
        <v>3110300000</v>
      </c>
      <c r="B397" t="s">
        <v>478</v>
      </c>
    </row>
    <row r="398" spans="1:2" x14ac:dyDescent="0.25">
      <c r="A398">
        <v>3110310000</v>
      </c>
      <c r="B398" t="s">
        <v>479</v>
      </c>
    </row>
    <row r="399" spans="1:2" x14ac:dyDescent="0.25">
      <c r="A399">
        <v>3110320000</v>
      </c>
      <c r="B399" t="s">
        <v>480</v>
      </c>
    </row>
    <row r="400" spans="1:2" x14ac:dyDescent="0.25">
      <c r="A400">
        <v>3110330000</v>
      </c>
      <c r="B400" t="s">
        <v>481</v>
      </c>
    </row>
    <row r="401" spans="1:2" x14ac:dyDescent="0.25">
      <c r="A401">
        <v>3110340000</v>
      </c>
      <c r="B401" t="s">
        <v>482</v>
      </c>
    </row>
    <row r="402" spans="1:2" x14ac:dyDescent="0.25">
      <c r="A402">
        <v>3110350000</v>
      </c>
      <c r="B402" t="s">
        <v>483</v>
      </c>
    </row>
    <row r="403" spans="1:2" x14ac:dyDescent="0.25">
      <c r="A403">
        <v>3110360000</v>
      </c>
      <c r="B403" t="s">
        <v>484</v>
      </c>
    </row>
    <row r="404" spans="1:2" x14ac:dyDescent="0.25">
      <c r="A404">
        <v>3110400000</v>
      </c>
      <c r="B404" t="s">
        <v>485</v>
      </c>
    </row>
    <row r="405" spans="1:2" x14ac:dyDescent="0.25">
      <c r="A405">
        <v>3110420000</v>
      </c>
      <c r="B405" t="s">
        <v>486</v>
      </c>
    </row>
    <row r="406" spans="1:2" x14ac:dyDescent="0.25">
      <c r="A406">
        <v>3110430000</v>
      </c>
      <c r="B406" t="s">
        <v>487</v>
      </c>
    </row>
    <row r="407" spans="1:2" x14ac:dyDescent="0.25">
      <c r="A407">
        <v>3110440000</v>
      </c>
      <c r="B407" t="s">
        <v>488</v>
      </c>
    </row>
    <row r="408" spans="1:2" x14ac:dyDescent="0.25">
      <c r="A408">
        <v>3110410000</v>
      </c>
      <c r="B408" t="s">
        <v>488</v>
      </c>
    </row>
    <row r="409" spans="1:2" x14ac:dyDescent="0.25">
      <c r="A409">
        <v>3110441000</v>
      </c>
      <c r="B409" t="s">
        <v>489</v>
      </c>
    </row>
    <row r="410" spans="1:2" x14ac:dyDescent="0.25">
      <c r="A410">
        <v>3110441100</v>
      </c>
      <c r="B410" t="s">
        <v>490</v>
      </c>
    </row>
    <row r="411" spans="1:2" x14ac:dyDescent="0.25">
      <c r="A411">
        <v>3110441200</v>
      </c>
      <c r="B411" t="s">
        <v>491</v>
      </c>
    </row>
    <row r="412" spans="1:2" x14ac:dyDescent="0.25">
      <c r="A412">
        <v>3110442000</v>
      </c>
      <c r="B412" t="s">
        <v>492</v>
      </c>
    </row>
    <row r="413" spans="1:2" x14ac:dyDescent="0.25">
      <c r="A413">
        <v>3110442100</v>
      </c>
      <c r="B413" t="s">
        <v>493</v>
      </c>
    </row>
    <row r="414" spans="1:2" x14ac:dyDescent="0.25">
      <c r="A414">
        <v>3110442200</v>
      </c>
      <c r="B414" t="s">
        <v>494</v>
      </c>
    </row>
    <row r="415" spans="1:2" x14ac:dyDescent="0.25">
      <c r="A415">
        <v>3110470000</v>
      </c>
      <c r="B415" t="s">
        <v>495</v>
      </c>
    </row>
    <row r="416" spans="1:2" x14ac:dyDescent="0.25">
      <c r="A416">
        <v>3110550000</v>
      </c>
      <c r="B416" t="s">
        <v>496</v>
      </c>
    </row>
    <row r="417" spans="1:2" x14ac:dyDescent="0.25">
      <c r="A417">
        <v>3110551000</v>
      </c>
      <c r="B417" t="s">
        <v>497</v>
      </c>
    </row>
    <row r="418" spans="1:2" x14ac:dyDescent="0.25">
      <c r="A418">
        <v>3110552000</v>
      </c>
      <c r="B418" t="s">
        <v>498</v>
      </c>
    </row>
    <row r="419" spans="1:2" x14ac:dyDescent="0.25">
      <c r="A419">
        <v>3110553000</v>
      </c>
      <c r="B419" t="s">
        <v>499</v>
      </c>
    </row>
    <row r="420" spans="1:2" x14ac:dyDescent="0.25">
      <c r="A420">
        <v>3110554000</v>
      </c>
      <c r="B420" t="s">
        <v>500</v>
      </c>
    </row>
    <row r="421" spans="1:2" x14ac:dyDescent="0.25">
      <c r="A421">
        <v>3110700000</v>
      </c>
      <c r="B421" t="s">
        <v>501</v>
      </c>
    </row>
    <row r="422" spans="1:2" x14ac:dyDescent="0.25">
      <c r="A422">
        <v>3110500000</v>
      </c>
      <c r="B422" t="s">
        <v>502</v>
      </c>
    </row>
    <row r="423" spans="1:2" x14ac:dyDescent="0.25">
      <c r="A423">
        <v>3110600000</v>
      </c>
      <c r="B423" t="s">
        <v>503</v>
      </c>
    </row>
    <row r="424" spans="1:2" x14ac:dyDescent="0.25">
      <c r="A424" t="s">
        <v>378</v>
      </c>
      <c r="B424" t="s">
        <v>709</v>
      </c>
    </row>
    <row r="425" spans="1:2" x14ac:dyDescent="0.25">
      <c r="A425">
        <v>5891420000</v>
      </c>
      <c r="B425" t="s">
        <v>710</v>
      </c>
    </row>
    <row r="426" spans="1:2" x14ac:dyDescent="0.25">
      <c r="A426">
        <v>3020820000</v>
      </c>
      <c r="B426" t="s">
        <v>458</v>
      </c>
    </row>
    <row r="427" spans="1:2" x14ac:dyDescent="0.25">
      <c r="A427">
        <v>3111100000</v>
      </c>
      <c r="B427" t="s">
        <v>711</v>
      </c>
    </row>
    <row r="428" spans="1:2" x14ac:dyDescent="0.25">
      <c r="A428">
        <v>3111110000</v>
      </c>
      <c r="B428" t="s">
        <v>712</v>
      </c>
    </row>
    <row r="429" spans="1:2" x14ac:dyDescent="0.25">
      <c r="A429" t="s">
        <v>379</v>
      </c>
      <c r="B429" t="s">
        <v>713</v>
      </c>
    </row>
    <row r="430" spans="1:2" x14ac:dyDescent="0.25">
      <c r="A430" t="s">
        <v>380</v>
      </c>
      <c r="B430" t="s">
        <v>714</v>
      </c>
    </row>
    <row r="431" spans="1:2" x14ac:dyDescent="0.25">
      <c r="A431">
        <v>3113100000</v>
      </c>
      <c r="B431" t="s">
        <v>508</v>
      </c>
    </row>
    <row r="432" spans="1:2" x14ac:dyDescent="0.25">
      <c r="A432">
        <v>3113200000</v>
      </c>
      <c r="B432" t="s">
        <v>509</v>
      </c>
    </row>
    <row r="433" spans="1:2" x14ac:dyDescent="0.25">
      <c r="A433">
        <v>3122119000</v>
      </c>
      <c r="B433" t="s">
        <v>559</v>
      </c>
    </row>
    <row r="434" spans="1:2" x14ac:dyDescent="0.25">
      <c r="A434">
        <v>3211600000</v>
      </c>
      <c r="B434" t="s">
        <v>614</v>
      </c>
    </row>
    <row r="435" spans="1:2" x14ac:dyDescent="0.25">
      <c r="A435">
        <v>3212700000</v>
      </c>
      <c r="B435" t="s">
        <v>625</v>
      </c>
    </row>
    <row r="436" spans="1:2" x14ac:dyDescent="0.25">
      <c r="A436">
        <v>5891500000</v>
      </c>
      <c r="B436" t="s">
        <v>715</v>
      </c>
    </row>
    <row r="437" spans="1:2" x14ac:dyDescent="0.25">
      <c r="A437">
        <v>3213000000</v>
      </c>
      <c r="B437" t="s">
        <v>629</v>
      </c>
    </row>
    <row r="438" spans="1:2" x14ac:dyDescent="0.25">
      <c r="A438">
        <v>3214000000</v>
      </c>
      <c r="B438" t="s">
        <v>630</v>
      </c>
    </row>
    <row r="439" spans="1:2" x14ac:dyDescent="0.25">
      <c r="A439" t="s">
        <v>381</v>
      </c>
      <c r="B439" t="s">
        <v>716</v>
      </c>
    </row>
    <row r="440" spans="1:2" x14ac:dyDescent="0.25">
      <c r="A440">
        <v>5891510000</v>
      </c>
      <c r="B440" t="s">
        <v>717</v>
      </c>
    </row>
    <row r="441" spans="1:2" x14ac:dyDescent="0.25">
      <c r="A441">
        <v>3211100000</v>
      </c>
      <c r="B441" t="s">
        <v>609</v>
      </c>
    </row>
    <row r="442" spans="1:2" x14ac:dyDescent="0.25">
      <c r="A442">
        <v>3211300000</v>
      </c>
      <c r="B442" t="s">
        <v>611</v>
      </c>
    </row>
    <row r="443" spans="1:2" x14ac:dyDescent="0.25">
      <c r="A443">
        <v>3211400000</v>
      </c>
      <c r="B443" t="s">
        <v>612</v>
      </c>
    </row>
    <row r="444" spans="1:2" x14ac:dyDescent="0.25">
      <c r="A444" t="s">
        <v>382</v>
      </c>
      <c r="B444" t="s">
        <v>718</v>
      </c>
    </row>
    <row r="445" spans="1:2" x14ac:dyDescent="0.25">
      <c r="A445">
        <v>5891520000</v>
      </c>
      <c r="B445" t="s">
        <v>719</v>
      </c>
    </row>
    <row r="446" spans="1:2" x14ac:dyDescent="0.25">
      <c r="A446">
        <v>3212100000</v>
      </c>
      <c r="B446" t="s">
        <v>619</v>
      </c>
    </row>
    <row r="447" spans="1:2" x14ac:dyDescent="0.25">
      <c r="A447">
        <v>3212300000</v>
      </c>
      <c r="B447" t="s">
        <v>621</v>
      </c>
    </row>
    <row r="448" spans="1:2" x14ac:dyDescent="0.25">
      <c r="A448">
        <v>3212400000</v>
      </c>
      <c r="B448" t="s">
        <v>622</v>
      </c>
    </row>
    <row r="449" spans="1:2" x14ac:dyDescent="0.25">
      <c r="A449">
        <v>3212600000</v>
      </c>
      <c r="B449" t="s">
        <v>624</v>
      </c>
    </row>
    <row r="450" spans="1:2" x14ac:dyDescent="0.25">
      <c r="A450" t="s">
        <v>383</v>
      </c>
      <c r="B450" t="s">
        <v>720</v>
      </c>
    </row>
    <row r="451" spans="1:2" x14ac:dyDescent="0.25">
      <c r="A451" t="s">
        <v>384</v>
      </c>
      <c r="B451" t="s">
        <v>721</v>
      </c>
    </row>
    <row r="452" spans="1:2" x14ac:dyDescent="0.25">
      <c r="A452">
        <v>5891800000</v>
      </c>
      <c r="B452" t="s">
        <v>722</v>
      </c>
    </row>
    <row r="453" spans="1:2" x14ac:dyDescent="0.25">
      <c r="A453">
        <v>3110100000</v>
      </c>
      <c r="B453" t="s">
        <v>464</v>
      </c>
    </row>
    <row r="454" spans="1:2" x14ac:dyDescent="0.25">
      <c r="A454">
        <v>3110110000</v>
      </c>
      <c r="B454" t="s">
        <v>465</v>
      </c>
    </row>
    <row r="455" spans="1:2" x14ac:dyDescent="0.25">
      <c r="A455">
        <v>3110120000</v>
      </c>
      <c r="B455" t="s">
        <v>466</v>
      </c>
    </row>
    <row r="456" spans="1:2" x14ac:dyDescent="0.25">
      <c r="A456">
        <v>3110130000</v>
      </c>
      <c r="B456" t="s">
        <v>467</v>
      </c>
    </row>
    <row r="457" spans="1:2" x14ac:dyDescent="0.25">
      <c r="A457">
        <v>3110140000</v>
      </c>
      <c r="B457" t="s">
        <v>468</v>
      </c>
    </row>
    <row r="458" spans="1:2" x14ac:dyDescent="0.25">
      <c r="A458">
        <v>3110150000</v>
      </c>
      <c r="B458" t="s">
        <v>469</v>
      </c>
    </row>
    <row r="459" spans="1:2" x14ac:dyDescent="0.25">
      <c r="A459">
        <v>3110160000</v>
      </c>
      <c r="B459" t="s">
        <v>470</v>
      </c>
    </row>
    <row r="460" spans="1:2" x14ac:dyDescent="0.25">
      <c r="A460">
        <v>3110170000</v>
      </c>
      <c r="B460" t="s">
        <v>471</v>
      </c>
    </row>
    <row r="461" spans="1:2" x14ac:dyDescent="0.25">
      <c r="A461">
        <v>3110200000</v>
      </c>
      <c r="B461" t="s">
        <v>472</v>
      </c>
    </row>
    <row r="462" spans="1:2" x14ac:dyDescent="0.25">
      <c r="A462">
        <v>3110210000</v>
      </c>
      <c r="B462" t="s">
        <v>473</v>
      </c>
    </row>
    <row r="463" spans="1:2" x14ac:dyDescent="0.25">
      <c r="A463">
        <v>3110220000</v>
      </c>
      <c r="B463" t="s">
        <v>474</v>
      </c>
    </row>
    <row r="464" spans="1:2" x14ac:dyDescent="0.25">
      <c r="A464">
        <v>3110230000</v>
      </c>
      <c r="B464" t="s">
        <v>475</v>
      </c>
    </row>
    <row r="465" spans="1:2" x14ac:dyDescent="0.25">
      <c r="A465">
        <v>3110240000</v>
      </c>
      <c r="B465" t="s">
        <v>476</v>
      </c>
    </row>
    <row r="466" spans="1:2" x14ac:dyDescent="0.25">
      <c r="A466">
        <v>3110250000</v>
      </c>
      <c r="B466" t="s">
        <v>477</v>
      </c>
    </row>
    <row r="467" spans="1:2" x14ac:dyDescent="0.25">
      <c r="A467">
        <v>3110300000</v>
      </c>
      <c r="B467" t="s">
        <v>478</v>
      </c>
    </row>
    <row r="468" spans="1:2" x14ac:dyDescent="0.25">
      <c r="A468">
        <v>3110310000</v>
      </c>
      <c r="B468" t="s">
        <v>479</v>
      </c>
    </row>
    <row r="469" spans="1:2" x14ac:dyDescent="0.25">
      <c r="A469">
        <v>3110320000</v>
      </c>
      <c r="B469" t="s">
        <v>480</v>
      </c>
    </row>
    <row r="470" spans="1:2" x14ac:dyDescent="0.25">
      <c r="A470">
        <v>3110330000</v>
      </c>
      <c r="B470" t="s">
        <v>481</v>
      </c>
    </row>
    <row r="471" spans="1:2" x14ac:dyDescent="0.25">
      <c r="A471">
        <v>3110340000</v>
      </c>
      <c r="B471" t="s">
        <v>482</v>
      </c>
    </row>
    <row r="472" spans="1:2" x14ac:dyDescent="0.25">
      <c r="A472">
        <v>3110350000</v>
      </c>
      <c r="B472" t="s">
        <v>483</v>
      </c>
    </row>
    <row r="473" spans="1:2" x14ac:dyDescent="0.25">
      <c r="A473">
        <v>3110360000</v>
      </c>
      <c r="B473" t="s">
        <v>484</v>
      </c>
    </row>
    <row r="474" spans="1:2" x14ac:dyDescent="0.25">
      <c r="A474">
        <v>3110550000</v>
      </c>
      <c r="B474" t="s">
        <v>496</v>
      </c>
    </row>
    <row r="475" spans="1:2" x14ac:dyDescent="0.25">
      <c r="A475">
        <v>3110551000</v>
      </c>
      <c r="B475" t="s">
        <v>497</v>
      </c>
    </row>
    <row r="476" spans="1:2" x14ac:dyDescent="0.25">
      <c r="A476">
        <v>3110552000</v>
      </c>
      <c r="B476" t="s">
        <v>498</v>
      </c>
    </row>
    <row r="477" spans="1:2" x14ac:dyDescent="0.25">
      <c r="A477">
        <v>3110553000</v>
      </c>
      <c r="B477" t="s">
        <v>499</v>
      </c>
    </row>
    <row r="478" spans="1:2" x14ac:dyDescent="0.25">
      <c r="A478">
        <v>3110554000</v>
      </c>
      <c r="B478" t="s">
        <v>500</v>
      </c>
    </row>
    <row r="479" spans="1:2" x14ac:dyDescent="0.25">
      <c r="A479">
        <v>3110700000</v>
      </c>
      <c r="B479" t="s">
        <v>501</v>
      </c>
    </row>
    <row r="480" spans="1:2" x14ac:dyDescent="0.25">
      <c r="A480">
        <v>3110500000</v>
      </c>
      <c r="B480" t="s">
        <v>502</v>
      </c>
    </row>
    <row r="481" spans="1:2" x14ac:dyDescent="0.25">
      <c r="A481">
        <v>3110600000</v>
      </c>
      <c r="B481" t="s">
        <v>503</v>
      </c>
    </row>
    <row r="482" spans="1:2" x14ac:dyDescent="0.25">
      <c r="A482">
        <v>5891510000</v>
      </c>
      <c r="B482" t="s">
        <v>717</v>
      </c>
    </row>
    <row r="483" spans="1:2" x14ac:dyDescent="0.25">
      <c r="A483">
        <v>3211100000</v>
      </c>
      <c r="B483" t="s">
        <v>609</v>
      </c>
    </row>
    <row r="484" spans="1:2" x14ac:dyDescent="0.25">
      <c r="A484">
        <v>3211300000</v>
      </c>
      <c r="B484" t="s">
        <v>611</v>
      </c>
    </row>
    <row r="485" spans="1:2" x14ac:dyDescent="0.25">
      <c r="A485">
        <v>3211400000</v>
      </c>
      <c r="B485" t="s">
        <v>612</v>
      </c>
    </row>
    <row r="486" spans="1:2" x14ac:dyDescent="0.25">
      <c r="A486" t="s">
        <v>382</v>
      </c>
      <c r="B486" t="s">
        <v>718</v>
      </c>
    </row>
    <row r="487" spans="1:2" x14ac:dyDescent="0.25">
      <c r="A487" t="s">
        <v>385</v>
      </c>
    </row>
    <row r="488" spans="1:2" x14ac:dyDescent="0.25">
      <c r="A488">
        <v>3110170000</v>
      </c>
      <c r="B488" t="s">
        <v>471</v>
      </c>
    </row>
    <row r="489" spans="1:2" x14ac:dyDescent="0.25">
      <c r="A489">
        <v>3110250000</v>
      </c>
      <c r="B489" t="s">
        <v>477</v>
      </c>
    </row>
    <row r="490" spans="1:2" x14ac:dyDescent="0.25">
      <c r="A490" t="s">
        <v>386</v>
      </c>
    </row>
    <row r="491" spans="1:2" x14ac:dyDescent="0.25">
      <c r="A491">
        <v>5891000000</v>
      </c>
      <c r="B491" t="s">
        <v>723</v>
      </c>
    </row>
    <row r="492" spans="1:2" x14ac:dyDescent="0.25">
      <c r="A492">
        <v>3410000000</v>
      </c>
      <c r="B492" t="s">
        <v>635</v>
      </c>
    </row>
    <row r="493" spans="1:2" x14ac:dyDescent="0.25">
      <c r="A493">
        <v>3411000000</v>
      </c>
      <c r="B493" t="s">
        <v>636</v>
      </c>
    </row>
    <row r="494" spans="1:2" x14ac:dyDescent="0.25">
      <c r="A494">
        <v>3412000000</v>
      </c>
      <c r="B494" t="s">
        <v>637</v>
      </c>
    </row>
    <row r="495" spans="1:2" x14ac:dyDescent="0.25">
      <c r="A495" t="s">
        <v>377</v>
      </c>
      <c r="B495" t="s">
        <v>638</v>
      </c>
    </row>
    <row r="496" spans="1:2" x14ac:dyDescent="0.25">
      <c r="A496">
        <v>5891100000</v>
      </c>
      <c r="B496" t="s">
        <v>724</v>
      </c>
    </row>
    <row r="497" spans="1:2" x14ac:dyDescent="0.25">
      <c r="A497">
        <v>5891200000</v>
      </c>
      <c r="B497" t="s">
        <v>725</v>
      </c>
    </row>
    <row r="498" spans="1:2" x14ac:dyDescent="0.25">
      <c r="A498">
        <v>5891300000</v>
      </c>
      <c r="B498" t="s">
        <v>726</v>
      </c>
    </row>
    <row r="499" spans="1:2" x14ac:dyDescent="0.25">
      <c r="A499">
        <v>3010000000</v>
      </c>
      <c r="B499" t="s">
        <v>406</v>
      </c>
    </row>
    <row r="500" spans="1:2" x14ac:dyDescent="0.25">
      <c r="A500">
        <v>3011000000</v>
      </c>
      <c r="B500" t="s">
        <v>407</v>
      </c>
    </row>
    <row r="501" spans="1:2" x14ac:dyDescent="0.25">
      <c r="A501">
        <v>3011100000</v>
      </c>
      <c r="B501" t="s">
        <v>408</v>
      </c>
    </row>
    <row r="502" spans="1:2" x14ac:dyDescent="0.25">
      <c r="A502">
        <v>3011110000</v>
      </c>
      <c r="B502" t="s">
        <v>409</v>
      </c>
    </row>
    <row r="503" spans="1:2" x14ac:dyDescent="0.25">
      <c r="A503">
        <v>3011120000</v>
      </c>
      <c r="B503" t="s">
        <v>410</v>
      </c>
    </row>
    <row r="504" spans="1:2" x14ac:dyDescent="0.25">
      <c r="A504">
        <v>3011139000</v>
      </c>
      <c r="B504" t="s">
        <v>411</v>
      </c>
    </row>
    <row r="505" spans="1:2" x14ac:dyDescent="0.25">
      <c r="A505">
        <v>3011160000</v>
      </c>
      <c r="B505" t="s">
        <v>412</v>
      </c>
    </row>
    <row r="506" spans="1:2" x14ac:dyDescent="0.25">
      <c r="A506">
        <v>3011200000</v>
      </c>
      <c r="B506" t="s">
        <v>413</v>
      </c>
    </row>
    <row r="507" spans="1:2" x14ac:dyDescent="0.25">
      <c r="A507">
        <v>3012000000</v>
      </c>
      <c r="B507" t="s">
        <v>414</v>
      </c>
    </row>
    <row r="508" spans="1:2" x14ac:dyDescent="0.25">
      <c r="A508">
        <v>3012200000</v>
      </c>
      <c r="B508" t="s">
        <v>415</v>
      </c>
    </row>
    <row r="509" spans="1:2" x14ac:dyDescent="0.25">
      <c r="A509">
        <v>3012210000</v>
      </c>
      <c r="B509" t="s">
        <v>416</v>
      </c>
    </row>
    <row r="510" spans="1:2" x14ac:dyDescent="0.25">
      <c r="A510">
        <v>3012220000</v>
      </c>
      <c r="B510" t="s">
        <v>417</v>
      </c>
    </row>
    <row r="511" spans="1:2" x14ac:dyDescent="0.25">
      <c r="A511">
        <v>5890010000</v>
      </c>
      <c r="B511" t="s">
        <v>727</v>
      </c>
    </row>
    <row r="512" spans="1:2" x14ac:dyDescent="0.25">
      <c r="A512">
        <v>3020200000</v>
      </c>
      <c r="B512" t="s">
        <v>425</v>
      </c>
    </row>
    <row r="513" spans="1:2" x14ac:dyDescent="0.25">
      <c r="A513">
        <v>3020210000</v>
      </c>
      <c r="B513" t="s">
        <v>426</v>
      </c>
    </row>
    <row r="514" spans="1:2" x14ac:dyDescent="0.25">
      <c r="A514">
        <v>3020211000</v>
      </c>
      <c r="B514" t="s">
        <v>427</v>
      </c>
    </row>
    <row r="515" spans="1:2" x14ac:dyDescent="0.25">
      <c r="A515">
        <v>3020212000</v>
      </c>
      <c r="B515" t="s">
        <v>428</v>
      </c>
    </row>
    <row r="516" spans="1:2" x14ac:dyDescent="0.25">
      <c r="A516">
        <v>3020220000</v>
      </c>
      <c r="B516" t="s">
        <v>429</v>
      </c>
    </row>
    <row r="517" spans="1:2" x14ac:dyDescent="0.25">
      <c r="A517">
        <v>3020230000</v>
      </c>
      <c r="B517" t="s">
        <v>430</v>
      </c>
    </row>
    <row r="518" spans="1:2" x14ac:dyDescent="0.25">
      <c r="A518">
        <v>3020231000</v>
      </c>
      <c r="B518" t="s">
        <v>431</v>
      </c>
    </row>
    <row r="519" spans="1:2" x14ac:dyDescent="0.25">
      <c r="A519">
        <v>3020232000</v>
      </c>
      <c r="B519" t="s">
        <v>432</v>
      </c>
    </row>
    <row r="520" spans="1:2" x14ac:dyDescent="0.25">
      <c r="A520">
        <v>3020300000</v>
      </c>
      <c r="B520" t="s">
        <v>433</v>
      </c>
    </row>
    <row r="521" spans="1:2" x14ac:dyDescent="0.25">
      <c r="A521">
        <v>3020310000</v>
      </c>
      <c r="B521" t="s">
        <v>434</v>
      </c>
    </row>
    <row r="522" spans="1:2" x14ac:dyDescent="0.25">
      <c r="A522">
        <v>3020320000</v>
      </c>
      <c r="B522" t="s">
        <v>435</v>
      </c>
    </row>
    <row r="523" spans="1:2" x14ac:dyDescent="0.25">
      <c r="A523">
        <v>3020600000</v>
      </c>
      <c r="B523" t="s">
        <v>460</v>
      </c>
    </row>
    <row r="524" spans="1:2" x14ac:dyDescent="0.25">
      <c r="A524">
        <v>3020700000</v>
      </c>
      <c r="B524" t="s">
        <v>455</v>
      </c>
    </row>
    <row r="525" spans="1:2" x14ac:dyDescent="0.25">
      <c r="A525">
        <v>3020710000</v>
      </c>
      <c r="B525" t="s">
        <v>456</v>
      </c>
    </row>
    <row r="526" spans="1:2" x14ac:dyDescent="0.25">
      <c r="A526">
        <v>3020900000</v>
      </c>
      <c r="B526" t="s">
        <v>461</v>
      </c>
    </row>
    <row r="527" spans="1:2" x14ac:dyDescent="0.25">
      <c r="A527">
        <v>5820100000</v>
      </c>
      <c r="B527" t="s">
        <v>728</v>
      </c>
    </row>
    <row r="528" spans="1:2" x14ac:dyDescent="0.25">
      <c r="A528" t="s">
        <v>387</v>
      </c>
      <c r="B528" t="s">
        <v>729</v>
      </c>
    </row>
    <row r="529" spans="1:2" x14ac:dyDescent="0.25">
      <c r="A529">
        <v>5820110000</v>
      </c>
      <c r="B529" t="s">
        <v>730</v>
      </c>
    </row>
    <row r="530" spans="1:2" x14ac:dyDescent="0.25">
      <c r="A530">
        <v>5820111000</v>
      </c>
      <c r="B530" t="s">
        <v>731</v>
      </c>
    </row>
    <row r="531" spans="1:2" x14ac:dyDescent="0.25">
      <c r="A531">
        <v>5820111100</v>
      </c>
      <c r="B531" t="s">
        <v>732</v>
      </c>
    </row>
    <row r="532" spans="1:2" x14ac:dyDescent="0.25">
      <c r="A532">
        <v>5820111200</v>
      </c>
      <c r="B532" t="s">
        <v>733</v>
      </c>
    </row>
    <row r="533" spans="1:2" x14ac:dyDescent="0.25">
      <c r="A533">
        <v>5820112000</v>
      </c>
      <c r="B533" t="s">
        <v>734</v>
      </c>
    </row>
    <row r="534" spans="1:2" x14ac:dyDescent="0.25">
      <c r="A534">
        <v>5820113000</v>
      </c>
      <c r="B534" t="s">
        <v>735</v>
      </c>
    </row>
    <row r="535" spans="1:2" x14ac:dyDescent="0.25">
      <c r="A535">
        <v>5820120000</v>
      </c>
      <c r="B535" t="s">
        <v>736</v>
      </c>
    </row>
    <row r="536" spans="1:2" x14ac:dyDescent="0.25">
      <c r="A536">
        <v>5820121000</v>
      </c>
      <c r="B536" t="s">
        <v>737</v>
      </c>
    </row>
    <row r="537" spans="1:2" x14ac:dyDescent="0.25">
      <c r="A537">
        <v>5820121100</v>
      </c>
      <c r="B537" t="s">
        <v>738</v>
      </c>
    </row>
    <row r="538" spans="1:2" x14ac:dyDescent="0.25">
      <c r="A538">
        <v>5820121200</v>
      </c>
      <c r="B538" t="s">
        <v>739</v>
      </c>
    </row>
    <row r="539" spans="1:2" x14ac:dyDescent="0.25">
      <c r="A539">
        <v>5820122000</v>
      </c>
      <c r="B539" t="s">
        <v>740</v>
      </c>
    </row>
    <row r="540" spans="1:2" x14ac:dyDescent="0.25">
      <c r="A540">
        <v>5820123000</v>
      </c>
      <c r="B540" t="s">
        <v>741</v>
      </c>
    </row>
    <row r="541" spans="1:2" x14ac:dyDescent="0.25">
      <c r="A541">
        <v>5820124000</v>
      </c>
      <c r="B541" t="s">
        <v>742</v>
      </c>
    </row>
    <row r="542" spans="1:2" x14ac:dyDescent="0.25">
      <c r="A542">
        <v>5820134000</v>
      </c>
      <c r="B542" t="s">
        <v>743</v>
      </c>
    </row>
    <row r="543" spans="1:2" x14ac:dyDescent="0.25">
      <c r="A543">
        <v>5820114000</v>
      </c>
      <c r="B543" t="s">
        <v>744</v>
      </c>
    </row>
    <row r="544" spans="1:2" x14ac:dyDescent="0.25">
      <c r="A544">
        <v>5820115000</v>
      </c>
      <c r="B544" t="s">
        <v>745</v>
      </c>
    </row>
    <row r="545" spans="1:2" x14ac:dyDescent="0.25">
      <c r="A545" t="s">
        <v>388</v>
      </c>
      <c r="B545" t="s">
        <v>746</v>
      </c>
    </row>
    <row r="546" spans="1:2" x14ac:dyDescent="0.25">
      <c r="A546">
        <v>5820134100</v>
      </c>
      <c r="B546" t="s">
        <v>747</v>
      </c>
    </row>
    <row r="547" spans="1:2" x14ac:dyDescent="0.25">
      <c r="A547" t="s">
        <v>389</v>
      </c>
      <c r="B547" t="s">
        <v>748</v>
      </c>
    </row>
    <row r="548" spans="1:2" x14ac:dyDescent="0.25">
      <c r="A548">
        <v>5891310000</v>
      </c>
      <c r="B548" t="s">
        <v>749</v>
      </c>
    </row>
    <row r="549" spans="1:2" x14ac:dyDescent="0.25">
      <c r="A549">
        <v>3020401000</v>
      </c>
      <c r="B549" t="s">
        <v>437</v>
      </c>
    </row>
    <row r="550" spans="1:2" x14ac:dyDescent="0.25">
      <c r="A550">
        <v>3020410000</v>
      </c>
      <c r="B550" t="s">
        <v>438</v>
      </c>
    </row>
    <row r="551" spans="1:2" x14ac:dyDescent="0.25">
      <c r="A551">
        <v>3020420000</v>
      </c>
      <c r="B551" t="s">
        <v>439</v>
      </c>
    </row>
    <row r="552" spans="1:2" x14ac:dyDescent="0.25">
      <c r="A552" t="s">
        <v>390</v>
      </c>
      <c r="B552" t="s">
        <v>750</v>
      </c>
    </row>
    <row r="553" spans="1:2" x14ac:dyDescent="0.25">
      <c r="A553">
        <v>5891320000</v>
      </c>
      <c r="B553" t="s">
        <v>751</v>
      </c>
    </row>
    <row r="554" spans="1:2" x14ac:dyDescent="0.25">
      <c r="A554">
        <v>3020430000</v>
      </c>
      <c r="B554" t="s">
        <v>441</v>
      </c>
    </row>
    <row r="555" spans="1:2" x14ac:dyDescent="0.25">
      <c r="A555">
        <v>3020440000</v>
      </c>
      <c r="B555" t="s">
        <v>442</v>
      </c>
    </row>
    <row r="556" spans="1:2" x14ac:dyDescent="0.25">
      <c r="A556">
        <v>5891330000</v>
      </c>
      <c r="B556" t="s">
        <v>752</v>
      </c>
    </row>
    <row r="557" spans="1:2" x14ac:dyDescent="0.25">
      <c r="A557">
        <v>3020500000</v>
      </c>
      <c r="B557" t="s">
        <v>445</v>
      </c>
    </row>
    <row r="558" spans="1:2" x14ac:dyDescent="0.25">
      <c r="A558">
        <v>3020510000</v>
      </c>
      <c r="B558" t="s">
        <v>446</v>
      </c>
    </row>
    <row r="559" spans="1:2" x14ac:dyDescent="0.25">
      <c r="A559">
        <v>3020520000</v>
      </c>
      <c r="B559" t="s">
        <v>447</v>
      </c>
    </row>
    <row r="560" spans="1:2" x14ac:dyDescent="0.25">
      <c r="A560">
        <v>3020530000</v>
      </c>
      <c r="B560" t="s">
        <v>449</v>
      </c>
    </row>
    <row r="561" spans="1:2" x14ac:dyDescent="0.25">
      <c r="A561">
        <v>3020531100</v>
      </c>
      <c r="B561" t="s">
        <v>450</v>
      </c>
    </row>
    <row r="562" spans="1:2" x14ac:dyDescent="0.25">
      <c r="A562">
        <v>3020531200</v>
      </c>
      <c r="B562" t="s">
        <v>451</v>
      </c>
    </row>
    <row r="563" spans="1:2" x14ac:dyDescent="0.25">
      <c r="A563">
        <v>3020531300</v>
      </c>
      <c r="B563" t="s">
        <v>451</v>
      </c>
    </row>
    <row r="564" spans="1:2" x14ac:dyDescent="0.25">
      <c r="A564">
        <v>3020532000</v>
      </c>
      <c r="B564" t="s">
        <v>452</v>
      </c>
    </row>
    <row r="565" spans="1:2" x14ac:dyDescent="0.25">
      <c r="A565">
        <v>3020533100</v>
      </c>
      <c r="B565" t="s">
        <v>453</v>
      </c>
    </row>
    <row r="566" spans="1:2" x14ac:dyDescent="0.25">
      <c r="A566">
        <v>3020533200</v>
      </c>
      <c r="B566" t="s">
        <v>454</v>
      </c>
    </row>
    <row r="567" spans="1:2" x14ac:dyDescent="0.25">
      <c r="A567" t="s">
        <v>391</v>
      </c>
      <c r="B567" t="s">
        <v>753</v>
      </c>
    </row>
    <row r="568" spans="1:2" x14ac:dyDescent="0.25">
      <c r="A568">
        <v>5891400000</v>
      </c>
      <c r="B568" t="s">
        <v>754</v>
      </c>
    </row>
    <row r="569" spans="1:2" x14ac:dyDescent="0.25">
      <c r="A569">
        <v>3121000000</v>
      </c>
      <c r="B569" t="s">
        <v>512</v>
      </c>
    </row>
    <row r="570" spans="1:2" x14ac:dyDescent="0.25">
      <c r="A570">
        <v>3121010000</v>
      </c>
      <c r="B570" t="s">
        <v>513</v>
      </c>
    </row>
    <row r="571" spans="1:2" x14ac:dyDescent="0.25">
      <c r="A571">
        <v>3121020000</v>
      </c>
      <c r="B571" t="s">
        <v>514</v>
      </c>
    </row>
    <row r="572" spans="1:2" x14ac:dyDescent="0.25">
      <c r="A572">
        <v>3121030000</v>
      </c>
      <c r="B572" t="s">
        <v>515</v>
      </c>
    </row>
    <row r="573" spans="1:2" x14ac:dyDescent="0.25">
      <c r="A573">
        <v>3121040000</v>
      </c>
      <c r="B573" t="s">
        <v>516</v>
      </c>
    </row>
    <row r="574" spans="1:2" x14ac:dyDescent="0.25">
      <c r="A574">
        <v>3121050000</v>
      </c>
      <c r="B574" t="s">
        <v>517</v>
      </c>
    </row>
    <row r="575" spans="1:2" x14ac:dyDescent="0.25">
      <c r="A575">
        <v>3121060000</v>
      </c>
      <c r="B575" t="s">
        <v>518</v>
      </c>
    </row>
    <row r="576" spans="1:2" x14ac:dyDescent="0.25">
      <c r="A576">
        <v>3121070000</v>
      </c>
      <c r="B576" t="s">
        <v>519</v>
      </c>
    </row>
    <row r="577" spans="1:2" x14ac:dyDescent="0.25">
      <c r="A577">
        <v>3121080000</v>
      </c>
      <c r="B577" t="s">
        <v>520</v>
      </c>
    </row>
    <row r="578" spans="1:2" x14ac:dyDescent="0.25">
      <c r="A578">
        <v>5814300000</v>
      </c>
      <c r="B578" t="s">
        <v>755</v>
      </c>
    </row>
    <row r="579" spans="1:2" x14ac:dyDescent="0.25">
      <c r="A579">
        <v>3122200000</v>
      </c>
      <c r="B579" t="s">
        <v>571</v>
      </c>
    </row>
    <row r="580" spans="1:2" x14ac:dyDescent="0.25">
      <c r="A580">
        <v>3012100000</v>
      </c>
      <c r="B580" t="s">
        <v>572</v>
      </c>
    </row>
    <row r="581" spans="1:2" x14ac:dyDescent="0.25">
      <c r="A581">
        <v>3012110000</v>
      </c>
      <c r="B581" t="s">
        <v>573</v>
      </c>
    </row>
    <row r="582" spans="1:2" x14ac:dyDescent="0.25">
      <c r="A582">
        <v>3122201000</v>
      </c>
      <c r="B582" t="s">
        <v>574</v>
      </c>
    </row>
    <row r="583" spans="1:2" x14ac:dyDescent="0.25">
      <c r="A583">
        <v>3122201100</v>
      </c>
      <c r="B583" t="s">
        <v>575</v>
      </c>
    </row>
    <row r="584" spans="1:2" x14ac:dyDescent="0.25">
      <c r="A584">
        <v>3122201200</v>
      </c>
      <c r="B584" t="s">
        <v>576</v>
      </c>
    </row>
    <row r="585" spans="1:2" x14ac:dyDescent="0.25">
      <c r="A585">
        <v>3122201300</v>
      </c>
      <c r="B585" t="s">
        <v>577</v>
      </c>
    </row>
    <row r="586" spans="1:2" x14ac:dyDescent="0.25">
      <c r="A586">
        <v>3122201400</v>
      </c>
      <c r="B586" t="s">
        <v>578</v>
      </c>
    </row>
    <row r="587" spans="1:2" x14ac:dyDescent="0.25">
      <c r="A587">
        <v>3122201500</v>
      </c>
      <c r="B587" t="s">
        <v>579</v>
      </c>
    </row>
    <row r="588" spans="1:2" x14ac:dyDescent="0.25">
      <c r="A588">
        <v>3122202000</v>
      </c>
      <c r="B588" t="s">
        <v>580</v>
      </c>
    </row>
    <row r="589" spans="1:2" x14ac:dyDescent="0.25">
      <c r="A589">
        <v>3122203000</v>
      </c>
      <c r="B589" t="s">
        <v>581</v>
      </c>
    </row>
    <row r="590" spans="1:2" x14ac:dyDescent="0.25">
      <c r="A590">
        <v>3122204000</v>
      </c>
      <c r="B590" t="s">
        <v>582</v>
      </c>
    </row>
    <row r="591" spans="1:2" x14ac:dyDescent="0.25">
      <c r="A591">
        <v>3122205000</v>
      </c>
      <c r="B591" t="s">
        <v>583</v>
      </c>
    </row>
    <row r="592" spans="1:2" x14ac:dyDescent="0.25">
      <c r="A592">
        <v>3122205100</v>
      </c>
      <c r="B592" t="s">
        <v>584</v>
      </c>
    </row>
    <row r="593" spans="1:2" x14ac:dyDescent="0.25">
      <c r="A593">
        <v>3122206000</v>
      </c>
      <c r="B593" t="s">
        <v>585</v>
      </c>
    </row>
    <row r="594" spans="1:2" x14ac:dyDescent="0.25">
      <c r="A594">
        <v>3122206100</v>
      </c>
      <c r="B594" t="s">
        <v>586</v>
      </c>
    </row>
    <row r="595" spans="1:2" x14ac:dyDescent="0.25">
      <c r="A595">
        <v>3122207000</v>
      </c>
      <c r="B595" t="s">
        <v>587</v>
      </c>
    </row>
    <row r="596" spans="1:2" x14ac:dyDescent="0.25">
      <c r="A596">
        <v>3122209000</v>
      </c>
      <c r="B596" t="s">
        <v>588</v>
      </c>
    </row>
    <row r="597" spans="1:2" x14ac:dyDescent="0.25">
      <c r="A597">
        <v>3122300000</v>
      </c>
      <c r="B597" t="s">
        <v>589</v>
      </c>
    </row>
    <row r="598" spans="1:2" x14ac:dyDescent="0.25">
      <c r="A598">
        <v>3122118000</v>
      </c>
      <c r="B598" t="s">
        <v>590</v>
      </c>
    </row>
    <row r="599" spans="1:2" x14ac:dyDescent="0.25">
      <c r="A599">
        <v>3122208000</v>
      </c>
      <c r="B599" t="s">
        <v>591</v>
      </c>
    </row>
    <row r="600" spans="1:2" x14ac:dyDescent="0.25">
      <c r="A600">
        <v>3123000000</v>
      </c>
      <c r="B600" t="s">
        <v>592</v>
      </c>
    </row>
    <row r="601" spans="1:2" x14ac:dyDescent="0.25">
      <c r="A601">
        <v>3123100000</v>
      </c>
      <c r="B601" t="s">
        <v>593</v>
      </c>
    </row>
    <row r="602" spans="1:2" x14ac:dyDescent="0.25">
      <c r="A602">
        <v>3123110000</v>
      </c>
      <c r="B602" t="s">
        <v>594</v>
      </c>
    </row>
    <row r="603" spans="1:2" x14ac:dyDescent="0.25">
      <c r="A603">
        <v>3123111000</v>
      </c>
      <c r="B603" t="s">
        <v>595</v>
      </c>
    </row>
    <row r="604" spans="1:2" x14ac:dyDescent="0.25">
      <c r="A604">
        <v>3123112000</v>
      </c>
      <c r="B604" t="s">
        <v>596</v>
      </c>
    </row>
    <row r="605" spans="1:2" x14ac:dyDescent="0.25">
      <c r="A605">
        <v>3123114000</v>
      </c>
      <c r="B605" t="s">
        <v>597</v>
      </c>
    </row>
    <row r="606" spans="1:2" x14ac:dyDescent="0.25">
      <c r="A606">
        <v>3123115000</v>
      </c>
      <c r="B606" t="s">
        <v>598</v>
      </c>
    </row>
    <row r="607" spans="1:2" x14ac:dyDescent="0.25">
      <c r="A607">
        <v>3123117000</v>
      </c>
      <c r="B607" t="s">
        <v>599</v>
      </c>
    </row>
    <row r="608" spans="1:2" x14ac:dyDescent="0.25">
      <c r="A608">
        <v>3123118000</v>
      </c>
      <c r="B608" t="s">
        <v>600</v>
      </c>
    </row>
    <row r="609" spans="1:2" x14ac:dyDescent="0.25">
      <c r="A609">
        <v>3123120000</v>
      </c>
      <c r="B609" t="s">
        <v>601</v>
      </c>
    </row>
    <row r="610" spans="1:2" x14ac:dyDescent="0.25">
      <c r="A610">
        <v>3123121000</v>
      </c>
      <c r="B610" t="s">
        <v>602</v>
      </c>
    </row>
    <row r="611" spans="1:2" x14ac:dyDescent="0.25">
      <c r="A611">
        <v>3123122000</v>
      </c>
      <c r="B611" t="s">
        <v>603</v>
      </c>
    </row>
    <row r="612" spans="1:2" x14ac:dyDescent="0.25">
      <c r="A612">
        <v>3123210000</v>
      </c>
      <c r="B612" t="s">
        <v>604</v>
      </c>
    </row>
    <row r="613" spans="1:2" x14ac:dyDescent="0.25">
      <c r="A613">
        <v>3123200000</v>
      </c>
      <c r="B613" t="s">
        <v>605</v>
      </c>
    </row>
    <row r="614" spans="1:2" x14ac:dyDescent="0.25">
      <c r="A614">
        <v>3123211000</v>
      </c>
      <c r="B614" t="s">
        <v>606</v>
      </c>
    </row>
    <row r="615" spans="1:2" x14ac:dyDescent="0.25">
      <c r="A615" t="s">
        <v>392</v>
      </c>
      <c r="B615" t="s">
        <v>756</v>
      </c>
    </row>
    <row r="616" spans="1:2" x14ac:dyDescent="0.25">
      <c r="A616">
        <v>5814310000</v>
      </c>
      <c r="B616" t="s">
        <v>706</v>
      </c>
    </row>
    <row r="617" spans="1:2" x14ac:dyDescent="0.25">
      <c r="A617">
        <v>3122101100</v>
      </c>
      <c r="B617" t="s">
        <v>524</v>
      </c>
    </row>
    <row r="618" spans="1:2" x14ac:dyDescent="0.25">
      <c r="A618">
        <v>3122101110</v>
      </c>
      <c r="B618" t="s">
        <v>525</v>
      </c>
    </row>
    <row r="619" spans="1:2" x14ac:dyDescent="0.25">
      <c r="A619">
        <v>3122101120</v>
      </c>
      <c r="B619" t="s">
        <v>526</v>
      </c>
    </row>
    <row r="620" spans="1:2" x14ac:dyDescent="0.25">
      <c r="A620">
        <v>3122101130</v>
      </c>
      <c r="B620" t="s">
        <v>527</v>
      </c>
    </row>
    <row r="621" spans="1:2" x14ac:dyDescent="0.25">
      <c r="A621">
        <v>3122101140</v>
      </c>
      <c r="B621" t="s">
        <v>528</v>
      </c>
    </row>
    <row r="622" spans="1:2" x14ac:dyDescent="0.25">
      <c r="A622">
        <v>3122101150</v>
      </c>
      <c r="B622" t="s">
        <v>529</v>
      </c>
    </row>
    <row r="623" spans="1:2" x14ac:dyDescent="0.25">
      <c r="A623">
        <v>3122101200</v>
      </c>
      <c r="B623" t="s">
        <v>530</v>
      </c>
    </row>
    <row r="624" spans="1:2" x14ac:dyDescent="0.25">
      <c r="A624">
        <v>3122101210</v>
      </c>
      <c r="B624" t="s">
        <v>531</v>
      </c>
    </row>
    <row r="625" spans="1:2" x14ac:dyDescent="0.25">
      <c r="A625">
        <v>3122101220</v>
      </c>
      <c r="B625" t="s">
        <v>532</v>
      </c>
    </row>
    <row r="626" spans="1:2" x14ac:dyDescent="0.25">
      <c r="A626">
        <v>3122101230</v>
      </c>
      <c r="B626" t="s">
        <v>533</v>
      </c>
    </row>
    <row r="627" spans="1:2" x14ac:dyDescent="0.25">
      <c r="A627">
        <v>3122101240</v>
      </c>
      <c r="B627" t="s">
        <v>534</v>
      </c>
    </row>
    <row r="628" spans="1:2" x14ac:dyDescent="0.25">
      <c r="A628">
        <v>3122101250</v>
      </c>
      <c r="B628" t="s">
        <v>535</v>
      </c>
    </row>
    <row r="629" spans="1:2" x14ac:dyDescent="0.25">
      <c r="A629">
        <v>3122101300</v>
      </c>
      <c r="B629" t="s">
        <v>586</v>
      </c>
    </row>
    <row r="630" spans="1:2" x14ac:dyDescent="0.25">
      <c r="A630">
        <v>3122101400</v>
      </c>
      <c r="B630" t="s">
        <v>707</v>
      </c>
    </row>
    <row r="631" spans="1:2" x14ac:dyDescent="0.25">
      <c r="A631">
        <v>3122101500</v>
      </c>
      <c r="B631" t="s">
        <v>586</v>
      </c>
    </row>
    <row r="632" spans="1:2" x14ac:dyDescent="0.25">
      <c r="A632">
        <v>3122102000</v>
      </c>
      <c r="B632" t="s">
        <v>536</v>
      </c>
    </row>
    <row r="633" spans="1:2" x14ac:dyDescent="0.25">
      <c r="A633">
        <v>3122103000</v>
      </c>
      <c r="B633" t="s">
        <v>537</v>
      </c>
    </row>
    <row r="634" spans="1:2" x14ac:dyDescent="0.25">
      <c r="A634">
        <v>3122104000</v>
      </c>
      <c r="B634" t="s">
        <v>538</v>
      </c>
    </row>
    <row r="635" spans="1:2" x14ac:dyDescent="0.25">
      <c r="A635">
        <v>3122105000</v>
      </c>
      <c r="B635" t="s">
        <v>539</v>
      </c>
    </row>
    <row r="636" spans="1:2" x14ac:dyDescent="0.25">
      <c r="A636">
        <v>3122106000</v>
      </c>
      <c r="B636" t="s">
        <v>540</v>
      </c>
    </row>
    <row r="637" spans="1:2" x14ac:dyDescent="0.25">
      <c r="A637">
        <v>3122106100</v>
      </c>
      <c r="B637" t="s">
        <v>541</v>
      </c>
    </row>
    <row r="638" spans="1:2" x14ac:dyDescent="0.25">
      <c r="A638">
        <v>3122106200</v>
      </c>
      <c r="B638" t="s">
        <v>542</v>
      </c>
    </row>
    <row r="639" spans="1:2" x14ac:dyDescent="0.25">
      <c r="A639">
        <v>3122106300</v>
      </c>
      <c r="B639" t="s">
        <v>543</v>
      </c>
    </row>
    <row r="640" spans="1:2" x14ac:dyDescent="0.25">
      <c r="A640">
        <v>3122106400</v>
      </c>
      <c r="B640" t="s">
        <v>544</v>
      </c>
    </row>
    <row r="641" spans="1:2" x14ac:dyDescent="0.25">
      <c r="A641">
        <v>3122106500</v>
      </c>
      <c r="B641" t="s">
        <v>545</v>
      </c>
    </row>
    <row r="642" spans="1:2" x14ac:dyDescent="0.25">
      <c r="A642">
        <v>3122107000</v>
      </c>
      <c r="B642" t="s">
        <v>546</v>
      </c>
    </row>
    <row r="643" spans="1:2" x14ac:dyDescent="0.25">
      <c r="A643">
        <v>3122108000</v>
      </c>
      <c r="B643" t="s">
        <v>547</v>
      </c>
    </row>
    <row r="644" spans="1:2" x14ac:dyDescent="0.25">
      <c r="A644">
        <v>3122109000</v>
      </c>
      <c r="B644" t="s">
        <v>548</v>
      </c>
    </row>
    <row r="645" spans="1:2" x14ac:dyDescent="0.25">
      <c r="A645">
        <v>3122110100</v>
      </c>
      <c r="B645" t="s">
        <v>550</v>
      </c>
    </row>
    <row r="646" spans="1:2" x14ac:dyDescent="0.25">
      <c r="A646">
        <v>3122111000</v>
      </c>
      <c r="B646" t="s">
        <v>551</v>
      </c>
    </row>
    <row r="647" spans="1:2" x14ac:dyDescent="0.25">
      <c r="A647">
        <v>3122112000</v>
      </c>
      <c r="B647" t="s">
        <v>552</v>
      </c>
    </row>
    <row r="648" spans="1:2" x14ac:dyDescent="0.25">
      <c r="A648">
        <v>3122114000</v>
      </c>
      <c r="B648" t="s">
        <v>554</v>
      </c>
    </row>
    <row r="649" spans="1:2" x14ac:dyDescent="0.25">
      <c r="A649">
        <v>3122114100</v>
      </c>
      <c r="B649" t="s">
        <v>555</v>
      </c>
    </row>
    <row r="650" spans="1:2" x14ac:dyDescent="0.25">
      <c r="A650">
        <v>3122116000</v>
      </c>
      <c r="B650" t="s">
        <v>557</v>
      </c>
    </row>
    <row r="651" spans="1:2" x14ac:dyDescent="0.25">
      <c r="A651">
        <v>3122117000</v>
      </c>
      <c r="B651" t="s">
        <v>558</v>
      </c>
    </row>
    <row r="652" spans="1:2" x14ac:dyDescent="0.25">
      <c r="A652">
        <v>3122121000</v>
      </c>
      <c r="B652" t="s">
        <v>560</v>
      </c>
    </row>
    <row r="653" spans="1:2" x14ac:dyDescent="0.25">
      <c r="A653">
        <v>5891410000</v>
      </c>
      <c r="B653" t="s">
        <v>708</v>
      </c>
    </row>
    <row r="654" spans="1:2" x14ac:dyDescent="0.25">
      <c r="A654">
        <v>3110100000</v>
      </c>
      <c r="B654" t="s">
        <v>464</v>
      </c>
    </row>
    <row r="655" spans="1:2" x14ac:dyDescent="0.25">
      <c r="A655">
        <v>3110110000</v>
      </c>
      <c r="B655" t="s">
        <v>465</v>
      </c>
    </row>
    <row r="656" spans="1:2" x14ac:dyDescent="0.25">
      <c r="A656">
        <v>3110120000</v>
      </c>
      <c r="B656" t="s">
        <v>466</v>
      </c>
    </row>
    <row r="657" spans="1:2" x14ac:dyDescent="0.25">
      <c r="A657">
        <v>3110130000</v>
      </c>
      <c r="B657" t="s">
        <v>467</v>
      </c>
    </row>
    <row r="658" spans="1:2" x14ac:dyDescent="0.25">
      <c r="A658">
        <v>3110140000</v>
      </c>
      <c r="B658" t="s">
        <v>468</v>
      </c>
    </row>
    <row r="659" spans="1:2" x14ac:dyDescent="0.25">
      <c r="A659">
        <v>3110150000</v>
      </c>
      <c r="B659" t="s">
        <v>469</v>
      </c>
    </row>
    <row r="660" spans="1:2" x14ac:dyDescent="0.25">
      <c r="A660">
        <v>3110160000</v>
      </c>
      <c r="B660" t="s">
        <v>470</v>
      </c>
    </row>
    <row r="661" spans="1:2" x14ac:dyDescent="0.25">
      <c r="A661">
        <v>3110170000</v>
      </c>
      <c r="B661" t="s">
        <v>471</v>
      </c>
    </row>
    <row r="662" spans="1:2" x14ac:dyDescent="0.25">
      <c r="A662">
        <v>3110200000</v>
      </c>
      <c r="B662" t="s">
        <v>472</v>
      </c>
    </row>
    <row r="663" spans="1:2" x14ac:dyDescent="0.25">
      <c r="A663">
        <v>3110210000</v>
      </c>
      <c r="B663" t="s">
        <v>473</v>
      </c>
    </row>
    <row r="664" spans="1:2" x14ac:dyDescent="0.25">
      <c r="A664">
        <v>3110220000</v>
      </c>
      <c r="B664" t="s">
        <v>474</v>
      </c>
    </row>
    <row r="665" spans="1:2" x14ac:dyDescent="0.25">
      <c r="A665">
        <v>3110230000</v>
      </c>
      <c r="B665" t="s">
        <v>475</v>
      </c>
    </row>
    <row r="666" spans="1:2" x14ac:dyDescent="0.25">
      <c r="A666">
        <v>3110240000</v>
      </c>
      <c r="B666" t="s">
        <v>476</v>
      </c>
    </row>
    <row r="667" spans="1:2" x14ac:dyDescent="0.25">
      <c r="A667">
        <v>3110250000</v>
      </c>
      <c r="B667" t="s">
        <v>477</v>
      </c>
    </row>
    <row r="668" spans="1:2" x14ac:dyDescent="0.25">
      <c r="A668">
        <v>3110300000</v>
      </c>
      <c r="B668" t="s">
        <v>478</v>
      </c>
    </row>
    <row r="669" spans="1:2" x14ac:dyDescent="0.25">
      <c r="A669">
        <v>3110310000</v>
      </c>
      <c r="B669" t="s">
        <v>479</v>
      </c>
    </row>
    <row r="670" spans="1:2" x14ac:dyDescent="0.25">
      <c r="A670">
        <v>3110320000</v>
      </c>
      <c r="B670" t="s">
        <v>480</v>
      </c>
    </row>
    <row r="671" spans="1:2" x14ac:dyDescent="0.25">
      <c r="A671">
        <v>3110330000</v>
      </c>
      <c r="B671" t="s">
        <v>481</v>
      </c>
    </row>
    <row r="672" spans="1:2" x14ac:dyDescent="0.25">
      <c r="A672">
        <v>3110340000</v>
      </c>
      <c r="B672" t="s">
        <v>482</v>
      </c>
    </row>
    <row r="673" spans="1:2" x14ac:dyDescent="0.25">
      <c r="A673">
        <v>3110350000</v>
      </c>
      <c r="B673" t="s">
        <v>483</v>
      </c>
    </row>
    <row r="674" spans="1:2" x14ac:dyDescent="0.25">
      <c r="A674">
        <v>3110360000</v>
      </c>
      <c r="B674" t="s">
        <v>484</v>
      </c>
    </row>
    <row r="675" spans="1:2" x14ac:dyDescent="0.25">
      <c r="A675">
        <v>3110400000</v>
      </c>
      <c r="B675" t="s">
        <v>485</v>
      </c>
    </row>
    <row r="676" spans="1:2" x14ac:dyDescent="0.25">
      <c r="A676">
        <v>3110420000</v>
      </c>
      <c r="B676" t="s">
        <v>486</v>
      </c>
    </row>
    <row r="677" spans="1:2" x14ac:dyDescent="0.25">
      <c r="A677">
        <v>3110430000</v>
      </c>
      <c r="B677" t="s">
        <v>487</v>
      </c>
    </row>
    <row r="678" spans="1:2" x14ac:dyDescent="0.25">
      <c r="A678">
        <v>3110440000</v>
      </c>
      <c r="B678" t="s">
        <v>488</v>
      </c>
    </row>
    <row r="679" spans="1:2" x14ac:dyDescent="0.25">
      <c r="A679">
        <v>3110410000</v>
      </c>
      <c r="B679" t="s">
        <v>488</v>
      </c>
    </row>
    <row r="680" spans="1:2" x14ac:dyDescent="0.25">
      <c r="A680">
        <v>3110441000</v>
      </c>
      <c r="B680" t="s">
        <v>489</v>
      </c>
    </row>
    <row r="681" spans="1:2" x14ac:dyDescent="0.25">
      <c r="A681">
        <v>3110441100</v>
      </c>
      <c r="B681" t="s">
        <v>490</v>
      </c>
    </row>
    <row r="682" spans="1:2" x14ac:dyDescent="0.25">
      <c r="A682">
        <v>3110441200</v>
      </c>
      <c r="B682" t="s">
        <v>491</v>
      </c>
    </row>
    <row r="683" spans="1:2" x14ac:dyDescent="0.25">
      <c r="A683">
        <v>3110442000</v>
      </c>
      <c r="B683" t="s">
        <v>492</v>
      </c>
    </row>
    <row r="684" spans="1:2" x14ac:dyDescent="0.25">
      <c r="A684">
        <v>3110442100</v>
      </c>
      <c r="B684" t="s">
        <v>493</v>
      </c>
    </row>
    <row r="685" spans="1:2" x14ac:dyDescent="0.25">
      <c r="A685">
        <v>3110442200</v>
      </c>
      <c r="B685" t="s">
        <v>494</v>
      </c>
    </row>
    <row r="686" spans="1:2" x14ac:dyDescent="0.25">
      <c r="A686">
        <v>3110470000</v>
      </c>
      <c r="B686" t="s">
        <v>495</v>
      </c>
    </row>
    <row r="687" spans="1:2" x14ac:dyDescent="0.25">
      <c r="A687">
        <v>3110550000</v>
      </c>
      <c r="B687" t="s">
        <v>496</v>
      </c>
    </row>
    <row r="688" spans="1:2" x14ac:dyDescent="0.25">
      <c r="A688">
        <v>3110551000</v>
      </c>
      <c r="B688" t="s">
        <v>497</v>
      </c>
    </row>
    <row r="689" spans="1:2" x14ac:dyDescent="0.25">
      <c r="A689">
        <v>3110552000</v>
      </c>
      <c r="B689" t="s">
        <v>498</v>
      </c>
    </row>
    <row r="690" spans="1:2" x14ac:dyDescent="0.25">
      <c r="A690">
        <v>3110553000</v>
      </c>
      <c r="B690" t="s">
        <v>499</v>
      </c>
    </row>
    <row r="691" spans="1:2" x14ac:dyDescent="0.25">
      <c r="A691">
        <v>3110554000</v>
      </c>
      <c r="B691" t="s">
        <v>500</v>
      </c>
    </row>
    <row r="692" spans="1:2" x14ac:dyDescent="0.25">
      <c r="A692">
        <v>3110700000</v>
      </c>
      <c r="B692" t="s">
        <v>501</v>
      </c>
    </row>
    <row r="693" spans="1:2" x14ac:dyDescent="0.25">
      <c r="A693">
        <v>3110500000</v>
      </c>
      <c r="B693" t="s">
        <v>502</v>
      </c>
    </row>
    <row r="694" spans="1:2" x14ac:dyDescent="0.25">
      <c r="A694">
        <v>3110600000</v>
      </c>
      <c r="B694" t="s">
        <v>503</v>
      </c>
    </row>
    <row r="695" spans="1:2" x14ac:dyDescent="0.25">
      <c r="A695" t="s">
        <v>378</v>
      </c>
      <c r="B695" t="s">
        <v>709</v>
      </c>
    </row>
    <row r="696" spans="1:2" x14ac:dyDescent="0.25">
      <c r="A696">
        <v>5891420000</v>
      </c>
      <c r="B696" t="s">
        <v>710</v>
      </c>
    </row>
    <row r="697" spans="1:2" x14ac:dyDescent="0.25">
      <c r="A697">
        <v>3020820000</v>
      </c>
      <c r="B697" t="s">
        <v>458</v>
      </c>
    </row>
    <row r="698" spans="1:2" x14ac:dyDescent="0.25">
      <c r="A698">
        <v>3111100000</v>
      </c>
      <c r="B698" t="s">
        <v>711</v>
      </c>
    </row>
    <row r="699" spans="1:2" x14ac:dyDescent="0.25">
      <c r="A699">
        <v>3111110000</v>
      </c>
      <c r="B699" t="s">
        <v>712</v>
      </c>
    </row>
    <row r="700" spans="1:2" x14ac:dyDescent="0.25">
      <c r="A700" t="s">
        <v>379</v>
      </c>
      <c r="B700" t="s">
        <v>713</v>
      </c>
    </row>
    <row r="701" spans="1:2" x14ac:dyDescent="0.25">
      <c r="A701" t="s">
        <v>380</v>
      </c>
      <c r="B701" t="s">
        <v>714</v>
      </c>
    </row>
    <row r="702" spans="1:2" x14ac:dyDescent="0.25">
      <c r="A702">
        <v>3113100000</v>
      </c>
      <c r="B702" t="s">
        <v>508</v>
      </c>
    </row>
    <row r="703" spans="1:2" x14ac:dyDescent="0.25">
      <c r="A703">
        <v>3113200000</v>
      </c>
      <c r="B703" t="s">
        <v>509</v>
      </c>
    </row>
    <row r="704" spans="1:2" x14ac:dyDescent="0.25">
      <c r="A704">
        <v>3122119000</v>
      </c>
      <c r="B704" t="s">
        <v>559</v>
      </c>
    </row>
    <row r="705" spans="1:2" x14ac:dyDescent="0.25">
      <c r="A705">
        <v>3211600000</v>
      </c>
      <c r="B705" t="s">
        <v>614</v>
      </c>
    </row>
    <row r="706" spans="1:2" x14ac:dyDescent="0.25">
      <c r="A706">
        <v>3212700000</v>
      </c>
      <c r="B706" t="s">
        <v>625</v>
      </c>
    </row>
    <row r="707" spans="1:2" x14ac:dyDescent="0.25">
      <c r="A707">
        <v>5891500000</v>
      </c>
      <c r="B707" t="s">
        <v>715</v>
      </c>
    </row>
    <row r="708" spans="1:2" x14ac:dyDescent="0.25">
      <c r="A708">
        <v>3213000000</v>
      </c>
      <c r="B708" t="s">
        <v>629</v>
      </c>
    </row>
    <row r="709" spans="1:2" x14ac:dyDescent="0.25">
      <c r="A709">
        <v>3214000000</v>
      </c>
      <c r="B709" t="s">
        <v>630</v>
      </c>
    </row>
    <row r="710" spans="1:2" x14ac:dyDescent="0.25">
      <c r="A710" t="s">
        <v>381</v>
      </c>
      <c r="B710" t="s">
        <v>716</v>
      </c>
    </row>
    <row r="711" spans="1:2" x14ac:dyDescent="0.25">
      <c r="A711">
        <v>5891510000</v>
      </c>
      <c r="B711" t="s">
        <v>717</v>
      </c>
    </row>
    <row r="712" spans="1:2" x14ac:dyDescent="0.25">
      <c r="A712">
        <v>3211100000</v>
      </c>
      <c r="B712" t="s">
        <v>609</v>
      </c>
    </row>
    <row r="713" spans="1:2" x14ac:dyDescent="0.25">
      <c r="A713">
        <v>3211300000</v>
      </c>
      <c r="B713" t="s">
        <v>611</v>
      </c>
    </row>
    <row r="714" spans="1:2" x14ac:dyDescent="0.25">
      <c r="A714">
        <v>3211400000</v>
      </c>
      <c r="B714" t="s">
        <v>612</v>
      </c>
    </row>
    <row r="715" spans="1:2" x14ac:dyDescent="0.25">
      <c r="A715" t="s">
        <v>382</v>
      </c>
      <c r="B715" t="s">
        <v>718</v>
      </c>
    </row>
    <row r="716" spans="1:2" x14ac:dyDescent="0.25">
      <c r="A716">
        <v>5891520000</v>
      </c>
      <c r="B716" t="s">
        <v>719</v>
      </c>
    </row>
    <row r="717" spans="1:2" x14ac:dyDescent="0.25">
      <c r="A717">
        <v>3212100000</v>
      </c>
      <c r="B717" t="s">
        <v>619</v>
      </c>
    </row>
    <row r="718" spans="1:2" x14ac:dyDescent="0.25">
      <c r="A718">
        <v>3212300000</v>
      </c>
      <c r="B718" t="s">
        <v>621</v>
      </c>
    </row>
    <row r="719" spans="1:2" x14ac:dyDescent="0.25">
      <c r="A719">
        <v>3212400000</v>
      </c>
      <c r="B719" t="s">
        <v>622</v>
      </c>
    </row>
    <row r="720" spans="1:2" x14ac:dyDescent="0.25">
      <c r="A720">
        <v>3212600000</v>
      </c>
      <c r="B720" t="s">
        <v>624</v>
      </c>
    </row>
    <row r="721" spans="1:2" x14ac:dyDescent="0.25">
      <c r="A721" t="s">
        <v>383</v>
      </c>
      <c r="B721" t="s">
        <v>720</v>
      </c>
    </row>
    <row r="722" spans="1:2" x14ac:dyDescent="0.25">
      <c r="A722">
        <v>5891600000</v>
      </c>
      <c r="B722" t="s">
        <v>757</v>
      </c>
    </row>
    <row r="723" spans="1:2" x14ac:dyDescent="0.25">
      <c r="A723">
        <v>3020450000</v>
      </c>
      <c r="B723" t="s">
        <v>443</v>
      </c>
    </row>
    <row r="724" spans="1:2" x14ac:dyDescent="0.25">
      <c r="A724">
        <v>3020502000</v>
      </c>
      <c r="B724" t="s">
        <v>448</v>
      </c>
    </row>
    <row r="725" spans="1:2" x14ac:dyDescent="0.25">
      <c r="A725">
        <v>3020810000</v>
      </c>
      <c r="B725" t="s">
        <v>457</v>
      </c>
    </row>
    <row r="726" spans="1:2" x14ac:dyDescent="0.25">
      <c r="A726">
        <v>3020811000</v>
      </c>
      <c r="B726" t="s">
        <v>758</v>
      </c>
    </row>
    <row r="727" spans="1:2" x14ac:dyDescent="0.25">
      <c r="A727">
        <v>3110800000</v>
      </c>
      <c r="B727" t="s">
        <v>504</v>
      </c>
    </row>
    <row r="728" spans="1:2" x14ac:dyDescent="0.25">
      <c r="A728">
        <v>3110810000</v>
      </c>
      <c r="B728" t="s">
        <v>759</v>
      </c>
    </row>
    <row r="729" spans="1:2" x14ac:dyDescent="0.25">
      <c r="A729">
        <v>3215000000</v>
      </c>
      <c r="B729" t="s">
        <v>631</v>
      </c>
    </row>
    <row r="730" spans="1:2" x14ac:dyDescent="0.25">
      <c r="A730" t="s">
        <v>393</v>
      </c>
      <c r="B730" t="s">
        <v>760</v>
      </c>
    </row>
    <row r="731" spans="1:2" x14ac:dyDescent="0.25">
      <c r="A731" t="s">
        <v>394</v>
      </c>
    </row>
    <row r="732" spans="1:2" x14ac:dyDescent="0.25">
      <c r="A732">
        <v>5820134100</v>
      </c>
      <c r="B732" t="s">
        <v>747</v>
      </c>
    </row>
    <row r="733" spans="1:2" x14ac:dyDescent="0.25">
      <c r="A733">
        <v>5891000000</v>
      </c>
      <c r="B733" t="s">
        <v>723</v>
      </c>
    </row>
    <row r="734" spans="1:2" x14ac:dyDescent="0.25">
      <c r="A734">
        <v>3410000000</v>
      </c>
      <c r="B734" t="s">
        <v>635</v>
      </c>
    </row>
    <row r="735" spans="1:2" x14ac:dyDescent="0.25">
      <c r="A735">
        <v>3411000000</v>
      </c>
      <c r="B735" t="s">
        <v>636</v>
      </c>
    </row>
    <row r="736" spans="1:2" x14ac:dyDescent="0.25">
      <c r="A736">
        <v>3412000000</v>
      </c>
      <c r="B736" t="s">
        <v>637</v>
      </c>
    </row>
    <row r="737" spans="1:2" x14ac:dyDescent="0.25">
      <c r="A737" t="s">
        <v>377</v>
      </c>
      <c r="B737" t="s">
        <v>638</v>
      </c>
    </row>
    <row r="738" spans="1:2" x14ac:dyDescent="0.25">
      <c r="A738">
        <v>5891100000</v>
      </c>
      <c r="B738" t="s">
        <v>724</v>
      </c>
    </row>
    <row r="739" spans="1:2" x14ac:dyDescent="0.25">
      <c r="A739">
        <v>5891200000</v>
      </c>
      <c r="B739" t="s">
        <v>725</v>
      </c>
    </row>
    <row r="740" spans="1:2" x14ac:dyDescent="0.25">
      <c r="A740">
        <v>5891300000</v>
      </c>
      <c r="B740" t="s">
        <v>726</v>
      </c>
    </row>
    <row r="741" spans="1:2" x14ac:dyDescent="0.25">
      <c r="A741">
        <v>3010000000</v>
      </c>
      <c r="B741" t="s">
        <v>406</v>
      </c>
    </row>
    <row r="742" spans="1:2" x14ac:dyDescent="0.25">
      <c r="A742">
        <v>3011000000</v>
      </c>
      <c r="B742" t="s">
        <v>407</v>
      </c>
    </row>
    <row r="743" spans="1:2" x14ac:dyDescent="0.25">
      <c r="A743">
        <v>3011100000</v>
      </c>
      <c r="B743" t="s">
        <v>408</v>
      </c>
    </row>
    <row r="744" spans="1:2" x14ac:dyDescent="0.25">
      <c r="A744">
        <v>3011110000</v>
      </c>
      <c r="B744" t="s">
        <v>409</v>
      </c>
    </row>
    <row r="745" spans="1:2" x14ac:dyDescent="0.25">
      <c r="A745">
        <v>3011120000</v>
      </c>
      <c r="B745" t="s">
        <v>410</v>
      </c>
    </row>
    <row r="746" spans="1:2" x14ac:dyDescent="0.25">
      <c r="A746">
        <v>3011139000</v>
      </c>
      <c r="B746" t="s">
        <v>411</v>
      </c>
    </row>
    <row r="747" spans="1:2" x14ac:dyDescent="0.25">
      <c r="A747">
        <v>3011160000</v>
      </c>
      <c r="B747" t="s">
        <v>412</v>
      </c>
    </row>
    <row r="748" spans="1:2" x14ac:dyDescent="0.25">
      <c r="A748">
        <v>3011200000</v>
      </c>
      <c r="B748" t="s">
        <v>413</v>
      </c>
    </row>
    <row r="749" spans="1:2" x14ac:dyDescent="0.25">
      <c r="A749">
        <v>3012000000</v>
      </c>
      <c r="B749" t="s">
        <v>414</v>
      </c>
    </row>
    <row r="750" spans="1:2" x14ac:dyDescent="0.25">
      <c r="A750">
        <v>3012200000</v>
      </c>
      <c r="B750" t="s">
        <v>415</v>
      </c>
    </row>
    <row r="751" spans="1:2" x14ac:dyDescent="0.25">
      <c r="A751">
        <v>3012210000</v>
      </c>
      <c r="B751" t="s">
        <v>416</v>
      </c>
    </row>
    <row r="752" spans="1:2" x14ac:dyDescent="0.25">
      <c r="A752">
        <v>3012220000</v>
      </c>
      <c r="B752" t="s">
        <v>417</v>
      </c>
    </row>
    <row r="753" spans="1:2" x14ac:dyDescent="0.25">
      <c r="A753">
        <v>5890010000</v>
      </c>
      <c r="B753" t="s">
        <v>727</v>
      </c>
    </row>
    <row r="754" spans="1:2" x14ac:dyDescent="0.25">
      <c r="A754">
        <v>3020200000</v>
      </c>
      <c r="B754" t="s">
        <v>425</v>
      </c>
    </row>
    <row r="755" spans="1:2" x14ac:dyDescent="0.25">
      <c r="A755">
        <v>3020210000</v>
      </c>
      <c r="B755" t="s">
        <v>426</v>
      </c>
    </row>
    <row r="756" spans="1:2" x14ac:dyDescent="0.25">
      <c r="A756">
        <v>3020211000</v>
      </c>
      <c r="B756" t="s">
        <v>427</v>
      </c>
    </row>
    <row r="757" spans="1:2" x14ac:dyDescent="0.25">
      <c r="A757">
        <v>3020212000</v>
      </c>
      <c r="B757" t="s">
        <v>428</v>
      </c>
    </row>
    <row r="758" spans="1:2" x14ac:dyDescent="0.25">
      <c r="A758">
        <v>3020220000</v>
      </c>
      <c r="B758" t="s">
        <v>429</v>
      </c>
    </row>
    <row r="759" spans="1:2" x14ac:dyDescent="0.25">
      <c r="A759">
        <v>3020230000</v>
      </c>
      <c r="B759" t="s">
        <v>430</v>
      </c>
    </row>
    <row r="760" spans="1:2" x14ac:dyDescent="0.25">
      <c r="A760">
        <v>3020231000</v>
      </c>
      <c r="B760" t="s">
        <v>431</v>
      </c>
    </row>
    <row r="761" spans="1:2" x14ac:dyDescent="0.25">
      <c r="A761">
        <v>3020232000</v>
      </c>
      <c r="B761" t="s">
        <v>432</v>
      </c>
    </row>
    <row r="762" spans="1:2" x14ac:dyDescent="0.25">
      <c r="A762">
        <v>3020300000</v>
      </c>
      <c r="B762" t="s">
        <v>433</v>
      </c>
    </row>
    <row r="763" spans="1:2" x14ac:dyDescent="0.25">
      <c r="A763">
        <v>3020310000</v>
      </c>
      <c r="B763" t="s">
        <v>434</v>
      </c>
    </row>
    <row r="764" spans="1:2" x14ac:dyDescent="0.25">
      <c r="A764">
        <v>3020320000</v>
      </c>
      <c r="B764" t="s">
        <v>435</v>
      </c>
    </row>
    <row r="765" spans="1:2" x14ac:dyDescent="0.25">
      <c r="A765">
        <v>3020600000</v>
      </c>
      <c r="B765" t="s">
        <v>460</v>
      </c>
    </row>
    <row r="766" spans="1:2" x14ac:dyDescent="0.25">
      <c r="A766">
        <v>3020700000</v>
      </c>
      <c r="B766" t="s">
        <v>455</v>
      </c>
    </row>
    <row r="767" spans="1:2" x14ac:dyDescent="0.25">
      <c r="A767">
        <v>3020710000</v>
      </c>
      <c r="B767" t="s">
        <v>456</v>
      </c>
    </row>
    <row r="768" spans="1:2" x14ac:dyDescent="0.25">
      <c r="A768">
        <v>3020900000</v>
      </c>
      <c r="B768" t="s">
        <v>461</v>
      </c>
    </row>
    <row r="769" spans="1:2" x14ac:dyDescent="0.25">
      <c r="A769">
        <v>5820100000</v>
      </c>
      <c r="B769" t="s">
        <v>728</v>
      </c>
    </row>
    <row r="770" spans="1:2" x14ac:dyDescent="0.25">
      <c r="A770" t="s">
        <v>387</v>
      </c>
      <c r="B770" t="s">
        <v>729</v>
      </c>
    </row>
    <row r="771" spans="1:2" x14ac:dyDescent="0.25">
      <c r="A771">
        <v>5820110000</v>
      </c>
      <c r="B771" t="s">
        <v>730</v>
      </c>
    </row>
    <row r="772" spans="1:2" x14ac:dyDescent="0.25">
      <c r="A772">
        <v>5820111000</v>
      </c>
      <c r="B772" t="s">
        <v>731</v>
      </c>
    </row>
    <row r="773" spans="1:2" x14ac:dyDescent="0.25">
      <c r="A773">
        <v>5820111100</v>
      </c>
      <c r="B773" t="s">
        <v>732</v>
      </c>
    </row>
    <row r="774" spans="1:2" x14ac:dyDescent="0.25">
      <c r="A774">
        <v>5820111200</v>
      </c>
      <c r="B774" t="s">
        <v>733</v>
      </c>
    </row>
    <row r="775" spans="1:2" x14ac:dyDescent="0.25">
      <c r="A775">
        <v>5820112000</v>
      </c>
      <c r="B775" t="s">
        <v>734</v>
      </c>
    </row>
    <row r="776" spans="1:2" x14ac:dyDescent="0.25">
      <c r="A776">
        <v>5820113000</v>
      </c>
      <c r="B776" t="s">
        <v>735</v>
      </c>
    </row>
    <row r="777" spans="1:2" x14ac:dyDescent="0.25">
      <c r="A777">
        <v>5820120000</v>
      </c>
      <c r="B777" t="s">
        <v>736</v>
      </c>
    </row>
    <row r="778" spans="1:2" x14ac:dyDescent="0.25">
      <c r="A778">
        <v>5820121000</v>
      </c>
      <c r="B778" t="s">
        <v>737</v>
      </c>
    </row>
    <row r="779" spans="1:2" x14ac:dyDescent="0.25">
      <c r="A779">
        <v>5820121100</v>
      </c>
      <c r="B779" t="s">
        <v>738</v>
      </c>
    </row>
    <row r="780" spans="1:2" x14ac:dyDescent="0.25">
      <c r="A780">
        <v>5820121200</v>
      </c>
      <c r="B780" t="s">
        <v>739</v>
      </c>
    </row>
    <row r="781" spans="1:2" x14ac:dyDescent="0.25">
      <c r="A781">
        <v>5820122000</v>
      </c>
      <c r="B781" t="s">
        <v>740</v>
      </c>
    </row>
    <row r="782" spans="1:2" x14ac:dyDescent="0.25">
      <c r="A782">
        <v>5820123000</v>
      </c>
      <c r="B782" t="s">
        <v>741</v>
      </c>
    </row>
    <row r="783" spans="1:2" x14ac:dyDescent="0.25">
      <c r="A783">
        <v>5820124000</v>
      </c>
      <c r="B783" t="s">
        <v>742</v>
      </c>
    </row>
    <row r="784" spans="1:2" x14ac:dyDescent="0.25">
      <c r="A784">
        <v>5820134000</v>
      </c>
      <c r="B784" t="s">
        <v>743</v>
      </c>
    </row>
    <row r="785" spans="1:2" x14ac:dyDescent="0.25">
      <c r="A785">
        <v>5820114000</v>
      </c>
      <c r="B785" t="s">
        <v>744</v>
      </c>
    </row>
    <row r="786" spans="1:2" x14ac:dyDescent="0.25">
      <c r="A786">
        <v>5820115000</v>
      </c>
      <c r="B786" t="s">
        <v>745</v>
      </c>
    </row>
    <row r="787" spans="1:2" x14ac:dyDescent="0.25">
      <c r="A787" t="s">
        <v>388</v>
      </c>
      <c r="B787" t="s">
        <v>746</v>
      </c>
    </row>
    <row r="788" spans="1:2" x14ac:dyDescent="0.25">
      <c r="A788">
        <v>5820134100</v>
      </c>
      <c r="B788" t="s">
        <v>747</v>
      </c>
    </row>
    <row r="789" spans="1:2" x14ac:dyDescent="0.25">
      <c r="A789" t="s">
        <v>389</v>
      </c>
      <c r="B789" t="s">
        <v>748</v>
      </c>
    </row>
    <row r="790" spans="1:2" x14ac:dyDescent="0.25">
      <c r="A790">
        <v>5891310000</v>
      </c>
      <c r="B790" t="s">
        <v>749</v>
      </c>
    </row>
    <row r="791" spans="1:2" x14ac:dyDescent="0.25">
      <c r="A791">
        <v>3020401000</v>
      </c>
      <c r="B791" t="s">
        <v>437</v>
      </c>
    </row>
    <row r="792" spans="1:2" x14ac:dyDescent="0.25">
      <c r="A792">
        <v>3020410000</v>
      </c>
      <c r="B792" t="s">
        <v>438</v>
      </c>
    </row>
    <row r="793" spans="1:2" x14ac:dyDescent="0.25">
      <c r="A793">
        <v>3020420000</v>
      </c>
      <c r="B793" t="s">
        <v>439</v>
      </c>
    </row>
    <row r="794" spans="1:2" x14ac:dyDescent="0.25">
      <c r="A794" t="s">
        <v>390</v>
      </c>
      <c r="B794" t="s">
        <v>750</v>
      </c>
    </row>
    <row r="795" spans="1:2" x14ac:dyDescent="0.25">
      <c r="A795">
        <v>5891320000</v>
      </c>
      <c r="B795" t="s">
        <v>751</v>
      </c>
    </row>
    <row r="796" spans="1:2" x14ac:dyDescent="0.25">
      <c r="A796">
        <v>3020430000</v>
      </c>
      <c r="B796" t="s">
        <v>441</v>
      </c>
    </row>
    <row r="797" spans="1:2" x14ac:dyDescent="0.25">
      <c r="A797">
        <v>3020440000</v>
      </c>
      <c r="B797" t="s">
        <v>442</v>
      </c>
    </row>
    <row r="798" spans="1:2" x14ac:dyDescent="0.25">
      <c r="A798">
        <v>5891330000</v>
      </c>
      <c r="B798" t="s">
        <v>752</v>
      </c>
    </row>
    <row r="799" spans="1:2" x14ac:dyDescent="0.25">
      <c r="A799">
        <v>3020500000</v>
      </c>
      <c r="B799" t="s">
        <v>445</v>
      </c>
    </row>
    <row r="800" spans="1:2" x14ac:dyDescent="0.25">
      <c r="A800">
        <v>3020510000</v>
      </c>
      <c r="B800" t="s">
        <v>446</v>
      </c>
    </row>
    <row r="801" spans="1:2" x14ac:dyDescent="0.25">
      <c r="A801">
        <v>3020520000</v>
      </c>
      <c r="B801" t="s">
        <v>447</v>
      </c>
    </row>
    <row r="802" spans="1:2" x14ac:dyDescent="0.25">
      <c r="A802">
        <v>3020530000</v>
      </c>
      <c r="B802" t="s">
        <v>449</v>
      </c>
    </row>
    <row r="803" spans="1:2" x14ac:dyDescent="0.25">
      <c r="A803">
        <v>3020531100</v>
      </c>
      <c r="B803" t="s">
        <v>450</v>
      </c>
    </row>
    <row r="804" spans="1:2" x14ac:dyDescent="0.25">
      <c r="A804">
        <v>3020531200</v>
      </c>
      <c r="B804" t="s">
        <v>451</v>
      </c>
    </row>
    <row r="805" spans="1:2" x14ac:dyDescent="0.25">
      <c r="A805">
        <v>3020531300</v>
      </c>
      <c r="B805" t="s">
        <v>451</v>
      </c>
    </row>
    <row r="806" spans="1:2" x14ac:dyDescent="0.25">
      <c r="A806">
        <v>3020532000</v>
      </c>
      <c r="B806" t="s">
        <v>452</v>
      </c>
    </row>
    <row r="807" spans="1:2" x14ac:dyDescent="0.25">
      <c r="A807">
        <v>3020533100</v>
      </c>
      <c r="B807" t="s">
        <v>453</v>
      </c>
    </row>
    <row r="808" spans="1:2" x14ac:dyDescent="0.25">
      <c r="A808">
        <v>3020533200</v>
      </c>
      <c r="B808" t="s">
        <v>454</v>
      </c>
    </row>
    <row r="809" spans="1:2" x14ac:dyDescent="0.25">
      <c r="A809" t="s">
        <v>391</v>
      </c>
      <c r="B809" t="s">
        <v>753</v>
      </c>
    </row>
    <row r="810" spans="1:2" x14ac:dyDescent="0.25">
      <c r="A810">
        <v>5891400000</v>
      </c>
      <c r="B810" t="s">
        <v>754</v>
      </c>
    </row>
    <row r="811" spans="1:2" x14ac:dyDescent="0.25">
      <c r="A811">
        <v>3121000000</v>
      </c>
      <c r="B811" t="s">
        <v>512</v>
      </c>
    </row>
    <row r="812" spans="1:2" x14ac:dyDescent="0.25">
      <c r="A812">
        <v>3121010000</v>
      </c>
      <c r="B812" t="s">
        <v>513</v>
      </c>
    </row>
    <row r="813" spans="1:2" x14ac:dyDescent="0.25">
      <c r="A813">
        <v>3121020000</v>
      </c>
      <c r="B813" t="s">
        <v>514</v>
      </c>
    </row>
    <row r="814" spans="1:2" x14ac:dyDescent="0.25">
      <c r="A814">
        <v>3121030000</v>
      </c>
      <c r="B814" t="s">
        <v>515</v>
      </c>
    </row>
    <row r="815" spans="1:2" x14ac:dyDescent="0.25">
      <c r="A815">
        <v>3121040000</v>
      </c>
      <c r="B815" t="s">
        <v>516</v>
      </c>
    </row>
    <row r="816" spans="1:2" x14ac:dyDescent="0.25">
      <c r="A816">
        <v>3121050000</v>
      </c>
      <c r="B816" t="s">
        <v>517</v>
      </c>
    </row>
    <row r="817" spans="1:2" x14ac:dyDescent="0.25">
      <c r="A817">
        <v>3121060000</v>
      </c>
      <c r="B817" t="s">
        <v>518</v>
      </c>
    </row>
    <row r="818" spans="1:2" x14ac:dyDescent="0.25">
      <c r="A818">
        <v>3121070000</v>
      </c>
      <c r="B818" t="s">
        <v>519</v>
      </c>
    </row>
    <row r="819" spans="1:2" x14ac:dyDescent="0.25">
      <c r="A819">
        <v>3121080000</v>
      </c>
      <c r="B819" t="s">
        <v>520</v>
      </c>
    </row>
    <row r="820" spans="1:2" x14ac:dyDescent="0.25">
      <c r="A820">
        <v>5814300000</v>
      </c>
      <c r="B820" t="s">
        <v>755</v>
      </c>
    </row>
    <row r="821" spans="1:2" x14ac:dyDescent="0.25">
      <c r="A821">
        <v>3122200000</v>
      </c>
      <c r="B821" t="s">
        <v>571</v>
      </c>
    </row>
    <row r="822" spans="1:2" x14ac:dyDescent="0.25">
      <c r="A822">
        <v>3012100000</v>
      </c>
      <c r="B822" t="s">
        <v>572</v>
      </c>
    </row>
    <row r="823" spans="1:2" x14ac:dyDescent="0.25">
      <c r="A823">
        <v>3012110000</v>
      </c>
      <c r="B823" t="s">
        <v>573</v>
      </c>
    </row>
    <row r="824" spans="1:2" x14ac:dyDescent="0.25">
      <c r="A824">
        <v>3122201000</v>
      </c>
      <c r="B824" t="s">
        <v>574</v>
      </c>
    </row>
    <row r="825" spans="1:2" x14ac:dyDescent="0.25">
      <c r="A825">
        <v>3122201100</v>
      </c>
      <c r="B825" t="s">
        <v>575</v>
      </c>
    </row>
    <row r="826" spans="1:2" x14ac:dyDescent="0.25">
      <c r="A826">
        <v>3122201200</v>
      </c>
      <c r="B826" t="s">
        <v>576</v>
      </c>
    </row>
    <row r="827" spans="1:2" x14ac:dyDescent="0.25">
      <c r="A827">
        <v>3122201300</v>
      </c>
      <c r="B827" t="s">
        <v>577</v>
      </c>
    </row>
    <row r="828" spans="1:2" x14ac:dyDescent="0.25">
      <c r="A828">
        <v>3122201400</v>
      </c>
      <c r="B828" t="s">
        <v>578</v>
      </c>
    </row>
    <row r="829" spans="1:2" x14ac:dyDescent="0.25">
      <c r="A829">
        <v>3122201500</v>
      </c>
      <c r="B829" t="s">
        <v>579</v>
      </c>
    </row>
    <row r="830" spans="1:2" x14ac:dyDescent="0.25">
      <c r="A830">
        <v>3122202000</v>
      </c>
      <c r="B830" t="s">
        <v>580</v>
      </c>
    </row>
    <row r="831" spans="1:2" x14ac:dyDescent="0.25">
      <c r="A831">
        <v>3122203000</v>
      </c>
      <c r="B831" t="s">
        <v>581</v>
      </c>
    </row>
    <row r="832" spans="1:2" x14ac:dyDescent="0.25">
      <c r="A832">
        <v>3122204000</v>
      </c>
      <c r="B832" t="s">
        <v>582</v>
      </c>
    </row>
    <row r="833" spans="1:2" x14ac:dyDescent="0.25">
      <c r="A833">
        <v>3122205000</v>
      </c>
      <c r="B833" t="s">
        <v>583</v>
      </c>
    </row>
    <row r="834" spans="1:2" x14ac:dyDescent="0.25">
      <c r="A834">
        <v>3122205100</v>
      </c>
      <c r="B834" t="s">
        <v>584</v>
      </c>
    </row>
    <row r="835" spans="1:2" x14ac:dyDescent="0.25">
      <c r="A835">
        <v>3122206000</v>
      </c>
      <c r="B835" t="s">
        <v>585</v>
      </c>
    </row>
    <row r="836" spans="1:2" x14ac:dyDescent="0.25">
      <c r="A836">
        <v>3122206100</v>
      </c>
      <c r="B836" t="s">
        <v>586</v>
      </c>
    </row>
    <row r="837" spans="1:2" x14ac:dyDescent="0.25">
      <c r="A837">
        <v>3122207000</v>
      </c>
      <c r="B837" t="s">
        <v>587</v>
      </c>
    </row>
    <row r="838" spans="1:2" x14ac:dyDescent="0.25">
      <c r="A838">
        <v>3122209000</v>
      </c>
      <c r="B838" t="s">
        <v>588</v>
      </c>
    </row>
    <row r="839" spans="1:2" x14ac:dyDescent="0.25">
      <c r="A839">
        <v>3122300000</v>
      </c>
      <c r="B839" t="s">
        <v>589</v>
      </c>
    </row>
    <row r="840" spans="1:2" x14ac:dyDescent="0.25">
      <c r="A840">
        <v>3122118000</v>
      </c>
      <c r="B840" t="s">
        <v>590</v>
      </c>
    </row>
    <row r="841" spans="1:2" x14ac:dyDescent="0.25">
      <c r="A841">
        <v>3122208000</v>
      </c>
      <c r="B841" t="s">
        <v>591</v>
      </c>
    </row>
    <row r="842" spans="1:2" x14ac:dyDescent="0.25">
      <c r="A842">
        <v>3123000000</v>
      </c>
      <c r="B842" t="s">
        <v>592</v>
      </c>
    </row>
    <row r="843" spans="1:2" x14ac:dyDescent="0.25">
      <c r="A843">
        <v>3123100000</v>
      </c>
      <c r="B843" t="s">
        <v>593</v>
      </c>
    </row>
    <row r="844" spans="1:2" x14ac:dyDescent="0.25">
      <c r="A844">
        <v>3123110000</v>
      </c>
      <c r="B844" t="s">
        <v>594</v>
      </c>
    </row>
    <row r="845" spans="1:2" x14ac:dyDescent="0.25">
      <c r="A845">
        <v>3123111000</v>
      </c>
      <c r="B845" t="s">
        <v>595</v>
      </c>
    </row>
    <row r="846" spans="1:2" x14ac:dyDescent="0.25">
      <c r="A846">
        <v>3123112000</v>
      </c>
      <c r="B846" t="s">
        <v>596</v>
      </c>
    </row>
    <row r="847" spans="1:2" x14ac:dyDescent="0.25">
      <c r="A847">
        <v>3123114000</v>
      </c>
      <c r="B847" t="s">
        <v>597</v>
      </c>
    </row>
    <row r="848" spans="1:2" x14ac:dyDescent="0.25">
      <c r="A848">
        <v>3123115000</v>
      </c>
      <c r="B848" t="s">
        <v>598</v>
      </c>
    </row>
    <row r="849" spans="1:2" x14ac:dyDescent="0.25">
      <c r="A849">
        <v>3123117000</v>
      </c>
      <c r="B849" t="s">
        <v>599</v>
      </c>
    </row>
    <row r="850" spans="1:2" x14ac:dyDescent="0.25">
      <c r="A850">
        <v>3123118000</v>
      </c>
      <c r="B850" t="s">
        <v>600</v>
      </c>
    </row>
    <row r="851" spans="1:2" x14ac:dyDescent="0.25">
      <c r="A851">
        <v>3123120000</v>
      </c>
      <c r="B851" t="s">
        <v>601</v>
      </c>
    </row>
    <row r="852" spans="1:2" x14ac:dyDescent="0.25">
      <c r="A852">
        <v>3123121000</v>
      </c>
      <c r="B852" t="s">
        <v>602</v>
      </c>
    </row>
    <row r="853" spans="1:2" x14ac:dyDescent="0.25">
      <c r="A853">
        <v>3123122000</v>
      </c>
      <c r="B853" t="s">
        <v>603</v>
      </c>
    </row>
    <row r="854" spans="1:2" x14ac:dyDescent="0.25">
      <c r="A854">
        <v>3123210000</v>
      </c>
      <c r="B854" t="s">
        <v>604</v>
      </c>
    </row>
    <row r="855" spans="1:2" x14ac:dyDescent="0.25">
      <c r="A855">
        <v>3123200000</v>
      </c>
      <c r="B855" t="s">
        <v>605</v>
      </c>
    </row>
    <row r="856" spans="1:2" x14ac:dyDescent="0.25">
      <c r="A856">
        <v>3123211000</v>
      </c>
      <c r="B856" t="s">
        <v>606</v>
      </c>
    </row>
    <row r="857" spans="1:2" x14ac:dyDescent="0.25">
      <c r="A857" t="s">
        <v>392</v>
      </c>
      <c r="B857" t="s">
        <v>756</v>
      </c>
    </row>
    <row r="858" spans="1:2" x14ac:dyDescent="0.25">
      <c r="A858">
        <v>5814310000</v>
      </c>
      <c r="B858" t="s">
        <v>706</v>
      </c>
    </row>
    <row r="859" spans="1:2" x14ac:dyDescent="0.25">
      <c r="A859">
        <v>3122101100</v>
      </c>
      <c r="B859" t="s">
        <v>524</v>
      </c>
    </row>
    <row r="860" spans="1:2" x14ac:dyDescent="0.25">
      <c r="A860">
        <v>3122101110</v>
      </c>
      <c r="B860" t="s">
        <v>525</v>
      </c>
    </row>
    <row r="861" spans="1:2" x14ac:dyDescent="0.25">
      <c r="A861">
        <v>3122101120</v>
      </c>
      <c r="B861" t="s">
        <v>526</v>
      </c>
    </row>
    <row r="862" spans="1:2" x14ac:dyDescent="0.25">
      <c r="A862">
        <v>3122101130</v>
      </c>
      <c r="B862" t="s">
        <v>527</v>
      </c>
    </row>
    <row r="863" spans="1:2" x14ac:dyDescent="0.25">
      <c r="A863">
        <v>3122101140</v>
      </c>
      <c r="B863" t="s">
        <v>528</v>
      </c>
    </row>
    <row r="864" spans="1:2" x14ac:dyDescent="0.25">
      <c r="A864">
        <v>3122101150</v>
      </c>
      <c r="B864" t="s">
        <v>529</v>
      </c>
    </row>
    <row r="865" spans="1:2" x14ac:dyDescent="0.25">
      <c r="A865">
        <v>3122101200</v>
      </c>
      <c r="B865" t="s">
        <v>530</v>
      </c>
    </row>
    <row r="866" spans="1:2" x14ac:dyDescent="0.25">
      <c r="A866">
        <v>3122101210</v>
      </c>
      <c r="B866" t="s">
        <v>531</v>
      </c>
    </row>
    <row r="867" spans="1:2" x14ac:dyDescent="0.25">
      <c r="A867">
        <v>3122101220</v>
      </c>
      <c r="B867" t="s">
        <v>532</v>
      </c>
    </row>
    <row r="868" spans="1:2" x14ac:dyDescent="0.25">
      <c r="A868">
        <v>3122101230</v>
      </c>
      <c r="B868" t="s">
        <v>533</v>
      </c>
    </row>
    <row r="869" spans="1:2" x14ac:dyDescent="0.25">
      <c r="A869">
        <v>3122101240</v>
      </c>
      <c r="B869" t="s">
        <v>534</v>
      </c>
    </row>
    <row r="870" spans="1:2" x14ac:dyDescent="0.25">
      <c r="A870">
        <v>3122101250</v>
      </c>
      <c r="B870" t="s">
        <v>535</v>
      </c>
    </row>
    <row r="871" spans="1:2" x14ac:dyDescent="0.25">
      <c r="A871">
        <v>3122101300</v>
      </c>
      <c r="B871" t="s">
        <v>586</v>
      </c>
    </row>
    <row r="872" spans="1:2" x14ac:dyDescent="0.25">
      <c r="A872">
        <v>3122101400</v>
      </c>
      <c r="B872" t="s">
        <v>707</v>
      </c>
    </row>
    <row r="873" spans="1:2" x14ac:dyDescent="0.25">
      <c r="A873">
        <v>3122101500</v>
      </c>
      <c r="B873" t="s">
        <v>586</v>
      </c>
    </row>
    <row r="874" spans="1:2" x14ac:dyDescent="0.25">
      <c r="A874">
        <v>3122102000</v>
      </c>
      <c r="B874" t="s">
        <v>536</v>
      </c>
    </row>
    <row r="875" spans="1:2" x14ac:dyDescent="0.25">
      <c r="A875">
        <v>3122103000</v>
      </c>
      <c r="B875" t="s">
        <v>537</v>
      </c>
    </row>
    <row r="876" spans="1:2" x14ac:dyDescent="0.25">
      <c r="A876">
        <v>3122104000</v>
      </c>
      <c r="B876" t="s">
        <v>538</v>
      </c>
    </row>
    <row r="877" spans="1:2" x14ac:dyDescent="0.25">
      <c r="A877">
        <v>3122105000</v>
      </c>
      <c r="B877" t="s">
        <v>539</v>
      </c>
    </row>
    <row r="878" spans="1:2" x14ac:dyDescent="0.25">
      <c r="A878">
        <v>3122106000</v>
      </c>
      <c r="B878" t="s">
        <v>540</v>
      </c>
    </row>
    <row r="879" spans="1:2" x14ac:dyDescent="0.25">
      <c r="A879">
        <v>3122106100</v>
      </c>
      <c r="B879" t="s">
        <v>541</v>
      </c>
    </row>
    <row r="880" spans="1:2" x14ac:dyDescent="0.25">
      <c r="A880">
        <v>3122106200</v>
      </c>
      <c r="B880" t="s">
        <v>542</v>
      </c>
    </row>
    <row r="881" spans="1:2" x14ac:dyDescent="0.25">
      <c r="A881">
        <v>3122106300</v>
      </c>
      <c r="B881" t="s">
        <v>543</v>
      </c>
    </row>
    <row r="882" spans="1:2" x14ac:dyDescent="0.25">
      <c r="A882">
        <v>3122106400</v>
      </c>
      <c r="B882" t="s">
        <v>544</v>
      </c>
    </row>
    <row r="883" spans="1:2" x14ac:dyDescent="0.25">
      <c r="A883">
        <v>3122106500</v>
      </c>
      <c r="B883" t="s">
        <v>545</v>
      </c>
    </row>
    <row r="884" spans="1:2" x14ac:dyDescent="0.25">
      <c r="A884">
        <v>3122107000</v>
      </c>
      <c r="B884" t="s">
        <v>546</v>
      </c>
    </row>
    <row r="885" spans="1:2" x14ac:dyDescent="0.25">
      <c r="A885">
        <v>3122108000</v>
      </c>
      <c r="B885" t="s">
        <v>547</v>
      </c>
    </row>
    <row r="886" spans="1:2" x14ac:dyDescent="0.25">
      <c r="A886">
        <v>3122109000</v>
      </c>
      <c r="B886" t="s">
        <v>548</v>
      </c>
    </row>
    <row r="887" spans="1:2" x14ac:dyDescent="0.25">
      <c r="A887">
        <v>3122110100</v>
      </c>
      <c r="B887" t="s">
        <v>550</v>
      </c>
    </row>
    <row r="888" spans="1:2" x14ac:dyDescent="0.25">
      <c r="A888">
        <v>3122111000</v>
      </c>
      <c r="B888" t="s">
        <v>551</v>
      </c>
    </row>
    <row r="889" spans="1:2" x14ac:dyDescent="0.25">
      <c r="A889">
        <v>3122112000</v>
      </c>
      <c r="B889" t="s">
        <v>552</v>
      </c>
    </row>
    <row r="890" spans="1:2" x14ac:dyDescent="0.25">
      <c r="A890">
        <v>3122114000</v>
      </c>
      <c r="B890" t="s">
        <v>554</v>
      </c>
    </row>
    <row r="891" spans="1:2" x14ac:dyDescent="0.25">
      <c r="A891">
        <v>3122114100</v>
      </c>
      <c r="B891" t="s">
        <v>555</v>
      </c>
    </row>
    <row r="892" spans="1:2" x14ac:dyDescent="0.25">
      <c r="A892">
        <v>3122116000</v>
      </c>
      <c r="B892" t="s">
        <v>557</v>
      </c>
    </row>
    <row r="893" spans="1:2" x14ac:dyDescent="0.25">
      <c r="A893">
        <v>3122117000</v>
      </c>
      <c r="B893" t="s">
        <v>558</v>
      </c>
    </row>
    <row r="894" spans="1:2" x14ac:dyDescent="0.25">
      <c r="A894">
        <v>3122121000</v>
      </c>
      <c r="B894" t="s">
        <v>560</v>
      </c>
    </row>
    <row r="895" spans="1:2" x14ac:dyDescent="0.25">
      <c r="A895">
        <v>5891410000</v>
      </c>
      <c r="B895" t="s">
        <v>708</v>
      </c>
    </row>
    <row r="896" spans="1:2" x14ac:dyDescent="0.25">
      <c r="A896">
        <v>3110100000</v>
      </c>
      <c r="B896" t="s">
        <v>464</v>
      </c>
    </row>
    <row r="897" spans="1:2" x14ac:dyDescent="0.25">
      <c r="A897">
        <v>3110110000</v>
      </c>
      <c r="B897" t="s">
        <v>465</v>
      </c>
    </row>
    <row r="898" spans="1:2" x14ac:dyDescent="0.25">
      <c r="A898">
        <v>3110120000</v>
      </c>
      <c r="B898" t="s">
        <v>466</v>
      </c>
    </row>
    <row r="899" spans="1:2" x14ac:dyDescent="0.25">
      <c r="A899">
        <v>3110130000</v>
      </c>
      <c r="B899" t="s">
        <v>467</v>
      </c>
    </row>
    <row r="900" spans="1:2" x14ac:dyDescent="0.25">
      <c r="A900">
        <v>3110140000</v>
      </c>
      <c r="B900" t="s">
        <v>468</v>
      </c>
    </row>
    <row r="901" spans="1:2" x14ac:dyDescent="0.25">
      <c r="A901">
        <v>3110150000</v>
      </c>
      <c r="B901" t="s">
        <v>469</v>
      </c>
    </row>
    <row r="902" spans="1:2" x14ac:dyDescent="0.25">
      <c r="A902">
        <v>3110160000</v>
      </c>
      <c r="B902" t="s">
        <v>470</v>
      </c>
    </row>
    <row r="903" spans="1:2" x14ac:dyDescent="0.25">
      <c r="A903">
        <v>3110170000</v>
      </c>
      <c r="B903" t="s">
        <v>471</v>
      </c>
    </row>
    <row r="904" spans="1:2" x14ac:dyDescent="0.25">
      <c r="A904">
        <v>3110200000</v>
      </c>
      <c r="B904" t="s">
        <v>472</v>
      </c>
    </row>
    <row r="905" spans="1:2" x14ac:dyDescent="0.25">
      <c r="A905">
        <v>3110210000</v>
      </c>
      <c r="B905" t="s">
        <v>473</v>
      </c>
    </row>
    <row r="906" spans="1:2" x14ac:dyDescent="0.25">
      <c r="A906">
        <v>3110220000</v>
      </c>
      <c r="B906" t="s">
        <v>474</v>
      </c>
    </row>
    <row r="907" spans="1:2" x14ac:dyDescent="0.25">
      <c r="A907">
        <v>3110230000</v>
      </c>
      <c r="B907" t="s">
        <v>475</v>
      </c>
    </row>
    <row r="908" spans="1:2" x14ac:dyDescent="0.25">
      <c r="A908">
        <v>3110240000</v>
      </c>
      <c r="B908" t="s">
        <v>476</v>
      </c>
    </row>
    <row r="909" spans="1:2" x14ac:dyDescent="0.25">
      <c r="A909">
        <v>3110250000</v>
      </c>
      <c r="B909" t="s">
        <v>477</v>
      </c>
    </row>
    <row r="910" spans="1:2" x14ac:dyDescent="0.25">
      <c r="A910">
        <v>3110300000</v>
      </c>
      <c r="B910" t="s">
        <v>478</v>
      </c>
    </row>
    <row r="911" spans="1:2" x14ac:dyDescent="0.25">
      <c r="A911">
        <v>3110310000</v>
      </c>
      <c r="B911" t="s">
        <v>479</v>
      </c>
    </row>
    <row r="912" spans="1:2" x14ac:dyDescent="0.25">
      <c r="A912">
        <v>3110320000</v>
      </c>
      <c r="B912" t="s">
        <v>480</v>
      </c>
    </row>
    <row r="913" spans="1:2" x14ac:dyDescent="0.25">
      <c r="A913">
        <v>3110330000</v>
      </c>
      <c r="B913" t="s">
        <v>481</v>
      </c>
    </row>
    <row r="914" spans="1:2" x14ac:dyDescent="0.25">
      <c r="A914">
        <v>3110340000</v>
      </c>
      <c r="B914" t="s">
        <v>482</v>
      </c>
    </row>
    <row r="915" spans="1:2" x14ac:dyDescent="0.25">
      <c r="A915">
        <v>3110350000</v>
      </c>
      <c r="B915" t="s">
        <v>483</v>
      </c>
    </row>
    <row r="916" spans="1:2" x14ac:dyDescent="0.25">
      <c r="A916">
        <v>3110360000</v>
      </c>
      <c r="B916" t="s">
        <v>484</v>
      </c>
    </row>
    <row r="917" spans="1:2" x14ac:dyDescent="0.25">
      <c r="A917">
        <v>3110400000</v>
      </c>
      <c r="B917" t="s">
        <v>485</v>
      </c>
    </row>
    <row r="918" spans="1:2" x14ac:dyDescent="0.25">
      <c r="A918">
        <v>3110420000</v>
      </c>
      <c r="B918" t="s">
        <v>486</v>
      </c>
    </row>
    <row r="919" spans="1:2" x14ac:dyDescent="0.25">
      <c r="A919">
        <v>3110430000</v>
      </c>
      <c r="B919" t="s">
        <v>487</v>
      </c>
    </row>
    <row r="920" spans="1:2" x14ac:dyDescent="0.25">
      <c r="A920">
        <v>3110440000</v>
      </c>
      <c r="B920" t="s">
        <v>488</v>
      </c>
    </row>
    <row r="921" spans="1:2" x14ac:dyDescent="0.25">
      <c r="A921">
        <v>3110410000</v>
      </c>
      <c r="B921" t="s">
        <v>488</v>
      </c>
    </row>
    <row r="922" spans="1:2" x14ac:dyDescent="0.25">
      <c r="A922">
        <v>3110441000</v>
      </c>
      <c r="B922" t="s">
        <v>489</v>
      </c>
    </row>
    <row r="923" spans="1:2" x14ac:dyDescent="0.25">
      <c r="A923">
        <v>3110441100</v>
      </c>
      <c r="B923" t="s">
        <v>490</v>
      </c>
    </row>
    <row r="924" spans="1:2" x14ac:dyDescent="0.25">
      <c r="A924">
        <v>3110441200</v>
      </c>
      <c r="B924" t="s">
        <v>491</v>
      </c>
    </row>
    <row r="925" spans="1:2" x14ac:dyDescent="0.25">
      <c r="A925">
        <v>3110442000</v>
      </c>
      <c r="B925" t="s">
        <v>492</v>
      </c>
    </row>
    <row r="926" spans="1:2" x14ac:dyDescent="0.25">
      <c r="A926">
        <v>3110442100</v>
      </c>
      <c r="B926" t="s">
        <v>493</v>
      </c>
    </row>
    <row r="927" spans="1:2" x14ac:dyDescent="0.25">
      <c r="A927">
        <v>3110442200</v>
      </c>
      <c r="B927" t="s">
        <v>494</v>
      </c>
    </row>
    <row r="928" spans="1:2" x14ac:dyDescent="0.25">
      <c r="A928">
        <v>3110470000</v>
      </c>
      <c r="B928" t="s">
        <v>495</v>
      </c>
    </row>
    <row r="929" spans="1:2" x14ac:dyDescent="0.25">
      <c r="A929">
        <v>3110550000</v>
      </c>
      <c r="B929" t="s">
        <v>496</v>
      </c>
    </row>
    <row r="930" spans="1:2" x14ac:dyDescent="0.25">
      <c r="A930">
        <v>3110551000</v>
      </c>
      <c r="B930" t="s">
        <v>497</v>
      </c>
    </row>
    <row r="931" spans="1:2" x14ac:dyDescent="0.25">
      <c r="A931">
        <v>3110552000</v>
      </c>
      <c r="B931" t="s">
        <v>498</v>
      </c>
    </row>
    <row r="932" spans="1:2" x14ac:dyDescent="0.25">
      <c r="A932">
        <v>3110553000</v>
      </c>
      <c r="B932" t="s">
        <v>499</v>
      </c>
    </row>
    <row r="933" spans="1:2" x14ac:dyDescent="0.25">
      <c r="A933">
        <v>3110554000</v>
      </c>
      <c r="B933" t="s">
        <v>500</v>
      </c>
    </row>
    <row r="934" spans="1:2" x14ac:dyDescent="0.25">
      <c r="A934">
        <v>3110700000</v>
      </c>
      <c r="B934" t="s">
        <v>501</v>
      </c>
    </row>
    <row r="935" spans="1:2" x14ac:dyDescent="0.25">
      <c r="A935">
        <v>3110500000</v>
      </c>
      <c r="B935" t="s">
        <v>502</v>
      </c>
    </row>
    <row r="936" spans="1:2" x14ac:dyDescent="0.25">
      <c r="A936">
        <v>3110600000</v>
      </c>
      <c r="B936" t="s">
        <v>503</v>
      </c>
    </row>
    <row r="937" spans="1:2" x14ac:dyDescent="0.25">
      <c r="A937" t="s">
        <v>378</v>
      </c>
      <c r="B937" t="s">
        <v>709</v>
      </c>
    </row>
    <row r="938" spans="1:2" x14ac:dyDescent="0.25">
      <c r="A938">
        <v>5891420000</v>
      </c>
      <c r="B938" t="s">
        <v>710</v>
      </c>
    </row>
    <row r="939" spans="1:2" x14ac:dyDescent="0.25">
      <c r="A939">
        <v>3020820000</v>
      </c>
      <c r="B939" t="s">
        <v>458</v>
      </c>
    </row>
    <row r="940" spans="1:2" x14ac:dyDescent="0.25">
      <c r="A940">
        <v>3111100000</v>
      </c>
      <c r="B940" t="s">
        <v>711</v>
      </c>
    </row>
    <row r="941" spans="1:2" x14ac:dyDescent="0.25">
      <c r="A941">
        <v>3111110000</v>
      </c>
      <c r="B941" t="s">
        <v>712</v>
      </c>
    </row>
    <row r="942" spans="1:2" x14ac:dyDescent="0.25">
      <c r="A942" t="s">
        <v>379</v>
      </c>
      <c r="B942" t="s">
        <v>713</v>
      </c>
    </row>
    <row r="943" spans="1:2" x14ac:dyDescent="0.25">
      <c r="A943" t="s">
        <v>380</v>
      </c>
      <c r="B943" t="s">
        <v>714</v>
      </c>
    </row>
    <row r="944" spans="1:2" x14ac:dyDescent="0.25">
      <c r="A944">
        <v>3113100000</v>
      </c>
      <c r="B944" t="s">
        <v>508</v>
      </c>
    </row>
    <row r="945" spans="1:2" x14ac:dyDescent="0.25">
      <c r="A945">
        <v>3113200000</v>
      </c>
      <c r="B945" t="s">
        <v>509</v>
      </c>
    </row>
    <row r="946" spans="1:2" x14ac:dyDescent="0.25">
      <c r="A946">
        <v>3122119000</v>
      </c>
      <c r="B946" t="s">
        <v>559</v>
      </c>
    </row>
    <row r="947" spans="1:2" x14ac:dyDescent="0.25">
      <c r="A947">
        <v>3211600000</v>
      </c>
      <c r="B947" t="s">
        <v>614</v>
      </c>
    </row>
    <row r="948" spans="1:2" x14ac:dyDescent="0.25">
      <c r="A948">
        <v>3212700000</v>
      </c>
      <c r="B948" t="s">
        <v>625</v>
      </c>
    </row>
    <row r="949" spans="1:2" x14ac:dyDescent="0.25">
      <c r="A949">
        <v>5891500000</v>
      </c>
      <c r="B949" t="s">
        <v>715</v>
      </c>
    </row>
    <row r="950" spans="1:2" x14ac:dyDescent="0.25">
      <c r="A950">
        <v>3213000000</v>
      </c>
      <c r="B950" t="s">
        <v>629</v>
      </c>
    </row>
    <row r="951" spans="1:2" x14ac:dyDescent="0.25">
      <c r="A951">
        <v>3214000000</v>
      </c>
      <c r="B951" t="s">
        <v>630</v>
      </c>
    </row>
    <row r="952" spans="1:2" x14ac:dyDescent="0.25">
      <c r="A952" t="s">
        <v>381</v>
      </c>
      <c r="B952" t="s">
        <v>716</v>
      </c>
    </row>
    <row r="953" spans="1:2" x14ac:dyDescent="0.25">
      <c r="A953">
        <v>5891510000</v>
      </c>
      <c r="B953" t="s">
        <v>717</v>
      </c>
    </row>
    <row r="954" spans="1:2" x14ac:dyDescent="0.25">
      <c r="A954">
        <v>3211100000</v>
      </c>
      <c r="B954" t="s">
        <v>609</v>
      </c>
    </row>
    <row r="955" spans="1:2" x14ac:dyDescent="0.25">
      <c r="A955">
        <v>3211300000</v>
      </c>
      <c r="B955" t="s">
        <v>611</v>
      </c>
    </row>
    <row r="956" spans="1:2" x14ac:dyDescent="0.25">
      <c r="A956">
        <v>3211400000</v>
      </c>
      <c r="B956" t="s">
        <v>612</v>
      </c>
    </row>
    <row r="957" spans="1:2" x14ac:dyDescent="0.25">
      <c r="A957" t="s">
        <v>382</v>
      </c>
      <c r="B957" t="s">
        <v>718</v>
      </c>
    </row>
    <row r="958" spans="1:2" x14ac:dyDescent="0.25">
      <c r="A958">
        <v>5891520000</v>
      </c>
      <c r="B958" t="s">
        <v>719</v>
      </c>
    </row>
    <row r="959" spans="1:2" x14ac:dyDescent="0.25">
      <c r="A959">
        <v>3212100000</v>
      </c>
      <c r="B959" t="s">
        <v>619</v>
      </c>
    </row>
    <row r="960" spans="1:2" x14ac:dyDescent="0.25">
      <c r="A960">
        <v>3212300000</v>
      </c>
      <c r="B960" t="s">
        <v>621</v>
      </c>
    </row>
    <row r="961" spans="1:2" x14ac:dyDescent="0.25">
      <c r="A961">
        <v>3212400000</v>
      </c>
      <c r="B961" t="s">
        <v>622</v>
      </c>
    </row>
    <row r="962" spans="1:2" x14ac:dyDescent="0.25">
      <c r="A962">
        <v>3212600000</v>
      </c>
      <c r="B962" t="s">
        <v>624</v>
      </c>
    </row>
    <row r="963" spans="1:2" x14ac:dyDescent="0.25">
      <c r="A963" t="s">
        <v>383</v>
      </c>
      <c r="B963" t="s">
        <v>720</v>
      </c>
    </row>
    <row r="964" spans="1:2" x14ac:dyDescent="0.25">
      <c r="A964">
        <v>5891600000</v>
      </c>
      <c r="B964" t="s">
        <v>757</v>
      </c>
    </row>
    <row r="965" spans="1:2" x14ac:dyDescent="0.25">
      <c r="A965">
        <v>3020450000</v>
      </c>
      <c r="B965" t="s">
        <v>443</v>
      </c>
    </row>
    <row r="966" spans="1:2" x14ac:dyDescent="0.25">
      <c r="A966">
        <v>3020502000</v>
      </c>
      <c r="B966" t="s">
        <v>448</v>
      </c>
    </row>
    <row r="967" spans="1:2" x14ac:dyDescent="0.25">
      <c r="A967">
        <v>3020810000</v>
      </c>
      <c r="B967" t="s">
        <v>457</v>
      </c>
    </row>
    <row r="968" spans="1:2" x14ac:dyDescent="0.25">
      <c r="A968">
        <v>3020811000</v>
      </c>
      <c r="B968" t="s">
        <v>758</v>
      </c>
    </row>
    <row r="969" spans="1:2" x14ac:dyDescent="0.25">
      <c r="A969">
        <v>3110800000</v>
      </c>
      <c r="B969" t="s">
        <v>504</v>
      </c>
    </row>
    <row r="970" spans="1:2" x14ac:dyDescent="0.25">
      <c r="A970">
        <v>3110810000</v>
      </c>
      <c r="B970" t="s">
        <v>759</v>
      </c>
    </row>
    <row r="971" spans="1:2" x14ac:dyDescent="0.25">
      <c r="A971">
        <v>3215000000</v>
      </c>
      <c r="B971" t="s">
        <v>631</v>
      </c>
    </row>
    <row r="972" spans="1:2" x14ac:dyDescent="0.25">
      <c r="A972" t="s">
        <v>393</v>
      </c>
      <c r="B972" t="s">
        <v>760</v>
      </c>
    </row>
    <row r="973" spans="1:2" x14ac:dyDescent="0.25">
      <c r="A973" t="s">
        <v>395</v>
      </c>
    </row>
    <row r="974" spans="1:2" x14ac:dyDescent="0.25">
      <c r="A974">
        <v>5820134100</v>
      </c>
      <c r="B974" t="s">
        <v>747</v>
      </c>
    </row>
    <row r="975" spans="1:2" x14ac:dyDescent="0.25">
      <c r="A975">
        <v>5891300000</v>
      </c>
      <c r="B975" t="s">
        <v>726</v>
      </c>
    </row>
    <row r="976" spans="1:2" x14ac:dyDescent="0.25">
      <c r="A976">
        <v>3010000000</v>
      </c>
      <c r="B976" t="s">
        <v>406</v>
      </c>
    </row>
    <row r="977" spans="1:2" x14ac:dyDescent="0.25">
      <c r="A977">
        <v>3011000000</v>
      </c>
      <c r="B977" t="s">
        <v>407</v>
      </c>
    </row>
    <row r="978" spans="1:2" x14ac:dyDescent="0.25">
      <c r="A978">
        <v>3011100000</v>
      </c>
      <c r="B978" t="s">
        <v>408</v>
      </c>
    </row>
    <row r="979" spans="1:2" x14ac:dyDescent="0.25">
      <c r="A979">
        <v>3011110000</v>
      </c>
      <c r="B979" t="s">
        <v>409</v>
      </c>
    </row>
    <row r="980" spans="1:2" x14ac:dyDescent="0.25">
      <c r="A980">
        <v>3011120000</v>
      </c>
      <c r="B980" t="s">
        <v>410</v>
      </c>
    </row>
    <row r="981" spans="1:2" x14ac:dyDescent="0.25">
      <c r="A981">
        <v>3011139000</v>
      </c>
      <c r="B981" t="s">
        <v>411</v>
      </c>
    </row>
    <row r="982" spans="1:2" x14ac:dyDescent="0.25">
      <c r="A982">
        <v>3011160000</v>
      </c>
      <c r="B982" t="s">
        <v>412</v>
      </c>
    </row>
    <row r="983" spans="1:2" x14ac:dyDescent="0.25">
      <c r="A983">
        <v>3011200000</v>
      </c>
      <c r="B983" t="s">
        <v>413</v>
      </c>
    </row>
    <row r="984" spans="1:2" x14ac:dyDescent="0.25">
      <c r="A984">
        <v>3012000000</v>
      </c>
      <c r="B984" t="s">
        <v>414</v>
      </c>
    </row>
    <row r="985" spans="1:2" x14ac:dyDescent="0.25">
      <c r="A985">
        <v>3012200000</v>
      </c>
      <c r="B985" t="s">
        <v>415</v>
      </c>
    </row>
    <row r="986" spans="1:2" x14ac:dyDescent="0.25">
      <c r="A986">
        <v>3012210000</v>
      </c>
      <c r="B986" t="s">
        <v>416</v>
      </c>
    </row>
    <row r="987" spans="1:2" x14ac:dyDescent="0.25">
      <c r="A987">
        <v>3012220000</v>
      </c>
      <c r="B987" t="s">
        <v>417</v>
      </c>
    </row>
    <row r="988" spans="1:2" x14ac:dyDescent="0.25">
      <c r="A988">
        <v>5890010000</v>
      </c>
      <c r="B988" t="s">
        <v>727</v>
      </c>
    </row>
    <row r="989" spans="1:2" x14ac:dyDescent="0.25">
      <c r="A989">
        <v>3020200000</v>
      </c>
      <c r="B989" t="s">
        <v>425</v>
      </c>
    </row>
    <row r="990" spans="1:2" x14ac:dyDescent="0.25">
      <c r="A990">
        <v>3020210000</v>
      </c>
      <c r="B990" t="s">
        <v>426</v>
      </c>
    </row>
    <row r="991" spans="1:2" x14ac:dyDescent="0.25">
      <c r="A991">
        <v>3020211000</v>
      </c>
      <c r="B991" t="s">
        <v>427</v>
      </c>
    </row>
    <row r="992" spans="1:2" x14ac:dyDescent="0.25">
      <c r="A992">
        <v>3020212000</v>
      </c>
      <c r="B992" t="s">
        <v>428</v>
      </c>
    </row>
    <row r="993" spans="1:2" x14ac:dyDescent="0.25">
      <c r="A993">
        <v>3020220000</v>
      </c>
      <c r="B993" t="s">
        <v>429</v>
      </c>
    </row>
    <row r="994" spans="1:2" x14ac:dyDescent="0.25">
      <c r="A994">
        <v>3020230000</v>
      </c>
      <c r="B994" t="s">
        <v>430</v>
      </c>
    </row>
    <row r="995" spans="1:2" x14ac:dyDescent="0.25">
      <c r="A995">
        <v>3020231000</v>
      </c>
      <c r="B995" t="s">
        <v>431</v>
      </c>
    </row>
    <row r="996" spans="1:2" x14ac:dyDescent="0.25">
      <c r="A996">
        <v>3020232000</v>
      </c>
      <c r="B996" t="s">
        <v>432</v>
      </c>
    </row>
    <row r="997" spans="1:2" x14ac:dyDescent="0.25">
      <c r="A997">
        <v>3020300000</v>
      </c>
      <c r="B997" t="s">
        <v>433</v>
      </c>
    </row>
    <row r="998" spans="1:2" x14ac:dyDescent="0.25">
      <c r="A998">
        <v>3020310000</v>
      </c>
      <c r="B998" t="s">
        <v>434</v>
      </c>
    </row>
    <row r="999" spans="1:2" x14ac:dyDescent="0.25">
      <c r="A999">
        <v>3020320000</v>
      </c>
      <c r="B999" t="s">
        <v>435</v>
      </c>
    </row>
    <row r="1000" spans="1:2" x14ac:dyDescent="0.25">
      <c r="A1000">
        <v>3020600000</v>
      </c>
      <c r="B1000" t="s">
        <v>460</v>
      </c>
    </row>
    <row r="1001" spans="1:2" x14ac:dyDescent="0.25">
      <c r="A1001">
        <v>3020700000</v>
      </c>
      <c r="B1001" t="s">
        <v>455</v>
      </c>
    </row>
    <row r="1002" spans="1:2" x14ac:dyDescent="0.25">
      <c r="A1002">
        <v>3020710000</v>
      </c>
      <c r="B1002" t="s">
        <v>456</v>
      </c>
    </row>
    <row r="1003" spans="1:2" x14ac:dyDescent="0.25">
      <c r="A1003">
        <v>3020900000</v>
      </c>
      <c r="B1003" t="s">
        <v>461</v>
      </c>
    </row>
    <row r="1004" spans="1:2" x14ac:dyDescent="0.25">
      <c r="A1004">
        <v>5820100000</v>
      </c>
      <c r="B1004" t="s">
        <v>728</v>
      </c>
    </row>
    <row r="1005" spans="1:2" x14ac:dyDescent="0.25">
      <c r="A1005" t="s">
        <v>387</v>
      </c>
      <c r="B1005" t="s">
        <v>729</v>
      </c>
    </row>
    <row r="1006" spans="1:2" x14ac:dyDescent="0.25">
      <c r="A1006">
        <v>5820110000</v>
      </c>
      <c r="B1006" t="s">
        <v>730</v>
      </c>
    </row>
    <row r="1007" spans="1:2" x14ac:dyDescent="0.25">
      <c r="A1007">
        <v>5820111000</v>
      </c>
      <c r="B1007" t="s">
        <v>731</v>
      </c>
    </row>
    <row r="1008" spans="1:2" x14ac:dyDescent="0.25">
      <c r="A1008">
        <v>5820111100</v>
      </c>
      <c r="B1008" t="s">
        <v>732</v>
      </c>
    </row>
    <row r="1009" spans="1:2" x14ac:dyDescent="0.25">
      <c r="A1009">
        <v>5820111200</v>
      </c>
      <c r="B1009" t="s">
        <v>733</v>
      </c>
    </row>
    <row r="1010" spans="1:2" x14ac:dyDescent="0.25">
      <c r="A1010">
        <v>5820112000</v>
      </c>
      <c r="B1010" t="s">
        <v>734</v>
      </c>
    </row>
    <row r="1011" spans="1:2" x14ac:dyDescent="0.25">
      <c r="A1011">
        <v>5820113000</v>
      </c>
      <c r="B1011" t="s">
        <v>735</v>
      </c>
    </row>
    <row r="1012" spans="1:2" x14ac:dyDescent="0.25">
      <c r="A1012">
        <v>5820120000</v>
      </c>
      <c r="B1012" t="s">
        <v>736</v>
      </c>
    </row>
    <row r="1013" spans="1:2" x14ac:dyDescent="0.25">
      <c r="A1013">
        <v>5820121000</v>
      </c>
      <c r="B1013" t="s">
        <v>737</v>
      </c>
    </row>
    <row r="1014" spans="1:2" x14ac:dyDescent="0.25">
      <c r="A1014">
        <v>5820121100</v>
      </c>
      <c r="B1014" t="s">
        <v>738</v>
      </c>
    </row>
    <row r="1015" spans="1:2" x14ac:dyDescent="0.25">
      <c r="A1015">
        <v>5820121200</v>
      </c>
      <c r="B1015" t="s">
        <v>739</v>
      </c>
    </row>
    <row r="1016" spans="1:2" x14ac:dyDescent="0.25">
      <c r="A1016">
        <v>5820122000</v>
      </c>
      <c r="B1016" t="s">
        <v>740</v>
      </c>
    </row>
    <row r="1017" spans="1:2" x14ac:dyDescent="0.25">
      <c r="A1017">
        <v>5820123000</v>
      </c>
      <c r="B1017" t="s">
        <v>741</v>
      </c>
    </row>
    <row r="1018" spans="1:2" x14ac:dyDescent="0.25">
      <c r="A1018">
        <v>5820124000</v>
      </c>
      <c r="B1018" t="s">
        <v>742</v>
      </c>
    </row>
    <row r="1019" spans="1:2" x14ac:dyDescent="0.25">
      <c r="A1019">
        <v>5820134000</v>
      </c>
      <c r="B1019" t="s">
        <v>743</v>
      </c>
    </row>
    <row r="1020" spans="1:2" x14ac:dyDescent="0.25">
      <c r="A1020">
        <v>5820114000</v>
      </c>
      <c r="B1020" t="s">
        <v>744</v>
      </c>
    </row>
    <row r="1021" spans="1:2" x14ac:dyDescent="0.25">
      <c r="A1021">
        <v>5820115000</v>
      </c>
      <c r="B1021" t="s">
        <v>745</v>
      </c>
    </row>
    <row r="1022" spans="1:2" x14ac:dyDescent="0.25">
      <c r="A1022" t="s">
        <v>388</v>
      </c>
      <c r="B1022" t="s">
        <v>746</v>
      </c>
    </row>
    <row r="1023" spans="1:2" x14ac:dyDescent="0.25">
      <c r="A1023">
        <v>5820134100</v>
      </c>
      <c r="B1023" t="s">
        <v>747</v>
      </c>
    </row>
    <row r="1024" spans="1:2" x14ac:dyDescent="0.25">
      <c r="A1024" t="s">
        <v>389</v>
      </c>
      <c r="B1024" t="s">
        <v>748</v>
      </c>
    </row>
    <row r="1025" spans="1:2" x14ac:dyDescent="0.25">
      <c r="A1025">
        <v>5891310000</v>
      </c>
      <c r="B1025" t="s">
        <v>749</v>
      </c>
    </row>
    <row r="1026" spans="1:2" x14ac:dyDescent="0.25">
      <c r="A1026">
        <v>3020401000</v>
      </c>
      <c r="B1026" t="s">
        <v>437</v>
      </c>
    </row>
    <row r="1027" spans="1:2" x14ac:dyDescent="0.25">
      <c r="A1027">
        <v>3020410000</v>
      </c>
      <c r="B1027" t="s">
        <v>438</v>
      </c>
    </row>
    <row r="1028" spans="1:2" x14ac:dyDescent="0.25">
      <c r="A1028">
        <v>3020420000</v>
      </c>
      <c r="B1028" t="s">
        <v>439</v>
      </c>
    </row>
    <row r="1029" spans="1:2" x14ac:dyDescent="0.25">
      <c r="A1029" t="s">
        <v>390</v>
      </c>
      <c r="B1029" t="s">
        <v>750</v>
      </c>
    </row>
    <row r="1030" spans="1:2" x14ac:dyDescent="0.25">
      <c r="A1030">
        <v>5891320000</v>
      </c>
      <c r="B1030" t="s">
        <v>751</v>
      </c>
    </row>
    <row r="1031" spans="1:2" x14ac:dyDescent="0.25">
      <c r="A1031">
        <v>3020430000</v>
      </c>
      <c r="B1031" t="s">
        <v>441</v>
      </c>
    </row>
    <row r="1032" spans="1:2" x14ac:dyDescent="0.25">
      <c r="A1032">
        <v>3020440000</v>
      </c>
      <c r="B1032" t="s">
        <v>442</v>
      </c>
    </row>
    <row r="1033" spans="1:2" x14ac:dyDescent="0.25">
      <c r="A1033">
        <v>5891330000</v>
      </c>
      <c r="B1033" t="s">
        <v>752</v>
      </c>
    </row>
    <row r="1034" spans="1:2" x14ac:dyDescent="0.25">
      <c r="A1034">
        <v>3020500000</v>
      </c>
      <c r="B1034" t="s">
        <v>445</v>
      </c>
    </row>
    <row r="1035" spans="1:2" x14ac:dyDescent="0.25">
      <c r="A1035">
        <v>3020510000</v>
      </c>
      <c r="B1035" t="s">
        <v>446</v>
      </c>
    </row>
    <row r="1036" spans="1:2" x14ac:dyDescent="0.25">
      <c r="A1036">
        <v>3020520000</v>
      </c>
      <c r="B1036" t="s">
        <v>447</v>
      </c>
    </row>
    <row r="1037" spans="1:2" x14ac:dyDescent="0.25">
      <c r="A1037">
        <v>3020530000</v>
      </c>
      <c r="B1037" t="s">
        <v>449</v>
      </c>
    </row>
    <row r="1038" spans="1:2" x14ac:dyDescent="0.25">
      <c r="A1038">
        <v>3020531100</v>
      </c>
      <c r="B1038" t="s">
        <v>450</v>
      </c>
    </row>
    <row r="1039" spans="1:2" x14ac:dyDescent="0.25">
      <c r="A1039">
        <v>3020531200</v>
      </c>
      <c r="B1039" t="s">
        <v>451</v>
      </c>
    </row>
    <row r="1040" spans="1:2" x14ac:dyDescent="0.25">
      <c r="A1040">
        <v>3020531300</v>
      </c>
      <c r="B1040" t="s">
        <v>451</v>
      </c>
    </row>
    <row r="1041" spans="1:2" x14ac:dyDescent="0.25">
      <c r="A1041">
        <v>3020532000</v>
      </c>
      <c r="B1041" t="s">
        <v>452</v>
      </c>
    </row>
    <row r="1042" spans="1:2" x14ac:dyDescent="0.25">
      <c r="A1042">
        <v>3020533100</v>
      </c>
      <c r="B1042" t="s">
        <v>453</v>
      </c>
    </row>
    <row r="1043" spans="1:2" x14ac:dyDescent="0.25">
      <c r="A1043">
        <v>3020533200</v>
      </c>
      <c r="B1043" t="s">
        <v>454</v>
      </c>
    </row>
    <row r="1044" spans="1:2" x14ac:dyDescent="0.25">
      <c r="A1044" t="s">
        <v>391</v>
      </c>
      <c r="B1044" t="s">
        <v>753</v>
      </c>
    </row>
    <row r="1045" spans="1:2" x14ac:dyDescent="0.25">
      <c r="A1045" t="s">
        <v>396</v>
      </c>
    </row>
    <row r="1046" spans="1:2" x14ac:dyDescent="0.25">
      <c r="A1046">
        <v>5820134100</v>
      </c>
      <c r="B1046" t="s">
        <v>747</v>
      </c>
    </row>
    <row r="1047" spans="1:2" x14ac:dyDescent="0.25">
      <c r="A1047">
        <v>5890010000</v>
      </c>
      <c r="B1047" t="s">
        <v>727</v>
      </c>
    </row>
    <row r="1048" spans="1:2" x14ac:dyDescent="0.25">
      <c r="A1048">
        <v>3020200000</v>
      </c>
      <c r="B1048" t="s">
        <v>425</v>
      </c>
    </row>
    <row r="1049" spans="1:2" x14ac:dyDescent="0.25">
      <c r="A1049">
        <v>3020210000</v>
      </c>
      <c r="B1049" t="s">
        <v>426</v>
      </c>
    </row>
    <row r="1050" spans="1:2" x14ac:dyDescent="0.25">
      <c r="A1050">
        <v>3020211000</v>
      </c>
      <c r="B1050" t="s">
        <v>427</v>
      </c>
    </row>
    <row r="1051" spans="1:2" x14ac:dyDescent="0.25">
      <c r="A1051">
        <v>3020212000</v>
      </c>
      <c r="B1051" t="s">
        <v>428</v>
      </c>
    </row>
    <row r="1052" spans="1:2" x14ac:dyDescent="0.25">
      <c r="A1052">
        <v>3020220000</v>
      </c>
      <c r="B1052" t="s">
        <v>429</v>
      </c>
    </row>
    <row r="1053" spans="1:2" x14ac:dyDescent="0.25">
      <c r="A1053">
        <v>3020230000</v>
      </c>
      <c r="B1053" t="s">
        <v>430</v>
      </c>
    </row>
    <row r="1054" spans="1:2" x14ac:dyDescent="0.25">
      <c r="A1054">
        <v>3020231000</v>
      </c>
      <c r="B1054" t="s">
        <v>431</v>
      </c>
    </row>
    <row r="1055" spans="1:2" x14ac:dyDescent="0.25">
      <c r="A1055">
        <v>3020232000</v>
      </c>
      <c r="B1055" t="s">
        <v>432</v>
      </c>
    </row>
    <row r="1056" spans="1:2" x14ac:dyDescent="0.25">
      <c r="A1056">
        <v>3020300000</v>
      </c>
      <c r="B1056" t="s">
        <v>433</v>
      </c>
    </row>
    <row r="1057" spans="1:2" x14ac:dyDescent="0.25">
      <c r="A1057">
        <v>3020310000</v>
      </c>
      <c r="B1057" t="s">
        <v>434</v>
      </c>
    </row>
    <row r="1058" spans="1:2" x14ac:dyDescent="0.25">
      <c r="A1058">
        <v>3020320000</v>
      </c>
      <c r="B1058" t="s">
        <v>435</v>
      </c>
    </row>
    <row r="1059" spans="1:2" x14ac:dyDescent="0.25">
      <c r="A1059">
        <v>3020600000</v>
      </c>
      <c r="B1059" t="s">
        <v>460</v>
      </c>
    </row>
    <row r="1060" spans="1:2" x14ac:dyDescent="0.25">
      <c r="A1060">
        <v>3020700000</v>
      </c>
      <c r="B1060" t="s">
        <v>455</v>
      </c>
    </row>
    <row r="1061" spans="1:2" x14ac:dyDescent="0.25">
      <c r="A1061">
        <v>3020710000</v>
      </c>
      <c r="B1061" t="s">
        <v>456</v>
      </c>
    </row>
    <row r="1062" spans="1:2" x14ac:dyDescent="0.25">
      <c r="A1062">
        <v>3020900000</v>
      </c>
      <c r="B1062" t="s">
        <v>461</v>
      </c>
    </row>
    <row r="1063" spans="1:2" x14ac:dyDescent="0.25">
      <c r="A1063">
        <v>5820100000</v>
      </c>
      <c r="B1063" t="s">
        <v>728</v>
      </c>
    </row>
    <row r="1064" spans="1:2" x14ac:dyDescent="0.25">
      <c r="A1064" t="s">
        <v>387</v>
      </c>
      <c r="B1064" t="s">
        <v>729</v>
      </c>
    </row>
    <row r="1065" spans="1:2" x14ac:dyDescent="0.25">
      <c r="A1065">
        <v>5820110000</v>
      </c>
      <c r="B1065" t="s">
        <v>730</v>
      </c>
    </row>
    <row r="1066" spans="1:2" x14ac:dyDescent="0.25">
      <c r="A1066">
        <v>5820111000</v>
      </c>
      <c r="B1066" t="s">
        <v>731</v>
      </c>
    </row>
    <row r="1067" spans="1:2" x14ac:dyDescent="0.25">
      <c r="A1067">
        <v>5820111100</v>
      </c>
      <c r="B1067" t="s">
        <v>732</v>
      </c>
    </row>
    <row r="1068" spans="1:2" x14ac:dyDescent="0.25">
      <c r="A1068">
        <v>5820111200</v>
      </c>
      <c r="B1068" t="s">
        <v>733</v>
      </c>
    </row>
    <row r="1069" spans="1:2" x14ac:dyDescent="0.25">
      <c r="A1069">
        <v>5820112000</v>
      </c>
      <c r="B1069" t="s">
        <v>734</v>
      </c>
    </row>
    <row r="1070" spans="1:2" x14ac:dyDescent="0.25">
      <c r="A1070">
        <v>5820113000</v>
      </c>
      <c r="B1070" t="s">
        <v>735</v>
      </c>
    </row>
    <row r="1071" spans="1:2" x14ac:dyDescent="0.25">
      <c r="A1071">
        <v>5820120000</v>
      </c>
      <c r="B1071" t="s">
        <v>736</v>
      </c>
    </row>
    <row r="1072" spans="1:2" x14ac:dyDescent="0.25">
      <c r="A1072">
        <v>5820121000</v>
      </c>
      <c r="B1072" t="s">
        <v>737</v>
      </c>
    </row>
    <row r="1073" spans="1:2" x14ac:dyDescent="0.25">
      <c r="A1073">
        <v>5820121100</v>
      </c>
      <c r="B1073" t="s">
        <v>738</v>
      </c>
    </row>
    <row r="1074" spans="1:2" x14ac:dyDescent="0.25">
      <c r="A1074">
        <v>5820121200</v>
      </c>
      <c r="B1074" t="s">
        <v>739</v>
      </c>
    </row>
    <row r="1075" spans="1:2" x14ac:dyDescent="0.25">
      <c r="A1075">
        <v>5820122000</v>
      </c>
      <c r="B1075" t="s">
        <v>740</v>
      </c>
    </row>
    <row r="1076" spans="1:2" x14ac:dyDescent="0.25">
      <c r="A1076">
        <v>5820123000</v>
      </c>
      <c r="B1076" t="s">
        <v>741</v>
      </c>
    </row>
    <row r="1077" spans="1:2" x14ac:dyDescent="0.25">
      <c r="A1077">
        <v>5820124000</v>
      </c>
      <c r="B1077" t="s">
        <v>742</v>
      </c>
    </row>
    <row r="1078" spans="1:2" x14ac:dyDescent="0.25">
      <c r="A1078">
        <v>5820134000</v>
      </c>
      <c r="B1078" t="s">
        <v>743</v>
      </c>
    </row>
    <row r="1079" spans="1:2" x14ac:dyDescent="0.25">
      <c r="A1079">
        <v>5820114000</v>
      </c>
      <c r="B1079" t="s">
        <v>744</v>
      </c>
    </row>
    <row r="1080" spans="1:2" x14ac:dyDescent="0.25">
      <c r="A1080">
        <v>5820115000</v>
      </c>
      <c r="B1080" t="s">
        <v>745</v>
      </c>
    </row>
    <row r="1081" spans="1:2" x14ac:dyDescent="0.25">
      <c r="A1081" t="s">
        <v>388</v>
      </c>
      <c r="B1081" t="s">
        <v>746</v>
      </c>
    </row>
    <row r="1082" spans="1:2" x14ac:dyDescent="0.25">
      <c r="A1082">
        <v>5820134100</v>
      </c>
      <c r="B1082" t="s">
        <v>747</v>
      </c>
    </row>
    <row r="1083" spans="1:2" x14ac:dyDescent="0.25">
      <c r="A1083" t="s">
        <v>389</v>
      </c>
      <c r="B1083" t="s">
        <v>748</v>
      </c>
    </row>
    <row r="1084" spans="1:2" x14ac:dyDescent="0.25">
      <c r="A1084">
        <v>5891310000</v>
      </c>
      <c r="B1084" t="s">
        <v>749</v>
      </c>
    </row>
    <row r="1085" spans="1:2" x14ac:dyDescent="0.25">
      <c r="A1085">
        <v>3020401000</v>
      </c>
      <c r="B1085" t="s">
        <v>437</v>
      </c>
    </row>
    <row r="1086" spans="1:2" x14ac:dyDescent="0.25">
      <c r="A1086">
        <v>3020410000</v>
      </c>
      <c r="B1086" t="s">
        <v>438</v>
      </c>
    </row>
    <row r="1087" spans="1:2" x14ac:dyDescent="0.25">
      <c r="A1087">
        <v>3020420000</v>
      </c>
      <c r="B1087" t="s">
        <v>439</v>
      </c>
    </row>
    <row r="1088" spans="1:2" x14ac:dyDescent="0.25">
      <c r="A1088" t="s">
        <v>390</v>
      </c>
      <c r="B1088" t="s">
        <v>750</v>
      </c>
    </row>
    <row r="1089" spans="1:2" x14ac:dyDescent="0.25">
      <c r="A1089">
        <v>5891320000</v>
      </c>
      <c r="B1089" t="s">
        <v>751</v>
      </c>
    </row>
    <row r="1090" spans="1:2" x14ac:dyDescent="0.25">
      <c r="A1090">
        <v>3020430000</v>
      </c>
      <c r="B1090" t="s">
        <v>441</v>
      </c>
    </row>
    <row r="1091" spans="1:2" x14ac:dyDescent="0.25">
      <c r="A1091">
        <v>3020440000</v>
      </c>
      <c r="B1091" t="s">
        <v>442</v>
      </c>
    </row>
    <row r="1092" spans="1:2" x14ac:dyDescent="0.25">
      <c r="A1092">
        <v>5891330000</v>
      </c>
      <c r="B1092" t="s">
        <v>752</v>
      </c>
    </row>
    <row r="1093" spans="1:2" x14ac:dyDescent="0.25">
      <c r="A1093">
        <v>3020500000</v>
      </c>
      <c r="B1093" t="s">
        <v>445</v>
      </c>
    </row>
    <row r="1094" spans="1:2" x14ac:dyDescent="0.25">
      <c r="A1094">
        <v>3020510000</v>
      </c>
      <c r="B1094" t="s">
        <v>446</v>
      </c>
    </row>
    <row r="1095" spans="1:2" x14ac:dyDescent="0.25">
      <c r="A1095">
        <v>3020520000</v>
      </c>
      <c r="B1095" t="s">
        <v>447</v>
      </c>
    </row>
    <row r="1096" spans="1:2" x14ac:dyDescent="0.25">
      <c r="A1096">
        <v>3020530000</v>
      </c>
      <c r="B1096" t="s">
        <v>449</v>
      </c>
    </row>
    <row r="1097" spans="1:2" x14ac:dyDescent="0.25">
      <c r="A1097">
        <v>3020531100</v>
      </c>
      <c r="B1097" t="s">
        <v>450</v>
      </c>
    </row>
    <row r="1098" spans="1:2" x14ac:dyDescent="0.25">
      <c r="A1098">
        <v>3020531200</v>
      </c>
      <c r="B1098" t="s">
        <v>451</v>
      </c>
    </row>
    <row r="1099" spans="1:2" x14ac:dyDescent="0.25">
      <c r="A1099">
        <v>3020531300</v>
      </c>
      <c r="B1099" t="s">
        <v>451</v>
      </c>
    </row>
    <row r="1100" spans="1:2" x14ac:dyDescent="0.25">
      <c r="A1100">
        <v>3020532000</v>
      </c>
      <c r="B1100" t="s">
        <v>452</v>
      </c>
    </row>
    <row r="1101" spans="1:2" x14ac:dyDescent="0.25">
      <c r="A1101">
        <v>3020533100</v>
      </c>
      <c r="B1101" t="s">
        <v>453</v>
      </c>
    </row>
    <row r="1102" spans="1:2" x14ac:dyDescent="0.25">
      <c r="A1102">
        <v>3020533200</v>
      </c>
      <c r="B1102" t="s">
        <v>454</v>
      </c>
    </row>
    <row r="1103" spans="1:2" x14ac:dyDescent="0.25">
      <c r="A1103" t="s">
        <v>391</v>
      </c>
      <c r="B1103" t="s">
        <v>753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B65B2-CCA4-41B8-B419-47ECB6D1FD5E}">
  <sheetPr codeName="Sheet4"/>
  <dimension ref="A1:B459"/>
  <sheetViews>
    <sheetView workbookViewId="0">
      <selection sqref="A1:B1048576"/>
    </sheetView>
  </sheetViews>
  <sheetFormatPr defaultRowHeight="15" x14ac:dyDescent="0.25"/>
  <cols>
    <col min="1" max="1" width="12.7109375" bestFit="1" customWidth="1"/>
    <col min="2" max="2" width="11.5703125" bestFit="1" customWidth="1"/>
  </cols>
  <sheetData>
    <row r="1" spans="1:2" x14ac:dyDescent="0.25">
      <c r="A1" t="s">
        <v>9</v>
      </c>
      <c r="B1" t="s">
        <v>39</v>
      </c>
    </row>
    <row r="2" spans="1:2" x14ac:dyDescent="0.25">
      <c r="A2" s="20">
        <v>3900000000</v>
      </c>
      <c r="B2" t="s">
        <v>58</v>
      </c>
    </row>
    <row r="3" spans="1:2" x14ac:dyDescent="0.25">
      <c r="A3">
        <v>3800000000</v>
      </c>
      <c r="B3">
        <v>3900000000</v>
      </c>
    </row>
    <row r="4" spans="1:2" x14ac:dyDescent="0.25">
      <c r="A4">
        <v>3700000000</v>
      </c>
      <c r="B4">
        <v>3800000000</v>
      </c>
    </row>
    <row r="5" spans="1:2" x14ac:dyDescent="0.25">
      <c r="A5">
        <v>3600000000</v>
      </c>
      <c r="B5">
        <v>3700000000</v>
      </c>
    </row>
    <row r="6" spans="1:2" x14ac:dyDescent="0.25">
      <c r="A6">
        <v>3500000000</v>
      </c>
      <c r="B6">
        <v>3600000000</v>
      </c>
    </row>
    <row r="7" spans="1:2" x14ac:dyDescent="0.25">
      <c r="A7">
        <v>3400000000</v>
      </c>
      <c r="B7">
        <v>3500000000</v>
      </c>
    </row>
    <row r="8" spans="1:2" x14ac:dyDescent="0.25">
      <c r="A8">
        <v>3300000000</v>
      </c>
      <c r="B8">
        <v>3400000000</v>
      </c>
    </row>
    <row r="9" spans="1:2" x14ac:dyDescent="0.25">
      <c r="A9">
        <v>3200000000</v>
      </c>
      <c r="B9">
        <v>3300000000</v>
      </c>
    </row>
    <row r="10" spans="1:2" x14ac:dyDescent="0.25">
      <c r="A10">
        <v>3100000000</v>
      </c>
      <c r="B10">
        <v>3200000000</v>
      </c>
    </row>
    <row r="11" spans="1:2" x14ac:dyDescent="0.25">
      <c r="A11">
        <v>3010000000</v>
      </c>
      <c r="B11">
        <v>3100000000</v>
      </c>
    </row>
    <row r="12" spans="1:2" x14ac:dyDescent="0.25">
      <c r="A12">
        <v>3011000000</v>
      </c>
      <c r="B12">
        <v>3010000000</v>
      </c>
    </row>
    <row r="13" spans="1:2" x14ac:dyDescent="0.25">
      <c r="A13">
        <v>3011100000</v>
      </c>
      <c r="B13">
        <v>3011000000</v>
      </c>
    </row>
    <row r="14" spans="1:2" x14ac:dyDescent="0.25">
      <c r="A14">
        <v>3011110000</v>
      </c>
      <c r="B14">
        <v>3011100000</v>
      </c>
    </row>
    <row r="15" spans="1:2" x14ac:dyDescent="0.25">
      <c r="A15">
        <v>3011120000</v>
      </c>
      <c r="B15">
        <v>3011100000</v>
      </c>
    </row>
    <row r="16" spans="1:2" x14ac:dyDescent="0.25">
      <c r="A16">
        <v>3011139000</v>
      </c>
      <c r="B16">
        <v>3011100000</v>
      </c>
    </row>
    <row r="17" spans="1:2" x14ac:dyDescent="0.25">
      <c r="A17">
        <v>3011160000</v>
      </c>
      <c r="B17">
        <v>3011100000</v>
      </c>
    </row>
    <row r="18" spans="1:2" x14ac:dyDescent="0.25">
      <c r="A18">
        <v>3011200000</v>
      </c>
      <c r="B18">
        <v>3011000000</v>
      </c>
    </row>
    <row r="19" spans="1:2" x14ac:dyDescent="0.25">
      <c r="A19">
        <v>3012000000</v>
      </c>
      <c r="B19">
        <v>3010000000</v>
      </c>
    </row>
    <row r="20" spans="1:2" x14ac:dyDescent="0.25">
      <c r="A20">
        <v>3012200000</v>
      </c>
      <c r="B20">
        <v>3012000000</v>
      </c>
    </row>
    <row r="21" spans="1:2" x14ac:dyDescent="0.25">
      <c r="A21">
        <v>3012210000</v>
      </c>
      <c r="B21">
        <v>3012000000</v>
      </c>
    </row>
    <row r="22" spans="1:2" x14ac:dyDescent="0.25">
      <c r="A22">
        <v>3012220000</v>
      </c>
      <c r="B22">
        <v>3012000000</v>
      </c>
    </row>
    <row r="23" spans="1:2" x14ac:dyDescent="0.25">
      <c r="A23">
        <v>3020000000</v>
      </c>
      <c r="B23">
        <v>3100000000</v>
      </c>
    </row>
    <row r="24" spans="1:2" x14ac:dyDescent="0.25">
      <c r="A24">
        <v>3020100000</v>
      </c>
      <c r="B24">
        <v>3020000000</v>
      </c>
    </row>
    <row r="25" spans="1:2" x14ac:dyDescent="0.25">
      <c r="A25">
        <v>3020110000</v>
      </c>
      <c r="B25">
        <v>3020100000</v>
      </c>
    </row>
    <row r="26" spans="1:2" x14ac:dyDescent="0.25">
      <c r="A26">
        <v>3020120000</v>
      </c>
      <c r="B26">
        <v>3020100000</v>
      </c>
    </row>
    <row r="27" spans="1:2" x14ac:dyDescent="0.25">
      <c r="A27">
        <v>3020130000</v>
      </c>
      <c r="B27">
        <v>3020100000</v>
      </c>
    </row>
    <row r="28" spans="1:2" x14ac:dyDescent="0.25">
      <c r="A28">
        <v>3020131000</v>
      </c>
      <c r="B28">
        <v>3020130000</v>
      </c>
    </row>
    <row r="29" spans="1:2" x14ac:dyDescent="0.25">
      <c r="A29">
        <v>3020132000</v>
      </c>
      <c r="B29">
        <v>3020130000</v>
      </c>
    </row>
    <row r="30" spans="1:2" x14ac:dyDescent="0.25">
      <c r="A30">
        <v>3020200000</v>
      </c>
      <c r="B30">
        <v>3020000000</v>
      </c>
    </row>
    <row r="31" spans="1:2" x14ac:dyDescent="0.25">
      <c r="A31">
        <v>3020210000</v>
      </c>
      <c r="B31">
        <v>3020200000</v>
      </c>
    </row>
    <row r="32" spans="1:2" x14ac:dyDescent="0.25">
      <c r="A32">
        <v>3020211000</v>
      </c>
      <c r="B32">
        <v>3020210000</v>
      </c>
    </row>
    <row r="33" spans="1:2" x14ac:dyDescent="0.25">
      <c r="A33">
        <v>3020212000</v>
      </c>
      <c r="B33">
        <v>3020210000</v>
      </c>
    </row>
    <row r="34" spans="1:2" x14ac:dyDescent="0.25">
      <c r="A34">
        <v>3020220000</v>
      </c>
      <c r="B34">
        <v>3020200000</v>
      </c>
    </row>
    <row r="35" spans="1:2" x14ac:dyDescent="0.25">
      <c r="A35">
        <v>3020230000</v>
      </c>
      <c r="B35">
        <v>3020200000</v>
      </c>
    </row>
    <row r="36" spans="1:2" x14ac:dyDescent="0.25">
      <c r="A36">
        <v>3020231000</v>
      </c>
      <c r="B36">
        <v>3020230000</v>
      </c>
    </row>
    <row r="37" spans="1:2" x14ac:dyDescent="0.25">
      <c r="A37">
        <v>3020232000</v>
      </c>
      <c r="B37">
        <v>3020230000</v>
      </c>
    </row>
    <row r="38" spans="1:2" x14ac:dyDescent="0.25">
      <c r="A38">
        <v>3020300000</v>
      </c>
      <c r="B38">
        <v>3020000000</v>
      </c>
    </row>
    <row r="39" spans="1:2" x14ac:dyDescent="0.25">
      <c r="A39">
        <v>3020310000</v>
      </c>
      <c r="B39">
        <v>3020300000</v>
      </c>
    </row>
    <row r="40" spans="1:2" x14ac:dyDescent="0.25">
      <c r="A40">
        <v>3020320000</v>
      </c>
      <c r="B40">
        <v>3020300000</v>
      </c>
    </row>
    <row r="41" spans="1:2" x14ac:dyDescent="0.25">
      <c r="A41">
        <v>3020400000</v>
      </c>
      <c r="B41">
        <v>3020000000</v>
      </c>
    </row>
    <row r="42" spans="1:2" x14ac:dyDescent="0.25">
      <c r="A42">
        <v>3020401000</v>
      </c>
      <c r="B42">
        <v>3020400000</v>
      </c>
    </row>
    <row r="43" spans="1:2" x14ac:dyDescent="0.25">
      <c r="A43">
        <v>3020410000</v>
      </c>
      <c r="B43">
        <v>3020401000</v>
      </c>
    </row>
    <row r="44" spans="1:2" x14ac:dyDescent="0.25">
      <c r="A44">
        <v>3020420000</v>
      </c>
      <c r="B44">
        <v>3020401000</v>
      </c>
    </row>
    <row r="45" spans="1:2" x14ac:dyDescent="0.25">
      <c r="A45">
        <v>3020402000</v>
      </c>
      <c r="B45">
        <v>3020400000</v>
      </c>
    </row>
    <row r="46" spans="1:2" x14ac:dyDescent="0.25">
      <c r="A46">
        <v>3020430000</v>
      </c>
      <c r="B46">
        <v>3020402000</v>
      </c>
    </row>
    <row r="47" spans="1:2" x14ac:dyDescent="0.25">
      <c r="A47">
        <v>3020440000</v>
      </c>
      <c r="B47">
        <v>3020402000</v>
      </c>
    </row>
    <row r="48" spans="1:2" x14ac:dyDescent="0.25">
      <c r="A48">
        <v>3020450000</v>
      </c>
      <c r="B48">
        <v>3020402000</v>
      </c>
    </row>
    <row r="49" spans="1:2" x14ac:dyDescent="0.25">
      <c r="A49">
        <v>3020501000</v>
      </c>
      <c r="B49">
        <v>3020000000</v>
      </c>
    </row>
    <row r="50" spans="1:2" x14ac:dyDescent="0.25">
      <c r="A50">
        <v>3020500000</v>
      </c>
      <c r="B50">
        <v>3020501000</v>
      </c>
    </row>
    <row r="51" spans="1:2" x14ac:dyDescent="0.25">
      <c r="A51">
        <v>3020510000</v>
      </c>
      <c r="B51">
        <v>3020500000</v>
      </c>
    </row>
    <row r="52" spans="1:2" x14ac:dyDescent="0.25">
      <c r="A52">
        <v>3020520000</v>
      </c>
      <c r="B52">
        <v>3020500000</v>
      </c>
    </row>
    <row r="53" spans="1:2" x14ac:dyDescent="0.25">
      <c r="A53">
        <v>3020502000</v>
      </c>
      <c r="B53">
        <v>3020501000</v>
      </c>
    </row>
    <row r="54" spans="1:2" x14ac:dyDescent="0.25">
      <c r="A54">
        <v>3020530000</v>
      </c>
      <c r="B54">
        <v>3020501000</v>
      </c>
    </row>
    <row r="55" spans="1:2" x14ac:dyDescent="0.25">
      <c r="A55">
        <v>3020531100</v>
      </c>
      <c r="B55">
        <v>3020530000</v>
      </c>
    </row>
    <row r="56" spans="1:2" x14ac:dyDescent="0.25">
      <c r="A56">
        <v>3020531200</v>
      </c>
      <c r="B56">
        <v>3020530000</v>
      </c>
    </row>
    <row r="57" spans="1:2" x14ac:dyDescent="0.25">
      <c r="A57">
        <v>3020531300</v>
      </c>
      <c r="B57">
        <v>3020530000</v>
      </c>
    </row>
    <row r="58" spans="1:2" x14ac:dyDescent="0.25">
      <c r="A58">
        <v>3020532000</v>
      </c>
      <c r="B58">
        <v>3020530000</v>
      </c>
    </row>
    <row r="59" spans="1:2" x14ac:dyDescent="0.25">
      <c r="A59">
        <v>3020533100</v>
      </c>
      <c r="B59">
        <v>3020530000</v>
      </c>
    </row>
    <row r="60" spans="1:2" x14ac:dyDescent="0.25">
      <c r="A60">
        <v>3020533200</v>
      </c>
      <c r="B60">
        <v>3020530000</v>
      </c>
    </row>
    <row r="61" spans="1:2" x14ac:dyDescent="0.25">
      <c r="A61">
        <v>3020700000</v>
      </c>
      <c r="B61">
        <v>3020000000</v>
      </c>
    </row>
    <row r="62" spans="1:2" x14ac:dyDescent="0.25">
      <c r="A62">
        <v>3020710000</v>
      </c>
      <c r="B62">
        <v>3020000000</v>
      </c>
    </row>
    <row r="63" spans="1:2" x14ac:dyDescent="0.25">
      <c r="A63">
        <v>3020810000</v>
      </c>
      <c r="B63">
        <v>3020000000</v>
      </c>
    </row>
    <row r="64" spans="1:2" x14ac:dyDescent="0.25">
      <c r="A64">
        <v>3020820000</v>
      </c>
      <c r="B64">
        <v>3020000000</v>
      </c>
    </row>
    <row r="65" spans="1:2" x14ac:dyDescent="0.25">
      <c r="A65">
        <v>3020990000</v>
      </c>
      <c r="B65">
        <v>3020000000</v>
      </c>
    </row>
    <row r="66" spans="1:2" x14ac:dyDescent="0.25">
      <c r="A66">
        <v>3020600000</v>
      </c>
      <c r="B66">
        <v>3020990000</v>
      </c>
    </row>
    <row r="67" spans="1:2" x14ac:dyDescent="0.25">
      <c r="A67">
        <v>3020900000</v>
      </c>
      <c r="B67">
        <v>3020990000</v>
      </c>
    </row>
    <row r="68" spans="1:2" x14ac:dyDescent="0.25">
      <c r="A68">
        <v>3100100000</v>
      </c>
      <c r="B68">
        <v>3200000000</v>
      </c>
    </row>
    <row r="69" spans="1:2" x14ac:dyDescent="0.25">
      <c r="A69">
        <v>3110000000</v>
      </c>
      <c r="B69">
        <v>3100100000</v>
      </c>
    </row>
    <row r="70" spans="1:2" x14ac:dyDescent="0.25">
      <c r="A70">
        <v>3110100000</v>
      </c>
      <c r="B70">
        <v>3110000000</v>
      </c>
    </row>
    <row r="71" spans="1:2" x14ac:dyDescent="0.25">
      <c r="A71">
        <v>3110110000</v>
      </c>
      <c r="B71">
        <v>3110100000</v>
      </c>
    </row>
    <row r="72" spans="1:2" x14ac:dyDescent="0.25">
      <c r="A72">
        <v>3110120000</v>
      </c>
      <c r="B72">
        <v>3110100000</v>
      </c>
    </row>
    <row r="73" spans="1:2" x14ac:dyDescent="0.25">
      <c r="A73">
        <v>3110130000</v>
      </c>
      <c r="B73">
        <v>3110100000</v>
      </c>
    </row>
    <row r="74" spans="1:2" x14ac:dyDescent="0.25">
      <c r="A74">
        <v>3110140000</v>
      </c>
      <c r="B74">
        <v>3110100000</v>
      </c>
    </row>
    <row r="75" spans="1:2" x14ac:dyDescent="0.25">
      <c r="A75">
        <v>3110150000</v>
      </c>
      <c r="B75">
        <v>3110100000</v>
      </c>
    </row>
    <row r="76" spans="1:2" x14ac:dyDescent="0.25">
      <c r="A76">
        <v>3110160000</v>
      </c>
      <c r="B76">
        <v>3110100000</v>
      </c>
    </row>
    <row r="77" spans="1:2" x14ac:dyDescent="0.25">
      <c r="A77">
        <v>3110170000</v>
      </c>
      <c r="B77">
        <v>3110100000</v>
      </c>
    </row>
    <row r="78" spans="1:2" x14ac:dyDescent="0.25">
      <c r="A78">
        <v>3110200000</v>
      </c>
      <c r="B78">
        <v>3110000000</v>
      </c>
    </row>
    <row r="79" spans="1:2" x14ac:dyDescent="0.25">
      <c r="A79">
        <v>3110210000</v>
      </c>
      <c r="B79">
        <v>3110200000</v>
      </c>
    </row>
    <row r="80" spans="1:2" x14ac:dyDescent="0.25">
      <c r="A80">
        <v>3110220000</v>
      </c>
      <c r="B80">
        <v>3110200000</v>
      </c>
    </row>
    <row r="81" spans="1:2" x14ac:dyDescent="0.25">
      <c r="A81">
        <v>3110230000</v>
      </c>
      <c r="B81">
        <v>3110200000</v>
      </c>
    </row>
    <row r="82" spans="1:2" x14ac:dyDescent="0.25">
      <c r="A82">
        <v>3110240000</v>
      </c>
      <c r="B82">
        <v>3110200000</v>
      </c>
    </row>
    <row r="83" spans="1:2" x14ac:dyDescent="0.25">
      <c r="A83">
        <v>3110250000</v>
      </c>
      <c r="B83">
        <v>3110200000</v>
      </c>
    </row>
    <row r="84" spans="1:2" x14ac:dyDescent="0.25">
      <c r="A84">
        <v>3110300000</v>
      </c>
      <c r="B84">
        <v>3110000000</v>
      </c>
    </row>
    <row r="85" spans="1:2" x14ac:dyDescent="0.25">
      <c r="A85">
        <v>3110310000</v>
      </c>
      <c r="B85">
        <v>3110300000</v>
      </c>
    </row>
    <row r="86" spans="1:2" x14ac:dyDescent="0.25">
      <c r="A86">
        <v>3110320000</v>
      </c>
      <c r="B86">
        <v>3110300000</v>
      </c>
    </row>
    <row r="87" spans="1:2" x14ac:dyDescent="0.25">
      <c r="A87">
        <v>3110330000</v>
      </c>
      <c r="B87">
        <v>3110300000</v>
      </c>
    </row>
    <row r="88" spans="1:2" x14ac:dyDescent="0.25">
      <c r="A88">
        <v>3110340000</v>
      </c>
      <c r="B88">
        <v>3110300000</v>
      </c>
    </row>
    <row r="89" spans="1:2" x14ac:dyDescent="0.25">
      <c r="A89">
        <v>3110350000</v>
      </c>
      <c r="B89">
        <v>3110300000</v>
      </c>
    </row>
    <row r="90" spans="1:2" x14ac:dyDescent="0.25">
      <c r="A90">
        <v>3110360000</v>
      </c>
      <c r="B90">
        <v>3110300000</v>
      </c>
    </row>
    <row r="91" spans="1:2" x14ac:dyDescent="0.25">
      <c r="A91">
        <v>3110400000</v>
      </c>
      <c r="B91">
        <v>3110000000</v>
      </c>
    </row>
    <row r="92" spans="1:2" x14ac:dyDescent="0.25">
      <c r="A92">
        <v>3110420000</v>
      </c>
      <c r="B92">
        <v>3110400000</v>
      </c>
    </row>
    <row r="93" spans="1:2" x14ac:dyDescent="0.25">
      <c r="A93">
        <v>3110430000</v>
      </c>
      <c r="B93">
        <v>3110400000</v>
      </c>
    </row>
    <row r="94" spans="1:2" x14ac:dyDescent="0.25">
      <c r="A94">
        <v>3110440000</v>
      </c>
      <c r="B94">
        <v>3110400000</v>
      </c>
    </row>
    <row r="95" spans="1:2" x14ac:dyDescent="0.25">
      <c r="A95">
        <v>3110410000</v>
      </c>
      <c r="B95">
        <v>3110440000</v>
      </c>
    </row>
    <row r="96" spans="1:2" x14ac:dyDescent="0.25">
      <c r="A96">
        <v>3110441000</v>
      </c>
      <c r="B96">
        <v>3110440000</v>
      </c>
    </row>
    <row r="97" spans="1:2" x14ac:dyDescent="0.25">
      <c r="A97">
        <v>3110441100</v>
      </c>
      <c r="B97">
        <v>3110441000</v>
      </c>
    </row>
    <row r="98" spans="1:2" x14ac:dyDescent="0.25">
      <c r="A98">
        <v>3110441200</v>
      </c>
      <c r="B98">
        <v>3110441000</v>
      </c>
    </row>
    <row r="99" spans="1:2" x14ac:dyDescent="0.25">
      <c r="A99">
        <v>3110442000</v>
      </c>
      <c r="B99">
        <v>3110440000</v>
      </c>
    </row>
    <row r="100" spans="1:2" x14ac:dyDescent="0.25">
      <c r="A100">
        <v>3110442100</v>
      </c>
      <c r="B100">
        <v>3110442000</v>
      </c>
    </row>
    <row r="101" spans="1:2" x14ac:dyDescent="0.25">
      <c r="A101">
        <v>3110442200</v>
      </c>
      <c r="B101">
        <v>3110442000</v>
      </c>
    </row>
    <row r="102" spans="1:2" x14ac:dyDescent="0.25">
      <c r="A102">
        <v>3110470000</v>
      </c>
      <c r="B102">
        <v>3110400000</v>
      </c>
    </row>
    <row r="103" spans="1:2" x14ac:dyDescent="0.25">
      <c r="A103">
        <v>3110550000</v>
      </c>
      <c r="B103">
        <v>3110000000</v>
      </c>
    </row>
    <row r="104" spans="1:2" x14ac:dyDescent="0.25">
      <c r="A104">
        <v>3110551000</v>
      </c>
      <c r="B104">
        <v>3110550000</v>
      </c>
    </row>
    <row r="105" spans="1:2" x14ac:dyDescent="0.25">
      <c r="A105">
        <v>3110552000</v>
      </c>
      <c r="B105">
        <v>3110550000</v>
      </c>
    </row>
    <row r="106" spans="1:2" x14ac:dyDescent="0.25">
      <c r="A106">
        <v>3110553000</v>
      </c>
      <c r="B106">
        <v>3110550000</v>
      </c>
    </row>
    <row r="107" spans="1:2" x14ac:dyDescent="0.25">
      <c r="A107">
        <v>3110554000</v>
      </c>
      <c r="B107">
        <v>3110550000</v>
      </c>
    </row>
    <row r="108" spans="1:2" x14ac:dyDescent="0.25">
      <c r="A108">
        <v>3110700000</v>
      </c>
      <c r="B108">
        <v>3110000000</v>
      </c>
    </row>
    <row r="109" spans="1:2" x14ac:dyDescent="0.25">
      <c r="A109">
        <v>3110500000</v>
      </c>
      <c r="B109">
        <v>3110700000</v>
      </c>
    </row>
    <row r="110" spans="1:2" x14ac:dyDescent="0.25">
      <c r="A110">
        <v>3110600000</v>
      </c>
      <c r="B110">
        <v>3110700000</v>
      </c>
    </row>
    <row r="111" spans="1:2" x14ac:dyDescent="0.25">
      <c r="A111">
        <v>3110800000</v>
      </c>
      <c r="B111">
        <v>3110000000</v>
      </c>
    </row>
    <row r="112" spans="1:2" x14ac:dyDescent="0.25">
      <c r="A112">
        <v>3113000000</v>
      </c>
      <c r="B112">
        <v>3110000000</v>
      </c>
    </row>
    <row r="113" spans="1:2" x14ac:dyDescent="0.25">
      <c r="A113">
        <v>3110900000</v>
      </c>
      <c r="B113">
        <v>3113000000</v>
      </c>
    </row>
    <row r="114" spans="1:2" x14ac:dyDescent="0.25">
      <c r="A114">
        <v>3111000000</v>
      </c>
      <c r="B114">
        <v>3113000000</v>
      </c>
    </row>
    <row r="115" spans="1:2" x14ac:dyDescent="0.25">
      <c r="A115">
        <v>3113100000</v>
      </c>
      <c r="B115">
        <v>3113000000</v>
      </c>
    </row>
    <row r="116" spans="1:2" x14ac:dyDescent="0.25">
      <c r="A116">
        <v>3113200000</v>
      </c>
      <c r="B116">
        <v>3113000000</v>
      </c>
    </row>
    <row r="117" spans="1:2" x14ac:dyDescent="0.25">
      <c r="A117">
        <v>3112000000</v>
      </c>
      <c r="B117">
        <v>3100100000</v>
      </c>
    </row>
    <row r="118" spans="1:2" x14ac:dyDescent="0.25">
      <c r="A118">
        <v>3120000000</v>
      </c>
      <c r="B118">
        <v>3100100000</v>
      </c>
    </row>
    <row r="119" spans="1:2" x14ac:dyDescent="0.25">
      <c r="A119">
        <v>3121000000</v>
      </c>
      <c r="B119">
        <v>3120000000</v>
      </c>
    </row>
    <row r="120" spans="1:2" x14ac:dyDescent="0.25">
      <c r="A120">
        <v>3121010000</v>
      </c>
      <c r="B120">
        <v>3121000000</v>
      </c>
    </row>
    <row r="121" spans="1:2" x14ac:dyDescent="0.25">
      <c r="A121">
        <v>3121020000</v>
      </c>
      <c r="B121">
        <v>3121000000</v>
      </c>
    </row>
    <row r="122" spans="1:2" x14ac:dyDescent="0.25">
      <c r="A122">
        <v>3121030000</v>
      </c>
      <c r="B122">
        <v>3121000000</v>
      </c>
    </row>
    <row r="123" spans="1:2" x14ac:dyDescent="0.25">
      <c r="A123">
        <v>3121040000</v>
      </c>
      <c r="B123">
        <v>3121000000</v>
      </c>
    </row>
    <row r="124" spans="1:2" x14ac:dyDescent="0.25">
      <c r="A124">
        <v>3121050000</v>
      </c>
      <c r="B124">
        <v>3121000000</v>
      </c>
    </row>
    <row r="125" spans="1:2" x14ac:dyDescent="0.25">
      <c r="A125">
        <v>3121060000</v>
      </c>
      <c r="B125">
        <v>3121000000</v>
      </c>
    </row>
    <row r="126" spans="1:2" x14ac:dyDescent="0.25">
      <c r="A126">
        <v>3121070000</v>
      </c>
      <c r="B126">
        <v>3121000000</v>
      </c>
    </row>
    <row r="127" spans="1:2" x14ac:dyDescent="0.25">
      <c r="A127">
        <v>3121080000</v>
      </c>
      <c r="B127">
        <v>3121000000</v>
      </c>
    </row>
    <row r="128" spans="1:2" x14ac:dyDescent="0.25">
      <c r="A128">
        <v>3122000000</v>
      </c>
      <c r="B128">
        <v>3120000000</v>
      </c>
    </row>
    <row r="129" spans="1:2" x14ac:dyDescent="0.25">
      <c r="A129">
        <v>3122100000</v>
      </c>
      <c r="B129">
        <v>3122000000</v>
      </c>
    </row>
    <row r="130" spans="1:2" x14ac:dyDescent="0.25">
      <c r="A130">
        <v>3122101000</v>
      </c>
      <c r="B130">
        <v>3122100000</v>
      </c>
    </row>
    <row r="131" spans="1:2" x14ac:dyDescent="0.25">
      <c r="A131">
        <v>3122101100</v>
      </c>
      <c r="B131">
        <v>3122100000</v>
      </c>
    </row>
    <row r="132" spans="1:2" x14ac:dyDescent="0.25">
      <c r="A132">
        <v>3122101110</v>
      </c>
      <c r="B132">
        <v>3122101100</v>
      </c>
    </row>
    <row r="133" spans="1:2" x14ac:dyDescent="0.25">
      <c r="A133">
        <v>3122101120</v>
      </c>
      <c r="B133">
        <v>3122101100</v>
      </c>
    </row>
    <row r="134" spans="1:2" x14ac:dyDescent="0.25">
      <c r="A134">
        <v>3122101130</v>
      </c>
      <c r="B134">
        <v>3122101100</v>
      </c>
    </row>
    <row r="135" spans="1:2" x14ac:dyDescent="0.25">
      <c r="A135">
        <v>3122101140</v>
      </c>
      <c r="B135">
        <v>3122101100</v>
      </c>
    </row>
    <row r="136" spans="1:2" x14ac:dyDescent="0.25">
      <c r="A136">
        <v>3122101150</v>
      </c>
      <c r="B136">
        <v>3122101100</v>
      </c>
    </row>
    <row r="137" spans="1:2" x14ac:dyDescent="0.25">
      <c r="A137">
        <v>3122101200</v>
      </c>
      <c r="B137">
        <v>3122100000</v>
      </c>
    </row>
    <row r="138" spans="1:2" x14ac:dyDescent="0.25">
      <c r="A138">
        <v>3122101210</v>
      </c>
      <c r="B138">
        <v>3122101200</v>
      </c>
    </row>
    <row r="139" spans="1:2" x14ac:dyDescent="0.25">
      <c r="A139">
        <v>3122101220</v>
      </c>
      <c r="B139">
        <v>3122101200</v>
      </c>
    </row>
    <row r="140" spans="1:2" x14ac:dyDescent="0.25">
      <c r="A140">
        <v>3122101230</v>
      </c>
      <c r="B140">
        <v>3122101200</v>
      </c>
    </row>
    <row r="141" spans="1:2" x14ac:dyDescent="0.25">
      <c r="A141">
        <v>3122101240</v>
      </c>
      <c r="B141">
        <v>3122101200</v>
      </c>
    </row>
    <row r="142" spans="1:2" x14ac:dyDescent="0.25">
      <c r="A142">
        <v>3122101250</v>
      </c>
      <c r="B142">
        <v>3122101200</v>
      </c>
    </row>
    <row r="143" spans="1:2" x14ac:dyDescent="0.25">
      <c r="A143">
        <v>3122102000</v>
      </c>
      <c r="B143">
        <v>3122100000</v>
      </c>
    </row>
    <row r="144" spans="1:2" x14ac:dyDescent="0.25">
      <c r="A144">
        <v>3122103000</v>
      </c>
      <c r="B144">
        <v>3122100000</v>
      </c>
    </row>
    <row r="145" spans="1:2" x14ac:dyDescent="0.25">
      <c r="A145">
        <v>3122104000</v>
      </c>
      <c r="B145">
        <v>3122100000</v>
      </c>
    </row>
    <row r="146" spans="1:2" x14ac:dyDescent="0.25">
      <c r="A146">
        <v>3122105000</v>
      </c>
      <c r="B146">
        <v>3122100000</v>
      </c>
    </row>
    <row r="147" spans="1:2" x14ac:dyDescent="0.25">
      <c r="A147">
        <v>3122106000</v>
      </c>
      <c r="B147">
        <v>3122100000</v>
      </c>
    </row>
    <row r="148" spans="1:2" x14ac:dyDescent="0.25">
      <c r="A148">
        <v>3122106100</v>
      </c>
      <c r="B148">
        <v>3122106000</v>
      </c>
    </row>
    <row r="149" spans="1:2" x14ac:dyDescent="0.25">
      <c r="A149">
        <v>3122106200</v>
      </c>
      <c r="B149">
        <v>3122106000</v>
      </c>
    </row>
    <row r="150" spans="1:2" x14ac:dyDescent="0.25">
      <c r="A150">
        <v>3122106300</v>
      </c>
      <c r="B150">
        <v>3122106000</v>
      </c>
    </row>
    <row r="151" spans="1:2" x14ac:dyDescent="0.25">
      <c r="A151">
        <v>3122106400</v>
      </c>
      <c r="B151">
        <v>3122106000</v>
      </c>
    </row>
    <row r="152" spans="1:2" x14ac:dyDescent="0.25">
      <c r="A152">
        <v>3122106500</v>
      </c>
      <c r="B152">
        <v>3122106000</v>
      </c>
    </row>
    <row r="153" spans="1:2" x14ac:dyDescent="0.25">
      <c r="A153">
        <v>3122107000</v>
      </c>
      <c r="B153">
        <v>3122100000</v>
      </c>
    </row>
    <row r="154" spans="1:2" x14ac:dyDescent="0.25">
      <c r="A154">
        <v>3122108000</v>
      </c>
      <c r="B154">
        <v>3122100000</v>
      </c>
    </row>
    <row r="155" spans="1:2" x14ac:dyDescent="0.25">
      <c r="A155">
        <v>3122109000</v>
      </c>
      <c r="B155">
        <v>3122100000</v>
      </c>
    </row>
    <row r="156" spans="1:2" x14ac:dyDescent="0.25">
      <c r="A156">
        <v>3122110000</v>
      </c>
      <c r="B156">
        <v>3122100000</v>
      </c>
    </row>
    <row r="157" spans="1:2" x14ac:dyDescent="0.25">
      <c r="A157">
        <v>3122110100</v>
      </c>
      <c r="B157">
        <v>3122100000</v>
      </c>
    </row>
    <row r="158" spans="1:2" x14ac:dyDescent="0.25">
      <c r="A158">
        <v>3122111000</v>
      </c>
      <c r="B158">
        <v>3122100000</v>
      </c>
    </row>
    <row r="159" spans="1:2" x14ac:dyDescent="0.25">
      <c r="A159">
        <v>3122112000</v>
      </c>
      <c r="B159">
        <v>3122100000</v>
      </c>
    </row>
    <row r="160" spans="1:2" x14ac:dyDescent="0.25">
      <c r="A160">
        <v>3122113000</v>
      </c>
      <c r="B160">
        <v>3122100000</v>
      </c>
    </row>
    <row r="161" spans="1:2" x14ac:dyDescent="0.25">
      <c r="A161">
        <v>3122114000</v>
      </c>
      <c r="B161">
        <v>3122100000</v>
      </c>
    </row>
    <row r="162" spans="1:2" x14ac:dyDescent="0.25">
      <c r="A162">
        <v>3122114100</v>
      </c>
      <c r="B162">
        <v>3122100000</v>
      </c>
    </row>
    <row r="163" spans="1:2" x14ac:dyDescent="0.25">
      <c r="A163">
        <v>3122115000</v>
      </c>
      <c r="B163">
        <v>3122100000</v>
      </c>
    </row>
    <row r="164" spans="1:2" x14ac:dyDescent="0.25">
      <c r="A164">
        <v>3122116000</v>
      </c>
      <c r="B164">
        <v>3122100000</v>
      </c>
    </row>
    <row r="165" spans="1:2" x14ac:dyDescent="0.25">
      <c r="A165">
        <v>3122117000</v>
      </c>
      <c r="B165">
        <v>3122100000</v>
      </c>
    </row>
    <row r="166" spans="1:2" x14ac:dyDescent="0.25">
      <c r="A166">
        <v>3122119000</v>
      </c>
      <c r="B166">
        <v>3122100000</v>
      </c>
    </row>
    <row r="167" spans="1:2" x14ac:dyDescent="0.25">
      <c r="A167">
        <v>3122121000</v>
      </c>
      <c r="B167">
        <v>3122100000</v>
      </c>
    </row>
    <row r="168" spans="1:2" x14ac:dyDescent="0.25">
      <c r="A168">
        <v>3122999999</v>
      </c>
      <c r="B168">
        <v>3122100000</v>
      </c>
    </row>
    <row r="169" spans="1:2" x14ac:dyDescent="0.25">
      <c r="A169" t="s">
        <v>366</v>
      </c>
      <c r="B169">
        <v>3122999999</v>
      </c>
    </row>
    <row r="170" spans="1:2" x14ac:dyDescent="0.25">
      <c r="A170" t="s">
        <v>367</v>
      </c>
      <c r="B170">
        <v>3122999999</v>
      </c>
    </row>
    <row r="171" spans="1:2" x14ac:dyDescent="0.25">
      <c r="A171" t="s">
        <v>368</v>
      </c>
      <c r="B171">
        <v>3122999999</v>
      </c>
    </row>
    <row r="172" spans="1:2" x14ac:dyDescent="0.25">
      <c r="A172">
        <v>3123999999</v>
      </c>
      <c r="B172">
        <v>3122100000</v>
      </c>
    </row>
    <row r="173" spans="1:2" x14ac:dyDescent="0.25">
      <c r="A173" t="s">
        <v>369</v>
      </c>
      <c r="B173">
        <v>3123999999</v>
      </c>
    </row>
    <row r="174" spans="1:2" x14ac:dyDescent="0.25">
      <c r="A174" t="s">
        <v>370</v>
      </c>
      <c r="B174">
        <v>3123999999</v>
      </c>
    </row>
    <row r="175" spans="1:2" x14ac:dyDescent="0.25">
      <c r="A175">
        <v>3124999999</v>
      </c>
      <c r="B175">
        <v>3122100000</v>
      </c>
    </row>
    <row r="176" spans="1:2" x14ac:dyDescent="0.25">
      <c r="A176" t="s">
        <v>371</v>
      </c>
      <c r="B176">
        <v>3124999999</v>
      </c>
    </row>
    <row r="177" spans="1:2" x14ac:dyDescent="0.25">
      <c r="A177" t="s">
        <v>372</v>
      </c>
      <c r="B177">
        <v>3124999999</v>
      </c>
    </row>
    <row r="178" spans="1:2" x14ac:dyDescent="0.25">
      <c r="A178">
        <v>3122200000</v>
      </c>
      <c r="B178">
        <v>3122000000</v>
      </c>
    </row>
    <row r="179" spans="1:2" x14ac:dyDescent="0.25">
      <c r="A179">
        <v>3012100000</v>
      </c>
      <c r="B179">
        <v>3122200000</v>
      </c>
    </row>
    <row r="180" spans="1:2" x14ac:dyDescent="0.25">
      <c r="A180">
        <v>3012110000</v>
      </c>
      <c r="B180">
        <v>3122200000</v>
      </c>
    </row>
    <row r="181" spans="1:2" x14ac:dyDescent="0.25">
      <c r="A181">
        <v>3122201000</v>
      </c>
      <c r="B181">
        <v>3122200000</v>
      </c>
    </row>
    <row r="182" spans="1:2" x14ac:dyDescent="0.25">
      <c r="A182">
        <v>3122201100</v>
      </c>
      <c r="B182">
        <v>3122200000</v>
      </c>
    </row>
    <row r="183" spans="1:2" x14ac:dyDescent="0.25">
      <c r="A183">
        <v>3122201200</v>
      </c>
      <c r="B183">
        <v>3122200000</v>
      </c>
    </row>
    <row r="184" spans="1:2" x14ac:dyDescent="0.25">
      <c r="A184">
        <v>3122201300</v>
      </c>
      <c r="B184">
        <v>3122200000</v>
      </c>
    </row>
    <row r="185" spans="1:2" x14ac:dyDescent="0.25">
      <c r="A185">
        <v>3122201400</v>
      </c>
      <c r="B185">
        <v>3122200000</v>
      </c>
    </row>
    <row r="186" spans="1:2" x14ac:dyDescent="0.25">
      <c r="A186">
        <v>3122201500</v>
      </c>
      <c r="B186">
        <v>3122200000</v>
      </c>
    </row>
    <row r="187" spans="1:2" x14ac:dyDescent="0.25">
      <c r="A187">
        <v>3122202000</v>
      </c>
      <c r="B187">
        <v>3122200000</v>
      </c>
    </row>
    <row r="188" spans="1:2" x14ac:dyDescent="0.25">
      <c r="A188">
        <v>3122203000</v>
      </c>
      <c r="B188">
        <v>3122200000</v>
      </c>
    </row>
    <row r="189" spans="1:2" x14ac:dyDescent="0.25">
      <c r="A189">
        <v>3122204000</v>
      </c>
      <c r="B189">
        <v>3122200000</v>
      </c>
    </row>
    <row r="190" spans="1:2" x14ac:dyDescent="0.25">
      <c r="A190">
        <v>3122205000</v>
      </c>
      <c r="B190">
        <v>3122200000</v>
      </c>
    </row>
    <row r="191" spans="1:2" x14ac:dyDescent="0.25">
      <c r="A191">
        <v>3122205100</v>
      </c>
      <c r="B191">
        <v>3122200000</v>
      </c>
    </row>
    <row r="192" spans="1:2" x14ac:dyDescent="0.25">
      <c r="A192">
        <v>3122206000</v>
      </c>
      <c r="B192">
        <v>3122200000</v>
      </c>
    </row>
    <row r="193" spans="1:2" x14ac:dyDescent="0.25">
      <c r="A193">
        <v>3122206100</v>
      </c>
      <c r="B193">
        <v>3122200000</v>
      </c>
    </row>
    <row r="194" spans="1:2" x14ac:dyDescent="0.25">
      <c r="A194">
        <v>3122207000</v>
      </c>
      <c r="B194">
        <v>3122200000</v>
      </c>
    </row>
    <row r="195" spans="1:2" x14ac:dyDescent="0.25">
      <c r="A195">
        <v>3122209000</v>
      </c>
      <c r="B195">
        <v>3122200000</v>
      </c>
    </row>
    <row r="196" spans="1:2" x14ac:dyDescent="0.25">
      <c r="A196">
        <v>3122300000</v>
      </c>
      <c r="B196">
        <v>3122000000</v>
      </c>
    </row>
    <row r="197" spans="1:2" x14ac:dyDescent="0.25">
      <c r="A197">
        <v>3122118000</v>
      </c>
      <c r="B197">
        <v>3122300000</v>
      </c>
    </row>
    <row r="198" spans="1:2" x14ac:dyDescent="0.25">
      <c r="A198">
        <v>3122208000</v>
      </c>
      <c r="B198">
        <v>3122300000</v>
      </c>
    </row>
    <row r="199" spans="1:2" x14ac:dyDescent="0.25">
      <c r="A199">
        <v>3123000000</v>
      </c>
      <c r="B199">
        <v>3122000000</v>
      </c>
    </row>
    <row r="200" spans="1:2" x14ac:dyDescent="0.25">
      <c r="A200">
        <v>3123100000</v>
      </c>
      <c r="B200">
        <v>3123000000</v>
      </c>
    </row>
    <row r="201" spans="1:2" x14ac:dyDescent="0.25">
      <c r="A201">
        <v>3123110000</v>
      </c>
      <c r="B201">
        <v>3123100000</v>
      </c>
    </row>
    <row r="202" spans="1:2" x14ac:dyDescent="0.25">
      <c r="A202">
        <v>3123111000</v>
      </c>
      <c r="B202">
        <v>3123110000</v>
      </c>
    </row>
    <row r="203" spans="1:2" x14ac:dyDescent="0.25">
      <c r="A203">
        <v>3123112000</v>
      </c>
      <c r="B203">
        <v>3123110000</v>
      </c>
    </row>
    <row r="204" spans="1:2" x14ac:dyDescent="0.25">
      <c r="A204">
        <v>3123114000</v>
      </c>
      <c r="B204">
        <v>3123110000</v>
      </c>
    </row>
    <row r="205" spans="1:2" x14ac:dyDescent="0.25">
      <c r="A205">
        <v>3123115000</v>
      </c>
      <c r="B205">
        <v>3123110000</v>
      </c>
    </row>
    <row r="206" spans="1:2" x14ac:dyDescent="0.25">
      <c r="A206">
        <v>3123117000</v>
      </c>
      <c r="B206">
        <v>3123110000</v>
      </c>
    </row>
    <row r="207" spans="1:2" x14ac:dyDescent="0.25">
      <c r="A207">
        <v>3123118000</v>
      </c>
      <c r="B207">
        <v>3123110000</v>
      </c>
    </row>
    <row r="208" spans="1:2" x14ac:dyDescent="0.25">
      <c r="A208">
        <v>3123120000</v>
      </c>
      <c r="B208">
        <v>3123100000</v>
      </c>
    </row>
    <row r="209" spans="1:2" x14ac:dyDescent="0.25">
      <c r="A209">
        <v>3123121000</v>
      </c>
      <c r="B209">
        <v>3123120000</v>
      </c>
    </row>
    <row r="210" spans="1:2" x14ac:dyDescent="0.25">
      <c r="A210">
        <v>3123122000</v>
      </c>
      <c r="B210">
        <v>3123120000</v>
      </c>
    </row>
    <row r="211" spans="1:2" x14ac:dyDescent="0.25">
      <c r="A211">
        <v>3123210000</v>
      </c>
      <c r="B211">
        <v>3123000000</v>
      </c>
    </row>
    <row r="212" spans="1:2" x14ac:dyDescent="0.25">
      <c r="A212">
        <v>3123200000</v>
      </c>
      <c r="B212">
        <v>3123210000</v>
      </c>
    </row>
    <row r="213" spans="1:2" x14ac:dyDescent="0.25">
      <c r="A213">
        <v>3123211000</v>
      </c>
      <c r="B213">
        <v>3123210000</v>
      </c>
    </row>
    <row r="214" spans="1:2" x14ac:dyDescent="0.25">
      <c r="A214">
        <v>3210000000</v>
      </c>
      <c r="B214">
        <v>3300000000</v>
      </c>
    </row>
    <row r="215" spans="1:2" x14ac:dyDescent="0.25">
      <c r="A215">
        <v>3211000000</v>
      </c>
      <c r="B215">
        <v>3210000000</v>
      </c>
    </row>
    <row r="216" spans="1:2" x14ac:dyDescent="0.25">
      <c r="A216">
        <v>3211100000</v>
      </c>
      <c r="B216">
        <v>3211000000</v>
      </c>
    </row>
    <row r="217" spans="1:2" x14ac:dyDescent="0.25">
      <c r="A217">
        <v>3211200000</v>
      </c>
      <c r="B217">
        <v>3211000000</v>
      </c>
    </row>
    <row r="218" spans="1:2" x14ac:dyDescent="0.25">
      <c r="A218">
        <v>3211300000</v>
      </c>
      <c r="B218">
        <v>3211000000</v>
      </c>
    </row>
    <row r="219" spans="1:2" x14ac:dyDescent="0.25">
      <c r="A219">
        <v>3211400000</v>
      </c>
      <c r="B219">
        <v>3211000000</v>
      </c>
    </row>
    <row r="220" spans="1:2" x14ac:dyDescent="0.25">
      <c r="A220">
        <v>3211500000</v>
      </c>
      <c r="B220">
        <v>3211000000</v>
      </c>
    </row>
    <row r="221" spans="1:2" x14ac:dyDescent="0.25">
      <c r="A221">
        <v>3211600000</v>
      </c>
      <c r="B221">
        <v>3211000000</v>
      </c>
    </row>
    <row r="222" spans="1:2" x14ac:dyDescent="0.25">
      <c r="A222">
        <v>3211699999</v>
      </c>
      <c r="B222">
        <v>3211000000</v>
      </c>
    </row>
    <row r="223" spans="1:2" x14ac:dyDescent="0.25">
      <c r="A223" t="s">
        <v>373</v>
      </c>
      <c r="B223">
        <v>3211699999</v>
      </c>
    </row>
    <row r="224" spans="1:2" x14ac:dyDescent="0.25">
      <c r="A224" t="s">
        <v>374</v>
      </c>
      <c r="B224">
        <v>3211699999</v>
      </c>
    </row>
    <row r="225" spans="1:2" x14ac:dyDescent="0.25">
      <c r="A225">
        <v>3212000000</v>
      </c>
      <c r="B225">
        <v>3210000000</v>
      </c>
    </row>
    <row r="226" spans="1:2" x14ac:dyDescent="0.25">
      <c r="A226">
        <v>3212100000</v>
      </c>
      <c r="B226">
        <v>3212000000</v>
      </c>
    </row>
    <row r="227" spans="1:2" x14ac:dyDescent="0.25">
      <c r="A227">
        <v>3212200000</v>
      </c>
      <c r="B227">
        <v>3212000000</v>
      </c>
    </row>
    <row r="228" spans="1:2" x14ac:dyDescent="0.25">
      <c r="A228">
        <v>3212300000</v>
      </c>
      <c r="B228">
        <v>3212000000</v>
      </c>
    </row>
    <row r="229" spans="1:2" x14ac:dyDescent="0.25">
      <c r="A229">
        <v>3212400000</v>
      </c>
      <c r="B229">
        <v>3212000000</v>
      </c>
    </row>
    <row r="230" spans="1:2" x14ac:dyDescent="0.25">
      <c r="A230">
        <v>3212500000</v>
      </c>
      <c r="B230">
        <v>3212000000</v>
      </c>
    </row>
    <row r="231" spans="1:2" x14ac:dyDescent="0.25">
      <c r="A231">
        <v>3212600000</v>
      </c>
      <c r="B231">
        <v>3212000000</v>
      </c>
    </row>
    <row r="232" spans="1:2" x14ac:dyDescent="0.25">
      <c r="A232">
        <v>3212700000</v>
      </c>
      <c r="B232">
        <v>3212000000</v>
      </c>
    </row>
    <row r="233" spans="1:2" x14ac:dyDescent="0.25">
      <c r="A233">
        <v>3212799999</v>
      </c>
      <c r="B233">
        <v>3212000000</v>
      </c>
    </row>
    <row r="234" spans="1:2" x14ac:dyDescent="0.25">
      <c r="A234" t="s">
        <v>375</v>
      </c>
      <c r="B234">
        <v>3212799999</v>
      </c>
    </row>
    <row r="235" spans="1:2" x14ac:dyDescent="0.25">
      <c r="A235" t="s">
        <v>376</v>
      </c>
      <c r="B235">
        <v>3212799999</v>
      </c>
    </row>
    <row r="236" spans="1:2" x14ac:dyDescent="0.25">
      <c r="A236">
        <v>3213000000</v>
      </c>
      <c r="B236">
        <v>3210000000</v>
      </c>
    </row>
    <row r="237" spans="1:2" x14ac:dyDescent="0.25">
      <c r="A237">
        <v>3214000000</v>
      </c>
      <c r="B237">
        <v>3210000000</v>
      </c>
    </row>
    <row r="238" spans="1:2" x14ac:dyDescent="0.25">
      <c r="A238">
        <v>3215000000</v>
      </c>
      <c r="B238">
        <v>3210000000</v>
      </c>
    </row>
    <row r="239" spans="1:2" x14ac:dyDescent="0.25">
      <c r="A239">
        <v>3310000000</v>
      </c>
      <c r="B239">
        <v>3400000000</v>
      </c>
    </row>
    <row r="240" spans="1:2" x14ac:dyDescent="0.25">
      <c r="A240">
        <v>3320000000</v>
      </c>
      <c r="B240">
        <v>3400000000</v>
      </c>
    </row>
    <row r="241" spans="1:2" x14ac:dyDescent="0.25">
      <c r="A241">
        <v>3321000000</v>
      </c>
      <c r="B241">
        <v>3320000000</v>
      </c>
    </row>
    <row r="242" spans="1:2" x14ac:dyDescent="0.25">
      <c r="A242">
        <v>3323000000</v>
      </c>
      <c r="B242">
        <v>3320000000</v>
      </c>
    </row>
    <row r="243" spans="1:2" x14ac:dyDescent="0.25">
      <c r="A243">
        <v>3410000000</v>
      </c>
      <c r="B243">
        <v>3500000000</v>
      </c>
    </row>
    <row r="244" spans="1:2" x14ac:dyDescent="0.25">
      <c r="A244">
        <v>3411000000</v>
      </c>
      <c r="B244">
        <v>3410000000</v>
      </c>
    </row>
    <row r="245" spans="1:2" x14ac:dyDescent="0.25">
      <c r="A245">
        <v>3412000000</v>
      </c>
      <c r="B245">
        <v>3410000000</v>
      </c>
    </row>
    <row r="246" spans="1:2" x14ac:dyDescent="0.25">
      <c r="A246" t="s">
        <v>377</v>
      </c>
      <c r="B246">
        <v>3410000000</v>
      </c>
    </row>
    <row r="247" spans="1:2" x14ac:dyDescent="0.25">
      <c r="A247">
        <v>3420000000</v>
      </c>
      <c r="B247">
        <v>3500000000</v>
      </c>
    </row>
    <row r="248" spans="1:2" x14ac:dyDescent="0.25">
      <c r="A248">
        <v>3421000000</v>
      </c>
      <c r="B248">
        <v>3420000000</v>
      </c>
    </row>
    <row r="249" spans="1:2" x14ac:dyDescent="0.25">
      <c r="A249">
        <v>3421100000</v>
      </c>
      <c r="B249">
        <v>3421000000</v>
      </c>
    </row>
    <row r="250" spans="1:2" x14ac:dyDescent="0.25">
      <c r="A250">
        <v>3421200000</v>
      </c>
      <c r="B250">
        <v>3421000000</v>
      </c>
    </row>
    <row r="251" spans="1:2" x14ac:dyDescent="0.25">
      <c r="A251">
        <v>3422000000</v>
      </c>
      <c r="B251">
        <v>3420000000</v>
      </c>
    </row>
    <row r="252" spans="1:2" x14ac:dyDescent="0.25">
      <c r="A252">
        <v>3422100000</v>
      </c>
      <c r="B252">
        <v>3422000000</v>
      </c>
    </row>
    <row r="253" spans="1:2" x14ac:dyDescent="0.25">
      <c r="A253">
        <v>3422200000</v>
      </c>
      <c r="B253">
        <v>3422000000</v>
      </c>
    </row>
    <row r="254" spans="1:2" x14ac:dyDescent="0.25">
      <c r="A254">
        <v>3520000000</v>
      </c>
      <c r="B254">
        <v>3600000000</v>
      </c>
    </row>
    <row r="255" spans="1:2" x14ac:dyDescent="0.25">
      <c r="A255">
        <v>3521000000</v>
      </c>
      <c r="B255">
        <v>3520000000</v>
      </c>
    </row>
    <row r="256" spans="1:2" x14ac:dyDescent="0.25">
      <c r="A256">
        <v>3521100000</v>
      </c>
      <c r="B256">
        <v>3521000000</v>
      </c>
    </row>
    <row r="257" spans="1:2" x14ac:dyDescent="0.25">
      <c r="A257">
        <v>3521110000</v>
      </c>
      <c r="B257">
        <v>3521100000</v>
      </c>
    </row>
    <row r="258" spans="1:2" x14ac:dyDescent="0.25">
      <c r="A258">
        <v>3521120000</v>
      </c>
      <c r="B258">
        <v>3521100000</v>
      </c>
    </row>
    <row r="259" spans="1:2" x14ac:dyDescent="0.25">
      <c r="A259">
        <v>3521130000</v>
      </c>
      <c r="B259">
        <v>3521100000</v>
      </c>
    </row>
    <row r="260" spans="1:2" x14ac:dyDescent="0.25">
      <c r="A260">
        <v>3521140000</v>
      </c>
      <c r="B260">
        <v>3521100000</v>
      </c>
    </row>
    <row r="261" spans="1:2" x14ac:dyDescent="0.25">
      <c r="A261">
        <v>3521200000</v>
      </c>
      <c r="B261">
        <v>3521000000</v>
      </c>
    </row>
    <row r="262" spans="1:2" x14ac:dyDescent="0.25">
      <c r="A262">
        <v>3521210000</v>
      </c>
      <c r="B262">
        <v>3521200000</v>
      </c>
    </row>
    <row r="263" spans="1:2" x14ac:dyDescent="0.25">
      <c r="A263">
        <v>3521220000</v>
      </c>
      <c r="B263">
        <v>3521200000</v>
      </c>
    </row>
    <row r="264" spans="1:2" x14ac:dyDescent="0.25">
      <c r="A264">
        <v>3521230000</v>
      </c>
      <c r="B264">
        <v>3521200000</v>
      </c>
    </row>
    <row r="265" spans="1:2" x14ac:dyDescent="0.25">
      <c r="A265">
        <v>3521240000</v>
      </c>
      <c r="B265">
        <v>3521200000</v>
      </c>
    </row>
    <row r="266" spans="1:2" x14ac:dyDescent="0.25">
      <c r="A266">
        <v>3521250000</v>
      </c>
      <c r="B266">
        <v>3521200000</v>
      </c>
    </row>
    <row r="267" spans="1:2" x14ac:dyDescent="0.25">
      <c r="A267">
        <v>3521300000</v>
      </c>
      <c r="B267">
        <v>3521000000</v>
      </c>
    </row>
    <row r="268" spans="1:2" x14ac:dyDescent="0.25">
      <c r="A268">
        <v>3521400000</v>
      </c>
      <c r="B268">
        <v>3521000000</v>
      </c>
    </row>
    <row r="269" spans="1:2" x14ac:dyDescent="0.25">
      <c r="A269">
        <v>3522000000</v>
      </c>
      <c r="B269">
        <v>3520000000</v>
      </c>
    </row>
    <row r="270" spans="1:2" x14ac:dyDescent="0.25">
      <c r="A270">
        <v>3522100000</v>
      </c>
      <c r="B270">
        <v>3522000000</v>
      </c>
    </row>
    <row r="271" spans="1:2" x14ac:dyDescent="0.25">
      <c r="A271">
        <v>3522200000</v>
      </c>
      <c r="B271">
        <v>3522000000</v>
      </c>
    </row>
    <row r="272" spans="1:2" x14ac:dyDescent="0.25">
      <c r="A272">
        <v>3522300000</v>
      </c>
      <c r="B272">
        <v>3522000000</v>
      </c>
    </row>
    <row r="273" spans="1:2" x14ac:dyDescent="0.25">
      <c r="A273">
        <v>3522400000</v>
      </c>
      <c r="B273">
        <v>3522000000</v>
      </c>
    </row>
    <row r="274" spans="1:2" x14ac:dyDescent="0.25">
      <c r="A274">
        <v>3522500000</v>
      </c>
      <c r="B274">
        <v>3522000000</v>
      </c>
    </row>
    <row r="275" spans="1:2" x14ac:dyDescent="0.25">
      <c r="A275">
        <v>3522600000</v>
      </c>
      <c r="B275">
        <v>3522000000</v>
      </c>
    </row>
    <row r="276" spans="1:2" x14ac:dyDescent="0.25">
      <c r="A276">
        <v>3522700000</v>
      </c>
      <c r="B276">
        <v>3522000000</v>
      </c>
    </row>
    <row r="277" spans="1:2" x14ac:dyDescent="0.25">
      <c r="A277">
        <v>3522800000</v>
      </c>
      <c r="B277">
        <v>3522000000</v>
      </c>
    </row>
    <row r="278" spans="1:2" x14ac:dyDescent="0.25">
      <c r="A278">
        <v>3522910000</v>
      </c>
      <c r="B278">
        <v>3522000000</v>
      </c>
    </row>
    <row r="279" spans="1:2" x14ac:dyDescent="0.25">
      <c r="A279">
        <v>3522920000</v>
      </c>
      <c r="B279">
        <v>3522000000</v>
      </c>
    </row>
    <row r="280" spans="1:2" x14ac:dyDescent="0.25">
      <c r="A280">
        <v>3523000000</v>
      </c>
      <c r="B280">
        <v>3520000000</v>
      </c>
    </row>
    <row r="281" spans="1:2" x14ac:dyDescent="0.25">
      <c r="A281">
        <v>3523100000</v>
      </c>
      <c r="B281">
        <v>3523000000</v>
      </c>
    </row>
    <row r="282" spans="1:2" x14ac:dyDescent="0.25">
      <c r="A282">
        <v>3523310000</v>
      </c>
      <c r="B282">
        <v>3523100000</v>
      </c>
    </row>
    <row r="283" spans="1:2" x14ac:dyDescent="0.25">
      <c r="A283">
        <v>3523320000</v>
      </c>
      <c r="B283">
        <v>3523100000</v>
      </c>
    </row>
    <row r="284" spans="1:2" x14ac:dyDescent="0.25">
      <c r="A284">
        <v>3523200000</v>
      </c>
      <c r="B284">
        <v>3523000000</v>
      </c>
    </row>
    <row r="285" spans="1:2" x14ac:dyDescent="0.25">
      <c r="A285">
        <v>3523300000</v>
      </c>
      <c r="B285">
        <v>3523000000</v>
      </c>
    </row>
    <row r="286" spans="1:2" x14ac:dyDescent="0.25">
      <c r="A286">
        <v>3523400000</v>
      </c>
      <c r="B286">
        <v>3523000000</v>
      </c>
    </row>
    <row r="287" spans="1:2" x14ac:dyDescent="0.25">
      <c r="A287">
        <v>3523410000</v>
      </c>
      <c r="B287">
        <v>3523400000</v>
      </c>
    </row>
    <row r="288" spans="1:2" x14ac:dyDescent="0.25">
      <c r="A288">
        <v>3523420000</v>
      </c>
      <c r="B288">
        <v>3523400000</v>
      </c>
    </row>
    <row r="289" spans="1:2" x14ac:dyDescent="0.25">
      <c r="A289">
        <v>3523500000</v>
      </c>
      <c r="B289">
        <v>3523000000</v>
      </c>
    </row>
    <row r="290" spans="1:2" x14ac:dyDescent="0.25">
      <c r="A290">
        <v>3523600000</v>
      </c>
      <c r="B290">
        <v>3523000000</v>
      </c>
    </row>
    <row r="291" spans="1:2" x14ac:dyDescent="0.25">
      <c r="A291">
        <v>3523700000</v>
      </c>
      <c r="B291">
        <v>3523000000</v>
      </c>
    </row>
    <row r="292" spans="1:2" x14ac:dyDescent="0.25">
      <c r="A292">
        <v>3524000000</v>
      </c>
      <c r="B292">
        <v>3520000000</v>
      </c>
    </row>
    <row r="293" spans="1:2" x14ac:dyDescent="0.25">
      <c r="A293">
        <v>3524100000</v>
      </c>
      <c r="B293">
        <v>3524000000</v>
      </c>
    </row>
    <row r="294" spans="1:2" x14ac:dyDescent="0.25">
      <c r="A294">
        <v>3524200000</v>
      </c>
      <c r="B294">
        <v>3524000000</v>
      </c>
    </row>
    <row r="295" spans="1:2" x14ac:dyDescent="0.25">
      <c r="A295">
        <v>3524300000</v>
      </c>
      <c r="B295">
        <v>3524000000</v>
      </c>
    </row>
    <row r="296" spans="1:2" x14ac:dyDescent="0.25">
      <c r="A296">
        <v>3525000000</v>
      </c>
      <c r="B296">
        <v>3520000000</v>
      </c>
    </row>
    <row r="297" spans="1:2" x14ac:dyDescent="0.25">
      <c r="A297">
        <v>3525100000</v>
      </c>
      <c r="B297">
        <v>3525000000</v>
      </c>
    </row>
    <row r="298" spans="1:2" x14ac:dyDescent="0.25">
      <c r="A298">
        <v>3525200000</v>
      </c>
      <c r="B298">
        <v>3525000000</v>
      </c>
    </row>
    <row r="299" spans="1:2" x14ac:dyDescent="0.25">
      <c r="A299">
        <v>3610000000</v>
      </c>
      <c r="B299">
        <v>3700000000</v>
      </c>
    </row>
    <row r="300" spans="1:2" x14ac:dyDescent="0.25">
      <c r="A300">
        <v>3611000000</v>
      </c>
      <c r="B300">
        <v>3610000000</v>
      </c>
    </row>
    <row r="301" spans="1:2" x14ac:dyDescent="0.25">
      <c r="A301">
        <v>3612000000</v>
      </c>
      <c r="B301">
        <v>3610000000</v>
      </c>
    </row>
    <row r="302" spans="1:2" x14ac:dyDescent="0.25">
      <c r="A302">
        <v>3613000000</v>
      </c>
      <c r="B302">
        <v>3610000000</v>
      </c>
    </row>
    <row r="303" spans="1:2" x14ac:dyDescent="0.25">
      <c r="A303">
        <v>3614000000</v>
      </c>
      <c r="B303">
        <v>3610000000</v>
      </c>
    </row>
    <row r="304" spans="1:2" x14ac:dyDescent="0.25">
      <c r="A304">
        <v>3615000000</v>
      </c>
      <c r="B304">
        <v>3610000000</v>
      </c>
    </row>
    <row r="305" spans="1:2" x14ac:dyDescent="0.25">
      <c r="A305">
        <v>3616000000</v>
      </c>
      <c r="B305">
        <v>3610000000</v>
      </c>
    </row>
    <row r="306" spans="1:2" x14ac:dyDescent="0.25">
      <c r="A306">
        <v>3617000000</v>
      </c>
      <c r="B306">
        <v>3610000000</v>
      </c>
    </row>
    <row r="307" spans="1:2" x14ac:dyDescent="0.25">
      <c r="A307">
        <v>3710000000</v>
      </c>
      <c r="B307">
        <v>3800000000</v>
      </c>
    </row>
    <row r="308" spans="1:2" x14ac:dyDescent="0.25">
      <c r="A308">
        <v>3711000000</v>
      </c>
      <c r="B308">
        <v>3710000000</v>
      </c>
    </row>
    <row r="309" spans="1:2" x14ac:dyDescent="0.25">
      <c r="A309">
        <v>3712000000</v>
      </c>
      <c r="B309">
        <v>3710000000</v>
      </c>
    </row>
    <row r="310" spans="1:2" x14ac:dyDescent="0.25">
      <c r="A310">
        <v>3810000000</v>
      </c>
      <c r="B310">
        <v>3900000000</v>
      </c>
    </row>
    <row r="311" spans="1:2" x14ac:dyDescent="0.25">
      <c r="A311">
        <v>3011130000</v>
      </c>
      <c r="B311" t="s">
        <v>58</v>
      </c>
    </row>
    <row r="312" spans="1:2" x14ac:dyDescent="0.25">
      <c r="A312">
        <v>3510000000</v>
      </c>
      <c r="B312" t="s">
        <v>58</v>
      </c>
    </row>
    <row r="313" spans="1:2" x14ac:dyDescent="0.25">
      <c r="A313" t="s">
        <v>242</v>
      </c>
      <c r="B313" t="s">
        <v>58</v>
      </c>
    </row>
    <row r="314" spans="1:2" x14ac:dyDescent="0.25">
      <c r="A314" t="s">
        <v>241</v>
      </c>
      <c r="B314" t="s">
        <v>58</v>
      </c>
    </row>
    <row r="315" spans="1:2" x14ac:dyDescent="0.25">
      <c r="A315" t="s">
        <v>59</v>
      </c>
      <c r="B315" t="s">
        <v>58</v>
      </c>
    </row>
    <row r="316" spans="1:2" x14ac:dyDescent="0.25">
      <c r="A316">
        <v>5891700000</v>
      </c>
      <c r="B316" t="s">
        <v>59</v>
      </c>
    </row>
    <row r="317" spans="1:2" x14ac:dyDescent="0.25">
      <c r="A317">
        <v>3121000000</v>
      </c>
      <c r="B317">
        <v>5891700000</v>
      </c>
    </row>
    <row r="318" spans="1:2" x14ac:dyDescent="0.25">
      <c r="A318">
        <v>3122200000</v>
      </c>
      <c r="B318">
        <v>5891700000</v>
      </c>
    </row>
    <row r="319" spans="1:2" x14ac:dyDescent="0.25">
      <c r="A319">
        <v>5814310000</v>
      </c>
      <c r="B319">
        <v>5891700000</v>
      </c>
    </row>
    <row r="320" spans="1:2" x14ac:dyDescent="0.25">
      <c r="A320">
        <v>3122101100</v>
      </c>
      <c r="B320">
        <v>5814310000</v>
      </c>
    </row>
    <row r="321" spans="1:2" x14ac:dyDescent="0.25">
      <c r="A321">
        <v>3122101200</v>
      </c>
      <c r="B321">
        <v>5814310000</v>
      </c>
    </row>
    <row r="322" spans="1:2" x14ac:dyDescent="0.25">
      <c r="A322">
        <v>3122101300</v>
      </c>
      <c r="B322">
        <v>5814310000</v>
      </c>
    </row>
    <row r="323" spans="1:2" x14ac:dyDescent="0.25">
      <c r="A323">
        <v>3122101400</v>
      </c>
      <c r="B323">
        <v>5814310000</v>
      </c>
    </row>
    <row r="324" spans="1:2" x14ac:dyDescent="0.25">
      <c r="A324">
        <v>3122101500</v>
      </c>
      <c r="B324">
        <v>5814310000</v>
      </c>
    </row>
    <row r="325" spans="1:2" x14ac:dyDescent="0.25">
      <c r="A325">
        <v>3122102000</v>
      </c>
      <c r="B325">
        <v>5814310000</v>
      </c>
    </row>
    <row r="326" spans="1:2" x14ac:dyDescent="0.25">
      <c r="A326">
        <v>3122103000</v>
      </c>
      <c r="B326">
        <v>5814310000</v>
      </c>
    </row>
    <row r="327" spans="1:2" x14ac:dyDescent="0.25">
      <c r="A327">
        <v>3122104000</v>
      </c>
      <c r="B327">
        <v>5814310000</v>
      </c>
    </row>
    <row r="328" spans="1:2" x14ac:dyDescent="0.25">
      <c r="A328">
        <v>3122105000</v>
      </c>
      <c r="B328">
        <v>5814310000</v>
      </c>
    </row>
    <row r="329" spans="1:2" x14ac:dyDescent="0.25">
      <c r="A329">
        <v>3122106000</v>
      </c>
      <c r="B329">
        <v>5814310000</v>
      </c>
    </row>
    <row r="330" spans="1:2" x14ac:dyDescent="0.25">
      <c r="A330">
        <v>3122107000</v>
      </c>
      <c r="B330">
        <v>5814310000</v>
      </c>
    </row>
    <row r="331" spans="1:2" x14ac:dyDescent="0.25">
      <c r="A331">
        <v>3122108000</v>
      </c>
      <c r="B331">
        <v>5814310000</v>
      </c>
    </row>
    <row r="332" spans="1:2" x14ac:dyDescent="0.25">
      <c r="A332">
        <v>3122109000</v>
      </c>
      <c r="B332">
        <v>5814310000</v>
      </c>
    </row>
    <row r="333" spans="1:2" x14ac:dyDescent="0.25">
      <c r="A333">
        <v>3122110100</v>
      </c>
      <c r="B333">
        <v>5814310000</v>
      </c>
    </row>
    <row r="334" spans="1:2" x14ac:dyDescent="0.25">
      <c r="A334">
        <v>3122111000</v>
      </c>
      <c r="B334">
        <v>5814310000</v>
      </c>
    </row>
    <row r="335" spans="1:2" x14ac:dyDescent="0.25">
      <c r="A335">
        <v>3122112000</v>
      </c>
      <c r="B335">
        <v>5814310000</v>
      </c>
    </row>
    <row r="336" spans="1:2" x14ac:dyDescent="0.25">
      <c r="A336">
        <v>3122114000</v>
      </c>
      <c r="B336">
        <v>5814310000</v>
      </c>
    </row>
    <row r="337" spans="1:2" x14ac:dyDescent="0.25">
      <c r="A337">
        <v>3122114100</v>
      </c>
      <c r="B337">
        <v>5814310000</v>
      </c>
    </row>
    <row r="338" spans="1:2" x14ac:dyDescent="0.25">
      <c r="A338">
        <v>3122116000</v>
      </c>
      <c r="B338">
        <v>5814310000</v>
      </c>
    </row>
    <row r="339" spans="1:2" x14ac:dyDescent="0.25">
      <c r="A339">
        <v>3122117000</v>
      </c>
      <c r="B339">
        <v>5814310000</v>
      </c>
    </row>
    <row r="340" spans="1:2" x14ac:dyDescent="0.25">
      <c r="A340">
        <v>3122121000</v>
      </c>
      <c r="B340">
        <v>5814310000</v>
      </c>
    </row>
    <row r="341" spans="1:2" x14ac:dyDescent="0.25">
      <c r="A341">
        <v>5891410000</v>
      </c>
      <c r="B341">
        <v>5891700000</v>
      </c>
    </row>
    <row r="342" spans="1:2" x14ac:dyDescent="0.25">
      <c r="A342">
        <v>3110100000</v>
      </c>
      <c r="B342">
        <v>5891410000</v>
      </c>
    </row>
    <row r="343" spans="1:2" x14ac:dyDescent="0.25">
      <c r="A343">
        <v>3110200000</v>
      </c>
      <c r="B343">
        <v>5891410000</v>
      </c>
    </row>
    <row r="344" spans="1:2" x14ac:dyDescent="0.25">
      <c r="A344">
        <v>3110300000</v>
      </c>
      <c r="B344">
        <v>5891410000</v>
      </c>
    </row>
    <row r="345" spans="1:2" x14ac:dyDescent="0.25">
      <c r="A345">
        <v>3110400000</v>
      </c>
      <c r="B345">
        <v>5891410000</v>
      </c>
    </row>
    <row r="346" spans="1:2" x14ac:dyDescent="0.25">
      <c r="A346">
        <v>3110550000</v>
      </c>
      <c r="B346">
        <v>5891410000</v>
      </c>
    </row>
    <row r="347" spans="1:2" x14ac:dyDescent="0.25">
      <c r="A347">
        <v>3110700000</v>
      </c>
      <c r="B347">
        <v>5891410000</v>
      </c>
    </row>
    <row r="348" spans="1:2" x14ac:dyDescent="0.25">
      <c r="A348" t="s">
        <v>378</v>
      </c>
      <c r="B348">
        <v>5891410000</v>
      </c>
    </row>
    <row r="349" spans="1:2" x14ac:dyDescent="0.25">
      <c r="A349">
        <v>5891420000</v>
      </c>
      <c r="B349">
        <v>5891700000</v>
      </c>
    </row>
    <row r="350" spans="1:2" x14ac:dyDescent="0.25">
      <c r="A350">
        <v>3020820000</v>
      </c>
      <c r="B350">
        <v>5891420000</v>
      </c>
    </row>
    <row r="351" spans="1:2" x14ac:dyDescent="0.25">
      <c r="A351">
        <v>3111100000</v>
      </c>
      <c r="B351">
        <v>5891420000</v>
      </c>
    </row>
    <row r="352" spans="1:2" x14ac:dyDescent="0.25">
      <c r="A352">
        <v>3111110000</v>
      </c>
      <c r="B352">
        <v>3111100000</v>
      </c>
    </row>
    <row r="353" spans="1:2" x14ac:dyDescent="0.25">
      <c r="A353" t="s">
        <v>379</v>
      </c>
      <c r="B353">
        <v>3111100000</v>
      </c>
    </row>
    <row r="354" spans="1:2" x14ac:dyDescent="0.25">
      <c r="A354" t="s">
        <v>380</v>
      </c>
      <c r="B354">
        <v>3111100000</v>
      </c>
    </row>
    <row r="355" spans="1:2" x14ac:dyDescent="0.25">
      <c r="A355">
        <v>3113100000</v>
      </c>
      <c r="B355">
        <v>5891420000</v>
      </c>
    </row>
    <row r="356" spans="1:2" x14ac:dyDescent="0.25">
      <c r="A356">
        <v>3113200000</v>
      </c>
      <c r="B356">
        <v>5891420000</v>
      </c>
    </row>
    <row r="357" spans="1:2" x14ac:dyDescent="0.25">
      <c r="A357">
        <v>3122119000</v>
      </c>
      <c r="B357">
        <v>5891420000</v>
      </c>
    </row>
    <row r="358" spans="1:2" x14ac:dyDescent="0.25">
      <c r="A358">
        <v>3211600000</v>
      </c>
      <c r="B358">
        <v>5891420000</v>
      </c>
    </row>
    <row r="359" spans="1:2" x14ac:dyDescent="0.25">
      <c r="A359">
        <v>3212700000</v>
      </c>
      <c r="B359">
        <v>5891420000</v>
      </c>
    </row>
    <row r="360" spans="1:2" x14ac:dyDescent="0.25">
      <c r="A360">
        <v>5891500000</v>
      </c>
      <c r="B360">
        <v>5891700000</v>
      </c>
    </row>
    <row r="361" spans="1:2" x14ac:dyDescent="0.25">
      <c r="A361">
        <v>3213000000</v>
      </c>
      <c r="B361">
        <v>5891500000</v>
      </c>
    </row>
    <row r="362" spans="1:2" x14ac:dyDescent="0.25">
      <c r="A362">
        <v>3214000000</v>
      </c>
      <c r="B362">
        <v>5891500000</v>
      </c>
    </row>
    <row r="363" spans="1:2" x14ac:dyDescent="0.25">
      <c r="A363" t="s">
        <v>381</v>
      </c>
      <c r="B363">
        <v>5891500000</v>
      </c>
    </row>
    <row r="364" spans="1:2" x14ac:dyDescent="0.25">
      <c r="A364">
        <v>5891510000</v>
      </c>
      <c r="B364">
        <v>5891500000</v>
      </c>
    </row>
    <row r="365" spans="1:2" x14ac:dyDescent="0.25">
      <c r="A365">
        <v>3211100000</v>
      </c>
      <c r="B365">
        <v>5891510000</v>
      </c>
    </row>
    <row r="366" spans="1:2" x14ac:dyDescent="0.25">
      <c r="A366">
        <v>3211300000</v>
      </c>
      <c r="B366">
        <v>5891510000</v>
      </c>
    </row>
    <row r="367" spans="1:2" x14ac:dyDescent="0.25">
      <c r="A367">
        <v>3211400000</v>
      </c>
      <c r="B367">
        <v>5891510000</v>
      </c>
    </row>
    <row r="368" spans="1:2" x14ac:dyDescent="0.25">
      <c r="A368" t="s">
        <v>382</v>
      </c>
      <c r="B368">
        <v>5891510000</v>
      </c>
    </row>
    <row r="369" spans="1:2" x14ac:dyDescent="0.25">
      <c r="A369">
        <v>5891520000</v>
      </c>
      <c r="B369">
        <v>5891500000</v>
      </c>
    </row>
    <row r="370" spans="1:2" x14ac:dyDescent="0.25">
      <c r="A370">
        <v>3212100000</v>
      </c>
      <c r="B370">
        <v>5891520000</v>
      </c>
    </row>
    <row r="371" spans="1:2" x14ac:dyDescent="0.25">
      <c r="A371">
        <v>3212300000</v>
      </c>
      <c r="B371">
        <v>5891520000</v>
      </c>
    </row>
    <row r="372" spans="1:2" x14ac:dyDescent="0.25">
      <c r="A372">
        <v>3212400000</v>
      </c>
      <c r="B372">
        <v>5891520000</v>
      </c>
    </row>
    <row r="373" spans="1:2" x14ac:dyDescent="0.25">
      <c r="A373">
        <v>3212600000</v>
      </c>
      <c r="B373">
        <v>5891520000</v>
      </c>
    </row>
    <row r="374" spans="1:2" x14ac:dyDescent="0.25">
      <c r="A374" t="s">
        <v>383</v>
      </c>
      <c r="B374">
        <v>5891520000</v>
      </c>
    </row>
    <row r="375" spans="1:2" x14ac:dyDescent="0.25">
      <c r="A375" t="s">
        <v>384</v>
      </c>
      <c r="B375">
        <v>5891700000</v>
      </c>
    </row>
    <row r="376" spans="1:2" x14ac:dyDescent="0.25">
      <c r="A376">
        <v>5891800000</v>
      </c>
      <c r="B376" t="s">
        <v>59</v>
      </c>
    </row>
    <row r="377" spans="1:2" x14ac:dyDescent="0.25">
      <c r="A377">
        <v>3110100000</v>
      </c>
      <c r="B377">
        <v>5891800000</v>
      </c>
    </row>
    <row r="378" spans="1:2" x14ac:dyDescent="0.25">
      <c r="A378">
        <v>3110200000</v>
      </c>
      <c r="B378">
        <v>5891800000</v>
      </c>
    </row>
    <row r="379" spans="1:2" x14ac:dyDescent="0.25">
      <c r="A379">
        <v>3110300000</v>
      </c>
      <c r="B379">
        <v>5891800000</v>
      </c>
    </row>
    <row r="380" spans="1:2" x14ac:dyDescent="0.25">
      <c r="A380">
        <v>3110550000</v>
      </c>
      <c r="B380">
        <v>5891800000</v>
      </c>
    </row>
    <row r="381" spans="1:2" x14ac:dyDescent="0.25">
      <c r="A381">
        <v>3110700000</v>
      </c>
      <c r="B381">
        <v>5891800000</v>
      </c>
    </row>
    <row r="382" spans="1:2" x14ac:dyDescent="0.25">
      <c r="A382">
        <v>5891510000</v>
      </c>
      <c r="B382">
        <v>5891800000</v>
      </c>
    </row>
    <row r="383" spans="1:2" x14ac:dyDescent="0.25">
      <c r="A383" t="s">
        <v>385</v>
      </c>
      <c r="B383" t="s">
        <v>59</v>
      </c>
    </row>
    <row r="384" spans="1:2" x14ac:dyDescent="0.25">
      <c r="A384">
        <v>3110170000</v>
      </c>
      <c r="B384" t="s">
        <v>385</v>
      </c>
    </row>
    <row r="385" spans="1:2" x14ac:dyDescent="0.25">
      <c r="A385">
        <v>3110250000</v>
      </c>
      <c r="B385" t="s">
        <v>385</v>
      </c>
    </row>
    <row r="386" spans="1:2" x14ac:dyDescent="0.25">
      <c r="A386" t="s">
        <v>386</v>
      </c>
      <c r="B386" t="s">
        <v>59</v>
      </c>
    </row>
    <row r="387" spans="1:2" x14ac:dyDescent="0.25">
      <c r="A387">
        <v>5891000000</v>
      </c>
      <c r="B387" t="s">
        <v>386</v>
      </c>
    </row>
    <row r="388" spans="1:2" x14ac:dyDescent="0.25">
      <c r="A388">
        <v>3410000000</v>
      </c>
      <c r="B388">
        <v>5891000000</v>
      </c>
    </row>
    <row r="389" spans="1:2" x14ac:dyDescent="0.25">
      <c r="A389">
        <v>5891100000</v>
      </c>
      <c r="B389">
        <v>5891000000</v>
      </c>
    </row>
    <row r="390" spans="1:2" x14ac:dyDescent="0.25">
      <c r="A390">
        <v>5891200000</v>
      </c>
      <c r="B390">
        <v>5891100000</v>
      </c>
    </row>
    <row r="391" spans="1:2" x14ac:dyDescent="0.25">
      <c r="A391">
        <v>5891300000</v>
      </c>
      <c r="B391">
        <v>5891200000</v>
      </c>
    </row>
    <row r="392" spans="1:2" x14ac:dyDescent="0.25">
      <c r="A392">
        <v>3010000000</v>
      </c>
      <c r="B392">
        <v>5891300000</v>
      </c>
    </row>
    <row r="393" spans="1:2" x14ac:dyDescent="0.25">
      <c r="A393">
        <v>5890010000</v>
      </c>
      <c r="B393">
        <v>5891300000</v>
      </c>
    </row>
    <row r="394" spans="1:2" x14ac:dyDescent="0.25">
      <c r="A394">
        <v>3020200000</v>
      </c>
      <c r="B394">
        <v>5890010000</v>
      </c>
    </row>
    <row r="395" spans="1:2" x14ac:dyDescent="0.25">
      <c r="A395">
        <v>3020300000</v>
      </c>
      <c r="B395">
        <v>5890010000</v>
      </c>
    </row>
    <row r="396" spans="1:2" x14ac:dyDescent="0.25">
      <c r="A396">
        <v>3020600000</v>
      </c>
      <c r="B396">
        <v>5890010000</v>
      </c>
    </row>
    <row r="397" spans="1:2" x14ac:dyDescent="0.25">
      <c r="A397">
        <v>3020700000</v>
      </c>
      <c r="B397">
        <v>5890010000</v>
      </c>
    </row>
    <row r="398" spans="1:2" x14ac:dyDescent="0.25">
      <c r="A398">
        <v>3020710000</v>
      </c>
      <c r="B398">
        <v>5890010000</v>
      </c>
    </row>
    <row r="399" spans="1:2" x14ac:dyDescent="0.25">
      <c r="A399">
        <v>3020900000</v>
      </c>
      <c r="B399">
        <v>5890010000</v>
      </c>
    </row>
    <row r="400" spans="1:2" x14ac:dyDescent="0.25">
      <c r="A400">
        <v>5820100000</v>
      </c>
      <c r="B400">
        <v>5890010000</v>
      </c>
    </row>
    <row r="401" spans="1:2" x14ac:dyDescent="0.25">
      <c r="A401" t="s">
        <v>387</v>
      </c>
      <c r="B401">
        <v>5820100000</v>
      </c>
    </row>
    <row r="402" spans="1:2" x14ac:dyDescent="0.25">
      <c r="A402">
        <v>5820110000</v>
      </c>
      <c r="B402">
        <v>5820100000</v>
      </c>
    </row>
    <row r="403" spans="1:2" x14ac:dyDescent="0.25">
      <c r="A403">
        <v>5820111000</v>
      </c>
      <c r="B403">
        <v>5820110000</v>
      </c>
    </row>
    <row r="404" spans="1:2" x14ac:dyDescent="0.25">
      <c r="A404">
        <v>5820111100</v>
      </c>
      <c r="B404">
        <v>5820111000</v>
      </c>
    </row>
    <row r="405" spans="1:2" x14ac:dyDescent="0.25">
      <c r="A405">
        <v>5820111200</v>
      </c>
      <c r="B405">
        <v>5820111000</v>
      </c>
    </row>
    <row r="406" spans="1:2" x14ac:dyDescent="0.25">
      <c r="A406">
        <v>5820112000</v>
      </c>
      <c r="B406">
        <v>5820110000</v>
      </c>
    </row>
    <row r="407" spans="1:2" x14ac:dyDescent="0.25">
      <c r="A407">
        <v>5820113000</v>
      </c>
      <c r="B407">
        <v>5820110000</v>
      </c>
    </row>
    <row r="408" spans="1:2" x14ac:dyDescent="0.25">
      <c r="A408">
        <v>5820120000</v>
      </c>
      <c r="B408">
        <v>5820100000</v>
      </c>
    </row>
    <row r="409" spans="1:2" x14ac:dyDescent="0.25">
      <c r="A409">
        <v>5820121000</v>
      </c>
      <c r="B409">
        <v>5820120000</v>
      </c>
    </row>
    <row r="410" spans="1:2" x14ac:dyDescent="0.25">
      <c r="A410">
        <v>5820121100</v>
      </c>
      <c r="B410">
        <v>5820121000</v>
      </c>
    </row>
    <row r="411" spans="1:2" x14ac:dyDescent="0.25">
      <c r="A411">
        <v>5820121200</v>
      </c>
      <c r="B411">
        <v>5820121000</v>
      </c>
    </row>
    <row r="412" spans="1:2" x14ac:dyDescent="0.25">
      <c r="A412">
        <v>5820122000</v>
      </c>
      <c r="B412">
        <v>5820120000</v>
      </c>
    </row>
    <row r="413" spans="1:2" x14ac:dyDescent="0.25">
      <c r="A413">
        <v>5820123000</v>
      </c>
      <c r="B413">
        <v>5820120000</v>
      </c>
    </row>
    <row r="414" spans="1:2" x14ac:dyDescent="0.25">
      <c r="A414">
        <v>5820124000</v>
      </c>
      <c r="B414">
        <v>5820120000</v>
      </c>
    </row>
    <row r="415" spans="1:2" x14ac:dyDescent="0.25">
      <c r="A415">
        <v>5820134000</v>
      </c>
      <c r="B415">
        <v>5890010000</v>
      </c>
    </row>
    <row r="416" spans="1:2" x14ac:dyDescent="0.25">
      <c r="A416">
        <v>5820114000</v>
      </c>
      <c r="B416">
        <v>5820134000</v>
      </c>
    </row>
    <row r="417" spans="1:2" x14ac:dyDescent="0.25">
      <c r="A417">
        <v>5820115000</v>
      </c>
      <c r="B417">
        <v>5820134000</v>
      </c>
    </row>
    <row r="418" spans="1:2" x14ac:dyDescent="0.25">
      <c r="A418" t="s">
        <v>388</v>
      </c>
      <c r="B418">
        <v>5820134000</v>
      </c>
    </row>
    <row r="419" spans="1:2" x14ac:dyDescent="0.25">
      <c r="A419">
        <v>5820134100</v>
      </c>
      <c r="B419">
        <v>5820134000</v>
      </c>
    </row>
    <row r="420" spans="1:2" x14ac:dyDescent="0.25">
      <c r="A420" t="s">
        <v>389</v>
      </c>
      <c r="B420">
        <v>5890010000</v>
      </c>
    </row>
    <row r="421" spans="1:2" x14ac:dyDescent="0.25">
      <c r="A421">
        <v>5891310000</v>
      </c>
      <c r="B421">
        <v>5890010000</v>
      </c>
    </row>
    <row r="422" spans="1:2" x14ac:dyDescent="0.25">
      <c r="A422">
        <v>3020401000</v>
      </c>
      <c r="B422">
        <v>5891310000</v>
      </c>
    </row>
    <row r="423" spans="1:2" x14ac:dyDescent="0.25">
      <c r="A423" t="s">
        <v>390</v>
      </c>
      <c r="B423">
        <v>5891310000</v>
      </c>
    </row>
    <row r="424" spans="1:2" x14ac:dyDescent="0.25">
      <c r="A424">
        <v>5891320000</v>
      </c>
      <c r="B424">
        <v>5891310000</v>
      </c>
    </row>
    <row r="425" spans="1:2" x14ac:dyDescent="0.25">
      <c r="A425">
        <v>3020430000</v>
      </c>
      <c r="B425">
        <v>5891320000</v>
      </c>
    </row>
    <row r="426" spans="1:2" x14ac:dyDescent="0.25">
      <c r="A426">
        <v>3020440000</v>
      </c>
      <c r="B426">
        <v>5891320000</v>
      </c>
    </row>
    <row r="427" spans="1:2" x14ac:dyDescent="0.25">
      <c r="A427">
        <v>5891330000</v>
      </c>
      <c r="B427">
        <v>5890010000</v>
      </c>
    </row>
    <row r="428" spans="1:2" x14ac:dyDescent="0.25">
      <c r="A428">
        <v>3020500000</v>
      </c>
      <c r="B428">
        <v>5891330000</v>
      </c>
    </row>
    <row r="429" spans="1:2" x14ac:dyDescent="0.25">
      <c r="A429">
        <v>3020530000</v>
      </c>
      <c r="B429">
        <v>5891330000</v>
      </c>
    </row>
    <row r="430" spans="1:2" x14ac:dyDescent="0.25">
      <c r="A430" t="s">
        <v>391</v>
      </c>
      <c r="B430">
        <v>5891330000</v>
      </c>
    </row>
    <row r="431" spans="1:2" x14ac:dyDescent="0.25">
      <c r="A431">
        <v>5891400000</v>
      </c>
      <c r="B431">
        <v>5891200000</v>
      </c>
    </row>
    <row r="432" spans="1:2" x14ac:dyDescent="0.25">
      <c r="A432">
        <v>3121000000</v>
      </c>
      <c r="B432">
        <v>5891400000</v>
      </c>
    </row>
    <row r="433" spans="1:2" x14ac:dyDescent="0.25">
      <c r="A433">
        <v>5814300000</v>
      </c>
      <c r="B433">
        <v>5891400000</v>
      </c>
    </row>
    <row r="434" spans="1:2" x14ac:dyDescent="0.25">
      <c r="A434">
        <v>3122200000</v>
      </c>
      <c r="B434">
        <v>5814300000</v>
      </c>
    </row>
    <row r="435" spans="1:2" x14ac:dyDescent="0.25">
      <c r="A435">
        <v>3122300000</v>
      </c>
      <c r="B435">
        <v>5814300000</v>
      </c>
    </row>
    <row r="436" spans="1:2" x14ac:dyDescent="0.25">
      <c r="A436">
        <v>3123000000</v>
      </c>
      <c r="B436">
        <v>5814300000</v>
      </c>
    </row>
    <row r="437" spans="1:2" x14ac:dyDescent="0.25">
      <c r="A437" t="s">
        <v>392</v>
      </c>
      <c r="B437">
        <v>5814300000</v>
      </c>
    </row>
    <row r="438" spans="1:2" x14ac:dyDescent="0.25">
      <c r="A438">
        <v>5814310000</v>
      </c>
      <c r="B438">
        <v>5814300000</v>
      </c>
    </row>
    <row r="439" spans="1:2" x14ac:dyDescent="0.25">
      <c r="A439">
        <v>5891410000</v>
      </c>
      <c r="B439">
        <v>5891400000</v>
      </c>
    </row>
    <row r="440" spans="1:2" x14ac:dyDescent="0.25">
      <c r="A440">
        <v>5891420000</v>
      </c>
      <c r="B440">
        <v>5891400000</v>
      </c>
    </row>
    <row r="441" spans="1:2" x14ac:dyDescent="0.25">
      <c r="A441">
        <v>5891500000</v>
      </c>
      <c r="B441">
        <v>5891100000</v>
      </c>
    </row>
    <row r="442" spans="1:2" x14ac:dyDescent="0.25">
      <c r="A442">
        <v>5891600000</v>
      </c>
      <c r="B442">
        <v>5891000000</v>
      </c>
    </row>
    <row r="443" spans="1:2" x14ac:dyDescent="0.25">
      <c r="A443">
        <v>3020450000</v>
      </c>
      <c r="B443">
        <v>5891600000</v>
      </c>
    </row>
    <row r="444" spans="1:2" x14ac:dyDescent="0.25">
      <c r="A444">
        <v>3020502000</v>
      </c>
      <c r="B444">
        <v>5891600000</v>
      </c>
    </row>
    <row r="445" spans="1:2" x14ac:dyDescent="0.25">
      <c r="A445">
        <v>3020810000</v>
      </c>
      <c r="B445">
        <v>5891600000</v>
      </c>
    </row>
    <row r="446" spans="1:2" x14ac:dyDescent="0.25">
      <c r="A446">
        <v>3020811000</v>
      </c>
      <c r="B446">
        <v>5891600000</v>
      </c>
    </row>
    <row r="447" spans="1:2" x14ac:dyDescent="0.25">
      <c r="A447">
        <v>3110800000</v>
      </c>
      <c r="B447">
        <v>5891600000</v>
      </c>
    </row>
    <row r="448" spans="1:2" x14ac:dyDescent="0.25">
      <c r="A448">
        <v>3110810000</v>
      </c>
      <c r="B448">
        <v>5891600000</v>
      </c>
    </row>
    <row r="449" spans="1:2" x14ac:dyDescent="0.25">
      <c r="A449">
        <v>3215000000</v>
      </c>
      <c r="B449">
        <v>5891600000</v>
      </c>
    </row>
    <row r="450" spans="1:2" x14ac:dyDescent="0.25">
      <c r="A450" t="s">
        <v>393</v>
      </c>
      <c r="B450">
        <v>5891600000</v>
      </c>
    </row>
    <row r="451" spans="1:2" x14ac:dyDescent="0.25">
      <c r="A451" t="s">
        <v>394</v>
      </c>
      <c r="B451" t="s">
        <v>59</v>
      </c>
    </row>
    <row r="452" spans="1:2" x14ac:dyDescent="0.25">
      <c r="A452">
        <v>5820134100</v>
      </c>
      <c r="B452" t="s">
        <v>394</v>
      </c>
    </row>
    <row r="453" spans="1:2" x14ac:dyDescent="0.25">
      <c r="A453">
        <v>5891000000</v>
      </c>
      <c r="B453" t="s">
        <v>394</v>
      </c>
    </row>
    <row r="454" spans="1:2" x14ac:dyDescent="0.25">
      <c r="A454" t="s">
        <v>395</v>
      </c>
      <c r="B454" t="s">
        <v>59</v>
      </c>
    </row>
    <row r="455" spans="1:2" x14ac:dyDescent="0.25">
      <c r="A455">
        <v>5820134100</v>
      </c>
      <c r="B455" t="s">
        <v>395</v>
      </c>
    </row>
    <row r="456" spans="1:2" x14ac:dyDescent="0.25">
      <c r="A456">
        <v>5891300000</v>
      </c>
      <c r="B456" t="s">
        <v>395</v>
      </c>
    </row>
    <row r="457" spans="1:2" x14ac:dyDescent="0.25">
      <c r="A457" t="s">
        <v>396</v>
      </c>
      <c r="B457" t="s">
        <v>59</v>
      </c>
    </row>
    <row r="458" spans="1:2" x14ac:dyDescent="0.25">
      <c r="A458">
        <v>5820134100</v>
      </c>
      <c r="B458" t="s">
        <v>396</v>
      </c>
    </row>
    <row r="459" spans="1:2" x14ac:dyDescent="0.25">
      <c r="A459">
        <v>5890010000</v>
      </c>
      <c r="B459" t="s">
        <v>396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CC15A-DB6C-4C73-8D16-926C16C7DB62}">
  <sheetPr codeName="Sheet2"/>
  <dimension ref="A1:A69"/>
  <sheetViews>
    <sheetView topLeftCell="A43" workbookViewId="0">
      <selection activeCell="O56" sqref="O56"/>
    </sheetView>
  </sheetViews>
  <sheetFormatPr defaultRowHeight="15" x14ac:dyDescent="0.25"/>
  <sheetData>
    <row r="1" spans="1:1" x14ac:dyDescent="0.25">
      <c r="A1" t="s">
        <v>40</v>
      </c>
    </row>
    <row r="14" spans="1:1" x14ac:dyDescent="0.25">
      <c r="A14" t="s">
        <v>41</v>
      </c>
    </row>
    <row r="23" spans="1:1" x14ac:dyDescent="0.25">
      <c r="A23" t="s">
        <v>42</v>
      </c>
    </row>
    <row r="36" spans="1:1" x14ac:dyDescent="0.25">
      <c r="A36" t="s">
        <v>43</v>
      </c>
    </row>
    <row r="37" spans="1:1" x14ac:dyDescent="0.25">
      <c r="A37" t="s">
        <v>44</v>
      </c>
    </row>
    <row r="39" spans="1:1" x14ac:dyDescent="0.25">
      <c r="A39" t="s">
        <v>45</v>
      </c>
    </row>
    <row r="40" spans="1:1" x14ac:dyDescent="0.25">
      <c r="A40" t="s">
        <v>46</v>
      </c>
    </row>
    <row r="41" spans="1:1" x14ac:dyDescent="0.25">
      <c r="A41" t="s">
        <v>47</v>
      </c>
    </row>
    <row r="42" spans="1:1" x14ac:dyDescent="0.25">
      <c r="A42" t="s">
        <v>48</v>
      </c>
    </row>
    <row r="52" spans="1:1" x14ac:dyDescent="0.25">
      <c r="A52" t="s">
        <v>49</v>
      </c>
    </row>
    <row r="54" spans="1:1" x14ac:dyDescent="0.25">
      <c r="A54" t="s">
        <v>50</v>
      </c>
    </row>
    <row r="68" spans="1:1" x14ac:dyDescent="0.25">
      <c r="A68" t="s">
        <v>51</v>
      </c>
    </row>
    <row r="69" spans="1:1" x14ac:dyDescent="0.25">
      <c r="A69" t="s">
        <v>52</v>
      </c>
    </row>
  </sheetData>
  <pageMargins left="0.7" right="0.7" top="0.75" bottom="0.75" header="0.3" footer="0.3"/>
  <pageSetup paperSize="9" orientation="portrait" horizontalDpi="90" verticalDpi="90"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52325B53968B04AAE7A08E5694C3369" ma:contentTypeVersion="8" ma:contentTypeDescription="Utwórz nowy dokument." ma:contentTypeScope="" ma:versionID="5b6f52ceda8f5926c2995cbf3c44ee63">
  <xsd:schema xmlns:xsd="http://www.w3.org/2001/XMLSchema" xmlns:xs="http://www.w3.org/2001/XMLSchema" xmlns:p="http://schemas.microsoft.com/office/2006/metadata/properties" xmlns:ns2="d2f2714f-8304-48f0-98a8-fdb2bed8ae21" xmlns:ns3="87676b84-6f06-4975-b03f-91bd3127f2d0" targetNamespace="http://schemas.microsoft.com/office/2006/metadata/properties" ma:root="true" ma:fieldsID="8d036d822392f5b943cf6ac9278982f5" ns2:_="" ns3:_="">
    <xsd:import namespace="d2f2714f-8304-48f0-98a8-fdb2bed8ae21"/>
    <xsd:import namespace="87676b84-6f06-4975-b03f-91bd3127f2d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f2714f-8304-48f0-98a8-fdb2bed8ae2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676b84-6f06-4975-b03f-91bd3127f2d0" elementFormDefault="qualified">
    <xsd:import namespace="http://schemas.microsoft.com/office/2006/documentManagement/types"/>
    <xsd:import namespace="http://schemas.microsoft.com/office/infopath/2007/PartnerControls"/>
    <xsd:element name="SharedWithUsers" ma:index="14" nillable="true" ma:displayName="Udostępniani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Udostępnione dla — szczegóły"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D34207B-0BA3-43FD-B078-826684BB3F6E}">
  <ds:schemaRefs>
    <ds:schemaRef ds:uri="http://schemas.microsoft.com/sharepoint/v3/contenttype/forms"/>
  </ds:schemaRefs>
</ds:datastoreItem>
</file>

<file path=customXml/itemProps2.xml><?xml version="1.0" encoding="utf-8"?>
<ds:datastoreItem xmlns:ds="http://schemas.openxmlformats.org/officeDocument/2006/customXml" ds:itemID="{B81616C0-F270-47F9-AB8A-BAE44A25B3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f2714f-8304-48f0-98a8-fdb2bed8ae21"/>
    <ds:schemaRef ds:uri="87676b84-6f06-4975-b03f-91bd3127f2d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BE66AFA-266A-49C4-8907-B00361D8E56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GCOH</vt:lpstr>
      <vt:lpstr>Names</vt:lpstr>
      <vt:lpstr>Parent</vt:lpstr>
      <vt:lpstr>Instructions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Ronald Pierre Collado</dc:creator>
  <cp:keywords/>
  <dc:description/>
  <cp:lastModifiedBy>Pierre Collado</cp:lastModifiedBy>
  <cp:revision/>
  <dcterms:created xsi:type="dcterms:W3CDTF">2020-09-15T07:49:02Z</dcterms:created>
  <dcterms:modified xsi:type="dcterms:W3CDTF">2026-09-08T12:30:45Z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0x010100852325B53968B04AAE7A08E5694C3369</vt:lpwstr>
  </property>
</Properties>
</file>